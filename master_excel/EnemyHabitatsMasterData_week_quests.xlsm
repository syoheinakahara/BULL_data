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3980" windowHeight="20620" tabRatio="789" activeTab="6"/>
  </bookViews>
  <sheets>
    <sheet name="output" sheetId="9" r:id="rId1"/>
    <sheet name="floors" sheetId="2" r:id="rId2"/>
    <sheet name="enemy_habitats" sheetId="1" r:id="rId3"/>
    <sheet name="enemy_habitats_2" sheetId="15" r:id="rId4"/>
    <sheet name="enemy_habitat_S" sheetId="14" r:id="rId5"/>
    <sheet name="enemy_skill_sets" sheetId="10" r:id="rId6"/>
    <sheet name="enemy_skills" sheetId="11" r:id="rId7"/>
    <sheet name="enemy_skill_triggers" sheetId="12" r:id="rId8"/>
    <sheet name="bugbonuses" sheetId="1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8" hidden="1">bugbonuses!$A$1:$R$1</definedName>
    <definedName name="_xlnm._FilterDatabase" localSheetId="4" hidden="1">enemy_habitat_S!$B$1:$Y$2</definedName>
    <definedName name="_xlnm._FilterDatabase" localSheetId="2" hidden="1">enemy_habitats!$B$1:$AH$304</definedName>
    <definedName name="_xlnm._FilterDatabase" localSheetId="3" hidden="1">enemy_habitats_2!$B$1:$AH$1</definedName>
    <definedName name="_xlnm._FilterDatabase" localSheetId="5" hidden="1">enemy_skill_sets!$A$1:$R$1</definedName>
    <definedName name="_xlnm._FilterDatabase" localSheetId="7" hidden="1">enemy_skill_triggers!$A$1:$G$1</definedName>
    <definedName name="_xlnm._FilterDatabase" localSheetId="6" hidden="1">enemy_skills!$A$1:$AB$1</definedName>
    <definedName name="Excel_BuiltIn__FilterDatabase_6_1" localSheetId="5">[1]unit_skills!#REF!</definedName>
    <definedName name="Excel_BuiltIn__FilterDatabase_6_1" localSheetId="7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2" l="1"/>
  <c r="E11" i="10"/>
  <c r="V318" i="1"/>
  <c r="E10" i="10"/>
  <c r="V312" i="1"/>
  <c r="O11" i="10"/>
  <c r="N11" i="10"/>
  <c r="M11" i="10"/>
  <c r="L11" i="10"/>
  <c r="K11" i="10"/>
  <c r="J11" i="10"/>
  <c r="I11" i="10"/>
  <c r="H11" i="10"/>
  <c r="G11" i="10"/>
  <c r="D11" i="10"/>
  <c r="A11" i="10"/>
  <c r="O10" i="10"/>
  <c r="N10" i="10"/>
  <c r="M10" i="10"/>
  <c r="L10" i="10"/>
  <c r="K10" i="10"/>
  <c r="J10" i="10"/>
  <c r="I10" i="10"/>
  <c r="H10" i="10"/>
  <c r="G10" i="10"/>
  <c r="D10" i="10"/>
  <c r="A10" i="10"/>
  <c r="M11" i="11"/>
  <c r="T11" i="11"/>
  <c r="W11" i="11"/>
  <c r="V11" i="11"/>
  <c r="X11" i="11"/>
  <c r="U11" i="11"/>
  <c r="Y11" i="11"/>
  <c r="N11" i="11"/>
  <c r="Q11" i="11"/>
  <c r="P11" i="11"/>
  <c r="R11" i="11"/>
  <c r="O11" i="11"/>
  <c r="S11" i="11"/>
  <c r="G11" i="11"/>
  <c r="J11" i="11"/>
  <c r="I11" i="11"/>
  <c r="K11" i="11"/>
  <c r="H11" i="11"/>
  <c r="L11" i="11"/>
  <c r="M10" i="11"/>
  <c r="T10" i="11"/>
  <c r="W10" i="11"/>
  <c r="V10" i="11"/>
  <c r="X10" i="11"/>
  <c r="U10" i="11"/>
  <c r="Y10" i="11"/>
  <c r="N10" i="11"/>
  <c r="Q10" i="11"/>
  <c r="P10" i="11"/>
  <c r="R10" i="11"/>
  <c r="O10" i="11"/>
  <c r="S10" i="11"/>
  <c r="G10" i="11"/>
  <c r="J10" i="11"/>
  <c r="I10" i="11"/>
  <c r="K10" i="11"/>
  <c r="H10" i="11"/>
  <c r="L10" i="11"/>
  <c r="AB318" i="1"/>
  <c r="AD318" i="1"/>
  <c r="AG318" i="1"/>
  <c r="AE318" i="1"/>
  <c r="AC318" i="1"/>
  <c r="AA318" i="1"/>
  <c r="Q318" i="1"/>
  <c r="P318" i="1"/>
  <c r="O318" i="1"/>
  <c r="N318" i="1"/>
  <c r="M318" i="1"/>
  <c r="H318" i="1"/>
  <c r="G101" i="2"/>
  <c r="A101" i="2"/>
  <c r="G102" i="2"/>
  <c r="A102" i="2"/>
  <c r="G103" i="2"/>
  <c r="A103" i="2"/>
  <c r="G104" i="2"/>
  <c r="A104" i="2"/>
  <c r="G105" i="2"/>
  <c r="A105" i="2"/>
  <c r="J318" i="1"/>
  <c r="I318" i="1"/>
  <c r="D318" i="1"/>
  <c r="F318" i="1"/>
  <c r="E318" i="1"/>
  <c r="A318" i="1"/>
  <c r="AB317" i="1"/>
  <c r="AD317" i="1"/>
  <c r="AG317" i="1"/>
  <c r="AE317" i="1"/>
  <c r="AC317" i="1"/>
  <c r="AA317" i="1"/>
  <c r="W317" i="1"/>
  <c r="V317" i="1"/>
  <c r="Q317" i="1"/>
  <c r="P317" i="1"/>
  <c r="O317" i="1"/>
  <c r="N317" i="1"/>
  <c r="M317" i="1"/>
  <c r="H317" i="1"/>
  <c r="J317" i="1"/>
  <c r="I317" i="1"/>
  <c r="D317" i="1"/>
  <c r="F317" i="1"/>
  <c r="E317" i="1"/>
  <c r="A317" i="1"/>
  <c r="AB316" i="1"/>
  <c r="AD316" i="1"/>
  <c r="AG316" i="1"/>
  <c r="AE316" i="1"/>
  <c r="AC316" i="1"/>
  <c r="AA316" i="1"/>
  <c r="W316" i="1"/>
  <c r="V316" i="1"/>
  <c r="Q316" i="1"/>
  <c r="P316" i="1"/>
  <c r="O316" i="1"/>
  <c r="N316" i="1"/>
  <c r="M316" i="1"/>
  <c r="H316" i="1"/>
  <c r="J316" i="1"/>
  <c r="I316" i="1"/>
  <c r="D316" i="1"/>
  <c r="F316" i="1"/>
  <c r="E316" i="1"/>
  <c r="A316" i="1"/>
  <c r="AB315" i="1"/>
  <c r="AD315" i="1"/>
  <c r="AG315" i="1"/>
  <c r="AE315" i="1"/>
  <c r="AC315" i="1"/>
  <c r="AA315" i="1"/>
  <c r="W315" i="1"/>
  <c r="V315" i="1"/>
  <c r="Q315" i="1"/>
  <c r="P315" i="1"/>
  <c r="O315" i="1"/>
  <c r="N315" i="1"/>
  <c r="M315" i="1"/>
  <c r="H315" i="1"/>
  <c r="J315" i="1"/>
  <c r="I315" i="1"/>
  <c r="D315" i="1"/>
  <c r="F315" i="1"/>
  <c r="E315" i="1"/>
  <c r="A315" i="1"/>
  <c r="AB314" i="1"/>
  <c r="AD314" i="1"/>
  <c r="AG314" i="1"/>
  <c r="AE314" i="1"/>
  <c r="AC314" i="1"/>
  <c r="AA314" i="1"/>
  <c r="W314" i="1"/>
  <c r="V314" i="1"/>
  <c r="Q314" i="1"/>
  <c r="P314" i="1"/>
  <c r="O314" i="1"/>
  <c r="N314" i="1"/>
  <c r="M314" i="1"/>
  <c r="H314" i="1"/>
  <c r="J314" i="1"/>
  <c r="I314" i="1"/>
  <c r="D314" i="1"/>
  <c r="F314" i="1"/>
  <c r="E314" i="1"/>
  <c r="A314" i="1"/>
  <c r="AB313" i="1"/>
  <c r="AD313" i="1"/>
  <c r="AG313" i="1"/>
  <c r="AE313" i="1"/>
  <c r="AC313" i="1"/>
  <c r="AA313" i="1"/>
  <c r="W313" i="1"/>
  <c r="V313" i="1"/>
  <c r="Q313" i="1"/>
  <c r="P313" i="1"/>
  <c r="O313" i="1"/>
  <c r="N313" i="1"/>
  <c r="M313" i="1"/>
  <c r="H313" i="1"/>
  <c r="J313" i="1"/>
  <c r="I313" i="1"/>
  <c r="D313" i="1"/>
  <c r="F313" i="1"/>
  <c r="E313" i="1"/>
  <c r="A313" i="1"/>
  <c r="AB312" i="1"/>
  <c r="AD312" i="1"/>
  <c r="AG312" i="1"/>
  <c r="AE312" i="1"/>
  <c r="AC312" i="1"/>
  <c r="AA312" i="1"/>
  <c r="Q312" i="1"/>
  <c r="P312" i="1"/>
  <c r="O312" i="1"/>
  <c r="N312" i="1"/>
  <c r="M312" i="1"/>
  <c r="H312" i="1"/>
  <c r="J312" i="1"/>
  <c r="I312" i="1"/>
  <c r="D312" i="1"/>
  <c r="F312" i="1"/>
  <c r="E312" i="1"/>
  <c r="A312" i="1"/>
  <c r="AB311" i="1"/>
  <c r="AD311" i="1"/>
  <c r="AG311" i="1"/>
  <c r="AE311" i="1"/>
  <c r="AC311" i="1"/>
  <c r="AA311" i="1"/>
  <c r="W311" i="1"/>
  <c r="V311" i="1"/>
  <c r="Q311" i="1"/>
  <c r="P311" i="1"/>
  <c r="O311" i="1"/>
  <c r="N311" i="1"/>
  <c r="M311" i="1"/>
  <c r="H311" i="1"/>
  <c r="J311" i="1"/>
  <c r="I311" i="1"/>
  <c r="D311" i="1"/>
  <c r="F311" i="1"/>
  <c r="E311" i="1"/>
  <c r="A311" i="1"/>
  <c r="AB310" i="1"/>
  <c r="AD310" i="1"/>
  <c r="AG310" i="1"/>
  <c r="AE310" i="1"/>
  <c r="AC310" i="1"/>
  <c r="AA310" i="1"/>
  <c r="W310" i="1"/>
  <c r="V310" i="1"/>
  <c r="Q310" i="1"/>
  <c r="P310" i="1"/>
  <c r="O310" i="1"/>
  <c r="N310" i="1"/>
  <c r="M310" i="1"/>
  <c r="H310" i="1"/>
  <c r="J310" i="1"/>
  <c r="I310" i="1"/>
  <c r="D310" i="1"/>
  <c r="F310" i="1"/>
  <c r="E310" i="1"/>
  <c r="A310" i="1"/>
  <c r="AB309" i="1"/>
  <c r="AD309" i="1"/>
  <c r="AG309" i="1"/>
  <c r="AE309" i="1"/>
  <c r="AC309" i="1"/>
  <c r="AA309" i="1"/>
  <c r="W309" i="1"/>
  <c r="V309" i="1"/>
  <c r="Q309" i="1"/>
  <c r="P309" i="1"/>
  <c r="O309" i="1"/>
  <c r="N309" i="1"/>
  <c r="M309" i="1"/>
  <c r="H309" i="1"/>
  <c r="J309" i="1"/>
  <c r="I309" i="1"/>
  <c r="D309" i="1"/>
  <c r="F309" i="1"/>
  <c r="E309" i="1"/>
  <c r="A309" i="1"/>
  <c r="AB307" i="1"/>
  <c r="AD307" i="1"/>
  <c r="AG307" i="1"/>
  <c r="AE307" i="1"/>
  <c r="AC307" i="1"/>
  <c r="AA307" i="1"/>
  <c r="W307" i="1"/>
  <c r="V307" i="1"/>
  <c r="Q307" i="1"/>
  <c r="P307" i="1"/>
  <c r="O307" i="1"/>
  <c r="N307" i="1"/>
  <c r="M307" i="1"/>
  <c r="H307" i="1"/>
  <c r="J307" i="1"/>
  <c r="I307" i="1"/>
  <c r="D307" i="1"/>
  <c r="F307" i="1"/>
  <c r="E307" i="1"/>
  <c r="A307" i="1"/>
  <c r="AB308" i="1"/>
  <c r="AD308" i="1"/>
  <c r="AG308" i="1"/>
  <c r="AE308" i="1"/>
  <c r="AC308" i="1"/>
  <c r="AA308" i="1"/>
  <c r="W308" i="1"/>
  <c r="V308" i="1"/>
  <c r="Q308" i="1"/>
  <c r="P308" i="1"/>
  <c r="O308" i="1"/>
  <c r="N308" i="1"/>
  <c r="M308" i="1"/>
  <c r="H308" i="1"/>
  <c r="J308" i="1"/>
  <c r="I308" i="1"/>
  <c r="D308" i="1"/>
  <c r="F308" i="1"/>
  <c r="E308" i="1"/>
  <c r="A308" i="1"/>
  <c r="H105" i="2"/>
  <c r="E105" i="2"/>
  <c r="D105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B105" i="2"/>
  <c r="H104" i="2"/>
  <c r="E104" i="2"/>
  <c r="D104" i="2"/>
  <c r="B104" i="2"/>
  <c r="H103" i="2"/>
  <c r="E103" i="2"/>
  <c r="D103" i="2"/>
  <c r="B103" i="2"/>
  <c r="H102" i="2"/>
  <c r="E102" i="2"/>
  <c r="D102" i="2"/>
  <c r="B102" i="2"/>
  <c r="H101" i="2"/>
  <c r="E101" i="2"/>
  <c r="D101" i="2"/>
  <c r="B101" i="2"/>
  <c r="AB306" i="1"/>
  <c r="AD306" i="1"/>
  <c r="AG306" i="1"/>
  <c r="AE306" i="1"/>
  <c r="AC306" i="1"/>
  <c r="AA306" i="1"/>
  <c r="W306" i="1"/>
  <c r="V306" i="1"/>
  <c r="Q306" i="1"/>
  <c r="P306" i="1"/>
  <c r="O306" i="1"/>
  <c r="N306" i="1"/>
  <c r="M306" i="1"/>
  <c r="J306" i="1"/>
  <c r="I306" i="1"/>
  <c r="D306" i="1"/>
  <c r="F306" i="1"/>
  <c r="E306" i="1"/>
  <c r="A306" i="1"/>
  <c r="G137" i="2"/>
  <c r="H137" i="2"/>
  <c r="E137" i="2"/>
  <c r="D137" i="2"/>
  <c r="A137" i="2"/>
  <c r="B137" i="2"/>
  <c r="G136" i="2"/>
  <c r="H136" i="2"/>
  <c r="E136" i="2"/>
  <c r="D136" i="2"/>
  <c r="A136" i="2"/>
  <c r="B136" i="2"/>
  <c r="G135" i="2"/>
  <c r="H135" i="2"/>
  <c r="E135" i="2"/>
  <c r="D135" i="2"/>
  <c r="A135" i="2"/>
  <c r="B135" i="2"/>
  <c r="G134" i="2"/>
  <c r="H134" i="2"/>
  <c r="E134" i="2"/>
  <c r="D134" i="2"/>
  <c r="A134" i="2"/>
  <c r="B134" i="2"/>
  <c r="G133" i="2"/>
  <c r="H133" i="2"/>
  <c r="E133" i="2"/>
  <c r="D133" i="2"/>
  <c r="A133" i="2"/>
  <c r="B133" i="2"/>
  <c r="G132" i="2"/>
  <c r="H132" i="2"/>
  <c r="E132" i="2"/>
  <c r="D132" i="2"/>
  <c r="A132" i="2"/>
  <c r="B132" i="2"/>
  <c r="G131" i="2"/>
  <c r="H131" i="2"/>
  <c r="E131" i="2"/>
  <c r="D131" i="2"/>
  <c r="A131" i="2"/>
  <c r="B131" i="2"/>
  <c r="G130" i="2"/>
  <c r="H130" i="2"/>
  <c r="E130" i="2"/>
  <c r="D130" i="2"/>
  <c r="A130" i="2"/>
  <c r="B130" i="2"/>
  <c r="G129" i="2"/>
  <c r="H129" i="2"/>
  <c r="E129" i="2"/>
  <c r="D129" i="2"/>
  <c r="A129" i="2"/>
  <c r="B129" i="2"/>
  <c r="G128" i="2"/>
  <c r="H128" i="2"/>
  <c r="E128" i="2"/>
  <c r="D128" i="2"/>
  <c r="A128" i="2"/>
  <c r="B128" i="2"/>
  <c r="G127" i="2"/>
  <c r="H127" i="2"/>
  <c r="E127" i="2"/>
  <c r="D127" i="2"/>
  <c r="A127" i="2"/>
  <c r="B127" i="2"/>
  <c r="G126" i="2"/>
  <c r="H126" i="2"/>
  <c r="E126" i="2"/>
  <c r="D126" i="2"/>
  <c r="A126" i="2"/>
  <c r="B126" i="2"/>
  <c r="G125" i="2"/>
  <c r="H125" i="2"/>
  <c r="E125" i="2"/>
  <c r="D125" i="2"/>
  <c r="A125" i="2"/>
  <c r="B125" i="2"/>
  <c r="G124" i="2"/>
  <c r="H124" i="2"/>
  <c r="E124" i="2"/>
  <c r="D124" i="2"/>
  <c r="A124" i="2"/>
  <c r="B124" i="2"/>
  <c r="G123" i="2"/>
  <c r="H123" i="2"/>
  <c r="E123" i="2"/>
  <c r="D123" i="2"/>
  <c r="A123" i="2"/>
  <c r="B123" i="2"/>
  <c r="G122" i="2"/>
  <c r="H122" i="2"/>
  <c r="E122" i="2"/>
  <c r="D122" i="2"/>
  <c r="A122" i="2"/>
  <c r="B122" i="2"/>
  <c r="AD101" i="15"/>
  <c r="AG101" i="15"/>
  <c r="AE101" i="15"/>
  <c r="AC101" i="15"/>
  <c r="AA101" i="15"/>
  <c r="W101" i="15"/>
  <c r="V101" i="15"/>
  <c r="Q101" i="15"/>
  <c r="P101" i="15"/>
  <c r="O101" i="15"/>
  <c r="N101" i="15"/>
  <c r="M101" i="15"/>
  <c r="H101" i="1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G22" i="2"/>
  <c r="A22" i="2"/>
  <c r="G23" i="2"/>
  <c r="A23" i="2"/>
  <c r="G24" i="2"/>
  <c r="A24" i="2"/>
  <c r="G25" i="2"/>
  <c r="A25" i="2"/>
  <c r="G26" i="2"/>
  <c r="A26" i="2"/>
  <c r="G27" i="2"/>
  <c r="A27" i="2"/>
  <c r="G28" i="2"/>
  <c r="A28" i="2"/>
  <c r="G29" i="2"/>
  <c r="A29" i="2"/>
  <c r="G30" i="2"/>
  <c r="A30" i="2"/>
  <c r="G31" i="2"/>
  <c r="A31" i="2"/>
  <c r="G32" i="2"/>
  <c r="A32" i="2"/>
  <c r="G33" i="2"/>
  <c r="A33" i="2"/>
  <c r="G34" i="2"/>
  <c r="A34" i="2"/>
  <c r="G35" i="2"/>
  <c r="A35" i="2"/>
  <c r="G36" i="2"/>
  <c r="A36" i="2"/>
  <c r="G37" i="2"/>
  <c r="A37" i="2"/>
  <c r="G38" i="2"/>
  <c r="A38" i="2"/>
  <c r="G39" i="2"/>
  <c r="A39" i="2"/>
  <c r="G40" i="2"/>
  <c r="A40" i="2"/>
  <c r="G41" i="2"/>
  <c r="A41" i="2"/>
  <c r="G42" i="2"/>
  <c r="A42" i="2"/>
  <c r="G43" i="2"/>
  <c r="A43" i="2"/>
  <c r="G44" i="2"/>
  <c r="A44" i="2"/>
  <c r="G45" i="2"/>
  <c r="A45" i="2"/>
  <c r="G46" i="2"/>
  <c r="A46" i="2"/>
  <c r="G47" i="2"/>
  <c r="A47" i="2"/>
  <c r="G48" i="2"/>
  <c r="A48" i="2"/>
  <c r="G49" i="2"/>
  <c r="A49" i="2"/>
  <c r="G50" i="2"/>
  <c r="A50" i="2"/>
  <c r="G51" i="2"/>
  <c r="A51" i="2"/>
  <c r="G52" i="2"/>
  <c r="A52" i="2"/>
  <c r="G53" i="2"/>
  <c r="A53" i="2"/>
  <c r="G54" i="2"/>
  <c r="A54" i="2"/>
  <c r="G55" i="2"/>
  <c r="A55" i="2"/>
  <c r="G56" i="2"/>
  <c r="A56" i="2"/>
  <c r="G57" i="2"/>
  <c r="A57" i="2"/>
  <c r="G58" i="2"/>
  <c r="A58" i="2"/>
  <c r="G59" i="2"/>
  <c r="A59" i="2"/>
  <c r="G60" i="2"/>
  <c r="A60" i="2"/>
  <c r="G61" i="2"/>
  <c r="A61" i="2"/>
  <c r="G62" i="2"/>
  <c r="A62" i="2"/>
  <c r="G63" i="2"/>
  <c r="A63" i="2"/>
  <c r="G64" i="2"/>
  <c r="A64" i="2"/>
  <c r="G65" i="2"/>
  <c r="A65" i="2"/>
  <c r="G66" i="2"/>
  <c r="A66" i="2"/>
  <c r="G67" i="2"/>
  <c r="A67" i="2"/>
  <c r="G68" i="2"/>
  <c r="A68" i="2"/>
  <c r="G69" i="2"/>
  <c r="A69" i="2"/>
  <c r="G70" i="2"/>
  <c r="A70" i="2"/>
  <c r="G71" i="2"/>
  <c r="A71" i="2"/>
  <c r="G72" i="2"/>
  <c r="A72" i="2"/>
  <c r="G73" i="2"/>
  <c r="A73" i="2"/>
  <c r="G74" i="2"/>
  <c r="A74" i="2"/>
  <c r="G75" i="2"/>
  <c r="A75" i="2"/>
  <c r="G76" i="2"/>
  <c r="A76" i="2"/>
  <c r="G77" i="2"/>
  <c r="A77" i="2"/>
  <c r="G78" i="2"/>
  <c r="A78" i="2"/>
  <c r="G79" i="2"/>
  <c r="A79" i="2"/>
  <c r="G80" i="2"/>
  <c r="A80" i="2"/>
  <c r="G81" i="2"/>
  <c r="A81" i="2"/>
  <c r="G82" i="2"/>
  <c r="A82" i="2"/>
  <c r="G83" i="2"/>
  <c r="A83" i="2"/>
  <c r="G84" i="2"/>
  <c r="A84" i="2"/>
  <c r="G85" i="2"/>
  <c r="A85" i="2"/>
  <c r="G86" i="2"/>
  <c r="A86" i="2"/>
  <c r="G87" i="2"/>
  <c r="A87" i="2"/>
  <c r="G88" i="2"/>
  <c r="A88" i="2"/>
  <c r="G89" i="2"/>
  <c r="A89" i="2"/>
  <c r="G90" i="2"/>
  <c r="A90" i="2"/>
  <c r="G91" i="2"/>
  <c r="A91" i="2"/>
  <c r="G92" i="2"/>
  <c r="A92" i="2"/>
  <c r="G93" i="2"/>
  <c r="A93" i="2"/>
  <c r="G94" i="2"/>
  <c r="A94" i="2"/>
  <c r="G95" i="2"/>
  <c r="A95" i="2"/>
  <c r="G96" i="2"/>
  <c r="A96" i="2"/>
  <c r="G97" i="2"/>
  <c r="A97" i="2"/>
  <c r="G98" i="2"/>
  <c r="A98" i="2"/>
  <c r="G99" i="2"/>
  <c r="A99" i="2"/>
  <c r="G100" i="2"/>
  <c r="A100" i="2"/>
  <c r="G106" i="2"/>
  <c r="A106" i="2"/>
  <c r="G107" i="2"/>
  <c r="A107" i="2"/>
  <c r="G108" i="2"/>
  <c r="A108" i="2"/>
  <c r="G109" i="2"/>
  <c r="A109" i="2"/>
  <c r="G110" i="2"/>
  <c r="A110" i="2"/>
  <c r="G111" i="2"/>
  <c r="A111" i="2"/>
  <c r="G112" i="2"/>
  <c r="A112" i="2"/>
  <c r="G113" i="2"/>
  <c r="A113" i="2"/>
  <c r="G114" i="2"/>
  <c r="A114" i="2"/>
  <c r="G115" i="2"/>
  <c r="A115" i="2"/>
  <c r="G116" i="2"/>
  <c r="A116" i="2"/>
  <c r="G117" i="2"/>
  <c r="A117" i="2"/>
  <c r="G118" i="2"/>
  <c r="A118" i="2"/>
  <c r="G119" i="2"/>
  <c r="A119" i="2"/>
  <c r="G120" i="2"/>
  <c r="A120" i="2"/>
  <c r="G121" i="2"/>
  <c r="A121" i="2"/>
  <c r="J101" i="15"/>
  <c r="I101" i="15"/>
  <c r="D101" i="15"/>
  <c r="F101" i="15"/>
  <c r="E101" i="15"/>
  <c r="A101" i="15"/>
  <c r="AD100" i="15"/>
  <c r="AG100" i="15"/>
  <c r="AE100" i="15"/>
  <c r="AC100" i="15"/>
  <c r="AA100" i="15"/>
  <c r="W100" i="15"/>
  <c r="V100" i="15"/>
  <c r="Q100" i="15"/>
  <c r="P100" i="15"/>
  <c r="O100" i="15"/>
  <c r="N100" i="15"/>
  <c r="M100" i="15"/>
  <c r="H100" i="15"/>
  <c r="J100" i="15"/>
  <c r="I100" i="15"/>
  <c r="D100" i="15"/>
  <c r="F100" i="15"/>
  <c r="E100" i="15"/>
  <c r="A100" i="15"/>
  <c r="AD99" i="15"/>
  <c r="AG99" i="15"/>
  <c r="AE99" i="15"/>
  <c r="AC99" i="15"/>
  <c r="AA99" i="15"/>
  <c r="W99" i="15"/>
  <c r="V99" i="15"/>
  <c r="Q99" i="15"/>
  <c r="P99" i="15"/>
  <c r="O99" i="15"/>
  <c r="N99" i="15"/>
  <c r="M99" i="15"/>
  <c r="H99" i="15"/>
  <c r="J99" i="15"/>
  <c r="I99" i="15"/>
  <c r="D99" i="15"/>
  <c r="F99" i="15"/>
  <c r="E99" i="15"/>
  <c r="A99" i="15"/>
  <c r="AD98" i="15"/>
  <c r="AG98" i="15"/>
  <c r="AE98" i="15"/>
  <c r="AC98" i="15"/>
  <c r="AA98" i="15"/>
  <c r="W98" i="15"/>
  <c r="V98" i="15"/>
  <c r="Q98" i="15"/>
  <c r="P98" i="15"/>
  <c r="O98" i="15"/>
  <c r="N98" i="15"/>
  <c r="M98" i="15"/>
  <c r="H98" i="15"/>
  <c r="J98" i="15"/>
  <c r="I98" i="15"/>
  <c r="D98" i="15"/>
  <c r="F98" i="15"/>
  <c r="E98" i="15"/>
  <c r="A98" i="15"/>
  <c r="AD97" i="15"/>
  <c r="AG97" i="15"/>
  <c r="AE97" i="15"/>
  <c r="AC97" i="15"/>
  <c r="AA97" i="15"/>
  <c r="W97" i="15"/>
  <c r="V97" i="15"/>
  <c r="Q97" i="15"/>
  <c r="P97" i="15"/>
  <c r="O97" i="15"/>
  <c r="N97" i="15"/>
  <c r="M97" i="15"/>
  <c r="H97" i="15"/>
  <c r="J97" i="15"/>
  <c r="I97" i="15"/>
  <c r="D97" i="15"/>
  <c r="F97" i="15"/>
  <c r="E97" i="15"/>
  <c r="A97" i="15"/>
  <c r="AD96" i="15"/>
  <c r="AG96" i="15"/>
  <c r="AE96" i="15"/>
  <c r="AC96" i="15"/>
  <c r="AA96" i="15"/>
  <c r="W96" i="15"/>
  <c r="V96" i="15"/>
  <c r="Q96" i="15"/>
  <c r="P96" i="15"/>
  <c r="O96" i="15"/>
  <c r="N96" i="15"/>
  <c r="M96" i="15"/>
  <c r="H96" i="15"/>
  <c r="J96" i="15"/>
  <c r="I96" i="15"/>
  <c r="D96" i="15"/>
  <c r="F96" i="15"/>
  <c r="E96" i="15"/>
  <c r="A96" i="15"/>
  <c r="AD95" i="15"/>
  <c r="AG95" i="15"/>
  <c r="AE95" i="15"/>
  <c r="AC95" i="15"/>
  <c r="AA95" i="15"/>
  <c r="W95" i="15"/>
  <c r="V95" i="15"/>
  <c r="Q95" i="15"/>
  <c r="P95" i="15"/>
  <c r="O95" i="15"/>
  <c r="N95" i="15"/>
  <c r="M95" i="15"/>
  <c r="H95" i="15"/>
  <c r="J95" i="15"/>
  <c r="I95" i="15"/>
  <c r="D95" i="15"/>
  <c r="F95" i="15"/>
  <c r="E95" i="15"/>
  <c r="A95" i="15"/>
  <c r="AD94" i="15"/>
  <c r="AG94" i="15"/>
  <c r="AE94" i="15"/>
  <c r="AC94" i="15"/>
  <c r="AA94" i="15"/>
  <c r="W94" i="15"/>
  <c r="V94" i="15"/>
  <c r="Q94" i="15"/>
  <c r="P94" i="15"/>
  <c r="O94" i="15"/>
  <c r="N94" i="15"/>
  <c r="M94" i="15"/>
  <c r="H94" i="15"/>
  <c r="J94" i="15"/>
  <c r="I94" i="15"/>
  <c r="D94" i="15"/>
  <c r="F94" i="15"/>
  <c r="E94" i="15"/>
  <c r="A94" i="15"/>
  <c r="AD93" i="15"/>
  <c r="AG93" i="15"/>
  <c r="AE93" i="15"/>
  <c r="AC93" i="15"/>
  <c r="AA93" i="15"/>
  <c r="W93" i="15"/>
  <c r="V93" i="15"/>
  <c r="Q93" i="15"/>
  <c r="P93" i="15"/>
  <c r="O93" i="15"/>
  <c r="N93" i="15"/>
  <c r="M93" i="15"/>
  <c r="H93" i="15"/>
  <c r="J93" i="15"/>
  <c r="I93" i="15"/>
  <c r="D93" i="15"/>
  <c r="F93" i="15"/>
  <c r="E93" i="15"/>
  <c r="A93" i="15"/>
  <c r="AD92" i="15"/>
  <c r="AG92" i="15"/>
  <c r="AE92" i="15"/>
  <c r="AC92" i="15"/>
  <c r="AA92" i="15"/>
  <c r="W92" i="15"/>
  <c r="V92" i="15"/>
  <c r="Q92" i="15"/>
  <c r="P92" i="15"/>
  <c r="O92" i="15"/>
  <c r="N92" i="15"/>
  <c r="M92" i="15"/>
  <c r="H92" i="15"/>
  <c r="J92" i="15"/>
  <c r="I92" i="15"/>
  <c r="D92" i="15"/>
  <c r="F92" i="15"/>
  <c r="E92" i="15"/>
  <c r="A92" i="15"/>
  <c r="AD81" i="15"/>
  <c r="AG81" i="15"/>
  <c r="AE81" i="15"/>
  <c r="AC81" i="15"/>
  <c r="AA81" i="15"/>
  <c r="W81" i="15"/>
  <c r="V81" i="15"/>
  <c r="Q81" i="15"/>
  <c r="P81" i="15"/>
  <c r="O81" i="15"/>
  <c r="N81" i="15"/>
  <c r="M81" i="15"/>
  <c r="H81" i="15"/>
  <c r="J81" i="15"/>
  <c r="I81" i="15"/>
  <c r="D81" i="15"/>
  <c r="F81" i="15"/>
  <c r="E81" i="15"/>
  <c r="A81" i="15"/>
  <c r="AD80" i="15"/>
  <c r="AG80" i="15"/>
  <c r="AE80" i="15"/>
  <c r="AC80" i="15"/>
  <c r="AA80" i="15"/>
  <c r="W80" i="15"/>
  <c r="V80" i="15"/>
  <c r="Q80" i="15"/>
  <c r="P80" i="15"/>
  <c r="O80" i="15"/>
  <c r="N80" i="15"/>
  <c r="M80" i="15"/>
  <c r="H80" i="15"/>
  <c r="J80" i="15"/>
  <c r="I80" i="15"/>
  <c r="D80" i="15"/>
  <c r="F80" i="15"/>
  <c r="E80" i="15"/>
  <c r="A80" i="15"/>
  <c r="AD79" i="15"/>
  <c r="AG79" i="15"/>
  <c r="AE79" i="15"/>
  <c r="AC79" i="15"/>
  <c r="AA79" i="15"/>
  <c r="W79" i="15"/>
  <c r="V79" i="15"/>
  <c r="Q79" i="15"/>
  <c r="P79" i="15"/>
  <c r="O79" i="15"/>
  <c r="N79" i="15"/>
  <c r="M79" i="15"/>
  <c r="H79" i="15"/>
  <c r="J79" i="15"/>
  <c r="I79" i="15"/>
  <c r="D79" i="15"/>
  <c r="F79" i="15"/>
  <c r="E79" i="15"/>
  <c r="A79" i="15"/>
  <c r="AD78" i="15"/>
  <c r="AG78" i="15"/>
  <c r="AE78" i="15"/>
  <c r="AC78" i="15"/>
  <c r="AA78" i="15"/>
  <c r="W78" i="15"/>
  <c r="V78" i="15"/>
  <c r="Q78" i="15"/>
  <c r="P78" i="15"/>
  <c r="O78" i="15"/>
  <c r="N78" i="15"/>
  <c r="M78" i="15"/>
  <c r="H78" i="15"/>
  <c r="J78" i="15"/>
  <c r="I78" i="15"/>
  <c r="D78" i="15"/>
  <c r="F78" i="15"/>
  <c r="E78" i="15"/>
  <c r="A78" i="15"/>
  <c r="AD77" i="15"/>
  <c r="AG77" i="15"/>
  <c r="AE77" i="15"/>
  <c r="AC77" i="15"/>
  <c r="AA77" i="15"/>
  <c r="W77" i="15"/>
  <c r="V77" i="15"/>
  <c r="Q77" i="15"/>
  <c r="P77" i="15"/>
  <c r="O77" i="15"/>
  <c r="N77" i="15"/>
  <c r="M77" i="15"/>
  <c r="H77" i="15"/>
  <c r="J77" i="15"/>
  <c r="I77" i="15"/>
  <c r="D77" i="15"/>
  <c r="F77" i="15"/>
  <c r="E77" i="15"/>
  <c r="A77" i="15"/>
  <c r="AD76" i="15"/>
  <c r="AG76" i="15"/>
  <c r="AE76" i="15"/>
  <c r="AC76" i="15"/>
  <c r="AA76" i="15"/>
  <c r="W76" i="15"/>
  <c r="V76" i="15"/>
  <c r="Q76" i="15"/>
  <c r="P76" i="15"/>
  <c r="O76" i="15"/>
  <c r="N76" i="15"/>
  <c r="M76" i="15"/>
  <c r="H76" i="15"/>
  <c r="J76" i="15"/>
  <c r="I76" i="15"/>
  <c r="D76" i="15"/>
  <c r="F76" i="15"/>
  <c r="E76" i="15"/>
  <c r="A76" i="15"/>
  <c r="AD75" i="15"/>
  <c r="AG75" i="15"/>
  <c r="AE75" i="15"/>
  <c r="AC75" i="15"/>
  <c r="AA75" i="15"/>
  <c r="W75" i="15"/>
  <c r="V75" i="15"/>
  <c r="Q75" i="15"/>
  <c r="P75" i="15"/>
  <c r="O75" i="15"/>
  <c r="N75" i="15"/>
  <c r="M75" i="15"/>
  <c r="H75" i="15"/>
  <c r="J75" i="15"/>
  <c r="I75" i="15"/>
  <c r="D75" i="15"/>
  <c r="F75" i="15"/>
  <c r="E75" i="15"/>
  <c r="A75" i="15"/>
  <c r="AD74" i="15"/>
  <c r="AG74" i="15"/>
  <c r="AE74" i="15"/>
  <c r="AC74" i="15"/>
  <c r="AA74" i="15"/>
  <c r="W74" i="15"/>
  <c r="V74" i="15"/>
  <c r="Q74" i="15"/>
  <c r="P74" i="15"/>
  <c r="O74" i="15"/>
  <c r="N74" i="15"/>
  <c r="M74" i="15"/>
  <c r="H74" i="15"/>
  <c r="J74" i="15"/>
  <c r="I74" i="15"/>
  <c r="D74" i="15"/>
  <c r="F74" i="15"/>
  <c r="E74" i="15"/>
  <c r="A74" i="15"/>
  <c r="AD127" i="15"/>
  <c r="AG127" i="15"/>
  <c r="AE127" i="15"/>
  <c r="AC127" i="15"/>
  <c r="AA127" i="15"/>
  <c r="W127" i="15"/>
  <c r="V127" i="15"/>
  <c r="Q127" i="15"/>
  <c r="P127" i="15"/>
  <c r="O127" i="15"/>
  <c r="N127" i="15"/>
  <c r="M127" i="15"/>
  <c r="H127" i="15"/>
  <c r="J127" i="15"/>
  <c r="I127" i="15"/>
  <c r="D127" i="15"/>
  <c r="F127" i="15"/>
  <c r="E127" i="15"/>
  <c r="A127" i="15"/>
  <c r="AD126" i="15"/>
  <c r="AG126" i="15"/>
  <c r="AE126" i="15"/>
  <c r="AC126" i="15"/>
  <c r="AA126" i="15"/>
  <c r="W126" i="15"/>
  <c r="V126" i="15"/>
  <c r="Q126" i="15"/>
  <c r="P126" i="15"/>
  <c r="O126" i="15"/>
  <c r="N126" i="15"/>
  <c r="M126" i="15"/>
  <c r="H126" i="15"/>
  <c r="J126" i="15"/>
  <c r="I126" i="15"/>
  <c r="D126" i="15"/>
  <c r="F126" i="15"/>
  <c r="E126" i="15"/>
  <c r="A126" i="15"/>
  <c r="AD125" i="15"/>
  <c r="AG125" i="15"/>
  <c r="AE125" i="15"/>
  <c r="AC125" i="15"/>
  <c r="AA125" i="15"/>
  <c r="W125" i="15"/>
  <c r="V125" i="15"/>
  <c r="Q125" i="15"/>
  <c r="P125" i="15"/>
  <c r="O125" i="15"/>
  <c r="N125" i="15"/>
  <c r="M125" i="15"/>
  <c r="H125" i="15"/>
  <c r="J125" i="15"/>
  <c r="I125" i="15"/>
  <c r="D125" i="15"/>
  <c r="F125" i="15"/>
  <c r="E125" i="15"/>
  <c r="A125" i="15"/>
  <c r="AD124" i="15"/>
  <c r="AG124" i="15"/>
  <c r="AE124" i="15"/>
  <c r="AC124" i="15"/>
  <c r="AA124" i="15"/>
  <c r="W124" i="15"/>
  <c r="V124" i="15"/>
  <c r="Q124" i="15"/>
  <c r="P124" i="15"/>
  <c r="O124" i="15"/>
  <c r="N124" i="15"/>
  <c r="M124" i="15"/>
  <c r="H124" i="15"/>
  <c r="J124" i="15"/>
  <c r="I124" i="15"/>
  <c r="D124" i="15"/>
  <c r="F124" i="15"/>
  <c r="E124" i="15"/>
  <c r="A124" i="15"/>
  <c r="AD123" i="15"/>
  <c r="AG123" i="15"/>
  <c r="AE123" i="15"/>
  <c r="AC123" i="15"/>
  <c r="AA123" i="15"/>
  <c r="W123" i="15"/>
  <c r="V123" i="15"/>
  <c r="Q123" i="15"/>
  <c r="P123" i="15"/>
  <c r="O123" i="15"/>
  <c r="N123" i="15"/>
  <c r="M123" i="15"/>
  <c r="H123" i="15"/>
  <c r="J123" i="15"/>
  <c r="I123" i="15"/>
  <c r="D123" i="15"/>
  <c r="F123" i="15"/>
  <c r="E123" i="15"/>
  <c r="A123" i="15"/>
  <c r="AD122" i="15"/>
  <c r="AG122" i="15"/>
  <c r="AE122" i="15"/>
  <c r="AC122" i="15"/>
  <c r="AA122" i="15"/>
  <c r="W122" i="15"/>
  <c r="V122" i="15"/>
  <c r="Q122" i="15"/>
  <c r="P122" i="15"/>
  <c r="O122" i="15"/>
  <c r="N122" i="15"/>
  <c r="M122" i="15"/>
  <c r="H122" i="15"/>
  <c r="J122" i="15"/>
  <c r="I122" i="15"/>
  <c r="D122" i="15"/>
  <c r="F122" i="15"/>
  <c r="E122" i="15"/>
  <c r="A122" i="15"/>
  <c r="AD121" i="15"/>
  <c r="AG121" i="15"/>
  <c r="AE121" i="15"/>
  <c r="AC121" i="15"/>
  <c r="AA121" i="15"/>
  <c r="W121" i="15"/>
  <c r="V121" i="15"/>
  <c r="Q121" i="15"/>
  <c r="P121" i="15"/>
  <c r="O121" i="15"/>
  <c r="N121" i="15"/>
  <c r="M121" i="15"/>
  <c r="H121" i="15"/>
  <c r="J121" i="15"/>
  <c r="I121" i="15"/>
  <c r="D121" i="15"/>
  <c r="F121" i="15"/>
  <c r="E121" i="15"/>
  <c r="A121" i="15"/>
  <c r="AD120" i="15"/>
  <c r="AG120" i="15"/>
  <c r="AE120" i="15"/>
  <c r="AC120" i="15"/>
  <c r="AA120" i="15"/>
  <c r="W120" i="15"/>
  <c r="V120" i="15"/>
  <c r="Q120" i="15"/>
  <c r="P120" i="15"/>
  <c r="O120" i="15"/>
  <c r="N120" i="15"/>
  <c r="M120" i="15"/>
  <c r="H120" i="15"/>
  <c r="J120" i="15"/>
  <c r="I120" i="15"/>
  <c r="D120" i="15"/>
  <c r="F120" i="15"/>
  <c r="E120" i="15"/>
  <c r="A120" i="15"/>
  <c r="AD119" i="15"/>
  <c r="AG119" i="15"/>
  <c r="AE119" i="15"/>
  <c r="AC119" i="15"/>
  <c r="AA119" i="15"/>
  <c r="W119" i="15"/>
  <c r="V119" i="15"/>
  <c r="Q119" i="15"/>
  <c r="P119" i="15"/>
  <c r="O119" i="15"/>
  <c r="N119" i="15"/>
  <c r="M119" i="15"/>
  <c r="H119" i="15"/>
  <c r="J119" i="15"/>
  <c r="I119" i="15"/>
  <c r="D119" i="15"/>
  <c r="F119" i="15"/>
  <c r="E119" i="15"/>
  <c r="A119" i="15"/>
  <c r="AD118" i="15"/>
  <c r="AG118" i="15"/>
  <c r="AE118" i="15"/>
  <c r="AC118" i="15"/>
  <c r="AA118" i="15"/>
  <c r="W118" i="15"/>
  <c r="V118" i="15"/>
  <c r="Q118" i="15"/>
  <c r="P118" i="15"/>
  <c r="O118" i="15"/>
  <c r="N118" i="15"/>
  <c r="M118" i="15"/>
  <c r="H118" i="15"/>
  <c r="J118" i="15"/>
  <c r="I118" i="15"/>
  <c r="D118" i="15"/>
  <c r="F118" i="15"/>
  <c r="E118" i="15"/>
  <c r="A118" i="15"/>
  <c r="AD117" i="15"/>
  <c r="AG117" i="15"/>
  <c r="AE117" i="15"/>
  <c r="AC117" i="15"/>
  <c r="AA117" i="15"/>
  <c r="W117" i="15"/>
  <c r="V117" i="15"/>
  <c r="Q117" i="15"/>
  <c r="P117" i="15"/>
  <c r="O117" i="15"/>
  <c r="N117" i="15"/>
  <c r="M117" i="15"/>
  <c r="H117" i="15"/>
  <c r="J117" i="15"/>
  <c r="I117" i="15"/>
  <c r="D117" i="15"/>
  <c r="F117" i="15"/>
  <c r="E117" i="15"/>
  <c r="A117" i="15"/>
  <c r="AD116" i="15"/>
  <c r="AG116" i="15"/>
  <c r="AE116" i="15"/>
  <c r="AC116" i="15"/>
  <c r="AA116" i="15"/>
  <c r="W116" i="15"/>
  <c r="V116" i="15"/>
  <c r="Q116" i="15"/>
  <c r="P116" i="15"/>
  <c r="O116" i="15"/>
  <c r="N116" i="15"/>
  <c r="M116" i="15"/>
  <c r="H116" i="15"/>
  <c r="J116" i="15"/>
  <c r="I116" i="15"/>
  <c r="D116" i="15"/>
  <c r="F116" i="15"/>
  <c r="E116" i="15"/>
  <c r="A116" i="15"/>
  <c r="AD115" i="15"/>
  <c r="AG115" i="15"/>
  <c r="AE115" i="15"/>
  <c r="AC115" i="15"/>
  <c r="AA115" i="15"/>
  <c r="W115" i="15"/>
  <c r="V115" i="15"/>
  <c r="Q115" i="15"/>
  <c r="P115" i="15"/>
  <c r="O115" i="15"/>
  <c r="N115" i="15"/>
  <c r="M115" i="15"/>
  <c r="H115" i="15"/>
  <c r="J115" i="15"/>
  <c r="I115" i="15"/>
  <c r="D115" i="15"/>
  <c r="F115" i="15"/>
  <c r="E115" i="15"/>
  <c r="A115" i="15"/>
  <c r="AD114" i="15"/>
  <c r="AG114" i="15"/>
  <c r="AE114" i="15"/>
  <c r="AC114" i="15"/>
  <c r="AA114" i="15"/>
  <c r="W114" i="15"/>
  <c r="V114" i="15"/>
  <c r="Q114" i="15"/>
  <c r="P114" i="15"/>
  <c r="O114" i="15"/>
  <c r="N114" i="15"/>
  <c r="M114" i="15"/>
  <c r="H114" i="15"/>
  <c r="J114" i="15"/>
  <c r="I114" i="15"/>
  <c r="D114" i="15"/>
  <c r="F114" i="15"/>
  <c r="E114" i="15"/>
  <c r="A114" i="15"/>
  <c r="AD113" i="15"/>
  <c r="AG113" i="15"/>
  <c r="AE113" i="15"/>
  <c r="AC113" i="15"/>
  <c r="AA113" i="15"/>
  <c r="W113" i="15"/>
  <c r="V113" i="15"/>
  <c r="Q113" i="15"/>
  <c r="P113" i="15"/>
  <c r="O113" i="15"/>
  <c r="N113" i="15"/>
  <c r="M113" i="15"/>
  <c r="H113" i="15"/>
  <c r="J113" i="15"/>
  <c r="I113" i="15"/>
  <c r="D113" i="15"/>
  <c r="F113" i="15"/>
  <c r="E113" i="15"/>
  <c r="A113" i="15"/>
  <c r="AD112" i="15"/>
  <c r="AG112" i="15"/>
  <c r="AE112" i="15"/>
  <c r="AC112" i="15"/>
  <c r="AA112" i="15"/>
  <c r="W112" i="15"/>
  <c r="V112" i="15"/>
  <c r="Q112" i="15"/>
  <c r="P112" i="15"/>
  <c r="O112" i="15"/>
  <c r="N112" i="15"/>
  <c r="M112" i="15"/>
  <c r="H112" i="15"/>
  <c r="J112" i="15"/>
  <c r="I112" i="15"/>
  <c r="D112" i="15"/>
  <c r="F112" i="15"/>
  <c r="E112" i="15"/>
  <c r="A112" i="15"/>
  <c r="AD111" i="15"/>
  <c r="AG111" i="15"/>
  <c r="AE111" i="15"/>
  <c r="AC111" i="15"/>
  <c r="AA111" i="15"/>
  <c r="W111" i="15"/>
  <c r="V111" i="15"/>
  <c r="Q111" i="15"/>
  <c r="P111" i="15"/>
  <c r="O111" i="15"/>
  <c r="N111" i="15"/>
  <c r="M111" i="15"/>
  <c r="H111" i="15"/>
  <c r="J111" i="15"/>
  <c r="I111" i="15"/>
  <c r="D111" i="15"/>
  <c r="F111" i="15"/>
  <c r="E111" i="15"/>
  <c r="A111" i="15"/>
  <c r="AD110" i="15"/>
  <c r="AG110" i="15"/>
  <c r="AE110" i="15"/>
  <c r="AC110" i="15"/>
  <c r="AA110" i="15"/>
  <c r="W110" i="15"/>
  <c r="V110" i="15"/>
  <c r="Q110" i="15"/>
  <c r="P110" i="15"/>
  <c r="O110" i="15"/>
  <c r="N110" i="15"/>
  <c r="M110" i="15"/>
  <c r="H110" i="15"/>
  <c r="J110" i="15"/>
  <c r="I110" i="15"/>
  <c r="D110" i="15"/>
  <c r="F110" i="15"/>
  <c r="E110" i="15"/>
  <c r="A110" i="15"/>
  <c r="AD109" i="15"/>
  <c r="AG109" i="15"/>
  <c r="AE109" i="15"/>
  <c r="AC109" i="15"/>
  <c r="AA109" i="15"/>
  <c r="W109" i="15"/>
  <c r="V109" i="15"/>
  <c r="Q109" i="15"/>
  <c r="P109" i="15"/>
  <c r="O109" i="15"/>
  <c r="N109" i="15"/>
  <c r="M109" i="15"/>
  <c r="H109" i="15"/>
  <c r="J109" i="15"/>
  <c r="I109" i="15"/>
  <c r="D109" i="15"/>
  <c r="F109" i="15"/>
  <c r="E109" i="15"/>
  <c r="A109" i="15"/>
  <c r="AD108" i="15"/>
  <c r="AG108" i="15"/>
  <c r="AE108" i="15"/>
  <c r="AC108" i="15"/>
  <c r="AA108" i="15"/>
  <c r="W108" i="15"/>
  <c r="V108" i="15"/>
  <c r="Q108" i="15"/>
  <c r="P108" i="15"/>
  <c r="O108" i="15"/>
  <c r="N108" i="15"/>
  <c r="M108" i="15"/>
  <c r="H108" i="15"/>
  <c r="J108" i="15"/>
  <c r="I108" i="15"/>
  <c r="D108" i="15"/>
  <c r="F108" i="15"/>
  <c r="E108" i="15"/>
  <c r="A108" i="15"/>
  <c r="AD107" i="15"/>
  <c r="AG107" i="15"/>
  <c r="AE107" i="15"/>
  <c r="AC107" i="15"/>
  <c r="AA107" i="15"/>
  <c r="W107" i="15"/>
  <c r="V107" i="15"/>
  <c r="Q107" i="15"/>
  <c r="P107" i="15"/>
  <c r="O107" i="15"/>
  <c r="N107" i="15"/>
  <c r="M107" i="15"/>
  <c r="H107" i="15"/>
  <c r="J107" i="15"/>
  <c r="I107" i="15"/>
  <c r="D107" i="15"/>
  <c r="F107" i="15"/>
  <c r="E107" i="15"/>
  <c r="A107" i="15"/>
  <c r="AD106" i="15"/>
  <c r="AG106" i="15"/>
  <c r="AE106" i="15"/>
  <c r="AC106" i="15"/>
  <c r="AA106" i="15"/>
  <c r="W106" i="15"/>
  <c r="V106" i="15"/>
  <c r="Q106" i="15"/>
  <c r="P106" i="15"/>
  <c r="O106" i="15"/>
  <c r="N106" i="15"/>
  <c r="M106" i="15"/>
  <c r="H106" i="15"/>
  <c r="J106" i="15"/>
  <c r="I106" i="15"/>
  <c r="D106" i="15"/>
  <c r="F106" i="15"/>
  <c r="E106" i="15"/>
  <c r="A106" i="15"/>
  <c r="AD105" i="15"/>
  <c r="AG105" i="15"/>
  <c r="AE105" i="15"/>
  <c r="AC105" i="15"/>
  <c r="AA105" i="15"/>
  <c r="W105" i="15"/>
  <c r="V105" i="15"/>
  <c r="Q105" i="15"/>
  <c r="P105" i="15"/>
  <c r="O105" i="15"/>
  <c r="N105" i="15"/>
  <c r="M105" i="15"/>
  <c r="H105" i="15"/>
  <c r="J105" i="15"/>
  <c r="I105" i="15"/>
  <c r="D105" i="15"/>
  <c r="F105" i="15"/>
  <c r="E105" i="15"/>
  <c r="A105" i="15"/>
  <c r="AD104" i="15"/>
  <c r="AG104" i="15"/>
  <c r="AE104" i="15"/>
  <c r="AC104" i="15"/>
  <c r="AA104" i="15"/>
  <c r="W104" i="15"/>
  <c r="V104" i="15"/>
  <c r="Q104" i="15"/>
  <c r="P104" i="15"/>
  <c r="O104" i="15"/>
  <c r="N104" i="15"/>
  <c r="M104" i="15"/>
  <c r="H104" i="15"/>
  <c r="J104" i="15"/>
  <c r="I104" i="15"/>
  <c r="D104" i="15"/>
  <c r="F104" i="15"/>
  <c r="E104" i="15"/>
  <c r="A104" i="15"/>
  <c r="AD103" i="15"/>
  <c r="AG103" i="15"/>
  <c r="AE103" i="15"/>
  <c r="AC103" i="15"/>
  <c r="AA103" i="15"/>
  <c r="W103" i="15"/>
  <c r="V103" i="15"/>
  <c r="Q103" i="15"/>
  <c r="P103" i="15"/>
  <c r="O103" i="15"/>
  <c r="N103" i="15"/>
  <c r="M103" i="15"/>
  <c r="H103" i="15"/>
  <c r="J103" i="15"/>
  <c r="I103" i="15"/>
  <c r="D103" i="15"/>
  <c r="F103" i="15"/>
  <c r="E103" i="15"/>
  <c r="A103" i="15"/>
  <c r="AD102" i="15"/>
  <c r="AG102" i="15"/>
  <c r="AE102" i="15"/>
  <c r="AC102" i="15"/>
  <c r="AA102" i="15"/>
  <c r="W102" i="15"/>
  <c r="V102" i="15"/>
  <c r="Q102" i="15"/>
  <c r="P102" i="15"/>
  <c r="O102" i="15"/>
  <c r="N102" i="15"/>
  <c r="M102" i="15"/>
  <c r="H102" i="15"/>
  <c r="J102" i="15"/>
  <c r="I102" i="15"/>
  <c r="D102" i="15"/>
  <c r="F102" i="15"/>
  <c r="E102" i="15"/>
  <c r="A102" i="15"/>
  <c r="AD91" i="15"/>
  <c r="AG91" i="15"/>
  <c r="AE91" i="15"/>
  <c r="AC91" i="15"/>
  <c r="AA91" i="15"/>
  <c r="W91" i="15"/>
  <c r="V91" i="15"/>
  <c r="Q91" i="15"/>
  <c r="P91" i="15"/>
  <c r="O91" i="15"/>
  <c r="N91" i="15"/>
  <c r="M91" i="15"/>
  <c r="H91" i="15"/>
  <c r="J91" i="15"/>
  <c r="I91" i="15"/>
  <c r="D91" i="15"/>
  <c r="F91" i="15"/>
  <c r="E91" i="15"/>
  <c r="A91" i="15"/>
  <c r="AD90" i="15"/>
  <c r="AG90" i="15"/>
  <c r="AE90" i="15"/>
  <c r="AC90" i="15"/>
  <c r="AA90" i="15"/>
  <c r="W90" i="15"/>
  <c r="V90" i="15"/>
  <c r="Q90" i="15"/>
  <c r="P90" i="15"/>
  <c r="O90" i="15"/>
  <c r="N90" i="15"/>
  <c r="M90" i="15"/>
  <c r="H90" i="15"/>
  <c r="J90" i="15"/>
  <c r="I90" i="15"/>
  <c r="D90" i="15"/>
  <c r="F90" i="15"/>
  <c r="E90" i="15"/>
  <c r="A90" i="15"/>
  <c r="AD89" i="15"/>
  <c r="AG89" i="15"/>
  <c r="AE89" i="15"/>
  <c r="AC89" i="15"/>
  <c r="AA89" i="15"/>
  <c r="W89" i="15"/>
  <c r="V89" i="15"/>
  <c r="Q89" i="15"/>
  <c r="P89" i="15"/>
  <c r="O89" i="15"/>
  <c r="N89" i="15"/>
  <c r="M89" i="15"/>
  <c r="H89" i="15"/>
  <c r="J89" i="15"/>
  <c r="I89" i="15"/>
  <c r="D89" i="15"/>
  <c r="F89" i="15"/>
  <c r="E89" i="15"/>
  <c r="A89" i="15"/>
  <c r="AD88" i="15"/>
  <c r="AG88" i="15"/>
  <c r="AE88" i="15"/>
  <c r="AC88" i="15"/>
  <c r="AA88" i="15"/>
  <c r="W88" i="15"/>
  <c r="V88" i="15"/>
  <c r="Q88" i="15"/>
  <c r="P88" i="15"/>
  <c r="O88" i="15"/>
  <c r="N88" i="15"/>
  <c r="M88" i="15"/>
  <c r="H88" i="15"/>
  <c r="J88" i="15"/>
  <c r="I88" i="15"/>
  <c r="D88" i="15"/>
  <c r="F88" i="15"/>
  <c r="E88" i="15"/>
  <c r="A88" i="15"/>
  <c r="AD87" i="15"/>
  <c r="AG87" i="15"/>
  <c r="AE87" i="15"/>
  <c r="AC87" i="15"/>
  <c r="AA87" i="15"/>
  <c r="W87" i="15"/>
  <c r="V87" i="15"/>
  <c r="Q87" i="15"/>
  <c r="P87" i="15"/>
  <c r="O87" i="15"/>
  <c r="N87" i="15"/>
  <c r="M87" i="15"/>
  <c r="H87" i="15"/>
  <c r="J87" i="15"/>
  <c r="I87" i="15"/>
  <c r="D87" i="15"/>
  <c r="F87" i="15"/>
  <c r="E87" i="15"/>
  <c r="A87" i="15"/>
  <c r="AD86" i="15"/>
  <c r="AG86" i="15"/>
  <c r="AE86" i="15"/>
  <c r="AC86" i="15"/>
  <c r="AA86" i="15"/>
  <c r="W86" i="15"/>
  <c r="V86" i="15"/>
  <c r="Q86" i="15"/>
  <c r="P86" i="15"/>
  <c r="O86" i="15"/>
  <c r="N86" i="15"/>
  <c r="M86" i="15"/>
  <c r="H86" i="15"/>
  <c r="J86" i="15"/>
  <c r="I86" i="15"/>
  <c r="D86" i="15"/>
  <c r="F86" i="15"/>
  <c r="E86" i="15"/>
  <c r="A86" i="15"/>
  <c r="AD85" i="15"/>
  <c r="AG85" i="15"/>
  <c r="AE85" i="15"/>
  <c r="AC85" i="15"/>
  <c r="AA85" i="15"/>
  <c r="W85" i="15"/>
  <c r="V85" i="15"/>
  <c r="Q85" i="15"/>
  <c r="P85" i="15"/>
  <c r="O85" i="15"/>
  <c r="N85" i="15"/>
  <c r="M85" i="15"/>
  <c r="H85" i="15"/>
  <c r="J85" i="15"/>
  <c r="I85" i="15"/>
  <c r="D85" i="15"/>
  <c r="F85" i="15"/>
  <c r="E85" i="15"/>
  <c r="A85" i="15"/>
  <c r="AD84" i="15"/>
  <c r="AG84" i="15"/>
  <c r="AE84" i="15"/>
  <c r="AC84" i="15"/>
  <c r="AA84" i="15"/>
  <c r="W84" i="15"/>
  <c r="V84" i="15"/>
  <c r="Q84" i="15"/>
  <c r="P84" i="15"/>
  <c r="O84" i="15"/>
  <c r="N84" i="15"/>
  <c r="M84" i="15"/>
  <c r="H84" i="15"/>
  <c r="J84" i="15"/>
  <c r="I84" i="15"/>
  <c r="D84" i="15"/>
  <c r="F84" i="15"/>
  <c r="E84" i="15"/>
  <c r="A84" i="15"/>
  <c r="AD83" i="15"/>
  <c r="AG83" i="15"/>
  <c r="AE83" i="15"/>
  <c r="AC83" i="15"/>
  <c r="AA83" i="15"/>
  <c r="W83" i="15"/>
  <c r="V83" i="15"/>
  <c r="Q83" i="15"/>
  <c r="P83" i="15"/>
  <c r="O83" i="15"/>
  <c r="N83" i="15"/>
  <c r="M83" i="15"/>
  <c r="H83" i="15"/>
  <c r="J83" i="15"/>
  <c r="I83" i="15"/>
  <c r="D83" i="15"/>
  <c r="F83" i="15"/>
  <c r="E83" i="15"/>
  <c r="A83" i="15"/>
  <c r="AD82" i="15"/>
  <c r="AG82" i="15"/>
  <c r="AE82" i="15"/>
  <c r="AC82" i="15"/>
  <c r="AA82" i="15"/>
  <c r="W82" i="15"/>
  <c r="V82" i="15"/>
  <c r="Q82" i="15"/>
  <c r="P82" i="15"/>
  <c r="O82" i="15"/>
  <c r="N82" i="15"/>
  <c r="M82" i="15"/>
  <c r="H82" i="15"/>
  <c r="J82" i="15"/>
  <c r="I82" i="15"/>
  <c r="D82" i="15"/>
  <c r="F82" i="15"/>
  <c r="E82" i="15"/>
  <c r="A82" i="15"/>
  <c r="AD73" i="15"/>
  <c r="AG73" i="15"/>
  <c r="AE73" i="15"/>
  <c r="AC73" i="15"/>
  <c r="AA73" i="15"/>
  <c r="W73" i="15"/>
  <c r="V73" i="15"/>
  <c r="Q73" i="15"/>
  <c r="P73" i="15"/>
  <c r="O73" i="15"/>
  <c r="N73" i="15"/>
  <c r="M73" i="15"/>
  <c r="H73" i="15"/>
  <c r="J73" i="15"/>
  <c r="I73" i="15"/>
  <c r="D73" i="15"/>
  <c r="F73" i="15"/>
  <c r="E73" i="15"/>
  <c r="A73" i="15"/>
  <c r="AD72" i="15"/>
  <c r="AG72" i="15"/>
  <c r="AE72" i="15"/>
  <c r="AC72" i="15"/>
  <c r="AA72" i="15"/>
  <c r="W72" i="15"/>
  <c r="V72" i="15"/>
  <c r="Q72" i="15"/>
  <c r="P72" i="15"/>
  <c r="O72" i="15"/>
  <c r="N72" i="15"/>
  <c r="M72" i="15"/>
  <c r="H72" i="15"/>
  <c r="J72" i="15"/>
  <c r="I72" i="15"/>
  <c r="D72" i="15"/>
  <c r="F72" i="15"/>
  <c r="E72" i="15"/>
  <c r="A72" i="15"/>
  <c r="AD71" i="15"/>
  <c r="AG71" i="15"/>
  <c r="AE71" i="15"/>
  <c r="AC71" i="15"/>
  <c r="AA71" i="15"/>
  <c r="W71" i="15"/>
  <c r="V71" i="15"/>
  <c r="Q71" i="15"/>
  <c r="P71" i="15"/>
  <c r="O71" i="15"/>
  <c r="N71" i="15"/>
  <c r="M71" i="15"/>
  <c r="H71" i="15"/>
  <c r="J71" i="15"/>
  <c r="I71" i="15"/>
  <c r="D71" i="15"/>
  <c r="F71" i="15"/>
  <c r="E71" i="15"/>
  <c r="A71" i="15"/>
  <c r="AD70" i="15"/>
  <c r="AG70" i="15"/>
  <c r="AE70" i="15"/>
  <c r="AC70" i="15"/>
  <c r="AA70" i="15"/>
  <c r="W70" i="15"/>
  <c r="V70" i="15"/>
  <c r="Q70" i="15"/>
  <c r="P70" i="15"/>
  <c r="O70" i="15"/>
  <c r="N70" i="15"/>
  <c r="M70" i="15"/>
  <c r="H70" i="15"/>
  <c r="J70" i="15"/>
  <c r="I70" i="15"/>
  <c r="D70" i="15"/>
  <c r="F70" i="15"/>
  <c r="E70" i="15"/>
  <c r="A70" i="15"/>
  <c r="AD69" i="15"/>
  <c r="AG69" i="15"/>
  <c r="AE69" i="15"/>
  <c r="AC69" i="15"/>
  <c r="AA69" i="15"/>
  <c r="W69" i="15"/>
  <c r="V69" i="15"/>
  <c r="Q69" i="15"/>
  <c r="P69" i="15"/>
  <c r="O69" i="15"/>
  <c r="N69" i="15"/>
  <c r="M69" i="15"/>
  <c r="H69" i="15"/>
  <c r="J69" i="15"/>
  <c r="I69" i="15"/>
  <c r="D69" i="15"/>
  <c r="F69" i="15"/>
  <c r="E69" i="15"/>
  <c r="A69" i="15"/>
  <c r="AD68" i="15"/>
  <c r="AG68" i="15"/>
  <c r="AE68" i="15"/>
  <c r="AC68" i="15"/>
  <c r="AA68" i="15"/>
  <c r="W68" i="15"/>
  <c r="V68" i="15"/>
  <c r="Q68" i="15"/>
  <c r="P68" i="15"/>
  <c r="O68" i="15"/>
  <c r="N68" i="15"/>
  <c r="M68" i="15"/>
  <c r="H68" i="15"/>
  <c r="J68" i="15"/>
  <c r="I68" i="15"/>
  <c r="D68" i="15"/>
  <c r="F68" i="15"/>
  <c r="E68" i="15"/>
  <c r="A68" i="15"/>
  <c r="AD67" i="15"/>
  <c r="AG67" i="15"/>
  <c r="AE67" i="15"/>
  <c r="AC67" i="15"/>
  <c r="AA67" i="15"/>
  <c r="W67" i="15"/>
  <c r="V67" i="15"/>
  <c r="Q67" i="15"/>
  <c r="P67" i="15"/>
  <c r="O67" i="15"/>
  <c r="N67" i="15"/>
  <c r="M67" i="15"/>
  <c r="H67" i="15"/>
  <c r="J67" i="15"/>
  <c r="I67" i="15"/>
  <c r="D67" i="15"/>
  <c r="F67" i="15"/>
  <c r="E67" i="15"/>
  <c r="A67" i="15"/>
  <c r="AD66" i="15"/>
  <c r="AG66" i="15"/>
  <c r="AE66" i="15"/>
  <c r="AC66" i="15"/>
  <c r="AA66" i="15"/>
  <c r="W66" i="15"/>
  <c r="V66" i="15"/>
  <c r="Q66" i="15"/>
  <c r="P66" i="15"/>
  <c r="O66" i="15"/>
  <c r="N66" i="15"/>
  <c r="M66" i="15"/>
  <c r="H66" i="15"/>
  <c r="J66" i="15"/>
  <c r="I66" i="15"/>
  <c r="D66" i="15"/>
  <c r="F66" i="15"/>
  <c r="E66" i="15"/>
  <c r="A66" i="15"/>
  <c r="H121" i="2"/>
  <c r="E121" i="2"/>
  <c r="D121" i="2"/>
  <c r="B121" i="2"/>
  <c r="H120" i="2"/>
  <c r="E120" i="2"/>
  <c r="D120" i="2"/>
  <c r="B120" i="2"/>
  <c r="H119" i="2"/>
  <c r="E119" i="2"/>
  <c r="D119" i="2"/>
  <c r="B119" i="2"/>
  <c r="H118" i="2"/>
  <c r="E118" i="2"/>
  <c r="D118" i="2"/>
  <c r="B118" i="2"/>
  <c r="H117" i="2"/>
  <c r="E117" i="2"/>
  <c r="D117" i="2"/>
  <c r="B117" i="2"/>
  <c r="H116" i="2"/>
  <c r="E116" i="2"/>
  <c r="D116" i="2"/>
  <c r="B116" i="2"/>
  <c r="AD65" i="15"/>
  <c r="AG65" i="15"/>
  <c r="AE65" i="15"/>
  <c r="AC65" i="15"/>
  <c r="AA65" i="15"/>
  <c r="W65" i="15"/>
  <c r="V65" i="15"/>
  <c r="Q65" i="15"/>
  <c r="P65" i="15"/>
  <c r="O65" i="15"/>
  <c r="N65" i="15"/>
  <c r="M65" i="15"/>
  <c r="H65" i="15"/>
  <c r="J65" i="15"/>
  <c r="I65" i="15"/>
  <c r="D65" i="15"/>
  <c r="F65" i="15"/>
  <c r="E65" i="15"/>
  <c r="A65" i="15"/>
  <c r="AD64" i="15"/>
  <c r="AG64" i="15"/>
  <c r="AE64" i="15"/>
  <c r="AC64" i="15"/>
  <c r="AA64" i="15"/>
  <c r="W64" i="15"/>
  <c r="V64" i="15"/>
  <c r="Q64" i="15"/>
  <c r="P64" i="15"/>
  <c r="O64" i="15"/>
  <c r="N64" i="15"/>
  <c r="M64" i="15"/>
  <c r="H64" i="15"/>
  <c r="J64" i="15"/>
  <c r="I64" i="15"/>
  <c r="D64" i="15"/>
  <c r="F64" i="15"/>
  <c r="E64" i="15"/>
  <c r="A64" i="15"/>
  <c r="AD63" i="15"/>
  <c r="AG63" i="15"/>
  <c r="AE63" i="15"/>
  <c r="AC63" i="15"/>
  <c r="AA63" i="15"/>
  <c r="W63" i="15"/>
  <c r="V63" i="15"/>
  <c r="Q63" i="15"/>
  <c r="P63" i="15"/>
  <c r="O63" i="15"/>
  <c r="N63" i="15"/>
  <c r="M63" i="15"/>
  <c r="H63" i="15"/>
  <c r="J63" i="15"/>
  <c r="I63" i="15"/>
  <c r="D63" i="15"/>
  <c r="F63" i="15"/>
  <c r="E63" i="15"/>
  <c r="A63" i="15"/>
  <c r="AD62" i="15"/>
  <c r="AG62" i="15"/>
  <c r="AE62" i="15"/>
  <c r="AC62" i="15"/>
  <c r="AA62" i="15"/>
  <c r="W62" i="15"/>
  <c r="V62" i="15"/>
  <c r="Q62" i="15"/>
  <c r="P62" i="15"/>
  <c r="O62" i="15"/>
  <c r="N62" i="15"/>
  <c r="M62" i="15"/>
  <c r="H62" i="15"/>
  <c r="J62" i="15"/>
  <c r="I62" i="15"/>
  <c r="D62" i="15"/>
  <c r="F62" i="15"/>
  <c r="E62" i="15"/>
  <c r="A62" i="15"/>
  <c r="AD61" i="15"/>
  <c r="AG61" i="15"/>
  <c r="AE61" i="15"/>
  <c r="AC61" i="15"/>
  <c r="AA61" i="15"/>
  <c r="W61" i="15"/>
  <c r="V61" i="15"/>
  <c r="Q61" i="15"/>
  <c r="P61" i="15"/>
  <c r="O61" i="15"/>
  <c r="N61" i="15"/>
  <c r="M61" i="15"/>
  <c r="H61" i="15"/>
  <c r="J61" i="15"/>
  <c r="I61" i="15"/>
  <c r="D61" i="15"/>
  <c r="F61" i="15"/>
  <c r="E61" i="15"/>
  <c r="A61" i="15"/>
  <c r="AD60" i="15"/>
  <c r="AG60" i="15"/>
  <c r="AE60" i="15"/>
  <c r="AC60" i="15"/>
  <c r="AA60" i="15"/>
  <c r="W60" i="15"/>
  <c r="V60" i="15"/>
  <c r="Q60" i="15"/>
  <c r="P60" i="15"/>
  <c r="O60" i="15"/>
  <c r="N60" i="15"/>
  <c r="M60" i="15"/>
  <c r="H60" i="15"/>
  <c r="J60" i="15"/>
  <c r="I60" i="15"/>
  <c r="D60" i="15"/>
  <c r="F60" i="15"/>
  <c r="E60" i="15"/>
  <c r="A60" i="15"/>
  <c r="AD59" i="15"/>
  <c r="AG59" i="15"/>
  <c r="AE59" i="15"/>
  <c r="AC59" i="15"/>
  <c r="AA59" i="15"/>
  <c r="W59" i="15"/>
  <c r="V59" i="15"/>
  <c r="Q59" i="15"/>
  <c r="P59" i="15"/>
  <c r="O59" i="15"/>
  <c r="N59" i="15"/>
  <c r="M59" i="15"/>
  <c r="H59" i="15"/>
  <c r="J59" i="15"/>
  <c r="I59" i="15"/>
  <c r="D59" i="15"/>
  <c r="F59" i="15"/>
  <c r="E59" i="15"/>
  <c r="A59" i="15"/>
  <c r="AD58" i="15"/>
  <c r="AG58" i="15"/>
  <c r="AE58" i="15"/>
  <c r="AC58" i="15"/>
  <c r="AA58" i="15"/>
  <c r="W58" i="15"/>
  <c r="V58" i="15"/>
  <c r="Q58" i="15"/>
  <c r="P58" i="15"/>
  <c r="O58" i="15"/>
  <c r="N58" i="15"/>
  <c r="M58" i="15"/>
  <c r="H58" i="15"/>
  <c r="J58" i="15"/>
  <c r="I58" i="15"/>
  <c r="D58" i="15"/>
  <c r="F58" i="15"/>
  <c r="E58" i="15"/>
  <c r="A58" i="15"/>
  <c r="AD57" i="15"/>
  <c r="AG57" i="15"/>
  <c r="AE57" i="15"/>
  <c r="AC57" i="15"/>
  <c r="AA57" i="15"/>
  <c r="W57" i="15"/>
  <c r="V57" i="15"/>
  <c r="Q57" i="15"/>
  <c r="P57" i="15"/>
  <c r="O57" i="15"/>
  <c r="N57" i="15"/>
  <c r="M57" i="15"/>
  <c r="H57" i="15"/>
  <c r="J57" i="15"/>
  <c r="I57" i="15"/>
  <c r="D57" i="15"/>
  <c r="F57" i="15"/>
  <c r="E57" i="15"/>
  <c r="A57" i="15"/>
  <c r="AD56" i="15"/>
  <c r="AG56" i="15"/>
  <c r="AE56" i="15"/>
  <c r="AC56" i="15"/>
  <c r="AA56" i="15"/>
  <c r="W56" i="15"/>
  <c r="V56" i="15"/>
  <c r="Q56" i="15"/>
  <c r="P56" i="15"/>
  <c r="O56" i="15"/>
  <c r="N56" i="15"/>
  <c r="M56" i="15"/>
  <c r="H56" i="15"/>
  <c r="J56" i="15"/>
  <c r="I56" i="15"/>
  <c r="D56" i="15"/>
  <c r="F56" i="15"/>
  <c r="E56" i="15"/>
  <c r="A56" i="15"/>
  <c r="AD55" i="15"/>
  <c r="AG55" i="15"/>
  <c r="AE55" i="15"/>
  <c r="AC55" i="15"/>
  <c r="AA55" i="15"/>
  <c r="W55" i="15"/>
  <c r="V55" i="15"/>
  <c r="Q55" i="15"/>
  <c r="P55" i="15"/>
  <c r="O55" i="15"/>
  <c r="N55" i="15"/>
  <c r="M55" i="15"/>
  <c r="H55" i="15"/>
  <c r="J55" i="15"/>
  <c r="I55" i="15"/>
  <c r="D55" i="15"/>
  <c r="F55" i="15"/>
  <c r="E55" i="15"/>
  <c r="A55" i="15"/>
  <c r="AD54" i="15"/>
  <c r="AG54" i="15"/>
  <c r="AE54" i="15"/>
  <c r="AC54" i="15"/>
  <c r="AA54" i="15"/>
  <c r="W54" i="15"/>
  <c r="V54" i="15"/>
  <c r="Q54" i="15"/>
  <c r="P54" i="15"/>
  <c r="O54" i="15"/>
  <c r="N54" i="15"/>
  <c r="M54" i="15"/>
  <c r="H54" i="15"/>
  <c r="J54" i="15"/>
  <c r="I54" i="15"/>
  <c r="D54" i="15"/>
  <c r="F54" i="15"/>
  <c r="E54" i="15"/>
  <c r="A54" i="15"/>
  <c r="AD53" i="15"/>
  <c r="AG53" i="15"/>
  <c r="AE53" i="15"/>
  <c r="AC53" i="15"/>
  <c r="AA53" i="15"/>
  <c r="W53" i="15"/>
  <c r="V53" i="15"/>
  <c r="Q53" i="15"/>
  <c r="P53" i="15"/>
  <c r="O53" i="15"/>
  <c r="N53" i="15"/>
  <c r="M53" i="15"/>
  <c r="H53" i="15"/>
  <c r="J53" i="15"/>
  <c r="I53" i="15"/>
  <c r="D53" i="15"/>
  <c r="F53" i="15"/>
  <c r="E53" i="15"/>
  <c r="A53" i="15"/>
  <c r="AD52" i="15"/>
  <c r="AG52" i="15"/>
  <c r="AE52" i="15"/>
  <c r="AC52" i="15"/>
  <c r="AA52" i="15"/>
  <c r="W52" i="15"/>
  <c r="V52" i="15"/>
  <c r="Q52" i="15"/>
  <c r="P52" i="15"/>
  <c r="O52" i="15"/>
  <c r="N52" i="15"/>
  <c r="M52" i="15"/>
  <c r="H52" i="15"/>
  <c r="J52" i="15"/>
  <c r="I52" i="15"/>
  <c r="D52" i="15"/>
  <c r="F52" i="15"/>
  <c r="E52" i="15"/>
  <c r="A52" i="15"/>
  <c r="AD51" i="15"/>
  <c r="AG51" i="15"/>
  <c r="AE51" i="15"/>
  <c r="AC51" i="15"/>
  <c r="AA51" i="15"/>
  <c r="W51" i="15"/>
  <c r="V51" i="15"/>
  <c r="Q51" i="15"/>
  <c r="P51" i="15"/>
  <c r="O51" i="15"/>
  <c r="N51" i="15"/>
  <c r="M51" i="15"/>
  <c r="H51" i="15"/>
  <c r="J51" i="15"/>
  <c r="I51" i="15"/>
  <c r="D51" i="15"/>
  <c r="F51" i="15"/>
  <c r="E51" i="15"/>
  <c r="A51" i="15"/>
  <c r="AD50" i="15"/>
  <c r="AG50" i="15"/>
  <c r="AE50" i="15"/>
  <c r="AC50" i="15"/>
  <c r="AA50" i="15"/>
  <c r="W50" i="15"/>
  <c r="V50" i="15"/>
  <c r="Q50" i="15"/>
  <c r="P50" i="15"/>
  <c r="O50" i="15"/>
  <c r="N50" i="15"/>
  <c r="M50" i="15"/>
  <c r="H50" i="15"/>
  <c r="J50" i="15"/>
  <c r="I50" i="15"/>
  <c r="D50" i="15"/>
  <c r="F50" i="15"/>
  <c r="E50" i="15"/>
  <c r="A50" i="15"/>
  <c r="AD49" i="15"/>
  <c r="AG49" i="15"/>
  <c r="AE49" i="15"/>
  <c r="AC49" i="15"/>
  <c r="AA49" i="15"/>
  <c r="W49" i="15"/>
  <c r="V49" i="15"/>
  <c r="Q49" i="15"/>
  <c r="P49" i="15"/>
  <c r="O49" i="15"/>
  <c r="N49" i="15"/>
  <c r="M49" i="15"/>
  <c r="H49" i="15"/>
  <c r="J49" i="15"/>
  <c r="I49" i="15"/>
  <c r="D49" i="15"/>
  <c r="F49" i="15"/>
  <c r="E49" i="15"/>
  <c r="A49" i="15"/>
  <c r="AD48" i="15"/>
  <c r="AG48" i="15"/>
  <c r="AE48" i="15"/>
  <c r="AC48" i="15"/>
  <c r="AA48" i="15"/>
  <c r="W48" i="15"/>
  <c r="V48" i="15"/>
  <c r="Q48" i="15"/>
  <c r="P48" i="15"/>
  <c r="O48" i="15"/>
  <c r="N48" i="15"/>
  <c r="M48" i="15"/>
  <c r="H48" i="15"/>
  <c r="J48" i="15"/>
  <c r="I48" i="15"/>
  <c r="D48" i="15"/>
  <c r="F48" i="15"/>
  <c r="E48" i="15"/>
  <c r="A48" i="15"/>
  <c r="AD47" i="15"/>
  <c r="AG47" i="15"/>
  <c r="AE47" i="15"/>
  <c r="AC47" i="15"/>
  <c r="AA47" i="15"/>
  <c r="W47" i="15"/>
  <c r="V47" i="15"/>
  <c r="Q47" i="15"/>
  <c r="P47" i="15"/>
  <c r="O47" i="15"/>
  <c r="N47" i="15"/>
  <c r="M47" i="15"/>
  <c r="H47" i="15"/>
  <c r="J47" i="15"/>
  <c r="I47" i="15"/>
  <c r="D47" i="15"/>
  <c r="F47" i="15"/>
  <c r="E47" i="15"/>
  <c r="A47" i="15"/>
  <c r="AD46" i="15"/>
  <c r="AG46" i="15"/>
  <c r="AE46" i="15"/>
  <c r="AC46" i="15"/>
  <c r="AA46" i="15"/>
  <c r="W46" i="15"/>
  <c r="V46" i="15"/>
  <c r="Q46" i="15"/>
  <c r="P46" i="15"/>
  <c r="O46" i="15"/>
  <c r="N46" i="15"/>
  <c r="M46" i="15"/>
  <c r="H46" i="15"/>
  <c r="J46" i="15"/>
  <c r="I46" i="15"/>
  <c r="D46" i="15"/>
  <c r="F46" i="15"/>
  <c r="E46" i="15"/>
  <c r="A46" i="15"/>
  <c r="AD45" i="15"/>
  <c r="AG45" i="15"/>
  <c r="AE45" i="15"/>
  <c r="AC45" i="15"/>
  <c r="AA45" i="15"/>
  <c r="W45" i="15"/>
  <c r="V45" i="15"/>
  <c r="Q45" i="15"/>
  <c r="P45" i="15"/>
  <c r="O45" i="15"/>
  <c r="N45" i="15"/>
  <c r="M45" i="15"/>
  <c r="H45" i="15"/>
  <c r="J45" i="15"/>
  <c r="I45" i="15"/>
  <c r="D45" i="15"/>
  <c r="F45" i="15"/>
  <c r="E45" i="15"/>
  <c r="A45" i="15"/>
  <c r="AD44" i="15"/>
  <c r="AG44" i="15"/>
  <c r="AE44" i="15"/>
  <c r="AC44" i="15"/>
  <c r="AA44" i="15"/>
  <c r="W44" i="15"/>
  <c r="V44" i="15"/>
  <c r="Q44" i="15"/>
  <c r="P44" i="15"/>
  <c r="O44" i="15"/>
  <c r="N44" i="15"/>
  <c r="M44" i="15"/>
  <c r="H44" i="15"/>
  <c r="J44" i="15"/>
  <c r="I44" i="15"/>
  <c r="D44" i="15"/>
  <c r="F44" i="15"/>
  <c r="E44" i="15"/>
  <c r="A44" i="15"/>
  <c r="AD43" i="15"/>
  <c r="AG43" i="15"/>
  <c r="AE43" i="15"/>
  <c r="AC43" i="15"/>
  <c r="AA43" i="15"/>
  <c r="W43" i="15"/>
  <c r="V43" i="15"/>
  <c r="Q43" i="15"/>
  <c r="P43" i="15"/>
  <c r="O43" i="15"/>
  <c r="N43" i="15"/>
  <c r="M43" i="15"/>
  <c r="H43" i="15"/>
  <c r="J43" i="15"/>
  <c r="I43" i="15"/>
  <c r="D43" i="15"/>
  <c r="F43" i="15"/>
  <c r="E43" i="15"/>
  <c r="A43" i="15"/>
  <c r="AD42" i="15"/>
  <c r="AG42" i="15"/>
  <c r="AE42" i="15"/>
  <c r="AC42" i="15"/>
  <c r="AA42" i="15"/>
  <c r="W42" i="15"/>
  <c r="V42" i="15"/>
  <c r="Q42" i="15"/>
  <c r="P42" i="15"/>
  <c r="O42" i="15"/>
  <c r="N42" i="15"/>
  <c r="M42" i="15"/>
  <c r="H42" i="15"/>
  <c r="J42" i="15"/>
  <c r="I42" i="15"/>
  <c r="D42" i="15"/>
  <c r="F42" i="15"/>
  <c r="E42" i="15"/>
  <c r="A42" i="15"/>
  <c r="AD41" i="15"/>
  <c r="AG41" i="15"/>
  <c r="AE41" i="15"/>
  <c r="AC41" i="15"/>
  <c r="AA41" i="15"/>
  <c r="W41" i="15"/>
  <c r="V41" i="15"/>
  <c r="Q41" i="15"/>
  <c r="P41" i="15"/>
  <c r="O41" i="15"/>
  <c r="N41" i="15"/>
  <c r="M41" i="15"/>
  <c r="H41" i="15"/>
  <c r="J41" i="15"/>
  <c r="I41" i="15"/>
  <c r="D41" i="15"/>
  <c r="F41" i="15"/>
  <c r="E41" i="15"/>
  <c r="A41" i="15"/>
  <c r="AD40" i="15"/>
  <c r="AG40" i="15"/>
  <c r="AE40" i="15"/>
  <c r="AC40" i="15"/>
  <c r="AA40" i="15"/>
  <c r="W40" i="15"/>
  <c r="V40" i="15"/>
  <c r="Q40" i="15"/>
  <c r="P40" i="15"/>
  <c r="O40" i="15"/>
  <c r="N40" i="15"/>
  <c r="M40" i="15"/>
  <c r="H40" i="15"/>
  <c r="J40" i="15"/>
  <c r="I40" i="15"/>
  <c r="D40" i="15"/>
  <c r="F40" i="15"/>
  <c r="E40" i="15"/>
  <c r="A40" i="15"/>
  <c r="AD39" i="15"/>
  <c r="AG39" i="15"/>
  <c r="AE39" i="15"/>
  <c r="AC39" i="15"/>
  <c r="AA39" i="15"/>
  <c r="W39" i="15"/>
  <c r="V39" i="15"/>
  <c r="Q39" i="15"/>
  <c r="P39" i="15"/>
  <c r="O39" i="15"/>
  <c r="N39" i="15"/>
  <c r="M39" i="15"/>
  <c r="H39" i="15"/>
  <c r="J39" i="15"/>
  <c r="I39" i="15"/>
  <c r="D39" i="15"/>
  <c r="F39" i="15"/>
  <c r="E39" i="15"/>
  <c r="A39" i="15"/>
  <c r="AD38" i="15"/>
  <c r="AG38" i="15"/>
  <c r="AE38" i="15"/>
  <c r="AC38" i="15"/>
  <c r="AA38" i="15"/>
  <c r="W38" i="15"/>
  <c r="V38" i="15"/>
  <c r="Q38" i="15"/>
  <c r="P38" i="15"/>
  <c r="O38" i="15"/>
  <c r="N38" i="15"/>
  <c r="M38" i="15"/>
  <c r="H38" i="15"/>
  <c r="J38" i="15"/>
  <c r="I38" i="15"/>
  <c r="D38" i="15"/>
  <c r="F38" i="15"/>
  <c r="E38" i="15"/>
  <c r="A38" i="15"/>
  <c r="AD37" i="15"/>
  <c r="AG37" i="15"/>
  <c r="AE37" i="15"/>
  <c r="AC37" i="15"/>
  <c r="AA37" i="15"/>
  <c r="W37" i="15"/>
  <c r="V37" i="15"/>
  <c r="Q37" i="15"/>
  <c r="P37" i="15"/>
  <c r="O37" i="15"/>
  <c r="N37" i="15"/>
  <c r="M37" i="15"/>
  <c r="H37" i="15"/>
  <c r="J37" i="15"/>
  <c r="I37" i="15"/>
  <c r="D37" i="15"/>
  <c r="F37" i="15"/>
  <c r="E37" i="15"/>
  <c r="A37" i="15"/>
  <c r="AD36" i="15"/>
  <c r="AG36" i="15"/>
  <c r="AE36" i="15"/>
  <c r="AC36" i="15"/>
  <c r="AA36" i="15"/>
  <c r="W36" i="15"/>
  <c r="V36" i="15"/>
  <c r="Q36" i="15"/>
  <c r="P36" i="15"/>
  <c r="O36" i="15"/>
  <c r="N36" i="15"/>
  <c r="M36" i="15"/>
  <c r="H36" i="15"/>
  <c r="J36" i="15"/>
  <c r="I36" i="15"/>
  <c r="D36" i="15"/>
  <c r="F36" i="15"/>
  <c r="E36" i="15"/>
  <c r="A36" i="15"/>
  <c r="AD35" i="15"/>
  <c r="AG35" i="15"/>
  <c r="AE35" i="15"/>
  <c r="AC35" i="15"/>
  <c r="AA35" i="15"/>
  <c r="W35" i="15"/>
  <c r="V35" i="15"/>
  <c r="Q35" i="15"/>
  <c r="P35" i="15"/>
  <c r="O35" i="15"/>
  <c r="N35" i="15"/>
  <c r="M35" i="15"/>
  <c r="H35" i="15"/>
  <c r="J35" i="15"/>
  <c r="I35" i="15"/>
  <c r="D35" i="15"/>
  <c r="F35" i="15"/>
  <c r="E35" i="15"/>
  <c r="A35" i="15"/>
  <c r="AD34" i="15"/>
  <c r="AG34" i="15"/>
  <c r="AE34" i="15"/>
  <c r="AC34" i="15"/>
  <c r="AA34" i="15"/>
  <c r="W34" i="15"/>
  <c r="V34" i="15"/>
  <c r="Q34" i="15"/>
  <c r="P34" i="15"/>
  <c r="O34" i="15"/>
  <c r="N34" i="15"/>
  <c r="M34" i="15"/>
  <c r="H34" i="15"/>
  <c r="J34" i="15"/>
  <c r="I34" i="15"/>
  <c r="D34" i="15"/>
  <c r="F34" i="15"/>
  <c r="E34" i="15"/>
  <c r="A34" i="15"/>
  <c r="AD33" i="15"/>
  <c r="AG33" i="15"/>
  <c r="AE33" i="15"/>
  <c r="AC33" i="15"/>
  <c r="AA33" i="15"/>
  <c r="W33" i="15"/>
  <c r="V33" i="15"/>
  <c r="Q33" i="15"/>
  <c r="P33" i="15"/>
  <c r="O33" i="15"/>
  <c r="N33" i="15"/>
  <c r="M33" i="15"/>
  <c r="H33" i="15"/>
  <c r="J33" i="15"/>
  <c r="I33" i="15"/>
  <c r="D33" i="15"/>
  <c r="F33" i="15"/>
  <c r="E33" i="15"/>
  <c r="A33" i="15"/>
  <c r="AD32" i="15"/>
  <c r="AG32" i="15"/>
  <c r="AE32" i="15"/>
  <c r="AC32" i="15"/>
  <c r="AA32" i="15"/>
  <c r="W32" i="15"/>
  <c r="V32" i="15"/>
  <c r="Q32" i="15"/>
  <c r="P32" i="15"/>
  <c r="O32" i="15"/>
  <c r="N32" i="15"/>
  <c r="M32" i="15"/>
  <c r="H32" i="15"/>
  <c r="J32" i="15"/>
  <c r="I32" i="15"/>
  <c r="D32" i="15"/>
  <c r="F32" i="15"/>
  <c r="E32" i="15"/>
  <c r="A32" i="15"/>
  <c r="AD31" i="15"/>
  <c r="AG31" i="15"/>
  <c r="AE31" i="15"/>
  <c r="AC31" i="15"/>
  <c r="AA31" i="15"/>
  <c r="W31" i="15"/>
  <c r="V31" i="15"/>
  <c r="Q31" i="15"/>
  <c r="P31" i="15"/>
  <c r="O31" i="15"/>
  <c r="N31" i="15"/>
  <c r="M31" i="15"/>
  <c r="H31" i="15"/>
  <c r="J31" i="15"/>
  <c r="I31" i="15"/>
  <c r="D31" i="15"/>
  <c r="F31" i="15"/>
  <c r="E31" i="15"/>
  <c r="A31" i="15"/>
  <c r="AD30" i="15"/>
  <c r="AG30" i="15"/>
  <c r="AE30" i="15"/>
  <c r="AC30" i="15"/>
  <c r="AA30" i="15"/>
  <c r="W30" i="15"/>
  <c r="V30" i="15"/>
  <c r="Q30" i="15"/>
  <c r="P30" i="15"/>
  <c r="O30" i="15"/>
  <c r="N30" i="15"/>
  <c r="M30" i="15"/>
  <c r="H30" i="15"/>
  <c r="J30" i="15"/>
  <c r="I30" i="15"/>
  <c r="D30" i="15"/>
  <c r="F30" i="15"/>
  <c r="E30" i="15"/>
  <c r="A30" i="15"/>
  <c r="AD29" i="15"/>
  <c r="AG29" i="15"/>
  <c r="AE29" i="15"/>
  <c r="AC29" i="15"/>
  <c r="AA29" i="15"/>
  <c r="W29" i="15"/>
  <c r="V29" i="15"/>
  <c r="Q29" i="15"/>
  <c r="P29" i="15"/>
  <c r="O29" i="15"/>
  <c r="N29" i="15"/>
  <c r="M29" i="15"/>
  <c r="H29" i="15"/>
  <c r="J29" i="15"/>
  <c r="I29" i="15"/>
  <c r="D29" i="15"/>
  <c r="F29" i="15"/>
  <c r="E29" i="15"/>
  <c r="A29" i="15"/>
  <c r="AD28" i="15"/>
  <c r="AG28" i="15"/>
  <c r="AE28" i="15"/>
  <c r="AC28" i="15"/>
  <c r="AA28" i="15"/>
  <c r="W28" i="15"/>
  <c r="V28" i="15"/>
  <c r="Q28" i="15"/>
  <c r="P28" i="15"/>
  <c r="O28" i="15"/>
  <c r="N28" i="15"/>
  <c r="M28" i="15"/>
  <c r="H28" i="15"/>
  <c r="J28" i="15"/>
  <c r="I28" i="15"/>
  <c r="D28" i="15"/>
  <c r="F28" i="15"/>
  <c r="E28" i="15"/>
  <c r="A28" i="15"/>
  <c r="H115" i="2"/>
  <c r="E115" i="2"/>
  <c r="D115" i="2"/>
  <c r="B115" i="2"/>
  <c r="H114" i="2"/>
  <c r="E114" i="2"/>
  <c r="D114" i="2"/>
  <c r="B114" i="2"/>
  <c r="H113" i="2"/>
  <c r="E113" i="2"/>
  <c r="D113" i="2"/>
  <c r="B113" i="2"/>
  <c r="H112" i="2"/>
  <c r="E112" i="2"/>
  <c r="D112" i="2"/>
  <c r="B112" i="2"/>
  <c r="H111" i="2"/>
  <c r="E111" i="2"/>
  <c r="D111" i="2"/>
  <c r="B111" i="2"/>
  <c r="AD27" i="15"/>
  <c r="AG27" i="15"/>
  <c r="AE27" i="15"/>
  <c r="AC27" i="15"/>
  <c r="AA27" i="15"/>
  <c r="W27" i="15"/>
  <c r="V27" i="15"/>
  <c r="Q27" i="15"/>
  <c r="P27" i="15"/>
  <c r="O27" i="15"/>
  <c r="N27" i="15"/>
  <c r="M27" i="15"/>
  <c r="H27" i="15"/>
  <c r="J27" i="15"/>
  <c r="I27" i="15"/>
  <c r="D27" i="15"/>
  <c r="F27" i="15"/>
  <c r="E27" i="15"/>
  <c r="A27" i="15"/>
  <c r="AD26" i="15"/>
  <c r="AG26" i="15"/>
  <c r="AE26" i="15"/>
  <c r="AC26" i="15"/>
  <c r="AA26" i="15"/>
  <c r="W26" i="15"/>
  <c r="V26" i="15"/>
  <c r="Q26" i="15"/>
  <c r="P26" i="15"/>
  <c r="O26" i="15"/>
  <c r="N26" i="15"/>
  <c r="M26" i="15"/>
  <c r="H26" i="15"/>
  <c r="J26" i="15"/>
  <c r="I26" i="15"/>
  <c r="D26" i="15"/>
  <c r="F26" i="15"/>
  <c r="E26" i="15"/>
  <c r="A26" i="15"/>
  <c r="AD25" i="15"/>
  <c r="AG25" i="15"/>
  <c r="AE25" i="15"/>
  <c r="AC25" i="15"/>
  <c r="AA25" i="15"/>
  <c r="W25" i="15"/>
  <c r="V25" i="15"/>
  <c r="Q25" i="15"/>
  <c r="P25" i="15"/>
  <c r="O25" i="15"/>
  <c r="N25" i="15"/>
  <c r="M25" i="15"/>
  <c r="H25" i="15"/>
  <c r="J25" i="15"/>
  <c r="I25" i="15"/>
  <c r="D25" i="15"/>
  <c r="F25" i="15"/>
  <c r="E25" i="15"/>
  <c r="A25" i="15"/>
  <c r="AD24" i="15"/>
  <c r="AG24" i="15"/>
  <c r="AE24" i="15"/>
  <c r="AC24" i="15"/>
  <c r="AA24" i="15"/>
  <c r="W24" i="15"/>
  <c r="V24" i="15"/>
  <c r="Q24" i="15"/>
  <c r="P24" i="15"/>
  <c r="O24" i="15"/>
  <c r="N24" i="15"/>
  <c r="M24" i="15"/>
  <c r="H24" i="15"/>
  <c r="J24" i="15"/>
  <c r="I24" i="15"/>
  <c r="D24" i="15"/>
  <c r="F24" i="15"/>
  <c r="E24" i="15"/>
  <c r="A24" i="15"/>
  <c r="AD23" i="15"/>
  <c r="AG23" i="15"/>
  <c r="AE23" i="15"/>
  <c r="AC23" i="15"/>
  <c r="AA23" i="15"/>
  <c r="W23" i="15"/>
  <c r="V23" i="15"/>
  <c r="Q23" i="15"/>
  <c r="P23" i="15"/>
  <c r="O23" i="15"/>
  <c r="N23" i="15"/>
  <c r="M23" i="15"/>
  <c r="H23" i="15"/>
  <c r="J23" i="15"/>
  <c r="I23" i="15"/>
  <c r="D23" i="15"/>
  <c r="F23" i="15"/>
  <c r="E23" i="15"/>
  <c r="A23" i="15"/>
  <c r="AD22" i="15"/>
  <c r="AG22" i="15"/>
  <c r="AE22" i="15"/>
  <c r="AC22" i="15"/>
  <c r="AA22" i="15"/>
  <c r="W22" i="15"/>
  <c r="V22" i="15"/>
  <c r="Q22" i="15"/>
  <c r="P22" i="15"/>
  <c r="O22" i="15"/>
  <c r="N22" i="15"/>
  <c r="M22" i="15"/>
  <c r="H22" i="15"/>
  <c r="J22" i="15"/>
  <c r="I22" i="15"/>
  <c r="D22" i="15"/>
  <c r="F22" i="15"/>
  <c r="E22" i="15"/>
  <c r="A22" i="15"/>
  <c r="AD21" i="15"/>
  <c r="AG21" i="15"/>
  <c r="AE21" i="15"/>
  <c r="AC21" i="15"/>
  <c r="AA21" i="15"/>
  <c r="W21" i="15"/>
  <c r="V21" i="15"/>
  <c r="Q21" i="15"/>
  <c r="P21" i="15"/>
  <c r="O21" i="15"/>
  <c r="N21" i="15"/>
  <c r="M21" i="15"/>
  <c r="H21" i="15"/>
  <c r="J21" i="15"/>
  <c r="I21" i="15"/>
  <c r="D21" i="15"/>
  <c r="F21" i="15"/>
  <c r="E21" i="15"/>
  <c r="A21" i="15"/>
  <c r="AD20" i="15"/>
  <c r="AG20" i="15"/>
  <c r="AE20" i="15"/>
  <c r="AC20" i="15"/>
  <c r="AA20" i="15"/>
  <c r="W20" i="15"/>
  <c r="V20" i="15"/>
  <c r="Q20" i="15"/>
  <c r="P20" i="15"/>
  <c r="O20" i="15"/>
  <c r="N20" i="15"/>
  <c r="M20" i="15"/>
  <c r="H20" i="15"/>
  <c r="J20" i="15"/>
  <c r="I20" i="15"/>
  <c r="D20" i="15"/>
  <c r="F20" i="15"/>
  <c r="E20" i="15"/>
  <c r="A20" i="15"/>
  <c r="AD19" i="15"/>
  <c r="AG19" i="15"/>
  <c r="AE19" i="15"/>
  <c r="AC19" i="15"/>
  <c r="AA19" i="15"/>
  <c r="W19" i="15"/>
  <c r="V19" i="15"/>
  <c r="Q19" i="15"/>
  <c r="P19" i="15"/>
  <c r="O19" i="15"/>
  <c r="N19" i="15"/>
  <c r="M19" i="15"/>
  <c r="H19" i="15"/>
  <c r="J19" i="15"/>
  <c r="I19" i="15"/>
  <c r="D19" i="15"/>
  <c r="F19" i="15"/>
  <c r="E19" i="15"/>
  <c r="A19" i="15"/>
  <c r="AD18" i="15"/>
  <c r="AG18" i="15"/>
  <c r="AE18" i="15"/>
  <c r="AC18" i="15"/>
  <c r="AA18" i="15"/>
  <c r="W18" i="15"/>
  <c r="V18" i="15"/>
  <c r="Q18" i="15"/>
  <c r="P18" i="15"/>
  <c r="O18" i="15"/>
  <c r="N18" i="15"/>
  <c r="M18" i="15"/>
  <c r="H18" i="15"/>
  <c r="J18" i="15"/>
  <c r="I18" i="15"/>
  <c r="D18" i="15"/>
  <c r="F18" i="15"/>
  <c r="E18" i="15"/>
  <c r="A18" i="15"/>
  <c r="H110" i="2"/>
  <c r="E110" i="2"/>
  <c r="D110" i="2"/>
  <c r="B110" i="2"/>
  <c r="H109" i="2"/>
  <c r="E109" i="2"/>
  <c r="D109" i="2"/>
  <c r="B109" i="2"/>
  <c r="H108" i="2"/>
  <c r="E108" i="2"/>
  <c r="D108" i="2"/>
  <c r="B108" i="2"/>
  <c r="H107" i="2"/>
  <c r="E107" i="2"/>
  <c r="D107" i="2"/>
  <c r="B107" i="2"/>
  <c r="H106" i="2"/>
  <c r="E106" i="2"/>
  <c r="D106" i="2"/>
  <c r="B106" i="2"/>
  <c r="E4" i="9"/>
  <c r="AD17" i="15"/>
  <c r="AG17" i="15"/>
  <c r="AE17" i="15"/>
  <c r="AC17" i="15"/>
  <c r="AA17" i="15"/>
  <c r="W17" i="15"/>
  <c r="V17" i="15"/>
  <c r="Q17" i="15"/>
  <c r="P17" i="15"/>
  <c r="O17" i="15"/>
  <c r="N17" i="15"/>
  <c r="M17" i="15"/>
  <c r="H17" i="15"/>
  <c r="J17" i="15"/>
  <c r="I17" i="15"/>
  <c r="D17" i="15"/>
  <c r="F17" i="15"/>
  <c r="E17" i="15"/>
  <c r="A17" i="15"/>
  <c r="AD16" i="15"/>
  <c r="AG16" i="15"/>
  <c r="AE16" i="15"/>
  <c r="AC16" i="15"/>
  <c r="AA16" i="15"/>
  <c r="W16" i="15"/>
  <c r="V16" i="15"/>
  <c r="Q16" i="15"/>
  <c r="P16" i="15"/>
  <c r="O16" i="15"/>
  <c r="N16" i="15"/>
  <c r="M16" i="15"/>
  <c r="H16" i="15"/>
  <c r="J16" i="15"/>
  <c r="I16" i="15"/>
  <c r="D16" i="15"/>
  <c r="F16" i="15"/>
  <c r="E16" i="15"/>
  <c r="A16" i="15"/>
  <c r="AD15" i="15"/>
  <c r="AG15" i="15"/>
  <c r="AE15" i="15"/>
  <c r="AC15" i="15"/>
  <c r="AA15" i="15"/>
  <c r="W15" i="15"/>
  <c r="V15" i="15"/>
  <c r="Q15" i="15"/>
  <c r="P15" i="15"/>
  <c r="O15" i="15"/>
  <c r="N15" i="15"/>
  <c r="M15" i="15"/>
  <c r="H15" i="15"/>
  <c r="J15" i="15"/>
  <c r="I15" i="15"/>
  <c r="D15" i="15"/>
  <c r="F15" i="15"/>
  <c r="E15" i="15"/>
  <c r="A15" i="15"/>
  <c r="AD14" i="15"/>
  <c r="AG14" i="15"/>
  <c r="AE14" i="15"/>
  <c r="AC14" i="15"/>
  <c r="AA14" i="15"/>
  <c r="W14" i="15"/>
  <c r="V14" i="15"/>
  <c r="Q14" i="15"/>
  <c r="P14" i="15"/>
  <c r="O14" i="15"/>
  <c r="N14" i="15"/>
  <c r="M14" i="15"/>
  <c r="H14" i="15"/>
  <c r="J14" i="15"/>
  <c r="I14" i="15"/>
  <c r="D14" i="15"/>
  <c r="F14" i="15"/>
  <c r="E14" i="15"/>
  <c r="A14" i="15"/>
  <c r="AD13" i="15"/>
  <c r="AG13" i="15"/>
  <c r="AE13" i="15"/>
  <c r="AC13" i="15"/>
  <c r="AA13" i="15"/>
  <c r="W13" i="15"/>
  <c r="V13" i="15"/>
  <c r="Q13" i="15"/>
  <c r="P13" i="15"/>
  <c r="O13" i="15"/>
  <c r="N13" i="15"/>
  <c r="M13" i="15"/>
  <c r="H13" i="15"/>
  <c r="J13" i="15"/>
  <c r="I13" i="15"/>
  <c r="D13" i="15"/>
  <c r="F13" i="15"/>
  <c r="E13" i="15"/>
  <c r="A13" i="15"/>
  <c r="AD12" i="15"/>
  <c r="AG12" i="15"/>
  <c r="AE12" i="15"/>
  <c r="AC12" i="15"/>
  <c r="AA12" i="15"/>
  <c r="W12" i="15"/>
  <c r="V12" i="15"/>
  <c r="Q12" i="15"/>
  <c r="P12" i="15"/>
  <c r="O12" i="15"/>
  <c r="N12" i="15"/>
  <c r="M12" i="15"/>
  <c r="H12" i="15"/>
  <c r="J12" i="15"/>
  <c r="I12" i="15"/>
  <c r="D12" i="15"/>
  <c r="F12" i="15"/>
  <c r="E12" i="15"/>
  <c r="A12" i="15"/>
  <c r="AD11" i="15"/>
  <c r="AG11" i="15"/>
  <c r="AE11" i="15"/>
  <c r="AC11" i="15"/>
  <c r="AA11" i="15"/>
  <c r="W11" i="15"/>
  <c r="V11" i="15"/>
  <c r="Q11" i="15"/>
  <c r="P11" i="15"/>
  <c r="O11" i="15"/>
  <c r="N11" i="15"/>
  <c r="M11" i="15"/>
  <c r="H11" i="15"/>
  <c r="J11" i="15"/>
  <c r="I11" i="15"/>
  <c r="D11" i="15"/>
  <c r="F11" i="15"/>
  <c r="E11" i="15"/>
  <c r="A11" i="15"/>
  <c r="AD10" i="15"/>
  <c r="AG10" i="15"/>
  <c r="AE10" i="15"/>
  <c r="AC10" i="15"/>
  <c r="AA10" i="15"/>
  <c r="W10" i="15"/>
  <c r="V10" i="15"/>
  <c r="Q10" i="15"/>
  <c r="P10" i="15"/>
  <c r="O10" i="15"/>
  <c r="N10" i="15"/>
  <c r="M10" i="15"/>
  <c r="H10" i="15"/>
  <c r="J10" i="15"/>
  <c r="I10" i="15"/>
  <c r="D10" i="15"/>
  <c r="F10" i="15"/>
  <c r="E10" i="15"/>
  <c r="A10" i="15"/>
  <c r="AD9" i="15"/>
  <c r="AG9" i="15"/>
  <c r="AE9" i="15"/>
  <c r="AC9" i="15"/>
  <c r="AA9" i="15"/>
  <c r="W9" i="15"/>
  <c r="V9" i="15"/>
  <c r="Q9" i="15"/>
  <c r="P9" i="15"/>
  <c r="O9" i="15"/>
  <c r="N9" i="15"/>
  <c r="M9" i="15"/>
  <c r="H9" i="15"/>
  <c r="J9" i="15"/>
  <c r="I9" i="15"/>
  <c r="D9" i="15"/>
  <c r="F9" i="15"/>
  <c r="E9" i="15"/>
  <c r="A9" i="15"/>
  <c r="AD8" i="15"/>
  <c r="AG8" i="15"/>
  <c r="AE8" i="15"/>
  <c r="AC8" i="15"/>
  <c r="AA8" i="15"/>
  <c r="W8" i="15"/>
  <c r="V8" i="15"/>
  <c r="Q8" i="15"/>
  <c r="P8" i="15"/>
  <c r="O8" i="15"/>
  <c r="N8" i="15"/>
  <c r="M8" i="15"/>
  <c r="H8" i="15"/>
  <c r="J8" i="15"/>
  <c r="I8" i="15"/>
  <c r="D8" i="15"/>
  <c r="F8" i="15"/>
  <c r="E8" i="15"/>
  <c r="A8" i="15"/>
  <c r="AD7" i="15"/>
  <c r="AG7" i="15"/>
  <c r="AE7" i="15"/>
  <c r="AC7" i="15"/>
  <c r="AA7" i="15"/>
  <c r="W7" i="15"/>
  <c r="V7" i="15"/>
  <c r="Q7" i="15"/>
  <c r="P7" i="15"/>
  <c r="O7" i="15"/>
  <c r="N7" i="15"/>
  <c r="M7" i="15"/>
  <c r="H7" i="15"/>
  <c r="J7" i="15"/>
  <c r="I7" i="15"/>
  <c r="D7" i="15"/>
  <c r="F7" i="15"/>
  <c r="E7" i="15"/>
  <c r="A7" i="15"/>
  <c r="AD6" i="15"/>
  <c r="AG6" i="15"/>
  <c r="AE6" i="15"/>
  <c r="AC6" i="15"/>
  <c r="AA6" i="15"/>
  <c r="W6" i="15"/>
  <c r="V6" i="15"/>
  <c r="Q6" i="15"/>
  <c r="P6" i="15"/>
  <c r="O6" i="15"/>
  <c r="N6" i="15"/>
  <c r="M6" i="15"/>
  <c r="H6" i="15"/>
  <c r="J6" i="15"/>
  <c r="I6" i="15"/>
  <c r="D6" i="15"/>
  <c r="F6" i="15"/>
  <c r="E6" i="15"/>
  <c r="A6" i="15"/>
  <c r="AD5" i="15"/>
  <c r="AG5" i="15"/>
  <c r="AE5" i="15"/>
  <c r="AC5" i="15"/>
  <c r="AA5" i="15"/>
  <c r="W5" i="15"/>
  <c r="V5" i="15"/>
  <c r="Q5" i="15"/>
  <c r="P5" i="15"/>
  <c r="O5" i="15"/>
  <c r="N5" i="15"/>
  <c r="M5" i="15"/>
  <c r="H5" i="15"/>
  <c r="J5" i="15"/>
  <c r="I5" i="15"/>
  <c r="D5" i="15"/>
  <c r="F5" i="15"/>
  <c r="E5" i="15"/>
  <c r="A5" i="15"/>
  <c r="AD4" i="15"/>
  <c r="AG4" i="15"/>
  <c r="AE4" i="15"/>
  <c r="AC4" i="15"/>
  <c r="AA4" i="15"/>
  <c r="W4" i="15"/>
  <c r="V4" i="15"/>
  <c r="Q4" i="15"/>
  <c r="P4" i="15"/>
  <c r="O4" i="15"/>
  <c r="N4" i="15"/>
  <c r="M4" i="15"/>
  <c r="H4" i="15"/>
  <c r="J4" i="15"/>
  <c r="I4" i="15"/>
  <c r="D4" i="15"/>
  <c r="F4" i="15"/>
  <c r="E4" i="15"/>
  <c r="A4" i="15"/>
  <c r="AD3" i="15"/>
  <c r="AG3" i="15"/>
  <c r="AE3" i="15"/>
  <c r="AC3" i="15"/>
  <c r="AA3" i="15"/>
  <c r="W3" i="15"/>
  <c r="V3" i="15"/>
  <c r="Q3" i="15"/>
  <c r="P3" i="15"/>
  <c r="O3" i="15"/>
  <c r="N3" i="15"/>
  <c r="M3" i="15"/>
  <c r="H3" i="15"/>
  <c r="J3" i="15"/>
  <c r="I3" i="15"/>
  <c r="D3" i="15"/>
  <c r="F3" i="15"/>
  <c r="E3" i="15"/>
  <c r="A3" i="15"/>
  <c r="AD2" i="15"/>
  <c r="AG2" i="15"/>
  <c r="AE2" i="15"/>
  <c r="AC2" i="15"/>
  <c r="AA2" i="15"/>
  <c r="W2" i="15"/>
  <c r="V2" i="15"/>
  <c r="Q2" i="15"/>
  <c r="P2" i="15"/>
  <c r="O2" i="15"/>
  <c r="N2" i="15"/>
  <c r="M2" i="15"/>
  <c r="H2" i="15"/>
  <c r="J2" i="15"/>
  <c r="I2" i="15"/>
  <c r="D2" i="15"/>
  <c r="F2" i="15"/>
  <c r="E2" i="15"/>
  <c r="A2" i="15"/>
  <c r="J3" i="12"/>
  <c r="O9" i="10"/>
  <c r="N9" i="10"/>
  <c r="M9" i="10"/>
  <c r="L9" i="10"/>
  <c r="K9" i="10"/>
  <c r="J9" i="10"/>
  <c r="I9" i="10"/>
  <c r="H9" i="10"/>
  <c r="G9" i="10"/>
  <c r="E9" i="10"/>
  <c r="D9" i="10"/>
  <c r="A9" i="10"/>
  <c r="J2" i="12"/>
  <c r="O8" i="10"/>
  <c r="N8" i="10"/>
  <c r="M8" i="10"/>
  <c r="L8" i="10"/>
  <c r="K8" i="10"/>
  <c r="J8" i="10"/>
  <c r="I8" i="10"/>
  <c r="H8" i="10"/>
  <c r="G8" i="10"/>
  <c r="E8" i="10"/>
  <c r="D8" i="10"/>
  <c r="A8" i="10"/>
  <c r="O7" i="10"/>
  <c r="N7" i="10"/>
  <c r="M7" i="10"/>
  <c r="L7" i="10"/>
  <c r="K7" i="10"/>
  <c r="J7" i="10"/>
  <c r="I7" i="10"/>
  <c r="H7" i="10"/>
  <c r="G7" i="10"/>
  <c r="E7" i="10"/>
  <c r="D7" i="10"/>
  <c r="A7" i="10"/>
  <c r="O6" i="10"/>
  <c r="N6" i="10"/>
  <c r="M6" i="10"/>
  <c r="L6" i="10"/>
  <c r="K6" i="10"/>
  <c r="J6" i="10"/>
  <c r="I6" i="10"/>
  <c r="H6" i="10"/>
  <c r="G6" i="10"/>
  <c r="E6" i="10"/>
  <c r="D6" i="10"/>
  <c r="A6" i="10"/>
  <c r="O5" i="10"/>
  <c r="N5" i="10"/>
  <c r="M5" i="10"/>
  <c r="L5" i="10"/>
  <c r="K5" i="10"/>
  <c r="J5" i="10"/>
  <c r="I5" i="10"/>
  <c r="H5" i="10"/>
  <c r="G5" i="10"/>
  <c r="E5" i="10"/>
  <c r="D5" i="10"/>
  <c r="A5" i="10"/>
  <c r="O4" i="10"/>
  <c r="N4" i="10"/>
  <c r="M4" i="10"/>
  <c r="L4" i="10"/>
  <c r="K4" i="10"/>
  <c r="J4" i="10"/>
  <c r="I4" i="10"/>
  <c r="H4" i="10"/>
  <c r="G4" i="10"/>
  <c r="E4" i="10"/>
  <c r="D4" i="10"/>
  <c r="A4" i="10"/>
  <c r="M4" i="11"/>
  <c r="T4" i="11"/>
  <c r="W4" i="11"/>
  <c r="V4" i="11"/>
  <c r="X4" i="11"/>
  <c r="U4" i="11"/>
  <c r="Y4" i="11"/>
  <c r="N4" i="11"/>
  <c r="Q4" i="11"/>
  <c r="P4" i="11"/>
  <c r="R4" i="11"/>
  <c r="O4" i="11"/>
  <c r="S4" i="11"/>
  <c r="G4" i="11"/>
  <c r="J4" i="11"/>
  <c r="I4" i="11"/>
  <c r="K4" i="11"/>
  <c r="H4" i="11"/>
  <c r="L4" i="11"/>
  <c r="M2" i="11"/>
  <c r="T2" i="11"/>
  <c r="W2" i="11"/>
  <c r="V2" i="11"/>
  <c r="X2" i="11"/>
  <c r="U2" i="11"/>
  <c r="Y2" i="11"/>
  <c r="N2" i="11"/>
  <c r="Q2" i="11"/>
  <c r="P2" i="11"/>
  <c r="R2" i="11"/>
  <c r="O2" i="11"/>
  <c r="S2" i="11"/>
  <c r="G2" i="11"/>
  <c r="J2" i="11"/>
  <c r="I2" i="11"/>
  <c r="K2" i="11"/>
  <c r="H2" i="11"/>
  <c r="L2" i="11"/>
  <c r="M6" i="11"/>
  <c r="T6" i="11"/>
  <c r="W6" i="11"/>
  <c r="V6" i="11"/>
  <c r="X6" i="11"/>
  <c r="U6" i="11"/>
  <c r="Y6" i="11"/>
  <c r="N6" i="11"/>
  <c r="Q6" i="11"/>
  <c r="P6" i="11"/>
  <c r="R6" i="11"/>
  <c r="O6" i="11"/>
  <c r="S6" i="11"/>
  <c r="G6" i="11"/>
  <c r="J6" i="11"/>
  <c r="I6" i="11"/>
  <c r="K6" i="11"/>
  <c r="H6" i="11"/>
  <c r="L6" i="11"/>
  <c r="M9" i="11"/>
  <c r="T9" i="11"/>
  <c r="W9" i="11"/>
  <c r="V9" i="11"/>
  <c r="X9" i="11"/>
  <c r="U9" i="11"/>
  <c r="Y9" i="11"/>
  <c r="N9" i="11"/>
  <c r="Q9" i="11"/>
  <c r="P9" i="11"/>
  <c r="R9" i="11"/>
  <c r="O9" i="11"/>
  <c r="S9" i="11"/>
  <c r="G9" i="11"/>
  <c r="J9" i="11"/>
  <c r="I9" i="11"/>
  <c r="K9" i="11"/>
  <c r="H9" i="11"/>
  <c r="L9" i="11"/>
  <c r="M7" i="11"/>
  <c r="T7" i="11"/>
  <c r="W7" i="11"/>
  <c r="V7" i="11"/>
  <c r="X7" i="11"/>
  <c r="U7" i="11"/>
  <c r="Y7" i="11"/>
  <c r="N7" i="11"/>
  <c r="Q7" i="11"/>
  <c r="P7" i="11"/>
  <c r="R7" i="11"/>
  <c r="O7" i="11"/>
  <c r="S7" i="11"/>
  <c r="G7" i="11"/>
  <c r="J7" i="11"/>
  <c r="I7" i="11"/>
  <c r="K7" i="11"/>
  <c r="H7" i="11"/>
  <c r="L7" i="11"/>
  <c r="M5" i="11"/>
  <c r="T5" i="11"/>
  <c r="W5" i="11"/>
  <c r="V5" i="11"/>
  <c r="X5" i="11"/>
  <c r="U5" i="11"/>
  <c r="Y5" i="11"/>
  <c r="N5" i="11"/>
  <c r="Q5" i="11"/>
  <c r="P5" i="11"/>
  <c r="R5" i="11"/>
  <c r="O5" i="11"/>
  <c r="S5" i="11"/>
  <c r="G5" i="11"/>
  <c r="J5" i="11"/>
  <c r="I5" i="11"/>
  <c r="K5" i="11"/>
  <c r="H5" i="11"/>
  <c r="L5" i="11"/>
  <c r="E2" i="10"/>
  <c r="E3" i="10"/>
  <c r="V296" i="1"/>
  <c r="V287" i="1"/>
  <c r="V286" i="1"/>
  <c r="V285" i="1"/>
  <c r="O3" i="10"/>
  <c r="N3" i="10"/>
  <c r="M3" i="10"/>
  <c r="L3" i="10"/>
  <c r="K3" i="10"/>
  <c r="J3" i="10"/>
  <c r="I3" i="10"/>
  <c r="H3" i="10"/>
  <c r="G3" i="10"/>
  <c r="D3" i="10"/>
  <c r="A3" i="10"/>
  <c r="M3" i="11"/>
  <c r="T3" i="11"/>
  <c r="W3" i="11"/>
  <c r="V3" i="11"/>
  <c r="X3" i="11"/>
  <c r="U3" i="11"/>
  <c r="Y3" i="11"/>
  <c r="N3" i="11"/>
  <c r="Q3" i="11"/>
  <c r="P3" i="11"/>
  <c r="R3" i="11"/>
  <c r="O3" i="11"/>
  <c r="S3" i="11"/>
  <c r="G3" i="11"/>
  <c r="J3" i="11"/>
  <c r="I3" i="11"/>
  <c r="K3" i="11"/>
  <c r="H3" i="11"/>
  <c r="L3" i="11"/>
  <c r="O2" i="10"/>
  <c r="N2" i="10"/>
  <c r="M2" i="10"/>
  <c r="L2" i="10"/>
  <c r="K2" i="10"/>
  <c r="J2" i="10"/>
  <c r="I2" i="10"/>
  <c r="H2" i="10"/>
  <c r="G2" i="10"/>
  <c r="D2" i="10"/>
  <c r="H2" i="14"/>
  <c r="J2" i="14"/>
  <c r="I2" i="14"/>
  <c r="Y2" i="14"/>
  <c r="X2" i="14"/>
  <c r="W2" i="14"/>
  <c r="R2" i="14"/>
  <c r="Q2" i="14"/>
  <c r="P2" i="14"/>
  <c r="O2" i="14"/>
  <c r="N2" i="14"/>
  <c r="D2" i="14"/>
  <c r="F2" i="14"/>
  <c r="E2" i="14"/>
  <c r="A2" i="14"/>
  <c r="M8" i="11"/>
  <c r="T8" i="11"/>
  <c r="W8" i="11"/>
  <c r="V8" i="11"/>
  <c r="X8" i="11"/>
  <c r="U8" i="11"/>
  <c r="Y8" i="11"/>
  <c r="N8" i="11"/>
  <c r="Q8" i="11"/>
  <c r="P8" i="11"/>
  <c r="R8" i="11"/>
  <c r="O8" i="11"/>
  <c r="S8" i="11"/>
  <c r="G8" i="11"/>
  <c r="J8" i="11"/>
  <c r="I8" i="11"/>
  <c r="K8" i="11"/>
  <c r="H8" i="11"/>
  <c r="L8" i="11"/>
  <c r="A2" i="10"/>
  <c r="E10" i="9"/>
  <c r="C9" i="9"/>
  <c r="E9" i="9"/>
  <c r="C8" i="9"/>
  <c r="E8" i="9"/>
  <c r="C7" i="9"/>
  <c r="E7" i="9"/>
  <c r="C6" i="9"/>
  <c r="E6" i="9"/>
  <c r="C5" i="9"/>
  <c r="E5" i="9"/>
  <c r="C3" i="9"/>
  <c r="E3" i="9"/>
  <c r="E2" i="9"/>
  <c r="AB305" i="1"/>
  <c r="AE305" i="1"/>
  <c r="AD305" i="1"/>
  <c r="AC305" i="1"/>
  <c r="AB304" i="1"/>
  <c r="AE304" i="1"/>
  <c r="AD304" i="1"/>
  <c r="AC304" i="1"/>
  <c r="AB303" i="1"/>
  <c r="AE303" i="1"/>
  <c r="AD303" i="1"/>
  <c r="AC303" i="1"/>
  <c r="AB302" i="1"/>
  <c r="AE302" i="1"/>
  <c r="AD302" i="1"/>
  <c r="AC302" i="1"/>
  <c r="AB301" i="1"/>
  <c r="AE301" i="1"/>
  <c r="AD301" i="1"/>
  <c r="AC301" i="1"/>
  <c r="AB300" i="1"/>
  <c r="AE300" i="1"/>
  <c r="AD300" i="1"/>
  <c r="AC300" i="1"/>
  <c r="AB299" i="1"/>
  <c r="AE299" i="1"/>
  <c r="AD299" i="1"/>
  <c r="AC299" i="1"/>
  <c r="AB298" i="1"/>
  <c r="AE298" i="1"/>
  <c r="AD298" i="1"/>
  <c r="AC298" i="1"/>
  <c r="AB297" i="1"/>
  <c r="AE297" i="1"/>
  <c r="AD297" i="1"/>
  <c r="AC297" i="1"/>
  <c r="AB296" i="1"/>
  <c r="AE296" i="1"/>
  <c r="AD296" i="1"/>
  <c r="AC296" i="1"/>
  <c r="AB295" i="1"/>
  <c r="AE295" i="1"/>
  <c r="AD295" i="1"/>
  <c r="AC295" i="1"/>
  <c r="AB294" i="1"/>
  <c r="AE294" i="1"/>
  <c r="AD294" i="1"/>
  <c r="AC294" i="1"/>
  <c r="AB293" i="1"/>
  <c r="AE293" i="1"/>
  <c r="AD293" i="1"/>
  <c r="AC293" i="1"/>
  <c r="AB292" i="1"/>
  <c r="AE292" i="1"/>
  <c r="AD292" i="1"/>
  <c r="AC292" i="1"/>
  <c r="AB291" i="1"/>
  <c r="AE291" i="1"/>
  <c r="AD291" i="1"/>
  <c r="AC291" i="1"/>
  <c r="AB290" i="1"/>
  <c r="AE290" i="1"/>
  <c r="AD290" i="1"/>
  <c r="AC290" i="1"/>
  <c r="AB289" i="1"/>
  <c r="AE289" i="1"/>
  <c r="AD289" i="1"/>
  <c r="AC289" i="1"/>
  <c r="AB288" i="1"/>
  <c r="AE288" i="1"/>
  <c r="AD288" i="1"/>
  <c r="AC288" i="1"/>
  <c r="AB287" i="1"/>
  <c r="AE287" i="1"/>
  <c r="AD287" i="1"/>
  <c r="AC287" i="1"/>
  <c r="AB286" i="1"/>
  <c r="AE286" i="1"/>
  <c r="AD286" i="1"/>
  <c r="AC286" i="1"/>
  <c r="AB285" i="1"/>
  <c r="AE285" i="1"/>
  <c r="AD285" i="1"/>
  <c r="AC285" i="1"/>
  <c r="AB284" i="1"/>
  <c r="AE284" i="1"/>
  <c r="AD284" i="1"/>
  <c r="AC284" i="1"/>
  <c r="AB283" i="1"/>
  <c r="AE283" i="1"/>
  <c r="AD283" i="1"/>
  <c r="AC283" i="1"/>
  <c r="AB282" i="1"/>
  <c r="AE282" i="1"/>
  <c r="AD282" i="1"/>
  <c r="AC282" i="1"/>
  <c r="AB281" i="1"/>
  <c r="AE281" i="1"/>
  <c r="AD281" i="1"/>
  <c r="AC281" i="1"/>
  <c r="AB280" i="1"/>
  <c r="AE280" i="1"/>
  <c r="AD280" i="1"/>
  <c r="AC280" i="1"/>
  <c r="AB279" i="1"/>
  <c r="AE279" i="1"/>
  <c r="AD279" i="1"/>
  <c r="AC279" i="1"/>
  <c r="AB278" i="1"/>
  <c r="AE278" i="1"/>
  <c r="AD278" i="1"/>
  <c r="AC278" i="1"/>
  <c r="AB277" i="1"/>
  <c r="AE277" i="1"/>
  <c r="AD277" i="1"/>
  <c r="AC277" i="1"/>
  <c r="AB276" i="1"/>
  <c r="AE276" i="1"/>
  <c r="AD276" i="1"/>
  <c r="AC276" i="1"/>
  <c r="AB275" i="1"/>
  <c r="AE275" i="1"/>
  <c r="AD275" i="1"/>
  <c r="AC275" i="1"/>
  <c r="AB274" i="1"/>
  <c r="AE274" i="1"/>
  <c r="AD274" i="1"/>
  <c r="AC274" i="1"/>
  <c r="AB273" i="1"/>
  <c r="AE273" i="1"/>
  <c r="AD273" i="1"/>
  <c r="AC273" i="1"/>
  <c r="AB272" i="1"/>
  <c r="AE272" i="1"/>
  <c r="AD272" i="1"/>
  <c r="AC272" i="1"/>
  <c r="AB271" i="1"/>
  <c r="AE271" i="1"/>
  <c r="AD271" i="1"/>
  <c r="AC271" i="1"/>
  <c r="AB270" i="1"/>
  <c r="AE270" i="1"/>
  <c r="AD270" i="1"/>
  <c r="AC270" i="1"/>
  <c r="AB269" i="1"/>
  <c r="AE269" i="1"/>
  <c r="AD269" i="1"/>
  <c r="AC269" i="1"/>
  <c r="AB268" i="1"/>
  <c r="AE268" i="1"/>
  <c r="AD268" i="1"/>
  <c r="AC268" i="1"/>
  <c r="AB267" i="1"/>
  <c r="AE267" i="1"/>
  <c r="AD267" i="1"/>
  <c r="AC267" i="1"/>
  <c r="AB266" i="1"/>
  <c r="AE266" i="1"/>
  <c r="AD266" i="1"/>
  <c r="AC266" i="1"/>
  <c r="AB265" i="1"/>
  <c r="AE265" i="1"/>
  <c r="AD265" i="1"/>
  <c r="AC265" i="1"/>
  <c r="AB264" i="1"/>
  <c r="AE264" i="1"/>
  <c r="AD264" i="1"/>
  <c r="AC264" i="1"/>
  <c r="AB263" i="1"/>
  <c r="AE263" i="1"/>
  <c r="AD263" i="1"/>
  <c r="AC263" i="1"/>
  <c r="AB262" i="1"/>
  <c r="AE262" i="1"/>
  <c r="AD262" i="1"/>
  <c r="AC262" i="1"/>
  <c r="AB261" i="1"/>
  <c r="AE261" i="1"/>
  <c r="AD261" i="1"/>
  <c r="AC261" i="1"/>
  <c r="AB260" i="1"/>
  <c r="AE260" i="1"/>
  <c r="AD260" i="1"/>
  <c r="AC260" i="1"/>
  <c r="AB259" i="1"/>
  <c r="AE259" i="1"/>
  <c r="AD259" i="1"/>
  <c r="AC259" i="1"/>
  <c r="AB258" i="1"/>
  <c r="AE258" i="1"/>
  <c r="AD258" i="1"/>
  <c r="AC258" i="1"/>
  <c r="AB257" i="1"/>
  <c r="AE257" i="1"/>
  <c r="AD257" i="1"/>
  <c r="AC257" i="1"/>
  <c r="AB256" i="1"/>
  <c r="AE256" i="1"/>
  <c r="AD256" i="1"/>
  <c r="AC256" i="1"/>
  <c r="AB255" i="1"/>
  <c r="AE255" i="1"/>
  <c r="AD255" i="1"/>
  <c r="AC255" i="1"/>
  <c r="AB254" i="1"/>
  <c r="AE254" i="1"/>
  <c r="AD254" i="1"/>
  <c r="AC254" i="1"/>
  <c r="AB253" i="1"/>
  <c r="AE253" i="1"/>
  <c r="AD253" i="1"/>
  <c r="AC253" i="1"/>
  <c r="AB252" i="1"/>
  <c r="AE252" i="1"/>
  <c r="AD252" i="1"/>
  <c r="AC252" i="1"/>
  <c r="AB251" i="1"/>
  <c r="AE251" i="1"/>
  <c r="AD251" i="1"/>
  <c r="AC251" i="1"/>
  <c r="AB250" i="1"/>
  <c r="AE250" i="1"/>
  <c r="AD250" i="1"/>
  <c r="AC250" i="1"/>
  <c r="AB249" i="1"/>
  <c r="AE249" i="1"/>
  <c r="AD249" i="1"/>
  <c r="AC249" i="1"/>
  <c r="AB248" i="1"/>
  <c r="AE248" i="1"/>
  <c r="AD248" i="1"/>
  <c r="AC248" i="1"/>
  <c r="AB247" i="1"/>
  <c r="AE247" i="1"/>
  <c r="AD247" i="1"/>
  <c r="AC247" i="1"/>
  <c r="AB246" i="1"/>
  <c r="AE246" i="1"/>
  <c r="AD246" i="1"/>
  <c r="AC246" i="1"/>
  <c r="AB245" i="1"/>
  <c r="AE245" i="1"/>
  <c r="AD245" i="1"/>
  <c r="AC245" i="1"/>
  <c r="AB244" i="1"/>
  <c r="AE244" i="1"/>
  <c r="AD244" i="1"/>
  <c r="AC244" i="1"/>
  <c r="AB243" i="1"/>
  <c r="AE243" i="1"/>
  <c r="AD243" i="1"/>
  <c r="AC243" i="1"/>
  <c r="AB242" i="1"/>
  <c r="AE242" i="1"/>
  <c r="AD242" i="1"/>
  <c r="AC242" i="1"/>
  <c r="AB241" i="1"/>
  <c r="AE241" i="1"/>
  <c r="AD241" i="1"/>
  <c r="AC241" i="1"/>
  <c r="AB240" i="1"/>
  <c r="AE240" i="1"/>
  <c r="AD240" i="1"/>
  <c r="AC240" i="1"/>
  <c r="AB239" i="1"/>
  <c r="AE239" i="1"/>
  <c r="AD239" i="1"/>
  <c r="AC239" i="1"/>
  <c r="AB238" i="1"/>
  <c r="AE238" i="1"/>
  <c r="AD238" i="1"/>
  <c r="AC238" i="1"/>
  <c r="AB237" i="1"/>
  <c r="AE237" i="1"/>
  <c r="AD237" i="1"/>
  <c r="AC237" i="1"/>
  <c r="AB236" i="1"/>
  <c r="AE236" i="1"/>
  <c r="AD236" i="1"/>
  <c r="AC236" i="1"/>
  <c r="AB235" i="1"/>
  <c r="AE235" i="1"/>
  <c r="AD235" i="1"/>
  <c r="AC235" i="1"/>
  <c r="AB234" i="1"/>
  <c r="AE234" i="1"/>
  <c r="AD234" i="1"/>
  <c r="AC234" i="1"/>
  <c r="AB233" i="1"/>
  <c r="AE233" i="1"/>
  <c r="AD233" i="1"/>
  <c r="AC233" i="1"/>
  <c r="AB232" i="1"/>
  <c r="AE232" i="1"/>
  <c r="AD232" i="1"/>
  <c r="AC232" i="1"/>
  <c r="AE231" i="1"/>
  <c r="AD231" i="1"/>
  <c r="AC231" i="1"/>
  <c r="AE230" i="1"/>
  <c r="AD230" i="1"/>
  <c r="AC230" i="1"/>
  <c r="AE229" i="1"/>
  <c r="AD229" i="1"/>
  <c r="AC229" i="1"/>
  <c r="AE228" i="1"/>
  <c r="AD228" i="1"/>
  <c r="AC228" i="1"/>
  <c r="AE227" i="1"/>
  <c r="AD227" i="1"/>
  <c r="AC227" i="1"/>
  <c r="AE226" i="1"/>
  <c r="AD226" i="1"/>
  <c r="AC226" i="1"/>
  <c r="AE225" i="1"/>
  <c r="AD225" i="1"/>
  <c r="AC225" i="1"/>
  <c r="AE224" i="1"/>
  <c r="AD224" i="1"/>
  <c r="AC224" i="1"/>
  <c r="AE223" i="1"/>
  <c r="AD223" i="1"/>
  <c r="AC223" i="1"/>
  <c r="AE222" i="1"/>
  <c r="AD222" i="1"/>
  <c r="AC222" i="1"/>
  <c r="AE221" i="1"/>
  <c r="AD221" i="1"/>
  <c r="AC221" i="1"/>
  <c r="AE220" i="1"/>
  <c r="AD220" i="1"/>
  <c r="AC220" i="1"/>
  <c r="AE219" i="1"/>
  <c r="AD219" i="1"/>
  <c r="AC219" i="1"/>
  <c r="AE218" i="1"/>
  <c r="AD218" i="1"/>
  <c r="AC218" i="1"/>
  <c r="AE217" i="1"/>
  <c r="AD217" i="1"/>
  <c r="AC217" i="1"/>
  <c r="AE216" i="1"/>
  <c r="AD216" i="1"/>
  <c r="AC216" i="1"/>
  <c r="AE215" i="1"/>
  <c r="AD215" i="1"/>
  <c r="AC215" i="1"/>
  <c r="AE214" i="1"/>
  <c r="AD214" i="1"/>
  <c r="AC214" i="1"/>
  <c r="AE213" i="1"/>
  <c r="AD213" i="1"/>
  <c r="AC213" i="1"/>
  <c r="AE212" i="1"/>
  <c r="AD212" i="1"/>
  <c r="AC212" i="1"/>
  <c r="AE211" i="1"/>
  <c r="AD211" i="1"/>
  <c r="AC211" i="1"/>
  <c r="AE210" i="1"/>
  <c r="AD210" i="1"/>
  <c r="AC210" i="1"/>
  <c r="AE209" i="1"/>
  <c r="AD209" i="1"/>
  <c r="AC209" i="1"/>
  <c r="AE208" i="1"/>
  <c r="AD208" i="1"/>
  <c r="AC208" i="1"/>
  <c r="AE207" i="1"/>
  <c r="AD207" i="1"/>
  <c r="AC207" i="1"/>
  <c r="AE206" i="1"/>
  <c r="AD206" i="1"/>
  <c r="AC206" i="1"/>
  <c r="AE205" i="1"/>
  <c r="AD205" i="1"/>
  <c r="AC205" i="1"/>
  <c r="AE204" i="1"/>
  <c r="AD204" i="1"/>
  <c r="AC204" i="1"/>
  <c r="AE203" i="1"/>
  <c r="AD203" i="1"/>
  <c r="AC203" i="1"/>
  <c r="AE202" i="1"/>
  <c r="AD202" i="1"/>
  <c r="AC202" i="1"/>
  <c r="AE201" i="1"/>
  <c r="AD201" i="1"/>
  <c r="AC201" i="1"/>
  <c r="AE200" i="1"/>
  <c r="AD200" i="1"/>
  <c r="AC200" i="1"/>
  <c r="AE199" i="1"/>
  <c r="AD199" i="1"/>
  <c r="AC199" i="1"/>
  <c r="AE198" i="1"/>
  <c r="AD198" i="1"/>
  <c r="AC198" i="1"/>
  <c r="AE197" i="1"/>
  <c r="AD197" i="1"/>
  <c r="AC197" i="1"/>
  <c r="AE196" i="1"/>
  <c r="AD196" i="1"/>
  <c r="AC196" i="1"/>
  <c r="AE195" i="1"/>
  <c r="AD195" i="1"/>
  <c r="AC195" i="1"/>
  <c r="AE194" i="1"/>
  <c r="AD194" i="1"/>
  <c r="AC194" i="1"/>
  <c r="AE193" i="1"/>
  <c r="AD193" i="1"/>
  <c r="AC193" i="1"/>
  <c r="AE192" i="1"/>
  <c r="AD192" i="1"/>
  <c r="AC192" i="1"/>
  <c r="AE191" i="1"/>
  <c r="AD191" i="1"/>
  <c r="AC191" i="1"/>
  <c r="AE190" i="1"/>
  <c r="AD190" i="1"/>
  <c r="AC190" i="1"/>
  <c r="AE189" i="1"/>
  <c r="AD189" i="1"/>
  <c r="AC189" i="1"/>
  <c r="AE188" i="1"/>
  <c r="AD188" i="1"/>
  <c r="AC188" i="1"/>
  <c r="AE187" i="1"/>
  <c r="AD187" i="1"/>
  <c r="AC187" i="1"/>
  <c r="AE186" i="1"/>
  <c r="AD186" i="1"/>
  <c r="AC186" i="1"/>
  <c r="AE185" i="1"/>
  <c r="AD185" i="1"/>
  <c r="AC185" i="1"/>
  <c r="AE184" i="1"/>
  <c r="AD184" i="1"/>
  <c r="AC184" i="1"/>
  <c r="AE183" i="1"/>
  <c r="AD183" i="1"/>
  <c r="AC183" i="1"/>
  <c r="AE182" i="1"/>
  <c r="AD182" i="1"/>
  <c r="AC182" i="1"/>
  <c r="AE181" i="1"/>
  <c r="AD181" i="1"/>
  <c r="AC181" i="1"/>
  <c r="AE180" i="1"/>
  <c r="AD180" i="1"/>
  <c r="AC180" i="1"/>
  <c r="AE179" i="1"/>
  <c r="AD179" i="1"/>
  <c r="AC179" i="1"/>
  <c r="AE178" i="1"/>
  <c r="AD178" i="1"/>
  <c r="AC178" i="1"/>
  <c r="AE177" i="1"/>
  <c r="AD177" i="1"/>
  <c r="AC177" i="1"/>
  <c r="AE176" i="1"/>
  <c r="AD176" i="1"/>
  <c r="AC176" i="1"/>
  <c r="AE175" i="1"/>
  <c r="AD175" i="1"/>
  <c r="AC175" i="1"/>
  <c r="AE174" i="1"/>
  <c r="AD174" i="1"/>
  <c r="AC174" i="1"/>
  <c r="AE173" i="1"/>
  <c r="AD173" i="1"/>
  <c r="AC173" i="1"/>
  <c r="AE172" i="1"/>
  <c r="AD172" i="1"/>
  <c r="AC172" i="1"/>
  <c r="AE171" i="1"/>
  <c r="AD171" i="1"/>
  <c r="AC171" i="1"/>
  <c r="AE170" i="1"/>
  <c r="AD170" i="1"/>
  <c r="AC170" i="1"/>
  <c r="AE169" i="1"/>
  <c r="AD169" i="1"/>
  <c r="AC169" i="1"/>
  <c r="AE168" i="1"/>
  <c r="AD168" i="1"/>
  <c r="AC168" i="1"/>
  <c r="AE167" i="1"/>
  <c r="AD167" i="1"/>
  <c r="AC167" i="1"/>
  <c r="AE166" i="1"/>
  <c r="AD166" i="1"/>
  <c r="AC166" i="1"/>
  <c r="AE165" i="1"/>
  <c r="AD165" i="1"/>
  <c r="AC165" i="1"/>
  <c r="AE164" i="1"/>
  <c r="AD164" i="1"/>
  <c r="AC164" i="1"/>
  <c r="AE163" i="1"/>
  <c r="AD163" i="1"/>
  <c r="AC163" i="1"/>
  <c r="AE162" i="1"/>
  <c r="AD162" i="1"/>
  <c r="AC162" i="1"/>
  <c r="AE161" i="1"/>
  <c r="AD161" i="1"/>
  <c r="AC161" i="1"/>
  <c r="AE160" i="1"/>
  <c r="AD160" i="1"/>
  <c r="AC160" i="1"/>
  <c r="AE159" i="1"/>
  <c r="AD159" i="1"/>
  <c r="AC159" i="1"/>
  <c r="AE158" i="1"/>
  <c r="AD158" i="1"/>
  <c r="AC158" i="1"/>
  <c r="AE157" i="1"/>
  <c r="AD157" i="1"/>
  <c r="AC157" i="1"/>
  <c r="AE156" i="1"/>
  <c r="AD156" i="1"/>
  <c r="AC156" i="1"/>
  <c r="AE155" i="1"/>
  <c r="AD155" i="1"/>
  <c r="AC155" i="1"/>
  <c r="AE154" i="1"/>
  <c r="AD154" i="1"/>
  <c r="AC154" i="1"/>
  <c r="AE153" i="1"/>
  <c r="AD153" i="1"/>
  <c r="AC153" i="1"/>
  <c r="AE152" i="1"/>
  <c r="AD152" i="1"/>
  <c r="AC152" i="1"/>
  <c r="AE151" i="1"/>
  <c r="AD151" i="1"/>
  <c r="AC151" i="1"/>
  <c r="AE150" i="1"/>
  <c r="AD150" i="1"/>
  <c r="AC150" i="1"/>
  <c r="AE149" i="1"/>
  <c r="AD149" i="1"/>
  <c r="AC149" i="1"/>
  <c r="AE148" i="1"/>
  <c r="AD148" i="1"/>
  <c r="AC148" i="1"/>
  <c r="AE147" i="1"/>
  <c r="AD147" i="1"/>
  <c r="AC147" i="1"/>
  <c r="AE146" i="1"/>
  <c r="AD146" i="1"/>
  <c r="AC146" i="1"/>
  <c r="AE145" i="1"/>
  <c r="AD145" i="1"/>
  <c r="AC145" i="1"/>
  <c r="AE144" i="1"/>
  <c r="AD144" i="1"/>
  <c r="AC144" i="1"/>
  <c r="AE143" i="1"/>
  <c r="AD143" i="1"/>
  <c r="AC143" i="1"/>
  <c r="AE142" i="1"/>
  <c r="AD142" i="1"/>
  <c r="AC142" i="1"/>
  <c r="AE141" i="1"/>
  <c r="AD141" i="1"/>
  <c r="AC141" i="1"/>
  <c r="AE140" i="1"/>
  <c r="AD140" i="1"/>
  <c r="AC140" i="1"/>
  <c r="AE139" i="1"/>
  <c r="AD139" i="1"/>
  <c r="AC139" i="1"/>
  <c r="AE138" i="1"/>
  <c r="AD138" i="1"/>
  <c r="AC138" i="1"/>
  <c r="AE137" i="1"/>
  <c r="AD137" i="1"/>
  <c r="AC137" i="1"/>
  <c r="AE136" i="1"/>
  <c r="AD136" i="1"/>
  <c r="AC136" i="1"/>
  <c r="AE135" i="1"/>
  <c r="AD135" i="1"/>
  <c r="AC135" i="1"/>
  <c r="AE134" i="1"/>
  <c r="AD134" i="1"/>
  <c r="AC134" i="1"/>
  <c r="AE133" i="1"/>
  <c r="AD133" i="1"/>
  <c r="AC133" i="1"/>
  <c r="AE132" i="1"/>
  <c r="AD132" i="1"/>
  <c r="AC132" i="1"/>
  <c r="AE131" i="1"/>
  <c r="AD131" i="1"/>
  <c r="AC131" i="1"/>
  <c r="AE130" i="1"/>
  <c r="AD130" i="1"/>
  <c r="AC130" i="1"/>
  <c r="AE129" i="1"/>
  <c r="AD129" i="1"/>
  <c r="AC129" i="1"/>
  <c r="AE128" i="1"/>
  <c r="AD128" i="1"/>
  <c r="AC128" i="1"/>
  <c r="AE127" i="1"/>
  <c r="AD127" i="1"/>
  <c r="AC127" i="1"/>
  <c r="AE126" i="1"/>
  <c r="AD126" i="1"/>
  <c r="AC126" i="1"/>
  <c r="AE125" i="1"/>
  <c r="AD125" i="1"/>
  <c r="AC125" i="1"/>
  <c r="AE124" i="1"/>
  <c r="AD124" i="1"/>
  <c r="AC124" i="1"/>
  <c r="AE123" i="1"/>
  <c r="AD123" i="1"/>
  <c r="AC123" i="1"/>
  <c r="AE122" i="1"/>
  <c r="AD122" i="1"/>
  <c r="AC122" i="1"/>
  <c r="AE121" i="1"/>
  <c r="AD121" i="1"/>
  <c r="AC121" i="1"/>
  <c r="AE120" i="1"/>
  <c r="AD120" i="1"/>
  <c r="AC120" i="1"/>
  <c r="AE119" i="1"/>
  <c r="AD119" i="1"/>
  <c r="AC119" i="1"/>
  <c r="AE118" i="1"/>
  <c r="AD118" i="1"/>
  <c r="AC118" i="1"/>
  <c r="AE117" i="1"/>
  <c r="AD117" i="1"/>
  <c r="AC117" i="1"/>
  <c r="AE116" i="1"/>
  <c r="AD116" i="1"/>
  <c r="AC116" i="1"/>
  <c r="AE115" i="1"/>
  <c r="AD115" i="1"/>
  <c r="AC115" i="1"/>
  <c r="AE114" i="1"/>
  <c r="AD114" i="1"/>
  <c r="AC114" i="1"/>
  <c r="AE113" i="1"/>
  <c r="AD113" i="1"/>
  <c r="AC113" i="1"/>
  <c r="AE112" i="1"/>
  <c r="AD112" i="1"/>
  <c r="AC112" i="1"/>
  <c r="AE111" i="1"/>
  <c r="AD111" i="1"/>
  <c r="AC111" i="1"/>
  <c r="AE110" i="1"/>
  <c r="AD110" i="1"/>
  <c r="AC110" i="1"/>
  <c r="AE109" i="1"/>
  <c r="AD109" i="1"/>
  <c r="AC109" i="1"/>
  <c r="AE108" i="1"/>
  <c r="AD108" i="1"/>
  <c r="AC108" i="1"/>
  <c r="AE107" i="1"/>
  <c r="AD107" i="1"/>
  <c r="AC107" i="1"/>
  <c r="AE106" i="1"/>
  <c r="AD106" i="1"/>
  <c r="AC106" i="1"/>
  <c r="AE105" i="1"/>
  <c r="AD105" i="1"/>
  <c r="AC105" i="1"/>
  <c r="AE104" i="1"/>
  <c r="AD104" i="1"/>
  <c r="AC104" i="1"/>
  <c r="AE103" i="1"/>
  <c r="AD103" i="1"/>
  <c r="AC103" i="1"/>
  <c r="AE102" i="1"/>
  <c r="AD102" i="1"/>
  <c r="AC102" i="1"/>
  <c r="AE101" i="1"/>
  <c r="AD101" i="1"/>
  <c r="AC101" i="1"/>
  <c r="AE100" i="1"/>
  <c r="AD100" i="1"/>
  <c r="AC100" i="1"/>
  <c r="AE99" i="1"/>
  <c r="AD99" i="1"/>
  <c r="AC99" i="1"/>
  <c r="AE98" i="1"/>
  <c r="AD98" i="1"/>
  <c r="AC98" i="1"/>
  <c r="AE97" i="1"/>
  <c r="AD97" i="1"/>
  <c r="AC97" i="1"/>
  <c r="AE96" i="1"/>
  <c r="AD96" i="1"/>
  <c r="AC96" i="1"/>
  <c r="AE95" i="1"/>
  <c r="AD95" i="1"/>
  <c r="AC95" i="1"/>
  <c r="AE94" i="1"/>
  <c r="AD94" i="1"/>
  <c r="AC94" i="1"/>
  <c r="AE93" i="1"/>
  <c r="AD93" i="1"/>
  <c r="AC93" i="1"/>
  <c r="AE92" i="1"/>
  <c r="AD92" i="1"/>
  <c r="AC92" i="1"/>
  <c r="AE91" i="1"/>
  <c r="AD91" i="1"/>
  <c r="AC91" i="1"/>
  <c r="AE90" i="1"/>
  <c r="AD90" i="1"/>
  <c r="AC90" i="1"/>
  <c r="AE89" i="1"/>
  <c r="AD89" i="1"/>
  <c r="AC89" i="1"/>
  <c r="AE88" i="1"/>
  <c r="AD88" i="1"/>
  <c r="AC88" i="1"/>
  <c r="AE87" i="1"/>
  <c r="AD87" i="1"/>
  <c r="AC87" i="1"/>
  <c r="AE86" i="1"/>
  <c r="AD86" i="1"/>
  <c r="AC86" i="1"/>
  <c r="AE85" i="1"/>
  <c r="AD85" i="1"/>
  <c r="AC85" i="1"/>
  <c r="AE84" i="1"/>
  <c r="AD84" i="1"/>
  <c r="AC84" i="1"/>
  <c r="AE83" i="1"/>
  <c r="AD83" i="1"/>
  <c r="AC83" i="1"/>
  <c r="AE82" i="1"/>
  <c r="AD82" i="1"/>
  <c r="AC82" i="1"/>
  <c r="AE81" i="1"/>
  <c r="AD81" i="1"/>
  <c r="AC81" i="1"/>
  <c r="AE80" i="1"/>
  <c r="AD80" i="1"/>
  <c r="AC80" i="1"/>
  <c r="AE79" i="1"/>
  <c r="AD79" i="1"/>
  <c r="AC79" i="1"/>
  <c r="AE78" i="1"/>
  <c r="AD78" i="1"/>
  <c r="AC78" i="1"/>
  <c r="AE77" i="1"/>
  <c r="AD77" i="1"/>
  <c r="AC77" i="1"/>
  <c r="AE76" i="1"/>
  <c r="AD76" i="1"/>
  <c r="AC76" i="1"/>
  <c r="AE75" i="1"/>
  <c r="AD75" i="1"/>
  <c r="AC75" i="1"/>
  <c r="AE74" i="1"/>
  <c r="AD74" i="1"/>
  <c r="AC74" i="1"/>
  <c r="AE73" i="1"/>
  <c r="AD73" i="1"/>
  <c r="AC73" i="1"/>
  <c r="AE72" i="1"/>
  <c r="AD72" i="1"/>
  <c r="AC72" i="1"/>
  <c r="AE71" i="1"/>
  <c r="AD71" i="1"/>
  <c r="AC71" i="1"/>
  <c r="AE70" i="1"/>
  <c r="AD70" i="1"/>
  <c r="AC70" i="1"/>
  <c r="AE69" i="1"/>
  <c r="AD69" i="1"/>
  <c r="AC69" i="1"/>
  <c r="AE68" i="1"/>
  <c r="AD68" i="1"/>
  <c r="AC68" i="1"/>
  <c r="AE67" i="1"/>
  <c r="AD67" i="1"/>
  <c r="AC67" i="1"/>
  <c r="AE66" i="1"/>
  <c r="AD66" i="1"/>
  <c r="AC66" i="1"/>
  <c r="AE65" i="1"/>
  <c r="AD65" i="1"/>
  <c r="AC65" i="1"/>
  <c r="AE64" i="1"/>
  <c r="AD64" i="1"/>
  <c r="AC64" i="1"/>
  <c r="AE63" i="1"/>
  <c r="AD63" i="1"/>
  <c r="AC63" i="1"/>
  <c r="AE62" i="1"/>
  <c r="AD62" i="1"/>
  <c r="AC62" i="1"/>
  <c r="AE61" i="1"/>
  <c r="AD61" i="1"/>
  <c r="AC61" i="1"/>
  <c r="AE60" i="1"/>
  <c r="AD60" i="1"/>
  <c r="AC60" i="1"/>
  <c r="AE59" i="1"/>
  <c r="AD59" i="1"/>
  <c r="AC59" i="1"/>
  <c r="AE58" i="1"/>
  <c r="AD58" i="1"/>
  <c r="AC58" i="1"/>
  <c r="AE57" i="1"/>
  <c r="AD57" i="1"/>
  <c r="AC57" i="1"/>
  <c r="AE56" i="1"/>
  <c r="AD56" i="1"/>
  <c r="AC56" i="1"/>
  <c r="AE55" i="1"/>
  <c r="AD55" i="1"/>
  <c r="AC55" i="1"/>
  <c r="AE54" i="1"/>
  <c r="AD54" i="1"/>
  <c r="AC54" i="1"/>
  <c r="AE53" i="1"/>
  <c r="AD53" i="1"/>
  <c r="AC53" i="1"/>
  <c r="AE52" i="1"/>
  <c r="AD52" i="1"/>
  <c r="AC52" i="1"/>
  <c r="AE51" i="1"/>
  <c r="AD51" i="1"/>
  <c r="AC51" i="1"/>
  <c r="AE50" i="1"/>
  <c r="AD50" i="1"/>
  <c r="AC50" i="1"/>
  <c r="AE49" i="1"/>
  <c r="AD49" i="1"/>
  <c r="AC49" i="1"/>
  <c r="AE48" i="1"/>
  <c r="AD48" i="1"/>
  <c r="AC48" i="1"/>
  <c r="AE47" i="1"/>
  <c r="AD47" i="1"/>
  <c r="AC47" i="1"/>
  <c r="AE46" i="1"/>
  <c r="AD46" i="1"/>
  <c r="AC46" i="1"/>
  <c r="AE45" i="1"/>
  <c r="AD45" i="1"/>
  <c r="AC45" i="1"/>
  <c r="AE44" i="1"/>
  <c r="AD44" i="1"/>
  <c r="AC44" i="1"/>
  <c r="AE43" i="1"/>
  <c r="AD43" i="1"/>
  <c r="AC43" i="1"/>
  <c r="AE42" i="1"/>
  <c r="AD42" i="1"/>
  <c r="AC42" i="1"/>
  <c r="AE41" i="1"/>
  <c r="AD41" i="1"/>
  <c r="AC41" i="1"/>
  <c r="AE40" i="1"/>
  <c r="AD40" i="1"/>
  <c r="AC40" i="1"/>
  <c r="AE39" i="1"/>
  <c r="AD39" i="1"/>
  <c r="AC39" i="1"/>
  <c r="AE38" i="1"/>
  <c r="AD38" i="1"/>
  <c r="AC38" i="1"/>
  <c r="AE37" i="1"/>
  <c r="AD37" i="1"/>
  <c r="AC37" i="1"/>
  <c r="AE36" i="1"/>
  <c r="AD36" i="1"/>
  <c r="AC36" i="1"/>
  <c r="AE35" i="1"/>
  <c r="AD35" i="1"/>
  <c r="AC35" i="1"/>
  <c r="AE34" i="1"/>
  <c r="AD34" i="1"/>
  <c r="AC34" i="1"/>
  <c r="AE33" i="1"/>
  <c r="AD33" i="1"/>
  <c r="AC33" i="1"/>
  <c r="AE32" i="1"/>
  <c r="AD32" i="1"/>
  <c r="AC32" i="1"/>
  <c r="AE31" i="1"/>
  <c r="AD31" i="1"/>
  <c r="AC31" i="1"/>
  <c r="AE30" i="1"/>
  <c r="AD30" i="1"/>
  <c r="AC30" i="1"/>
  <c r="AE29" i="1"/>
  <c r="AD29" i="1"/>
  <c r="AC29" i="1"/>
  <c r="AE28" i="1"/>
  <c r="AD28" i="1"/>
  <c r="AC28" i="1"/>
  <c r="AE27" i="1"/>
  <c r="AD27" i="1"/>
  <c r="AC27" i="1"/>
  <c r="AE26" i="1"/>
  <c r="AD26" i="1"/>
  <c r="AC26" i="1"/>
  <c r="AE25" i="1"/>
  <c r="AD25" i="1"/>
  <c r="AC25" i="1"/>
  <c r="AE24" i="1"/>
  <c r="AD24" i="1"/>
  <c r="AC24" i="1"/>
  <c r="AE23" i="1"/>
  <c r="AD23" i="1"/>
  <c r="AC23" i="1"/>
  <c r="AE22" i="1"/>
  <c r="AD22" i="1"/>
  <c r="AC22" i="1"/>
  <c r="AE21" i="1"/>
  <c r="AD21" i="1"/>
  <c r="AC21" i="1"/>
  <c r="AE20" i="1"/>
  <c r="AD20" i="1"/>
  <c r="AC20" i="1"/>
  <c r="AE19" i="1"/>
  <c r="AD19" i="1"/>
  <c r="AC19" i="1"/>
  <c r="AE18" i="1"/>
  <c r="AD18" i="1"/>
  <c r="AC18" i="1"/>
  <c r="AE17" i="1"/>
  <c r="AD17" i="1"/>
  <c r="AC17" i="1"/>
  <c r="AE16" i="1"/>
  <c r="AD16" i="1"/>
  <c r="AC16" i="1"/>
  <c r="AE15" i="1"/>
  <c r="AD15" i="1"/>
  <c r="AC15" i="1"/>
  <c r="AE14" i="1"/>
  <c r="AD14" i="1"/>
  <c r="AC14" i="1"/>
  <c r="AE13" i="1"/>
  <c r="AD13" i="1"/>
  <c r="AC13" i="1"/>
  <c r="AE12" i="1"/>
  <c r="AD12" i="1"/>
  <c r="AC12" i="1"/>
  <c r="AE11" i="1"/>
  <c r="AD11" i="1"/>
  <c r="AC11" i="1"/>
  <c r="AE10" i="1"/>
  <c r="AD10" i="1"/>
  <c r="AC10" i="1"/>
  <c r="AE9" i="1"/>
  <c r="AD9" i="1"/>
  <c r="AC9" i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AA305" i="1"/>
  <c r="AA304" i="1"/>
  <c r="AA303" i="1"/>
  <c r="AA302" i="1"/>
  <c r="AA301" i="1"/>
  <c r="AA300" i="1"/>
  <c r="AA299" i="1"/>
  <c r="AA298" i="1"/>
  <c r="AA297" i="1"/>
  <c r="AA295" i="1"/>
  <c r="AA294" i="1"/>
  <c r="AA293" i="1"/>
  <c r="AA292" i="1"/>
  <c r="AA291" i="1"/>
  <c r="AA290" i="1"/>
  <c r="AA289" i="1"/>
  <c r="AA288" i="1"/>
  <c r="AA284" i="1"/>
  <c r="AA283" i="1"/>
  <c r="AA282" i="1"/>
  <c r="AA281" i="1"/>
  <c r="AA280" i="1"/>
  <c r="AA279" i="1"/>
  <c r="AA278" i="1"/>
  <c r="AA277" i="1"/>
  <c r="AA276" i="1"/>
  <c r="AA271" i="1"/>
  <c r="AA270" i="1"/>
  <c r="AA269" i="1"/>
  <c r="AA268" i="1"/>
  <c r="AA267" i="1"/>
  <c r="AA262" i="1"/>
  <c r="AA261" i="1"/>
  <c r="AA256" i="1"/>
  <c r="AA255" i="1"/>
  <c r="AA254" i="1"/>
  <c r="AA253" i="1"/>
  <c r="AA252" i="1"/>
  <c r="AA251" i="1"/>
  <c r="AA250" i="1"/>
  <c r="AA249" i="1"/>
  <c r="AA248" i="1"/>
  <c r="AA247" i="1"/>
  <c r="AA246" i="1"/>
  <c r="AA245" i="1"/>
  <c r="AA244" i="1"/>
  <c r="AA243" i="1"/>
  <c r="AA242" i="1"/>
  <c r="AA241" i="1"/>
  <c r="AA240" i="1"/>
  <c r="AA239" i="1"/>
  <c r="AA238" i="1"/>
  <c r="AA237" i="1"/>
  <c r="AA236" i="1"/>
  <c r="AA235" i="1"/>
  <c r="AA234" i="1"/>
  <c r="AA233" i="1"/>
  <c r="AA232" i="1"/>
  <c r="AA230" i="1"/>
  <c r="AA229" i="1"/>
  <c r="AA228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160" i="1"/>
  <c r="AA159" i="1"/>
  <c r="AA158" i="1"/>
  <c r="AA157" i="1"/>
  <c r="AA156" i="1"/>
  <c r="AA155" i="1"/>
  <c r="AA154" i="1"/>
  <c r="AA153" i="1"/>
  <c r="AA152" i="1"/>
  <c r="AA151" i="1"/>
  <c r="AA150" i="1"/>
  <c r="AA149" i="1"/>
  <c r="AA148" i="1"/>
  <c r="AA147" i="1"/>
  <c r="AA146" i="1"/>
  <c r="AA145" i="1"/>
  <c r="AA144" i="1"/>
  <c r="AA143" i="1"/>
  <c r="AA142" i="1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AA2" i="1"/>
  <c r="W305" i="1"/>
  <c r="W304" i="1"/>
  <c r="W303" i="1"/>
  <c r="W302" i="1"/>
  <c r="W301" i="1"/>
  <c r="W300" i="1"/>
  <c r="W299" i="1"/>
  <c r="W298" i="1"/>
  <c r="W297" i="1"/>
  <c r="W295" i="1"/>
  <c r="W294" i="1"/>
  <c r="W293" i="1"/>
  <c r="W292" i="1"/>
  <c r="W291" i="1"/>
  <c r="W290" i="1"/>
  <c r="W289" i="1"/>
  <c r="W288" i="1"/>
  <c r="W284" i="1"/>
  <c r="W283" i="1"/>
  <c r="W282" i="1"/>
  <c r="W281" i="1"/>
  <c r="W280" i="1"/>
  <c r="W279" i="1"/>
  <c r="W278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W2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Q305" i="1"/>
  <c r="P305" i="1"/>
  <c r="Q304" i="1"/>
  <c r="P304" i="1"/>
  <c r="Q303" i="1"/>
  <c r="P303" i="1"/>
  <c r="Q302" i="1"/>
  <c r="P302" i="1"/>
  <c r="Q301" i="1"/>
  <c r="P301" i="1"/>
  <c r="Q300" i="1"/>
  <c r="P300" i="1"/>
  <c r="Q299" i="1"/>
  <c r="P299" i="1"/>
  <c r="Q298" i="1"/>
  <c r="P298" i="1"/>
  <c r="Q297" i="1"/>
  <c r="P297" i="1"/>
  <c r="Q296" i="1"/>
  <c r="P296" i="1"/>
  <c r="Q295" i="1"/>
  <c r="P295" i="1"/>
  <c r="Q294" i="1"/>
  <c r="P294" i="1"/>
  <c r="Q293" i="1"/>
  <c r="P293" i="1"/>
  <c r="Q292" i="1"/>
  <c r="P292" i="1"/>
  <c r="Q291" i="1"/>
  <c r="P291" i="1"/>
  <c r="Q290" i="1"/>
  <c r="P290" i="1"/>
  <c r="Q289" i="1"/>
  <c r="P289" i="1"/>
  <c r="Q288" i="1"/>
  <c r="P288" i="1"/>
  <c r="Q287" i="1"/>
  <c r="P287" i="1"/>
  <c r="Q286" i="1"/>
  <c r="P286" i="1"/>
  <c r="Q285" i="1"/>
  <c r="P285" i="1"/>
  <c r="Q284" i="1"/>
  <c r="P284" i="1"/>
  <c r="Q283" i="1"/>
  <c r="P283" i="1"/>
  <c r="Q282" i="1"/>
  <c r="P282" i="1"/>
  <c r="Q281" i="1"/>
  <c r="P281" i="1"/>
  <c r="Q280" i="1"/>
  <c r="P280" i="1"/>
  <c r="Q279" i="1"/>
  <c r="P279" i="1"/>
  <c r="Q278" i="1"/>
  <c r="P278" i="1"/>
  <c r="Q277" i="1"/>
  <c r="P277" i="1"/>
  <c r="Q276" i="1"/>
  <c r="P276" i="1"/>
  <c r="Q275" i="1"/>
  <c r="P275" i="1"/>
  <c r="Q274" i="1"/>
  <c r="P274" i="1"/>
  <c r="Q273" i="1"/>
  <c r="P273" i="1"/>
  <c r="Q272" i="1"/>
  <c r="P272" i="1"/>
  <c r="Q271" i="1"/>
  <c r="P271" i="1"/>
  <c r="Q270" i="1"/>
  <c r="P270" i="1"/>
  <c r="Q269" i="1"/>
  <c r="P269" i="1"/>
  <c r="Q268" i="1"/>
  <c r="P268" i="1"/>
  <c r="Q267" i="1"/>
  <c r="P267" i="1"/>
  <c r="Q266" i="1"/>
  <c r="P266" i="1"/>
  <c r="Q265" i="1"/>
  <c r="P265" i="1"/>
  <c r="Q264" i="1"/>
  <c r="P264" i="1"/>
  <c r="Q263" i="1"/>
  <c r="P263" i="1"/>
  <c r="Q262" i="1"/>
  <c r="P262" i="1"/>
  <c r="Q261" i="1"/>
  <c r="P261" i="1"/>
  <c r="Q260" i="1"/>
  <c r="P260" i="1"/>
  <c r="Q259" i="1"/>
  <c r="P259" i="1"/>
  <c r="Q258" i="1"/>
  <c r="P258" i="1"/>
  <c r="Q257" i="1"/>
  <c r="P257" i="1"/>
  <c r="Q256" i="1"/>
  <c r="P256" i="1"/>
  <c r="Q255" i="1"/>
  <c r="P255" i="1"/>
  <c r="Q254" i="1"/>
  <c r="P254" i="1"/>
  <c r="Q253" i="1"/>
  <c r="P253" i="1"/>
  <c r="Q252" i="1"/>
  <c r="P252" i="1"/>
  <c r="Q251" i="1"/>
  <c r="P251" i="1"/>
  <c r="Q250" i="1"/>
  <c r="P250" i="1"/>
  <c r="Q249" i="1"/>
  <c r="P249" i="1"/>
  <c r="Q248" i="1"/>
  <c r="P248" i="1"/>
  <c r="Q247" i="1"/>
  <c r="P247" i="1"/>
  <c r="Q246" i="1"/>
  <c r="P246" i="1"/>
  <c r="Q245" i="1"/>
  <c r="P245" i="1"/>
  <c r="Q244" i="1"/>
  <c r="P244" i="1"/>
  <c r="Q243" i="1"/>
  <c r="P243" i="1"/>
  <c r="Q242" i="1"/>
  <c r="P242" i="1"/>
  <c r="Q241" i="1"/>
  <c r="P241" i="1"/>
  <c r="Q240" i="1"/>
  <c r="P240" i="1"/>
  <c r="Q239" i="1"/>
  <c r="P239" i="1"/>
  <c r="Q238" i="1"/>
  <c r="P238" i="1"/>
  <c r="Q237" i="1"/>
  <c r="P237" i="1"/>
  <c r="Q236" i="1"/>
  <c r="P236" i="1"/>
  <c r="Q235" i="1"/>
  <c r="P235" i="1"/>
  <c r="Q234" i="1"/>
  <c r="P234" i="1"/>
  <c r="Q233" i="1"/>
  <c r="P233" i="1"/>
  <c r="Q232" i="1"/>
  <c r="P232" i="1"/>
  <c r="Q231" i="1"/>
  <c r="P231" i="1"/>
  <c r="Q230" i="1"/>
  <c r="P230" i="1"/>
  <c r="Q229" i="1"/>
  <c r="P229" i="1"/>
  <c r="Q228" i="1"/>
  <c r="P228" i="1"/>
  <c r="Q227" i="1"/>
  <c r="P227" i="1"/>
  <c r="Q226" i="1"/>
  <c r="P226" i="1"/>
  <c r="Q225" i="1"/>
  <c r="P225" i="1"/>
  <c r="Q224" i="1"/>
  <c r="P224" i="1"/>
  <c r="Q223" i="1"/>
  <c r="P223" i="1"/>
  <c r="Q222" i="1"/>
  <c r="P222" i="1"/>
  <c r="Q221" i="1"/>
  <c r="P221" i="1"/>
  <c r="Q220" i="1"/>
  <c r="P220" i="1"/>
  <c r="Q219" i="1"/>
  <c r="P219" i="1"/>
  <c r="Q218" i="1"/>
  <c r="P218" i="1"/>
  <c r="Q217" i="1"/>
  <c r="P217" i="1"/>
  <c r="Q216" i="1"/>
  <c r="P216" i="1"/>
  <c r="Q215" i="1"/>
  <c r="P215" i="1"/>
  <c r="Q214" i="1"/>
  <c r="P214" i="1"/>
  <c r="Q213" i="1"/>
  <c r="P213" i="1"/>
  <c r="Q212" i="1"/>
  <c r="P212" i="1"/>
  <c r="Q211" i="1"/>
  <c r="P211" i="1"/>
  <c r="Q210" i="1"/>
  <c r="P210" i="1"/>
  <c r="Q209" i="1"/>
  <c r="P209" i="1"/>
  <c r="Q208" i="1"/>
  <c r="P208" i="1"/>
  <c r="Q207" i="1"/>
  <c r="P207" i="1"/>
  <c r="Q206" i="1"/>
  <c r="P206" i="1"/>
  <c r="Q205" i="1"/>
  <c r="P205" i="1"/>
  <c r="Q204" i="1"/>
  <c r="P204" i="1"/>
  <c r="Q203" i="1"/>
  <c r="P203" i="1"/>
  <c r="Q202" i="1"/>
  <c r="P202" i="1"/>
  <c r="Q201" i="1"/>
  <c r="P201" i="1"/>
  <c r="Q200" i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Q2" i="1"/>
  <c r="P2" i="1"/>
  <c r="N305" i="1"/>
  <c r="M305" i="1"/>
  <c r="N304" i="1"/>
  <c r="M304" i="1"/>
  <c r="N303" i="1"/>
  <c r="M303" i="1"/>
  <c r="N302" i="1"/>
  <c r="M302" i="1"/>
  <c r="N301" i="1"/>
  <c r="M301" i="1"/>
  <c r="N300" i="1"/>
  <c r="M300" i="1"/>
  <c r="N299" i="1"/>
  <c r="M299" i="1"/>
  <c r="N298" i="1"/>
  <c r="M298" i="1"/>
  <c r="N297" i="1"/>
  <c r="M297" i="1"/>
  <c r="N296" i="1"/>
  <c r="M296" i="1"/>
  <c r="N295" i="1"/>
  <c r="M295" i="1"/>
  <c r="N294" i="1"/>
  <c r="M294" i="1"/>
  <c r="N293" i="1"/>
  <c r="M293" i="1"/>
  <c r="N292" i="1"/>
  <c r="M292" i="1"/>
  <c r="N291" i="1"/>
  <c r="M291" i="1"/>
  <c r="N290" i="1"/>
  <c r="M290" i="1"/>
  <c r="N289" i="1"/>
  <c r="M289" i="1"/>
  <c r="N288" i="1"/>
  <c r="M288" i="1"/>
  <c r="N287" i="1"/>
  <c r="M287" i="1"/>
  <c r="N286" i="1"/>
  <c r="M286" i="1"/>
  <c r="N285" i="1"/>
  <c r="M285" i="1"/>
  <c r="N284" i="1"/>
  <c r="M284" i="1"/>
  <c r="N283" i="1"/>
  <c r="M283" i="1"/>
  <c r="N282" i="1"/>
  <c r="M282" i="1"/>
  <c r="N281" i="1"/>
  <c r="M281" i="1"/>
  <c r="N280" i="1"/>
  <c r="M280" i="1"/>
  <c r="N279" i="1"/>
  <c r="M279" i="1"/>
  <c r="N278" i="1"/>
  <c r="M278" i="1"/>
  <c r="N277" i="1"/>
  <c r="M277" i="1"/>
  <c r="N276" i="1"/>
  <c r="M276" i="1"/>
  <c r="N275" i="1"/>
  <c r="M275" i="1"/>
  <c r="N274" i="1"/>
  <c r="M274" i="1"/>
  <c r="N273" i="1"/>
  <c r="M273" i="1"/>
  <c r="N272" i="1"/>
  <c r="M272" i="1"/>
  <c r="N271" i="1"/>
  <c r="M271" i="1"/>
  <c r="N270" i="1"/>
  <c r="M270" i="1"/>
  <c r="N269" i="1"/>
  <c r="M269" i="1"/>
  <c r="N268" i="1"/>
  <c r="M268" i="1"/>
  <c r="N267" i="1"/>
  <c r="M267" i="1"/>
  <c r="N266" i="1"/>
  <c r="M266" i="1"/>
  <c r="N265" i="1"/>
  <c r="M265" i="1"/>
  <c r="N264" i="1"/>
  <c r="M264" i="1"/>
  <c r="N263" i="1"/>
  <c r="M263" i="1"/>
  <c r="N262" i="1"/>
  <c r="M262" i="1"/>
  <c r="N261" i="1"/>
  <c r="M261" i="1"/>
  <c r="N260" i="1"/>
  <c r="M260" i="1"/>
  <c r="N259" i="1"/>
  <c r="M259" i="1"/>
  <c r="N258" i="1"/>
  <c r="M258" i="1"/>
  <c r="N257" i="1"/>
  <c r="M257" i="1"/>
  <c r="N256" i="1"/>
  <c r="M256" i="1"/>
  <c r="N255" i="1"/>
  <c r="M255" i="1"/>
  <c r="N254" i="1"/>
  <c r="M254" i="1"/>
  <c r="N253" i="1"/>
  <c r="M253" i="1"/>
  <c r="N252" i="1"/>
  <c r="M252" i="1"/>
  <c r="N251" i="1"/>
  <c r="M251" i="1"/>
  <c r="N250" i="1"/>
  <c r="M250" i="1"/>
  <c r="N249" i="1"/>
  <c r="M249" i="1"/>
  <c r="N248" i="1"/>
  <c r="M248" i="1"/>
  <c r="N247" i="1"/>
  <c r="M247" i="1"/>
  <c r="N246" i="1"/>
  <c r="M246" i="1"/>
  <c r="N245" i="1"/>
  <c r="M245" i="1"/>
  <c r="N244" i="1"/>
  <c r="M244" i="1"/>
  <c r="N243" i="1"/>
  <c r="M243" i="1"/>
  <c r="N242" i="1"/>
  <c r="M242" i="1"/>
  <c r="N241" i="1"/>
  <c r="M241" i="1"/>
  <c r="N240" i="1"/>
  <c r="M240" i="1"/>
  <c r="N239" i="1"/>
  <c r="M239" i="1"/>
  <c r="N238" i="1"/>
  <c r="M238" i="1"/>
  <c r="N237" i="1"/>
  <c r="M237" i="1"/>
  <c r="N236" i="1"/>
  <c r="M236" i="1"/>
  <c r="N235" i="1"/>
  <c r="M235" i="1"/>
  <c r="N234" i="1"/>
  <c r="M234" i="1"/>
  <c r="N233" i="1"/>
  <c r="M233" i="1"/>
  <c r="N232" i="1"/>
  <c r="M232" i="1"/>
  <c r="N231" i="1"/>
  <c r="M231" i="1"/>
  <c r="N230" i="1"/>
  <c r="M230" i="1"/>
  <c r="N229" i="1"/>
  <c r="M229" i="1"/>
  <c r="N228" i="1"/>
  <c r="M228" i="1"/>
  <c r="N227" i="1"/>
  <c r="M227" i="1"/>
  <c r="N226" i="1"/>
  <c r="M226" i="1"/>
  <c r="N225" i="1"/>
  <c r="M225" i="1"/>
  <c r="N224" i="1"/>
  <c r="M224" i="1"/>
  <c r="N223" i="1"/>
  <c r="M223" i="1"/>
  <c r="N222" i="1"/>
  <c r="M222" i="1"/>
  <c r="N221" i="1"/>
  <c r="M221" i="1"/>
  <c r="N220" i="1"/>
  <c r="M220" i="1"/>
  <c r="N219" i="1"/>
  <c r="M219" i="1"/>
  <c r="N218" i="1"/>
  <c r="M218" i="1"/>
  <c r="N217" i="1"/>
  <c r="M217" i="1"/>
  <c r="N216" i="1"/>
  <c r="M216" i="1"/>
  <c r="N215" i="1"/>
  <c r="M215" i="1"/>
  <c r="N214" i="1"/>
  <c r="M214" i="1"/>
  <c r="N213" i="1"/>
  <c r="M213" i="1"/>
  <c r="N212" i="1"/>
  <c r="M212" i="1"/>
  <c r="N211" i="1"/>
  <c r="M211" i="1"/>
  <c r="N210" i="1"/>
  <c r="M210" i="1"/>
  <c r="N209" i="1"/>
  <c r="M209" i="1"/>
  <c r="N208" i="1"/>
  <c r="M208" i="1"/>
  <c r="N207" i="1"/>
  <c r="M207" i="1"/>
  <c r="N206" i="1"/>
  <c r="M206" i="1"/>
  <c r="N205" i="1"/>
  <c r="M205" i="1"/>
  <c r="N204" i="1"/>
  <c r="M204" i="1"/>
  <c r="N203" i="1"/>
  <c r="M203" i="1"/>
  <c r="N202" i="1"/>
  <c r="M202" i="1"/>
  <c r="N201" i="1"/>
  <c r="M201" i="1"/>
  <c r="N200" i="1"/>
  <c r="M200" i="1"/>
  <c r="N199" i="1"/>
  <c r="M199" i="1"/>
  <c r="N198" i="1"/>
  <c r="M198" i="1"/>
  <c r="N197" i="1"/>
  <c r="M197" i="1"/>
  <c r="N196" i="1"/>
  <c r="M196" i="1"/>
  <c r="N195" i="1"/>
  <c r="M195" i="1"/>
  <c r="N194" i="1"/>
  <c r="M194" i="1"/>
  <c r="N193" i="1"/>
  <c r="M193" i="1"/>
  <c r="N192" i="1"/>
  <c r="M192" i="1"/>
  <c r="N191" i="1"/>
  <c r="M191" i="1"/>
  <c r="N190" i="1"/>
  <c r="M190" i="1"/>
  <c r="N189" i="1"/>
  <c r="M189" i="1"/>
  <c r="N188" i="1"/>
  <c r="M188" i="1"/>
  <c r="N187" i="1"/>
  <c r="M187" i="1"/>
  <c r="N186" i="1"/>
  <c r="M186" i="1"/>
  <c r="N185" i="1"/>
  <c r="M185" i="1"/>
  <c r="N184" i="1"/>
  <c r="M184" i="1"/>
  <c r="N183" i="1"/>
  <c r="M183" i="1"/>
  <c r="N182" i="1"/>
  <c r="M182" i="1"/>
  <c r="N181" i="1"/>
  <c r="M181" i="1"/>
  <c r="N180" i="1"/>
  <c r="M180" i="1"/>
  <c r="N179" i="1"/>
  <c r="M179" i="1"/>
  <c r="N178" i="1"/>
  <c r="M178" i="1"/>
  <c r="N177" i="1"/>
  <c r="M177" i="1"/>
  <c r="N176" i="1"/>
  <c r="M176" i="1"/>
  <c r="N175" i="1"/>
  <c r="M175" i="1"/>
  <c r="N174" i="1"/>
  <c r="M174" i="1"/>
  <c r="N173" i="1"/>
  <c r="M173" i="1"/>
  <c r="N172" i="1"/>
  <c r="M172" i="1"/>
  <c r="N171" i="1"/>
  <c r="M171" i="1"/>
  <c r="N170" i="1"/>
  <c r="M170" i="1"/>
  <c r="N169" i="1"/>
  <c r="M169" i="1"/>
  <c r="N168" i="1"/>
  <c r="M168" i="1"/>
  <c r="N167" i="1"/>
  <c r="M167" i="1"/>
  <c r="N166" i="1"/>
  <c r="M166" i="1"/>
  <c r="N165" i="1"/>
  <c r="M165" i="1"/>
  <c r="N164" i="1"/>
  <c r="M164" i="1"/>
  <c r="N163" i="1"/>
  <c r="M163" i="1"/>
  <c r="N162" i="1"/>
  <c r="M162" i="1"/>
  <c r="N161" i="1"/>
  <c r="M161" i="1"/>
  <c r="N160" i="1"/>
  <c r="M160" i="1"/>
  <c r="N159" i="1"/>
  <c r="M159" i="1"/>
  <c r="N158" i="1"/>
  <c r="M158" i="1"/>
  <c r="N157" i="1"/>
  <c r="M157" i="1"/>
  <c r="N156" i="1"/>
  <c r="M156" i="1"/>
  <c r="N155" i="1"/>
  <c r="M155" i="1"/>
  <c r="N154" i="1"/>
  <c r="M154" i="1"/>
  <c r="N153" i="1"/>
  <c r="M153" i="1"/>
  <c r="N152" i="1"/>
  <c r="M152" i="1"/>
  <c r="N151" i="1"/>
  <c r="M151" i="1"/>
  <c r="N150" i="1"/>
  <c r="M150" i="1"/>
  <c r="N149" i="1"/>
  <c r="M149" i="1"/>
  <c r="N148" i="1"/>
  <c r="M148" i="1"/>
  <c r="N147" i="1"/>
  <c r="M147" i="1"/>
  <c r="N146" i="1"/>
  <c r="M146" i="1"/>
  <c r="N145" i="1"/>
  <c r="M145" i="1"/>
  <c r="N144" i="1"/>
  <c r="M144" i="1"/>
  <c r="N143" i="1"/>
  <c r="M143" i="1"/>
  <c r="N142" i="1"/>
  <c r="M142" i="1"/>
  <c r="N141" i="1"/>
  <c r="M141" i="1"/>
  <c r="N140" i="1"/>
  <c r="M140" i="1"/>
  <c r="N139" i="1"/>
  <c r="M139" i="1"/>
  <c r="N138" i="1"/>
  <c r="M138" i="1"/>
  <c r="N137" i="1"/>
  <c r="M137" i="1"/>
  <c r="N136" i="1"/>
  <c r="M136" i="1"/>
  <c r="N135" i="1"/>
  <c r="M135" i="1"/>
  <c r="N134" i="1"/>
  <c r="M134" i="1"/>
  <c r="N133" i="1"/>
  <c r="M133" i="1"/>
  <c r="N132" i="1"/>
  <c r="M132" i="1"/>
  <c r="N131" i="1"/>
  <c r="M131" i="1"/>
  <c r="N130" i="1"/>
  <c r="M130" i="1"/>
  <c r="N129" i="1"/>
  <c r="M129" i="1"/>
  <c r="N128" i="1"/>
  <c r="M128" i="1"/>
  <c r="N127" i="1"/>
  <c r="M127" i="1"/>
  <c r="N126" i="1"/>
  <c r="M126" i="1"/>
  <c r="N125" i="1"/>
  <c r="M125" i="1"/>
  <c r="N124" i="1"/>
  <c r="M124" i="1"/>
  <c r="N123" i="1"/>
  <c r="M123" i="1"/>
  <c r="N122" i="1"/>
  <c r="M122" i="1"/>
  <c r="N121" i="1"/>
  <c r="M121" i="1"/>
  <c r="N120" i="1"/>
  <c r="M120" i="1"/>
  <c r="N119" i="1"/>
  <c r="M119" i="1"/>
  <c r="N118" i="1"/>
  <c r="M118" i="1"/>
  <c r="N117" i="1"/>
  <c r="M117" i="1"/>
  <c r="N116" i="1"/>
  <c r="M116" i="1"/>
  <c r="N115" i="1"/>
  <c r="M115" i="1"/>
  <c r="N114" i="1"/>
  <c r="M114" i="1"/>
  <c r="N113" i="1"/>
  <c r="M113" i="1"/>
  <c r="N112" i="1"/>
  <c r="M112" i="1"/>
  <c r="N111" i="1"/>
  <c r="M111" i="1"/>
  <c r="N110" i="1"/>
  <c r="M110" i="1"/>
  <c r="N109" i="1"/>
  <c r="M109" i="1"/>
  <c r="N108" i="1"/>
  <c r="M108" i="1"/>
  <c r="N107" i="1"/>
  <c r="M107" i="1"/>
  <c r="N106" i="1"/>
  <c r="M106" i="1"/>
  <c r="N105" i="1"/>
  <c r="M105" i="1"/>
  <c r="N104" i="1"/>
  <c r="M104" i="1"/>
  <c r="N103" i="1"/>
  <c r="M103" i="1"/>
  <c r="N102" i="1"/>
  <c r="M102" i="1"/>
  <c r="N101" i="1"/>
  <c r="M101" i="1"/>
  <c r="N100" i="1"/>
  <c r="M100" i="1"/>
  <c r="N99" i="1"/>
  <c r="M99" i="1"/>
  <c r="N98" i="1"/>
  <c r="M98" i="1"/>
  <c r="N97" i="1"/>
  <c r="M97" i="1"/>
  <c r="N96" i="1"/>
  <c r="M96" i="1"/>
  <c r="N95" i="1"/>
  <c r="M95" i="1"/>
  <c r="N94" i="1"/>
  <c r="M94" i="1"/>
  <c r="N93" i="1"/>
  <c r="M93" i="1"/>
  <c r="N92" i="1"/>
  <c r="M92" i="1"/>
  <c r="N91" i="1"/>
  <c r="M91" i="1"/>
  <c r="N90" i="1"/>
  <c r="M90" i="1"/>
  <c r="N89" i="1"/>
  <c r="M89" i="1"/>
  <c r="N88" i="1"/>
  <c r="M88" i="1"/>
  <c r="N87" i="1"/>
  <c r="M87" i="1"/>
  <c r="N86" i="1"/>
  <c r="M86" i="1"/>
  <c r="N85" i="1"/>
  <c r="M85" i="1"/>
  <c r="N84" i="1"/>
  <c r="M84" i="1"/>
  <c r="N83" i="1"/>
  <c r="M83" i="1"/>
  <c r="N82" i="1"/>
  <c r="M82" i="1"/>
  <c r="N81" i="1"/>
  <c r="M81" i="1"/>
  <c r="N80" i="1"/>
  <c r="M80" i="1"/>
  <c r="N79" i="1"/>
  <c r="M79" i="1"/>
  <c r="N78" i="1"/>
  <c r="M78" i="1"/>
  <c r="N77" i="1"/>
  <c r="M77" i="1"/>
  <c r="N76" i="1"/>
  <c r="M76" i="1"/>
  <c r="N75" i="1"/>
  <c r="M75" i="1"/>
  <c r="N74" i="1"/>
  <c r="M74" i="1"/>
  <c r="N73" i="1"/>
  <c r="M73" i="1"/>
  <c r="N72" i="1"/>
  <c r="M72" i="1"/>
  <c r="N71" i="1"/>
  <c r="M71" i="1"/>
  <c r="N70" i="1"/>
  <c r="M70" i="1"/>
  <c r="N69" i="1"/>
  <c r="M69" i="1"/>
  <c r="N68" i="1"/>
  <c r="M68" i="1"/>
  <c r="N67" i="1"/>
  <c r="M67" i="1"/>
  <c r="N66" i="1"/>
  <c r="M66" i="1"/>
  <c r="N65" i="1"/>
  <c r="M65" i="1"/>
  <c r="N64" i="1"/>
  <c r="M64" i="1"/>
  <c r="N63" i="1"/>
  <c r="M63" i="1"/>
  <c r="N62" i="1"/>
  <c r="M62" i="1"/>
  <c r="N61" i="1"/>
  <c r="M61" i="1"/>
  <c r="N60" i="1"/>
  <c r="M60" i="1"/>
  <c r="N59" i="1"/>
  <c r="M59" i="1"/>
  <c r="N58" i="1"/>
  <c r="M58" i="1"/>
  <c r="N57" i="1"/>
  <c r="M57" i="1"/>
  <c r="N56" i="1"/>
  <c r="M56" i="1"/>
  <c r="N55" i="1"/>
  <c r="M55" i="1"/>
  <c r="N54" i="1"/>
  <c r="M54" i="1"/>
  <c r="N53" i="1"/>
  <c r="M53" i="1"/>
  <c r="N52" i="1"/>
  <c r="M52" i="1"/>
  <c r="N51" i="1"/>
  <c r="M51" i="1"/>
  <c r="N50" i="1"/>
  <c r="M50" i="1"/>
  <c r="N49" i="1"/>
  <c r="M49" i="1"/>
  <c r="N48" i="1"/>
  <c r="M48" i="1"/>
  <c r="N47" i="1"/>
  <c r="M47" i="1"/>
  <c r="N46" i="1"/>
  <c r="M46" i="1"/>
  <c r="N45" i="1"/>
  <c r="M45" i="1"/>
  <c r="N44" i="1"/>
  <c r="M44" i="1"/>
  <c r="N43" i="1"/>
  <c r="M43" i="1"/>
  <c r="N42" i="1"/>
  <c r="M42" i="1"/>
  <c r="N41" i="1"/>
  <c r="M41" i="1"/>
  <c r="N40" i="1"/>
  <c r="M40" i="1"/>
  <c r="N39" i="1"/>
  <c r="M39" i="1"/>
  <c r="N38" i="1"/>
  <c r="M38" i="1"/>
  <c r="N37" i="1"/>
  <c r="M37" i="1"/>
  <c r="N36" i="1"/>
  <c r="M36" i="1"/>
  <c r="N35" i="1"/>
  <c r="M35" i="1"/>
  <c r="N34" i="1"/>
  <c r="M34" i="1"/>
  <c r="N33" i="1"/>
  <c r="M33" i="1"/>
  <c r="N32" i="1"/>
  <c r="M32" i="1"/>
  <c r="N31" i="1"/>
  <c r="M31" i="1"/>
  <c r="N30" i="1"/>
  <c r="M30" i="1"/>
  <c r="N29" i="1"/>
  <c r="M29" i="1"/>
  <c r="N28" i="1"/>
  <c r="M28" i="1"/>
  <c r="N27" i="1"/>
  <c r="M27" i="1"/>
  <c r="N26" i="1"/>
  <c r="M26" i="1"/>
  <c r="N25" i="1"/>
  <c r="M25" i="1"/>
  <c r="N24" i="1"/>
  <c r="M24" i="1"/>
  <c r="N23" i="1"/>
  <c r="M23" i="1"/>
  <c r="N22" i="1"/>
  <c r="M22" i="1"/>
  <c r="N21" i="1"/>
  <c r="M21" i="1"/>
  <c r="N20" i="1"/>
  <c r="M20" i="1"/>
  <c r="N19" i="1"/>
  <c r="M19" i="1"/>
  <c r="N18" i="1"/>
  <c r="M18" i="1"/>
  <c r="N17" i="1"/>
  <c r="M17" i="1"/>
  <c r="N16" i="1"/>
  <c r="M16" i="1"/>
  <c r="N15" i="1"/>
  <c r="M15" i="1"/>
  <c r="N14" i="1"/>
  <c r="M14" i="1"/>
  <c r="N13" i="1"/>
  <c r="M13" i="1"/>
  <c r="N12" i="1"/>
  <c r="M12" i="1"/>
  <c r="N11" i="1"/>
  <c r="M11" i="1"/>
  <c r="N10" i="1"/>
  <c r="M10" i="1"/>
  <c r="N9" i="1"/>
  <c r="M9" i="1"/>
  <c r="N8" i="1"/>
  <c r="M8" i="1"/>
  <c r="N7" i="1"/>
  <c r="M7" i="1"/>
  <c r="N6" i="1"/>
  <c r="M6" i="1"/>
  <c r="N5" i="1"/>
  <c r="M5" i="1"/>
  <c r="N4" i="1"/>
  <c r="M4" i="1"/>
  <c r="N3" i="1"/>
  <c r="M3" i="1"/>
  <c r="N2" i="1"/>
  <c r="M2" i="1"/>
  <c r="A305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61" i="1"/>
  <c r="A262" i="1"/>
  <c r="A267" i="1"/>
  <c r="A268" i="1"/>
  <c r="A269" i="1"/>
  <c r="A270" i="1"/>
  <c r="A271" i="1"/>
  <c r="A276" i="1"/>
  <c r="A277" i="1"/>
  <c r="A278" i="1"/>
  <c r="A279" i="1"/>
  <c r="A280" i="1"/>
  <c r="A281" i="1"/>
  <c r="A282" i="1"/>
  <c r="A283" i="1"/>
  <c r="A284" i="1"/>
  <c r="A288" i="1"/>
  <c r="A289" i="1"/>
  <c r="A290" i="1"/>
  <c r="A291" i="1"/>
  <c r="A292" i="1"/>
  <c r="A293" i="1"/>
  <c r="A294" i="1"/>
  <c r="A295" i="1"/>
  <c r="A297" i="1"/>
  <c r="A298" i="1"/>
  <c r="A299" i="1"/>
  <c r="A300" i="1"/>
  <c r="A301" i="1"/>
  <c r="A302" i="1"/>
  <c r="A303" i="1"/>
  <c r="A304" i="1"/>
  <c r="AG305" i="1"/>
  <c r="AG304" i="1"/>
  <c r="AG303" i="1"/>
  <c r="AG302" i="1"/>
  <c r="AG301" i="1"/>
  <c r="AG300" i="1"/>
  <c r="AG299" i="1"/>
  <c r="AG298" i="1"/>
  <c r="AG297" i="1"/>
  <c r="AG296" i="1"/>
  <c r="AG295" i="1"/>
  <c r="AG294" i="1"/>
  <c r="AG293" i="1"/>
  <c r="AG292" i="1"/>
  <c r="AG291" i="1"/>
  <c r="AG290" i="1"/>
  <c r="AG289" i="1"/>
  <c r="AG288" i="1"/>
  <c r="AG287" i="1"/>
  <c r="AG286" i="1"/>
  <c r="AG285" i="1"/>
  <c r="AG284" i="1"/>
  <c r="AG283" i="1"/>
  <c r="AG282" i="1"/>
  <c r="AG281" i="1"/>
  <c r="AG280" i="1"/>
  <c r="AG279" i="1"/>
  <c r="AG278" i="1"/>
  <c r="AG277" i="1"/>
  <c r="AG276" i="1"/>
  <c r="AG275" i="1"/>
  <c r="AG274" i="1"/>
  <c r="AG273" i="1"/>
  <c r="AG272" i="1"/>
  <c r="AG271" i="1"/>
  <c r="AG270" i="1"/>
  <c r="AG269" i="1"/>
  <c r="AG268" i="1"/>
  <c r="AG267" i="1"/>
  <c r="AG266" i="1"/>
  <c r="AG265" i="1"/>
  <c r="AG264" i="1"/>
  <c r="AG263" i="1"/>
  <c r="AG262" i="1"/>
  <c r="AG261" i="1"/>
  <c r="AG260" i="1"/>
  <c r="AG259" i="1"/>
  <c r="AG258" i="1"/>
  <c r="AG257" i="1"/>
  <c r="AG256" i="1"/>
  <c r="AG255" i="1"/>
  <c r="AG254" i="1"/>
  <c r="AG253" i="1"/>
  <c r="AG252" i="1"/>
  <c r="AG251" i="1"/>
  <c r="AG250" i="1"/>
  <c r="AG249" i="1"/>
  <c r="AG248" i="1"/>
  <c r="AG247" i="1"/>
  <c r="AG246" i="1"/>
  <c r="AG245" i="1"/>
  <c r="AG244" i="1"/>
  <c r="AG243" i="1"/>
  <c r="AG242" i="1"/>
  <c r="AG241" i="1"/>
  <c r="AG240" i="1"/>
  <c r="AG239" i="1"/>
  <c r="AG238" i="1"/>
  <c r="AG237" i="1"/>
  <c r="AG236" i="1"/>
  <c r="AG235" i="1"/>
  <c r="AG234" i="1"/>
  <c r="AG233" i="1"/>
  <c r="AG232" i="1"/>
  <c r="AG231" i="1"/>
  <c r="AG230" i="1"/>
  <c r="AG229" i="1"/>
  <c r="AG228" i="1"/>
  <c r="AG227" i="1"/>
  <c r="AG226" i="1"/>
  <c r="AG225" i="1"/>
  <c r="AG224" i="1"/>
  <c r="AG223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3" i="1"/>
  <c r="AG132" i="1"/>
  <c r="AG131" i="1"/>
  <c r="AG130" i="1"/>
  <c r="AG129" i="1"/>
  <c r="AG128" i="1"/>
  <c r="AG127" i="1"/>
  <c r="AG126" i="1"/>
  <c r="AG125" i="1"/>
  <c r="AG124" i="1"/>
  <c r="AG123" i="1"/>
  <c r="AG122" i="1"/>
  <c r="AG121" i="1"/>
  <c r="AG120" i="1"/>
  <c r="AG119" i="1"/>
  <c r="AG118" i="1"/>
  <c r="AG117" i="1"/>
  <c r="AG116" i="1"/>
  <c r="AG115" i="1"/>
  <c r="AG114" i="1"/>
  <c r="AG113" i="1"/>
  <c r="AG112" i="1"/>
  <c r="AG111" i="1"/>
  <c r="AG110" i="1"/>
  <c r="AG109" i="1"/>
  <c r="AG108" i="1"/>
  <c r="AG107" i="1"/>
  <c r="AG106" i="1"/>
  <c r="AG105" i="1"/>
  <c r="AG104" i="1"/>
  <c r="AG103" i="1"/>
  <c r="AG102" i="1"/>
  <c r="AG101" i="1"/>
  <c r="AG100" i="1"/>
  <c r="AG99" i="1"/>
  <c r="AG98" i="1"/>
  <c r="AG97" i="1"/>
  <c r="AG96" i="1"/>
  <c r="AG95" i="1"/>
  <c r="AG94" i="1"/>
  <c r="AG93" i="1"/>
  <c r="AG92" i="1"/>
  <c r="AG91" i="1"/>
  <c r="AG90" i="1"/>
  <c r="AG89" i="1"/>
  <c r="AG88" i="1"/>
  <c r="AG87" i="1"/>
  <c r="AG86" i="1"/>
  <c r="AG85" i="1"/>
  <c r="AG84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G4" i="1"/>
  <c r="AG3" i="1"/>
  <c r="V289" i="1"/>
  <c r="J289" i="1"/>
  <c r="I289" i="1"/>
  <c r="D289" i="1"/>
  <c r="F289" i="1"/>
  <c r="E289" i="1"/>
  <c r="V252" i="1"/>
  <c r="J252" i="1"/>
  <c r="I252" i="1"/>
  <c r="D252" i="1"/>
  <c r="F252" i="1"/>
  <c r="E252" i="1"/>
  <c r="V251" i="1"/>
  <c r="J251" i="1"/>
  <c r="I251" i="1"/>
  <c r="D251" i="1"/>
  <c r="F251" i="1"/>
  <c r="E251" i="1"/>
  <c r="V250" i="1"/>
  <c r="J250" i="1"/>
  <c r="I250" i="1"/>
  <c r="D250" i="1"/>
  <c r="F250" i="1"/>
  <c r="E250" i="1"/>
  <c r="V249" i="1"/>
  <c r="J249" i="1"/>
  <c r="I249" i="1"/>
  <c r="D249" i="1"/>
  <c r="F249" i="1"/>
  <c r="E249" i="1"/>
  <c r="V248" i="1"/>
  <c r="J248" i="1"/>
  <c r="I248" i="1"/>
  <c r="D248" i="1"/>
  <c r="F248" i="1"/>
  <c r="E248" i="1"/>
  <c r="V247" i="1"/>
  <c r="J247" i="1"/>
  <c r="I247" i="1"/>
  <c r="D247" i="1"/>
  <c r="F247" i="1"/>
  <c r="E247" i="1"/>
  <c r="D271" i="1"/>
  <c r="E271" i="1"/>
  <c r="F271" i="1"/>
  <c r="I271" i="1"/>
  <c r="J271" i="1"/>
  <c r="V271" i="1"/>
  <c r="V277" i="1"/>
  <c r="J277" i="1"/>
  <c r="I277" i="1"/>
  <c r="D277" i="1"/>
  <c r="F277" i="1"/>
  <c r="E277" i="1"/>
  <c r="V299" i="1"/>
  <c r="J299" i="1"/>
  <c r="I299" i="1"/>
  <c r="D299" i="1"/>
  <c r="F299" i="1"/>
  <c r="E299" i="1"/>
  <c r="V305" i="1"/>
  <c r="J305" i="1"/>
  <c r="I305" i="1"/>
  <c r="D305" i="1"/>
  <c r="F305" i="1"/>
  <c r="E305" i="1"/>
  <c r="J287" i="1"/>
  <c r="I287" i="1"/>
  <c r="D287" i="1"/>
  <c r="F287" i="1"/>
  <c r="E287" i="1"/>
  <c r="A287" i="1"/>
  <c r="J286" i="1"/>
  <c r="I286" i="1"/>
  <c r="D286" i="1"/>
  <c r="F286" i="1"/>
  <c r="E286" i="1"/>
  <c r="A286" i="1"/>
  <c r="J285" i="1"/>
  <c r="I285" i="1"/>
  <c r="D285" i="1"/>
  <c r="F285" i="1"/>
  <c r="E285" i="1"/>
  <c r="A285" i="1"/>
  <c r="V284" i="1"/>
  <c r="J284" i="1"/>
  <c r="I284" i="1"/>
  <c r="D284" i="1"/>
  <c r="F284" i="1"/>
  <c r="E284" i="1"/>
  <c r="V294" i="1"/>
  <c r="J294" i="1"/>
  <c r="I294" i="1"/>
  <c r="D294" i="1"/>
  <c r="F294" i="1"/>
  <c r="E294" i="1"/>
  <c r="V295" i="1"/>
  <c r="J295" i="1"/>
  <c r="I295" i="1"/>
  <c r="D295" i="1"/>
  <c r="F295" i="1"/>
  <c r="E295" i="1"/>
  <c r="V297" i="1"/>
  <c r="J297" i="1"/>
  <c r="I297" i="1"/>
  <c r="D297" i="1"/>
  <c r="F297" i="1"/>
  <c r="E297" i="1"/>
  <c r="V300" i="1"/>
  <c r="J300" i="1"/>
  <c r="I300" i="1"/>
  <c r="D300" i="1"/>
  <c r="F300" i="1"/>
  <c r="E300" i="1"/>
  <c r="J304" i="1"/>
  <c r="I304" i="1"/>
  <c r="J298" i="1"/>
  <c r="I298" i="1"/>
  <c r="J303" i="1"/>
  <c r="I303" i="1"/>
  <c r="J302" i="1"/>
  <c r="I302" i="1"/>
  <c r="J301" i="1"/>
  <c r="I301" i="1"/>
  <c r="J296" i="1"/>
  <c r="I296" i="1"/>
  <c r="J293" i="1"/>
  <c r="I293" i="1"/>
  <c r="J292" i="1"/>
  <c r="I292" i="1"/>
  <c r="J291" i="1"/>
  <c r="I291" i="1"/>
  <c r="J290" i="1"/>
  <c r="I290" i="1"/>
  <c r="J288" i="1"/>
  <c r="I288" i="1"/>
  <c r="J283" i="1"/>
  <c r="I283" i="1"/>
  <c r="J282" i="1"/>
  <c r="I282" i="1"/>
  <c r="J281" i="1"/>
  <c r="I281" i="1"/>
  <c r="J280" i="1"/>
  <c r="I280" i="1"/>
  <c r="J279" i="1"/>
  <c r="I279" i="1"/>
  <c r="J278" i="1"/>
  <c r="I278" i="1"/>
  <c r="J276" i="1"/>
  <c r="I276" i="1"/>
  <c r="J275" i="1"/>
  <c r="I275" i="1"/>
  <c r="J274" i="1"/>
  <c r="I274" i="1"/>
  <c r="J273" i="1"/>
  <c r="I273" i="1"/>
  <c r="J272" i="1"/>
  <c r="I272" i="1"/>
  <c r="J269" i="1"/>
  <c r="I269" i="1"/>
  <c r="J270" i="1"/>
  <c r="I270" i="1"/>
  <c r="J267" i="1"/>
  <c r="I267" i="1"/>
  <c r="J268" i="1"/>
  <c r="I268" i="1"/>
  <c r="J266" i="1"/>
  <c r="I266" i="1"/>
  <c r="J265" i="1"/>
  <c r="I265" i="1"/>
  <c r="J264" i="1"/>
  <c r="I264" i="1"/>
  <c r="J263" i="1"/>
  <c r="I263" i="1"/>
  <c r="J262" i="1"/>
  <c r="I262" i="1"/>
  <c r="J261" i="1"/>
  <c r="I261" i="1"/>
  <c r="J260" i="1"/>
  <c r="I260" i="1"/>
  <c r="J259" i="1"/>
  <c r="I259" i="1"/>
  <c r="J258" i="1"/>
  <c r="I258" i="1"/>
  <c r="J257" i="1"/>
  <c r="I257" i="1"/>
  <c r="J256" i="1"/>
  <c r="I256" i="1"/>
  <c r="J255" i="1"/>
  <c r="I255" i="1"/>
  <c r="J253" i="1"/>
  <c r="I253" i="1"/>
  <c r="J254" i="1"/>
  <c r="I254" i="1"/>
  <c r="J246" i="1"/>
  <c r="I246" i="1"/>
  <c r="J245" i="1"/>
  <c r="I245" i="1"/>
  <c r="J244" i="1"/>
  <c r="I244" i="1"/>
  <c r="J243" i="1"/>
  <c r="I243" i="1"/>
  <c r="J241" i="1"/>
  <c r="I241" i="1"/>
  <c r="J242" i="1"/>
  <c r="I242" i="1"/>
  <c r="J240" i="1"/>
  <c r="I240" i="1"/>
  <c r="J239" i="1"/>
  <c r="I239" i="1"/>
  <c r="J238" i="1"/>
  <c r="I238" i="1"/>
  <c r="J237" i="1"/>
  <c r="I237" i="1"/>
  <c r="J236" i="1"/>
  <c r="I236" i="1"/>
  <c r="J235" i="1"/>
  <c r="I235" i="1"/>
  <c r="J234" i="1"/>
  <c r="I234" i="1"/>
  <c r="J233" i="1"/>
  <c r="I233" i="1"/>
  <c r="J232" i="1"/>
  <c r="I232" i="1"/>
  <c r="J231" i="1"/>
  <c r="I231" i="1"/>
  <c r="J230" i="1"/>
  <c r="I230" i="1"/>
  <c r="J229" i="1"/>
  <c r="I229" i="1"/>
  <c r="J228" i="1"/>
  <c r="I228" i="1"/>
  <c r="J227" i="1"/>
  <c r="I227" i="1"/>
  <c r="J226" i="1"/>
  <c r="I226" i="1"/>
  <c r="J225" i="1"/>
  <c r="I225" i="1"/>
  <c r="J224" i="1"/>
  <c r="I224" i="1"/>
  <c r="J223" i="1"/>
  <c r="I223" i="1"/>
  <c r="J222" i="1"/>
  <c r="I222" i="1"/>
  <c r="J221" i="1"/>
  <c r="I221" i="1"/>
  <c r="J220" i="1"/>
  <c r="I220" i="1"/>
  <c r="J219" i="1"/>
  <c r="I219" i="1"/>
  <c r="J218" i="1"/>
  <c r="I218" i="1"/>
  <c r="J217" i="1"/>
  <c r="I217" i="1"/>
  <c r="J216" i="1"/>
  <c r="I216" i="1"/>
  <c r="J215" i="1"/>
  <c r="I215" i="1"/>
  <c r="J214" i="1"/>
  <c r="I214" i="1"/>
  <c r="J213" i="1"/>
  <c r="I213" i="1"/>
  <c r="J212" i="1"/>
  <c r="I212" i="1"/>
  <c r="J211" i="1"/>
  <c r="I211" i="1"/>
  <c r="J210" i="1"/>
  <c r="I210" i="1"/>
  <c r="J209" i="1"/>
  <c r="I209" i="1"/>
  <c r="J208" i="1"/>
  <c r="I208" i="1"/>
  <c r="J207" i="1"/>
  <c r="I207" i="1"/>
  <c r="J206" i="1"/>
  <c r="I206" i="1"/>
  <c r="J205" i="1"/>
  <c r="I205" i="1"/>
  <c r="J204" i="1"/>
  <c r="I204" i="1"/>
  <c r="J203" i="1"/>
  <c r="I203" i="1"/>
  <c r="J202" i="1"/>
  <c r="I202" i="1"/>
  <c r="J201" i="1"/>
  <c r="I201" i="1"/>
  <c r="J200" i="1"/>
  <c r="I200" i="1"/>
  <c r="J199" i="1"/>
  <c r="I199" i="1"/>
  <c r="J198" i="1"/>
  <c r="I198" i="1"/>
  <c r="J197" i="1"/>
  <c r="I197" i="1"/>
  <c r="J196" i="1"/>
  <c r="I196" i="1"/>
  <c r="J195" i="1"/>
  <c r="I195" i="1"/>
  <c r="J194" i="1"/>
  <c r="I194" i="1"/>
  <c r="J193" i="1"/>
  <c r="I193" i="1"/>
  <c r="J192" i="1"/>
  <c r="I192" i="1"/>
  <c r="J191" i="1"/>
  <c r="I191" i="1"/>
  <c r="J190" i="1"/>
  <c r="I190" i="1"/>
  <c r="J189" i="1"/>
  <c r="I189" i="1"/>
  <c r="J188" i="1"/>
  <c r="I188" i="1"/>
  <c r="J187" i="1"/>
  <c r="I187" i="1"/>
  <c r="J186" i="1"/>
  <c r="I186" i="1"/>
  <c r="J185" i="1"/>
  <c r="I185" i="1"/>
  <c r="J184" i="1"/>
  <c r="I184" i="1"/>
  <c r="J183" i="1"/>
  <c r="I183" i="1"/>
  <c r="J182" i="1"/>
  <c r="I182" i="1"/>
  <c r="J181" i="1"/>
  <c r="I181" i="1"/>
  <c r="J180" i="1"/>
  <c r="I180" i="1"/>
  <c r="J179" i="1"/>
  <c r="I179" i="1"/>
  <c r="J178" i="1"/>
  <c r="I178" i="1"/>
  <c r="J177" i="1"/>
  <c r="I177" i="1"/>
  <c r="J176" i="1"/>
  <c r="I176" i="1"/>
  <c r="J175" i="1"/>
  <c r="I175" i="1"/>
  <c r="J174" i="1"/>
  <c r="I174" i="1"/>
  <c r="J173" i="1"/>
  <c r="I173" i="1"/>
  <c r="J172" i="1"/>
  <c r="I172" i="1"/>
  <c r="J171" i="1"/>
  <c r="I171" i="1"/>
  <c r="J170" i="1"/>
  <c r="I170" i="1"/>
  <c r="J169" i="1"/>
  <c r="I169" i="1"/>
  <c r="J168" i="1"/>
  <c r="I168" i="1"/>
  <c r="J167" i="1"/>
  <c r="I167" i="1"/>
  <c r="J166" i="1"/>
  <c r="I166" i="1"/>
  <c r="J165" i="1"/>
  <c r="I165" i="1"/>
  <c r="J164" i="1"/>
  <c r="I164" i="1"/>
  <c r="J163" i="1"/>
  <c r="I163" i="1"/>
  <c r="J162" i="1"/>
  <c r="I162" i="1"/>
  <c r="J161" i="1"/>
  <c r="I161" i="1"/>
  <c r="J160" i="1"/>
  <c r="I160" i="1"/>
  <c r="J159" i="1"/>
  <c r="I159" i="1"/>
  <c r="J158" i="1"/>
  <c r="I158" i="1"/>
  <c r="J157" i="1"/>
  <c r="I157" i="1"/>
  <c r="J156" i="1"/>
  <c r="I156" i="1"/>
  <c r="J155" i="1"/>
  <c r="I155" i="1"/>
  <c r="J154" i="1"/>
  <c r="I154" i="1"/>
  <c r="J153" i="1"/>
  <c r="I153" i="1"/>
  <c r="J152" i="1"/>
  <c r="I152" i="1"/>
  <c r="J151" i="1"/>
  <c r="I151" i="1"/>
  <c r="J150" i="1"/>
  <c r="I150" i="1"/>
  <c r="J149" i="1"/>
  <c r="I149" i="1"/>
  <c r="J148" i="1"/>
  <c r="I148" i="1"/>
  <c r="J147" i="1"/>
  <c r="I147" i="1"/>
  <c r="J146" i="1"/>
  <c r="I146" i="1"/>
  <c r="J145" i="1"/>
  <c r="I145" i="1"/>
  <c r="J144" i="1"/>
  <c r="I144" i="1"/>
  <c r="J143" i="1"/>
  <c r="I143" i="1"/>
  <c r="J142" i="1"/>
  <c r="I142" i="1"/>
  <c r="J141" i="1"/>
  <c r="I141" i="1"/>
  <c r="J140" i="1"/>
  <c r="I140" i="1"/>
  <c r="J139" i="1"/>
  <c r="I139" i="1"/>
  <c r="J138" i="1"/>
  <c r="I138" i="1"/>
  <c r="J137" i="1"/>
  <c r="I137" i="1"/>
  <c r="J136" i="1"/>
  <c r="I136" i="1"/>
  <c r="J135" i="1"/>
  <c r="I135" i="1"/>
  <c r="J134" i="1"/>
  <c r="I134" i="1"/>
  <c r="J133" i="1"/>
  <c r="I133" i="1"/>
  <c r="J132" i="1"/>
  <c r="I132" i="1"/>
  <c r="J131" i="1"/>
  <c r="I131" i="1"/>
  <c r="J130" i="1"/>
  <c r="I130" i="1"/>
  <c r="J129" i="1"/>
  <c r="I129" i="1"/>
  <c r="J128" i="1"/>
  <c r="I128" i="1"/>
  <c r="J127" i="1"/>
  <c r="I127" i="1"/>
  <c r="J126" i="1"/>
  <c r="I126" i="1"/>
  <c r="J125" i="1"/>
  <c r="I125" i="1"/>
  <c r="J124" i="1"/>
  <c r="I124" i="1"/>
  <c r="J123" i="1"/>
  <c r="I123" i="1"/>
  <c r="J122" i="1"/>
  <c r="I122" i="1"/>
  <c r="J121" i="1"/>
  <c r="I121" i="1"/>
  <c r="J120" i="1"/>
  <c r="I120" i="1"/>
  <c r="J119" i="1"/>
  <c r="I119" i="1"/>
  <c r="J118" i="1"/>
  <c r="I118" i="1"/>
  <c r="J117" i="1"/>
  <c r="I117" i="1"/>
  <c r="J116" i="1"/>
  <c r="I116" i="1"/>
  <c r="J115" i="1"/>
  <c r="I115" i="1"/>
  <c r="J114" i="1"/>
  <c r="I114" i="1"/>
  <c r="J113" i="1"/>
  <c r="I113" i="1"/>
  <c r="J112" i="1"/>
  <c r="I112" i="1"/>
  <c r="J111" i="1"/>
  <c r="I111" i="1"/>
  <c r="J110" i="1"/>
  <c r="I110" i="1"/>
  <c r="J109" i="1"/>
  <c r="I109" i="1"/>
  <c r="J108" i="1"/>
  <c r="I108" i="1"/>
  <c r="J107" i="1"/>
  <c r="I107" i="1"/>
  <c r="J106" i="1"/>
  <c r="I106" i="1"/>
  <c r="J105" i="1"/>
  <c r="I105" i="1"/>
  <c r="J104" i="1"/>
  <c r="I104" i="1"/>
  <c r="J103" i="1"/>
  <c r="I103" i="1"/>
  <c r="J102" i="1"/>
  <c r="I102" i="1"/>
  <c r="J101" i="1"/>
  <c r="I101" i="1"/>
  <c r="J100" i="1"/>
  <c r="I100" i="1"/>
  <c r="J99" i="1"/>
  <c r="I99" i="1"/>
  <c r="J98" i="1"/>
  <c r="I98" i="1"/>
  <c r="J97" i="1"/>
  <c r="I97" i="1"/>
  <c r="J96" i="1"/>
  <c r="I96" i="1"/>
  <c r="J95" i="1"/>
  <c r="I95" i="1"/>
  <c r="J94" i="1"/>
  <c r="I94" i="1"/>
  <c r="J93" i="1"/>
  <c r="I93" i="1"/>
  <c r="J92" i="1"/>
  <c r="I92" i="1"/>
  <c r="J91" i="1"/>
  <c r="I91" i="1"/>
  <c r="J90" i="1"/>
  <c r="I90" i="1"/>
  <c r="J89" i="1"/>
  <c r="I89" i="1"/>
  <c r="J88" i="1"/>
  <c r="I88" i="1"/>
  <c r="J87" i="1"/>
  <c r="I87" i="1"/>
  <c r="J86" i="1"/>
  <c r="I86" i="1"/>
  <c r="J85" i="1"/>
  <c r="I85" i="1"/>
  <c r="J84" i="1"/>
  <c r="I84" i="1"/>
  <c r="J83" i="1"/>
  <c r="I83" i="1"/>
  <c r="J82" i="1"/>
  <c r="I82" i="1"/>
  <c r="J81" i="1"/>
  <c r="I81" i="1"/>
  <c r="J80" i="1"/>
  <c r="I80" i="1"/>
  <c r="J79" i="1"/>
  <c r="I79" i="1"/>
  <c r="J78" i="1"/>
  <c r="I78" i="1"/>
  <c r="J77" i="1"/>
  <c r="I77" i="1"/>
  <c r="J76" i="1"/>
  <c r="I76" i="1"/>
  <c r="J75" i="1"/>
  <c r="I75" i="1"/>
  <c r="J74" i="1"/>
  <c r="I74" i="1"/>
  <c r="J73" i="1"/>
  <c r="I73" i="1"/>
  <c r="J72" i="1"/>
  <c r="I72" i="1"/>
  <c r="J71" i="1"/>
  <c r="I71" i="1"/>
  <c r="J70" i="1"/>
  <c r="I70" i="1"/>
  <c r="J69" i="1"/>
  <c r="I69" i="1"/>
  <c r="J68" i="1"/>
  <c r="I68" i="1"/>
  <c r="J67" i="1"/>
  <c r="I67" i="1"/>
  <c r="J66" i="1"/>
  <c r="I66" i="1"/>
  <c r="J65" i="1"/>
  <c r="I65" i="1"/>
  <c r="J64" i="1"/>
  <c r="I64" i="1"/>
  <c r="J63" i="1"/>
  <c r="I63" i="1"/>
  <c r="J62" i="1"/>
  <c r="I62" i="1"/>
  <c r="J61" i="1"/>
  <c r="I61" i="1"/>
  <c r="J60" i="1"/>
  <c r="I60" i="1"/>
  <c r="J59" i="1"/>
  <c r="I59" i="1"/>
  <c r="J58" i="1"/>
  <c r="I58" i="1"/>
  <c r="J57" i="1"/>
  <c r="I57" i="1"/>
  <c r="J56" i="1"/>
  <c r="I56" i="1"/>
  <c r="J55" i="1"/>
  <c r="I55" i="1"/>
  <c r="J54" i="1"/>
  <c r="I54" i="1"/>
  <c r="J53" i="1"/>
  <c r="I53" i="1"/>
  <c r="J52" i="1"/>
  <c r="I52" i="1"/>
  <c r="J51" i="1"/>
  <c r="I51" i="1"/>
  <c r="J50" i="1"/>
  <c r="I50" i="1"/>
  <c r="J49" i="1"/>
  <c r="I49" i="1"/>
  <c r="J48" i="1"/>
  <c r="I48" i="1"/>
  <c r="J47" i="1"/>
  <c r="I47" i="1"/>
  <c r="J46" i="1"/>
  <c r="I46" i="1"/>
  <c r="J45" i="1"/>
  <c r="I45" i="1"/>
  <c r="J44" i="1"/>
  <c r="I44" i="1"/>
  <c r="J43" i="1"/>
  <c r="I43" i="1"/>
  <c r="J42" i="1"/>
  <c r="I42" i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I3" i="1"/>
  <c r="J2" i="1"/>
  <c r="I2" i="1"/>
  <c r="V243" i="1"/>
  <c r="V234" i="1"/>
  <c r="V233" i="1"/>
  <c r="D233" i="1"/>
  <c r="F233" i="1"/>
  <c r="E233" i="1"/>
  <c r="V232" i="1"/>
  <c r="D232" i="1"/>
  <c r="F232" i="1"/>
  <c r="E232" i="1"/>
  <c r="D234" i="1"/>
  <c r="E234" i="1"/>
  <c r="F234" i="1"/>
  <c r="V236" i="1"/>
  <c r="V235" i="1"/>
  <c r="D224" i="1"/>
  <c r="E224" i="1"/>
  <c r="F224" i="1"/>
  <c r="V224" i="1"/>
  <c r="D225" i="1"/>
  <c r="E225" i="1"/>
  <c r="F225" i="1"/>
  <c r="V225" i="1"/>
  <c r="V304" i="1"/>
  <c r="V298" i="1"/>
  <c r="V303" i="1"/>
  <c r="V302" i="1"/>
  <c r="V301" i="1"/>
  <c r="V293" i="1"/>
  <c r="V292" i="1"/>
  <c r="V291" i="1"/>
  <c r="V290" i="1"/>
  <c r="V288" i="1"/>
  <c r="V283" i="1"/>
  <c r="V282" i="1"/>
  <c r="V281" i="1"/>
  <c r="V280" i="1"/>
  <c r="V279" i="1"/>
  <c r="V278" i="1"/>
  <c r="V276" i="1"/>
  <c r="V275" i="1"/>
  <c r="V274" i="1"/>
  <c r="V273" i="1"/>
  <c r="V272" i="1"/>
  <c r="V269" i="1"/>
  <c r="V270" i="1"/>
  <c r="V267" i="1"/>
  <c r="V268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3" i="1"/>
  <c r="V254" i="1"/>
  <c r="V246" i="1"/>
  <c r="V245" i="1"/>
  <c r="V244" i="1"/>
  <c r="V241" i="1"/>
  <c r="V242" i="1"/>
  <c r="V240" i="1"/>
  <c r="V239" i="1"/>
  <c r="V238" i="1"/>
  <c r="V237" i="1"/>
  <c r="V231" i="1"/>
  <c r="V230" i="1"/>
  <c r="V229" i="1"/>
  <c r="V228" i="1"/>
  <c r="V227" i="1"/>
  <c r="V226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  <c r="D304" i="1"/>
  <c r="F304" i="1"/>
  <c r="D298" i="1"/>
  <c r="F298" i="1"/>
  <c r="D303" i="1"/>
  <c r="F303" i="1"/>
  <c r="D302" i="1"/>
  <c r="F302" i="1"/>
  <c r="D301" i="1"/>
  <c r="F301" i="1"/>
  <c r="D296" i="1"/>
  <c r="F296" i="1"/>
  <c r="D293" i="1"/>
  <c r="F293" i="1"/>
  <c r="D292" i="1"/>
  <c r="F292" i="1"/>
  <c r="D291" i="1"/>
  <c r="F291" i="1"/>
  <c r="D290" i="1"/>
  <c r="F290" i="1"/>
  <c r="D288" i="1"/>
  <c r="F288" i="1"/>
  <c r="D283" i="1"/>
  <c r="F283" i="1"/>
  <c r="D282" i="1"/>
  <c r="F282" i="1"/>
  <c r="D281" i="1"/>
  <c r="F281" i="1"/>
  <c r="D280" i="1"/>
  <c r="F280" i="1"/>
  <c r="D279" i="1"/>
  <c r="F279" i="1"/>
  <c r="D278" i="1"/>
  <c r="F278" i="1"/>
  <c r="D276" i="1"/>
  <c r="F276" i="1"/>
  <c r="D275" i="1"/>
  <c r="F275" i="1"/>
  <c r="D274" i="1"/>
  <c r="F274" i="1"/>
  <c r="D273" i="1"/>
  <c r="F273" i="1"/>
  <c r="D272" i="1"/>
  <c r="F272" i="1"/>
  <c r="D269" i="1"/>
  <c r="F269" i="1"/>
  <c r="D270" i="1"/>
  <c r="F270" i="1"/>
  <c r="D267" i="1"/>
  <c r="F267" i="1"/>
  <c r="D268" i="1"/>
  <c r="F268" i="1"/>
  <c r="D266" i="1"/>
  <c r="F266" i="1"/>
  <c r="D265" i="1"/>
  <c r="F265" i="1"/>
  <c r="D264" i="1"/>
  <c r="F264" i="1"/>
  <c r="D263" i="1"/>
  <c r="F263" i="1"/>
  <c r="D262" i="1"/>
  <c r="F262" i="1"/>
  <c r="D261" i="1"/>
  <c r="F261" i="1"/>
  <c r="D260" i="1"/>
  <c r="F260" i="1"/>
  <c r="D259" i="1"/>
  <c r="F259" i="1"/>
  <c r="D258" i="1"/>
  <c r="F258" i="1"/>
  <c r="D257" i="1"/>
  <c r="F257" i="1"/>
  <c r="D256" i="1"/>
  <c r="F256" i="1"/>
  <c r="D255" i="1"/>
  <c r="F255" i="1"/>
  <c r="D253" i="1"/>
  <c r="F253" i="1"/>
  <c r="D254" i="1"/>
  <c r="F254" i="1"/>
  <c r="D246" i="1"/>
  <c r="F246" i="1"/>
  <c r="D245" i="1"/>
  <c r="F245" i="1"/>
  <c r="D244" i="1"/>
  <c r="F244" i="1"/>
  <c r="D243" i="1"/>
  <c r="F243" i="1"/>
  <c r="D241" i="1"/>
  <c r="F241" i="1"/>
  <c r="D242" i="1"/>
  <c r="F242" i="1"/>
  <c r="D240" i="1"/>
  <c r="F240" i="1"/>
  <c r="D239" i="1"/>
  <c r="F239" i="1"/>
  <c r="D238" i="1"/>
  <c r="F238" i="1"/>
  <c r="D237" i="1"/>
  <c r="F237" i="1"/>
  <c r="D236" i="1"/>
  <c r="F236" i="1"/>
  <c r="D235" i="1"/>
  <c r="F235" i="1"/>
  <c r="D231" i="1"/>
  <c r="F231" i="1"/>
  <c r="D230" i="1"/>
  <c r="F230" i="1"/>
  <c r="D229" i="1"/>
  <c r="F229" i="1"/>
  <c r="D228" i="1"/>
  <c r="F228" i="1"/>
  <c r="D227" i="1"/>
  <c r="F227" i="1"/>
  <c r="D226" i="1"/>
  <c r="F226" i="1"/>
  <c r="D223" i="1"/>
  <c r="F223" i="1"/>
  <c r="D222" i="1"/>
  <c r="F222" i="1"/>
  <c r="D221" i="1"/>
  <c r="F221" i="1"/>
  <c r="D220" i="1"/>
  <c r="F220" i="1"/>
  <c r="D219" i="1"/>
  <c r="F219" i="1"/>
  <c r="D218" i="1"/>
  <c r="F218" i="1"/>
  <c r="D217" i="1"/>
  <c r="F217" i="1"/>
  <c r="D216" i="1"/>
  <c r="F216" i="1"/>
  <c r="D215" i="1"/>
  <c r="F215" i="1"/>
  <c r="D214" i="1"/>
  <c r="F214" i="1"/>
  <c r="D213" i="1"/>
  <c r="F213" i="1"/>
  <c r="D212" i="1"/>
  <c r="F212" i="1"/>
  <c r="D211" i="1"/>
  <c r="F211" i="1"/>
  <c r="D210" i="1"/>
  <c r="F210" i="1"/>
  <c r="D209" i="1"/>
  <c r="F209" i="1"/>
  <c r="D208" i="1"/>
  <c r="F208" i="1"/>
  <c r="D207" i="1"/>
  <c r="F207" i="1"/>
  <c r="D206" i="1"/>
  <c r="F206" i="1"/>
  <c r="D205" i="1"/>
  <c r="F205" i="1"/>
  <c r="D204" i="1"/>
  <c r="F204" i="1"/>
  <c r="D203" i="1"/>
  <c r="F203" i="1"/>
  <c r="D202" i="1"/>
  <c r="F202" i="1"/>
  <c r="D201" i="1"/>
  <c r="F201" i="1"/>
  <c r="D200" i="1"/>
  <c r="F200" i="1"/>
  <c r="D199" i="1"/>
  <c r="F199" i="1"/>
  <c r="D198" i="1"/>
  <c r="F198" i="1"/>
  <c r="D197" i="1"/>
  <c r="F197" i="1"/>
  <c r="D196" i="1"/>
  <c r="F196" i="1"/>
  <c r="D195" i="1"/>
  <c r="F195" i="1"/>
  <c r="D194" i="1"/>
  <c r="F194" i="1"/>
  <c r="D193" i="1"/>
  <c r="F193" i="1"/>
  <c r="D192" i="1"/>
  <c r="F192" i="1"/>
  <c r="D191" i="1"/>
  <c r="F191" i="1"/>
  <c r="D190" i="1"/>
  <c r="F190" i="1"/>
  <c r="D189" i="1"/>
  <c r="F189" i="1"/>
  <c r="D188" i="1"/>
  <c r="F188" i="1"/>
  <c r="D187" i="1"/>
  <c r="F187" i="1"/>
  <c r="D186" i="1"/>
  <c r="F186" i="1"/>
  <c r="D185" i="1"/>
  <c r="F185" i="1"/>
  <c r="D184" i="1"/>
  <c r="F184" i="1"/>
  <c r="D183" i="1"/>
  <c r="F183" i="1"/>
  <c r="D182" i="1"/>
  <c r="F182" i="1"/>
  <c r="D181" i="1"/>
  <c r="F181" i="1"/>
  <c r="D180" i="1"/>
  <c r="F180" i="1"/>
  <c r="D179" i="1"/>
  <c r="F179" i="1"/>
  <c r="D178" i="1"/>
  <c r="F178" i="1"/>
  <c r="D177" i="1"/>
  <c r="F177" i="1"/>
  <c r="D176" i="1"/>
  <c r="F176" i="1"/>
  <c r="D175" i="1"/>
  <c r="F175" i="1"/>
  <c r="D174" i="1"/>
  <c r="F174" i="1"/>
  <c r="D173" i="1"/>
  <c r="F173" i="1"/>
  <c r="D172" i="1"/>
  <c r="F172" i="1"/>
  <c r="D171" i="1"/>
  <c r="F171" i="1"/>
  <c r="D170" i="1"/>
  <c r="F170" i="1"/>
  <c r="D169" i="1"/>
  <c r="F169" i="1"/>
  <c r="D168" i="1"/>
  <c r="F168" i="1"/>
  <c r="D167" i="1"/>
  <c r="F167" i="1"/>
  <c r="D166" i="1"/>
  <c r="F166" i="1"/>
  <c r="D165" i="1"/>
  <c r="F165" i="1"/>
  <c r="D164" i="1"/>
  <c r="F164" i="1"/>
  <c r="D163" i="1"/>
  <c r="F163" i="1"/>
  <c r="D162" i="1"/>
  <c r="F162" i="1"/>
  <c r="D161" i="1"/>
  <c r="F161" i="1"/>
  <c r="D160" i="1"/>
  <c r="F160" i="1"/>
  <c r="D159" i="1"/>
  <c r="F159" i="1"/>
  <c r="D158" i="1"/>
  <c r="F158" i="1"/>
  <c r="D157" i="1"/>
  <c r="F157" i="1"/>
  <c r="D156" i="1"/>
  <c r="F156" i="1"/>
  <c r="D155" i="1"/>
  <c r="F155" i="1"/>
  <c r="D154" i="1"/>
  <c r="F154" i="1"/>
  <c r="D153" i="1"/>
  <c r="F153" i="1"/>
  <c r="D152" i="1"/>
  <c r="F152" i="1"/>
  <c r="D151" i="1"/>
  <c r="F151" i="1"/>
  <c r="D150" i="1"/>
  <c r="F150" i="1"/>
  <c r="D149" i="1"/>
  <c r="F149" i="1"/>
  <c r="D148" i="1"/>
  <c r="F148" i="1"/>
  <c r="D147" i="1"/>
  <c r="F147" i="1"/>
  <c r="D146" i="1"/>
  <c r="F146" i="1"/>
  <c r="D145" i="1"/>
  <c r="F145" i="1"/>
  <c r="D144" i="1"/>
  <c r="F144" i="1"/>
  <c r="D143" i="1"/>
  <c r="F143" i="1"/>
  <c r="D142" i="1"/>
  <c r="F142" i="1"/>
  <c r="D141" i="1"/>
  <c r="F141" i="1"/>
  <c r="D140" i="1"/>
  <c r="F140" i="1"/>
  <c r="D139" i="1"/>
  <c r="F139" i="1"/>
  <c r="D138" i="1"/>
  <c r="F138" i="1"/>
  <c r="D137" i="1"/>
  <c r="F137" i="1"/>
  <c r="D136" i="1"/>
  <c r="F136" i="1"/>
  <c r="D135" i="1"/>
  <c r="F135" i="1"/>
  <c r="D134" i="1"/>
  <c r="F134" i="1"/>
  <c r="D133" i="1"/>
  <c r="F133" i="1"/>
  <c r="D132" i="1"/>
  <c r="F132" i="1"/>
  <c r="D131" i="1"/>
  <c r="F131" i="1"/>
  <c r="D130" i="1"/>
  <c r="F130" i="1"/>
  <c r="D129" i="1"/>
  <c r="F129" i="1"/>
  <c r="D128" i="1"/>
  <c r="F128" i="1"/>
  <c r="D127" i="1"/>
  <c r="F127" i="1"/>
  <c r="D126" i="1"/>
  <c r="F126" i="1"/>
  <c r="D125" i="1"/>
  <c r="F125" i="1"/>
  <c r="D124" i="1"/>
  <c r="F124" i="1"/>
  <c r="D123" i="1"/>
  <c r="F123" i="1"/>
  <c r="D122" i="1"/>
  <c r="F122" i="1"/>
  <c r="D121" i="1"/>
  <c r="F121" i="1"/>
  <c r="D120" i="1"/>
  <c r="F120" i="1"/>
  <c r="D119" i="1"/>
  <c r="F119" i="1"/>
  <c r="D118" i="1"/>
  <c r="F118" i="1"/>
  <c r="D117" i="1"/>
  <c r="F117" i="1"/>
  <c r="D116" i="1"/>
  <c r="F116" i="1"/>
  <c r="D115" i="1"/>
  <c r="F115" i="1"/>
  <c r="D114" i="1"/>
  <c r="F114" i="1"/>
  <c r="D113" i="1"/>
  <c r="F113" i="1"/>
  <c r="D112" i="1"/>
  <c r="F112" i="1"/>
  <c r="D111" i="1"/>
  <c r="F111" i="1"/>
  <c r="D110" i="1"/>
  <c r="F110" i="1"/>
  <c r="D109" i="1"/>
  <c r="F109" i="1"/>
  <c r="D108" i="1"/>
  <c r="F108" i="1"/>
  <c r="D107" i="1"/>
  <c r="F107" i="1"/>
  <c r="D106" i="1"/>
  <c r="F106" i="1"/>
  <c r="D105" i="1"/>
  <c r="F105" i="1"/>
  <c r="D104" i="1"/>
  <c r="F104" i="1"/>
  <c r="D103" i="1"/>
  <c r="F103" i="1"/>
  <c r="D102" i="1"/>
  <c r="F102" i="1"/>
  <c r="D101" i="1"/>
  <c r="F101" i="1"/>
  <c r="D100" i="1"/>
  <c r="F100" i="1"/>
  <c r="D99" i="1"/>
  <c r="F99" i="1"/>
  <c r="D98" i="1"/>
  <c r="F98" i="1"/>
  <c r="D97" i="1"/>
  <c r="F97" i="1"/>
  <c r="D96" i="1"/>
  <c r="F96" i="1"/>
  <c r="D95" i="1"/>
  <c r="F95" i="1"/>
  <c r="D94" i="1"/>
  <c r="F94" i="1"/>
  <c r="D93" i="1"/>
  <c r="F93" i="1"/>
  <c r="D92" i="1"/>
  <c r="F92" i="1"/>
  <c r="D91" i="1"/>
  <c r="F91" i="1"/>
  <c r="D90" i="1"/>
  <c r="F90" i="1"/>
  <c r="D89" i="1"/>
  <c r="F89" i="1"/>
  <c r="D88" i="1"/>
  <c r="F88" i="1"/>
  <c r="D87" i="1"/>
  <c r="F87" i="1"/>
  <c r="D86" i="1"/>
  <c r="F86" i="1"/>
  <c r="D85" i="1"/>
  <c r="F85" i="1"/>
  <c r="D84" i="1"/>
  <c r="F84" i="1"/>
  <c r="D83" i="1"/>
  <c r="F83" i="1"/>
  <c r="D82" i="1"/>
  <c r="F82" i="1"/>
  <c r="D81" i="1"/>
  <c r="F81" i="1"/>
  <c r="D80" i="1"/>
  <c r="F80" i="1"/>
  <c r="D79" i="1"/>
  <c r="F79" i="1"/>
  <c r="D78" i="1"/>
  <c r="F78" i="1"/>
  <c r="D77" i="1"/>
  <c r="F77" i="1"/>
  <c r="D76" i="1"/>
  <c r="F76" i="1"/>
  <c r="D75" i="1"/>
  <c r="F75" i="1"/>
  <c r="D74" i="1"/>
  <c r="F74" i="1"/>
  <c r="D73" i="1"/>
  <c r="F73" i="1"/>
  <c r="D72" i="1"/>
  <c r="F72" i="1"/>
  <c r="D71" i="1"/>
  <c r="F71" i="1"/>
  <c r="D70" i="1"/>
  <c r="F70" i="1"/>
  <c r="D69" i="1"/>
  <c r="F69" i="1"/>
  <c r="D68" i="1"/>
  <c r="F68" i="1"/>
  <c r="D67" i="1"/>
  <c r="F67" i="1"/>
  <c r="D66" i="1"/>
  <c r="F66" i="1"/>
  <c r="D65" i="1"/>
  <c r="F65" i="1"/>
  <c r="D64" i="1"/>
  <c r="F64" i="1"/>
  <c r="D63" i="1"/>
  <c r="F63" i="1"/>
  <c r="D62" i="1"/>
  <c r="F62" i="1"/>
  <c r="D61" i="1"/>
  <c r="F61" i="1"/>
  <c r="D60" i="1"/>
  <c r="F60" i="1"/>
  <c r="D59" i="1"/>
  <c r="F59" i="1"/>
  <c r="D58" i="1"/>
  <c r="F58" i="1"/>
  <c r="D57" i="1"/>
  <c r="F57" i="1"/>
  <c r="D56" i="1"/>
  <c r="F56" i="1"/>
  <c r="D55" i="1"/>
  <c r="F55" i="1"/>
  <c r="D54" i="1"/>
  <c r="F54" i="1"/>
  <c r="D53" i="1"/>
  <c r="F53" i="1"/>
  <c r="D52" i="1"/>
  <c r="F52" i="1"/>
  <c r="D51" i="1"/>
  <c r="F51" i="1"/>
  <c r="D50" i="1"/>
  <c r="F50" i="1"/>
  <c r="D49" i="1"/>
  <c r="F49" i="1"/>
  <c r="D48" i="1"/>
  <c r="F48" i="1"/>
  <c r="D47" i="1"/>
  <c r="F47" i="1"/>
  <c r="D46" i="1"/>
  <c r="F46" i="1"/>
  <c r="D45" i="1"/>
  <c r="F45" i="1"/>
  <c r="D44" i="1"/>
  <c r="F44" i="1"/>
  <c r="D43" i="1"/>
  <c r="F43" i="1"/>
  <c r="D42" i="1"/>
  <c r="F42" i="1"/>
  <c r="D41" i="1"/>
  <c r="F41" i="1"/>
  <c r="D40" i="1"/>
  <c r="F40" i="1"/>
  <c r="D39" i="1"/>
  <c r="F39" i="1"/>
  <c r="D38" i="1"/>
  <c r="F38" i="1"/>
  <c r="D37" i="1"/>
  <c r="F37" i="1"/>
  <c r="D36" i="1"/>
  <c r="F36" i="1"/>
  <c r="D35" i="1"/>
  <c r="F35" i="1"/>
  <c r="D34" i="1"/>
  <c r="F34" i="1"/>
  <c r="D33" i="1"/>
  <c r="F33" i="1"/>
  <c r="D32" i="1"/>
  <c r="F32" i="1"/>
  <c r="D31" i="1"/>
  <c r="F31" i="1"/>
  <c r="D30" i="1"/>
  <c r="F30" i="1"/>
  <c r="D29" i="1"/>
  <c r="F29" i="1"/>
  <c r="D28" i="1"/>
  <c r="F28" i="1"/>
  <c r="D27" i="1"/>
  <c r="F27" i="1"/>
  <c r="D26" i="1"/>
  <c r="F26" i="1"/>
  <c r="D25" i="1"/>
  <c r="F25" i="1"/>
  <c r="D24" i="1"/>
  <c r="F24" i="1"/>
  <c r="D23" i="1"/>
  <c r="F23" i="1"/>
  <c r="D22" i="1"/>
  <c r="F22" i="1"/>
  <c r="D21" i="1"/>
  <c r="F21" i="1"/>
  <c r="D20" i="1"/>
  <c r="F20" i="1"/>
  <c r="D19" i="1"/>
  <c r="F19" i="1"/>
  <c r="D18" i="1"/>
  <c r="F18" i="1"/>
  <c r="D17" i="1"/>
  <c r="F17" i="1"/>
  <c r="D16" i="1"/>
  <c r="F16" i="1"/>
  <c r="D15" i="1"/>
  <c r="F15" i="1"/>
  <c r="D14" i="1"/>
  <c r="F14" i="1"/>
  <c r="D13" i="1"/>
  <c r="F13" i="1"/>
  <c r="D12" i="1"/>
  <c r="F12" i="1"/>
  <c r="D11" i="1"/>
  <c r="F11" i="1"/>
  <c r="D10" i="1"/>
  <c r="F10" i="1"/>
  <c r="D9" i="1"/>
  <c r="F9" i="1"/>
  <c r="D8" i="1"/>
  <c r="F8" i="1"/>
  <c r="D7" i="1"/>
  <c r="F7" i="1"/>
  <c r="D6" i="1"/>
  <c r="F6" i="1"/>
  <c r="D5" i="1"/>
  <c r="F5" i="1"/>
  <c r="D4" i="1"/>
  <c r="F4" i="1"/>
  <c r="D3" i="1"/>
  <c r="F3" i="1"/>
  <c r="D2" i="1"/>
  <c r="F2" i="1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A257" i="1"/>
  <c r="A258" i="1"/>
  <c r="A259" i="1"/>
  <c r="A260" i="1"/>
  <c r="A263" i="1"/>
  <c r="A264" i="1"/>
  <c r="A265" i="1"/>
  <c r="A266" i="1"/>
  <c r="A272" i="1"/>
  <c r="A273" i="1"/>
  <c r="A274" i="1"/>
  <c r="A275" i="1"/>
  <c r="E107" i="1"/>
  <c r="A231" i="1"/>
  <c r="A296" i="1"/>
  <c r="E298" i="1"/>
  <c r="E303" i="1"/>
  <c r="E302" i="1"/>
  <c r="E301" i="1"/>
  <c r="E279" i="1"/>
  <c r="E293" i="1"/>
  <c r="E292" i="1"/>
  <c r="E291" i="1"/>
  <c r="E290" i="1"/>
  <c r="E283" i="1"/>
  <c r="E282" i="1"/>
  <c r="E281" i="1"/>
  <c r="E280" i="1"/>
  <c r="E288" i="1"/>
  <c r="E269" i="1"/>
  <c r="E262" i="1"/>
  <c r="E246" i="1"/>
  <c r="E245" i="1"/>
  <c r="E244" i="1"/>
  <c r="E243" i="1"/>
  <c r="E237" i="1"/>
  <c r="E238" i="1"/>
  <c r="E240" i="1"/>
  <c r="E239" i="1"/>
  <c r="E236" i="1"/>
  <c r="E132" i="1"/>
  <c r="E131" i="1"/>
  <c r="E89" i="1"/>
  <c r="E88" i="1"/>
  <c r="E223" i="1"/>
  <c r="E222" i="1"/>
  <c r="E211" i="1"/>
  <c r="E210" i="1"/>
  <c r="E209" i="1"/>
  <c r="E208" i="1"/>
  <c r="E197" i="1"/>
  <c r="E196" i="1"/>
  <c r="E195" i="1"/>
  <c r="E194" i="1"/>
  <c r="E67" i="2"/>
  <c r="D67" i="2"/>
  <c r="B67" i="2"/>
  <c r="E85" i="2"/>
  <c r="D85" i="2"/>
  <c r="B85" i="2"/>
  <c r="E79" i="2"/>
  <c r="D79" i="2"/>
  <c r="B79" i="2"/>
  <c r="E73" i="2"/>
  <c r="D73" i="2"/>
  <c r="B73" i="2"/>
  <c r="E183" i="1"/>
  <c r="E182" i="1"/>
  <c r="E229" i="1"/>
  <c r="E228" i="1"/>
  <c r="E227" i="1"/>
  <c r="E226" i="1"/>
  <c r="E221" i="1"/>
  <c r="E220" i="1"/>
  <c r="E219" i="1"/>
  <c r="E218" i="1"/>
  <c r="E215" i="1"/>
  <c r="E214" i="1"/>
  <c r="E213" i="1"/>
  <c r="E212" i="1"/>
  <c r="E207" i="1"/>
  <c r="E206" i="1"/>
  <c r="E205" i="1"/>
  <c r="E204" i="1"/>
  <c r="E201" i="1"/>
  <c r="E200" i="1"/>
  <c r="E199" i="1"/>
  <c r="E198" i="1"/>
  <c r="E193" i="1"/>
  <c r="E192" i="1"/>
  <c r="E191" i="1"/>
  <c r="E190" i="1"/>
  <c r="E187" i="1"/>
  <c r="E186" i="1"/>
  <c r="E185" i="1"/>
  <c r="E184" i="1"/>
  <c r="E179" i="1"/>
  <c r="E178" i="1"/>
  <c r="E177" i="1"/>
  <c r="E176" i="1"/>
  <c r="E175" i="1"/>
  <c r="E174" i="1"/>
  <c r="E173" i="1"/>
  <c r="E172" i="1"/>
  <c r="E171" i="1"/>
  <c r="E170" i="1"/>
  <c r="E168" i="1"/>
  <c r="E167" i="1"/>
  <c r="E166" i="1"/>
  <c r="E165" i="1"/>
  <c r="E163" i="1"/>
  <c r="E162" i="1"/>
  <c r="E161" i="1"/>
  <c r="E160" i="1"/>
  <c r="E158" i="1"/>
  <c r="E157" i="1"/>
  <c r="E156" i="1"/>
  <c r="E155" i="1"/>
  <c r="E153" i="1"/>
  <c r="E152" i="1"/>
  <c r="E151" i="1"/>
  <c r="E150" i="1"/>
  <c r="E130" i="1"/>
  <c r="E129" i="1"/>
  <c r="E128" i="1"/>
  <c r="E127" i="1"/>
  <c r="E125" i="1"/>
  <c r="E124" i="1"/>
  <c r="E123" i="1"/>
  <c r="E122" i="1"/>
  <c r="E120" i="1"/>
  <c r="E119" i="1"/>
  <c r="E118" i="1"/>
  <c r="E117" i="1"/>
  <c r="E115" i="1"/>
  <c r="E114" i="1"/>
  <c r="E113" i="1"/>
  <c r="E112" i="1"/>
  <c r="E110" i="1"/>
  <c r="E109" i="1"/>
  <c r="E108" i="1"/>
  <c r="E87" i="1"/>
  <c r="E86" i="1"/>
  <c r="E85" i="1"/>
  <c r="E84" i="1"/>
  <c r="E82" i="1"/>
  <c r="E81" i="1"/>
  <c r="E80" i="1"/>
  <c r="E79" i="1"/>
  <c r="E77" i="1"/>
  <c r="E76" i="1"/>
  <c r="E75" i="1"/>
  <c r="E74" i="1"/>
  <c r="E72" i="1"/>
  <c r="E71" i="1"/>
  <c r="E70" i="1"/>
  <c r="E69" i="1"/>
  <c r="E67" i="1"/>
  <c r="E66" i="1"/>
  <c r="E65" i="1"/>
  <c r="E64" i="1"/>
  <c r="E42" i="1"/>
  <c r="E41" i="1"/>
  <c r="E43" i="1"/>
  <c r="E40" i="1"/>
  <c r="E39" i="1"/>
  <c r="E38" i="1"/>
  <c r="E37" i="1"/>
  <c r="E34" i="1"/>
  <c r="E33" i="1"/>
  <c r="E32" i="1"/>
  <c r="E29" i="1"/>
  <c r="E28" i="1"/>
  <c r="E27" i="1"/>
  <c r="E22" i="1"/>
  <c r="E23" i="1"/>
  <c r="E24" i="1"/>
  <c r="E105" i="1"/>
  <c r="E104" i="1"/>
  <c r="E103" i="1"/>
  <c r="E62" i="1"/>
  <c r="E61" i="1"/>
  <c r="E60" i="1"/>
  <c r="E148" i="1"/>
  <c r="E147" i="1"/>
  <c r="E146" i="1"/>
  <c r="E19" i="1"/>
  <c r="E18" i="1"/>
  <c r="E16" i="1"/>
  <c r="E296" i="1"/>
  <c r="E304" i="1"/>
  <c r="E278" i="1"/>
  <c r="E276" i="1"/>
  <c r="E270" i="1"/>
  <c r="E267" i="1"/>
  <c r="E268" i="1"/>
  <c r="E261" i="1"/>
  <c r="E256" i="1"/>
  <c r="E255" i="1"/>
  <c r="E253" i="1"/>
  <c r="E254" i="1"/>
  <c r="E241" i="1"/>
  <c r="E242" i="1"/>
  <c r="E235" i="1"/>
  <c r="E231" i="1"/>
  <c r="E230" i="1"/>
  <c r="E217" i="1"/>
  <c r="E216" i="1"/>
  <c r="E203" i="1"/>
  <c r="E202" i="1"/>
  <c r="E189" i="1"/>
  <c r="E188" i="1"/>
  <c r="E181" i="1"/>
  <c r="E180" i="1"/>
  <c r="E169" i="1"/>
  <c r="E164" i="1"/>
  <c r="E159" i="1"/>
  <c r="E154" i="1"/>
  <c r="E149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26" i="1"/>
  <c r="E121" i="1"/>
  <c r="E116" i="1"/>
  <c r="E111" i="1"/>
  <c r="E106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3" i="1"/>
  <c r="E78" i="1"/>
  <c r="E73" i="1"/>
  <c r="E68" i="1"/>
  <c r="E63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36" i="1"/>
  <c r="E35" i="1"/>
  <c r="E31" i="1"/>
  <c r="E30" i="1"/>
  <c r="E26" i="1"/>
  <c r="E25" i="1"/>
  <c r="E21" i="1"/>
  <c r="E17" i="1"/>
  <c r="E15" i="1"/>
  <c r="E14" i="1"/>
  <c r="E13" i="1"/>
  <c r="E12" i="1"/>
  <c r="E11" i="1"/>
  <c r="E9" i="1"/>
  <c r="E8" i="1"/>
  <c r="E7" i="1"/>
  <c r="E6" i="1"/>
  <c r="E5" i="1"/>
  <c r="E4" i="1"/>
  <c r="E3" i="1"/>
  <c r="E20" i="1"/>
  <c r="E10" i="1"/>
  <c r="E100" i="2"/>
  <c r="D100" i="2"/>
  <c r="B100" i="2"/>
  <c r="E99" i="2"/>
  <c r="D99" i="2"/>
  <c r="B99" i="2"/>
  <c r="E98" i="2"/>
  <c r="D98" i="2"/>
  <c r="B98" i="2"/>
  <c r="E97" i="2"/>
  <c r="D97" i="2"/>
  <c r="B97" i="2"/>
  <c r="E95" i="2"/>
  <c r="D95" i="2"/>
  <c r="B95" i="2"/>
  <c r="E94" i="2"/>
  <c r="D94" i="2"/>
  <c r="B94" i="2"/>
  <c r="E93" i="2"/>
  <c r="D93" i="2"/>
  <c r="B93" i="2"/>
  <c r="E92" i="2"/>
  <c r="D92" i="2"/>
  <c r="B92" i="2"/>
  <c r="E90" i="2"/>
  <c r="D90" i="2"/>
  <c r="B90" i="2"/>
  <c r="E89" i="2"/>
  <c r="D89" i="2"/>
  <c r="B89" i="2"/>
  <c r="E88" i="2"/>
  <c r="D88" i="2"/>
  <c r="B88" i="2"/>
  <c r="E87" i="2"/>
  <c r="D87" i="2"/>
  <c r="B87" i="2"/>
  <c r="E84" i="2"/>
  <c r="D84" i="2"/>
  <c r="B84" i="2"/>
  <c r="E83" i="2"/>
  <c r="D83" i="2"/>
  <c r="B83" i="2"/>
  <c r="E82" i="2"/>
  <c r="D82" i="2"/>
  <c r="B82" i="2"/>
  <c r="E81" i="2"/>
  <c r="D81" i="2"/>
  <c r="B81" i="2"/>
  <c r="E78" i="2"/>
  <c r="D78" i="2"/>
  <c r="B78" i="2"/>
  <c r="B80" i="2"/>
  <c r="D80" i="2"/>
  <c r="E80" i="2"/>
  <c r="E77" i="2"/>
  <c r="D77" i="2"/>
  <c r="B77" i="2"/>
  <c r="E76" i="2"/>
  <c r="D76" i="2"/>
  <c r="B76" i="2"/>
  <c r="E75" i="2"/>
  <c r="D75" i="2"/>
  <c r="B75" i="2"/>
  <c r="E72" i="2"/>
  <c r="D72" i="2"/>
  <c r="B72" i="2"/>
  <c r="E71" i="2"/>
  <c r="D71" i="2"/>
  <c r="B71" i="2"/>
  <c r="E70" i="2"/>
  <c r="D70" i="2"/>
  <c r="B70" i="2"/>
  <c r="E69" i="2"/>
  <c r="D69" i="2"/>
  <c r="B69" i="2"/>
  <c r="E66" i="2"/>
  <c r="D66" i="2"/>
  <c r="B66" i="2"/>
  <c r="E65" i="2"/>
  <c r="D65" i="2"/>
  <c r="B65" i="2"/>
  <c r="E64" i="2"/>
  <c r="D64" i="2"/>
  <c r="B64" i="2"/>
  <c r="E63" i="2"/>
  <c r="D63" i="2"/>
  <c r="B63" i="2"/>
  <c r="E61" i="2"/>
  <c r="D61" i="2"/>
  <c r="B61" i="2"/>
  <c r="E60" i="2"/>
  <c r="D60" i="2"/>
  <c r="B60" i="2"/>
  <c r="E59" i="2"/>
  <c r="D59" i="2"/>
  <c r="B59" i="2"/>
  <c r="E58" i="2"/>
  <c r="D58" i="2"/>
  <c r="B58" i="2"/>
  <c r="E56" i="2"/>
  <c r="D56" i="2"/>
  <c r="B56" i="2"/>
  <c r="E55" i="2"/>
  <c r="D55" i="2"/>
  <c r="B55" i="2"/>
  <c r="E54" i="2"/>
  <c r="D54" i="2"/>
  <c r="B54" i="2"/>
  <c r="E53" i="2"/>
  <c r="D53" i="2"/>
  <c r="B53" i="2"/>
  <c r="E51" i="2"/>
  <c r="D51" i="2"/>
  <c r="B51" i="2"/>
  <c r="E50" i="2"/>
  <c r="D50" i="2"/>
  <c r="B50" i="2"/>
  <c r="E48" i="2"/>
  <c r="D48" i="2"/>
  <c r="B48" i="2"/>
  <c r="E49" i="2"/>
  <c r="D49" i="2"/>
  <c r="B49" i="2"/>
  <c r="E46" i="2"/>
  <c r="D46" i="2"/>
  <c r="B46" i="2"/>
  <c r="E45" i="2"/>
  <c r="D45" i="2"/>
  <c r="B45" i="2"/>
  <c r="E44" i="2"/>
  <c r="D44" i="2"/>
  <c r="B44" i="2"/>
  <c r="B47" i="2"/>
  <c r="D47" i="2"/>
  <c r="E47" i="2"/>
  <c r="E43" i="2"/>
  <c r="D43" i="2"/>
  <c r="B43" i="2"/>
  <c r="E41" i="2"/>
  <c r="D41" i="2"/>
  <c r="B41" i="2"/>
  <c r="E31" i="2"/>
  <c r="D31" i="2"/>
  <c r="B31" i="2"/>
  <c r="E30" i="2"/>
  <c r="D30" i="2"/>
  <c r="B30" i="2"/>
  <c r="E29" i="2"/>
  <c r="D29" i="2"/>
  <c r="B29" i="2"/>
  <c r="E28" i="2"/>
  <c r="D28" i="2"/>
  <c r="B28" i="2"/>
  <c r="E40" i="2"/>
  <c r="D40" i="2"/>
  <c r="B40" i="2"/>
  <c r="E39" i="2"/>
  <c r="D39" i="2"/>
  <c r="B39" i="2"/>
  <c r="E38" i="2"/>
  <c r="D38" i="2"/>
  <c r="B38" i="2"/>
  <c r="E36" i="2"/>
  <c r="D36" i="2"/>
  <c r="B36" i="2"/>
  <c r="E35" i="2"/>
  <c r="D35" i="2"/>
  <c r="B35" i="2"/>
  <c r="E34" i="2"/>
  <c r="D34" i="2"/>
  <c r="B34" i="2"/>
  <c r="E33" i="2"/>
  <c r="D33" i="2"/>
  <c r="B33" i="2"/>
  <c r="E26" i="2"/>
  <c r="D26" i="2"/>
  <c r="B26" i="2"/>
  <c r="E25" i="2"/>
  <c r="D25" i="2"/>
  <c r="B25" i="2"/>
  <c r="E24" i="2"/>
  <c r="D24" i="2"/>
  <c r="B24" i="2"/>
  <c r="E23" i="2"/>
  <c r="D23" i="2"/>
  <c r="B23" i="2"/>
  <c r="E21" i="2"/>
  <c r="D21" i="2"/>
  <c r="B21" i="2"/>
  <c r="E20" i="2"/>
  <c r="D20" i="2"/>
  <c r="B20" i="2"/>
  <c r="E19" i="2"/>
  <c r="D19" i="2"/>
  <c r="B19" i="2"/>
  <c r="E18" i="2"/>
  <c r="D18" i="2"/>
  <c r="B18" i="2"/>
  <c r="E16" i="2"/>
  <c r="D16" i="2"/>
  <c r="B16" i="2"/>
  <c r="E15" i="2"/>
  <c r="D15" i="2"/>
  <c r="B15" i="2"/>
  <c r="E14" i="2"/>
  <c r="D14" i="2"/>
  <c r="B14" i="2"/>
  <c r="E13" i="2"/>
  <c r="D13" i="2"/>
  <c r="B13" i="2"/>
  <c r="E11" i="2"/>
  <c r="D11" i="2"/>
  <c r="B11" i="2"/>
  <c r="E10" i="2"/>
  <c r="D10" i="2"/>
  <c r="B10" i="2"/>
  <c r="E9" i="2"/>
  <c r="D9" i="2"/>
  <c r="B9" i="2"/>
  <c r="E8" i="2"/>
  <c r="D8" i="2"/>
  <c r="B8" i="2"/>
  <c r="E6" i="2"/>
  <c r="D6" i="2"/>
  <c r="B6" i="2"/>
  <c r="E5" i="2"/>
  <c r="D5" i="2"/>
  <c r="B5" i="2"/>
  <c r="E3" i="2"/>
  <c r="D3" i="2"/>
  <c r="B3" i="2"/>
  <c r="E4" i="2"/>
  <c r="D4" i="2"/>
  <c r="B4" i="2"/>
  <c r="B7" i="2"/>
  <c r="D7" i="2"/>
  <c r="E7" i="2"/>
  <c r="E96" i="2"/>
  <c r="D96" i="2"/>
  <c r="B96" i="2"/>
  <c r="E91" i="2"/>
  <c r="D91" i="2"/>
  <c r="B91" i="2"/>
  <c r="E68" i="2"/>
  <c r="D68" i="2"/>
  <c r="B68" i="2"/>
  <c r="E74" i="2"/>
  <c r="D74" i="2"/>
  <c r="B74" i="2"/>
  <c r="E57" i="2"/>
  <c r="D57" i="2"/>
  <c r="B57" i="2"/>
  <c r="E52" i="2"/>
  <c r="D52" i="2"/>
  <c r="B52" i="2"/>
  <c r="E42" i="2"/>
  <c r="D42" i="2"/>
  <c r="B42" i="2"/>
  <c r="E37" i="2"/>
  <c r="D37" i="2"/>
  <c r="B37" i="2"/>
  <c r="E22" i="2"/>
  <c r="D22" i="2"/>
  <c r="B22" i="2"/>
  <c r="E27" i="2"/>
  <c r="D27" i="2"/>
  <c r="B27" i="2"/>
  <c r="E12" i="2"/>
  <c r="D12" i="2"/>
  <c r="B12" i="2"/>
  <c r="E86" i="2"/>
  <c r="D86" i="2"/>
  <c r="B86" i="2"/>
  <c r="E62" i="2"/>
  <c r="D62" i="2"/>
  <c r="B62" i="2"/>
  <c r="E32" i="2"/>
  <c r="D32" i="2"/>
  <c r="B32" i="2"/>
  <c r="E17" i="2"/>
  <c r="D17" i="2"/>
  <c r="B17" i="2"/>
  <c r="AG2" i="1"/>
  <c r="B2" i="2"/>
  <c r="E2" i="2"/>
  <c r="D2" i="2"/>
  <c r="E2" i="1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<sst xmlns="http://schemas.openxmlformats.org/spreadsheetml/2006/main" count="943" uniqueCount="236">
  <si>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</si>
  <si>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</si>
  <si>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</si>
  <si>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</si>
  <si>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</si>
  <si>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</si>
  <si>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</si>
  <si>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</si>
  <si>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</si>
  <si>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</si>
  <si>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</si>
  <si>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</si>
  <si>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</si>
  <si>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</si>
  <si>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</si>
  <si>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</si>
  <si>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</si>
  <si>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</si>
  <si>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</si>
  <si>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</si>
  <si>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</si>
  <si>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</si>
  <si>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</si>
  <si>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</si>
  <si>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</si>
  <si>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</si>
  <si>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</si>
  <si>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</si>
  <si>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</si>
  <si>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</si>
  <si>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</si>
  <si>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</si>
  <si>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</si>
  <si>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</si>
  <si>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</si>
  <si>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</si>
  <si>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</si>
  <si>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</si>
  <si>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</si>
  <si>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</si>
  <si>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</si>
  <si>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</si>
  <si>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</si>
  <si>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</si>
  <si>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</si>
  <si>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</si>
  <si>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</si>
  <si>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incidence</t>
    <phoneticPr fontId="4"/>
  </si>
  <si>
    <t>【土日限定】 ゴールドカジノ</t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</si>
  <si>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</si>
  <si>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</si>
  <si>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</si>
  <si>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</si>
  <si>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</si>
  <si>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</si>
  <si>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</si>
  <si>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</si>
  <si>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</si>
  <si>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</si>
  <si>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</si>
  <si>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</si>
  <si>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</si>
  <si>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old</t>
    <phoneticPr fontId="4"/>
  </si>
  <si>
    <t>floors_</t>
    <phoneticPr fontId="4"/>
  </si>
  <si>
    <t>.tmp</t>
    <phoneticPr fontId="4"/>
  </si>
  <si>
    <t>floors</t>
    <phoneticPr fontId="4"/>
  </si>
  <si>
    <t>old</t>
    <phoneticPr fontId="4"/>
  </si>
  <si>
    <t>old</t>
    <phoneticPr fontId="4"/>
  </si>
  <si>
    <t>enemy_habitats_</t>
    <phoneticPr fontId="4"/>
  </si>
  <si>
    <t>.tmp</t>
    <phoneticPr fontId="4"/>
  </si>
  <si>
    <t>enemy_habitats</t>
    <phoneticPr fontId="4"/>
  </si>
  <si>
    <t>seq_no</t>
    <phoneticPr fontId="4"/>
  </si>
  <si>
    <t>skill_level</t>
    <phoneticPr fontId="4"/>
  </si>
  <si>
    <t>enemy_habitat_S_</t>
    <phoneticPr fontId="4"/>
  </si>
  <si>
    <t>enemy_habitat_S</t>
    <phoneticPr fontId="4"/>
  </si>
  <si>
    <t>seq_no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</si>
  <si>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</si>
  <si>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</si>
  <si>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</si>
  <si>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</si>
  <si>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skill_set_id</t>
    <phoneticPr fontId="4"/>
  </si>
  <si>
    <t>hp_coefficient</t>
    <phoneticPr fontId="4"/>
  </si>
  <si>
    <t>attack_coefficient</t>
    <phoneticPr fontId="4"/>
  </si>
  <si>
    <t>defense_correction</t>
    <phoneticPr fontId="4"/>
  </si>
  <si>
    <t>enemy_skill_sets_</t>
    <phoneticPr fontId="4"/>
  </si>
  <si>
    <t>enemy_skill_sets</t>
    <phoneticPr fontId="4"/>
  </si>
  <si>
    <t>skill_id</t>
  </si>
  <si>
    <t>skill_trigger_id</t>
  </si>
  <si>
    <t>old</t>
    <phoneticPr fontId="4"/>
  </si>
  <si>
    <t>enemy_skills_tmp_</t>
    <phoneticPr fontId="4"/>
  </si>
  <si>
    <t>enemy_skills</t>
    <phoneticPr fontId="4"/>
  </si>
  <si>
    <t>enemy_skill_id</t>
  </si>
  <si>
    <t>effect_param</t>
    <phoneticPr fontId="4"/>
  </si>
  <si>
    <t>valid_flg</t>
  </si>
  <si>
    <t>enemy_skills_i18n_</t>
    <phoneticPr fontId="4"/>
  </si>
  <si>
    <t>language</t>
  </si>
  <si>
    <t>name</t>
  </si>
  <si>
    <t>comment</t>
  </si>
  <si>
    <t>enemy_skill_triggers_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</si>
  <si>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</si>
  <si>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</si>
  <si>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</si>
  <si>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</si>
  <si>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</si>
  <si>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</si>
  <si>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</si>
  <si>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</si>
  <si>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</si>
  <si>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</si>
  <si>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stage_bug_bonuses_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</si>
  <si>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</si>
  <si>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bugbonuses</t>
    <phoneticPr fontId="4"/>
  </si>
  <si>
    <t>quest_id</t>
    <phoneticPr fontId="4"/>
  </si>
  <si>
    <t>stage_id</t>
    <phoneticPr fontId="4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</si>
  <si>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</si>
  <si>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</si>
  <si>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</si>
  <si>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</si>
  <si>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</si>
  <si>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</si>
  <si>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</si>
  <si>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</si>
  <si>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</si>
  <si>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</si>
  <si>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</si>
  <si>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</si>
  <si>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weight</t>
    <phoneticPr fontId="4"/>
  </si>
  <si>
    <t>definite_start_date</t>
    <phoneticPr fontId="4"/>
  </si>
  <si>
    <t>definite_end_date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</si>
  <si>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</si>
  <si>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</si>
  <si>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</si>
  <si>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</si>
  <si>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</si>
  <si>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</si>
  <si>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</si>
  <si>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priority</t>
    <phoneticPr fontId="4"/>
  </si>
  <si>
    <t>invoke_rate</t>
    <phoneticPr fontId="4"/>
  </si>
  <si>
    <t>hp_threshold</t>
    <phoneticPr fontId="4"/>
  </si>
  <si>
    <t>invoke_times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</si>
  <si>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</si>
  <si>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</si>
  <si>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</si>
  <si>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effect_param</t>
    <phoneticPr fontId="4"/>
  </si>
  <si>
    <t>language</t>
    <phoneticPr fontId="4"/>
  </si>
  <si>
    <t>name</t>
    <phoneticPr fontId="6"/>
  </si>
  <si>
    <t>効果１文字列</t>
    <rPh sb="0" eb="2">
      <t>コウカ</t>
    </rPh>
    <rPh sb="3" eb="6">
      <t>モジレツ</t>
    </rPh>
    <phoneticPr fontId="4"/>
  </si>
  <si>
    <t>効果１efect位置</t>
    <rPh sb="0" eb="2">
      <t>コウカ</t>
    </rPh>
    <rPh sb="8" eb="10">
      <t>イチ</t>
    </rPh>
    <phoneticPr fontId="4"/>
  </si>
  <si>
    <t>効果1終了位置</t>
    <rPh sb="0" eb="2">
      <t>コウカ</t>
    </rPh>
    <rPh sb="3" eb="5">
      <t>シュウリョウ</t>
    </rPh>
    <rPh sb="5" eb="7">
      <t>イチ</t>
    </rPh>
    <phoneticPr fontId="4"/>
  </si>
  <si>
    <t>効果１target位置</t>
    <rPh sb="0" eb="2">
      <t>コウカ</t>
    </rPh>
    <rPh sb="9" eb="11">
      <t>イチ</t>
    </rPh>
    <phoneticPr fontId="4"/>
  </si>
  <si>
    <t>効果1target終了位置</t>
    <rPh sb="0" eb="2">
      <t>コウカ</t>
    </rPh>
    <rPh sb="9" eb="11">
      <t>シュウリョウ</t>
    </rPh>
    <rPh sb="11" eb="13">
      <t>イチ</t>
    </rPh>
    <phoneticPr fontId="4"/>
  </si>
  <si>
    <t>効果１簡易デコード</t>
    <rPh sb="0" eb="2">
      <t>コウカ</t>
    </rPh>
    <rPh sb="3" eb="5">
      <t>カンイ</t>
    </rPh>
    <phoneticPr fontId="4"/>
  </si>
  <si>
    <t>中間文字列１</t>
    <rPh sb="0" eb="2">
      <t>チュウカン</t>
    </rPh>
    <rPh sb="2" eb="5">
      <t>モジレツ</t>
    </rPh>
    <phoneticPr fontId="4"/>
  </si>
  <si>
    <t>効果２文字列</t>
    <rPh sb="0" eb="2">
      <t>コウカ</t>
    </rPh>
    <rPh sb="3" eb="6">
      <t>モジレツ</t>
    </rPh>
    <phoneticPr fontId="4"/>
  </si>
  <si>
    <t>効果2efect位置</t>
    <rPh sb="0" eb="2">
      <t>コウカ</t>
    </rPh>
    <rPh sb="8" eb="10">
      <t>イチ</t>
    </rPh>
    <phoneticPr fontId="4"/>
  </si>
  <si>
    <t>効果2終了位置</t>
    <rPh sb="0" eb="2">
      <t>コウカ</t>
    </rPh>
    <rPh sb="3" eb="5">
      <t>シュウリョウ</t>
    </rPh>
    <rPh sb="5" eb="7">
      <t>イチ</t>
    </rPh>
    <phoneticPr fontId="4"/>
  </si>
  <si>
    <t>効果2target位置</t>
    <rPh sb="0" eb="2">
      <t>コウカ</t>
    </rPh>
    <rPh sb="9" eb="11">
      <t>イチ</t>
    </rPh>
    <phoneticPr fontId="4"/>
  </si>
  <si>
    <t>効果2target終了位置</t>
    <rPh sb="0" eb="2">
      <t>コウカ</t>
    </rPh>
    <rPh sb="9" eb="11">
      <t>シュウリョウ</t>
    </rPh>
    <rPh sb="11" eb="13">
      <t>イチ</t>
    </rPh>
    <phoneticPr fontId="4"/>
  </si>
  <si>
    <t>効果２簡易デコード</t>
    <rPh sb="0" eb="2">
      <t>コウカ</t>
    </rPh>
    <rPh sb="3" eb="5">
      <t>カンイ</t>
    </rPh>
    <phoneticPr fontId="4"/>
  </si>
  <si>
    <t>効果３文字列</t>
    <rPh sb="0" eb="2">
      <t>コウカ</t>
    </rPh>
    <rPh sb="3" eb="6">
      <t>モジレツ</t>
    </rPh>
    <phoneticPr fontId="4"/>
  </si>
  <si>
    <t>効果3efect位置</t>
    <rPh sb="0" eb="2">
      <t>コウカ</t>
    </rPh>
    <rPh sb="8" eb="10">
      <t>イチ</t>
    </rPh>
    <phoneticPr fontId="4"/>
  </si>
  <si>
    <t>効果3終了位置</t>
    <rPh sb="0" eb="2">
      <t>コウカ</t>
    </rPh>
    <rPh sb="3" eb="5">
      <t>シュウリョウ</t>
    </rPh>
    <rPh sb="5" eb="7">
      <t>イチ</t>
    </rPh>
    <phoneticPr fontId="4"/>
  </si>
  <si>
    <t>効果3target位置</t>
    <rPh sb="0" eb="2">
      <t>コウカ</t>
    </rPh>
    <rPh sb="9" eb="11">
      <t>イチ</t>
    </rPh>
    <phoneticPr fontId="4"/>
  </si>
  <si>
    <t>効果3target終了位置</t>
    <rPh sb="0" eb="2">
      <t>コウカ</t>
    </rPh>
    <rPh sb="9" eb="11">
      <t>シュウリョウ</t>
    </rPh>
    <rPh sb="11" eb="13">
      <t>イチ</t>
    </rPh>
    <phoneticPr fontId="4"/>
  </si>
  <si>
    <t>効果３簡易デコード</t>
    <rPh sb="0" eb="2">
      <t>コウカ</t>
    </rPh>
    <rPh sb="3" eb="5">
      <t>カンイ</t>
    </rPh>
    <phoneticPr fontId="4"/>
  </si>
  <si>
    <t>comment</t>
    <phoneticPr fontId="6"/>
  </si>
  <si>
    <t>ja</t>
    <phoneticPr fontId="4"/>
  </si>
  <si>
    <t>skill_trigger_id</t>
    <phoneticPr fontId="6"/>
  </si>
  <si>
    <t>first_time</t>
    <phoneticPr fontId="4"/>
  </si>
  <si>
    <t>priority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</si>
  <si>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</si>
  <si>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</si>
  <si>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</si>
  <si>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</si>
  <si>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</si>
  <si>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neighbor_dead_id</t>
    <phoneticPr fontId="4"/>
  </si>
  <si>
    <t>invoke_weight</t>
    <phoneticPr fontId="4"/>
  </si>
  <si>
    <t>重複チェック</t>
    <rPh sb="0" eb="2">
      <t>チョウフク</t>
    </rPh>
    <phoneticPr fontId="4"/>
  </si>
  <si>
    <t>null</t>
    <phoneticPr fontId="4"/>
  </si>
  <si>
    <t>null</t>
    <phoneticPr fontId="4"/>
  </si>
  <si>
    <t>skip</t>
    <phoneticPr fontId="4"/>
  </si>
  <si>
    <t>temp_habitats</t>
    <phoneticPr fontId="4"/>
  </si>
  <si>
    <t>temp_stage</t>
    <phoneticPr fontId="4"/>
  </si>
  <si>
    <t>name</t>
    <phoneticPr fontId="4"/>
  </si>
  <si>
    <t>floor_id</t>
    <phoneticPr fontId="4"/>
  </si>
  <si>
    <t>temp_floor</t>
    <phoneticPr fontId="4"/>
  </si>
  <si>
    <t>seq_no</t>
    <phoneticPr fontId="4"/>
  </si>
  <si>
    <t>state_no</t>
    <phoneticPr fontId="4"/>
  </si>
  <si>
    <t>color</t>
    <phoneticPr fontId="4"/>
  </si>
  <si>
    <t>drop_label</t>
    <phoneticPr fontId="4"/>
  </si>
  <si>
    <t>character_main_tribe_id</t>
    <phoneticPr fontId="4"/>
  </si>
  <si>
    <t>size</t>
    <phoneticPr fontId="4"/>
  </si>
  <si>
    <t>hp_coefficient</t>
    <phoneticPr fontId="4"/>
  </si>
  <si>
    <t>attack_coefficient</t>
    <phoneticPr fontId="4"/>
  </si>
  <si>
    <t>defense_correction</t>
    <phoneticPr fontId="4"/>
  </si>
  <si>
    <t>スキル</t>
    <phoneticPr fontId="4"/>
  </si>
  <si>
    <t>skill_level</t>
    <phoneticPr fontId="4"/>
  </si>
  <si>
    <t>null</t>
    <phoneticPr fontId="4"/>
  </si>
  <si>
    <t>seq_no</t>
    <phoneticPr fontId="4"/>
  </si>
  <si>
    <t>week</t>
    <phoneticPr fontId="4"/>
  </si>
  <si>
    <t>null</t>
    <phoneticPr fontId="4"/>
  </si>
  <si>
    <t>[effect:fix_speed, target:myself, turn:3]</t>
    <phoneticPr fontId="4"/>
  </si>
  <si>
    <t>この果実は ターン0で自爆する！
ターゲットして 早めに倒そう！</t>
    <rPh sb="2" eb="4">
      <t>カジツ</t>
    </rPh>
    <rPh sb="11" eb="13">
      <t>ジバク</t>
    </rPh>
    <rPh sb="25" eb="26">
      <t>ハヤ</t>
    </rPh>
    <rPh sb="28" eb="29">
      <t>タオ</t>
    </rPh>
    <phoneticPr fontId="2"/>
  </si>
  <si>
    <t>なぜか うれしそうに爆ぜていった</t>
    <rPh sb="10" eb="11">
      <t>ハ</t>
    </rPh>
    <phoneticPr fontId="2"/>
  </si>
  <si>
    <t>勢い余って 爆ぜていった！</t>
    <rPh sb="0" eb="1">
      <t>イキオ</t>
    </rPh>
    <rPh sb="2" eb="3">
      <t>アマ</t>
    </rPh>
    <rPh sb="6" eb="7">
      <t>ハ</t>
    </rPh>
    <phoneticPr fontId="2"/>
  </si>
  <si>
    <t>オレは やるぜー！</t>
    <phoneticPr fontId="2"/>
  </si>
  <si>
    <t>かまってくれなきゃ お仕置きよ★</t>
    <rPh sb="11" eb="13">
      <t>シオ</t>
    </rPh>
    <phoneticPr fontId="2"/>
  </si>
  <si>
    <t>今度はもっと かまってね★</t>
    <rPh sb="0" eb="2">
      <t>コンド</t>
    </rPh>
    <phoneticPr fontId="2"/>
  </si>
  <si>
    <t>いじけながら 爆ぜていった…</t>
    <rPh sb="7" eb="8">
      <t>ハ</t>
    </rPh>
    <phoneticPr fontId="2"/>
  </si>
  <si>
    <t>会いたかったかい ベイベ〜？</t>
    <rPh sb="0" eb="1">
      <t>ア</t>
    </rPh>
    <phoneticPr fontId="2"/>
  </si>
  <si>
    <t>どうせ ハズレですよ…</t>
    <phoneticPr fontId="2"/>
  </si>
  <si>
    <t>花をかきあげながら 爆ぜていった</t>
    <rPh sb="0" eb="1">
      <t>ハナ</t>
    </rPh>
    <rPh sb="10" eb="11">
      <t>ハ</t>
    </rPh>
    <phoneticPr fontId="4"/>
  </si>
  <si>
    <t>[effect:kamikaze, val:1.0, animation:enemy_kamikaze]</t>
    <phoneticPr fontId="4"/>
  </si>
  <si>
    <t>おっと デートに遅れそうだ！</t>
    <rPh sb="8" eb="9">
      <t>オク</t>
    </rPh>
    <phoneticPr fontId="2"/>
  </si>
  <si>
    <t>やるったらやるぜー！</t>
    <phoneticPr fontId="2"/>
  </si>
  <si>
    <t>…ハズレって思ったでしょ？</t>
    <rPh sb="6" eb="7">
      <t>オモ</t>
    </rPh>
    <phoneticPr fontId="2"/>
  </si>
  <si>
    <t>enemy_habitats_2</t>
    <phoneticPr fontId="4"/>
  </si>
  <si>
    <t>week_new</t>
    <phoneticPr fontId="4"/>
  </si>
  <si>
    <t>stage_target</t>
  </si>
  <si>
    <t>bonus_id</t>
  </si>
  <si>
    <t>bonus_type</t>
  </si>
  <si>
    <t>bonus_value</t>
  </si>
  <si>
    <t>bonus_count</t>
  </si>
  <si>
    <t>skill_level</t>
  </si>
  <si>
    <t>weight</t>
  </si>
  <si>
    <t>definite_start_date</t>
  </si>
  <si>
    <t>definite_end_date</t>
  </si>
  <si>
    <t>everyone</t>
  </si>
  <si>
    <t>unit</t>
  </si>
  <si>
    <t>old</t>
    <phoneticPr fontId="6"/>
  </si>
  <si>
    <t>フィーバーゲージ増加！</t>
    <rPh sb="8" eb="10">
      <t>ゾウカ</t>
    </rPh>
    <phoneticPr fontId="4"/>
  </si>
  <si>
    <t>「早起きは三文の徳」だグワッ</t>
    <rPh sb="1" eb="3">
      <t>ハヤオキハ</t>
    </rPh>
    <rPh sb="5" eb="7">
      <t>サンモンノトク</t>
    </rPh>
    <rPh sb="8" eb="9">
      <t>トク</t>
    </rPh>
    <phoneticPr fontId="4"/>
  </si>
  <si>
    <t>おっと！見つかってしまったか！</t>
    <rPh sb="4" eb="5">
      <t>ミツカッテシマッタ</t>
    </rPh>
    <phoneticPr fontId="4"/>
  </si>
  <si>
    <t>[effect:enemy_message, val1:1.4, val2:1.2],[effect:enhance_fever, val:1000, animation:fevergauge_up03]</t>
    <phoneticPr fontId="4"/>
  </si>
  <si>
    <t>ランダムで黄のボムパネル(大)に5個変換</t>
    <rPh sb="5" eb="6">
      <t>キイロ</t>
    </rPh>
    <rPh sb="13" eb="14">
      <t>ダイ</t>
    </rPh>
    <rPh sb="17" eb="18">
      <t>コ</t>
    </rPh>
    <rPh sb="18" eb="20">
      <t>ヘンカn</t>
    </rPh>
    <phoneticPr fontId="4"/>
  </si>
  <si>
    <t>[effect:enemy_message, val1:1.5, val2:2.0],[effect:force_change_block, new_block:crack_bomb, target:block_all, ignore01:crash, ignore02:crack_bomb, ignore03:color_break, ignore04:damage, ignore05:magnet, color:block_yellow, count:5, val:24]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</si>
</sst>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"/>
    <numFmt numFmtId="177" formatCode="0_);[Red]\(0\)"/>
  </numFmts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indexed="81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</borders>
  <cellStyleXfs count="1760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7" fillId="0" borderId="0">
      <alignment vertical="center"/>
    </xf>
    <xf numFmtId="0" fontId="1" fillId="0" borderId="0"/>
    <xf numFmtId="0" fontId="1" fillId="0" borderId="0"/>
    <xf numFmtId="0" fontId="19" fillId="0" borderId="0"/>
    <xf numFmtId="38" fontId="20" fillId="0" borderId="0" applyFill="0" applyBorder="0" applyAlignment="0" applyProtection="0"/>
    <xf numFmtId="0" fontId="21" fillId="12" borderId="0" applyNumberFormat="0" applyBorder="0" applyAlignment="0" applyProtection="0"/>
    <xf numFmtId="0" fontId="22" fillId="13" borderId="0" applyNumberFormat="0" applyBorder="0" applyAlignment="0" applyProtection="0"/>
    <xf numFmtId="0" fontId="23" fillId="0" borderId="0"/>
    <xf numFmtId="0" fontId="15" fillId="0" borderId="0">
      <alignment vertical="center"/>
    </xf>
    <xf numFmtId="0" fontId="24" fillId="14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1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7" xfId="0" applyFont="1" applyFill="1" applyBorder="1" applyAlignment="1">
      <alignment vertical="center"/>
    </xf>
    <xf numFmtId="0" fontId="14" fillId="0" borderId="7" xfId="0" applyFont="1" applyBorder="1" applyAlignment="1">
      <alignment horizontal="center" vertical="center"/>
    </xf>
    <xf numFmtId="0" fontId="15" fillId="0" borderId="7" xfId="0" applyFont="1" applyFill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14" fillId="0" borderId="7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vertical="center"/>
    </xf>
    <xf numFmtId="0" fontId="16" fillId="9" borderId="7" xfId="0" applyFont="1" applyFill="1" applyBorder="1" applyAlignment="1">
      <alignment vertical="center"/>
    </xf>
    <xf numFmtId="0" fontId="5" fillId="8" borderId="9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6" fontId="7" fillId="0" borderId="4" xfId="0" applyNumberFormat="1" applyFont="1" applyBorder="1" applyAlignment="1">
      <alignment vertical="center"/>
    </xf>
    <xf numFmtId="176" fontId="10" fillId="0" borderId="12" xfId="0" applyNumberFormat="1" applyFont="1" applyBorder="1" applyAlignment="1">
      <alignment vertical="center"/>
    </xf>
    <xf numFmtId="0" fontId="3" fillId="3" borderId="7" xfId="0" applyFont="1" applyFill="1" applyBorder="1" applyAlignment="1">
      <alignment horizontal="left" vertical="center"/>
    </xf>
    <xf numFmtId="0" fontId="12" fillId="10" borderId="7" xfId="1680" applyFont="1" applyFill="1" applyBorder="1" applyAlignment="1"/>
    <xf numFmtId="0" fontId="12" fillId="10" borderId="7" xfId="0" applyFont="1" applyFill="1" applyBorder="1"/>
    <xf numFmtId="0" fontId="0" fillId="10" borderId="7" xfId="0" applyFill="1" applyBorder="1"/>
    <xf numFmtId="0" fontId="17" fillId="0" borderId="7" xfId="1680" applyBorder="1" applyAlignment="1"/>
    <xf numFmtId="0" fontId="0" fillId="0" borderId="7" xfId="0" applyBorder="1"/>
    <xf numFmtId="0" fontId="0" fillId="9" borderId="7" xfId="0" applyFill="1" applyBorder="1"/>
    <xf numFmtId="0" fontId="0" fillId="6" borderId="7" xfId="0" applyFill="1" applyBorder="1"/>
    <xf numFmtId="0" fontId="18" fillId="11" borderId="7" xfId="0" applyFont="1" applyFill="1" applyBorder="1"/>
    <xf numFmtId="0" fontId="0" fillId="0" borderId="7" xfId="1681" applyFont="1" applyBorder="1"/>
    <xf numFmtId="0" fontId="1" fillId="10" borderId="7" xfId="1681" applyFill="1" applyBorder="1"/>
    <xf numFmtId="0" fontId="16" fillId="6" borderId="7" xfId="1682" applyFont="1" applyFill="1" applyBorder="1" applyAlignment="1">
      <alignment horizontal="left"/>
    </xf>
    <xf numFmtId="0" fontId="0" fillId="6" borderId="7" xfId="1681" applyFont="1" applyFill="1" applyBorder="1"/>
    <xf numFmtId="0" fontId="13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0" fontId="16" fillId="3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vertical="center"/>
    </xf>
    <xf numFmtId="22" fontId="0" fillId="0" borderId="0" xfId="0" applyNumberFormat="1"/>
    <xf numFmtId="0" fontId="11" fillId="7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14" fillId="0" borderId="15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vertical="center"/>
    </xf>
    <xf numFmtId="0" fontId="5" fillId="5" borderId="15" xfId="0" applyFont="1" applyFill="1" applyBorder="1" applyAlignment="1">
      <alignment vertical="center"/>
    </xf>
    <xf numFmtId="0" fontId="7" fillId="0" borderId="18" xfId="0" applyFont="1" applyBorder="1" applyAlignment="1">
      <alignment vertical="center"/>
    </xf>
    <xf numFmtId="176" fontId="7" fillId="0" borderId="18" xfId="0" applyNumberFormat="1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3" borderId="15" xfId="0" applyFont="1" applyFill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1" fillId="7" borderId="21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vertical="center"/>
    </xf>
    <xf numFmtId="0" fontId="3" fillId="0" borderId="22" xfId="0" applyFont="1" applyBorder="1" applyAlignment="1">
      <alignment horizontal="center" vertical="center"/>
    </xf>
    <xf numFmtId="0" fontId="5" fillId="5" borderId="24" xfId="0" applyFont="1" applyFill="1" applyBorder="1" applyAlignment="1">
      <alignment vertical="center"/>
    </xf>
    <xf numFmtId="0" fontId="5" fillId="5" borderId="22" xfId="0" applyFont="1" applyFill="1" applyBorder="1" applyAlignment="1">
      <alignment vertical="center"/>
    </xf>
    <xf numFmtId="0" fontId="7" fillId="0" borderId="25" xfId="0" applyFont="1" applyBorder="1" applyAlignment="1">
      <alignment vertical="center"/>
    </xf>
    <xf numFmtId="176" fontId="7" fillId="0" borderId="25" xfId="0" applyNumberFormat="1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3" borderId="22" xfId="0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0" fontId="3" fillId="0" borderId="21" xfId="0" applyFont="1" applyBorder="1" applyAlignment="1">
      <alignment vertical="center"/>
    </xf>
  </cellXfs>
  <cellStyles count="1760">
    <cellStyle name="Excel Built-in Normal" xfId="1683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桁区切り 2" xfId="1684"/>
    <cellStyle name="標準" xfId="0" builtinId="0"/>
    <cellStyle name="標準 2" xfId="1687"/>
    <cellStyle name="標準 2 2" xfId="1688"/>
    <cellStyle name="標準 3" xfId="1680"/>
    <cellStyle name="標準 4" xfId="11"/>
    <cellStyle name="標準 4 2" xfId="1682"/>
    <cellStyle name="標準 6" xfId="1681"/>
    <cellStyle name="無題1" xfId="1689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赤字強調" xfId="1686"/>
    <cellStyle name="青字強調" xfId="168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externalLink" Target="externalLinks/externalLink1.xml"/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externalLink" Target="externalLinks/externalLink6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12001</v>
          </cell>
        </row>
        <row r="88">
          <cell r="A88">
            <v>12002</v>
          </cell>
        </row>
        <row r="89">
          <cell r="A89">
            <v>12003</v>
          </cell>
        </row>
        <row r="90">
          <cell r="A90">
            <v>12004</v>
          </cell>
        </row>
        <row r="91">
          <cell r="A91">
            <v>13001</v>
          </cell>
        </row>
        <row r="92">
          <cell r="A92">
            <v>13101</v>
          </cell>
        </row>
        <row r="93">
          <cell r="A93">
            <v>13300</v>
          </cell>
        </row>
        <row r="94">
          <cell r="A94">
            <v>13301</v>
          </cell>
        </row>
        <row r="95">
          <cell r="A95">
            <v>13302</v>
          </cell>
        </row>
        <row r="96">
          <cell r="A96">
            <v>13400</v>
          </cell>
        </row>
        <row r="97">
          <cell r="A97">
            <v>14001</v>
          </cell>
        </row>
        <row r="98">
          <cell r="A98">
            <v>14002</v>
          </cell>
        </row>
        <row r="99">
          <cell r="A99">
            <v>14003</v>
          </cell>
        </row>
        <row r="100">
          <cell r="A100">
            <v>14004</v>
          </cell>
        </row>
        <row r="101">
          <cell r="A101">
            <v>14005</v>
          </cell>
        </row>
        <row r="102">
          <cell r="A102">
            <v>14006</v>
          </cell>
        </row>
        <row r="103">
          <cell r="A103">
            <v>15027</v>
          </cell>
        </row>
        <row r="104">
          <cell r="A104">
            <v>15028</v>
          </cell>
        </row>
        <row r="105">
          <cell r="A105">
            <v>15029</v>
          </cell>
        </row>
        <row r="106">
          <cell r="A106">
            <v>15030</v>
          </cell>
        </row>
        <row r="107">
          <cell r="A107">
            <v>15031</v>
          </cell>
        </row>
        <row r="108">
          <cell r="A108">
            <v>20001</v>
          </cell>
        </row>
        <row r="109">
          <cell r="A109">
            <v>20002</v>
          </cell>
        </row>
        <row r="110">
          <cell r="A110">
            <v>20003</v>
          </cell>
        </row>
        <row r="111">
          <cell r="A111">
            <v>20004</v>
          </cell>
        </row>
        <row r="112">
          <cell r="A112">
            <v>20005</v>
          </cell>
        </row>
        <row r="113">
          <cell r="A113">
            <v>20006</v>
          </cell>
        </row>
        <row r="114">
          <cell r="A114">
            <v>20007</v>
          </cell>
        </row>
        <row r="115">
          <cell r="A115">
            <v>20008</v>
          </cell>
        </row>
        <row r="116">
          <cell r="A116">
            <v>20009</v>
          </cell>
        </row>
        <row r="117">
          <cell r="A117">
            <v>20010</v>
          </cell>
        </row>
        <row r="118">
          <cell r="A118">
            <v>20011</v>
          </cell>
        </row>
        <row r="119">
          <cell r="A119">
            <v>20012</v>
          </cell>
        </row>
        <row r="120">
          <cell r="A120">
            <v>20013</v>
          </cell>
        </row>
        <row r="121">
          <cell r="A121">
            <v>20014</v>
          </cell>
        </row>
        <row r="122">
          <cell r="A122">
            <v>20015</v>
          </cell>
        </row>
        <row r="123">
          <cell r="A123">
            <v>20016</v>
          </cell>
        </row>
        <row r="124">
          <cell r="A124">
            <v>20017</v>
          </cell>
        </row>
        <row r="125">
          <cell r="A125">
            <v>20018</v>
          </cell>
        </row>
        <row r="126">
          <cell r="A126">
            <v>20019</v>
          </cell>
        </row>
        <row r="127">
          <cell r="A127">
            <v>20020</v>
          </cell>
        </row>
        <row r="128">
          <cell r="A128">
            <v>20021</v>
          </cell>
        </row>
        <row r="129">
          <cell r="A129">
            <v>20022</v>
          </cell>
        </row>
        <row r="130">
          <cell r="A130">
            <v>30001</v>
          </cell>
        </row>
        <row r="131">
          <cell r="A131">
            <v>30002</v>
          </cell>
        </row>
        <row r="132">
          <cell r="A132">
            <v>30003</v>
          </cell>
        </row>
        <row r="133">
          <cell r="A133">
            <v>30004</v>
          </cell>
        </row>
        <row r="134">
          <cell r="A134">
            <v>30005</v>
          </cell>
        </row>
        <row r="135">
          <cell r="A135">
            <v>30006</v>
          </cell>
        </row>
        <row r="136">
          <cell r="A136">
            <v>30007</v>
          </cell>
        </row>
        <row r="137">
          <cell r="A137">
            <v>30008</v>
          </cell>
        </row>
        <row r="138">
          <cell r="A138">
            <v>30009</v>
          </cell>
        </row>
        <row r="139">
          <cell r="A139">
            <v>30010</v>
          </cell>
        </row>
        <row r="140">
          <cell r="A140">
            <v>30011</v>
          </cell>
        </row>
        <row r="141">
          <cell r="A141">
            <v>30012</v>
          </cell>
        </row>
        <row r="142">
          <cell r="A142">
            <v>30013</v>
          </cell>
        </row>
        <row r="143">
          <cell r="A143">
            <v>30014</v>
          </cell>
        </row>
        <row r="144">
          <cell r="A144">
            <v>30015</v>
          </cell>
        </row>
        <row r="145">
          <cell r="A145">
            <v>30016</v>
          </cell>
        </row>
        <row r="146">
          <cell r="A146">
            <v>30017</v>
          </cell>
        </row>
        <row r="147">
          <cell r="A147">
            <v>30018</v>
          </cell>
        </row>
        <row r="148">
          <cell r="A148">
            <v>30019</v>
          </cell>
        </row>
        <row r="149">
          <cell r="A149">
            <v>30020</v>
          </cell>
        </row>
        <row r="150">
          <cell r="A150">
            <v>30021</v>
          </cell>
        </row>
        <row r="151">
          <cell r="A151">
            <v>30022</v>
          </cell>
        </row>
        <row r="152">
          <cell r="A152">
            <v>30023</v>
          </cell>
        </row>
        <row r="153">
          <cell r="A153">
            <v>30024</v>
          </cell>
        </row>
        <row r="154">
          <cell r="A154">
            <v>30025</v>
          </cell>
        </row>
        <row r="155">
          <cell r="A155">
            <v>30026</v>
          </cell>
        </row>
        <row r="156">
          <cell r="A156">
            <v>30027</v>
          </cell>
        </row>
        <row r="157">
          <cell r="A157">
            <v>30028</v>
          </cell>
        </row>
        <row r="158">
          <cell r="A158">
            <v>30029</v>
          </cell>
        </row>
        <row r="159">
          <cell r="A159">
            <v>30030</v>
          </cell>
        </row>
        <row r="160">
          <cell r="A160">
            <v>30031</v>
          </cell>
        </row>
        <row r="161">
          <cell r="A161">
            <v>30032</v>
          </cell>
        </row>
        <row r="162">
          <cell r="A162">
            <v>30033</v>
          </cell>
        </row>
        <row r="163">
          <cell r="A163">
            <v>30034</v>
          </cell>
        </row>
        <row r="164">
          <cell r="A164">
            <v>30035</v>
          </cell>
        </row>
        <row r="165">
          <cell r="A165">
            <v>30036</v>
          </cell>
        </row>
        <row r="166">
          <cell r="A166">
            <v>30037</v>
          </cell>
        </row>
        <row r="167">
          <cell r="A167">
            <v>30038</v>
          </cell>
        </row>
        <row r="168">
          <cell r="A168">
            <v>30039</v>
          </cell>
        </row>
        <row r="169">
          <cell r="A169">
            <v>30040</v>
          </cell>
        </row>
        <row r="170">
          <cell r="A170">
            <v>30041</v>
          </cell>
        </row>
        <row r="171">
          <cell r="A171">
            <v>30042</v>
          </cell>
        </row>
        <row r="172">
          <cell r="A172">
            <v>30043</v>
          </cell>
        </row>
        <row r="173">
          <cell r="A173">
            <v>30044</v>
          </cell>
        </row>
        <row r="174">
          <cell r="A174">
            <v>30045</v>
          </cell>
        </row>
        <row r="175">
          <cell r="A175">
            <v>30046</v>
          </cell>
        </row>
        <row r="176">
          <cell r="A176">
            <v>30047</v>
          </cell>
        </row>
        <row r="177">
          <cell r="A177">
            <v>30048</v>
          </cell>
        </row>
        <row r="178">
          <cell r="A178">
            <v>39001</v>
          </cell>
        </row>
        <row r="179">
          <cell r="A179">
            <v>39002</v>
          </cell>
        </row>
        <row r="180">
          <cell r="A180">
            <v>39003</v>
          </cell>
        </row>
        <row r="181">
          <cell r="A181">
            <v>39004</v>
          </cell>
        </row>
        <row r="182">
          <cell r="A182">
            <v>39005</v>
          </cell>
        </row>
        <row r="183">
          <cell r="A183">
            <v>39006</v>
          </cell>
        </row>
        <row r="184">
          <cell r="A184">
            <v>39007</v>
          </cell>
        </row>
        <row r="185">
          <cell r="A185">
            <v>39008</v>
          </cell>
        </row>
        <row r="186">
          <cell r="A186">
            <v>39009</v>
          </cell>
        </row>
        <row r="187">
          <cell r="A187">
            <v>39010</v>
          </cell>
        </row>
        <row r="188">
          <cell r="A188">
            <v>39011</v>
          </cell>
        </row>
        <row r="189">
          <cell r="A189">
            <v>39012</v>
          </cell>
        </row>
        <row r="190">
          <cell r="A190">
            <v>40001</v>
          </cell>
        </row>
        <row r="191">
          <cell r="A191">
            <v>40002</v>
          </cell>
        </row>
        <row r="192">
          <cell r="A192">
            <v>40003</v>
          </cell>
        </row>
        <row r="193">
          <cell r="A193">
            <v>40004</v>
          </cell>
        </row>
        <row r="194">
          <cell r="A194">
            <v>40005</v>
          </cell>
        </row>
        <row r="195">
          <cell r="A195">
            <v>40006</v>
          </cell>
        </row>
        <row r="196">
          <cell r="A196">
            <v>40007</v>
          </cell>
        </row>
        <row r="197">
          <cell r="A197">
            <v>40008</v>
          </cell>
        </row>
        <row r="198">
          <cell r="A198">
            <v>40009</v>
          </cell>
        </row>
        <row r="199">
          <cell r="A199">
            <v>40010</v>
          </cell>
        </row>
        <row r="200">
          <cell r="A200">
            <v>40011</v>
          </cell>
        </row>
        <row r="201">
          <cell r="A201">
            <v>40012</v>
          </cell>
        </row>
        <row r="202">
          <cell r="A202">
            <v>40013</v>
          </cell>
        </row>
        <row r="203">
          <cell r="A203">
            <v>40014</v>
          </cell>
        </row>
        <row r="204">
          <cell r="A204">
            <v>40015</v>
          </cell>
        </row>
        <row r="205">
          <cell r="A205">
            <v>40016</v>
          </cell>
        </row>
        <row r="206">
          <cell r="A206">
            <v>40017</v>
          </cell>
        </row>
        <row r="207">
          <cell r="A207">
            <v>40018</v>
          </cell>
        </row>
        <row r="208">
          <cell r="A208">
            <v>40019</v>
          </cell>
        </row>
        <row r="209">
          <cell r="A209">
            <v>40021</v>
          </cell>
        </row>
        <row r="210">
          <cell r="A210">
            <v>40022</v>
          </cell>
        </row>
        <row r="211">
          <cell r="A211">
            <v>40023</v>
          </cell>
        </row>
        <row r="212">
          <cell r="A212">
            <v>40024</v>
          </cell>
        </row>
        <row r="213">
          <cell r="A213">
            <v>40025</v>
          </cell>
        </row>
        <row r="214">
          <cell r="A214">
            <v>40026</v>
          </cell>
        </row>
        <row r="215">
          <cell r="A215">
            <v>40027</v>
          </cell>
        </row>
        <row r="216">
          <cell r="A216">
            <v>40028</v>
          </cell>
        </row>
        <row r="217">
          <cell r="A217">
            <v>40029</v>
          </cell>
        </row>
        <row r="218">
          <cell r="A218">
            <v>40030</v>
          </cell>
        </row>
        <row r="219">
          <cell r="A219">
            <v>40031</v>
          </cell>
        </row>
        <row r="220">
          <cell r="A220">
            <v>40032</v>
          </cell>
        </row>
        <row r="221">
          <cell r="A221">
            <v>40033</v>
          </cell>
        </row>
        <row r="222">
          <cell r="A222">
            <v>40034</v>
          </cell>
        </row>
        <row r="223">
          <cell r="A223">
            <v>40035</v>
          </cell>
        </row>
        <row r="224">
          <cell r="A224">
            <v>40036</v>
          </cell>
        </row>
        <row r="225">
          <cell r="A225">
            <v>40037</v>
          </cell>
        </row>
        <row r="226">
          <cell r="A226">
            <v>40038</v>
          </cell>
        </row>
        <row r="227">
          <cell r="A227">
            <v>40039</v>
          </cell>
        </row>
        <row r="228">
          <cell r="A228">
            <v>40040</v>
          </cell>
        </row>
        <row r="229">
          <cell r="A229">
            <v>40041</v>
          </cell>
        </row>
        <row r="230">
          <cell r="A230">
            <v>40042</v>
          </cell>
        </row>
        <row r="231">
          <cell r="A231">
            <v>40043</v>
          </cell>
        </row>
        <row r="232">
          <cell r="A232">
            <v>48001</v>
          </cell>
        </row>
        <row r="233">
          <cell r="A233">
            <v>48002</v>
          </cell>
        </row>
        <row r="234">
          <cell r="A234">
            <v>48003</v>
          </cell>
        </row>
        <row r="235">
          <cell r="A235">
            <v>48004</v>
          </cell>
        </row>
        <row r="236">
          <cell r="A236">
            <v>48005</v>
          </cell>
        </row>
        <row r="237">
          <cell r="A237">
            <v>48006</v>
          </cell>
        </row>
        <row r="238">
          <cell r="A238">
            <v>48007</v>
          </cell>
        </row>
        <row r="239">
          <cell r="A239">
            <v>48008</v>
          </cell>
        </row>
        <row r="240">
          <cell r="A240">
            <v>48009</v>
          </cell>
        </row>
        <row r="241">
          <cell r="A241">
            <v>48010</v>
          </cell>
        </row>
        <row r="242">
          <cell r="A242">
            <v>48011</v>
          </cell>
        </row>
        <row r="243">
          <cell r="A243">
            <v>48501</v>
          </cell>
        </row>
        <row r="244">
          <cell r="A244">
            <v>48502</v>
          </cell>
        </row>
        <row r="245">
          <cell r="A245">
            <v>41001</v>
          </cell>
        </row>
        <row r="246">
          <cell r="A246">
            <v>41002</v>
          </cell>
        </row>
        <row r="247">
          <cell r="A247">
            <v>41003</v>
          </cell>
        </row>
        <row r="248">
          <cell r="A248">
            <v>41004</v>
          </cell>
        </row>
        <row r="249">
          <cell r="A249">
            <v>41005</v>
          </cell>
        </row>
        <row r="250">
          <cell r="A250">
            <v>41006</v>
          </cell>
        </row>
        <row r="251">
          <cell r="A251">
            <v>41007</v>
          </cell>
        </row>
        <row r="252">
          <cell r="A252">
            <v>41008</v>
          </cell>
        </row>
        <row r="253">
          <cell r="A253">
            <v>41009</v>
          </cell>
        </row>
        <row r="254">
          <cell r="A254">
            <v>41010</v>
          </cell>
        </row>
        <row r="255">
          <cell r="A255">
            <v>41011</v>
          </cell>
        </row>
        <row r="256">
          <cell r="A256">
            <v>41012</v>
          </cell>
        </row>
        <row r="257">
          <cell r="A257">
            <v>41013</v>
          </cell>
        </row>
        <row r="258">
          <cell r="A258">
            <v>41014</v>
          </cell>
        </row>
        <row r="259">
          <cell r="A259">
            <v>41015</v>
          </cell>
        </row>
        <row r="260">
          <cell r="A260">
            <v>47001</v>
          </cell>
        </row>
        <row r="261">
          <cell r="A261">
            <v>47002</v>
          </cell>
        </row>
        <row r="262">
          <cell r="A262">
            <v>47003</v>
          </cell>
        </row>
        <row r="263">
          <cell r="A263">
            <v>47004</v>
          </cell>
        </row>
        <row r="264">
          <cell r="A264">
            <v>47005</v>
          </cell>
        </row>
        <row r="265">
          <cell r="A265">
            <v>47006</v>
          </cell>
        </row>
        <row r="266">
          <cell r="A266">
            <v>47007</v>
          </cell>
        </row>
        <row r="267">
          <cell r="A267">
            <v>47008</v>
          </cell>
        </row>
        <row r="268">
          <cell r="A268">
            <v>47009</v>
          </cell>
        </row>
        <row r="269">
          <cell r="A269">
            <v>47010</v>
          </cell>
        </row>
        <row r="270">
          <cell r="A270">
            <v>49001</v>
          </cell>
        </row>
        <row r="271">
          <cell r="A271">
            <v>49002</v>
          </cell>
        </row>
        <row r="272">
          <cell r="A272">
            <v>49003</v>
          </cell>
        </row>
        <row r="273">
          <cell r="A273">
            <v>49004</v>
          </cell>
        </row>
        <row r="274">
          <cell r="A274">
            <v>49005</v>
          </cell>
        </row>
        <row r="275">
          <cell r="A275">
            <v>49006</v>
          </cell>
        </row>
        <row r="276">
          <cell r="A276">
            <v>49007</v>
          </cell>
        </row>
        <row r="277">
          <cell r="A277">
            <v>49008</v>
          </cell>
        </row>
        <row r="278">
          <cell r="A278">
            <v>49009</v>
          </cell>
        </row>
        <row r="279">
          <cell r="A279">
            <v>49010</v>
          </cell>
        </row>
        <row r="280">
          <cell r="A280">
            <v>49011</v>
          </cell>
        </row>
        <row r="281">
          <cell r="A281">
            <v>49012</v>
          </cell>
        </row>
        <row r="282">
          <cell r="A282">
            <v>49013</v>
          </cell>
        </row>
        <row r="283">
          <cell r="A283">
            <v>49014</v>
          </cell>
        </row>
        <row r="284">
          <cell r="A284">
            <v>50001</v>
          </cell>
        </row>
        <row r="285">
          <cell r="A285">
            <v>50002</v>
          </cell>
        </row>
        <row r="286">
          <cell r="A286">
            <v>50003</v>
          </cell>
        </row>
        <row r="287">
          <cell r="A287">
            <v>50004</v>
          </cell>
        </row>
        <row r="288">
          <cell r="A288">
            <v>50005</v>
          </cell>
        </row>
        <row r="289">
          <cell r="A289">
            <v>50006</v>
          </cell>
        </row>
        <row r="290">
          <cell r="A290">
            <v>50007</v>
          </cell>
        </row>
        <row r="291">
          <cell r="A291">
            <v>50008</v>
          </cell>
        </row>
        <row r="292">
          <cell r="A292">
            <v>50009</v>
          </cell>
        </row>
        <row r="293">
          <cell r="A293">
            <v>50010</v>
          </cell>
        </row>
        <row r="294">
          <cell r="A294">
            <v>50011</v>
          </cell>
        </row>
        <row r="295">
          <cell r="A295">
            <v>50012</v>
          </cell>
        </row>
        <row r="296">
          <cell r="A296">
            <v>50013</v>
          </cell>
        </row>
        <row r="297">
          <cell r="A297">
            <v>50014</v>
          </cell>
        </row>
        <row r="298">
          <cell r="A298">
            <v>51001</v>
          </cell>
        </row>
        <row r="299">
          <cell r="A299">
            <v>51002</v>
          </cell>
        </row>
        <row r="300">
          <cell r="A300">
            <v>58001</v>
          </cell>
        </row>
        <row r="301">
          <cell r="A301">
            <v>59001</v>
          </cell>
        </row>
        <row r="302">
          <cell r="A302">
            <v>59002</v>
          </cell>
        </row>
        <row r="303">
          <cell r="A303">
            <v>60001</v>
          </cell>
        </row>
        <row r="304">
          <cell r="A304">
            <v>60002</v>
          </cell>
        </row>
        <row r="305">
          <cell r="A305">
            <v>60003</v>
          </cell>
        </row>
        <row r="306">
          <cell r="A306">
            <v>60004</v>
          </cell>
        </row>
        <row r="307">
          <cell r="A307">
            <v>60005</v>
          </cell>
        </row>
        <row r="308">
          <cell r="A308">
            <v>60006</v>
          </cell>
        </row>
        <row r="309">
          <cell r="A309">
            <v>60007</v>
          </cell>
        </row>
        <row r="310">
          <cell r="A310">
            <v>60010</v>
          </cell>
        </row>
        <row r="311">
          <cell r="A311">
            <v>60011</v>
          </cell>
        </row>
        <row r="312">
          <cell r="A312">
            <v>61011</v>
          </cell>
        </row>
        <row r="313">
          <cell r="A313">
            <v>60012</v>
          </cell>
        </row>
        <row r="314">
          <cell r="A314">
            <v>60013</v>
          </cell>
        </row>
        <row r="315">
          <cell r="A315">
            <v>60014</v>
          </cell>
        </row>
        <row r="316">
          <cell r="A316">
            <v>60015</v>
          </cell>
        </row>
        <row r="317">
          <cell r="A317">
            <v>60016</v>
          </cell>
        </row>
        <row r="318">
          <cell r="A318">
            <v>60017</v>
          </cell>
        </row>
        <row r="319">
          <cell r="A319">
            <v>60018</v>
          </cell>
        </row>
        <row r="320">
          <cell r="A320">
            <v>60019</v>
          </cell>
        </row>
        <row r="321">
          <cell r="A321">
            <v>60020</v>
          </cell>
        </row>
        <row r="322">
          <cell r="A322">
            <v>60025</v>
          </cell>
        </row>
        <row r="323">
          <cell r="A323">
            <v>60026</v>
          </cell>
        </row>
        <row r="324">
          <cell r="A324">
            <v>60027</v>
          </cell>
        </row>
        <row r="325">
          <cell r="A325">
            <v>65525</v>
          </cell>
        </row>
        <row r="326">
          <cell r="A326">
            <v>65526</v>
          </cell>
        </row>
        <row r="327">
          <cell r="A327">
            <v>65527</v>
          </cell>
        </row>
        <row r="328">
          <cell r="A328">
            <v>65528</v>
          </cell>
        </row>
        <row r="329">
          <cell r="A329">
            <v>65529</v>
          </cell>
        </row>
        <row r="330">
          <cell r="A330">
            <v>65530</v>
          </cell>
        </row>
        <row r="331">
          <cell r="A331">
            <v>65531</v>
          </cell>
        </row>
        <row r="332">
          <cell r="A332">
            <v>65532</v>
          </cell>
        </row>
        <row r="333">
          <cell r="A333">
            <v>65533</v>
          </cell>
        </row>
        <row r="334">
          <cell r="A334">
            <v>65534</v>
          </cell>
        </row>
        <row r="335">
          <cell r="A335">
            <v>65535</v>
          </cell>
        </row>
        <row r="336">
          <cell r="A336">
            <v>60021</v>
          </cell>
        </row>
        <row r="337">
          <cell r="A337">
            <v>60022</v>
          </cell>
        </row>
        <row r="338">
          <cell r="A338">
            <v>60023</v>
          </cell>
        </row>
        <row r="339">
          <cell r="A33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12001_1</v>
          </cell>
        </row>
        <row r="299">
          <cell r="A299" t="str">
            <v>12001_2</v>
          </cell>
        </row>
        <row r="300">
          <cell r="A300" t="str">
            <v>12001_3</v>
          </cell>
        </row>
        <row r="301">
          <cell r="A301" t="str">
            <v>12002_1</v>
          </cell>
        </row>
        <row r="302">
          <cell r="A302" t="str">
            <v>12002_2</v>
          </cell>
        </row>
        <row r="303">
          <cell r="A303" t="str">
            <v>12003_1</v>
          </cell>
        </row>
        <row r="304">
          <cell r="A304" t="str">
            <v>12003_2</v>
          </cell>
        </row>
        <row r="305">
          <cell r="A305" t="str">
            <v>12003_3</v>
          </cell>
        </row>
        <row r="306">
          <cell r="A306" t="str">
            <v>12003_4</v>
          </cell>
        </row>
        <row r="307">
          <cell r="A307" t="str">
            <v>12004_1</v>
          </cell>
        </row>
        <row r="308">
          <cell r="A308" t="str">
            <v>13001_1</v>
          </cell>
        </row>
        <row r="309">
          <cell r="A309" t="str">
            <v>13001_2</v>
          </cell>
        </row>
        <row r="310">
          <cell r="A310" t="str">
            <v>13001_3</v>
          </cell>
        </row>
        <row r="311">
          <cell r="A311" t="str">
            <v>13001_4</v>
          </cell>
        </row>
        <row r="312">
          <cell r="A312" t="str">
            <v>13001_5</v>
          </cell>
        </row>
        <row r="313">
          <cell r="A313" t="str">
            <v>13001_6</v>
          </cell>
        </row>
        <row r="314">
          <cell r="A314" t="str">
            <v>13001_7</v>
          </cell>
        </row>
        <row r="315">
          <cell r="A315" t="str">
            <v>13001_8</v>
          </cell>
        </row>
        <row r="316">
          <cell r="A316" t="str">
            <v>13001_9</v>
          </cell>
        </row>
        <row r="317">
          <cell r="A317" t="str">
            <v>13001_10</v>
          </cell>
        </row>
        <row r="318">
          <cell r="A318" t="str">
            <v>13001_11</v>
          </cell>
        </row>
        <row r="319">
          <cell r="A319" t="str">
            <v>13001_12</v>
          </cell>
        </row>
        <row r="320">
          <cell r="A320" t="str">
            <v>13001_13</v>
          </cell>
        </row>
        <row r="321">
          <cell r="A321" t="str">
            <v>13001_14</v>
          </cell>
        </row>
        <row r="322">
          <cell r="A322" t="str">
            <v>13001_15</v>
          </cell>
        </row>
        <row r="323">
          <cell r="A323" t="str">
            <v>13001_16</v>
          </cell>
        </row>
        <row r="324">
          <cell r="A324" t="str">
            <v>13001_17</v>
          </cell>
        </row>
        <row r="325">
          <cell r="A325" t="str">
            <v>13001_18</v>
          </cell>
        </row>
        <row r="326">
          <cell r="A326" t="str">
            <v>13001_19</v>
          </cell>
        </row>
        <row r="327">
          <cell r="A327" t="str">
            <v>13001_20</v>
          </cell>
        </row>
        <row r="328">
          <cell r="A328" t="str">
            <v>13001_21</v>
          </cell>
        </row>
        <row r="329">
          <cell r="A329" t="str">
            <v>13001_22</v>
          </cell>
        </row>
        <row r="330">
          <cell r="A330" t="str">
            <v>13001_23</v>
          </cell>
        </row>
        <row r="331">
          <cell r="A331" t="str">
            <v>13001_24</v>
          </cell>
        </row>
        <row r="332">
          <cell r="A332" t="str">
            <v>13001_25</v>
          </cell>
        </row>
        <row r="333">
          <cell r="A333" t="str">
            <v>13101_1</v>
          </cell>
        </row>
        <row r="334">
          <cell r="A334" t="str">
            <v>13101_2</v>
          </cell>
        </row>
        <row r="335">
          <cell r="A335" t="str">
            <v>13101_3</v>
          </cell>
        </row>
        <row r="336">
          <cell r="A336" t="str">
            <v>13101_4</v>
          </cell>
        </row>
        <row r="337">
          <cell r="A337" t="str">
            <v>13101_5</v>
          </cell>
        </row>
        <row r="338">
          <cell r="A338" t="str">
            <v>13101_6</v>
          </cell>
        </row>
        <row r="339">
          <cell r="A339" t="str">
            <v>13101_7</v>
          </cell>
        </row>
        <row r="340">
          <cell r="A340" t="str">
            <v>13101_8</v>
          </cell>
        </row>
        <row r="341">
          <cell r="A341" t="str">
            <v>13101_9</v>
          </cell>
        </row>
        <row r="342">
          <cell r="A342" t="str">
            <v>13101_10</v>
          </cell>
        </row>
        <row r="343">
          <cell r="A343" t="str">
            <v>13101_11</v>
          </cell>
        </row>
        <row r="344">
          <cell r="A344" t="str">
            <v>13101_12</v>
          </cell>
        </row>
        <row r="345">
          <cell r="A345" t="str">
            <v>13101_13</v>
          </cell>
        </row>
        <row r="346">
          <cell r="A346" t="str">
            <v>13101_14</v>
          </cell>
        </row>
        <row r="347">
          <cell r="A347" t="str">
            <v>13101_15</v>
          </cell>
        </row>
        <row r="348">
          <cell r="A348" t="str">
            <v>13101_16</v>
          </cell>
        </row>
        <row r="349">
          <cell r="A349" t="str">
            <v>13101_17</v>
          </cell>
        </row>
        <row r="350">
          <cell r="A350" t="str">
            <v>13101_18</v>
          </cell>
        </row>
        <row r="351">
          <cell r="A351" t="str">
            <v>13101_19</v>
          </cell>
        </row>
        <row r="352">
          <cell r="A352" t="str">
            <v>13101_20</v>
          </cell>
        </row>
        <row r="353">
          <cell r="A353" t="str">
            <v>13101_21</v>
          </cell>
        </row>
        <row r="354">
          <cell r="A354" t="str">
            <v>13101_22</v>
          </cell>
        </row>
        <row r="355">
          <cell r="A355" t="str">
            <v>13101_23</v>
          </cell>
        </row>
        <row r="356">
          <cell r="A356" t="str">
            <v>13101_24</v>
          </cell>
        </row>
        <row r="357">
          <cell r="A357" t="str">
            <v>13101_25</v>
          </cell>
        </row>
        <row r="358">
          <cell r="A358" t="str">
            <v>13300_1</v>
          </cell>
        </row>
        <row r="359">
          <cell r="A359" t="str">
            <v>13300_2</v>
          </cell>
        </row>
        <row r="360">
          <cell r="A360" t="str">
            <v>13300_3</v>
          </cell>
        </row>
        <row r="361">
          <cell r="A361" t="str">
            <v>13300_4</v>
          </cell>
        </row>
        <row r="362">
          <cell r="A362" t="str">
            <v>13300_5</v>
          </cell>
        </row>
        <row r="363">
          <cell r="A363" t="str">
            <v>13300_6</v>
          </cell>
        </row>
        <row r="364">
          <cell r="A364" t="str">
            <v>13300_7</v>
          </cell>
        </row>
        <row r="365">
          <cell r="A365" t="str">
            <v>13300_8</v>
          </cell>
        </row>
        <row r="366">
          <cell r="A366" t="str">
            <v>13300_9</v>
          </cell>
        </row>
        <row r="367">
          <cell r="A367" t="str">
            <v>13300_10</v>
          </cell>
        </row>
        <row r="368">
          <cell r="A368" t="str">
            <v>13300_11</v>
          </cell>
        </row>
        <row r="369">
          <cell r="A369" t="str">
            <v>13300_12</v>
          </cell>
        </row>
        <row r="370">
          <cell r="A370" t="str">
            <v>13300_13</v>
          </cell>
        </row>
        <row r="371">
          <cell r="A371" t="str">
            <v>13300_14</v>
          </cell>
        </row>
        <row r="372">
          <cell r="A372" t="str">
            <v>13300_15</v>
          </cell>
        </row>
        <row r="373">
          <cell r="A373" t="str">
            <v>13301_1</v>
          </cell>
        </row>
        <row r="374">
          <cell r="A374" t="str">
            <v>13301_2</v>
          </cell>
        </row>
        <row r="375">
          <cell r="A375" t="str">
            <v>13301_3</v>
          </cell>
        </row>
        <row r="376">
          <cell r="A376" t="str">
            <v>13301_4</v>
          </cell>
        </row>
        <row r="377">
          <cell r="A377" t="str">
            <v>13301_5</v>
          </cell>
        </row>
        <row r="378">
          <cell r="A378" t="str">
            <v>13301_6</v>
          </cell>
        </row>
        <row r="379">
          <cell r="A379" t="str">
            <v>13301_7</v>
          </cell>
        </row>
        <row r="380">
          <cell r="A380" t="str">
            <v>13301_8</v>
          </cell>
        </row>
        <row r="381">
          <cell r="A381" t="str">
            <v>13301_9</v>
          </cell>
        </row>
        <row r="382">
          <cell r="A382" t="str">
            <v>13301_10</v>
          </cell>
        </row>
        <row r="383">
          <cell r="A383" t="str">
            <v>13301_11</v>
          </cell>
        </row>
        <row r="384">
          <cell r="A384" t="str">
            <v>13301_12</v>
          </cell>
        </row>
        <row r="385">
          <cell r="A385" t="str">
            <v>13301_13</v>
          </cell>
        </row>
        <row r="386">
          <cell r="A386" t="str">
            <v>13301_14</v>
          </cell>
        </row>
        <row r="387">
          <cell r="A387" t="str">
            <v>13301_15</v>
          </cell>
        </row>
        <row r="388">
          <cell r="A388" t="str">
            <v>13302_1</v>
          </cell>
        </row>
        <row r="389">
          <cell r="A389" t="str">
            <v>13302_2</v>
          </cell>
        </row>
        <row r="390">
          <cell r="A390" t="str">
            <v>13302_3</v>
          </cell>
        </row>
        <row r="391">
          <cell r="A391" t="str">
            <v>13302_4</v>
          </cell>
        </row>
        <row r="392">
          <cell r="A392" t="str">
            <v>13302_5</v>
          </cell>
        </row>
        <row r="393">
          <cell r="A393" t="str">
            <v>13302_6</v>
          </cell>
        </row>
        <row r="394">
          <cell r="A394" t="str">
            <v>13302_7</v>
          </cell>
        </row>
        <row r="395">
          <cell r="A395" t="str">
            <v>13302_8</v>
          </cell>
        </row>
        <row r="396">
          <cell r="A396" t="str">
            <v>13302_9</v>
          </cell>
        </row>
        <row r="397">
          <cell r="A397" t="str">
            <v>13302_10</v>
          </cell>
        </row>
        <row r="398">
          <cell r="A398" t="str">
            <v>13302_11</v>
          </cell>
        </row>
        <row r="399">
          <cell r="A399" t="str">
            <v>13302_12</v>
          </cell>
        </row>
        <row r="400">
          <cell r="A400" t="str">
            <v>13302_13</v>
          </cell>
        </row>
        <row r="401">
          <cell r="A401" t="str">
            <v>13302_14</v>
          </cell>
        </row>
        <row r="402">
          <cell r="A402" t="str">
            <v>13302_15</v>
          </cell>
        </row>
        <row r="403">
          <cell r="A403" t="str">
            <v>13400_1</v>
          </cell>
        </row>
        <row r="404">
          <cell r="A404" t="str">
            <v>13400_2</v>
          </cell>
        </row>
        <row r="405">
          <cell r="A405" t="str">
            <v>13400_3</v>
          </cell>
        </row>
        <row r="406">
          <cell r="A406" t="str">
            <v>13400_4</v>
          </cell>
        </row>
        <row r="407">
          <cell r="A407" t="str">
            <v>13400_5</v>
          </cell>
        </row>
        <row r="408">
          <cell r="A408" t="str">
            <v>13400_6</v>
          </cell>
        </row>
        <row r="409">
          <cell r="A409" t="str">
            <v>13400_7</v>
          </cell>
        </row>
        <row r="410">
          <cell r="A410" t="str">
            <v>13400_8</v>
          </cell>
        </row>
        <row r="411">
          <cell r="A411" t="str">
            <v>13400_9</v>
          </cell>
        </row>
        <row r="412">
          <cell r="A412" t="str">
            <v>13400_10</v>
          </cell>
        </row>
        <row r="413">
          <cell r="A413" t="str">
            <v>13400_11</v>
          </cell>
        </row>
        <row r="414">
          <cell r="A414" t="str">
            <v>13400_12</v>
          </cell>
        </row>
        <row r="415">
          <cell r="A415" t="str">
            <v>13400_13</v>
          </cell>
        </row>
        <row r="416">
          <cell r="A416" t="str">
            <v>13400_14</v>
          </cell>
        </row>
        <row r="417">
          <cell r="A417" t="str">
            <v>13400_15</v>
          </cell>
        </row>
        <row r="418">
          <cell r="A418" t="str">
            <v>14001_1</v>
          </cell>
        </row>
        <row r="419">
          <cell r="A419" t="str">
            <v>14001_2</v>
          </cell>
        </row>
        <row r="420">
          <cell r="A420" t="str">
            <v>14001_3</v>
          </cell>
        </row>
        <row r="421">
          <cell r="A421" t="str">
            <v>14001_4</v>
          </cell>
        </row>
        <row r="422">
          <cell r="A422" t="str">
            <v>14001_5</v>
          </cell>
        </row>
        <row r="423">
          <cell r="A423" t="str">
            <v>14001_6</v>
          </cell>
        </row>
        <row r="424">
          <cell r="A424" t="str">
            <v>14001_7</v>
          </cell>
        </row>
        <row r="425">
          <cell r="A425" t="str">
            <v>14001_8</v>
          </cell>
        </row>
        <row r="426">
          <cell r="A426" t="str">
            <v>14002_1</v>
          </cell>
        </row>
        <row r="427">
          <cell r="A427" t="str">
            <v>14002_2</v>
          </cell>
        </row>
        <row r="428">
          <cell r="A428" t="str">
            <v>14003_1</v>
          </cell>
        </row>
        <row r="429">
          <cell r="A429" t="str">
            <v>14003_2</v>
          </cell>
        </row>
        <row r="430">
          <cell r="A430" t="str">
            <v>14003_3</v>
          </cell>
        </row>
        <row r="431">
          <cell r="A431" t="str">
            <v>14003_4</v>
          </cell>
        </row>
        <row r="432">
          <cell r="A432" t="str">
            <v>14004_1</v>
          </cell>
        </row>
        <row r="433">
          <cell r="A433" t="str">
            <v>14004_2</v>
          </cell>
        </row>
        <row r="434">
          <cell r="A434" t="str">
            <v>14004_3</v>
          </cell>
        </row>
        <row r="435">
          <cell r="A435" t="str">
            <v>14004_4</v>
          </cell>
        </row>
        <row r="436">
          <cell r="A436" t="str">
            <v>14005_1</v>
          </cell>
        </row>
        <row r="437">
          <cell r="A437" t="str">
            <v>14006_1</v>
          </cell>
        </row>
        <row r="438">
          <cell r="A438" t="str">
            <v>15027_1</v>
          </cell>
        </row>
        <row r="439">
          <cell r="A439" t="str">
            <v>15027_2</v>
          </cell>
        </row>
        <row r="440">
          <cell r="A440" t="str">
            <v>15027_3</v>
          </cell>
        </row>
        <row r="441">
          <cell r="A441" t="str">
            <v>15027_4</v>
          </cell>
        </row>
        <row r="442">
          <cell r="A442" t="str">
            <v>15028_1</v>
          </cell>
        </row>
        <row r="443">
          <cell r="A443" t="str">
            <v>15028_2</v>
          </cell>
        </row>
        <row r="444">
          <cell r="A444" t="str">
            <v>15028_3</v>
          </cell>
        </row>
        <row r="445">
          <cell r="A445" t="str">
            <v>15028_4</v>
          </cell>
        </row>
        <row r="446">
          <cell r="A446" t="str">
            <v>15029_1</v>
          </cell>
        </row>
        <row r="447">
          <cell r="A447" t="str">
            <v>15029_2</v>
          </cell>
        </row>
        <row r="448">
          <cell r="A448" t="str">
            <v>15029_3</v>
          </cell>
        </row>
        <row r="449">
          <cell r="A449" t="str">
            <v>15029_4</v>
          </cell>
        </row>
        <row r="450">
          <cell r="A450" t="str">
            <v>15030_1</v>
          </cell>
        </row>
        <row r="451">
          <cell r="A451" t="str">
            <v>15030_2</v>
          </cell>
        </row>
        <row r="452">
          <cell r="A452" t="str">
            <v>15030_3</v>
          </cell>
        </row>
        <row r="453">
          <cell r="A453" t="str">
            <v>15030_4</v>
          </cell>
        </row>
        <row r="454">
          <cell r="A454" t="str">
            <v>15031_1</v>
          </cell>
        </row>
        <row r="455">
          <cell r="A455" t="str">
            <v>15031_2</v>
          </cell>
        </row>
        <row r="456">
          <cell r="A456" t="str">
            <v>15031_3</v>
          </cell>
        </row>
        <row r="457">
          <cell r="A457" t="str">
            <v>15031_4</v>
          </cell>
        </row>
        <row r="458">
          <cell r="A458" t="str">
            <v>20001_1</v>
          </cell>
        </row>
        <row r="459">
          <cell r="A459" t="str">
            <v>20001_2</v>
          </cell>
        </row>
        <row r="460">
          <cell r="A460" t="str">
            <v>20001_3</v>
          </cell>
        </row>
        <row r="461">
          <cell r="A461" t="str">
            <v>20002_1</v>
          </cell>
        </row>
        <row r="462">
          <cell r="A462" t="str">
            <v>20002_2</v>
          </cell>
        </row>
        <row r="463">
          <cell r="A463" t="str">
            <v>20002_3</v>
          </cell>
        </row>
        <row r="464">
          <cell r="A464" t="str">
            <v>20003_1</v>
          </cell>
        </row>
        <row r="465">
          <cell r="A465" t="str">
            <v>20003_2</v>
          </cell>
        </row>
        <row r="466">
          <cell r="A466" t="str">
            <v>20003_3</v>
          </cell>
        </row>
        <row r="467">
          <cell r="A467" t="str">
            <v>20004_1</v>
          </cell>
        </row>
        <row r="468">
          <cell r="A468" t="str">
            <v>20004_2</v>
          </cell>
        </row>
        <row r="469">
          <cell r="A469" t="str">
            <v>20004_3</v>
          </cell>
        </row>
        <row r="470">
          <cell r="A470" t="str">
            <v>20005_1</v>
          </cell>
        </row>
        <row r="471">
          <cell r="A471" t="str">
            <v>20005_2</v>
          </cell>
        </row>
        <row r="472">
          <cell r="A472" t="str">
            <v>20005_3</v>
          </cell>
        </row>
        <row r="473">
          <cell r="A473" t="str">
            <v>20006_1</v>
          </cell>
        </row>
        <row r="474">
          <cell r="A474" t="str">
            <v>20006_2</v>
          </cell>
        </row>
        <row r="475">
          <cell r="A475" t="str">
            <v>20006_3</v>
          </cell>
        </row>
        <row r="476">
          <cell r="A476" t="str">
            <v>20007_1</v>
          </cell>
        </row>
        <row r="477">
          <cell r="A477" t="str">
            <v>20007_2</v>
          </cell>
        </row>
        <row r="478">
          <cell r="A478" t="str">
            <v>20007_3</v>
          </cell>
        </row>
        <row r="479">
          <cell r="A479" t="str">
            <v>20008_1</v>
          </cell>
        </row>
        <row r="480">
          <cell r="A480" t="str">
            <v>20008_2</v>
          </cell>
        </row>
        <row r="481">
          <cell r="A481" t="str">
            <v>20008_3</v>
          </cell>
        </row>
        <row r="482">
          <cell r="A482" t="str">
            <v>20009_1</v>
          </cell>
        </row>
        <row r="483">
          <cell r="A483" t="str">
            <v>20009_2</v>
          </cell>
        </row>
        <row r="484">
          <cell r="A484" t="str">
            <v>20009_3</v>
          </cell>
        </row>
        <row r="485">
          <cell r="A485" t="str">
            <v>20010_1</v>
          </cell>
        </row>
        <row r="486">
          <cell r="A486" t="str">
            <v>20010_2</v>
          </cell>
        </row>
        <row r="487">
          <cell r="A487" t="str">
            <v>20010_3</v>
          </cell>
        </row>
        <row r="488">
          <cell r="A488" t="str">
            <v>20011_1</v>
          </cell>
        </row>
        <row r="489">
          <cell r="A489" t="str">
            <v>20011_2</v>
          </cell>
        </row>
        <row r="490">
          <cell r="A490" t="str">
            <v>20011_3</v>
          </cell>
        </row>
        <row r="491">
          <cell r="A491" t="str">
            <v>20012_1</v>
          </cell>
        </row>
        <row r="492">
          <cell r="A492" t="str">
            <v>20012_2</v>
          </cell>
        </row>
        <row r="493">
          <cell r="A493" t="str">
            <v>20012_3</v>
          </cell>
        </row>
        <row r="494">
          <cell r="A494" t="str">
            <v>20013_1</v>
          </cell>
        </row>
        <row r="495">
          <cell r="A495" t="str">
            <v>20013_2</v>
          </cell>
        </row>
        <row r="496">
          <cell r="A496" t="str">
            <v>20013_3</v>
          </cell>
        </row>
        <row r="497">
          <cell r="A497" t="str">
            <v>20014_1</v>
          </cell>
        </row>
        <row r="498">
          <cell r="A498" t="str">
            <v>20014_2</v>
          </cell>
        </row>
        <row r="499">
          <cell r="A499" t="str">
            <v>20014_3</v>
          </cell>
        </row>
        <row r="500">
          <cell r="A500" t="str">
            <v>20015_1</v>
          </cell>
        </row>
        <row r="501">
          <cell r="A501" t="str">
            <v>20015_2</v>
          </cell>
        </row>
        <row r="502">
          <cell r="A502" t="str">
            <v>20015_3</v>
          </cell>
        </row>
        <row r="503">
          <cell r="A503" t="str">
            <v>20016_1</v>
          </cell>
        </row>
        <row r="504">
          <cell r="A504" t="str">
            <v>20016_2</v>
          </cell>
        </row>
        <row r="505">
          <cell r="A505" t="str">
            <v>20016_3</v>
          </cell>
        </row>
        <row r="506">
          <cell r="A506" t="str">
            <v>20017_1</v>
          </cell>
        </row>
        <row r="507">
          <cell r="A507" t="str">
            <v>20017_2</v>
          </cell>
        </row>
        <row r="508">
          <cell r="A508" t="str">
            <v>20017_3</v>
          </cell>
        </row>
        <row r="509">
          <cell r="A509" t="str">
            <v>20018_1</v>
          </cell>
        </row>
        <row r="510">
          <cell r="A510" t="str">
            <v>20018_2</v>
          </cell>
        </row>
        <row r="511">
          <cell r="A511" t="str">
            <v>20018_3</v>
          </cell>
        </row>
        <row r="512">
          <cell r="A512" t="str">
            <v>20019_1</v>
          </cell>
        </row>
        <row r="513">
          <cell r="A513" t="str">
            <v>20019_2</v>
          </cell>
        </row>
        <row r="514">
          <cell r="A514" t="str">
            <v>20019_3</v>
          </cell>
        </row>
        <row r="515">
          <cell r="A515" t="str">
            <v>20020_1</v>
          </cell>
        </row>
        <row r="516">
          <cell r="A516" t="str">
            <v>20020_2</v>
          </cell>
        </row>
        <row r="517">
          <cell r="A517" t="str">
            <v>20020_3</v>
          </cell>
        </row>
        <row r="518">
          <cell r="A518" t="str">
            <v>20021_1</v>
          </cell>
        </row>
        <row r="519">
          <cell r="A519" t="str">
            <v>20021_2</v>
          </cell>
        </row>
        <row r="520">
          <cell r="A520" t="str">
            <v>20021_3</v>
          </cell>
        </row>
        <row r="521">
          <cell r="A521" t="str">
            <v>20022_1</v>
          </cell>
        </row>
        <row r="522">
          <cell r="A522" t="str">
            <v>30001_1</v>
          </cell>
        </row>
        <row r="523">
          <cell r="A523" t="str">
            <v>30001_2</v>
          </cell>
        </row>
        <row r="524">
          <cell r="A524" t="str">
            <v>30001_3</v>
          </cell>
        </row>
        <row r="525">
          <cell r="A525" t="str">
            <v>30002_1</v>
          </cell>
        </row>
        <row r="526">
          <cell r="A526" t="str">
            <v>30002_2</v>
          </cell>
        </row>
        <row r="527">
          <cell r="A527" t="str">
            <v>30002_3</v>
          </cell>
        </row>
        <row r="528">
          <cell r="A528" t="str">
            <v>30003_1</v>
          </cell>
        </row>
        <row r="529">
          <cell r="A529" t="str">
            <v>30003_2</v>
          </cell>
        </row>
        <row r="530">
          <cell r="A530" t="str">
            <v>30003_3</v>
          </cell>
        </row>
        <row r="531">
          <cell r="A531" t="str">
            <v>30004_1</v>
          </cell>
        </row>
        <row r="532">
          <cell r="A532" t="str">
            <v>30004_2</v>
          </cell>
        </row>
        <row r="533">
          <cell r="A533" t="str">
            <v>30004_3</v>
          </cell>
        </row>
        <row r="534">
          <cell r="A534" t="str">
            <v>30005_1</v>
          </cell>
        </row>
        <row r="535">
          <cell r="A535" t="str">
            <v>30005_2</v>
          </cell>
        </row>
        <row r="536">
          <cell r="A536" t="str">
            <v>30005_3</v>
          </cell>
        </row>
        <row r="537">
          <cell r="A537" t="str">
            <v>30006_1</v>
          </cell>
        </row>
        <row r="538">
          <cell r="A538" t="str">
            <v>30006_2</v>
          </cell>
        </row>
        <row r="539">
          <cell r="A539" t="str">
            <v>30006_3</v>
          </cell>
        </row>
        <row r="540">
          <cell r="A540" t="str">
            <v>30007_1</v>
          </cell>
        </row>
        <row r="541">
          <cell r="A541" t="str">
            <v>30007_2</v>
          </cell>
        </row>
        <row r="542">
          <cell r="A542" t="str">
            <v>30007_3</v>
          </cell>
        </row>
        <row r="543">
          <cell r="A543" t="str">
            <v>30008_1</v>
          </cell>
        </row>
        <row r="544">
          <cell r="A544" t="str">
            <v>30008_2</v>
          </cell>
        </row>
        <row r="545">
          <cell r="A545" t="str">
            <v>30008_3</v>
          </cell>
        </row>
        <row r="546">
          <cell r="A546" t="str">
            <v>30009_3</v>
          </cell>
        </row>
        <row r="547">
          <cell r="A547" t="str">
            <v>30009_1</v>
          </cell>
        </row>
        <row r="548">
          <cell r="A548" t="str">
            <v>30009_2</v>
          </cell>
        </row>
        <row r="549">
          <cell r="A549" t="str">
            <v>30010_1</v>
          </cell>
        </row>
        <row r="550">
          <cell r="A550" t="str">
            <v>30010_2</v>
          </cell>
        </row>
        <row r="551">
          <cell r="A551" t="str">
            <v>30010_3</v>
          </cell>
        </row>
        <row r="552">
          <cell r="A552" t="str">
            <v>30011_1</v>
          </cell>
        </row>
        <row r="553">
          <cell r="A553" t="str">
            <v>30011_2</v>
          </cell>
        </row>
        <row r="554">
          <cell r="A554" t="str">
            <v>30011_3</v>
          </cell>
        </row>
        <row r="555">
          <cell r="A555" t="str">
            <v>30012_1</v>
          </cell>
        </row>
        <row r="556">
          <cell r="A556" t="str">
            <v>30012_2</v>
          </cell>
        </row>
        <row r="557">
          <cell r="A557" t="str">
            <v>30012_3</v>
          </cell>
        </row>
        <row r="558">
          <cell r="A558" t="str">
            <v>30013_1</v>
          </cell>
        </row>
        <row r="559">
          <cell r="A559" t="str">
            <v>30013_2</v>
          </cell>
        </row>
        <row r="560">
          <cell r="A560" t="str">
            <v>30014_1</v>
          </cell>
        </row>
        <row r="561">
          <cell r="A561" t="str">
            <v>30014_2</v>
          </cell>
        </row>
        <row r="562">
          <cell r="A562" t="str">
            <v>30015_1</v>
          </cell>
        </row>
        <row r="563">
          <cell r="A563" t="str">
            <v>30015_2</v>
          </cell>
        </row>
        <row r="564">
          <cell r="A564" t="str">
            <v>30016_1</v>
          </cell>
        </row>
        <row r="565">
          <cell r="A565" t="str">
            <v>30016_2</v>
          </cell>
        </row>
        <row r="566">
          <cell r="A566" t="str">
            <v>30017_1</v>
          </cell>
        </row>
        <row r="567">
          <cell r="A567" t="str">
            <v>30017_2</v>
          </cell>
        </row>
        <row r="568">
          <cell r="A568" t="str">
            <v>30018_1</v>
          </cell>
        </row>
        <row r="569">
          <cell r="A569" t="str">
            <v>30018_2</v>
          </cell>
        </row>
        <row r="570">
          <cell r="A570" t="str">
            <v>30019_1</v>
          </cell>
        </row>
        <row r="571">
          <cell r="A571" t="str">
            <v>30019_2</v>
          </cell>
        </row>
        <row r="572">
          <cell r="A572" t="str">
            <v>30020_1</v>
          </cell>
        </row>
        <row r="573">
          <cell r="A573" t="str">
            <v>30020_2</v>
          </cell>
        </row>
        <row r="574">
          <cell r="A574" t="str">
            <v>30021_1</v>
          </cell>
        </row>
        <row r="575">
          <cell r="A575" t="str">
            <v>30021_2</v>
          </cell>
        </row>
        <row r="576">
          <cell r="A576" t="str">
            <v>30021_3</v>
          </cell>
        </row>
        <row r="577">
          <cell r="A577" t="str">
            <v>30022_1</v>
          </cell>
        </row>
        <row r="578">
          <cell r="A578" t="str">
            <v>30022_2</v>
          </cell>
        </row>
        <row r="579">
          <cell r="A579" t="str">
            <v>30023_1</v>
          </cell>
        </row>
        <row r="580">
          <cell r="A580" t="str">
            <v>30023_2</v>
          </cell>
        </row>
        <row r="581">
          <cell r="A581" t="str">
            <v>30023_3</v>
          </cell>
        </row>
        <row r="582">
          <cell r="A582" t="str">
            <v>30024_1</v>
          </cell>
        </row>
        <row r="583">
          <cell r="A583" t="str">
            <v>30024_2</v>
          </cell>
        </row>
        <row r="584">
          <cell r="A584" t="str">
            <v>30024_3</v>
          </cell>
        </row>
        <row r="585">
          <cell r="A585" t="str">
            <v>30025_1</v>
          </cell>
        </row>
        <row r="586">
          <cell r="A586" t="str">
            <v>30025_2</v>
          </cell>
        </row>
        <row r="587">
          <cell r="A587" t="str">
            <v>30025_3</v>
          </cell>
        </row>
        <row r="588">
          <cell r="A588" t="str">
            <v>30026_1</v>
          </cell>
        </row>
        <row r="589">
          <cell r="A589" t="str">
            <v>30026_2</v>
          </cell>
        </row>
        <row r="590">
          <cell r="A590" t="str">
            <v>30026_3</v>
          </cell>
        </row>
        <row r="591">
          <cell r="A591" t="str">
            <v>30027_1</v>
          </cell>
        </row>
        <row r="592">
          <cell r="A592" t="str">
            <v>30027_2</v>
          </cell>
        </row>
        <row r="593">
          <cell r="A593" t="str">
            <v>30027_3</v>
          </cell>
        </row>
        <row r="594">
          <cell r="A594" t="str">
            <v>30028_1</v>
          </cell>
        </row>
        <row r="595">
          <cell r="A595" t="str">
            <v>30028_2</v>
          </cell>
        </row>
        <row r="596">
          <cell r="A596" t="str">
            <v>30028_3</v>
          </cell>
        </row>
        <row r="597">
          <cell r="A597" t="str">
            <v>30029_1</v>
          </cell>
        </row>
        <row r="598">
          <cell r="A598" t="str">
            <v>30029_2</v>
          </cell>
        </row>
        <row r="599">
          <cell r="A599" t="str">
            <v>30029_3</v>
          </cell>
        </row>
        <row r="600">
          <cell r="A600" t="str">
            <v>30030_1</v>
          </cell>
        </row>
        <row r="601">
          <cell r="A601" t="str">
            <v>30030_2</v>
          </cell>
        </row>
        <row r="602">
          <cell r="A602" t="str">
            <v>30030_3</v>
          </cell>
        </row>
        <row r="603">
          <cell r="A603" t="str">
            <v>30031_1</v>
          </cell>
        </row>
        <row r="604">
          <cell r="A604" t="str">
            <v>30031_2</v>
          </cell>
        </row>
        <row r="605">
          <cell r="A605" t="str">
            <v>30031_3</v>
          </cell>
        </row>
        <row r="606">
          <cell r="A606" t="str">
            <v>30032_1</v>
          </cell>
        </row>
        <row r="607">
          <cell r="A607" t="str">
            <v>30032_2</v>
          </cell>
        </row>
        <row r="608">
          <cell r="A608" t="str">
            <v>30032_3</v>
          </cell>
        </row>
        <row r="609">
          <cell r="A609" t="str">
            <v>30033_1</v>
          </cell>
        </row>
        <row r="610">
          <cell r="A610" t="str">
            <v>30033_2</v>
          </cell>
        </row>
        <row r="611">
          <cell r="A611" t="str">
            <v>30033_3</v>
          </cell>
        </row>
        <row r="612">
          <cell r="A612" t="str">
            <v>30034_1</v>
          </cell>
        </row>
        <row r="613">
          <cell r="A613" t="str">
            <v>30034_2</v>
          </cell>
        </row>
        <row r="614">
          <cell r="A614" t="str">
            <v>30034_3</v>
          </cell>
        </row>
        <row r="615">
          <cell r="A615" t="str">
            <v>30035_1</v>
          </cell>
        </row>
        <row r="616">
          <cell r="A616" t="str">
            <v>30035_2</v>
          </cell>
        </row>
        <row r="617">
          <cell r="A617" t="str">
            <v>30035_3</v>
          </cell>
        </row>
        <row r="618">
          <cell r="A618" t="str">
            <v>30036_1</v>
          </cell>
        </row>
        <row r="619">
          <cell r="A619" t="str">
            <v>30036_2</v>
          </cell>
        </row>
        <row r="620">
          <cell r="A620" t="str">
            <v>30036_3</v>
          </cell>
        </row>
        <row r="621">
          <cell r="A621" t="str">
            <v>30037_1</v>
          </cell>
        </row>
        <row r="622">
          <cell r="A622" t="str">
            <v>30037_2</v>
          </cell>
        </row>
        <row r="623">
          <cell r="A623" t="str">
            <v>30037_3</v>
          </cell>
        </row>
        <row r="624">
          <cell r="A624" t="str">
            <v>30038_1</v>
          </cell>
        </row>
        <row r="625">
          <cell r="A625" t="str">
            <v>30038_2</v>
          </cell>
        </row>
        <row r="626">
          <cell r="A626" t="str">
            <v>30038_3</v>
          </cell>
        </row>
        <row r="627">
          <cell r="A627" t="str">
            <v>30039_1</v>
          </cell>
        </row>
        <row r="628">
          <cell r="A628" t="str">
            <v>30039_2</v>
          </cell>
        </row>
        <row r="629">
          <cell r="A629" t="str">
            <v>30039_3</v>
          </cell>
        </row>
        <row r="630">
          <cell r="A630" t="str">
            <v>30040_1</v>
          </cell>
        </row>
        <row r="631">
          <cell r="A631" t="str">
            <v>30040_2</v>
          </cell>
        </row>
        <row r="632">
          <cell r="A632" t="str">
            <v>30040_3</v>
          </cell>
        </row>
        <row r="633">
          <cell r="A633" t="str">
            <v>30041_1</v>
          </cell>
        </row>
        <row r="634">
          <cell r="A634" t="str">
            <v>30041_2</v>
          </cell>
        </row>
        <row r="635">
          <cell r="A635" t="str">
            <v>30041_3</v>
          </cell>
        </row>
        <row r="636">
          <cell r="A636" t="str">
            <v>30042_1</v>
          </cell>
        </row>
        <row r="637">
          <cell r="A637" t="str">
            <v>30042_2</v>
          </cell>
        </row>
        <row r="638">
          <cell r="A638" t="str">
            <v>30042_3</v>
          </cell>
        </row>
        <row r="639">
          <cell r="A639" t="str">
            <v>30043_1</v>
          </cell>
        </row>
        <row r="640">
          <cell r="A640" t="str">
            <v>30043_2</v>
          </cell>
        </row>
        <row r="641">
          <cell r="A641" t="str">
            <v>30043_3</v>
          </cell>
        </row>
        <row r="642">
          <cell r="A642" t="str">
            <v>30044_1</v>
          </cell>
        </row>
        <row r="643">
          <cell r="A643" t="str">
            <v>30044_2</v>
          </cell>
        </row>
        <row r="644">
          <cell r="A644" t="str">
            <v>30044_3</v>
          </cell>
        </row>
        <row r="645">
          <cell r="A645" t="str">
            <v>30045_1</v>
          </cell>
        </row>
        <row r="646">
          <cell r="A646" t="str">
            <v>30045_2</v>
          </cell>
        </row>
        <row r="647">
          <cell r="A647" t="str">
            <v>30045_3</v>
          </cell>
        </row>
        <row r="648">
          <cell r="A648" t="str">
            <v>30046_1</v>
          </cell>
        </row>
        <row r="649">
          <cell r="A649" t="str">
            <v>30046_2</v>
          </cell>
        </row>
        <row r="650">
          <cell r="A650" t="str">
            <v>30046_3</v>
          </cell>
        </row>
        <row r="651">
          <cell r="A651" t="str">
            <v>30047_1</v>
          </cell>
        </row>
        <row r="652">
          <cell r="A652" t="str">
            <v>30047_2</v>
          </cell>
        </row>
        <row r="653">
          <cell r="A653" t="str">
            <v>30047_3</v>
          </cell>
        </row>
        <row r="654">
          <cell r="A654" t="str">
            <v>30048_1</v>
          </cell>
        </row>
        <row r="655">
          <cell r="A655" t="str">
            <v>30048_2</v>
          </cell>
        </row>
        <row r="656">
          <cell r="A656" t="str">
            <v>30048_3</v>
          </cell>
        </row>
        <row r="657">
          <cell r="A657" t="str">
            <v>39001_1</v>
          </cell>
        </row>
        <row r="658">
          <cell r="A658" t="str">
            <v>39001_2</v>
          </cell>
        </row>
        <row r="659">
          <cell r="A659" t="str">
            <v>39001_3</v>
          </cell>
        </row>
        <row r="660">
          <cell r="A660" t="str">
            <v>39001_4</v>
          </cell>
        </row>
        <row r="661">
          <cell r="A661" t="str">
            <v>39001_5</v>
          </cell>
        </row>
        <row r="662">
          <cell r="A662" t="str">
            <v>39002_1</v>
          </cell>
        </row>
        <row r="663">
          <cell r="A663" t="str">
            <v>39002_2</v>
          </cell>
        </row>
        <row r="664">
          <cell r="A664" t="str">
            <v>39002_3</v>
          </cell>
        </row>
        <row r="665">
          <cell r="A665" t="str">
            <v>39002_4</v>
          </cell>
        </row>
        <row r="666">
          <cell r="A666" t="str">
            <v>39003_1</v>
          </cell>
        </row>
        <row r="667">
          <cell r="A667" t="str">
            <v>39003_2</v>
          </cell>
        </row>
        <row r="668">
          <cell r="A668" t="str">
            <v>39003_3</v>
          </cell>
        </row>
        <row r="669">
          <cell r="A669" t="str">
            <v>39003_4</v>
          </cell>
        </row>
        <row r="670">
          <cell r="A670" t="str">
            <v>39004_1</v>
          </cell>
        </row>
        <row r="671">
          <cell r="A671" t="str">
            <v>39004_2</v>
          </cell>
        </row>
        <row r="672">
          <cell r="A672" t="str">
            <v>39004_3</v>
          </cell>
        </row>
        <row r="673">
          <cell r="A673" t="str">
            <v>39004_4</v>
          </cell>
        </row>
        <row r="674">
          <cell r="A674" t="str">
            <v>39005_1</v>
          </cell>
        </row>
        <row r="675">
          <cell r="A675" t="str">
            <v>39005_2</v>
          </cell>
        </row>
        <row r="676">
          <cell r="A676" t="str">
            <v>39005_3</v>
          </cell>
        </row>
        <row r="677">
          <cell r="A677" t="str">
            <v>39005_4</v>
          </cell>
        </row>
        <row r="678">
          <cell r="A678" t="str">
            <v>39005_5</v>
          </cell>
        </row>
        <row r="679">
          <cell r="A679" t="str">
            <v>39006_1</v>
          </cell>
        </row>
        <row r="680">
          <cell r="A680" t="str">
            <v>39006_2</v>
          </cell>
        </row>
        <row r="681">
          <cell r="A681" t="str">
            <v>39006_3</v>
          </cell>
        </row>
        <row r="682">
          <cell r="A682" t="str">
            <v>39006_4</v>
          </cell>
        </row>
        <row r="683">
          <cell r="A683" t="str">
            <v>39007_1</v>
          </cell>
        </row>
        <row r="684">
          <cell r="A684" t="str">
            <v>39007_2</v>
          </cell>
        </row>
        <row r="685">
          <cell r="A685" t="str">
            <v>39007_3</v>
          </cell>
        </row>
        <row r="686">
          <cell r="A686" t="str">
            <v>39007_4</v>
          </cell>
        </row>
        <row r="687">
          <cell r="A687" t="str">
            <v>39008_1</v>
          </cell>
        </row>
        <row r="688">
          <cell r="A688" t="str">
            <v>39008_2</v>
          </cell>
        </row>
        <row r="689">
          <cell r="A689" t="str">
            <v>39008_3</v>
          </cell>
        </row>
        <row r="690">
          <cell r="A690" t="str">
            <v>39008_4</v>
          </cell>
        </row>
        <row r="691">
          <cell r="A691" t="str">
            <v>39008_5</v>
          </cell>
        </row>
        <row r="692">
          <cell r="A692" t="str">
            <v>39009_1</v>
          </cell>
        </row>
        <row r="693">
          <cell r="A693" t="str">
            <v>39009_2</v>
          </cell>
        </row>
        <row r="694">
          <cell r="A694" t="str">
            <v>39009_3</v>
          </cell>
        </row>
        <row r="695">
          <cell r="A695" t="str">
            <v>39009_4</v>
          </cell>
        </row>
        <row r="696">
          <cell r="A696" t="str">
            <v>39009_5</v>
          </cell>
        </row>
        <row r="697">
          <cell r="A697" t="str">
            <v>39010_1</v>
          </cell>
        </row>
        <row r="698">
          <cell r="A698" t="str">
            <v>39010_2</v>
          </cell>
        </row>
        <row r="699">
          <cell r="A699" t="str">
            <v>39010_3</v>
          </cell>
        </row>
        <row r="700">
          <cell r="A700" t="str">
            <v>39010_4</v>
          </cell>
        </row>
        <row r="701">
          <cell r="A701" t="str">
            <v>39011_1</v>
          </cell>
        </row>
        <row r="702">
          <cell r="A702" t="str">
            <v>39011_2</v>
          </cell>
        </row>
        <row r="703">
          <cell r="A703" t="str">
            <v>39011_3</v>
          </cell>
        </row>
        <row r="704">
          <cell r="A704" t="str">
            <v>39011_4</v>
          </cell>
        </row>
        <row r="705">
          <cell r="A705" t="str">
            <v>39012_1</v>
          </cell>
        </row>
        <row r="706">
          <cell r="A706" t="str">
            <v>39012_2</v>
          </cell>
        </row>
        <row r="707">
          <cell r="A707" t="str">
            <v>39012_3</v>
          </cell>
        </row>
        <row r="708">
          <cell r="A708" t="str">
            <v>39012_4</v>
          </cell>
        </row>
        <row r="709">
          <cell r="A709" t="str">
            <v>39012_5</v>
          </cell>
        </row>
        <row r="710">
          <cell r="A710" t="str">
            <v>40001_1</v>
          </cell>
        </row>
        <row r="711">
          <cell r="A711" t="str">
            <v>40002_1</v>
          </cell>
        </row>
        <row r="712">
          <cell r="A712" t="str">
            <v>40002_2</v>
          </cell>
        </row>
        <row r="713">
          <cell r="A713" t="str">
            <v>40002_3</v>
          </cell>
        </row>
        <row r="714">
          <cell r="A714" t="str">
            <v>40003_1</v>
          </cell>
        </row>
        <row r="715">
          <cell r="A715" t="str">
            <v>40004_1</v>
          </cell>
        </row>
        <row r="716">
          <cell r="A716" t="str">
            <v>40005_1</v>
          </cell>
        </row>
        <row r="717">
          <cell r="A717" t="str">
            <v>40006_1</v>
          </cell>
        </row>
        <row r="718">
          <cell r="A718" t="str">
            <v>40007_1</v>
          </cell>
        </row>
        <row r="719">
          <cell r="A719" t="str">
            <v>40008_1</v>
          </cell>
        </row>
        <row r="720">
          <cell r="A720" t="str">
            <v>40009_1</v>
          </cell>
        </row>
        <row r="721">
          <cell r="A721" t="str">
            <v>40010_1</v>
          </cell>
        </row>
        <row r="722">
          <cell r="A722" t="str">
            <v>40011_1</v>
          </cell>
        </row>
        <row r="723">
          <cell r="A723" t="str">
            <v>40012_1</v>
          </cell>
        </row>
        <row r="724">
          <cell r="A724" t="str">
            <v>40013_1</v>
          </cell>
        </row>
        <row r="725">
          <cell r="A725" t="str">
            <v>40014_1</v>
          </cell>
        </row>
        <row r="726">
          <cell r="A726" t="str">
            <v>40015_1</v>
          </cell>
        </row>
        <row r="727">
          <cell r="A727" t="str">
            <v>40016_1</v>
          </cell>
        </row>
        <row r="728">
          <cell r="A728" t="str">
            <v>40016_2</v>
          </cell>
        </row>
        <row r="729">
          <cell r="A729" t="str">
            <v>40017_1</v>
          </cell>
        </row>
        <row r="730">
          <cell r="A730" t="str">
            <v>40017_2</v>
          </cell>
        </row>
        <row r="731">
          <cell r="A731" t="str">
            <v>40017_3</v>
          </cell>
        </row>
        <row r="732">
          <cell r="A732" t="str">
            <v>40018_1</v>
          </cell>
        </row>
        <row r="733">
          <cell r="A733" t="str">
            <v>40018_2</v>
          </cell>
        </row>
        <row r="734">
          <cell r="A734" t="str">
            <v>40018_3</v>
          </cell>
        </row>
        <row r="735">
          <cell r="A735" t="str">
            <v>40019_1</v>
          </cell>
        </row>
        <row r="736">
          <cell r="A736" t="str">
            <v>40019_2</v>
          </cell>
        </row>
        <row r="737">
          <cell r="A737" t="str">
            <v>40019_3</v>
          </cell>
        </row>
        <row r="738">
          <cell r="A738" t="str">
            <v>40021_1</v>
          </cell>
        </row>
        <row r="739">
          <cell r="A739" t="str">
            <v>40021_2</v>
          </cell>
        </row>
        <row r="740">
          <cell r="A740" t="str">
            <v>40022_1</v>
          </cell>
        </row>
        <row r="741">
          <cell r="A741" t="str">
            <v>40022_2</v>
          </cell>
        </row>
        <row r="742">
          <cell r="A742" t="str">
            <v>40023_1</v>
          </cell>
        </row>
        <row r="743">
          <cell r="A743" t="str">
            <v>40023_2</v>
          </cell>
        </row>
        <row r="744">
          <cell r="A744" t="str">
            <v>40024_1</v>
          </cell>
        </row>
        <row r="745">
          <cell r="A745" t="str">
            <v>40024_2</v>
          </cell>
        </row>
        <row r="746">
          <cell r="A746" t="str">
            <v>40025_1</v>
          </cell>
        </row>
        <row r="747">
          <cell r="A747" t="str">
            <v>40025_2</v>
          </cell>
        </row>
        <row r="748">
          <cell r="A748" t="str">
            <v>40026_1</v>
          </cell>
        </row>
        <row r="749">
          <cell r="A749" t="str">
            <v>40026_2</v>
          </cell>
        </row>
        <row r="750">
          <cell r="A750" t="str">
            <v>40027_1</v>
          </cell>
        </row>
        <row r="751">
          <cell r="A751" t="str">
            <v>40027_2</v>
          </cell>
        </row>
        <row r="752">
          <cell r="A752" t="str">
            <v>40028_1</v>
          </cell>
        </row>
        <row r="753">
          <cell r="A753" t="str">
            <v>40028_2</v>
          </cell>
        </row>
        <row r="754">
          <cell r="A754" t="str">
            <v>40029_1</v>
          </cell>
        </row>
        <row r="755">
          <cell r="A755" t="str">
            <v>40029_2</v>
          </cell>
        </row>
        <row r="756">
          <cell r="A756" t="str">
            <v>40030_1</v>
          </cell>
        </row>
        <row r="757">
          <cell r="A757" t="str">
            <v>40030_2</v>
          </cell>
        </row>
        <row r="758">
          <cell r="A758" t="str">
            <v>40031_1</v>
          </cell>
        </row>
        <row r="759">
          <cell r="A759" t="str">
            <v>40031_2</v>
          </cell>
        </row>
        <row r="760">
          <cell r="A760" t="str">
            <v>40032_1</v>
          </cell>
        </row>
        <row r="761">
          <cell r="A761" t="str">
            <v>40032_2</v>
          </cell>
        </row>
        <row r="762">
          <cell r="A762" t="str">
            <v>40033_1</v>
          </cell>
        </row>
        <row r="763">
          <cell r="A763" t="str">
            <v>40033_2</v>
          </cell>
        </row>
        <row r="764">
          <cell r="A764" t="str">
            <v>40034_1</v>
          </cell>
        </row>
        <row r="765">
          <cell r="A765" t="str">
            <v>40034_2</v>
          </cell>
        </row>
        <row r="766">
          <cell r="A766" t="str">
            <v>40035_1</v>
          </cell>
        </row>
        <row r="767">
          <cell r="A767" t="str">
            <v>40035_2</v>
          </cell>
        </row>
        <row r="768">
          <cell r="A768" t="str">
            <v>40036_1</v>
          </cell>
        </row>
        <row r="769">
          <cell r="A769" t="str">
            <v>40036_2</v>
          </cell>
        </row>
        <row r="770">
          <cell r="A770" t="str">
            <v>40037_1</v>
          </cell>
        </row>
        <row r="771">
          <cell r="A771" t="str">
            <v>40037_2</v>
          </cell>
        </row>
        <row r="772">
          <cell r="A772" t="str">
            <v>40038_1</v>
          </cell>
        </row>
        <row r="773">
          <cell r="A773" t="str">
            <v>40038_2</v>
          </cell>
        </row>
        <row r="774">
          <cell r="A774" t="str">
            <v>40039_1</v>
          </cell>
        </row>
        <row r="775">
          <cell r="A775" t="str">
            <v>40039_2</v>
          </cell>
        </row>
        <row r="776">
          <cell r="A776" t="str">
            <v>40040_1</v>
          </cell>
        </row>
        <row r="777">
          <cell r="A777" t="str">
            <v>40040_2</v>
          </cell>
        </row>
        <row r="778">
          <cell r="A778" t="str">
            <v>40041_1</v>
          </cell>
        </row>
        <row r="779">
          <cell r="A779" t="str">
            <v>40041_2</v>
          </cell>
        </row>
        <row r="780">
          <cell r="A780" t="str">
            <v>40042_1</v>
          </cell>
        </row>
        <row r="781">
          <cell r="A781" t="str">
            <v>40042_2</v>
          </cell>
        </row>
        <row r="782">
          <cell r="A782" t="str">
            <v>40043_1</v>
          </cell>
        </row>
        <row r="783">
          <cell r="A783" t="str">
            <v>40043_2</v>
          </cell>
        </row>
        <row r="784">
          <cell r="A784" t="str">
            <v>41001_1</v>
          </cell>
        </row>
        <row r="785">
          <cell r="A785" t="str">
            <v>41001_2</v>
          </cell>
        </row>
        <row r="786">
          <cell r="A786" t="str">
            <v>41001_3</v>
          </cell>
        </row>
        <row r="787">
          <cell r="A787" t="str">
            <v>41002_1</v>
          </cell>
        </row>
        <row r="788">
          <cell r="A788" t="str">
            <v>41002_2</v>
          </cell>
        </row>
        <row r="789">
          <cell r="A789" t="str">
            <v>41002_3</v>
          </cell>
        </row>
        <row r="790">
          <cell r="A790" t="str">
            <v>41003_1</v>
          </cell>
        </row>
        <row r="791">
          <cell r="A791" t="str">
            <v>41003_2</v>
          </cell>
        </row>
        <row r="792">
          <cell r="A792" t="str">
            <v>41003_3</v>
          </cell>
        </row>
        <row r="793">
          <cell r="A793" t="str">
            <v>41004_1</v>
          </cell>
        </row>
        <row r="794">
          <cell r="A794" t="str">
            <v>41004_2</v>
          </cell>
        </row>
        <row r="795">
          <cell r="A795" t="str">
            <v>41004_3</v>
          </cell>
        </row>
        <row r="796">
          <cell r="A796" t="str">
            <v>41005_1</v>
          </cell>
        </row>
        <row r="797">
          <cell r="A797" t="str">
            <v>41005_2</v>
          </cell>
        </row>
        <row r="798">
          <cell r="A798" t="str">
            <v>41005_3</v>
          </cell>
        </row>
        <row r="799">
          <cell r="A799" t="str">
            <v>41006_1</v>
          </cell>
        </row>
        <row r="800">
          <cell r="A800" t="str">
            <v>41006_2</v>
          </cell>
        </row>
        <row r="801">
          <cell r="A801" t="str">
            <v>41006_3</v>
          </cell>
        </row>
        <row r="802">
          <cell r="A802" t="str">
            <v>41007_1</v>
          </cell>
        </row>
        <row r="803">
          <cell r="A803" t="str">
            <v>41007_2</v>
          </cell>
        </row>
        <row r="804">
          <cell r="A804" t="str">
            <v>41007_3</v>
          </cell>
        </row>
        <row r="805">
          <cell r="A805" t="str">
            <v>41008_1</v>
          </cell>
        </row>
        <row r="806">
          <cell r="A806" t="str">
            <v>41008_2</v>
          </cell>
        </row>
        <row r="807">
          <cell r="A807" t="str">
            <v>41008_3</v>
          </cell>
        </row>
        <row r="808">
          <cell r="A808" t="str">
            <v>41009_1</v>
          </cell>
        </row>
        <row r="809">
          <cell r="A809" t="str">
            <v>41009_2</v>
          </cell>
        </row>
        <row r="810">
          <cell r="A810" t="str">
            <v>41009_3</v>
          </cell>
        </row>
        <row r="811">
          <cell r="A811" t="str">
            <v>41010_1</v>
          </cell>
        </row>
        <row r="812">
          <cell r="A812" t="str">
            <v>41010_2</v>
          </cell>
        </row>
        <row r="813">
          <cell r="A813" t="str">
            <v>41010_3</v>
          </cell>
        </row>
        <row r="814">
          <cell r="A814" t="str">
            <v>41011_1</v>
          </cell>
        </row>
        <row r="815">
          <cell r="A815" t="str">
            <v>41011_2</v>
          </cell>
        </row>
        <row r="816">
          <cell r="A816" t="str">
            <v>41012_1</v>
          </cell>
        </row>
        <row r="817">
          <cell r="A817" t="str">
            <v>41012_2</v>
          </cell>
        </row>
        <row r="818">
          <cell r="A818" t="str">
            <v>41013_1</v>
          </cell>
        </row>
        <row r="819">
          <cell r="A819" t="str">
            <v>41013_2</v>
          </cell>
        </row>
        <row r="820">
          <cell r="A820" t="str">
            <v>41014_1</v>
          </cell>
        </row>
        <row r="821">
          <cell r="A821" t="str">
            <v>41014_2</v>
          </cell>
        </row>
        <row r="822">
          <cell r="A822" t="str">
            <v>41015_1</v>
          </cell>
        </row>
        <row r="823">
          <cell r="A823" t="str">
            <v>41015_2</v>
          </cell>
        </row>
        <row r="824">
          <cell r="A824" t="str">
            <v>47001_1</v>
          </cell>
        </row>
        <row r="825">
          <cell r="A825" t="str">
            <v>47001_2</v>
          </cell>
        </row>
        <row r="826">
          <cell r="A826" t="str">
            <v>47002_1</v>
          </cell>
        </row>
        <row r="827">
          <cell r="A827" t="str">
            <v>47002_2</v>
          </cell>
        </row>
        <row r="828">
          <cell r="A828" t="str">
            <v>47003_1</v>
          </cell>
        </row>
        <row r="829">
          <cell r="A829" t="str">
            <v>47003_2</v>
          </cell>
        </row>
        <row r="830">
          <cell r="A830" t="str">
            <v>47003_3</v>
          </cell>
        </row>
        <row r="831">
          <cell r="A831" t="str">
            <v>47003_4</v>
          </cell>
        </row>
        <row r="832">
          <cell r="A832" t="str">
            <v>47004_1</v>
          </cell>
        </row>
        <row r="833">
          <cell r="A833" t="str">
            <v>47004_2</v>
          </cell>
        </row>
        <row r="834">
          <cell r="A834" t="str">
            <v>47004_3</v>
          </cell>
        </row>
        <row r="835">
          <cell r="A835" t="str">
            <v>47004_4</v>
          </cell>
        </row>
        <row r="836">
          <cell r="A836" t="str">
            <v>47005_1</v>
          </cell>
        </row>
        <row r="837">
          <cell r="A837" t="str">
            <v>47006_1</v>
          </cell>
        </row>
        <row r="838">
          <cell r="A838" t="str">
            <v>47006_2</v>
          </cell>
        </row>
        <row r="839">
          <cell r="A839" t="str">
            <v>47007_1</v>
          </cell>
        </row>
        <row r="840">
          <cell r="A840" t="str">
            <v>47007_2</v>
          </cell>
        </row>
        <row r="841">
          <cell r="A841" t="str">
            <v>47008_1</v>
          </cell>
        </row>
        <row r="842">
          <cell r="A842" t="str">
            <v>47008_2</v>
          </cell>
        </row>
        <row r="843">
          <cell r="A843" t="str">
            <v>47009_1</v>
          </cell>
        </row>
        <row r="844">
          <cell r="A844" t="str">
            <v>47009_2</v>
          </cell>
        </row>
        <row r="845">
          <cell r="A845" t="str">
            <v>47010_1</v>
          </cell>
        </row>
        <row r="846">
          <cell r="A846" t="str">
            <v>47010_2</v>
          </cell>
        </row>
        <row r="847">
          <cell r="A847" t="str">
            <v>48001_1</v>
          </cell>
        </row>
        <row r="848">
          <cell r="A848" t="str">
            <v>48002_1</v>
          </cell>
        </row>
        <row r="849">
          <cell r="A849" t="str">
            <v>48002_2</v>
          </cell>
        </row>
        <row r="850">
          <cell r="A850" t="str">
            <v>48002_3</v>
          </cell>
        </row>
        <row r="851">
          <cell r="A851" t="str">
            <v>48003_1</v>
          </cell>
        </row>
        <row r="852">
          <cell r="A852" t="str">
            <v>48003_2</v>
          </cell>
        </row>
        <row r="853">
          <cell r="A853" t="str">
            <v>48004_1</v>
          </cell>
        </row>
        <row r="854">
          <cell r="A854" t="str">
            <v>48004_2</v>
          </cell>
        </row>
        <row r="855">
          <cell r="A855" t="str">
            <v>48005_1</v>
          </cell>
        </row>
        <row r="856">
          <cell r="A856" t="str">
            <v>48005_2</v>
          </cell>
        </row>
        <row r="857">
          <cell r="A857" t="str">
            <v>48006_1</v>
          </cell>
        </row>
        <row r="858">
          <cell r="A858" t="str">
            <v>48006_2</v>
          </cell>
        </row>
        <row r="859">
          <cell r="A859" t="str">
            <v>48007_1</v>
          </cell>
        </row>
        <row r="860">
          <cell r="A860" t="str">
            <v>48007_2</v>
          </cell>
        </row>
        <row r="861">
          <cell r="A861" t="str">
            <v>48008_1</v>
          </cell>
        </row>
        <row r="862">
          <cell r="A862" t="str">
            <v>48008_2</v>
          </cell>
        </row>
        <row r="863">
          <cell r="A863" t="str">
            <v>48009_1</v>
          </cell>
        </row>
        <row r="864">
          <cell r="A864" t="str">
            <v>48009_2</v>
          </cell>
        </row>
        <row r="865">
          <cell r="A865" t="str">
            <v>48010_1</v>
          </cell>
        </row>
        <row r="866">
          <cell r="A866" t="str">
            <v>48011_1</v>
          </cell>
        </row>
        <row r="867">
          <cell r="A867" t="str">
            <v>48011_2</v>
          </cell>
        </row>
        <row r="868">
          <cell r="A868" t="str">
            <v>48501_1</v>
          </cell>
        </row>
        <row r="869">
          <cell r="A869" t="str">
            <v>48501_2</v>
          </cell>
        </row>
        <row r="870">
          <cell r="A870" t="str">
            <v>48502_1</v>
          </cell>
        </row>
        <row r="871">
          <cell r="A871" t="str">
            <v>48502_2</v>
          </cell>
        </row>
        <row r="872">
          <cell r="A872" t="str">
            <v>49001_1</v>
          </cell>
        </row>
        <row r="873">
          <cell r="A873" t="str">
            <v>49002_1</v>
          </cell>
        </row>
        <row r="874">
          <cell r="A874" t="str">
            <v>49002_2</v>
          </cell>
        </row>
        <row r="875">
          <cell r="A875" t="str">
            <v>49003_1</v>
          </cell>
        </row>
        <row r="876">
          <cell r="A876" t="str">
            <v>49003_2</v>
          </cell>
        </row>
        <row r="877">
          <cell r="A877" t="str">
            <v>49004_1</v>
          </cell>
        </row>
        <row r="878">
          <cell r="A878" t="str">
            <v>49004_2</v>
          </cell>
        </row>
        <row r="879">
          <cell r="A879" t="str">
            <v>49004_3</v>
          </cell>
        </row>
        <row r="880">
          <cell r="A880" t="str">
            <v>49005_1</v>
          </cell>
        </row>
        <row r="881">
          <cell r="A881" t="str">
            <v>49006_1</v>
          </cell>
        </row>
        <row r="882">
          <cell r="A882" t="str">
            <v>49006_2</v>
          </cell>
        </row>
        <row r="883">
          <cell r="A883" t="str">
            <v>49007_1</v>
          </cell>
        </row>
        <row r="884">
          <cell r="A884" t="str">
            <v>49007_2</v>
          </cell>
        </row>
        <row r="885">
          <cell r="A885" t="str">
            <v>49007_3</v>
          </cell>
        </row>
        <row r="886">
          <cell r="A886" t="str">
            <v>49008_1</v>
          </cell>
        </row>
        <row r="887">
          <cell r="A887" t="str">
            <v>49009_1</v>
          </cell>
        </row>
        <row r="888">
          <cell r="A888" t="str">
            <v>49010_1</v>
          </cell>
        </row>
        <row r="889">
          <cell r="A889" t="str">
            <v>49011_1</v>
          </cell>
        </row>
        <row r="890">
          <cell r="A890" t="str">
            <v>49012_1</v>
          </cell>
        </row>
        <row r="891">
          <cell r="A891" t="str">
            <v>49013_1</v>
          </cell>
        </row>
        <row r="892">
          <cell r="A892" t="str">
            <v>49014_1</v>
          </cell>
        </row>
        <row r="893">
          <cell r="A893" t="str">
            <v>49014_2</v>
          </cell>
        </row>
        <row r="894">
          <cell r="A894" t="str">
            <v>50001_1</v>
          </cell>
        </row>
        <row r="895">
          <cell r="A895" t="str">
            <v>50002_1</v>
          </cell>
        </row>
        <row r="896">
          <cell r="A896" t="str">
            <v>50003_1</v>
          </cell>
        </row>
        <row r="897">
          <cell r="A897" t="str">
            <v>50004_1</v>
          </cell>
        </row>
        <row r="898">
          <cell r="A898" t="str">
            <v>50005_1</v>
          </cell>
        </row>
        <row r="899">
          <cell r="A899" t="str">
            <v>50006_1</v>
          </cell>
        </row>
        <row r="900">
          <cell r="A900" t="str">
            <v>50007_1</v>
          </cell>
        </row>
        <row r="901">
          <cell r="A901" t="str">
            <v>50008_1</v>
          </cell>
        </row>
        <row r="902">
          <cell r="A902" t="str">
            <v>50009_1</v>
          </cell>
        </row>
        <row r="903">
          <cell r="A903" t="str">
            <v>50010_1</v>
          </cell>
        </row>
        <row r="904">
          <cell r="A904" t="str">
            <v>50011_1</v>
          </cell>
        </row>
        <row r="905">
          <cell r="A905" t="str">
            <v>50012_1</v>
          </cell>
        </row>
        <row r="906">
          <cell r="A906" t="str">
            <v>50013_1</v>
          </cell>
        </row>
        <row r="907">
          <cell r="A907" t="str">
            <v>50014_1</v>
          </cell>
        </row>
        <row r="908">
          <cell r="A908" t="str">
            <v>51001_1</v>
          </cell>
        </row>
        <row r="909">
          <cell r="A909" t="str">
            <v>51002_1</v>
          </cell>
        </row>
        <row r="910">
          <cell r="A910" t="str">
            <v>58001_1</v>
          </cell>
        </row>
        <row r="911">
          <cell r="A911" t="str">
            <v>59001_1</v>
          </cell>
        </row>
        <row r="912">
          <cell r="A912" t="str">
            <v>59002_1</v>
          </cell>
        </row>
        <row r="913">
          <cell r="A913" t="str">
            <v>60001_1</v>
          </cell>
        </row>
        <row r="914">
          <cell r="A914" t="str">
            <v>60002_1</v>
          </cell>
        </row>
        <row r="915">
          <cell r="A915" t="str">
            <v>60002_2</v>
          </cell>
        </row>
        <row r="916">
          <cell r="A916" t="str">
            <v>60003_1</v>
          </cell>
        </row>
        <row r="917">
          <cell r="A917" t="str">
            <v>60003_2</v>
          </cell>
        </row>
        <row r="918">
          <cell r="A918" t="str">
            <v>60003_3</v>
          </cell>
        </row>
        <row r="919">
          <cell r="A919" t="str">
            <v>60004_1</v>
          </cell>
        </row>
        <row r="920">
          <cell r="A920" t="str">
            <v>60005_1</v>
          </cell>
        </row>
        <row r="921">
          <cell r="A921" t="str">
            <v>60006_1</v>
          </cell>
        </row>
        <row r="922">
          <cell r="A922" t="str">
            <v>60006_2</v>
          </cell>
        </row>
        <row r="923">
          <cell r="A923" t="str">
            <v>60006_3</v>
          </cell>
        </row>
        <row r="924">
          <cell r="A924" t="str">
            <v>60007_1</v>
          </cell>
        </row>
        <row r="925">
          <cell r="A925" t="str">
            <v>60007_2</v>
          </cell>
        </row>
        <row r="926">
          <cell r="A926" t="str">
            <v>60007_3</v>
          </cell>
        </row>
        <row r="927">
          <cell r="A927" t="str">
            <v>60010_1</v>
          </cell>
        </row>
        <row r="928">
          <cell r="A928" t="str">
            <v>60011_1</v>
          </cell>
        </row>
        <row r="929">
          <cell r="A929" t="str">
            <v>60011_2</v>
          </cell>
        </row>
        <row r="930">
          <cell r="A930" t="str">
            <v>60012_1</v>
          </cell>
        </row>
        <row r="931">
          <cell r="A931" t="str">
            <v>60013_1</v>
          </cell>
        </row>
        <row r="932">
          <cell r="A932" t="str">
            <v>60013_2</v>
          </cell>
        </row>
        <row r="933">
          <cell r="A933" t="str">
            <v>60013_3</v>
          </cell>
        </row>
        <row r="934">
          <cell r="A934" t="str">
            <v>60014_1</v>
          </cell>
        </row>
        <row r="935">
          <cell r="A935" t="str">
            <v>60015_1</v>
          </cell>
        </row>
        <row r="936">
          <cell r="A936" t="str">
            <v>60016_1</v>
          </cell>
        </row>
        <row r="937">
          <cell r="A937" t="str">
            <v>60017_1</v>
          </cell>
        </row>
        <row r="938">
          <cell r="A938" t="str">
            <v>60018_1</v>
          </cell>
        </row>
        <row r="939">
          <cell r="A939" t="str">
            <v>60019_1</v>
          </cell>
        </row>
        <row r="940">
          <cell r="A940" t="str">
            <v>60020_1</v>
          </cell>
        </row>
        <row r="941">
          <cell r="A941" t="str">
            <v>60021_3</v>
          </cell>
        </row>
        <row r="942">
          <cell r="A942" t="str">
            <v>60022_3</v>
          </cell>
        </row>
        <row r="943">
          <cell r="A943" t="str">
            <v>60023_3</v>
          </cell>
        </row>
        <row r="944">
          <cell r="A944" t="str">
            <v>60024_3</v>
          </cell>
        </row>
        <row r="945">
          <cell r="A945" t="str">
            <v>60025_1</v>
          </cell>
        </row>
        <row r="946">
          <cell r="A946" t="str">
            <v>60026_1</v>
          </cell>
        </row>
        <row r="947">
          <cell r="A947" t="str">
            <v>61011_1</v>
          </cell>
        </row>
        <row r="948">
          <cell r="A948" t="str">
            <v>60027_1</v>
          </cell>
        </row>
        <row r="949">
          <cell r="A949" t="str">
            <v>65525_1</v>
          </cell>
        </row>
        <row r="950">
          <cell r="A950" t="str">
            <v>65526_1</v>
          </cell>
        </row>
        <row r="951">
          <cell r="A951" t="str">
            <v>65526_2</v>
          </cell>
        </row>
        <row r="952">
          <cell r="A952" t="str">
            <v>65527_1</v>
          </cell>
        </row>
        <row r="953">
          <cell r="A953" t="str">
            <v>65528_1</v>
          </cell>
        </row>
        <row r="954">
          <cell r="A954" t="str">
            <v>65529_1</v>
          </cell>
        </row>
        <row r="955">
          <cell r="A955" t="str">
            <v>65530_1</v>
          </cell>
        </row>
        <row r="956">
          <cell r="A956" t="str">
            <v>65531_1</v>
          </cell>
        </row>
        <row r="957">
          <cell r="A957" t="str">
            <v>65531_2</v>
          </cell>
        </row>
        <row r="958">
          <cell r="A958" t="str">
            <v>65532_1</v>
          </cell>
        </row>
        <row r="959">
          <cell r="A959" t="str">
            <v>65532_2</v>
          </cell>
        </row>
        <row r="960">
          <cell r="A960" t="str">
            <v>65533_1</v>
          </cell>
        </row>
        <row r="961">
          <cell r="A961" t="str">
            <v>65533_2</v>
          </cell>
        </row>
        <row r="962">
          <cell r="A962" t="str">
            <v>65534_1</v>
          </cell>
        </row>
        <row r="963">
          <cell r="A963" t="str">
            <v>65535_1</v>
          </cell>
        </row>
        <row r="964">
          <cell r="A964" t="str">
            <v>65535_2</v>
          </cell>
        </row>
        <row r="965">
          <cell r="A965" t="str">
            <v>65535_3</v>
          </cell>
        </row>
        <row r="966">
          <cell r="A966" t="str">
            <v>65535_4</v>
          </cell>
        </row>
        <row r="967">
          <cell r="A967" t="str">
            <v>65535_5</v>
          </cell>
        </row>
        <row r="968">
          <cell r="A968" t="str">
            <v>65535_6</v>
          </cell>
        </row>
        <row r="969">
          <cell r="A969" t="str">
            <v>65535_7</v>
          </cell>
        </row>
        <row r="970">
          <cell r="A970" t="str">
            <v>65535_8</v>
          </cell>
        </row>
        <row r="971">
          <cell r="A971" t="str">
            <v>65535_9</v>
          </cell>
        </row>
        <row r="972">
          <cell r="A97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</row>
        <row r="632">
          <cell r="A632">
            <v>631</v>
          </cell>
          <cell r="B632" t="str">
            <v>デカルト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</row>
        <row r="633">
          <cell r="A633">
            <v>632</v>
          </cell>
          <cell r="B633" t="str">
            <v>カグツチ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</row>
        <row r="634">
          <cell r="A634">
            <v>633</v>
          </cell>
          <cell r="B634" t="str">
            <v>リラ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</row>
        <row r="639">
          <cell r="A639">
            <v>638</v>
          </cell>
          <cell r="B639" t="str">
            <v>コードレッド</v>
          </cell>
          <cell r="C639">
            <v>5</v>
          </cell>
          <cell r="D639" t="str">
            <v>red</v>
          </cell>
          <cell r="E639">
            <v>1</v>
          </cell>
          <cell r="F639">
            <v>1.02</v>
          </cell>
          <cell r="G639">
            <v>1</v>
          </cell>
          <cell r="H639" t="str">
            <v>attack</v>
          </cell>
          <cell r="I639" t="str">
            <v>攻撃タイプ</v>
          </cell>
          <cell r="J639">
            <v>1</v>
          </cell>
          <cell r="K639">
            <v>1.33</v>
          </cell>
          <cell r="L639">
            <v>1</v>
          </cell>
          <cell r="M639" t="str">
            <v>unknown</v>
          </cell>
          <cell r="N639" t="str">
            <v>Unknown</v>
          </cell>
          <cell r="O639">
            <v>1</v>
          </cell>
          <cell r="P639">
            <v>1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</row>
        <row r="640">
          <cell r="A640">
            <v>639</v>
          </cell>
          <cell r="B640" t="str">
            <v>ライオネル</v>
          </cell>
          <cell r="C640">
            <v>3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attack</v>
          </cell>
          <cell r="I640" t="str">
            <v>攻撃タイプ</v>
          </cell>
          <cell r="J640">
            <v>1</v>
          </cell>
          <cell r="K640">
            <v>1.33</v>
          </cell>
          <cell r="L640">
            <v>1</v>
          </cell>
          <cell r="M640" t="str">
            <v>animal</v>
          </cell>
          <cell r="N640" t="str">
            <v>アニマル</v>
          </cell>
          <cell r="O640">
            <v>1</v>
          </cell>
          <cell r="P640">
            <v>1.1000000000000001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</row>
        <row r="641">
          <cell r="A641">
            <v>640</v>
          </cell>
          <cell r="B641" t="str">
            <v>ライオネル</v>
          </cell>
          <cell r="C641">
            <v>4</v>
          </cell>
          <cell r="D641" t="str">
            <v>red</v>
          </cell>
          <cell r="E641">
            <v>1</v>
          </cell>
          <cell r="F641">
            <v>1.02</v>
          </cell>
          <cell r="G641">
            <v>1</v>
          </cell>
          <cell r="H641" t="str">
            <v>attack</v>
          </cell>
          <cell r="I641" t="str">
            <v>攻撃タイプ</v>
          </cell>
          <cell r="J641">
            <v>1</v>
          </cell>
          <cell r="K641">
            <v>1.33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</row>
        <row r="642">
          <cell r="A642">
            <v>641</v>
          </cell>
          <cell r="B642" t="str">
            <v>ライオネル</v>
          </cell>
          <cell r="C642">
            <v>5</v>
          </cell>
          <cell r="D642" t="str">
            <v>red</v>
          </cell>
          <cell r="E642">
            <v>1</v>
          </cell>
          <cell r="F642">
            <v>1.02</v>
          </cell>
          <cell r="G642">
            <v>1</v>
          </cell>
          <cell r="H642" t="str">
            <v>attack</v>
          </cell>
          <cell r="I642" t="str">
            <v>攻撃タイプ</v>
          </cell>
          <cell r="J642">
            <v>1</v>
          </cell>
          <cell r="K642">
            <v>1.33</v>
          </cell>
          <cell r="L642">
            <v>1</v>
          </cell>
          <cell r="M642" t="str">
            <v>animal</v>
          </cell>
          <cell r="N642" t="str">
            <v>アニマル</v>
          </cell>
          <cell r="O642">
            <v>1</v>
          </cell>
          <cell r="P642">
            <v>1.1000000000000001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</row>
        <row r="680">
          <cell r="A680">
            <v>679</v>
          </cell>
          <cell r="B680" t="str">
            <v>孤高の王子　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</row>
        <row r="693">
          <cell r="A693">
            <v>692</v>
          </cell>
          <cell r="B693" t="str">
            <v>暗躍する偽帝　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</row>
        <row r="695">
          <cell r="A695">
            <v>694</v>
          </cell>
          <cell r="B695" t="str">
            <v>黄巾賊の将軍　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</row>
        <row r="697">
          <cell r="A697">
            <v>696</v>
          </cell>
          <cell r="B697" t="str">
            <v>生きる都市伝説　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</row>
        <row r="698">
          <cell r="A698">
            <v>697</v>
          </cell>
          <cell r="B698" t="str">
            <v>黒影の首なしライダー　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</row>
        <row r="704">
          <cell r="A704">
            <v>703</v>
          </cell>
          <cell r="B704" t="str">
            <v>豪腕静穏な寿司屋　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</row>
        <row r="708">
          <cell r="A708">
            <v>707</v>
          </cell>
          <cell r="B708" t="str">
            <v>愛月撤灯の闇医者　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</row>
        <row r="718">
          <cell r="A718">
            <v>717</v>
          </cell>
          <cell r="B718" t="str">
            <v>池袋最強の暴走　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</row>
        <row r="720">
          <cell r="A720">
            <v>719</v>
          </cell>
          <cell r="B720" t="str">
            <v>聡明な戦狂女　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</row>
        <row r="1093">
          <cell r="A1093">
            <v>1092</v>
          </cell>
          <cell r="B1093" t="str">
            <v>未定</v>
          </cell>
          <cell r="C1093">
            <v>5</v>
          </cell>
          <cell r="D1093" t="str">
            <v>yellow</v>
          </cell>
          <cell r="E1093">
            <v>0.98</v>
          </cell>
          <cell r="F1093">
            <v>1.01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unknown</v>
          </cell>
          <cell r="N1093" t="str">
            <v>Unknown</v>
          </cell>
          <cell r="O1093">
            <v>1</v>
          </cell>
          <cell r="P1093">
            <v>1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</row>
        <row r="1336">
          <cell r="A1336">
            <v>1504</v>
          </cell>
          <cell r="B1336" t="str">
            <v>magenta01</v>
          </cell>
          <cell r="C1336">
            <v>1</v>
          </cell>
          <cell r="D1336" t="str">
            <v>red</v>
          </cell>
          <cell r="E1336">
            <v>1</v>
          </cell>
          <cell r="F1336">
            <v>1.02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unknown</v>
          </cell>
          <cell r="N1336" t="str">
            <v>Unknown</v>
          </cell>
          <cell r="O1336">
            <v>1</v>
          </cell>
          <cell r="P1336">
            <v>1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</row>
        <row r="1337">
          <cell r="A1337">
            <v>1505</v>
          </cell>
          <cell r="B1337" t="str">
            <v>amber01</v>
          </cell>
          <cell r="C1337">
            <v>1</v>
          </cell>
          <cell r="D1337" t="str">
            <v>green</v>
          </cell>
          <cell r="E1337">
            <v>1.02</v>
          </cell>
          <cell r="F1337">
            <v>0.98</v>
          </cell>
          <cell r="G1337">
            <v>1</v>
          </cell>
          <cell r="H1337" t="str">
            <v>hp</v>
          </cell>
          <cell r="I1337" t="str">
            <v>体力タイプ</v>
          </cell>
          <cell r="J1337">
            <v>1.45</v>
          </cell>
          <cell r="K1337">
            <v>0.85</v>
          </cell>
          <cell r="L1337">
            <v>1</v>
          </cell>
          <cell r="M1337" t="str">
            <v>unknown</v>
          </cell>
          <cell r="N1337" t="str">
            <v>Unknown</v>
          </cell>
          <cell r="O1337">
            <v>1</v>
          </cell>
          <cell r="P1337">
            <v>1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</row>
        <row r="1338">
          <cell r="A1338">
            <v>1506</v>
          </cell>
          <cell r="B1338" t="str">
            <v>pumpkin01</v>
          </cell>
          <cell r="C1338">
            <v>2</v>
          </cell>
          <cell r="D1338" t="str">
            <v>yellow</v>
          </cell>
          <cell r="E1338">
            <v>0.98</v>
          </cell>
          <cell r="F1338">
            <v>1.01</v>
          </cell>
          <cell r="G1338">
            <v>1</v>
          </cell>
          <cell r="H1338" t="str">
            <v>attack</v>
          </cell>
          <cell r="I1338" t="str">
            <v>攻撃タイプ</v>
          </cell>
          <cell r="J1338">
            <v>1</v>
          </cell>
          <cell r="K1338">
            <v>1.33</v>
          </cell>
          <cell r="L1338">
            <v>1</v>
          </cell>
          <cell r="M1338" t="str">
            <v>unknown</v>
          </cell>
          <cell r="N1338" t="str">
            <v>Unknown</v>
          </cell>
          <cell r="O1338">
            <v>1</v>
          </cell>
          <cell r="P1338">
            <v>1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</row>
        <row r="1339">
          <cell r="A1339">
            <v>1507</v>
          </cell>
          <cell r="B1339" t="str">
            <v>rose01</v>
          </cell>
          <cell r="C1339">
            <v>3</v>
          </cell>
          <cell r="D1339" t="str">
            <v>blue</v>
          </cell>
          <cell r="E1339">
            <v>1</v>
          </cell>
          <cell r="F1339">
            <v>0.98</v>
          </cell>
          <cell r="G1339">
            <v>1</v>
          </cell>
          <cell r="H1339" t="str">
            <v>technical</v>
          </cell>
          <cell r="I1339" t="str">
            <v>テクニカルタイプ</v>
          </cell>
          <cell r="J1339">
            <v>0.9</v>
          </cell>
          <cell r="K1339">
            <v>0.9</v>
          </cell>
          <cell r="L1339">
            <v>1</v>
          </cell>
          <cell r="M1339" t="str">
            <v>unknown</v>
          </cell>
          <cell r="N1339" t="str">
            <v>Unknown</v>
          </cell>
          <cell r="O1339">
            <v>1</v>
          </cell>
          <cell r="P1339">
            <v>1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</row>
        <row r="1340">
          <cell r="A1340">
            <v>1508</v>
          </cell>
          <cell r="B1340" t="str">
            <v>burgundy01</v>
          </cell>
          <cell r="C1340">
            <v>4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</row>
        <row r="1341">
          <cell r="A1341">
            <v>1509</v>
          </cell>
          <cell r="B1341" t="str">
            <v>cyan01</v>
          </cell>
          <cell r="C1341">
            <v>5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god</v>
          </cell>
          <cell r="N1341" t="str">
            <v>ゴッド</v>
          </cell>
          <cell r="O1341">
            <v>0.96</v>
          </cell>
          <cell r="P1341">
            <v>1.02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</row>
        <row r="1342">
          <cell r="A1342">
            <v>1510</v>
          </cell>
          <cell r="B1342" t="str">
            <v>scarlet01</v>
          </cell>
          <cell r="C1342">
            <v>4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balance</v>
          </cell>
          <cell r="I1342" t="str">
            <v>バランスタイプ</v>
          </cell>
          <cell r="J1342">
            <v>1</v>
          </cell>
          <cell r="K1342">
            <v>1</v>
          </cell>
          <cell r="L1342">
            <v>1</v>
          </cell>
          <cell r="M1342" t="str">
            <v>god</v>
          </cell>
          <cell r="N1342" t="str">
            <v>ゴッド</v>
          </cell>
          <cell r="O1342">
            <v>0.96</v>
          </cell>
          <cell r="P1342">
            <v>1.02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</row>
        <row r="1343">
          <cell r="A1343">
            <v>1511</v>
          </cell>
          <cell r="B1343" t="str">
            <v>scarlet02</v>
          </cell>
          <cell r="C1343">
            <v>5</v>
          </cell>
          <cell r="D1343" t="str">
            <v>yellow</v>
          </cell>
          <cell r="E1343">
            <v>0.98</v>
          </cell>
          <cell r="F1343">
            <v>1.01</v>
          </cell>
          <cell r="G1343">
            <v>1</v>
          </cell>
          <cell r="H1343" t="str">
            <v>balance</v>
          </cell>
          <cell r="I1343" t="str">
            <v>バランスタイプ</v>
          </cell>
          <cell r="J1343">
            <v>1</v>
          </cell>
          <cell r="K1343">
            <v>1</v>
          </cell>
          <cell r="L1343">
            <v>1</v>
          </cell>
          <cell r="M1343" t="str">
            <v>god</v>
          </cell>
          <cell r="N1343" t="str">
            <v>ゴッド</v>
          </cell>
          <cell r="O1343">
            <v>0.96</v>
          </cell>
          <cell r="P1343">
            <v>1.02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</row>
        <row r="1344">
          <cell r="A1344">
            <v>1512</v>
          </cell>
          <cell r="B1344" t="str">
            <v>scarlet03</v>
          </cell>
          <cell r="C1344">
            <v>6</v>
          </cell>
          <cell r="D1344" t="str">
            <v>yellow</v>
          </cell>
          <cell r="E1344">
            <v>0.98</v>
          </cell>
          <cell r="F1344">
            <v>1.01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god</v>
          </cell>
          <cell r="N1344" t="str">
            <v>ゴッド</v>
          </cell>
          <cell r="O1344">
            <v>0.96</v>
          </cell>
          <cell r="P1344">
            <v>1.02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</row>
        <row r="1345">
          <cell r="A1345">
            <v>1523</v>
          </cell>
          <cell r="B1345" t="str">
            <v>olive01</v>
          </cell>
          <cell r="C1345">
            <v>5</v>
          </cell>
          <cell r="D1345" t="str">
            <v>blue</v>
          </cell>
          <cell r="E1345">
            <v>1</v>
          </cell>
          <cell r="F1345">
            <v>0.98</v>
          </cell>
          <cell r="G1345">
            <v>1</v>
          </cell>
          <cell r="H1345" t="str">
            <v>balance</v>
          </cell>
          <cell r="I1345" t="str">
            <v>バランスタイプ</v>
          </cell>
          <cell r="J1345">
            <v>1</v>
          </cell>
          <cell r="K1345">
            <v>1</v>
          </cell>
          <cell r="L1345">
            <v>1</v>
          </cell>
          <cell r="M1345" t="str">
            <v>animal</v>
          </cell>
          <cell r="N1345" t="str">
            <v>アニマル</v>
          </cell>
          <cell r="O1345">
            <v>1</v>
          </cell>
          <cell r="P1345">
            <v>1.1000000000000001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</row>
        <row r="1346">
          <cell r="A1346">
            <v>1524</v>
          </cell>
          <cell r="B1346" t="str">
            <v>olive02</v>
          </cell>
          <cell r="C1346">
            <v>6</v>
          </cell>
          <cell r="D1346" t="str">
            <v>blue</v>
          </cell>
          <cell r="E1346">
            <v>1</v>
          </cell>
          <cell r="F1346">
            <v>0.98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animal</v>
          </cell>
          <cell r="N1346" t="str">
            <v>アニマル</v>
          </cell>
          <cell r="O1346">
            <v>1</v>
          </cell>
          <cell r="P1346">
            <v>1.1000000000000001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</row>
        <row r="1347">
          <cell r="A1347">
            <v>1525</v>
          </cell>
          <cell r="B1347" t="str">
            <v>white01</v>
          </cell>
          <cell r="C1347">
            <v>5</v>
          </cell>
          <cell r="D1347" t="str">
            <v>red</v>
          </cell>
          <cell r="E1347">
            <v>1</v>
          </cell>
          <cell r="F1347">
            <v>1.02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animal</v>
          </cell>
          <cell r="N1347" t="str">
            <v>アニマル</v>
          </cell>
          <cell r="O1347">
            <v>1</v>
          </cell>
          <cell r="P1347">
            <v>1.1000000000000001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</row>
        <row r="1348">
          <cell r="A1348">
            <v>1526</v>
          </cell>
          <cell r="B1348" t="str">
            <v>white02</v>
          </cell>
          <cell r="C1348">
            <v>6</v>
          </cell>
          <cell r="D1348" t="str">
            <v>red</v>
          </cell>
          <cell r="E1348">
            <v>1</v>
          </cell>
          <cell r="F1348">
            <v>1.02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animal</v>
          </cell>
          <cell r="N1348" t="str">
            <v>アニマル</v>
          </cell>
          <cell r="O1348">
            <v>1</v>
          </cell>
          <cell r="P1348">
            <v>1.1000000000000001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</row>
        <row r="1349">
          <cell r="A1349">
            <v>5001</v>
          </cell>
          <cell r="B1349" t="str">
            <v>ガルーダ</v>
          </cell>
          <cell r="C1349">
            <v>5</v>
          </cell>
          <cell r="D1349" t="str">
            <v>red</v>
          </cell>
          <cell r="E1349">
            <v>1</v>
          </cell>
          <cell r="F1349">
            <v>1.02</v>
          </cell>
          <cell r="G1349">
            <v>1</v>
          </cell>
          <cell r="H1349" t="str">
            <v>attack</v>
          </cell>
          <cell r="I1349" t="str">
            <v>攻撃タイプ</v>
          </cell>
          <cell r="J1349">
            <v>1</v>
          </cell>
          <cell r="K1349">
            <v>1.33</v>
          </cell>
          <cell r="L1349">
            <v>1</v>
          </cell>
          <cell r="M1349" t="str">
            <v>god</v>
          </cell>
          <cell r="N1349" t="str">
            <v>ゴッド</v>
          </cell>
          <cell r="O1349">
            <v>0.96</v>
          </cell>
          <cell r="P1349">
            <v>1.02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</row>
        <row r="1350">
          <cell r="A1350">
            <v>5002</v>
          </cell>
          <cell r="B1350" t="str">
            <v>ガルーダ★６</v>
          </cell>
          <cell r="C1350">
            <v>6</v>
          </cell>
          <cell r="D1350" t="str">
            <v>red</v>
          </cell>
          <cell r="E1350">
            <v>1</v>
          </cell>
          <cell r="F1350">
            <v>1.02</v>
          </cell>
          <cell r="G1350">
            <v>1</v>
          </cell>
          <cell r="H1350" t="str">
            <v>attack</v>
          </cell>
          <cell r="I1350" t="str">
            <v>攻撃タイプ</v>
          </cell>
          <cell r="J1350">
            <v>1</v>
          </cell>
          <cell r="K1350">
            <v>1.33</v>
          </cell>
          <cell r="L1350">
            <v>1</v>
          </cell>
          <cell r="M1350" t="str">
            <v>god</v>
          </cell>
          <cell r="N1350" t="str">
            <v>ゴッド</v>
          </cell>
          <cell r="O1350">
            <v>0.96</v>
          </cell>
          <cell r="P1350">
            <v>1.02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</row>
        <row r="1351">
          <cell r="A1351">
            <v>5003</v>
          </cell>
          <cell r="B1351" t="str">
            <v>ナーガ</v>
          </cell>
          <cell r="C1351">
            <v>5</v>
          </cell>
          <cell r="D1351" t="str">
            <v>green</v>
          </cell>
          <cell r="E1351">
            <v>1.02</v>
          </cell>
          <cell r="F1351">
            <v>0.98</v>
          </cell>
          <cell r="G1351">
            <v>1</v>
          </cell>
          <cell r="H1351" t="str">
            <v>technical</v>
          </cell>
          <cell r="I1351" t="str">
            <v>テクニカルタイプ</v>
          </cell>
          <cell r="J1351">
            <v>0.9</v>
          </cell>
          <cell r="K1351">
            <v>0.9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</row>
        <row r="1352">
          <cell r="A1352">
            <v>5004</v>
          </cell>
          <cell r="B1352" t="str">
            <v>ナーガ★６</v>
          </cell>
          <cell r="C1352">
            <v>6</v>
          </cell>
          <cell r="D1352" t="str">
            <v>green</v>
          </cell>
          <cell r="E1352">
            <v>1.02</v>
          </cell>
          <cell r="F1352">
            <v>0.98</v>
          </cell>
          <cell r="G1352">
            <v>1</v>
          </cell>
          <cell r="H1352" t="str">
            <v>technical</v>
          </cell>
          <cell r="I1352" t="str">
            <v>テクニカルタイプ</v>
          </cell>
          <cell r="J1352">
            <v>0.9</v>
          </cell>
          <cell r="K1352">
            <v>0.9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</row>
        <row r="1353">
          <cell r="A1353">
            <v>5005</v>
          </cell>
          <cell r="B1353" t="str">
            <v>カーミラ</v>
          </cell>
          <cell r="C1353">
            <v>5</v>
          </cell>
          <cell r="D1353" t="str">
            <v>green</v>
          </cell>
          <cell r="E1353">
            <v>1.02</v>
          </cell>
          <cell r="F1353">
            <v>0.98</v>
          </cell>
          <cell r="G1353">
            <v>1</v>
          </cell>
          <cell r="H1353" t="str">
            <v>balance</v>
          </cell>
          <cell r="I1353" t="str">
            <v>バランスタイプ</v>
          </cell>
          <cell r="J1353">
            <v>1</v>
          </cell>
          <cell r="K1353">
            <v>1</v>
          </cell>
          <cell r="L1353">
            <v>1</v>
          </cell>
          <cell r="M1353" t="str">
            <v>demon</v>
          </cell>
          <cell r="N1353" t="str">
            <v>デーモン</v>
          </cell>
          <cell r="O1353">
            <v>1</v>
          </cell>
          <cell r="P1353">
            <v>1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</row>
        <row r="1354">
          <cell r="A1354">
            <v>5006</v>
          </cell>
          <cell r="B1354" t="str">
            <v>カーミラ★６</v>
          </cell>
          <cell r="C1354">
            <v>6</v>
          </cell>
          <cell r="D1354" t="str">
            <v>green</v>
          </cell>
          <cell r="E1354">
            <v>1.02</v>
          </cell>
          <cell r="F1354">
            <v>0.98</v>
          </cell>
          <cell r="G1354">
            <v>1</v>
          </cell>
          <cell r="H1354" t="str">
            <v>balance</v>
          </cell>
          <cell r="I1354" t="str">
            <v>バランスタイプ</v>
          </cell>
          <cell r="J1354">
            <v>1</v>
          </cell>
          <cell r="K1354">
            <v>1</v>
          </cell>
          <cell r="L1354">
            <v>1</v>
          </cell>
          <cell r="M1354" t="str">
            <v>demon</v>
          </cell>
          <cell r="N1354" t="str">
            <v>デーモン</v>
          </cell>
          <cell r="O1354">
            <v>1</v>
          </cell>
          <cell r="P1354">
            <v>1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</row>
        <row r="1355">
          <cell r="A1355">
            <v>5007</v>
          </cell>
          <cell r="B1355" t="str">
            <v>ヘルシング</v>
          </cell>
          <cell r="C1355">
            <v>5</v>
          </cell>
          <cell r="D1355" t="str">
            <v>yellow</v>
          </cell>
          <cell r="E1355">
            <v>0.98</v>
          </cell>
          <cell r="F1355">
            <v>1.01</v>
          </cell>
          <cell r="G1355">
            <v>1</v>
          </cell>
          <cell r="H1355" t="str">
            <v>attack</v>
          </cell>
          <cell r="I1355" t="str">
            <v>攻撃タイプ</v>
          </cell>
          <cell r="J1355">
            <v>1</v>
          </cell>
          <cell r="K1355">
            <v>1.33</v>
          </cell>
          <cell r="L1355">
            <v>1</v>
          </cell>
          <cell r="M1355" t="str">
            <v>human</v>
          </cell>
          <cell r="N1355" t="str">
            <v>ヒューマン</v>
          </cell>
          <cell r="O1355">
            <v>0.94</v>
          </cell>
          <cell r="P1355">
            <v>0.99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</row>
        <row r="1356">
          <cell r="A1356">
            <v>5008</v>
          </cell>
          <cell r="B1356" t="str">
            <v>ヘルシング★６</v>
          </cell>
          <cell r="C1356">
            <v>6</v>
          </cell>
          <cell r="D1356" t="str">
            <v>yellow</v>
          </cell>
          <cell r="E1356">
            <v>0.98</v>
          </cell>
          <cell r="F1356">
            <v>1.01</v>
          </cell>
          <cell r="G1356">
            <v>1</v>
          </cell>
          <cell r="H1356" t="str">
            <v>attack</v>
          </cell>
          <cell r="I1356" t="str">
            <v>攻撃タイプ</v>
          </cell>
          <cell r="J1356">
            <v>1</v>
          </cell>
          <cell r="K1356">
            <v>1.33</v>
          </cell>
          <cell r="L1356">
            <v>1</v>
          </cell>
          <cell r="M1356" t="str">
            <v>human</v>
          </cell>
          <cell r="N1356" t="str">
            <v>ヒューマン</v>
          </cell>
          <cell r="O1356">
            <v>0.94</v>
          </cell>
          <cell r="P1356">
            <v>0.99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</row>
        <row r="1357">
          <cell r="A1357">
            <v>6001</v>
          </cell>
          <cell r="B1357" t="str">
            <v>ジェリー</v>
          </cell>
          <cell r="C1357">
            <v>1</v>
          </cell>
          <cell r="D1357" t="str">
            <v>red</v>
          </cell>
          <cell r="E1357">
            <v>1</v>
          </cell>
          <cell r="F1357">
            <v>1.02</v>
          </cell>
          <cell r="G1357">
            <v>1</v>
          </cell>
          <cell r="H1357" t="str">
            <v>ra</v>
          </cell>
          <cell r="I1357" t="str">
            <v>ラグランジュチャレンジ</v>
          </cell>
          <cell r="J1357">
            <v>1</v>
          </cell>
          <cell r="K1357">
            <v>1</v>
          </cell>
          <cell r="L1357">
            <v>1</v>
          </cell>
          <cell r="M1357" t="str">
            <v>unknown</v>
          </cell>
          <cell r="N1357" t="str">
            <v>Unknown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</row>
        <row r="1358">
          <cell r="A1358">
            <v>6002</v>
          </cell>
          <cell r="B1358" t="str">
            <v>ヨシタカ</v>
          </cell>
          <cell r="C1358">
            <v>2</v>
          </cell>
          <cell r="D1358" t="str">
            <v>red</v>
          </cell>
          <cell r="E1358">
            <v>1</v>
          </cell>
          <cell r="F1358">
            <v>1.02</v>
          </cell>
          <cell r="G1358">
            <v>1</v>
          </cell>
          <cell r="H1358" t="str">
            <v>ra</v>
          </cell>
          <cell r="I1358" t="str">
            <v>ラグランジュチャレンジ</v>
          </cell>
          <cell r="J1358">
            <v>1</v>
          </cell>
          <cell r="K1358">
            <v>1</v>
          </cell>
          <cell r="L1358">
            <v>1</v>
          </cell>
          <cell r="M1358" t="str">
            <v>human</v>
          </cell>
          <cell r="N1358" t="str">
            <v>ヒューマン</v>
          </cell>
          <cell r="O1358">
            <v>0.94</v>
          </cell>
          <cell r="P1358">
            <v>0.99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</row>
        <row r="1359">
          <cell r="A1359">
            <v>6003</v>
          </cell>
          <cell r="B1359" t="str">
            <v>朱雀</v>
          </cell>
          <cell r="C1359">
            <v>3</v>
          </cell>
          <cell r="D1359" t="str">
            <v>red</v>
          </cell>
          <cell r="E1359">
            <v>1</v>
          </cell>
          <cell r="F1359">
            <v>1.02</v>
          </cell>
          <cell r="G1359">
            <v>1</v>
          </cell>
          <cell r="H1359" t="str">
            <v>ra</v>
          </cell>
          <cell r="I1359" t="str">
            <v>ラグランジュチャレンジ</v>
          </cell>
          <cell r="J1359">
            <v>1</v>
          </cell>
          <cell r="K1359">
            <v>1</v>
          </cell>
          <cell r="L1359">
            <v>1</v>
          </cell>
          <cell r="M1359" t="str">
            <v>animal</v>
          </cell>
          <cell r="N1359" t="str">
            <v>アニマル</v>
          </cell>
          <cell r="O1359">
            <v>1</v>
          </cell>
          <cell r="P1359">
            <v>1.1000000000000001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</row>
        <row r="1360">
          <cell r="A1360">
            <v>6004</v>
          </cell>
          <cell r="B1360" t="str">
            <v>ブレット</v>
          </cell>
          <cell r="C1360">
            <v>1</v>
          </cell>
          <cell r="D1360" t="str">
            <v>red</v>
          </cell>
          <cell r="E1360">
            <v>1</v>
          </cell>
          <cell r="F1360">
            <v>1.02</v>
          </cell>
          <cell r="G1360">
            <v>1</v>
          </cell>
          <cell r="H1360" t="str">
            <v>ra</v>
          </cell>
          <cell r="I1360" t="str">
            <v>ラグランジュチャレンジ</v>
          </cell>
          <cell r="J1360">
            <v>1</v>
          </cell>
          <cell r="K1360">
            <v>1</v>
          </cell>
          <cell r="L1360">
            <v>1</v>
          </cell>
          <cell r="M1360" t="str">
            <v>animal</v>
          </cell>
          <cell r="N1360" t="str">
            <v>アニマル</v>
          </cell>
          <cell r="O1360">
            <v>1</v>
          </cell>
          <cell r="P1360">
            <v>1.1000000000000001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</row>
        <row r="1361">
          <cell r="A1361">
            <v>6005</v>
          </cell>
          <cell r="B1361" t="str">
            <v>孤神 テティス</v>
          </cell>
          <cell r="C1361">
            <v>4</v>
          </cell>
          <cell r="D1361" t="str">
            <v>blue</v>
          </cell>
          <cell r="E1361">
            <v>1</v>
          </cell>
          <cell r="F1361">
            <v>0.98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god</v>
          </cell>
          <cell r="N1361" t="str">
            <v>ゴッド</v>
          </cell>
          <cell r="O1361">
            <v>0.96</v>
          </cell>
          <cell r="P1361">
            <v>1.02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</row>
        <row r="1362">
          <cell r="A1362">
            <v>6006</v>
          </cell>
          <cell r="B1362" t="str">
            <v>海底の孤高神 テティス</v>
          </cell>
          <cell r="C1362">
            <v>5</v>
          </cell>
          <cell r="D1362" t="str">
            <v>blue</v>
          </cell>
          <cell r="E1362">
            <v>1</v>
          </cell>
          <cell r="F1362">
            <v>0.98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god</v>
          </cell>
          <cell r="N1362" t="str">
            <v>ゴッド</v>
          </cell>
          <cell r="O1362">
            <v>0.96</v>
          </cell>
          <cell r="P1362">
            <v>1.02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</row>
        <row r="1363">
          <cell r="A1363">
            <v>6007</v>
          </cell>
          <cell r="B1363" t="str">
            <v>番犬 ケルベロス</v>
          </cell>
          <cell r="C1363">
            <v>4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</row>
        <row r="1364">
          <cell r="A1364">
            <v>6008</v>
          </cell>
          <cell r="B1364" t="str">
            <v>焔神 プロメテウス</v>
          </cell>
          <cell r="C1364">
            <v>4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god</v>
          </cell>
          <cell r="N1364" t="str">
            <v>ゴッド</v>
          </cell>
          <cell r="O1364">
            <v>0.96</v>
          </cell>
          <cell r="P1364">
            <v>1.02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</row>
        <row r="1365">
          <cell r="A1365">
            <v>6009</v>
          </cell>
          <cell r="B1365" t="str">
            <v>超越自我 ラグランジュ</v>
          </cell>
          <cell r="C1365">
            <v>5</v>
          </cell>
          <cell r="D1365" t="str">
            <v>red</v>
          </cell>
          <cell r="E1365">
            <v>1</v>
          </cell>
          <cell r="F1365">
            <v>1.02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human</v>
          </cell>
          <cell r="N1365" t="str">
            <v>ヒューマン</v>
          </cell>
          <cell r="O1365">
            <v>0.94</v>
          </cell>
          <cell r="P1365">
            <v>0.99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</row>
        <row r="1366">
          <cell r="A1366">
            <v>6010</v>
          </cell>
          <cell r="B1366" t="str">
            <v>超越凌駕 ラグランジュ</v>
          </cell>
          <cell r="C1366">
            <v>6</v>
          </cell>
          <cell r="D1366" t="str">
            <v>red</v>
          </cell>
          <cell r="E1366">
            <v>1</v>
          </cell>
          <cell r="F1366">
            <v>1.02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human</v>
          </cell>
          <cell r="N1366" t="str">
            <v>ヒューマン</v>
          </cell>
          <cell r="O1366">
            <v>0.94</v>
          </cell>
          <cell r="P1366">
            <v>0.99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</row>
        <row r="1367">
          <cell r="A1367">
            <v>6011</v>
          </cell>
          <cell r="B1367" t="str">
            <v>パトドッグリーダー ポチ</v>
          </cell>
          <cell r="C1367">
            <v>2</v>
          </cell>
          <cell r="D1367" t="str">
            <v>blue</v>
          </cell>
          <cell r="E1367">
            <v>1</v>
          </cell>
          <cell r="F1367">
            <v>0.98</v>
          </cell>
          <cell r="G1367">
            <v>1</v>
          </cell>
          <cell r="H1367" t="str">
            <v>ra002</v>
          </cell>
          <cell r="I1367" t="str">
            <v>ユークリッドチャレンジ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unknown</v>
          </cell>
          <cell r="N1367" t="str">
            <v>Unknown</v>
          </cell>
          <cell r="O1367">
            <v>1</v>
          </cell>
          <cell r="P1367">
            <v>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</row>
        <row r="1368">
          <cell r="A1368">
            <v>6012</v>
          </cell>
          <cell r="B1368" t="str">
            <v>ミミ</v>
          </cell>
          <cell r="C1368">
            <v>1</v>
          </cell>
          <cell r="D1368" t="str">
            <v>yellow</v>
          </cell>
          <cell r="E1368">
            <v>0.98</v>
          </cell>
          <cell r="F1368">
            <v>1.01</v>
          </cell>
          <cell r="G1368">
            <v>1</v>
          </cell>
          <cell r="H1368" t="str">
            <v>ra002</v>
          </cell>
          <cell r="I1368" t="str">
            <v>ユークリッドチャレンジ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animal</v>
          </cell>
          <cell r="N1368" t="str">
            <v>アニマル</v>
          </cell>
          <cell r="O1368">
            <v>1</v>
          </cell>
          <cell r="P1368">
            <v>1.1000000000000001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</row>
        <row r="1369">
          <cell r="A1369">
            <v>6013</v>
          </cell>
          <cell r="B1369" t="str">
            <v>護衛機人 スケアクロウ</v>
          </cell>
          <cell r="C1369">
            <v>2</v>
          </cell>
          <cell r="D1369" t="str">
            <v>blue</v>
          </cell>
          <cell r="E1369">
            <v>1</v>
          </cell>
          <cell r="F1369">
            <v>0.98</v>
          </cell>
          <cell r="G1369">
            <v>1</v>
          </cell>
          <cell r="H1369" t="str">
            <v>ra002</v>
          </cell>
          <cell r="I1369" t="str">
            <v>ユークリッドチャレンジ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machine</v>
          </cell>
          <cell r="N1369" t="str">
            <v>マシン</v>
          </cell>
          <cell r="O1369">
            <v>1</v>
          </cell>
          <cell r="P1369">
            <v>1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</row>
        <row r="1370">
          <cell r="A1370">
            <v>6014</v>
          </cell>
          <cell r="B1370" t="str">
            <v>月下の人狼 ローレンス</v>
          </cell>
          <cell r="C1370">
            <v>4</v>
          </cell>
          <cell r="D1370" t="str">
            <v>blue</v>
          </cell>
          <cell r="E1370">
            <v>1</v>
          </cell>
          <cell r="F1370">
            <v>0.98</v>
          </cell>
          <cell r="G1370">
            <v>1</v>
          </cell>
          <cell r="H1370" t="str">
            <v>ra002</v>
          </cell>
          <cell r="I1370" t="str">
            <v>ユークリッドチャレンジ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animal</v>
          </cell>
          <cell r="N1370" t="str">
            <v>アニマル</v>
          </cell>
          <cell r="O1370">
            <v>1</v>
          </cell>
          <cell r="P1370">
            <v>1.1000000000000001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</row>
        <row r="1371">
          <cell r="A1371">
            <v>6015</v>
          </cell>
          <cell r="B1371" t="str">
            <v>フレイヤ</v>
          </cell>
          <cell r="C1371">
            <v>4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animal</v>
          </cell>
          <cell r="N1371" t="str">
            <v>アニマル</v>
          </cell>
          <cell r="O1371">
            <v>1</v>
          </cell>
          <cell r="P1371">
            <v>1.1000000000000001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</row>
        <row r="1372">
          <cell r="A1372">
            <v>6016</v>
          </cell>
          <cell r="B1372" t="str">
            <v>根原論理 ユークリッド</v>
          </cell>
          <cell r="C1372">
            <v>5</v>
          </cell>
          <cell r="D1372" t="str">
            <v>blue</v>
          </cell>
          <cell r="E1372">
            <v>1</v>
          </cell>
          <cell r="F1372">
            <v>0.98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human</v>
          </cell>
          <cell r="N1372" t="str">
            <v>ヒューマン</v>
          </cell>
          <cell r="O1372">
            <v>0.94</v>
          </cell>
          <cell r="P1372">
            <v>0.99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</row>
        <row r="1373">
          <cell r="A1373">
            <v>6017</v>
          </cell>
          <cell r="B1373" t="str">
            <v>不朽の極論 ユークリッド</v>
          </cell>
          <cell r="C1373">
            <v>6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human</v>
          </cell>
          <cell r="N1373" t="str">
            <v>ヒューマン</v>
          </cell>
          <cell r="O1373">
            <v>0.94</v>
          </cell>
          <cell r="P1373">
            <v>0.99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</row>
        <row r="1374">
          <cell r="A1374">
            <v>6018</v>
          </cell>
          <cell r="B1374" t="str">
            <v>ハヅル</v>
          </cell>
          <cell r="C1374">
            <v>4</v>
          </cell>
          <cell r="D1374" t="str">
            <v>red</v>
          </cell>
          <cell r="E1374">
            <v>1</v>
          </cell>
          <cell r="F1374">
            <v>1.02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</row>
        <row r="1375">
          <cell r="A1375">
            <v>6019</v>
          </cell>
          <cell r="B1375" t="str">
            <v>天織羽鶴 ハヅル</v>
          </cell>
          <cell r="C1375">
            <v>5</v>
          </cell>
          <cell r="D1375" t="str">
            <v>red</v>
          </cell>
          <cell r="E1375">
            <v>1</v>
          </cell>
          <cell r="F1375">
            <v>1.02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</row>
        <row r="1376">
          <cell r="A1376">
            <v>6020</v>
          </cell>
          <cell r="B1376" t="str">
            <v>ミズチ</v>
          </cell>
          <cell r="C1376">
            <v>4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dragon</v>
          </cell>
          <cell r="N1376" t="str">
            <v>ドラゴン</v>
          </cell>
          <cell r="O1376">
            <v>1.1499999999999999</v>
          </cell>
          <cell r="P1376">
            <v>1.1000000000000001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</row>
        <row r="1377">
          <cell r="A1377">
            <v>8001</v>
          </cell>
          <cell r="B1377" t="str">
            <v>媽祖</v>
          </cell>
          <cell r="C1377">
            <v>5</v>
          </cell>
          <cell r="D1377" t="str">
            <v>yellow</v>
          </cell>
          <cell r="E1377">
            <v>0.98</v>
          </cell>
          <cell r="F1377">
            <v>1.01</v>
          </cell>
          <cell r="G1377">
            <v>1</v>
          </cell>
          <cell r="H1377" t="str">
            <v>attack</v>
          </cell>
          <cell r="I1377" t="str">
            <v>攻撃タイプ</v>
          </cell>
          <cell r="J1377">
            <v>1</v>
          </cell>
          <cell r="K1377">
            <v>1.33</v>
          </cell>
          <cell r="L1377">
            <v>1</v>
          </cell>
          <cell r="M1377" t="str">
            <v>god</v>
          </cell>
          <cell r="N1377" t="str">
            <v>ゴッド</v>
          </cell>
          <cell r="O1377">
            <v>0.96</v>
          </cell>
          <cell r="P1377">
            <v>1.02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</row>
        <row r="1378">
          <cell r="A1378">
            <v>8002</v>
          </cell>
          <cell r="B1378" t="str">
            <v>宣導する天海妃 媽祖</v>
          </cell>
          <cell r="C1378">
            <v>6</v>
          </cell>
          <cell r="D1378" t="str">
            <v>yellow</v>
          </cell>
          <cell r="E1378">
            <v>0.98</v>
          </cell>
          <cell r="F1378">
            <v>1.01</v>
          </cell>
          <cell r="G1378">
            <v>1</v>
          </cell>
          <cell r="H1378" t="str">
            <v>attack</v>
          </cell>
          <cell r="I1378" t="str">
            <v>攻撃タイプ</v>
          </cell>
          <cell r="J1378">
            <v>1</v>
          </cell>
          <cell r="K1378">
            <v>1.33</v>
          </cell>
          <cell r="L1378">
            <v>1</v>
          </cell>
          <cell r="M1378" t="str">
            <v>god</v>
          </cell>
          <cell r="N1378" t="str">
            <v>ゴッド</v>
          </cell>
          <cell r="O1378">
            <v>0.96</v>
          </cell>
          <cell r="P1378">
            <v>1.02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</row>
        <row r="1379">
          <cell r="A1379">
            <v>8003</v>
          </cell>
          <cell r="B1379" t="str">
            <v>蛟龍</v>
          </cell>
          <cell r="C1379">
            <v>5</v>
          </cell>
          <cell r="D1379" t="str">
            <v>blue</v>
          </cell>
          <cell r="E1379">
            <v>1</v>
          </cell>
          <cell r="F1379">
            <v>0.98</v>
          </cell>
          <cell r="G1379">
            <v>1</v>
          </cell>
          <cell r="H1379" t="str">
            <v>hp</v>
          </cell>
          <cell r="I1379" t="str">
            <v>体力タイプ</v>
          </cell>
          <cell r="J1379">
            <v>1.45</v>
          </cell>
          <cell r="K1379">
            <v>0.85</v>
          </cell>
          <cell r="L1379">
            <v>1</v>
          </cell>
          <cell r="M1379" t="str">
            <v>dragon</v>
          </cell>
          <cell r="N1379" t="str">
            <v>ドラゴン</v>
          </cell>
          <cell r="O1379">
            <v>1.1499999999999999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</row>
        <row r="1380">
          <cell r="A1380">
            <v>8004</v>
          </cell>
          <cell r="B1380" t="str">
            <v>呼嵐の蒼棲龍 蛟龍</v>
          </cell>
          <cell r="C1380">
            <v>6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hp</v>
          </cell>
          <cell r="I1380" t="str">
            <v>体力タイプ</v>
          </cell>
          <cell r="J1380">
            <v>1.45</v>
          </cell>
          <cell r="K1380">
            <v>0.85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</row>
        <row r="1381">
          <cell r="A1381">
            <v>8005</v>
          </cell>
          <cell r="B1381" t="str">
            <v>三蔵法師</v>
          </cell>
          <cell r="C1381">
            <v>5</v>
          </cell>
          <cell r="D1381" t="str">
            <v>blue</v>
          </cell>
          <cell r="E1381">
            <v>1</v>
          </cell>
          <cell r="F1381">
            <v>0.98</v>
          </cell>
          <cell r="G1381">
            <v>1</v>
          </cell>
          <cell r="H1381" t="str">
            <v>balance</v>
          </cell>
          <cell r="I1381" t="str">
            <v>バランスタイプ</v>
          </cell>
          <cell r="J1381">
            <v>1</v>
          </cell>
          <cell r="K1381">
            <v>1</v>
          </cell>
          <cell r="L1381">
            <v>1</v>
          </cell>
          <cell r="M1381" t="str">
            <v>human</v>
          </cell>
          <cell r="N1381" t="str">
            <v>ヒューマン</v>
          </cell>
          <cell r="O1381">
            <v>0.94</v>
          </cell>
          <cell r="P1381">
            <v>0.99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</row>
        <row r="1382">
          <cell r="A1382">
            <v>8006</v>
          </cell>
          <cell r="B1382" t="str">
            <v>慈戒の呪封使 三蔵法師</v>
          </cell>
          <cell r="C1382">
            <v>6</v>
          </cell>
          <cell r="D1382" t="str">
            <v>blue</v>
          </cell>
          <cell r="E1382">
            <v>1</v>
          </cell>
          <cell r="F1382">
            <v>0.98</v>
          </cell>
          <cell r="G1382">
            <v>1</v>
          </cell>
          <cell r="H1382" t="str">
            <v>balance</v>
          </cell>
          <cell r="I1382" t="str">
            <v>バランスタイプ</v>
          </cell>
          <cell r="J1382">
            <v>1</v>
          </cell>
          <cell r="K1382">
            <v>1</v>
          </cell>
          <cell r="L1382">
            <v>1</v>
          </cell>
          <cell r="M1382" t="str">
            <v>human</v>
          </cell>
          <cell r="N1382" t="str">
            <v>ヒューマン</v>
          </cell>
          <cell r="O1382">
            <v>0.94</v>
          </cell>
          <cell r="P1382">
            <v>0.99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</row>
        <row r="1383">
          <cell r="A1383">
            <v>8007</v>
          </cell>
          <cell r="B1383" t="str">
            <v>孫悟空</v>
          </cell>
          <cell r="C1383">
            <v>5</v>
          </cell>
          <cell r="D1383" t="str">
            <v>red</v>
          </cell>
          <cell r="E1383">
            <v>1</v>
          </cell>
          <cell r="F1383">
            <v>1.02</v>
          </cell>
          <cell r="G1383">
            <v>1</v>
          </cell>
          <cell r="H1383" t="str">
            <v>attack</v>
          </cell>
          <cell r="I1383" t="str">
            <v>攻撃タイプ</v>
          </cell>
          <cell r="J1383">
            <v>1</v>
          </cell>
          <cell r="K1383">
            <v>1.33</v>
          </cell>
          <cell r="L1383">
            <v>1</v>
          </cell>
          <cell r="M1383" t="str">
            <v>animal</v>
          </cell>
          <cell r="N1383" t="str">
            <v>アニマル</v>
          </cell>
          <cell r="O1383">
            <v>1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</row>
        <row r="1384">
          <cell r="A1384">
            <v>8008</v>
          </cell>
          <cell r="B1384" t="str">
            <v>花果の天猿仙人 孫悟空</v>
          </cell>
          <cell r="C1384">
            <v>6</v>
          </cell>
          <cell r="D1384" t="str">
            <v>red</v>
          </cell>
          <cell r="E1384">
            <v>1</v>
          </cell>
          <cell r="F1384">
            <v>1.02</v>
          </cell>
          <cell r="G1384">
            <v>1</v>
          </cell>
          <cell r="H1384" t="str">
            <v>attack</v>
          </cell>
          <cell r="I1384" t="str">
            <v>攻撃タイプ</v>
          </cell>
          <cell r="J1384">
            <v>1</v>
          </cell>
          <cell r="K1384">
            <v>1.33</v>
          </cell>
          <cell r="L1384">
            <v>1</v>
          </cell>
          <cell r="M1384" t="str">
            <v>animal</v>
          </cell>
          <cell r="N1384" t="str">
            <v>アニマル</v>
          </cell>
          <cell r="O1384">
            <v>1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</row>
        <row r="1385">
          <cell r="A1385">
            <v>8009</v>
          </cell>
          <cell r="B1385" t="str">
            <v>西王娘娘</v>
          </cell>
          <cell r="C1385">
            <v>5</v>
          </cell>
          <cell r="D1385" t="str">
            <v>green</v>
          </cell>
          <cell r="E1385">
            <v>1.02</v>
          </cell>
          <cell r="F1385">
            <v>0.98</v>
          </cell>
          <cell r="G1385">
            <v>1</v>
          </cell>
          <cell r="H1385" t="str">
            <v>attack</v>
          </cell>
          <cell r="I1385" t="str">
            <v>攻撃タイプ</v>
          </cell>
          <cell r="J1385">
            <v>1</v>
          </cell>
          <cell r="K1385">
            <v>1.33</v>
          </cell>
          <cell r="L1385">
            <v>1</v>
          </cell>
          <cell r="M1385" t="str">
            <v>god</v>
          </cell>
          <cell r="N1385" t="str">
            <v>ゴッド</v>
          </cell>
          <cell r="O1385">
            <v>0.96</v>
          </cell>
          <cell r="P1385">
            <v>1.02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</row>
        <row r="1386">
          <cell r="A1386">
            <v>8010</v>
          </cell>
          <cell r="B1386" t="str">
            <v>極楽瑶池の聖母 西王娘娘</v>
          </cell>
          <cell r="C1386">
            <v>6</v>
          </cell>
          <cell r="D1386" t="str">
            <v>green</v>
          </cell>
          <cell r="E1386">
            <v>1.02</v>
          </cell>
          <cell r="F1386">
            <v>0.98</v>
          </cell>
          <cell r="G1386">
            <v>1</v>
          </cell>
          <cell r="H1386" t="str">
            <v>attack</v>
          </cell>
          <cell r="I1386" t="str">
            <v>攻撃タイプ</v>
          </cell>
          <cell r="J1386">
            <v>1</v>
          </cell>
          <cell r="K1386">
            <v>1.33</v>
          </cell>
          <cell r="L1386">
            <v>1</v>
          </cell>
          <cell r="M1386" t="str">
            <v>god</v>
          </cell>
          <cell r="N1386" t="str">
            <v>ゴッド</v>
          </cell>
          <cell r="O1386">
            <v>0.96</v>
          </cell>
          <cell r="P1386">
            <v>1.02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</row>
        <row r="1387">
          <cell r="A1387">
            <v>8011</v>
          </cell>
          <cell r="B1387" t="str">
            <v>月下老人</v>
          </cell>
          <cell r="C1387">
            <v>5</v>
          </cell>
          <cell r="D1387" t="str">
            <v>yellow</v>
          </cell>
          <cell r="E1387">
            <v>0.98</v>
          </cell>
          <cell r="F1387">
            <v>1.01</v>
          </cell>
          <cell r="G1387">
            <v>1</v>
          </cell>
          <cell r="H1387" t="str">
            <v>balance</v>
          </cell>
          <cell r="I1387" t="str">
            <v>バランスタイプ</v>
          </cell>
          <cell r="J1387">
            <v>1</v>
          </cell>
          <cell r="K1387">
            <v>1</v>
          </cell>
          <cell r="L1387">
            <v>1</v>
          </cell>
          <cell r="M1387" t="str">
            <v>god</v>
          </cell>
          <cell r="N1387" t="str">
            <v>ゴッド</v>
          </cell>
          <cell r="O1387">
            <v>0.96</v>
          </cell>
          <cell r="P1387">
            <v>1.02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</row>
        <row r="1388">
          <cell r="A1388">
            <v>8012</v>
          </cell>
          <cell r="B1388" t="str">
            <v>破戀斬る縁剣 月下老人</v>
          </cell>
          <cell r="C1388">
            <v>6</v>
          </cell>
          <cell r="D1388" t="str">
            <v>yellow</v>
          </cell>
          <cell r="E1388">
            <v>0.98</v>
          </cell>
          <cell r="F1388">
            <v>1.01</v>
          </cell>
          <cell r="G1388">
            <v>1</v>
          </cell>
          <cell r="H1388" t="str">
            <v>balance</v>
          </cell>
          <cell r="I1388" t="str">
            <v>バランスタイプ</v>
          </cell>
          <cell r="J1388">
            <v>1</v>
          </cell>
          <cell r="K1388">
            <v>1</v>
          </cell>
          <cell r="L1388">
            <v>1</v>
          </cell>
          <cell r="M1388" t="str">
            <v>god</v>
          </cell>
          <cell r="N1388" t="str">
            <v>ゴッド</v>
          </cell>
          <cell r="O1388">
            <v>0.96</v>
          </cell>
          <cell r="P1388">
            <v>1.02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</row>
        <row r="1389">
          <cell r="A1389">
            <v>8013</v>
          </cell>
          <cell r="B1389" t="str">
            <v>初音ミクV3</v>
          </cell>
          <cell r="C1389">
            <v>4</v>
          </cell>
          <cell r="D1389" t="str">
            <v>yellow</v>
          </cell>
          <cell r="E1389">
            <v>0.98</v>
          </cell>
          <cell r="F1389">
            <v>1.01</v>
          </cell>
          <cell r="G1389">
            <v>1</v>
          </cell>
          <cell r="H1389" t="str">
            <v>balance</v>
          </cell>
          <cell r="I1389" t="str">
            <v>バランスタイプ</v>
          </cell>
          <cell r="J1389">
            <v>1</v>
          </cell>
          <cell r="K1389">
            <v>1</v>
          </cell>
          <cell r="L1389">
            <v>1</v>
          </cell>
          <cell r="M1389" t="str">
            <v>unknown</v>
          </cell>
          <cell r="N1389" t="str">
            <v>Unknown</v>
          </cell>
          <cell r="O1389">
            <v>1</v>
          </cell>
          <cell r="P1389">
            <v>1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</row>
        <row r="1390">
          <cell r="A1390">
            <v>8014</v>
          </cell>
          <cell r="B1390" t="str">
            <v>初音ミクV3</v>
          </cell>
          <cell r="C1390">
            <v>5</v>
          </cell>
          <cell r="D1390" t="str">
            <v>yellow</v>
          </cell>
          <cell r="E1390">
            <v>0.98</v>
          </cell>
          <cell r="F1390">
            <v>1.01</v>
          </cell>
          <cell r="G1390">
            <v>1</v>
          </cell>
          <cell r="H1390" t="str">
            <v>balance</v>
          </cell>
          <cell r="I1390" t="str">
            <v>バランスタイプ</v>
          </cell>
          <cell r="J1390">
            <v>1</v>
          </cell>
          <cell r="K1390">
            <v>1</v>
          </cell>
          <cell r="L1390">
            <v>1</v>
          </cell>
          <cell r="M1390" t="str">
            <v>unknown</v>
          </cell>
          <cell r="N1390" t="str">
            <v>Unknown</v>
          </cell>
          <cell r="O1390">
            <v>1</v>
          </cell>
          <cell r="P1390">
            <v>1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</row>
        <row r="1391">
          <cell r="A1391">
            <v>8015</v>
          </cell>
          <cell r="B1391" t="str">
            <v>初音ミク・アペンド</v>
          </cell>
          <cell r="C1391">
            <v>4</v>
          </cell>
          <cell r="D1391" t="str">
            <v>green</v>
          </cell>
          <cell r="E1391">
            <v>1.02</v>
          </cell>
          <cell r="F1391">
            <v>0.98</v>
          </cell>
          <cell r="G1391">
            <v>1</v>
          </cell>
          <cell r="H1391" t="str">
            <v>technical</v>
          </cell>
          <cell r="I1391" t="str">
            <v>テクニカルタイプ</v>
          </cell>
          <cell r="J1391">
            <v>0.9</v>
          </cell>
          <cell r="K1391">
            <v>0.9</v>
          </cell>
          <cell r="L1391">
            <v>1</v>
          </cell>
          <cell r="M1391" t="str">
            <v>unknown</v>
          </cell>
          <cell r="N1391" t="str">
            <v>Unknown</v>
          </cell>
          <cell r="O1391">
            <v>1</v>
          </cell>
          <cell r="P1391">
            <v>1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</row>
        <row r="1392">
          <cell r="A1392">
            <v>8016</v>
          </cell>
          <cell r="B1392" t="str">
            <v>初音ミク・アペンド</v>
          </cell>
          <cell r="C1392">
            <v>5</v>
          </cell>
          <cell r="D1392" t="str">
            <v>green</v>
          </cell>
          <cell r="E1392">
            <v>1.02</v>
          </cell>
          <cell r="F1392">
            <v>0.98</v>
          </cell>
          <cell r="G1392">
            <v>1</v>
          </cell>
          <cell r="H1392" t="str">
            <v>technical</v>
          </cell>
          <cell r="I1392" t="str">
            <v>テクニカルタイプ</v>
          </cell>
          <cell r="J1392">
            <v>0.9</v>
          </cell>
          <cell r="K1392">
            <v>0.9</v>
          </cell>
          <cell r="L1392">
            <v>1</v>
          </cell>
          <cell r="M1392" t="str">
            <v>unknown</v>
          </cell>
          <cell r="N1392" t="str">
            <v>Unknown</v>
          </cell>
          <cell r="O1392">
            <v>1</v>
          </cell>
          <cell r="P1392">
            <v>1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</row>
        <row r="1393">
          <cell r="A1393">
            <v>8017</v>
          </cell>
          <cell r="B1393" t="str">
            <v>初音ミク</v>
          </cell>
          <cell r="C1393">
            <v>4</v>
          </cell>
          <cell r="D1393" t="str">
            <v>green</v>
          </cell>
          <cell r="E1393">
            <v>1.02</v>
          </cell>
          <cell r="F1393">
            <v>0.98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</row>
        <row r="1394">
          <cell r="A1394">
            <v>8018</v>
          </cell>
          <cell r="B1394" t="str">
            <v>初音ミク</v>
          </cell>
          <cell r="C1394">
            <v>5</v>
          </cell>
          <cell r="D1394" t="str">
            <v>green</v>
          </cell>
          <cell r="E1394">
            <v>1.02</v>
          </cell>
          <cell r="F1394">
            <v>0.98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</row>
        <row r="1395">
          <cell r="A1395">
            <v>8019</v>
          </cell>
          <cell r="B1395" t="str">
            <v>鏡音リン</v>
          </cell>
          <cell r="C1395">
            <v>4</v>
          </cell>
          <cell r="D1395" t="str">
            <v>yellow</v>
          </cell>
          <cell r="E1395">
            <v>0.98</v>
          </cell>
          <cell r="F1395">
            <v>1.01</v>
          </cell>
          <cell r="G1395">
            <v>1</v>
          </cell>
          <cell r="H1395" t="str">
            <v>balance</v>
          </cell>
          <cell r="I1395" t="str">
            <v>バランスタイプ</v>
          </cell>
          <cell r="J1395">
            <v>1</v>
          </cell>
          <cell r="K1395">
            <v>1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</row>
        <row r="1396">
          <cell r="A1396">
            <v>8020</v>
          </cell>
          <cell r="B1396" t="str">
            <v>鏡音リン</v>
          </cell>
          <cell r="C1396">
            <v>5</v>
          </cell>
          <cell r="D1396" t="str">
            <v>yellow</v>
          </cell>
          <cell r="E1396">
            <v>0.98</v>
          </cell>
          <cell r="F1396">
            <v>1.01</v>
          </cell>
          <cell r="G1396">
            <v>1</v>
          </cell>
          <cell r="H1396" t="str">
            <v>balance</v>
          </cell>
          <cell r="I1396" t="str">
            <v>バランスタイプ</v>
          </cell>
          <cell r="J1396">
            <v>1</v>
          </cell>
          <cell r="K1396">
            <v>1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</row>
        <row r="1397">
          <cell r="A1397">
            <v>8021</v>
          </cell>
          <cell r="B1397" t="str">
            <v>鏡音レン</v>
          </cell>
          <cell r="C1397">
            <v>4</v>
          </cell>
          <cell r="D1397" t="str">
            <v>yellow</v>
          </cell>
          <cell r="E1397">
            <v>0.98</v>
          </cell>
          <cell r="F1397">
            <v>1.01</v>
          </cell>
          <cell r="G1397">
            <v>1</v>
          </cell>
          <cell r="H1397" t="str">
            <v>heal</v>
          </cell>
          <cell r="I1397" t="str">
            <v>回復タイプ</v>
          </cell>
          <cell r="J1397">
            <v>0.8</v>
          </cell>
          <cell r="K1397">
            <v>0.78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</row>
        <row r="1398">
          <cell r="A1398">
            <v>8022</v>
          </cell>
          <cell r="B1398" t="str">
            <v>鏡音レン</v>
          </cell>
          <cell r="C1398">
            <v>5</v>
          </cell>
          <cell r="D1398" t="str">
            <v>yellow</v>
          </cell>
          <cell r="E1398">
            <v>0.98</v>
          </cell>
          <cell r="F1398">
            <v>1.01</v>
          </cell>
          <cell r="G1398">
            <v>1</v>
          </cell>
          <cell r="H1398" t="str">
            <v>heal</v>
          </cell>
          <cell r="I1398" t="str">
            <v>回復タイプ</v>
          </cell>
          <cell r="J1398">
            <v>0.8</v>
          </cell>
          <cell r="K1398">
            <v>0.78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</row>
        <row r="1399">
          <cell r="A1399">
            <v>8023</v>
          </cell>
          <cell r="B1399" t="str">
            <v>巡音ルカ</v>
          </cell>
          <cell r="C1399">
            <v>3</v>
          </cell>
          <cell r="D1399" t="str">
            <v>red</v>
          </cell>
          <cell r="E1399">
            <v>1</v>
          </cell>
          <cell r="F1399">
            <v>1.02</v>
          </cell>
          <cell r="G1399">
            <v>1</v>
          </cell>
          <cell r="H1399" t="str">
            <v>attack</v>
          </cell>
          <cell r="I1399" t="str">
            <v>攻撃タイプ</v>
          </cell>
          <cell r="J1399">
            <v>1</v>
          </cell>
          <cell r="K1399">
            <v>1.33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</row>
        <row r="1400">
          <cell r="A1400">
            <v>8024</v>
          </cell>
          <cell r="B1400" t="str">
            <v>巡音ルカ</v>
          </cell>
          <cell r="C1400">
            <v>4</v>
          </cell>
          <cell r="D1400" t="str">
            <v>red</v>
          </cell>
          <cell r="E1400">
            <v>1</v>
          </cell>
          <cell r="F1400">
            <v>1.02</v>
          </cell>
          <cell r="G1400">
            <v>1</v>
          </cell>
          <cell r="H1400" t="str">
            <v>attack</v>
          </cell>
          <cell r="I1400" t="str">
            <v>攻撃タイプ</v>
          </cell>
          <cell r="J1400">
            <v>1</v>
          </cell>
          <cell r="K1400">
            <v>1.33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</row>
        <row r="1401">
          <cell r="A1401">
            <v>8025</v>
          </cell>
          <cell r="B1401" t="str">
            <v>MEIKO</v>
          </cell>
          <cell r="C1401">
            <v>3</v>
          </cell>
          <cell r="D1401" t="str">
            <v>red</v>
          </cell>
          <cell r="E1401">
            <v>1</v>
          </cell>
          <cell r="F1401">
            <v>1.02</v>
          </cell>
          <cell r="G1401">
            <v>1</v>
          </cell>
          <cell r="H1401" t="str">
            <v>hp</v>
          </cell>
          <cell r="I1401" t="str">
            <v>体力タイプ</v>
          </cell>
          <cell r="J1401">
            <v>1.45</v>
          </cell>
          <cell r="K1401">
            <v>0.85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</row>
        <row r="1402">
          <cell r="A1402">
            <v>8026</v>
          </cell>
          <cell r="B1402" t="str">
            <v>MEIKO</v>
          </cell>
          <cell r="C1402">
            <v>4</v>
          </cell>
          <cell r="D1402" t="str">
            <v>red</v>
          </cell>
          <cell r="E1402">
            <v>1</v>
          </cell>
          <cell r="F1402">
            <v>1.02</v>
          </cell>
          <cell r="G1402">
            <v>1</v>
          </cell>
          <cell r="H1402" t="str">
            <v>hp</v>
          </cell>
          <cell r="I1402" t="str">
            <v>体力タイプ</v>
          </cell>
          <cell r="J1402">
            <v>1.45</v>
          </cell>
          <cell r="K1402">
            <v>0.85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</row>
        <row r="1403">
          <cell r="A1403">
            <v>8027</v>
          </cell>
          <cell r="B1403" t="str">
            <v>KAITO</v>
          </cell>
          <cell r="C1403">
            <v>3</v>
          </cell>
          <cell r="D1403" t="str">
            <v>blue</v>
          </cell>
          <cell r="E1403">
            <v>1</v>
          </cell>
          <cell r="F1403">
            <v>0.98</v>
          </cell>
          <cell r="G1403">
            <v>1</v>
          </cell>
          <cell r="H1403" t="str">
            <v>technical</v>
          </cell>
          <cell r="I1403" t="str">
            <v>テクニカルタイプ</v>
          </cell>
          <cell r="J1403">
            <v>0.9</v>
          </cell>
          <cell r="K1403">
            <v>0.9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</row>
        <row r="1404">
          <cell r="A1404">
            <v>8028</v>
          </cell>
          <cell r="B1404" t="str">
            <v>KAITO</v>
          </cell>
          <cell r="C1404">
            <v>4</v>
          </cell>
          <cell r="D1404" t="str">
            <v>blue</v>
          </cell>
          <cell r="E1404">
            <v>1</v>
          </cell>
          <cell r="F1404">
            <v>0.98</v>
          </cell>
          <cell r="G1404">
            <v>1</v>
          </cell>
          <cell r="H1404" t="str">
            <v>technical</v>
          </cell>
          <cell r="I1404" t="str">
            <v>テクニカルタイプ</v>
          </cell>
          <cell r="J1404">
            <v>0.9</v>
          </cell>
          <cell r="K1404">
            <v>0.9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</row>
        <row r="1405">
          <cell r="A1405">
            <v>8029</v>
          </cell>
          <cell r="B1405" t="str">
            <v>Expoミク</v>
          </cell>
          <cell r="C1405">
            <v>4</v>
          </cell>
          <cell r="D1405" t="str">
            <v>blue</v>
          </cell>
          <cell r="E1405">
            <v>1</v>
          </cell>
          <cell r="F1405">
            <v>0.98</v>
          </cell>
          <cell r="G1405">
            <v>1</v>
          </cell>
          <cell r="H1405" t="str">
            <v>heal</v>
          </cell>
          <cell r="I1405" t="str">
            <v>回復タイプ</v>
          </cell>
          <cell r="J1405">
            <v>0.8</v>
          </cell>
          <cell r="K1405">
            <v>0.78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</row>
        <row r="1406">
          <cell r="A1406">
            <v>8030</v>
          </cell>
          <cell r="B1406" t="str">
            <v>Expoミク</v>
          </cell>
          <cell r="C1406">
            <v>5</v>
          </cell>
          <cell r="D1406" t="str">
            <v>blue</v>
          </cell>
          <cell r="E1406">
            <v>1</v>
          </cell>
          <cell r="F1406">
            <v>0.98</v>
          </cell>
          <cell r="G1406">
            <v>1</v>
          </cell>
          <cell r="H1406" t="str">
            <v>heal</v>
          </cell>
          <cell r="I1406" t="str">
            <v>回復タイプ</v>
          </cell>
          <cell r="J1406">
            <v>0.8</v>
          </cell>
          <cell r="K1406">
            <v>0.78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</row>
        <row r="1407">
          <cell r="A1407">
            <v>8031</v>
          </cell>
          <cell r="B1407" t="str">
            <v>閻羅王</v>
          </cell>
          <cell r="C1407">
            <v>5</v>
          </cell>
          <cell r="D1407" t="str">
            <v>red</v>
          </cell>
          <cell r="E1407">
            <v>1</v>
          </cell>
          <cell r="F1407">
            <v>1.02</v>
          </cell>
          <cell r="G1407">
            <v>1</v>
          </cell>
          <cell r="H1407" t="str">
            <v>balance</v>
          </cell>
          <cell r="I1407" t="str">
            <v>バランスタイプ</v>
          </cell>
          <cell r="J1407">
            <v>1</v>
          </cell>
          <cell r="K1407">
            <v>1</v>
          </cell>
          <cell r="L1407">
            <v>1</v>
          </cell>
          <cell r="M1407" t="str">
            <v>god</v>
          </cell>
          <cell r="N1407" t="str">
            <v>ゴッド</v>
          </cell>
          <cell r="O1407">
            <v>0.96</v>
          </cell>
          <cell r="P1407">
            <v>1.02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</row>
        <row r="1408">
          <cell r="A1408">
            <v>8032</v>
          </cell>
          <cell r="B1408" t="str">
            <v>六道輪廻の絶獄 閻羅王</v>
          </cell>
          <cell r="C1408">
            <v>6</v>
          </cell>
          <cell r="D1408" t="str">
            <v>red</v>
          </cell>
          <cell r="E1408">
            <v>1</v>
          </cell>
          <cell r="F1408">
            <v>1.02</v>
          </cell>
          <cell r="G1408">
            <v>1</v>
          </cell>
          <cell r="H1408" t="str">
            <v>balance</v>
          </cell>
          <cell r="I1408" t="str">
            <v>バランスタイプ</v>
          </cell>
          <cell r="J1408">
            <v>1</v>
          </cell>
          <cell r="K1408">
            <v>1</v>
          </cell>
          <cell r="L1408">
            <v>1</v>
          </cell>
          <cell r="M1408" t="str">
            <v>god</v>
          </cell>
          <cell r="N1408" t="str">
            <v>ゴッド</v>
          </cell>
          <cell r="O1408">
            <v>0.96</v>
          </cell>
          <cell r="P1408">
            <v>1.02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</row>
        <row r="1409">
          <cell r="A1409">
            <v>8033</v>
          </cell>
          <cell r="B1409" t="str">
            <v>牛頭馬面</v>
          </cell>
          <cell r="C1409">
            <v>5</v>
          </cell>
          <cell r="D1409" t="str">
            <v>green</v>
          </cell>
          <cell r="E1409">
            <v>1.02</v>
          </cell>
          <cell r="F1409">
            <v>0.98</v>
          </cell>
          <cell r="G1409">
            <v>1</v>
          </cell>
          <cell r="H1409" t="str">
            <v>attack</v>
          </cell>
          <cell r="I1409" t="str">
            <v>攻撃タイプ</v>
          </cell>
          <cell r="J1409">
            <v>1</v>
          </cell>
          <cell r="K1409">
            <v>1.33</v>
          </cell>
          <cell r="L1409">
            <v>1</v>
          </cell>
          <cell r="M1409" t="str">
            <v>god</v>
          </cell>
          <cell r="N1409" t="str">
            <v>ゴッド</v>
          </cell>
          <cell r="O1409">
            <v>0.96</v>
          </cell>
          <cell r="P1409">
            <v>1.02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</row>
        <row r="1410">
          <cell r="A1410">
            <v>8034</v>
          </cell>
          <cell r="B1410" t="str">
            <v>冥府狩る魂使 牛頭馬面</v>
          </cell>
          <cell r="C1410">
            <v>6</v>
          </cell>
          <cell r="D1410" t="str">
            <v>green</v>
          </cell>
          <cell r="E1410">
            <v>1.02</v>
          </cell>
          <cell r="F1410">
            <v>0.98</v>
          </cell>
          <cell r="G1410">
            <v>1</v>
          </cell>
          <cell r="H1410" t="str">
            <v>attack</v>
          </cell>
          <cell r="I1410" t="str">
            <v>攻撃タイプ</v>
          </cell>
          <cell r="J1410">
            <v>1</v>
          </cell>
          <cell r="K1410">
            <v>1.33</v>
          </cell>
          <cell r="L1410">
            <v>1</v>
          </cell>
          <cell r="M1410" t="str">
            <v>god</v>
          </cell>
          <cell r="N1410" t="str">
            <v>ゴッド</v>
          </cell>
          <cell r="O1410">
            <v>0.96</v>
          </cell>
          <cell r="P1410">
            <v>1.02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</row>
        <row r="1411">
          <cell r="A1411">
            <v>8035</v>
          </cell>
          <cell r="B1411" t="str">
            <v>飛衛</v>
          </cell>
          <cell r="C1411">
            <v>5</v>
          </cell>
          <cell r="D1411" t="str">
            <v>blue</v>
          </cell>
          <cell r="E1411">
            <v>1</v>
          </cell>
          <cell r="F1411">
            <v>0.98</v>
          </cell>
          <cell r="G1411">
            <v>1</v>
          </cell>
          <cell r="H1411" t="str">
            <v>heal</v>
          </cell>
          <cell r="I1411" t="str">
            <v>回復タイプ</v>
          </cell>
          <cell r="J1411">
            <v>0.8</v>
          </cell>
          <cell r="K1411">
            <v>0.78</v>
          </cell>
          <cell r="L1411">
            <v>1</v>
          </cell>
          <cell r="M1411" t="str">
            <v>human</v>
          </cell>
          <cell r="N1411" t="str">
            <v>ヒューマン</v>
          </cell>
          <cell r="O1411">
            <v>0.94</v>
          </cell>
          <cell r="P1411">
            <v>0.99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</row>
        <row r="1412">
          <cell r="A1412">
            <v>8036</v>
          </cell>
          <cell r="B1412" t="str">
            <v>レア６飛衛</v>
          </cell>
          <cell r="C1412">
            <v>6</v>
          </cell>
          <cell r="D1412" t="str">
            <v>blue</v>
          </cell>
          <cell r="E1412">
            <v>1</v>
          </cell>
          <cell r="F1412">
            <v>0.98</v>
          </cell>
          <cell r="G1412">
            <v>1</v>
          </cell>
          <cell r="H1412" t="str">
            <v>heal</v>
          </cell>
          <cell r="I1412" t="str">
            <v>回復タイプ</v>
          </cell>
          <cell r="J1412">
            <v>0.8</v>
          </cell>
          <cell r="K1412">
            <v>0.78</v>
          </cell>
          <cell r="L1412">
            <v>1</v>
          </cell>
          <cell r="M1412" t="str">
            <v>human</v>
          </cell>
          <cell r="N1412" t="str">
            <v>ヒューマン</v>
          </cell>
          <cell r="O1412">
            <v>0.94</v>
          </cell>
          <cell r="P1412">
            <v>0.99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</row>
        <row r="1413">
          <cell r="A1413">
            <v>8037</v>
          </cell>
          <cell r="B1413" t="str">
            <v>紀昌</v>
          </cell>
          <cell r="C1413">
            <v>5</v>
          </cell>
          <cell r="D1413" t="str">
            <v>red</v>
          </cell>
          <cell r="E1413">
            <v>1</v>
          </cell>
          <cell r="F1413">
            <v>1.02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human</v>
          </cell>
          <cell r="N1413" t="str">
            <v>ヒューマン</v>
          </cell>
          <cell r="O1413">
            <v>0.94</v>
          </cell>
          <cell r="P1413">
            <v>0.99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</row>
        <row r="1414">
          <cell r="A1414">
            <v>8038</v>
          </cell>
          <cell r="B1414" t="str">
            <v>レア６紀昌</v>
          </cell>
          <cell r="C1414">
            <v>6</v>
          </cell>
          <cell r="D1414" t="str">
            <v>red</v>
          </cell>
          <cell r="E1414">
            <v>1</v>
          </cell>
          <cell r="F1414">
            <v>1.02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human</v>
          </cell>
          <cell r="N1414" t="str">
            <v>ヒューマン</v>
          </cell>
          <cell r="O1414">
            <v>0.94</v>
          </cell>
          <cell r="P1414">
            <v>0.99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</row>
        <row r="1415">
          <cell r="A1415">
            <v>8039</v>
          </cell>
          <cell r="B1415" t="str">
            <v>何仙姑</v>
          </cell>
          <cell r="C1415">
            <v>5</v>
          </cell>
          <cell r="D1415" t="str">
            <v>yellow</v>
          </cell>
          <cell r="E1415">
            <v>0.98</v>
          </cell>
          <cell r="F1415">
            <v>1.01</v>
          </cell>
          <cell r="G1415">
            <v>1</v>
          </cell>
          <cell r="H1415" t="str">
            <v>hp</v>
          </cell>
          <cell r="I1415" t="str">
            <v>体力タイプ</v>
          </cell>
          <cell r="J1415">
            <v>1.45</v>
          </cell>
          <cell r="K1415">
            <v>0.85</v>
          </cell>
          <cell r="L1415">
            <v>1</v>
          </cell>
          <cell r="M1415" t="str">
            <v>god</v>
          </cell>
          <cell r="N1415" t="str">
            <v>ゴッド</v>
          </cell>
          <cell r="O1415">
            <v>0.96</v>
          </cell>
          <cell r="P1415">
            <v>1.02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</row>
        <row r="1416">
          <cell r="A1416">
            <v>8040</v>
          </cell>
          <cell r="B1416" t="str">
            <v>レア６何仙姑</v>
          </cell>
          <cell r="C1416">
            <v>6</v>
          </cell>
          <cell r="D1416" t="str">
            <v>yellow</v>
          </cell>
          <cell r="E1416">
            <v>0.98</v>
          </cell>
          <cell r="F1416">
            <v>1.01</v>
          </cell>
          <cell r="G1416">
            <v>1</v>
          </cell>
          <cell r="H1416" t="str">
            <v>hp</v>
          </cell>
          <cell r="I1416" t="str">
            <v>体力タイプ</v>
          </cell>
          <cell r="J1416">
            <v>1.45</v>
          </cell>
          <cell r="K1416">
            <v>0.85</v>
          </cell>
          <cell r="L1416">
            <v>1</v>
          </cell>
          <cell r="M1416" t="str">
            <v>god</v>
          </cell>
          <cell r="N1416" t="str">
            <v>ゴッド</v>
          </cell>
          <cell r="O1416">
            <v>0.96</v>
          </cell>
          <cell r="P1416">
            <v>1.02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</row>
        <row r="1417">
          <cell r="A1417">
            <v>8041</v>
          </cell>
          <cell r="B1417" t="str">
            <v>藍采和</v>
          </cell>
          <cell r="C1417">
            <v>5</v>
          </cell>
          <cell r="D1417" t="str">
            <v>blue</v>
          </cell>
          <cell r="E1417">
            <v>1</v>
          </cell>
          <cell r="F1417">
            <v>0.98</v>
          </cell>
          <cell r="G1417">
            <v>1</v>
          </cell>
          <cell r="H1417" t="str">
            <v>balance</v>
          </cell>
          <cell r="I1417" t="str">
            <v>バランスタイプ</v>
          </cell>
          <cell r="J1417">
            <v>1</v>
          </cell>
          <cell r="K1417">
            <v>1</v>
          </cell>
          <cell r="L1417">
            <v>1</v>
          </cell>
          <cell r="M1417" t="str">
            <v>god</v>
          </cell>
          <cell r="N1417" t="str">
            <v>ゴッド</v>
          </cell>
          <cell r="O1417">
            <v>0.96</v>
          </cell>
          <cell r="P1417">
            <v>1.02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</row>
        <row r="1418">
          <cell r="A1418">
            <v>8042</v>
          </cell>
          <cell r="B1418" t="str">
            <v>レア６藍采和</v>
          </cell>
          <cell r="C1418">
            <v>6</v>
          </cell>
          <cell r="D1418" t="str">
            <v>blue</v>
          </cell>
          <cell r="E1418">
            <v>1</v>
          </cell>
          <cell r="F1418">
            <v>0.98</v>
          </cell>
          <cell r="G1418">
            <v>1</v>
          </cell>
          <cell r="H1418" t="str">
            <v>balance</v>
          </cell>
          <cell r="I1418" t="str">
            <v>バランスタイプ</v>
          </cell>
          <cell r="J1418">
            <v>1</v>
          </cell>
          <cell r="K1418">
            <v>1</v>
          </cell>
          <cell r="L1418">
            <v>1</v>
          </cell>
          <cell r="M1418" t="str">
            <v>god</v>
          </cell>
          <cell r="N1418" t="str">
            <v>ゴッド</v>
          </cell>
          <cell r="O1418">
            <v>0.96</v>
          </cell>
          <cell r="P1418">
            <v>1.02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</row>
        <row r="1419">
          <cell r="A1419">
            <v>8043</v>
          </cell>
          <cell r="B1419" t="str">
            <v>サンリオキャラ大集合+アザゼル</v>
          </cell>
          <cell r="C1419">
            <v>5</v>
          </cell>
          <cell r="D1419" t="str">
            <v>green</v>
          </cell>
          <cell r="E1419">
            <v>1.02</v>
          </cell>
          <cell r="F1419">
            <v>0.98</v>
          </cell>
          <cell r="G1419">
            <v>1</v>
          </cell>
          <cell r="H1419" t="str">
            <v>technical</v>
          </cell>
          <cell r="I1419" t="str">
            <v>テクニカルタイプ</v>
          </cell>
          <cell r="J1419">
            <v>1</v>
          </cell>
          <cell r="K1419">
            <v>1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</row>
        <row r="1420">
          <cell r="A1420">
            <v>8044</v>
          </cell>
          <cell r="B1420" t="str">
            <v>サンリオキャラ大集合+アザゼル</v>
          </cell>
          <cell r="C1420">
            <v>6</v>
          </cell>
          <cell r="D1420" t="str">
            <v>green</v>
          </cell>
          <cell r="E1420">
            <v>1.02</v>
          </cell>
          <cell r="F1420">
            <v>0.98</v>
          </cell>
          <cell r="G1420">
            <v>1</v>
          </cell>
          <cell r="H1420" t="str">
            <v>technical</v>
          </cell>
          <cell r="I1420" t="str">
            <v>テクニカルタイプ</v>
          </cell>
          <cell r="J1420">
            <v>1</v>
          </cell>
          <cell r="K1420">
            <v>1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</row>
        <row r="1421">
          <cell r="A1421">
            <v>8045</v>
          </cell>
          <cell r="B1421" t="str">
            <v>ニムダ_サンリオキャラ混じり</v>
          </cell>
          <cell r="C1421">
            <v>4</v>
          </cell>
          <cell r="D1421" t="str">
            <v>yellow</v>
          </cell>
          <cell r="E1421">
            <v>0.98</v>
          </cell>
          <cell r="F1421">
            <v>1.01</v>
          </cell>
          <cell r="G1421">
            <v>1</v>
          </cell>
          <cell r="H1421" t="str">
            <v>technical</v>
          </cell>
          <cell r="I1421" t="str">
            <v>テクニカルタイプ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unknown</v>
          </cell>
          <cell r="N1421" t="str">
            <v>Unknown</v>
          </cell>
          <cell r="O1421">
            <v>1</v>
          </cell>
          <cell r="P1421">
            <v>1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</row>
        <row r="1422">
          <cell r="A1422">
            <v>8046</v>
          </cell>
          <cell r="B1422" t="str">
            <v>ニムダ_サンリオキャラ混じり</v>
          </cell>
          <cell r="C1422">
            <v>5</v>
          </cell>
          <cell r="D1422" t="str">
            <v>yellow</v>
          </cell>
          <cell r="E1422">
            <v>0.98</v>
          </cell>
          <cell r="F1422">
            <v>1.01</v>
          </cell>
          <cell r="G1422">
            <v>1</v>
          </cell>
          <cell r="H1422" t="str">
            <v>technical</v>
          </cell>
          <cell r="I1422" t="str">
            <v>テクニカルタイプ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unknown</v>
          </cell>
          <cell r="N1422" t="str">
            <v>Unknown</v>
          </cell>
          <cell r="O1422">
            <v>1</v>
          </cell>
          <cell r="P1422">
            <v>1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</row>
        <row r="1423">
          <cell r="A1423">
            <v>8047</v>
          </cell>
          <cell r="B1423" t="str">
            <v>ハローキティ</v>
          </cell>
          <cell r="C1423">
            <v>4</v>
          </cell>
          <cell r="D1423" t="str">
            <v>red</v>
          </cell>
          <cell r="E1423">
            <v>1</v>
          </cell>
          <cell r="F1423">
            <v>1.02</v>
          </cell>
          <cell r="G1423">
            <v>1</v>
          </cell>
          <cell r="H1423" t="str">
            <v>balance</v>
          </cell>
          <cell r="I1423" t="str">
            <v>バランスタイプ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unknown</v>
          </cell>
          <cell r="N1423" t="str">
            <v>Unknown</v>
          </cell>
          <cell r="O1423">
            <v>1</v>
          </cell>
          <cell r="P1423">
            <v>1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</row>
        <row r="1424">
          <cell r="A1424">
            <v>8048</v>
          </cell>
          <cell r="B1424" t="str">
            <v>ハローキティ</v>
          </cell>
          <cell r="C1424">
            <v>5</v>
          </cell>
          <cell r="D1424" t="str">
            <v>red</v>
          </cell>
          <cell r="E1424">
            <v>1</v>
          </cell>
          <cell r="F1424">
            <v>1.02</v>
          </cell>
          <cell r="G1424">
            <v>1</v>
          </cell>
          <cell r="H1424" t="str">
            <v>balance</v>
          </cell>
          <cell r="I1424" t="str">
            <v>バランスタイプ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unknown</v>
          </cell>
          <cell r="N1424" t="str">
            <v>Unknown</v>
          </cell>
          <cell r="O1424">
            <v>1</v>
          </cell>
          <cell r="P1424">
            <v>1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</row>
        <row r="1425">
          <cell r="A1425">
            <v>8049</v>
          </cell>
          <cell r="B1425" t="str">
            <v>KIRIMIちゃん</v>
          </cell>
          <cell r="C1425">
            <v>4</v>
          </cell>
          <cell r="D1425" t="str">
            <v>red</v>
          </cell>
          <cell r="E1425">
            <v>1</v>
          </cell>
          <cell r="F1425">
            <v>1.02</v>
          </cell>
          <cell r="G1425">
            <v>1</v>
          </cell>
          <cell r="H1425" t="str">
            <v>hp</v>
          </cell>
          <cell r="I1425" t="str">
            <v>体力タイプ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</row>
        <row r="1426">
          <cell r="A1426">
            <v>8050</v>
          </cell>
          <cell r="B1426" t="str">
            <v>KIRIMIちゃん</v>
          </cell>
          <cell r="C1426">
            <v>5</v>
          </cell>
          <cell r="D1426" t="str">
            <v>red</v>
          </cell>
          <cell r="E1426">
            <v>1</v>
          </cell>
          <cell r="F1426">
            <v>1.02</v>
          </cell>
          <cell r="G1426">
            <v>1</v>
          </cell>
          <cell r="H1426" t="str">
            <v>hp</v>
          </cell>
          <cell r="I1426" t="str">
            <v>体力タイプ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</row>
        <row r="1427">
          <cell r="A1427">
            <v>8051</v>
          </cell>
          <cell r="B1427" t="str">
            <v>ハローキティのリボン</v>
          </cell>
          <cell r="C1427">
            <v>5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evolution</v>
          </cell>
          <cell r="I1427" t="str">
            <v>覚醒素材タイプ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</row>
        <row r="1428">
          <cell r="A1428">
            <v>8052</v>
          </cell>
          <cell r="B1428" t="str">
            <v>ママの作ったアップルパイ</v>
          </cell>
          <cell r="C1428">
            <v>4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evolution</v>
          </cell>
          <cell r="I1428" t="str">
            <v>覚醒素材タイプ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</row>
        <row r="1429">
          <cell r="A1429">
            <v>8053</v>
          </cell>
          <cell r="B1429" t="str">
            <v>D.R.T.H__キティコスプレ</v>
          </cell>
          <cell r="C1429">
            <v>5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balance</v>
          </cell>
          <cell r="I1429" t="str">
            <v>バランスタイプ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human</v>
          </cell>
          <cell r="N1429" t="str">
            <v>ヒューマン</v>
          </cell>
          <cell r="O1429">
            <v>0.94</v>
          </cell>
          <cell r="P1429">
            <v>0.99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</row>
        <row r="1430">
          <cell r="A1430">
            <v>8054</v>
          </cell>
          <cell r="B1430" t="str">
            <v>D.R.T.H__キティコスプレ</v>
          </cell>
          <cell r="C1430">
            <v>6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balance</v>
          </cell>
          <cell r="I1430" t="str">
            <v>バランスタイプ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human</v>
          </cell>
          <cell r="N1430" t="str">
            <v>ヒューマン</v>
          </cell>
          <cell r="O1430">
            <v>0.94</v>
          </cell>
          <cell r="P1430">
            <v>0.99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</row>
        <row r="1431">
          <cell r="A1431">
            <v>8055</v>
          </cell>
          <cell r="B1431" t="str">
            <v>マイメロディ</v>
          </cell>
          <cell r="C1431">
            <v>4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attack</v>
          </cell>
          <cell r="I1431" t="str">
            <v>攻撃タイプ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</row>
        <row r="1432">
          <cell r="A1432">
            <v>8056</v>
          </cell>
          <cell r="B1432" t="str">
            <v>マイメロディ</v>
          </cell>
          <cell r="C1432">
            <v>5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attack</v>
          </cell>
          <cell r="I1432" t="str">
            <v>攻撃タイプ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</row>
        <row r="1433">
          <cell r="A1433">
            <v>8057</v>
          </cell>
          <cell r="B1433" t="str">
            <v>ニーベルゲン_シナモロールコスプレ</v>
          </cell>
          <cell r="C1433">
            <v>4</v>
          </cell>
          <cell r="D1433" t="str">
            <v>green</v>
          </cell>
          <cell r="E1433">
            <v>1.02</v>
          </cell>
          <cell r="F1433">
            <v>0.98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unknown</v>
          </cell>
          <cell r="N1433" t="str">
            <v>Unknown</v>
          </cell>
          <cell r="O1433">
            <v>1</v>
          </cell>
          <cell r="P1433">
            <v>1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</row>
        <row r="1434">
          <cell r="A1434">
            <v>8058</v>
          </cell>
          <cell r="B1434" t="str">
            <v>ニーベルゲン_シナモロールコスプレ</v>
          </cell>
          <cell r="C1434">
            <v>5</v>
          </cell>
          <cell r="D1434" t="str">
            <v>green</v>
          </cell>
          <cell r="E1434">
            <v>1.02</v>
          </cell>
          <cell r="F1434">
            <v>0.98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unknown</v>
          </cell>
          <cell r="N1434" t="str">
            <v>Unknown</v>
          </cell>
          <cell r="O1434">
            <v>1</v>
          </cell>
          <cell r="P1434">
            <v>1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</row>
        <row r="1435">
          <cell r="A1435">
            <v>8059</v>
          </cell>
          <cell r="B1435" t="str">
            <v>カカシ_マイメロディコスプレ</v>
          </cell>
          <cell r="C1435">
            <v>4</v>
          </cell>
          <cell r="D1435" t="str">
            <v>green</v>
          </cell>
          <cell r="E1435">
            <v>1.02</v>
          </cell>
          <cell r="F1435">
            <v>0.98</v>
          </cell>
          <cell r="G1435">
            <v>1</v>
          </cell>
          <cell r="H1435" t="str">
            <v>technical</v>
          </cell>
          <cell r="I1435" t="str">
            <v>テクニカルタイプ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human</v>
          </cell>
          <cell r="N1435" t="str">
            <v>ヒューマン</v>
          </cell>
          <cell r="O1435">
            <v>0.94</v>
          </cell>
          <cell r="P1435">
            <v>0.99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</row>
        <row r="1436">
          <cell r="A1436">
            <v>8060</v>
          </cell>
          <cell r="B1436" t="str">
            <v>カカシ_マイメロディコスプレ</v>
          </cell>
          <cell r="C1436">
            <v>5</v>
          </cell>
          <cell r="D1436" t="str">
            <v>green</v>
          </cell>
          <cell r="E1436">
            <v>1.02</v>
          </cell>
          <cell r="F1436">
            <v>0.98</v>
          </cell>
          <cell r="G1436">
            <v>1</v>
          </cell>
          <cell r="H1436" t="str">
            <v>technical</v>
          </cell>
          <cell r="I1436" t="str">
            <v>テクニカルタイプ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human</v>
          </cell>
          <cell r="N1436" t="str">
            <v>ヒューマン</v>
          </cell>
          <cell r="O1436">
            <v>0.94</v>
          </cell>
          <cell r="P1436">
            <v>0.99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</row>
        <row r="1437">
          <cell r="A1437">
            <v>8061</v>
          </cell>
          <cell r="B1437" t="str">
            <v>ケロケロけろっぴ</v>
          </cell>
          <cell r="C1437">
            <v>3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</row>
        <row r="1438">
          <cell r="A1438">
            <v>8062</v>
          </cell>
          <cell r="B1438" t="str">
            <v>ケロケロけろっぴ</v>
          </cell>
          <cell r="C1438">
            <v>4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</row>
        <row r="1439">
          <cell r="A1439">
            <v>8063</v>
          </cell>
          <cell r="B1439" t="str">
            <v>モルドレッド_ポムポムプリンコスプレ</v>
          </cell>
          <cell r="C1439">
            <v>5</v>
          </cell>
          <cell r="D1439" t="str">
            <v>blue</v>
          </cell>
          <cell r="E1439">
            <v>1</v>
          </cell>
          <cell r="F1439">
            <v>0.98</v>
          </cell>
          <cell r="G1439">
            <v>1</v>
          </cell>
          <cell r="H1439" t="str">
            <v>heal</v>
          </cell>
          <cell r="I1439" t="str">
            <v>回復タイプ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</row>
        <row r="1440">
          <cell r="A1440">
            <v>8064</v>
          </cell>
          <cell r="B1440" t="str">
            <v>モルドレッド_ポムポムプリンコスプレ</v>
          </cell>
          <cell r="C1440">
            <v>6</v>
          </cell>
          <cell r="D1440" t="str">
            <v>blue</v>
          </cell>
          <cell r="E1440">
            <v>1</v>
          </cell>
          <cell r="F1440">
            <v>0.98</v>
          </cell>
          <cell r="G1440">
            <v>1</v>
          </cell>
          <cell r="H1440" t="str">
            <v>heal</v>
          </cell>
          <cell r="I1440" t="str">
            <v>回復タイプ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</row>
        <row r="1441">
          <cell r="A1441">
            <v>8065</v>
          </cell>
          <cell r="B1441" t="str">
            <v>クロミ</v>
          </cell>
          <cell r="C1441">
            <v>3</v>
          </cell>
          <cell r="D1441" t="str">
            <v>blue</v>
          </cell>
          <cell r="E1441">
            <v>1</v>
          </cell>
          <cell r="F1441">
            <v>0.98</v>
          </cell>
          <cell r="G1441">
            <v>1</v>
          </cell>
          <cell r="H1441" t="str">
            <v>technical</v>
          </cell>
          <cell r="I1441" t="str">
            <v>テクニカルタイプ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</row>
        <row r="1442">
          <cell r="A1442">
            <v>8066</v>
          </cell>
          <cell r="B1442" t="str">
            <v>クロミ</v>
          </cell>
          <cell r="C1442">
            <v>4</v>
          </cell>
          <cell r="D1442" t="str">
            <v>blue</v>
          </cell>
          <cell r="E1442">
            <v>1</v>
          </cell>
          <cell r="F1442">
            <v>0.98</v>
          </cell>
          <cell r="G1442">
            <v>1</v>
          </cell>
          <cell r="H1442" t="str">
            <v>technical</v>
          </cell>
          <cell r="I1442" t="str">
            <v>テクニカルタイプ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</row>
        <row r="1443">
          <cell r="A1443">
            <v>8067</v>
          </cell>
          <cell r="B1443" t="str">
            <v>バッドばつ丸</v>
          </cell>
          <cell r="C1443">
            <v>3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attack</v>
          </cell>
          <cell r="I1443" t="str">
            <v>攻撃タイプ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unknown</v>
          </cell>
          <cell r="N1443" t="str">
            <v>Unknown</v>
          </cell>
          <cell r="O1443">
            <v>1</v>
          </cell>
          <cell r="P1443">
            <v>1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</row>
        <row r="1444">
          <cell r="A1444">
            <v>8068</v>
          </cell>
          <cell r="B1444" t="str">
            <v>バッドばつ丸</v>
          </cell>
          <cell r="C1444">
            <v>4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attack</v>
          </cell>
          <cell r="I1444" t="str">
            <v>攻撃タイプ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unknown</v>
          </cell>
          <cell r="N1444" t="str">
            <v>Unknown</v>
          </cell>
          <cell r="O1444">
            <v>1</v>
          </cell>
          <cell r="P1444">
            <v>1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</row>
        <row r="1445">
          <cell r="A1445">
            <v>8069</v>
          </cell>
          <cell r="B1445" t="str">
            <v>シナモロール</v>
          </cell>
          <cell r="C1445">
            <v>4</v>
          </cell>
          <cell r="D1445" t="str">
            <v>yellow</v>
          </cell>
          <cell r="E1445">
            <v>0.98</v>
          </cell>
          <cell r="F1445">
            <v>1.01</v>
          </cell>
          <cell r="G1445">
            <v>1</v>
          </cell>
          <cell r="H1445" t="str">
            <v>heal</v>
          </cell>
          <cell r="I1445" t="str">
            <v>回復タイプ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</row>
        <row r="1446">
          <cell r="A1446">
            <v>8070</v>
          </cell>
          <cell r="B1446" t="str">
            <v>シナモロール</v>
          </cell>
          <cell r="C1446">
            <v>5</v>
          </cell>
          <cell r="D1446" t="str">
            <v>yellow</v>
          </cell>
          <cell r="E1446">
            <v>0.98</v>
          </cell>
          <cell r="F1446">
            <v>1.01</v>
          </cell>
          <cell r="G1446">
            <v>1</v>
          </cell>
          <cell r="H1446" t="str">
            <v>heal</v>
          </cell>
          <cell r="I1446" t="str">
            <v>回復タイプ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</row>
        <row r="1447">
          <cell r="A1447">
            <v>8071</v>
          </cell>
          <cell r="B1447" t="str">
            <v>ポムポムプリン</v>
          </cell>
          <cell r="C1447">
            <v>3</v>
          </cell>
          <cell r="D1447" t="str">
            <v>yellow</v>
          </cell>
          <cell r="E1447">
            <v>0.98</v>
          </cell>
          <cell r="F1447">
            <v>1.01</v>
          </cell>
          <cell r="G1447">
            <v>1</v>
          </cell>
          <cell r="H1447" t="str">
            <v>hp</v>
          </cell>
          <cell r="I1447" t="str">
            <v>体力タイプ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</row>
        <row r="1448">
          <cell r="A1448">
            <v>8072</v>
          </cell>
          <cell r="B1448" t="str">
            <v>ポムポムプリン</v>
          </cell>
          <cell r="C1448">
            <v>4</v>
          </cell>
          <cell r="D1448" t="str">
            <v>yellow</v>
          </cell>
          <cell r="E1448">
            <v>0.98</v>
          </cell>
          <cell r="F1448">
            <v>1.01</v>
          </cell>
          <cell r="G1448">
            <v>1</v>
          </cell>
          <cell r="H1448" t="str">
            <v>hp</v>
          </cell>
          <cell r="I1448" t="str">
            <v>体力タイプ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</row>
        <row r="1449">
          <cell r="A1449">
            <v>8073</v>
          </cell>
          <cell r="B1449" t="str">
            <v>星海祈る天光妃 媽祖</v>
          </cell>
          <cell r="C1449">
            <v>6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attack</v>
          </cell>
          <cell r="I1449" t="str">
            <v>攻撃タイプ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</row>
        <row r="1450">
          <cell r="A1450">
            <v>8074</v>
          </cell>
          <cell r="B1450" t="str">
            <v>海戀の絶龍姫 蛟龍</v>
          </cell>
          <cell r="C1450">
            <v>6</v>
          </cell>
          <cell r="D1450" t="str">
            <v>blue</v>
          </cell>
          <cell r="E1450">
            <v>1</v>
          </cell>
          <cell r="F1450">
            <v>0.98</v>
          </cell>
          <cell r="G1450">
            <v>1</v>
          </cell>
          <cell r="H1450" t="str">
            <v>hp</v>
          </cell>
          <cell r="I1450" t="str">
            <v>体力タイプ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</row>
        <row r="1451">
          <cell r="A1451">
            <v>8077</v>
          </cell>
          <cell r="B1451" t="str">
            <v>鄭成功</v>
          </cell>
          <cell r="C1451">
            <v>5</v>
          </cell>
          <cell r="D1451" t="str">
            <v>blue</v>
          </cell>
          <cell r="E1451">
            <v>1</v>
          </cell>
          <cell r="F1451">
            <v>0.98</v>
          </cell>
          <cell r="G1451">
            <v>1</v>
          </cell>
          <cell r="H1451" t="str">
            <v>attack</v>
          </cell>
          <cell r="I1451" t="str">
            <v>攻撃タイプ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</row>
        <row r="1452">
          <cell r="A1452">
            <v>8078</v>
          </cell>
          <cell r="B1452" t="str">
            <v>レア６鄭成功</v>
          </cell>
          <cell r="C1452">
            <v>6</v>
          </cell>
          <cell r="D1452" t="str">
            <v>blue</v>
          </cell>
          <cell r="E1452">
            <v>1</v>
          </cell>
          <cell r="F1452">
            <v>0.98</v>
          </cell>
          <cell r="G1452">
            <v>1</v>
          </cell>
          <cell r="H1452" t="str">
            <v>attack</v>
          </cell>
          <cell r="I1452" t="str">
            <v>攻撃タイプ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</row>
        <row r="1453">
          <cell r="A1453">
            <v>8079</v>
          </cell>
          <cell r="B1453" t="str">
            <v>赤鬼</v>
          </cell>
          <cell r="C1453">
            <v>5</v>
          </cell>
          <cell r="D1453" t="str">
            <v>red</v>
          </cell>
          <cell r="E1453">
            <v>1</v>
          </cell>
          <cell r="F1453">
            <v>1.02</v>
          </cell>
          <cell r="G1453">
            <v>1</v>
          </cell>
          <cell r="H1453" t="str">
            <v>hp</v>
          </cell>
          <cell r="I1453" t="str">
            <v>体力タイプ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</row>
        <row r="1454">
          <cell r="A1454">
            <v>8080</v>
          </cell>
          <cell r="B1454" t="str">
            <v>レア６赤鬼</v>
          </cell>
          <cell r="C1454">
            <v>6</v>
          </cell>
          <cell r="D1454" t="str">
            <v>red</v>
          </cell>
          <cell r="E1454">
            <v>1</v>
          </cell>
          <cell r="F1454">
            <v>1.02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</row>
        <row r="1455">
          <cell r="A1455">
            <v>8081</v>
          </cell>
          <cell r="B1455" t="str">
            <v>関羽</v>
          </cell>
          <cell r="C1455">
            <v>5</v>
          </cell>
          <cell r="D1455" t="str">
            <v>green</v>
          </cell>
          <cell r="E1455">
            <v>1.02</v>
          </cell>
          <cell r="F1455">
            <v>0.98</v>
          </cell>
          <cell r="G1455">
            <v>1</v>
          </cell>
          <cell r="H1455" t="str">
            <v>balance</v>
          </cell>
          <cell r="I1455" t="str">
            <v>バランスタイプ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</row>
        <row r="1456">
          <cell r="A1456">
            <v>8082</v>
          </cell>
          <cell r="B1456" t="str">
            <v>★６関羽</v>
          </cell>
          <cell r="C1456">
            <v>6</v>
          </cell>
          <cell r="D1456" t="str">
            <v>green</v>
          </cell>
          <cell r="E1456">
            <v>1.02</v>
          </cell>
          <cell r="F1456">
            <v>0.98</v>
          </cell>
          <cell r="G1456">
            <v>1</v>
          </cell>
          <cell r="H1456" t="str">
            <v>balance</v>
          </cell>
          <cell r="I1456" t="str">
            <v>バランスタイプ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</row>
        <row r="1457">
          <cell r="A1457">
            <v>8083</v>
          </cell>
          <cell r="B1457" t="str">
            <v>曹操</v>
          </cell>
          <cell r="C1457">
            <v>5</v>
          </cell>
          <cell r="D1457" t="str">
            <v>yellow</v>
          </cell>
          <cell r="E1457">
            <v>0.98</v>
          </cell>
          <cell r="F1457">
            <v>1.01</v>
          </cell>
          <cell r="G1457">
            <v>1</v>
          </cell>
          <cell r="H1457" t="str">
            <v>technical</v>
          </cell>
          <cell r="I1457" t="str">
            <v>テクニカルタイプ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</row>
        <row r="1458">
          <cell r="A1458">
            <v>8084</v>
          </cell>
          <cell r="B1458" t="str">
            <v>★６曹操</v>
          </cell>
          <cell r="C1458">
            <v>6</v>
          </cell>
          <cell r="D1458" t="str">
            <v>yellow</v>
          </cell>
          <cell r="E1458">
            <v>0.98</v>
          </cell>
          <cell r="F1458">
            <v>1.01</v>
          </cell>
          <cell r="G1458">
            <v>1</v>
          </cell>
          <cell r="H1458" t="str">
            <v>technical</v>
          </cell>
          <cell r="I1458" t="str">
            <v>テクニカルタイプ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</row>
        <row r="1459">
          <cell r="A1459">
            <v>8087</v>
          </cell>
          <cell r="B1459" t="str">
            <v>財神</v>
          </cell>
          <cell r="C1459">
            <v>5</v>
          </cell>
          <cell r="D1459" t="str">
            <v>red</v>
          </cell>
          <cell r="E1459">
            <v>1</v>
          </cell>
          <cell r="F1459">
            <v>1.02</v>
          </cell>
          <cell r="G1459">
            <v>1</v>
          </cell>
          <cell r="H1459" t="str">
            <v>technical</v>
          </cell>
          <cell r="I1459" t="str">
            <v>テクニカルタイプ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</row>
        <row r="1460">
          <cell r="A1460">
            <v>8088</v>
          </cell>
          <cell r="B1460" t="str">
            <v>★６財神</v>
          </cell>
          <cell r="C1460">
            <v>6</v>
          </cell>
          <cell r="D1460" t="str">
            <v>red</v>
          </cell>
          <cell r="E1460">
            <v>1</v>
          </cell>
          <cell r="F1460">
            <v>1.02</v>
          </cell>
          <cell r="G1460">
            <v>1</v>
          </cell>
          <cell r="H1460" t="str">
            <v>technical</v>
          </cell>
          <cell r="I1460" t="str">
            <v>テクニカルタイプ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</row>
        <row r="1461">
          <cell r="A1461">
            <v>8089</v>
          </cell>
          <cell r="B1461" t="str">
            <v>年獣</v>
          </cell>
          <cell r="C1461">
            <v>5</v>
          </cell>
          <cell r="D1461" t="str">
            <v>green</v>
          </cell>
          <cell r="E1461">
            <v>1.02</v>
          </cell>
          <cell r="F1461">
            <v>0.98</v>
          </cell>
          <cell r="G1461">
            <v>1</v>
          </cell>
          <cell r="H1461" t="str">
            <v>attack</v>
          </cell>
          <cell r="I1461" t="str">
            <v>攻撃タイプ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</row>
        <row r="1462">
          <cell r="A1462">
            <v>8090</v>
          </cell>
          <cell r="B1462" t="str">
            <v>★６年獣</v>
          </cell>
          <cell r="C1462">
            <v>6</v>
          </cell>
          <cell r="D1462" t="str">
            <v>green</v>
          </cell>
          <cell r="E1462">
            <v>1.02</v>
          </cell>
          <cell r="F1462">
            <v>0.98</v>
          </cell>
          <cell r="G1462">
            <v>1</v>
          </cell>
          <cell r="H1462" t="str">
            <v>attack</v>
          </cell>
          <cell r="I1462" t="str">
            <v>攻撃タイプ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</row>
        <row r="1463">
          <cell r="A1463">
            <v>8095</v>
          </cell>
          <cell r="B1463" t="str">
            <v>バハムートダック赤</v>
          </cell>
          <cell r="C1463">
            <v>6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exp</v>
          </cell>
          <cell r="I1463" t="str">
            <v>強化素材タイプ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</row>
        <row r="1464">
          <cell r="A1464">
            <v>8096</v>
          </cell>
          <cell r="B1464" t="str">
            <v>バハムートダック緑</v>
          </cell>
          <cell r="C1464">
            <v>6</v>
          </cell>
          <cell r="D1464" t="str">
            <v>green</v>
          </cell>
          <cell r="E1464">
            <v>1.02</v>
          </cell>
          <cell r="F1464">
            <v>0.98</v>
          </cell>
          <cell r="G1464">
            <v>1</v>
          </cell>
          <cell r="H1464" t="str">
            <v>exp</v>
          </cell>
          <cell r="I1464" t="str">
            <v>強化素材タイプ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</row>
        <row r="1465">
          <cell r="A1465">
            <v>8097</v>
          </cell>
          <cell r="B1465" t="str">
            <v>バハムートダック青</v>
          </cell>
          <cell r="C1465">
            <v>6</v>
          </cell>
          <cell r="D1465" t="str">
            <v>blue</v>
          </cell>
          <cell r="E1465">
            <v>1</v>
          </cell>
          <cell r="F1465">
            <v>0.98</v>
          </cell>
          <cell r="G1465">
            <v>1</v>
          </cell>
          <cell r="H1465" t="str">
            <v>exp</v>
          </cell>
          <cell r="I1465" t="str">
            <v>強化素材タイプ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</row>
        <row r="1466">
          <cell r="A1466">
            <v>8098</v>
          </cell>
          <cell r="B1466" t="str">
            <v>バハムートダック黄</v>
          </cell>
          <cell r="C1466">
            <v>6</v>
          </cell>
          <cell r="D1466" t="str">
            <v>yellow</v>
          </cell>
          <cell r="E1466">
            <v>0.98</v>
          </cell>
          <cell r="F1466">
            <v>1.01</v>
          </cell>
          <cell r="G1466">
            <v>1</v>
          </cell>
          <cell r="H1466" t="str">
            <v>exp</v>
          </cell>
          <cell r="I1466" t="str">
            <v>強化素材タイプ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</row>
        <row r="1467">
          <cell r="A1467">
            <v>8099</v>
          </cell>
          <cell r="B1467" t="str">
            <v>リトルハンプティ</v>
          </cell>
          <cell r="C1467">
            <v>6</v>
          </cell>
          <cell r="D1467" t="str">
            <v>green</v>
          </cell>
          <cell r="E1467">
            <v>1.02</v>
          </cell>
          <cell r="F1467">
            <v>0.98</v>
          </cell>
          <cell r="G1467">
            <v>1</v>
          </cell>
          <cell r="H1467" t="str">
            <v>evolution</v>
          </cell>
          <cell r="I1467" t="str">
            <v>覚醒素材タイプ</v>
          </cell>
          <cell r="J1467">
            <v>0.1</v>
          </cell>
          <cell r="K1467">
            <v>0.05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1414</v>
          </cell>
        </row>
        <row r="1383">
          <cell r="A1383">
            <v>1415</v>
          </cell>
        </row>
        <row r="1384">
          <cell r="A1384">
            <v>1416</v>
          </cell>
        </row>
        <row r="1385">
          <cell r="A1385">
            <v>1417</v>
          </cell>
        </row>
        <row r="1386">
          <cell r="A1386">
            <v>1424</v>
          </cell>
        </row>
        <row r="1387">
          <cell r="A1387">
            <v>1504</v>
          </cell>
        </row>
        <row r="1388">
          <cell r="A1388">
            <v>1505</v>
          </cell>
        </row>
        <row r="1389">
          <cell r="A1389">
            <v>1506</v>
          </cell>
        </row>
        <row r="1390">
          <cell r="A1390">
            <v>1507</v>
          </cell>
        </row>
        <row r="1391">
          <cell r="A1391">
            <v>1508</v>
          </cell>
        </row>
        <row r="1392">
          <cell r="A1392">
            <v>1509</v>
          </cell>
        </row>
        <row r="1393">
          <cell r="A1393">
            <v>1510</v>
          </cell>
        </row>
        <row r="1394">
          <cell r="A1394">
            <v>1511</v>
          </cell>
        </row>
        <row r="1395">
          <cell r="A1395">
            <v>1512</v>
          </cell>
        </row>
        <row r="1396">
          <cell r="A1396">
            <v>1513</v>
          </cell>
        </row>
        <row r="1397">
          <cell r="A1397">
            <v>1514</v>
          </cell>
        </row>
        <row r="1398">
          <cell r="A1398">
            <v>1515</v>
          </cell>
        </row>
        <row r="1399">
          <cell r="A1399">
            <v>1516</v>
          </cell>
        </row>
        <row r="1400">
          <cell r="A1400">
            <v>1517</v>
          </cell>
        </row>
        <row r="1401">
          <cell r="A1401">
            <v>1518</v>
          </cell>
        </row>
        <row r="1402">
          <cell r="A1402">
            <v>1519</v>
          </cell>
        </row>
        <row r="1403">
          <cell r="A1403">
            <v>1520</v>
          </cell>
        </row>
        <row r="1404">
          <cell r="A1404">
            <v>1521</v>
          </cell>
        </row>
        <row r="1405">
          <cell r="A1405">
            <v>1522</v>
          </cell>
        </row>
        <row r="1406">
          <cell r="A1406">
            <v>1523</v>
          </cell>
        </row>
        <row r="1407">
          <cell r="A1407">
            <v>1524</v>
          </cell>
        </row>
        <row r="1408">
          <cell r="A1408">
            <v>1525</v>
          </cell>
        </row>
        <row r="1409">
          <cell r="A1409">
            <v>1526</v>
          </cell>
        </row>
        <row r="1410">
          <cell r="A1410">
            <v>1527</v>
          </cell>
        </row>
        <row r="1411">
          <cell r="A1411">
            <v>1528</v>
          </cell>
        </row>
        <row r="1412">
          <cell r="A1412">
            <v>1529</v>
          </cell>
        </row>
        <row r="1413">
          <cell r="A1413">
            <v>1530</v>
          </cell>
        </row>
        <row r="1414">
          <cell r="A1414">
            <v>1531</v>
          </cell>
        </row>
        <row r="1415">
          <cell r="A1415">
            <v>1532</v>
          </cell>
        </row>
        <row r="1416">
          <cell r="A1416">
            <v>1533</v>
          </cell>
        </row>
        <row r="1417">
          <cell r="A1417">
            <v>1534</v>
          </cell>
        </row>
        <row r="1418">
          <cell r="A1418">
            <v>1535</v>
          </cell>
        </row>
        <row r="1419">
          <cell r="A1419">
            <v>1536</v>
          </cell>
        </row>
        <row r="1420">
          <cell r="A1420">
            <v>1537</v>
          </cell>
        </row>
        <row r="1421">
          <cell r="A1421">
            <v>1538</v>
          </cell>
        </row>
        <row r="1422">
          <cell r="A1422">
            <v>1539</v>
          </cell>
        </row>
        <row r="1423">
          <cell r="A1423">
            <v>1540</v>
          </cell>
        </row>
        <row r="1424">
          <cell r="A1424">
            <v>1541</v>
          </cell>
        </row>
        <row r="1425">
          <cell r="A1425">
            <v>1542</v>
          </cell>
        </row>
        <row r="1426">
          <cell r="A1426">
            <v>1543</v>
          </cell>
        </row>
        <row r="1427">
          <cell r="A1427">
            <v>1544</v>
          </cell>
        </row>
        <row r="1428">
          <cell r="A1428">
            <v>1545</v>
          </cell>
        </row>
        <row r="1429">
          <cell r="A1429">
            <v>1546</v>
          </cell>
        </row>
        <row r="1430">
          <cell r="A1430">
            <v>1547</v>
          </cell>
        </row>
        <row r="1431">
          <cell r="A1431">
            <v>1548</v>
          </cell>
        </row>
        <row r="1432">
          <cell r="A1432">
            <v>1549</v>
          </cell>
        </row>
        <row r="1433">
          <cell r="A1433">
            <v>1550</v>
          </cell>
        </row>
        <row r="1434">
          <cell r="A1434">
            <v>5001</v>
          </cell>
        </row>
        <row r="1435">
          <cell r="A1435">
            <v>5002</v>
          </cell>
        </row>
        <row r="1436">
          <cell r="A1436">
            <v>5003</v>
          </cell>
        </row>
        <row r="1437">
          <cell r="A1437">
            <v>5004</v>
          </cell>
        </row>
        <row r="1438">
          <cell r="A1438">
            <v>5005</v>
          </cell>
        </row>
        <row r="1439">
          <cell r="A1439">
            <v>5006</v>
          </cell>
        </row>
        <row r="1440">
          <cell r="A1440">
            <v>5007</v>
          </cell>
        </row>
        <row r="1441">
          <cell r="A1441">
            <v>5008</v>
          </cell>
        </row>
        <row r="1442">
          <cell r="A1442">
            <v>6001</v>
          </cell>
        </row>
        <row r="1443">
          <cell r="A1443">
            <v>6002</v>
          </cell>
        </row>
        <row r="1444">
          <cell r="A1444">
            <v>6003</v>
          </cell>
        </row>
        <row r="1445">
          <cell r="A1445">
            <v>6004</v>
          </cell>
        </row>
        <row r="1446">
          <cell r="A1446">
            <v>6005</v>
          </cell>
        </row>
        <row r="1447">
          <cell r="A1447">
            <v>6006</v>
          </cell>
        </row>
        <row r="1448">
          <cell r="A1448">
            <v>6007</v>
          </cell>
        </row>
        <row r="1449">
          <cell r="A1449">
            <v>6008</v>
          </cell>
        </row>
        <row r="1450">
          <cell r="A1450">
            <v>6009</v>
          </cell>
        </row>
        <row r="1451">
          <cell r="A1451">
            <v>6010</v>
          </cell>
        </row>
        <row r="1452">
          <cell r="A1452">
            <v>6011</v>
          </cell>
        </row>
        <row r="1453">
          <cell r="A1453">
            <v>6012</v>
          </cell>
        </row>
        <row r="1454">
          <cell r="A1454">
            <v>6013</v>
          </cell>
        </row>
        <row r="1455">
          <cell r="A1455">
            <v>6014</v>
          </cell>
        </row>
        <row r="1456">
          <cell r="A1456">
            <v>6015</v>
          </cell>
        </row>
        <row r="1457">
          <cell r="A1457">
            <v>6016</v>
          </cell>
        </row>
        <row r="1458">
          <cell r="A1458">
            <v>6017</v>
          </cell>
        </row>
        <row r="1459">
          <cell r="A1459">
            <v>6018</v>
          </cell>
        </row>
        <row r="1460">
          <cell r="A1460">
            <v>6019</v>
          </cell>
        </row>
        <row r="1461">
          <cell r="A1461">
            <v>6020</v>
          </cell>
        </row>
        <row r="1462">
          <cell r="A1462">
            <v>8001</v>
          </cell>
        </row>
        <row r="1463">
          <cell r="A1463">
            <v>8002</v>
          </cell>
        </row>
        <row r="1464">
          <cell r="A1464">
            <v>8003</v>
          </cell>
        </row>
        <row r="1465">
          <cell r="A1465">
            <v>8004</v>
          </cell>
        </row>
        <row r="1466">
          <cell r="A1466">
            <v>8005</v>
          </cell>
        </row>
        <row r="1467">
          <cell r="A1467">
            <v>8006</v>
          </cell>
        </row>
        <row r="1468">
          <cell r="A1468">
            <v>8007</v>
          </cell>
        </row>
        <row r="1469">
          <cell r="A1469">
            <v>8008</v>
          </cell>
        </row>
        <row r="1470">
          <cell r="A1470">
            <v>8009</v>
          </cell>
        </row>
        <row r="1471">
          <cell r="A1471">
            <v>8010</v>
          </cell>
        </row>
        <row r="1472">
          <cell r="A1472">
            <v>8011</v>
          </cell>
        </row>
        <row r="1473">
          <cell r="A1473">
            <v>8012</v>
          </cell>
        </row>
        <row r="1474">
          <cell r="A1474">
            <v>8013</v>
          </cell>
        </row>
        <row r="1475">
          <cell r="A1475">
            <v>8014</v>
          </cell>
        </row>
        <row r="1476">
          <cell r="A1476">
            <v>8015</v>
          </cell>
        </row>
        <row r="1477">
          <cell r="A1477">
            <v>8016</v>
          </cell>
        </row>
        <row r="1478">
          <cell r="A1478">
            <v>8017</v>
          </cell>
        </row>
        <row r="1479">
          <cell r="A1479">
            <v>8018</v>
          </cell>
        </row>
        <row r="1480">
          <cell r="A1480">
            <v>8019</v>
          </cell>
        </row>
        <row r="1481">
          <cell r="A1481">
            <v>8020</v>
          </cell>
        </row>
        <row r="1482">
          <cell r="A1482">
            <v>8021</v>
          </cell>
        </row>
        <row r="1483">
          <cell r="A1483">
            <v>8022</v>
          </cell>
        </row>
        <row r="1484">
          <cell r="A1484">
            <v>8023</v>
          </cell>
        </row>
        <row r="1485">
          <cell r="A1485">
            <v>8024</v>
          </cell>
        </row>
        <row r="1486">
          <cell r="A1486">
            <v>8025</v>
          </cell>
        </row>
        <row r="1487">
          <cell r="A1487">
            <v>8026</v>
          </cell>
        </row>
        <row r="1488">
          <cell r="A1488">
            <v>8027</v>
          </cell>
        </row>
        <row r="1489">
          <cell r="A1489">
            <v>8028</v>
          </cell>
        </row>
        <row r="1490">
          <cell r="A1490">
            <v>8029</v>
          </cell>
        </row>
        <row r="1491">
          <cell r="A1491">
            <v>8030</v>
          </cell>
        </row>
        <row r="1492">
          <cell r="A1492">
            <v>8031</v>
          </cell>
        </row>
        <row r="1493">
          <cell r="A1493">
            <v>8032</v>
          </cell>
        </row>
        <row r="1494">
          <cell r="A1494">
            <v>8033</v>
          </cell>
        </row>
        <row r="1495">
          <cell r="A1495">
            <v>8034</v>
          </cell>
        </row>
        <row r="1496">
          <cell r="A1496">
            <v>8035</v>
          </cell>
        </row>
        <row r="1497">
          <cell r="A1497">
            <v>8036</v>
          </cell>
        </row>
        <row r="1498">
          <cell r="A1498">
            <v>8037</v>
          </cell>
        </row>
        <row r="1499">
          <cell r="A1499">
            <v>8038</v>
          </cell>
        </row>
        <row r="1500">
          <cell r="A1500">
            <v>8039</v>
          </cell>
        </row>
        <row r="1501">
          <cell r="A1501">
            <v>8040</v>
          </cell>
        </row>
        <row r="1502">
          <cell r="A1502">
            <v>8041</v>
          </cell>
        </row>
        <row r="1503">
          <cell r="A1503">
            <v>8042</v>
          </cell>
        </row>
        <row r="1504">
          <cell r="A1504">
            <v>8043</v>
          </cell>
        </row>
        <row r="1505">
          <cell r="A1505">
            <v>8044</v>
          </cell>
        </row>
        <row r="1506">
          <cell r="A1506">
            <v>8045</v>
          </cell>
        </row>
        <row r="1507">
          <cell r="A1507">
            <v>8046</v>
          </cell>
        </row>
        <row r="1508">
          <cell r="A1508">
            <v>8047</v>
          </cell>
        </row>
        <row r="1509">
          <cell r="A1509">
            <v>8048</v>
          </cell>
        </row>
        <row r="1510">
          <cell r="A1510">
            <v>8049</v>
          </cell>
        </row>
        <row r="1511">
          <cell r="A1511">
            <v>8050</v>
          </cell>
        </row>
        <row r="1512">
          <cell r="A1512">
            <v>8051</v>
          </cell>
        </row>
        <row r="1513">
          <cell r="A1513">
            <v>8052</v>
          </cell>
        </row>
        <row r="1514">
          <cell r="A1514">
            <v>8053</v>
          </cell>
        </row>
        <row r="1515">
          <cell r="A1515">
            <v>8054</v>
          </cell>
        </row>
        <row r="1516">
          <cell r="A1516">
            <v>8055</v>
          </cell>
        </row>
        <row r="1517">
          <cell r="A1517">
            <v>8056</v>
          </cell>
        </row>
        <row r="1518">
          <cell r="A1518">
            <v>8057</v>
          </cell>
        </row>
        <row r="1519">
          <cell r="A1519">
            <v>8058</v>
          </cell>
        </row>
        <row r="1520">
          <cell r="A1520">
            <v>8059</v>
          </cell>
        </row>
        <row r="1521">
          <cell r="A1521">
            <v>8060</v>
          </cell>
        </row>
        <row r="1522">
          <cell r="A1522">
            <v>8061</v>
          </cell>
        </row>
        <row r="1523">
          <cell r="A1523">
            <v>8062</v>
          </cell>
        </row>
        <row r="1524">
          <cell r="A1524">
            <v>8063</v>
          </cell>
        </row>
        <row r="1525">
          <cell r="A1525">
            <v>8064</v>
          </cell>
        </row>
        <row r="1526">
          <cell r="A1526">
            <v>8065</v>
          </cell>
        </row>
        <row r="1527">
          <cell r="A1527">
            <v>8066</v>
          </cell>
        </row>
        <row r="1528">
          <cell r="A1528">
            <v>8067</v>
          </cell>
        </row>
        <row r="1529">
          <cell r="A1529">
            <v>8068</v>
          </cell>
        </row>
        <row r="1530">
          <cell r="A1530">
            <v>8069</v>
          </cell>
        </row>
        <row r="1531">
          <cell r="A1531">
            <v>8070</v>
          </cell>
        </row>
        <row r="1532">
          <cell r="A1532">
            <v>8071</v>
          </cell>
        </row>
        <row r="1533">
          <cell r="A1533">
            <v>8072</v>
          </cell>
        </row>
        <row r="1534">
          <cell r="A1534">
            <v>8073</v>
          </cell>
        </row>
        <row r="1535">
          <cell r="A1535">
            <v>8074</v>
          </cell>
        </row>
        <row r="1536">
          <cell r="A1536">
            <v>8075</v>
          </cell>
        </row>
        <row r="1537">
          <cell r="A1537">
            <v>8076</v>
          </cell>
        </row>
        <row r="1538">
          <cell r="A1538">
            <v>8077</v>
          </cell>
        </row>
        <row r="1539">
          <cell r="A1539">
            <v>8078</v>
          </cell>
        </row>
        <row r="1540">
          <cell r="A1540">
            <v>8079</v>
          </cell>
        </row>
        <row r="1541">
          <cell r="A1541">
            <v>8080</v>
          </cell>
        </row>
        <row r="1542">
          <cell r="A1542">
            <v>8081</v>
          </cell>
        </row>
        <row r="1543">
          <cell r="A1543">
            <v>8082</v>
          </cell>
        </row>
        <row r="1544">
          <cell r="A1544">
            <v>8083</v>
          </cell>
        </row>
        <row r="1545">
          <cell r="A1545">
            <v>8084</v>
          </cell>
        </row>
        <row r="1546">
          <cell r="A1546">
            <v>8087</v>
          </cell>
        </row>
        <row r="1547">
          <cell r="A1547">
            <v>8088</v>
          </cell>
        </row>
        <row r="1548">
          <cell r="A1548">
            <v>8089</v>
          </cell>
        </row>
        <row r="1549">
          <cell r="A1549">
            <v>8090</v>
          </cell>
        </row>
        <row r="1550">
          <cell r="A1550">
            <v>8095</v>
          </cell>
        </row>
        <row r="1551">
          <cell r="A1551">
            <v>8096</v>
          </cell>
        </row>
        <row r="1552">
          <cell r="A1552">
            <v>8097</v>
          </cell>
        </row>
        <row r="1553">
          <cell r="A1553">
            <v>8098</v>
          </cell>
        </row>
        <row r="1554">
          <cell r="A1554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0"/>
  <sheetViews>
    <sheetView workbookViewId="0">
      <selection activeCell="C10" sqref="C10"/>
    </sheetView>
  </sheetViews>
  <sheetFormatPr baseColWidth="12" defaultRowHeight="15" x14ac:dyDescent="0.15"/>
  <cols>
    <col min="2" max="2" width="18.1640625" bestFit="1" customWidth="1"/>
    <col min="4" max="4" width="5.5" bestFit="1" customWidth="1"/>
    <col min="5" max="5" width="32.1640625" bestFit="1" customWidth="1"/>
    <col min="6" max="6" width="22.1640625" bestFit="1" customWidth="1"/>
  </cols>
  <sheetData>
    <row r="1" spans="1:30" x14ac:dyDescent="0.15">
      <c r="A1" s="42" t="s">
        <v>55</v>
      </c>
      <c r="B1" s="43" t="s">
        <v>56</v>
      </c>
      <c r="C1" s="43" t="s">
        <v>57</v>
      </c>
      <c r="D1" s="43" t="s">
        <v>58</v>
      </c>
      <c r="E1" s="43" t="s">
        <v>59</v>
      </c>
      <c r="F1" s="43" t="s">
        <v>60</v>
      </c>
      <c r="G1" s="43" t="s">
        <v>61</v>
      </c>
      <c r="H1" s="43"/>
      <c r="I1" s="43"/>
      <c r="J1" s="43"/>
      <c r="K1" s="43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</row>
    <row r="2" spans="1:30" x14ac:dyDescent="0.15">
      <c r="A2" s="45" t="s">
        <v>62</v>
      </c>
      <c r="B2" s="46" t="s">
        <v>63</v>
      </c>
      <c r="C2" s="47" t="s">
        <v>199</v>
      </c>
      <c r="D2" s="46" t="s">
        <v>64</v>
      </c>
      <c r="E2" s="44" t="str">
        <f>B2&amp;C2&amp;D2</f>
        <v>floors_week.tmp</v>
      </c>
      <c r="F2" s="46" t="s">
        <v>65</v>
      </c>
      <c r="G2" s="48" t="s">
        <v>0</v>
      </c>
      <c r="H2" s="48" t="s">
        <v>1</v>
      </c>
      <c r="I2" s="48" t="s">
        <v>13</v>
      </c>
      <c r="J2" s="48" t="s">
        <v>14</v>
      </c>
      <c r="K2" s="48" t="s">
        <v>15</v>
      </c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</row>
    <row r="3" spans="1:30" x14ac:dyDescent="0.15">
      <c r="A3" s="45" t="s">
        <v>67</v>
      </c>
      <c r="B3" s="46" t="s">
        <v>68</v>
      </c>
      <c r="C3" s="47" t="str">
        <f>C$2</f>
        <v>week</v>
      </c>
      <c r="D3" s="46" t="s">
        <v>69</v>
      </c>
      <c r="E3" s="44" t="str">
        <f>B3&amp;C3&amp;D3</f>
        <v>enemy_habitats_week.tmp</v>
      </c>
      <c r="F3" s="46" t="s">
        <v>70</v>
      </c>
      <c r="G3" s="48" t="s">
        <v>0</v>
      </c>
      <c r="H3" s="48" t="s">
        <v>1</v>
      </c>
      <c r="I3" s="48" t="s">
        <v>13</v>
      </c>
      <c r="J3" s="48" t="s">
        <v>2</v>
      </c>
      <c r="K3" s="48" t="s">
        <v>3</v>
      </c>
      <c r="L3" s="48" t="s">
        <v>52</v>
      </c>
      <c r="M3" s="48" t="s">
        <v>53</v>
      </c>
      <c r="N3" s="48" t="s">
        <v>54</v>
      </c>
      <c r="O3" s="48" t="s">
        <v>22</v>
      </c>
      <c r="P3" s="48" t="s">
        <v>5</v>
      </c>
      <c r="Q3" s="48" t="s">
        <v>6</v>
      </c>
      <c r="R3" s="48" t="s">
        <v>7</v>
      </c>
      <c r="S3" s="48" t="s">
        <v>8</v>
      </c>
      <c r="T3" s="48" t="s">
        <v>9</v>
      </c>
      <c r="U3" s="48" t="s">
        <v>10</v>
      </c>
      <c r="V3" s="48" t="s">
        <v>11</v>
      </c>
      <c r="W3" s="48" t="s">
        <v>12</v>
      </c>
      <c r="X3" s="48" t="s">
        <v>37</v>
      </c>
      <c r="Y3" s="48" t="s">
        <v>39</v>
      </c>
      <c r="Z3" s="48" t="s">
        <v>41</v>
      </c>
      <c r="AA3" s="48" t="s">
        <v>43</v>
      </c>
      <c r="AB3" s="48" t="s">
        <v>45</v>
      </c>
      <c r="AC3" s="48" t="s">
        <v>71</v>
      </c>
      <c r="AD3" s="48" t="s">
        <v>72</v>
      </c>
    </row>
    <row r="4" spans="1:30" x14ac:dyDescent="0.15">
      <c r="A4" s="45" t="s">
        <v>62</v>
      </c>
      <c r="B4" s="46" t="s">
        <v>68</v>
      </c>
      <c r="C4" s="47" t="s">
        <v>217</v>
      </c>
      <c r="D4" s="46" t="s">
        <v>64</v>
      </c>
      <c r="E4" s="44" t="str">
        <f>B4&amp;C4&amp;D4</f>
        <v>enemy_habitats_week_new.tmp</v>
      </c>
      <c r="F4" s="46" t="s">
        <v>216</v>
      </c>
      <c r="G4" s="48" t="s">
        <v>0</v>
      </c>
      <c r="H4" s="48" t="s">
        <v>1</v>
      </c>
      <c r="I4" s="48" t="s">
        <v>13</v>
      </c>
      <c r="J4" s="48" t="s">
        <v>2</v>
      </c>
      <c r="K4" s="48" t="s">
        <v>3</v>
      </c>
      <c r="L4" s="48" t="s">
        <v>52</v>
      </c>
      <c r="M4" s="48" t="s">
        <v>53</v>
      </c>
      <c r="N4" s="48" t="s">
        <v>54</v>
      </c>
      <c r="O4" s="48" t="s">
        <v>22</v>
      </c>
      <c r="P4" s="48" t="s">
        <v>5</v>
      </c>
      <c r="Q4" s="48" t="s">
        <v>6</v>
      </c>
      <c r="R4" s="48" t="s">
        <v>7</v>
      </c>
      <c r="S4" s="48" t="s">
        <v>8</v>
      </c>
      <c r="T4" s="48" t="s">
        <v>9</v>
      </c>
      <c r="U4" s="48" t="s">
        <v>10</v>
      </c>
      <c r="V4" s="48" t="s">
        <v>11</v>
      </c>
      <c r="W4" s="48" t="s">
        <v>12</v>
      </c>
      <c r="X4" s="48" t="s">
        <v>37</v>
      </c>
      <c r="Y4" s="48" t="s">
        <v>39</v>
      </c>
      <c r="Z4" s="48" t="s">
        <v>41</v>
      </c>
      <c r="AA4" s="48" t="s">
        <v>43</v>
      </c>
      <c r="AB4" s="48" t="s">
        <v>45</v>
      </c>
      <c r="AC4" s="48" t="s">
        <v>71</v>
      </c>
      <c r="AD4" s="48" t="s">
        <v>72</v>
      </c>
    </row>
    <row r="5" spans="1:30" x14ac:dyDescent="0.15">
      <c r="A5" s="45" t="s">
        <v>180</v>
      </c>
      <c r="B5" s="46" t="s">
        <v>73</v>
      </c>
      <c r="C5" s="47" t="str">
        <f t="shared" ref="C5:C9" si="0">C$2</f>
        <v>week</v>
      </c>
      <c r="D5" s="46" t="s">
        <v>69</v>
      </c>
      <c r="E5" s="44" t="str">
        <f>B5&amp;C5&amp;D5</f>
        <v>enemy_habitat_S_week.tmp</v>
      </c>
      <c r="F5" s="46" t="s">
        <v>74</v>
      </c>
      <c r="G5" s="48" t="s">
        <v>0</v>
      </c>
      <c r="H5" s="48" t="s">
        <v>1</v>
      </c>
      <c r="I5" s="48" t="s">
        <v>13</v>
      </c>
      <c r="J5" s="48" t="s">
        <v>75</v>
      </c>
      <c r="K5" s="48" t="s">
        <v>76</v>
      </c>
      <c r="L5" s="48" t="s">
        <v>77</v>
      </c>
      <c r="M5" s="48" t="s">
        <v>78</v>
      </c>
      <c r="N5" s="48" t="s">
        <v>79</v>
      </c>
      <c r="O5" s="48" t="s">
        <v>80</v>
      </c>
      <c r="P5" s="48" t="s">
        <v>81</v>
      </c>
      <c r="Q5" s="48" t="s">
        <v>82</v>
      </c>
      <c r="R5" s="48" t="s">
        <v>83</v>
      </c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</row>
    <row r="6" spans="1:30" x14ac:dyDescent="0.15">
      <c r="A6" s="45" t="s">
        <v>66</v>
      </c>
      <c r="B6" s="46" t="s">
        <v>84</v>
      </c>
      <c r="C6" s="47" t="str">
        <f t="shared" si="0"/>
        <v>week</v>
      </c>
      <c r="D6" s="46" t="s">
        <v>69</v>
      </c>
      <c r="E6" s="44" t="str">
        <f>B6&amp;C6&amp;D6</f>
        <v>enemy_skill_sets_week.tmp</v>
      </c>
      <c r="F6" s="46" t="s">
        <v>85</v>
      </c>
      <c r="G6" s="49" t="s">
        <v>22</v>
      </c>
      <c r="H6" s="49" t="s">
        <v>86</v>
      </c>
      <c r="I6" s="49" t="s">
        <v>87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</row>
    <row r="7" spans="1:30" x14ac:dyDescent="0.15">
      <c r="A7" s="45" t="s">
        <v>88</v>
      </c>
      <c r="B7" s="46" t="s">
        <v>89</v>
      </c>
      <c r="C7" s="47" t="str">
        <f t="shared" si="0"/>
        <v>week</v>
      </c>
      <c r="D7" s="46" t="s">
        <v>64</v>
      </c>
      <c r="E7" s="44" t="str">
        <f t="shared" ref="E7:E10" si="1">B7&amp;C7&amp;D7</f>
        <v>enemy_skills_tmp_week.tmp</v>
      </c>
      <c r="F7" s="46" t="s">
        <v>90</v>
      </c>
      <c r="G7" s="48" t="s">
        <v>91</v>
      </c>
      <c r="H7" s="48" t="s">
        <v>92</v>
      </c>
      <c r="I7" s="48" t="s">
        <v>93</v>
      </c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</row>
    <row r="8" spans="1:30" x14ac:dyDescent="0.15">
      <c r="A8" s="45" t="s">
        <v>66</v>
      </c>
      <c r="B8" s="46" t="s">
        <v>94</v>
      </c>
      <c r="C8" s="47" t="str">
        <f t="shared" si="0"/>
        <v>week</v>
      </c>
      <c r="D8" s="46" t="s">
        <v>69</v>
      </c>
      <c r="E8" s="44" t="str">
        <f>B8&amp;C8&amp;D8</f>
        <v>enemy_skills_i18n_week.tmp</v>
      </c>
      <c r="F8" s="46" t="s">
        <v>90</v>
      </c>
      <c r="G8" s="48" t="s">
        <v>91</v>
      </c>
      <c r="H8" s="48" t="s">
        <v>95</v>
      </c>
      <c r="I8" s="48" t="s">
        <v>96</v>
      </c>
      <c r="J8" s="48" t="s">
        <v>97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</row>
    <row r="9" spans="1:30" x14ac:dyDescent="0.15">
      <c r="A9" s="45" t="s">
        <v>66</v>
      </c>
      <c r="B9" s="46" t="s">
        <v>98</v>
      </c>
      <c r="C9" s="47" t="str">
        <f t="shared" si="0"/>
        <v>week</v>
      </c>
      <c r="D9" s="46" t="s">
        <v>69</v>
      </c>
      <c r="E9" s="44" t="str">
        <f t="shared" si="1"/>
        <v>enemy_skill_triggers_week.tmp</v>
      </c>
      <c r="F9" s="46" t="s">
        <v>99</v>
      </c>
      <c r="G9" s="48" t="s">
        <v>87</v>
      </c>
      <c r="H9" s="48" t="s">
        <v>100</v>
      </c>
      <c r="I9" s="48" t="s">
        <v>101</v>
      </c>
      <c r="J9" s="48" t="s">
        <v>102</v>
      </c>
      <c r="K9" s="48" t="s">
        <v>103</v>
      </c>
      <c r="L9" s="48" t="s">
        <v>104</v>
      </c>
      <c r="M9" s="48" t="s">
        <v>105</v>
      </c>
      <c r="N9" s="48" t="s">
        <v>106</v>
      </c>
      <c r="O9" s="48" t="s">
        <v>107</v>
      </c>
      <c r="P9" s="48" t="s">
        <v>108</v>
      </c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</row>
    <row r="10" spans="1:30" x14ac:dyDescent="0.15">
      <c r="A10" s="50" t="s">
        <v>229</v>
      </c>
      <c r="B10" s="50" t="s">
        <v>109</v>
      </c>
      <c r="C10" s="47" t="s">
        <v>217</v>
      </c>
      <c r="D10" s="50" t="s">
        <v>110</v>
      </c>
      <c r="E10" s="51" t="str">
        <f t="shared" si="1"/>
        <v>stage_bug_bonuses_week_new.tmp</v>
      </c>
      <c r="F10" s="50" t="s">
        <v>111</v>
      </c>
      <c r="G10" s="52" t="s">
        <v>112</v>
      </c>
      <c r="H10" s="52" t="s">
        <v>113</v>
      </c>
      <c r="I10" s="52" t="s">
        <v>114</v>
      </c>
      <c r="J10" s="53" t="s">
        <v>115</v>
      </c>
      <c r="K10" s="52" t="s">
        <v>116</v>
      </c>
      <c r="L10" s="52" t="s">
        <v>117</v>
      </c>
      <c r="M10" s="52" t="s">
        <v>118</v>
      </c>
      <c r="N10" s="52" t="s">
        <v>119</v>
      </c>
      <c r="O10" s="52" t="s">
        <v>120</v>
      </c>
      <c r="P10" s="52" t="s">
        <v>121</v>
      </c>
      <c r="Q10" s="52" t="s">
        <v>122</v>
      </c>
      <c r="R10" s="52" t="s">
        <v>123</v>
      </c>
      <c r="S10" s="52" t="s">
        <v>124</v>
      </c>
      <c r="T10" s="52" t="s">
        <v>125</v>
      </c>
      <c r="U10" s="52" t="s">
        <v>126</v>
      </c>
      <c r="V10" s="52" t="s">
        <v>127</v>
      </c>
      <c r="W10" s="52" t="s">
        <v>128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7"/>
  <sheetViews>
    <sheetView showGridLines="0" workbookViewId="0">
      <pane ySplit="1" topLeftCell="A80" activePane="bottomLeft" state="frozen"/>
      <selection activeCell="V2" sqref="V2:X34"/>
      <selection pane="bottomLeft" activeCell="J105" sqref="J105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1.83203125" style="4" bestFit="1" customWidth="1" outlineLevel="1"/>
    <col min="5" max="5" width="10.33203125" style="4" customWidth="1" outlineLevel="1"/>
    <col min="6" max="6" width="7" style="4" bestFit="1" customWidth="1"/>
    <col min="7" max="7" width="8.83203125" style="23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30</v>
      </c>
      <c r="B1" s="17" t="s">
        <v>36</v>
      </c>
      <c r="C1" s="1" t="s">
        <v>0</v>
      </c>
      <c r="D1" s="2" t="s">
        <v>18</v>
      </c>
      <c r="E1" s="16" t="s">
        <v>33</v>
      </c>
      <c r="F1" s="1" t="s">
        <v>1</v>
      </c>
      <c r="G1" s="26" t="s">
        <v>32</v>
      </c>
      <c r="H1" s="16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:A33" si="0">G2&amp;"-"&amp;I2</f>
        <v>11001_1-1</v>
      </c>
      <c r="B2" s="17" t="str">
        <f>IF(COUNTIF(enemy_habitats!$H:$H,A2),"OK","NG")</f>
        <v>OK</v>
      </c>
      <c r="C2" s="8">
        <v>11001</v>
      </c>
      <c r="D2" s="12" t="str">
        <f ca="1">VLOOKUP($C2,OFFSET([2]quests!$A$1,0,0,COUNTA([2]quests!$A:$A),MATCH(D$1,[2]quests!$1:$1,0)-MATCH($C$1,[2]quests!$1:$1,0)+1),MATCH(D$1,[2]quests!$1:$1,0)-MATCH($C$1,[2]quests!$1:$1,0)+1,FALSE)</f>
        <v>【月曜限定】 黄の素材</v>
      </c>
      <c r="E2" s="22" t="str">
        <f ca="1">VLOOKUP($C2,OFFSET([2]quests!$A$1,0,0,COUNTA([2]quests!$A:$A),MATCH(E$1,[2]quests!$1:$1,0)-MATCH($C$1,[2]quests!$1:$1,0)+1),MATCH(E$1,[2]quests!$1:$1,0)-MATCH($C$1,[2]quests!$1:$1,0)+1,FALSE)</f>
        <v>月曜クエスト</v>
      </c>
      <c r="F2" s="25">
        <v>1</v>
      </c>
      <c r="G2" s="26" t="str">
        <f t="shared" ref="G2:G33" si="1">C2&amp;"_"&amp;F2</f>
        <v>11001_1</v>
      </c>
      <c r="H2" s="16" t="str">
        <f ca="1">VLOOKUP($G2,OFFSET([2]stages!$A$1,0,0,COUNTA([2]stages!$A:$A),MATCH(H$1,[2]stages!$2:$2,0)-MATCH($G$1,[2]stages!$2:$2,0)+1),MATCH(H$1,[2]stages!$2:$2,0)-MATCH($G$1,[2]stages!$2:$2,0)+1,FALSE)</f>
        <v>【初級】雷のチェシャ猫</v>
      </c>
      <c r="I2" s="25">
        <v>1</v>
      </c>
      <c r="J2" s="13">
        <v>30</v>
      </c>
      <c r="K2" s="13">
        <v>45</v>
      </c>
    </row>
    <row r="3" spans="1:11" ht="21" customHeight="1" x14ac:dyDescent="0.15">
      <c r="A3" s="17" t="str">
        <f t="shared" si="0"/>
        <v>11001_1-2</v>
      </c>
      <c r="B3" s="17" t="str">
        <f>IF(COUNTIF(enemy_habitats!$H:$H,A3),"OK","NG")</f>
        <v>OK</v>
      </c>
      <c r="C3" s="8">
        <v>11001</v>
      </c>
      <c r="D3" s="12" t="str">
        <f ca="1">VLOOKUP($C3,OFFSET([2]quests!$A$1,0,0,COUNTA([2]quests!$A:$A),MATCH(D$1,[2]quests!$1:$1,0)-MATCH($C$1,[2]quests!$1:$1,0)+1),MATCH(D$1,[2]quests!$1:$1,0)-MATCH($C$1,[2]quests!$1:$1,0)+1,FALSE)</f>
        <v>【月曜限定】 黄の素材</v>
      </c>
      <c r="E3" s="22" t="str">
        <f ca="1">VLOOKUP($C3,OFFSET([2]quests!$A$1,0,0,COUNTA([2]quests!$A:$A),MATCH(E$1,[2]quests!$1:$1,0)-MATCH($C$1,[2]quests!$1:$1,0)+1),MATCH(E$1,[2]quests!$1:$1,0)-MATCH($C$1,[2]quests!$1:$1,0)+1,FALSE)</f>
        <v>月曜クエスト</v>
      </c>
      <c r="F3" s="25">
        <v>1</v>
      </c>
      <c r="G3" s="26" t="str">
        <f t="shared" si="1"/>
        <v>11001_1</v>
      </c>
      <c r="H3" s="16" t="str">
        <f ca="1">VLOOKUP($G3,OFFSET([2]stages!$A$1,0,0,COUNTA([2]stages!$A:$A),MATCH(H$1,[2]stages!$2:$2,0)-MATCH($G$1,[2]stages!$2:$2,0)+1),MATCH(H$1,[2]stages!$2:$2,0)-MATCH($G$1,[2]stages!$2:$2,0)+1,FALSE)</f>
        <v>【初級】雷のチェシャ猫</v>
      </c>
      <c r="I3" s="25">
        <v>2</v>
      </c>
      <c r="J3" s="13">
        <v>30</v>
      </c>
      <c r="K3" s="13">
        <v>45</v>
      </c>
    </row>
    <row r="4" spans="1:11" ht="21" customHeight="1" x14ac:dyDescent="0.15">
      <c r="A4" s="17" t="str">
        <f t="shared" si="0"/>
        <v>11001_1-3</v>
      </c>
      <c r="B4" s="17" t="str">
        <f>IF(COUNTIF(enemy_habitats!$H:$H,A4),"OK","NG")</f>
        <v>OK</v>
      </c>
      <c r="C4" s="8">
        <v>11001</v>
      </c>
      <c r="D4" s="12" t="str">
        <f ca="1">VLOOKUP($C4,OFFSET([2]quests!$A$1,0,0,COUNTA([2]quests!$A:$A),MATCH(D$1,[2]quests!$1:$1,0)-MATCH($C$1,[2]quests!$1:$1,0)+1),MATCH(D$1,[2]quests!$1:$1,0)-MATCH($C$1,[2]quests!$1:$1,0)+1,FALSE)</f>
        <v>【月曜限定】 黄の素材</v>
      </c>
      <c r="E4" s="22" t="str">
        <f ca="1">VLOOKUP($C4,OFFSET([2]quests!$A$1,0,0,COUNTA([2]quests!$A:$A),MATCH(E$1,[2]quests!$1:$1,0)-MATCH($C$1,[2]quests!$1:$1,0)+1),MATCH(E$1,[2]quests!$1:$1,0)-MATCH($C$1,[2]quests!$1:$1,0)+1,FALSE)</f>
        <v>月曜クエスト</v>
      </c>
      <c r="F4" s="25">
        <v>1</v>
      </c>
      <c r="G4" s="26" t="str">
        <f t="shared" si="1"/>
        <v>11001_1</v>
      </c>
      <c r="H4" s="16" t="str">
        <f ca="1">VLOOKUP($G4,OFFSET([2]stages!$A$1,0,0,COUNTA([2]stages!$A:$A),MATCH(H$1,[2]stages!$2:$2,0)-MATCH($G$1,[2]stages!$2:$2,0)+1),MATCH(H$1,[2]stages!$2:$2,0)-MATCH($G$1,[2]stages!$2:$2,0)+1,FALSE)</f>
        <v>【初級】雷のチェシャ猫</v>
      </c>
      <c r="I4" s="25">
        <v>3</v>
      </c>
      <c r="J4" s="13">
        <v>45</v>
      </c>
      <c r="K4" s="13">
        <v>45</v>
      </c>
    </row>
    <row r="5" spans="1:11" ht="21" customHeight="1" x14ac:dyDescent="0.15">
      <c r="A5" s="17" t="str">
        <f t="shared" si="0"/>
        <v>11001_1-4</v>
      </c>
      <c r="B5" s="17" t="str">
        <f>IF(COUNTIF(enemy_habitats!$H:$H,A5),"OK","NG")</f>
        <v>OK</v>
      </c>
      <c r="C5" s="8">
        <v>11001</v>
      </c>
      <c r="D5" s="12" t="str">
        <f ca="1">VLOOKUP($C5,OFFSET([2]quests!$A$1,0,0,COUNTA([2]quests!$A:$A),MATCH(D$1,[2]quests!$1:$1,0)-MATCH($C$1,[2]quests!$1:$1,0)+1),MATCH(D$1,[2]quests!$1:$1,0)-MATCH($C$1,[2]quests!$1:$1,0)+1,FALSE)</f>
        <v>【月曜限定】 黄の素材</v>
      </c>
      <c r="E5" s="22" t="str">
        <f ca="1">VLOOKUP($C5,OFFSET([2]quests!$A$1,0,0,COUNTA([2]quests!$A:$A),MATCH(E$1,[2]quests!$1:$1,0)-MATCH($C$1,[2]quests!$1:$1,0)+1),MATCH(E$1,[2]quests!$1:$1,0)-MATCH($C$1,[2]quests!$1:$1,0)+1,FALSE)</f>
        <v>月曜クエスト</v>
      </c>
      <c r="F5" s="25">
        <v>1</v>
      </c>
      <c r="G5" s="26" t="str">
        <f t="shared" si="1"/>
        <v>11001_1</v>
      </c>
      <c r="H5" s="16" t="str">
        <f ca="1">VLOOKUP($G5,OFFSET([2]stages!$A$1,0,0,COUNTA([2]stages!$A:$A),MATCH(H$1,[2]stages!$2:$2,0)-MATCH($G$1,[2]stages!$2:$2,0)+1),MATCH(H$1,[2]stages!$2:$2,0)-MATCH($G$1,[2]stages!$2:$2,0)+1,FALSE)</f>
        <v>【初級】雷のチェシャ猫</v>
      </c>
      <c r="I5" s="25">
        <v>4</v>
      </c>
      <c r="J5" s="13">
        <v>45</v>
      </c>
      <c r="K5" s="13">
        <v>60</v>
      </c>
    </row>
    <row r="6" spans="1:11" ht="21" customHeight="1" x14ac:dyDescent="0.15">
      <c r="A6" s="17" t="str">
        <f t="shared" si="0"/>
        <v>11001_1-5</v>
      </c>
      <c r="B6" s="17" t="str">
        <f>IF(COUNTIF(enemy_habitats!$H:$H,A6),"OK","NG")</f>
        <v>OK</v>
      </c>
      <c r="C6" s="8">
        <v>11001</v>
      </c>
      <c r="D6" s="12" t="str">
        <f ca="1">VLOOKUP($C6,OFFSET([2]quests!$A$1,0,0,COUNTA([2]quests!$A:$A),MATCH(D$1,[2]quests!$1:$1,0)-MATCH($C$1,[2]quests!$1:$1,0)+1),MATCH(D$1,[2]quests!$1:$1,0)-MATCH($C$1,[2]quests!$1:$1,0)+1,FALSE)</f>
        <v>【月曜限定】 黄の素材</v>
      </c>
      <c r="E6" s="22" t="str">
        <f ca="1">VLOOKUP($C6,OFFSET([2]quests!$A$1,0,0,COUNTA([2]quests!$A:$A),MATCH(E$1,[2]quests!$1:$1,0)-MATCH($C$1,[2]quests!$1:$1,0)+1),MATCH(E$1,[2]quests!$1:$1,0)-MATCH($C$1,[2]quests!$1:$1,0)+1,FALSE)</f>
        <v>月曜クエスト</v>
      </c>
      <c r="F6" s="25">
        <v>1</v>
      </c>
      <c r="G6" s="26" t="str">
        <f t="shared" si="1"/>
        <v>11001_1</v>
      </c>
      <c r="H6" s="16" t="str">
        <f ca="1">VLOOKUP($G6,OFFSET([2]stages!$A$1,0,0,COUNTA([2]stages!$A:$A),MATCH(H$1,[2]stages!$2:$2,0)-MATCH($G$1,[2]stages!$2:$2,0)+1),MATCH(H$1,[2]stages!$2:$2,0)-MATCH($G$1,[2]stages!$2:$2,0)+1,FALSE)</f>
        <v>【初級】雷のチェシャ猫</v>
      </c>
      <c r="I6" s="25">
        <v>5</v>
      </c>
      <c r="J6" s="13">
        <v>45</v>
      </c>
      <c r="K6" s="13">
        <v>45</v>
      </c>
    </row>
    <row r="7" spans="1:11" ht="21" customHeight="1" x14ac:dyDescent="0.15">
      <c r="A7" s="17" t="str">
        <f t="shared" si="0"/>
        <v>11001_2-1</v>
      </c>
      <c r="B7" s="17" t="str">
        <f>IF(COUNTIF(enemy_habitats!$H:$H,A7),"OK","NG")</f>
        <v>OK</v>
      </c>
      <c r="C7" s="8">
        <v>11001</v>
      </c>
      <c r="D7" s="12" t="str">
        <f ca="1">VLOOKUP($C7,OFFSET([2]quests!$A$1,0,0,COUNTA([2]quests!$A:$A),MATCH(D$1,[2]quests!$1:$1,0)-MATCH($C$1,[2]quests!$1:$1,0)+1),MATCH(D$1,[2]quests!$1:$1,0)-MATCH($C$1,[2]quests!$1:$1,0)+1,FALSE)</f>
        <v>【月曜限定】 黄の素材</v>
      </c>
      <c r="E7" s="22" t="str">
        <f ca="1">VLOOKUP($C7,OFFSET([2]quests!$A$1,0,0,COUNTA([2]quests!$A:$A),MATCH(E$1,[2]quests!$1:$1,0)-MATCH($C$1,[2]quests!$1:$1,0)+1),MATCH(E$1,[2]quests!$1:$1,0)-MATCH($C$1,[2]quests!$1:$1,0)+1,FALSE)</f>
        <v>月曜クエスト</v>
      </c>
      <c r="F7" s="25">
        <v>2</v>
      </c>
      <c r="G7" s="26" t="str">
        <f t="shared" si="1"/>
        <v>11001_2</v>
      </c>
      <c r="H7" s="16" t="str">
        <f ca="1">VLOOKUP($G7,OFFSET([2]stages!$A$1,0,0,COUNTA([2]stages!$A:$A),MATCH(H$1,[2]stages!$2:$2,0)-MATCH($G$1,[2]stages!$2:$2,0)+1),MATCH(H$1,[2]stages!$2:$2,0)-MATCH($G$1,[2]stages!$2:$2,0)+1,FALSE)</f>
        <v>【中級】雷のウサギ</v>
      </c>
      <c r="I7" s="25">
        <v>1</v>
      </c>
      <c r="J7" s="13">
        <v>30</v>
      </c>
      <c r="K7" s="13">
        <v>30</v>
      </c>
    </row>
    <row r="8" spans="1:11" ht="21" customHeight="1" x14ac:dyDescent="0.15">
      <c r="A8" s="17" t="str">
        <f t="shared" si="0"/>
        <v>11001_2-2</v>
      </c>
      <c r="B8" s="17" t="str">
        <f>IF(COUNTIF(enemy_habitats!$H:$H,A8),"OK","NG")</f>
        <v>OK</v>
      </c>
      <c r="C8" s="8">
        <v>11001</v>
      </c>
      <c r="D8" s="12" t="str">
        <f ca="1">VLOOKUP($C8,OFFSET([2]quests!$A$1,0,0,COUNTA([2]quests!$A:$A),MATCH(D$1,[2]quests!$1:$1,0)-MATCH($C$1,[2]quests!$1:$1,0)+1),MATCH(D$1,[2]quests!$1:$1,0)-MATCH($C$1,[2]quests!$1:$1,0)+1,FALSE)</f>
        <v>【月曜限定】 黄の素材</v>
      </c>
      <c r="E8" s="22" t="str">
        <f ca="1">VLOOKUP($C8,OFFSET([2]quests!$A$1,0,0,COUNTA([2]quests!$A:$A),MATCH(E$1,[2]quests!$1:$1,0)-MATCH($C$1,[2]quests!$1:$1,0)+1),MATCH(E$1,[2]quests!$1:$1,0)-MATCH($C$1,[2]quests!$1:$1,0)+1,FALSE)</f>
        <v>月曜クエスト</v>
      </c>
      <c r="F8" s="25">
        <v>2</v>
      </c>
      <c r="G8" s="26" t="str">
        <f t="shared" si="1"/>
        <v>11001_2</v>
      </c>
      <c r="H8" s="16" t="str">
        <f ca="1">VLOOKUP($G8,OFFSET([2]stages!$A$1,0,0,COUNTA([2]stages!$A:$A),MATCH(H$1,[2]stages!$2:$2,0)-MATCH($G$1,[2]stages!$2:$2,0)+1),MATCH(H$1,[2]stages!$2:$2,0)-MATCH($G$1,[2]stages!$2:$2,0)+1,FALSE)</f>
        <v>【中級】雷のウサギ</v>
      </c>
      <c r="I8" s="25">
        <v>2</v>
      </c>
      <c r="J8" s="13">
        <v>30</v>
      </c>
      <c r="K8" s="13">
        <v>30</v>
      </c>
    </row>
    <row r="9" spans="1:11" ht="21" customHeight="1" x14ac:dyDescent="0.15">
      <c r="A9" s="17" t="str">
        <f t="shared" si="0"/>
        <v>11001_2-3</v>
      </c>
      <c r="B9" s="17" t="str">
        <f>IF(COUNTIF(enemy_habitats!$H:$H,A9),"OK","NG")</f>
        <v>OK</v>
      </c>
      <c r="C9" s="8">
        <v>11001</v>
      </c>
      <c r="D9" s="12" t="str">
        <f ca="1">VLOOKUP($C9,OFFSET([2]quests!$A$1,0,0,COUNTA([2]quests!$A:$A),MATCH(D$1,[2]quests!$1:$1,0)-MATCH($C$1,[2]quests!$1:$1,0)+1),MATCH(D$1,[2]quests!$1:$1,0)-MATCH($C$1,[2]quests!$1:$1,0)+1,FALSE)</f>
        <v>【月曜限定】 黄の素材</v>
      </c>
      <c r="E9" s="22" t="str">
        <f ca="1">VLOOKUP($C9,OFFSET([2]quests!$A$1,0,0,COUNTA([2]quests!$A:$A),MATCH(E$1,[2]quests!$1:$1,0)-MATCH($C$1,[2]quests!$1:$1,0)+1),MATCH(E$1,[2]quests!$1:$1,0)-MATCH($C$1,[2]quests!$1:$1,0)+1,FALSE)</f>
        <v>月曜クエスト</v>
      </c>
      <c r="F9" s="25">
        <v>2</v>
      </c>
      <c r="G9" s="26" t="str">
        <f t="shared" si="1"/>
        <v>11001_2</v>
      </c>
      <c r="H9" s="16" t="str">
        <f ca="1">VLOOKUP($G9,OFFSET([2]stages!$A$1,0,0,COUNTA([2]stages!$A:$A),MATCH(H$1,[2]stages!$2:$2,0)-MATCH($G$1,[2]stages!$2:$2,0)+1),MATCH(H$1,[2]stages!$2:$2,0)-MATCH($G$1,[2]stages!$2:$2,0)+1,FALSE)</f>
        <v>【中級】雷のウサギ</v>
      </c>
      <c r="I9" s="25">
        <v>3</v>
      </c>
      <c r="J9" s="13">
        <v>45</v>
      </c>
      <c r="K9" s="13">
        <v>45</v>
      </c>
    </row>
    <row r="10" spans="1:11" ht="21" customHeight="1" x14ac:dyDescent="0.15">
      <c r="A10" s="17" t="str">
        <f t="shared" si="0"/>
        <v>11001_2-4</v>
      </c>
      <c r="B10" s="17" t="str">
        <f>IF(COUNTIF(enemy_habitats!$H:$H,A10),"OK","NG")</f>
        <v>OK</v>
      </c>
      <c r="C10" s="8">
        <v>11001</v>
      </c>
      <c r="D10" s="12" t="str">
        <f ca="1">VLOOKUP($C10,OFFSET([2]quests!$A$1,0,0,COUNTA([2]quests!$A:$A),MATCH(D$1,[2]quests!$1:$1,0)-MATCH($C$1,[2]quests!$1:$1,0)+1),MATCH(D$1,[2]quests!$1:$1,0)-MATCH($C$1,[2]quests!$1:$1,0)+1,FALSE)</f>
        <v>【月曜限定】 黄の素材</v>
      </c>
      <c r="E10" s="22" t="str">
        <f ca="1">VLOOKUP($C10,OFFSET([2]quests!$A$1,0,0,COUNTA([2]quests!$A:$A),MATCH(E$1,[2]quests!$1:$1,0)-MATCH($C$1,[2]quests!$1:$1,0)+1),MATCH(E$1,[2]quests!$1:$1,0)-MATCH($C$1,[2]quests!$1:$1,0)+1,FALSE)</f>
        <v>月曜クエスト</v>
      </c>
      <c r="F10" s="25">
        <v>2</v>
      </c>
      <c r="G10" s="26" t="str">
        <f t="shared" si="1"/>
        <v>11001_2</v>
      </c>
      <c r="H10" s="16" t="str">
        <f ca="1">VLOOKUP($G10,OFFSET([2]stages!$A$1,0,0,COUNTA([2]stages!$A:$A),MATCH(H$1,[2]stages!$2:$2,0)-MATCH($G$1,[2]stages!$2:$2,0)+1),MATCH(H$1,[2]stages!$2:$2,0)-MATCH($G$1,[2]stages!$2:$2,0)+1,FALSE)</f>
        <v>【中級】雷のウサギ</v>
      </c>
      <c r="I10" s="25">
        <v>4</v>
      </c>
      <c r="J10" s="13">
        <v>45</v>
      </c>
      <c r="K10" s="13">
        <v>45</v>
      </c>
    </row>
    <row r="11" spans="1:11" ht="21" customHeight="1" x14ac:dyDescent="0.15">
      <c r="A11" s="17" t="str">
        <f t="shared" si="0"/>
        <v>11001_2-5</v>
      </c>
      <c r="B11" s="17" t="str">
        <f>IF(COUNTIF(enemy_habitats!$H:$H,A11),"OK","NG")</f>
        <v>OK</v>
      </c>
      <c r="C11" s="8">
        <v>11001</v>
      </c>
      <c r="D11" s="12" t="str">
        <f ca="1">VLOOKUP($C11,OFFSET([2]quests!$A$1,0,0,COUNTA([2]quests!$A:$A),MATCH(D$1,[2]quests!$1:$1,0)-MATCH($C$1,[2]quests!$1:$1,0)+1),MATCH(D$1,[2]quests!$1:$1,0)-MATCH($C$1,[2]quests!$1:$1,0)+1,FALSE)</f>
        <v>【月曜限定】 黄の素材</v>
      </c>
      <c r="E11" s="22" t="str">
        <f ca="1">VLOOKUP($C11,OFFSET([2]quests!$A$1,0,0,COUNTA([2]quests!$A:$A),MATCH(E$1,[2]quests!$1:$1,0)-MATCH($C$1,[2]quests!$1:$1,0)+1),MATCH(E$1,[2]quests!$1:$1,0)-MATCH($C$1,[2]quests!$1:$1,0)+1,FALSE)</f>
        <v>月曜クエスト</v>
      </c>
      <c r="F11" s="25">
        <v>2</v>
      </c>
      <c r="G11" s="26" t="str">
        <f t="shared" si="1"/>
        <v>11001_2</v>
      </c>
      <c r="H11" s="16" t="str">
        <f ca="1">VLOOKUP($G11,OFFSET([2]stages!$A$1,0,0,COUNTA([2]stages!$A:$A),MATCH(H$1,[2]stages!$2:$2,0)-MATCH($G$1,[2]stages!$2:$2,0)+1),MATCH(H$1,[2]stages!$2:$2,0)-MATCH($G$1,[2]stages!$2:$2,0)+1,FALSE)</f>
        <v>【中級】雷のウサギ</v>
      </c>
      <c r="I11" s="25">
        <v>5</v>
      </c>
      <c r="J11" s="13">
        <v>50</v>
      </c>
      <c r="K11" s="13">
        <v>50</v>
      </c>
    </row>
    <row r="12" spans="1:11" ht="21" customHeight="1" x14ac:dyDescent="0.15">
      <c r="A12" s="17" t="str">
        <f t="shared" si="0"/>
        <v>11001_3-1</v>
      </c>
      <c r="B12" s="17" t="str">
        <f>IF(COUNTIF(enemy_habitats!$H:$H,A12),"OK","NG")</f>
        <v>OK</v>
      </c>
      <c r="C12" s="8">
        <v>11001</v>
      </c>
      <c r="D12" s="12" t="str">
        <f ca="1">VLOOKUP($C12,OFFSET([2]quests!$A$1,0,0,COUNTA([2]quests!$A:$A),MATCH(D$1,[2]quests!$1:$1,0)-MATCH($C$1,[2]quests!$1:$1,0)+1),MATCH(D$1,[2]quests!$1:$1,0)-MATCH($C$1,[2]quests!$1:$1,0)+1,FALSE)</f>
        <v>【月曜限定】 黄の素材</v>
      </c>
      <c r="E12" s="22" t="str">
        <f ca="1">VLOOKUP($C12,OFFSET([2]quests!$A$1,0,0,COUNTA([2]quests!$A:$A),MATCH(E$1,[2]quests!$1:$1,0)-MATCH($C$1,[2]quests!$1:$1,0)+1),MATCH(E$1,[2]quests!$1:$1,0)-MATCH($C$1,[2]quests!$1:$1,0)+1,FALSE)</f>
        <v>月曜クエスト</v>
      </c>
      <c r="F12" s="25">
        <v>3</v>
      </c>
      <c r="G12" s="26" t="str">
        <f t="shared" si="1"/>
        <v>11001_3</v>
      </c>
      <c r="H12" s="16" t="str">
        <f ca="1">VLOOKUP($G12,OFFSET([2]stages!$A$1,0,0,COUNTA([2]stages!$A:$A),MATCH(H$1,[2]stages!$2:$2,0)-MATCH($G$1,[2]stages!$2:$2,0)+1),MATCH(H$1,[2]stages!$2:$2,0)-MATCH($G$1,[2]stages!$2:$2,0)+1,FALSE)</f>
        <v>【上級】雷のイモムシ</v>
      </c>
      <c r="I12" s="25">
        <v>1</v>
      </c>
      <c r="J12" s="13">
        <v>30</v>
      </c>
      <c r="K12" s="13">
        <v>45</v>
      </c>
    </row>
    <row r="13" spans="1:11" ht="21" customHeight="1" x14ac:dyDescent="0.15">
      <c r="A13" s="17" t="str">
        <f t="shared" si="0"/>
        <v>11001_3-2</v>
      </c>
      <c r="B13" s="17" t="str">
        <f>IF(COUNTIF(enemy_habitats!$H:$H,A13),"OK","NG")</f>
        <v>OK</v>
      </c>
      <c r="C13" s="8">
        <v>11001</v>
      </c>
      <c r="D13" s="12" t="str">
        <f ca="1">VLOOKUP($C13,OFFSET([2]quests!$A$1,0,0,COUNTA([2]quests!$A:$A),MATCH(D$1,[2]quests!$1:$1,0)-MATCH($C$1,[2]quests!$1:$1,0)+1),MATCH(D$1,[2]quests!$1:$1,0)-MATCH($C$1,[2]quests!$1:$1,0)+1,FALSE)</f>
        <v>【月曜限定】 黄の素材</v>
      </c>
      <c r="E13" s="22" t="str">
        <f ca="1">VLOOKUP($C13,OFFSET([2]quests!$A$1,0,0,COUNTA([2]quests!$A:$A),MATCH(E$1,[2]quests!$1:$1,0)-MATCH($C$1,[2]quests!$1:$1,0)+1),MATCH(E$1,[2]quests!$1:$1,0)-MATCH($C$1,[2]quests!$1:$1,0)+1,FALSE)</f>
        <v>月曜クエスト</v>
      </c>
      <c r="F13" s="25">
        <v>3</v>
      </c>
      <c r="G13" s="26" t="str">
        <f t="shared" si="1"/>
        <v>11001_3</v>
      </c>
      <c r="H13" s="16" t="str">
        <f ca="1">VLOOKUP($G13,OFFSET([2]stages!$A$1,0,0,COUNTA([2]stages!$A:$A),MATCH(H$1,[2]stages!$2:$2,0)-MATCH($G$1,[2]stages!$2:$2,0)+1),MATCH(H$1,[2]stages!$2:$2,0)-MATCH($G$1,[2]stages!$2:$2,0)+1,FALSE)</f>
        <v>【上級】雷のイモムシ</v>
      </c>
      <c r="I13" s="25">
        <v>2</v>
      </c>
      <c r="J13" s="13">
        <v>30</v>
      </c>
      <c r="K13" s="13">
        <v>45</v>
      </c>
    </row>
    <row r="14" spans="1:11" ht="21" customHeight="1" x14ac:dyDescent="0.15">
      <c r="A14" s="17" t="str">
        <f t="shared" si="0"/>
        <v>11001_3-3</v>
      </c>
      <c r="B14" s="17" t="str">
        <f>IF(COUNTIF(enemy_habitats!$H:$H,A14),"OK","NG")</f>
        <v>OK</v>
      </c>
      <c r="C14" s="8">
        <v>11001</v>
      </c>
      <c r="D14" s="12" t="str">
        <f ca="1">VLOOKUP($C14,OFFSET([2]quests!$A$1,0,0,COUNTA([2]quests!$A:$A),MATCH(D$1,[2]quests!$1:$1,0)-MATCH($C$1,[2]quests!$1:$1,0)+1),MATCH(D$1,[2]quests!$1:$1,0)-MATCH($C$1,[2]quests!$1:$1,0)+1,FALSE)</f>
        <v>【月曜限定】 黄の素材</v>
      </c>
      <c r="E14" s="22" t="str">
        <f ca="1">VLOOKUP($C14,OFFSET([2]quests!$A$1,0,0,COUNTA([2]quests!$A:$A),MATCH(E$1,[2]quests!$1:$1,0)-MATCH($C$1,[2]quests!$1:$1,0)+1),MATCH(E$1,[2]quests!$1:$1,0)-MATCH($C$1,[2]quests!$1:$1,0)+1,FALSE)</f>
        <v>月曜クエスト</v>
      </c>
      <c r="F14" s="25">
        <v>3</v>
      </c>
      <c r="G14" s="26" t="str">
        <f t="shared" si="1"/>
        <v>11001_3</v>
      </c>
      <c r="H14" s="16" t="str">
        <f ca="1">VLOOKUP($G14,OFFSET([2]stages!$A$1,0,0,COUNTA([2]stages!$A:$A),MATCH(H$1,[2]stages!$2:$2,0)-MATCH($G$1,[2]stages!$2:$2,0)+1),MATCH(H$1,[2]stages!$2:$2,0)-MATCH($G$1,[2]stages!$2:$2,0)+1,FALSE)</f>
        <v>【上級】雷のイモムシ</v>
      </c>
      <c r="I14" s="25">
        <v>3</v>
      </c>
      <c r="J14" s="13">
        <v>45</v>
      </c>
      <c r="K14" s="13">
        <v>45</v>
      </c>
    </row>
    <row r="15" spans="1:11" ht="21" customHeight="1" x14ac:dyDescent="0.15">
      <c r="A15" s="17" t="str">
        <f t="shared" si="0"/>
        <v>11001_3-4</v>
      </c>
      <c r="B15" s="17" t="str">
        <f>IF(COUNTIF(enemy_habitats!$H:$H,A15),"OK","NG")</f>
        <v>OK</v>
      </c>
      <c r="C15" s="8">
        <v>11001</v>
      </c>
      <c r="D15" s="12" t="str">
        <f ca="1">VLOOKUP($C15,OFFSET([2]quests!$A$1,0,0,COUNTA([2]quests!$A:$A),MATCH(D$1,[2]quests!$1:$1,0)-MATCH($C$1,[2]quests!$1:$1,0)+1),MATCH(D$1,[2]quests!$1:$1,0)-MATCH($C$1,[2]quests!$1:$1,0)+1,FALSE)</f>
        <v>【月曜限定】 黄の素材</v>
      </c>
      <c r="E15" s="22" t="str">
        <f ca="1">VLOOKUP($C15,OFFSET([2]quests!$A$1,0,0,COUNTA([2]quests!$A:$A),MATCH(E$1,[2]quests!$1:$1,0)-MATCH($C$1,[2]quests!$1:$1,0)+1),MATCH(E$1,[2]quests!$1:$1,0)-MATCH($C$1,[2]quests!$1:$1,0)+1,FALSE)</f>
        <v>月曜クエスト</v>
      </c>
      <c r="F15" s="25">
        <v>3</v>
      </c>
      <c r="G15" s="26" t="str">
        <f t="shared" si="1"/>
        <v>11001_3</v>
      </c>
      <c r="H15" s="16" t="str">
        <f ca="1">VLOOKUP($G15,OFFSET([2]stages!$A$1,0,0,COUNTA([2]stages!$A:$A),MATCH(H$1,[2]stages!$2:$2,0)-MATCH($G$1,[2]stages!$2:$2,0)+1),MATCH(H$1,[2]stages!$2:$2,0)-MATCH($G$1,[2]stages!$2:$2,0)+1,FALSE)</f>
        <v>【上級】雷のイモムシ</v>
      </c>
      <c r="I15" s="25">
        <v>4</v>
      </c>
      <c r="J15" s="13">
        <v>45</v>
      </c>
      <c r="K15" s="13">
        <v>60</v>
      </c>
    </row>
    <row r="16" spans="1:11" ht="21" customHeight="1" x14ac:dyDescent="0.15">
      <c r="A16" s="17" t="str">
        <f t="shared" si="0"/>
        <v>11001_3-5</v>
      </c>
      <c r="B16" s="17" t="str">
        <f>IF(COUNTIF(enemy_habitats!$H:$H,A16),"OK","NG")</f>
        <v>OK</v>
      </c>
      <c r="C16" s="8">
        <v>11001</v>
      </c>
      <c r="D16" s="12" t="str">
        <f ca="1">VLOOKUP($C16,OFFSET([2]quests!$A$1,0,0,COUNTA([2]quests!$A:$A),MATCH(D$1,[2]quests!$1:$1,0)-MATCH($C$1,[2]quests!$1:$1,0)+1),MATCH(D$1,[2]quests!$1:$1,0)-MATCH($C$1,[2]quests!$1:$1,0)+1,FALSE)</f>
        <v>【月曜限定】 黄の素材</v>
      </c>
      <c r="E16" s="22" t="str">
        <f ca="1">VLOOKUP($C16,OFFSET([2]quests!$A$1,0,0,COUNTA([2]quests!$A:$A),MATCH(E$1,[2]quests!$1:$1,0)-MATCH($C$1,[2]quests!$1:$1,0)+1),MATCH(E$1,[2]quests!$1:$1,0)-MATCH($C$1,[2]quests!$1:$1,0)+1,FALSE)</f>
        <v>月曜クエスト</v>
      </c>
      <c r="F16" s="25">
        <v>3</v>
      </c>
      <c r="G16" s="26" t="str">
        <f t="shared" si="1"/>
        <v>11001_3</v>
      </c>
      <c r="H16" s="16" t="str">
        <f ca="1">VLOOKUP($G16,OFFSET([2]stages!$A$1,0,0,COUNTA([2]stages!$A:$A),MATCH(H$1,[2]stages!$2:$2,0)-MATCH($G$1,[2]stages!$2:$2,0)+1),MATCH(H$1,[2]stages!$2:$2,0)-MATCH($G$1,[2]stages!$2:$2,0)+1,FALSE)</f>
        <v>【上級】雷のイモムシ</v>
      </c>
      <c r="I16" s="25">
        <v>5</v>
      </c>
      <c r="J16" s="13">
        <v>60</v>
      </c>
      <c r="K16" s="13">
        <v>60</v>
      </c>
    </row>
    <row r="17" spans="1:11" ht="21" customHeight="1" x14ac:dyDescent="0.15">
      <c r="A17" s="17" t="str">
        <f t="shared" si="0"/>
        <v>11002_1-1</v>
      </c>
      <c r="B17" s="17" t="str">
        <f>IF(COUNTIF(enemy_habitats!$H:$H,A17),"OK","NG")</f>
        <v>OK</v>
      </c>
      <c r="C17" s="8">
        <v>11002</v>
      </c>
      <c r="D17" s="12" t="str">
        <f ca="1">VLOOKUP($C17,OFFSET([2]quests!$A$1,0,0,COUNTA([2]quests!$A:$A),MATCH(D$1,[2]quests!$1:$1,0)-MATCH($C$1,[2]quests!$1:$1,0)+1),MATCH(D$1,[2]quests!$1:$1,0)-MATCH($C$1,[2]quests!$1:$1,0)+1,FALSE)</f>
        <v>【火曜限定】 赤の素材</v>
      </c>
      <c r="E17" s="22" t="str">
        <f ca="1">VLOOKUP($C17,OFFSET([2]quests!$A$1,0,0,COUNTA([2]quests!$A:$A),MATCH(E$1,[2]quests!$1:$1,0)-MATCH($C$1,[2]quests!$1:$1,0)+1),MATCH(E$1,[2]quests!$1:$1,0)-MATCH($C$1,[2]quests!$1:$1,0)+1,FALSE)</f>
        <v>火曜クエスト</v>
      </c>
      <c r="F17" s="25">
        <v>1</v>
      </c>
      <c r="G17" s="26" t="str">
        <f t="shared" si="1"/>
        <v>11002_1</v>
      </c>
      <c r="H17" s="16" t="str">
        <f ca="1">VLOOKUP($G17,OFFSET([2]stages!$A$1,0,0,COUNTA([2]stages!$A:$A),MATCH(H$1,[2]stages!$2:$2,0)-MATCH($G$1,[2]stages!$2:$2,0)+1),MATCH(H$1,[2]stages!$2:$2,0)-MATCH($G$1,[2]stages!$2:$2,0)+1,FALSE)</f>
        <v xml:space="preserve">【初級】火のチェシャ猫 </v>
      </c>
      <c r="I17" s="25">
        <v>1</v>
      </c>
      <c r="J17" s="13">
        <v>30</v>
      </c>
      <c r="K17" s="13">
        <v>45</v>
      </c>
    </row>
    <row r="18" spans="1:11" ht="21" customHeight="1" x14ac:dyDescent="0.15">
      <c r="A18" s="17" t="str">
        <f t="shared" si="0"/>
        <v>11002_1-2</v>
      </c>
      <c r="B18" s="17" t="str">
        <f>IF(COUNTIF(enemy_habitats!$H:$H,A18),"OK","NG")</f>
        <v>OK</v>
      </c>
      <c r="C18" s="8">
        <v>11002</v>
      </c>
      <c r="D18" s="12" t="str">
        <f ca="1">VLOOKUP($C18,OFFSET([2]quests!$A$1,0,0,COUNTA([2]quests!$A:$A),MATCH(D$1,[2]quests!$1:$1,0)-MATCH($C$1,[2]quests!$1:$1,0)+1),MATCH(D$1,[2]quests!$1:$1,0)-MATCH($C$1,[2]quests!$1:$1,0)+1,FALSE)</f>
        <v>【火曜限定】 赤の素材</v>
      </c>
      <c r="E18" s="22" t="str">
        <f ca="1">VLOOKUP($C18,OFFSET([2]quests!$A$1,0,0,COUNTA([2]quests!$A:$A),MATCH(E$1,[2]quests!$1:$1,0)-MATCH($C$1,[2]quests!$1:$1,0)+1),MATCH(E$1,[2]quests!$1:$1,0)-MATCH($C$1,[2]quests!$1:$1,0)+1,FALSE)</f>
        <v>火曜クエスト</v>
      </c>
      <c r="F18" s="25">
        <v>1</v>
      </c>
      <c r="G18" s="26" t="str">
        <f t="shared" si="1"/>
        <v>11002_1</v>
      </c>
      <c r="H18" s="16" t="str">
        <f ca="1">VLOOKUP($G18,OFFSET([2]stages!$A$1,0,0,COUNTA([2]stages!$A:$A),MATCH(H$1,[2]stages!$2:$2,0)-MATCH($G$1,[2]stages!$2:$2,0)+1),MATCH(H$1,[2]stages!$2:$2,0)-MATCH($G$1,[2]stages!$2:$2,0)+1,FALSE)</f>
        <v xml:space="preserve">【初級】火のチェシャ猫 </v>
      </c>
      <c r="I18" s="25">
        <v>2</v>
      </c>
      <c r="J18" s="13">
        <v>30</v>
      </c>
      <c r="K18" s="13">
        <v>45</v>
      </c>
    </row>
    <row r="19" spans="1:11" ht="21" customHeight="1" x14ac:dyDescent="0.15">
      <c r="A19" s="17" t="str">
        <f t="shared" si="0"/>
        <v>11002_1-3</v>
      </c>
      <c r="B19" s="17" t="str">
        <f>IF(COUNTIF(enemy_habitats!$H:$H,A19),"OK","NG")</f>
        <v>OK</v>
      </c>
      <c r="C19" s="8">
        <v>11002</v>
      </c>
      <c r="D19" s="12" t="str">
        <f ca="1">VLOOKUP($C19,OFFSET([2]quests!$A$1,0,0,COUNTA([2]quests!$A:$A),MATCH(D$1,[2]quests!$1:$1,0)-MATCH($C$1,[2]quests!$1:$1,0)+1),MATCH(D$1,[2]quests!$1:$1,0)-MATCH($C$1,[2]quests!$1:$1,0)+1,FALSE)</f>
        <v>【火曜限定】 赤の素材</v>
      </c>
      <c r="E19" s="22" t="str">
        <f ca="1">VLOOKUP($C19,OFFSET([2]quests!$A$1,0,0,COUNTA([2]quests!$A:$A),MATCH(E$1,[2]quests!$1:$1,0)-MATCH($C$1,[2]quests!$1:$1,0)+1),MATCH(E$1,[2]quests!$1:$1,0)-MATCH($C$1,[2]quests!$1:$1,0)+1,FALSE)</f>
        <v>火曜クエスト</v>
      </c>
      <c r="F19" s="25">
        <v>1</v>
      </c>
      <c r="G19" s="26" t="str">
        <f t="shared" si="1"/>
        <v>11002_1</v>
      </c>
      <c r="H19" s="16" t="str">
        <f ca="1">VLOOKUP($G19,OFFSET([2]stages!$A$1,0,0,COUNTA([2]stages!$A:$A),MATCH(H$1,[2]stages!$2:$2,0)-MATCH($G$1,[2]stages!$2:$2,0)+1),MATCH(H$1,[2]stages!$2:$2,0)-MATCH($G$1,[2]stages!$2:$2,0)+1,FALSE)</f>
        <v xml:space="preserve">【初級】火のチェシャ猫 </v>
      </c>
      <c r="I19" s="25">
        <v>3</v>
      </c>
      <c r="J19" s="13">
        <v>45</v>
      </c>
      <c r="K19" s="13">
        <v>45</v>
      </c>
    </row>
    <row r="20" spans="1:11" ht="21" customHeight="1" x14ac:dyDescent="0.15">
      <c r="A20" s="17" t="str">
        <f t="shared" si="0"/>
        <v>11002_1-4</v>
      </c>
      <c r="B20" s="17" t="str">
        <f>IF(COUNTIF(enemy_habitats!$H:$H,A20),"OK","NG")</f>
        <v>OK</v>
      </c>
      <c r="C20" s="8">
        <v>11002</v>
      </c>
      <c r="D20" s="12" t="str">
        <f ca="1">VLOOKUP($C20,OFFSET([2]quests!$A$1,0,0,COUNTA([2]quests!$A:$A),MATCH(D$1,[2]quests!$1:$1,0)-MATCH($C$1,[2]quests!$1:$1,0)+1),MATCH(D$1,[2]quests!$1:$1,0)-MATCH($C$1,[2]quests!$1:$1,0)+1,FALSE)</f>
        <v>【火曜限定】 赤の素材</v>
      </c>
      <c r="E20" s="22" t="str">
        <f ca="1">VLOOKUP($C20,OFFSET([2]quests!$A$1,0,0,COUNTA([2]quests!$A:$A),MATCH(E$1,[2]quests!$1:$1,0)-MATCH($C$1,[2]quests!$1:$1,0)+1),MATCH(E$1,[2]quests!$1:$1,0)-MATCH($C$1,[2]quests!$1:$1,0)+1,FALSE)</f>
        <v>火曜クエスト</v>
      </c>
      <c r="F20" s="25">
        <v>1</v>
      </c>
      <c r="G20" s="26" t="str">
        <f t="shared" si="1"/>
        <v>11002_1</v>
      </c>
      <c r="H20" s="16" t="str">
        <f ca="1">VLOOKUP($G20,OFFSET([2]stages!$A$1,0,0,COUNTA([2]stages!$A:$A),MATCH(H$1,[2]stages!$2:$2,0)-MATCH($G$1,[2]stages!$2:$2,0)+1),MATCH(H$1,[2]stages!$2:$2,0)-MATCH($G$1,[2]stages!$2:$2,0)+1,FALSE)</f>
        <v xml:space="preserve">【初級】火のチェシャ猫 </v>
      </c>
      <c r="I20" s="25">
        <v>4</v>
      </c>
      <c r="J20" s="13">
        <v>45</v>
      </c>
      <c r="K20" s="13">
        <v>60</v>
      </c>
    </row>
    <row r="21" spans="1:11" ht="21" customHeight="1" x14ac:dyDescent="0.15">
      <c r="A21" s="17" t="str">
        <f t="shared" si="0"/>
        <v>11002_1-5</v>
      </c>
      <c r="B21" s="17" t="str">
        <f>IF(COUNTIF(enemy_habitats!$H:$H,A21),"OK","NG")</f>
        <v>OK</v>
      </c>
      <c r="C21" s="8">
        <v>11002</v>
      </c>
      <c r="D21" s="12" t="str">
        <f ca="1">VLOOKUP($C21,OFFSET([2]quests!$A$1,0,0,COUNTA([2]quests!$A:$A),MATCH(D$1,[2]quests!$1:$1,0)-MATCH($C$1,[2]quests!$1:$1,0)+1),MATCH(D$1,[2]quests!$1:$1,0)-MATCH($C$1,[2]quests!$1:$1,0)+1,FALSE)</f>
        <v>【火曜限定】 赤の素材</v>
      </c>
      <c r="E21" s="22" t="str">
        <f ca="1">VLOOKUP($C21,OFFSET([2]quests!$A$1,0,0,COUNTA([2]quests!$A:$A),MATCH(E$1,[2]quests!$1:$1,0)-MATCH($C$1,[2]quests!$1:$1,0)+1),MATCH(E$1,[2]quests!$1:$1,0)-MATCH($C$1,[2]quests!$1:$1,0)+1,FALSE)</f>
        <v>火曜クエスト</v>
      </c>
      <c r="F21" s="25">
        <v>1</v>
      </c>
      <c r="G21" s="26" t="str">
        <f t="shared" si="1"/>
        <v>11002_1</v>
      </c>
      <c r="H21" s="16" t="str">
        <f ca="1">VLOOKUP($G21,OFFSET([2]stages!$A$1,0,0,COUNTA([2]stages!$A:$A),MATCH(H$1,[2]stages!$2:$2,0)-MATCH($G$1,[2]stages!$2:$2,0)+1),MATCH(H$1,[2]stages!$2:$2,0)-MATCH($G$1,[2]stages!$2:$2,0)+1,FALSE)</f>
        <v xml:space="preserve">【初級】火のチェシャ猫 </v>
      </c>
      <c r="I21" s="25">
        <v>5</v>
      </c>
      <c r="J21" s="13">
        <v>45</v>
      </c>
      <c r="K21" s="13">
        <v>45</v>
      </c>
    </row>
    <row r="22" spans="1:11" ht="21" customHeight="1" x14ac:dyDescent="0.15">
      <c r="A22" s="17" t="str">
        <f t="shared" si="0"/>
        <v>11002_2-1</v>
      </c>
      <c r="B22" s="17" t="str">
        <f>IF(COUNTIF(enemy_habitats!$H:$H,A22),"OK","NG")</f>
        <v>OK</v>
      </c>
      <c r="C22" s="8">
        <v>11002</v>
      </c>
      <c r="D22" s="12" t="str">
        <f ca="1">VLOOKUP($C22,OFFSET([2]quests!$A$1,0,0,COUNTA([2]quests!$A:$A),MATCH(D$1,[2]quests!$1:$1,0)-MATCH($C$1,[2]quests!$1:$1,0)+1),MATCH(D$1,[2]quests!$1:$1,0)-MATCH($C$1,[2]quests!$1:$1,0)+1,FALSE)</f>
        <v>【火曜限定】 赤の素材</v>
      </c>
      <c r="E22" s="22" t="str">
        <f ca="1">VLOOKUP($C22,OFFSET([2]quests!$A$1,0,0,COUNTA([2]quests!$A:$A),MATCH(E$1,[2]quests!$1:$1,0)-MATCH($C$1,[2]quests!$1:$1,0)+1),MATCH(E$1,[2]quests!$1:$1,0)-MATCH($C$1,[2]quests!$1:$1,0)+1,FALSE)</f>
        <v>火曜クエスト</v>
      </c>
      <c r="F22" s="25">
        <v>2</v>
      </c>
      <c r="G22" s="26" t="str">
        <f t="shared" si="1"/>
        <v>11002_2</v>
      </c>
      <c r="H22" s="16" t="str">
        <f ca="1">VLOOKUP($G22,OFFSET([2]stages!$A$1,0,0,COUNTA([2]stages!$A:$A),MATCH(H$1,[2]stages!$2:$2,0)-MATCH($G$1,[2]stages!$2:$2,0)+1),MATCH(H$1,[2]stages!$2:$2,0)-MATCH($G$1,[2]stages!$2:$2,0)+1,FALSE)</f>
        <v xml:space="preserve">【中級】火のウサギ </v>
      </c>
      <c r="I22" s="25">
        <v>1</v>
      </c>
      <c r="J22" s="13">
        <v>30</v>
      </c>
      <c r="K22" s="13">
        <v>30</v>
      </c>
    </row>
    <row r="23" spans="1:11" ht="21" customHeight="1" x14ac:dyDescent="0.15">
      <c r="A23" s="17" t="str">
        <f t="shared" si="0"/>
        <v>11002_2-2</v>
      </c>
      <c r="B23" s="17" t="str">
        <f>IF(COUNTIF(enemy_habitats!$H:$H,A23),"OK","NG")</f>
        <v>OK</v>
      </c>
      <c r="C23" s="8">
        <v>11002</v>
      </c>
      <c r="D23" s="12" t="str">
        <f ca="1">VLOOKUP($C23,OFFSET([2]quests!$A$1,0,0,COUNTA([2]quests!$A:$A),MATCH(D$1,[2]quests!$1:$1,0)-MATCH($C$1,[2]quests!$1:$1,0)+1),MATCH(D$1,[2]quests!$1:$1,0)-MATCH($C$1,[2]quests!$1:$1,0)+1,FALSE)</f>
        <v>【火曜限定】 赤の素材</v>
      </c>
      <c r="E23" s="22" t="str">
        <f ca="1">VLOOKUP($C23,OFFSET([2]quests!$A$1,0,0,COUNTA([2]quests!$A:$A),MATCH(E$1,[2]quests!$1:$1,0)-MATCH($C$1,[2]quests!$1:$1,0)+1),MATCH(E$1,[2]quests!$1:$1,0)-MATCH($C$1,[2]quests!$1:$1,0)+1,FALSE)</f>
        <v>火曜クエスト</v>
      </c>
      <c r="F23" s="25">
        <v>2</v>
      </c>
      <c r="G23" s="26" t="str">
        <f t="shared" si="1"/>
        <v>11002_2</v>
      </c>
      <c r="H23" s="16" t="str">
        <f ca="1">VLOOKUP($G23,OFFSET([2]stages!$A$1,0,0,COUNTA([2]stages!$A:$A),MATCH(H$1,[2]stages!$2:$2,0)-MATCH($G$1,[2]stages!$2:$2,0)+1),MATCH(H$1,[2]stages!$2:$2,0)-MATCH($G$1,[2]stages!$2:$2,0)+1,FALSE)</f>
        <v xml:space="preserve">【中級】火のウサギ </v>
      </c>
      <c r="I23" s="25">
        <v>2</v>
      </c>
      <c r="J23" s="13">
        <v>30</v>
      </c>
      <c r="K23" s="13">
        <v>30</v>
      </c>
    </row>
    <row r="24" spans="1:11" ht="21" customHeight="1" x14ac:dyDescent="0.15">
      <c r="A24" s="17" t="str">
        <f t="shared" si="0"/>
        <v>11002_2-3</v>
      </c>
      <c r="B24" s="17" t="str">
        <f>IF(COUNTIF(enemy_habitats!$H:$H,A24),"OK","NG")</f>
        <v>OK</v>
      </c>
      <c r="C24" s="8">
        <v>11002</v>
      </c>
      <c r="D24" s="12" t="str">
        <f ca="1">VLOOKUP($C24,OFFSET([2]quests!$A$1,0,0,COUNTA([2]quests!$A:$A),MATCH(D$1,[2]quests!$1:$1,0)-MATCH($C$1,[2]quests!$1:$1,0)+1),MATCH(D$1,[2]quests!$1:$1,0)-MATCH($C$1,[2]quests!$1:$1,0)+1,FALSE)</f>
        <v>【火曜限定】 赤の素材</v>
      </c>
      <c r="E24" s="22" t="str">
        <f ca="1">VLOOKUP($C24,OFFSET([2]quests!$A$1,0,0,COUNTA([2]quests!$A:$A),MATCH(E$1,[2]quests!$1:$1,0)-MATCH($C$1,[2]quests!$1:$1,0)+1),MATCH(E$1,[2]quests!$1:$1,0)-MATCH($C$1,[2]quests!$1:$1,0)+1,FALSE)</f>
        <v>火曜クエスト</v>
      </c>
      <c r="F24" s="25">
        <v>2</v>
      </c>
      <c r="G24" s="26" t="str">
        <f t="shared" si="1"/>
        <v>11002_2</v>
      </c>
      <c r="H24" s="16" t="str">
        <f ca="1">VLOOKUP($G24,OFFSET([2]stages!$A$1,0,0,COUNTA([2]stages!$A:$A),MATCH(H$1,[2]stages!$2:$2,0)-MATCH($G$1,[2]stages!$2:$2,0)+1),MATCH(H$1,[2]stages!$2:$2,0)-MATCH($G$1,[2]stages!$2:$2,0)+1,FALSE)</f>
        <v xml:space="preserve">【中級】火のウサギ </v>
      </c>
      <c r="I24" s="25">
        <v>3</v>
      </c>
      <c r="J24" s="13">
        <v>45</v>
      </c>
      <c r="K24" s="13">
        <v>45</v>
      </c>
    </row>
    <row r="25" spans="1:11" ht="21" customHeight="1" x14ac:dyDescent="0.15">
      <c r="A25" s="17" t="str">
        <f t="shared" si="0"/>
        <v>11002_2-4</v>
      </c>
      <c r="B25" s="17" t="str">
        <f>IF(COUNTIF(enemy_habitats!$H:$H,A25),"OK","NG")</f>
        <v>OK</v>
      </c>
      <c r="C25" s="8">
        <v>11002</v>
      </c>
      <c r="D25" s="12" t="str">
        <f ca="1">VLOOKUP($C25,OFFSET([2]quests!$A$1,0,0,COUNTA([2]quests!$A:$A),MATCH(D$1,[2]quests!$1:$1,0)-MATCH($C$1,[2]quests!$1:$1,0)+1),MATCH(D$1,[2]quests!$1:$1,0)-MATCH($C$1,[2]quests!$1:$1,0)+1,FALSE)</f>
        <v>【火曜限定】 赤の素材</v>
      </c>
      <c r="E25" s="22" t="str">
        <f ca="1">VLOOKUP($C25,OFFSET([2]quests!$A$1,0,0,COUNTA([2]quests!$A:$A),MATCH(E$1,[2]quests!$1:$1,0)-MATCH($C$1,[2]quests!$1:$1,0)+1),MATCH(E$1,[2]quests!$1:$1,0)-MATCH($C$1,[2]quests!$1:$1,0)+1,FALSE)</f>
        <v>火曜クエスト</v>
      </c>
      <c r="F25" s="25">
        <v>2</v>
      </c>
      <c r="G25" s="26" t="str">
        <f t="shared" si="1"/>
        <v>11002_2</v>
      </c>
      <c r="H25" s="16" t="str">
        <f ca="1">VLOOKUP($G25,OFFSET([2]stages!$A$1,0,0,COUNTA([2]stages!$A:$A),MATCH(H$1,[2]stages!$2:$2,0)-MATCH($G$1,[2]stages!$2:$2,0)+1),MATCH(H$1,[2]stages!$2:$2,0)-MATCH($G$1,[2]stages!$2:$2,0)+1,FALSE)</f>
        <v xml:space="preserve">【中級】火のウサギ </v>
      </c>
      <c r="I25" s="25">
        <v>4</v>
      </c>
      <c r="J25" s="13">
        <v>45</v>
      </c>
      <c r="K25" s="13">
        <v>45</v>
      </c>
    </row>
    <row r="26" spans="1:11" ht="21" customHeight="1" x14ac:dyDescent="0.15">
      <c r="A26" s="17" t="str">
        <f t="shared" si="0"/>
        <v>11002_2-5</v>
      </c>
      <c r="B26" s="17" t="str">
        <f>IF(COUNTIF(enemy_habitats!$H:$H,A26),"OK","NG")</f>
        <v>OK</v>
      </c>
      <c r="C26" s="8">
        <v>11002</v>
      </c>
      <c r="D26" s="12" t="str">
        <f ca="1">VLOOKUP($C26,OFFSET([2]quests!$A$1,0,0,COUNTA([2]quests!$A:$A),MATCH(D$1,[2]quests!$1:$1,0)-MATCH($C$1,[2]quests!$1:$1,0)+1),MATCH(D$1,[2]quests!$1:$1,0)-MATCH($C$1,[2]quests!$1:$1,0)+1,FALSE)</f>
        <v>【火曜限定】 赤の素材</v>
      </c>
      <c r="E26" s="22" t="str">
        <f ca="1">VLOOKUP($C26,OFFSET([2]quests!$A$1,0,0,COUNTA([2]quests!$A:$A),MATCH(E$1,[2]quests!$1:$1,0)-MATCH($C$1,[2]quests!$1:$1,0)+1),MATCH(E$1,[2]quests!$1:$1,0)-MATCH($C$1,[2]quests!$1:$1,0)+1,FALSE)</f>
        <v>火曜クエスト</v>
      </c>
      <c r="F26" s="25">
        <v>2</v>
      </c>
      <c r="G26" s="26" t="str">
        <f t="shared" si="1"/>
        <v>11002_2</v>
      </c>
      <c r="H26" s="16" t="str">
        <f ca="1">VLOOKUP($G26,OFFSET([2]stages!$A$1,0,0,COUNTA([2]stages!$A:$A),MATCH(H$1,[2]stages!$2:$2,0)-MATCH($G$1,[2]stages!$2:$2,0)+1),MATCH(H$1,[2]stages!$2:$2,0)-MATCH($G$1,[2]stages!$2:$2,0)+1,FALSE)</f>
        <v xml:space="preserve">【中級】火のウサギ </v>
      </c>
      <c r="I26" s="25">
        <v>5</v>
      </c>
      <c r="J26" s="13">
        <v>50</v>
      </c>
      <c r="K26" s="13">
        <v>50</v>
      </c>
    </row>
    <row r="27" spans="1:11" ht="21" customHeight="1" x14ac:dyDescent="0.15">
      <c r="A27" s="17" t="str">
        <f t="shared" si="0"/>
        <v>11002_3-1</v>
      </c>
      <c r="B27" s="17" t="str">
        <f>IF(COUNTIF(enemy_habitats!$H:$H,A27),"OK","NG")</f>
        <v>OK</v>
      </c>
      <c r="C27" s="8">
        <v>11002</v>
      </c>
      <c r="D27" s="12" t="str">
        <f ca="1">VLOOKUP($C27,OFFSET([2]quests!$A$1,0,0,COUNTA([2]quests!$A:$A),MATCH(D$1,[2]quests!$1:$1,0)-MATCH($C$1,[2]quests!$1:$1,0)+1),MATCH(D$1,[2]quests!$1:$1,0)-MATCH($C$1,[2]quests!$1:$1,0)+1,FALSE)</f>
        <v>【火曜限定】 赤の素材</v>
      </c>
      <c r="E27" s="22" t="str">
        <f ca="1">VLOOKUP($C27,OFFSET([2]quests!$A$1,0,0,COUNTA([2]quests!$A:$A),MATCH(E$1,[2]quests!$1:$1,0)-MATCH($C$1,[2]quests!$1:$1,0)+1),MATCH(E$1,[2]quests!$1:$1,0)-MATCH($C$1,[2]quests!$1:$1,0)+1,FALSE)</f>
        <v>火曜クエスト</v>
      </c>
      <c r="F27" s="25">
        <v>3</v>
      </c>
      <c r="G27" s="26" t="str">
        <f t="shared" si="1"/>
        <v>11002_3</v>
      </c>
      <c r="H27" s="16" t="str">
        <f ca="1">VLOOKUP($G27,OFFSET([2]stages!$A$1,0,0,COUNTA([2]stages!$A:$A),MATCH(H$1,[2]stages!$2:$2,0)-MATCH($G$1,[2]stages!$2:$2,0)+1),MATCH(H$1,[2]stages!$2:$2,0)-MATCH($G$1,[2]stages!$2:$2,0)+1,FALSE)</f>
        <v xml:space="preserve">【上級】火のイモムシ </v>
      </c>
      <c r="I27" s="25">
        <v>1</v>
      </c>
      <c r="J27" s="13">
        <v>30</v>
      </c>
      <c r="K27" s="13">
        <v>45</v>
      </c>
    </row>
    <row r="28" spans="1:11" ht="21" customHeight="1" x14ac:dyDescent="0.15">
      <c r="A28" s="17" t="str">
        <f t="shared" si="0"/>
        <v>11002_3-2</v>
      </c>
      <c r="B28" s="17" t="str">
        <f>IF(COUNTIF(enemy_habitats!$H:$H,A28),"OK","NG")</f>
        <v>OK</v>
      </c>
      <c r="C28" s="8">
        <v>11002</v>
      </c>
      <c r="D28" s="12" t="str">
        <f ca="1">VLOOKUP($C28,OFFSET([2]quests!$A$1,0,0,COUNTA([2]quests!$A:$A),MATCH(D$1,[2]quests!$1:$1,0)-MATCH($C$1,[2]quests!$1:$1,0)+1),MATCH(D$1,[2]quests!$1:$1,0)-MATCH($C$1,[2]quests!$1:$1,0)+1,FALSE)</f>
        <v>【火曜限定】 赤の素材</v>
      </c>
      <c r="E28" s="22" t="str">
        <f ca="1">VLOOKUP($C28,OFFSET([2]quests!$A$1,0,0,COUNTA([2]quests!$A:$A),MATCH(E$1,[2]quests!$1:$1,0)-MATCH($C$1,[2]quests!$1:$1,0)+1),MATCH(E$1,[2]quests!$1:$1,0)-MATCH($C$1,[2]quests!$1:$1,0)+1,FALSE)</f>
        <v>火曜クエスト</v>
      </c>
      <c r="F28" s="25">
        <v>3</v>
      </c>
      <c r="G28" s="26" t="str">
        <f t="shared" si="1"/>
        <v>11002_3</v>
      </c>
      <c r="H28" s="16" t="str">
        <f ca="1">VLOOKUP($G28,OFFSET([2]stages!$A$1,0,0,COUNTA([2]stages!$A:$A),MATCH(H$1,[2]stages!$2:$2,0)-MATCH($G$1,[2]stages!$2:$2,0)+1),MATCH(H$1,[2]stages!$2:$2,0)-MATCH($G$1,[2]stages!$2:$2,0)+1,FALSE)</f>
        <v xml:space="preserve">【上級】火のイモムシ </v>
      </c>
      <c r="I28" s="25">
        <v>2</v>
      </c>
      <c r="J28" s="13">
        <v>30</v>
      </c>
      <c r="K28" s="13">
        <v>45</v>
      </c>
    </row>
    <row r="29" spans="1:11" ht="21" customHeight="1" x14ac:dyDescent="0.15">
      <c r="A29" s="17" t="str">
        <f t="shared" si="0"/>
        <v>11002_3-3</v>
      </c>
      <c r="B29" s="17" t="str">
        <f>IF(COUNTIF(enemy_habitats!$H:$H,A29),"OK","NG")</f>
        <v>OK</v>
      </c>
      <c r="C29" s="8">
        <v>11002</v>
      </c>
      <c r="D29" s="12" t="str">
        <f ca="1">VLOOKUP($C29,OFFSET([2]quests!$A$1,0,0,COUNTA([2]quests!$A:$A),MATCH(D$1,[2]quests!$1:$1,0)-MATCH($C$1,[2]quests!$1:$1,0)+1),MATCH(D$1,[2]quests!$1:$1,0)-MATCH($C$1,[2]quests!$1:$1,0)+1,FALSE)</f>
        <v>【火曜限定】 赤の素材</v>
      </c>
      <c r="E29" s="22" t="str">
        <f ca="1">VLOOKUP($C29,OFFSET([2]quests!$A$1,0,0,COUNTA([2]quests!$A:$A),MATCH(E$1,[2]quests!$1:$1,0)-MATCH($C$1,[2]quests!$1:$1,0)+1),MATCH(E$1,[2]quests!$1:$1,0)-MATCH($C$1,[2]quests!$1:$1,0)+1,FALSE)</f>
        <v>火曜クエスト</v>
      </c>
      <c r="F29" s="25">
        <v>3</v>
      </c>
      <c r="G29" s="26" t="str">
        <f t="shared" si="1"/>
        <v>11002_3</v>
      </c>
      <c r="H29" s="16" t="str">
        <f ca="1">VLOOKUP($G29,OFFSET([2]stages!$A$1,0,0,COUNTA([2]stages!$A:$A),MATCH(H$1,[2]stages!$2:$2,0)-MATCH($G$1,[2]stages!$2:$2,0)+1),MATCH(H$1,[2]stages!$2:$2,0)-MATCH($G$1,[2]stages!$2:$2,0)+1,FALSE)</f>
        <v xml:space="preserve">【上級】火のイモムシ </v>
      </c>
      <c r="I29" s="25">
        <v>3</v>
      </c>
      <c r="J29" s="13">
        <v>45</v>
      </c>
      <c r="K29" s="13">
        <v>45</v>
      </c>
    </row>
    <row r="30" spans="1:11" ht="21" customHeight="1" x14ac:dyDescent="0.15">
      <c r="A30" s="17" t="str">
        <f t="shared" si="0"/>
        <v>11002_3-4</v>
      </c>
      <c r="B30" s="17" t="str">
        <f>IF(COUNTIF(enemy_habitats!$H:$H,A30),"OK","NG")</f>
        <v>OK</v>
      </c>
      <c r="C30" s="8">
        <v>11002</v>
      </c>
      <c r="D30" s="12" t="str">
        <f ca="1">VLOOKUP($C30,OFFSET([2]quests!$A$1,0,0,COUNTA([2]quests!$A:$A),MATCH(D$1,[2]quests!$1:$1,0)-MATCH($C$1,[2]quests!$1:$1,0)+1),MATCH(D$1,[2]quests!$1:$1,0)-MATCH($C$1,[2]quests!$1:$1,0)+1,FALSE)</f>
        <v>【火曜限定】 赤の素材</v>
      </c>
      <c r="E30" s="22" t="str">
        <f ca="1">VLOOKUP($C30,OFFSET([2]quests!$A$1,0,0,COUNTA([2]quests!$A:$A),MATCH(E$1,[2]quests!$1:$1,0)-MATCH($C$1,[2]quests!$1:$1,0)+1),MATCH(E$1,[2]quests!$1:$1,0)-MATCH($C$1,[2]quests!$1:$1,0)+1,FALSE)</f>
        <v>火曜クエスト</v>
      </c>
      <c r="F30" s="25">
        <v>3</v>
      </c>
      <c r="G30" s="26" t="str">
        <f t="shared" si="1"/>
        <v>11002_3</v>
      </c>
      <c r="H30" s="16" t="str">
        <f ca="1">VLOOKUP($G30,OFFSET([2]stages!$A$1,0,0,COUNTA([2]stages!$A:$A),MATCH(H$1,[2]stages!$2:$2,0)-MATCH($G$1,[2]stages!$2:$2,0)+1),MATCH(H$1,[2]stages!$2:$2,0)-MATCH($G$1,[2]stages!$2:$2,0)+1,FALSE)</f>
        <v xml:space="preserve">【上級】火のイモムシ </v>
      </c>
      <c r="I30" s="25">
        <v>4</v>
      </c>
      <c r="J30" s="13">
        <v>45</v>
      </c>
      <c r="K30" s="13">
        <v>60</v>
      </c>
    </row>
    <row r="31" spans="1:11" ht="21" customHeight="1" x14ac:dyDescent="0.15">
      <c r="A31" s="17" t="str">
        <f t="shared" si="0"/>
        <v>11002_3-5</v>
      </c>
      <c r="B31" s="17" t="str">
        <f>IF(COUNTIF(enemy_habitats!$H:$H,A31),"OK","NG")</f>
        <v>OK</v>
      </c>
      <c r="C31" s="8">
        <v>11002</v>
      </c>
      <c r="D31" s="12" t="str">
        <f ca="1">VLOOKUP($C31,OFFSET([2]quests!$A$1,0,0,COUNTA([2]quests!$A:$A),MATCH(D$1,[2]quests!$1:$1,0)-MATCH($C$1,[2]quests!$1:$1,0)+1),MATCH(D$1,[2]quests!$1:$1,0)-MATCH($C$1,[2]quests!$1:$1,0)+1,FALSE)</f>
        <v>【火曜限定】 赤の素材</v>
      </c>
      <c r="E31" s="22" t="str">
        <f ca="1">VLOOKUP($C31,OFFSET([2]quests!$A$1,0,0,COUNTA([2]quests!$A:$A),MATCH(E$1,[2]quests!$1:$1,0)-MATCH($C$1,[2]quests!$1:$1,0)+1),MATCH(E$1,[2]quests!$1:$1,0)-MATCH($C$1,[2]quests!$1:$1,0)+1,FALSE)</f>
        <v>火曜クエスト</v>
      </c>
      <c r="F31" s="25">
        <v>3</v>
      </c>
      <c r="G31" s="26" t="str">
        <f t="shared" si="1"/>
        <v>11002_3</v>
      </c>
      <c r="H31" s="16" t="str">
        <f ca="1">VLOOKUP($G31,OFFSET([2]stages!$A$1,0,0,COUNTA([2]stages!$A:$A),MATCH(H$1,[2]stages!$2:$2,0)-MATCH($G$1,[2]stages!$2:$2,0)+1),MATCH(H$1,[2]stages!$2:$2,0)-MATCH($G$1,[2]stages!$2:$2,0)+1,FALSE)</f>
        <v xml:space="preserve">【上級】火のイモムシ </v>
      </c>
      <c r="I31" s="25">
        <v>5</v>
      </c>
      <c r="J31" s="13">
        <v>60</v>
      </c>
      <c r="K31" s="13">
        <v>60</v>
      </c>
    </row>
    <row r="32" spans="1:11" ht="21" customHeight="1" x14ac:dyDescent="0.15">
      <c r="A32" s="17" t="str">
        <f t="shared" si="0"/>
        <v>11003_1-1</v>
      </c>
      <c r="B32" s="17" t="str">
        <f>IF(COUNTIF(enemy_habitats!$H:$H,A32),"OK","NG")</f>
        <v>OK</v>
      </c>
      <c r="C32" s="8">
        <v>11003</v>
      </c>
      <c r="D32" s="12" t="str">
        <f ca="1">VLOOKUP($C32,OFFSET([2]quests!$A$1,0,0,COUNTA([2]quests!$A:$A),MATCH(D$1,[2]quests!$1:$1,0)-MATCH($C$1,[2]quests!$1:$1,0)+1),MATCH(D$1,[2]quests!$1:$1,0)-MATCH($C$1,[2]quests!$1:$1,0)+1,FALSE)</f>
        <v>【水曜限定】 青の素材</v>
      </c>
      <c r="E32" s="22" t="str">
        <f ca="1">VLOOKUP($C32,OFFSET([2]quests!$A$1,0,0,COUNTA([2]quests!$A:$A),MATCH(E$1,[2]quests!$1:$1,0)-MATCH($C$1,[2]quests!$1:$1,0)+1),MATCH(E$1,[2]quests!$1:$1,0)-MATCH($C$1,[2]quests!$1:$1,0)+1,FALSE)</f>
        <v>水曜クエスト</v>
      </c>
      <c r="F32" s="25">
        <v>1</v>
      </c>
      <c r="G32" s="26" t="str">
        <f t="shared" si="1"/>
        <v>11003_1</v>
      </c>
      <c r="H32" s="16" t="str">
        <f ca="1">VLOOKUP($G32,OFFSET([2]stages!$A$1,0,0,COUNTA([2]stages!$A:$A),MATCH(H$1,[2]stages!$2:$2,0)-MATCH($G$1,[2]stages!$2:$2,0)+1),MATCH(H$1,[2]stages!$2:$2,0)-MATCH($G$1,[2]stages!$2:$2,0)+1,FALSE)</f>
        <v>【初級】水のチェシャ猫</v>
      </c>
      <c r="I32" s="25">
        <v>1</v>
      </c>
      <c r="J32" s="13">
        <v>30</v>
      </c>
      <c r="K32" s="13">
        <v>45</v>
      </c>
    </row>
    <row r="33" spans="1:11" ht="21" customHeight="1" x14ac:dyDescent="0.15">
      <c r="A33" s="17" t="str">
        <f t="shared" si="0"/>
        <v>11003_1-2</v>
      </c>
      <c r="B33" s="17" t="str">
        <f>IF(COUNTIF(enemy_habitats!$H:$H,A33),"OK","NG")</f>
        <v>OK</v>
      </c>
      <c r="C33" s="8">
        <v>11003</v>
      </c>
      <c r="D33" s="12" t="str">
        <f ca="1">VLOOKUP($C33,OFFSET([2]quests!$A$1,0,0,COUNTA([2]quests!$A:$A),MATCH(D$1,[2]quests!$1:$1,0)-MATCH($C$1,[2]quests!$1:$1,0)+1),MATCH(D$1,[2]quests!$1:$1,0)-MATCH($C$1,[2]quests!$1:$1,0)+1,FALSE)</f>
        <v>【水曜限定】 青の素材</v>
      </c>
      <c r="E33" s="22" t="str">
        <f ca="1">VLOOKUP($C33,OFFSET([2]quests!$A$1,0,0,COUNTA([2]quests!$A:$A),MATCH(E$1,[2]quests!$1:$1,0)-MATCH($C$1,[2]quests!$1:$1,0)+1),MATCH(E$1,[2]quests!$1:$1,0)-MATCH($C$1,[2]quests!$1:$1,0)+1,FALSE)</f>
        <v>水曜クエスト</v>
      </c>
      <c r="F33" s="25">
        <v>1</v>
      </c>
      <c r="G33" s="26" t="str">
        <f t="shared" si="1"/>
        <v>11003_1</v>
      </c>
      <c r="H33" s="16" t="str">
        <f ca="1">VLOOKUP($G33,OFFSET([2]stages!$A$1,0,0,COUNTA([2]stages!$A:$A),MATCH(H$1,[2]stages!$2:$2,0)-MATCH($G$1,[2]stages!$2:$2,0)+1),MATCH(H$1,[2]stages!$2:$2,0)-MATCH($G$1,[2]stages!$2:$2,0)+1,FALSE)</f>
        <v>【初級】水のチェシャ猫</v>
      </c>
      <c r="I33" s="25">
        <v>2</v>
      </c>
      <c r="J33" s="13">
        <v>30</v>
      </c>
      <c r="K33" s="13">
        <v>45</v>
      </c>
    </row>
    <row r="34" spans="1:11" ht="21" customHeight="1" x14ac:dyDescent="0.15">
      <c r="A34" s="17" t="str">
        <f t="shared" ref="A34:A65" si="2">G34&amp;"-"&amp;I34</f>
        <v>11003_1-3</v>
      </c>
      <c r="B34" s="17" t="str">
        <f>IF(COUNTIF(enemy_habitats!$H:$H,A34),"OK","NG")</f>
        <v>OK</v>
      </c>
      <c r="C34" s="8">
        <v>11003</v>
      </c>
      <c r="D34" s="12" t="str">
        <f ca="1">VLOOKUP($C34,OFFSET([2]quests!$A$1,0,0,COUNTA([2]quests!$A:$A),MATCH(D$1,[2]quests!$1:$1,0)-MATCH($C$1,[2]quests!$1:$1,0)+1),MATCH(D$1,[2]quests!$1:$1,0)-MATCH($C$1,[2]quests!$1:$1,0)+1,FALSE)</f>
        <v>【水曜限定】 青の素材</v>
      </c>
      <c r="E34" s="22" t="str">
        <f ca="1">VLOOKUP($C34,OFFSET([2]quests!$A$1,0,0,COUNTA([2]quests!$A:$A),MATCH(E$1,[2]quests!$1:$1,0)-MATCH($C$1,[2]quests!$1:$1,0)+1),MATCH(E$1,[2]quests!$1:$1,0)-MATCH($C$1,[2]quests!$1:$1,0)+1,FALSE)</f>
        <v>水曜クエスト</v>
      </c>
      <c r="F34" s="25">
        <v>1</v>
      </c>
      <c r="G34" s="26" t="str">
        <f t="shared" ref="G34:G65" si="3">C34&amp;"_"&amp;F34</f>
        <v>11003_1</v>
      </c>
      <c r="H34" s="16" t="str">
        <f ca="1">VLOOKUP($G34,OFFSET([2]stages!$A$1,0,0,COUNTA([2]stages!$A:$A),MATCH(H$1,[2]stages!$2:$2,0)-MATCH($G$1,[2]stages!$2:$2,0)+1),MATCH(H$1,[2]stages!$2:$2,0)-MATCH($G$1,[2]stages!$2:$2,0)+1,FALSE)</f>
        <v>【初級】水のチェシャ猫</v>
      </c>
      <c r="I34" s="25">
        <v>3</v>
      </c>
      <c r="J34" s="13">
        <v>45</v>
      </c>
      <c r="K34" s="13">
        <v>45</v>
      </c>
    </row>
    <row r="35" spans="1:11" ht="21" customHeight="1" x14ac:dyDescent="0.15">
      <c r="A35" s="17" t="str">
        <f t="shared" si="2"/>
        <v>11003_1-4</v>
      </c>
      <c r="B35" s="17" t="str">
        <f>IF(COUNTIF(enemy_habitats!$H:$H,A35),"OK","NG")</f>
        <v>OK</v>
      </c>
      <c r="C35" s="8">
        <v>11003</v>
      </c>
      <c r="D35" s="12" t="str">
        <f ca="1">VLOOKUP($C35,OFFSET([2]quests!$A$1,0,0,COUNTA([2]quests!$A:$A),MATCH(D$1,[2]quests!$1:$1,0)-MATCH($C$1,[2]quests!$1:$1,0)+1),MATCH(D$1,[2]quests!$1:$1,0)-MATCH($C$1,[2]quests!$1:$1,0)+1,FALSE)</f>
        <v>【水曜限定】 青の素材</v>
      </c>
      <c r="E35" s="22" t="str">
        <f ca="1">VLOOKUP($C35,OFFSET([2]quests!$A$1,0,0,COUNTA([2]quests!$A:$A),MATCH(E$1,[2]quests!$1:$1,0)-MATCH($C$1,[2]quests!$1:$1,0)+1),MATCH(E$1,[2]quests!$1:$1,0)-MATCH($C$1,[2]quests!$1:$1,0)+1,FALSE)</f>
        <v>水曜クエスト</v>
      </c>
      <c r="F35" s="25">
        <v>1</v>
      </c>
      <c r="G35" s="26" t="str">
        <f t="shared" si="3"/>
        <v>11003_1</v>
      </c>
      <c r="H35" s="16" t="str">
        <f ca="1">VLOOKUP($G35,OFFSET([2]stages!$A$1,0,0,COUNTA([2]stages!$A:$A),MATCH(H$1,[2]stages!$2:$2,0)-MATCH($G$1,[2]stages!$2:$2,0)+1),MATCH(H$1,[2]stages!$2:$2,0)-MATCH($G$1,[2]stages!$2:$2,0)+1,FALSE)</f>
        <v>【初級】水のチェシャ猫</v>
      </c>
      <c r="I35" s="25">
        <v>4</v>
      </c>
      <c r="J35" s="13">
        <v>45</v>
      </c>
      <c r="K35" s="13">
        <v>60</v>
      </c>
    </row>
    <row r="36" spans="1:11" ht="21" customHeight="1" x14ac:dyDescent="0.15">
      <c r="A36" s="17" t="str">
        <f t="shared" si="2"/>
        <v>11003_1-5</v>
      </c>
      <c r="B36" s="17" t="str">
        <f>IF(COUNTIF(enemy_habitats!$H:$H,A36),"OK","NG")</f>
        <v>OK</v>
      </c>
      <c r="C36" s="8">
        <v>11003</v>
      </c>
      <c r="D36" s="12" t="str">
        <f ca="1">VLOOKUP($C36,OFFSET([2]quests!$A$1,0,0,COUNTA([2]quests!$A:$A),MATCH(D$1,[2]quests!$1:$1,0)-MATCH($C$1,[2]quests!$1:$1,0)+1),MATCH(D$1,[2]quests!$1:$1,0)-MATCH($C$1,[2]quests!$1:$1,0)+1,FALSE)</f>
        <v>【水曜限定】 青の素材</v>
      </c>
      <c r="E36" s="22" t="str">
        <f ca="1">VLOOKUP($C36,OFFSET([2]quests!$A$1,0,0,COUNTA([2]quests!$A:$A),MATCH(E$1,[2]quests!$1:$1,0)-MATCH($C$1,[2]quests!$1:$1,0)+1),MATCH(E$1,[2]quests!$1:$1,0)-MATCH($C$1,[2]quests!$1:$1,0)+1,FALSE)</f>
        <v>水曜クエスト</v>
      </c>
      <c r="F36" s="25">
        <v>1</v>
      </c>
      <c r="G36" s="26" t="str">
        <f t="shared" si="3"/>
        <v>11003_1</v>
      </c>
      <c r="H36" s="16" t="str">
        <f ca="1">VLOOKUP($G36,OFFSET([2]stages!$A$1,0,0,COUNTA([2]stages!$A:$A),MATCH(H$1,[2]stages!$2:$2,0)-MATCH($G$1,[2]stages!$2:$2,0)+1),MATCH(H$1,[2]stages!$2:$2,0)-MATCH($G$1,[2]stages!$2:$2,0)+1,FALSE)</f>
        <v>【初級】水のチェシャ猫</v>
      </c>
      <c r="I36" s="25">
        <v>5</v>
      </c>
      <c r="J36" s="13">
        <v>45</v>
      </c>
      <c r="K36" s="13">
        <v>45</v>
      </c>
    </row>
    <row r="37" spans="1:11" ht="23" customHeight="1" x14ac:dyDescent="0.15">
      <c r="A37" s="17" t="str">
        <f t="shared" si="2"/>
        <v>11003_2-1</v>
      </c>
      <c r="B37" s="17" t="str">
        <f>IF(COUNTIF(enemy_habitats!$H:$H,A37),"OK","NG")</f>
        <v>OK</v>
      </c>
      <c r="C37" s="8">
        <v>11003</v>
      </c>
      <c r="D37" s="12" t="str">
        <f ca="1">VLOOKUP($C37,OFFSET([2]quests!$A$1,0,0,COUNTA([2]quests!$A:$A),MATCH(D$1,[2]quests!$1:$1,0)-MATCH($C$1,[2]quests!$1:$1,0)+1),MATCH(D$1,[2]quests!$1:$1,0)-MATCH($C$1,[2]quests!$1:$1,0)+1,FALSE)</f>
        <v>【水曜限定】 青の素材</v>
      </c>
      <c r="E37" s="22" t="str">
        <f ca="1">VLOOKUP($C37,OFFSET([2]quests!$A$1,0,0,COUNTA([2]quests!$A:$A),MATCH(E$1,[2]quests!$1:$1,0)-MATCH($C$1,[2]quests!$1:$1,0)+1),MATCH(E$1,[2]quests!$1:$1,0)-MATCH($C$1,[2]quests!$1:$1,0)+1,FALSE)</f>
        <v>水曜クエスト</v>
      </c>
      <c r="F37" s="25">
        <v>2</v>
      </c>
      <c r="G37" s="26" t="str">
        <f t="shared" si="3"/>
        <v>11003_2</v>
      </c>
      <c r="H37" s="16" t="str">
        <f ca="1">VLOOKUP($G37,OFFSET([2]stages!$A$1,0,0,COUNTA([2]stages!$A:$A),MATCH(H$1,[2]stages!$2:$2,0)-MATCH($G$1,[2]stages!$2:$2,0)+1),MATCH(H$1,[2]stages!$2:$2,0)-MATCH($G$1,[2]stages!$2:$2,0)+1,FALSE)</f>
        <v xml:space="preserve">【中級】水のウサギ </v>
      </c>
      <c r="I37" s="25">
        <v>1</v>
      </c>
      <c r="J37" s="13">
        <v>30</v>
      </c>
      <c r="K37" s="13">
        <v>30</v>
      </c>
    </row>
    <row r="38" spans="1:11" ht="21" customHeight="1" x14ac:dyDescent="0.15">
      <c r="A38" s="17" t="str">
        <f t="shared" si="2"/>
        <v>11003_2-2</v>
      </c>
      <c r="B38" s="17" t="str">
        <f>IF(COUNTIF(enemy_habitats!$H:$H,A38),"OK","NG")</f>
        <v>OK</v>
      </c>
      <c r="C38" s="8">
        <v>11003</v>
      </c>
      <c r="D38" s="12" t="str">
        <f ca="1">VLOOKUP($C38,OFFSET([2]quests!$A$1,0,0,COUNTA([2]quests!$A:$A),MATCH(D$1,[2]quests!$1:$1,0)-MATCH($C$1,[2]quests!$1:$1,0)+1),MATCH(D$1,[2]quests!$1:$1,0)-MATCH($C$1,[2]quests!$1:$1,0)+1,FALSE)</f>
        <v>【水曜限定】 青の素材</v>
      </c>
      <c r="E38" s="22" t="str">
        <f ca="1">VLOOKUP($C38,OFFSET([2]quests!$A$1,0,0,COUNTA([2]quests!$A:$A),MATCH(E$1,[2]quests!$1:$1,0)-MATCH($C$1,[2]quests!$1:$1,0)+1),MATCH(E$1,[2]quests!$1:$1,0)-MATCH($C$1,[2]quests!$1:$1,0)+1,FALSE)</f>
        <v>水曜クエスト</v>
      </c>
      <c r="F38" s="25">
        <v>2</v>
      </c>
      <c r="G38" s="26" t="str">
        <f t="shared" si="3"/>
        <v>11003_2</v>
      </c>
      <c r="H38" s="16" t="str">
        <f ca="1">VLOOKUP($G38,OFFSET([2]stages!$A$1,0,0,COUNTA([2]stages!$A:$A),MATCH(H$1,[2]stages!$2:$2,0)-MATCH($G$1,[2]stages!$2:$2,0)+1),MATCH(H$1,[2]stages!$2:$2,0)-MATCH($G$1,[2]stages!$2:$2,0)+1,FALSE)</f>
        <v xml:space="preserve">【中級】水のウサギ </v>
      </c>
      <c r="I38" s="25">
        <v>2</v>
      </c>
      <c r="J38" s="13">
        <v>30</v>
      </c>
      <c r="K38" s="13">
        <v>30</v>
      </c>
    </row>
    <row r="39" spans="1:11" ht="23" customHeight="1" x14ac:dyDescent="0.15">
      <c r="A39" s="17" t="str">
        <f t="shared" si="2"/>
        <v>11003_2-3</v>
      </c>
      <c r="B39" s="17" t="str">
        <f>IF(COUNTIF(enemy_habitats!$H:$H,A39),"OK","NG")</f>
        <v>OK</v>
      </c>
      <c r="C39" s="8">
        <v>11003</v>
      </c>
      <c r="D39" s="12" t="str">
        <f ca="1">VLOOKUP($C39,OFFSET([2]quests!$A$1,0,0,COUNTA([2]quests!$A:$A),MATCH(D$1,[2]quests!$1:$1,0)-MATCH($C$1,[2]quests!$1:$1,0)+1),MATCH(D$1,[2]quests!$1:$1,0)-MATCH($C$1,[2]quests!$1:$1,0)+1,FALSE)</f>
        <v>【水曜限定】 青の素材</v>
      </c>
      <c r="E39" s="22" t="str">
        <f ca="1">VLOOKUP($C39,OFFSET([2]quests!$A$1,0,0,COUNTA([2]quests!$A:$A),MATCH(E$1,[2]quests!$1:$1,0)-MATCH($C$1,[2]quests!$1:$1,0)+1),MATCH(E$1,[2]quests!$1:$1,0)-MATCH($C$1,[2]quests!$1:$1,0)+1,FALSE)</f>
        <v>水曜クエスト</v>
      </c>
      <c r="F39" s="25">
        <v>2</v>
      </c>
      <c r="G39" s="26" t="str">
        <f t="shared" si="3"/>
        <v>11003_2</v>
      </c>
      <c r="H39" s="16" t="str">
        <f ca="1">VLOOKUP($G39,OFFSET([2]stages!$A$1,0,0,COUNTA([2]stages!$A:$A),MATCH(H$1,[2]stages!$2:$2,0)-MATCH($G$1,[2]stages!$2:$2,0)+1),MATCH(H$1,[2]stages!$2:$2,0)-MATCH($G$1,[2]stages!$2:$2,0)+1,FALSE)</f>
        <v xml:space="preserve">【中級】水のウサギ </v>
      </c>
      <c r="I39" s="25">
        <v>3</v>
      </c>
      <c r="J39" s="13">
        <v>45</v>
      </c>
      <c r="K39" s="13">
        <v>45</v>
      </c>
    </row>
    <row r="40" spans="1:11" ht="21" customHeight="1" x14ac:dyDescent="0.15">
      <c r="A40" s="17" t="str">
        <f t="shared" si="2"/>
        <v>11003_2-4</v>
      </c>
      <c r="B40" s="17" t="str">
        <f>IF(COUNTIF(enemy_habitats!$H:$H,A40),"OK","NG")</f>
        <v>OK</v>
      </c>
      <c r="C40" s="8">
        <v>11003</v>
      </c>
      <c r="D40" s="12" t="str">
        <f ca="1">VLOOKUP($C40,OFFSET([2]quests!$A$1,0,0,COUNTA([2]quests!$A:$A),MATCH(D$1,[2]quests!$1:$1,0)-MATCH($C$1,[2]quests!$1:$1,0)+1),MATCH(D$1,[2]quests!$1:$1,0)-MATCH($C$1,[2]quests!$1:$1,0)+1,FALSE)</f>
        <v>【水曜限定】 青の素材</v>
      </c>
      <c r="E40" s="22" t="str">
        <f ca="1">VLOOKUP($C40,OFFSET([2]quests!$A$1,0,0,COUNTA([2]quests!$A:$A),MATCH(E$1,[2]quests!$1:$1,0)-MATCH($C$1,[2]quests!$1:$1,0)+1),MATCH(E$1,[2]quests!$1:$1,0)-MATCH($C$1,[2]quests!$1:$1,0)+1,FALSE)</f>
        <v>水曜クエスト</v>
      </c>
      <c r="F40" s="25">
        <v>2</v>
      </c>
      <c r="G40" s="26" t="str">
        <f t="shared" si="3"/>
        <v>11003_2</v>
      </c>
      <c r="H40" s="16" t="str">
        <f ca="1">VLOOKUP($G40,OFFSET([2]stages!$A$1,0,0,COUNTA([2]stages!$A:$A),MATCH(H$1,[2]stages!$2:$2,0)-MATCH($G$1,[2]stages!$2:$2,0)+1),MATCH(H$1,[2]stages!$2:$2,0)-MATCH($G$1,[2]stages!$2:$2,0)+1,FALSE)</f>
        <v xml:space="preserve">【中級】水のウサギ </v>
      </c>
      <c r="I40" s="25">
        <v>4</v>
      </c>
      <c r="J40" s="13">
        <v>45</v>
      </c>
      <c r="K40" s="13">
        <v>45</v>
      </c>
    </row>
    <row r="41" spans="1:11" ht="21" customHeight="1" x14ac:dyDescent="0.15">
      <c r="A41" s="17" t="str">
        <f t="shared" si="2"/>
        <v>11003_2-5</v>
      </c>
      <c r="B41" s="17" t="str">
        <f>IF(COUNTIF(enemy_habitats!$H:$H,A41),"OK","NG")</f>
        <v>OK</v>
      </c>
      <c r="C41" s="8">
        <v>11003</v>
      </c>
      <c r="D41" s="12" t="str">
        <f ca="1">VLOOKUP($C41,OFFSET([2]quests!$A$1,0,0,COUNTA([2]quests!$A:$A),MATCH(D$1,[2]quests!$1:$1,0)-MATCH($C$1,[2]quests!$1:$1,0)+1),MATCH(D$1,[2]quests!$1:$1,0)-MATCH($C$1,[2]quests!$1:$1,0)+1,FALSE)</f>
        <v>【水曜限定】 青の素材</v>
      </c>
      <c r="E41" s="22" t="str">
        <f ca="1">VLOOKUP($C41,OFFSET([2]quests!$A$1,0,0,COUNTA([2]quests!$A:$A),MATCH(E$1,[2]quests!$1:$1,0)-MATCH($C$1,[2]quests!$1:$1,0)+1),MATCH(E$1,[2]quests!$1:$1,0)-MATCH($C$1,[2]quests!$1:$1,0)+1,FALSE)</f>
        <v>水曜クエスト</v>
      </c>
      <c r="F41" s="25">
        <v>2</v>
      </c>
      <c r="G41" s="26" t="str">
        <f t="shared" si="3"/>
        <v>11003_2</v>
      </c>
      <c r="H41" s="16" t="str">
        <f ca="1">VLOOKUP($G41,OFFSET([2]stages!$A$1,0,0,COUNTA([2]stages!$A:$A),MATCH(H$1,[2]stages!$2:$2,0)-MATCH($G$1,[2]stages!$2:$2,0)+1),MATCH(H$1,[2]stages!$2:$2,0)-MATCH($G$1,[2]stages!$2:$2,0)+1,FALSE)</f>
        <v xml:space="preserve">【中級】水のウサギ </v>
      </c>
      <c r="I41" s="25">
        <v>5</v>
      </c>
      <c r="J41" s="13">
        <v>50</v>
      </c>
      <c r="K41" s="13">
        <v>50</v>
      </c>
    </row>
    <row r="42" spans="1:11" ht="21" customHeight="1" x14ac:dyDescent="0.15">
      <c r="A42" s="17" t="str">
        <f t="shared" si="2"/>
        <v>11003_3-1</v>
      </c>
      <c r="B42" s="17" t="str">
        <f>IF(COUNTIF(enemy_habitats!$H:$H,A42),"OK","NG")</f>
        <v>OK</v>
      </c>
      <c r="C42" s="8">
        <v>11003</v>
      </c>
      <c r="D42" s="12" t="str">
        <f ca="1">VLOOKUP($C42,OFFSET([2]quests!$A$1,0,0,COUNTA([2]quests!$A:$A),MATCH(D$1,[2]quests!$1:$1,0)-MATCH($C$1,[2]quests!$1:$1,0)+1),MATCH(D$1,[2]quests!$1:$1,0)-MATCH($C$1,[2]quests!$1:$1,0)+1,FALSE)</f>
        <v>【水曜限定】 青の素材</v>
      </c>
      <c r="E42" s="22" t="str">
        <f ca="1">VLOOKUP($C42,OFFSET([2]quests!$A$1,0,0,COUNTA([2]quests!$A:$A),MATCH(E$1,[2]quests!$1:$1,0)-MATCH($C$1,[2]quests!$1:$1,0)+1),MATCH(E$1,[2]quests!$1:$1,0)-MATCH($C$1,[2]quests!$1:$1,0)+1,FALSE)</f>
        <v>水曜クエスト</v>
      </c>
      <c r="F42" s="25">
        <v>3</v>
      </c>
      <c r="G42" s="26" t="str">
        <f t="shared" si="3"/>
        <v>11003_3</v>
      </c>
      <c r="H42" s="16" t="str">
        <f ca="1">VLOOKUP($G42,OFFSET([2]stages!$A$1,0,0,COUNTA([2]stages!$A:$A),MATCH(H$1,[2]stages!$2:$2,0)-MATCH($G$1,[2]stages!$2:$2,0)+1),MATCH(H$1,[2]stages!$2:$2,0)-MATCH($G$1,[2]stages!$2:$2,0)+1,FALSE)</f>
        <v>【上級】水のイモムシ</v>
      </c>
      <c r="I42" s="25">
        <v>1</v>
      </c>
      <c r="J42" s="13">
        <v>30</v>
      </c>
      <c r="K42" s="13">
        <v>45</v>
      </c>
    </row>
    <row r="43" spans="1:11" ht="21" customHeight="1" x14ac:dyDescent="0.15">
      <c r="A43" s="17" t="str">
        <f t="shared" si="2"/>
        <v>11003_3-2</v>
      </c>
      <c r="B43" s="17" t="str">
        <f>IF(COUNTIF(enemy_habitats!$H:$H,A43),"OK","NG")</f>
        <v>OK</v>
      </c>
      <c r="C43" s="8">
        <v>11003</v>
      </c>
      <c r="D43" s="12" t="str">
        <f ca="1">VLOOKUP($C43,OFFSET([2]quests!$A$1,0,0,COUNTA([2]quests!$A:$A),MATCH(D$1,[2]quests!$1:$1,0)-MATCH($C$1,[2]quests!$1:$1,0)+1),MATCH(D$1,[2]quests!$1:$1,0)-MATCH($C$1,[2]quests!$1:$1,0)+1,FALSE)</f>
        <v>【水曜限定】 青の素材</v>
      </c>
      <c r="E43" s="22" t="str">
        <f ca="1">VLOOKUP($C43,OFFSET([2]quests!$A$1,0,0,COUNTA([2]quests!$A:$A),MATCH(E$1,[2]quests!$1:$1,0)-MATCH($C$1,[2]quests!$1:$1,0)+1),MATCH(E$1,[2]quests!$1:$1,0)-MATCH($C$1,[2]quests!$1:$1,0)+1,FALSE)</f>
        <v>水曜クエスト</v>
      </c>
      <c r="F43" s="25">
        <v>3</v>
      </c>
      <c r="G43" s="26" t="str">
        <f t="shared" si="3"/>
        <v>11003_3</v>
      </c>
      <c r="H43" s="16" t="str">
        <f ca="1">VLOOKUP($G43,OFFSET([2]stages!$A$1,0,0,COUNTA([2]stages!$A:$A),MATCH(H$1,[2]stages!$2:$2,0)-MATCH($G$1,[2]stages!$2:$2,0)+1),MATCH(H$1,[2]stages!$2:$2,0)-MATCH($G$1,[2]stages!$2:$2,0)+1,FALSE)</f>
        <v>【上級】水のイモムシ</v>
      </c>
      <c r="I43" s="25">
        <v>2</v>
      </c>
      <c r="J43" s="13">
        <v>30</v>
      </c>
      <c r="K43" s="13">
        <v>45</v>
      </c>
    </row>
    <row r="44" spans="1:11" ht="21" customHeight="1" x14ac:dyDescent="0.15">
      <c r="A44" s="17" t="str">
        <f t="shared" si="2"/>
        <v>11003_3-3</v>
      </c>
      <c r="B44" s="17" t="str">
        <f>IF(COUNTIF(enemy_habitats!$H:$H,A44),"OK","NG")</f>
        <v>OK</v>
      </c>
      <c r="C44" s="8">
        <v>11003</v>
      </c>
      <c r="D44" s="12" t="str">
        <f ca="1">VLOOKUP($C44,OFFSET([2]quests!$A$1,0,0,COUNTA([2]quests!$A:$A),MATCH(D$1,[2]quests!$1:$1,0)-MATCH($C$1,[2]quests!$1:$1,0)+1),MATCH(D$1,[2]quests!$1:$1,0)-MATCH($C$1,[2]quests!$1:$1,0)+1,FALSE)</f>
        <v>【水曜限定】 青の素材</v>
      </c>
      <c r="E44" s="22" t="str">
        <f ca="1">VLOOKUP($C44,OFFSET([2]quests!$A$1,0,0,COUNTA([2]quests!$A:$A),MATCH(E$1,[2]quests!$1:$1,0)-MATCH($C$1,[2]quests!$1:$1,0)+1),MATCH(E$1,[2]quests!$1:$1,0)-MATCH($C$1,[2]quests!$1:$1,0)+1,FALSE)</f>
        <v>水曜クエスト</v>
      </c>
      <c r="F44" s="25">
        <v>3</v>
      </c>
      <c r="G44" s="26" t="str">
        <f t="shared" si="3"/>
        <v>11003_3</v>
      </c>
      <c r="H44" s="16" t="str">
        <f ca="1">VLOOKUP($G44,OFFSET([2]stages!$A$1,0,0,COUNTA([2]stages!$A:$A),MATCH(H$1,[2]stages!$2:$2,0)-MATCH($G$1,[2]stages!$2:$2,0)+1),MATCH(H$1,[2]stages!$2:$2,0)-MATCH($G$1,[2]stages!$2:$2,0)+1,FALSE)</f>
        <v>【上級】水のイモムシ</v>
      </c>
      <c r="I44" s="25">
        <v>3</v>
      </c>
      <c r="J44" s="13">
        <v>45</v>
      </c>
      <c r="K44" s="13">
        <v>45</v>
      </c>
    </row>
    <row r="45" spans="1:11" ht="21" customHeight="1" x14ac:dyDescent="0.15">
      <c r="A45" s="17" t="str">
        <f t="shared" si="2"/>
        <v>11003_3-4</v>
      </c>
      <c r="B45" s="17" t="str">
        <f>IF(COUNTIF(enemy_habitats!$H:$H,A45),"OK","NG")</f>
        <v>OK</v>
      </c>
      <c r="C45" s="8">
        <v>11003</v>
      </c>
      <c r="D45" s="12" t="str">
        <f ca="1">VLOOKUP($C45,OFFSET([2]quests!$A$1,0,0,COUNTA([2]quests!$A:$A),MATCH(D$1,[2]quests!$1:$1,0)-MATCH($C$1,[2]quests!$1:$1,0)+1),MATCH(D$1,[2]quests!$1:$1,0)-MATCH($C$1,[2]quests!$1:$1,0)+1,FALSE)</f>
        <v>【水曜限定】 青の素材</v>
      </c>
      <c r="E45" s="22" t="str">
        <f ca="1">VLOOKUP($C45,OFFSET([2]quests!$A$1,0,0,COUNTA([2]quests!$A:$A),MATCH(E$1,[2]quests!$1:$1,0)-MATCH($C$1,[2]quests!$1:$1,0)+1),MATCH(E$1,[2]quests!$1:$1,0)-MATCH($C$1,[2]quests!$1:$1,0)+1,FALSE)</f>
        <v>水曜クエスト</v>
      </c>
      <c r="F45" s="25">
        <v>3</v>
      </c>
      <c r="G45" s="26" t="str">
        <f t="shared" si="3"/>
        <v>11003_3</v>
      </c>
      <c r="H45" s="16" t="str">
        <f ca="1">VLOOKUP($G45,OFFSET([2]stages!$A$1,0,0,COUNTA([2]stages!$A:$A),MATCH(H$1,[2]stages!$2:$2,0)-MATCH($G$1,[2]stages!$2:$2,0)+1),MATCH(H$1,[2]stages!$2:$2,0)-MATCH($G$1,[2]stages!$2:$2,0)+1,FALSE)</f>
        <v>【上級】水のイモムシ</v>
      </c>
      <c r="I45" s="25">
        <v>4</v>
      </c>
      <c r="J45" s="13">
        <v>45</v>
      </c>
      <c r="K45" s="13">
        <v>60</v>
      </c>
    </row>
    <row r="46" spans="1:11" ht="21" customHeight="1" x14ac:dyDescent="0.15">
      <c r="A46" s="17" t="str">
        <f t="shared" si="2"/>
        <v>11003_3-5</v>
      </c>
      <c r="B46" s="17" t="str">
        <f>IF(COUNTIF(enemy_habitats!$H:$H,A46),"OK","NG")</f>
        <v>OK</v>
      </c>
      <c r="C46" s="8">
        <v>11003</v>
      </c>
      <c r="D46" s="12" t="str">
        <f ca="1">VLOOKUP($C46,OFFSET([2]quests!$A$1,0,0,COUNTA([2]quests!$A:$A),MATCH(D$1,[2]quests!$1:$1,0)-MATCH($C$1,[2]quests!$1:$1,0)+1),MATCH(D$1,[2]quests!$1:$1,0)-MATCH($C$1,[2]quests!$1:$1,0)+1,FALSE)</f>
        <v>【水曜限定】 青の素材</v>
      </c>
      <c r="E46" s="22" t="str">
        <f ca="1">VLOOKUP($C46,OFFSET([2]quests!$A$1,0,0,COUNTA([2]quests!$A:$A),MATCH(E$1,[2]quests!$1:$1,0)-MATCH($C$1,[2]quests!$1:$1,0)+1),MATCH(E$1,[2]quests!$1:$1,0)-MATCH($C$1,[2]quests!$1:$1,0)+1,FALSE)</f>
        <v>水曜クエスト</v>
      </c>
      <c r="F46" s="25">
        <v>3</v>
      </c>
      <c r="G46" s="26" t="str">
        <f t="shared" si="3"/>
        <v>11003_3</v>
      </c>
      <c r="H46" s="16" t="str">
        <f ca="1">VLOOKUP($G46,OFFSET([2]stages!$A$1,0,0,COUNTA([2]stages!$A:$A),MATCH(H$1,[2]stages!$2:$2,0)-MATCH($G$1,[2]stages!$2:$2,0)+1),MATCH(H$1,[2]stages!$2:$2,0)-MATCH($G$1,[2]stages!$2:$2,0)+1,FALSE)</f>
        <v>【上級】水のイモムシ</v>
      </c>
      <c r="I46" s="25">
        <v>5</v>
      </c>
      <c r="J46" s="13">
        <v>60</v>
      </c>
      <c r="K46" s="13">
        <v>60</v>
      </c>
    </row>
    <row r="47" spans="1:11" ht="21" customHeight="1" x14ac:dyDescent="0.15">
      <c r="A47" s="17" t="str">
        <f t="shared" si="2"/>
        <v>11004_1-1</v>
      </c>
      <c r="B47" s="17" t="str">
        <f>IF(COUNTIF(enemy_habitats!$H:$H,A47),"OK","NG")</f>
        <v>OK</v>
      </c>
      <c r="C47" s="8">
        <v>11004</v>
      </c>
      <c r="D47" s="12" t="str">
        <f ca="1">VLOOKUP($C47,OFFSET([2]quests!$A$1,0,0,COUNTA([2]quests!$A:$A),MATCH(D$1,[2]quests!$1:$1,0)-MATCH($C$1,[2]quests!$1:$1,0)+1),MATCH(D$1,[2]quests!$1:$1,0)-MATCH($C$1,[2]quests!$1:$1,0)+1,FALSE)</f>
        <v>【木曜限定】 緑の素材</v>
      </c>
      <c r="E47" s="22" t="str">
        <f ca="1">VLOOKUP($C47,OFFSET([2]quests!$A$1,0,0,COUNTA([2]quests!$A:$A),MATCH(E$1,[2]quests!$1:$1,0)-MATCH($C$1,[2]quests!$1:$1,0)+1),MATCH(E$1,[2]quests!$1:$1,0)-MATCH($C$1,[2]quests!$1:$1,0)+1,FALSE)</f>
        <v>木曜クエスト</v>
      </c>
      <c r="F47" s="25">
        <v>1</v>
      </c>
      <c r="G47" s="26" t="str">
        <f t="shared" si="3"/>
        <v>11004_1</v>
      </c>
      <c r="H47" s="16" t="str">
        <f ca="1">VLOOKUP($G47,OFFSET([2]stages!$A$1,0,0,COUNTA([2]stages!$A:$A),MATCH(H$1,[2]stages!$2:$2,0)-MATCH($G$1,[2]stages!$2:$2,0)+1),MATCH(H$1,[2]stages!$2:$2,0)-MATCH($G$1,[2]stages!$2:$2,0)+1,FALSE)</f>
        <v xml:space="preserve">【初級】樹のチェシャ猫 </v>
      </c>
      <c r="I47" s="25">
        <v>1</v>
      </c>
      <c r="J47" s="13">
        <v>30</v>
      </c>
      <c r="K47" s="13">
        <v>45</v>
      </c>
    </row>
    <row r="48" spans="1:11" ht="21" customHeight="1" x14ac:dyDescent="0.15">
      <c r="A48" s="17" t="str">
        <f t="shared" si="2"/>
        <v>11004_1-2</v>
      </c>
      <c r="B48" s="17" t="str">
        <f>IF(COUNTIF(enemy_habitats!$H:$H,A48),"OK","NG")</f>
        <v>OK</v>
      </c>
      <c r="C48" s="8">
        <v>11004</v>
      </c>
      <c r="D48" s="12" t="str">
        <f ca="1">VLOOKUP($C48,OFFSET([2]quests!$A$1,0,0,COUNTA([2]quests!$A:$A),MATCH(D$1,[2]quests!$1:$1,0)-MATCH($C$1,[2]quests!$1:$1,0)+1),MATCH(D$1,[2]quests!$1:$1,0)-MATCH($C$1,[2]quests!$1:$1,0)+1,FALSE)</f>
        <v>【木曜限定】 緑の素材</v>
      </c>
      <c r="E48" s="22" t="str">
        <f ca="1">VLOOKUP($C48,OFFSET([2]quests!$A$1,0,0,COUNTA([2]quests!$A:$A),MATCH(E$1,[2]quests!$1:$1,0)-MATCH($C$1,[2]quests!$1:$1,0)+1),MATCH(E$1,[2]quests!$1:$1,0)-MATCH($C$1,[2]quests!$1:$1,0)+1,FALSE)</f>
        <v>木曜クエスト</v>
      </c>
      <c r="F48" s="25">
        <v>1</v>
      </c>
      <c r="G48" s="26" t="str">
        <f t="shared" si="3"/>
        <v>11004_1</v>
      </c>
      <c r="H48" s="16" t="str">
        <f ca="1">VLOOKUP($G48,OFFSET([2]stages!$A$1,0,0,COUNTA([2]stages!$A:$A),MATCH(H$1,[2]stages!$2:$2,0)-MATCH($G$1,[2]stages!$2:$2,0)+1),MATCH(H$1,[2]stages!$2:$2,0)-MATCH($G$1,[2]stages!$2:$2,0)+1,FALSE)</f>
        <v xml:space="preserve">【初級】樹のチェシャ猫 </v>
      </c>
      <c r="I48" s="25">
        <v>2</v>
      </c>
      <c r="J48" s="13">
        <v>30</v>
      </c>
      <c r="K48" s="13">
        <v>45</v>
      </c>
    </row>
    <row r="49" spans="1:11" ht="21" customHeight="1" x14ac:dyDescent="0.15">
      <c r="A49" s="17" t="str">
        <f t="shared" si="2"/>
        <v>11004_1-3</v>
      </c>
      <c r="B49" s="17" t="str">
        <f>IF(COUNTIF(enemy_habitats!$H:$H,A49),"OK","NG")</f>
        <v>OK</v>
      </c>
      <c r="C49" s="8">
        <v>11004</v>
      </c>
      <c r="D49" s="12" t="str">
        <f ca="1">VLOOKUP($C49,OFFSET([2]quests!$A$1,0,0,COUNTA([2]quests!$A:$A),MATCH(D$1,[2]quests!$1:$1,0)-MATCH($C$1,[2]quests!$1:$1,0)+1),MATCH(D$1,[2]quests!$1:$1,0)-MATCH($C$1,[2]quests!$1:$1,0)+1,FALSE)</f>
        <v>【木曜限定】 緑の素材</v>
      </c>
      <c r="E49" s="22" t="str">
        <f ca="1">VLOOKUP($C49,OFFSET([2]quests!$A$1,0,0,COUNTA([2]quests!$A:$A),MATCH(E$1,[2]quests!$1:$1,0)-MATCH($C$1,[2]quests!$1:$1,0)+1),MATCH(E$1,[2]quests!$1:$1,0)-MATCH($C$1,[2]quests!$1:$1,0)+1,FALSE)</f>
        <v>木曜クエスト</v>
      </c>
      <c r="F49" s="25">
        <v>1</v>
      </c>
      <c r="G49" s="26" t="str">
        <f t="shared" si="3"/>
        <v>11004_1</v>
      </c>
      <c r="H49" s="16" t="str">
        <f ca="1">VLOOKUP($G49,OFFSET([2]stages!$A$1,0,0,COUNTA([2]stages!$A:$A),MATCH(H$1,[2]stages!$2:$2,0)-MATCH($G$1,[2]stages!$2:$2,0)+1),MATCH(H$1,[2]stages!$2:$2,0)-MATCH($G$1,[2]stages!$2:$2,0)+1,FALSE)</f>
        <v xml:space="preserve">【初級】樹のチェシャ猫 </v>
      </c>
      <c r="I49" s="25">
        <v>3</v>
      </c>
      <c r="J49" s="13">
        <v>45</v>
      </c>
      <c r="K49" s="13">
        <v>45</v>
      </c>
    </row>
    <row r="50" spans="1:11" ht="21" customHeight="1" x14ac:dyDescent="0.15">
      <c r="A50" s="17" t="str">
        <f t="shared" si="2"/>
        <v>11004_1-4</v>
      </c>
      <c r="B50" s="17" t="str">
        <f>IF(COUNTIF(enemy_habitats!$H:$H,A50),"OK","NG")</f>
        <v>OK</v>
      </c>
      <c r="C50" s="8">
        <v>11004</v>
      </c>
      <c r="D50" s="12" t="str">
        <f ca="1">VLOOKUP($C50,OFFSET([2]quests!$A$1,0,0,COUNTA([2]quests!$A:$A),MATCH(D$1,[2]quests!$1:$1,0)-MATCH($C$1,[2]quests!$1:$1,0)+1),MATCH(D$1,[2]quests!$1:$1,0)-MATCH($C$1,[2]quests!$1:$1,0)+1,FALSE)</f>
        <v>【木曜限定】 緑の素材</v>
      </c>
      <c r="E50" s="22" t="str">
        <f ca="1">VLOOKUP($C50,OFFSET([2]quests!$A$1,0,0,COUNTA([2]quests!$A:$A),MATCH(E$1,[2]quests!$1:$1,0)-MATCH($C$1,[2]quests!$1:$1,0)+1),MATCH(E$1,[2]quests!$1:$1,0)-MATCH($C$1,[2]quests!$1:$1,0)+1,FALSE)</f>
        <v>木曜クエスト</v>
      </c>
      <c r="F50" s="25">
        <v>1</v>
      </c>
      <c r="G50" s="26" t="str">
        <f t="shared" si="3"/>
        <v>11004_1</v>
      </c>
      <c r="H50" s="16" t="str">
        <f ca="1">VLOOKUP($G50,OFFSET([2]stages!$A$1,0,0,COUNTA([2]stages!$A:$A),MATCH(H$1,[2]stages!$2:$2,0)-MATCH($G$1,[2]stages!$2:$2,0)+1),MATCH(H$1,[2]stages!$2:$2,0)-MATCH($G$1,[2]stages!$2:$2,0)+1,FALSE)</f>
        <v xml:space="preserve">【初級】樹のチェシャ猫 </v>
      </c>
      <c r="I50" s="25">
        <v>4</v>
      </c>
      <c r="J50" s="13">
        <v>45</v>
      </c>
      <c r="K50" s="13">
        <v>60</v>
      </c>
    </row>
    <row r="51" spans="1:11" ht="21" customHeight="1" x14ac:dyDescent="0.15">
      <c r="A51" s="17" t="str">
        <f t="shared" si="2"/>
        <v>11004_1-5</v>
      </c>
      <c r="B51" s="17" t="str">
        <f>IF(COUNTIF(enemy_habitats!$H:$H,A51),"OK","NG")</f>
        <v>OK</v>
      </c>
      <c r="C51" s="8">
        <v>11004</v>
      </c>
      <c r="D51" s="12" t="str">
        <f ca="1">VLOOKUP($C51,OFFSET([2]quests!$A$1,0,0,COUNTA([2]quests!$A:$A),MATCH(D$1,[2]quests!$1:$1,0)-MATCH($C$1,[2]quests!$1:$1,0)+1),MATCH(D$1,[2]quests!$1:$1,0)-MATCH($C$1,[2]quests!$1:$1,0)+1,FALSE)</f>
        <v>【木曜限定】 緑の素材</v>
      </c>
      <c r="E51" s="22" t="str">
        <f ca="1">VLOOKUP($C51,OFFSET([2]quests!$A$1,0,0,COUNTA([2]quests!$A:$A),MATCH(E$1,[2]quests!$1:$1,0)-MATCH($C$1,[2]quests!$1:$1,0)+1),MATCH(E$1,[2]quests!$1:$1,0)-MATCH($C$1,[2]quests!$1:$1,0)+1,FALSE)</f>
        <v>木曜クエスト</v>
      </c>
      <c r="F51" s="25">
        <v>1</v>
      </c>
      <c r="G51" s="26" t="str">
        <f t="shared" si="3"/>
        <v>11004_1</v>
      </c>
      <c r="H51" s="16" t="str">
        <f ca="1">VLOOKUP($G51,OFFSET([2]stages!$A$1,0,0,COUNTA([2]stages!$A:$A),MATCH(H$1,[2]stages!$2:$2,0)-MATCH($G$1,[2]stages!$2:$2,0)+1),MATCH(H$1,[2]stages!$2:$2,0)-MATCH($G$1,[2]stages!$2:$2,0)+1,FALSE)</f>
        <v xml:space="preserve">【初級】樹のチェシャ猫 </v>
      </c>
      <c r="I51" s="25">
        <v>5</v>
      </c>
      <c r="J51" s="13">
        <v>45</v>
      </c>
      <c r="K51" s="13">
        <v>45</v>
      </c>
    </row>
    <row r="52" spans="1:11" ht="21" customHeight="1" x14ac:dyDescent="0.15">
      <c r="A52" s="17" t="str">
        <f t="shared" si="2"/>
        <v>11004_2-1</v>
      </c>
      <c r="B52" s="17" t="str">
        <f>IF(COUNTIF(enemy_habitats!$H:$H,A52),"OK","NG")</f>
        <v>OK</v>
      </c>
      <c r="C52" s="8">
        <v>11004</v>
      </c>
      <c r="D52" s="12" t="str">
        <f ca="1">VLOOKUP($C52,OFFSET([2]quests!$A$1,0,0,COUNTA([2]quests!$A:$A),MATCH(D$1,[2]quests!$1:$1,0)-MATCH($C$1,[2]quests!$1:$1,0)+1),MATCH(D$1,[2]quests!$1:$1,0)-MATCH($C$1,[2]quests!$1:$1,0)+1,FALSE)</f>
        <v>【木曜限定】 緑の素材</v>
      </c>
      <c r="E52" s="22" t="str">
        <f ca="1">VLOOKUP($C52,OFFSET([2]quests!$A$1,0,0,COUNTA([2]quests!$A:$A),MATCH(E$1,[2]quests!$1:$1,0)-MATCH($C$1,[2]quests!$1:$1,0)+1),MATCH(E$1,[2]quests!$1:$1,0)-MATCH($C$1,[2]quests!$1:$1,0)+1,FALSE)</f>
        <v>木曜クエスト</v>
      </c>
      <c r="F52" s="25">
        <v>2</v>
      </c>
      <c r="G52" s="26" t="str">
        <f t="shared" si="3"/>
        <v>11004_2</v>
      </c>
      <c r="H52" s="16" t="str">
        <f ca="1">VLOOKUP($G52,OFFSET([2]stages!$A$1,0,0,COUNTA([2]stages!$A:$A),MATCH(H$1,[2]stages!$2:$2,0)-MATCH($G$1,[2]stages!$2:$2,0)+1),MATCH(H$1,[2]stages!$2:$2,0)-MATCH($G$1,[2]stages!$2:$2,0)+1,FALSE)</f>
        <v>【中級】樹のウサギ</v>
      </c>
      <c r="I52" s="25">
        <v>1</v>
      </c>
      <c r="J52" s="13">
        <v>30</v>
      </c>
      <c r="K52" s="13">
        <v>30</v>
      </c>
    </row>
    <row r="53" spans="1:11" ht="21" customHeight="1" x14ac:dyDescent="0.15">
      <c r="A53" s="17" t="str">
        <f t="shared" si="2"/>
        <v>11004_2-2</v>
      </c>
      <c r="B53" s="17" t="str">
        <f>IF(COUNTIF(enemy_habitats!$H:$H,A53),"OK","NG")</f>
        <v>OK</v>
      </c>
      <c r="C53" s="8">
        <v>11004</v>
      </c>
      <c r="D53" s="12" t="str">
        <f ca="1">VLOOKUP($C53,OFFSET([2]quests!$A$1,0,0,COUNTA([2]quests!$A:$A),MATCH(D$1,[2]quests!$1:$1,0)-MATCH($C$1,[2]quests!$1:$1,0)+1),MATCH(D$1,[2]quests!$1:$1,0)-MATCH($C$1,[2]quests!$1:$1,0)+1,FALSE)</f>
        <v>【木曜限定】 緑の素材</v>
      </c>
      <c r="E53" s="22" t="str">
        <f ca="1">VLOOKUP($C53,OFFSET([2]quests!$A$1,0,0,COUNTA([2]quests!$A:$A),MATCH(E$1,[2]quests!$1:$1,0)-MATCH($C$1,[2]quests!$1:$1,0)+1),MATCH(E$1,[2]quests!$1:$1,0)-MATCH($C$1,[2]quests!$1:$1,0)+1,FALSE)</f>
        <v>木曜クエスト</v>
      </c>
      <c r="F53" s="25">
        <v>2</v>
      </c>
      <c r="G53" s="26" t="str">
        <f t="shared" si="3"/>
        <v>11004_2</v>
      </c>
      <c r="H53" s="16" t="str">
        <f ca="1">VLOOKUP($G53,OFFSET([2]stages!$A$1,0,0,COUNTA([2]stages!$A:$A),MATCH(H$1,[2]stages!$2:$2,0)-MATCH($G$1,[2]stages!$2:$2,0)+1),MATCH(H$1,[2]stages!$2:$2,0)-MATCH($G$1,[2]stages!$2:$2,0)+1,FALSE)</f>
        <v>【中級】樹のウサギ</v>
      </c>
      <c r="I53" s="25">
        <v>2</v>
      </c>
      <c r="J53" s="13">
        <v>30</v>
      </c>
      <c r="K53" s="13">
        <v>30</v>
      </c>
    </row>
    <row r="54" spans="1:11" ht="21" customHeight="1" x14ac:dyDescent="0.15">
      <c r="A54" s="17" t="str">
        <f t="shared" si="2"/>
        <v>11004_2-3</v>
      </c>
      <c r="B54" s="17" t="str">
        <f>IF(COUNTIF(enemy_habitats!$H:$H,A54),"OK","NG")</f>
        <v>OK</v>
      </c>
      <c r="C54" s="8">
        <v>11004</v>
      </c>
      <c r="D54" s="12" t="str">
        <f ca="1">VLOOKUP($C54,OFFSET([2]quests!$A$1,0,0,COUNTA([2]quests!$A:$A),MATCH(D$1,[2]quests!$1:$1,0)-MATCH($C$1,[2]quests!$1:$1,0)+1),MATCH(D$1,[2]quests!$1:$1,0)-MATCH($C$1,[2]quests!$1:$1,0)+1,FALSE)</f>
        <v>【木曜限定】 緑の素材</v>
      </c>
      <c r="E54" s="22" t="str">
        <f ca="1">VLOOKUP($C54,OFFSET([2]quests!$A$1,0,0,COUNTA([2]quests!$A:$A),MATCH(E$1,[2]quests!$1:$1,0)-MATCH($C$1,[2]quests!$1:$1,0)+1),MATCH(E$1,[2]quests!$1:$1,0)-MATCH($C$1,[2]quests!$1:$1,0)+1,FALSE)</f>
        <v>木曜クエスト</v>
      </c>
      <c r="F54" s="25">
        <v>2</v>
      </c>
      <c r="G54" s="26" t="str">
        <f t="shared" si="3"/>
        <v>11004_2</v>
      </c>
      <c r="H54" s="16" t="str">
        <f ca="1">VLOOKUP($G54,OFFSET([2]stages!$A$1,0,0,COUNTA([2]stages!$A:$A),MATCH(H$1,[2]stages!$2:$2,0)-MATCH($G$1,[2]stages!$2:$2,0)+1),MATCH(H$1,[2]stages!$2:$2,0)-MATCH($G$1,[2]stages!$2:$2,0)+1,FALSE)</f>
        <v>【中級】樹のウサギ</v>
      </c>
      <c r="I54" s="25">
        <v>3</v>
      </c>
      <c r="J54" s="13">
        <v>45</v>
      </c>
      <c r="K54" s="13">
        <v>45</v>
      </c>
    </row>
    <row r="55" spans="1:11" ht="21" customHeight="1" x14ac:dyDescent="0.15">
      <c r="A55" s="17" t="str">
        <f t="shared" si="2"/>
        <v>11004_2-4</v>
      </c>
      <c r="B55" s="17" t="str">
        <f>IF(COUNTIF(enemy_habitats!$H:$H,A55),"OK","NG")</f>
        <v>OK</v>
      </c>
      <c r="C55" s="8">
        <v>11004</v>
      </c>
      <c r="D55" s="12" t="str">
        <f ca="1">VLOOKUP($C55,OFFSET([2]quests!$A$1,0,0,COUNTA([2]quests!$A:$A),MATCH(D$1,[2]quests!$1:$1,0)-MATCH($C$1,[2]quests!$1:$1,0)+1),MATCH(D$1,[2]quests!$1:$1,0)-MATCH($C$1,[2]quests!$1:$1,0)+1,FALSE)</f>
        <v>【木曜限定】 緑の素材</v>
      </c>
      <c r="E55" s="22" t="str">
        <f ca="1">VLOOKUP($C55,OFFSET([2]quests!$A$1,0,0,COUNTA([2]quests!$A:$A),MATCH(E$1,[2]quests!$1:$1,0)-MATCH($C$1,[2]quests!$1:$1,0)+1),MATCH(E$1,[2]quests!$1:$1,0)-MATCH($C$1,[2]quests!$1:$1,0)+1,FALSE)</f>
        <v>木曜クエスト</v>
      </c>
      <c r="F55" s="25">
        <v>2</v>
      </c>
      <c r="G55" s="26" t="str">
        <f t="shared" si="3"/>
        <v>11004_2</v>
      </c>
      <c r="H55" s="16" t="str">
        <f ca="1">VLOOKUP($G55,OFFSET([2]stages!$A$1,0,0,COUNTA([2]stages!$A:$A),MATCH(H$1,[2]stages!$2:$2,0)-MATCH($G$1,[2]stages!$2:$2,0)+1),MATCH(H$1,[2]stages!$2:$2,0)-MATCH($G$1,[2]stages!$2:$2,0)+1,FALSE)</f>
        <v>【中級】樹のウサギ</v>
      </c>
      <c r="I55" s="25">
        <v>4</v>
      </c>
      <c r="J55" s="13">
        <v>45</v>
      </c>
      <c r="K55" s="13">
        <v>45</v>
      </c>
    </row>
    <row r="56" spans="1:11" ht="21" customHeight="1" x14ac:dyDescent="0.15">
      <c r="A56" s="17" t="str">
        <f t="shared" si="2"/>
        <v>11004_2-5</v>
      </c>
      <c r="B56" s="17" t="str">
        <f>IF(COUNTIF(enemy_habitats!$H:$H,A56),"OK","NG")</f>
        <v>OK</v>
      </c>
      <c r="C56" s="8">
        <v>11004</v>
      </c>
      <c r="D56" s="12" t="str">
        <f ca="1">VLOOKUP($C56,OFFSET([2]quests!$A$1,0,0,COUNTA([2]quests!$A:$A),MATCH(D$1,[2]quests!$1:$1,0)-MATCH($C$1,[2]quests!$1:$1,0)+1),MATCH(D$1,[2]quests!$1:$1,0)-MATCH($C$1,[2]quests!$1:$1,0)+1,FALSE)</f>
        <v>【木曜限定】 緑の素材</v>
      </c>
      <c r="E56" s="22" t="str">
        <f ca="1">VLOOKUP($C56,OFFSET([2]quests!$A$1,0,0,COUNTA([2]quests!$A:$A),MATCH(E$1,[2]quests!$1:$1,0)-MATCH($C$1,[2]quests!$1:$1,0)+1),MATCH(E$1,[2]quests!$1:$1,0)-MATCH($C$1,[2]quests!$1:$1,0)+1,FALSE)</f>
        <v>木曜クエスト</v>
      </c>
      <c r="F56" s="25">
        <v>2</v>
      </c>
      <c r="G56" s="26" t="str">
        <f t="shared" si="3"/>
        <v>11004_2</v>
      </c>
      <c r="H56" s="16" t="str">
        <f ca="1">VLOOKUP($G56,OFFSET([2]stages!$A$1,0,0,COUNTA([2]stages!$A:$A),MATCH(H$1,[2]stages!$2:$2,0)-MATCH($G$1,[2]stages!$2:$2,0)+1),MATCH(H$1,[2]stages!$2:$2,0)-MATCH($G$1,[2]stages!$2:$2,0)+1,FALSE)</f>
        <v>【中級】樹のウサギ</v>
      </c>
      <c r="I56" s="25">
        <v>5</v>
      </c>
      <c r="J56" s="13">
        <v>50</v>
      </c>
      <c r="K56" s="13">
        <v>50</v>
      </c>
    </row>
    <row r="57" spans="1:11" ht="21" customHeight="1" x14ac:dyDescent="0.15">
      <c r="A57" s="17" t="str">
        <f t="shared" si="2"/>
        <v>11004_3-1</v>
      </c>
      <c r="B57" s="17" t="str">
        <f>IF(COUNTIF(enemy_habitats!$H:$H,A57),"OK","NG")</f>
        <v>OK</v>
      </c>
      <c r="C57" s="8">
        <v>11004</v>
      </c>
      <c r="D57" s="12" t="str">
        <f ca="1">VLOOKUP($C57,OFFSET([2]quests!$A$1,0,0,COUNTA([2]quests!$A:$A),MATCH(D$1,[2]quests!$1:$1,0)-MATCH($C$1,[2]quests!$1:$1,0)+1),MATCH(D$1,[2]quests!$1:$1,0)-MATCH($C$1,[2]quests!$1:$1,0)+1,FALSE)</f>
        <v>【木曜限定】 緑の素材</v>
      </c>
      <c r="E57" s="22" t="str">
        <f ca="1">VLOOKUP($C57,OFFSET([2]quests!$A$1,0,0,COUNTA([2]quests!$A:$A),MATCH(E$1,[2]quests!$1:$1,0)-MATCH($C$1,[2]quests!$1:$1,0)+1),MATCH(E$1,[2]quests!$1:$1,0)-MATCH($C$1,[2]quests!$1:$1,0)+1,FALSE)</f>
        <v>木曜クエスト</v>
      </c>
      <c r="F57" s="25">
        <v>3</v>
      </c>
      <c r="G57" s="26" t="str">
        <f t="shared" si="3"/>
        <v>11004_3</v>
      </c>
      <c r="H57" s="16" t="str">
        <f ca="1">VLOOKUP($G57,OFFSET([2]stages!$A$1,0,0,COUNTA([2]stages!$A:$A),MATCH(H$1,[2]stages!$2:$2,0)-MATCH($G$1,[2]stages!$2:$2,0)+1),MATCH(H$1,[2]stages!$2:$2,0)-MATCH($G$1,[2]stages!$2:$2,0)+1,FALSE)</f>
        <v xml:space="preserve">【上級】樹のイモムシ </v>
      </c>
      <c r="I57" s="25">
        <v>1</v>
      </c>
      <c r="J57" s="13">
        <v>30</v>
      </c>
      <c r="K57" s="13">
        <v>45</v>
      </c>
    </row>
    <row r="58" spans="1:11" ht="21" customHeight="1" x14ac:dyDescent="0.15">
      <c r="A58" s="17" t="str">
        <f t="shared" si="2"/>
        <v>11004_3-2</v>
      </c>
      <c r="B58" s="17" t="str">
        <f>IF(COUNTIF(enemy_habitats!$H:$H,A58),"OK","NG")</f>
        <v>OK</v>
      </c>
      <c r="C58" s="8">
        <v>11004</v>
      </c>
      <c r="D58" s="12" t="str">
        <f ca="1">VLOOKUP($C58,OFFSET([2]quests!$A$1,0,0,COUNTA([2]quests!$A:$A),MATCH(D$1,[2]quests!$1:$1,0)-MATCH($C$1,[2]quests!$1:$1,0)+1),MATCH(D$1,[2]quests!$1:$1,0)-MATCH($C$1,[2]quests!$1:$1,0)+1,FALSE)</f>
        <v>【木曜限定】 緑の素材</v>
      </c>
      <c r="E58" s="22" t="str">
        <f ca="1">VLOOKUP($C58,OFFSET([2]quests!$A$1,0,0,COUNTA([2]quests!$A:$A),MATCH(E$1,[2]quests!$1:$1,0)-MATCH($C$1,[2]quests!$1:$1,0)+1),MATCH(E$1,[2]quests!$1:$1,0)-MATCH($C$1,[2]quests!$1:$1,0)+1,FALSE)</f>
        <v>木曜クエスト</v>
      </c>
      <c r="F58" s="25">
        <v>3</v>
      </c>
      <c r="G58" s="26" t="str">
        <f t="shared" si="3"/>
        <v>11004_3</v>
      </c>
      <c r="H58" s="16" t="str">
        <f ca="1">VLOOKUP($G58,OFFSET([2]stages!$A$1,0,0,COUNTA([2]stages!$A:$A),MATCH(H$1,[2]stages!$2:$2,0)-MATCH($G$1,[2]stages!$2:$2,0)+1),MATCH(H$1,[2]stages!$2:$2,0)-MATCH($G$1,[2]stages!$2:$2,0)+1,FALSE)</f>
        <v xml:space="preserve">【上級】樹のイモムシ </v>
      </c>
      <c r="I58" s="25">
        <v>2</v>
      </c>
      <c r="J58" s="13">
        <v>30</v>
      </c>
      <c r="K58" s="13">
        <v>45</v>
      </c>
    </row>
    <row r="59" spans="1:11" ht="21" customHeight="1" x14ac:dyDescent="0.15">
      <c r="A59" s="17" t="str">
        <f t="shared" si="2"/>
        <v>11004_3-3</v>
      </c>
      <c r="B59" s="17" t="str">
        <f>IF(COUNTIF(enemy_habitats!$H:$H,A59),"OK","NG")</f>
        <v>OK</v>
      </c>
      <c r="C59" s="8">
        <v>11004</v>
      </c>
      <c r="D59" s="12" t="str">
        <f ca="1">VLOOKUP($C59,OFFSET([2]quests!$A$1,0,0,COUNTA([2]quests!$A:$A),MATCH(D$1,[2]quests!$1:$1,0)-MATCH($C$1,[2]quests!$1:$1,0)+1),MATCH(D$1,[2]quests!$1:$1,0)-MATCH($C$1,[2]quests!$1:$1,0)+1,FALSE)</f>
        <v>【木曜限定】 緑の素材</v>
      </c>
      <c r="E59" s="22" t="str">
        <f ca="1">VLOOKUP($C59,OFFSET([2]quests!$A$1,0,0,COUNTA([2]quests!$A:$A),MATCH(E$1,[2]quests!$1:$1,0)-MATCH($C$1,[2]quests!$1:$1,0)+1),MATCH(E$1,[2]quests!$1:$1,0)-MATCH($C$1,[2]quests!$1:$1,0)+1,FALSE)</f>
        <v>木曜クエスト</v>
      </c>
      <c r="F59" s="25">
        <v>3</v>
      </c>
      <c r="G59" s="26" t="str">
        <f t="shared" si="3"/>
        <v>11004_3</v>
      </c>
      <c r="H59" s="16" t="str">
        <f ca="1">VLOOKUP($G59,OFFSET([2]stages!$A$1,0,0,COUNTA([2]stages!$A:$A),MATCH(H$1,[2]stages!$2:$2,0)-MATCH($G$1,[2]stages!$2:$2,0)+1),MATCH(H$1,[2]stages!$2:$2,0)-MATCH($G$1,[2]stages!$2:$2,0)+1,FALSE)</f>
        <v xml:space="preserve">【上級】樹のイモムシ </v>
      </c>
      <c r="I59" s="25">
        <v>3</v>
      </c>
      <c r="J59" s="13">
        <v>45</v>
      </c>
      <c r="K59" s="13">
        <v>45</v>
      </c>
    </row>
    <row r="60" spans="1:11" ht="21" customHeight="1" x14ac:dyDescent="0.15">
      <c r="A60" s="17" t="str">
        <f t="shared" si="2"/>
        <v>11004_3-4</v>
      </c>
      <c r="B60" s="17" t="str">
        <f>IF(COUNTIF(enemy_habitats!$H:$H,A60),"OK","NG")</f>
        <v>OK</v>
      </c>
      <c r="C60" s="8">
        <v>11004</v>
      </c>
      <c r="D60" s="12" t="str">
        <f ca="1">VLOOKUP($C60,OFFSET([2]quests!$A$1,0,0,COUNTA([2]quests!$A:$A),MATCH(D$1,[2]quests!$1:$1,0)-MATCH($C$1,[2]quests!$1:$1,0)+1),MATCH(D$1,[2]quests!$1:$1,0)-MATCH($C$1,[2]quests!$1:$1,0)+1,FALSE)</f>
        <v>【木曜限定】 緑の素材</v>
      </c>
      <c r="E60" s="22" t="str">
        <f ca="1">VLOOKUP($C60,OFFSET([2]quests!$A$1,0,0,COUNTA([2]quests!$A:$A),MATCH(E$1,[2]quests!$1:$1,0)-MATCH($C$1,[2]quests!$1:$1,0)+1),MATCH(E$1,[2]quests!$1:$1,0)-MATCH($C$1,[2]quests!$1:$1,0)+1,FALSE)</f>
        <v>木曜クエスト</v>
      </c>
      <c r="F60" s="25">
        <v>3</v>
      </c>
      <c r="G60" s="26" t="str">
        <f t="shared" si="3"/>
        <v>11004_3</v>
      </c>
      <c r="H60" s="16" t="str">
        <f ca="1">VLOOKUP($G60,OFFSET([2]stages!$A$1,0,0,COUNTA([2]stages!$A:$A),MATCH(H$1,[2]stages!$2:$2,0)-MATCH($G$1,[2]stages!$2:$2,0)+1),MATCH(H$1,[2]stages!$2:$2,0)-MATCH($G$1,[2]stages!$2:$2,0)+1,FALSE)</f>
        <v xml:space="preserve">【上級】樹のイモムシ </v>
      </c>
      <c r="I60" s="25">
        <v>4</v>
      </c>
      <c r="J60" s="13">
        <v>45</v>
      </c>
      <c r="K60" s="13">
        <v>60</v>
      </c>
    </row>
    <row r="61" spans="1:11" ht="21" customHeight="1" x14ac:dyDescent="0.15">
      <c r="A61" s="17" t="str">
        <f t="shared" si="2"/>
        <v>11004_3-5</v>
      </c>
      <c r="B61" s="17" t="str">
        <f>IF(COUNTIF(enemy_habitats!$H:$H,A61),"OK","NG")</f>
        <v>OK</v>
      </c>
      <c r="C61" s="8">
        <v>11004</v>
      </c>
      <c r="D61" s="12" t="str">
        <f ca="1">VLOOKUP($C61,OFFSET([2]quests!$A$1,0,0,COUNTA([2]quests!$A:$A),MATCH(D$1,[2]quests!$1:$1,0)-MATCH($C$1,[2]quests!$1:$1,0)+1),MATCH(D$1,[2]quests!$1:$1,0)-MATCH($C$1,[2]quests!$1:$1,0)+1,FALSE)</f>
        <v>【木曜限定】 緑の素材</v>
      </c>
      <c r="E61" s="22" t="str">
        <f ca="1">VLOOKUP($C61,OFFSET([2]quests!$A$1,0,0,COUNTA([2]quests!$A:$A),MATCH(E$1,[2]quests!$1:$1,0)-MATCH($C$1,[2]quests!$1:$1,0)+1),MATCH(E$1,[2]quests!$1:$1,0)-MATCH($C$1,[2]quests!$1:$1,0)+1,FALSE)</f>
        <v>木曜クエスト</v>
      </c>
      <c r="F61" s="25">
        <v>3</v>
      </c>
      <c r="G61" s="26" t="str">
        <f t="shared" si="3"/>
        <v>11004_3</v>
      </c>
      <c r="H61" s="16" t="str">
        <f ca="1">VLOOKUP($G61,OFFSET([2]stages!$A$1,0,0,COUNTA([2]stages!$A:$A),MATCH(H$1,[2]stages!$2:$2,0)-MATCH($G$1,[2]stages!$2:$2,0)+1),MATCH(H$1,[2]stages!$2:$2,0)-MATCH($G$1,[2]stages!$2:$2,0)+1,FALSE)</f>
        <v xml:space="preserve">【上級】樹のイモムシ </v>
      </c>
      <c r="I61" s="25">
        <v>5</v>
      </c>
      <c r="J61" s="13">
        <v>60</v>
      </c>
      <c r="K61" s="13">
        <v>60</v>
      </c>
    </row>
    <row r="62" spans="1:11" ht="21" customHeight="1" x14ac:dyDescent="0.15">
      <c r="A62" s="17" t="str">
        <f t="shared" si="2"/>
        <v>11005_1-1</v>
      </c>
      <c r="B62" s="17" t="str">
        <f>IF(COUNTIF(enemy_habitats!$H:$H,A62),"OK","NG")</f>
        <v>OK</v>
      </c>
      <c r="C62" s="8">
        <v>11005</v>
      </c>
      <c r="D62" s="12" t="str">
        <f ca="1">VLOOKUP($C62,OFFSET([2]quests!$A$1,0,0,COUNTA([2]quests!$A:$A),MATCH(D$1,[2]quests!$1:$1,0)-MATCH($C$1,[2]quests!$1:$1,0)+1),MATCH(D$1,[2]quests!$1:$1,0)-MATCH($C$1,[2]quests!$1:$1,0)+1,FALSE)</f>
        <v>【金曜限定】 帽子屋を追え！</v>
      </c>
      <c r="E62" s="22" t="str">
        <f ca="1">VLOOKUP($C62,OFFSET([2]quests!$A$1,0,0,COUNTA([2]quests!$A:$A),MATCH(E$1,[2]quests!$1:$1,0)-MATCH($C$1,[2]quests!$1:$1,0)+1),MATCH(E$1,[2]quests!$1:$1,0)-MATCH($C$1,[2]quests!$1:$1,0)+1,FALSE)</f>
        <v>金曜クエスト</v>
      </c>
      <c r="F62" s="25">
        <v>1</v>
      </c>
      <c r="G62" s="26" t="str">
        <f t="shared" si="3"/>
        <v>11005_1</v>
      </c>
      <c r="H62" s="16" t="str">
        <f ca="1">VLOOKUP($G62,OFFSET([2]stages!$A$1,0,0,COUNTA([2]stages!$A:$A),MATCH(H$1,[2]stages!$2:$2,0)-MATCH($G$1,[2]stages!$2:$2,0)+1),MATCH(H$1,[2]stages!$2:$2,0)-MATCH($G$1,[2]stages!$2:$2,0)+1,FALSE)</f>
        <v xml:space="preserve">【超級】火の帽子屋 </v>
      </c>
      <c r="I62" s="25">
        <v>1</v>
      </c>
      <c r="J62" s="13">
        <v>30</v>
      </c>
      <c r="K62" s="13">
        <v>45</v>
      </c>
    </row>
    <row r="63" spans="1:11" ht="21" customHeight="1" x14ac:dyDescent="0.15">
      <c r="A63" s="17" t="str">
        <f t="shared" si="2"/>
        <v>11005_1-2</v>
      </c>
      <c r="B63" s="17" t="str">
        <f>IF(COUNTIF(enemy_habitats!$H:$H,A63),"OK","NG")</f>
        <v>OK</v>
      </c>
      <c r="C63" s="8">
        <v>11005</v>
      </c>
      <c r="D63" s="12" t="str">
        <f ca="1">VLOOKUP($C63,OFFSET([2]quests!$A$1,0,0,COUNTA([2]quests!$A:$A),MATCH(D$1,[2]quests!$1:$1,0)-MATCH($C$1,[2]quests!$1:$1,0)+1),MATCH(D$1,[2]quests!$1:$1,0)-MATCH($C$1,[2]quests!$1:$1,0)+1,FALSE)</f>
        <v>【金曜限定】 帽子屋を追え！</v>
      </c>
      <c r="E63" s="22" t="str">
        <f ca="1">VLOOKUP($C63,OFFSET([2]quests!$A$1,0,0,COUNTA([2]quests!$A:$A),MATCH(E$1,[2]quests!$1:$1,0)-MATCH($C$1,[2]quests!$1:$1,0)+1),MATCH(E$1,[2]quests!$1:$1,0)-MATCH($C$1,[2]quests!$1:$1,0)+1,FALSE)</f>
        <v>金曜クエスト</v>
      </c>
      <c r="F63" s="25">
        <v>1</v>
      </c>
      <c r="G63" s="26" t="str">
        <f t="shared" si="3"/>
        <v>11005_1</v>
      </c>
      <c r="H63" s="16" t="str">
        <f ca="1">VLOOKUP($G63,OFFSET([2]stages!$A$1,0,0,COUNTA([2]stages!$A:$A),MATCH(H$1,[2]stages!$2:$2,0)-MATCH($G$1,[2]stages!$2:$2,0)+1),MATCH(H$1,[2]stages!$2:$2,0)-MATCH($G$1,[2]stages!$2:$2,0)+1,FALSE)</f>
        <v xml:space="preserve">【超級】火の帽子屋 </v>
      </c>
      <c r="I63" s="25">
        <v>2</v>
      </c>
      <c r="J63" s="13">
        <v>45</v>
      </c>
      <c r="K63" s="13">
        <v>60</v>
      </c>
    </row>
    <row r="64" spans="1:11" ht="21" customHeight="1" x14ac:dyDescent="0.15">
      <c r="A64" s="17" t="str">
        <f t="shared" si="2"/>
        <v>11005_1-3</v>
      </c>
      <c r="B64" s="17" t="str">
        <f>IF(COUNTIF(enemy_habitats!$H:$H,A64),"OK","NG")</f>
        <v>OK</v>
      </c>
      <c r="C64" s="8">
        <v>11005</v>
      </c>
      <c r="D64" s="12" t="str">
        <f ca="1">VLOOKUP($C64,OFFSET([2]quests!$A$1,0,0,COUNTA([2]quests!$A:$A),MATCH(D$1,[2]quests!$1:$1,0)-MATCH($C$1,[2]quests!$1:$1,0)+1),MATCH(D$1,[2]quests!$1:$1,0)-MATCH($C$1,[2]quests!$1:$1,0)+1,FALSE)</f>
        <v>【金曜限定】 帽子屋を追え！</v>
      </c>
      <c r="E64" s="22" t="str">
        <f ca="1">VLOOKUP($C64,OFFSET([2]quests!$A$1,0,0,COUNTA([2]quests!$A:$A),MATCH(E$1,[2]quests!$1:$1,0)-MATCH($C$1,[2]quests!$1:$1,0)+1),MATCH(E$1,[2]quests!$1:$1,0)-MATCH($C$1,[2]quests!$1:$1,0)+1,FALSE)</f>
        <v>金曜クエスト</v>
      </c>
      <c r="F64" s="25">
        <v>1</v>
      </c>
      <c r="G64" s="26" t="str">
        <f t="shared" si="3"/>
        <v>11005_1</v>
      </c>
      <c r="H64" s="16" t="str">
        <f ca="1">VLOOKUP($G64,OFFSET([2]stages!$A$1,0,0,COUNTA([2]stages!$A:$A),MATCH(H$1,[2]stages!$2:$2,0)-MATCH($G$1,[2]stages!$2:$2,0)+1),MATCH(H$1,[2]stages!$2:$2,0)-MATCH($G$1,[2]stages!$2:$2,0)+1,FALSE)</f>
        <v xml:space="preserve">【超級】火の帽子屋 </v>
      </c>
      <c r="I64" s="25">
        <v>3</v>
      </c>
      <c r="J64" s="13">
        <v>50</v>
      </c>
      <c r="K64" s="13">
        <v>60</v>
      </c>
    </row>
    <row r="65" spans="1:11" ht="21" customHeight="1" x14ac:dyDescent="0.15">
      <c r="A65" s="17" t="str">
        <f t="shared" si="2"/>
        <v>11005_1-4</v>
      </c>
      <c r="B65" s="17" t="str">
        <f>IF(COUNTIF(enemy_habitats!$H:$H,A65),"OK","NG")</f>
        <v>OK</v>
      </c>
      <c r="C65" s="8">
        <v>11005</v>
      </c>
      <c r="D65" s="12" t="str">
        <f ca="1">VLOOKUP($C65,OFFSET([2]quests!$A$1,0,0,COUNTA([2]quests!$A:$A),MATCH(D$1,[2]quests!$1:$1,0)-MATCH($C$1,[2]quests!$1:$1,0)+1),MATCH(D$1,[2]quests!$1:$1,0)-MATCH($C$1,[2]quests!$1:$1,0)+1,FALSE)</f>
        <v>【金曜限定】 帽子屋を追え！</v>
      </c>
      <c r="E65" s="22" t="str">
        <f ca="1">VLOOKUP($C65,OFFSET([2]quests!$A$1,0,0,COUNTA([2]quests!$A:$A),MATCH(E$1,[2]quests!$1:$1,0)-MATCH($C$1,[2]quests!$1:$1,0)+1),MATCH(E$1,[2]quests!$1:$1,0)-MATCH($C$1,[2]quests!$1:$1,0)+1,FALSE)</f>
        <v>金曜クエスト</v>
      </c>
      <c r="F65" s="25">
        <v>1</v>
      </c>
      <c r="G65" s="26" t="str">
        <f t="shared" si="3"/>
        <v>11005_1</v>
      </c>
      <c r="H65" s="16" t="str">
        <f ca="1">VLOOKUP($G65,OFFSET([2]stages!$A$1,0,0,COUNTA([2]stages!$A:$A),MATCH(H$1,[2]stages!$2:$2,0)-MATCH($G$1,[2]stages!$2:$2,0)+1),MATCH(H$1,[2]stages!$2:$2,0)-MATCH($G$1,[2]stages!$2:$2,0)+1,FALSE)</f>
        <v xml:space="preserve">【超級】火の帽子屋 </v>
      </c>
      <c r="I65" s="25">
        <v>4</v>
      </c>
      <c r="J65" s="13">
        <v>45</v>
      </c>
      <c r="K65" s="13">
        <v>60</v>
      </c>
    </row>
    <row r="66" spans="1:11" ht="21" customHeight="1" x14ac:dyDescent="0.15">
      <c r="A66" s="17" t="str">
        <f t="shared" ref="A66:A115" si="4">G66&amp;"-"&amp;I66</f>
        <v>11005_1-5</v>
      </c>
      <c r="B66" s="17" t="str">
        <f>IF(COUNTIF(enemy_habitats!$H:$H,A66),"OK","NG")</f>
        <v>OK</v>
      </c>
      <c r="C66" s="8">
        <v>11005</v>
      </c>
      <c r="D66" s="12" t="str">
        <f ca="1">VLOOKUP($C66,OFFSET([2]quests!$A$1,0,0,COUNTA([2]quests!$A:$A),MATCH(D$1,[2]quests!$1:$1,0)-MATCH($C$1,[2]quests!$1:$1,0)+1),MATCH(D$1,[2]quests!$1:$1,0)-MATCH($C$1,[2]quests!$1:$1,0)+1,FALSE)</f>
        <v>【金曜限定】 帽子屋を追え！</v>
      </c>
      <c r="E66" s="22" t="str">
        <f ca="1">VLOOKUP($C66,OFFSET([2]quests!$A$1,0,0,COUNTA([2]quests!$A:$A),MATCH(E$1,[2]quests!$1:$1,0)-MATCH($C$1,[2]quests!$1:$1,0)+1),MATCH(E$1,[2]quests!$1:$1,0)-MATCH($C$1,[2]quests!$1:$1,0)+1,FALSE)</f>
        <v>金曜クエスト</v>
      </c>
      <c r="F66" s="25">
        <v>1</v>
      </c>
      <c r="G66" s="26" t="str">
        <f t="shared" ref="G66:G115" si="5">C66&amp;"_"&amp;F66</f>
        <v>11005_1</v>
      </c>
      <c r="H66" s="16" t="str">
        <f ca="1">VLOOKUP($G66,OFFSET([2]stages!$A$1,0,0,COUNTA([2]stages!$A:$A),MATCH(H$1,[2]stages!$2:$2,0)-MATCH($G$1,[2]stages!$2:$2,0)+1),MATCH(H$1,[2]stages!$2:$2,0)-MATCH($G$1,[2]stages!$2:$2,0)+1,FALSE)</f>
        <v xml:space="preserve">【超級】火の帽子屋 </v>
      </c>
      <c r="I66" s="25">
        <v>5</v>
      </c>
      <c r="J66" s="13">
        <v>60</v>
      </c>
      <c r="K66" s="13">
        <v>60</v>
      </c>
    </row>
    <row r="67" spans="1:11" ht="21" customHeight="1" x14ac:dyDescent="0.15">
      <c r="A67" s="17" t="str">
        <f t="shared" ref="A67" si="6">G67&amp;"-"&amp;I67</f>
        <v>11005_1-6</v>
      </c>
      <c r="B67" s="17" t="str">
        <f>IF(COUNTIF(enemy_habitats!$H:$H,A67),"OK","NG")</f>
        <v>OK</v>
      </c>
      <c r="C67" s="8">
        <v>11005</v>
      </c>
      <c r="D67" s="12" t="str">
        <f ca="1">VLOOKUP($C67,OFFSET([2]quests!$A$1,0,0,COUNTA([2]quests!$A:$A),MATCH(D$1,[2]quests!$1:$1,0)-MATCH($C$1,[2]quests!$1:$1,0)+1),MATCH(D$1,[2]quests!$1:$1,0)-MATCH($C$1,[2]quests!$1:$1,0)+1,FALSE)</f>
        <v>【金曜限定】 帽子屋を追え！</v>
      </c>
      <c r="E67" s="22" t="str">
        <f ca="1">VLOOKUP($C67,OFFSET([2]quests!$A$1,0,0,COUNTA([2]quests!$A:$A),MATCH(E$1,[2]quests!$1:$1,0)-MATCH($C$1,[2]quests!$1:$1,0)+1),MATCH(E$1,[2]quests!$1:$1,0)-MATCH($C$1,[2]quests!$1:$1,0)+1,FALSE)</f>
        <v>金曜クエスト</v>
      </c>
      <c r="F67" s="25">
        <v>1</v>
      </c>
      <c r="G67" s="26" t="str">
        <f t="shared" ref="G67" si="7">C67&amp;"_"&amp;F67</f>
        <v>11005_1</v>
      </c>
      <c r="H67" s="16" t="str">
        <f ca="1">VLOOKUP($G67,OFFSET([2]stages!$A$1,0,0,COUNTA([2]stages!$A:$A),MATCH(H$1,[2]stages!$2:$2,0)-MATCH($G$1,[2]stages!$2:$2,0)+1),MATCH(H$1,[2]stages!$2:$2,0)-MATCH($G$1,[2]stages!$2:$2,0)+1,FALSE)</f>
        <v xml:space="preserve">【超級】火の帽子屋 </v>
      </c>
      <c r="I67" s="25">
        <v>6</v>
      </c>
      <c r="J67" s="13">
        <v>60</v>
      </c>
      <c r="K67" s="13">
        <v>60</v>
      </c>
    </row>
    <row r="68" spans="1:11" ht="21" customHeight="1" x14ac:dyDescent="0.15">
      <c r="A68" s="17" t="str">
        <f t="shared" si="4"/>
        <v>11005_2-1</v>
      </c>
      <c r="B68" s="17" t="str">
        <f>IF(COUNTIF(enemy_habitats!$H:$H,A68),"OK","NG")</f>
        <v>OK</v>
      </c>
      <c r="C68" s="8">
        <v>11005</v>
      </c>
      <c r="D68" s="12" t="str">
        <f ca="1">VLOOKUP($C68,OFFSET([2]quests!$A$1,0,0,COUNTA([2]quests!$A:$A),MATCH(D$1,[2]quests!$1:$1,0)-MATCH($C$1,[2]quests!$1:$1,0)+1),MATCH(D$1,[2]quests!$1:$1,0)-MATCH($C$1,[2]quests!$1:$1,0)+1,FALSE)</f>
        <v>【金曜限定】 帽子屋を追え！</v>
      </c>
      <c r="E68" s="22" t="str">
        <f ca="1">VLOOKUP($C68,OFFSET([2]quests!$A$1,0,0,COUNTA([2]quests!$A:$A),MATCH(E$1,[2]quests!$1:$1,0)-MATCH($C$1,[2]quests!$1:$1,0)+1),MATCH(E$1,[2]quests!$1:$1,0)-MATCH($C$1,[2]quests!$1:$1,0)+1,FALSE)</f>
        <v>金曜クエスト</v>
      </c>
      <c r="F68" s="25">
        <v>2</v>
      </c>
      <c r="G68" s="26" t="str">
        <f t="shared" si="5"/>
        <v>11005_2</v>
      </c>
      <c r="H68" s="16" t="str">
        <f ca="1">VLOOKUP($G68,OFFSET([2]stages!$A$1,0,0,COUNTA([2]stages!$A:$A),MATCH(H$1,[2]stages!$2:$2,0)-MATCH($G$1,[2]stages!$2:$2,0)+1),MATCH(H$1,[2]stages!$2:$2,0)-MATCH($G$1,[2]stages!$2:$2,0)+1,FALSE)</f>
        <v xml:space="preserve">【超級】樹の帽子屋 </v>
      </c>
      <c r="I68" s="25">
        <v>1</v>
      </c>
      <c r="J68" s="13">
        <v>30</v>
      </c>
      <c r="K68" s="13">
        <v>45</v>
      </c>
    </row>
    <row r="69" spans="1:11" ht="21" customHeight="1" x14ac:dyDescent="0.15">
      <c r="A69" s="17" t="str">
        <f t="shared" si="4"/>
        <v>11005_2-2</v>
      </c>
      <c r="B69" s="17" t="str">
        <f>IF(COUNTIF(enemy_habitats!$H:$H,A69),"OK","NG")</f>
        <v>OK</v>
      </c>
      <c r="C69" s="8">
        <v>11005</v>
      </c>
      <c r="D69" s="12" t="str">
        <f ca="1">VLOOKUP($C69,OFFSET([2]quests!$A$1,0,0,COUNTA([2]quests!$A:$A),MATCH(D$1,[2]quests!$1:$1,0)-MATCH($C$1,[2]quests!$1:$1,0)+1),MATCH(D$1,[2]quests!$1:$1,0)-MATCH($C$1,[2]quests!$1:$1,0)+1,FALSE)</f>
        <v>【金曜限定】 帽子屋を追え！</v>
      </c>
      <c r="E69" s="22" t="str">
        <f ca="1">VLOOKUP($C69,OFFSET([2]quests!$A$1,0,0,COUNTA([2]quests!$A:$A),MATCH(E$1,[2]quests!$1:$1,0)-MATCH($C$1,[2]quests!$1:$1,0)+1),MATCH(E$1,[2]quests!$1:$1,0)-MATCH($C$1,[2]quests!$1:$1,0)+1,FALSE)</f>
        <v>金曜クエスト</v>
      </c>
      <c r="F69" s="25">
        <v>2</v>
      </c>
      <c r="G69" s="26" t="str">
        <f t="shared" si="5"/>
        <v>11005_2</v>
      </c>
      <c r="H69" s="16" t="str">
        <f ca="1">VLOOKUP($G69,OFFSET([2]stages!$A$1,0,0,COUNTA([2]stages!$A:$A),MATCH(H$1,[2]stages!$2:$2,0)-MATCH($G$1,[2]stages!$2:$2,0)+1),MATCH(H$1,[2]stages!$2:$2,0)-MATCH($G$1,[2]stages!$2:$2,0)+1,FALSE)</f>
        <v xml:space="preserve">【超級】樹の帽子屋 </v>
      </c>
      <c r="I69" s="25">
        <v>2</v>
      </c>
      <c r="J69" s="13">
        <v>45</v>
      </c>
      <c r="K69" s="13">
        <v>60</v>
      </c>
    </row>
    <row r="70" spans="1:11" ht="21" customHeight="1" x14ac:dyDescent="0.15">
      <c r="A70" s="17" t="str">
        <f t="shared" si="4"/>
        <v>11005_2-3</v>
      </c>
      <c r="B70" s="17" t="str">
        <f>IF(COUNTIF(enemy_habitats!$H:$H,A70),"OK","NG")</f>
        <v>OK</v>
      </c>
      <c r="C70" s="8">
        <v>11005</v>
      </c>
      <c r="D70" s="12" t="str">
        <f ca="1">VLOOKUP($C70,OFFSET([2]quests!$A$1,0,0,COUNTA([2]quests!$A:$A),MATCH(D$1,[2]quests!$1:$1,0)-MATCH($C$1,[2]quests!$1:$1,0)+1),MATCH(D$1,[2]quests!$1:$1,0)-MATCH($C$1,[2]quests!$1:$1,0)+1,FALSE)</f>
        <v>【金曜限定】 帽子屋を追え！</v>
      </c>
      <c r="E70" s="22" t="str">
        <f ca="1">VLOOKUP($C70,OFFSET([2]quests!$A$1,0,0,COUNTA([2]quests!$A:$A),MATCH(E$1,[2]quests!$1:$1,0)-MATCH($C$1,[2]quests!$1:$1,0)+1),MATCH(E$1,[2]quests!$1:$1,0)-MATCH($C$1,[2]quests!$1:$1,0)+1,FALSE)</f>
        <v>金曜クエスト</v>
      </c>
      <c r="F70" s="25">
        <v>2</v>
      </c>
      <c r="G70" s="26" t="str">
        <f t="shared" si="5"/>
        <v>11005_2</v>
      </c>
      <c r="H70" s="16" t="str">
        <f ca="1">VLOOKUP($G70,OFFSET([2]stages!$A$1,0,0,COUNTA([2]stages!$A:$A),MATCH(H$1,[2]stages!$2:$2,0)-MATCH($G$1,[2]stages!$2:$2,0)+1),MATCH(H$1,[2]stages!$2:$2,0)-MATCH($G$1,[2]stages!$2:$2,0)+1,FALSE)</f>
        <v xml:space="preserve">【超級】樹の帽子屋 </v>
      </c>
      <c r="I70" s="25">
        <v>3</v>
      </c>
      <c r="J70" s="13">
        <v>50</v>
      </c>
      <c r="K70" s="13">
        <v>60</v>
      </c>
    </row>
    <row r="71" spans="1:11" ht="21" customHeight="1" x14ac:dyDescent="0.15">
      <c r="A71" s="17" t="str">
        <f t="shared" si="4"/>
        <v>11005_2-4</v>
      </c>
      <c r="B71" s="17" t="str">
        <f>IF(COUNTIF(enemy_habitats!$H:$H,A71),"OK","NG")</f>
        <v>OK</v>
      </c>
      <c r="C71" s="8">
        <v>11005</v>
      </c>
      <c r="D71" s="12" t="str">
        <f ca="1">VLOOKUP($C71,OFFSET([2]quests!$A$1,0,0,COUNTA([2]quests!$A:$A),MATCH(D$1,[2]quests!$1:$1,0)-MATCH($C$1,[2]quests!$1:$1,0)+1),MATCH(D$1,[2]quests!$1:$1,0)-MATCH($C$1,[2]quests!$1:$1,0)+1,FALSE)</f>
        <v>【金曜限定】 帽子屋を追え！</v>
      </c>
      <c r="E71" s="22" t="str">
        <f ca="1">VLOOKUP($C71,OFFSET([2]quests!$A$1,0,0,COUNTA([2]quests!$A:$A),MATCH(E$1,[2]quests!$1:$1,0)-MATCH($C$1,[2]quests!$1:$1,0)+1),MATCH(E$1,[2]quests!$1:$1,0)-MATCH($C$1,[2]quests!$1:$1,0)+1,FALSE)</f>
        <v>金曜クエスト</v>
      </c>
      <c r="F71" s="25">
        <v>2</v>
      </c>
      <c r="G71" s="26" t="str">
        <f t="shared" si="5"/>
        <v>11005_2</v>
      </c>
      <c r="H71" s="16" t="str">
        <f ca="1">VLOOKUP($G71,OFFSET([2]stages!$A$1,0,0,COUNTA([2]stages!$A:$A),MATCH(H$1,[2]stages!$2:$2,0)-MATCH($G$1,[2]stages!$2:$2,0)+1),MATCH(H$1,[2]stages!$2:$2,0)-MATCH($G$1,[2]stages!$2:$2,0)+1,FALSE)</f>
        <v xml:space="preserve">【超級】樹の帽子屋 </v>
      </c>
      <c r="I71" s="25">
        <v>4</v>
      </c>
      <c r="J71" s="13">
        <v>45</v>
      </c>
      <c r="K71" s="13">
        <v>60</v>
      </c>
    </row>
    <row r="72" spans="1:11" ht="21" customHeight="1" x14ac:dyDescent="0.15">
      <c r="A72" s="17" t="str">
        <f t="shared" si="4"/>
        <v>11005_2-5</v>
      </c>
      <c r="B72" s="17" t="str">
        <f>IF(COUNTIF(enemy_habitats!$H:$H,A72),"OK","NG")</f>
        <v>OK</v>
      </c>
      <c r="C72" s="8">
        <v>11005</v>
      </c>
      <c r="D72" s="12" t="str">
        <f ca="1">VLOOKUP($C72,OFFSET([2]quests!$A$1,0,0,COUNTA([2]quests!$A:$A),MATCH(D$1,[2]quests!$1:$1,0)-MATCH($C$1,[2]quests!$1:$1,0)+1),MATCH(D$1,[2]quests!$1:$1,0)-MATCH($C$1,[2]quests!$1:$1,0)+1,FALSE)</f>
        <v>【金曜限定】 帽子屋を追え！</v>
      </c>
      <c r="E72" s="22" t="str">
        <f ca="1">VLOOKUP($C72,OFFSET([2]quests!$A$1,0,0,COUNTA([2]quests!$A:$A),MATCH(E$1,[2]quests!$1:$1,0)-MATCH($C$1,[2]quests!$1:$1,0)+1),MATCH(E$1,[2]quests!$1:$1,0)-MATCH($C$1,[2]quests!$1:$1,0)+1,FALSE)</f>
        <v>金曜クエスト</v>
      </c>
      <c r="F72" s="25">
        <v>2</v>
      </c>
      <c r="G72" s="26" t="str">
        <f t="shared" si="5"/>
        <v>11005_2</v>
      </c>
      <c r="H72" s="16" t="str">
        <f ca="1">VLOOKUP($G72,OFFSET([2]stages!$A$1,0,0,COUNTA([2]stages!$A:$A),MATCH(H$1,[2]stages!$2:$2,0)-MATCH($G$1,[2]stages!$2:$2,0)+1),MATCH(H$1,[2]stages!$2:$2,0)-MATCH($G$1,[2]stages!$2:$2,0)+1,FALSE)</f>
        <v xml:space="preserve">【超級】樹の帽子屋 </v>
      </c>
      <c r="I72" s="25">
        <v>5</v>
      </c>
      <c r="J72" s="13">
        <v>60</v>
      </c>
      <c r="K72" s="13">
        <v>60</v>
      </c>
    </row>
    <row r="73" spans="1:11" ht="21" customHeight="1" x14ac:dyDescent="0.15">
      <c r="A73" s="17" t="str">
        <f t="shared" ref="A73" si="8">G73&amp;"-"&amp;I73</f>
        <v>11005_2-6</v>
      </c>
      <c r="B73" s="17" t="str">
        <f>IF(COUNTIF(enemy_habitats!$H:$H,A73),"OK","NG")</f>
        <v>OK</v>
      </c>
      <c r="C73" s="8">
        <v>11005</v>
      </c>
      <c r="D73" s="12" t="str">
        <f ca="1">VLOOKUP($C73,OFFSET([2]quests!$A$1,0,0,COUNTA([2]quests!$A:$A),MATCH(D$1,[2]quests!$1:$1,0)-MATCH($C$1,[2]quests!$1:$1,0)+1),MATCH(D$1,[2]quests!$1:$1,0)-MATCH($C$1,[2]quests!$1:$1,0)+1,FALSE)</f>
        <v>【金曜限定】 帽子屋を追え！</v>
      </c>
      <c r="E73" s="22" t="str">
        <f ca="1">VLOOKUP($C73,OFFSET([2]quests!$A$1,0,0,COUNTA([2]quests!$A:$A),MATCH(E$1,[2]quests!$1:$1,0)-MATCH($C$1,[2]quests!$1:$1,0)+1),MATCH(E$1,[2]quests!$1:$1,0)-MATCH($C$1,[2]quests!$1:$1,0)+1,FALSE)</f>
        <v>金曜クエスト</v>
      </c>
      <c r="F73" s="25">
        <v>2</v>
      </c>
      <c r="G73" s="26" t="str">
        <f t="shared" ref="G73" si="9">C73&amp;"_"&amp;F73</f>
        <v>11005_2</v>
      </c>
      <c r="H73" s="16" t="str">
        <f ca="1">VLOOKUP($G73,OFFSET([2]stages!$A$1,0,0,COUNTA([2]stages!$A:$A),MATCH(H$1,[2]stages!$2:$2,0)-MATCH($G$1,[2]stages!$2:$2,0)+1),MATCH(H$1,[2]stages!$2:$2,0)-MATCH($G$1,[2]stages!$2:$2,0)+1,FALSE)</f>
        <v xml:space="preserve">【超級】樹の帽子屋 </v>
      </c>
      <c r="I73" s="25">
        <v>6</v>
      </c>
      <c r="J73" s="13">
        <v>60</v>
      </c>
      <c r="K73" s="13">
        <v>60</v>
      </c>
    </row>
    <row r="74" spans="1:11" ht="21" customHeight="1" x14ac:dyDescent="0.15">
      <c r="A74" s="17" t="str">
        <f t="shared" si="4"/>
        <v>11005_3-1</v>
      </c>
      <c r="B74" s="17" t="str">
        <f>IF(COUNTIF(enemy_habitats!$H:$H,A74),"OK","NG")</f>
        <v>OK</v>
      </c>
      <c r="C74" s="8">
        <v>11005</v>
      </c>
      <c r="D74" s="12" t="str">
        <f ca="1">VLOOKUP($C74,OFFSET([2]quests!$A$1,0,0,COUNTA([2]quests!$A:$A),MATCH(D$1,[2]quests!$1:$1,0)-MATCH($C$1,[2]quests!$1:$1,0)+1),MATCH(D$1,[2]quests!$1:$1,0)-MATCH($C$1,[2]quests!$1:$1,0)+1,FALSE)</f>
        <v>【金曜限定】 帽子屋を追え！</v>
      </c>
      <c r="E74" s="22" t="str">
        <f ca="1">VLOOKUP($C74,OFFSET([2]quests!$A$1,0,0,COUNTA([2]quests!$A:$A),MATCH(E$1,[2]quests!$1:$1,0)-MATCH($C$1,[2]quests!$1:$1,0)+1),MATCH(E$1,[2]quests!$1:$1,0)-MATCH($C$1,[2]quests!$1:$1,0)+1,FALSE)</f>
        <v>金曜クエスト</v>
      </c>
      <c r="F74" s="25">
        <v>3</v>
      </c>
      <c r="G74" s="26" t="str">
        <f t="shared" si="5"/>
        <v>11005_3</v>
      </c>
      <c r="H74" s="16" t="str">
        <f ca="1">VLOOKUP($G74,OFFSET([2]stages!$A$1,0,0,COUNTA([2]stages!$A:$A),MATCH(H$1,[2]stages!$2:$2,0)-MATCH($G$1,[2]stages!$2:$2,0)+1),MATCH(H$1,[2]stages!$2:$2,0)-MATCH($G$1,[2]stages!$2:$2,0)+1,FALSE)</f>
        <v xml:space="preserve">【超級】水の帽子屋 </v>
      </c>
      <c r="I74" s="25">
        <v>1</v>
      </c>
      <c r="J74" s="13">
        <v>30</v>
      </c>
      <c r="K74" s="13">
        <v>45</v>
      </c>
    </row>
    <row r="75" spans="1:11" ht="21" customHeight="1" x14ac:dyDescent="0.15">
      <c r="A75" s="17" t="str">
        <f t="shared" si="4"/>
        <v>11005_3-2</v>
      </c>
      <c r="B75" s="17" t="str">
        <f>IF(COUNTIF(enemy_habitats!$H:$H,A75),"OK","NG")</f>
        <v>OK</v>
      </c>
      <c r="C75" s="8">
        <v>11005</v>
      </c>
      <c r="D75" s="12" t="str">
        <f ca="1">VLOOKUP($C75,OFFSET([2]quests!$A$1,0,0,COUNTA([2]quests!$A:$A),MATCH(D$1,[2]quests!$1:$1,0)-MATCH($C$1,[2]quests!$1:$1,0)+1),MATCH(D$1,[2]quests!$1:$1,0)-MATCH($C$1,[2]quests!$1:$1,0)+1,FALSE)</f>
        <v>【金曜限定】 帽子屋を追え！</v>
      </c>
      <c r="E75" s="22" t="str">
        <f ca="1">VLOOKUP($C75,OFFSET([2]quests!$A$1,0,0,COUNTA([2]quests!$A:$A),MATCH(E$1,[2]quests!$1:$1,0)-MATCH($C$1,[2]quests!$1:$1,0)+1),MATCH(E$1,[2]quests!$1:$1,0)-MATCH($C$1,[2]quests!$1:$1,0)+1,FALSE)</f>
        <v>金曜クエスト</v>
      </c>
      <c r="F75" s="25">
        <v>3</v>
      </c>
      <c r="G75" s="26" t="str">
        <f t="shared" si="5"/>
        <v>11005_3</v>
      </c>
      <c r="H75" s="16" t="str">
        <f ca="1">VLOOKUP($G75,OFFSET([2]stages!$A$1,0,0,COUNTA([2]stages!$A:$A),MATCH(H$1,[2]stages!$2:$2,0)-MATCH($G$1,[2]stages!$2:$2,0)+1),MATCH(H$1,[2]stages!$2:$2,0)-MATCH($G$1,[2]stages!$2:$2,0)+1,FALSE)</f>
        <v xml:space="preserve">【超級】水の帽子屋 </v>
      </c>
      <c r="I75" s="25">
        <v>2</v>
      </c>
      <c r="J75" s="13">
        <v>45</v>
      </c>
      <c r="K75" s="13">
        <v>60</v>
      </c>
    </row>
    <row r="76" spans="1:11" ht="21" customHeight="1" x14ac:dyDescent="0.15">
      <c r="A76" s="17" t="str">
        <f t="shared" si="4"/>
        <v>11005_3-3</v>
      </c>
      <c r="B76" s="17" t="str">
        <f>IF(COUNTIF(enemy_habitats!$H:$H,A76),"OK","NG")</f>
        <v>OK</v>
      </c>
      <c r="C76" s="8">
        <v>11005</v>
      </c>
      <c r="D76" s="12" t="str">
        <f ca="1">VLOOKUP($C76,OFFSET([2]quests!$A$1,0,0,COUNTA([2]quests!$A:$A),MATCH(D$1,[2]quests!$1:$1,0)-MATCH($C$1,[2]quests!$1:$1,0)+1),MATCH(D$1,[2]quests!$1:$1,0)-MATCH($C$1,[2]quests!$1:$1,0)+1,FALSE)</f>
        <v>【金曜限定】 帽子屋を追え！</v>
      </c>
      <c r="E76" s="22" t="str">
        <f ca="1">VLOOKUP($C76,OFFSET([2]quests!$A$1,0,0,COUNTA([2]quests!$A:$A),MATCH(E$1,[2]quests!$1:$1,0)-MATCH($C$1,[2]quests!$1:$1,0)+1),MATCH(E$1,[2]quests!$1:$1,0)-MATCH($C$1,[2]quests!$1:$1,0)+1,FALSE)</f>
        <v>金曜クエスト</v>
      </c>
      <c r="F76" s="25">
        <v>3</v>
      </c>
      <c r="G76" s="26" t="str">
        <f t="shared" si="5"/>
        <v>11005_3</v>
      </c>
      <c r="H76" s="16" t="str">
        <f ca="1">VLOOKUP($G76,OFFSET([2]stages!$A$1,0,0,COUNTA([2]stages!$A:$A),MATCH(H$1,[2]stages!$2:$2,0)-MATCH($G$1,[2]stages!$2:$2,0)+1),MATCH(H$1,[2]stages!$2:$2,0)-MATCH($G$1,[2]stages!$2:$2,0)+1,FALSE)</f>
        <v xml:space="preserve">【超級】水の帽子屋 </v>
      </c>
      <c r="I76" s="25">
        <v>3</v>
      </c>
      <c r="J76" s="13">
        <v>50</v>
      </c>
      <c r="K76" s="13">
        <v>60</v>
      </c>
    </row>
    <row r="77" spans="1:11" ht="21" customHeight="1" x14ac:dyDescent="0.15">
      <c r="A77" s="17" t="str">
        <f t="shared" si="4"/>
        <v>11005_3-4</v>
      </c>
      <c r="B77" s="17" t="str">
        <f>IF(COUNTIF(enemy_habitats!$H:$H,A77),"OK","NG")</f>
        <v>OK</v>
      </c>
      <c r="C77" s="8">
        <v>11005</v>
      </c>
      <c r="D77" s="12" t="str">
        <f ca="1">VLOOKUP($C77,OFFSET([2]quests!$A$1,0,0,COUNTA([2]quests!$A:$A),MATCH(D$1,[2]quests!$1:$1,0)-MATCH($C$1,[2]quests!$1:$1,0)+1),MATCH(D$1,[2]quests!$1:$1,0)-MATCH($C$1,[2]quests!$1:$1,0)+1,FALSE)</f>
        <v>【金曜限定】 帽子屋を追え！</v>
      </c>
      <c r="E77" s="22" t="str">
        <f ca="1">VLOOKUP($C77,OFFSET([2]quests!$A$1,0,0,COUNTA([2]quests!$A:$A),MATCH(E$1,[2]quests!$1:$1,0)-MATCH($C$1,[2]quests!$1:$1,0)+1),MATCH(E$1,[2]quests!$1:$1,0)-MATCH($C$1,[2]quests!$1:$1,0)+1,FALSE)</f>
        <v>金曜クエスト</v>
      </c>
      <c r="F77" s="25">
        <v>3</v>
      </c>
      <c r="G77" s="26" t="str">
        <f t="shared" si="5"/>
        <v>11005_3</v>
      </c>
      <c r="H77" s="16" t="str">
        <f ca="1">VLOOKUP($G77,OFFSET([2]stages!$A$1,0,0,COUNTA([2]stages!$A:$A),MATCH(H$1,[2]stages!$2:$2,0)-MATCH($G$1,[2]stages!$2:$2,0)+1),MATCH(H$1,[2]stages!$2:$2,0)-MATCH($G$1,[2]stages!$2:$2,0)+1,FALSE)</f>
        <v xml:space="preserve">【超級】水の帽子屋 </v>
      </c>
      <c r="I77" s="25">
        <v>4</v>
      </c>
      <c r="J77" s="13">
        <v>45</v>
      </c>
      <c r="K77" s="13">
        <v>60</v>
      </c>
    </row>
    <row r="78" spans="1:11" ht="21" customHeight="1" x14ac:dyDescent="0.15">
      <c r="A78" s="17" t="str">
        <f t="shared" si="4"/>
        <v>11005_3-5</v>
      </c>
      <c r="B78" s="17" t="str">
        <f>IF(COUNTIF(enemy_habitats!$H:$H,A78),"OK","NG")</f>
        <v>OK</v>
      </c>
      <c r="C78" s="8">
        <v>11005</v>
      </c>
      <c r="D78" s="12" t="str">
        <f ca="1">VLOOKUP($C78,OFFSET([2]quests!$A$1,0,0,COUNTA([2]quests!$A:$A),MATCH(D$1,[2]quests!$1:$1,0)-MATCH($C$1,[2]quests!$1:$1,0)+1),MATCH(D$1,[2]quests!$1:$1,0)-MATCH($C$1,[2]quests!$1:$1,0)+1,FALSE)</f>
        <v>【金曜限定】 帽子屋を追え！</v>
      </c>
      <c r="E78" s="22" t="str">
        <f ca="1">VLOOKUP($C78,OFFSET([2]quests!$A$1,0,0,COUNTA([2]quests!$A:$A),MATCH(E$1,[2]quests!$1:$1,0)-MATCH($C$1,[2]quests!$1:$1,0)+1),MATCH(E$1,[2]quests!$1:$1,0)-MATCH($C$1,[2]quests!$1:$1,0)+1,FALSE)</f>
        <v>金曜クエスト</v>
      </c>
      <c r="F78" s="25">
        <v>3</v>
      </c>
      <c r="G78" s="26" t="str">
        <f t="shared" si="5"/>
        <v>11005_3</v>
      </c>
      <c r="H78" s="16" t="str">
        <f ca="1">VLOOKUP($G78,OFFSET([2]stages!$A$1,0,0,COUNTA([2]stages!$A:$A),MATCH(H$1,[2]stages!$2:$2,0)-MATCH($G$1,[2]stages!$2:$2,0)+1),MATCH(H$1,[2]stages!$2:$2,0)-MATCH($G$1,[2]stages!$2:$2,0)+1,FALSE)</f>
        <v xml:space="preserve">【超級】水の帽子屋 </v>
      </c>
      <c r="I78" s="25">
        <v>5</v>
      </c>
      <c r="J78" s="13">
        <v>60</v>
      </c>
      <c r="K78" s="13">
        <v>60</v>
      </c>
    </row>
    <row r="79" spans="1:11" ht="21" customHeight="1" x14ac:dyDescent="0.15">
      <c r="A79" s="17" t="str">
        <f t="shared" ref="A79" si="10">G79&amp;"-"&amp;I79</f>
        <v>11005_3-6</v>
      </c>
      <c r="B79" s="17" t="str">
        <f>IF(COUNTIF(enemy_habitats!$H:$H,A79),"OK","NG")</f>
        <v>OK</v>
      </c>
      <c r="C79" s="8">
        <v>11005</v>
      </c>
      <c r="D79" s="12" t="str">
        <f ca="1">VLOOKUP($C79,OFFSET([2]quests!$A$1,0,0,COUNTA([2]quests!$A:$A),MATCH(D$1,[2]quests!$1:$1,0)-MATCH($C$1,[2]quests!$1:$1,0)+1),MATCH(D$1,[2]quests!$1:$1,0)-MATCH($C$1,[2]quests!$1:$1,0)+1,FALSE)</f>
        <v>【金曜限定】 帽子屋を追え！</v>
      </c>
      <c r="E79" s="22" t="str">
        <f ca="1">VLOOKUP($C79,OFFSET([2]quests!$A$1,0,0,COUNTA([2]quests!$A:$A),MATCH(E$1,[2]quests!$1:$1,0)-MATCH($C$1,[2]quests!$1:$1,0)+1),MATCH(E$1,[2]quests!$1:$1,0)-MATCH($C$1,[2]quests!$1:$1,0)+1,FALSE)</f>
        <v>金曜クエスト</v>
      </c>
      <c r="F79" s="25">
        <v>3</v>
      </c>
      <c r="G79" s="26" t="str">
        <f t="shared" ref="G79" si="11">C79&amp;"_"&amp;F79</f>
        <v>11005_3</v>
      </c>
      <c r="H79" s="16" t="str">
        <f ca="1">VLOOKUP($G79,OFFSET([2]stages!$A$1,0,0,COUNTA([2]stages!$A:$A),MATCH(H$1,[2]stages!$2:$2,0)-MATCH($G$1,[2]stages!$2:$2,0)+1),MATCH(H$1,[2]stages!$2:$2,0)-MATCH($G$1,[2]stages!$2:$2,0)+1,FALSE)</f>
        <v xml:space="preserve">【超級】水の帽子屋 </v>
      </c>
      <c r="I79" s="25">
        <v>6</v>
      </c>
      <c r="J79" s="13">
        <v>60</v>
      </c>
      <c r="K79" s="13">
        <v>60</v>
      </c>
    </row>
    <row r="80" spans="1:11" ht="21" customHeight="1" x14ac:dyDescent="0.15">
      <c r="A80" s="17" t="str">
        <f t="shared" si="4"/>
        <v>11005_4-1</v>
      </c>
      <c r="B80" s="17" t="str">
        <f>IF(COUNTIF(enemy_habitats!$H:$H,A80),"OK","NG")</f>
        <v>OK</v>
      </c>
      <c r="C80" s="8">
        <v>11005</v>
      </c>
      <c r="D80" s="12" t="str">
        <f ca="1">VLOOKUP($C80,OFFSET([2]quests!$A$1,0,0,COUNTA([2]quests!$A:$A),MATCH(D$1,[2]quests!$1:$1,0)-MATCH($C$1,[2]quests!$1:$1,0)+1),MATCH(D$1,[2]quests!$1:$1,0)-MATCH($C$1,[2]quests!$1:$1,0)+1,FALSE)</f>
        <v>【金曜限定】 帽子屋を追え！</v>
      </c>
      <c r="E80" s="22" t="str">
        <f ca="1">VLOOKUP($C80,OFFSET([2]quests!$A$1,0,0,COUNTA([2]quests!$A:$A),MATCH(E$1,[2]quests!$1:$1,0)-MATCH($C$1,[2]quests!$1:$1,0)+1),MATCH(E$1,[2]quests!$1:$1,0)-MATCH($C$1,[2]quests!$1:$1,0)+1,FALSE)</f>
        <v>金曜クエスト</v>
      </c>
      <c r="F80" s="25">
        <v>4</v>
      </c>
      <c r="G80" s="26" t="str">
        <f t="shared" si="5"/>
        <v>11005_4</v>
      </c>
      <c r="H80" s="16" t="str">
        <f ca="1">VLOOKUP($G80,OFFSET([2]stages!$A$1,0,0,COUNTA([2]stages!$A:$A),MATCH(H$1,[2]stages!$2:$2,0)-MATCH($G$1,[2]stages!$2:$2,0)+1),MATCH(H$1,[2]stages!$2:$2,0)-MATCH($G$1,[2]stages!$2:$2,0)+1,FALSE)</f>
        <v>【超級】雷の帽子屋</v>
      </c>
      <c r="I80" s="25">
        <v>1</v>
      </c>
      <c r="J80" s="13">
        <v>30</v>
      </c>
      <c r="K80" s="13">
        <v>45</v>
      </c>
    </row>
    <row r="81" spans="1:11" ht="21" customHeight="1" x14ac:dyDescent="0.15">
      <c r="A81" s="17" t="str">
        <f t="shared" si="4"/>
        <v>11005_4-2</v>
      </c>
      <c r="B81" s="17" t="str">
        <f>IF(COUNTIF(enemy_habitats!$H:$H,A81),"OK","NG")</f>
        <v>OK</v>
      </c>
      <c r="C81" s="8">
        <v>11005</v>
      </c>
      <c r="D81" s="12" t="str">
        <f ca="1">VLOOKUP($C81,OFFSET([2]quests!$A$1,0,0,COUNTA([2]quests!$A:$A),MATCH(D$1,[2]quests!$1:$1,0)-MATCH($C$1,[2]quests!$1:$1,0)+1),MATCH(D$1,[2]quests!$1:$1,0)-MATCH($C$1,[2]quests!$1:$1,0)+1,FALSE)</f>
        <v>【金曜限定】 帽子屋を追え！</v>
      </c>
      <c r="E81" s="22" t="str">
        <f ca="1">VLOOKUP($C81,OFFSET([2]quests!$A$1,0,0,COUNTA([2]quests!$A:$A),MATCH(E$1,[2]quests!$1:$1,0)-MATCH($C$1,[2]quests!$1:$1,0)+1),MATCH(E$1,[2]quests!$1:$1,0)-MATCH($C$1,[2]quests!$1:$1,0)+1,FALSE)</f>
        <v>金曜クエスト</v>
      </c>
      <c r="F81" s="25">
        <v>4</v>
      </c>
      <c r="G81" s="26" t="str">
        <f t="shared" si="5"/>
        <v>11005_4</v>
      </c>
      <c r="H81" s="16" t="str">
        <f ca="1">VLOOKUP($G81,OFFSET([2]stages!$A$1,0,0,COUNTA([2]stages!$A:$A),MATCH(H$1,[2]stages!$2:$2,0)-MATCH($G$1,[2]stages!$2:$2,0)+1),MATCH(H$1,[2]stages!$2:$2,0)-MATCH($G$1,[2]stages!$2:$2,0)+1,FALSE)</f>
        <v>【超級】雷の帽子屋</v>
      </c>
      <c r="I81" s="25">
        <v>2</v>
      </c>
      <c r="J81" s="13">
        <v>45</v>
      </c>
      <c r="K81" s="13">
        <v>60</v>
      </c>
    </row>
    <row r="82" spans="1:11" ht="21" customHeight="1" x14ac:dyDescent="0.15">
      <c r="A82" s="17" t="str">
        <f t="shared" si="4"/>
        <v>11005_4-3</v>
      </c>
      <c r="B82" s="17" t="str">
        <f>IF(COUNTIF(enemy_habitats!$H:$H,A82),"OK","NG")</f>
        <v>OK</v>
      </c>
      <c r="C82" s="8">
        <v>11005</v>
      </c>
      <c r="D82" s="12" t="str">
        <f ca="1">VLOOKUP($C82,OFFSET([2]quests!$A$1,0,0,COUNTA([2]quests!$A:$A),MATCH(D$1,[2]quests!$1:$1,0)-MATCH($C$1,[2]quests!$1:$1,0)+1),MATCH(D$1,[2]quests!$1:$1,0)-MATCH($C$1,[2]quests!$1:$1,0)+1,FALSE)</f>
        <v>【金曜限定】 帽子屋を追え！</v>
      </c>
      <c r="E82" s="22" t="str">
        <f ca="1">VLOOKUP($C82,OFFSET([2]quests!$A$1,0,0,COUNTA([2]quests!$A:$A),MATCH(E$1,[2]quests!$1:$1,0)-MATCH($C$1,[2]quests!$1:$1,0)+1),MATCH(E$1,[2]quests!$1:$1,0)-MATCH($C$1,[2]quests!$1:$1,0)+1,FALSE)</f>
        <v>金曜クエスト</v>
      </c>
      <c r="F82" s="25">
        <v>4</v>
      </c>
      <c r="G82" s="26" t="str">
        <f t="shared" si="5"/>
        <v>11005_4</v>
      </c>
      <c r="H82" s="16" t="str">
        <f ca="1">VLOOKUP($G82,OFFSET([2]stages!$A$1,0,0,COUNTA([2]stages!$A:$A),MATCH(H$1,[2]stages!$2:$2,0)-MATCH($G$1,[2]stages!$2:$2,0)+1),MATCH(H$1,[2]stages!$2:$2,0)-MATCH($G$1,[2]stages!$2:$2,0)+1,FALSE)</f>
        <v>【超級】雷の帽子屋</v>
      </c>
      <c r="I82" s="25">
        <v>3</v>
      </c>
      <c r="J82" s="13">
        <v>50</v>
      </c>
      <c r="K82" s="13">
        <v>60</v>
      </c>
    </row>
    <row r="83" spans="1:11" ht="21" customHeight="1" x14ac:dyDescent="0.15">
      <c r="A83" s="17" t="str">
        <f t="shared" si="4"/>
        <v>11005_4-4</v>
      </c>
      <c r="B83" s="17" t="str">
        <f>IF(COUNTIF(enemy_habitats!$H:$H,A83),"OK","NG")</f>
        <v>OK</v>
      </c>
      <c r="C83" s="8">
        <v>11005</v>
      </c>
      <c r="D83" s="12" t="str">
        <f ca="1">VLOOKUP($C83,OFFSET([2]quests!$A$1,0,0,COUNTA([2]quests!$A:$A),MATCH(D$1,[2]quests!$1:$1,0)-MATCH($C$1,[2]quests!$1:$1,0)+1),MATCH(D$1,[2]quests!$1:$1,0)-MATCH($C$1,[2]quests!$1:$1,0)+1,FALSE)</f>
        <v>【金曜限定】 帽子屋を追え！</v>
      </c>
      <c r="E83" s="22" t="str">
        <f ca="1">VLOOKUP($C83,OFFSET([2]quests!$A$1,0,0,COUNTA([2]quests!$A:$A),MATCH(E$1,[2]quests!$1:$1,0)-MATCH($C$1,[2]quests!$1:$1,0)+1),MATCH(E$1,[2]quests!$1:$1,0)-MATCH($C$1,[2]quests!$1:$1,0)+1,FALSE)</f>
        <v>金曜クエスト</v>
      </c>
      <c r="F83" s="25">
        <v>4</v>
      </c>
      <c r="G83" s="26" t="str">
        <f t="shared" si="5"/>
        <v>11005_4</v>
      </c>
      <c r="H83" s="16" t="str">
        <f ca="1">VLOOKUP($G83,OFFSET([2]stages!$A$1,0,0,COUNTA([2]stages!$A:$A),MATCH(H$1,[2]stages!$2:$2,0)-MATCH($G$1,[2]stages!$2:$2,0)+1),MATCH(H$1,[2]stages!$2:$2,0)-MATCH($G$1,[2]stages!$2:$2,0)+1,FALSE)</f>
        <v>【超級】雷の帽子屋</v>
      </c>
      <c r="I83" s="25">
        <v>4</v>
      </c>
      <c r="J83" s="13">
        <v>45</v>
      </c>
      <c r="K83" s="13">
        <v>60</v>
      </c>
    </row>
    <row r="84" spans="1:11" ht="21" customHeight="1" x14ac:dyDescent="0.15">
      <c r="A84" s="17" t="str">
        <f t="shared" si="4"/>
        <v>11005_4-5</v>
      </c>
      <c r="B84" s="17" t="str">
        <f>IF(COUNTIF(enemy_habitats!$H:$H,A84),"OK","NG")</f>
        <v>OK</v>
      </c>
      <c r="C84" s="8">
        <v>11005</v>
      </c>
      <c r="D84" s="12" t="str">
        <f ca="1">VLOOKUP($C84,OFFSET([2]quests!$A$1,0,0,COUNTA([2]quests!$A:$A),MATCH(D$1,[2]quests!$1:$1,0)-MATCH($C$1,[2]quests!$1:$1,0)+1),MATCH(D$1,[2]quests!$1:$1,0)-MATCH($C$1,[2]quests!$1:$1,0)+1,FALSE)</f>
        <v>【金曜限定】 帽子屋を追え！</v>
      </c>
      <c r="E84" s="22" t="str">
        <f ca="1">VLOOKUP($C84,OFFSET([2]quests!$A$1,0,0,COUNTA([2]quests!$A:$A),MATCH(E$1,[2]quests!$1:$1,0)-MATCH($C$1,[2]quests!$1:$1,0)+1),MATCH(E$1,[2]quests!$1:$1,0)-MATCH($C$1,[2]quests!$1:$1,0)+1,FALSE)</f>
        <v>金曜クエスト</v>
      </c>
      <c r="F84" s="25">
        <v>4</v>
      </c>
      <c r="G84" s="26" t="str">
        <f t="shared" si="5"/>
        <v>11005_4</v>
      </c>
      <c r="H84" s="16" t="str">
        <f ca="1">VLOOKUP($G84,OFFSET([2]stages!$A$1,0,0,COUNTA([2]stages!$A:$A),MATCH(H$1,[2]stages!$2:$2,0)-MATCH($G$1,[2]stages!$2:$2,0)+1),MATCH(H$1,[2]stages!$2:$2,0)-MATCH($G$1,[2]stages!$2:$2,0)+1,FALSE)</f>
        <v>【超級】雷の帽子屋</v>
      </c>
      <c r="I84" s="25">
        <v>5</v>
      </c>
      <c r="J84" s="13">
        <v>60</v>
      </c>
      <c r="K84" s="13">
        <v>60</v>
      </c>
    </row>
    <row r="85" spans="1:11" ht="21" customHeight="1" x14ac:dyDescent="0.15">
      <c r="A85" s="17" t="str">
        <f t="shared" ref="A85" si="12">G85&amp;"-"&amp;I85</f>
        <v>11005_4-6</v>
      </c>
      <c r="B85" s="17" t="str">
        <f>IF(COUNTIF(enemy_habitats!$H:$H,A85),"OK","NG")</f>
        <v>OK</v>
      </c>
      <c r="C85" s="8">
        <v>11005</v>
      </c>
      <c r="D85" s="12" t="str">
        <f ca="1">VLOOKUP($C85,OFFSET([2]quests!$A$1,0,0,COUNTA([2]quests!$A:$A),MATCH(D$1,[2]quests!$1:$1,0)-MATCH($C$1,[2]quests!$1:$1,0)+1),MATCH(D$1,[2]quests!$1:$1,0)-MATCH($C$1,[2]quests!$1:$1,0)+1,FALSE)</f>
        <v>【金曜限定】 帽子屋を追え！</v>
      </c>
      <c r="E85" s="22" t="str">
        <f ca="1">VLOOKUP($C85,OFFSET([2]quests!$A$1,0,0,COUNTA([2]quests!$A:$A),MATCH(E$1,[2]quests!$1:$1,0)-MATCH($C$1,[2]quests!$1:$1,0)+1),MATCH(E$1,[2]quests!$1:$1,0)-MATCH($C$1,[2]quests!$1:$1,0)+1,FALSE)</f>
        <v>金曜クエスト</v>
      </c>
      <c r="F85" s="25">
        <v>4</v>
      </c>
      <c r="G85" s="26" t="str">
        <f t="shared" ref="G85" si="13">C85&amp;"_"&amp;F85</f>
        <v>11005_4</v>
      </c>
      <c r="H85" s="16" t="str">
        <f ca="1">VLOOKUP($G85,OFFSET([2]stages!$A$1,0,0,COUNTA([2]stages!$A:$A),MATCH(H$1,[2]stages!$2:$2,0)-MATCH($G$1,[2]stages!$2:$2,0)+1),MATCH(H$1,[2]stages!$2:$2,0)-MATCH($G$1,[2]stages!$2:$2,0)+1,FALSE)</f>
        <v>【超級】雷の帽子屋</v>
      </c>
      <c r="I85" s="25">
        <v>6</v>
      </c>
      <c r="J85" s="13">
        <v>60</v>
      </c>
      <c r="K85" s="13">
        <v>60</v>
      </c>
    </row>
    <row r="86" spans="1:11" ht="21" customHeight="1" x14ac:dyDescent="0.15">
      <c r="A86" s="17" t="str">
        <f t="shared" si="4"/>
        <v>11006_1-1</v>
      </c>
      <c r="B86" s="17" t="str">
        <f>IF(COUNTIF(enemy_habitats!$H:$H,A86),"OK","NG")</f>
        <v>OK</v>
      </c>
      <c r="C86" s="8">
        <v>11006</v>
      </c>
      <c r="D86" s="12" t="str">
        <f ca="1">VLOOKUP($C86,OFFSET([2]quests!$A$1,0,0,COUNTA([2]quests!$A:$A),MATCH(D$1,[2]quests!$1:$1,0)-MATCH($C$1,[2]quests!$1:$1,0)+1),MATCH(D$1,[2]quests!$1:$1,0)-MATCH($C$1,[2]quests!$1:$1,0)+1,FALSE)</f>
        <v>【土日限定】 ゴールドカジノ</v>
      </c>
      <c r="E86" s="22" t="str">
        <f ca="1">VLOOKUP($C86,OFFSET([2]quests!$A$1,0,0,COUNTA([2]quests!$A:$A),MATCH(E$1,[2]quests!$1:$1,0)-MATCH($C$1,[2]quests!$1:$1,0)+1),MATCH(E$1,[2]quests!$1:$1,0)-MATCH($C$1,[2]quests!$1:$1,0)+1,FALSE)</f>
        <v>土日クエスト</v>
      </c>
      <c r="F86" s="25">
        <v>1</v>
      </c>
      <c r="G86" s="26" t="str">
        <f t="shared" si="5"/>
        <v>11006_1</v>
      </c>
      <c r="H86" s="16" t="str">
        <f ca="1">VLOOKUP($G86,OFFSET([2]stages!$A$1,0,0,COUNTA([2]stages!$A:$A),MATCH(H$1,[2]stages!$2:$2,0)-MATCH($G$1,[2]stages!$2:$2,0)+1),MATCH(H$1,[2]stages!$2:$2,0)-MATCH($G$1,[2]stages!$2:$2,0)+1,FALSE)</f>
        <v>【初級】ゴールドカジノ</v>
      </c>
      <c r="I86" s="25">
        <v>1</v>
      </c>
      <c r="J86" s="13">
        <v>30</v>
      </c>
      <c r="K86" s="13">
        <v>45</v>
      </c>
    </row>
    <row r="87" spans="1:11" ht="21" customHeight="1" x14ac:dyDescent="0.15">
      <c r="A87" s="17" t="str">
        <f t="shared" si="4"/>
        <v>11006_1-2</v>
      </c>
      <c r="B87" s="17" t="str">
        <f>IF(COUNTIF(enemy_habitats!$H:$H,A87),"OK","NG")</f>
        <v>OK</v>
      </c>
      <c r="C87" s="8">
        <v>11006</v>
      </c>
      <c r="D87" s="12" t="str">
        <f ca="1">VLOOKUP($C87,OFFSET([2]quests!$A$1,0,0,COUNTA([2]quests!$A:$A),MATCH(D$1,[2]quests!$1:$1,0)-MATCH($C$1,[2]quests!$1:$1,0)+1),MATCH(D$1,[2]quests!$1:$1,0)-MATCH($C$1,[2]quests!$1:$1,0)+1,FALSE)</f>
        <v>【土日限定】 ゴールドカジノ</v>
      </c>
      <c r="E87" s="22" t="str">
        <f ca="1">VLOOKUP($C87,OFFSET([2]quests!$A$1,0,0,COUNTA([2]quests!$A:$A),MATCH(E$1,[2]quests!$1:$1,0)-MATCH($C$1,[2]quests!$1:$1,0)+1),MATCH(E$1,[2]quests!$1:$1,0)-MATCH($C$1,[2]quests!$1:$1,0)+1,FALSE)</f>
        <v>土日クエスト</v>
      </c>
      <c r="F87" s="25">
        <v>1</v>
      </c>
      <c r="G87" s="26" t="str">
        <f t="shared" si="5"/>
        <v>11006_1</v>
      </c>
      <c r="H87" s="16" t="str">
        <f ca="1">VLOOKUP($G87,OFFSET([2]stages!$A$1,0,0,COUNTA([2]stages!$A:$A),MATCH(H$1,[2]stages!$2:$2,0)-MATCH($G$1,[2]stages!$2:$2,0)+1),MATCH(H$1,[2]stages!$2:$2,0)-MATCH($G$1,[2]stages!$2:$2,0)+1,FALSE)</f>
        <v>【初級】ゴールドカジノ</v>
      </c>
      <c r="I87" s="25">
        <v>2</v>
      </c>
      <c r="J87" s="13">
        <v>30</v>
      </c>
      <c r="K87" s="13">
        <v>45</v>
      </c>
    </row>
    <row r="88" spans="1:11" ht="21" customHeight="1" x14ac:dyDescent="0.15">
      <c r="A88" s="17" t="str">
        <f t="shared" si="4"/>
        <v>11006_1-3</v>
      </c>
      <c r="B88" s="17" t="str">
        <f>IF(COUNTIF(enemy_habitats!$H:$H,A88),"OK","NG")</f>
        <v>OK</v>
      </c>
      <c r="C88" s="8">
        <v>11006</v>
      </c>
      <c r="D88" s="12" t="str">
        <f ca="1">VLOOKUP($C88,OFFSET([2]quests!$A$1,0,0,COUNTA([2]quests!$A:$A),MATCH(D$1,[2]quests!$1:$1,0)-MATCH($C$1,[2]quests!$1:$1,0)+1),MATCH(D$1,[2]quests!$1:$1,0)-MATCH($C$1,[2]quests!$1:$1,0)+1,FALSE)</f>
        <v>【土日限定】 ゴールドカジノ</v>
      </c>
      <c r="E88" s="22" t="str">
        <f ca="1">VLOOKUP($C88,OFFSET([2]quests!$A$1,0,0,COUNTA([2]quests!$A:$A),MATCH(E$1,[2]quests!$1:$1,0)-MATCH($C$1,[2]quests!$1:$1,0)+1),MATCH(E$1,[2]quests!$1:$1,0)-MATCH($C$1,[2]quests!$1:$1,0)+1,FALSE)</f>
        <v>土日クエスト</v>
      </c>
      <c r="F88" s="25">
        <v>1</v>
      </c>
      <c r="G88" s="26" t="str">
        <f t="shared" si="5"/>
        <v>11006_1</v>
      </c>
      <c r="H88" s="16" t="str">
        <f ca="1">VLOOKUP($G88,OFFSET([2]stages!$A$1,0,0,COUNTA([2]stages!$A:$A),MATCH(H$1,[2]stages!$2:$2,0)-MATCH($G$1,[2]stages!$2:$2,0)+1),MATCH(H$1,[2]stages!$2:$2,0)-MATCH($G$1,[2]stages!$2:$2,0)+1,FALSE)</f>
        <v>【初級】ゴールドカジノ</v>
      </c>
      <c r="I88" s="25">
        <v>3</v>
      </c>
      <c r="J88" s="13">
        <v>30</v>
      </c>
      <c r="K88" s="13">
        <v>55</v>
      </c>
    </row>
    <row r="89" spans="1:11" ht="21" customHeight="1" x14ac:dyDescent="0.15">
      <c r="A89" s="17" t="str">
        <f t="shared" si="4"/>
        <v>11006_1-4</v>
      </c>
      <c r="B89" s="17" t="str">
        <f>IF(COUNTIF(enemy_habitats!$H:$H,A89),"OK","NG")</f>
        <v>OK</v>
      </c>
      <c r="C89" s="8">
        <v>11006</v>
      </c>
      <c r="D89" s="12" t="str">
        <f ca="1">VLOOKUP($C89,OFFSET([2]quests!$A$1,0,0,COUNTA([2]quests!$A:$A),MATCH(D$1,[2]quests!$1:$1,0)-MATCH($C$1,[2]quests!$1:$1,0)+1),MATCH(D$1,[2]quests!$1:$1,0)-MATCH($C$1,[2]quests!$1:$1,0)+1,FALSE)</f>
        <v>【土日限定】 ゴールドカジノ</v>
      </c>
      <c r="E89" s="22" t="str">
        <f ca="1">VLOOKUP($C89,OFFSET([2]quests!$A$1,0,0,COUNTA([2]quests!$A:$A),MATCH(E$1,[2]quests!$1:$1,0)-MATCH($C$1,[2]quests!$1:$1,0)+1),MATCH(E$1,[2]quests!$1:$1,0)-MATCH($C$1,[2]quests!$1:$1,0)+1,FALSE)</f>
        <v>土日クエスト</v>
      </c>
      <c r="F89" s="25">
        <v>1</v>
      </c>
      <c r="G89" s="26" t="str">
        <f t="shared" si="5"/>
        <v>11006_1</v>
      </c>
      <c r="H89" s="16" t="str">
        <f ca="1">VLOOKUP($G89,OFFSET([2]stages!$A$1,0,0,COUNTA([2]stages!$A:$A),MATCH(H$1,[2]stages!$2:$2,0)-MATCH($G$1,[2]stages!$2:$2,0)+1),MATCH(H$1,[2]stages!$2:$2,0)-MATCH($G$1,[2]stages!$2:$2,0)+1,FALSE)</f>
        <v>【初級】ゴールドカジノ</v>
      </c>
      <c r="I89" s="25">
        <v>4</v>
      </c>
      <c r="J89" s="13">
        <v>30</v>
      </c>
      <c r="K89" s="13">
        <v>55</v>
      </c>
    </row>
    <row r="90" spans="1:11" ht="21" customHeight="1" x14ac:dyDescent="0.15">
      <c r="A90" s="17" t="str">
        <f t="shared" si="4"/>
        <v>11006_1-5</v>
      </c>
      <c r="B90" s="17" t="str">
        <f>IF(COUNTIF(enemy_habitats!$H:$H,A90),"OK","NG")</f>
        <v>OK</v>
      </c>
      <c r="C90" s="8">
        <v>11006</v>
      </c>
      <c r="D90" s="12" t="str">
        <f ca="1">VLOOKUP($C90,OFFSET([2]quests!$A$1,0,0,COUNTA([2]quests!$A:$A),MATCH(D$1,[2]quests!$1:$1,0)-MATCH($C$1,[2]quests!$1:$1,0)+1),MATCH(D$1,[2]quests!$1:$1,0)-MATCH($C$1,[2]quests!$1:$1,0)+1,FALSE)</f>
        <v>【土日限定】 ゴールドカジノ</v>
      </c>
      <c r="E90" s="22" t="str">
        <f ca="1">VLOOKUP($C90,OFFSET([2]quests!$A$1,0,0,COUNTA([2]quests!$A:$A),MATCH(E$1,[2]quests!$1:$1,0)-MATCH($C$1,[2]quests!$1:$1,0)+1),MATCH(E$1,[2]quests!$1:$1,0)-MATCH($C$1,[2]quests!$1:$1,0)+1,FALSE)</f>
        <v>土日クエスト</v>
      </c>
      <c r="F90" s="25">
        <v>1</v>
      </c>
      <c r="G90" s="26" t="str">
        <f t="shared" si="5"/>
        <v>11006_1</v>
      </c>
      <c r="H90" s="16" t="str">
        <f ca="1">VLOOKUP($G90,OFFSET([2]stages!$A$1,0,0,COUNTA([2]stages!$A:$A),MATCH(H$1,[2]stages!$2:$2,0)-MATCH($G$1,[2]stages!$2:$2,0)+1),MATCH(H$1,[2]stages!$2:$2,0)-MATCH($G$1,[2]stages!$2:$2,0)+1,FALSE)</f>
        <v>【初級】ゴールドカジノ</v>
      </c>
      <c r="I90" s="25">
        <v>5</v>
      </c>
      <c r="J90" s="13">
        <v>45</v>
      </c>
      <c r="K90" s="13">
        <v>45</v>
      </c>
    </row>
    <row r="91" spans="1:11" ht="21" customHeight="1" x14ac:dyDescent="0.15">
      <c r="A91" s="17" t="str">
        <f t="shared" si="4"/>
        <v>11006_2-1</v>
      </c>
      <c r="B91" s="17" t="str">
        <f>IF(COUNTIF(enemy_habitats!$H:$H,A91),"OK","NG")</f>
        <v>OK</v>
      </c>
      <c r="C91" s="8">
        <v>11006</v>
      </c>
      <c r="D91" s="12" t="str">
        <f ca="1">VLOOKUP($C91,OFFSET([2]quests!$A$1,0,0,COUNTA([2]quests!$A:$A),MATCH(D$1,[2]quests!$1:$1,0)-MATCH($C$1,[2]quests!$1:$1,0)+1),MATCH(D$1,[2]quests!$1:$1,0)-MATCH($C$1,[2]quests!$1:$1,0)+1,FALSE)</f>
        <v>【土日限定】 ゴールドカジノ</v>
      </c>
      <c r="E91" s="22" t="str">
        <f ca="1">VLOOKUP($C91,OFFSET([2]quests!$A$1,0,0,COUNTA([2]quests!$A:$A),MATCH(E$1,[2]quests!$1:$1,0)-MATCH($C$1,[2]quests!$1:$1,0)+1),MATCH(E$1,[2]quests!$1:$1,0)-MATCH($C$1,[2]quests!$1:$1,0)+1,FALSE)</f>
        <v>土日クエスト</v>
      </c>
      <c r="F91" s="25">
        <v>2</v>
      </c>
      <c r="G91" s="26" t="str">
        <f t="shared" si="5"/>
        <v>11006_2</v>
      </c>
      <c r="H91" s="16" t="str">
        <f ca="1">VLOOKUP($G91,OFFSET([2]stages!$A$1,0,0,COUNTA([2]stages!$A:$A),MATCH(H$1,[2]stages!$2:$2,0)-MATCH($G$1,[2]stages!$2:$2,0)+1),MATCH(H$1,[2]stages!$2:$2,0)-MATCH($G$1,[2]stages!$2:$2,0)+1,FALSE)</f>
        <v xml:space="preserve">【中級】ゴールドカジノ </v>
      </c>
      <c r="I91" s="25">
        <v>1</v>
      </c>
      <c r="J91" s="13">
        <v>30</v>
      </c>
      <c r="K91" s="13">
        <v>55</v>
      </c>
    </row>
    <row r="92" spans="1:11" ht="21" customHeight="1" x14ac:dyDescent="0.15">
      <c r="A92" s="17" t="str">
        <f t="shared" si="4"/>
        <v>11006_2-2</v>
      </c>
      <c r="B92" s="17" t="str">
        <f>IF(COUNTIF(enemy_habitats!$H:$H,A92),"OK","NG")</f>
        <v>OK</v>
      </c>
      <c r="C92" s="8">
        <v>11006</v>
      </c>
      <c r="D92" s="12" t="str">
        <f ca="1">VLOOKUP($C92,OFFSET([2]quests!$A$1,0,0,COUNTA([2]quests!$A:$A),MATCH(D$1,[2]quests!$1:$1,0)-MATCH($C$1,[2]quests!$1:$1,0)+1),MATCH(D$1,[2]quests!$1:$1,0)-MATCH($C$1,[2]quests!$1:$1,0)+1,FALSE)</f>
        <v>【土日限定】 ゴールドカジノ</v>
      </c>
      <c r="E92" s="22" t="str">
        <f ca="1">VLOOKUP($C92,OFFSET([2]quests!$A$1,0,0,COUNTA([2]quests!$A:$A),MATCH(E$1,[2]quests!$1:$1,0)-MATCH($C$1,[2]quests!$1:$1,0)+1),MATCH(E$1,[2]quests!$1:$1,0)-MATCH($C$1,[2]quests!$1:$1,0)+1,FALSE)</f>
        <v>土日クエスト</v>
      </c>
      <c r="F92" s="25">
        <v>2</v>
      </c>
      <c r="G92" s="26" t="str">
        <f t="shared" si="5"/>
        <v>11006_2</v>
      </c>
      <c r="H92" s="16" t="str">
        <f ca="1">VLOOKUP($G92,OFFSET([2]stages!$A$1,0,0,COUNTA([2]stages!$A:$A),MATCH(H$1,[2]stages!$2:$2,0)-MATCH($G$1,[2]stages!$2:$2,0)+1),MATCH(H$1,[2]stages!$2:$2,0)-MATCH($G$1,[2]stages!$2:$2,0)+1,FALSE)</f>
        <v xml:space="preserve">【中級】ゴールドカジノ </v>
      </c>
      <c r="I92" s="25">
        <v>2</v>
      </c>
      <c r="J92" s="13">
        <v>30</v>
      </c>
      <c r="K92" s="13">
        <v>55</v>
      </c>
    </row>
    <row r="93" spans="1:11" ht="21" customHeight="1" x14ac:dyDescent="0.15">
      <c r="A93" s="17" t="str">
        <f t="shared" si="4"/>
        <v>11006_2-3</v>
      </c>
      <c r="B93" s="17" t="str">
        <f>IF(COUNTIF(enemy_habitats!$H:$H,A93),"OK","NG")</f>
        <v>OK</v>
      </c>
      <c r="C93" s="8">
        <v>11006</v>
      </c>
      <c r="D93" s="12" t="str">
        <f ca="1">VLOOKUP($C93,OFFSET([2]quests!$A$1,0,0,COUNTA([2]quests!$A:$A),MATCH(D$1,[2]quests!$1:$1,0)-MATCH($C$1,[2]quests!$1:$1,0)+1),MATCH(D$1,[2]quests!$1:$1,0)-MATCH($C$1,[2]quests!$1:$1,0)+1,FALSE)</f>
        <v>【土日限定】 ゴールドカジノ</v>
      </c>
      <c r="E93" s="22" t="str">
        <f ca="1">VLOOKUP($C93,OFFSET([2]quests!$A$1,0,0,COUNTA([2]quests!$A:$A),MATCH(E$1,[2]quests!$1:$1,0)-MATCH($C$1,[2]quests!$1:$1,0)+1),MATCH(E$1,[2]quests!$1:$1,0)-MATCH($C$1,[2]quests!$1:$1,0)+1,FALSE)</f>
        <v>土日クエスト</v>
      </c>
      <c r="F93" s="25">
        <v>2</v>
      </c>
      <c r="G93" s="26" t="str">
        <f t="shared" si="5"/>
        <v>11006_2</v>
      </c>
      <c r="H93" s="16" t="str">
        <f ca="1">VLOOKUP($G93,OFFSET([2]stages!$A$1,0,0,COUNTA([2]stages!$A:$A),MATCH(H$1,[2]stages!$2:$2,0)-MATCH($G$1,[2]stages!$2:$2,0)+1),MATCH(H$1,[2]stages!$2:$2,0)-MATCH($G$1,[2]stages!$2:$2,0)+1,FALSE)</f>
        <v xml:space="preserve">【中級】ゴールドカジノ </v>
      </c>
      <c r="I93" s="25">
        <v>3</v>
      </c>
      <c r="J93" s="13">
        <v>20</v>
      </c>
      <c r="K93" s="13">
        <v>35</v>
      </c>
    </row>
    <row r="94" spans="1:11" ht="21" customHeight="1" x14ac:dyDescent="0.15">
      <c r="A94" s="17" t="str">
        <f t="shared" si="4"/>
        <v>11006_2-4</v>
      </c>
      <c r="B94" s="17" t="str">
        <f>IF(COUNTIF(enemy_habitats!$H:$H,A94),"OK","NG")</f>
        <v>OK</v>
      </c>
      <c r="C94" s="8">
        <v>11006</v>
      </c>
      <c r="D94" s="12" t="str">
        <f ca="1">VLOOKUP($C94,OFFSET([2]quests!$A$1,0,0,COUNTA([2]quests!$A:$A),MATCH(D$1,[2]quests!$1:$1,0)-MATCH($C$1,[2]quests!$1:$1,0)+1),MATCH(D$1,[2]quests!$1:$1,0)-MATCH($C$1,[2]quests!$1:$1,0)+1,FALSE)</f>
        <v>【土日限定】 ゴールドカジノ</v>
      </c>
      <c r="E94" s="22" t="str">
        <f ca="1">VLOOKUP($C94,OFFSET([2]quests!$A$1,0,0,COUNTA([2]quests!$A:$A),MATCH(E$1,[2]quests!$1:$1,0)-MATCH($C$1,[2]quests!$1:$1,0)+1),MATCH(E$1,[2]quests!$1:$1,0)-MATCH($C$1,[2]quests!$1:$1,0)+1,FALSE)</f>
        <v>土日クエスト</v>
      </c>
      <c r="F94" s="25">
        <v>2</v>
      </c>
      <c r="G94" s="26" t="str">
        <f t="shared" si="5"/>
        <v>11006_2</v>
      </c>
      <c r="H94" s="16" t="str">
        <f ca="1">VLOOKUP($G94,OFFSET([2]stages!$A$1,0,0,COUNTA([2]stages!$A:$A),MATCH(H$1,[2]stages!$2:$2,0)-MATCH($G$1,[2]stages!$2:$2,0)+1),MATCH(H$1,[2]stages!$2:$2,0)-MATCH($G$1,[2]stages!$2:$2,0)+1,FALSE)</f>
        <v xml:space="preserve">【中級】ゴールドカジノ </v>
      </c>
      <c r="I94" s="25">
        <v>4</v>
      </c>
      <c r="J94" s="13">
        <v>30</v>
      </c>
      <c r="K94" s="13">
        <v>55</v>
      </c>
    </row>
    <row r="95" spans="1:11" ht="21" customHeight="1" x14ac:dyDescent="0.15">
      <c r="A95" s="17" t="str">
        <f t="shared" si="4"/>
        <v>11006_2-5</v>
      </c>
      <c r="B95" s="17" t="str">
        <f>IF(COUNTIF(enemy_habitats!$H:$H,A95),"OK","NG")</f>
        <v>OK</v>
      </c>
      <c r="C95" s="8">
        <v>11006</v>
      </c>
      <c r="D95" s="12" t="str">
        <f ca="1">VLOOKUP($C95,OFFSET([2]quests!$A$1,0,0,COUNTA([2]quests!$A:$A),MATCH(D$1,[2]quests!$1:$1,0)-MATCH($C$1,[2]quests!$1:$1,0)+1),MATCH(D$1,[2]quests!$1:$1,0)-MATCH($C$1,[2]quests!$1:$1,0)+1,FALSE)</f>
        <v>【土日限定】 ゴールドカジノ</v>
      </c>
      <c r="E95" s="22" t="str">
        <f ca="1">VLOOKUP($C95,OFFSET([2]quests!$A$1,0,0,COUNTA([2]quests!$A:$A),MATCH(E$1,[2]quests!$1:$1,0)-MATCH($C$1,[2]quests!$1:$1,0)+1),MATCH(E$1,[2]quests!$1:$1,0)-MATCH($C$1,[2]quests!$1:$1,0)+1,FALSE)</f>
        <v>土日クエスト</v>
      </c>
      <c r="F95" s="25">
        <v>2</v>
      </c>
      <c r="G95" s="26" t="str">
        <f t="shared" si="5"/>
        <v>11006_2</v>
      </c>
      <c r="H95" s="16" t="str">
        <f ca="1">VLOOKUP($G95,OFFSET([2]stages!$A$1,0,0,COUNTA([2]stages!$A:$A),MATCH(H$1,[2]stages!$2:$2,0)-MATCH($G$1,[2]stages!$2:$2,0)+1),MATCH(H$1,[2]stages!$2:$2,0)-MATCH($G$1,[2]stages!$2:$2,0)+1,FALSE)</f>
        <v xml:space="preserve">【中級】ゴールドカジノ </v>
      </c>
      <c r="I95" s="25">
        <v>5</v>
      </c>
      <c r="J95" s="13">
        <v>45</v>
      </c>
      <c r="K95" s="13">
        <v>45</v>
      </c>
    </row>
    <row r="96" spans="1:11" ht="21" customHeight="1" x14ac:dyDescent="0.15">
      <c r="A96" s="17" t="str">
        <f t="shared" si="4"/>
        <v>11006_3-1</v>
      </c>
      <c r="B96" s="17" t="str">
        <f>IF(COUNTIF(enemy_habitats!$H:$H,A96),"OK","NG")</f>
        <v>OK</v>
      </c>
      <c r="C96" s="8">
        <v>11006</v>
      </c>
      <c r="D96" s="12" t="str">
        <f ca="1">VLOOKUP($C96,OFFSET([2]quests!$A$1,0,0,COUNTA([2]quests!$A:$A),MATCH(D$1,[2]quests!$1:$1,0)-MATCH($C$1,[2]quests!$1:$1,0)+1),MATCH(D$1,[2]quests!$1:$1,0)-MATCH($C$1,[2]quests!$1:$1,0)+1,FALSE)</f>
        <v>【土日限定】 ゴールドカジノ</v>
      </c>
      <c r="E96" s="22" t="str">
        <f ca="1">VLOOKUP($C96,OFFSET([2]quests!$A$1,0,0,COUNTA([2]quests!$A:$A),MATCH(E$1,[2]quests!$1:$1,0)-MATCH($C$1,[2]quests!$1:$1,0)+1),MATCH(E$1,[2]quests!$1:$1,0)-MATCH($C$1,[2]quests!$1:$1,0)+1,FALSE)</f>
        <v>土日クエスト</v>
      </c>
      <c r="F96" s="25">
        <v>3</v>
      </c>
      <c r="G96" s="26" t="str">
        <f t="shared" si="5"/>
        <v>11006_3</v>
      </c>
      <c r="H96" s="16" t="str">
        <f ca="1">VLOOKUP($G96,OFFSET([2]stages!$A$1,0,0,COUNTA([2]stages!$A:$A),MATCH(H$1,[2]stages!$2:$2,0)-MATCH($G$1,[2]stages!$2:$2,0)+1),MATCH(H$1,[2]stages!$2:$2,0)-MATCH($G$1,[2]stages!$2:$2,0)+1,FALSE)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96" s="25">
        <v>1</v>
      </c>
      <c r="J96" s="13">
        <v>30</v>
      </c>
      <c r="K96" s="13">
        <v>55</v>
      </c>
    </row>
    <row r="97" spans="1:11" ht="21" customHeight="1" x14ac:dyDescent="0.15">
      <c r="A97" s="17" t="str">
        <f t="shared" si="4"/>
        <v>11006_3-2</v>
      </c>
      <c r="B97" s="17" t="str">
        <f>IF(COUNTIF(enemy_habitats!$H:$H,A97),"OK","NG")</f>
        <v>OK</v>
      </c>
      <c r="C97" s="8">
        <v>11006</v>
      </c>
      <c r="D97" s="12" t="str">
        <f ca="1">VLOOKUP($C97,OFFSET([2]quests!$A$1,0,0,COUNTA([2]quests!$A:$A),MATCH(D$1,[2]quests!$1:$1,0)-MATCH($C$1,[2]quests!$1:$1,0)+1),MATCH(D$1,[2]quests!$1:$1,0)-MATCH($C$1,[2]quests!$1:$1,0)+1,FALSE)</f>
        <v>【土日限定】 ゴールドカジノ</v>
      </c>
      <c r="E97" s="22" t="str">
        <f ca="1">VLOOKUP($C97,OFFSET([2]quests!$A$1,0,0,COUNTA([2]quests!$A:$A),MATCH(E$1,[2]quests!$1:$1,0)-MATCH($C$1,[2]quests!$1:$1,0)+1),MATCH(E$1,[2]quests!$1:$1,0)-MATCH($C$1,[2]quests!$1:$1,0)+1,FALSE)</f>
        <v>土日クエスト</v>
      </c>
      <c r="F97" s="25">
        <v>3</v>
      </c>
      <c r="G97" s="26" t="str">
        <f t="shared" si="5"/>
        <v>11006_3</v>
      </c>
      <c r="H97" s="16" t="str">
        <f ca="1">VLOOKUP($G97,OFFSET([2]stages!$A$1,0,0,COUNTA([2]stages!$A:$A),MATCH(H$1,[2]stages!$2:$2,0)-MATCH($G$1,[2]stages!$2:$2,0)+1),MATCH(H$1,[2]stages!$2:$2,0)-MATCH($G$1,[2]stages!$2:$2,0)+1,FALSE)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97" s="25">
        <v>2</v>
      </c>
      <c r="J97" s="13">
        <v>35</v>
      </c>
      <c r="K97" s="13">
        <v>50</v>
      </c>
    </row>
    <row r="98" spans="1:11" ht="21" customHeight="1" x14ac:dyDescent="0.15">
      <c r="A98" s="17" t="str">
        <f t="shared" si="4"/>
        <v>11006_3-3</v>
      </c>
      <c r="B98" s="17" t="str">
        <f>IF(COUNTIF(enemy_habitats!$H:$H,A98),"OK","NG")</f>
        <v>OK</v>
      </c>
      <c r="C98" s="8">
        <v>11006</v>
      </c>
      <c r="D98" s="12" t="str">
        <f ca="1">VLOOKUP($C98,OFFSET([2]quests!$A$1,0,0,COUNTA([2]quests!$A:$A),MATCH(D$1,[2]quests!$1:$1,0)-MATCH($C$1,[2]quests!$1:$1,0)+1),MATCH(D$1,[2]quests!$1:$1,0)-MATCH($C$1,[2]quests!$1:$1,0)+1,FALSE)</f>
        <v>【土日限定】 ゴールドカジノ</v>
      </c>
      <c r="E98" s="22" t="str">
        <f ca="1">VLOOKUP($C98,OFFSET([2]quests!$A$1,0,0,COUNTA([2]quests!$A:$A),MATCH(E$1,[2]quests!$1:$1,0)-MATCH($C$1,[2]quests!$1:$1,0)+1),MATCH(E$1,[2]quests!$1:$1,0)-MATCH($C$1,[2]quests!$1:$1,0)+1,FALSE)</f>
        <v>土日クエスト</v>
      </c>
      <c r="F98" s="25">
        <v>3</v>
      </c>
      <c r="G98" s="26" t="str">
        <f t="shared" si="5"/>
        <v>11006_3</v>
      </c>
      <c r="H98" s="16" t="str">
        <f ca="1">VLOOKUP($G98,OFFSET([2]stages!$A$1,0,0,COUNTA([2]stages!$A:$A),MATCH(H$1,[2]stages!$2:$2,0)-MATCH($G$1,[2]stages!$2:$2,0)+1),MATCH(H$1,[2]stages!$2:$2,0)-MATCH($G$1,[2]stages!$2:$2,0)+1,FALSE)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98" s="25">
        <v>3</v>
      </c>
      <c r="J98" s="13">
        <v>20</v>
      </c>
      <c r="K98" s="13">
        <v>20</v>
      </c>
    </row>
    <row r="99" spans="1:11" ht="21" customHeight="1" x14ac:dyDescent="0.15">
      <c r="A99" s="17" t="str">
        <f t="shared" si="4"/>
        <v>11006_3-4</v>
      </c>
      <c r="B99" s="17" t="str">
        <f>IF(COUNTIF(enemy_habitats!$H:$H,A99),"OK","NG")</f>
        <v>OK</v>
      </c>
      <c r="C99" s="8">
        <v>11006</v>
      </c>
      <c r="D99" s="12" t="str">
        <f ca="1">VLOOKUP($C99,OFFSET([2]quests!$A$1,0,0,COUNTA([2]quests!$A:$A),MATCH(D$1,[2]quests!$1:$1,0)-MATCH($C$1,[2]quests!$1:$1,0)+1),MATCH(D$1,[2]quests!$1:$1,0)-MATCH($C$1,[2]quests!$1:$1,0)+1,FALSE)</f>
        <v>【土日限定】 ゴールドカジノ</v>
      </c>
      <c r="E99" s="22" t="str">
        <f ca="1">VLOOKUP($C99,OFFSET([2]quests!$A$1,0,0,COUNTA([2]quests!$A:$A),MATCH(E$1,[2]quests!$1:$1,0)-MATCH($C$1,[2]quests!$1:$1,0)+1),MATCH(E$1,[2]quests!$1:$1,0)-MATCH($C$1,[2]quests!$1:$1,0)+1,FALSE)</f>
        <v>土日クエスト</v>
      </c>
      <c r="F99" s="25">
        <v>3</v>
      </c>
      <c r="G99" s="26" t="str">
        <f t="shared" si="5"/>
        <v>11006_3</v>
      </c>
      <c r="H99" s="16" t="str">
        <f ca="1">VLOOKUP($G99,OFFSET([2]stages!$A$1,0,0,COUNTA([2]stages!$A:$A),MATCH(H$1,[2]stages!$2:$2,0)-MATCH($G$1,[2]stages!$2:$2,0)+1),MATCH(H$1,[2]stages!$2:$2,0)-MATCH($G$1,[2]stages!$2:$2,0)+1,FALSE)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99" s="25">
        <v>4</v>
      </c>
      <c r="J99" s="13">
        <v>35</v>
      </c>
      <c r="K99" s="13">
        <v>60</v>
      </c>
    </row>
    <row r="100" spans="1:11" ht="21" customHeight="1" x14ac:dyDescent="0.15">
      <c r="A100" s="17" t="str">
        <f t="shared" si="4"/>
        <v>11006_3-5</v>
      </c>
      <c r="B100" s="17" t="str">
        <f>IF(COUNTIF(enemy_habitats!$H:$H,A100),"OK","NG")</f>
        <v>OK</v>
      </c>
      <c r="C100" s="8">
        <v>11006</v>
      </c>
      <c r="D100" s="12" t="str">
        <f ca="1">VLOOKUP($C100,OFFSET([2]quests!$A$1,0,0,COUNTA([2]quests!$A:$A),MATCH(D$1,[2]quests!$1:$1,0)-MATCH($C$1,[2]quests!$1:$1,0)+1),MATCH(D$1,[2]quests!$1:$1,0)-MATCH($C$1,[2]quests!$1:$1,0)+1,FALSE)</f>
        <v>【土日限定】 ゴールドカジノ</v>
      </c>
      <c r="E100" s="22" t="str">
        <f ca="1">VLOOKUP($C100,OFFSET([2]quests!$A$1,0,0,COUNTA([2]quests!$A:$A),MATCH(E$1,[2]quests!$1:$1,0)-MATCH($C$1,[2]quests!$1:$1,0)+1),MATCH(E$1,[2]quests!$1:$1,0)-MATCH($C$1,[2]quests!$1:$1,0)+1,FALSE)</f>
        <v>土日クエスト</v>
      </c>
      <c r="F100" s="25">
        <v>3</v>
      </c>
      <c r="G100" s="26" t="str">
        <f t="shared" si="5"/>
        <v>11006_3</v>
      </c>
      <c r="H100" s="16" t="str">
        <f ca="1">VLOOKUP($G100,OFFSET([2]stages!$A$1,0,0,COUNTA([2]stages!$A:$A),MATCH(H$1,[2]stages!$2:$2,0)-MATCH($G$1,[2]stages!$2:$2,0)+1),MATCH(H$1,[2]stages!$2:$2,0)-MATCH($G$1,[2]stages!$2:$2,0)+1,FALSE)</f>
        <v xml:space="preserve">【上級】ゴールドカジノ </v>
      </c>
      <c r="I100" s="25">
        <v>5</v>
      </c>
      <c r="J100" s="13">
        <v>50</v>
      </c>
      <c r="K100" s="13">
        <v>50</v>
      </c>
    </row>
    <row r="101" spans="1:11" ht="21" customHeight="1" x14ac:dyDescent="0.15">
      <c r="A101" s="17" t="str">
        <f t="shared" ref="A101:A105" si="14">G101&amp;"-"&amp;I101</f>
        <v>11006_4-1</v>
      </c>
      <c r="B101" s="17" t="str">
        <f>IF(COUNTIF(enemy_habitats!$H:$H,A101),"OK","NG")</f>
        <v>OK</v>
      </c>
      <c r="C101" s="8">
        <v>11006</v>
      </c>
      <c r="D101" s="12" t="str">
        <f ca="1">VLOOKUP($C101,OFFSET([2]quests!$A$1,0,0,COUNTA([2]quests!$A:$A),MATCH(D$1,[2]quests!$1:$1,0)-MATCH($C$1,[2]quests!$1:$1,0)+1),MATCH(D$1,[2]quests!$1:$1,0)-MATCH($C$1,[2]quests!$1:$1,0)+1,FALSE)</f>
        <v>【土日限定】 ゴールドカジノ</v>
      </c>
      <c r="E101" s="22" t="str">
        <f ca="1">VLOOKUP($C101,OFFSET([2]quests!$A$1,0,0,COUNTA([2]quests!$A:$A),MATCH(E$1,[2]quests!$1:$1,0)-MATCH($C$1,[2]quests!$1:$1,0)+1),MATCH(E$1,[2]quests!$1:$1,0)-MATCH($C$1,[2]quests!$1:$1,0)+1,FALSE)</f>
        <v>土日クエスト</v>
      </c>
      <c r="F101" s="25">
        <v>4</v>
      </c>
      <c r="G101" s="26" t="str">
        <f t="shared" ref="G101:G105" si="15">C101&amp;"_"&amp;F101</f>
        <v>11006_4</v>
      </c>
      <c r="H101" s="16" t="str">
        <f ca="1">VLOOKUP($G101,OFFSET([2]stages!$A$1,0,0,COUNTA([2]stages!$A:$A),MATCH(H$1,[2]stages!$2:$2,0)-MATCH($G$1,[2]stages!$2:$2,0)+1),MATCH(H$1,[2]stages!$2:$2,0)-MATCH($G$1,[2]stages!$2:$2,0)+1,FALSE)</f>
        <v xml:space="preserve">【超級】ゴールドカジノ </v>
      </c>
      <c r="I101" s="25">
        <v>1</v>
      </c>
      <c r="J101" s="13">
        <v>40</v>
      </c>
      <c r="K101" s="13">
        <v>40</v>
      </c>
    </row>
    <row r="102" spans="1:11" ht="21" customHeight="1" x14ac:dyDescent="0.15">
      <c r="A102" s="17" t="str">
        <f t="shared" si="14"/>
        <v>11006_4-2</v>
      </c>
      <c r="B102" s="17" t="str">
        <f>IF(COUNTIF(enemy_habitats!$H:$H,A102),"OK","NG")</f>
        <v>OK</v>
      </c>
      <c r="C102" s="8">
        <v>11006</v>
      </c>
      <c r="D102" s="12" t="str">
        <f ca="1">VLOOKUP($C102,OFFSET([2]quests!$A$1,0,0,COUNTA([2]quests!$A:$A),MATCH(D$1,[2]quests!$1:$1,0)-MATCH($C$1,[2]quests!$1:$1,0)+1),MATCH(D$1,[2]quests!$1:$1,0)-MATCH($C$1,[2]quests!$1:$1,0)+1,FALSE)</f>
        <v>【土日限定】 ゴールドカジノ</v>
      </c>
      <c r="E102" s="22" t="str">
        <f ca="1">VLOOKUP($C102,OFFSET([2]quests!$A$1,0,0,COUNTA([2]quests!$A:$A),MATCH(E$1,[2]quests!$1:$1,0)-MATCH($C$1,[2]quests!$1:$1,0)+1),MATCH(E$1,[2]quests!$1:$1,0)-MATCH($C$1,[2]quests!$1:$1,0)+1,FALSE)</f>
        <v>土日クエスト</v>
      </c>
      <c r="F102" s="25">
        <v>4</v>
      </c>
      <c r="G102" s="26" t="str">
        <f t="shared" si="15"/>
        <v>11006_4</v>
      </c>
      <c r="H102" s="16" t="str">
        <f ca="1">VLOOKUP($G102,OFFSET([2]stages!$A$1,0,0,COUNTA([2]stages!$A:$A),MATCH(H$1,[2]stages!$2:$2,0)-MATCH($G$1,[2]stages!$2:$2,0)+1),MATCH(H$1,[2]stages!$2:$2,0)-MATCH($G$1,[2]stages!$2:$2,0)+1,FALSE)</f>
        <v xml:space="preserve">【超級】ゴールドカジノ </v>
      </c>
      <c r="I102" s="25">
        <v>2</v>
      </c>
      <c r="J102" s="13">
        <v>35</v>
      </c>
      <c r="K102" s="13">
        <v>35</v>
      </c>
    </row>
    <row r="103" spans="1:11" ht="21" customHeight="1" x14ac:dyDescent="0.15">
      <c r="A103" s="17" t="str">
        <f t="shared" si="14"/>
        <v>11006_4-3</v>
      </c>
      <c r="B103" s="17" t="str">
        <f>IF(COUNTIF(enemy_habitats!$H:$H,A103),"OK","NG")</f>
        <v>OK</v>
      </c>
      <c r="C103" s="8">
        <v>11006</v>
      </c>
      <c r="D103" s="12" t="str">
        <f ca="1">VLOOKUP($C103,OFFSET([2]quests!$A$1,0,0,COUNTA([2]quests!$A:$A),MATCH(D$1,[2]quests!$1:$1,0)-MATCH($C$1,[2]quests!$1:$1,0)+1),MATCH(D$1,[2]quests!$1:$1,0)-MATCH($C$1,[2]quests!$1:$1,0)+1,FALSE)</f>
        <v>【土日限定】 ゴールドカジノ</v>
      </c>
      <c r="E103" s="22" t="str">
        <f ca="1">VLOOKUP($C103,OFFSET([2]quests!$A$1,0,0,COUNTA([2]quests!$A:$A),MATCH(E$1,[2]quests!$1:$1,0)-MATCH($C$1,[2]quests!$1:$1,0)+1),MATCH(E$1,[2]quests!$1:$1,0)-MATCH($C$1,[2]quests!$1:$1,0)+1,FALSE)</f>
        <v>土日クエスト</v>
      </c>
      <c r="F103" s="25">
        <v>4</v>
      </c>
      <c r="G103" s="26" t="str">
        <f t="shared" si="15"/>
        <v>11006_4</v>
      </c>
      <c r="H103" s="16" t="str">
        <f ca="1">VLOOKUP($G103,OFFSET([2]stages!$A$1,0,0,COUNTA([2]stages!$A:$A),MATCH(H$1,[2]stages!$2:$2,0)-MATCH($G$1,[2]stages!$2:$2,0)+1),MATCH(H$1,[2]stages!$2:$2,0)-MATCH($G$1,[2]stages!$2:$2,0)+1,FALSE)</f>
        <v xml:space="preserve">【超級】ゴールドカジノ </v>
      </c>
      <c r="I103" s="25">
        <v>3</v>
      </c>
      <c r="J103" s="13">
        <v>50</v>
      </c>
      <c r="K103" s="13">
        <v>50</v>
      </c>
    </row>
    <row r="104" spans="1:11" ht="21" customHeight="1" x14ac:dyDescent="0.15">
      <c r="A104" s="17" t="str">
        <f t="shared" si="14"/>
        <v>11006_4-4</v>
      </c>
      <c r="B104" s="17" t="str">
        <f>IF(COUNTIF(enemy_habitats!$H:$H,A104),"OK","NG")</f>
        <v>OK</v>
      </c>
      <c r="C104" s="8">
        <v>11006</v>
      </c>
      <c r="D104" s="12" t="str">
        <f ca="1">VLOOKUP($C104,OFFSET([2]quests!$A$1,0,0,COUNTA([2]quests!$A:$A),MATCH(D$1,[2]quests!$1:$1,0)-MATCH($C$1,[2]quests!$1:$1,0)+1),MATCH(D$1,[2]quests!$1:$1,0)-MATCH($C$1,[2]quests!$1:$1,0)+1,FALSE)</f>
        <v>【土日限定】 ゴールドカジノ</v>
      </c>
      <c r="E104" s="22" t="str">
        <f ca="1">VLOOKUP($C104,OFFSET([2]quests!$A$1,0,0,COUNTA([2]quests!$A:$A),MATCH(E$1,[2]quests!$1:$1,0)-MATCH($C$1,[2]quests!$1:$1,0)+1),MATCH(E$1,[2]quests!$1:$1,0)-MATCH($C$1,[2]quests!$1:$1,0)+1,FALSE)</f>
        <v>土日クエスト</v>
      </c>
      <c r="F104" s="25">
        <v>4</v>
      </c>
      <c r="G104" s="26" t="str">
        <f t="shared" si="15"/>
        <v>11006_4</v>
      </c>
      <c r="H104" s="16" t="str">
        <f ca="1">VLOOKUP($G104,OFFSET([2]stages!$A$1,0,0,COUNTA([2]stages!$A:$A),MATCH(H$1,[2]stages!$2:$2,0)-MATCH($G$1,[2]stages!$2:$2,0)+1),MATCH(H$1,[2]stages!$2:$2,0)-MATCH($G$1,[2]stages!$2:$2,0)+1,FALSE)</f>
        <v xml:space="preserve">【超級】ゴールドカジノ </v>
      </c>
      <c r="I104" s="25">
        <v>4</v>
      </c>
      <c r="J104" s="13">
        <v>35</v>
      </c>
      <c r="K104" s="13">
        <v>35</v>
      </c>
    </row>
    <row r="105" spans="1:11" ht="21" customHeight="1" x14ac:dyDescent="0.15">
      <c r="A105" s="17" t="str">
        <f t="shared" si="14"/>
        <v>11006_4-5</v>
      </c>
      <c r="B105" s="17" t="str">
        <f>IF(COUNTIF(enemy_habitats!$H:$H,A105),"OK","NG")</f>
        <v>OK</v>
      </c>
      <c r="C105" s="8">
        <v>11006</v>
      </c>
      <c r="D105" s="12" t="str">
        <f ca="1">VLOOKUP($C105,OFFSET([2]quests!$A$1,0,0,COUNTA([2]quests!$A:$A),MATCH(D$1,[2]quests!$1:$1,0)-MATCH($C$1,[2]quests!$1:$1,0)+1),MATCH(D$1,[2]quests!$1:$1,0)-MATCH($C$1,[2]quests!$1:$1,0)+1,FALSE)</f>
        <v>【土日限定】 ゴールドカジノ</v>
      </c>
      <c r="E105" s="22" t="str">
        <f ca="1">VLOOKUP($C105,OFFSET([2]quests!$A$1,0,0,COUNTA([2]quests!$A:$A),MATCH(E$1,[2]quests!$1:$1,0)-MATCH($C$1,[2]quests!$1:$1,0)+1),MATCH(E$1,[2]quests!$1:$1,0)-MATCH($C$1,[2]quests!$1:$1,0)+1,FALSE)</f>
        <v>土日クエスト</v>
      </c>
      <c r="F105" s="25">
        <v>4</v>
      </c>
      <c r="G105" s="26" t="str">
        <f t="shared" si="15"/>
        <v>11006_4</v>
      </c>
      <c r="H105" s="16" t="str">
        <f ca="1">VLOOKUP($G105,OFFSET([2]stages!$A$1,0,0,COUNTA([2]stages!$A:$A),MATCH(H$1,[2]stages!$2:$2,0)-MATCH($G$1,[2]stages!$2:$2,0)+1),MATCH(H$1,[2]stages!$2:$2,0)-MATCH($G$1,[2]stages!$2:$2,0)+1,FALSE)</f>
        <v xml:space="preserve">【超級】ゴールドカジノ </v>
      </c>
      <c r="I105" s="25">
        <v>5</v>
      </c>
      <c r="J105" s="13">
        <v>40</v>
      </c>
      <c r="K105" s="13">
        <v>40</v>
      </c>
    </row>
    <row r="106" spans="1:11" ht="21" customHeight="1" x14ac:dyDescent="0.15">
      <c r="A106" s="17" t="str">
        <f t="shared" si="4"/>
        <v>11007_1-1</v>
      </c>
      <c r="B106" s="17" t="str">
        <f>IF(COUNTIF(enemy_habitats!$H:$H,A106),"OK","NG")</f>
        <v>NG</v>
      </c>
      <c r="C106" s="8">
        <v>11007</v>
      </c>
      <c r="D106" s="12" t="str">
        <f ca="1">VLOOKUP($C106,OFFSET([2]quests!$A$1,0,0,COUNTA([2]quests!$A:$A),MATCH(D$1,[2]quests!$1:$1,0)-MATCH($C$1,[2]quests!$1:$1,0)+1),MATCH(D$1,[2]quests!$1:$1,0)-MATCH($C$1,[2]quests!$1:$1,0)+1,FALSE)</f>
        <v>【土曜限定】 赤と緑の素材</v>
      </c>
      <c r="E106" s="22" t="str">
        <f ca="1">VLOOKUP($C106,OFFSET([2]quests!$A$1,0,0,COUNTA([2]quests!$A:$A),MATCH(E$1,[2]quests!$1:$1,0)-MATCH($C$1,[2]quests!$1:$1,0)+1),MATCH(E$1,[2]quests!$1:$1,0)-MATCH($C$1,[2]quests!$1:$1,0)+1,FALSE)</f>
        <v>土曜クエスト</v>
      </c>
      <c r="F106" s="25">
        <v>1</v>
      </c>
      <c r="G106" s="26" t="str">
        <f t="shared" si="5"/>
        <v>11007_1</v>
      </c>
      <c r="H106" s="16" t="str">
        <f ca="1">VLOOKUP($G106,OFFSET([2]stages!$A$1,0,0,COUNTA([2]stages!$A:$A),MATCH(H$1,[2]stages!$2:$2,0)-MATCH($G$1,[2]stages!$2:$2,0)+1),MATCH(H$1,[2]stages!$2:$2,0)-MATCH($G$1,[2]stages!$2:$2,0)+1,FALSE)</f>
        <v xml:space="preserve">【初級】火と樹のチェシャ猫 </v>
      </c>
      <c r="I106" s="25">
        <v>1</v>
      </c>
      <c r="J106" s="13">
        <v>30</v>
      </c>
      <c r="K106" s="13">
        <v>45</v>
      </c>
    </row>
    <row r="107" spans="1:11" ht="21" customHeight="1" x14ac:dyDescent="0.15">
      <c r="A107" s="17" t="str">
        <f t="shared" si="4"/>
        <v>11007_1-2</v>
      </c>
      <c r="B107" s="17" t="str">
        <f>IF(COUNTIF(enemy_habitats!$H:$H,A107),"OK","NG")</f>
        <v>NG</v>
      </c>
      <c r="C107" s="8">
        <v>11007</v>
      </c>
      <c r="D107" s="12" t="str">
        <f ca="1">VLOOKUP($C107,OFFSET([2]quests!$A$1,0,0,COUNTA([2]quests!$A:$A),MATCH(D$1,[2]quests!$1:$1,0)-MATCH($C$1,[2]quests!$1:$1,0)+1),MATCH(D$1,[2]quests!$1:$1,0)-MATCH($C$1,[2]quests!$1:$1,0)+1,FALSE)</f>
        <v>【土曜限定】 赤と緑の素材</v>
      </c>
      <c r="E107" s="22" t="str">
        <f ca="1">VLOOKUP($C107,OFFSET([2]quests!$A$1,0,0,COUNTA([2]quests!$A:$A),MATCH(E$1,[2]quests!$1:$1,0)-MATCH($C$1,[2]quests!$1:$1,0)+1),MATCH(E$1,[2]quests!$1:$1,0)-MATCH($C$1,[2]quests!$1:$1,0)+1,FALSE)</f>
        <v>土曜クエスト</v>
      </c>
      <c r="F107" s="25">
        <v>1</v>
      </c>
      <c r="G107" s="26" t="str">
        <f t="shared" si="5"/>
        <v>11007_1</v>
      </c>
      <c r="H107" s="16" t="str">
        <f ca="1">VLOOKUP($G107,OFFSET([2]stages!$A$1,0,0,COUNTA([2]stages!$A:$A),MATCH(H$1,[2]stages!$2:$2,0)-MATCH($G$1,[2]stages!$2:$2,0)+1),MATCH(H$1,[2]stages!$2:$2,0)-MATCH($G$1,[2]stages!$2:$2,0)+1,FALSE)</f>
        <v xml:space="preserve">【初級】火と樹のチェシャ猫 </v>
      </c>
      <c r="I107" s="25">
        <v>2</v>
      </c>
      <c r="J107" s="13">
        <v>30</v>
      </c>
      <c r="K107" s="13">
        <v>45</v>
      </c>
    </row>
    <row r="108" spans="1:11" ht="21" customHeight="1" x14ac:dyDescent="0.15">
      <c r="A108" s="17" t="str">
        <f t="shared" si="4"/>
        <v>11007_1-3</v>
      </c>
      <c r="B108" s="17" t="str">
        <f>IF(COUNTIF(enemy_habitats!$H:$H,A108),"OK","NG")</f>
        <v>NG</v>
      </c>
      <c r="C108" s="8">
        <v>11007</v>
      </c>
      <c r="D108" s="12" t="str">
        <f ca="1">VLOOKUP($C108,OFFSET([2]quests!$A$1,0,0,COUNTA([2]quests!$A:$A),MATCH(D$1,[2]quests!$1:$1,0)-MATCH($C$1,[2]quests!$1:$1,0)+1),MATCH(D$1,[2]quests!$1:$1,0)-MATCH($C$1,[2]quests!$1:$1,0)+1,FALSE)</f>
        <v>【土曜限定】 赤と緑の素材</v>
      </c>
      <c r="E108" s="22" t="str">
        <f ca="1">VLOOKUP($C108,OFFSET([2]quests!$A$1,0,0,COUNTA([2]quests!$A:$A),MATCH(E$1,[2]quests!$1:$1,0)-MATCH($C$1,[2]quests!$1:$1,0)+1),MATCH(E$1,[2]quests!$1:$1,0)-MATCH($C$1,[2]quests!$1:$1,0)+1,FALSE)</f>
        <v>土曜クエスト</v>
      </c>
      <c r="F108" s="25">
        <v>1</v>
      </c>
      <c r="G108" s="26" t="str">
        <f t="shared" si="5"/>
        <v>11007_1</v>
      </c>
      <c r="H108" s="16" t="str">
        <f ca="1">VLOOKUP($G108,OFFSET([2]stages!$A$1,0,0,COUNTA([2]stages!$A:$A),MATCH(H$1,[2]stages!$2:$2,0)-MATCH($G$1,[2]stages!$2:$2,0)+1),MATCH(H$1,[2]stages!$2:$2,0)-MATCH($G$1,[2]stages!$2:$2,0)+1,FALSE)</f>
        <v xml:space="preserve">【初級】火と樹のチェシャ猫 </v>
      </c>
      <c r="I108" s="25">
        <v>3</v>
      </c>
      <c r="J108" s="13">
        <v>45</v>
      </c>
      <c r="K108" s="13">
        <v>45</v>
      </c>
    </row>
    <row r="109" spans="1:11" ht="21" customHeight="1" x14ac:dyDescent="0.15">
      <c r="A109" s="17" t="str">
        <f t="shared" si="4"/>
        <v>11007_1-4</v>
      </c>
      <c r="B109" s="17" t="str">
        <f>IF(COUNTIF(enemy_habitats!$H:$H,A109),"OK","NG")</f>
        <v>NG</v>
      </c>
      <c r="C109" s="8">
        <v>11007</v>
      </c>
      <c r="D109" s="12" t="str">
        <f ca="1">VLOOKUP($C109,OFFSET([2]quests!$A$1,0,0,COUNTA([2]quests!$A:$A),MATCH(D$1,[2]quests!$1:$1,0)-MATCH($C$1,[2]quests!$1:$1,0)+1),MATCH(D$1,[2]quests!$1:$1,0)-MATCH($C$1,[2]quests!$1:$1,0)+1,FALSE)</f>
        <v>【土曜限定】 赤と緑の素材</v>
      </c>
      <c r="E109" s="22" t="str">
        <f ca="1">VLOOKUP($C109,OFFSET([2]quests!$A$1,0,0,COUNTA([2]quests!$A:$A),MATCH(E$1,[2]quests!$1:$1,0)-MATCH($C$1,[2]quests!$1:$1,0)+1),MATCH(E$1,[2]quests!$1:$1,0)-MATCH($C$1,[2]quests!$1:$1,0)+1,FALSE)</f>
        <v>土曜クエスト</v>
      </c>
      <c r="F109" s="25">
        <v>1</v>
      </c>
      <c r="G109" s="26" t="str">
        <f t="shared" si="5"/>
        <v>11007_1</v>
      </c>
      <c r="H109" s="16" t="str">
        <f ca="1">VLOOKUP($G109,OFFSET([2]stages!$A$1,0,0,COUNTA([2]stages!$A:$A),MATCH(H$1,[2]stages!$2:$2,0)-MATCH($G$1,[2]stages!$2:$2,0)+1),MATCH(H$1,[2]stages!$2:$2,0)-MATCH($G$1,[2]stages!$2:$2,0)+1,FALSE)</f>
        <v xml:space="preserve">【初級】火と樹のチェシャ猫 </v>
      </c>
      <c r="I109" s="25">
        <v>4</v>
      </c>
      <c r="J109" s="13">
        <v>45</v>
      </c>
      <c r="K109" s="13">
        <v>60</v>
      </c>
    </row>
    <row r="110" spans="1:11" ht="21" customHeight="1" x14ac:dyDescent="0.15">
      <c r="A110" s="17" t="str">
        <f t="shared" si="4"/>
        <v>11007_1-5</v>
      </c>
      <c r="B110" s="17" t="str">
        <f>IF(COUNTIF(enemy_habitats!$H:$H,A110),"OK","NG")</f>
        <v>NG</v>
      </c>
      <c r="C110" s="8">
        <v>11007</v>
      </c>
      <c r="D110" s="12" t="str">
        <f ca="1">VLOOKUP($C110,OFFSET([2]quests!$A$1,0,0,COUNTA([2]quests!$A:$A),MATCH(D$1,[2]quests!$1:$1,0)-MATCH($C$1,[2]quests!$1:$1,0)+1),MATCH(D$1,[2]quests!$1:$1,0)-MATCH($C$1,[2]quests!$1:$1,0)+1,FALSE)</f>
        <v>【土曜限定】 赤と緑の素材</v>
      </c>
      <c r="E110" s="22" t="str">
        <f ca="1">VLOOKUP($C110,OFFSET([2]quests!$A$1,0,0,COUNTA([2]quests!$A:$A),MATCH(E$1,[2]quests!$1:$1,0)-MATCH($C$1,[2]quests!$1:$1,0)+1),MATCH(E$1,[2]quests!$1:$1,0)-MATCH($C$1,[2]quests!$1:$1,0)+1,FALSE)</f>
        <v>土曜クエスト</v>
      </c>
      <c r="F110" s="25">
        <v>1</v>
      </c>
      <c r="G110" s="26" t="str">
        <f t="shared" si="5"/>
        <v>11007_1</v>
      </c>
      <c r="H110" s="16" t="str">
        <f ca="1">VLOOKUP($G110,OFFSET([2]stages!$A$1,0,0,COUNTA([2]stages!$A:$A),MATCH(H$1,[2]stages!$2:$2,0)-MATCH($G$1,[2]stages!$2:$2,0)+1),MATCH(H$1,[2]stages!$2:$2,0)-MATCH($G$1,[2]stages!$2:$2,0)+1,FALSE)</f>
        <v xml:space="preserve">【初級】火と樹のチェシャ猫 </v>
      </c>
      <c r="I110" s="25">
        <v>5</v>
      </c>
      <c r="J110" s="13">
        <v>45</v>
      </c>
      <c r="K110" s="13">
        <v>45</v>
      </c>
    </row>
    <row r="111" spans="1:11" ht="21" customHeight="1" x14ac:dyDescent="0.15">
      <c r="A111" s="17" t="str">
        <f t="shared" si="4"/>
        <v>11007_2-1</v>
      </c>
      <c r="B111" s="17" t="str">
        <f>IF(COUNTIF(enemy_habitats!$H:$H,A111),"OK","NG")</f>
        <v>NG</v>
      </c>
      <c r="C111" s="8">
        <v>11007</v>
      </c>
      <c r="D111" s="12" t="str">
        <f ca="1">VLOOKUP($C111,OFFSET([2]quests!$A$1,0,0,COUNTA([2]quests!$A:$A),MATCH(D$1,[2]quests!$1:$1,0)-MATCH($C$1,[2]quests!$1:$1,0)+1),MATCH(D$1,[2]quests!$1:$1,0)-MATCH($C$1,[2]quests!$1:$1,0)+1,FALSE)</f>
        <v>【土曜限定】 赤と緑の素材</v>
      </c>
      <c r="E111" s="22" t="str">
        <f ca="1">VLOOKUP($C111,OFFSET([2]quests!$A$1,0,0,COUNTA([2]quests!$A:$A),MATCH(E$1,[2]quests!$1:$1,0)-MATCH($C$1,[2]quests!$1:$1,0)+1),MATCH(E$1,[2]quests!$1:$1,0)-MATCH($C$1,[2]quests!$1:$1,0)+1,FALSE)</f>
        <v>土曜クエスト</v>
      </c>
      <c r="F111" s="25">
        <v>2</v>
      </c>
      <c r="G111" s="26" t="str">
        <f t="shared" si="5"/>
        <v>11007_2</v>
      </c>
      <c r="H111" s="16" t="str">
        <f ca="1">VLOOKUP($G111,OFFSET([2]stages!$A$1,0,0,COUNTA([2]stages!$A:$A),MATCH(H$1,[2]stages!$2:$2,0)-MATCH($G$1,[2]stages!$2:$2,0)+1),MATCH(H$1,[2]stages!$2:$2,0)-MATCH($G$1,[2]stages!$2:$2,0)+1,FALSE)</f>
        <v xml:space="preserve">【中級】火と樹のウサギ </v>
      </c>
      <c r="I111" s="25">
        <v>1</v>
      </c>
      <c r="J111" s="13">
        <v>30</v>
      </c>
      <c r="K111" s="13">
        <v>30</v>
      </c>
    </row>
    <row r="112" spans="1:11" ht="21" customHeight="1" x14ac:dyDescent="0.15">
      <c r="A112" s="17" t="str">
        <f t="shared" si="4"/>
        <v>11007_2-2</v>
      </c>
      <c r="B112" s="17" t="str">
        <f>IF(COUNTIF(enemy_habitats!$H:$H,A112),"OK","NG")</f>
        <v>NG</v>
      </c>
      <c r="C112" s="8">
        <v>11007</v>
      </c>
      <c r="D112" s="12" t="str">
        <f ca="1">VLOOKUP($C112,OFFSET([2]quests!$A$1,0,0,COUNTA([2]quests!$A:$A),MATCH(D$1,[2]quests!$1:$1,0)-MATCH($C$1,[2]quests!$1:$1,0)+1),MATCH(D$1,[2]quests!$1:$1,0)-MATCH($C$1,[2]quests!$1:$1,0)+1,FALSE)</f>
        <v>【土曜限定】 赤と緑の素材</v>
      </c>
      <c r="E112" s="22" t="str">
        <f ca="1">VLOOKUP($C112,OFFSET([2]quests!$A$1,0,0,COUNTA([2]quests!$A:$A),MATCH(E$1,[2]quests!$1:$1,0)-MATCH($C$1,[2]quests!$1:$1,0)+1),MATCH(E$1,[2]quests!$1:$1,0)-MATCH($C$1,[2]quests!$1:$1,0)+1,FALSE)</f>
        <v>土曜クエスト</v>
      </c>
      <c r="F112" s="25">
        <v>2</v>
      </c>
      <c r="G112" s="26" t="str">
        <f t="shared" si="5"/>
        <v>11007_2</v>
      </c>
      <c r="H112" s="16" t="str">
        <f ca="1">VLOOKUP($G112,OFFSET([2]stages!$A$1,0,0,COUNTA([2]stages!$A:$A),MATCH(H$1,[2]stages!$2:$2,0)-MATCH($G$1,[2]stages!$2:$2,0)+1),MATCH(H$1,[2]stages!$2:$2,0)-MATCH($G$1,[2]stages!$2:$2,0)+1,FALSE)</f>
        <v xml:space="preserve">【中級】火と樹のウサギ </v>
      </c>
      <c r="I112" s="25">
        <v>2</v>
      </c>
      <c r="J112" s="13">
        <v>30</v>
      </c>
      <c r="K112" s="13">
        <v>30</v>
      </c>
    </row>
    <row r="113" spans="1:11" ht="21" customHeight="1" x14ac:dyDescent="0.15">
      <c r="A113" s="17" t="str">
        <f t="shared" si="4"/>
        <v>11007_2-3</v>
      </c>
      <c r="B113" s="17" t="str">
        <f>IF(COUNTIF(enemy_habitats!$H:$H,A113),"OK","NG")</f>
        <v>NG</v>
      </c>
      <c r="C113" s="8">
        <v>11007</v>
      </c>
      <c r="D113" s="12" t="str">
        <f ca="1">VLOOKUP($C113,OFFSET([2]quests!$A$1,0,0,COUNTA([2]quests!$A:$A),MATCH(D$1,[2]quests!$1:$1,0)-MATCH($C$1,[2]quests!$1:$1,0)+1),MATCH(D$1,[2]quests!$1:$1,0)-MATCH($C$1,[2]quests!$1:$1,0)+1,FALSE)</f>
        <v>【土曜限定】 赤と緑の素材</v>
      </c>
      <c r="E113" s="22" t="str">
        <f ca="1">VLOOKUP($C113,OFFSET([2]quests!$A$1,0,0,COUNTA([2]quests!$A:$A),MATCH(E$1,[2]quests!$1:$1,0)-MATCH($C$1,[2]quests!$1:$1,0)+1),MATCH(E$1,[2]quests!$1:$1,0)-MATCH($C$1,[2]quests!$1:$1,0)+1,FALSE)</f>
        <v>土曜クエスト</v>
      </c>
      <c r="F113" s="25">
        <v>2</v>
      </c>
      <c r="G113" s="26" t="str">
        <f t="shared" si="5"/>
        <v>11007_2</v>
      </c>
      <c r="H113" s="16" t="str">
        <f ca="1">VLOOKUP($G113,OFFSET([2]stages!$A$1,0,0,COUNTA([2]stages!$A:$A),MATCH(H$1,[2]stages!$2:$2,0)-MATCH($G$1,[2]stages!$2:$2,0)+1),MATCH(H$1,[2]stages!$2:$2,0)-MATCH($G$1,[2]stages!$2:$2,0)+1,FALSE)</f>
        <v xml:space="preserve">【中級】火と樹のウサギ </v>
      </c>
      <c r="I113" s="25">
        <v>3</v>
      </c>
      <c r="J113" s="13">
        <v>45</v>
      </c>
      <c r="K113" s="13">
        <v>45</v>
      </c>
    </row>
    <row r="114" spans="1:11" ht="21" customHeight="1" x14ac:dyDescent="0.15">
      <c r="A114" s="17" t="str">
        <f t="shared" si="4"/>
        <v>11007_2-4</v>
      </c>
      <c r="B114" s="17" t="str">
        <f>IF(COUNTIF(enemy_habitats!$H:$H,A114),"OK","NG")</f>
        <v>NG</v>
      </c>
      <c r="C114" s="8">
        <v>11007</v>
      </c>
      <c r="D114" s="12" t="str">
        <f ca="1">VLOOKUP($C114,OFFSET([2]quests!$A$1,0,0,COUNTA([2]quests!$A:$A),MATCH(D$1,[2]quests!$1:$1,0)-MATCH($C$1,[2]quests!$1:$1,0)+1),MATCH(D$1,[2]quests!$1:$1,0)-MATCH($C$1,[2]quests!$1:$1,0)+1,FALSE)</f>
        <v>【土曜限定】 赤と緑の素材</v>
      </c>
      <c r="E114" s="22" t="str">
        <f ca="1">VLOOKUP($C114,OFFSET([2]quests!$A$1,0,0,COUNTA([2]quests!$A:$A),MATCH(E$1,[2]quests!$1:$1,0)-MATCH($C$1,[2]quests!$1:$1,0)+1),MATCH(E$1,[2]quests!$1:$1,0)-MATCH($C$1,[2]quests!$1:$1,0)+1,FALSE)</f>
        <v>土曜クエスト</v>
      </c>
      <c r="F114" s="25">
        <v>2</v>
      </c>
      <c r="G114" s="26" t="str">
        <f t="shared" si="5"/>
        <v>11007_2</v>
      </c>
      <c r="H114" s="16" t="str">
        <f ca="1">VLOOKUP($G114,OFFSET([2]stages!$A$1,0,0,COUNTA([2]stages!$A:$A),MATCH(H$1,[2]stages!$2:$2,0)-MATCH($G$1,[2]stages!$2:$2,0)+1),MATCH(H$1,[2]stages!$2:$2,0)-MATCH($G$1,[2]stages!$2:$2,0)+1,FALSE)</f>
        <v xml:space="preserve">【中級】火と樹のウサギ </v>
      </c>
      <c r="I114" s="25">
        <v>4</v>
      </c>
      <c r="J114" s="13">
        <v>45</v>
      </c>
      <c r="K114" s="13">
        <v>45</v>
      </c>
    </row>
    <row r="115" spans="1:11" ht="21" customHeight="1" x14ac:dyDescent="0.15">
      <c r="A115" s="17" t="str">
        <f t="shared" si="4"/>
        <v>11007_2-5</v>
      </c>
      <c r="B115" s="17" t="str">
        <f>IF(COUNTIF(enemy_habitats!$H:$H,A115),"OK","NG")</f>
        <v>NG</v>
      </c>
      <c r="C115" s="8">
        <v>11007</v>
      </c>
      <c r="D115" s="12" t="str">
        <f ca="1">VLOOKUP($C115,OFFSET([2]quests!$A$1,0,0,COUNTA([2]quests!$A:$A),MATCH(D$1,[2]quests!$1:$1,0)-MATCH($C$1,[2]quests!$1:$1,0)+1),MATCH(D$1,[2]quests!$1:$1,0)-MATCH($C$1,[2]quests!$1:$1,0)+1,FALSE)</f>
        <v>【土曜限定】 赤と緑の素材</v>
      </c>
      <c r="E115" s="22" t="str">
        <f ca="1">VLOOKUP($C115,OFFSET([2]quests!$A$1,0,0,COUNTA([2]quests!$A:$A),MATCH(E$1,[2]quests!$1:$1,0)-MATCH($C$1,[2]quests!$1:$1,0)+1),MATCH(E$1,[2]quests!$1:$1,0)-MATCH($C$1,[2]quests!$1:$1,0)+1,FALSE)</f>
        <v>土曜クエスト</v>
      </c>
      <c r="F115" s="25">
        <v>2</v>
      </c>
      <c r="G115" s="26" t="str">
        <f t="shared" si="5"/>
        <v>11007_2</v>
      </c>
      <c r="H115" s="16" t="str">
        <f ca="1">VLOOKUP($G115,OFFSET([2]stages!$A$1,0,0,COUNTA([2]stages!$A:$A),MATCH(H$1,[2]stages!$2:$2,0)-MATCH($G$1,[2]stages!$2:$2,0)+1),MATCH(H$1,[2]stages!$2:$2,0)-MATCH($G$1,[2]stages!$2:$2,0)+1,FALSE)</f>
        <v xml:space="preserve">【中級】火と樹のウサギ </v>
      </c>
      <c r="I115" s="25">
        <v>5</v>
      </c>
      <c r="J115" s="13">
        <v>50</v>
      </c>
      <c r="K115" s="13">
        <v>50</v>
      </c>
    </row>
    <row r="116" spans="1:11" ht="21" customHeight="1" x14ac:dyDescent="0.15">
      <c r="A116" s="17" t="str">
        <f t="shared" ref="A116:A131" si="16">G116&amp;"-"&amp;I116</f>
        <v>11007_4-1</v>
      </c>
      <c r="B116" s="17" t="str">
        <f>IF(COUNTIF(enemy_habitats!$H:$H,A116),"OK","NG")</f>
        <v>NG</v>
      </c>
      <c r="C116" s="8">
        <v>11007</v>
      </c>
      <c r="D116" s="12" t="str">
        <f ca="1">VLOOKUP($C116,OFFSET([2]quests!$A$1,0,0,COUNTA([2]quests!$A:$A),MATCH(D$1,[2]quests!$1:$1,0)-MATCH($C$1,[2]quests!$1:$1,0)+1),MATCH(D$1,[2]quests!$1:$1,0)-MATCH($C$1,[2]quests!$1:$1,0)+1,FALSE)</f>
        <v>【土曜限定】 赤と緑の素材</v>
      </c>
      <c r="E116" s="22" t="str">
        <f ca="1">VLOOKUP($C116,OFFSET([2]quests!$A$1,0,0,COUNTA([2]quests!$A:$A),MATCH(E$1,[2]quests!$1:$1,0)-MATCH($C$1,[2]quests!$1:$1,0)+1),MATCH(E$1,[2]quests!$1:$1,0)-MATCH($C$1,[2]quests!$1:$1,0)+1,FALSE)</f>
        <v>土曜クエスト</v>
      </c>
      <c r="F116" s="25">
        <v>4</v>
      </c>
      <c r="G116" s="26" t="str">
        <f t="shared" ref="G116:G131" si="17">C116&amp;"_"&amp;F116</f>
        <v>11007_4</v>
      </c>
      <c r="H116" s="16" t="str">
        <f ca="1">VLOOKUP($G116,OFFSET([2]stages!$A$1,0,0,COUNTA([2]stages!$A:$A),MATCH(H$1,[2]stages!$2:$2,0)-MATCH($G$1,[2]stages!$2:$2,0)+1),MATCH(H$1,[2]stages!$2:$2,0)-MATCH($G$1,[2]stages!$2:$2,0)+1,FALSE)</f>
        <v xml:space="preserve">【超級】火と樹の帽子屋 </v>
      </c>
      <c r="I116" s="25">
        <v>1</v>
      </c>
      <c r="J116" s="13">
        <v>30</v>
      </c>
      <c r="K116" s="13">
        <v>45</v>
      </c>
    </row>
    <row r="117" spans="1:11" ht="21" customHeight="1" x14ac:dyDescent="0.15">
      <c r="A117" s="17" t="str">
        <f t="shared" si="16"/>
        <v>11007_4-2</v>
      </c>
      <c r="B117" s="17" t="str">
        <f>IF(COUNTIF(enemy_habitats!$H:$H,A117),"OK","NG")</f>
        <v>NG</v>
      </c>
      <c r="C117" s="8">
        <v>11007</v>
      </c>
      <c r="D117" s="12" t="str">
        <f ca="1">VLOOKUP($C117,OFFSET([2]quests!$A$1,0,0,COUNTA([2]quests!$A:$A),MATCH(D$1,[2]quests!$1:$1,0)-MATCH($C$1,[2]quests!$1:$1,0)+1),MATCH(D$1,[2]quests!$1:$1,0)-MATCH($C$1,[2]quests!$1:$1,0)+1,FALSE)</f>
        <v>【土曜限定】 赤と緑の素材</v>
      </c>
      <c r="E117" s="22" t="str">
        <f ca="1">VLOOKUP($C117,OFFSET([2]quests!$A$1,0,0,COUNTA([2]quests!$A:$A),MATCH(E$1,[2]quests!$1:$1,0)-MATCH($C$1,[2]quests!$1:$1,0)+1),MATCH(E$1,[2]quests!$1:$1,0)-MATCH($C$1,[2]quests!$1:$1,0)+1,FALSE)</f>
        <v>土曜クエスト</v>
      </c>
      <c r="F117" s="25">
        <v>4</v>
      </c>
      <c r="G117" s="26" t="str">
        <f t="shared" si="17"/>
        <v>11007_4</v>
      </c>
      <c r="H117" s="16" t="str">
        <f ca="1">VLOOKUP($G117,OFFSET([2]stages!$A$1,0,0,COUNTA([2]stages!$A:$A),MATCH(H$1,[2]stages!$2:$2,0)-MATCH($G$1,[2]stages!$2:$2,0)+1),MATCH(H$1,[2]stages!$2:$2,0)-MATCH($G$1,[2]stages!$2:$2,0)+1,FALSE)</f>
        <v xml:space="preserve">【超級】火と樹の帽子屋 </v>
      </c>
      <c r="I117" s="25">
        <v>2</v>
      </c>
      <c r="J117" s="13">
        <v>45</v>
      </c>
      <c r="K117" s="13">
        <v>60</v>
      </c>
    </row>
    <row r="118" spans="1:11" ht="21" customHeight="1" x14ac:dyDescent="0.15">
      <c r="A118" s="17" t="str">
        <f t="shared" si="16"/>
        <v>11007_4-3</v>
      </c>
      <c r="B118" s="17" t="str">
        <f>IF(COUNTIF(enemy_habitats!$H:$H,A118),"OK","NG")</f>
        <v>NG</v>
      </c>
      <c r="C118" s="8">
        <v>11007</v>
      </c>
      <c r="D118" s="12" t="str">
        <f ca="1">VLOOKUP($C118,OFFSET([2]quests!$A$1,0,0,COUNTA([2]quests!$A:$A),MATCH(D$1,[2]quests!$1:$1,0)-MATCH($C$1,[2]quests!$1:$1,0)+1),MATCH(D$1,[2]quests!$1:$1,0)-MATCH($C$1,[2]quests!$1:$1,0)+1,FALSE)</f>
        <v>【土曜限定】 赤と緑の素材</v>
      </c>
      <c r="E118" s="22" t="str">
        <f ca="1">VLOOKUP($C118,OFFSET([2]quests!$A$1,0,0,COUNTA([2]quests!$A:$A),MATCH(E$1,[2]quests!$1:$1,0)-MATCH($C$1,[2]quests!$1:$1,0)+1),MATCH(E$1,[2]quests!$1:$1,0)-MATCH($C$1,[2]quests!$1:$1,0)+1,FALSE)</f>
        <v>土曜クエスト</v>
      </c>
      <c r="F118" s="25">
        <v>4</v>
      </c>
      <c r="G118" s="26" t="str">
        <f t="shared" si="17"/>
        <v>11007_4</v>
      </c>
      <c r="H118" s="16" t="str">
        <f ca="1">VLOOKUP($G118,OFFSET([2]stages!$A$1,0,0,COUNTA([2]stages!$A:$A),MATCH(H$1,[2]stages!$2:$2,0)-MATCH($G$1,[2]stages!$2:$2,0)+1),MATCH(H$1,[2]stages!$2:$2,0)-MATCH($G$1,[2]stages!$2:$2,0)+1,FALSE)</f>
        <v xml:space="preserve">【超級】火と樹の帽子屋 </v>
      </c>
      <c r="I118" s="25">
        <v>3</v>
      </c>
      <c r="J118" s="13">
        <v>50</v>
      </c>
      <c r="K118" s="13">
        <v>60</v>
      </c>
    </row>
    <row r="119" spans="1:11" ht="21" customHeight="1" x14ac:dyDescent="0.15">
      <c r="A119" s="17" t="str">
        <f t="shared" si="16"/>
        <v>11007_4-4</v>
      </c>
      <c r="B119" s="17" t="str">
        <f>IF(COUNTIF(enemy_habitats!$H:$H,A119),"OK","NG")</f>
        <v>NG</v>
      </c>
      <c r="C119" s="8">
        <v>11007</v>
      </c>
      <c r="D119" s="12" t="str">
        <f ca="1">VLOOKUP($C119,OFFSET([2]quests!$A$1,0,0,COUNTA([2]quests!$A:$A),MATCH(D$1,[2]quests!$1:$1,0)-MATCH($C$1,[2]quests!$1:$1,0)+1),MATCH(D$1,[2]quests!$1:$1,0)-MATCH($C$1,[2]quests!$1:$1,0)+1,FALSE)</f>
        <v>【土曜限定】 赤と緑の素材</v>
      </c>
      <c r="E119" s="22" t="str">
        <f ca="1">VLOOKUP($C119,OFFSET([2]quests!$A$1,0,0,COUNTA([2]quests!$A:$A),MATCH(E$1,[2]quests!$1:$1,0)-MATCH($C$1,[2]quests!$1:$1,0)+1),MATCH(E$1,[2]quests!$1:$1,0)-MATCH($C$1,[2]quests!$1:$1,0)+1,FALSE)</f>
        <v>土曜クエスト</v>
      </c>
      <c r="F119" s="25">
        <v>4</v>
      </c>
      <c r="G119" s="26" t="str">
        <f t="shared" si="17"/>
        <v>11007_4</v>
      </c>
      <c r="H119" s="16" t="str">
        <f ca="1">VLOOKUP($G119,OFFSET([2]stages!$A$1,0,0,COUNTA([2]stages!$A:$A),MATCH(H$1,[2]stages!$2:$2,0)-MATCH($G$1,[2]stages!$2:$2,0)+1),MATCH(H$1,[2]stages!$2:$2,0)-MATCH($G$1,[2]stages!$2:$2,0)+1,FALSE)</f>
        <v xml:space="preserve">【超級】火と樹の帽子屋 </v>
      </c>
      <c r="I119" s="25">
        <v>4</v>
      </c>
      <c r="J119" s="13">
        <v>45</v>
      </c>
      <c r="K119" s="13">
        <v>60</v>
      </c>
    </row>
    <row r="120" spans="1:11" ht="21" customHeight="1" x14ac:dyDescent="0.15">
      <c r="A120" s="17" t="str">
        <f t="shared" si="16"/>
        <v>11007_4-5</v>
      </c>
      <c r="B120" s="17" t="str">
        <f>IF(COUNTIF(enemy_habitats!$H:$H,A120),"OK","NG")</f>
        <v>NG</v>
      </c>
      <c r="C120" s="8">
        <v>11007</v>
      </c>
      <c r="D120" s="12" t="str">
        <f ca="1">VLOOKUP($C120,OFFSET([2]quests!$A$1,0,0,COUNTA([2]quests!$A:$A),MATCH(D$1,[2]quests!$1:$1,0)-MATCH($C$1,[2]quests!$1:$1,0)+1),MATCH(D$1,[2]quests!$1:$1,0)-MATCH($C$1,[2]quests!$1:$1,0)+1,FALSE)</f>
        <v>【土曜限定】 赤と緑の素材</v>
      </c>
      <c r="E120" s="22" t="str">
        <f ca="1">VLOOKUP($C120,OFFSET([2]quests!$A$1,0,0,COUNTA([2]quests!$A:$A),MATCH(E$1,[2]quests!$1:$1,0)-MATCH($C$1,[2]quests!$1:$1,0)+1),MATCH(E$1,[2]quests!$1:$1,0)-MATCH($C$1,[2]quests!$1:$1,0)+1,FALSE)</f>
        <v>土曜クエスト</v>
      </c>
      <c r="F120" s="25">
        <v>4</v>
      </c>
      <c r="G120" s="26" t="str">
        <f t="shared" si="17"/>
        <v>11007_4</v>
      </c>
      <c r="H120" s="16" t="str">
        <f ca="1">VLOOKUP($G120,OFFSET([2]stages!$A$1,0,0,COUNTA([2]stages!$A:$A),MATCH(H$1,[2]stages!$2:$2,0)-MATCH($G$1,[2]stages!$2:$2,0)+1),MATCH(H$1,[2]stages!$2:$2,0)-MATCH($G$1,[2]stages!$2:$2,0)+1,FALSE)</f>
        <v xml:space="preserve">【超級】火と樹の帽子屋 </v>
      </c>
      <c r="I120" s="25">
        <v>5</v>
      </c>
      <c r="J120" s="13">
        <v>60</v>
      </c>
      <c r="K120" s="13">
        <v>60</v>
      </c>
    </row>
    <row r="121" spans="1:11" ht="21" customHeight="1" x14ac:dyDescent="0.15">
      <c r="A121" s="17" t="str">
        <f t="shared" si="16"/>
        <v>11007_4-6</v>
      </c>
      <c r="B121" s="17" t="str">
        <f>IF(COUNTIF(enemy_habitats!$H:$H,A121),"OK","NG")</f>
        <v>NG</v>
      </c>
      <c r="C121" s="8">
        <v>11007</v>
      </c>
      <c r="D121" s="12" t="str">
        <f ca="1">VLOOKUP($C121,OFFSET([2]quests!$A$1,0,0,COUNTA([2]quests!$A:$A),MATCH(D$1,[2]quests!$1:$1,0)-MATCH($C$1,[2]quests!$1:$1,0)+1),MATCH(D$1,[2]quests!$1:$1,0)-MATCH($C$1,[2]quests!$1:$1,0)+1,FALSE)</f>
        <v>【土曜限定】 赤と緑の素材</v>
      </c>
      <c r="E121" s="22" t="str">
        <f ca="1">VLOOKUP($C121,OFFSET([2]quests!$A$1,0,0,COUNTA([2]quests!$A:$A),MATCH(E$1,[2]quests!$1:$1,0)-MATCH($C$1,[2]quests!$1:$1,0)+1),MATCH(E$1,[2]quests!$1:$1,0)-MATCH($C$1,[2]quests!$1:$1,0)+1,FALSE)</f>
        <v>土曜クエスト</v>
      </c>
      <c r="F121" s="25">
        <v>4</v>
      </c>
      <c r="G121" s="26" t="str">
        <f t="shared" si="17"/>
        <v>11007_4</v>
      </c>
      <c r="H121" s="16" t="str">
        <f ca="1">VLOOKUP($G121,OFFSET([2]stages!$A$1,0,0,COUNTA([2]stages!$A:$A),MATCH(H$1,[2]stages!$2:$2,0)-MATCH($G$1,[2]stages!$2:$2,0)+1),MATCH(H$1,[2]stages!$2:$2,0)-MATCH($G$1,[2]stages!$2:$2,0)+1,FALSE)</f>
        <v xml:space="preserve">【超級】火と樹の帽子屋 </v>
      </c>
      <c r="I121" s="25">
        <v>6</v>
      </c>
      <c r="J121" s="13">
        <v>60</v>
      </c>
      <c r="K121" s="13">
        <v>60</v>
      </c>
    </row>
    <row r="122" spans="1:11" ht="21" customHeight="1" x14ac:dyDescent="0.15">
      <c r="A122" s="17" t="str">
        <f t="shared" si="16"/>
        <v>11008_1-1</v>
      </c>
      <c r="B122" s="17" t="str">
        <f>IF(COUNTIF(enemy_habitats!$H:$H,A122),"OK","NG")</f>
        <v>NG</v>
      </c>
      <c r="C122" s="8">
        <v>11008</v>
      </c>
      <c r="D122" s="12" t="str">
        <f ca="1">VLOOKUP($C122,OFFSET([2]quests!$A$1,0,0,COUNTA([2]quests!$A:$A),MATCH(D$1,[2]quests!$1:$1,0)-MATCH($C$1,[2]quests!$1:$1,0)+1),MATCH(D$1,[2]quests!$1:$1,0)-MATCH($C$1,[2]quests!$1:$1,0)+1,FALSE)</f>
        <v>【日曜限定】 青と黄の素材</v>
      </c>
      <c r="E122" s="22" t="str">
        <f ca="1">VLOOKUP($C122,OFFSET([2]quests!$A$1,0,0,COUNTA([2]quests!$A:$A),MATCH(E$1,[2]quests!$1:$1,0)-MATCH($C$1,[2]quests!$1:$1,0)+1),MATCH(E$1,[2]quests!$1:$1,0)-MATCH($C$1,[2]quests!$1:$1,0)+1,FALSE)</f>
        <v>日曜クエスト</v>
      </c>
      <c r="F122" s="25">
        <v>1</v>
      </c>
      <c r="G122" s="26" t="str">
        <f t="shared" si="17"/>
        <v>11008_1</v>
      </c>
      <c r="H122" s="16" t="str">
        <f ca="1">VLOOKUP($G122,OFFSET([2]stages!$A$1,0,0,COUNTA([2]stages!$A:$A),MATCH(H$1,[2]stages!$2:$2,0)-MATCH($G$1,[2]stages!$2:$2,0)+1),MATCH(H$1,[2]stages!$2:$2,0)-MATCH($G$1,[2]stages!$2:$2,0)+1,FALSE)</f>
        <v xml:space="preserve">【初級】水と雷のチェシャ猫 </v>
      </c>
      <c r="I122" s="25">
        <v>1</v>
      </c>
      <c r="J122" s="13">
        <v>30</v>
      </c>
      <c r="K122" s="13">
        <v>45</v>
      </c>
    </row>
    <row r="123" spans="1:11" ht="21" customHeight="1" x14ac:dyDescent="0.15">
      <c r="A123" s="17" t="str">
        <f t="shared" si="16"/>
        <v>11008_1-2</v>
      </c>
      <c r="B123" s="17" t="str">
        <f>IF(COUNTIF(enemy_habitats!$H:$H,A123),"OK","NG")</f>
        <v>NG</v>
      </c>
      <c r="C123" s="8">
        <v>11008</v>
      </c>
      <c r="D123" s="12" t="str">
        <f ca="1">VLOOKUP($C123,OFFSET([2]quests!$A$1,0,0,COUNTA([2]quests!$A:$A),MATCH(D$1,[2]quests!$1:$1,0)-MATCH($C$1,[2]quests!$1:$1,0)+1),MATCH(D$1,[2]quests!$1:$1,0)-MATCH($C$1,[2]quests!$1:$1,0)+1,FALSE)</f>
        <v>【日曜限定】 青と黄の素材</v>
      </c>
      <c r="E123" s="22" t="str">
        <f ca="1">VLOOKUP($C123,OFFSET([2]quests!$A$1,0,0,COUNTA([2]quests!$A:$A),MATCH(E$1,[2]quests!$1:$1,0)-MATCH($C$1,[2]quests!$1:$1,0)+1),MATCH(E$1,[2]quests!$1:$1,0)-MATCH($C$1,[2]quests!$1:$1,0)+1,FALSE)</f>
        <v>日曜クエスト</v>
      </c>
      <c r="F123" s="25">
        <v>1</v>
      </c>
      <c r="G123" s="26" t="str">
        <f t="shared" si="17"/>
        <v>11008_1</v>
      </c>
      <c r="H123" s="16" t="str">
        <f ca="1">VLOOKUP($G123,OFFSET([2]stages!$A$1,0,0,COUNTA([2]stages!$A:$A),MATCH(H$1,[2]stages!$2:$2,0)-MATCH($G$1,[2]stages!$2:$2,0)+1),MATCH(H$1,[2]stages!$2:$2,0)-MATCH($G$1,[2]stages!$2:$2,0)+1,FALSE)</f>
        <v xml:space="preserve">【初級】水と雷のチェシャ猫 </v>
      </c>
      <c r="I123" s="25">
        <v>2</v>
      </c>
      <c r="J123" s="13">
        <v>30</v>
      </c>
      <c r="K123" s="13">
        <v>45</v>
      </c>
    </row>
    <row r="124" spans="1:11" ht="21" customHeight="1" x14ac:dyDescent="0.15">
      <c r="A124" s="17" t="str">
        <f t="shared" si="16"/>
        <v>11008_1-3</v>
      </c>
      <c r="B124" s="17" t="str">
        <f>IF(COUNTIF(enemy_habitats!$H:$H,A124),"OK","NG")</f>
        <v>NG</v>
      </c>
      <c r="C124" s="8">
        <v>11008</v>
      </c>
      <c r="D124" s="12" t="str">
        <f ca="1">VLOOKUP($C124,OFFSET([2]quests!$A$1,0,0,COUNTA([2]quests!$A:$A),MATCH(D$1,[2]quests!$1:$1,0)-MATCH($C$1,[2]quests!$1:$1,0)+1),MATCH(D$1,[2]quests!$1:$1,0)-MATCH($C$1,[2]quests!$1:$1,0)+1,FALSE)</f>
        <v>【日曜限定】 青と黄の素材</v>
      </c>
      <c r="E124" s="22" t="str">
        <f ca="1">VLOOKUP($C124,OFFSET([2]quests!$A$1,0,0,COUNTA([2]quests!$A:$A),MATCH(E$1,[2]quests!$1:$1,0)-MATCH($C$1,[2]quests!$1:$1,0)+1),MATCH(E$1,[2]quests!$1:$1,0)-MATCH($C$1,[2]quests!$1:$1,0)+1,FALSE)</f>
        <v>日曜クエスト</v>
      </c>
      <c r="F124" s="25">
        <v>1</v>
      </c>
      <c r="G124" s="26" t="str">
        <f t="shared" si="17"/>
        <v>11008_1</v>
      </c>
      <c r="H124" s="16" t="str">
        <f ca="1">VLOOKUP($G124,OFFSET([2]stages!$A$1,0,0,COUNTA([2]stages!$A:$A),MATCH(H$1,[2]stages!$2:$2,0)-MATCH($G$1,[2]stages!$2:$2,0)+1),MATCH(H$1,[2]stages!$2:$2,0)-MATCH($G$1,[2]stages!$2:$2,0)+1,FALSE)</f>
        <v xml:space="preserve">【初級】水と雷のチェシャ猫 </v>
      </c>
      <c r="I124" s="25">
        <v>3</v>
      </c>
      <c r="J124" s="13">
        <v>45</v>
      </c>
      <c r="K124" s="13">
        <v>45</v>
      </c>
    </row>
    <row r="125" spans="1:11" ht="21" customHeight="1" x14ac:dyDescent="0.15">
      <c r="A125" s="17" t="str">
        <f t="shared" si="16"/>
        <v>11008_1-4</v>
      </c>
      <c r="B125" s="17" t="str">
        <f>IF(COUNTIF(enemy_habitats!$H:$H,A125),"OK","NG")</f>
        <v>NG</v>
      </c>
      <c r="C125" s="8">
        <v>11008</v>
      </c>
      <c r="D125" s="12" t="str">
        <f ca="1">VLOOKUP($C125,OFFSET([2]quests!$A$1,0,0,COUNTA([2]quests!$A:$A),MATCH(D$1,[2]quests!$1:$1,0)-MATCH($C$1,[2]quests!$1:$1,0)+1),MATCH(D$1,[2]quests!$1:$1,0)-MATCH($C$1,[2]quests!$1:$1,0)+1,FALSE)</f>
        <v>【日曜限定】 青と黄の素材</v>
      </c>
      <c r="E125" s="22" t="str">
        <f ca="1">VLOOKUP($C125,OFFSET([2]quests!$A$1,0,0,COUNTA([2]quests!$A:$A),MATCH(E$1,[2]quests!$1:$1,0)-MATCH($C$1,[2]quests!$1:$1,0)+1),MATCH(E$1,[2]quests!$1:$1,0)-MATCH($C$1,[2]quests!$1:$1,0)+1,FALSE)</f>
        <v>日曜クエスト</v>
      </c>
      <c r="F125" s="25">
        <v>1</v>
      </c>
      <c r="G125" s="26" t="str">
        <f t="shared" si="17"/>
        <v>11008_1</v>
      </c>
      <c r="H125" s="16" t="str">
        <f ca="1">VLOOKUP($G125,OFFSET([2]stages!$A$1,0,0,COUNTA([2]stages!$A:$A),MATCH(H$1,[2]stages!$2:$2,0)-MATCH($G$1,[2]stages!$2:$2,0)+1),MATCH(H$1,[2]stages!$2:$2,0)-MATCH($G$1,[2]stages!$2:$2,0)+1,FALSE)</f>
        <v xml:space="preserve">【初級】水と雷のチェシャ猫 </v>
      </c>
      <c r="I125" s="25">
        <v>4</v>
      </c>
      <c r="J125" s="13">
        <v>45</v>
      </c>
      <c r="K125" s="13">
        <v>60</v>
      </c>
    </row>
    <row r="126" spans="1:11" ht="21" customHeight="1" x14ac:dyDescent="0.15">
      <c r="A126" s="17" t="str">
        <f t="shared" si="16"/>
        <v>11008_1-5</v>
      </c>
      <c r="B126" s="17" t="str">
        <f>IF(COUNTIF(enemy_habitats!$H:$H,A126),"OK","NG")</f>
        <v>NG</v>
      </c>
      <c r="C126" s="8">
        <v>11008</v>
      </c>
      <c r="D126" s="12" t="str">
        <f ca="1">VLOOKUP($C126,OFFSET([2]quests!$A$1,0,0,COUNTA([2]quests!$A:$A),MATCH(D$1,[2]quests!$1:$1,0)-MATCH($C$1,[2]quests!$1:$1,0)+1),MATCH(D$1,[2]quests!$1:$1,0)-MATCH($C$1,[2]quests!$1:$1,0)+1,FALSE)</f>
        <v>【日曜限定】 青と黄の素材</v>
      </c>
      <c r="E126" s="22" t="str">
        <f ca="1">VLOOKUP($C126,OFFSET([2]quests!$A$1,0,0,COUNTA([2]quests!$A:$A),MATCH(E$1,[2]quests!$1:$1,0)-MATCH($C$1,[2]quests!$1:$1,0)+1),MATCH(E$1,[2]quests!$1:$1,0)-MATCH($C$1,[2]quests!$1:$1,0)+1,FALSE)</f>
        <v>日曜クエスト</v>
      </c>
      <c r="F126" s="25">
        <v>1</v>
      </c>
      <c r="G126" s="26" t="str">
        <f t="shared" si="17"/>
        <v>11008_1</v>
      </c>
      <c r="H126" s="16" t="str">
        <f ca="1">VLOOKUP($G126,OFFSET([2]stages!$A$1,0,0,COUNTA([2]stages!$A:$A),MATCH(H$1,[2]stages!$2:$2,0)-MATCH($G$1,[2]stages!$2:$2,0)+1),MATCH(H$1,[2]stages!$2:$2,0)-MATCH($G$1,[2]stages!$2:$2,0)+1,FALSE)</f>
        <v xml:space="preserve">【初級】水と雷のチェシャ猫 </v>
      </c>
      <c r="I126" s="25">
        <v>5</v>
      </c>
      <c r="J126" s="13">
        <v>45</v>
      </c>
      <c r="K126" s="13">
        <v>45</v>
      </c>
    </row>
    <row r="127" spans="1:11" ht="21" customHeight="1" x14ac:dyDescent="0.15">
      <c r="A127" s="17" t="str">
        <f t="shared" si="16"/>
        <v>11008_2-1</v>
      </c>
      <c r="B127" s="17" t="str">
        <f>IF(COUNTIF(enemy_habitats!$H:$H,A127),"OK","NG")</f>
        <v>NG</v>
      </c>
      <c r="C127" s="8">
        <v>11008</v>
      </c>
      <c r="D127" s="12" t="str">
        <f ca="1">VLOOKUP($C127,OFFSET([2]quests!$A$1,0,0,COUNTA([2]quests!$A:$A),MATCH(D$1,[2]quests!$1:$1,0)-MATCH($C$1,[2]quests!$1:$1,0)+1),MATCH(D$1,[2]quests!$1:$1,0)-MATCH($C$1,[2]quests!$1:$1,0)+1,FALSE)</f>
        <v>【日曜限定】 青と黄の素材</v>
      </c>
      <c r="E127" s="22" t="str">
        <f ca="1">VLOOKUP($C127,OFFSET([2]quests!$A$1,0,0,COUNTA([2]quests!$A:$A),MATCH(E$1,[2]quests!$1:$1,0)-MATCH($C$1,[2]quests!$1:$1,0)+1),MATCH(E$1,[2]quests!$1:$1,0)-MATCH($C$1,[2]quests!$1:$1,0)+1,FALSE)</f>
        <v>日曜クエスト</v>
      </c>
      <c r="F127" s="25">
        <v>2</v>
      </c>
      <c r="G127" s="26" t="str">
        <f t="shared" si="17"/>
        <v>11008_2</v>
      </c>
      <c r="H127" s="16" t="str">
        <f ca="1">VLOOKUP($G127,OFFSET([2]stages!$A$1,0,0,COUNTA([2]stages!$A:$A),MATCH(H$1,[2]stages!$2:$2,0)-MATCH($G$1,[2]stages!$2:$2,0)+1),MATCH(H$1,[2]stages!$2:$2,0)-MATCH($G$1,[2]stages!$2:$2,0)+1,FALSE)</f>
        <v xml:space="preserve">【中級】水と雷のウサギ </v>
      </c>
      <c r="I127" s="25">
        <v>1</v>
      </c>
      <c r="J127" s="13">
        <v>30</v>
      </c>
      <c r="K127" s="13">
        <v>30</v>
      </c>
    </row>
    <row r="128" spans="1:11" ht="21" customHeight="1" x14ac:dyDescent="0.15">
      <c r="A128" s="17" t="str">
        <f t="shared" si="16"/>
        <v>11008_2-2</v>
      </c>
      <c r="B128" s="17" t="str">
        <f>IF(COUNTIF(enemy_habitats!$H:$H,A128),"OK","NG")</f>
        <v>NG</v>
      </c>
      <c r="C128" s="8">
        <v>11008</v>
      </c>
      <c r="D128" s="12" t="str">
        <f ca="1">VLOOKUP($C128,OFFSET([2]quests!$A$1,0,0,COUNTA([2]quests!$A:$A),MATCH(D$1,[2]quests!$1:$1,0)-MATCH($C$1,[2]quests!$1:$1,0)+1),MATCH(D$1,[2]quests!$1:$1,0)-MATCH($C$1,[2]quests!$1:$1,0)+1,FALSE)</f>
        <v>【日曜限定】 青と黄の素材</v>
      </c>
      <c r="E128" s="22" t="str">
        <f ca="1">VLOOKUP($C128,OFFSET([2]quests!$A$1,0,0,COUNTA([2]quests!$A:$A),MATCH(E$1,[2]quests!$1:$1,0)-MATCH($C$1,[2]quests!$1:$1,0)+1),MATCH(E$1,[2]quests!$1:$1,0)-MATCH($C$1,[2]quests!$1:$1,0)+1,FALSE)</f>
        <v>日曜クエスト</v>
      </c>
      <c r="F128" s="25">
        <v>2</v>
      </c>
      <c r="G128" s="26" t="str">
        <f t="shared" si="17"/>
        <v>11008_2</v>
      </c>
      <c r="H128" s="16" t="str">
        <f ca="1">VLOOKUP($G128,OFFSET([2]stages!$A$1,0,0,COUNTA([2]stages!$A:$A),MATCH(H$1,[2]stages!$2:$2,0)-MATCH($G$1,[2]stages!$2:$2,0)+1),MATCH(H$1,[2]stages!$2:$2,0)-MATCH($G$1,[2]stages!$2:$2,0)+1,FALSE)</f>
        <v xml:space="preserve">【中級】水と雷のウサギ </v>
      </c>
      <c r="I128" s="25">
        <v>2</v>
      </c>
      <c r="J128" s="13">
        <v>30</v>
      </c>
      <c r="K128" s="13">
        <v>30</v>
      </c>
    </row>
    <row r="129" spans="1:11" ht="21" customHeight="1" x14ac:dyDescent="0.15">
      <c r="A129" s="17" t="str">
        <f t="shared" si="16"/>
        <v>11008_2-3</v>
      </c>
      <c r="B129" s="17" t="str">
        <f>IF(COUNTIF(enemy_habitats!$H:$H,A129),"OK","NG")</f>
        <v>NG</v>
      </c>
      <c r="C129" s="8">
        <v>11008</v>
      </c>
      <c r="D129" s="12" t="str">
        <f ca="1">VLOOKUP($C129,OFFSET([2]quests!$A$1,0,0,COUNTA([2]quests!$A:$A),MATCH(D$1,[2]quests!$1:$1,0)-MATCH($C$1,[2]quests!$1:$1,0)+1),MATCH(D$1,[2]quests!$1:$1,0)-MATCH($C$1,[2]quests!$1:$1,0)+1,FALSE)</f>
        <v>【日曜限定】 青と黄の素材</v>
      </c>
      <c r="E129" s="22" t="str">
        <f ca="1">VLOOKUP($C129,OFFSET([2]quests!$A$1,0,0,COUNTA([2]quests!$A:$A),MATCH(E$1,[2]quests!$1:$1,0)-MATCH($C$1,[2]quests!$1:$1,0)+1),MATCH(E$1,[2]quests!$1:$1,0)-MATCH($C$1,[2]quests!$1:$1,0)+1,FALSE)</f>
        <v>日曜クエスト</v>
      </c>
      <c r="F129" s="25">
        <v>2</v>
      </c>
      <c r="G129" s="26" t="str">
        <f t="shared" si="17"/>
        <v>11008_2</v>
      </c>
      <c r="H129" s="16" t="str">
        <f ca="1">VLOOKUP($G129,OFFSET([2]stages!$A$1,0,0,COUNTA([2]stages!$A:$A),MATCH(H$1,[2]stages!$2:$2,0)-MATCH($G$1,[2]stages!$2:$2,0)+1),MATCH(H$1,[2]stages!$2:$2,0)-MATCH($G$1,[2]stages!$2:$2,0)+1,FALSE)</f>
        <v xml:space="preserve">【中級】水と雷のウサギ </v>
      </c>
      <c r="I129" s="25">
        <v>3</v>
      </c>
      <c r="J129" s="13">
        <v>45</v>
      </c>
      <c r="K129" s="13">
        <v>45</v>
      </c>
    </row>
    <row r="130" spans="1:11" ht="21" customHeight="1" x14ac:dyDescent="0.15">
      <c r="A130" s="17" t="str">
        <f t="shared" si="16"/>
        <v>11008_2-4</v>
      </c>
      <c r="B130" s="17" t="str">
        <f>IF(COUNTIF(enemy_habitats!$H:$H,A130),"OK","NG")</f>
        <v>NG</v>
      </c>
      <c r="C130" s="8">
        <v>11008</v>
      </c>
      <c r="D130" s="12" t="str">
        <f ca="1">VLOOKUP($C130,OFFSET([2]quests!$A$1,0,0,COUNTA([2]quests!$A:$A),MATCH(D$1,[2]quests!$1:$1,0)-MATCH($C$1,[2]quests!$1:$1,0)+1),MATCH(D$1,[2]quests!$1:$1,0)-MATCH($C$1,[2]quests!$1:$1,0)+1,FALSE)</f>
        <v>【日曜限定】 青と黄の素材</v>
      </c>
      <c r="E130" s="22" t="str">
        <f ca="1">VLOOKUP($C130,OFFSET([2]quests!$A$1,0,0,COUNTA([2]quests!$A:$A),MATCH(E$1,[2]quests!$1:$1,0)-MATCH($C$1,[2]quests!$1:$1,0)+1),MATCH(E$1,[2]quests!$1:$1,0)-MATCH($C$1,[2]quests!$1:$1,0)+1,FALSE)</f>
        <v>日曜クエスト</v>
      </c>
      <c r="F130" s="25">
        <v>2</v>
      </c>
      <c r="G130" s="26" t="str">
        <f t="shared" si="17"/>
        <v>11008_2</v>
      </c>
      <c r="H130" s="16" t="str">
        <f ca="1">VLOOKUP($G130,OFFSET([2]stages!$A$1,0,0,COUNTA([2]stages!$A:$A),MATCH(H$1,[2]stages!$2:$2,0)-MATCH($G$1,[2]stages!$2:$2,0)+1),MATCH(H$1,[2]stages!$2:$2,0)-MATCH($G$1,[2]stages!$2:$2,0)+1,FALSE)</f>
        <v xml:space="preserve">【中級】水と雷のウサギ </v>
      </c>
      <c r="I130" s="25">
        <v>4</v>
      </c>
      <c r="J130" s="13">
        <v>45</v>
      </c>
      <c r="K130" s="13">
        <v>45</v>
      </c>
    </row>
    <row r="131" spans="1:11" ht="21" customHeight="1" x14ac:dyDescent="0.15">
      <c r="A131" s="17" t="str">
        <f t="shared" si="16"/>
        <v>11008_2-5</v>
      </c>
      <c r="B131" s="17" t="str">
        <f>IF(COUNTIF(enemy_habitats!$H:$H,A131),"OK","NG")</f>
        <v>NG</v>
      </c>
      <c r="C131" s="8">
        <v>11008</v>
      </c>
      <c r="D131" s="12" t="str">
        <f ca="1">VLOOKUP($C131,OFFSET([2]quests!$A$1,0,0,COUNTA([2]quests!$A:$A),MATCH(D$1,[2]quests!$1:$1,0)-MATCH($C$1,[2]quests!$1:$1,0)+1),MATCH(D$1,[2]quests!$1:$1,0)-MATCH($C$1,[2]quests!$1:$1,0)+1,FALSE)</f>
        <v>【日曜限定】 青と黄の素材</v>
      </c>
      <c r="E131" s="22" t="str">
        <f ca="1">VLOOKUP($C131,OFFSET([2]quests!$A$1,0,0,COUNTA([2]quests!$A:$A),MATCH(E$1,[2]quests!$1:$1,0)-MATCH($C$1,[2]quests!$1:$1,0)+1),MATCH(E$1,[2]quests!$1:$1,0)-MATCH($C$1,[2]quests!$1:$1,0)+1,FALSE)</f>
        <v>日曜クエスト</v>
      </c>
      <c r="F131" s="25">
        <v>2</v>
      </c>
      <c r="G131" s="26" t="str">
        <f t="shared" si="17"/>
        <v>11008_2</v>
      </c>
      <c r="H131" s="16" t="str">
        <f ca="1">VLOOKUP($G131,OFFSET([2]stages!$A$1,0,0,COUNTA([2]stages!$A:$A),MATCH(H$1,[2]stages!$2:$2,0)-MATCH($G$1,[2]stages!$2:$2,0)+1),MATCH(H$1,[2]stages!$2:$2,0)-MATCH($G$1,[2]stages!$2:$2,0)+1,FALSE)</f>
        <v xml:space="preserve">【中級】水と雷のウサギ </v>
      </c>
      <c r="I131" s="25">
        <v>5</v>
      </c>
      <c r="J131" s="13">
        <v>50</v>
      </c>
      <c r="K131" s="13">
        <v>50</v>
      </c>
    </row>
    <row r="132" spans="1:11" ht="21" customHeight="1" x14ac:dyDescent="0.15">
      <c r="A132" s="17" t="str">
        <f t="shared" ref="A132:A137" si="18">G132&amp;"-"&amp;I132</f>
        <v>11008_4-1</v>
      </c>
      <c r="B132" s="17" t="str">
        <f>IF(COUNTIF(enemy_habitats!$H:$H,A132),"OK","NG")</f>
        <v>NG</v>
      </c>
      <c r="C132" s="8">
        <v>11008</v>
      </c>
      <c r="D132" s="12" t="str">
        <f ca="1">VLOOKUP($C132,OFFSET([2]quests!$A$1,0,0,COUNTA([2]quests!$A:$A),MATCH(D$1,[2]quests!$1:$1,0)-MATCH($C$1,[2]quests!$1:$1,0)+1),MATCH(D$1,[2]quests!$1:$1,0)-MATCH($C$1,[2]quests!$1:$1,0)+1,FALSE)</f>
        <v>【日曜限定】 青と黄の素材</v>
      </c>
      <c r="E132" s="22" t="str">
        <f ca="1">VLOOKUP($C132,OFFSET([2]quests!$A$1,0,0,COUNTA([2]quests!$A:$A),MATCH(E$1,[2]quests!$1:$1,0)-MATCH($C$1,[2]quests!$1:$1,0)+1),MATCH(E$1,[2]quests!$1:$1,0)-MATCH($C$1,[2]quests!$1:$1,0)+1,FALSE)</f>
        <v>日曜クエスト</v>
      </c>
      <c r="F132" s="25">
        <v>4</v>
      </c>
      <c r="G132" s="26" t="str">
        <f t="shared" ref="G132:G137" si="19">C132&amp;"_"&amp;F132</f>
        <v>11008_4</v>
      </c>
      <c r="H132" s="16" t="str">
        <f ca="1">VLOOKUP($G132,OFFSET([2]stages!$A$1,0,0,COUNTA([2]stages!$A:$A),MATCH(H$1,[2]stages!$2:$2,0)-MATCH($G$1,[2]stages!$2:$2,0)+1),MATCH(H$1,[2]stages!$2:$2,0)-MATCH($G$1,[2]stages!$2:$2,0)+1,FALSE)</f>
        <v xml:space="preserve">【超級】水と雷の帽子屋 </v>
      </c>
      <c r="I132" s="25">
        <v>1</v>
      </c>
      <c r="J132" s="13">
        <v>30</v>
      </c>
      <c r="K132" s="13">
        <v>45</v>
      </c>
    </row>
    <row r="133" spans="1:11" ht="21" customHeight="1" x14ac:dyDescent="0.15">
      <c r="A133" s="17" t="str">
        <f t="shared" si="18"/>
        <v>11008_4-2</v>
      </c>
      <c r="B133" s="17" t="str">
        <f>IF(COUNTIF(enemy_habitats!$H:$H,A133),"OK","NG")</f>
        <v>NG</v>
      </c>
      <c r="C133" s="8">
        <v>11008</v>
      </c>
      <c r="D133" s="12" t="str">
        <f ca="1">VLOOKUP($C133,OFFSET([2]quests!$A$1,0,0,COUNTA([2]quests!$A:$A),MATCH(D$1,[2]quests!$1:$1,0)-MATCH($C$1,[2]quests!$1:$1,0)+1),MATCH(D$1,[2]quests!$1:$1,0)-MATCH($C$1,[2]quests!$1:$1,0)+1,FALSE)</f>
        <v>【日曜限定】 青と黄の素材</v>
      </c>
      <c r="E133" s="22" t="str">
        <f ca="1">VLOOKUP($C133,OFFSET([2]quests!$A$1,0,0,COUNTA([2]quests!$A:$A),MATCH(E$1,[2]quests!$1:$1,0)-MATCH($C$1,[2]quests!$1:$1,0)+1),MATCH(E$1,[2]quests!$1:$1,0)-MATCH($C$1,[2]quests!$1:$1,0)+1,FALSE)</f>
        <v>日曜クエスト</v>
      </c>
      <c r="F133" s="25">
        <v>4</v>
      </c>
      <c r="G133" s="26" t="str">
        <f t="shared" si="19"/>
        <v>11008_4</v>
      </c>
      <c r="H133" s="16" t="str">
        <f ca="1">VLOOKUP($G133,OFFSET([2]stages!$A$1,0,0,COUNTA([2]stages!$A:$A),MATCH(H$1,[2]stages!$2:$2,0)-MATCH($G$1,[2]stages!$2:$2,0)+1),MATCH(H$1,[2]stages!$2:$2,0)-MATCH($G$1,[2]stages!$2:$2,0)+1,FALSE)</f>
        <v xml:space="preserve">【超級】水と雷の帽子屋 </v>
      </c>
      <c r="I133" s="25">
        <v>2</v>
      </c>
      <c r="J133" s="13">
        <v>45</v>
      </c>
      <c r="K133" s="13">
        <v>60</v>
      </c>
    </row>
    <row r="134" spans="1:11" ht="21" customHeight="1" x14ac:dyDescent="0.15">
      <c r="A134" s="17" t="str">
        <f t="shared" si="18"/>
        <v>11008_4-3</v>
      </c>
      <c r="B134" s="17" t="str">
        <f>IF(COUNTIF(enemy_habitats!$H:$H,A134),"OK","NG")</f>
        <v>NG</v>
      </c>
      <c r="C134" s="8">
        <v>11008</v>
      </c>
      <c r="D134" s="12" t="str">
        <f ca="1">VLOOKUP($C134,OFFSET([2]quests!$A$1,0,0,COUNTA([2]quests!$A:$A),MATCH(D$1,[2]quests!$1:$1,0)-MATCH($C$1,[2]quests!$1:$1,0)+1),MATCH(D$1,[2]quests!$1:$1,0)-MATCH($C$1,[2]quests!$1:$1,0)+1,FALSE)</f>
        <v>【日曜限定】 青と黄の素材</v>
      </c>
      <c r="E134" s="22" t="str">
        <f ca="1">VLOOKUP($C134,OFFSET([2]quests!$A$1,0,0,COUNTA([2]quests!$A:$A),MATCH(E$1,[2]quests!$1:$1,0)-MATCH($C$1,[2]quests!$1:$1,0)+1),MATCH(E$1,[2]quests!$1:$1,0)-MATCH($C$1,[2]quests!$1:$1,0)+1,FALSE)</f>
        <v>日曜クエスト</v>
      </c>
      <c r="F134" s="25">
        <v>4</v>
      </c>
      <c r="G134" s="26" t="str">
        <f t="shared" si="19"/>
        <v>11008_4</v>
      </c>
      <c r="H134" s="16" t="str">
        <f ca="1">VLOOKUP($G134,OFFSET([2]stages!$A$1,0,0,COUNTA([2]stages!$A:$A),MATCH(H$1,[2]stages!$2:$2,0)-MATCH($G$1,[2]stages!$2:$2,0)+1),MATCH(H$1,[2]stages!$2:$2,0)-MATCH($G$1,[2]stages!$2:$2,0)+1,FALSE)</f>
        <v xml:space="preserve">【超級】水と雷の帽子屋 </v>
      </c>
      <c r="I134" s="25">
        <v>3</v>
      </c>
      <c r="J134" s="13">
        <v>50</v>
      </c>
      <c r="K134" s="13">
        <v>60</v>
      </c>
    </row>
    <row r="135" spans="1:11" ht="21" customHeight="1" x14ac:dyDescent="0.15">
      <c r="A135" s="17" t="str">
        <f t="shared" si="18"/>
        <v>11008_4-4</v>
      </c>
      <c r="B135" s="17" t="str">
        <f>IF(COUNTIF(enemy_habitats!$H:$H,A135),"OK","NG")</f>
        <v>NG</v>
      </c>
      <c r="C135" s="8">
        <v>11008</v>
      </c>
      <c r="D135" s="12" t="str">
        <f ca="1">VLOOKUP($C135,OFFSET([2]quests!$A$1,0,0,COUNTA([2]quests!$A:$A),MATCH(D$1,[2]quests!$1:$1,0)-MATCH($C$1,[2]quests!$1:$1,0)+1),MATCH(D$1,[2]quests!$1:$1,0)-MATCH($C$1,[2]quests!$1:$1,0)+1,FALSE)</f>
        <v>【日曜限定】 青と黄の素材</v>
      </c>
      <c r="E135" s="22" t="str">
        <f ca="1">VLOOKUP($C135,OFFSET([2]quests!$A$1,0,0,COUNTA([2]quests!$A:$A),MATCH(E$1,[2]quests!$1:$1,0)-MATCH($C$1,[2]quests!$1:$1,0)+1),MATCH(E$1,[2]quests!$1:$1,0)-MATCH($C$1,[2]quests!$1:$1,0)+1,FALSE)</f>
        <v>日曜クエスト</v>
      </c>
      <c r="F135" s="25">
        <v>4</v>
      </c>
      <c r="G135" s="26" t="str">
        <f t="shared" si="19"/>
        <v>11008_4</v>
      </c>
      <c r="H135" s="16" t="str">
        <f ca="1">VLOOKUP($G135,OFFSET([2]stages!$A$1,0,0,COUNTA([2]stages!$A:$A),MATCH(H$1,[2]stages!$2:$2,0)-MATCH($G$1,[2]stages!$2:$2,0)+1),MATCH(H$1,[2]stages!$2:$2,0)-MATCH($G$1,[2]stages!$2:$2,0)+1,FALSE)</f>
        <v xml:space="preserve">【超級】水と雷の帽子屋 </v>
      </c>
      <c r="I135" s="25">
        <v>4</v>
      </c>
      <c r="J135" s="13">
        <v>45</v>
      </c>
      <c r="K135" s="13">
        <v>60</v>
      </c>
    </row>
    <row r="136" spans="1:11" ht="21" customHeight="1" x14ac:dyDescent="0.15">
      <c r="A136" s="17" t="str">
        <f t="shared" si="18"/>
        <v>11008_4-5</v>
      </c>
      <c r="B136" s="17" t="str">
        <f>IF(COUNTIF(enemy_habitats!$H:$H,A136),"OK","NG")</f>
        <v>NG</v>
      </c>
      <c r="C136" s="8">
        <v>11008</v>
      </c>
      <c r="D136" s="12" t="str">
        <f ca="1">VLOOKUP($C136,OFFSET([2]quests!$A$1,0,0,COUNTA([2]quests!$A:$A),MATCH(D$1,[2]quests!$1:$1,0)-MATCH($C$1,[2]quests!$1:$1,0)+1),MATCH(D$1,[2]quests!$1:$1,0)-MATCH($C$1,[2]quests!$1:$1,0)+1,FALSE)</f>
        <v>【日曜限定】 青と黄の素材</v>
      </c>
      <c r="E136" s="22" t="str">
        <f ca="1">VLOOKUP($C136,OFFSET([2]quests!$A$1,0,0,COUNTA([2]quests!$A:$A),MATCH(E$1,[2]quests!$1:$1,0)-MATCH($C$1,[2]quests!$1:$1,0)+1),MATCH(E$1,[2]quests!$1:$1,0)-MATCH($C$1,[2]quests!$1:$1,0)+1,FALSE)</f>
        <v>日曜クエスト</v>
      </c>
      <c r="F136" s="25">
        <v>4</v>
      </c>
      <c r="G136" s="26" t="str">
        <f t="shared" si="19"/>
        <v>11008_4</v>
      </c>
      <c r="H136" s="16" t="str">
        <f ca="1">VLOOKUP($G136,OFFSET([2]stages!$A$1,0,0,COUNTA([2]stages!$A:$A),MATCH(H$1,[2]stages!$2:$2,0)-MATCH($G$1,[2]stages!$2:$2,0)+1),MATCH(H$1,[2]stages!$2:$2,0)-MATCH($G$1,[2]stages!$2:$2,0)+1,FALSE)</f>
        <v xml:space="preserve">【超級】水と雷の帽子屋 </v>
      </c>
      <c r="I136" s="25">
        <v>5</v>
      </c>
      <c r="J136" s="13">
        <v>60</v>
      </c>
      <c r="K136" s="13">
        <v>60</v>
      </c>
    </row>
    <row r="137" spans="1:11" ht="21" customHeight="1" x14ac:dyDescent="0.15">
      <c r="A137" s="17" t="str">
        <f t="shared" si="18"/>
        <v>11008_4-6</v>
      </c>
      <c r="B137" s="17" t="str">
        <f>IF(COUNTIF(enemy_habitats!$H:$H,A137),"OK","NG")</f>
        <v>NG</v>
      </c>
      <c r="C137" s="8">
        <v>11008</v>
      </c>
      <c r="D137" s="12" t="str">
        <f ca="1">VLOOKUP($C137,OFFSET([2]quests!$A$1,0,0,COUNTA([2]quests!$A:$A),MATCH(D$1,[2]quests!$1:$1,0)-MATCH($C$1,[2]quests!$1:$1,0)+1),MATCH(D$1,[2]quests!$1:$1,0)-MATCH($C$1,[2]quests!$1:$1,0)+1,FALSE)</f>
        <v>【日曜限定】 青と黄の素材</v>
      </c>
      <c r="E137" s="22" t="str">
        <f ca="1">VLOOKUP($C137,OFFSET([2]quests!$A$1,0,0,COUNTA([2]quests!$A:$A),MATCH(E$1,[2]quests!$1:$1,0)-MATCH($C$1,[2]quests!$1:$1,0)+1),MATCH(E$1,[2]quests!$1:$1,0)-MATCH($C$1,[2]quests!$1:$1,0)+1,FALSE)</f>
        <v>日曜クエスト</v>
      </c>
      <c r="F137" s="25">
        <v>4</v>
      </c>
      <c r="G137" s="26" t="str">
        <f t="shared" si="19"/>
        <v>11008_4</v>
      </c>
      <c r="H137" s="16" t="str">
        <f ca="1">VLOOKUP($G137,OFFSET([2]stages!$A$1,0,0,COUNTA([2]stages!$A:$A),MATCH(H$1,[2]stages!$2:$2,0)-MATCH($G$1,[2]stages!$2:$2,0)+1),MATCH(H$1,[2]stages!$2:$2,0)-MATCH($G$1,[2]stages!$2:$2,0)+1,FALSE)</f>
        <v xml:space="preserve">【超級】水と雷の帽子屋 </v>
      </c>
      <c r="I137" s="25">
        <v>6</v>
      </c>
      <c r="J137" s="13">
        <v>60</v>
      </c>
      <c r="K137" s="13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318"/>
  <sheetViews>
    <sheetView showGridLines="0" zoomScale="90" zoomScaleNormal="90" zoomScalePageLayoutView="90" workbookViewId="0">
      <pane xSplit="17" ySplit="1" topLeftCell="R291" activePane="bottomRight" state="frozen"/>
      <selection pane="topRight" activeCell="N1" sqref="N1"/>
      <selection pane="bottomLeft" activeCell="A2" sqref="A2"/>
      <selection pane="bottomRight" activeCell="Q309" sqref="Q309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5" width="15.6640625" style="4" hidden="1" customWidth="1" outlineLevel="1"/>
    <col min="6" max="6" width="27.5" style="4" hidden="1" customWidth="1" outlineLevel="1"/>
    <col min="7" max="7" width="11.83203125" style="4" bestFit="1" customWidth="1" collapsed="1"/>
    <col min="8" max="10" width="11.83203125" style="4" hidden="1" customWidth="1" outlineLevel="1"/>
    <col min="11" max="12" width="15.33203125" style="10" bestFit="1" customWidth="1"/>
    <col min="13" max="13" width="17.6640625" style="4" customWidth="1" outlineLevel="1"/>
    <col min="14" max="14" width="10.33203125" style="4" customWidth="1" outlineLevel="1"/>
    <col min="15" max="15" width="13.6640625" style="4" customWidth="1" outlineLevel="1"/>
    <col min="16" max="16" width="22.83203125" style="4" customWidth="1" outlineLevel="1"/>
    <col min="17" max="17" width="11.6640625" style="4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40" ht="21" customHeight="1" x14ac:dyDescent="0.15">
      <c r="A1" s="17" t="s">
        <v>29</v>
      </c>
      <c r="B1" s="1" t="s">
        <v>0</v>
      </c>
      <c r="C1" s="1" t="s">
        <v>1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35</v>
      </c>
      <c r="I1" s="41" t="s">
        <v>14</v>
      </c>
      <c r="J1" s="41" t="s">
        <v>15</v>
      </c>
      <c r="K1" s="1" t="s">
        <v>198</v>
      </c>
      <c r="L1" s="1" t="s">
        <v>2</v>
      </c>
      <c r="M1" s="19" t="s">
        <v>21</v>
      </c>
      <c r="N1" s="16" t="s">
        <v>24</v>
      </c>
      <c r="O1" s="16" t="s">
        <v>23</v>
      </c>
      <c r="P1" s="21" t="s">
        <v>26</v>
      </c>
      <c r="Q1" s="2" t="s">
        <v>25</v>
      </c>
      <c r="R1" s="1" t="s">
        <v>3</v>
      </c>
      <c r="S1" s="38" t="s">
        <v>49</v>
      </c>
      <c r="T1" s="38" t="s">
        <v>50</v>
      </c>
      <c r="U1" s="38" t="s">
        <v>51</v>
      </c>
      <c r="V1" s="16" t="s">
        <v>31</v>
      </c>
      <c r="W1" s="1" t="s">
        <v>4</v>
      </c>
      <c r="X1" s="1" t="s">
        <v>5</v>
      </c>
      <c r="Y1" s="1" t="s">
        <v>47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27</v>
      </c>
      <c r="AF1" s="3" t="s">
        <v>10</v>
      </c>
      <c r="AG1" s="1" t="s">
        <v>11</v>
      </c>
      <c r="AH1" s="1" t="s">
        <v>12</v>
      </c>
      <c r="AI1" s="1" t="s">
        <v>38</v>
      </c>
      <c r="AJ1" s="1" t="s">
        <v>40</v>
      </c>
      <c r="AK1" s="1" t="s">
        <v>42</v>
      </c>
      <c r="AL1" s="1" t="s">
        <v>44</v>
      </c>
      <c r="AM1" s="1" t="s">
        <v>46</v>
      </c>
      <c r="AN1" s="1" t="s">
        <v>196</v>
      </c>
    </row>
    <row r="2" spans="1:40" ht="21" customHeight="1" x14ac:dyDescent="0.15">
      <c r="A2" s="17" t="str">
        <f t="shared" ref="A2:A20" ca="1" si="0">B2&amp;"_"&amp;C2&amp;"-"&amp;G2&amp;"/"&amp;L2&amp;"&lt;lv"&amp;R2&amp;"&gt;s"&amp;AA2</f>
        <v>11001_1-1/113&lt;lv3&gt;s1</v>
      </c>
      <c r="B2" s="8">
        <v>11001</v>
      </c>
      <c r="C2" s="25">
        <v>1</v>
      </c>
      <c r="D2" s="2" t="str">
        <f t="shared" ref="D2:D20" si="1">B2&amp;"_"&amp;C2</f>
        <v>11001_1</v>
      </c>
      <c r="E2" s="5" t="str">
        <f ca="1">VLOOKUP($B2,OFFSET([2]quests!$A$1,0,0,COUNTA([2]quests!$A:$A),MATCH(E$1,[2]quests!$1:$1,0)-MATCH($B$1,[2]quests!$1:$1,0)+1),MATCH(E$1,[2]quests!$1:$1,0)-MATCH($B$1,[2]quests!$1:$1,0)+1,FALSE)</f>
        <v>【月曜限定】 黄の素材</v>
      </c>
      <c r="F2" s="5" t="str">
        <f ca="1">VLOOKUP($D2,OFFSET([2]stages!$A$1,0,0,COUNTA([2]stages!$A:$A),MATCH(F$1,[2]stages!$2:$2,0)-MATCH($D$1,[2]stages!$2:$2,0)+1),MATCH(F$1,[2]stages!$2:$2,0)-MATCH($D$1,[2]stages!$2:$2,0)+1,FALSE)</f>
        <v>【初級】雷のチェシャ猫</v>
      </c>
      <c r="G2" s="25">
        <v>1</v>
      </c>
      <c r="H2" s="16" t="str">
        <f t="shared" ref="H2" si="2">B2&amp;"_"&amp;C2&amp;"-"&amp;G2</f>
        <v>11001_1-1</v>
      </c>
      <c r="I2" s="5">
        <f ca="1">VLOOKUP($H2,OFFSET(floors!$A$1,0,0,COUNTA(floors!$A:$A),MATCH(I$1,floors!$1:$1,0)-MATCH($H$1,floors!$1:$1,0)+1),MATCH(I$1,floors!$1:$1,0)-MATCH($H$1,floors!$1:$1,0)+1,FALSE)</f>
        <v>30</v>
      </c>
      <c r="J2" s="5">
        <f ca="1">VLOOKUP($H2,OFFSET(floors!$A$1,0,0,COUNTA(floors!$A:$A),MATCH(J$1,floors!$1:$1,0)-MATCH($H$1,floors!$1:$1,0)+1),MATCH(J$1,floors!$1:$1,0)-MATCH($H$1,floors!$1:$1,0)+1,FALSE)</f>
        <v>45</v>
      </c>
      <c r="K2" s="24" t="s">
        <v>197</v>
      </c>
      <c r="L2" s="24">
        <v>113</v>
      </c>
      <c r="M2" s="20" t="str">
        <f ca="1">VLOOKUP($L2,OFFSET([3]enemies!$A$1,0,0,COUNTA([3]enemies!$A:$A),MATCH(M$1,[3]enemies!$1:$1,0)-MATCH($L$1,[3]enemies!$1:$1,0)+1),MATCH(M$1,[3]enemies!$1:$1,0)-MATCH($L$1,[3]enemies!$1:$1,0)+1,FALSE)</f>
        <v>イエローチェシャ</v>
      </c>
      <c r="N2" s="20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22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15</v>
      </c>
      <c r="R2" s="6">
        <v>3</v>
      </c>
      <c r="S2" s="39">
        <v>1</v>
      </c>
      <c r="T2" s="39">
        <v>1</v>
      </c>
      <c r="U2" s="6">
        <v>0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0</v>
      </c>
      <c r="Y2" s="7">
        <v>100</v>
      </c>
      <c r="Z2" s="7">
        <v>0</v>
      </c>
      <c r="AA2" s="20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v>113</v>
      </c>
      <c r="AC2" s="5" t="str">
        <f ca="1">IFERROR(VLOOKUP($AB2,OFFSET([4]characters!$A$1,0,0,COUNTA([4]characters!$A:$A),MATCH(AC$1,[4]characters!$1:$1,0)-MATCH("character_id",[4]characters!$1:$1,0)+1),MATCH(AC$1,[4]characters!$1:$1,0)-MATCH("character_id",[4]characters!$1:$1,0)+1,FALSE),"")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2" s="5">
        <f ca="1">IFERROR(VLOOKUP($AB2,OFFSET([4]characters!$A$1,0,0,COUNTA([4]characters!$A:$A),MATCH(AD$1,[4]characters!$1:$1,0)-MATCH("character_id",[4]characters!$1:$1,0)+1),MATCH(AD$1,[4]characters!$1:$1,0)-MATCH("character_id",[4]characters!$1:$1,0)+1,FALSE),"")</f>
        <v>2</v>
      </c>
      <c r="AE2" s="5" t="str">
        <f ca="1">IFERROR(VLOOKUP($AB2,OFFSET([4]characters!$A$1,0,0,COUNTA([4]characters!$A:$A),MATCH(AE$1,[4]characters!$1:$1,0)-MATCH("character_id",[4]characters!$1:$1,0)+1),MATCH(AE$1,[4]characters!$1:$1,0)-MATCH("character_id",[4]characters!$1:$1,0)+1,FALSE),"")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" s="8">
        <v>1</v>
      </c>
      <c r="AG2" s="27">
        <f t="shared" ref="AG2:AG20" ca="1" si="3">AD2</f>
        <v>2</v>
      </c>
      <c r="AH2" s="9">
        <v>40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  <c r="AN2" s="8">
        <v>1</v>
      </c>
    </row>
    <row r="3" spans="1:40" ht="21" customHeight="1" x14ac:dyDescent="0.15">
      <c r="A3" s="17" t="str">
        <f t="shared" ca="1" si="0"/>
        <v>11001_1-2/113&lt;lv3&gt;s1</v>
      </c>
      <c r="B3" s="8">
        <v>11001</v>
      </c>
      <c r="C3" s="25">
        <v>1</v>
      </c>
      <c r="D3" s="2" t="str">
        <f t="shared" si="1"/>
        <v>11001_1</v>
      </c>
      <c r="E3" s="5" t="str">
        <f ca="1">VLOOKUP($B3,OFFSET([2]quests!$A$1,0,0,COUNTA([2]quests!$A:$A),MATCH(E$1,[2]quests!$1:$1,0)-MATCH($B$1,[2]quests!$1:$1,0)+1),MATCH(E$1,[2]quests!$1:$1,0)-MATCH($B$1,[2]quests!$1:$1,0)+1,FALSE)</f>
        <v>【月曜限定】 黄の素材</v>
      </c>
      <c r="F3" s="5" t="str">
        <f ca="1">VLOOKUP($D3,OFFSET([2]stages!$A$1,0,0,COUNTA([2]stages!$A:$A),MATCH(F$1,[2]stages!$2:$2,0)-MATCH($D$1,[2]stages!$2:$2,0)+1),MATCH(F$1,[2]stages!$2:$2,0)-MATCH($D$1,[2]stages!$2:$2,0)+1,FALSE)</f>
        <v>【初級】雷のチェシャ猫</v>
      </c>
      <c r="G3" s="25">
        <v>2</v>
      </c>
      <c r="H3" s="16" t="str">
        <f t="shared" ref="H3:H66" si="4">B3&amp;"_"&amp;C3&amp;"-"&amp;G3</f>
        <v>11001_1-2</v>
      </c>
      <c r="I3" s="5">
        <f ca="1">VLOOKUP($H3,OFFSET(floors!$A$1,0,0,COUNTA(floors!$A:$A),MATCH(I$1,floors!$1:$1,0)-MATCH($H$1,floors!$1:$1,0)+1),MATCH(I$1,floors!$1:$1,0)-MATCH($H$1,floors!$1:$1,0)+1,FALSE)</f>
        <v>30</v>
      </c>
      <c r="J3" s="5">
        <f ca="1">VLOOKUP($H3,OFFSET(floors!$A$1,0,0,COUNTA(floors!$A:$A),MATCH(J$1,floors!$1:$1,0)-MATCH($H$1,floors!$1:$1,0)+1),MATCH(J$1,floors!$1:$1,0)-MATCH($H$1,floors!$1:$1,0)+1,FALSE)</f>
        <v>45</v>
      </c>
      <c r="K3" s="24" t="s">
        <v>197</v>
      </c>
      <c r="L3" s="24">
        <v>113</v>
      </c>
      <c r="M3" s="20" t="str">
        <f ca="1">VLOOKUP($L3,OFFSET([3]enemies!$A$1,0,0,COUNTA([3]enemies!$A:$A),MATCH(M$1,[3]enemies!$1:$1,0)-MATCH($L$1,[3]enemies!$1:$1,0)+1),MATCH(M$1,[3]enemies!$1:$1,0)-MATCH($L$1,[3]enemies!$1:$1,0)+1,FALSE)</f>
        <v>イエローチェシャ</v>
      </c>
      <c r="N3" s="20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22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2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20">
        <f ca="1">VLOOKUP($L3,OFFSET([3]enemies!$A$1,0,0,COUNTA([3]enemies!$A:$A),MATCH(Q$1,[3]enemies!$1:$1,0)-MATCH($L$1,[3]enemies!$1:$1,0)+1),MATCH(Q$1,[3]enemies!$1:$1,0)-MATCH($L$1,[3]enemies!$1:$1,0)+1,FALSE)</f>
        <v>15</v>
      </c>
      <c r="R3" s="6">
        <v>3</v>
      </c>
      <c r="S3" s="39">
        <v>1</v>
      </c>
      <c r="T3" s="39">
        <v>1</v>
      </c>
      <c r="U3" s="6">
        <v>0</v>
      </c>
      <c r="V3" s="5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5">
        <f ca="1">VLOOKUP($L3,OFFSET([3]enemies!$A$1,0,0,COUNTA([3]enemies!$A:$A),MATCH(W$1,[3]enemies!$1:$1,0)-MATCH($L$1,[3]enemies!$1:$1,0)+1),MATCH(W$1,[3]enemies!$1:$1,0)-MATCH($L$1,[3]enemies!$1:$1,0)+1,FALSE)</f>
        <v>0</v>
      </c>
      <c r="X3" s="7">
        <v>0</v>
      </c>
      <c r="Y3" s="7">
        <v>100</v>
      </c>
      <c r="Z3" s="7">
        <v>0</v>
      </c>
      <c r="AA3" s="20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v>113</v>
      </c>
      <c r="AC3" s="5" t="str">
        <f ca="1">IFERROR(VLOOKUP($AB3,OFFSET([4]characters!$A$1,0,0,COUNTA([4]characters!$A:$A),MATCH(AC$1,[4]characters!$1:$1,0)-MATCH("character_id",[4]characters!$1:$1,0)+1),MATCH(AC$1,[4]characters!$1:$1,0)-MATCH("character_id",[4]characters!$1:$1,0)+1,FALSE),"")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3" s="5">
        <f ca="1">IFERROR(VLOOKUP($AB3,OFFSET([4]characters!$A$1,0,0,COUNTA([4]characters!$A:$A),MATCH(AD$1,[4]characters!$1:$1,0)-MATCH("character_id",[4]characters!$1:$1,0)+1),MATCH(AD$1,[4]characters!$1:$1,0)-MATCH("character_id",[4]characters!$1:$1,0)+1,FALSE),"")</f>
        <v>2</v>
      </c>
      <c r="AE3" s="5" t="str">
        <f ca="1">IFERROR(VLOOKUP($AB3,OFFSET([4]characters!$A$1,0,0,COUNTA([4]characters!$A:$A),MATCH(AE$1,[4]characters!$1:$1,0)-MATCH("character_id",[4]characters!$1:$1,0)+1),MATCH(AE$1,[4]characters!$1:$1,0)-MATCH("character_id",[4]characters!$1:$1,0)+1,FALSE),"")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" s="8">
        <v>1</v>
      </c>
      <c r="AG3" s="27">
        <f t="shared" ca="1" si="3"/>
        <v>2</v>
      </c>
      <c r="AH3" s="9">
        <v>40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  <c r="AN3" s="8">
        <v>1</v>
      </c>
    </row>
    <row r="4" spans="1:40" ht="21" customHeight="1" x14ac:dyDescent="0.15">
      <c r="A4" s="17" t="str">
        <f t="shared" ca="1" si="0"/>
        <v>11001_1-3/113&lt;lv3&gt;s1</v>
      </c>
      <c r="B4" s="8">
        <v>11001</v>
      </c>
      <c r="C4" s="25">
        <v>1</v>
      </c>
      <c r="D4" s="2" t="str">
        <f t="shared" si="1"/>
        <v>11001_1</v>
      </c>
      <c r="E4" s="5" t="str">
        <f ca="1">VLOOKUP($B4,OFFSET([2]quests!$A$1,0,0,COUNTA([2]quests!$A:$A),MATCH(E$1,[2]quests!$1:$1,0)-MATCH($B$1,[2]quests!$1:$1,0)+1),MATCH(E$1,[2]quests!$1:$1,0)-MATCH($B$1,[2]quests!$1:$1,0)+1,FALSE)</f>
        <v>【月曜限定】 黄の素材</v>
      </c>
      <c r="F4" s="5" t="str">
        <f ca="1">VLOOKUP($D4,OFFSET([2]stages!$A$1,0,0,COUNTA([2]stages!$A:$A),MATCH(F$1,[2]stages!$2:$2,0)-MATCH($D$1,[2]stages!$2:$2,0)+1),MATCH(F$1,[2]stages!$2:$2,0)-MATCH($D$1,[2]stages!$2:$2,0)+1,FALSE)</f>
        <v>【初級】雷のチェシャ猫</v>
      </c>
      <c r="G4" s="25">
        <v>3</v>
      </c>
      <c r="H4" s="16" t="str">
        <f t="shared" si="4"/>
        <v>11001_1-3</v>
      </c>
      <c r="I4" s="5">
        <f ca="1">VLOOKUP($H4,OFFSET(floors!$A$1,0,0,COUNTA(floors!$A:$A),MATCH(I$1,floors!$1:$1,0)-MATCH($H$1,floors!$1:$1,0)+1),MATCH(I$1,floors!$1:$1,0)-MATCH($H$1,floors!$1:$1,0)+1,FALSE)</f>
        <v>45</v>
      </c>
      <c r="J4" s="5">
        <f ca="1">VLOOKUP($H4,OFFSET(floors!$A$1,0,0,COUNTA(floors!$A:$A),MATCH(J$1,floors!$1:$1,0)-MATCH($H$1,floors!$1:$1,0)+1),MATCH(J$1,floors!$1:$1,0)-MATCH($H$1,floors!$1:$1,0)+1,FALSE)</f>
        <v>45</v>
      </c>
      <c r="K4" s="24" t="s">
        <v>197</v>
      </c>
      <c r="L4" s="24">
        <v>113</v>
      </c>
      <c r="M4" s="20" t="str">
        <f ca="1">VLOOKUP($L4,OFFSET([3]enemies!$A$1,0,0,COUNTA([3]enemies!$A:$A),MATCH(M$1,[3]enemies!$1:$1,0)-MATCH($L$1,[3]enemies!$1:$1,0)+1),MATCH(M$1,[3]enemies!$1:$1,0)-MATCH($L$1,[3]enemies!$1:$1,0)+1,FALSE)</f>
        <v>イエローチェシャ</v>
      </c>
      <c r="N4" s="20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22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20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20">
        <f ca="1">VLOOKUP($L4,OFFSET([3]enemies!$A$1,0,0,COUNTA([3]enemies!$A:$A),MATCH(Q$1,[3]enemies!$1:$1,0)-MATCH($L$1,[3]enemies!$1:$1,0)+1),MATCH(Q$1,[3]enemies!$1:$1,0)-MATCH($L$1,[3]enemies!$1:$1,0)+1,FALSE)</f>
        <v>15</v>
      </c>
      <c r="R4" s="6">
        <v>3</v>
      </c>
      <c r="S4" s="39">
        <v>1</v>
      </c>
      <c r="T4" s="39">
        <v>1</v>
      </c>
      <c r="U4" s="6">
        <v>0</v>
      </c>
      <c r="V4" s="5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5">
        <f ca="1">VLOOKUP($L4,OFFSET([3]enemies!$A$1,0,0,COUNTA([3]enemies!$A:$A),MATCH(W$1,[3]enemies!$1:$1,0)-MATCH($L$1,[3]enemies!$1:$1,0)+1),MATCH(W$1,[3]enemies!$1:$1,0)-MATCH($L$1,[3]enemies!$1:$1,0)+1,FALSE)</f>
        <v>0</v>
      </c>
      <c r="X4" s="7">
        <v>0</v>
      </c>
      <c r="Y4" s="7">
        <v>100</v>
      </c>
      <c r="Z4" s="7">
        <v>0</v>
      </c>
      <c r="AA4" s="20">
        <f ca="1">VLOOKUP($L4,OFFSET([3]enemies!$A$1,0,0,COUNTA([3]enemies!$A:$A),MATCH(AA$1,[3]enemies!$1:$1,0)-MATCH($L$1,[3]enemies!$1:$1,0)+1),MATCH(AA$1,[3]enemies!$1:$1,0)-MATCH($L$1,[3]enemies!$1:$1,0)+1,FALSE)</f>
        <v>1</v>
      </c>
      <c r="AB4" s="24">
        <v>113</v>
      </c>
      <c r="AC4" s="5" t="str">
        <f ca="1">IFERROR(VLOOKUP($AB4,OFFSET([4]characters!$A$1,0,0,COUNTA([4]characters!$A:$A),MATCH(AC$1,[4]characters!$1:$1,0)-MATCH("character_id",[4]characters!$1:$1,0)+1),MATCH(AC$1,[4]characters!$1:$1,0)-MATCH("character_id",[4]characters!$1:$1,0)+1,FALSE),"")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4" s="5">
        <f ca="1">IFERROR(VLOOKUP($AB4,OFFSET([4]characters!$A$1,0,0,COUNTA([4]characters!$A:$A),MATCH(AD$1,[4]characters!$1:$1,0)-MATCH("character_id",[4]characters!$1:$1,0)+1),MATCH(AD$1,[4]characters!$1:$1,0)-MATCH("character_id",[4]characters!$1:$1,0)+1,FALSE),"")</f>
        <v>2</v>
      </c>
      <c r="AE4" s="5" t="str">
        <f ca="1">IFERROR(VLOOKUP($AB4,OFFSET([4]characters!$A$1,0,0,COUNTA([4]characters!$A:$A),MATCH(AE$1,[4]characters!$1:$1,0)-MATCH("character_id",[4]characters!$1:$1,0)+1),MATCH(AE$1,[4]characters!$1:$1,0)-MATCH("character_id",[4]characters!$1:$1,0)+1,FALSE),"")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" s="8">
        <v>1</v>
      </c>
      <c r="AG4" s="27">
        <f t="shared" ca="1" si="3"/>
        <v>2</v>
      </c>
      <c r="AH4" s="9">
        <v>40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  <c r="AN4" s="8">
        <v>1</v>
      </c>
    </row>
    <row r="5" spans="1:40" ht="21" customHeight="1" x14ac:dyDescent="0.15">
      <c r="A5" s="17" t="str">
        <f t="shared" ca="1" si="0"/>
        <v>11001_1-3/114&lt;lv3&gt;s2</v>
      </c>
      <c r="B5" s="8">
        <v>11001</v>
      </c>
      <c r="C5" s="25">
        <v>1</v>
      </c>
      <c r="D5" s="2" t="str">
        <f t="shared" si="1"/>
        <v>11001_1</v>
      </c>
      <c r="E5" s="5" t="str">
        <f ca="1">VLOOKUP($B5,OFFSET([2]quests!$A$1,0,0,COUNTA([2]quests!$A:$A),MATCH(E$1,[2]quests!$1:$1,0)-MATCH($B$1,[2]quests!$1:$1,0)+1),MATCH(E$1,[2]quests!$1:$1,0)-MATCH($B$1,[2]quests!$1:$1,0)+1,FALSE)</f>
        <v>【月曜限定】 黄の素材</v>
      </c>
      <c r="F5" s="5" t="str">
        <f ca="1">VLOOKUP($D5,OFFSET([2]stages!$A$1,0,0,COUNTA([2]stages!$A:$A),MATCH(F$1,[2]stages!$2:$2,0)-MATCH($D$1,[2]stages!$2:$2,0)+1),MATCH(F$1,[2]stages!$2:$2,0)-MATCH($D$1,[2]stages!$2:$2,0)+1,FALSE)</f>
        <v>【初級】雷のチェシャ猫</v>
      </c>
      <c r="G5" s="25">
        <v>3</v>
      </c>
      <c r="H5" s="16" t="str">
        <f t="shared" si="4"/>
        <v>11001_1-3</v>
      </c>
      <c r="I5" s="5">
        <f ca="1">VLOOKUP($H5,OFFSET(floors!$A$1,0,0,COUNTA(floors!$A:$A),MATCH(I$1,floors!$1:$1,0)-MATCH($H$1,floors!$1:$1,0)+1),MATCH(I$1,floors!$1:$1,0)-MATCH($H$1,floors!$1:$1,0)+1,FALSE)</f>
        <v>45</v>
      </c>
      <c r="J5" s="5">
        <f ca="1">VLOOKUP($H5,OFFSET(floors!$A$1,0,0,COUNTA(floors!$A:$A),MATCH(J$1,floors!$1:$1,0)-MATCH($H$1,floors!$1:$1,0)+1),MATCH(J$1,floors!$1:$1,0)-MATCH($H$1,floors!$1:$1,0)+1,FALSE)</f>
        <v>45</v>
      </c>
      <c r="K5" s="24" t="s">
        <v>197</v>
      </c>
      <c r="L5" s="24">
        <v>114</v>
      </c>
      <c r="M5" s="20" t="str">
        <f ca="1">VLOOKUP($L5,OFFSET([3]enemies!$A$1,0,0,COUNTA([3]enemies!$A:$A),MATCH(M$1,[3]enemies!$1:$1,0)-MATCH($L$1,[3]enemies!$1:$1,0)+1),MATCH(M$1,[3]enemies!$1:$1,0)-MATCH($L$1,[3]enemies!$1:$1,0)+1,FALSE)</f>
        <v>イエローラビット</v>
      </c>
      <c r="N5" s="20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22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15</v>
      </c>
      <c r="R5" s="6">
        <v>3</v>
      </c>
      <c r="S5" s="39">
        <v>1.8</v>
      </c>
      <c r="T5" s="39">
        <v>1</v>
      </c>
      <c r="U5" s="6">
        <v>0</v>
      </c>
      <c r="V5" s="5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5">
        <f ca="1">VLOOKUP($L5,OFFSET([3]enemies!$A$1,0,0,COUNTA([3]enemies!$A:$A),MATCH(W$1,[3]enemies!$1:$1,0)-MATCH($L$1,[3]enemies!$1:$1,0)+1),MATCH(W$1,[3]enemies!$1:$1,0)-MATCH($L$1,[3]enemies!$1:$1,0)+1,FALSE)</f>
        <v>0</v>
      </c>
      <c r="X5" s="7">
        <v>0</v>
      </c>
      <c r="Y5" s="7">
        <v>40</v>
      </c>
      <c r="Z5" s="7">
        <v>0</v>
      </c>
      <c r="AA5" s="20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v>114</v>
      </c>
      <c r="AC5" s="5" t="str">
        <f ca="1">IFERROR(VLOOKUP($AB5,OFFSET([4]characters!$A$1,0,0,COUNTA([4]characters!$A:$A),MATCH(AC$1,[4]characters!$1:$1,0)-MATCH("character_id",[4]characters!$1:$1,0)+1),MATCH(AC$1,[4]characters!$1:$1,0)-MATCH("character_id",[4]characters!$1:$1,0)+1,FALSE),"")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5" s="5">
        <f ca="1">IFERROR(VLOOKUP($AB5,OFFSET([4]characters!$A$1,0,0,COUNTA([4]characters!$A:$A),MATCH(AD$1,[4]characters!$1:$1,0)-MATCH("character_id",[4]characters!$1:$1,0)+1),MATCH(AD$1,[4]characters!$1:$1,0)-MATCH("character_id",[4]characters!$1:$1,0)+1,FALSE),"")</f>
        <v>3</v>
      </c>
      <c r="AE5" s="5" t="str">
        <f ca="1">IFERROR(VLOOKUP($AB5,OFFSET([4]characters!$A$1,0,0,COUNTA([4]characters!$A:$A),MATCH(AE$1,[4]characters!$1:$1,0)-MATCH("character_id",[4]characters!$1:$1,0)+1),MATCH(AE$1,[4]characters!$1:$1,0)-MATCH("character_id",[4]characters!$1:$1,0)+1,FALSE),"")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" s="8">
        <v>1</v>
      </c>
      <c r="AG5" s="27">
        <f t="shared" ca="1" si="3"/>
        <v>3</v>
      </c>
      <c r="AH5" s="9">
        <v>10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  <c r="AN5" s="8">
        <v>1</v>
      </c>
    </row>
    <row r="6" spans="1:40" ht="21" customHeight="1" x14ac:dyDescent="0.15">
      <c r="A6" s="17" t="str">
        <f t="shared" ca="1" si="0"/>
        <v>11001_1-4/113&lt;lv3&gt;s1</v>
      </c>
      <c r="B6" s="8">
        <v>11001</v>
      </c>
      <c r="C6" s="25">
        <v>1</v>
      </c>
      <c r="D6" s="2" t="str">
        <f t="shared" si="1"/>
        <v>11001_1</v>
      </c>
      <c r="E6" s="5" t="str">
        <f ca="1">VLOOKUP($B6,OFFSET([2]quests!$A$1,0,0,COUNTA([2]quests!$A:$A),MATCH(E$1,[2]quests!$1:$1,0)-MATCH($B$1,[2]quests!$1:$1,0)+1),MATCH(E$1,[2]quests!$1:$1,0)-MATCH($B$1,[2]quests!$1:$1,0)+1,FALSE)</f>
        <v>【月曜限定】 黄の素材</v>
      </c>
      <c r="F6" s="5" t="str">
        <f ca="1">VLOOKUP($D6,OFFSET([2]stages!$A$1,0,0,COUNTA([2]stages!$A:$A),MATCH(F$1,[2]stages!$2:$2,0)-MATCH($D$1,[2]stages!$2:$2,0)+1),MATCH(F$1,[2]stages!$2:$2,0)-MATCH($D$1,[2]stages!$2:$2,0)+1,FALSE)</f>
        <v>【初級】雷のチェシャ猫</v>
      </c>
      <c r="G6" s="25">
        <v>4</v>
      </c>
      <c r="H6" s="16" t="str">
        <f t="shared" si="4"/>
        <v>11001_1-4</v>
      </c>
      <c r="I6" s="5">
        <f ca="1">VLOOKUP($H6,OFFSET(floors!$A$1,0,0,COUNTA(floors!$A:$A),MATCH(I$1,floors!$1:$1,0)-MATCH($H$1,floors!$1:$1,0)+1),MATCH(I$1,floors!$1:$1,0)-MATCH($H$1,floors!$1:$1,0)+1,FALSE)</f>
        <v>45</v>
      </c>
      <c r="J6" s="5">
        <f ca="1">VLOOKUP($H6,OFFSET(floors!$A$1,0,0,COUNTA(floors!$A:$A),MATCH(J$1,floors!$1:$1,0)-MATCH($H$1,floors!$1:$1,0)+1),MATCH(J$1,floors!$1:$1,0)-MATCH($H$1,floors!$1:$1,0)+1,FALSE)</f>
        <v>60</v>
      </c>
      <c r="K6" s="24" t="s">
        <v>197</v>
      </c>
      <c r="L6" s="24">
        <v>113</v>
      </c>
      <c r="M6" s="20" t="str">
        <f ca="1">VLOOKUP($L6,OFFSET([3]enemies!$A$1,0,0,COUNTA([3]enemies!$A:$A),MATCH(M$1,[3]enemies!$1:$1,0)-MATCH($L$1,[3]enemies!$1:$1,0)+1),MATCH(M$1,[3]enemies!$1:$1,0)-MATCH($L$1,[3]enemies!$1:$1,0)+1,FALSE)</f>
        <v>イエローチェシャ</v>
      </c>
      <c r="N6" s="20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22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15</v>
      </c>
      <c r="R6" s="6">
        <v>3</v>
      </c>
      <c r="S6" s="39">
        <v>1</v>
      </c>
      <c r="T6" s="39">
        <v>1</v>
      </c>
      <c r="U6" s="6">
        <v>0</v>
      </c>
      <c r="V6" s="5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5">
        <f ca="1">VLOOKUP($L6,OFFSET([3]enemies!$A$1,0,0,COUNTA([3]enemies!$A:$A),MATCH(W$1,[3]enemies!$1:$1,0)-MATCH($L$1,[3]enemies!$1:$1,0)+1),MATCH(W$1,[3]enemies!$1:$1,0)-MATCH($L$1,[3]enemies!$1:$1,0)+1,FALSE)</f>
        <v>0</v>
      </c>
      <c r="X6" s="7">
        <v>0</v>
      </c>
      <c r="Y6" s="7">
        <v>100</v>
      </c>
      <c r="Z6" s="7">
        <v>0</v>
      </c>
      <c r="AA6" s="20">
        <f ca="1">VLOOKUP($L6,OFFSET([3]enemies!$A$1,0,0,COUNTA([3]enemies!$A:$A),MATCH(AA$1,[3]enemies!$1:$1,0)-MATCH($L$1,[3]enemies!$1:$1,0)+1),MATCH(AA$1,[3]enemies!$1:$1,0)-MATCH($L$1,[3]enemies!$1:$1,0)+1,FALSE)</f>
        <v>1</v>
      </c>
      <c r="AB6" s="24">
        <v>113</v>
      </c>
      <c r="AC6" s="5" t="str">
        <f ca="1">IFERROR(VLOOKUP($AB6,OFFSET([4]characters!$A$1,0,0,COUNTA([4]characters!$A:$A),MATCH(AC$1,[4]characters!$1:$1,0)-MATCH("character_id",[4]characters!$1:$1,0)+1),MATCH(AC$1,[4]characters!$1:$1,0)-MATCH("character_id",[4]characters!$1:$1,0)+1,FALSE),"")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6" s="5">
        <f ca="1">IFERROR(VLOOKUP($AB6,OFFSET([4]characters!$A$1,0,0,COUNTA([4]characters!$A:$A),MATCH(AD$1,[4]characters!$1:$1,0)-MATCH("character_id",[4]characters!$1:$1,0)+1),MATCH(AD$1,[4]characters!$1:$1,0)-MATCH("character_id",[4]characters!$1:$1,0)+1,FALSE),"")</f>
        <v>2</v>
      </c>
      <c r="AE6" s="5" t="str">
        <f ca="1">IFERROR(VLOOKUP($AB6,OFFSET([4]characters!$A$1,0,0,COUNTA([4]characters!$A:$A),MATCH(AE$1,[4]characters!$1:$1,0)-MATCH("character_id",[4]characters!$1:$1,0)+1),MATCH(AE$1,[4]characters!$1:$1,0)-MATCH("character_id",[4]characters!$1:$1,0)+1,FALSE),"")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" s="8">
        <v>1</v>
      </c>
      <c r="AG6" s="27">
        <f t="shared" ca="1" si="3"/>
        <v>2</v>
      </c>
      <c r="AH6" s="9">
        <v>40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  <c r="AN6" s="8">
        <v>1</v>
      </c>
    </row>
    <row r="7" spans="1:40" ht="21" customHeight="1" x14ac:dyDescent="0.15">
      <c r="A7" s="17" t="str">
        <f t="shared" ca="1" si="0"/>
        <v>11001_1-4/114&lt;lv3&gt;s2</v>
      </c>
      <c r="B7" s="8">
        <v>11001</v>
      </c>
      <c r="C7" s="25">
        <v>1</v>
      </c>
      <c r="D7" s="2" t="str">
        <f t="shared" si="1"/>
        <v>11001_1</v>
      </c>
      <c r="E7" s="5" t="str">
        <f ca="1">VLOOKUP($B7,OFFSET([2]quests!$A$1,0,0,COUNTA([2]quests!$A:$A),MATCH(E$1,[2]quests!$1:$1,0)-MATCH($B$1,[2]quests!$1:$1,0)+1),MATCH(E$1,[2]quests!$1:$1,0)-MATCH($B$1,[2]quests!$1:$1,0)+1,FALSE)</f>
        <v>【月曜限定】 黄の素材</v>
      </c>
      <c r="F7" s="5" t="str">
        <f ca="1">VLOOKUP($D7,OFFSET([2]stages!$A$1,0,0,COUNTA([2]stages!$A:$A),MATCH(F$1,[2]stages!$2:$2,0)-MATCH($D$1,[2]stages!$2:$2,0)+1),MATCH(F$1,[2]stages!$2:$2,0)-MATCH($D$1,[2]stages!$2:$2,0)+1,FALSE)</f>
        <v>【初級】雷のチェシャ猫</v>
      </c>
      <c r="G7" s="25">
        <v>4</v>
      </c>
      <c r="H7" s="16" t="str">
        <f t="shared" si="4"/>
        <v>11001_1-4</v>
      </c>
      <c r="I7" s="5">
        <f ca="1">VLOOKUP($H7,OFFSET(floors!$A$1,0,0,COUNTA(floors!$A:$A),MATCH(I$1,floors!$1:$1,0)-MATCH($H$1,floors!$1:$1,0)+1),MATCH(I$1,floors!$1:$1,0)-MATCH($H$1,floors!$1:$1,0)+1,FALSE)</f>
        <v>45</v>
      </c>
      <c r="J7" s="5">
        <f ca="1">VLOOKUP($H7,OFFSET(floors!$A$1,0,0,COUNTA(floors!$A:$A),MATCH(J$1,floors!$1:$1,0)-MATCH($H$1,floors!$1:$1,0)+1),MATCH(J$1,floors!$1:$1,0)-MATCH($H$1,floors!$1:$1,0)+1,FALSE)</f>
        <v>60</v>
      </c>
      <c r="K7" s="24" t="s">
        <v>197</v>
      </c>
      <c r="L7" s="24">
        <v>114</v>
      </c>
      <c r="M7" s="20" t="str">
        <f ca="1">VLOOKUP($L7,OFFSET([3]enemies!$A$1,0,0,COUNTA([3]enemies!$A:$A),MATCH(M$1,[3]enemies!$1:$1,0)-MATCH($L$1,[3]enemies!$1:$1,0)+1),MATCH(M$1,[3]enemies!$1:$1,0)-MATCH($L$1,[3]enemies!$1:$1,0)+1,FALSE)</f>
        <v>イエローラビット</v>
      </c>
      <c r="N7" s="20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22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15</v>
      </c>
      <c r="R7" s="6">
        <v>3</v>
      </c>
      <c r="S7" s="40">
        <v>1.8</v>
      </c>
      <c r="T7" s="39">
        <v>1</v>
      </c>
      <c r="U7" s="6">
        <v>0</v>
      </c>
      <c r="V7" s="5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5">
        <f ca="1">VLOOKUP($L7,OFFSET([3]enemies!$A$1,0,0,COUNTA([3]enemies!$A:$A),MATCH(W$1,[3]enemies!$1:$1,0)-MATCH($L$1,[3]enemies!$1:$1,0)+1),MATCH(W$1,[3]enemies!$1:$1,0)-MATCH($L$1,[3]enemies!$1:$1,0)+1,FALSE)</f>
        <v>0</v>
      </c>
      <c r="X7" s="7">
        <v>0</v>
      </c>
      <c r="Y7" s="7">
        <v>40</v>
      </c>
      <c r="Z7" s="7">
        <v>0</v>
      </c>
      <c r="AA7" s="20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v>114</v>
      </c>
      <c r="AC7" s="5" t="str">
        <f ca="1">IFERROR(VLOOKUP($AB7,OFFSET([4]characters!$A$1,0,0,COUNTA([4]characters!$A:$A),MATCH(AC$1,[4]characters!$1:$1,0)-MATCH("character_id",[4]characters!$1:$1,0)+1),MATCH(AC$1,[4]characters!$1:$1,0)-MATCH("character_id",[4]characters!$1:$1,0)+1,FALSE),"")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7" s="5">
        <f ca="1">IFERROR(VLOOKUP($AB7,OFFSET([4]characters!$A$1,0,0,COUNTA([4]characters!$A:$A),MATCH(AD$1,[4]characters!$1:$1,0)-MATCH("character_id",[4]characters!$1:$1,0)+1),MATCH(AD$1,[4]characters!$1:$1,0)-MATCH("character_id",[4]characters!$1:$1,0)+1,FALSE),"")</f>
        <v>3</v>
      </c>
      <c r="AE7" s="5" t="str">
        <f ca="1">IFERROR(VLOOKUP($AB7,OFFSET([4]characters!$A$1,0,0,COUNTA([4]characters!$A:$A),MATCH(AE$1,[4]characters!$1:$1,0)-MATCH("character_id",[4]characters!$1:$1,0)+1),MATCH(AE$1,[4]characters!$1:$1,0)-MATCH("character_id",[4]characters!$1:$1,0)+1,FALSE),"")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" s="8">
        <v>1</v>
      </c>
      <c r="AG7" s="27">
        <f t="shared" ca="1" si="3"/>
        <v>3</v>
      </c>
      <c r="AH7" s="9">
        <v>20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  <c r="AN7" s="8">
        <v>1</v>
      </c>
    </row>
    <row r="8" spans="1:40" ht="21" customHeight="1" x14ac:dyDescent="0.15">
      <c r="A8" s="17" t="str">
        <f t="shared" ca="1" si="0"/>
        <v>11001_1-5/113&lt;lv3&gt;s1</v>
      </c>
      <c r="B8" s="8">
        <v>11001</v>
      </c>
      <c r="C8" s="25">
        <v>1</v>
      </c>
      <c r="D8" s="2" t="str">
        <f t="shared" si="1"/>
        <v>11001_1</v>
      </c>
      <c r="E8" s="5" t="str">
        <f ca="1">VLOOKUP($B8,OFFSET([2]quests!$A$1,0,0,COUNTA([2]quests!$A:$A),MATCH(E$1,[2]quests!$1:$1,0)-MATCH($B$1,[2]quests!$1:$1,0)+1),MATCH(E$1,[2]quests!$1:$1,0)-MATCH($B$1,[2]quests!$1:$1,0)+1,FALSE)</f>
        <v>【月曜限定】 黄の素材</v>
      </c>
      <c r="F8" s="5" t="str">
        <f ca="1">VLOOKUP($D8,OFFSET([2]stages!$A$1,0,0,COUNTA([2]stages!$A:$A),MATCH(F$1,[2]stages!$2:$2,0)-MATCH($D$1,[2]stages!$2:$2,0)+1),MATCH(F$1,[2]stages!$2:$2,0)-MATCH($D$1,[2]stages!$2:$2,0)+1,FALSE)</f>
        <v>【初級】雷のチェシャ猫</v>
      </c>
      <c r="G8" s="25">
        <v>5</v>
      </c>
      <c r="H8" s="16" t="str">
        <f t="shared" si="4"/>
        <v>11001_1-5</v>
      </c>
      <c r="I8" s="5">
        <f ca="1">VLOOKUP($H8,OFFSET(floors!$A$1,0,0,COUNTA(floors!$A:$A),MATCH(I$1,floors!$1:$1,0)-MATCH($H$1,floors!$1:$1,0)+1),MATCH(I$1,floors!$1:$1,0)-MATCH($H$1,floors!$1:$1,0)+1,FALSE)</f>
        <v>45</v>
      </c>
      <c r="J8" s="5">
        <f ca="1">VLOOKUP($H8,OFFSET(floors!$A$1,0,0,COUNTA(floors!$A:$A),MATCH(J$1,floors!$1:$1,0)-MATCH($H$1,floors!$1:$1,0)+1),MATCH(J$1,floors!$1:$1,0)-MATCH($H$1,floors!$1:$1,0)+1,FALSE)</f>
        <v>45</v>
      </c>
      <c r="K8" s="24" t="s">
        <v>197</v>
      </c>
      <c r="L8" s="24">
        <v>113</v>
      </c>
      <c r="M8" s="20" t="str">
        <f ca="1">VLOOKUP($L8,OFFSET([3]enemies!$A$1,0,0,COUNTA([3]enemies!$A:$A),MATCH(M$1,[3]enemies!$1:$1,0)-MATCH($L$1,[3]enemies!$1:$1,0)+1),MATCH(M$1,[3]enemies!$1:$1,0)-MATCH($L$1,[3]enemies!$1:$1,0)+1,FALSE)</f>
        <v>イエローチェシャ</v>
      </c>
      <c r="N8" s="20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22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2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20">
        <f ca="1">VLOOKUP($L8,OFFSET([3]enemies!$A$1,0,0,COUNTA([3]enemies!$A:$A),MATCH(Q$1,[3]enemies!$1:$1,0)-MATCH($L$1,[3]enemies!$1:$1,0)+1),MATCH(Q$1,[3]enemies!$1:$1,0)-MATCH($L$1,[3]enemies!$1:$1,0)+1,FALSE)</f>
        <v>15</v>
      </c>
      <c r="R8" s="6">
        <v>3</v>
      </c>
      <c r="S8" s="39">
        <v>1</v>
      </c>
      <c r="T8" s="39">
        <v>1</v>
      </c>
      <c r="U8" s="6">
        <v>0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5">
        <f ca="1">VLOOKUP($L8,OFFSET([3]enemies!$A$1,0,0,COUNTA([3]enemies!$A:$A),MATCH(W$1,[3]enemies!$1:$1,0)-MATCH($L$1,[3]enemies!$1:$1,0)+1),MATCH(W$1,[3]enemies!$1:$1,0)-MATCH($L$1,[3]enemies!$1:$1,0)+1,FALSE)</f>
        <v>0</v>
      </c>
      <c r="X8" s="7">
        <v>2</v>
      </c>
      <c r="Y8" s="7">
        <v>100</v>
      </c>
      <c r="Z8" s="7">
        <v>0</v>
      </c>
      <c r="AA8" s="20">
        <f ca="1">VLOOKUP($L8,OFFSET([3]enemies!$A$1,0,0,COUNTA([3]enemies!$A:$A),MATCH(AA$1,[3]enemies!$1:$1,0)-MATCH($L$1,[3]enemies!$1:$1,0)+1),MATCH(AA$1,[3]enemies!$1:$1,0)-MATCH($L$1,[3]enemies!$1:$1,0)+1,FALSE)</f>
        <v>1</v>
      </c>
      <c r="AB8" s="24">
        <v>113</v>
      </c>
      <c r="AC8" s="5" t="str">
        <f ca="1">IFERROR(VLOOKUP($AB8,OFFSET([4]characters!$A$1,0,0,COUNTA([4]characters!$A:$A),MATCH(AC$1,[4]characters!$1:$1,0)-MATCH("character_id",[4]characters!$1:$1,0)+1),MATCH(AC$1,[4]characters!$1:$1,0)-MATCH("character_id",[4]characters!$1:$1,0)+1,FALSE),"")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8" s="5">
        <f ca="1">IFERROR(VLOOKUP($AB8,OFFSET([4]characters!$A$1,0,0,COUNTA([4]characters!$A:$A),MATCH(AD$1,[4]characters!$1:$1,0)-MATCH("character_id",[4]characters!$1:$1,0)+1),MATCH(AD$1,[4]characters!$1:$1,0)-MATCH("character_id",[4]characters!$1:$1,0)+1,FALSE),"")</f>
        <v>2</v>
      </c>
      <c r="AE8" s="5" t="str">
        <f ca="1">IFERROR(VLOOKUP($AB8,OFFSET([4]characters!$A$1,0,0,COUNTA([4]characters!$A:$A),MATCH(AE$1,[4]characters!$1:$1,0)-MATCH("character_id",[4]characters!$1:$1,0)+1),MATCH(AE$1,[4]characters!$1:$1,0)-MATCH("character_id",[4]characters!$1:$1,0)+1,FALSE),"")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" s="8">
        <v>1</v>
      </c>
      <c r="AG8" s="27">
        <f t="shared" ca="1" si="3"/>
        <v>2</v>
      </c>
      <c r="AH8" s="9">
        <v>100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  <c r="AN8" s="8">
        <v>1</v>
      </c>
    </row>
    <row r="9" spans="1:40" ht="23" customHeight="1" x14ac:dyDescent="0.15">
      <c r="A9" s="17" t="str">
        <f t="shared" ca="1" si="0"/>
        <v>11001_1-5/114&lt;lv5&gt;s2</v>
      </c>
      <c r="B9" s="8">
        <v>11001</v>
      </c>
      <c r="C9" s="25">
        <v>1</v>
      </c>
      <c r="D9" s="2" t="str">
        <f t="shared" si="1"/>
        <v>11001_1</v>
      </c>
      <c r="E9" s="5" t="str">
        <f ca="1">VLOOKUP($B9,OFFSET([2]quests!$A$1,0,0,COUNTA([2]quests!$A:$A),MATCH(E$1,[2]quests!$1:$1,0)-MATCH($B$1,[2]quests!$1:$1,0)+1),MATCH(E$1,[2]quests!$1:$1,0)-MATCH($B$1,[2]quests!$1:$1,0)+1,FALSE)</f>
        <v>【月曜限定】 黄の素材</v>
      </c>
      <c r="F9" s="5" t="str">
        <f ca="1">VLOOKUP($D9,OFFSET([2]stages!$A$1,0,0,COUNTA([2]stages!$A:$A),MATCH(F$1,[2]stages!$2:$2,0)-MATCH($D$1,[2]stages!$2:$2,0)+1),MATCH(F$1,[2]stages!$2:$2,0)-MATCH($D$1,[2]stages!$2:$2,0)+1,FALSE)</f>
        <v>【初級】雷のチェシャ猫</v>
      </c>
      <c r="G9" s="25">
        <v>5</v>
      </c>
      <c r="H9" s="16" t="str">
        <f t="shared" si="4"/>
        <v>11001_1-5</v>
      </c>
      <c r="I9" s="5">
        <f ca="1">VLOOKUP($H9,OFFSET(floors!$A$1,0,0,COUNTA(floors!$A:$A),MATCH(I$1,floors!$1:$1,0)-MATCH($H$1,floors!$1:$1,0)+1),MATCH(I$1,floors!$1:$1,0)-MATCH($H$1,floors!$1:$1,0)+1,FALSE)</f>
        <v>45</v>
      </c>
      <c r="J9" s="5">
        <f ca="1">VLOOKUP($H9,OFFSET(floors!$A$1,0,0,COUNTA(floors!$A:$A),MATCH(J$1,floors!$1:$1,0)-MATCH($H$1,floors!$1:$1,0)+1),MATCH(J$1,floors!$1:$1,0)-MATCH($H$1,floors!$1:$1,0)+1,FALSE)</f>
        <v>45</v>
      </c>
      <c r="K9" s="24" t="s">
        <v>197</v>
      </c>
      <c r="L9" s="24">
        <v>114</v>
      </c>
      <c r="M9" s="20" t="str">
        <f ca="1">VLOOKUP($L9,OFFSET([3]enemies!$A$1,0,0,COUNTA([3]enemies!$A:$A),MATCH(M$1,[3]enemies!$1:$1,0)-MATCH($L$1,[3]enemies!$1:$1,0)+1),MATCH(M$1,[3]enemies!$1:$1,0)-MATCH($L$1,[3]enemies!$1:$1,0)+1,FALSE)</f>
        <v>イエローラビット</v>
      </c>
      <c r="N9" s="20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22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20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20">
        <f ca="1">VLOOKUP($L9,OFFSET([3]enemies!$A$1,0,0,COUNTA([3]enemies!$A:$A),MATCH(Q$1,[3]enemies!$1:$1,0)-MATCH($L$1,[3]enemies!$1:$1,0)+1),MATCH(Q$1,[3]enemies!$1:$1,0)-MATCH($L$1,[3]enemies!$1:$1,0)+1,FALSE)</f>
        <v>15</v>
      </c>
      <c r="R9" s="6">
        <v>5</v>
      </c>
      <c r="S9" s="40">
        <v>1.8</v>
      </c>
      <c r="T9" s="39">
        <v>1</v>
      </c>
      <c r="U9" s="6">
        <v>0</v>
      </c>
      <c r="V9" s="5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5">
        <f ca="1">VLOOKUP($L9,OFFSET([3]enemies!$A$1,0,0,COUNTA([3]enemies!$A:$A),MATCH(W$1,[3]enemies!$1:$1,0)-MATCH($L$1,[3]enemies!$1:$1,0)+1),MATCH(W$1,[3]enemies!$1:$1,0)-MATCH($L$1,[3]enemies!$1:$1,0)+1,FALSE)</f>
        <v>0</v>
      </c>
      <c r="X9" s="7">
        <v>1</v>
      </c>
      <c r="Y9" s="7">
        <v>100</v>
      </c>
      <c r="Z9" s="7">
        <v>1</v>
      </c>
      <c r="AA9" s="20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v>114</v>
      </c>
      <c r="AC9" s="5" t="str">
        <f ca="1">IFERROR(VLOOKUP($AB9,OFFSET([4]characters!$A$1,0,0,COUNTA([4]characters!$A:$A),MATCH(AC$1,[4]characters!$1:$1,0)-MATCH("character_id",[4]characters!$1:$1,0)+1),MATCH(AC$1,[4]characters!$1:$1,0)-MATCH("character_id",[4]characters!$1:$1,0)+1,FALSE),"")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9" s="5">
        <f ca="1">IFERROR(VLOOKUP($AB9,OFFSET([4]characters!$A$1,0,0,COUNTA([4]characters!$A:$A),MATCH(AD$1,[4]characters!$1:$1,0)-MATCH("character_id",[4]characters!$1:$1,0)+1),MATCH(AD$1,[4]characters!$1:$1,0)-MATCH("character_id",[4]characters!$1:$1,0)+1,FALSE),"")</f>
        <v>3</v>
      </c>
      <c r="AE9" s="5" t="str">
        <f ca="1">IFERROR(VLOOKUP($AB9,OFFSET([4]characters!$A$1,0,0,COUNTA([4]characters!$A:$A),MATCH(AE$1,[4]characters!$1:$1,0)-MATCH("character_id",[4]characters!$1:$1,0)+1),MATCH(AE$1,[4]characters!$1:$1,0)-MATCH("character_id",[4]characters!$1:$1,0)+1,FALSE),"")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" s="8">
        <v>1</v>
      </c>
      <c r="AG9" s="27">
        <f t="shared" ca="1" si="3"/>
        <v>3</v>
      </c>
      <c r="AH9" s="9">
        <v>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  <c r="AN9" s="8">
        <v>1</v>
      </c>
    </row>
    <row r="10" spans="1:40" ht="21" customHeight="1" x14ac:dyDescent="0.15">
      <c r="A10" s="17" t="str">
        <f ca="1">B10&amp;"_"&amp;C10&amp;"-"&amp;G10&amp;"/"&amp;L10&amp;"&lt;lv"&amp;R10&amp;"&gt;s"&amp;AA10</f>
        <v>11001_2-1/114&lt;lv15&gt;s2</v>
      </c>
      <c r="B10" s="8">
        <v>11001</v>
      </c>
      <c r="C10" s="25">
        <v>2</v>
      </c>
      <c r="D10" s="2" t="str">
        <f t="shared" si="1"/>
        <v>11001_2</v>
      </c>
      <c r="E10" s="5" t="str">
        <f ca="1">VLOOKUP($B10,OFFSET([2]quests!$A$1,0,0,COUNTA([2]quests!$A:$A),MATCH(E$1,[2]quests!$1:$1,0)-MATCH($B$1,[2]quests!$1:$1,0)+1),MATCH(E$1,[2]quests!$1:$1,0)-MATCH($B$1,[2]quests!$1:$1,0)+1,FALSE)</f>
        <v>【月曜限定】 黄の素材</v>
      </c>
      <c r="F10" s="5" t="str">
        <f ca="1">VLOOKUP($D10,OFFSET([2]stages!$A$1,0,0,COUNTA([2]stages!$A:$A),MATCH(F$1,[2]stages!$2:$2,0)-MATCH($D$1,[2]stages!$2:$2,0)+1),MATCH(F$1,[2]stages!$2:$2,0)-MATCH($D$1,[2]stages!$2:$2,0)+1,FALSE)</f>
        <v>【中級】雷のウサギ</v>
      </c>
      <c r="G10" s="25">
        <v>1</v>
      </c>
      <c r="H10" s="16" t="str">
        <f t="shared" si="4"/>
        <v>11001_2-1</v>
      </c>
      <c r="I10" s="5">
        <f ca="1">VLOOKUP($H10,OFFSET(floors!$A$1,0,0,COUNTA(floors!$A:$A),MATCH(I$1,floors!$1:$1,0)-MATCH($H$1,floors!$1:$1,0)+1),MATCH(I$1,floors!$1:$1,0)-MATCH($H$1,floors!$1:$1,0)+1,FALSE)</f>
        <v>30</v>
      </c>
      <c r="J10" s="5">
        <f ca="1">VLOOKUP($H10,OFFSET(floors!$A$1,0,0,COUNTA(floors!$A:$A),MATCH(J$1,floors!$1:$1,0)-MATCH($H$1,floors!$1:$1,0)+1),MATCH(J$1,floors!$1:$1,0)-MATCH($H$1,floors!$1:$1,0)+1,FALSE)</f>
        <v>30</v>
      </c>
      <c r="K10" s="24" t="s">
        <v>197</v>
      </c>
      <c r="L10" s="24">
        <v>114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イエローラビット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22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15</v>
      </c>
      <c r="R10" s="6">
        <v>15</v>
      </c>
      <c r="S10" s="40">
        <v>1.8</v>
      </c>
      <c r="T10" s="39">
        <v>1</v>
      </c>
      <c r="U10" s="6">
        <v>0</v>
      </c>
      <c r="V10" s="5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5">
        <f ca="1">VLOOKUP($L10,OFFSET([3]enemies!$A$1,0,0,COUNTA([3]enemies!$A:$A),MATCH(W$1,[3]enemies!$1:$1,0)-MATCH($L$1,[3]enemies!$1:$1,0)+1),MATCH(W$1,[3]enemies!$1:$1,0)-MATCH($L$1,[3]enemies!$1:$1,0)+1,FALSE)</f>
        <v>0</v>
      </c>
      <c r="X10" s="7">
        <v>0</v>
      </c>
      <c r="Y10" s="7">
        <v>100</v>
      </c>
      <c r="Z10" s="7">
        <v>0</v>
      </c>
      <c r="AA10" s="20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v>114</v>
      </c>
      <c r="AC10" s="5" t="str">
        <f ca="1">IFERROR(VLOOKUP($AB10,OFFSET([4]characters!$A$1,0,0,COUNTA([4]characters!$A:$A),MATCH(AC$1,[4]characters!$1:$1,0)-MATCH("character_id",[4]characters!$1:$1,0)+1),MATCH(AC$1,[4]characters!$1:$1,0)-MATCH("character_id",[4]characters!$1:$1,0)+1,FALSE),"")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10" s="5">
        <f ca="1">IFERROR(VLOOKUP($AB10,OFFSET([4]characters!$A$1,0,0,COUNTA([4]characters!$A:$A),MATCH(AD$1,[4]characters!$1:$1,0)-MATCH("character_id",[4]characters!$1:$1,0)+1),MATCH(AD$1,[4]characters!$1:$1,0)-MATCH("character_id",[4]characters!$1:$1,0)+1,FALSE),"")</f>
        <v>3</v>
      </c>
      <c r="AE10" s="5" t="str">
        <f ca="1">IFERROR(VLOOKUP($AB10,OFFSET([4]characters!$A$1,0,0,COUNTA([4]characters!$A:$A),MATCH(AE$1,[4]characters!$1:$1,0)-MATCH("character_id",[4]characters!$1:$1,0)+1),MATCH(AE$1,[4]characters!$1:$1,0)-MATCH("character_id",[4]characters!$1:$1,0)+1,FALSE),"")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" s="8">
        <v>1</v>
      </c>
      <c r="AG10" s="27">
        <f t="shared" ca="1" si="3"/>
        <v>3</v>
      </c>
      <c r="AH10" s="80">
        <v>20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  <c r="AN10" s="8">
        <v>1</v>
      </c>
    </row>
    <row r="11" spans="1:40" ht="21" customHeight="1" x14ac:dyDescent="0.15">
      <c r="A11" s="17" t="str">
        <f t="shared" ref="A11:A17" ca="1" si="5">B11&amp;"_"&amp;C11&amp;"-"&amp;G11&amp;"/"&amp;L11&amp;"&lt;lv"&amp;R11&amp;"&gt;s"&amp;AA11</f>
        <v>11001_2-2/114&lt;lv15&gt;s2</v>
      </c>
      <c r="B11" s="8">
        <v>11001</v>
      </c>
      <c r="C11" s="25">
        <v>2</v>
      </c>
      <c r="D11" s="2" t="str">
        <f t="shared" ref="D11:D17" si="6">B11&amp;"_"&amp;C11</f>
        <v>11001_2</v>
      </c>
      <c r="E11" s="5" t="str">
        <f ca="1">VLOOKUP($B11,OFFSET([2]quests!$A$1,0,0,COUNTA([2]quests!$A:$A),MATCH(E$1,[2]quests!$1:$1,0)-MATCH($B$1,[2]quests!$1:$1,0)+1),MATCH(E$1,[2]quests!$1:$1,0)-MATCH($B$1,[2]quests!$1:$1,0)+1,FALSE)</f>
        <v>【月曜限定】 黄の素材</v>
      </c>
      <c r="F11" s="5" t="str">
        <f ca="1">VLOOKUP($D11,OFFSET([2]stages!$A$1,0,0,COUNTA([2]stages!$A:$A),MATCH(F$1,[2]stages!$2:$2,0)-MATCH($D$1,[2]stages!$2:$2,0)+1),MATCH(F$1,[2]stages!$2:$2,0)-MATCH($D$1,[2]stages!$2:$2,0)+1,FALSE)</f>
        <v>【中級】雷のウサギ</v>
      </c>
      <c r="G11" s="25">
        <v>2</v>
      </c>
      <c r="H11" s="16" t="str">
        <f t="shared" si="4"/>
        <v>11001_2-2</v>
      </c>
      <c r="I11" s="5">
        <f ca="1">VLOOKUP($H11,OFFSET(floors!$A$1,0,0,COUNTA(floors!$A:$A),MATCH(I$1,floors!$1:$1,0)-MATCH($H$1,floors!$1:$1,0)+1),MATCH(I$1,floors!$1:$1,0)-MATCH($H$1,floors!$1:$1,0)+1,FALSE)</f>
        <v>30</v>
      </c>
      <c r="J11" s="5">
        <f ca="1">VLOOKUP($H11,OFFSET(floors!$A$1,0,0,COUNTA(floors!$A:$A),MATCH(J$1,floors!$1:$1,0)-MATCH($H$1,floors!$1:$1,0)+1),MATCH(J$1,floors!$1:$1,0)-MATCH($H$1,floors!$1:$1,0)+1,FALSE)</f>
        <v>30</v>
      </c>
      <c r="K11" s="24" t="s">
        <v>197</v>
      </c>
      <c r="L11" s="24">
        <v>114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イエローラビット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22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15</v>
      </c>
      <c r="R11" s="6">
        <v>15</v>
      </c>
      <c r="S11" s="40">
        <v>1.8</v>
      </c>
      <c r="T11" s="39">
        <v>1</v>
      </c>
      <c r="U11" s="6">
        <v>0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100</v>
      </c>
      <c r="Z11" s="7">
        <v>0</v>
      </c>
      <c r="AA11" s="20">
        <f ca="1">VLOOKUP($L11,OFFSET([3]enemies!$A$1,0,0,COUNTA([3]enemies!$A:$A),MATCH(AA$1,[3]enemies!$1:$1,0)-MATCH($L$1,[3]enemies!$1:$1,0)+1),MATCH(AA$1,[3]enemies!$1:$1,0)-MATCH($L$1,[3]enemies!$1:$1,0)+1,FALSE)</f>
        <v>2</v>
      </c>
      <c r="AB11" s="24">
        <v>114</v>
      </c>
      <c r="AC11" s="5" t="str">
        <f ca="1">IFERROR(VLOOKUP($AB11,OFFSET([4]characters!$A$1,0,0,COUNTA([4]characters!$A:$A),MATCH(AC$1,[4]characters!$1:$1,0)-MATCH("character_id",[4]characters!$1:$1,0)+1),MATCH(AC$1,[4]characters!$1:$1,0)-MATCH("character_id",[4]characters!$1:$1,0)+1,FALSE),"")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11" s="5">
        <f ca="1">IFERROR(VLOOKUP($AB11,OFFSET([4]characters!$A$1,0,0,COUNTA([4]characters!$A:$A),MATCH(AD$1,[4]characters!$1:$1,0)-MATCH("character_id",[4]characters!$1:$1,0)+1),MATCH(AD$1,[4]characters!$1:$1,0)-MATCH("character_id",[4]characters!$1:$1,0)+1,FALSE),"")</f>
        <v>3</v>
      </c>
      <c r="AE11" s="5" t="str">
        <f ca="1">IFERROR(VLOOKUP($AB11,OFFSET([4]characters!$A$1,0,0,COUNTA([4]characters!$A:$A),MATCH(AE$1,[4]characters!$1:$1,0)-MATCH("character_id",[4]characters!$1:$1,0)+1),MATCH(AE$1,[4]characters!$1:$1,0)-MATCH("character_id",[4]characters!$1:$1,0)+1,FALSE),"")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" s="8">
        <v>1</v>
      </c>
      <c r="AG11" s="27">
        <f t="shared" ref="AG11:AG17" ca="1" si="7">AD11</f>
        <v>3</v>
      </c>
      <c r="AH11" s="80">
        <v>20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  <c r="AN11" s="8">
        <v>1</v>
      </c>
    </row>
    <row r="12" spans="1:40" ht="21" customHeight="1" x14ac:dyDescent="0.15">
      <c r="A12" s="17" t="str">
        <f t="shared" ca="1" si="5"/>
        <v>11001_2-3/114&lt;lv15&gt;s2</v>
      </c>
      <c r="B12" s="8">
        <v>11001</v>
      </c>
      <c r="C12" s="25">
        <v>2</v>
      </c>
      <c r="D12" s="2" t="str">
        <f t="shared" si="6"/>
        <v>11001_2</v>
      </c>
      <c r="E12" s="5" t="str">
        <f ca="1">VLOOKUP($B12,OFFSET([2]quests!$A$1,0,0,COUNTA([2]quests!$A:$A),MATCH(E$1,[2]quests!$1:$1,0)-MATCH($B$1,[2]quests!$1:$1,0)+1),MATCH(E$1,[2]quests!$1:$1,0)-MATCH($B$1,[2]quests!$1:$1,0)+1,FALSE)</f>
        <v>【月曜限定】 黄の素材</v>
      </c>
      <c r="F12" s="5" t="str">
        <f ca="1">VLOOKUP($D12,OFFSET([2]stages!$A$1,0,0,COUNTA([2]stages!$A:$A),MATCH(F$1,[2]stages!$2:$2,0)-MATCH($D$1,[2]stages!$2:$2,0)+1),MATCH(F$1,[2]stages!$2:$2,0)-MATCH($D$1,[2]stages!$2:$2,0)+1,FALSE)</f>
        <v>【中級】雷のウサギ</v>
      </c>
      <c r="G12" s="25">
        <v>3</v>
      </c>
      <c r="H12" s="16" t="str">
        <f t="shared" si="4"/>
        <v>11001_2-3</v>
      </c>
      <c r="I12" s="5">
        <f ca="1">VLOOKUP($H12,OFFSET(floors!$A$1,0,0,COUNTA(floors!$A:$A),MATCH(I$1,floors!$1:$1,0)-MATCH($H$1,floors!$1:$1,0)+1),MATCH(I$1,floors!$1:$1,0)-MATCH($H$1,floors!$1:$1,0)+1,FALSE)</f>
        <v>45</v>
      </c>
      <c r="J12" s="5">
        <f ca="1">VLOOKUP($H12,OFFSET(floors!$A$1,0,0,COUNTA(floors!$A:$A),MATCH(J$1,floors!$1:$1,0)-MATCH($H$1,floors!$1:$1,0)+1),MATCH(J$1,floors!$1:$1,0)-MATCH($H$1,floors!$1:$1,0)+1,FALSE)</f>
        <v>45</v>
      </c>
      <c r="K12" s="24" t="s">
        <v>197</v>
      </c>
      <c r="L12" s="24">
        <v>114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イエローラビット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22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15</v>
      </c>
      <c r="R12" s="6">
        <v>15</v>
      </c>
      <c r="S12" s="40">
        <v>1.8</v>
      </c>
      <c r="T12" s="39">
        <v>1</v>
      </c>
      <c r="U12" s="6">
        <v>0</v>
      </c>
      <c r="V12" s="5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5">
        <f ca="1">VLOOKUP($L12,OFFSET([3]enemies!$A$1,0,0,COUNTA([3]enemies!$A:$A),MATCH(W$1,[3]enemies!$1:$1,0)-MATCH($L$1,[3]enemies!$1:$1,0)+1),MATCH(W$1,[3]enemies!$1:$1,0)-MATCH($L$1,[3]enemies!$1:$1,0)+1,FALSE)</f>
        <v>0</v>
      </c>
      <c r="X12" s="7">
        <v>0</v>
      </c>
      <c r="Y12" s="7">
        <v>100</v>
      </c>
      <c r="Z12" s="7">
        <v>0</v>
      </c>
      <c r="AA12" s="20">
        <f ca="1">VLOOKUP($L12,OFFSET([3]enemies!$A$1,0,0,COUNTA([3]enemies!$A:$A),MATCH(AA$1,[3]enemies!$1:$1,0)-MATCH($L$1,[3]enemies!$1:$1,0)+1),MATCH(AA$1,[3]enemies!$1:$1,0)-MATCH($L$1,[3]enemies!$1:$1,0)+1,FALSE)</f>
        <v>2</v>
      </c>
      <c r="AB12" s="24">
        <v>114</v>
      </c>
      <c r="AC12" s="5" t="str">
        <f ca="1">IFERROR(VLOOKUP($AB12,OFFSET([4]characters!$A$1,0,0,COUNTA([4]characters!$A:$A),MATCH(AC$1,[4]characters!$1:$1,0)-MATCH("character_id",[4]characters!$1:$1,0)+1),MATCH(AC$1,[4]characters!$1:$1,0)-MATCH("character_id",[4]characters!$1:$1,0)+1,FALSE),"")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12" s="5">
        <f ca="1">IFERROR(VLOOKUP($AB12,OFFSET([4]characters!$A$1,0,0,COUNTA([4]characters!$A:$A),MATCH(AD$1,[4]characters!$1:$1,0)-MATCH("character_id",[4]characters!$1:$1,0)+1),MATCH(AD$1,[4]characters!$1:$1,0)-MATCH("character_id",[4]characters!$1:$1,0)+1,FALSE),"")</f>
        <v>3</v>
      </c>
      <c r="AE12" s="5" t="str">
        <f ca="1">IFERROR(VLOOKUP($AB12,OFFSET([4]characters!$A$1,0,0,COUNTA([4]characters!$A:$A),MATCH(AE$1,[4]characters!$1:$1,0)-MATCH("character_id",[4]characters!$1:$1,0)+1),MATCH(AE$1,[4]characters!$1:$1,0)-MATCH("character_id",[4]characters!$1:$1,0)+1,FALSE),"")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" s="8">
        <v>1</v>
      </c>
      <c r="AG12" s="27">
        <f t="shared" ca="1" si="7"/>
        <v>3</v>
      </c>
      <c r="AH12" s="80">
        <v>20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  <c r="AN12" s="8">
        <v>1</v>
      </c>
    </row>
    <row r="13" spans="1:40" ht="21" customHeight="1" x14ac:dyDescent="0.15">
      <c r="A13" s="17" t="str">
        <f t="shared" ca="1" si="5"/>
        <v>11001_2-3/115&lt;lv15&gt;s2</v>
      </c>
      <c r="B13" s="8">
        <v>11001</v>
      </c>
      <c r="C13" s="25">
        <v>2</v>
      </c>
      <c r="D13" s="2" t="str">
        <f t="shared" si="6"/>
        <v>11001_2</v>
      </c>
      <c r="E13" s="5" t="str">
        <f ca="1">VLOOKUP($B13,OFFSET([2]quests!$A$1,0,0,COUNTA([2]quests!$A:$A),MATCH(E$1,[2]quests!$1:$1,0)-MATCH($B$1,[2]quests!$1:$1,0)+1),MATCH(E$1,[2]quests!$1:$1,0)-MATCH($B$1,[2]quests!$1:$1,0)+1,FALSE)</f>
        <v>【月曜限定】 黄の素材</v>
      </c>
      <c r="F13" s="5" t="str">
        <f ca="1">VLOOKUP($D13,OFFSET([2]stages!$A$1,0,0,COUNTA([2]stages!$A:$A),MATCH(F$1,[2]stages!$2:$2,0)-MATCH($D$1,[2]stages!$2:$2,0)+1),MATCH(F$1,[2]stages!$2:$2,0)-MATCH($D$1,[2]stages!$2:$2,0)+1,FALSE)</f>
        <v>【中級】雷のウサギ</v>
      </c>
      <c r="G13" s="25">
        <v>3</v>
      </c>
      <c r="H13" s="16" t="str">
        <f t="shared" si="4"/>
        <v>11001_2-3</v>
      </c>
      <c r="I13" s="5">
        <f ca="1">VLOOKUP($H13,OFFSET(floors!$A$1,0,0,COUNTA(floors!$A:$A),MATCH(I$1,floors!$1:$1,0)-MATCH($H$1,floors!$1:$1,0)+1),MATCH(I$1,floors!$1:$1,0)-MATCH($H$1,floors!$1:$1,0)+1,FALSE)</f>
        <v>45</v>
      </c>
      <c r="J13" s="5">
        <f ca="1">VLOOKUP($H13,OFFSET(floors!$A$1,0,0,COUNTA(floors!$A:$A),MATCH(J$1,floors!$1:$1,0)-MATCH($H$1,floors!$1:$1,0)+1),MATCH(J$1,floors!$1:$1,0)-MATCH($H$1,floors!$1:$1,0)+1,FALSE)</f>
        <v>45</v>
      </c>
      <c r="K13" s="24" t="s">
        <v>197</v>
      </c>
      <c r="L13" s="24">
        <v>115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イエローキャタップ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22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20">
        <f ca="1">VLOOKUP($L13,OFFSET([3]enemies!$A$1,0,0,COUNTA([3]enemies!$A:$A),MATCH(Q$1,[3]enemies!$1:$1,0)-MATCH($L$1,[3]enemies!$1:$1,0)+1),MATCH(Q$1,[3]enemies!$1:$1,0)-MATCH($L$1,[3]enemies!$1:$1,0)+1,FALSE)</f>
        <v>15</v>
      </c>
      <c r="R13" s="6">
        <v>15</v>
      </c>
      <c r="S13" s="39">
        <v>2</v>
      </c>
      <c r="T13" s="39">
        <v>1</v>
      </c>
      <c r="U13" s="6">
        <v>0</v>
      </c>
      <c r="V13" s="5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5">
        <f ca="1">VLOOKUP($L13,OFFSET([3]enemies!$A$1,0,0,COUNTA([3]enemies!$A:$A),MATCH(W$1,[3]enemies!$1:$1,0)-MATCH($L$1,[3]enemies!$1:$1,0)+1),MATCH(W$1,[3]enemies!$1:$1,0)-MATCH($L$1,[3]enemies!$1:$1,0)+1,FALSE)</f>
        <v>0</v>
      </c>
      <c r="X13" s="7">
        <v>0</v>
      </c>
      <c r="Y13" s="7">
        <v>25</v>
      </c>
      <c r="Z13" s="7">
        <v>0</v>
      </c>
      <c r="AA13" s="20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v>115</v>
      </c>
      <c r="AC13" s="5" t="str">
        <f ca="1">IFERROR(VLOOKUP($AB13,OFFSET([4]characters!$A$1,0,0,COUNTA([4]characters!$A:$A),MATCH(AC$1,[4]characters!$1:$1,0)-MATCH("character_id",[4]characters!$1:$1,0)+1),MATCH(AC$1,[4]characters!$1:$1,0)-MATCH("character_id",[4]characters!$1:$1,0)+1,FALSE),"")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3" s="5">
        <f ca="1">IFERROR(VLOOKUP($AB13,OFFSET([4]characters!$A$1,0,0,COUNTA([4]characters!$A:$A),MATCH(AD$1,[4]characters!$1:$1,0)-MATCH("character_id",[4]characters!$1:$1,0)+1),MATCH(AD$1,[4]characters!$1:$1,0)-MATCH("character_id",[4]characters!$1:$1,0)+1,FALSE),"")</f>
        <v>4</v>
      </c>
      <c r="AE13" s="5" t="str">
        <f ca="1">IFERROR(VLOOKUP($AB13,OFFSET([4]characters!$A$1,0,0,COUNTA([4]characters!$A:$A),MATCH(AE$1,[4]characters!$1:$1,0)-MATCH("character_id",[4]characters!$1:$1,0)+1),MATCH(AE$1,[4]characters!$1:$1,0)-MATCH("character_id",[4]characters!$1:$1,0)+1,FALSE),"")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" s="8">
        <v>1</v>
      </c>
      <c r="AG13" s="27">
        <f t="shared" ca="1" si="7"/>
        <v>4</v>
      </c>
      <c r="AH13" s="80">
        <v>5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  <c r="AN13" s="8">
        <v>1</v>
      </c>
    </row>
    <row r="14" spans="1:40" ht="21" customHeight="1" x14ac:dyDescent="0.15">
      <c r="A14" s="17" t="str">
        <f t="shared" ca="1" si="5"/>
        <v>11001_2-4/114&lt;lv15&gt;s2</v>
      </c>
      <c r="B14" s="8">
        <v>11001</v>
      </c>
      <c r="C14" s="25">
        <v>2</v>
      </c>
      <c r="D14" s="2" t="str">
        <f t="shared" si="6"/>
        <v>11001_2</v>
      </c>
      <c r="E14" s="5" t="str">
        <f ca="1">VLOOKUP($B14,OFFSET([2]quests!$A$1,0,0,COUNTA([2]quests!$A:$A),MATCH(E$1,[2]quests!$1:$1,0)-MATCH($B$1,[2]quests!$1:$1,0)+1),MATCH(E$1,[2]quests!$1:$1,0)-MATCH($B$1,[2]quests!$1:$1,0)+1,FALSE)</f>
        <v>【月曜限定】 黄の素材</v>
      </c>
      <c r="F14" s="5" t="str">
        <f ca="1">VLOOKUP($D14,OFFSET([2]stages!$A$1,0,0,COUNTA([2]stages!$A:$A),MATCH(F$1,[2]stages!$2:$2,0)-MATCH($D$1,[2]stages!$2:$2,0)+1),MATCH(F$1,[2]stages!$2:$2,0)-MATCH($D$1,[2]stages!$2:$2,0)+1,FALSE)</f>
        <v>【中級】雷のウサギ</v>
      </c>
      <c r="G14" s="25">
        <v>4</v>
      </c>
      <c r="H14" s="16" t="str">
        <f t="shared" si="4"/>
        <v>11001_2-4</v>
      </c>
      <c r="I14" s="5">
        <f ca="1">VLOOKUP($H14,OFFSET(floors!$A$1,0,0,COUNTA(floors!$A:$A),MATCH(I$1,floors!$1:$1,0)-MATCH($H$1,floors!$1:$1,0)+1),MATCH(I$1,floors!$1:$1,0)-MATCH($H$1,floors!$1:$1,0)+1,FALSE)</f>
        <v>45</v>
      </c>
      <c r="J14" s="5">
        <f ca="1">VLOOKUP($H14,OFFSET(floors!$A$1,0,0,COUNTA(floors!$A:$A),MATCH(J$1,floors!$1:$1,0)-MATCH($H$1,floors!$1:$1,0)+1),MATCH(J$1,floors!$1:$1,0)-MATCH($H$1,floors!$1:$1,0)+1,FALSE)</f>
        <v>45</v>
      </c>
      <c r="K14" s="24" t="s">
        <v>197</v>
      </c>
      <c r="L14" s="24">
        <v>114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イエローラビット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22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20">
        <f ca="1">VLOOKUP($L14,OFFSET([3]enemies!$A$1,0,0,COUNTA([3]enemies!$A:$A),MATCH(Q$1,[3]enemies!$1:$1,0)-MATCH($L$1,[3]enemies!$1:$1,0)+1),MATCH(Q$1,[3]enemies!$1:$1,0)-MATCH($L$1,[3]enemies!$1:$1,0)+1,FALSE)</f>
        <v>15</v>
      </c>
      <c r="R14" s="6">
        <v>15</v>
      </c>
      <c r="S14" s="40">
        <v>1.8</v>
      </c>
      <c r="T14" s="39">
        <v>1</v>
      </c>
      <c r="U14" s="6">
        <v>0</v>
      </c>
      <c r="V14" s="5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5">
        <f ca="1">VLOOKUP($L14,OFFSET([3]enemies!$A$1,0,0,COUNTA([3]enemies!$A:$A),MATCH(W$1,[3]enemies!$1:$1,0)-MATCH($L$1,[3]enemies!$1:$1,0)+1),MATCH(W$1,[3]enemies!$1:$1,0)-MATCH($L$1,[3]enemies!$1:$1,0)+1,FALSE)</f>
        <v>0</v>
      </c>
      <c r="X14" s="7">
        <v>0</v>
      </c>
      <c r="Y14" s="7">
        <v>100</v>
      </c>
      <c r="Z14" s="7">
        <v>0</v>
      </c>
      <c r="AA14" s="20">
        <f ca="1">VLOOKUP($L14,OFFSET([3]enemies!$A$1,0,0,COUNTA([3]enemies!$A:$A),MATCH(AA$1,[3]enemies!$1:$1,0)-MATCH($L$1,[3]enemies!$1:$1,0)+1),MATCH(AA$1,[3]enemies!$1:$1,0)-MATCH($L$1,[3]enemies!$1:$1,0)+1,FALSE)</f>
        <v>2</v>
      </c>
      <c r="AB14" s="24">
        <v>114</v>
      </c>
      <c r="AC14" s="5" t="str">
        <f ca="1">IFERROR(VLOOKUP($AB14,OFFSET([4]characters!$A$1,0,0,COUNTA([4]characters!$A:$A),MATCH(AC$1,[4]characters!$1:$1,0)-MATCH("character_id",[4]characters!$1:$1,0)+1),MATCH(AC$1,[4]characters!$1:$1,0)-MATCH("character_id",[4]characters!$1:$1,0)+1,FALSE),"")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14" s="5">
        <f ca="1">IFERROR(VLOOKUP($AB14,OFFSET([4]characters!$A$1,0,0,COUNTA([4]characters!$A:$A),MATCH(AD$1,[4]characters!$1:$1,0)-MATCH("character_id",[4]characters!$1:$1,0)+1),MATCH(AD$1,[4]characters!$1:$1,0)-MATCH("character_id",[4]characters!$1:$1,0)+1,FALSE),"")</f>
        <v>3</v>
      </c>
      <c r="AE14" s="5" t="str">
        <f ca="1">IFERROR(VLOOKUP($AB14,OFFSET([4]characters!$A$1,0,0,COUNTA([4]characters!$A:$A),MATCH(AE$1,[4]characters!$1:$1,0)-MATCH("character_id",[4]characters!$1:$1,0)+1),MATCH(AE$1,[4]characters!$1:$1,0)-MATCH("character_id",[4]characters!$1:$1,0)+1,FALSE),"")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" s="8">
        <v>1</v>
      </c>
      <c r="AG14" s="27">
        <f t="shared" ca="1" si="7"/>
        <v>3</v>
      </c>
      <c r="AH14" s="80">
        <v>20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  <c r="AN14" s="8">
        <v>1</v>
      </c>
    </row>
    <row r="15" spans="1:40" ht="21" customHeight="1" x14ac:dyDescent="0.15">
      <c r="A15" s="17" t="str">
        <f t="shared" ca="1" si="5"/>
        <v>11001_2-4/115&lt;lv15&gt;s2</v>
      </c>
      <c r="B15" s="8">
        <v>11001</v>
      </c>
      <c r="C15" s="25">
        <v>2</v>
      </c>
      <c r="D15" s="2" t="str">
        <f t="shared" si="6"/>
        <v>11001_2</v>
      </c>
      <c r="E15" s="5" t="str">
        <f ca="1">VLOOKUP($B15,OFFSET([2]quests!$A$1,0,0,COUNTA([2]quests!$A:$A),MATCH(E$1,[2]quests!$1:$1,0)-MATCH($B$1,[2]quests!$1:$1,0)+1),MATCH(E$1,[2]quests!$1:$1,0)-MATCH($B$1,[2]quests!$1:$1,0)+1,FALSE)</f>
        <v>【月曜限定】 黄の素材</v>
      </c>
      <c r="F15" s="5" t="str">
        <f ca="1">VLOOKUP($D15,OFFSET([2]stages!$A$1,0,0,COUNTA([2]stages!$A:$A),MATCH(F$1,[2]stages!$2:$2,0)-MATCH($D$1,[2]stages!$2:$2,0)+1),MATCH(F$1,[2]stages!$2:$2,0)-MATCH($D$1,[2]stages!$2:$2,0)+1,FALSE)</f>
        <v>【中級】雷のウサギ</v>
      </c>
      <c r="G15" s="25">
        <v>4</v>
      </c>
      <c r="H15" s="16" t="str">
        <f t="shared" si="4"/>
        <v>11001_2-4</v>
      </c>
      <c r="I15" s="5">
        <f ca="1">VLOOKUP($H15,OFFSET(floors!$A$1,0,0,COUNTA(floors!$A:$A),MATCH(I$1,floors!$1:$1,0)-MATCH($H$1,floors!$1:$1,0)+1),MATCH(I$1,floors!$1:$1,0)-MATCH($H$1,floors!$1:$1,0)+1,FALSE)</f>
        <v>45</v>
      </c>
      <c r="J15" s="5">
        <f ca="1">VLOOKUP($H15,OFFSET(floors!$A$1,0,0,COUNTA(floors!$A:$A),MATCH(J$1,floors!$1:$1,0)-MATCH($H$1,floors!$1:$1,0)+1),MATCH(J$1,floors!$1:$1,0)-MATCH($H$1,floors!$1:$1,0)+1,FALSE)</f>
        <v>45</v>
      </c>
      <c r="K15" s="24" t="s">
        <v>197</v>
      </c>
      <c r="L15" s="24">
        <v>115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イエローキャタップ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22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15</v>
      </c>
      <c r="R15" s="6">
        <v>15</v>
      </c>
      <c r="S15" s="39">
        <v>2</v>
      </c>
      <c r="T15" s="39">
        <v>1</v>
      </c>
      <c r="U15" s="6">
        <v>0</v>
      </c>
      <c r="V15" s="5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5">
        <f ca="1">VLOOKUP($L15,OFFSET([3]enemies!$A$1,0,0,COUNTA([3]enemies!$A:$A),MATCH(W$1,[3]enemies!$1:$1,0)-MATCH($L$1,[3]enemies!$1:$1,0)+1),MATCH(W$1,[3]enemies!$1:$1,0)-MATCH($L$1,[3]enemies!$1:$1,0)+1,FALSE)</f>
        <v>0</v>
      </c>
      <c r="X15" s="7">
        <v>0</v>
      </c>
      <c r="Y15" s="7">
        <v>25</v>
      </c>
      <c r="Z15" s="7">
        <v>0</v>
      </c>
      <c r="AA15" s="20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v>115</v>
      </c>
      <c r="AC15" s="5" t="str">
        <f ca="1">IFERROR(VLOOKUP($AB15,OFFSET([4]characters!$A$1,0,0,COUNTA([4]characters!$A:$A),MATCH(AC$1,[4]characters!$1:$1,0)-MATCH("character_id",[4]characters!$1:$1,0)+1),MATCH(AC$1,[4]characters!$1:$1,0)-MATCH("character_id",[4]characters!$1:$1,0)+1,FALSE),"")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15" s="5">
        <f ca="1">IFERROR(VLOOKUP($AB15,OFFSET([4]characters!$A$1,0,0,COUNTA([4]characters!$A:$A),MATCH(AD$1,[4]characters!$1:$1,0)-MATCH("character_id",[4]characters!$1:$1,0)+1),MATCH(AD$1,[4]characters!$1:$1,0)-MATCH("character_id",[4]characters!$1:$1,0)+1,FALSE),"")</f>
        <v>4</v>
      </c>
      <c r="AE15" s="5" t="str">
        <f ca="1">IFERROR(VLOOKUP($AB15,OFFSET([4]characters!$A$1,0,0,COUNTA([4]characters!$A:$A),MATCH(AE$1,[4]characters!$1:$1,0)-MATCH("character_id",[4]characters!$1:$1,0)+1),MATCH(AE$1,[4]characters!$1:$1,0)-MATCH("character_id",[4]characters!$1:$1,0)+1,FALSE),"")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" s="8">
        <v>1</v>
      </c>
      <c r="AG15" s="27">
        <f t="shared" ca="1" si="7"/>
        <v>4</v>
      </c>
      <c r="AH15" s="80">
        <v>5</v>
      </c>
      <c r="AI15" s="8">
        <v>0</v>
      </c>
      <c r="AJ15" s="8">
        <v>0</v>
      </c>
      <c r="AK15" s="8">
        <v>0</v>
      </c>
      <c r="AL15" s="8">
        <v>0</v>
      </c>
      <c r="AM15" s="8">
        <v>1</v>
      </c>
      <c r="AN15" s="8">
        <v>1</v>
      </c>
    </row>
    <row r="16" spans="1:40" ht="21" customHeight="1" x14ac:dyDescent="0.15">
      <c r="A16" s="17" t="str">
        <f t="shared" ref="A16" ca="1" si="8">B16&amp;"_"&amp;C16&amp;"-"&amp;G16&amp;"/"&amp;L16&amp;"&lt;lv"&amp;R16&amp;"&gt;s"&amp;AA16</f>
        <v>11001_2-5/114&lt;lv15&gt;s2</v>
      </c>
      <c r="B16" s="8">
        <v>11001</v>
      </c>
      <c r="C16" s="25">
        <v>2</v>
      </c>
      <c r="D16" s="2" t="str">
        <f t="shared" ref="D16" si="9">B16&amp;"_"&amp;C16</f>
        <v>11001_2</v>
      </c>
      <c r="E16" s="5" t="str">
        <f ca="1">VLOOKUP($B16,OFFSET([2]quests!$A$1,0,0,COUNTA([2]quests!$A:$A),MATCH(E$1,[2]quests!$1:$1,0)-MATCH($B$1,[2]quests!$1:$1,0)+1),MATCH(E$1,[2]quests!$1:$1,0)-MATCH($B$1,[2]quests!$1:$1,0)+1,FALSE)</f>
        <v>【月曜限定】 黄の素材</v>
      </c>
      <c r="F16" s="5" t="str">
        <f ca="1">VLOOKUP($D16,OFFSET([2]stages!$A$1,0,0,COUNTA([2]stages!$A:$A),MATCH(F$1,[2]stages!$2:$2,0)-MATCH($D$1,[2]stages!$2:$2,0)+1),MATCH(F$1,[2]stages!$2:$2,0)-MATCH($D$1,[2]stages!$2:$2,0)+1,FALSE)</f>
        <v>【中級】雷のウサギ</v>
      </c>
      <c r="G16" s="25">
        <v>5</v>
      </c>
      <c r="H16" s="16" t="str">
        <f t="shared" si="4"/>
        <v>11001_2-5</v>
      </c>
      <c r="I16" s="5">
        <f ca="1">VLOOKUP($H16,OFFSET(floors!$A$1,0,0,COUNTA(floors!$A:$A),MATCH(I$1,floors!$1:$1,0)-MATCH($H$1,floors!$1:$1,0)+1),MATCH(I$1,floors!$1:$1,0)-MATCH($H$1,floors!$1:$1,0)+1,FALSE)</f>
        <v>50</v>
      </c>
      <c r="J16" s="5">
        <f ca="1">VLOOKUP($H16,OFFSET(floors!$A$1,0,0,COUNTA(floors!$A:$A),MATCH(J$1,floors!$1:$1,0)-MATCH($H$1,floors!$1:$1,0)+1),MATCH(J$1,floors!$1:$1,0)-MATCH($H$1,floors!$1:$1,0)+1,FALSE)</f>
        <v>50</v>
      </c>
      <c r="K16" s="24" t="s">
        <v>197</v>
      </c>
      <c r="L16" s="24">
        <v>114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イエローラビット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22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15</v>
      </c>
      <c r="R16" s="6">
        <v>15</v>
      </c>
      <c r="S16" s="40">
        <v>1.8</v>
      </c>
      <c r="T16" s="39">
        <v>1</v>
      </c>
      <c r="U16" s="6">
        <v>0</v>
      </c>
      <c r="V16" s="5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5">
        <f ca="1">VLOOKUP($L16,OFFSET([3]enemies!$A$1,0,0,COUNTA([3]enemies!$A:$A),MATCH(W$1,[3]enemies!$1:$1,0)-MATCH($L$1,[3]enemies!$1:$1,0)+1),MATCH(W$1,[3]enemies!$1:$1,0)-MATCH($L$1,[3]enemies!$1:$1,0)+1,FALSE)</f>
        <v>0</v>
      </c>
      <c r="X16" s="7">
        <v>2</v>
      </c>
      <c r="Y16" s="7">
        <v>100</v>
      </c>
      <c r="Z16" s="7">
        <v>0</v>
      </c>
      <c r="AA16" s="20">
        <f ca="1">VLOOKUP($L16,OFFSET([3]enemies!$A$1,0,0,COUNTA([3]enemies!$A:$A),MATCH(AA$1,[3]enemies!$1:$1,0)-MATCH($L$1,[3]enemies!$1:$1,0)+1),MATCH(AA$1,[3]enemies!$1:$1,0)-MATCH($L$1,[3]enemies!$1:$1,0)+1,FALSE)</f>
        <v>2</v>
      </c>
      <c r="AB16" s="24">
        <v>114</v>
      </c>
      <c r="AC16" s="5" t="str">
        <f ca="1">IFERROR(VLOOKUP($AB16,OFFSET([4]characters!$A$1,0,0,COUNTA([4]characters!$A:$A),MATCH(AC$1,[4]characters!$1:$1,0)-MATCH("character_id",[4]characters!$1:$1,0)+1),MATCH(AC$1,[4]characters!$1:$1,0)-MATCH("character_id",[4]characters!$1:$1,0)+1,FALSE),"")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16" s="5">
        <f ca="1">IFERROR(VLOOKUP($AB16,OFFSET([4]characters!$A$1,0,0,COUNTA([4]characters!$A:$A),MATCH(AD$1,[4]characters!$1:$1,0)-MATCH("character_id",[4]characters!$1:$1,0)+1),MATCH(AD$1,[4]characters!$1:$1,0)-MATCH("character_id",[4]characters!$1:$1,0)+1,FALSE),"")</f>
        <v>3</v>
      </c>
      <c r="AE16" s="5" t="str">
        <f ca="1">IFERROR(VLOOKUP($AB16,OFFSET([4]characters!$A$1,0,0,COUNTA([4]characters!$A:$A),MATCH(AE$1,[4]characters!$1:$1,0)-MATCH("character_id",[4]characters!$1:$1,0)+1),MATCH(AE$1,[4]characters!$1:$1,0)-MATCH("character_id",[4]characters!$1:$1,0)+1,FALSE),"")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" s="8">
        <v>1</v>
      </c>
      <c r="AG16" s="27">
        <f t="shared" ref="AG16" ca="1" si="10">AD16</f>
        <v>3</v>
      </c>
      <c r="AH16" s="80">
        <v>100</v>
      </c>
      <c r="AI16" s="8">
        <v>0</v>
      </c>
      <c r="AJ16" s="8">
        <v>0</v>
      </c>
      <c r="AK16" s="8">
        <v>0</v>
      </c>
      <c r="AL16" s="8">
        <v>0</v>
      </c>
      <c r="AM16" s="8">
        <v>1</v>
      </c>
      <c r="AN16" s="8">
        <v>1</v>
      </c>
    </row>
    <row r="17" spans="1:40" ht="21" customHeight="1" x14ac:dyDescent="0.15">
      <c r="A17" s="17" t="str">
        <f t="shared" ca="1" si="5"/>
        <v>11001_2-5/56&lt;lv18&gt;s4</v>
      </c>
      <c r="B17" s="8">
        <v>11001</v>
      </c>
      <c r="C17" s="25">
        <v>2</v>
      </c>
      <c r="D17" s="2" t="str">
        <f t="shared" si="6"/>
        <v>11001_2</v>
      </c>
      <c r="E17" s="5" t="str">
        <f ca="1">VLOOKUP($B17,OFFSET([2]quests!$A$1,0,0,COUNTA([2]quests!$A:$A),MATCH(E$1,[2]quests!$1:$1,0)-MATCH($B$1,[2]quests!$1:$1,0)+1),MATCH(E$1,[2]quests!$1:$1,0)-MATCH($B$1,[2]quests!$1:$1,0)+1,FALSE)</f>
        <v>【月曜限定】 黄の素材</v>
      </c>
      <c r="F17" s="5" t="str">
        <f ca="1">VLOOKUP($D17,OFFSET([2]stages!$A$1,0,0,COUNTA([2]stages!$A:$A),MATCH(F$1,[2]stages!$2:$2,0)-MATCH($D$1,[2]stages!$2:$2,0)+1),MATCH(F$1,[2]stages!$2:$2,0)-MATCH($D$1,[2]stages!$2:$2,0)+1,FALSE)</f>
        <v>【中級】雷のウサギ</v>
      </c>
      <c r="G17" s="25">
        <v>5</v>
      </c>
      <c r="H17" s="16" t="str">
        <f t="shared" si="4"/>
        <v>11001_2-5</v>
      </c>
      <c r="I17" s="5">
        <f ca="1">VLOOKUP($H17,OFFSET(floors!$A$1,0,0,COUNTA(floors!$A:$A),MATCH(I$1,floors!$1:$1,0)-MATCH($H$1,floors!$1:$1,0)+1),MATCH(I$1,floors!$1:$1,0)-MATCH($H$1,floors!$1:$1,0)+1,FALSE)</f>
        <v>50</v>
      </c>
      <c r="J17" s="5">
        <f ca="1">VLOOKUP($H17,OFFSET(floors!$A$1,0,0,COUNTA(floors!$A:$A),MATCH(J$1,floors!$1:$1,0)-MATCH($H$1,floors!$1:$1,0)+1),MATCH(J$1,floors!$1:$1,0)-MATCH($H$1,floors!$1:$1,0)+1,FALSE)</f>
        <v>50</v>
      </c>
      <c r="K17" s="24" t="s">
        <v>197</v>
      </c>
      <c r="L17" s="24">
        <v>56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黄槌のレジスタンス マミコ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22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20">
        <f ca="1">VLOOKUP($L17,OFFSET([3]enemies!$A$1,0,0,COUNTA([3]enemies!$A:$A),MATCH(Q$1,[3]enemies!$1:$1,0)-MATCH($L$1,[3]enemies!$1:$1,0)+1),MATCH(Q$1,[3]enemies!$1:$1,0)-MATCH($L$1,[3]enemies!$1:$1,0)+1,FALSE)</f>
        <v>20</v>
      </c>
      <c r="R17" s="6">
        <v>18</v>
      </c>
      <c r="S17" s="39">
        <v>1</v>
      </c>
      <c r="T17" s="39">
        <v>1</v>
      </c>
      <c r="U17" s="6">
        <v>0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4ターンスキルが使えない！</v>
      </c>
      <c r="W17" s="5">
        <f ca="1">VLOOKUP($L17,OFFSET([3]enemies!$A$1,0,0,COUNTA([3]enemies!$A:$A),MATCH(W$1,[3]enemies!$1:$1,0)-MATCH($L$1,[3]enemies!$1:$1,0)+1),MATCH(W$1,[3]enemies!$1:$1,0)-MATCH($L$1,[3]enemies!$1:$1,0)+1,FALSE)</f>
        <v>56</v>
      </c>
      <c r="X17" s="7">
        <v>0</v>
      </c>
      <c r="Y17" s="7">
        <v>100</v>
      </c>
      <c r="Z17" s="7">
        <v>1</v>
      </c>
      <c r="AA17" s="20">
        <f ca="1">VLOOKUP($L17,OFFSET([3]enemies!$A$1,0,0,COUNTA([3]enemies!$A:$A),MATCH(AA$1,[3]enemies!$1:$1,0)-MATCH($L$1,[3]enemies!$1:$1,0)+1),MATCH(AA$1,[3]enemies!$1:$1,0)-MATCH($L$1,[3]enemies!$1:$1,0)+1,FALSE)</f>
        <v>4</v>
      </c>
      <c r="AB17" s="24">
        <v>55</v>
      </c>
      <c r="AC17" s="5" t="str">
        <f ca="1">IFERROR(VLOOKUP($AB17,OFFSET([4]characters!$A$1,0,0,COUNTA([4]characters!$A:$A),MATCH(AC$1,[4]characters!$1:$1,0)-MATCH("character_id",[4]characters!$1:$1,0)+1),MATCH(AC$1,[4]characters!$1:$1,0)-MATCH("character_id",[4]characters!$1:$1,0)+1,FALSE),"")</f>
        <v>マミコ</v>
      </c>
      <c r="AD17" s="5">
        <f ca="1">IFERROR(VLOOKUP($AB17,OFFSET([4]characters!$A$1,0,0,COUNTA([4]characters!$A:$A),MATCH(AD$1,[4]characters!$1:$1,0)-MATCH("character_id",[4]characters!$1:$1,0)+1),MATCH(AD$1,[4]characters!$1:$1,0)-MATCH("character_id",[4]characters!$1:$1,0)+1,FALSE),"")</f>
        <v>2</v>
      </c>
      <c r="AE17" s="5" t="str">
        <f ca="1">IFERROR(VLOOKUP($AB17,OFFSET([4]characters!$A$1,0,0,COUNTA([4]characters!$A:$A),MATCH(AE$1,[4]characters!$1:$1,0)-MATCH("character_id",[4]characters!$1:$1,0)+1),MATCH(AE$1,[4]characters!$1:$1,0)-MATCH("character_id",[4]characters!$1:$1,0)+1,FALSE),"")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7" s="8">
        <v>1</v>
      </c>
      <c r="AG17" s="27">
        <f t="shared" ca="1" si="7"/>
        <v>2</v>
      </c>
      <c r="AH17" s="9">
        <v>0</v>
      </c>
      <c r="AI17" s="8">
        <v>0</v>
      </c>
      <c r="AJ17" s="8">
        <v>0</v>
      </c>
      <c r="AK17" s="8">
        <v>0</v>
      </c>
      <c r="AL17" s="8">
        <v>0</v>
      </c>
      <c r="AM17" s="8">
        <v>1</v>
      </c>
      <c r="AN17" s="8">
        <v>1</v>
      </c>
    </row>
    <row r="18" spans="1:40" ht="21" customHeight="1" x14ac:dyDescent="0.15">
      <c r="A18" s="17" t="str">
        <f t="shared" ref="A18" ca="1" si="11">B18&amp;"_"&amp;C18&amp;"-"&amp;G18&amp;"/"&amp;L18&amp;"&lt;lv"&amp;R18&amp;"&gt;s"&amp;AA18</f>
        <v>11001_2-5/48&lt;lv18&gt;s1</v>
      </c>
      <c r="B18" s="8">
        <v>11001</v>
      </c>
      <c r="C18" s="25">
        <v>2</v>
      </c>
      <c r="D18" s="2" t="str">
        <f t="shared" ref="D18" si="12">B18&amp;"_"&amp;C18</f>
        <v>11001_2</v>
      </c>
      <c r="E18" s="5" t="str">
        <f ca="1">VLOOKUP($B18,OFFSET([2]quests!$A$1,0,0,COUNTA([2]quests!$A:$A),MATCH(E$1,[2]quests!$1:$1,0)-MATCH($B$1,[2]quests!$1:$1,0)+1),MATCH(E$1,[2]quests!$1:$1,0)-MATCH($B$1,[2]quests!$1:$1,0)+1,FALSE)</f>
        <v>【月曜限定】 黄の素材</v>
      </c>
      <c r="F18" s="5" t="str">
        <f ca="1">VLOOKUP($D18,OFFSET([2]stages!$A$1,0,0,COUNTA([2]stages!$A:$A),MATCH(F$1,[2]stages!$2:$2,0)-MATCH($D$1,[2]stages!$2:$2,0)+1),MATCH(F$1,[2]stages!$2:$2,0)-MATCH($D$1,[2]stages!$2:$2,0)+1,FALSE)</f>
        <v>【中級】雷のウサギ</v>
      </c>
      <c r="G18" s="25">
        <v>5</v>
      </c>
      <c r="H18" s="16" t="str">
        <f t="shared" si="4"/>
        <v>11001_2-5</v>
      </c>
      <c r="I18" s="5">
        <f ca="1">VLOOKUP($H18,OFFSET(floors!$A$1,0,0,COUNTA(floors!$A:$A),MATCH(I$1,floors!$1:$1,0)-MATCH($H$1,floors!$1:$1,0)+1),MATCH(I$1,floors!$1:$1,0)-MATCH($H$1,floors!$1:$1,0)+1,FALSE)</f>
        <v>50</v>
      </c>
      <c r="J18" s="5">
        <f ca="1">VLOOKUP($H18,OFFSET(floors!$A$1,0,0,COUNTA(floors!$A:$A),MATCH(J$1,floors!$1:$1,0)-MATCH($H$1,floors!$1:$1,0)+1),MATCH(J$1,floors!$1:$1,0)-MATCH($H$1,floors!$1:$1,0)+1,FALSE)</f>
        <v>50</v>
      </c>
      <c r="K18" s="24" t="s">
        <v>197</v>
      </c>
      <c r="L18" s="24">
        <v>48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サンダーステップのヒロ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22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20">
        <f ca="1">VLOOKUP($L18,OFFSET([3]enemies!$A$1,0,0,COUNTA([3]enemies!$A:$A),MATCH(Q$1,[3]enemies!$1:$1,0)-MATCH($L$1,[3]enemies!$1:$1,0)+1),MATCH(Q$1,[3]enemies!$1:$1,0)-MATCH($L$1,[3]enemies!$1:$1,0)+1,FALSE)</f>
        <v>20</v>
      </c>
      <c r="R18" s="6">
        <v>18</v>
      </c>
      <c r="S18" s="39">
        <v>1</v>
      </c>
      <c r="T18" s="39">
        <v>1</v>
      </c>
      <c r="U18" s="6">
        <v>0</v>
      </c>
      <c r="V18" s="5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5">
        <f ca="1">VLOOKUP($L18,OFFSET([3]enemies!$A$1,0,0,COUNTA([3]enemies!$A:$A),MATCH(W$1,[3]enemies!$1:$1,0)-MATCH($L$1,[3]enemies!$1:$1,0)+1),MATCH(W$1,[3]enemies!$1:$1,0)-MATCH($L$1,[3]enemies!$1:$1,0)+1,FALSE)</f>
        <v>0</v>
      </c>
      <c r="X18" s="7">
        <v>0</v>
      </c>
      <c r="Y18" s="7">
        <v>100</v>
      </c>
      <c r="Z18" s="7">
        <v>1</v>
      </c>
      <c r="AA18" s="20">
        <f ca="1">VLOOKUP($L18,OFFSET([3]enemies!$A$1,0,0,COUNTA([3]enemies!$A:$A),MATCH(AA$1,[3]enemies!$1:$1,0)-MATCH($L$1,[3]enemies!$1:$1,0)+1),MATCH(AA$1,[3]enemies!$1:$1,0)-MATCH($L$1,[3]enemies!$1:$1,0)+1,FALSE)</f>
        <v>1</v>
      </c>
      <c r="AB18" s="24">
        <v>47</v>
      </c>
      <c r="AC18" s="5" t="str">
        <f ca="1">IFERROR(VLOOKUP($AB18,OFFSET([4]characters!$A$1,0,0,COUNTA([4]characters!$A:$A),MATCH(AC$1,[4]characters!$1:$1,0)-MATCH("character_id",[4]characters!$1:$1,0)+1),MATCH(AC$1,[4]characters!$1:$1,0)-MATCH("character_id",[4]characters!$1:$1,0)+1,FALSE),"")</f>
        <v>ヒロ</v>
      </c>
      <c r="AD18" s="5">
        <f ca="1">IFERROR(VLOOKUP($AB18,OFFSET([4]characters!$A$1,0,0,COUNTA([4]characters!$A:$A),MATCH(AD$1,[4]characters!$1:$1,0)-MATCH("character_id",[4]characters!$1:$1,0)+1),MATCH(AD$1,[4]characters!$1:$1,0)-MATCH("character_id",[4]characters!$1:$1,0)+1,FALSE),"")</f>
        <v>2</v>
      </c>
      <c r="AE18" s="5" t="str">
        <f ca="1">IFERROR(VLOOKUP($AB18,OFFSET([4]characters!$A$1,0,0,COUNTA([4]characters!$A:$A),MATCH(AE$1,[4]characters!$1:$1,0)-MATCH("character_id",[4]characters!$1:$1,0)+1),MATCH(AE$1,[4]characters!$1:$1,0)-MATCH("character_id",[4]characters!$1:$1,0)+1,FALSE),"")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8" s="8">
        <v>1</v>
      </c>
      <c r="AG18" s="27">
        <f t="shared" ref="AG18" ca="1" si="13">AD18</f>
        <v>2</v>
      </c>
      <c r="AH18" s="9">
        <v>0</v>
      </c>
      <c r="AI18" s="8">
        <v>0</v>
      </c>
      <c r="AJ18" s="8">
        <v>0</v>
      </c>
      <c r="AK18" s="8">
        <v>0</v>
      </c>
      <c r="AL18" s="8">
        <v>0</v>
      </c>
      <c r="AM18" s="8">
        <v>1</v>
      </c>
      <c r="AN18" s="8">
        <v>1</v>
      </c>
    </row>
    <row r="19" spans="1:40" ht="21" customHeight="1" x14ac:dyDescent="0.15">
      <c r="A19" s="17" t="str">
        <f t="shared" ref="A19" ca="1" si="14">B19&amp;"_"&amp;C19&amp;"-"&amp;G19&amp;"/"&amp;L19&amp;"&lt;lv"&amp;R19&amp;"&gt;s"&amp;AA19</f>
        <v>11001_2-5/64&lt;lv18&gt;s1</v>
      </c>
      <c r="B19" s="8">
        <v>11001</v>
      </c>
      <c r="C19" s="25">
        <v>2</v>
      </c>
      <c r="D19" s="2" t="str">
        <f t="shared" ref="D19" si="15">B19&amp;"_"&amp;C19</f>
        <v>11001_2</v>
      </c>
      <c r="E19" s="5" t="str">
        <f ca="1">VLOOKUP($B19,OFFSET([2]quests!$A$1,0,0,COUNTA([2]quests!$A:$A),MATCH(E$1,[2]quests!$1:$1,0)-MATCH($B$1,[2]quests!$1:$1,0)+1),MATCH(E$1,[2]quests!$1:$1,0)-MATCH($B$1,[2]quests!$1:$1,0)+1,FALSE)</f>
        <v>【月曜限定】 黄の素材</v>
      </c>
      <c r="F19" s="5" t="str">
        <f ca="1">VLOOKUP($D19,OFFSET([2]stages!$A$1,0,0,COUNTA([2]stages!$A:$A),MATCH(F$1,[2]stages!$2:$2,0)-MATCH($D$1,[2]stages!$2:$2,0)+1),MATCH(F$1,[2]stages!$2:$2,0)-MATCH($D$1,[2]stages!$2:$2,0)+1,FALSE)</f>
        <v>【中級】雷のウサギ</v>
      </c>
      <c r="G19" s="25">
        <v>5</v>
      </c>
      <c r="H19" s="16" t="str">
        <f t="shared" si="4"/>
        <v>11001_2-5</v>
      </c>
      <c r="I19" s="5">
        <f ca="1">VLOOKUP($H19,OFFSET(floors!$A$1,0,0,COUNTA(floors!$A:$A),MATCH(I$1,floors!$1:$1,0)-MATCH($H$1,floors!$1:$1,0)+1),MATCH(I$1,floors!$1:$1,0)-MATCH($H$1,floors!$1:$1,0)+1,FALSE)</f>
        <v>50</v>
      </c>
      <c r="J19" s="5">
        <f ca="1">VLOOKUP($H19,OFFSET(floors!$A$1,0,0,COUNTA(floors!$A:$A),MATCH(J$1,floors!$1:$1,0)-MATCH($H$1,floors!$1:$1,0)+1),MATCH(J$1,floors!$1:$1,0)-MATCH($H$1,floors!$1:$1,0)+1,FALSE)</f>
        <v>50</v>
      </c>
      <c r="K19" s="24" t="s">
        <v>197</v>
      </c>
      <c r="L19" s="24">
        <v>64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フレイムエッジ トニー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yellow</v>
      </c>
      <c r="O19" s="22" t="str">
        <f ca="1">VLOOKUP($L19,OFFSET([4]characters!$A$1,0,0,COUNTA([4]characters!$A:$A),MATCH(O$1,[4]characters!$1:$1,0)-MATCH($L$1,[4]characters!$1:$1,0)+1),MATCH(O$1,[4]characters!$1:$1,0)-MATCH($L$1,[4]characters!$1:$1,0)+1,FALSE)</f>
        <v>Drop1N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20">
        <f ca="1">VLOOKUP($L19,OFFSET([3]enemies!$A$1,0,0,COUNTA([3]enemies!$A:$A),MATCH(Q$1,[3]enemies!$1:$1,0)-MATCH($L$1,[3]enemies!$1:$1,0)+1),MATCH(Q$1,[3]enemies!$1:$1,0)-MATCH($L$1,[3]enemies!$1:$1,0)+1,FALSE)</f>
        <v>20</v>
      </c>
      <c r="R19" s="6">
        <v>18</v>
      </c>
      <c r="S19" s="39">
        <v>1</v>
      </c>
      <c r="T19" s="39">
        <v>1</v>
      </c>
      <c r="U19" s="6">
        <v>0</v>
      </c>
      <c r="V19" s="5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19" s="5">
        <f ca="1">VLOOKUP($L19,OFFSET([3]enemies!$A$1,0,0,COUNTA([3]enemies!$A:$A),MATCH(W$1,[3]enemies!$1:$1,0)-MATCH($L$1,[3]enemies!$1:$1,0)+1),MATCH(W$1,[3]enemies!$1:$1,0)-MATCH($L$1,[3]enemies!$1:$1,0)+1,FALSE)</f>
        <v>64</v>
      </c>
      <c r="X19" s="7">
        <v>0</v>
      </c>
      <c r="Y19" s="7">
        <v>100</v>
      </c>
      <c r="Z19" s="7">
        <v>1</v>
      </c>
      <c r="AA19" s="20">
        <f ca="1">VLOOKUP($L19,OFFSET([3]enemies!$A$1,0,0,COUNTA([3]enemies!$A:$A),MATCH(AA$1,[3]enemies!$1:$1,0)-MATCH($L$1,[3]enemies!$1:$1,0)+1),MATCH(AA$1,[3]enemies!$1:$1,0)-MATCH($L$1,[3]enemies!$1:$1,0)+1,FALSE)</f>
        <v>1</v>
      </c>
      <c r="AB19" s="24">
        <v>63</v>
      </c>
      <c r="AC19" s="5" t="str">
        <f ca="1">IFERROR(VLOOKUP($AB19,OFFSET([4]characters!$A$1,0,0,COUNTA([4]characters!$A:$A),MATCH(AC$1,[4]characters!$1:$1,0)-MATCH("character_id",[4]characters!$1:$1,0)+1),MATCH(AC$1,[4]characters!$1:$1,0)-MATCH("character_id",[4]characters!$1:$1,0)+1,FALSE),"")</f>
        <v>トニー</v>
      </c>
      <c r="AD19" s="5">
        <f ca="1">IFERROR(VLOOKUP($AB19,OFFSET([4]characters!$A$1,0,0,COUNTA([4]characters!$A:$A),MATCH(AD$1,[4]characters!$1:$1,0)-MATCH("character_id",[4]characters!$1:$1,0)+1),MATCH(AD$1,[4]characters!$1:$1,0)-MATCH("character_id",[4]characters!$1:$1,0)+1,FALSE),"")</f>
        <v>2</v>
      </c>
      <c r="AE19" s="5" t="str">
        <f ca="1">IFERROR(VLOOKUP($AB19,OFFSET([4]characters!$A$1,0,0,COUNTA([4]characters!$A:$A),MATCH(AE$1,[4]characters!$1:$1,0)-MATCH("character_id",[4]characters!$1:$1,0)+1),MATCH(AE$1,[4]characters!$1:$1,0)-MATCH("character_id",[4]characters!$1:$1,0)+1,FALSE),"")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9" s="8">
        <v>1</v>
      </c>
      <c r="AG19" s="27">
        <f t="shared" ref="AG19" ca="1" si="16">AD19</f>
        <v>2</v>
      </c>
      <c r="AH19" s="9">
        <v>0</v>
      </c>
      <c r="AI19" s="8">
        <v>0</v>
      </c>
      <c r="AJ19" s="8">
        <v>0</v>
      </c>
      <c r="AK19" s="8">
        <v>0</v>
      </c>
      <c r="AL19" s="8">
        <v>0</v>
      </c>
      <c r="AM19" s="8">
        <v>1</v>
      </c>
      <c r="AN19" s="8">
        <v>1</v>
      </c>
    </row>
    <row r="20" spans="1:40" ht="21" customHeight="1" x14ac:dyDescent="0.15">
      <c r="A20" s="17" t="str">
        <f t="shared" ca="1" si="0"/>
        <v>11001_3-1/115&lt;lv30&gt;s2</v>
      </c>
      <c r="B20" s="8">
        <v>11001</v>
      </c>
      <c r="C20" s="25">
        <v>3</v>
      </c>
      <c r="D20" s="2" t="str">
        <f t="shared" si="1"/>
        <v>11001_3</v>
      </c>
      <c r="E20" s="5" t="str">
        <f ca="1">VLOOKUP($B20,OFFSET([2]quests!$A$1,0,0,COUNTA([2]quests!$A:$A),MATCH(E$1,[2]quests!$1:$1,0)-MATCH($B$1,[2]quests!$1:$1,0)+1),MATCH(E$1,[2]quests!$1:$1,0)-MATCH($B$1,[2]quests!$1:$1,0)+1,FALSE)</f>
        <v>【月曜限定】 黄の素材</v>
      </c>
      <c r="F20" s="5" t="str">
        <f ca="1">VLOOKUP($D20,OFFSET([2]stages!$A$1,0,0,COUNTA([2]stages!$A:$A),MATCH(F$1,[2]stages!$2:$2,0)-MATCH($D$1,[2]stages!$2:$2,0)+1),MATCH(F$1,[2]stages!$2:$2,0)-MATCH($D$1,[2]stages!$2:$2,0)+1,FALSE)</f>
        <v>【上級】雷のイモムシ</v>
      </c>
      <c r="G20" s="25">
        <v>1</v>
      </c>
      <c r="H20" s="16" t="str">
        <f t="shared" si="4"/>
        <v>11001_3-1</v>
      </c>
      <c r="I20" s="5">
        <f ca="1">VLOOKUP($H20,OFFSET(floors!$A$1,0,0,COUNTA(floors!$A:$A),MATCH(I$1,floors!$1:$1,0)-MATCH($H$1,floors!$1:$1,0)+1),MATCH(I$1,floors!$1:$1,0)-MATCH($H$1,floors!$1:$1,0)+1,FALSE)</f>
        <v>30</v>
      </c>
      <c r="J20" s="5">
        <f ca="1">VLOOKUP($H20,OFFSET(floors!$A$1,0,0,COUNTA(floors!$A:$A),MATCH(J$1,floors!$1:$1,0)-MATCH($H$1,floors!$1:$1,0)+1),MATCH(J$1,floors!$1:$1,0)-MATCH($H$1,floors!$1:$1,0)+1,FALSE)</f>
        <v>45</v>
      </c>
      <c r="K20" s="24" t="s">
        <v>197</v>
      </c>
      <c r="L20" s="24">
        <v>115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イエローキャタップ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yellow</v>
      </c>
      <c r="O20" s="22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15</v>
      </c>
      <c r="R20" s="6">
        <v>30</v>
      </c>
      <c r="S20" s="39">
        <v>2</v>
      </c>
      <c r="T20" s="39">
        <v>1</v>
      </c>
      <c r="U20" s="6">
        <v>0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5">
        <f ca="1">VLOOKUP($L20,OFFSET([3]enemies!$A$1,0,0,COUNTA([3]enemies!$A:$A),MATCH(W$1,[3]enemies!$1:$1,0)-MATCH($L$1,[3]enemies!$1:$1,0)+1),MATCH(W$1,[3]enemies!$1:$1,0)-MATCH($L$1,[3]enemies!$1:$1,0)+1,FALSE)</f>
        <v>0</v>
      </c>
      <c r="X20" s="7">
        <v>1</v>
      </c>
      <c r="Y20" s="7">
        <v>100</v>
      </c>
      <c r="Z20" s="7">
        <v>1</v>
      </c>
      <c r="AA20" s="20">
        <f ca="1">VLOOKUP($L20,OFFSET([3]enemies!$A$1,0,0,COUNTA([3]enemies!$A:$A),MATCH(AA$1,[3]enemies!$1:$1,0)-MATCH($L$1,[3]enemies!$1:$1,0)+1),MATCH(AA$1,[3]enemies!$1:$1,0)-MATCH($L$1,[3]enemies!$1:$1,0)+1,FALSE)</f>
        <v>2</v>
      </c>
      <c r="AB20" s="24">
        <v>115</v>
      </c>
      <c r="AC20" s="5" t="str">
        <f ca="1">IFERROR(VLOOKUP($AB20,OFFSET([4]characters!$A$1,0,0,COUNTA([4]characters!$A:$A),MATCH(AC$1,[4]characters!$1:$1,0)-MATCH("character_id",[4]characters!$1:$1,0)+1),MATCH(AC$1,[4]characters!$1:$1,0)-MATCH("character_id",[4]characters!$1:$1,0)+1,FALSE),"")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20" s="5">
        <f ca="1">IFERROR(VLOOKUP($AB20,OFFSET([4]characters!$A$1,0,0,COUNTA([4]characters!$A:$A),MATCH(AD$1,[4]characters!$1:$1,0)-MATCH("character_id",[4]characters!$1:$1,0)+1),MATCH(AD$1,[4]characters!$1:$1,0)-MATCH("character_id",[4]characters!$1:$1,0)+1,FALSE),"")</f>
        <v>4</v>
      </c>
      <c r="AE20" s="5" t="str">
        <f ca="1">IFERROR(VLOOKUP($AB20,OFFSET([4]characters!$A$1,0,0,COUNTA([4]characters!$A:$A),MATCH(AE$1,[4]characters!$1:$1,0)-MATCH("character_id",[4]characters!$1:$1,0)+1),MATCH(AE$1,[4]characters!$1:$1,0)-MATCH("character_id",[4]characters!$1:$1,0)+1,FALSE),"")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" s="8">
        <v>1</v>
      </c>
      <c r="AG20" s="27">
        <f t="shared" ca="1" si="3"/>
        <v>4</v>
      </c>
      <c r="AH20" s="9">
        <v>10</v>
      </c>
      <c r="AI20" s="8">
        <v>0</v>
      </c>
      <c r="AJ20" s="8">
        <v>0</v>
      </c>
      <c r="AK20" s="8">
        <v>0</v>
      </c>
      <c r="AL20" s="8">
        <v>0</v>
      </c>
      <c r="AM20" s="8">
        <v>1</v>
      </c>
      <c r="AN20" s="8">
        <v>1</v>
      </c>
    </row>
    <row r="21" spans="1:40" ht="21" customHeight="1" x14ac:dyDescent="0.15">
      <c r="A21" s="17" t="str">
        <f t="shared" ref="A21:A25" ca="1" si="17">B21&amp;"_"&amp;C21&amp;"-"&amp;G21&amp;"/"&amp;L21&amp;"&lt;lv"&amp;R21&amp;"&gt;s"&amp;AA21</f>
        <v>11001_3-1/39&lt;lv35&gt;s3</v>
      </c>
      <c r="B21" s="8">
        <v>11001</v>
      </c>
      <c r="C21" s="25">
        <v>3</v>
      </c>
      <c r="D21" s="2" t="str">
        <f t="shared" ref="D21:D25" si="18">B21&amp;"_"&amp;C21</f>
        <v>11001_3</v>
      </c>
      <c r="E21" s="5" t="str">
        <f ca="1">VLOOKUP($B21,OFFSET([2]quests!$A$1,0,0,COUNTA([2]quests!$A:$A),MATCH(E$1,[2]quests!$1:$1,0)-MATCH($B$1,[2]quests!$1:$1,0)+1),MATCH(E$1,[2]quests!$1:$1,0)-MATCH($B$1,[2]quests!$1:$1,0)+1,FALSE)</f>
        <v>【月曜限定】 黄の素材</v>
      </c>
      <c r="F21" s="5" t="str">
        <f ca="1">VLOOKUP($D21,OFFSET([2]stages!$A$1,0,0,COUNTA([2]stages!$A:$A),MATCH(F$1,[2]stages!$2:$2,0)-MATCH($D$1,[2]stages!$2:$2,0)+1),MATCH(F$1,[2]stages!$2:$2,0)-MATCH($D$1,[2]stages!$2:$2,0)+1,FALSE)</f>
        <v>【上級】雷のイモムシ</v>
      </c>
      <c r="G21" s="25">
        <v>1</v>
      </c>
      <c r="H21" s="16" t="str">
        <f t="shared" si="4"/>
        <v>11001_3-1</v>
      </c>
      <c r="I21" s="5">
        <f ca="1">VLOOKUP($H21,OFFSET(floors!$A$1,0,0,COUNTA(floors!$A:$A),MATCH(I$1,floors!$1:$1,0)-MATCH($H$1,floors!$1:$1,0)+1),MATCH(I$1,floors!$1:$1,0)-MATCH($H$1,floors!$1:$1,0)+1,FALSE)</f>
        <v>30</v>
      </c>
      <c r="J21" s="5">
        <f ca="1">VLOOKUP($H21,OFFSET(floors!$A$1,0,0,COUNTA(floors!$A:$A),MATCH(J$1,floors!$1:$1,0)-MATCH($H$1,floors!$1:$1,0)+1),MATCH(J$1,floors!$1:$1,0)-MATCH($H$1,floors!$1:$1,0)+1,FALSE)</f>
        <v>45</v>
      </c>
      <c r="K21" s="24" t="s">
        <v>197</v>
      </c>
      <c r="L21" s="24">
        <v>39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マーロン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22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human</v>
      </c>
      <c r="Q21" s="20">
        <f ca="1">VLOOKUP($L21,OFFSET([3]enemies!$A$1,0,0,COUNTA([3]enemies!$A:$A),MATCH(Q$1,[3]enemies!$1:$1,0)-MATCH($L$1,[3]enemies!$1:$1,0)+1),MATCH(Q$1,[3]enemies!$1:$1,0)-MATCH($L$1,[3]enemies!$1:$1,0)+1,FALSE)</f>
        <v>15</v>
      </c>
      <c r="R21" s="6">
        <v>35</v>
      </c>
      <c r="S21" s="39">
        <v>1</v>
      </c>
      <c r="T21" s="39">
        <v>1</v>
      </c>
      <c r="U21" s="6">
        <v>0</v>
      </c>
      <c r="V21" s="5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1" s="5">
        <f ca="1">VLOOKUP($L21,OFFSET([3]enemies!$A$1,0,0,COUNTA([3]enemies!$A:$A),MATCH(W$1,[3]enemies!$1:$1,0)-MATCH($L$1,[3]enemies!$1:$1,0)+1),MATCH(W$1,[3]enemies!$1:$1,0)-MATCH($L$1,[3]enemies!$1:$1,0)+1,FALSE)</f>
        <v>39</v>
      </c>
      <c r="X21" s="7">
        <v>0</v>
      </c>
      <c r="Y21" s="7">
        <v>100</v>
      </c>
      <c r="Z21" s="7">
        <v>0</v>
      </c>
      <c r="AA21" s="20">
        <f ca="1">VLOOKUP($L21,OFFSET([3]enemies!$A$1,0,0,COUNTA([3]enemies!$A:$A),MATCH(AA$1,[3]enemies!$1:$1,0)-MATCH($L$1,[3]enemies!$1:$1,0)+1),MATCH(AA$1,[3]enemies!$1:$1,0)-MATCH($L$1,[3]enemies!$1:$1,0)+1,FALSE)</f>
        <v>3</v>
      </c>
      <c r="AB21" s="24">
        <v>39</v>
      </c>
      <c r="AC21" s="5" t="str">
        <f ca="1">IFERROR(VLOOKUP($AB21,OFFSET([4]characters!$A$1,0,0,COUNTA([4]characters!$A:$A),MATCH(AC$1,[4]characters!$1:$1,0)-MATCH("character_id",[4]characters!$1:$1,0)+1),MATCH(AC$1,[4]characters!$1:$1,0)-MATCH("character_id",[4]characters!$1:$1,0)+1,FALSE),"")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1" s="5">
        <f ca="1">IFERROR(VLOOKUP($AB21,OFFSET([4]characters!$A$1,0,0,COUNTA([4]characters!$A:$A),MATCH(AD$1,[4]characters!$1:$1,0)-MATCH("character_id",[4]characters!$1:$1,0)+1),MATCH(AD$1,[4]characters!$1:$1,0)-MATCH("character_id",[4]characters!$1:$1,0)+1,FALSE),"")</f>
        <v>2</v>
      </c>
      <c r="AE21" s="5" t="str">
        <f ca="1">IFERROR(VLOOKUP($AB21,OFFSET([4]characters!$A$1,0,0,COUNTA([4]characters!$A:$A),MATCH(AE$1,[4]characters!$1:$1,0)-MATCH("character_id",[4]characters!$1:$1,0)+1),MATCH(AE$1,[4]characters!$1:$1,0)-MATCH("character_id",[4]characters!$1:$1,0)+1,FALSE),"")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1" s="8">
        <v>1</v>
      </c>
      <c r="AG21" s="27">
        <f t="shared" ref="AG21:AG25" ca="1" si="19">AD21</f>
        <v>2</v>
      </c>
      <c r="AH21" s="9">
        <v>0</v>
      </c>
      <c r="AI21" s="8">
        <v>0</v>
      </c>
      <c r="AJ21" s="8">
        <v>0</v>
      </c>
      <c r="AK21" s="8">
        <v>0</v>
      </c>
      <c r="AL21" s="8">
        <v>0</v>
      </c>
      <c r="AM21" s="8">
        <v>1</v>
      </c>
      <c r="AN21" s="8">
        <v>1</v>
      </c>
    </row>
    <row r="22" spans="1:40" ht="21" customHeight="1" x14ac:dyDescent="0.15">
      <c r="A22" s="17" t="str">
        <f t="shared" ref="A22" ca="1" si="20">B22&amp;"_"&amp;C22&amp;"-"&amp;G22&amp;"/"&amp;L22&amp;"&lt;lv"&amp;R22&amp;"&gt;s"&amp;AA22</f>
        <v>11001_3-1/31&lt;lv35&gt;s2</v>
      </c>
      <c r="B22" s="8">
        <v>11001</v>
      </c>
      <c r="C22" s="25">
        <v>3</v>
      </c>
      <c r="D22" s="2" t="str">
        <f t="shared" ref="D22" si="21">B22&amp;"_"&amp;C22</f>
        <v>11001_3</v>
      </c>
      <c r="E22" s="5" t="str">
        <f ca="1">VLOOKUP($B22,OFFSET([2]quests!$A$1,0,0,COUNTA([2]quests!$A:$A),MATCH(E$1,[2]quests!$1:$1,0)-MATCH($B$1,[2]quests!$1:$1,0)+1),MATCH(E$1,[2]quests!$1:$1,0)-MATCH($B$1,[2]quests!$1:$1,0)+1,FALSE)</f>
        <v>【月曜限定】 黄の素材</v>
      </c>
      <c r="F22" s="5" t="str">
        <f ca="1">VLOOKUP($D22,OFFSET([2]stages!$A$1,0,0,COUNTA([2]stages!$A:$A),MATCH(F$1,[2]stages!$2:$2,0)-MATCH($D$1,[2]stages!$2:$2,0)+1),MATCH(F$1,[2]stages!$2:$2,0)-MATCH($D$1,[2]stages!$2:$2,0)+1,FALSE)</f>
        <v>【上級】雷のイモムシ</v>
      </c>
      <c r="G22" s="25">
        <v>1</v>
      </c>
      <c r="H22" s="16" t="str">
        <f t="shared" si="4"/>
        <v>11001_3-1</v>
      </c>
      <c r="I22" s="5">
        <f ca="1">VLOOKUP($H22,OFFSET(floors!$A$1,0,0,COUNTA(floors!$A:$A),MATCH(I$1,floors!$1:$1,0)-MATCH($H$1,floors!$1:$1,0)+1),MATCH(I$1,floors!$1:$1,0)-MATCH($H$1,floors!$1:$1,0)+1,FALSE)</f>
        <v>30</v>
      </c>
      <c r="J22" s="5">
        <f ca="1">VLOOKUP($H22,OFFSET(floors!$A$1,0,0,COUNTA(floors!$A:$A),MATCH(J$1,floors!$1:$1,0)-MATCH($H$1,floors!$1:$1,0)+1),MATCH(J$1,floors!$1:$1,0)-MATCH($H$1,floors!$1:$1,0)+1,FALSE)</f>
        <v>45</v>
      </c>
      <c r="K22" s="24" t="s">
        <v>197</v>
      </c>
      <c r="L22" s="24">
        <v>31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マービー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yellow</v>
      </c>
      <c r="O22" s="22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machine</v>
      </c>
      <c r="Q22" s="20">
        <f ca="1">VLOOKUP($L22,OFFSET([3]enemies!$A$1,0,0,COUNTA([3]enemies!$A:$A),MATCH(Q$1,[3]enemies!$1:$1,0)-MATCH($L$1,[3]enemies!$1:$1,0)+1),MATCH(Q$1,[3]enemies!$1:$1,0)-MATCH($L$1,[3]enemies!$1:$1,0)+1,FALSE)</f>
        <v>15</v>
      </c>
      <c r="R22" s="6">
        <v>35</v>
      </c>
      <c r="S22" s="39">
        <v>1</v>
      </c>
      <c r="T22" s="39">
        <v>1</v>
      </c>
      <c r="U22" s="6">
        <v>0</v>
      </c>
      <c r="V22" s="5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5">
        <f ca="1">VLOOKUP($L22,OFFSET([3]enemies!$A$1,0,0,COUNTA([3]enemies!$A:$A),MATCH(W$1,[3]enemies!$1:$1,0)-MATCH($L$1,[3]enemies!$1:$1,0)+1),MATCH(W$1,[3]enemies!$1:$1,0)-MATCH($L$1,[3]enemies!$1:$1,0)+1,FALSE)</f>
        <v>0</v>
      </c>
      <c r="X22" s="7">
        <v>0</v>
      </c>
      <c r="Y22" s="7">
        <v>100</v>
      </c>
      <c r="Z22" s="7">
        <v>0</v>
      </c>
      <c r="AA22" s="20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v>31</v>
      </c>
      <c r="AC22" s="5" t="str">
        <f ca="1">IFERROR(VLOOKUP($AB22,OFFSET([4]characters!$A$1,0,0,COUNTA([4]characters!$A:$A),MATCH(AC$1,[4]characters!$1:$1,0)-MATCH("character_id",[4]characters!$1:$1,0)+1),MATCH(AC$1,[4]characters!$1:$1,0)-MATCH("character_id",[4]characters!$1:$1,0)+1,FALSE),"")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2" s="5">
        <f ca="1">IFERROR(VLOOKUP($AB22,OFFSET([4]characters!$A$1,0,0,COUNTA([4]characters!$A:$A),MATCH(AD$1,[4]characters!$1:$1,0)-MATCH("character_id",[4]characters!$1:$1,0)+1),MATCH(AD$1,[4]characters!$1:$1,0)-MATCH("character_id",[4]characters!$1:$1,0)+1,FALSE),"")</f>
        <v>1</v>
      </c>
      <c r="AE22" s="5" t="str">
        <f ca="1">IFERROR(VLOOKUP($AB22,OFFSET([4]characters!$A$1,0,0,COUNTA([4]characters!$A:$A),MATCH(AE$1,[4]characters!$1:$1,0)-MATCH("character_id",[4]characters!$1:$1,0)+1),MATCH(AE$1,[4]characters!$1:$1,0)-MATCH("character_id",[4]characters!$1:$1,0)+1,FALSE),"")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2" s="8">
        <v>1</v>
      </c>
      <c r="AG22" s="27">
        <f t="shared" ref="AG22" ca="1" si="22">AD22</f>
        <v>1</v>
      </c>
      <c r="AH22" s="9">
        <v>0</v>
      </c>
      <c r="AI22" s="8">
        <v>0</v>
      </c>
      <c r="AJ22" s="8">
        <v>0</v>
      </c>
      <c r="AK22" s="8">
        <v>0</v>
      </c>
      <c r="AL22" s="8">
        <v>0</v>
      </c>
      <c r="AM22" s="8">
        <v>1</v>
      </c>
      <c r="AN22" s="8">
        <v>1</v>
      </c>
    </row>
    <row r="23" spans="1:40" ht="21" customHeight="1" x14ac:dyDescent="0.15">
      <c r="A23" s="17" t="str">
        <f t="shared" ca="1" si="17"/>
        <v>11001_3-1/344&lt;lv1&gt;s1</v>
      </c>
      <c r="B23" s="8">
        <v>11001</v>
      </c>
      <c r="C23" s="25">
        <v>3</v>
      </c>
      <c r="D23" s="2" t="str">
        <f t="shared" si="18"/>
        <v>11001_3</v>
      </c>
      <c r="E23" s="5" t="str">
        <f ca="1">VLOOKUP($B23,OFFSET([2]quests!$A$1,0,0,COUNTA([2]quests!$A:$A),MATCH(E$1,[2]quests!$1:$1,0)-MATCH($B$1,[2]quests!$1:$1,0)+1),MATCH(E$1,[2]quests!$1:$1,0)-MATCH($B$1,[2]quests!$1:$1,0)+1,FALSE)</f>
        <v>【月曜限定】 黄の素材</v>
      </c>
      <c r="F23" s="5" t="str">
        <f ca="1">VLOOKUP($D23,OFFSET([2]stages!$A$1,0,0,COUNTA([2]stages!$A:$A),MATCH(F$1,[2]stages!$2:$2,0)-MATCH($D$1,[2]stages!$2:$2,0)+1),MATCH(F$1,[2]stages!$2:$2,0)-MATCH($D$1,[2]stages!$2:$2,0)+1,FALSE)</f>
        <v>【上級】雷のイモムシ</v>
      </c>
      <c r="G23" s="25">
        <v>1</v>
      </c>
      <c r="H23" s="16" t="str">
        <f t="shared" si="4"/>
        <v>11001_3-1</v>
      </c>
      <c r="I23" s="5">
        <f ca="1">VLOOKUP($H23,OFFSET(floors!$A$1,0,0,COUNTA(floors!$A:$A),MATCH(I$1,floors!$1:$1,0)-MATCH($H$1,floors!$1:$1,0)+1),MATCH(I$1,floors!$1:$1,0)-MATCH($H$1,floors!$1:$1,0)+1,FALSE)</f>
        <v>30</v>
      </c>
      <c r="J23" s="5">
        <f ca="1">VLOOKUP($H23,OFFSET(floors!$A$1,0,0,COUNTA(floors!$A:$A),MATCH(J$1,floors!$1:$1,0)-MATCH($H$1,floors!$1:$1,0)+1),MATCH(J$1,floors!$1:$1,0)-MATCH($H$1,floors!$1:$1,0)+1,FALSE)</f>
        <v>45</v>
      </c>
      <c r="K23" s="24" t="s">
        <v>197</v>
      </c>
      <c r="L23" s="24">
        <v>344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雷のメタルピヨピヨ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yellow</v>
      </c>
      <c r="O23" s="22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20">
        <f ca="1">VLOOKUP($L23,OFFSET([3]enemies!$A$1,0,0,COUNTA([3]enemies!$A:$A),MATCH(Q$1,[3]enemies!$1:$1,0)-MATCH($L$1,[3]enemies!$1:$1,0)+1),MATCH(Q$1,[3]enemies!$1:$1,0)-MATCH($L$1,[3]enemies!$1:$1,0)+1,FALSE)</f>
        <v>15</v>
      </c>
      <c r="R23" s="6">
        <v>1</v>
      </c>
      <c r="S23" s="39">
        <v>1</v>
      </c>
      <c r="T23" s="39">
        <v>1</v>
      </c>
      <c r="U23" s="6">
        <v>0</v>
      </c>
      <c r="V23" s="5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5">
        <f ca="1">VLOOKUP($L23,OFFSET([3]enemies!$A$1,0,0,COUNTA([3]enemies!$A:$A),MATCH(W$1,[3]enemies!$1:$1,0)-MATCH($L$1,[3]enemies!$1:$1,0)+1),MATCH(W$1,[3]enemies!$1:$1,0)-MATCH($L$1,[3]enemies!$1:$1,0)+1,FALSE)</f>
        <v>0</v>
      </c>
      <c r="X23" s="7">
        <v>0</v>
      </c>
      <c r="Y23" s="7">
        <v>30</v>
      </c>
      <c r="Z23" s="7">
        <v>0</v>
      </c>
      <c r="AA23" s="20">
        <f ca="1">VLOOKUP($L23,OFFSET([3]enemies!$A$1,0,0,COUNTA([3]enemies!$A:$A),MATCH(AA$1,[3]enemies!$1:$1,0)-MATCH($L$1,[3]enemies!$1:$1,0)+1),MATCH(AA$1,[3]enemies!$1:$1,0)-MATCH($L$1,[3]enemies!$1:$1,0)+1,FALSE)</f>
        <v>1</v>
      </c>
      <c r="AB23" s="24">
        <v>344</v>
      </c>
      <c r="AC23" s="5" t="str">
        <f ca="1">IFERROR(VLOOKUP($AB23,OFFSET([4]characters!$A$1,0,0,COUNTA([4]characters!$A:$A),MATCH(AC$1,[4]characters!$1:$1,0)-MATCH("character_id",[4]characters!$1:$1,0)+1),MATCH(AC$1,[4]characters!$1:$1,0)-MATCH("character_id",[4]characters!$1:$1,0)+1,FALSE),"")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23" s="5">
        <f ca="1">IFERROR(VLOOKUP($AB23,OFFSET([4]characters!$A$1,0,0,COUNTA([4]characters!$A:$A),MATCH(AD$1,[4]characters!$1:$1,0)-MATCH("character_id",[4]characters!$1:$1,0)+1),MATCH(AD$1,[4]characters!$1:$1,0)-MATCH("character_id",[4]characters!$1:$1,0)+1,FALSE),"")</f>
        <v>3</v>
      </c>
      <c r="AE23" s="5" t="str">
        <f ca="1">IFERROR(VLOOKUP($AB23,OFFSET([4]characters!$A$1,0,0,COUNTA([4]characters!$A:$A),MATCH(AE$1,[4]characters!$1:$1,0)-MATCH("character_id",[4]characters!$1:$1,0)+1),MATCH(AE$1,[4]characters!$1:$1,0)-MATCH("character_id",[4]characters!$1:$1,0)+1,FALSE),"")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" s="8">
        <v>1</v>
      </c>
      <c r="AG23" s="27">
        <f t="shared" ca="1" si="19"/>
        <v>3</v>
      </c>
      <c r="AH23" s="9">
        <v>10</v>
      </c>
      <c r="AI23" s="8">
        <v>0</v>
      </c>
      <c r="AJ23" s="8">
        <v>0</v>
      </c>
      <c r="AK23" s="8">
        <v>0</v>
      </c>
      <c r="AL23" s="8">
        <v>0</v>
      </c>
      <c r="AM23" s="8">
        <v>1</v>
      </c>
      <c r="AN23" s="8">
        <v>1</v>
      </c>
    </row>
    <row r="24" spans="1:40" ht="21" customHeight="1" x14ac:dyDescent="0.15">
      <c r="A24" s="17" t="str">
        <f t="shared" ref="A24" ca="1" si="23">B24&amp;"_"&amp;C24&amp;"-"&amp;G24&amp;"/"&amp;L24&amp;"&lt;lv"&amp;R24&amp;"&gt;s"&amp;AA24</f>
        <v>11001_3-1/345&lt;lv1&gt;s2</v>
      </c>
      <c r="B24" s="8">
        <v>11001</v>
      </c>
      <c r="C24" s="25">
        <v>3</v>
      </c>
      <c r="D24" s="2" t="str">
        <f t="shared" ref="D24" si="24">B24&amp;"_"&amp;C24</f>
        <v>11001_3</v>
      </c>
      <c r="E24" s="5" t="str">
        <f ca="1">VLOOKUP($B24,OFFSET([2]quests!$A$1,0,0,COUNTA([2]quests!$A:$A),MATCH(E$1,[2]quests!$1:$1,0)-MATCH($B$1,[2]quests!$1:$1,0)+1),MATCH(E$1,[2]quests!$1:$1,0)-MATCH($B$1,[2]quests!$1:$1,0)+1,FALSE)</f>
        <v>【月曜限定】 黄の素材</v>
      </c>
      <c r="F24" s="5" t="str">
        <f ca="1">VLOOKUP($D24,OFFSET([2]stages!$A$1,0,0,COUNTA([2]stages!$A:$A),MATCH(F$1,[2]stages!$2:$2,0)-MATCH($D$1,[2]stages!$2:$2,0)+1),MATCH(F$1,[2]stages!$2:$2,0)-MATCH($D$1,[2]stages!$2:$2,0)+1,FALSE)</f>
        <v>【上級】雷のイモムシ</v>
      </c>
      <c r="G24" s="25">
        <v>1</v>
      </c>
      <c r="H24" s="16" t="str">
        <f t="shared" si="4"/>
        <v>11001_3-1</v>
      </c>
      <c r="I24" s="5">
        <f ca="1">VLOOKUP($H24,OFFSET(floors!$A$1,0,0,COUNTA(floors!$A:$A),MATCH(I$1,floors!$1:$1,0)-MATCH($H$1,floors!$1:$1,0)+1),MATCH(I$1,floors!$1:$1,0)-MATCH($H$1,floors!$1:$1,0)+1,FALSE)</f>
        <v>30</v>
      </c>
      <c r="J24" s="5">
        <f ca="1">VLOOKUP($H24,OFFSET(floors!$A$1,0,0,COUNTA(floors!$A:$A),MATCH(J$1,floors!$1:$1,0)-MATCH($H$1,floors!$1:$1,0)+1),MATCH(J$1,floors!$1:$1,0)-MATCH($H$1,floors!$1:$1,0)+1,FALSE)</f>
        <v>45</v>
      </c>
      <c r="K24" s="24" t="s">
        <v>197</v>
      </c>
      <c r="L24" s="24">
        <v>345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雷のメタルチック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yellow</v>
      </c>
      <c r="O24" s="22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20">
        <f ca="1">VLOOKUP($L24,OFFSET([3]enemies!$A$1,0,0,COUNTA([3]enemies!$A:$A),MATCH(Q$1,[3]enemies!$1:$1,0)-MATCH($L$1,[3]enemies!$1:$1,0)+1),MATCH(Q$1,[3]enemies!$1:$1,0)-MATCH($L$1,[3]enemies!$1:$1,0)+1,FALSE)</f>
        <v>15</v>
      </c>
      <c r="R24" s="6">
        <v>1</v>
      </c>
      <c r="S24" s="39">
        <v>1</v>
      </c>
      <c r="T24" s="39">
        <v>1</v>
      </c>
      <c r="U24" s="6">
        <v>0</v>
      </c>
      <c r="V24" s="5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" s="5">
        <f ca="1">VLOOKUP($L24,OFFSET([3]enemies!$A$1,0,0,COUNTA([3]enemies!$A:$A),MATCH(W$1,[3]enemies!$1:$1,0)-MATCH($L$1,[3]enemies!$1:$1,0)+1),MATCH(W$1,[3]enemies!$1:$1,0)-MATCH($L$1,[3]enemies!$1:$1,0)+1,FALSE)</f>
        <v>0</v>
      </c>
      <c r="X24" s="7">
        <v>0</v>
      </c>
      <c r="Y24" s="7">
        <v>30</v>
      </c>
      <c r="Z24" s="7">
        <v>0</v>
      </c>
      <c r="AA24" s="20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v>345</v>
      </c>
      <c r="AC24" s="5" t="str">
        <f ca="1">IFERROR(VLOOKUP($AB24,OFFSET([4]characters!$A$1,0,0,COUNTA([4]characters!$A:$A),MATCH(AC$1,[4]characters!$1:$1,0)-MATCH("character_id",[4]characters!$1:$1,0)+1),MATCH(AC$1,[4]characters!$1:$1,0)-MATCH("character_id",[4]characters!$1:$1,0)+1,FALSE),"")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24" s="5">
        <f ca="1">IFERROR(VLOOKUP($AB24,OFFSET([4]characters!$A$1,0,0,COUNTA([4]characters!$A:$A),MATCH(AD$1,[4]characters!$1:$1,0)-MATCH("character_id",[4]characters!$1:$1,0)+1),MATCH(AD$1,[4]characters!$1:$1,0)-MATCH("character_id",[4]characters!$1:$1,0)+1,FALSE),"")</f>
        <v>4</v>
      </c>
      <c r="AE24" s="5" t="str">
        <f ca="1">IFERROR(VLOOKUP($AB24,OFFSET([4]characters!$A$1,0,0,COUNTA([4]characters!$A:$A),MATCH(AE$1,[4]characters!$1:$1,0)-MATCH("character_id",[4]characters!$1:$1,0)+1),MATCH(AE$1,[4]characters!$1:$1,0)-MATCH("character_id",[4]characters!$1:$1,0)+1,FALSE),"")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" s="8">
        <v>1</v>
      </c>
      <c r="AG24" s="27">
        <f t="shared" ref="AG24" ca="1" si="25">AD24</f>
        <v>4</v>
      </c>
      <c r="AH24" s="9">
        <v>5</v>
      </c>
      <c r="AI24" s="8">
        <v>0</v>
      </c>
      <c r="AJ24" s="8">
        <v>0</v>
      </c>
      <c r="AK24" s="8">
        <v>0</v>
      </c>
      <c r="AL24" s="8">
        <v>0</v>
      </c>
      <c r="AM24" s="8">
        <v>1</v>
      </c>
      <c r="AN24" s="8">
        <v>1</v>
      </c>
    </row>
    <row r="25" spans="1:40" ht="21" customHeight="1" x14ac:dyDescent="0.15">
      <c r="A25" s="17" t="str">
        <f t="shared" ca="1" si="17"/>
        <v>11001_3-2/115&lt;lv30&gt;s2</v>
      </c>
      <c r="B25" s="8">
        <v>11001</v>
      </c>
      <c r="C25" s="25">
        <v>3</v>
      </c>
      <c r="D25" s="2" t="str">
        <f t="shared" si="18"/>
        <v>11001_3</v>
      </c>
      <c r="E25" s="5" t="str">
        <f ca="1">VLOOKUP($B25,OFFSET([2]quests!$A$1,0,0,COUNTA([2]quests!$A:$A),MATCH(E$1,[2]quests!$1:$1,0)-MATCH($B$1,[2]quests!$1:$1,0)+1),MATCH(E$1,[2]quests!$1:$1,0)-MATCH($B$1,[2]quests!$1:$1,0)+1,FALSE)</f>
        <v>【月曜限定】 黄の素材</v>
      </c>
      <c r="F25" s="5" t="str">
        <f ca="1">VLOOKUP($D25,OFFSET([2]stages!$A$1,0,0,COUNTA([2]stages!$A:$A),MATCH(F$1,[2]stages!$2:$2,0)-MATCH($D$1,[2]stages!$2:$2,0)+1),MATCH(F$1,[2]stages!$2:$2,0)-MATCH($D$1,[2]stages!$2:$2,0)+1,FALSE)</f>
        <v>【上級】雷のイモムシ</v>
      </c>
      <c r="G25" s="25">
        <v>2</v>
      </c>
      <c r="H25" s="16" t="str">
        <f t="shared" si="4"/>
        <v>11001_3-2</v>
      </c>
      <c r="I25" s="5">
        <f ca="1">VLOOKUP($H25,OFFSET(floors!$A$1,0,0,COUNTA(floors!$A:$A),MATCH(I$1,floors!$1:$1,0)-MATCH($H$1,floors!$1:$1,0)+1),MATCH(I$1,floors!$1:$1,0)-MATCH($H$1,floors!$1:$1,0)+1,FALSE)</f>
        <v>30</v>
      </c>
      <c r="J25" s="5">
        <f ca="1">VLOOKUP($H25,OFFSET(floors!$A$1,0,0,COUNTA(floors!$A:$A),MATCH(J$1,floors!$1:$1,0)-MATCH($H$1,floors!$1:$1,0)+1),MATCH(J$1,floors!$1:$1,0)-MATCH($H$1,floors!$1:$1,0)+1,FALSE)</f>
        <v>45</v>
      </c>
      <c r="K25" s="24" t="s">
        <v>197</v>
      </c>
      <c r="L25" s="24">
        <v>115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イエローキャタップ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22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20">
        <f ca="1">VLOOKUP($L25,OFFSET([3]enemies!$A$1,0,0,COUNTA([3]enemies!$A:$A),MATCH(Q$1,[3]enemies!$1:$1,0)-MATCH($L$1,[3]enemies!$1:$1,0)+1),MATCH(Q$1,[3]enemies!$1:$1,0)-MATCH($L$1,[3]enemies!$1:$1,0)+1,FALSE)</f>
        <v>15</v>
      </c>
      <c r="R25" s="6">
        <v>30</v>
      </c>
      <c r="S25" s="39">
        <v>2</v>
      </c>
      <c r="T25" s="39">
        <v>1</v>
      </c>
      <c r="U25" s="6">
        <v>0</v>
      </c>
      <c r="V25" s="5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" s="5">
        <f ca="1">VLOOKUP($L25,OFFSET([3]enemies!$A$1,0,0,COUNTA([3]enemies!$A:$A),MATCH(W$1,[3]enemies!$1:$1,0)-MATCH($L$1,[3]enemies!$1:$1,0)+1),MATCH(W$1,[3]enemies!$1:$1,0)-MATCH($L$1,[3]enemies!$1:$1,0)+1,FALSE)</f>
        <v>0</v>
      </c>
      <c r="X25" s="7">
        <v>1</v>
      </c>
      <c r="Y25" s="7">
        <v>100</v>
      </c>
      <c r="Z25" s="7">
        <v>1</v>
      </c>
      <c r="AA25" s="20">
        <f ca="1">VLOOKUP($L25,OFFSET([3]enemies!$A$1,0,0,COUNTA([3]enemies!$A:$A),MATCH(AA$1,[3]enemies!$1:$1,0)-MATCH($L$1,[3]enemies!$1:$1,0)+1),MATCH(AA$1,[3]enemies!$1:$1,0)-MATCH($L$1,[3]enemies!$1:$1,0)+1,FALSE)</f>
        <v>2</v>
      </c>
      <c r="AB25" s="24">
        <v>115</v>
      </c>
      <c r="AC25" s="5" t="str">
        <f ca="1">IFERROR(VLOOKUP($AB25,OFFSET([4]characters!$A$1,0,0,COUNTA([4]characters!$A:$A),MATCH(AC$1,[4]characters!$1:$1,0)-MATCH("character_id",[4]characters!$1:$1,0)+1),MATCH(AC$1,[4]characters!$1:$1,0)-MATCH("character_id",[4]characters!$1:$1,0)+1,FALSE),"")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25" s="5">
        <f ca="1">IFERROR(VLOOKUP($AB25,OFFSET([4]characters!$A$1,0,0,COUNTA([4]characters!$A:$A),MATCH(AD$1,[4]characters!$1:$1,0)-MATCH("character_id",[4]characters!$1:$1,0)+1),MATCH(AD$1,[4]characters!$1:$1,0)-MATCH("character_id",[4]characters!$1:$1,0)+1,FALSE),"")</f>
        <v>4</v>
      </c>
      <c r="AE25" s="5" t="str">
        <f ca="1">IFERROR(VLOOKUP($AB25,OFFSET([4]characters!$A$1,0,0,COUNTA([4]characters!$A:$A),MATCH(AE$1,[4]characters!$1:$1,0)-MATCH("character_id",[4]characters!$1:$1,0)+1),MATCH(AE$1,[4]characters!$1:$1,0)-MATCH("character_id",[4]characters!$1:$1,0)+1,FALSE),"")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" s="8">
        <v>1</v>
      </c>
      <c r="AG25" s="27">
        <f t="shared" ca="1" si="19"/>
        <v>4</v>
      </c>
      <c r="AH25" s="9">
        <v>10</v>
      </c>
      <c r="AI25" s="8">
        <v>0</v>
      </c>
      <c r="AJ25" s="8">
        <v>0</v>
      </c>
      <c r="AK25" s="8">
        <v>0</v>
      </c>
      <c r="AL25" s="8">
        <v>0</v>
      </c>
      <c r="AM25" s="8">
        <v>1</v>
      </c>
      <c r="AN25" s="8">
        <v>1</v>
      </c>
    </row>
    <row r="26" spans="1:40" ht="21" customHeight="1" x14ac:dyDescent="0.15">
      <c r="A26" s="17" t="str">
        <f t="shared" ref="A26:A30" ca="1" si="26">B26&amp;"_"&amp;C26&amp;"-"&amp;G26&amp;"/"&amp;L26&amp;"&lt;lv"&amp;R26&amp;"&gt;s"&amp;AA26</f>
        <v>11001_3-2/39&lt;lv35&gt;s3</v>
      </c>
      <c r="B26" s="8">
        <v>11001</v>
      </c>
      <c r="C26" s="25">
        <v>3</v>
      </c>
      <c r="D26" s="2" t="str">
        <f t="shared" ref="D26:D30" si="27">B26&amp;"_"&amp;C26</f>
        <v>11001_3</v>
      </c>
      <c r="E26" s="5" t="str">
        <f ca="1">VLOOKUP($B26,OFFSET([2]quests!$A$1,0,0,COUNTA([2]quests!$A:$A),MATCH(E$1,[2]quests!$1:$1,0)-MATCH($B$1,[2]quests!$1:$1,0)+1),MATCH(E$1,[2]quests!$1:$1,0)-MATCH($B$1,[2]quests!$1:$1,0)+1,FALSE)</f>
        <v>【月曜限定】 黄の素材</v>
      </c>
      <c r="F26" s="5" t="str">
        <f ca="1">VLOOKUP($D26,OFFSET([2]stages!$A$1,0,0,COUNTA([2]stages!$A:$A),MATCH(F$1,[2]stages!$2:$2,0)-MATCH($D$1,[2]stages!$2:$2,0)+1),MATCH(F$1,[2]stages!$2:$2,0)-MATCH($D$1,[2]stages!$2:$2,0)+1,FALSE)</f>
        <v>【上級】雷のイモムシ</v>
      </c>
      <c r="G26" s="25">
        <v>2</v>
      </c>
      <c r="H26" s="16" t="str">
        <f t="shared" si="4"/>
        <v>11001_3-2</v>
      </c>
      <c r="I26" s="5">
        <f ca="1">VLOOKUP($H26,OFFSET(floors!$A$1,0,0,COUNTA(floors!$A:$A),MATCH(I$1,floors!$1:$1,0)-MATCH($H$1,floors!$1:$1,0)+1),MATCH(I$1,floors!$1:$1,0)-MATCH($H$1,floors!$1:$1,0)+1,FALSE)</f>
        <v>30</v>
      </c>
      <c r="J26" s="5">
        <f ca="1">VLOOKUP($H26,OFFSET(floors!$A$1,0,0,COUNTA(floors!$A:$A),MATCH(J$1,floors!$1:$1,0)-MATCH($H$1,floors!$1:$1,0)+1),MATCH(J$1,floors!$1:$1,0)-MATCH($H$1,floors!$1:$1,0)+1,FALSE)</f>
        <v>45</v>
      </c>
      <c r="K26" s="24" t="s">
        <v>197</v>
      </c>
      <c r="L26" s="24">
        <v>39</v>
      </c>
      <c r="M26" s="20" t="str">
        <f ca="1">VLOOKUP($L26,OFFSET([3]enemies!$A$1,0,0,COUNTA([3]enemies!$A:$A),MATCH(M$1,[3]enemies!$1:$1,0)-MATCH($L$1,[3]enemies!$1:$1,0)+1),MATCH(M$1,[3]enemies!$1:$1,0)-MATCH($L$1,[3]enemies!$1:$1,0)+1,FALSE)</f>
        <v>マーロン</v>
      </c>
      <c r="N26" s="20" t="str">
        <f ca="1">VLOOKUP($L26,OFFSET([3]enemies!$A$1,0,0,COUNTA([3]enemies!$A:$A),MATCH(N$1,[3]enemies!$1:$1,0)-MATCH($L$1,[3]enemies!$1:$1,0)+1),MATCH(N$1,[3]enemies!$1:$1,0)-MATCH($L$1,[3]enemies!$1:$1,0)+1,FALSE)</f>
        <v>yellow</v>
      </c>
      <c r="O26" s="22" t="str">
        <f ca="1">VLOOKUP($L26,OFFSET([4]characters!$A$1,0,0,COUNTA([4]characters!$A:$A),MATCH(O$1,[4]characters!$1:$1,0)-MATCH($L$1,[4]characters!$1:$1,0)+1),MATCH(O$1,[4]characters!$1:$1,0)-MATCH($L$1,[4]characters!$1:$1,0)+1,FALSE)</f>
        <v>Drop1S</v>
      </c>
      <c r="P26" s="20" t="str">
        <f ca="1">VLOOKUP($L26,OFFSET([3]enemies!$A$1,0,0,COUNTA([3]enemies!$A:$A),MATCH(P$1,[3]enemies!$1:$1,0)-MATCH($L$1,[3]enemies!$1:$1,0)+1),MATCH(P$1,[3]enemies!$1:$1,0)-MATCH($L$1,[3]enemies!$1:$1,0)+1,FALSE)</f>
        <v>human</v>
      </c>
      <c r="Q26" s="20">
        <f ca="1">VLOOKUP($L26,OFFSET([3]enemies!$A$1,0,0,COUNTA([3]enemies!$A:$A),MATCH(Q$1,[3]enemies!$1:$1,0)-MATCH($L$1,[3]enemies!$1:$1,0)+1),MATCH(Q$1,[3]enemies!$1:$1,0)-MATCH($L$1,[3]enemies!$1:$1,0)+1,FALSE)</f>
        <v>15</v>
      </c>
      <c r="R26" s="6">
        <v>35</v>
      </c>
      <c r="S26" s="39">
        <v>1</v>
      </c>
      <c r="T26" s="39">
        <v>1</v>
      </c>
      <c r="U26" s="6">
        <v>0</v>
      </c>
      <c r="V26" s="5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6" s="5">
        <f ca="1">VLOOKUP($L26,OFFSET([3]enemies!$A$1,0,0,COUNTA([3]enemies!$A:$A),MATCH(W$1,[3]enemies!$1:$1,0)-MATCH($L$1,[3]enemies!$1:$1,0)+1),MATCH(W$1,[3]enemies!$1:$1,0)-MATCH($L$1,[3]enemies!$1:$1,0)+1,FALSE)</f>
        <v>39</v>
      </c>
      <c r="X26" s="7">
        <v>0</v>
      </c>
      <c r="Y26" s="7">
        <v>100</v>
      </c>
      <c r="Z26" s="7">
        <v>0</v>
      </c>
      <c r="AA26" s="20">
        <f ca="1">VLOOKUP($L26,OFFSET([3]enemies!$A$1,0,0,COUNTA([3]enemies!$A:$A),MATCH(AA$1,[3]enemies!$1:$1,0)-MATCH($L$1,[3]enemies!$1:$1,0)+1),MATCH(AA$1,[3]enemies!$1:$1,0)-MATCH($L$1,[3]enemies!$1:$1,0)+1,FALSE)</f>
        <v>3</v>
      </c>
      <c r="AB26" s="24">
        <v>39</v>
      </c>
      <c r="AC26" s="5" t="str">
        <f ca="1">IFERROR(VLOOKUP($AB26,OFFSET([4]characters!$A$1,0,0,COUNTA([4]characters!$A:$A),MATCH(AC$1,[4]characters!$1:$1,0)-MATCH("character_id",[4]characters!$1:$1,0)+1),MATCH(AC$1,[4]characters!$1:$1,0)-MATCH("character_id",[4]characters!$1:$1,0)+1,FALSE),"")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6" s="5">
        <f ca="1">IFERROR(VLOOKUP($AB26,OFFSET([4]characters!$A$1,0,0,COUNTA([4]characters!$A:$A),MATCH(AD$1,[4]characters!$1:$1,0)-MATCH("character_id",[4]characters!$1:$1,0)+1),MATCH(AD$1,[4]characters!$1:$1,0)-MATCH("character_id",[4]characters!$1:$1,0)+1,FALSE),"")</f>
        <v>2</v>
      </c>
      <c r="AE26" s="5" t="str">
        <f ca="1">IFERROR(VLOOKUP($AB26,OFFSET([4]characters!$A$1,0,0,COUNTA([4]characters!$A:$A),MATCH(AE$1,[4]characters!$1:$1,0)-MATCH("character_id",[4]characters!$1:$1,0)+1),MATCH(AE$1,[4]characters!$1:$1,0)-MATCH("character_id",[4]characters!$1:$1,0)+1,FALSE),"")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6" s="8">
        <v>1</v>
      </c>
      <c r="AG26" s="27">
        <f t="shared" ref="AG26:AG30" ca="1" si="28">AD26</f>
        <v>2</v>
      </c>
      <c r="AH26" s="9">
        <v>0</v>
      </c>
      <c r="AI26" s="8">
        <v>0</v>
      </c>
      <c r="AJ26" s="8">
        <v>0</v>
      </c>
      <c r="AK26" s="8">
        <v>0</v>
      </c>
      <c r="AL26" s="8">
        <v>0</v>
      </c>
      <c r="AM26" s="8">
        <v>1</v>
      </c>
      <c r="AN26" s="8">
        <v>1</v>
      </c>
    </row>
    <row r="27" spans="1:40" ht="21" customHeight="1" x14ac:dyDescent="0.15">
      <c r="A27" s="17" t="str">
        <f t="shared" ref="A27:A29" ca="1" si="29">B27&amp;"_"&amp;C27&amp;"-"&amp;G27&amp;"/"&amp;L27&amp;"&lt;lv"&amp;R27&amp;"&gt;s"&amp;AA27</f>
        <v>11001_3-2/31&lt;lv35&gt;s2</v>
      </c>
      <c r="B27" s="8">
        <v>11001</v>
      </c>
      <c r="C27" s="25">
        <v>3</v>
      </c>
      <c r="D27" s="2" t="str">
        <f t="shared" ref="D27:D29" si="30">B27&amp;"_"&amp;C27</f>
        <v>11001_3</v>
      </c>
      <c r="E27" s="5" t="str">
        <f ca="1">VLOOKUP($B27,OFFSET([2]quests!$A$1,0,0,COUNTA([2]quests!$A:$A),MATCH(E$1,[2]quests!$1:$1,0)-MATCH($B$1,[2]quests!$1:$1,0)+1),MATCH(E$1,[2]quests!$1:$1,0)-MATCH($B$1,[2]quests!$1:$1,0)+1,FALSE)</f>
        <v>【月曜限定】 黄の素材</v>
      </c>
      <c r="F27" s="5" t="str">
        <f ca="1">VLOOKUP($D27,OFFSET([2]stages!$A$1,0,0,COUNTA([2]stages!$A:$A),MATCH(F$1,[2]stages!$2:$2,0)-MATCH($D$1,[2]stages!$2:$2,0)+1),MATCH(F$1,[2]stages!$2:$2,0)-MATCH($D$1,[2]stages!$2:$2,0)+1,FALSE)</f>
        <v>【上級】雷のイモムシ</v>
      </c>
      <c r="G27" s="25">
        <v>2</v>
      </c>
      <c r="H27" s="16" t="str">
        <f t="shared" si="4"/>
        <v>11001_3-2</v>
      </c>
      <c r="I27" s="5">
        <f ca="1">VLOOKUP($H27,OFFSET(floors!$A$1,0,0,COUNTA(floors!$A:$A),MATCH(I$1,floors!$1:$1,0)-MATCH($H$1,floors!$1:$1,0)+1),MATCH(I$1,floors!$1:$1,0)-MATCH($H$1,floors!$1:$1,0)+1,FALSE)</f>
        <v>30</v>
      </c>
      <c r="J27" s="5">
        <f ca="1">VLOOKUP($H27,OFFSET(floors!$A$1,0,0,COUNTA(floors!$A:$A),MATCH(J$1,floors!$1:$1,0)-MATCH($H$1,floors!$1:$1,0)+1),MATCH(J$1,floors!$1:$1,0)-MATCH($H$1,floors!$1:$1,0)+1,FALSE)</f>
        <v>45</v>
      </c>
      <c r="K27" s="24" t="s">
        <v>197</v>
      </c>
      <c r="L27" s="24">
        <v>31</v>
      </c>
      <c r="M27" s="20" t="str">
        <f ca="1">VLOOKUP($L27,OFFSET([3]enemies!$A$1,0,0,COUNTA([3]enemies!$A:$A),MATCH(M$1,[3]enemies!$1:$1,0)-MATCH($L$1,[3]enemies!$1:$1,0)+1),MATCH(M$1,[3]enemies!$1:$1,0)-MATCH($L$1,[3]enemies!$1:$1,0)+1,FALSE)</f>
        <v>マービー</v>
      </c>
      <c r="N27" s="20" t="str">
        <f ca="1">VLOOKUP($L27,OFFSET([3]enemies!$A$1,0,0,COUNTA([3]enemies!$A:$A),MATCH(N$1,[3]enemies!$1:$1,0)-MATCH($L$1,[3]enemies!$1:$1,0)+1),MATCH(N$1,[3]enemies!$1:$1,0)-MATCH($L$1,[3]enemies!$1:$1,0)+1,FALSE)</f>
        <v>yellow</v>
      </c>
      <c r="O27" s="22" t="str">
        <f ca="1">VLOOKUP($L27,OFFSET([4]characters!$A$1,0,0,COUNTA([4]characters!$A:$A),MATCH(O$1,[4]characters!$1:$1,0)-MATCH($L$1,[4]characters!$1:$1,0)+1),MATCH(O$1,[4]characters!$1:$1,0)-MATCH($L$1,[4]characters!$1:$1,0)+1,FALSE)</f>
        <v>Drop1N</v>
      </c>
      <c r="P27" s="20" t="str">
        <f ca="1">VLOOKUP($L27,OFFSET([3]enemies!$A$1,0,0,COUNTA([3]enemies!$A:$A),MATCH(P$1,[3]enemies!$1:$1,0)-MATCH($L$1,[3]enemies!$1:$1,0)+1),MATCH(P$1,[3]enemies!$1:$1,0)-MATCH($L$1,[3]enemies!$1:$1,0)+1,FALSE)</f>
        <v>machine</v>
      </c>
      <c r="Q27" s="20">
        <f ca="1">VLOOKUP($L27,OFFSET([3]enemies!$A$1,0,0,COUNTA([3]enemies!$A:$A),MATCH(Q$1,[3]enemies!$1:$1,0)-MATCH($L$1,[3]enemies!$1:$1,0)+1),MATCH(Q$1,[3]enemies!$1:$1,0)-MATCH($L$1,[3]enemies!$1:$1,0)+1,FALSE)</f>
        <v>15</v>
      </c>
      <c r="R27" s="6">
        <v>35</v>
      </c>
      <c r="S27" s="39">
        <v>1</v>
      </c>
      <c r="T27" s="39">
        <v>1</v>
      </c>
      <c r="U27" s="6">
        <v>0</v>
      </c>
      <c r="V27" s="5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5">
        <f ca="1">VLOOKUP($L27,OFFSET([3]enemies!$A$1,0,0,COUNTA([3]enemies!$A:$A),MATCH(W$1,[3]enemies!$1:$1,0)-MATCH($L$1,[3]enemies!$1:$1,0)+1),MATCH(W$1,[3]enemies!$1:$1,0)-MATCH($L$1,[3]enemies!$1:$1,0)+1,FALSE)</f>
        <v>0</v>
      </c>
      <c r="X27" s="7">
        <v>0</v>
      </c>
      <c r="Y27" s="7">
        <v>100</v>
      </c>
      <c r="Z27" s="7">
        <v>0</v>
      </c>
      <c r="AA27" s="20">
        <f ca="1">VLOOKUP($L27,OFFSET([3]enemies!$A$1,0,0,COUNTA([3]enemies!$A:$A),MATCH(AA$1,[3]enemies!$1:$1,0)-MATCH($L$1,[3]enemies!$1:$1,0)+1),MATCH(AA$1,[3]enemies!$1:$1,0)-MATCH($L$1,[3]enemies!$1:$1,0)+1,FALSE)</f>
        <v>2</v>
      </c>
      <c r="AB27" s="24">
        <v>31</v>
      </c>
      <c r="AC27" s="5" t="str">
        <f ca="1">IFERROR(VLOOKUP($AB27,OFFSET([4]characters!$A$1,0,0,COUNTA([4]characters!$A:$A),MATCH(AC$1,[4]characters!$1:$1,0)-MATCH("character_id",[4]characters!$1:$1,0)+1),MATCH(AC$1,[4]characters!$1:$1,0)-MATCH("character_id",[4]characters!$1:$1,0)+1,FALSE),"")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7" s="5">
        <f ca="1">IFERROR(VLOOKUP($AB27,OFFSET([4]characters!$A$1,0,0,COUNTA([4]characters!$A:$A),MATCH(AD$1,[4]characters!$1:$1,0)-MATCH("character_id",[4]characters!$1:$1,0)+1),MATCH(AD$1,[4]characters!$1:$1,0)-MATCH("character_id",[4]characters!$1:$1,0)+1,FALSE),"")</f>
        <v>1</v>
      </c>
      <c r="AE27" s="5" t="str">
        <f ca="1">IFERROR(VLOOKUP($AB27,OFFSET([4]characters!$A$1,0,0,COUNTA([4]characters!$A:$A),MATCH(AE$1,[4]characters!$1:$1,0)-MATCH("character_id",[4]characters!$1:$1,0)+1),MATCH(AE$1,[4]characters!$1:$1,0)-MATCH("character_id",[4]characters!$1:$1,0)+1,FALSE),"")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" s="8">
        <v>1</v>
      </c>
      <c r="AG27" s="27">
        <f t="shared" ref="AG27:AG29" ca="1" si="31">AD27</f>
        <v>1</v>
      </c>
      <c r="AH27" s="9">
        <v>0</v>
      </c>
      <c r="AI27" s="8">
        <v>0</v>
      </c>
      <c r="AJ27" s="8">
        <v>0</v>
      </c>
      <c r="AK27" s="8">
        <v>0</v>
      </c>
      <c r="AL27" s="8">
        <v>0</v>
      </c>
      <c r="AM27" s="8">
        <v>1</v>
      </c>
      <c r="AN27" s="8">
        <v>1</v>
      </c>
    </row>
    <row r="28" spans="1:40" ht="21" customHeight="1" x14ac:dyDescent="0.15">
      <c r="A28" s="17" t="str">
        <f t="shared" ca="1" si="29"/>
        <v>11001_3-2/344&lt;lv1&gt;s1</v>
      </c>
      <c r="B28" s="8">
        <v>11001</v>
      </c>
      <c r="C28" s="25">
        <v>3</v>
      </c>
      <c r="D28" s="2" t="str">
        <f t="shared" si="30"/>
        <v>11001_3</v>
      </c>
      <c r="E28" s="5" t="str">
        <f ca="1">VLOOKUP($B28,OFFSET([2]quests!$A$1,0,0,COUNTA([2]quests!$A:$A),MATCH(E$1,[2]quests!$1:$1,0)-MATCH($B$1,[2]quests!$1:$1,0)+1),MATCH(E$1,[2]quests!$1:$1,0)-MATCH($B$1,[2]quests!$1:$1,0)+1,FALSE)</f>
        <v>【月曜限定】 黄の素材</v>
      </c>
      <c r="F28" s="5" t="str">
        <f ca="1">VLOOKUP($D28,OFFSET([2]stages!$A$1,0,0,COUNTA([2]stages!$A:$A),MATCH(F$1,[2]stages!$2:$2,0)-MATCH($D$1,[2]stages!$2:$2,0)+1),MATCH(F$1,[2]stages!$2:$2,0)-MATCH($D$1,[2]stages!$2:$2,0)+1,FALSE)</f>
        <v>【上級】雷のイモムシ</v>
      </c>
      <c r="G28" s="25">
        <v>2</v>
      </c>
      <c r="H28" s="16" t="str">
        <f t="shared" si="4"/>
        <v>11001_3-2</v>
      </c>
      <c r="I28" s="5">
        <f ca="1">VLOOKUP($H28,OFFSET(floors!$A$1,0,0,COUNTA(floors!$A:$A),MATCH(I$1,floors!$1:$1,0)-MATCH($H$1,floors!$1:$1,0)+1),MATCH(I$1,floors!$1:$1,0)-MATCH($H$1,floors!$1:$1,0)+1,FALSE)</f>
        <v>30</v>
      </c>
      <c r="J28" s="5">
        <f ca="1">VLOOKUP($H28,OFFSET(floors!$A$1,0,0,COUNTA(floors!$A:$A),MATCH(J$1,floors!$1:$1,0)-MATCH($H$1,floors!$1:$1,0)+1),MATCH(J$1,floors!$1:$1,0)-MATCH($H$1,floors!$1:$1,0)+1,FALSE)</f>
        <v>45</v>
      </c>
      <c r="K28" s="24" t="s">
        <v>197</v>
      </c>
      <c r="L28" s="24">
        <v>344</v>
      </c>
      <c r="M28" s="20" t="str">
        <f ca="1">VLOOKUP($L28,OFFSET([3]enemies!$A$1,0,0,COUNTA([3]enemies!$A:$A),MATCH(M$1,[3]enemies!$1:$1,0)-MATCH($L$1,[3]enemies!$1:$1,0)+1),MATCH(M$1,[3]enemies!$1:$1,0)-MATCH($L$1,[3]enemies!$1:$1,0)+1,FALSE)</f>
        <v>雷のメタルピヨピヨ</v>
      </c>
      <c r="N28" s="20" t="str">
        <f ca="1">VLOOKUP($L28,OFFSET([3]enemies!$A$1,0,0,COUNTA([3]enemies!$A:$A),MATCH(N$1,[3]enemies!$1:$1,0)-MATCH($L$1,[3]enemies!$1:$1,0)+1),MATCH(N$1,[3]enemies!$1:$1,0)-MATCH($L$1,[3]enemies!$1:$1,0)+1,FALSE)</f>
        <v>yellow</v>
      </c>
      <c r="O28" s="22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20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20">
        <f ca="1">VLOOKUP($L28,OFFSET([3]enemies!$A$1,0,0,COUNTA([3]enemies!$A:$A),MATCH(Q$1,[3]enemies!$1:$1,0)-MATCH($L$1,[3]enemies!$1:$1,0)+1),MATCH(Q$1,[3]enemies!$1:$1,0)-MATCH($L$1,[3]enemies!$1:$1,0)+1,FALSE)</f>
        <v>15</v>
      </c>
      <c r="R28" s="6">
        <v>1</v>
      </c>
      <c r="S28" s="39">
        <v>1</v>
      </c>
      <c r="T28" s="39">
        <v>1</v>
      </c>
      <c r="U28" s="6">
        <v>0</v>
      </c>
      <c r="V28" s="5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5">
        <f ca="1">VLOOKUP($L28,OFFSET([3]enemies!$A$1,0,0,COUNTA([3]enemies!$A:$A),MATCH(W$1,[3]enemies!$1:$1,0)-MATCH($L$1,[3]enemies!$1:$1,0)+1),MATCH(W$1,[3]enemies!$1:$1,0)-MATCH($L$1,[3]enemies!$1:$1,0)+1,FALSE)</f>
        <v>0</v>
      </c>
      <c r="X28" s="7">
        <v>0</v>
      </c>
      <c r="Y28" s="7">
        <v>30</v>
      </c>
      <c r="Z28" s="7">
        <v>0</v>
      </c>
      <c r="AA28" s="20">
        <f ca="1">VLOOKUP($L28,OFFSET([3]enemies!$A$1,0,0,COUNTA([3]enemies!$A:$A),MATCH(AA$1,[3]enemies!$1:$1,0)-MATCH($L$1,[3]enemies!$1:$1,0)+1),MATCH(AA$1,[3]enemies!$1:$1,0)-MATCH($L$1,[3]enemies!$1:$1,0)+1,FALSE)</f>
        <v>1</v>
      </c>
      <c r="AB28" s="24">
        <v>344</v>
      </c>
      <c r="AC28" s="5" t="str">
        <f ca="1">IFERROR(VLOOKUP($AB28,OFFSET([4]characters!$A$1,0,0,COUNTA([4]characters!$A:$A),MATCH(AC$1,[4]characters!$1:$1,0)-MATCH("character_id",[4]characters!$1:$1,0)+1),MATCH(AC$1,[4]characters!$1:$1,0)-MATCH("character_id",[4]characters!$1:$1,0)+1,FALSE),"")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28" s="5">
        <f ca="1">IFERROR(VLOOKUP($AB28,OFFSET([4]characters!$A$1,0,0,COUNTA([4]characters!$A:$A),MATCH(AD$1,[4]characters!$1:$1,0)-MATCH("character_id",[4]characters!$1:$1,0)+1),MATCH(AD$1,[4]characters!$1:$1,0)-MATCH("character_id",[4]characters!$1:$1,0)+1,FALSE),"")</f>
        <v>3</v>
      </c>
      <c r="AE28" s="5" t="str">
        <f ca="1">IFERROR(VLOOKUP($AB28,OFFSET([4]characters!$A$1,0,0,COUNTA([4]characters!$A:$A),MATCH(AE$1,[4]characters!$1:$1,0)-MATCH("character_id",[4]characters!$1:$1,0)+1),MATCH(AE$1,[4]characters!$1:$1,0)-MATCH("character_id",[4]characters!$1:$1,0)+1,FALSE),"")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" s="8">
        <v>1</v>
      </c>
      <c r="AG28" s="27">
        <f t="shared" ca="1" si="31"/>
        <v>3</v>
      </c>
      <c r="AH28" s="9">
        <v>10</v>
      </c>
      <c r="AI28" s="8">
        <v>0</v>
      </c>
      <c r="AJ28" s="8">
        <v>0</v>
      </c>
      <c r="AK28" s="8">
        <v>0</v>
      </c>
      <c r="AL28" s="8">
        <v>0</v>
      </c>
      <c r="AM28" s="8">
        <v>1</v>
      </c>
      <c r="AN28" s="8">
        <v>1</v>
      </c>
    </row>
    <row r="29" spans="1:40" ht="21" customHeight="1" x14ac:dyDescent="0.15">
      <c r="A29" s="17" t="str">
        <f t="shared" ca="1" si="29"/>
        <v>11001_3-2/345&lt;lv1&gt;s2</v>
      </c>
      <c r="B29" s="8">
        <v>11001</v>
      </c>
      <c r="C29" s="25">
        <v>3</v>
      </c>
      <c r="D29" s="2" t="str">
        <f t="shared" si="30"/>
        <v>11001_3</v>
      </c>
      <c r="E29" s="5" t="str">
        <f ca="1">VLOOKUP($B29,OFFSET([2]quests!$A$1,0,0,COUNTA([2]quests!$A:$A),MATCH(E$1,[2]quests!$1:$1,0)-MATCH($B$1,[2]quests!$1:$1,0)+1),MATCH(E$1,[2]quests!$1:$1,0)-MATCH($B$1,[2]quests!$1:$1,0)+1,FALSE)</f>
        <v>【月曜限定】 黄の素材</v>
      </c>
      <c r="F29" s="5" t="str">
        <f ca="1">VLOOKUP($D29,OFFSET([2]stages!$A$1,0,0,COUNTA([2]stages!$A:$A),MATCH(F$1,[2]stages!$2:$2,0)-MATCH($D$1,[2]stages!$2:$2,0)+1),MATCH(F$1,[2]stages!$2:$2,0)-MATCH($D$1,[2]stages!$2:$2,0)+1,FALSE)</f>
        <v>【上級】雷のイモムシ</v>
      </c>
      <c r="G29" s="25">
        <v>2</v>
      </c>
      <c r="H29" s="16" t="str">
        <f t="shared" si="4"/>
        <v>11001_3-2</v>
      </c>
      <c r="I29" s="5">
        <f ca="1">VLOOKUP($H29,OFFSET(floors!$A$1,0,0,COUNTA(floors!$A:$A),MATCH(I$1,floors!$1:$1,0)-MATCH($H$1,floors!$1:$1,0)+1),MATCH(I$1,floors!$1:$1,0)-MATCH($H$1,floors!$1:$1,0)+1,FALSE)</f>
        <v>30</v>
      </c>
      <c r="J29" s="5">
        <f ca="1">VLOOKUP($H29,OFFSET(floors!$A$1,0,0,COUNTA(floors!$A:$A),MATCH(J$1,floors!$1:$1,0)-MATCH($H$1,floors!$1:$1,0)+1),MATCH(J$1,floors!$1:$1,0)-MATCH($H$1,floors!$1:$1,0)+1,FALSE)</f>
        <v>45</v>
      </c>
      <c r="K29" s="24" t="s">
        <v>197</v>
      </c>
      <c r="L29" s="24">
        <v>345</v>
      </c>
      <c r="M29" s="20" t="str">
        <f ca="1">VLOOKUP($L29,OFFSET([3]enemies!$A$1,0,0,COUNTA([3]enemies!$A:$A),MATCH(M$1,[3]enemies!$1:$1,0)-MATCH($L$1,[3]enemies!$1:$1,0)+1),MATCH(M$1,[3]enemies!$1:$1,0)-MATCH($L$1,[3]enemies!$1:$1,0)+1,FALSE)</f>
        <v>雷のメタルチック</v>
      </c>
      <c r="N29" s="20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22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0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0">
        <f ca="1">VLOOKUP($L29,OFFSET([3]enemies!$A$1,0,0,COUNTA([3]enemies!$A:$A),MATCH(Q$1,[3]enemies!$1:$1,0)-MATCH($L$1,[3]enemies!$1:$1,0)+1),MATCH(Q$1,[3]enemies!$1:$1,0)-MATCH($L$1,[3]enemies!$1:$1,0)+1,FALSE)</f>
        <v>15</v>
      </c>
      <c r="R29" s="6">
        <v>1</v>
      </c>
      <c r="S29" s="39">
        <v>1</v>
      </c>
      <c r="T29" s="39">
        <v>1</v>
      </c>
      <c r="U29" s="6">
        <v>0</v>
      </c>
      <c r="V29" s="5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5">
        <f ca="1">VLOOKUP($L29,OFFSET([3]enemies!$A$1,0,0,COUNTA([3]enemies!$A:$A),MATCH(W$1,[3]enemies!$1:$1,0)-MATCH($L$1,[3]enemies!$1:$1,0)+1),MATCH(W$1,[3]enemies!$1:$1,0)-MATCH($L$1,[3]enemies!$1:$1,0)+1,FALSE)</f>
        <v>0</v>
      </c>
      <c r="X29" s="7">
        <v>0</v>
      </c>
      <c r="Y29" s="7">
        <v>30</v>
      </c>
      <c r="Z29" s="7">
        <v>0</v>
      </c>
      <c r="AA29" s="20">
        <f ca="1">VLOOKUP($L29,OFFSET([3]enemies!$A$1,0,0,COUNTA([3]enemies!$A:$A),MATCH(AA$1,[3]enemies!$1:$1,0)-MATCH($L$1,[3]enemies!$1:$1,0)+1),MATCH(AA$1,[3]enemies!$1:$1,0)-MATCH($L$1,[3]enemies!$1:$1,0)+1,FALSE)</f>
        <v>2</v>
      </c>
      <c r="AB29" s="24">
        <v>345</v>
      </c>
      <c r="AC29" s="5" t="str">
        <f ca="1">IFERROR(VLOOKUP($AB29,OFFSET([4]characters!$A$1,0,0,COUNTA([4]characters!$A:$A),MATCH(AC$1,[4]characters!$1:$1,0)-MATCH("character_id",[4]characters!$1:$1,0)+1),MATCH(AC$1,[4]characters!$1:$1,0)-MATCH("character_id",[4]characters!$1:$1,0)+1,FALSE),"")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29" s="5">
        <f ca="1">IFERROR(VLOOKUP($AB29,OFFSET([4]characters!$A$1,0,0,COUNTA([4]characters!$A:$A),MATCH(AD$1,[4]characters!$1:$1,0)-MATCH("character_id",[4]characters!$1:$1,0)+1),MATCH(AD$1,[4]characters!$1:$1,0)-MATCH("character_id",[4]characters!$1:$1,0)+1,FALSE),"")</f>
        <v>4</v>
      </c>
      <c r="AE29" s="5" t="str">
        <f ca="1">IFERROR(VLOOKUP($AB29,OFFSET([4]characters!$A$1,0,0,COUNTA([4]characters!$A:$A),MATCH(AE$1,[4]characters!$1:$1,0)-MATCH("character_id",[4]characters!$1:$1,0)+1),MATCH(AE$1,[4]characters!$1:$1,0)-MATCH("character_id",[4]characters!$1:$1,0)+1,FALSE),"")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" s="8">
        <v>1</v>
      </c>
      <c r="AG29" s="27">
        <f t="shared" ca="1" si="31"/>
        <v>4</v>
      </c>
      <c r="AH29" s="9">
        <v>5</v>
      </c>
      <c r="AI29" s="8">
        <v>0</v>
      </c>
      <c r="AJ29" s="8">
        <v>0</v>
      </c>
      <c r="AK29" s="8">
        <v>0</v>
      </c>
      <c r="AL29" s="8">
        <v>0</v>
      </c>
      <c r="AM29" s="8">
        <v>1</v>
      </c>
      <c r="AN29" s="8">
        <v>1</v>
      </c>
    </row>
    <row r="30" spans="1:40" ht="21" customHeight="1" x14ac:dyDescent="0.15">
      <c r="A30" s="17" t="str">
        <f t="shared" ca="1" si="26"/>
        <v>11001_3-3/115&lt;lv30&gt;s2</v>
      </c>
      <c r="B30" s="8">
        <v>11001</v>
      </c>
      <c r="C30" s="25">
        <v>3</v>
      </c>
      <c r="D30" s="2" t="str">
        <f t="shared" si="27"/>
        <v>11001_3</v>
      </c>
      <c r="E30" s="5" t="str">
        <f ca="1">VLOOKUP($B30,OFFSET([2]quests!$A$1,0,0,COUNTA([2]quests!$A:$A),MATCH(E$1,[2]quests!$1:$1,0)-MATCH($B$1,[2]quests!$1:$1,0)+1),MATCH(E$1,[2]quests!$1:$1,0)-MATCH($B$1,[2]quests!$1:$1,0)+1,FALSE)</f>
        <v>【月曜限定】 黄の素材</v>
      </c>
      <c r="F30" s="5" t="str">
        <f ca="1">VLOOKUP($D30,OFFSET([2]stages!$A$1,0,0,COUNTA([2]stages!$A:$A),MATCH(F$1,[2]stages!$2:$2,0)-MATCH($D$1,[2]stages!$2:$2,0)+1),MATCH(F$1,[2]stages!$2:$2,0)-MATCH($D$1,[2]stages!$2:$2,0)+1,FALSE)</f>
        <v>【上級】雷のイモムシ</v>
      </c>
      <c r="G30" s="25">
        <v>3</v>
      </c>
      <c r="H30" s="16" t="str">
        <f t="shared" si="4"/>
        <v>11001_3-3</v>
      </c>
      <c r="I30" s="5">
        <f ca="1">VLOOKUP($H30,OFFSET(floors!$A$1,0,0,COUNTA(floors!$A:$A),MATCH(I$1,floors!$1:$1,0)-MATCH($H$1,floors!$1:$1,0)+1),MATCH(I$1,floors!$1:$1,0)-MATCH($H$1,floors!$1:$1,0)+1,FALSE)</f>
        <v>45</v>
      </c>
      <c r="J30" s="5">
        <f ca="1">VLOOKUP($H30,OFFSET(floors!$A$1,0,0,COUNTA(floors!$A:$A),MATCH(J$1,floors!$1:$1,0)-MATCH($H$1,floors!$1:$1,0)+1),MATCH(J$1,floors!$1:$1,0)-MATCH($H$1,floors!$1:$1,0)+1,FALSE)</f>
        <v>45</v>
      </c>
      <c r="K30" s="24" t="s">
        <v>197</v>
      </c>
      <c r="L30" s="24">
        <v>115</v>
      </c>
      <c r="M30" s="20" t="str">
        <f ca="1">VLOOKUP($L30,OFFSET([3]enemies!$A$1,0,0,COUNTA([3]enemies!$A:$A),MATCH(M$1,[3]enemies!$1:$1,0)-MATCH($L$1,[3]enemies!$1:$1,0)+1),MATCH(M$1,[3]enemies!$1:$1,0)-MATCH($L$1,[3]enemies!$1:$1,0)+1,FALSE)</f>
        <v>イエローキャタップ</v>
      </c>
      <c r="N30" s="20" t="str">
        <f ca="1">VLOOKUP($L30,OFFSET([3]enemies!$A$1,0,0,COUNTA([3]enemies!$A:$A),MATCH(N$1,[3]enemies!$1:$1,0)-MATCH($L$1,[3]enemies!$1:$1,0)+1),MATCH(N$1,[3]enemies!$1:$1,0)-MATCH($L$1,[3]enemies!$1:$1,0)+1,FALSE)</f>
        <v>yellow</v>
      </c>
      <c r="O30" s="22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20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20">
        <f ca="1">VLOOKUP($L30,OFFSET([3]enemies!$A$1,0,0,COUNTA([3]enemies!$A:$A),MATCH(Q$1,[3]enemies!$1:$1,0)-MATCH($L$1,[3]enemies!$1:$1,0)+1),MATCH(Q$1,[3]enemies!$1:$1,0)-MATCH($L$1,[3]enemies!$1:$1,0)+1,FALSE)</f>
        <v>15</v>
      </c>
      <c r="R30" s="6">
        <v>30</v>
      </c>
      <c r="S30" s="39">
        <v>2</v>
      </c>
      <c r="T30" s="39">
        <v>1</v>
      </c>
      <c r="U30" s="6">
        <v>0</v>
      </c>
      <c r="V30" s="5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" s="5">
        <f ca="1">VLOOKUP($L30,OFFSET([3]enemies!$A$1,0,0,COUNTA([3]enemies!$A:$A),MATCH(W$1,[3]enemies!$1:$1,0)-MATCH($L$1,[3]enemies!$1:$1,0)+1),MATCH(W$1,[3]enemies!$1:$1,0)-MATCH($L$1,[3]enemies!$1:$1,0)+1,FALSE)</f>
        <v>0</v>
      </c>
      <c r="X30" s="7">
        <v>1</v>
      </c>
      <c r="Y30" s="7">
        <v>100</v>
      </c>
      <c r="Z30" s="7">
        <v>1</v>
      </c>
      <c r="AA30" s="20">
        <f ca="1">VLOOKUP($L30,OFFSET([3]enemies!$A$1,0,0,COUNTA([3]enemies!$A:$A),MATCH(AA$1,[3]enemies!$1:$1,0)-MATCH($L$1,[3]enemies!$1:$1,0)+1),MATCH(AA$1,[3]enemies!$1:$1,0)-MATCH($L$1,[3]enemies!$1:$1,0)+1,FALSE)</f>
        <v>2</v>
      </c>
      <c r="AB30" s="24">
        <v>115</v>
      </c>
      <c r="AC30" s="5" t="str">
        <f ca="1">IFERROR(VLOOKUP($AB30,OFFSET([4]characters!$A$1,0,0,COUNTA([4]characters!$A:$A),MATCH(AC$1,[4]characters!$1:$1,0)-MATCH("character_id",[4]characters!$1:$1,0)+1),MATCH(AC$1,[4]characters!$1:$1,0)-MATCH("character_id",[4]characters!$1:$1,0)+1,FALSE),"")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30" s="5">
        <f ca="1">IFERROR(VLOOKUP($AB30,OFFSET([4]characters!$A$1,0,0,COUNTA([4]characters!$A:$A),MATCH(AD$1,[4]characters!$1:$1,0)-MATCH("character_id",[4]characters!$1:$1,0)+1),MATCH(AD$1,[4]characters!$1:$1,0)-MATCH("character_id",[4]characters!$1:$1,0)+1,FALSE),"")</f>
        <v>4</v>
      </c>
      <c r="AE30" s="5" t="str">
        <f ca="1">IFERROR(VLOOKUP($AB30,OFFSET([4]characters!$A$1,0,0,COUNTA([4]characters!$A:$A),MATCH(AE$1,[4]characters!$1:$1,0)-MATCH("character_id",[4]characters!$1:$1,0)+1),MATCH(AE$1,[4]characters!$1:$1,0)-MATCH("character_id",[4]characters!$1:$1,0)+1,FALSE),"")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" s="8">
        <v>1</v>
      </c>
      <c r="AG30" s="27">
        <f t="shared" ca="1" si="28"/>
        <v>4</v>
      </c>
      <c r="AH30" s="9">
        <v>50</v>
      </c>
      <c r="AI30" s="8">
        <v>0</v>
      </c>
      <c r="AJ30" s="8">
        <v>0</v>
      </c>
      <c r="AK30" s="8">
        <v>0</v>
      </c>
      <c r="AL30" s="8">
        <v>0</v>
      </c>
      <c r="AM30" s="8">
        <v>1</v>
      </c>
      <c r="AN30" s="8">
        <v>1</v>
      </c>
    </row>
    <row r="31" spans="1:40" ht="21" customHeight="1" x14ac:dyDescent="0.15">
      <c r="A31" s="17" t="str">
        <f t="shared" ref="A31:A35" ca="1" si="32">B31&amp;"_"&amp;C31&amp;"-"&amp;G31&amp;"/"&amp;L31&amp;"&lt;lv"&amp;R31&amp;"&gt;s"&amp;AA31</f>
        <v>11001_3-3/39&lt;lv35&gt;s3</v>
      </c>
      <c r="B31" s="8">
        <v>11001</v>
      </c>
      <c r="C31" s="25">
        <v>3</v>
      </c>
      <c r="D31" s="2" t="str">
        <f t="shared" ref="D31:D35" si="33">B31&amp;"_"&amp;C31</f>
        <v>11001_3</v>
      </c>
      <c r="E31" s="5" t="str">
        <f ca="1">VLOOKUP($B31,OFFSET([2]quests!$A$1,0,0,COUNTA([2]quests!$A:$A),MATCH(E$1,[2]quests!$1:$1,0)-MATCH($B$1,[2]quests!$1:$1,0)+1),MATCH(E$1,[2]quests!$1:$1,0)-MATCH($B$1,[2]quests!$1:$1,0)+1,FALSE)</f>
        <v>【月曜限定】 黄の素材</v>
      </c>
      <c r="F31" s="5" t="str">
        <f ca="1">VLOOKUP($D31,OFFSET([2]stages!$A$1,0,0,COUNTA([2]stages!$A:$A),MATCH(F$1,[2]stages!$2:$2,0)-MATCH($D$1,[2]stages!$2:$2,0)+1),MATCH(F$1,[2]stages!$2:$2,0)-MATCH($D$1,[2]stages!$2:$2,0)+1,FALSE)</f>
        <v>【上級】雷のイモムシ</v>
      </c>
      <c r="G31" s="25">
        <v>3</v>
      </c>
      <c r="H31" s="16" t="str">
        <f t="shared" si="4"/>
        <v>11001_3-3</v>
      </c>
      <c r="I31" s="5">
        <f ca="1">VLOOKUP($H31,OFFSET(floors!$A$1,0,0,COUNTA(floors!$A:$A),MATCH(I$1,floors!$1:$1,0)-MATCH($H$1,floors!$1:$1,0)+1),MATCH(I$1,floors!$1:$1,0)-MATCH($H$1,floors!$1:$1,0)+1,FALSE)</f>
        <v>45</v>
      </c>
      <c r="J31" s="5">
        <f ca="1">VLOOKUP($H31,OFFSET(floors!$A$1,0,0,COUNTA(floors!$A:$A),MATCH(J$1,floors!$1:$1,0)-MATCH($H$1,floors!$1:$1,0)+1),MATCH(J$1,floors!$1:$1,0)-MATCH($H$1,floors!$1:$1,0)+1,FALSE)</f>
        <v>45</v>
      </c>
      <c r="K31" s="24" t="s">
        <v>197</v>
      </c>
      <c r="L31" s="24">
        <v>39</v>
      </c>
      <c r="M31" s="20" t="str">
        <f ca="1">VLOOKUP($L31,OFFSET([3]enemies!$A$1,0,0,COUNTA([3]enemies!$A:$A),MATCH(M$1,[3]enemies!$1:$1,0)-MATCH($L$1,[3]enemies!$1:$1,0)+1),MATCH(M$1,[3]enemies!$1:$1,0)-MATCH($L$1,[3]enemies!$1:$1,0)+1,FALSE)</f>
        <v>マーロン</v>
      </c>
      <c r="N31" s="20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22" t="str">
        <f ca="1">VLOOKUP($L31,OFFSET([4]characters!$A$1,0,0,COUNTA([4]characters!$A:$A),MATCH(O$1,[4]characters!$1:$1,0)-MATCH($L$1,[4]characters!$1:$1,0)+1),MATCH(O$1,[4]characters!$1:$1,0)-MATCH($L$1,[4]characters!$1:$1,0)+1,FALSE)</f>
        <v>Drop1S</v>
      </c>
      <c r="P31" s="20" t="str">
        <f ca="1">VLOOKUP($L31,OFFSET([3]enemies!$A$1,0,0,COUNTA([3]enemies!$A:$A),MATCH(P$1,[3]enemies!$1:$1,0)-MATCH($L$1,[3]enemies!$1:$1,0)+1),MATCH(P$1,[3]enemies!$1:$1,0)-MATCH($L$1,[3]enemies!$1:$1,0)+1,FALSE)</f>
        <v>human</v>
      </c>
      <c r="Q31" s="20">
        <f ca="1">VLOOKUP($L31,OFFSET([3]enemies!$A$1,0,0,COUNTA([3]enemies!$A:$A),MATCH(Q$1,[3]enemies!$1:$1,0)-MATCH($L$1,[3]enemies!$1:$1,0)+1),MATCH(Q$1,[3]enemies!$1:$1,0)-MATCH($L$1,[3]enemies!$1:$1,0)+1,FALSE)</f>
        <v>15</v>
      </c>
      <c r="R31" s="6">
        <v>35</v>
      </c>
      <c r="S31" s="39">
        <v>1</v>
      </c>
      <c r="T31" s="39">
        <v>1</v>
      </c>
      <c r="U31" s="6">
        <v>0</v>
      </c>
      <c r="V31" s="5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31" s="5">
        <f ca="1">VLOOKUP($L31,OFFSET([3]enemies!$A$1,0,0,COUNTA([3]enemies!$A:$A),MATCH(W$1,[3]enemies!$1:$1,0)-MATCH($L$1,[3]enemies!$1:$1,0)+1),MATCH(W$1,[3]enemies!$1:$1,0)-MATCH($L$1,[3]enemies!$1:$1,0)+1,FALSE)</f>
        <v>39</v>
      </c>
      <c r="X31" s="7">
        <v>0</v>
      </c>
      <c r="Y31" s="7">
        <v>100</v>
      </c>
      <c r="Z31" s="7">
        <v>0</v>
      </c>
      <c r="AA31" s="20">
        <f ca="1">VLOOKUP($L31,OFFSET([3]enemies!$A$1,0,0,COUNTA([3]enemies!$A:$A),MATCH(AA$1,[3]enemies!$1:$1,0)-MATCH($L$1,[3]enemies!$1:$1,0)+1),MATCH(AA$1,[3]enemies!$1:$1,0)-MATCH($L$1,[3]enemies!$1:$1,0)+1,FALSE)</f>
        <v>3</v>
      </c>
      <c r="AB31" s="24">
        <v>39</v>
      </c>
      <c r="AC31" s="5" t="str">
        <f ca="1">IFERROR(VLOOKUP($AB31,OFFSET([4]characters!$A$1,0,0,COUNTA([4]characters!$A:$A),MATCH(AC$1,[4]characters!$1:$1,0)-MATCH("character_id",[4]characters!$1:$1,0)+1),MATCH(AC$1,[4]characters!$1:$1,0)-MATCH("character_id",[4]characters!$1:$1,0)+1,FALSE),"")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31" s="5">
        <f ca="1">IFERROR(VLOOKUP($AB31,OFFSET([4]characters!$A$1,0,0,COUNTA([4]characters!$A:$A),MATCH(AD$1,[4]characters!$1:$1,0)-MATCH("character_id",[4]characters!$1:$1,0)+1),MATCH(AD$1,[4]characters!$1:$1,0)-MATCH("character_id",[4]characters!$1:$1,0)+1,FALSE),"")</f>
        <v>2</v>
      </c>
      <c r="AE31" s="5" t="str">
        <f ca="1">IFERROR(VLOOKUP($AB31,OFFSET([4]characters!$A$1,0,0,COUNTA([4]characters!$A:$A),MATCH(AE$1,[4]characters!$1:$1,0)-MATCH("character_id",[4]characters!$1:$1,0)+1),MATCH(AE$1,[4]characters!$1:$1,0)-MATCH("character_id",[4]characters!$1:$1,0)+1,FALSE),"")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31" s="8">
        <v>1</v>
      </c>
      <c r="AG31" s="27">
        <f t="shared" ref="AG31:AG35" ca="1" si="34">AD31</f>
        <v>2</v>
      </c>
      <c r="AH31" s="9">
        <v>0</v>
      </c>
      <c r="AI31" s="8">
        <v>0</v>
      </c>
      <c r="AJ31" s="8">
        <v>0</v>
      </c>
      <c r="AK31" s="8">
        <v>0</v>
      </c>
      <c r="AL31" s="8">
        <v>0</v>
      </c>
      <c r="AM31" s="8">
        <v>1</v>
      </c>
      <c r="AN31" s="8">
        <v>1</v>
      </c>
    </row>
    <row r="32" spans="1:40" ht="21" customHeight="1" x14ac:dyDescent="0.15">
      <c r="A32" s="17" t="str">
        <f t="shared" ca="1" si="32"/>
        <v>11001_3-3/31&lt;lv35&gt;s2</v>
      </c>
      <c r="B32" s="8">
        <v>11001</v>
      </c>
      <c r="C32" s="25">
        <v>3</v>
      </c>
      <c r="D32" s="2" t="str">
        <f t="shared" si="33"/>
        <v>11001_3</v>
      </c>
      <c r="E32" s="5" t="str">
        <f ca="1">VLOOKUP($B32,OFFSET([2]quests!$A$1,0,0,COUNTA([2]quests!$A:$A),MATCH(E$1,[2]quests!$1:$1,0)-MATCH($B$1,[2]quests!$1:$1,0)+1),MATCH(E$1,[2]quests!$1:$1,0)-MATCH($B$1,[2]quests!$1:$1,0)+1,FALSE)</f>
        <v>【月曜限定】 黄の素材</v>
      </c>
      <c r="F32" s="5" t="str">
        <f ca="1">VLOOKUP($D32,OFFSET([2]stages!$A$1,0,0,COUNTA([2]stages!$A:$A),MATCH(F$1,[2]stages!$2:$2,0)-MATCH($D$1,[2]stages!$2:$2,0)+1),MATCH(F$1,[2]stages!$2:$2,0)-MATCH($D$1,[2]stages!$2:$2,0)+1,FALSE)</f>
        <v>【上級】雷のイモムシ</v>
      </c>
      <c r="G32" s="25">
        <v>3</v>
      </c>
      <c r="H32" s="16" t="str">
        <f t="shared" si="4"/>
        <v>11001_3-3</v>
      </c>
      <c r="I32" s="5">
        <f ca="1">VLOOKUP($H32,OFFSET(floors!$A$1,0,0,COUNTA(floors!$A:$A),MATCH(I$1,floors!$1:$1,0)-MATCH($H$1,floors!$1:$1,0)+1),MATCH(I$1,floors!$1:$1,0)-MATCH($H$1,floors!$1:$1,0)+1,FALSE)</f>
        <v>45</v>
      </c>
      <c r="J32" s="5">
        <f ca="1">VLOOKUP($H32,OFFSET(floors!$A$1,0,0,COUNTA(floors!$A:$A),MATCH(J$1,floors!$1:$1,0)-MATCH($H$1,floors!$1:$1,0)+1),MATCH(J$1,floors!$1:$1,0)-MATCH($H$1,floors!$1:$1,0)+1,FALSE)</f>
        <v>45</v>
      </c>
      <c r="K32" s="24" t="s">
        <v>197</v>
      </c>
      <c r="L32" s="24">
        <v>31</v>
      </c>
      <c r="M32" s="20" t="str">
        <f ca="1">VLOOKUP($L32,OFFSET([3]enemies!$A$1,0,0,COUNTA([3]enemies!$A:$A),MATCH(M$1,[3]enemies!$1:$1,0)-MATCH($L$1,[3]enemies!$1:$1,0)+1),MATCH(M$1,[3]enemies!$1:$1,0)-MATCH($L$1,[3]enemies!$1:$1,0)+1,FALSE)</f>
        <v>マービー</v>
      </c>
      <c r="N32" s="20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22" t="str">
        <f ca="1">VLOOKUP($L32,OFFSET([4]characters!$A$1,0,0,COUNTA([4]characters!$A:$A),MATCH(O$1,[4]characters!$1:$1,0)-MATCH($L$1,[4]characters!$1:$1,0)+1),MATCH(O$1,[4]characters!$1:$1,0)-MATCH($L$1,[4]characters!$1:$1,0)+1,FALSE)</f>
        <v>Drop1N</v>
      </c>
      <c r="P32" s="20" t="str">
        <f ca="1">VLOOKUP($L32,OFFSET([3]enemies!$A$1,0,0,COUNTA([3]enemies!$A:$A),MATCH(P$1,[3]enemies!$1:$1,0)-MATCH($L$1,[3]enemies!$1:$1,0)+1),MATCH(P$1,[3]enemies!$1:$1,0)-MATCH($L$1,[3]enemies!$1:$1,0)+1,FALSE)</f>
        <v>machine</v>
      </c>
      <c r="Q32" s="20">
        <f ca="1">VLOOKUP($L32,OFFSET([3]enemies!$A$1,0,0,COUNTA([3]enemies!$A:$A),MATCH(Q$1,[3]enemies!$1:$1,0)-MATCH($L$1,[3]enemies!$1:$1,0)+1),MATCH(Q$1,[3]enemies!$1:$1,0)-MATCH($L$1,[3]enemies!$1:$1,0)+1,FALSE)</f>
        <v>15</v>
      </c>
      <c r="R32" s="6">
        <v>35</v>
      </c>
      <c r="S32" s="39">
        <v>1</v>
      </c>
      <c r="T32" s="39">
        <v>1</v>
      </c>
      <c r="U32" s="6">
        <v>0</v>
      </c>
      <c r="V32" s="5" t="str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2" s="5">
        <f ca="1">VLOOKUP($L32,OFFSET([3]enemies!$A$1,0,0,COUNTA([3]enemies!$A:$A),MATCH(W$1,[3]enemies!$1:$1,0)-MATCH($L$1,[3]enemies!$1:$1,0)+1),MATCH(W$1,[3]enemies!$1:$1,0)-MATCH($L$1,[3]enemies!$1:$1,0)+1,FALSE)</f>
        <v>0</v>
      </c>
      <c r="X32" s="7">
        <v>0</v>
      </c>
      <c r="Y32" s="7">
        <v>100</v>
      </c>
      <c r="Z32" s="7">
        <v>0</v>
      </c>
      <c r="AA32" s="20">
        <f ca="1">VLOOKUP($L32,OFFSET([3]enemies!$A$1,0,0,COUNTA([3]enemies!$A:$A),MATCH(AA$1,[3]enemies!$1:$1,0)-MATCH($L$1,[3]enemies!$1:$1,0)+1),MATCH(AA$1,[3]enemies!$1:$1,0)-MATCH($L$1,[3]enemies!$1:$1,0)+1,FALSE)</f>
        <v>2</v>
      </c>
      <c r="AB32" s="24">
        <v>31</v>
      </c>
      <c r="AC32" s="5" t="str">
        <f ca="1">IFERROR(VLOOKUP($AB32,OFFSET([4]characters!$A$1,0,0,COUNTA([4]characters!$A:$A),MATCH(AC$1,[4]characters!$1:$1,0)-MATCH("character_id",[4]characters!$1:$1,0)+1),MATCH(AC$1,[4]characters!$1:$1,0)-MATCH("character_id",[4]characters!$1:$1,0)+1,FALSE),"")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32" s="5">
        <f ca="1">IFERROR(VLOOKUP($AB32,OFFSET([4]characters!$A$1,0,0,COUNTA([4]characters!$A:$A),MATCH(AD$1,[4]characters!$1:$1,0)-MATCH("character_id",[4]characters!$1:$1,0)+1),MATCH(AD$1,[4]characters!$1:$1,0)-MATCH("character_id",[4]characters!$1:$1,0)+1,FALSE),"")</f>
        <v>1</v>
      </c>
      <c r="AE32" s="5" t="str">
        <f ca="1">IFERROR(VLOOKUP($AB32,OFFSET([4]characters!$A$1,0,0,COUNTA([4]characters!$A:$A),MATCH(AE$1,[4]characters!$1:$1,0)-MATCH("character_id",[4]characters!$1:$1,0)+1),MATCH(AE$1,[4]characters!$1:$1,0)-MATCH("character_id",[4]characters!$1:$1,0)+1,FALSE),"")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2" s="8">
        <v>1</v>
      </c>
      <c r="AG32" s="27">
        <f t="shared" ca="1" si="34"/>
        <v>1</v>
      </c>
      <c r="AH32" s="9">
        <v>0</v>
      </c>
      <c r="AI32" s="8">
        <v>0</v>
      </c>
      <c r="AJ32" s="8">
        <v>0</v>
      </c>
      <c r="AK32" s="8">
        <v>0</v>
      </c>
      <c r="AL32" s="8">
        <v>0</v>
      </c>
      <c r="AM32" s="8">
        <v>1</v>
      </c>
      <c r="AN32" s="8">
        <v>1</v>
      </c>
    </row>
    <row r="33" spans="1:40" ht="21" customHeight="1" x14ac:dyDescent="0.15">
      <c r="A33" s="17" t="str">
        <f t="shared" ref="A33" ca="1" si="35">B33&amp;"_"&amp;C33&amp;"-"&amp;G33&amp;"/"&amp;L33&amp;"&lt;lv"&amp;R33&amp;"&gt;s"&amp;AA33</f>
        <v>11001_3-3/344&lt;lv1&gt;s1</v>
      </c>
      <c r="B33" s="8">
        <v>11001</v>
      </c>
      <c r="C33" s="25">
        <v>3</v>
      </c>
      <c r="D33" s="2" t="str">
        <f t="shared" ref="D33" si="36">B33&amp;"_"&amp;C33</f>
        <v>11001_3</v>
      </c>
      <c r="E33" s="5" t="str">
        <f ca="1">VLOOKUP($B33,OFFSET([2]quests!$A$1,0,0,COUNTA([2]quests!$A:$A),MATCH(E$1,[2]quests!$1:$1,0)-MATCH($B$1,[2]quests!$1:$1,0)+1),MATCH(E$1,[2]quests!$1:$1,0)-MATCH($B$1,[2]quests!$1:$1,0)+1,FALSE)</f>
        <v>【月曜限定】 黄の素材</v>
      </c>
      <c r="F33" s="5" t="str">
        <f ca="1">VLOOKUP($D33,OFFSET([2]stages!$A$1,0,0,COUNTA([2]stages!$A:$A),MATCH(F$1,[2]stages!$2:$2,0)-MATCH($D$1,[2]stages!$2:$2,0)+1),MATCH(F$1,[2]stages!$2:$2,0)-MATCH($D$1,[2]stages!$2:$2,0)+1,FALSE)</f>
        <v>【上級】雷のイモムシ</v>
      </c>
      <c r="G33" s="25">
        <v>3</v>
      </c>
      <c r="H33" s="16" t="str">
        <f t="shared" si="4"/>
        <v>11001_3-3</v>
      </c>
      <c r="I33" s="5">
        <f ca="1">VLOOKUP($H33,OFFSET(floors!$A$1,0,0,COUNTA(floors!$A:$A),MATCH(I$1,floors!$1:$1,0)-MATCH($H$1,floors!$1:$1,0)+1),MATCH(I$1,floors!$1:$1,0)-MATCH($H$1,floors!$1:$1,0)+1,FALSE)</f>
        <v>45</v>
      </c>
      <c r="J33" s="5">
        <f ca="1">VLOOKUP($H33,OFFSET(floors!$A$1,0,0,COUNTA(floors!$A:$A),MATCH(J$1,floors!$1:$1,0)-MATCH($H$1,floors!$1:$1,0)+1),MATCH(J$1,floors!$1:$1,0)-MATCH($H$1,floors!$1:$1,0)+1,FALSE)</f>
        <v>45</v>
      </c>
      <c r="K33" s="24" t="s">
        <v>197</v>
      </c>
      <c r="L33" s="24">
        <v>344</v>
      </c>
      <c r="M33" s="20" t="str">
        <f ca="1">VLOOKUP($L33,OFFSET([3]enemies!$A$1,0,0,COUNTA([3]enemies!$A:$A),MATCH(M$1,[3]enemies!$1:$1,0)-MATCH($L$1,[3]enemies!$1:$1,0)+1),MATCH(M$1,[3]enemies!$1:$1,0)-MATCH($L$1,[3]enemies!$1:$1,0)+1,FALSE)</f>
        <v>雷のメタルピヨピヨ</v>
      </c>
      <c r="N33" s="20" t="str">
        <f ca="1">VLOOKUP($L33,OFFSET([3]enemies!$A$1,0,0,COUNTA([3]enemies!$A:$A),MATCH(N$1,[3]enemies!$1:$1,0)-MATCH($L$1,[3]enemies!$1:$1,0)+1),MATCH(N$1,[3]enemies!$1:$1,0)-MATCH($L$1,[3]enemies!$1:$1,0)+1,FALSE)</f>
        <v>yellow</v>
      </c>
      <c r="O33" s="22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20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20">
        <f ca="1">VLOOKUP($L33,OFFSET([3]enemies!$A$1,0,0,COUNTA([3]enemies!$A:$A),MATCH(Q$1,[3]enemies!$1:$1,0)-MATCH($L$1,[3]enemies!$1:$1,0)+1),MATCH(Q$1,[3]enemies!$1:$1,0)-MATCH($L$1,[3]enemies!$1:$1,0)+1,FALSE)</f>
        <v>15</v>
      </c>
      <c r="R33" s="6">
        <v>1</v>
      </c>
      <c r="S33" s="39">
        <v>1</v>
      </c>
      <c r="T33" s="39">
        <v>1</v>
      </c>
      <c r="U33" s="6">
        <v>0</v>
      </c>
      <c r="V33" s="5" t="str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3" s="5">
        <f ca="1">VLOOKUP($L33,OFFSET([3]enemies!$A$1,0,0,COUNTA([3]enemies!$A:$A),MATCH(W$1,[3]enemies!$1:$1,0)-MATCH($L$1,[3]enemies!$1:$1,0)+1),MATCH(W$1,[3]enemies!$1:$1,0)-MATCH($L$1,[3]enemies!$1:$1,0)+1,FALSE)</f>
        <v>0</v>
      </c>
      <c r="X33" s="7">
        <v>0</v>
      </c>
      <c r="Y33" s="7">
        <v>30</v>
      </c>
      <c r="Z33" s="7">
        <v>0</v>
      </c>
      <c r="AA33" s="20">
        <f ca="1">VLOOKUP($L33,OFFSET([3]enemies!$A$1,0,0,COUNTA([3]enemies!$A:$A),MATCH(AA$1,[3]enemies!$1:$1,0)-MATCH($L$1,[3]enemies!$1:$1,0)+1),MATCH(AA$1,[3]enemies!$1:$1,0)-MATCH($L$1,[3]enemies!$1:$1,0)+1,FALSE)</f>
        <v>1</v>
      </c>
      <c r="AB33" s="24">
        <v>344</v>
      </c>
      <c r="AC33" s="5" t="str">
        <f ca="1">IFERROR(VLOOKUP($AB33,OFFSET([4]characters!$A$1,0,0,COUNTA([4]characters!$A:$A),MATCH(AC$1,[4]characters!$1:$1,0)-MATCH("character_id",[4]characters!$1:$1,0)+1),MATCH(AC$1,[4]characters!$1:$1,0)-MATCH("character_id",[4]characters!$1:$1,0)+1,FALSE),"")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33" s="5">
        <f ca="1">IFERROR(VLOOKUP($AB33,OFFSET([4]characters!$A$1,0,0,COUNTA([4]characters!$A:$A),MATCH(AD$1,[4]characters!$1:$1,0)-MATCH("character_id",[4]characters!$1:$1,0)+1),MATCH(AD$1,[4]characters!$1:$1,0)-MATCH("character_id",[4]characters!$1:$1,0)+1,FALSE),"")</f>
        <v>3</v>
      </c>
      <c r="AE33" s="5" t="str">
        <f ca="1">IFERROR(VLOOKUP($AB33,OFFSET([4]characters!$A$1,0,0,COUNTA([4]characters!$A:$A),MATCH(AE$1,[4]characters!$1:$1,0)-MATCH("character_id",[4]characters!$1:$1,0)+1),MATCH(AE$1,[4]characters!$1:$1,0)-MATCH("character_id",[4]characters!$1:$1,0)+1,FALSE),"")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3" s="8">
        <v>1</v>
      </c>
      <c r="AG33" s="27">
        <f t="shared" ref="AG33" ca="1" si="37">AD33</f>
        <v>3</v>
      </c>
      <c r="AH33" s="9">
        <v>10</v>
      </c>
      <c r="AI33" s="8">
        <v>0</v>
      </c>
      <c r="AJ33" s="8">
        <v>0</v>
      </c>
      <c r="AK33" s="8">
        <v>0</v>
      </c>
      <c r="AL33" s="8">
        <v>0</v>
      </c>
      <c r="AM33" s="8">
        <v>1</v>
      </c>
      <c r="AN33" s="8">
        <v>1</v>
      </c>
    </row>
    <row r="34" spans="1:40" ht="21" customHeight="1" x14ac:dyDescent="0.15">
      <c r="A34" s="17" t="str">
        <f t="shared" ref="A34" ca="1" si="38">B34&amp;"_"&amp;C34&amp;"-"&amp;G34&amp;"/"&amp;L34&amp;"&lt;lv"&amp;R34&amp;"&gt;s"&amp;AA34</f>
        <v>11001_3-3/345&lt;lv1&gt;s2</v>
      </c>
      <c r="B34" s="8">
        <v>11001</v>
      </c>
      <c r="C34" s="25">
        <v>3</v>
      </c>
      <c r="D34" s="2" t="str">
        <f t="shared" ref="D34" si="39">B34&amp;"_"&amp;C34</f>
        <v>11001_3</v>
      </c>
      <c r="E34" s="5" t="str">
        <f ca="1">VLOOKUP($B34,OFFSET([2]quests!$A$1,0,0,COUNTA([2]quests!$A:$A),MATCH(E$1,[2]quests!$1:$1,0)-MATCH($B$1,[2]quests!$1:$1,0)+1),MATCH(E$1,[2]quests!$1:$1,0)-MATCH($B$1,[2]quests!$1:$1,0)+1,FALSE)</f>
        <v>【月曜限定】 黄の素材</v>
      </c>
      <c r="F34" s="5" t="str">
        <f ca="1">VLOOKUP($D34,OFFSET([2]stages!$A$1,0,0,COUNTA([2]stages!$A:$A),MATCH(F$1,[2]stages!$2:$2,0)-MATCH($D$1,[2]stages!$2:$2,0)+1),MATCH(F$1,[2]stages!$2:$2,0)-MATCH($D$1,[2]stages!$2:$2,0)+1,FALSE)</f>
        <v>【上級】雷のイモムシ</v>
      </c>
      <c r="G34" s="25">
        <v>3</v>
      </c>
      <c r="H34" s="16" t="str">
        <f t="shared" si="4"/>
        <v>11001_3-3</v>
      </c>
      <c r="I34" s="5">
        <f ca="1">VLOOKUP($H34,OFFSET(floors!$A$1,0,0,COUNTA(floors!$A:$A),MATCH(I$1,floors!$1:$1,0)-MATCH($H$1,floors!$1:$1,0)+1),MATCH(I$1,floors!$1:$1,0)-MATCH($H$1,floors!$1:$1,0)+1,FALSE)</f>
        <v>45</v>
      </c>
      <c r="J34" s="5">
        <f ca="1">VLOOKUP($H34,OFFSET(floors!$A$1,0,0,COUNTA(floors!$A:$A),MATCH(J$1,floors!$1:$1,0)-MATCH($H$1,floors!$1:$1,0)+1),MATCH(J$1,floors!$1:$1,0)-MATCH($H$1,floors!$1:$1,0)+1,FALSE)</f>
        <v>45</v>
      </c>
      <c r="K34" s="24" t="s">
        <v>197</v>
      </c>
      <c r="L34" s="24">
        <v>345</v>
      </c>
      <c r="M34" s="20" t="str">
        <f ca="1">VLOOKUP($L34,OFFSET([3]enemies!$A$1,0,0,COUNTA([3]enemies!$A:$A),MATCH(M$1,[3]enemies!$1:$1,0)-MATCH($L$1,[3]enemies!$1:$1,0)+1),MATCH(M$1,[3]enemies!$1:$1,0)-MATCH($L$1,[3]enemies!$1:$1,0)+1,FALSE)</f>
        <v>雷のメタルチック</v>
      </c>
      <c r="N34" s="20" t="str">
        <f ca="1">VLOOKUP($L34,OFFSET([3]enemies!$A$1,0,0,COUNTA([3]enemies!$A:$A),MATCH(N$1,[3]enemies!$1:$1,0)-MATCH($L$1,[3]enemies!$1:$1,0)+1),MATCH(N$1,[3]enemies!$1:$1,0)-MATCH($L$1,[3]enemies!$1:$1,0)+1,FALSE)</f>
        <v>yellow</v>
      </c>
      <c r="O34" s="22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20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20">
        <f ca="1">VLOOKUP($L34,OFFSET([3]enemies!$A$1,0,0,COUNTA([3]enemies!$A:$A),MATCH(Q$1,[3]enemies!$1:$1,0)-MATCH($L$1,[3]enemies!$1:$1,0)+1),MATCH(Q$1,[3]enemies!$1:$1,0)-MATCH($L$1,[3]enemies!$1:$1,0)+1,FALSE)</f>
        <v>15</v>
      </c>
      <c r="R34" s="6">
        <v>1</v>
      </c>
      <c r="S34" s="39">
        <v>1</v>
      </c>
      <c r="T34" s="39">
        <v>1</v>
      </c>
      <c r="U34" s="6">
        <v>0</v>
      </c>
      <c r="V34" s="5" t="str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4" s="5">
        <f ca="1">VLOOKUP($L34,OFFSET([3]enemies!$A$1,0,0,COUNTA([3]enemies!$A:$A),MATCH(W$1,[3]enemies!$1:$1,0)-MATCH($L$1,[3]enemies!$1:$1,0)+1),MATCH(W$1,[3]enemies!$1:$1,0)-MATCH($L$1,[3]enemies!$1:$1,0)+1,FALSE)</f>
        <v>0</v>
      </c>
      <c r="X34" s="7">
        <v>0</v>
      </c>
      <c r="Y34" s="7">
        <v>30</v>
      </c>
      <c r="Z34" s="7">
        <v>0</v>
      </c>
      <c r="AA34" s="20">
        <f ca="1">VLOOKUP($L34,OFFSET([3]enemies!$A$1,0,0,COUNTA([3]enemies!$A:$A),MATCH(AA$1,[3]enemies!$1:$1,0)-MATCH($L$1,[3]enemies!$1:$1,0)+1),MATCH(AA$1,[3]enemies!$1:$1,0)-MATCH($L$1,[3]enemies!$1:$1,0)+1,FALSE)</f>
        <v>2</v>
      </c>
      <c r="AB34" s="24">
        <v>345</v>
      </c>
      <c r="AC34" s="5" t="str">
        <f ca="1">IFERROR(VLOOKUP($AB34,OFFSET([4]characters!$A$1,0,0,COUNTA([4]characters!$A:$A),MATCH(AC$1,[4]characters!$1:$1,0)-MATCH("character_id",[4]characters!$1:$1,0)+1),MATCH(AC$1,[4]characters!$1:$1,0)-MATCH("character_id",[4]characters!$1:$1,0)+1,FALSE),"")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34" s="5">
        <f ca="1">IFERROR(VLOOKUP($AB34,OFFSET([4]characters!$A$1,0,0,COUNTA([4]characters!$A:$A),MATCH(AD$1,[4]characters!$1:$1,0)-MATCH("character_id",[4]characters!$1:$1,0)+1),MATCH(AD$1,[4]characters!$1:$1,0)-MATCH("character_id",[4]characters!$1:$1,0)+1,FALSE),"")</f>
        <v>4</v>
      </c>
      <c r="AE34" s="5" t="str">
        <f ca="1">IFERROR(VLOOKUP($AB34,OFFSET([4]characters!$A$1,0,0,COUNTA([4]characters!$A:$A),MATCH(AE$1,[4]characters!$1:$1,0)-MATCH("character_id",[4]characters!$1:$1,0)+1),MATCH(AE$1,[4]characters!$1:$1,0)-MATCH("character_id",[4]characters!$1:$1,0)+1,FALSE),"")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4" s="8">
        <v>1</v>
      </c>
      <c r="AG34" s="27">
        <f t="shared" ref="AG34" ca="1" si="40">AD34</f>
        <v>4</v>
      </c>
      <c r="AH34" s="9">
        <v>5</v>
      </c>
      <c r="AI34" s="8">
        <v>0</v>
      </c>
      <c r="AJ34" s="8">
        <v>0</v>
      </c>
      <c r="AK34" s="8">
        <v>0</v>
      </c>
      <c r="AL34" s="8">
        <v>0</v>
      </c>
      <c r="AM34" s="8">
        <v>1</v>
      </c>
      <c r="AN34" s="8">
        <v>1</v>
      </c>
    </row>
    <row r="35" spans="1:40" ht="21" customHeight="1" x14ac:dyDescent="0.15">
      <c r="A35" s="17" t="str">
        <f t="shared" ca="1" si="32"/>
        <v>11001_3-4/115&lt;lv30&gt;s2</v>
      </c>
      <c r="B35" s="8">
        <v>11001</v>
      </c>
      <c r="C35" s="25">
        <v>3</v>
      </c>
      <c r="D35" s="2" t="str">
        <f t="shared" si="33"/>
        <v>11001_3</v>
      </c>
      <c r="E35" s="5" t="str">
        <f ca="1">VLOOKUP($B35,OFFSET([2]quests!$A$1,0,0,COUNTA([2]quests!$A:$A),MATCH(E$1,[2]quests!$1:$1,0)-MATCH($B$1,[2]quests!$1:$1,0)+1),MATCH(E$1,[2]quests!$1:$1,0)-MATCH($B$1,[2]quests!$1:$1,0)+1,FALSE)</f>
        <v>【月曜限定】 黄の素材</v>
      </c>
      <c r="F35" s="5" t="str">
        <f ca="1">VLOOKUP($D35,OFFSET([2]stages!$A$1,0,0,COUNTA([2]stages!$A:$A),MATCH(F$1,[2]stages!$2:$2,0)-MATCH($D$1,[2]stages!$2:$2,0)+1),MATCH(F$1,[2]stages!$2:$2,0)-MATCH($D$1,[2]stages!$2:$2,0)+1,FALSE)</f>
        <v>【上級】雷のイモムシ</v>
      </c>
      <c r="G35" s="25">
        <v>4</v>
      </c>
      <c r="H35" s="16" t="str">
        <f t="shared" si="4"/>
        <v>11001_3-4</v>
      </c>
      <c r="I35" s="5">
        <f ca="1">VLOOKUP($H35,OFFSET(floors!$A$1,0,0,COUNTA(floors!$A:$A),MATCH(I$1,floors!$1:$1,0)-MATCH($H$1,floors!$1:$1,0)+1),MATCH(I$1,floors!$1:$1,0)-MATCH($H$1,floors!$1:$1,0)+1,FALSE)</f>
        <v>45</v>
      </c>
      <c r="J35" s="5">
        <f ca="1">VLOOKUP($H35,OFFSET(floors!$A$1,0,0,COUNTA(floors!$A:$A),MATCH(J$1,floors!$1:$1,0)-MATCH($H$1,floors!$1:$1,0)+1),MATCH(J$1,floors!$1:$1,0)-MATCH($H$1,floors!$1:$1,0)+1,FALSE)</f>
        <v>60</v>
      </c>
      <c r="K35" s="24" t="s">
        <v>197</v>
      </c>
      <c r="L35" s="24">
        <v>115</v>
      </c>
      <c r="M35" s="20" t="str">
        <f ca="1">VLOOKUP($L35,OFFSET([3]enemies!$A$1,0,0,COUNTA([3]enemies!$A:$A),MATCH(M$1,[3]enemies!$1:$1,0)-MATCH($L$1,[3]enemies!$1:$1,0)+1),MATCH(M$1,[3]enemies!$1:$1,0)-MATCH($L$1,[3]enemies!$1:$1,0)+1,FALSE)</f>
        <v>イエローキャタップ</v>
      </c>
      <c r="N35" s="20" t="str">
        <f ca="1">VLOOKUP($L35,OFFSET([3]enemies!$A$1,0,0,COUNTA([3]enemies!$A:$A),MATCH(N$1,[3]enemies!$1:$1,0)-MATCH($L$1,[3]enemies!$1:$1,0)+1),MATCH(N$1,[3]enemies!$1:$1,0)-MATCH($L$1,[3]enemies!$1:$1,0)+1,FALSE)</f>
        <v>yellow</v>
      </c>
      <c r="O35" s="22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20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20">
        <f ca="1">VLOOKUP($L35,OFFSET([3]enemies!$A$1,0,0,COUNTA([3]enemies!$A:$A),MATCH(Q$1,[3]enemies!$1:$1,0)-MATCH($L$1,[3]enemies!$1:$1,0)+1),MATCH(Q$1,[3]enemies!$1:$1,0)-MATCH($L$1,[3]enemies!$1:$1,0)+1,FALSE)</f>
        <v>15</v>
      </c>
      <c r="R35" s="6">
        <v>30</v>
      </c>
      <c r="S35" s="39">
        <v>2</v>
      </c>
      <c r="T35" s="39">
        <v>1</v>
      </c>
      <c r="U35" s="6">
        <v>0</v>
      </c>
      <c r="V35" s="5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5">
        <f ca="1">VLOOKUP($L35,OFFSET([3]enemies!$A$1,0,0,COUNTA([3]enemies!$A:$A),MATCH(W$1,[3]enemies!$1:$1,0)-MATCH($L$1,[3]enemies!$1:$1,0)+1),MATCH(W$1,[3]enemies!$1:$1,0)-MATCH($L$1,[3]enemies!$1:$1,0)+1,FALSE)</f>
        <v>0</v>
      </c>
      <c r="X35" s="7">
        <v>1</v>
      </c>
      <c r="Y35" s="7">
        <v>100</v>
      </c>
      <c r="Z35" s="7">
        <v>1</v>
      </c>
      <c r="AA35" s="20">
        <f ca="1">VLOOKUP($L35,OFFSET([3]enemies!$A$1,0,0,COUNTA([3]enemies!$A:$A),MATCH(AA$1,[3]enemies!$1:$1,0)-MATCH($L$1,[3]enemies!$1:$1,0)+1),MATCH(AA$1,[3]enemies!$1:$1,0)-MATCH($L$1,[3]enemies!$1:$1,0)+1,FALSE)</f>
        <v>2</v>
      </c>
      <c r="AB35" s="24">
        <v>115</v>
      </c>
      <c r="AC35" s="5" t="str">
        <f ca="1">IFERROR(VLOOKUP($AB35,OFFSET([4]characters!$A$1,0,0,COUNTA([4]characters!$A:$A),MATCH(AC$1,[4]characters!$1:$1,0)-MATCH("character_id",[4]characters!$1:$1,0)+1),MATCH(AC$1,[4]characters!$1:$1,0)-MATCH("character_id",[4]characters!$1:$1,0)+1,FALSE),"")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35" s="5">
        <f ca="1">IFERROR(VLOOKUP($AB35,OFFSET([4]characters!$A$1,0,0,COUNTA([4]characters!$A:$A),MATCH(AD$1,[4]characters!$1:$1,0)-MATCH("character_id",[4]characters!$1:$1,0)+1),MATCH(AD$1,[4]characters!$1:$1,0)-MATCH("character_id",[4]characters!$1:$1,0)+1,FALSE),"")</f>
        <v>4</v>
      </c>
      <c r="AE35" s="5" t="str">
        <f ca="1">IFERROR(VLOOKUP($AB35,OFFSET([4]characters!$A$1,0,0,COUNTA([4]characters!$A:$A),MATCH(AE$1,[4]characters!$1:$1,0)-MATCH("character_id",[4]characters!$1:$1,0)+1),MATCH(AE$1,[4]characters!$1:$1,0)-MATCH("character_id",[4]characters!$1:$1,0)+1,FALSE),"")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5" s="8">
        <v>1</v>
      </c>
      <c r="AG35" s="27">
        <f t="shared" ca="1" si="34"/>
        <v>4</v>
      </c>
      <c r="AH35" s="9">
        <v>30</v>
      </c>
      <c r="AI35" s="8">
        <v>0</v>
      </c>
      <c r="AJ35" s="8">
        <v>0</v>
      </c>
      <c r="AK35" s="8">
        <v>0</v>
      </c>
      <c r="AL35" s="8">
        <v>0</v>
      </c>
      <c r="AM35" s="8">
        <v>1</v>
      </c>
      <c r="AN35" s="8">
        <v>1</v>
      </c>
    </row>
    <row r="36" spans="1:40" ht="21" customHeight="1" x14ac:dyDescent="0.15">
      <c r="A36" s="17" t="str">
        <f t="shared" ref="A36:A39" ca="1" si="41">B36&amp;"_"&amp;C36&amp;"-"&amp;G36&amp;"/"&amp;L36&amp;"&lt;lv"&amp;R36&amp;"&gt;s"&amp;AA36</f>
        <v>11001_3-4/39&lt;lv35&gt;s3</v>
      </c>
      <c r="B36" s="8">
        <v>11001</v>
      </c>
      <c r="C36" s="25">
        <v>3</v>
      </c>
      <c r="D36" s="2" t="str">
        <f t="shared" ref="D36:D43" si="42">B36&amp;"_"&amp;C36</f>
        <v>11001_3</v>
      </c>
      <c r="E36" s="5" t="str">
        <f ca="1">VLOOKUP($B36,OFFSET([2]quests!$A$1,0,0,COUNTA([2]quests!$A:$A),MATCH(E$1,[2]quests!$1:$1,0)-MATCH($B$1,[2]quests!$1:$1,0)+1),MATCH(E$1,[2]quests!$1:$1,0)-MATCH($B$1,[2]quests!$1:$1,0)+1,FALSE)</f>
        <v>【月曜限定】 黄の素材</v>
      </c>
      <c r="F36" s="5" t="str">
        <f ca="1">VLOOKUP($D36,OFFSET([2]stages!$A$1,0,0,COUNTA([2]stages!$A:$A),MATCH(F$1,[2]stages!$2:$2,0)-MATCH($D$1,[2]stages!$2:$2,0)+1),MATCH(F$1,[2]stages!$2:$2,0)-MATCH($D$1,[2]stages!$2:$2,0)+1,FALSE)</f>
        <v>【上級】雷のイモムシ</v>
      </c>
      <c r="G36" s="25">
        <v>4</v>
      </c>
      <c r="H36" s="16" t="str">
        <f t="shared" si="4"/>
        <v>11001_3-4</v>
      </c>
      <c r="I36" s="5">
        <f ca="1">VLOOKUP($H36,OFFSET(floors!$A$1,0,0,COUNTA(floors!$A:$A),MATCH(I$1,floors!$1:$1,0)-MATCH($H$1,floors!$1:$1,0)+1),MATCH(I$1,floors!$1:$1,0)-MATCH($H$1,floors!$1:$1,0)+1,FALSE)</f>
        <v>45</v>
      </c>
      <c r="J36" s="5">
        <f ca="1">VLOOKUP($H36,OFFSET(floors!$A$1,0,0,COUNTA(floors!$A:$A),MATCH(J$1,floors!$1:$1,0)-MATCH($H$1,floors!$1:$1,0)+1),MATCH(J$1,floors!$1:$1,0)-MATCH($H$1,floors!$1:$1,0)+1,FALSE)</f>
        <v>60</v>
      </c>
      <c r="K36" s="24" t="s">
        <v>197</v>
      </c>
      <c r="L36" s="24">
        <v>39</v>
      </c>
      <c r="M36" s="20" t="str">
        <f ca="1">VLOOKUP($L36,OFFSET([3]enemies!$A$1,0,0,COUNTA([3]enemies!$A:$A),MATCH(M$1,[3]enemies!$1:$1,0)-MATCH($L$1,[3]enemies!$1:$1,0)+1),MATCH(M$1,[3]enemies!$1:$1,0)-MATCH($L$1,[3]enemies!$1:$1,0)+1,FALSE)</f>
        <v>マーロン</v>
      </c>
      <c r="N36" s="20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22" t="str">
        <f ca="1">VLOOKUP($L36,OFFSET([4]characters!$A$1,0,0,COUNTA([4]characters!$A:$A),MATCH(O$1,[4]characters!$1:$1,0)-MATCH($L$1,[4]characters!$1:$1,0)+1),MATCH(O$1,[4]characters!$1:$1,0)-MATCH($L$1,[4]characters!$1:$1,0)+1,FALSE)</f>
        <v>Drop1S</v>
      </c>
      <c r="P36" s="20" t="str">
        <f ca="1">VLOOKUP($L36,OFFSET([3]enemies!$A$1,0,0,COUNTA([3]enemies!$A:$A),MATCH(P$1,[3]enemies!$1:$1,0)-MATCH($L$1,[3]enemies!$1:$1,0)+1),MATCH(P$1,[3]enemies!$1:$1,0)-MATCH($L$1,[3]enemies!$1:$1,0)+1,FALSE)</f>
        <v>human</v>
      </c>
      <c r="Q36" s="20">
        <f ca="1">VLOOKUP($L36,OFFSET([3]enemies!$A$1,0,0,COUNTA([3]enemies!$A:$A),MATCH(Q$1,[3]enemies!$1:$1,0)-MATCH($L$1,[3]enemies!$1:$1,0)+1),MATCH(Q$1,[3]enemies!$1:$1,0)-MATCH($L$1,[3]enemies!$1:$1,0)+1,FALSE)</f>
        <v>15</v>
      </c>
      <c r="R36" s="6">
        <v>35</v>
      </c>
      <c r="S36" s="39">
        <v>1</v>
      </c>
      <c r="T36" s="39">
        <v>1</v>
      </c>
      <c r="U36" s="6">
        <v>0</v>
      </c>
      <c r="V36" s="5" t="str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36" s="5">
        <f ca="1">VLOOKUP($L36,OFFSET([3]enemies!$A$1,0,0,COUNTA([3]enemies!$A:$A),MATCH(W$1,[3]enemies!$1:$1,0)-MATCH($L$1,[3]enemies!$1:$1,0)+1),MATCH(W$1,[3]enemies!$1:$1,0)-MATCH($L$1,[3]enemies!$1:$1,0)+1,FALSE)</f>
        <v>39</v>
      </c>
      <c r="X36" s="7">
        <v>0</v>
      </c>
      <c r="Y36" s="7">
        <v>100</v>
      </c>
      <c r="Z36" s="7">
        <v>0</v>
      </c>
      <c r="AA36" s="20">
        <f ca="1">VLOOKUP($L36,OFFSET([3]enemies!$A$1,0,0,COUNTA([3]enemies!$A:$A),MATCH(AA$1,[3]enemies!$1:$1,0)-MATCH($L$1,[3]enemies!$1:$1,0)+1),MATCH(AA$1,[3]enemies!$1:$1,0)-MATCH($L$1,[3]enemies!$1:$1,0)+1,FALSE)</f>
        <v>3</v>
      </c>
      <c r="AB36" s="24">
        <v>39</v>
      </c>
      <c r="AC36" s="5" t="str">
        <f ca="1">IFERROR(VLOOKUP($AB36,OFFSET([4]characters!$A$1,0,0,COUNTA([4]characters!$A:$A),MATCH(AC$1,[4]characters!$1:$1,0)-MATCH("character_id",[4]characters!$1:$1,0)+1),MATCH(AC$1,[4]characters!$1:$1,0)-MATCH("character_id",[4]characters!$1:$1,0)+1,FALSE),"")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36" s="5">
        <f ca="1">IFERROR(VLOOKUP($AB36,OFFSET([4]characters!$A$1,0,0,COUNTA([4]characters!$A:$A),MATCH(AD$1,[4]characters!$1:$1,0)-MATCH("character_id",[4]characters!$1:$1,0)+1),MATCH(AD$1,[4]characters!$1:$1,0)-MATCH("character_id",[4]characters!$1:$1,0)+1,FALSE),"")</f>
        <v>2</v>
      </c>
      <c r="AE36" s="5" t="str">
        <f ca="1">IFERROR(VLOOKUP($AB36,OFFSET([4]characters!$A$1,0,0,COUNTA([4]characters!$A:$A),MATCH(AE$1,[4]characters!$1:$1,0)-MATCH("character_id",[4]characters!$1:$1,0)+1),MATCH(AE$1,[4]characters!$1:$1,0)-MATCH("character_id",[4]characters!$1:$1,0)+1,FALSE),"")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36" s="8">
        <v>1</v>
      </c>
      <c r="AG36" s="27">
        <f t="shared" ref="AG36:AG43" ca="1" si="43">AD36</f>
        <v>2</v>
      </c>
      <c r="AH36" s="9">
        <v>0</v>
      </c>
      <c r="AI36" s="8">
        <v>0</v>
      </c>
      <c r="AJ36" s="8">
        <v>0</v>
      </c>
      <c r="AK36" s="8">
        <v>0</v>
      </c>
      <c r="AL36" s="8">
        <v>0</v>
      </c>
      <c r="AM36" s="8">
        <v>1</v>
      </c>
      <c r="AN36" s="8">
        <v>1</v>
      </c>
    </row>
    <row r="37" spans="1:40" ht="21" customHeight="1" x14ac:dyDescent="0.15">
      <c r="A37" s="17" t="str">
        <f t="shared" ca="1" si="41"/>
        <v>11001_3-4/31&lt;lv35&gt;s2</v>
      </c>
      <c r="B37" s="8">
        <v>11001</v>
      </c>
      <c r="C37" s="25">
        <v>3</v>
      </c>
      <c r="D37" s="2" t="str">
        <f t="shared" si="42"/>
        <v>11001_3</v>
      </c>
      <c r="E37" s="5" t="str">
        <f ca="1">VLOOKUP($B37,OFFSET([2]quests!$A$1,0,0,COUNTA([2]quests!$A:$A),MATCH(E$1,[2]quests!$1:$1,0)-MATCH($B$1,[2]quests!$1:$1,0)+1),MATCH(E$1,[2]quests!$1:$1,0)-MATCH($B$1,[2]quests!$1:$1,0)+1,FALSE)</f>
        <v>【月曜限定】 黄の素材</v>
      </c>
      <c r="F37" s="5" t="str">
        <f ca="1">VLOOKUP($D37,OFFSET([2]stages!$A$1,0,0,COUNTA([2]stages!$A:$A),MATCH(F$1,[2]stages!$2:$2,0)-MATCH($D$1,[2]stages!$2:$2,0)+1),MATCH(F$1,[2]stages!$2:$2,0)-MATCH($D$1,[2]stages!$2:$2,0)+1,FALSE)</f>
        <v>【上級】雷のイモムシ</v>
      </c>
      <c r="G37" s="25">
        <v>4</v>
      </c>
      <c r="H37" s="16" t="str">
        <f t="shared" si="4"/>
        <v>11001_3-4</v>
      </c>
      <c r="I37" s="5">
        <f ca="1">VLOOKUP($H37,OFFSET(floors!$A$1,0,0,COUNTA(floors!$A:$A),MATCH(I$1,floors!$1:$1,0)-MATCH($H$1,floors!$1:$1,0)+1),MATCH(I$1,floors!$1:$1,0)-MATCH($H$1,floors!$1:$1,0)+1,FALSE)</f>
        <v>45</v>
      </c>
      <c r="J37" s="5">
        <f ca="1">VLOOKUP($H37,OFFSET(floors!$A$1,0,0,COUNTA(floors!$A:$A),MATCH(J$1,floors!$1:$1,0)-MATCH($H$1,floors!$1:$1,0)+1),MATCH(J$1,floors!$1:$1,0)-MATCH($H$1,floors!$1:$1,0)+1,FALSE)</f>
        <v>60</v>
      </c>
      <c r="K37" s="24" t="s">
        <v>197</v>
      </c>
      <c r="L37" s="24">
        <v>31</v>
      </c>
      <c r="M37" s="20" t="str">
        <f ca="1">VLOOKUP($L37,OFFSET([3]enemies!$A$1,0,0,COUNTA([3]enemies!$A:$A),MATCH(M$1,[3]enemies!$1:$1,0)-MATCH($L$1,[3]enemies!$1:$1,0)+1),MATCH(M$1,[3]enemies!$1:$1,0)-MATCH($L$1,[3]enemies!$1:$1,0)+1,FALSE)</f>
        <v>マービー</v>
      </c>
      <c r="N37" s="20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22" t="str">
        <f ca="1">VLOOKUP($L37,OFFSET([4]characters!$A$1,0,0,COUNTA([4]characters!$A:$A),MATCH(O$1,[4]characters!$1:$1,0)-MATCH($L$1,[4]characters!$1:$1,0)+1),MATCH(O$1,[4]characters!$1:$1,0)-MATCH($L$1,[4]characters!$1:$1,0)+1,FALSE)</f>
        <v>Drop1N</v>
      </c>
      <c r="P37" s="20" t="str">
        <f ca="1">VLOOKUP($L37,OFFSET([3]enemies!$A$1,0,0,COUNTA([3]enemies!$A:$A),MATCH(P$1,[3]enemies!$1:$1,0)-MATCH($L$1,[3]enemies!$1:$1,0)+1),MATCH(P$1,[3]enemies!$1:$1,0)-MATCH($L$1,[3]enemies!$1:$1,0)+1,FALSE)</f>
        <v>machine</v>
      </c>
      <c r="Q37" s="20">
        <f ca="1">VLOOKUP($L37,OFFSET([3]enemies!$A$1,0,0,COUNTA([3]enemies!$A:$A),MATCH(Q$1,[3]enemies!$1:$1,0)-MATCH($L$1,[3]enemies!$1:$1,0)+1),MATCH(Q$1,[3]enemies!$1:$1,0)-MATCH($L$1,[3]enemies!$1:$1,0)+1,FALSE)</f>
        <v>15</v>
      </c>
      <c r="R37" s="6">
        <v>35</v>
      </c>
      <c r="S37" s="39">
        <v>1</v>
      </c>
      <c r="T37" s="39">
        <v>1</v>
      </c>
      <c r="U37" s="6">
        <v>0</v>
      </c>
      <c r="V37" s="5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7" s="5">
        <f ca="1">VLOOKUP($L37,OFFSET([3]enemies!$A$1,0,0,COUNTA([3]enemies!$A:$A),MATCH(W$1,[3]enemies!$1:$1,0)-MATCH($L$1,[3]enemies!$1:$1,0)+1),MATCH(W$1,[3]enemies!$1:$1,0)-MATCH($L$1,[3]enemies!$1:$1,0)+1,FALSE)</f>
        <v>0</v>
      </c>
      <c r="X37" s="7">
        <v>0</v>
      </c>
      <c r="Y37" s="7">
        <v>100</v>
      </c>
      <c r="Z37" s="7">
        <v>0</v>
      </c>
      <c r="AA37" s="20">
        <f ca="1">VLOOKUP($L37,OFFSET([3]enemies!$A$1,0,0,COUNTA([3]enemies!$A:$A),MATCH(AA$1,[3]enemies!$1:$1,0)-MATCH($L$1,[3]enemies!$1:$1,0)+1),MATCH(AA$1,[3]enemies!$1:$1,0)-MATCH($L$1,[3]enemies!$1:$1,0)+1,FALSE)</f>
        <v>2</v>
      </c>
      <c r="AB37" s="24">
        <v>31</v>
      </c>
      <c r="AC37" s="5" t="str">
        <f ca="1">IFERROR(VLOOKUP($AB37,OFFSET([4]characters!$A$1,0,0,COUNTA([4]characters!$A:$A),MATCH(AC$1,[4]characters!$1:$1,0)-MATCH("character_id",[4]characters!$1:$1,0)+1),MATCH(AC$1,[4]characters!$1:$1,0)-MATCH("character_id",[4]characters!$1:$1,0)+1,FALSE),"")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37" s="5">
        <f ca="1">IFERROR(VLOOKUP($AB37,OFFSET([4]characters!$A$1,0,0,COUNTA([4]characters!$A:$A),MATCH(AD$1,[4]characters!$1:$1,0)-MATCH("character_id",[4]characters!$1:$1,0)+1),MATCH(AD$1,[4]characters!$1:$1,0)-MATCH("character_id",[4]characters!$1:$1,0)+1,FALSE),"")</f>
        <v>1</v>
      </c>
      <c r="AE37" s="5" t="str">
        <f ca="1">IFERROR(VLOOKUP($AB37,OFFSET([4]characters!$A$1,0,0,COUNTA([4]characters!$A:$A),MATCH(AE$1,[4]characters!$1:$1,0)-MATCH("character_id",[4]characters!$1:$1,0)+1),MATCH(AE$1,[4]characters!$1:$1,0)-MATCH("character_id",[4]characters!$1:$1,0)+1,FALSE),"")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7" s="8">
        <v>1</v>
      </c>
      <c r="AG37" s="27">
        <f t="shared" ca="1" si="43"/>
        <v>1</v>
      </c>
      <c r="AH37" s="9">
        <v>0</v>
      </c>
      <c r="AI37" s="8">
        <v>0</v>
      </c>
      <c r="AJ37" s="8">
        <v>0</v>
      </c>
      <c r="AK37" s="8">
        <v>0</v>
      </c>
      <c r="AL37" s="8">
        <v>0</v>
      </c>
      <c r="AM37" s="8">
        <v>1</v>
      </c>
      <c r="AN37" s="8">
        <v>1</v>
      </c>
    </row>
    <row r="38" spans="1:40" ht="21" customHeight="1" x14ac:dyDescent="0.15">
      <c r="A38" s="17" t="str">
        <f t="shared" ca="1" si="41"/>
        <v>11001_3-4/344&lt;lv1&gt;s1</v>
      </c>
      <c r="B38" s="8">
        <v>11001</v>
      </c>
      <c r="C38" s="25">
        <v>3</v>
      </c>
      <c r="D38" s="2" t="str">
        <f t="shared" si="42"/>
        <v>11001_3</v>
      </c>
      <c r="E38" s="5" t="str">
        <f ca="1">VLOOKUP($B38,OFFSET([2]quests!$A$1,0,0,COUNTA([2]quests!$A:$A),MATCH(E$1,[2]quests!$1:$1,0)-MATCH($B$1,[2]quests!$1:$1,0)+1),MATCH(E$1,[2]quests!$1:$1,0)-MATCH($B$1,[2]quests!$1:$1,0)+1,FALSE)</f>
        <v>【月曜限定】 黄の素材</v>
      </c>
      <c r="F38" s="5" t="str">
        <f ca="1">VLOOKUP($D38,OFFSET([2]stages!$A$1,0,0,COUNTA([2]stages!$A:$A),MATCH(F$1,[2]stages!$2:$2,0)-MATCH($D$1,[2]stages!$2:$2,0)+1),MATCH(F$1,[2]stages!$2:$2,0)-MATCH($D$1,[2]stages!$2:$2,0)+1,FALSE)</f>
        <v>【上級】雷のイモムシ</v>
      </c>
      <c r="G38" s="25">
        <v>4</v>
      </c>
      <c r="H38" s="16" t="str">
        <f t="shared" si="4"/>
        <v>11001_3-4</v>
      </c>
      <c r="I38" s="5">
        <f ca="1">VLOOKUP($H38,OFFSET(floors!$A$1,0,0,COUNTA(floors!$A:$A),MATCH(I$1,floors!$1:$1,0)-MATCH($H$1,floors!$1:$1,0)+1),MATCH(I$1,floors!$1:$1,0)-MATCH($H$1,floors!$1:$1,0)+1,FALSE)</f>
        <v>45</v>
      </c>
      <c r="J38" s="5">
        <f ca="1">VLOOKUP($H38,OFFSET(floors!$A$1,0,0,COUNTA(floors!$A:$A),MATCH(J$1,floors!$1:$1,0)-MATCH($H$1,floors!$1:$1,0)+1),MATCH(J$1,floors!$1:$1,0)-MATCH($H$1,floors!$1:$1,0)+1,FALSE)</f>
        <v>60</v>
      </c>
      <c r="K38" s="24" t="s">
        <v>197</v>
      </c>
      <c r="L38" s="24">
        <v>344</v>
      </c>
      <c r="M38" s="20" t="str">
        <f ca="1">VLOOKUP($L38,OFFSET([3]enemies!$A$1,0,0,COUNTA([3]enemies!$A:$A),MATCH(M$1,[3]enemies!$1:$1,0)-MATCH($L$1,[3]enemies!$1:$1,0)+1),MATCH(M$1,[3]enemies!$1:$1,0)-MATCH($L$1,[3]enemies!$1:$1,0)+1,FALSE)</f>
        <v>雷のメタルピヨピヨ</v>
      </c>
      <c r="N38" s="20" t="str">
        <f ca="1">VLOOKUP($L38,OFFSET([3]enemies!$A$1,0,0,COUNTA([3]enemies!$A:$A),MATCH(N$1,[3]enemies!$1:$1,0)-MATCH($L$1,[3]enemies!$1:$1,0)+1),MATCH(N$1,[3]enemies!$1:$1,0)-MATCH($L$1,[3]enemies!$1:$1,0)+1,FALSE)</f>
        <v>yellow</v>
      </c>
      <c r="O38" s="22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20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20">
        <f ca="1">VLOOKUP($L38,OFFSET([3]enemies!$A$1,0,0,COUNTA([3]enemies!$A:$A),MATCH(Q$1,[3]enemies!$1:$1,0)-MATCH($L$1,[3]enemies!$1:$1,0)+1),MATCH(Q$1,[3]enemies!$1:$1,0)-MATCH($L$1,[3]enemies!$1:$1,0)+1,FALSE)</f>
        <v>15</v>
      </c>
      <c r="R38" s="6">
        <v>1</v>
      </c>
      <c r="S38" s="39">
        <v>1</v>
      </c>
      <c r="T38" s="39">
        <v>1</v>
      </c>
      <c r="U38" s="6">
        <v>0</v>
      </c>
      <c r="V38" s="5" t="str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8" s="5">
        <f ca="1">VLOOKUP($L38,OFFSET([3]enemies!$A$1,0,0,COUNTA([3]enemies!$A:$A),MATCH(W$1,[3]enemies!$1:$1,0)-MATCH($L$1,[3]enemies!$1:$1,0)+1),MATCH(W$1,[3]enemies!$1:$1,0)-MATCH($L$1,[3]enemies!$1:$1,0)+1,FALSE)</f>
        <v>0</v>
      </c>
      <c r="X38" s="7">
        <v>0</v>
      </c>
      <c r="Y38" s="7">
        <v>30</v>
      </c>
      <c r="Z38" s="7">
        <v>0</v>
      </c>
      <c r="AA38" s="20">
        <f ca="1">VLOOKUP($L38,OFFSET([3]enemies!$A$1,0,0,COUNTA([3]enemies!$A:$A),MATCH(AA$1,[3]enemies!$1:$1,0)-MATCH($L$1,[3]enemies!$1:$1,0)+1),MATCH(AA$1,[3]enemies!$1:$1,0)-MATCH($L$1,[3]enemies!$1:$1,0)+1,FALSE)</f>
        <v>1</v>
      </c>
      <c r="AB38" s="24">
        <v>344</v>
      </c>
      <c r="AC38" s="5" t="str">
        <f ca="1">IFERROR(VLOOKUP($AB38,OFFSET([4]characters!$A$1,0,0,COUNTA([4]characters!$A:$A),MATCH(AC$1,[4]characters!$1:$1,0)-MATCH("character_id",[4]characters!$1:$1,0)+1),MATCH(AC$1,[4]characters!$1:$1,0)-MATCH("character_id",[4]characters!$1:$1,0)+1,FALSE),"")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38" s="5">
        <f ca="1">IFERROR(VLOOKUP($AB38,OFFSET([4]characters!$A$1,0,0,COUNTA([4]characters!$A:$A),MATCH(AD$1,[4]characters!$1:$1,0)-MATCH("character_id",[4]characters!$1:$1,0)+1),MATCH(AD$1,[4]characters!$1:$1,0)-MATCH("character_id",[4]characters!$1:$1,0)+1,FALSE),"")</f>
        <v>3</v>
      </c>
      <c r="AE38" s="5" t="str">
        <f ca="1">IFERROR(VLOOKUP($AB38,OFFSET([4]characters!$A$1,0,0,COUNTA([4]characters!$A:$A),MATCH(AE$1,[4]characters!$1:$1,0)-MATCH("character_id",[4]characters!$1:$1,0)+1),MATCH(AE$1,[4]characters!$1:$1,0)-MATCH("character_id",[4]characters!$1:$1,0)+1,FALSE),"")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8" s="8">
        <v>1</v>
      </c>
      <c r="AG38" s="27">
        <f t="shared" ca="1" si="43"/>
        <v>3</v>
      </c>
      <c r="AH38" s="9">
        <v>10</v>
      </c>
      <c r="AI38" s="8">
        <v>0</v>
      </c>
      <c r="AJ38" s="8">
        <v>0</v>
      </c>
      <c r="AK38" s="8">
        <v>0</v>
      </c>
      <c r="AL38" s="8">
        <v>0</v>
      </c>
      <c r="AM38" s="8">
        <v>1</v>
      </c>
      <c r="AN38" s="8">
        <v>1</v>
      </c>
    </row>
    <row r="39" spans="1:40" ht="21" customHeight="1" x14ac:dyDescent="0.15">
      <c r="A39" s="17" t="str">
        <f t="shared" ca="1" si="41"/>
        <v>11001_3-4/345&lt;lv1&gt;s2</v>
      </c>
      <c r="B39" s="8">
        <v>11001</v>
      </c>
      <c r="C39" s="25">
        <v>3</v>
      </c>
      <c r="D39" s="2" t="str">
        <f t="shared" si="42"/>
        <v>11001_3</v>
      </c>
      <c r="E39" s="5" t="str">
        <f ca="1">VLOOKUP($B39,OFFSET([2]quests!$A$1,0,0,COUNTA([2]quests!$A:$A),MATCH(E$1,[2]quests!$1:$1,0)-MATCH($B$1,[2]quests!$1:$1,0)+1),MATCH(E$1,[2]quests!$1:$1,0)-MATCH($B$1,[2]quests!$1:$1,0)+1,FALSE)</f>
        <v>【月曜限定】 黄の素材</v>
      </c>
      <c r="F39" s="5" t="str">
        <f ca="1">VLOOKUP($D39,OFFSET([2]stages!$A$1,0,0,COUNTA([2]stages!$A:$A),MATCH(F$1,[2]stages!$2:$2,0)-MATCH($D$1,[2]stages!$2:$2,0)+1),MATCH(F$1,[2]stages!$2:$2,0)-MATCH($D$1,[2]stages!$2:$2,0)+1,FALSE)</f>
        <v>【上級】雷のイモムシ</v>
      </c>
      <c r="G39" s="25">
        <v>4</v>
      </c>
      <c r="H39" s="16" t="str">
        <f t="shared" si="4"/>
        <v>11001_3-4</v>
      </c>
      <c r="I39" s="5">
        <f ca="1">VLOOKUP($H39,OFFSET(floors!$A$1,0,0,COUNTA(floors!$A:$A),MATCH(I$1,floors!$1:$1,0)-MATCH($H$1,floors!$1:$1,0)+1),MATCH(I$1,floors!$1:$1,0)-MATCH($H$1,floors!$1:$1,0)+1,FALSE)</f>
        <v>45</v>
      </c>
      <c r="J39" s="5">
        <f ca="1">VLOOKUP($H39,OFFSET(floors!$A$1,0,0,COUNTA(floors!$A:$A),MATCH(J$1,floors!$1:$1,0)-MATCH($H$1,floors!$1:$1,0)+1),MATCH(J$1,floors!$1:$1,0)-MATCH($H$1,floors!$1:$1,0)+1,FALSE)</f>
        <v>60</v>
      </c>
      <c r="K39" s="24" t="s">
        <v>197</v>
      </c>
      <c r="L39" s="24">
        <v>345</v>
      </c>
      <c r="M39" s="20" t="str">
        <f ca="1">VLOOKUP($L39,OFFSET([3]enemies!$A$1,0,0,COUNTA([3]enemies!$A:$A),MATCH(M$1,[3]enemies!$1:$1,0)-MATCH($L$1,[3]enemies!$1:$1,0)+1),MATCH(M$1,[3]enemies!$1:$1,0)-MATCH($L$1,[3]enemies!$1:$1,0)+1,FALSE)</f>
        <v>雷のメタルチック</v>
      </c>
      <c r="N39" s="20" t="str">
        <f ca="1">VLOOKUP($L39,OFFSET([3]enemies!$A$1,0,0,COUNTA([3]enemies!$A:$A),MATCH(N$1,[3]enemies!$1:$1,0)-MATCH($L$1,[3]enemies!$1:$1,0)+1),MATCH(N$1,[3]enemies!$1:$1,0)-MATCH($L$1,[3]enemies!$1:$1,0)+1,FALSE)</f>
        <v>yellow</v>
      </c>
      <c r="O39" s="22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20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20">
        <f ca="1">VLOOKUP($L39,OFFSET([3]enemies!$A$1,0,0,COUNTA([3]enemies!$A:$A),MATCH(Q$1,[3]enemies!$1:$1,0)-MATCH($L$1,[3]enemies!$1:$1,0)+1),MATCH(Q$1,[3]enemies!$1:$1,0)-MATCH($L$1,[3]enemies!$1:$1,0)+1,FALSE)</f>
        <v>15</v>
      </c>
      <c r="R39" s="6">
        <v>1</v>
      </c>
      <c r="S39" s="39">
        <v>1</v>
      </c>
      <c r="T39" s="39">
        <v>1</v>
      </c>
      <c r="U39" s="6">
        <v>0</v>
      </c>
      <c r="V39" s="5" t="str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9" s="5">
        <f ca="1">VLOOKUP($L39,OFFSET([3]enemies!$A$1,0,0,COUNTA([3]enemies!$A:$A),MATCH(W$1,[3]enemies!$1:$1,0)-MATCH($L$1,[3]enemies!$1:$1,0)+1),MATCH(W$1,[3]enemies!$1:$1,0)-MATCH($L$1,[3]enemies!$1:$1,0)+1,FALSE)</f>
        <v>0</v>
      </c>
      <c r="X39" s="7">
        <v>0</v>
      </c>
      <c r="Y39" s="7">
        <v>30</v>
      </c>
      <c r="Z39" s="7">
        <v>0</v>
      </c>
      <c r="AA39" s="20">
        <f ca="1">VLOOKUP($L39,OFFSET([3]enemies!$A$1,0,0,COUNTA([3]enemies!$A:$A),MATCH(AA$1,[3]enemies!$1:$1,0)-MATCH($L$1,[3]enemies!$1:$1,0)+1),MATCH(AA$1,[3]enemies!$1:$1,0)-MATCH($L$1,[3]enemies!$1:$1,0)+1,FALSE)</f>
        <v>2</v>
      </c>
      <c r="AB39" s="24">
        <v>345</v>
      </c>
      <c r="AC39" s="5" t="str">
        <f ca="1">IFERROR(VLOOKUP($AB39,OFFSET([4]characters!$A$1,0,0,COUNTA([4]characters!$A:$A),MATCH(AC$1,[4]characters!$1:$1,0)-MATCH("character_id",[4]characters!$1:$1,0)+1),MATCH(AC$1,[4]characters!$1:$1,0)-MATCH("character_id",[4]characters!$1:$1,0)+1,FALSE),"")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39" s="5">
        <f ca="1">IFERROR(VLOOKUP($AB39,OFFSET([4]characters!$A$1,0,0,COUNTA([4]characters!$A:$A),MATCH(AD$1,[4]characters!$1:$1,0)-MATCH("character_id",[4]characters!$1:$1,0)+1),MATCH(AD$1,[4]characters!$1:$1,0)-MATCH("character_id",[4]characters!$1:$1,0)+1,FALSE),"")</f>
        <v>4</v>
      </c>
      <c r="AE39" s="5" t="str">
        <f ca="1">IFERROR(VLOOKUP($AB39,OFFSET([4]characters!$A$1,0,0,COUNTA([4]characters!$A:$A),MATCH(AE$1,[4]characters!$1:$1,0)-MATCH("character_id",[4]characters!$1:$1,0)+1),MATCH(AE$1,[4]characters!$1:$1,0)-MATCH("character_id",[4]characters!$1:$1,0)+1,FALSE),"")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9" s="8">
        <v>1</v>
      </c>
      <c r="AG39" s="27">
        <f t="shared" ca="1" si="43"/>
        <v>4</v>
      </c>
      <c r="AH39" s="9">
        <v>5</v>
      </c>
      <c r="AI39" s="8">
        <v>0</v>
      </c>
      <c r="AJ39" s="8">
        <v>0</v>
      </c>
      <c r="AK39" s="8">
        <v>0</v>
      </c>
      <c r="AL39" s="8">
        <v>0</v>
      </c>
      <c r="AM39" s="8">
        <v>1</v>
      </c>
      <c r="AN39" s="8">
        <v>1</v>
      </c>
    </row>
    <row r="40" spans="1:40" ht="21" customHeight="1" x14ac:dyDescent="0.15">
      <c r="A40" s="17" t="str">
        <f ca="1">B40&amp;"_"&amp;C40&amp;"-"&amp;G40&amp;"/"&amp;L40&amp;"&lt;lv"&amp;R40&amp;"&gt;s"&amp;AA40</f>
        <v>11001_3-5/115&lt;lv30&gt;s2</v>
      </c>
      <c r="B40" s="8">
        <v>11001</v>
      </c>
      <c r="C40" s="25">
        <v>3</v>
      </c>
      <c r="D40" s="2" t="str">
        <f t="shared" si="42"/>
        <v>11001_3</v>
      </c>
      <c r="E40" s="5" t="str">
        <f ca="1">VLOOKUP($B40,OFFSET([2]quests!$A$1,0,0,COUNTA([2]quests!$A:$A),MATCH(E$1,[2]quests!$1:$1,0)-MATCH($B$1,[2]quests!$1:$1,0)+1),MATCH(E$1,[2]quests!$1:$1,0)-MATCH($B$1,[2]quests!$1:$1,0)+1,FALSE)</f>
        <v>【月曜限定】 黄の素材</v>
      </c>
      <c r="F40" s="5" t="str">
        <f ca="1">VLOOKUP($D40,OFFSET([2]stages!$A$1,0,0,COUNTA([2]stages!$A:$A),MATCH(F$1,[2]stages!$2:$2,0)-MATCH($D$1,[2]stages!$2:$2,0)+1),MATCH(F$1,[2]stages!$2:$2,0)-MATCH($D$1,[2]stages!$2:$2,0)+1,FALSE)</f>
        <v>【上級】雷のイモムシ</v>
      </c>
      <c r="G40" s="25">
        <v>5</v>
      </c>
      <c r="H40" s="16" t="str">
        <f t="shared" si="4"/>
        <v>11001_3-5</v>
      </c>
      <c r="I40" s="5">
        <f ca="1">VLOOKUP($H40,OFFSET(floors!$A$1,0,0,COUNTA(floors!$A:$A),MATCH(I$1,floors!$1:$1,0)-MATCH($H$1,floors!$1:$1,0)+1),MATCH(I$1,floors!$1:$1,0)-MATCH($H$1,floors!$1:$1,0)+1,FALSE)</f>
        <v>60</v>
      </c>
      <c r="J40" s="5">
        <f ca="1">VLOOKUP($H40,OFFSET(floors!$A$1,0,0,COUNTA(floors!$A:$A),MATCH(J$1,floors!$1:$1,0)-MATCH($H$1,floors!$1:$1,0)+1),MATCH(J$1,floors!$1:$1,0)-MATCH($H$1,floors!$1:$1,0)+1,FALSE)</f>
        <v>60</v>
      </c>
      <c r="K40" s="24" t="s">
        <v>197</v>
      </c>
      <c r="L40" s="24">
        <v>115</v>
      </c>
      <c r="M40" s="20" t="str">
        <f ca="1">VLOOKUP($L40,OFFSET([3]enemies!$A$1,0,0,COUNTA([3]enemies!$A:$A),MATCH(M$1,[3]enemies!$1:$1,0)-MATCH($L$1,[3]enemies!$1:$1,0)+1),MATCH(M$1,[3]enemies!$1:$1,0)-MATCH($L$1,[3]enemies!$1:$1,0)+1,FALSE)</f>
        <v>イエローキャタップ</v>
      </c>
      <c r="N40" s="20" t="str">
        <f ca="1">VLOOKUP($L40,OFFSET([3]enemies!$A$1,0,0,COUNTA([3]enemies!$A:$A),MATCH(N$1,[3]enemies!$1:$1,0)-MATCH($L$1,[3]enemies!$1:$1,0)+1),MATCH(N$1,[3]enemies!$1:$1,0)-MATCH($L$1,[3]enemies!$1:$1,0)+1,FALSE)</f>
        <v>yellow</v>
      </c>
      <c r="O40" s="22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20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20">
        <f ca="1">VLOOKUP($L40,OFFSET([3]enemies!$A$1,0,0,COUNTA([3]enemies!$A:$A),MATCH(Q$1,[3]enemies!$1:$1,0)-MATCH($L$1,[3]enemies!$1:$1,0)+1),MATCH(Q$1,[3]enemies!$1:$1,0)-MATCH($L$1,[3]enemies!$1:$1,0)+1,FALSE)</f>
        <v>15</v>
      </c>
      <c r="R40" s="6">
        <v>30</v>
      </c>
      <c r="S40" s="39">
        <v>2</v>
      </c>
      <c r="T40" s="39">
        <v>1</v>
      </c>
      <c r="U40" s="6">
        <v>0</v>
      </c>
      <c r="V40" s="5" t="str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0" s="5">
        <f ca="1">VLOOKUP($L40,OFFSET([3]enemies!$A$1,0,0,COUNTA([3]enemies!$A:$A),MATCH(W$1,[3]enemies!$1:$1,0)-MATCH($L$1,[3]enemies!$1:$1,0)+1),MATCH(W$1,[3]enemies!$1:$1,0)-MATCH($L$1,[3]enemies!$1:$1,0)+1,FALSE)</f>
        <v>0</v>
      </c>
      <c r="X40" s="7">
        <v>1</v>
      </c>
      <c r="Y40" s="7">
        <v>100</v>
      </c>
      <c r="Z40" s="7">
        <v>1</v>
      </c>
      <c r="AA40" s="20">
        <f ca="1">VLOOKUP($L40,OFFSET([3]enemies!$A$1,0,0,COUNTA([3]enemies!$A:$A),MATCH(AA$1,[3]enemies!$1:$1,0)-MATCH($L$1,[3]enemies!$1:$1,0)+1),MATCH(AA$1,[3]enemies!$1:$1,0)-MATCH($L$1,[3]enemies!$1:$1,0)+1,FALSE)</f>
        <v>2</v>
      </c>
      <c r="AB40" s="24">
        <v>115</v>
      </c>
      <c r="AC40" s="5" t="str">
        <f ca="1">IFERROR(VLOOKUP($AB40,OFFSET([4]characters!$A$1,0,0,COUNTA([4]characters!$A:$A),MATCH(AC$1,[4]characters!$1:$1,0)-MATCH("character_id",[4]characters!$1:$1,0)+1),MATCH(AC$1,[4]characters!$1:$1,0)-MATCH("character_id",[4]characters!$1:$1,0)+1,FALSE),"")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40" s="5">
        <f ca="1">IFERROR(VLOOKUP($AB40,OFFSET([4]characters!$A$1,0,0,COUNTA([4]characters!$A:$A),MATCH(AD$1,[4]characters!$1:$1,0)-MATCH("character_id",[4]characters!$1:$1,0)+1),MATCH(AD$1,[4]characters!$1:$1,0)-MATCH("character_id",[4]characters!$1:$1,0)+1,FALSE),"")</f>
        <v>4</v>
      </c>
      <c r="AE40" s="5" t="str">
        <f ca="1">IFERROR(VLOOKUP($AB40,OFFSET([4]characters!$A$1,0,0,COUNTA([4]characters!$A:$A),MATCH(AE$1,[4]characters!$1:$1,0)-MATCH("character_id",[4]characters!$1:$1,0)+1),MATCH(AE$1,[4]characters!$1:$1,0)-MATCH("character_id",[4]characters!$1:$1,0)+1,FALSE),"")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0" s="8">
        <v>1</v>
      </c>
      <c r="AG40" s="27">
        <f t="shared" ca="1" si="43"/>
        <v>4</v>
      </c>
      <c r="AH40" s="9">
        <v>100</v>
      </c>
      <c r="AI40" s="8">
        <v>0</v>
      </c>
      <c r="AJ40" s="8">
        <v>0</v>
      </c>
      <c r="AK40" s="8">
        <v>0</v>
      </c>
      <c r="AL40" s="8">
        <v>0</v>
      </c>
      <c r="AM40" s="8">
        <v>1</v>
      </c>
      <c r="AN40" s="8">
        <v>1</v>
      </c>
    </row>
    <row r="41" spans="1:40" ht="21" customHeight="1" x14ac:dyDescent="0.15">
      <c r="A41" s="17" t="str">
        <f ca="1">B41&amp;"_"&amp;C41&amp;"-"&amp;G41&amp;"/"&amp;L41&amp;"&lt;lv"&amp;R41&amp;"&gt;s"&amp;AA41</f>
        <v>11001_3-5/132&lt;lv30&gt;s3</v>
      </c>
      <c r="B41" s="8">
        <v>11001</v>
      </c>
      <c r="C41" s="25">
        <v>3</v>
      </c>
      <c r="D41" s="2" t="str">
        <f t="shared" ref="D41:D42" si="44">B41&amp;"_"&amp;C41</f>
        <v>11001_3</v>
      </c>
      <c r="E41" s="5" t="str">
        <f ca="1">VLOOKUP($B41,OFFSET([2]quests!$A$1,0,0,COUNTA([2]quests!$A:$A),MATCH(E$1,[2]quests!$1:$1,0)-MATCH($B$1,[2]quests!$1:$1,0)+1),MATCH(E$1,[2]quests!$1:$1,0)-MATCH($B$1,[2]quests!$1:$1,0)+1,FALSE)</f>
        <v>【月曜限定】 黄の素材</v>
      </c>
      <c r="F41" s="5" t="str">
        <f ca="1">VLOOKUP($D41,OFFSET([2]stages!$A$1,0,0,COUNTA([2]stages!$A:$A),MATCH(F$1,[2]stages!$2:$2,0)-MATCH($D$1,[2]stages!$2:$2,0)+1),MATCH(F$1,[2]stages!$2:$2,0)-MATCH($D$1,[2]stages!$2:$2,0)+1,FALSE)</f>
        <v>【上級】雷のイモムシ</v>
      </c>
      <c r="G41" s="25">
        <v>5</v>
      </c>
      <c r="H41" s="16" t="str">
        <f t="shared" si="4"/>
        <v>11001_3-5</v>
      </c>
      <c r="I41" s="5">
        <f ca="1">VLOOKUP($H41,OFFSET(floors!$A$1,0,0,COUNTA(floors!$A:$A),MATCH(I$1,floors!$1:$1,0)-MATCH($H$1,floors!$1:$1,0)+1),MATCH(I$1,floors!$1:$1,0)-MATCH($H$1,floors!$1:$1,0)+1,FALSE)</f>
        <v>60</v>
      </c>
      <c r="J41" s="5">
        <f ca="1">VLOOKUP($H41,OFFSET(floors!$A$1,0,0,COUNTA(floors!$A:$A),MATCH(J$1,floors!$1:$1,0)-MATCH($H$1,floors!$1:$1,0)+1),MATCH(J$1,floors!$1:$1,0)-MATCH($H$1,floors!$1:$1,0)+1,FALSE)</f>
        <v>60</v>
      </c>
      <c r="K41" s="24" t="s">
        <v>197</v>
      </c>
      <c r="L41" s="24">
        <v>132</v>
      </c>
      <c r="M41" s="20" t="str">
        <f ca="1">VLOOKUP($L41,OFFSET([3]enemies!$A$1,0,0,COUNTA([3]enemies!$A:$A),MATCH(M$1,[3]enemies!$1:$1,0)-MATCH($L$1,[3]enemies!$1:$1,0)+1),MATCH(M$1,[3]enemies!$1:$1,0)-MATCH($L$1,[3]enemies!$1:$1,0)+1,FALSE)</f>
        <v>鳥人ハヤト</v>
      </c>
      <c r="N41" s="20" t="str">
        <f ca="1">VLOOKUP($L41,OFFSET([3]enemies!$A$1,0,0,COUNTA([3]enemies!$A:$A),MATCH(N$1,[3]enemies!$1:$1,0)-MATCH($L$1,[3]enemies!$1:$1,0)+1),MATCH(N$1,[3]enemies!$1:$1,0)-MATCH($L$1,[3]enemies!$1:$1,0)+1,FALSE)</f>
        <v>yellow</v>
      </c>
      <c r="O41" s="22" t="str">
        <f ca="1">VLOOKUP($L41,OFFSET([4]characters!$A$1,0,0,COUNTA([4]characters!$A:$A),MATCH(O$1,[4]characters!$1:$1,0)-MATCH($L$1,[4]characters!$1:$1,0)+1),MATCH(O$1,[4]characters!$1:$1,0)-MATCH($L$1,[4]characters!$1:$1,0)+1,FALSE)</f>
        <v>PremiumW</v>
      </c>
      <c r="P41" s="20" t="str">
        <f ca="1">VLOOKUP($L41,OFFSET([3]enemies!$A$1,0,0,COUNTA([3]enemies!$A:$A),MATCH(P$1,[3]enemies!$1:$1,0)-MATCH($L$1,[3]enemies!$1:$1,0)+1),MATCH(P$1,[3]enemies!$1:$1,0)-MATCH($L$1,[3]enemies!$1:$1,0)+1,FALSE)</f>
        <v>human</v>
      </c>
      <c r="Q41" s="20">
        <f ca="1">VLOOKUP($L41,OFFSET([3]enemies!$A$1,0,0,COUNTA([3]enemies!$A:$A),MATCH(Q$1,[3]enemies!$1:$1,0)-MATCH($L$1,[3]enemies!$1:$1,0)+1),MATCH(Q$1,[3]enemies!$1:$1,0)-MATCH($L$1,[3]enemies!$1:$1,0)+1,FALSE)</f>
        <v>20</v>
      </c>
      <c r="R41" s="6">
        <v>30</v>
      </c>
      <c r="S41" s="39">
        <v>1</v>
      </c>
      <c r="T41" s="39">
        <v>1</v>
      </c>
      <c r="U41" s="6">
        <v>0</v>
      </c>
      <c r="V41" s="5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5">
        <f ca="1">VLOOKUP($L41,OFFSET([3]enemies!$A$1,0,0,COUNTA([3]enemies!$A:$A),MATCH(W$1,[3]enemies!$1:$1,0)-MATCH($L$1,[3]enemies!$1:$1,0)+1),MATCH(W$1,[3]enemies!$1:$1,0)-MATCH($L$1,[3]enemies!$1:$1,0)+1,FALSE)</f>
        <v>0</v>
      </c>
      <c r="X41" s="7">
        <v>0</v>
      </c>
      <c r="Y41" s="7">
        <v>100</v>
      </c>
      <c r="Z41" s="7">
        <v>1</v>
      </c>
      <c r="AA41" s="20">
        <f ca="1">VLOOKUP($L41,OFFSET([3]enemies!$A$1,0,0,COUNTA([3]enemies!$A:$A),MATCH(AA$1,[3]enemies!$1:$1,0)-MATCH($L$1,[3]enemies!$1:$1,0)+1),MATCH(AA$1,[3]enemies!$1:$1,0)-MATCH($L$1,[3]enemies!$1:$1,0)+1,FALSE)</f>
        <v>3</v>
      </c>
      <c r="AB41" s="24">
        <v>132</v>
      </c>
      <c r="AC41" s="5" t="str">
        <f ca="1">IFERROR(VLOOKUP($AB41,OFFSET([4]characters!$A$1,0,0,COUNTA([4]characters!$A:$A),MATCH(AC$1,[4]characters!$1:$1,0)-MATCH("character_id",[4]characters!$1:$1,0)+1),MATCH(AC$1,[4]characters!$1:$1,0)-MATCH("character_id",[4]characters!$1:$1,0)+1,FALSE),"")</f>
        <v>鳥人ハヤト</v>
      </c>
      <c r="AD41" s="5">
        <f ca="1">IFERROR(VLOOKUP($AB41,OFFSET([4]characters!$A$1,0,0,COUNTA([4]characters!$A:$A),MATCH(AD$1,[4]characters!$1:$1,0)-MATCH("character_id",[4]characters!$1:$1,0)+1),MATCH(AD$1,[4]characters!$1:$1,0)-MATCH("character_id",[4]characters!$1:$1,0)+1,FALSE),"")</f>
        <v>3</v>
      </c>
      <c r="AE41" s="5" t="str">
        <f ca="1">IFERROR(VLOOKUP($AB41,OFFSET([4]characters!$A$1,0,0,COUNTA([4]characters!$A:$A),MATCH(AE$1,[4]characters!$1:$1,0)-MATCH("character_id",[4]characters!$1:$1,0)+1),MATCH(AE$1,[4]characters!$1:$1,0)-MATCH("character_id",[4]characters!$1:$1,0)+1,FALSE),"")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1" s="8">
        <v>1</v>
      </c>
      <c r="AG41" s="27">
        <f t="shared" ref="AG41:AG42" ca="1" si="45">AD41</f>
        <v>3</v>
      </c>
      <c r="AH41" s="9">
        <v>0</v>
      </c>
      <c r="AI41" s="8">
        <v>0</v>
      </c>
      <c r="AJ41" s="8">
        <v>0</v>
      </c>
      <c r="AK41" s="8">
        <v>0</v>
      </c>
      <c r="AL41" s="8">
        <v>0</v>
      </c>
      <c r="AM41" s="8">
        <v>1</v>
      </c>
      <c r="AN41" s="8">
        <v>1</v>
      </c>
    </row>
    <row r="42" spans="1:40" ht="21" customHeight="1" x14ac:dyDescent="0.15">
      <c r="A42" s="17" t="str">
        <f ca="1">B42&amp;"_"&amp;C42&amp;"-"&amp;G42&amp;"/"&amp;L42&amp;"&lt;lv"&amp;R42&amp;"&gt;s"&amp;AA42</f>
        <v>11001_3-5/140&lt;lv30&gt;s2</v>
      </c>
      <c r="B42" s="8">
        <v>11001</v>
      </c>
      <c r="C42" s="25">
        <v>3</v>
      </c>
      <c r="D42" s="2" t="str">
        <f t="shared" si="44"/>
        <v>11001_3</v>
      </c>
      <c r="E42" s="5" t="str">
        <f ca="1">VLOOKUP($B42,OFFSET([2]quests!$A$1,0,0,COUNTA([2]quests!$A:$A),MATCH(E$1,[2]quests!$1:$1,0)-MATCH($B$1,[2]quests!$1:$1,0)+1),MATCH(E$1,[2]quests!$1:$1,0)-MATCH($B$1,[2]quests!$1:$1,0)+1,FALSE)</f>
        <v>【月曜限定】 黄の素材</v>
      </c>
      <c r="F42" s="5" t="str">
        <f ca="1">VLOOKUP($D42,OFFSET([2]stages!$A$1,0,0,COUNTA([2]stages!$A:$A),MATCH(F$1,[2]stages!$2:$2,0)-MATCH($D$1,[2]stages!$2:$2,0)+1),MATCH(F$1,[2]stages!$2:$2,0)-MATCH($D$1,[2]stages!$2:$2,0)+1,FALSE)</f>
        <v>【上級】雷のイモムシ</v>
      </c>
      <c r="G42" s="25">
        <v>5</v>
      </c>
      <c r="H42" s="16" t="str">
        <f t="shared" si="4"/>
        <v>11001_3-5</v>
      </c>
      <c r="I42" s="5">
        <f ca="1">VLOOKUP($H42,OFFSET(floors!$A$1,0,0,COUNTA(floors!$A:$A),MATCH(I$1,floors!$1:$1,0)-MATCH($H$1,floors!$1:$1,0)+1),MATCH(I$1,floors!$1:$1,0)-MATCH($H$1,floors!$1:$1,0)+1,FALSE)</f>
        <v>60</v>
      </c>
      <c r="J42" s="5">
        <f ca="1">VLOOKUP($H42,OFFSET(floors!$A$1,0,0,COUNTA(floors!$A:$A),MATCH(J$1,floors!$1:$1,0)-MATCH($H$1,floors!$1:$1,0)+1),MATCH(J$1,floors!$1:$1,0)-MATCH($H$1,floors!$1:$1,0)+1,FALSE)</f>
        <v>60</v>
      </c>
      <c r="K42" s="24" t="s">
        <v>197</v>
      </c>
      <c r="L42" s="24">
        <v>140</v>
      </c>
      <c r="M42" s="20" t="str">
        <f ca="1">VLOOKUP($L42,OFFSET([3]enemies!$A$1,0,0,COUNTA([3]enemies!$A:$A),MATCH(M$1,[3]enemies!$1:$1,0)-MATCH($L$1,[3]enemies!$1:$1,0)+1),MATCH(M$1,[3]enemies!$1:$1,0)-MATCH($L$1,[3]enemies!$1:$1,0)+1,FALSE)</f>
        <v>秋祭のタマモ</v>
      </c>
      <c r="N42" s="20" t="str">
        <f ca="1">VLOOKUP($L42,OFFSET([3]enemies!$A$1,0,0,COUNTA([3]enemies!$A:$A),MATCH(N$1,[3]enemies!$1:$1,0)-MATCH($L$1,[3]enemies!$1:$1,0)+1),MATCH(N$1,[3]enemies!$1:$1,0)-MATCH($L$1,[3]enemies!$1:$1,0)+1,FALSE)</f>
        <v>yellow</v>
      </c>
      <c r="O42" s="22" t="str">
        <f ca="1">VLOOKUP($L42,OFFSET([4]characters!$A$1,0,0,COUNTA([4]characters!$A:$A),MATCH(O$1,[4]characters!$1:$1,0)-MATCH($L$1,[4]characters!$1:$1,0)+1),MATCH(O$1,[4]characters!$1:$1,0)-MATCH($L$1,[4]characters!$1:$1,0)+1,FALSE)</f>
        <v>PremiumW</v>
      </c>
      <c r="P42" s="20" t="str">
        <f ca="1">VLOOKUP($L42,OFFSET([3]enemies!$A$1,0,0,COUNTA([3]enemies!$A:$A),MATCH(P$1,[3]enemies!$1:$1,0)-MATCH($L$1,[3]enemies!$1:$1,0)+1),MATCH(P$1,[3]enemies!$1:$1,0)-MATCH($L$1,[3]enemies!$1:$1,0)+1,FALSE)</f>
        <v>animal</v>
      </c>
      <c r="Q42" s="20">
        <f ca="1">VLOOKUP($L42,OFFSET([3]enemies!$A$1,0,0,COUNTA([3]enemies!$A:$A),MATCH(Q$1,[3]enemies!$1:$1,0)-MATCH($L$1,[3]enemies!$1:$1,0)+1),MATCH(Q$1,[3]enemies!$1:$1,0)-MATCH($L$1,[3]enemies!$1:$1,0)+1,FALSE)</f>
        <v>20</v>
      </c>
      <c r="R42" s="6">
        <v>30</v>
      </c>
      <c r="S42" s="39">
        <v>1</v>
      </c>
      <c r="T42" s="39">
        <v>1</v>
      </c>
      <c r="U42" s="6">
        <v>0</v>
      </c>
      <c r="V42" s="5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5">
        <f ca="1">VLOOKUP($L42,OFFSET([3]enemies!$A$1,0,0,COUNTA([3]enemies!$A:$A),MATCH(W$1,[3]enemies!$1:$1,0)-MATCH($L$1,[3]enemies!$1:$1,0)+1),MATCH(W$1,[3]enemies!$1:$1,0)-MATCH($L$1,[3]enemies!$1:$1,0)+1,FALSE)</f>
        <v>0</v>
      </c>
      <c r="X42" s="7">
        <v>0</v>
      </c>
      <c r="Y42" s="7">
        <v>100</v>
      </c>
      <c r="Z42" s="7">
        <v>1</v>
      </c>
      <c r="AA42" s="20">
        <f ca="1">VLOOKUP($L42,OFFSET([3]enemies!$A$1,0,0,COUNTA([3]enemies!$A:$A),MATCH(AA$1,[3]enemies!$1:$1,0)-MATCH($L$1,[3]enemies!$1:$1,0)+1),MATCH(AA$1,[3]enemies!$1:$1,0)-MATCH($L$1,[3]enemies!$1:$1,0)+1,FALSE)</f>
        <v>2</v>
      </c>
      <c r="AB42" s="24">
        <v>140</v>
      </c>
      <c r="AC42" s="5" t="str">
        <f ca="1">IFERROR(VLOOKUP($AB42,OFFSET([4]characters!$A$1,0,0,COUNTA([4]characters!$A:$A),MATCH(AC$1,[4]characters!$1:$1,0)-MATCH("character_id",[4]characters!$1:$1,0)+1),MATCH(AC$1,[4]characters!$1:$1,0)-MATCH("character_id",[4]characters!$1:$1,0)+1,FALSE),"")</f>
        <v>秋祭のタマモ</v>
      </c>
      <c r="AD42" s="5">
        <f ca="1">IFERROR(VLOOKUP($AB42,OFFSET([4]characters!$A$1,0,0,COUNTA([4]characters!$A:$A),MATCH(AD$1,[4]characters!$1:$1,0)-MATCH("character_id",[4]characters!$1:$1,0)+1),MATCH(AD$1,[4]characters!$1:$1,0)-MATCH("character_id",[4]characters!$1:$1,0)+1,FALSE),"")</f>
        <v>3</v>
      </c>
      <c r="AE42" s="5" t="str">
        <f ca="1">IFERROR(VLOOKUP($AB42,OFFSET([4]characters!$A$1,0,0,COUNTA([4]characters!$A:$A),MATCH(AE$1,[4]characters!$1:$1,0)-MATCH("character_id",[4]characters!$1:$1,0)+1),MATCH(AE$1,[4]characters!$1:$1,0)-MATCH("character_id",[4]characters!$1:$1,0)+1,FALSE),"")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2" s="8">
        <v>1</v>
      </c>
      <c r="AG42" s="27">
        <f t="shared" ca="1" si="45"/>
        <v>3</v>
      </c>
      <c r="AH42" s="9">
        <v>0</v>
      </c>
      <c r="AI42" s="8">
        <v>0</v>
      </c>
      <c r="AJ42" s="8">
        <v>0</v>
      </c>
      <c r="AK42" s="8">
        <v>0</v>
      </c>
      <c r="AL42" s="8">
        <v>0</v>
      </c>
      <c r="AM42" s="8">
        <v>1</v>
      </c>
      <c r="AN42" s="8">
        <v>1</v>
      </c>
    </row>
    <row r="43" spans="1:40" ht="21" customHeight="1" x14ac:dyDescent="0.15">
      <c r="A43" s="17" t="str">
        <f ca="1">B43&amp;"_"&amp;C43&amp;"-"&amp;G43&amp;"/"&amp;L43&amp;"&lt;lv"&amp;R43&amp;"&gt;s"&amp;AA43</f>
        <v>11001_3-5/148&lt;lv30&gt;s2</v>
      </c>
      <c r="B43" s="8">
        <v>11001</v>
      </c>
      <c r="C43" s="25">
        <v>3</v>
      </c>
      <c r="D43" s="2" t="str">
        <f t="shared" si="42"/>
        <v>11001_3</v>
      </c>
      <c r="E43" s="5" t="str">
        <f ca="1">VLOOKUP($B43,OFFSET([2]quests!$A$1,0,0,COUNTA([2]quests!$A:$A),MATCH(E$1,[2]quests!$1:$1,0)-MATCH($B$1,[2]quests!$1:$1,0)+1),MATCH(E$1,[2]quests!$1:$1,0)-MATCH($B$1,[2]quests!$1:$1,0)+1,FALSE)</f>
        <v>【月曜限定】 黄の素材</v>
      </c>
      <c r="F43" s="5" t="str">
        <f ca="1">VLOOKUP($D43,OFFSET([2]stages!$A$1,0,0,COUNTA([2]stages!$A:$A),MATCH(F$1,[2]stages!$2:$2,0)-MATCH($D$1,[2]stages!$2:$2,0)+1),MATCH(F$1,[2]stages!$2:$2,0)-MATCH($D$1,[2]stages!$2:$2,0)+1,FALSE)</f>
        <v>【上級】雷のイモムシ</v>
      </c>
      <c r="G43" s="25">
        <v>5</v>
      </c>
      <c r="H43" s="16" t="str">
        <f t="shared" si="4"/>
        <v>11001_3-5</v>
      </c>
      <c r="I43" s="5">
        <f ca="1">VLOOKUP($H43,OFFSET(floors!$A$1,0,0,COUNTA(floors!$A:$A),MATCH(I$1,floors!$1:$1,0)-MATCH($H$1,floors!$1:$1,0)+1),MATCH(I$1,floors!$1:$1,0)-MATCH($H$1,floors!$1:$1,0)+1,FALSE)</f>
        <v>60</v>
      </c>
      <c r="J43" s="5">
        <f ca="1">VLOOKUP($H43,OFFSET(floors!$A$1,0,0,COUNTA(floors!$A:$A),MATCH(J$1,floors!$1:$1,0)-MATCH($H$1,floors!$1:$1,0)+1),MATCH(J$1,floors!$1:$1,0)-MATCH($H$1,floors!$1:$1,0)+1,FALSE)</f>
        <v>60</v>
      </c>
      <c r="K43" s="24" t="s">
        <v>197</v>
      </c>
      <c r="L43" s="24">
        <v>148</v>
      </c>
      <c r="M43" s="20" t="str">
        <f ca="1">VLOOKUP($L43,OFFSET([3]enemies!$A$1,0,0,COUNTA([3]enemies!$A:$A),MATCH(M$1,[3]enemies!$1:$1,0)-MATCH($L$1,[3]enemies!$1:$1,0)+1),MATCH(M$1,[3]enemies!$1:$1,0)-MATCH($L$1,[3]enemies!$1:$1,0)+1,FALSE)</f>
        <v>シンデレラ</v>
      </c>
      <c r="N43" s="20" t="str">
        <f ca="1">VLOOKUP($L43,OFFSET([3]enemies!$A$1,0,0,COUNTA([3]enemies!$A:$A),MATCH(N$1,[3]enemies!$1:$1,0)-MATCH($L$1,[3]enemies!$1:$1,0)+1),MATCH(N$1,[3]enemies!$1:$1,0)-MATCH($L$1,[3]enemies!$1:$1,0)+1,FALSE)</f>
        <v>yellow</v>
      </c>
      <c r="O43" s="22" t="str">
        <f ca="1">VLOOKUP($L43,OFFSET([4]characters!$A$1,0,0,COUNTA([4]characters!$A:$A),MATCH(O$1,[4]characters!$1:$1,0)-MATCH($L$1,[4]characters!$1:$1,0)+1),MATCH(O$1,[4]characters!$1:$1,0)-MATCH($L$1,[4]characters!$1:$1,0)+1,FALSE)</f>
        <v>PremiumW</v>
      </c>
      <c r="P43" s="20" t="str">
        <f ca="1">VLOOKUP($L43,OFFSET([3]enemies!$A$1,0,0,COUNTA([3]enemies!$A:$A),MATCH(P$1,[3]enemies!$1:$1,0)-MATCH($L$1,[3]enemies!$1:$1,0)+1),MATCH(P$1,[3]enemies!$1:$1,0)-MATCH($L$1,[3]enemies!$1:$1,0)+1,FALSE)</f>
        <v>human</v>
      </c>
      <c r="Q43" s="20">
        <f ca="1">VLOOKUP($L43,OFFSET([3]enemies!$A$1,0,0,COUNTA([3]enemies!$A:$A),MATCH(Q$1,[3]enemies!$1:$1,0)-MATCH($L$1,[3]enemies!$1:$1,0)+1),MATCH(Q$1,[3]enemies!$1:$1,0)-MATCH($L$1,[3]enemies!$1:$1,0)+1,FALSE)</f>
        <v>20</v>
      </c>
      <c r="R43" s="6">
        <v>30</v>
      </c>
      <c r="S43" s="39">
        <v>1</v>
      </c>
      <c r="T43" s="39">
        <v>1</v>
      </c>
      <c r="U43" s="6">
        <v>0</v>
      </c>
      <c r="V43" s="5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舞踏会に想いを馳せている</v>
      </c>
      <c r="W43" s="5">
        <f ca="1">VLOOKUP($L43,OFFSET([3]enemies!$A$1,0,0,COUNTA([3]enemies!$A:$A),MATCH(W$1,[3]enemies!$1:$1,0)-MATCH($L$1,[3]enemies!$1:$1,0)+1),MATCH(W$1,[3]enemies!$1:$1,0)-MATCH($L$1,[3]enemies!$1:$1,0)+1,FALSE)</f>
        <v>148</v>
      </c>
      <c r="X43" s="7">
        <v>0</v>
      </c>
      <c r="Y43" s="7">
        <v>100</v>
      </c>
      <c r="Z43" s="7">
        <v>1</v>
      </c>
      <c r="AA43" s="20">
        <f ca="1">VLOOKUP($L43,OFFSET([3]enemies!$A$1,0,0,COUNTA([3]enemies!$A:$A),MATCH(AA$1,[3]enemies!$1:$1,0)-MATCH($L$1,[3]enemies!$1:$1,0)+1),MATCH(AA$1,[3]enemies!$1:$1,0)-MATCH($L$1,[3]enemies!$1:$1,0)+1,FALSE)</f>
        <v>2</v>
      </c>
      <c r="AB43" s="24">
        <v>148</v>
      </c>
      <c r="AC43" s="5" t="str">
        <f ca="1">IFERROR(VLOOKUP($AB43,OFFSET([4]characters!$A$1,0,0,COUNTA([4]characters!$A:$A),MATCH(AC$1,[4]characters!$1:$1,0)-MATCH("character_id",[4]characters!$1:$1,0)+1),MATCH(AC$1,[4]characters!$1:$1,0)-MATCH("character_id",[4]characters!$1:$1,0)+1,FALSE),"")</f>
        <v>シンデレラ</v>
      </c>
      <c r="AD43" s="5">
        <f ca="1">IFERROR(VLOOKUP($AB43,OFFSET([4]characters!$A$1,0,0,COUNTA([4]characters!$A:$A),MATCH(AD$1,[4]characters!$1:$1,0)-MATCH("character_id",[4]characters!$1:$1,0)+1),MATCH(AD$1,[4]characters!$1:$1,0)-MATCH("character_id",[4]characters!$1:$1,0)+1,FALSE),"")</f>
        <v>3</v>
      </c>
      <c r="AE43" s="5" t="str">
        <f ca="1">IFERROR(VLOOKUP($AB43,OFFSET([4]characters!$A$1,0,0,COUNTA([4]characters!$A:$A),MATCH(AE$1,[4]characters!$1:$1,0)-MATCH("character_id",[4]characters!$1:$1,0)+1),MATCH(AE$1,[4]characters!$1:$1,0)-MATCH("character_id",[4]characters!$1:$1,0)+1,FALSE),"")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3" s="8">
        <v>1</v>
      </c>
      <c r="AG43" s="27">
        <f t="shared" ca="1" si="43"/>
        <v>3</v>
      </c>
      <c r="AH43" s="9">
        <v>0</v>
      </c>
      <c r="AI43" s="8">
        <v>0</v>
      </c>
      <c r="AJ43" s="8">
        <v>0</v>
      </c>
      <c r="AK43" s="8">
        <v>0</v>
      </c>
      <c r="AL43" s="8">
        <v>0</v>
      </c>
      <c r="AM43" s="8">
        <v>1</v>
      </c>
      <c r="AN43" s="8">
        <v>1</v>
      </c>
    </row>
    <row r="44" spans="1:40" ht="21" customHeight="1" x14ac:dyDescent="0.15">
      <c r="A44" s="17" t="str">
        <f ca="1">B44&amp;"_"&amp;C44&amp;"-"&amp;G44&amp;"/"&amp;L44&amp;"&lt;lv"&amp;R44&amp;"&gt;s"&amp;AA44</f>
        <v>11001_3-5/156&lt;lv30&gt;s2</v>
      </c>
      <c r="B44" s="8">
        <v>11001</v>
      </c>
      <c r="C44" s="25">
        <v>3</v>
      </c>
      <c r="D44" s="2" t="str">
        <f t="shared" ref="D44:D86" si="46">B44&amp;"_"&amp;C44</f>
        <v>11001_3</v>
      </c>
      <c r="E44" s="5" t="str">
        <f ca="1">VLOOKUP($B44,OFFSET([2]quests!$A$1,0,0,COUNTA([2]quests!$A:$A),MATCH(E$1,[2]quests!$1:$1,0)-MATCH($B$1,[2]quests!$1:$1,0)+1),MATCH(E$1,[2]quests!$1:$1,0)-MATCH($B$1,[2]quests!$1:$1,0)+1,FALSE)</f>
        <v>【月曜限定】 黄の素材</v>
      </c>
      <c r="F44" s="5" t="str">
        <f ca="1">VLOOKUP($D44,OFFSET([2]stages!$A$1,0,0,COUNTA([2]stages!$A:$A),MATCH(F$1,[2]stages!$2:$2,0)-MATCH($D$1,[2]stages!$2:$2,0)+1),MATCH(F$1,[2]stages!$2:$2,0)-MATCH($D$1,[2]stages!$2:$2,0)+1,FALSE)</f>
        <v>【上級】雷のイモムシ</v>
      </c>
      <c r="G44" s="25">
        <v>5</v>
      </c>
      <c r="H44" s="16" t="str">
        <f t="shared" si="4"/>
        <v>11001_3-5</v>
      </c>
      <c r="I44" s="5">
        <f ca="1">VLOOKUP($H44,OFFSET(floors!$A$1,0,0,COUNTA(floors!$A:$A),MATCH(I$1,floors!$1:$1,0)-MATCH($H$1,floors!$1:$1,0)+1),MATCH(I$1,floors!$1:$1,0)-MATCH($H$1,floors!$1:$1,0)+1,FALSE)</f>
        <v>60</v>
      </c>
      <c r="J44" s="5">
        <f ca="1">VLOOKUP($H44,OFFSET(floors!$A$1,0,0,COUNTA(floors!$A:$A),MATCH(J$1,floors!$1:$1,0)-MATCH($H$1,floors!$1:$1,0)+1),MATCH(J$1,floors!$1:$1,0)-MATCH($H$1,floors!$1:$1,0)+1,FALSE)</f>
        <v>60</v>
      </c>
      <c r="K44" s="24" t="s">
        <v>197</v>
      </c>
      <c r="L44" s="24">
        <v>156</v>
      </c>
      <c r="M44" s="20" t="str">
        <f ca="1">VLOOKUP($L44,OFFSET([3]enemies!$A$1,0,0,COUNTA([3]enemies!$A:$A),MATCH(M$1,[3]enemies!$1:$1,0)-MATCH($L$1,[3]enemies!$1:$1,0)+1),MATCH(M$1,[3]enemies!$1:$1,0)-MATCH($L$1,[3]enemies!$1:$1,0)+1,FALSE)</f>
        <v>踊り子 エレナ</v>
      </c>
      <c r="N44" s="20" t="str">
        <f ca="1">VLOOKUP($L44,OFFSET([3]enemies!$A$1,0,0,COUNTA([3]enemies!$A:$A),MATCH(N$1,[3]enemies!$1:$1,0)-MATCH($L$1,[3]enemies!$1:$1,0)+1),MATCH(N$1,[3]enemies!$1:$1,0)-MATCH($L$1,[3]enemies!$1:$1,0)+1,FALSE)</f>
        <v>yellow</v>
      </c>
      <c r="O44" s="22" t="str">
        <f ca="1">VLOOKUP($L44,OFFSET([4]characters!$A$1,0,0,COUNTA([4]characters!$A:$A),MATCH(O$1,[4]characters!$1:$1,0)-MATCH($L$1,[4]characters!$1:$1,0)+1),MATCH(O$1,[4]characters!$1:$1,0)-MATCH($L$1,[4]characters!$1:$1,0)+1,FALSE)</f>
        <v>PremiumW</v>
      </c>
      <c r="P44" s="20" t="str">
        <f ca="1">VLOOKUP($L44,OFFSET([3]enemies!$A$1,0,0,COUNTA([3]enemies!$A:$A),MATCH(P$1,[3]enemies!$1:$1,0)-MATCH($L$1,[3]enemies!$1:$1,0)+1),MATCH(P$1,[3]enemies!$1:$1,0)-MATCH($L$1,[3]enemies!$1:$1,0)+1,FALSE)</f>
        <v>human</v>
      </c>
      <c r="Q44" s="20">
        <f ca="1">VLOOKUP($L44,OFFSET([3]enemies!$A$1,0,0,COUNTA([3]enemies!$A:$A),MATCH(Q$1,[3]enemies!$1:$1,0)-MATCH($L$1,[3]enemies!$1:$1,0)+1),MATCH(Q$1,[3]enemies!$1:$1,0)-MATCH($L$1,[3]enemies!$1:$1,0)+1,FALSE)</f>
        <v>20</v>
      </c>
      <c r="R44" s="6">
        <v>30</v>
      </c>
      <c r="S44" s="39">
        <v>1</v>
      </c>
      <c r="T44" s="39">
        <v>1</v>
      </c>
      <c r="U44" s="6">
        <v>0</v>
      </c>
      <c r="V44" s="5" t="str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44" s="5">
        <f ca="1">VLOOKUP($L44,OFFSET([3]enemies!$A$1,0,0,COUNTA([3]enemies!$A:$A),MATCH(W$1,[3]enemies!$1:$1,0)-MATCH($L$1,[3]enemies!$1:$1,0)+1),MATCH(W$1,[3]enemies!$1:$1,0)-MATCH($L$1,[3]enemies!$1:$1,0)+1,FALSE)</f>
        <v>156</v>
      </c>
      <c r="X44" s="7">
        <v>0</v>
      </c>
      <c r="Y44" s="7">
        <v>100</v>
      </c>
      <c r="Z44" s="7">
        <v>1</v>
      </c>
      <c r="AA44" s="20">
        <f ca="1">VLOOKUP($L44,OFFSET([3]enemies!$A$1,0,0,COUNTA([3]enemies!$A:$A),MATCH(AA$1,[3]enemies!$1:$1,0)-MATCH($L$1,[3]enemies!$1:$1,0)+1),MATCH(AA$1,[3]enemies!$1:$1,0)-MATCH($L$1,[3]enemies!$1:$1,0)+1,FALSE)</f>
        <v>2</v>
      </c>
      <c r="AB44" s="24">
        <v>156</v>
      </c>
      <c r="AC44" s="5" t="str">
        <f ca="1">IFERROR(VLOOKUP($AB44,OFFSET([4]characters!$A$1,0,0,COUNTA([4]characters!$A:$A),MATCH(AC$1,[4]characters!$1:$1,0)-MATCH("character_id",[4]characters!$1:$1,0)+1),MATCH(AC$1,[4]characters!$1:$1,0)-MATCH("character_id",[4]characters!$1:$1,0)+1,FALSE),"")</f>
        <v>踊り子 エレナ</v>
      </c>
      <c r="AD44" s="5">
        <f ca="1">IFERROR(VLOOKUP($AB44,OFFSET([4]characters!$A$1,0,0,COUNTA([4]characters!$A:$A),MATCH(AD$1,[4]characters!$1:$1,0)-MATCH("character_id",[4]characters!$1:$1,0)+1),MATCH(AD$1,[4]characters!$1:$1,0)-MATCH("character_id",[4]characters!$1:$1,0)+1,FALSE),"")</f>
        <v>3</v>
      </c>
      <c r="AE44" s="5" t="str">
        <f ca="1">IFERROR(VLOOKUP($AB44,OFFSET([4]characters!$A$1,0,0,COUNTA([4]characters!$A:$A),MATCH(AE$1,[4]characters!$1:$1,0)-MATCH("character_id",[4]characters!$1:$1,0)+1),MATCH(AE$1,[4]characters!$1:$1,0)-MATCH("character_id",[4]characters!$1:$1,0)+1,FALSE),"")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4" s="8">
        <v>1</v>
      </c>
      <c r="AG44" s="27">
        <f t="shared" ref="AG44:AG86" ca="1" si="47">AD44</f>
        <v>3</v>
      </c>
      <c r="AH44" s="9">
        <v>0</v>
      </c>
      <c r="AI44" s="8">
        <v>0</v>
      </c>
      <c r="AJ44" s="8">
        <v>0</v>
      </c>
      <c r="AK44" s="8">
        <v>0</v>
      </c>
      <c r="AL44" s="8">
        <v>0</v>
      </c>
      <c r="AM44" s="8">
        <v>1</v>
      </c>
      <c r="AN44" s="8">
        <v>1</v>
      </c>
    </row>
    <row r="45" spans="1:40" ht="21" customHeight="1" x14ac:dyDescent="0.15">
      <c r="A45" s="17" t="str">
        <f t="shared" ref="A45:A83" ca="1" si="48">B45&amp;"_"&amp;C45&amp;"-"&amp;G45&amp;"/"&amp;L45&amp;"&lt;lv"&amp;R45&amp;"&gt;s"&amp;AA45</f>
        <v>11002_1-1/101&lt;lv3&gt;s1</v>
      </c>
      <c r="B45" s="8">
        <v>11002</v>
      </c>
      <c r="C45" s="25">
        <v>1</v>
      </c>
      <c r="D45" s="2" t="str">
        <f t="shared" si="46"/>
        <v>11002_1</v>
      </c>
      <c r="E45" s="5" t="str">
        <f ca="1">VLOOKUP($B45,OFFSET([2]quests!$A$1,0,0,COUNTA([2]quests!$A:$A),MATCH(E$1,[2]quests!$1:$1,0)-MATCH($B$1,[2]quests!$1:$1,0)+1),MATCH(E$1,[2]quests!$1:$1,0)-MATCH($B$1,[2]quests!$1:$1,0)+1,FALSE)</f>
        <v>【火曜限定】 赤の素材</v>
      </c>
      <c r="F45" s="5" t="str">
        <f ca="1">VLOOKUP($D45,OFFSET([2]stages!$A$1,0,0,COUNTA([2]stages!$A:$A),MATCH(F$1,[2]stages!$2:$2,0)-MATCH($D$1,[2]stages!$2:$2,0)+1),MATCH(F$1,[2]stages!$2:$2,0)-MATCH($D$1,[2]stages!$2:$2,0)+1,FALSE)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45" s="25">
        <v>1</v>
      </c>
      <c r="H45" s="16" t="str">
        <f t="shared" si="4"/>
        <v>11002_1-1</v>
      </c>
      <c r="I45" s="5">
        <f ca="1">VLOOKUP($H45,OFFSET(floors!$A$1,0,0,COUNTA(floors!$A:$A),MATCH(I$1,floors!$1:$1,0)-MATCH($H$1,floors!$1:$1,0)+1),MATCH(I$1,floors!$1:$1,0)-MATCH($H$1,floors!$1:$1,0)+1,FALSE)</f>
        <v>30</v>
      </c>
      <c r="J45" s="5">
        <f ca="1">VLOOKUP($H45,OFFSET(floors!$A$1,0,0,COUNTA(floors!$A:$A),MATCH(J$1,floors!$1:$1,0)-MATCH($H$1,floors!$1:$1,0)+1),MATCH(J$1,floors!$1:$1,0)-MATCH($H$1,floors!$1:$1,0)+1,FALSE)</f>
        <v>45</v>
      </c>
      <c r="K45" s="24" t="s">
        <v>197</v>
      </c>
      <c r="L45" s="24">
        <v>101</v>
      </c>
      <c r="M45" s="20" t="str">
        <f ca="1">VLOOKUP($L45,OFFSET([3]enemies!$A$1,0,0,COUNTA([3]enemies!$A:$A),MATCH(M$1,[3]enemies!$1:$1,0)-MATCH($L$1,[3]enemies!$1:$1,0)+1),MATCH(M$1,[3]enemies!$1:$1,0)-MATCH($L$1,[3]enemies!$1:$1,0)+1,FALSE)</f>
        <v>レッドチェシャ</v>
      </c>
      <c r="N45" s="20" t="str">
        <f ca="1">VLOOKUP($L45,OFFSET([3]enemies!$A$1,0,0,COUNTA([3]enemies!$A:$A),MATCH(N$1,[3]enemies!$1:$1,0)-MATCH($L$1,[3]enemies!$1:$1,0)+1),MATCH(N$1,[3]enemies!$1:$1,0)-MATCH($L$1,[3]enemies!$1:$1,0)+1,FALSE)</f>
        <v>red</v>
      </c>
      <c r="O45" s="22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20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20">
        <f ca="1">VLOOKUP($L45,OFFSET([3]enemies!$A$1,0,0,COUNTA([3]enemies!$A:$A),MATCH(Q$1,[3]enemies!$1:$1,0)-MATCH($L$1,[3]enemies!$1:$1,0)+1),MATCH(Q$1,[3]enemies!$1:$1,0)-MATCH($L$1,[3]enemies!$1:$1,0)+1,FALSE)</f>
        <v>15</v>
      </c>
      <c r="R45" s="6">
        <v>3</v>
      </c>
      <c r="S45" s="39">
        <v>1</v>
      </c>
      <c r="T45" s="39">
        <v>1</v>
      </c>
      <c r="U45" s="6">
        <v>0</v>
      </c>
      <c r="V45" s="5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5" s="5">
        <f ca="1">VLOOKUP($L45,OFFSET([3]enemies!$A$1,0,0,COUNTA([3]enemies!$A:$A),MATCH(W$1,[3]enemies!$1:$1,0)-MATCH($L$1,[3]enemies!$1:$1,0)+1),MATCH(W$1,[3]enemies!$1:$1,0)-MATCH($L$1,[3]enemies!$1:$1,0)+1,FALSE)</f>
        <v>0</v>
      </c>
      <c r="X45" s="7">
        <v>0</v>
      </c>
      <c r="Y45" s="7">
        <v>100</v>
      </c>
      <c r="Z45" s="7">
        <v>0</v>
      </c>
      <c r="AA45" s="20">
        <f ca="1">VLOOKUP($L45,OFFSET([3]enemies!$A$1,0,0,COUNTA([3]enemies!$A:$A),MATCH(AA$1,[3]enemies!$1:$1,0)-MATCH($L$1,[3]enemies!$1:$1,0)+1),MATCH(AA$1,[3]enemies!$1:$1,0)-MATCH($L$1,[3]enemies!$1:$1,0)+1,FALSE)</f>
        <v>1</v>
      </c>
      <c r="AB45" s="24">
        <v>101</v>
      </c>
      <c r="AC45" s="5" t="str">
        <f ca="1">IFERROR(VLOOKUP($AB45,OFFSET([4]characters!$A$1,0,0,COUNTA([4]characters!$A:$A),MATCH(AC$1,[4]characters!$1:$1,0)-MATCH("character_id",[4]characters!$1:$1,0)+1),MATCH(AC$1,[4]characters!$1:$1,0)-MATCH("character_id",[4]characters!$1:$1,0)+1,FALSE),"")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45" s="5">
        <f ca="1">IFERROR(VLOOKUP($AB45,OFFSET([4]characters!$A$1,0,0,COUNTA([4]characters!$A:$A),MATCH(AD$1,[4]characters!$1:$1,0)-MATCH("character_id",[4]characters!$1:$1,0)+1),MATCH(AD$1,[4]characters!$1:$1,0)-MATCH("character_id",[4]characters!$1:$1,0)+1,FALSE),"")</f>
        <v>2</v>
      </c>
      <c r="AE45" s="5" t="str">
        <f ca="1">IFERROR(VLOOKUP($AB45,OFFSET([4]characters!$A$1,0,0,COUNTA([4]characters!$A:$A),MATCH(AE$1,[4]characters!$1:$1,0)-MATCH("character_id",[4]characters!$1:$1,0)+1),MATCH(AE$1,[4]characters!$1:$1,0)-MATCH("character_id",[4]characters!$1:$1,0)+1,FALSE),"")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5" s="8">
        <v>1</v>
      </c>
      <c r="AG45" s="27">
        <f t="shared" ca="1" si="47"/>
        <v>2</v>
      </c>
      <c r="AH45" s="9">
        <v>40</v>
      </c>
      <c r="AI45" s="8">
        <v>0</v>
      </c>
      <c r="AJ45" s="8">
        <v>0</v>
      </c>
      <c r="AK45" s="8">
        <v>0</v>
      </c>
      <c r="AL45" s="8">
        <v>0</v>
      </c>
      <c r="AM45" s="8">
        <v>1</v>
      </c>
      <c r="AN45" s="8">
        <v>1</v>
      </c>
    </row>
    <row r="46" spans="1:40" ht="21" customHeight="1" x14ac:dyDescent="0.15">
      <c r="A46" s="17" t="str">
        <f t="shared" ca="1" si="48"/>
        <v>11002_1-2/101&lt;lv3&gt;s1</v>
      </c>
      <c r="B46" s="8">
        <v>11002</v>
      </c>
      <c r="C46" s="25">
        <v>1</v>
      </c>
      <c r="D46" s="2" t="str">
        <f t="shared" si="46"/>
        <v>11002_1</v>
      </c>
      <c r="E46" s="5" t="str">
        <f ca="1">VLOOKUP($B46,OFFSET([2]quests!$A$1,0,0,COUNTA([2]quests!$A:$A),MATCH(E$1,[2]quests!$1:$1,0)-MATCH($B$1,[2]quests!$1:$1,0)+1),MATCH(E$1,[2]quests!$1:$1,0)-MATCH($B$1,[2]quests!$1:$1,0)+1,FALSE)</f>
        <v>【火曜限定】 赤の素材</v>
      </c>
      <c r="F46" s="5" t="str">
        <f ca="1">VLOOKUP($D46,OFFSET([2]stages!$A$1,0,0,COUNTA([2]stages!$A:$A),MATCH(F$1,[2]stages!$2:$2,0)-MATCH($D$1,[2]stages!$2:$2,0)+1),MATCH(F$1,[2]stages!$2:$2,0)-MATCH($D$1,[2]stages!$2:$2,0)+1,FALSE)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46" s="25">
        <v>2</v>
      </c>
      <c r="H46" s="16" t="str">
        <f t="shared" si="4"/>
        <v>11002_1-2</v>
      </c>
      <c r="I46" s="5">
        <f ca="1">VLOOKUP($H46,OFFSET(floors!$A$1,0,0,COUNTA(floors!$A:$A),MATCH(I$1,floors!$1:$1,0)-MATCH($H$1,floors!$1:$1,0)+1),MATCH(I$1,floors!$1:$1,0)-MATCH($H$1,floors!$1:$1,0)+1,FALSE)</f>
        <v>30</v>
      </c>
      <c r="J46" s="5">
        <f ca="1">VLOOKUP($H46,OFFSET(floors!$A$1,0,0,COUNTA(floors!$A:$A),MATCH(J$1,floors!$1:$1,0)-MATCH($H$1,floors!$1:$1,0)+1),MATCH(J$1,floors!$1:$1,0)-MATCH($H$1,floors!$1:$1,0)+1,FALSE)</f>
        <v>45</v>
      </c>
      <c r="K46" s="24" t="s">
        <v>197</v>
      </c>
      <c r="L46" s="24">
        <v>101</v>
      </c>
      <c r="M46" s="20" t="str">
        <f ca="1">VLOOKUP($L46,OFFSET([3]enemies!$A$1,0,0,COUNTA([3]enemies!$A:$A),MATCH(M$1,[3]enemies!$1:$1,0)-MATCH($L$1,[3]enemies!$1:$1,0)+1),MATCH(M$1,[3]enemies!$1:$1,0)-MATCH($L$1,[3]enemies!$1:$1,0)+1,FALSE)</f>
        <v>レッドチェシャ</v>
      </c>
      <c r="N46" s="20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22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20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20">
        <f ca="1">VLOOKUP($L46,OFFSET([3]enemies!$A$1,0,0,COUNTA([3]enemies!$A:$A),MATCH(Q$1,[3]enemies!$1:$1,0)-MATCH($L$1,[3]enemies!$1:$1,0)+1),MATCH(Q$1,[3]enemies!$1:$1,0)-MATCH($L$1,[3]enemies!$1:$1,0)+1,FALSE)</f>
        <v>15</v>
      </c>
      <c r="R46" s="6">
        <v>3</v>
      </c>
      <c r="S46" s="39">
        <v>1</v>
      </c>
      <c r="T46" s="39">
        <v>1</v>
      </c>
      <c r="U46" s="6">
        <v>0</v>
      </c>
      <c r="V46" s="5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6" s="5">
        <f ca="1">VLOOKUP($L46,OFFSET([3]enemies!$A$1,0,0,COUNTA([3]enemies!$A:$A),MATCH(W$1,[3]enemies!$1:$1,0)-MATCH($L$1,[3]enemies!$1:$1,0)+1),MATCH(W$1,[3]enemies!$1:$1,0)-MATCH($L$1,[3]enemies!$1:$1,0)+1,FALSE)</f>
        <v>0</v>
      </c>
      <c r="X46" s="7">
        <v>0</v>
      </c>
      <c r="Y46" s="7">
        <v>100</v>
      </c>
      <c r="Z46" s="7">
        <v>0</v>
      </c>
      <c r="AA46" s="20">
        <f ca="1">VLOOKUP($L46,OFFSET([3]enemies!$A$1,0,0,COUNTA([3]enemies!$A:$A),MATCH(AA$1,[3]enemies!$1:$1,0)-MATCH($L$1,[3]enemies!$1:$1,0)+1),MATCH(AA$1,[3]enemies!$1:$1,0)-MATCH($L$1,[3]enemies!$1:$1,0)+1,FALSE)</f>
        <v>1</v>
      </c>
      <c r="AB46" s="24">
        <v>101</v>
      </c>
      <c r="AC46" s="5" t="str">
        <f ca="1">IFERROR(VLOOKUP($AB46,OFFSET([4]characters!$A$1,0,0,COUNTA([4]characters!$A:$A),MATCH(AC$1,[4]characters!$1:$1,0)-MATCH("character_id",[4]characters!$1:$1,0)+1),MATCH(AC$1,[4]characters!$1:$1,0)-MATCH("character_id",[4]characters!$1:$1,0)+1,FALSE),"")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46" s="5">
        <f ca="1">IFERROR(VLOOKUP($AB46,OFFSET([4]characters!$A$1,0,0,COUNTA([4]characters!$A:$A),MATCH(AD$1,[4]characters!$1:$1,0)-MATCH("character_id",[4]characters!$1:$1,0)+1),MATCH(AD$1,[4]characters!$1:$1,0)-MATCH("character_id",[4]characters!$1:$1,0)+1,FALSE),"")</f>
        <v>2</v>
      </c>
      <c r="AE46" s="5" t="str">
        <f ca="1">IFERROR(VLOOKUP($AB46,OFFSET([4]characters!$A$1,0,0,COUNTA([4]characters!$A:$A),MATCH(AE$1,[4]characters!$1:$1,0)-MATCH("character_id",[4]characters!$1:$1,0)+1),MATCH(AE$1,[4]characters!$1:$1,0)-MATCH("character_id",[4]characters!$1:$1,0)+1,FALSE),"")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6" s="8">
        <v>1</v>
      </c>
      <c r="AG46" s="27">
        <f t="shared" ca="1" si="47"/>
        <v>2</v>
      </c>
      <c r="AH46" s="9">
        <v>40</v>
      </c>
      <c r="AI46" s="8">
        <v>0</v>
      </c>
      <c r="AJ46" s="8">
        <v>0</v>
      </c>
      <c r="AK46" s="8">
        <v>0</v>
      </c>
      <c r="AL46" s="8">
        <v>0</v>
      </c>
      <c r="AM46" s="8">
        <v>1</v>
      </c>
      <c r="AN46" s="8">
        <v>1</v>
      </c>
    </row>
    <row r="47" spans="1:40" ht="21" customHeight="1" x14ac:dyDescent="0.15">
      <c r="A47" s="17" t="str">
        <f t="shared" ca="1" si="48"/>
        <v>11002_1-3/101&lt;lv3&gt;s1</v>
      </c>
      <c r="B47" s="8">
        <v>11002</v>
      </c>
      <c r="C47" s="25">
        <v>1</v>
      </c>
      <c r="D47" s="2" t="str">
        <f t="shared" si="46"/>
        <v>11002_1</v>
      </c>
      <c r="E47" s="5" t="str">
        <f ca="1">VLOOKUP($B47,OFFSET([2]quests!$A$1,0,0,COUNTA([2]quests!$A:$A),MATCH(E$1,[2]quests!$1:$1,0)-MATCH($B$1,[2]quests!$1:$1,0)+1),MATCH(E$1,[2]quests!$1:$1,0)-MATCH($B$1,[2]quests!$1:$1,0)+1,FALSE)</f>
        <v>【火曜限定】 赤の素材</v>
      </c>
      <c r="F47" s="5" t="str">
        <f ca="1">VLOOKUP($D47,OFFSET([2]stages!$A$1,0,0,COUNTA([2]stages!$A:$A),MATCH(F$1,[2]stages!$2:$2,0)-MATCH($D$1,[2]stages!$2:$2,0)+1),MATCH(F$1,[2]stages!$2:$2,0)-MATCH($D$1,[2]stages!$2:$2,0)+1,FALSE)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47" s="25">
        <v>3</v>
      </c>
      <c r="H47" s="16" t="str">
        <f t="shared" si="4"/>
        <v>11002_1-3</v>
      </c>
      <c r="I47" s="5">
        <f ca="1">VLOOKUP($H47,OFFSET(floors!$A$1,0,0,COUNTA(floors!$A:$A),MATCH(I$1,floors!$1:$1,0)-MATCH($H$1,floors!$1:$1,0)+1),MATCH(I$1,floors!$1:$1,0)-MATCH($H$1,floors!$1:$1,0)+1,FALSE)</f>
        <v>45</v>
      </c>
      <c r="J47" s="5">
        <f ca="1">VLOOKUP($H47,OFFSET(floors!$A$1,0,0,COUNTA(floors!$A:$A),MATCH(J$1,floors!$1:$1,0)-MATCH($H$1,floors!$1:$1,0)+1),MATCH(J$1,floors!$1:$1,0)-MATCH($H$1,floors!$1:$1,0)+1,FALSE)</f>
        <v>45</v>
      </c>
      <c r="K47" s="24" t="s">
        <v>197</v>
      </c>
      <c r="L47" s="24">
        <v>101</v>
      </c>
      <c r="M47" s="20" t="str">
        <f ca="1">VLOOKUP($L47,OFFSET([3]enemies!$A$1,0,0,COUNTA([3]enemies!$A:$A),MATCH(M$1,[3]enemies!$1:$1,0)-MATCH($L$1,[3]enemies!$1:$1,0)+1),MATCH(M$1,[3]enemies!$1:$1,0)-MATCH($L$1,[3]enemies!$1:$1,0)+1,FALSE)</f>
        <v>レッドチェシャ</v>
      </c>
      <c r="N47" s="20" t="str">
        <f ca="1">VLOOKUP($L47,OFFSET([3]enemies!$A$1,0,0,COUNTA([3]enemies!$A:$A),MATCH(N$1,[3]enemies!$1:$1,0)-MATCH($L$1,[3]enemies!$1:$1,0)+1),MATCH(N$1,[3]enemies!$1:$1,0)-MATCH($L$1,[3]enemies!$1:$1,0)+1,FALSE)</f>
        <v>red</v>
      </c>
      <c r="O47" s="22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20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20">
        <f ca="1">VLOOKUP($L47,OFFSET([3]enemies!$A$1,0,0,COUNTA([3]enemies!$A:$A),MATCH(Q$1,[3]enemies!$1:$1,0)-MATCH($L$1,[3]enemies!$1:$1,0)+1),MATCH(Q$1,[3]enemies!$1:$1,0)-MATCH($L$1,[3]enemies!$1:$1,0)+1,FALSE)</f>
        <v>15</v>
      </c>
      <c r="R47" s="6">
        <v>3</v>
      </c>
      <c r="S47" s="39">
        <v>1</v>
      </c>
      <c r="T47" s="39">
        <v>1</v>
      </c>
      <c r="U47" s="6">
        <v>0</v>
      </c>
      <c r="V47" s="5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5">
        <f ca="1">VLOOKUP($L47,OFFSET([3]enemies!$A$1,0,0,COUNTA([3]enemies!$A:$A),MATCH(W$1,[3]enemies!$1:$1,0)-MATCH($L$1,[3]enemies!$1:$1,0)+1),MATCH(W$1,[3]enemies!$1:$1,0)-MATCH($L$1,[3]enemies!$1:$1,0)+1,FALSE)</f>
        <v>0</v>
      </c>
      <c r="X47" s="7">
        <v>0</v>
      </c>
      <c r="Y47" s="7">
        <v>100</v>
      </c>
      <c r="Z47" s="7">
        <v>0</v>
      </c>
      <c r="AA47" s="20">
        <f ca="1">VLOOKUP($L47,OFFSET([3]enemies!$A$1,0,0,COUNTA([3]enemies!$A:$A),MATCH(AA$1,[3]enemies!$1:$1,0)-MATCH($L$1,[3]enemies!$1:$1,0)+1),MATCH(AA$1,[3]enemies!$1:$1,0)-MATCH($L$1,[3]enemies!$1:$1,0)+1,FALSE)</f>
        <v>1</v>
      </c>
      <c r="AB47" s="24">
        <v>101</v>
      </c>
      <c r="AC47" s="5" t="str">
        <f ca="1">IFERROR(VLOOKUP($AB47,OFFSET([4]characters!$A$1,0,0,COUNTA([4]characters!$A:$A),MATCH(AC$1,[4]characters!$1:$1,0)-MATCH("character_id",[4]characters!$1:$1,0)+1),MATCH(AC$1,[4]characters!$1:$1,0)-MATCH("character_id",[4]characters!$1:$1,0)+1,FALSE),"")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47" s="5">
        <f ca="1">IFERROR(VLOOKUP($AB47,OFFSET([4]characters!$A$1,0,0,COUNTA([4]characters!$A:$A),MATCH(AD$1,[4]characters!$1:$1,0)-MATCH("character_id",[4]characters!$1:$1,0)+1),MATCH(AD$1,[4]characters!$1:$1,0)-MATCH("character_id",[4]characters!$1:$1,0)+1,FALSE),"")</f>
        <v>2</v>
      </c>
      <c r="AE47" s="5" t="str">
        <f ca="1">IFERROR(VLOOKUP($AB47,OFFSET([4]characters!$A$1,0,0,COUNTA([4]characters!$A:$A),MATCH(AE$1,[4]characters!$1:$1,0)-MATCH("character_id",[4]characters!$1:$1,0)+1),MATCH(AE$1,[4]characters!$1:$1,0)-MATCH("character_id",[4]characters!$1:$1,0)+1,FALSE),"")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7" s="8">
        <v>1</v>
      </c>
      <c r="AG47" s="27">
        <f t="shared" ca="1" si="47"/>
        <v>2</v>
      </c>
      <c r="AH47" s="9">
        <v>40</v>
      </c>
      <c r="AI47" s="8">
        <v>0</v>
      </c>
      <c r="AJ47" s="8">
        <v>0</v>
      </c>
      <c r="AK47" s="8">
        <v>0</v>
      </c>
      <c r="AL47" s="8">
        <v>0</v>
      </c>
      <c r="AM47" s="8">
        <v>1</v>
      </c>
      <c r="AN47" s="8">
        <v>1</v>
      </c>
    </row>
    <row r="48" spans="1:40" ht="21" customHeight="1" x14ac:dyDescent="0.15">
      <c r="A48" s="17" t="str">
        <f t="shared" ca="1" si="48"/>
        <v>11002_1-3/102&lt;lv3&gt;s2</v>
      </c>
      <c r="B48" s="8">
        <v>11002</v>
      </c>
      <c r="C48" s="25">
        <v>1</v>
      </c>
      <c r="D48" s="2" t="str">
        <f t="shared" si="46"/>
        <v>11002_1</v>
      </c>
      <c r="E48" s="5" t="str">
        <f ca="1">VLOOKUP($B48,OFFSET([2]quests!$A$1,0,0,COUNTA([2]quests!$A:$A),MATCH(E$1,[2]quests!$1:$1,0)-MATCH($B$1,[2]quests!$1:$1,0)+1),MATCH(E$1,[2]quests!$1:$1,0)-MATCH($B$1,[2]quests!$1:$1,0)+1,FALSE)</f>
        <v>【火曜限定】 赤の素材</v>
      </c>
      <c r="F48" s="5" t="str">
        <f ca="1">VLOOKUP($D48,OFFSET([2]stages!$A$1,0,0,COUNTA([2]stages!$A:$A),MATCH(F$1,[2]stages!$2:$2,0)-MATCH($D$1,[2]stages!$2:$2,0)+1),MATCH(F$1,[2]stages!$2:$2,0)-MATCH($D$1,[2]stages!$2:$2,0)+1,FALSE)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48" s="25">
        <v>3</v>
      </c>
      <c r="H48" s="16" t="str">
        <f t="shared" si="4"/>
        <v>11002_1-3</v>
      </c>
      <c r="I48" s="5">
        <f ca="1">VLOOKUP($H48,OFFSET(floors!$A$1,0,0,COUNTA(floors!$A:$A),MATCH(I$1,floors!$1:$1,0)-MATCH($H$1,floors!$1:$1,0)+1),MATCH(I$1,floors!$1:$1,0)-MATCH($H$1,floors!$1:$1,0)+1,FALSE)</f>
        <v>45</v>
      </c>
      <c r="J48" s="5">
        <f ca="1">VLOOKUP($H48,OFFSET(floors!$A$1,0,0,COUNTA(floors!$A:$A),MATCH(J$1,floors!$1:$1,0)-MATCH($H$1,floors!$1:$1,0)+1),MATCH(J$1,floors!$1:$1,0)-MATCH($H$1,floors!$1:$1,0)+1,FALSE)</f>
        <v>45</v>
      </c>
      <c r="K48" s="24" t="s">
        <v>197</v>
      </c>
      <c r="L48" s="24">
        <v>102</v>
      </c>
      <c r="M48" s="20" t="str">
        <f ca="1">VLOOKUP($L48,OFFSET([3]enemies!$A$1,0,0,COUNTA([3]enemies!$A:$A),MATCH(M$1,[3]enemies!$1:$1,0)-MATCH($L$1,[3]enemies!$1:$1,0)+1),MATCH(M$1,[3]enemies!$1:$1,0)-MATCH($L$1,[3]enemies!$1:$1,0)+1,FALSE)</f>
        <v>レッドラビット</v>
      </c>
      <c r="N48" s="20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22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20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20">
        <f ca="1">VLOOKUP($L48,OFFSET([3]enemies!$A$1,0,0,COUNTA([3]enemies!$A:$A),MATCH(Q$1,[3]enemies!$1:$1,0)-MATCH($L$1,[3]enemies!$1:$1,0)+1),MATCH(Q$1,[3]enemies!$1:$1,0)-MATCH($L$1,[3]enemies!$1:$1,0)+1,FALSE)</f>
        <v>15</v>
      </c>
      <c r="R48" s="6">
        <v>3</v>
      </c>
      <c r="S48" s="40">
        <v>1.8</v>
      </c>
      <c r="T48" s="39">
        <v>1</v>
      </c>
      <c r="U48" s="6">
        <v>0</v>
      </c>
      <c r="V48" s="5" t="str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8" s="5">
        <f ca="1">VLOOKUP($L48,OFFSET([3]enemies!$A$1,0,0,COUNTA([3]enemies!$A:$A),MATCH(W$1,[3]enemies!$1:$1,0)-MATCH($L$1,[3]enemies!$1:$1,0)+1),MATCH(W$1,[3]enemies!$1:$1,0)-MATCH($L$1,[3]enemies!$1:$1,0)+1,FALSE)</f>
        <v>0</v>
      </c>
      <c r="X48" s="7">
        <v>0</v>
      </c>
      <c r="Y48" s="7">
        <v>40</v>
      </c>
      <c r="Z48" s="7">
        <v>0</v>
      </c>
      <c r="AA48" s="20">
        <f ca="1">VLOOKUP($L48,OFFSET([3]enemies!$A$1,0,0,COUNTA([3]enemies!$A:$A),MATCH(AA$1,[3]enemies!$1:$1,0)-MATCH($L$1,[3]enemies!$1:$1,0)+1),MATCH(AA$1,[3]enemies!$1:$1,0)-MATCH($L$1,[3]enemies!$1:$1,0)+1,FALSE)</f>
        <v>2</v>
      </c>
      <c r="AB48" s="24">
        <v>102</v>
      </c>
      <c r="AC48" s="5" t="str">
        <f ca="1">IFERROR(VLOOKUP($AB48,OFFSET([4]characters!$A$1,0,0,COUNTA([4]characters!$A:$A),MATCH(AC$1,[4]characters!$1:$1,0)-MATCH("character_id",[4]characters!$1:$1,0)+1),MATCH(AC$1,[4]characters!$1:$1,0)-MATCH("character_id",[4]characters!$1:$1,0)+1,FALSE),"")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48" s="5">
        <f ca="1">IFERROR(VLOOKUP($AB48,OFFSET([4]characters!$A$1,0,0,COUNTA([4]characters!$A:$A),MATCH(AD$1,[4]characters!$1:$1,0)-MATCH("character_id",[4]characters!$1:$1,0)+1),MATCH(AD$1,[4]characters!$1:$1,0)-MATCH("character_id",[4]characters!$1:$1,0)+1,FALSE),"")</f>
        <v>3</v>
      </c>
      <c r="AE48" s="5" t="str">
        <f ca="1">IFERROR(VLOOKUP($AB48,OFFSET([4]characters!$A$1,0,0,COUNTA([4]characters!$A:$A),MATCH(AE$1,[4]characters!$1:$1,0)-MATCH("character_id",[4]characters!$1:$1,0)+1),MATCH(AE$1,[4]characters!$1:$1,0)-MATCH("character_id",[4]characters!$1:$1,0)+1,FALSE),"")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8" s="8">
        <v>1</v>
      </c>
      <c r="AG48" s="27">
        <f t="shared" ca="1" si="47"/>
        <v>3</v>
      </c>
      <c r="AH48" s="9">
        <v>10</v>
      </c>
      <c r="AI48" s="8">
        <v>0</v>
      </c>
      <c r="AJ48" s="8">
        <v>0</v>
      </c>
      <c r="AK48" s="8">
        <v>0</v>
      </c>
      <c r="AL48" s="8">
        <v>0</v>
      </c>
      <c r="AM48" s="8">
        <v>1</v>
      </c>
      <c r="AN48" s="8">
        <v>1</v>
      </c>
    </row>
    <row r="49" spans="1:40" ht="21" customHeight="1" x14ac:dyDescent="0.15">
      <c r="A49" s="17" t="str">
        <f t="shared" ca="1" si="48"/>
        <v>11002_1-4/101&lt;lv3&gt;s1</v>
      </c>
      <c r="B49" s="8">
        <v>11002</v>
      </c>
      <c r="C49" s="25">
        <v>1</v>
      </c>
      <c r="D49" s="2" t="str">
        <f t="shared" si="46"/>
        <v>11002_1</v>
      </c>
      <c r="E49" s="5" t="str">
        <f ca="1">VLOOKUP($B49,OFFSET([2]quests!$A$1,0,0,COUNTA([2]quests!$A:$A),MATCH(E$1,[2]quests!$1:$1,0)-MATCH($B$1,[2]quests!$1:$1,0)+1),MATCH(E$1,[2]quests!$1:$1,0)-MATCH($B$1,[2]quests!$1:$1,0)+1,FALSE)</f>
        <v>【火曜限定】 赤の素材</v>
      </c>
      <c r="F49" s="5" t="str">
        <f ca="1">VLOOKUP($D49,OFFSET([2]stages!$A$1,0,0,COUNTA([2]stages!$A:$A),MATCH(F$1,[2]stages!$2:$2,0)-MATCH($D$1,[2]stages!$2:$2,0)+1),MATCH(F$1,[2]stages!$2:$2,0)-MATCH($D$1,[2]stages!$2:$2,0)+1,FALSE)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49" s="25">
        <v>4</v>
      </c>
      <c r="H49" s="16" t="str">
        <f t="shared" si="4"/>
        <v>11002_1-4</v>
      </c>
      <c r="I49" s="5">
        <f ca="1">VLOOKUP($H49,OFFSET(floors!$A$1,0,0,COUNTA(floors!$A:$A),MATCH(I$1,floors!$1:$1,0)-MATCH($H$1,floors!$1:$1,0)+1),MATCH(I$1,floors!$1:$1,0)-MATCH($H$1,floors!$1:$1,0)+1,FALSE)</f>
        <v>45</v>
      </c>
      <c r="J49" s="5">
        <f ca="1">VLOOKUP($H49,OFFSET(floors!$A$1,0,0,COUNTA(floors!$A:$A),MATCH(J$1,floors!$1:$1,0)-MATCH($H$1,floors!$1:$1,0)+1),MATCH(J$1,floors!$1:$1,0)-MATCH($H$1,floors!$1:$1,0)+1,FALSE)</f>
        <v>60</v>
      </c>
      <c r="K49" s="24" t="s">
        <v>197</v>
      </c>
      <c r="L49" s="24">
        <v>101</v>
      </c>
      <c r="M49" s="20" t="str">
        <f ca="1">VLOOKUP($L49,OFFSET([3]enemies!$A$1,0,0,COUNTA([3]enemies!$A:$A),MATCH(M$1,[3]enemies!$1:$1,0)-MATCH($L$1,[3]enemies!$1:$1,0)+1),MATCH(M$1,[3]enemies!$1:$1,0)-MATCH($L$1,[3]enemies!$1:$1,0)+1,FALSE)</f>
        <v>レッドチェシャ</v>
      </c>
      <c r="N49" s="20" t="str">
        <f ca="1">VLOOKUP($L49,OFFSET([3]enemies!$A$1,0,0,COUNTA([3]enemies!$A:$A),MATCH(N$1,[3]enemies!$1:$1,0)-MATCH($L$1,[3]enemies!$1:$1,0)+1),MATCH(N$1,[3]enemies!$1:$1,0)-MATCH($L$1,[3]enemies!$1:$1,0)+1,FALSE)</f>
        <v>red</v>
      </c>
      <c r="O49" s="22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20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20">
        <f ca="1">VLOOKUP($L49,OFFSET([3]enemies!$A$1,0,0,COUNTA([3]enemies!$A:$A),MATCH(Q$1,[3]enemies!$1:$1,0)-MATCH($L$1,[3]enemies!$1:$1,0)+1),MATCH(Q$1,[3]enemies!$1:$1,0)-MATCH($L$1,[3]enemies!$1:$1,0)+1,FALSE)</f>
        <v>15</v>
      </c>
      <c r="R49" s="6">
        <v>3</v>
      </c>
      <c r="S49" s="39">
        <v>1</v>
      </c>
      <c r="T49" s="39">
        <v>1</v>
      </c>
      <c r="U49" s="6">
        <v>0</v>
      </c>
      <c r="V49" s="5" t="str">
        <f ca="1">VLOOKUP($W49,OFFSET([5]enemy_skill_sets!$B$1,0,0,COUNTA([5]enemy_skill_sets!$B:$B),MATCH(M$1,[5]enemy_skill_sets!$1:$1,0)-MATCH($W$1,[5]enemy_skill_sets!$1:$1,0)+2),MATCH(M$1,[5]enemy_skill_sets!$1:$1,0)-MATCH($W$1,[5]enemy_skill_sets!$1:$1,0)+2,FALSE)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9" s="5">
        <f ca="1">VLOOKUP($L49,OFFSET([3]enemies!$A$1,0,0,COUNTA([3]enemies!$A:$A),MATCH(W$1,[3]enemies!$1:$1,0)-MATCH($L$1,[3]enemies!$1:$1,0)+1),MATCH(W$1,[3]enemies!$1:$1,0)-MATCH($L$1,[3]enemies!$1:$1,0)+1,FALSE)</f>
        <v>0</v>
      </c>
      <c r="X49" s="7">
        <v>0</v>
      </c>
      <c r="Y49" s="7">
        <v>100</v>
      </c>
      <c r="Z49" s="7">
        <v>0</v>
      </c>
      <c r="AA49" s="20">
        <f ca="1">VLOOKUP($L49,OFFSET([3]enemies!$A$1,0,0,COUNTA([3]enemies!$A:$A),MATCH(AA$1,[3]enemies!$1:$1,0)-MATCH($L$1,[3]enemies!$1:$1,0)+1),MATCH(AA$1,[3]enemies!$1:$1,0)-MATCH($L$1,[3]enemies!$1:$1,0)+1,FALSE)</f>
        <v>1</v>
      </c>
      <c r="AB49" s="24">
        <v>101</v>
      </c>
      <c r="AC49" s="5" t="str">
        <f ca="1">IFERROR(VLOOKUP($AB49,OFFSET([4]characters!$A$1,0,0,COUNTA([4]characters!$A:$A),MATCH(AC$1,[4]characters!$1:$1,0)-MATCH("character_id",[4]characters!$1:$1,0)+1),MATCH(AC$1,[4]characters!$1:$1,0)-MATCH("character_id",[4]characters!$1:$1,0)+1,FALSE),"")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49" s="5">
        <f ca="1">IFERROR(VLOOKUP($AB49,OFFSET([4]characters!$A$1,0,0,COUNTA([4]characters!$A:$A),MATCH(AD$1,[4]characters!$1:$1,0)-MATCH("character_id",[4]characters!$1:$1,0)+1),MATCH(AD$1,[4]characters!$1:$1,0)-MATCH("character_id",[4]characters!$1:$1,0)+1,FALSE),"")</f>
        <v>2</v>
      </c>
      <c r="AE49" s="5" t="str">
        <f ca="1">IFERROR(VLOOKUP($AB49,OFFSET([4]characters!$A$1,0,0,COUNTA([4]characters!$A:$A),MATCH(AE$1,[4]characters!$1:$1,0)-MATCH("character_id",[4]characters!$1:$1,0)+1),MATCH(AE$1,[4]characters!$1:$1,0)-MATCH("character_id",[4]characters!$1:$1,0)+1,FALSE),"")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9" s="8">
        <v>1</v>
      </c>
      <c r="AG49" s="27">
        <f t="shared" ca="1" si="47"/>
        <v>2</v>
      </c>
      <c r="AH49" s="9">
        <v>40</v>
      </c>
      <c r="AI49" s="8">
        <v>0</v>
      </c>
      <c r="AJ49" s="8">
        <v>0</v>
      </c>
      <c r="AK49" s="8">
        <v>0</v>
      </c>
      <c r="AL49" s="8">
        <v>0</v>
      </c>
      <c r="AM49" s="8">
        <v>1</v>
      </c>
      <c r="AN49" s="8">
        <v>1</v>
      </c>
    </row>
    <row r="50" spans="1:40" ht="21" customHeight="1" x14ac:dyDescent="0.15">
      <c r="A50" s="17" t="str">
        <f t="shared" ca="1" si="48"/>
        <v>11002_1-4/102&lt;lv3&gt;s2</v>
      </c>
      <c r="B50" s="8">
        <v>11002</v>
      </c>
      <c r="C50" s="25">
        <v>1</v>
      </c>
      <c r="D50" s="2" t="str">
        <f t="shared" si="46"/>
        <v>11002_1</v>
      </c>
      <c r="E50" s="5" t="str">
        <f ca="1">VLOOKUP($B50,OFFSET([2]quests!$A$1,0,0,COUNTA([2]quests!$A:$A),MATCH(E$1,[2]quests!$1:$1,0)-MATCH($B$1,[2]quests!$1:$1,0)+1),MATCH(E$1,[2]quests!$1:$1,0)-MATCH($B$1,[2]quests!$1:$1,0)+1,FALSE)</f>
        <v>【火曜限定】 赤の素材</v>
      </c>
      <c r="F50" s="5" t="str">
        <f ca="1">VLOOKUP($D50,OFFSET([2]stages!$A$1,0,0,COUNTA([2]stages!$A:$A),MATCH(F$1,[2]stages!$2:$2,0)-MATCH($D$1,[2]stages!$2:$2,0)+1),MATCH(F$1,[2]stages!$2:$2,0)-MATCH($D$1,[2]stages!$2:$2,0)+1,FALSE)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50" s="25">
        <v>4</v>
      </c>
      <c r="H50" s="16" t="str">
        <f t="shared" si="4"/>
        <v>11002_1-4</v>
      </c>
      <c r="I50" s="5">
        <f ca="1">VLOOKUP($H50,OFFSET(floors!$A$1,0,0,COUNTA(floors!$A:$A),MATCH(I$1,floors!$1:$1,0)-MATCH($H$1,floors!$1:$1,0)+1),MATCH(I$1,floors!$1:$1,0)-MATCH($H$1,floors!$1:$1,0)+1,FALSE)</f>
        <v>45</v>
      </c>
      <c r="J50" s="5">
        <f ca="1">VLOOKUP($H50,OFFSET(floors!$A$1,0,0,COUNTA(floors!$A:$A),MATCH(J$1,floors!$1:$1,0)-MATCH($H$1,floors!$1:$1,0)+1),MATCH(J$1,floors!$1:$1,0)-MATCH($H$1,floors!$1:$1,0)+1,FALSE)</f>
        <v>60</v>
      </c>
      <c r="K50" s="24" t="s">
        <v>197</v>
      </c>
      <c r="L50" s="24">
        <v>102</v>
      </c>
      <c r="M50" s="20" t="str">
        <f ca="1">VLOOKUP($L50,OFFSET([3]enemies!$A$1,0,0,COUNTA([3]enemies!$A:$A),MATCH(M$1,[3]enemies!$1:$1,0)-MATCH($L$1,[3]enemies!$1:$1,0)+1),MATCH(M$1,[3]enemies!$1:$1,0)-MATCH($L$1,[3]enemies!$1:$1,0)+1,FALSE)</f>
        <v>レッドラビット</v>
      </c>
      <c r="N50" s="20" t="str">
        <f ca="1">VLOOKUP($L50,OFFSET([3]enemies!$A$1,0,0,COUNTA([3]enemies!$A:$A),MATCH(N$1,[3]enemies!$1:$1,0)-MATCH($L$1,[3]enemies!$1:$1,0)+1),MATCH(N$1,[3]enemies!$1:$1,0)-MATCH($L$1,[3]enemies!$1:$1,0)+1,FALSE)</f>
        <v>red</v>
      </c>
      <c r="O50" s="22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20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20">
        <f ca="1">VLOOKUP($L50,OFFSET([3]enemies!$A$1,0,0,COUNTA([3]enemies!$A:$A),MATCH(Q$1,[3]enemies!$1:$1,0)-MATCH($L$1,[3]enemies!$1:$1,0)+1),MATCH(Q$1,[3]enemies!$1:$1,0)-MATCH($L$1,[3]enemies!$1:$1,0)+1,FALSE)</f>
        <v>15</v>
      </c>
      <c r="R50" s="6">
        <v>3</v>
      </c>
      <c r="S50" s="40">
        <v>1.8</v>
      </c>
      <c r="T50" s="39">
        <v>1</v>
      </c>
      <c r="U50" s="6">
        <v>0</v>
      </c>
      <c r="V50" s="5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0" s="5">
        <f ca="1">VLOOKUP($L50,OFFSET([3]enemies!$A$1,0,0,COUNTA([3]enemies!$A:$A),MATCH(W$1,[3]enemies!$1:$1,0)-MATCH($L$1,[3]enemies!$1:$1,0)+1),MATCH(W$1,[3]enemies!$1:$1,0)-MATCH($L$1,[3]enemies!$1:$1,0)+1,FALSE)</f>
        <v>0</v>
      </c>
      <c r="X50" s="7">
        <v>0</v>
      </c>
      <c r="Y50" s="7">
        <v>40</v>
      </c>
      <c r="Z50" s="7">
        <v>0</v>
      </c>
      <c r="AA50" s="20">
        <f ca="1">VLOOKUP($L50,OFFSET([3]enemies!$A$1,0,0,COUNTA([3]enemies!$A:$A),MATCH(AA$1,[3]enemies!$1:$1,0)-MATCH($L$1,[3]enemies!$1:$1,0)+1),MATCH(AA$1,[3]enemies!$1:$1,0)-MATCH($L$1,[3]enemies!$1:$1,0)+1,FALSE)</f>
        <v>2</v>
      </c>
      <c r="AB50" s="24">
        <v>102</v>
      </c>
      <c r="AC50" s="5" t="str">
        <f ca="1">IFERROR(VLOOKUP($AB50,OFFSET([4]characters!$A$1,0,0,COUNTA([4]characters!$A:$A),MATCH(AC$1,[4]characters!$1:$1,0)-MATCH("character_id",[4]characters!$1:$1,0)+1),MATCH(AC$1,[4]characters!$1:$1,0)-MATCH("character_id",[4]characters!$1:$1,0)+1,FALSE),"")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0" s="5">
        <f ca="1">IFERROR(VLOOKUP($AB50,OFFSET([4]characters!$A$1,0,0,COUNTA([4]characters!$A:$A),MATCH(AD$1,[4]characters!$1:$1,0)-MATCH("character_id",[4]characters!$1:$1,0)+1),MATCH(AD$1,[4]characters!$1:$1,0)-MATCH("character_id",[4]characters!$1:$1,0)+1,FALSE),"")</f>
        <v>3</v>
      </c>
      <c r="AE50" s="5" t="str">
        <f ca="1">IFERROR(VLOOKUP($AB50,OFFSET([4]characters!$A$1,0,0,COUNTA([4]characters!$A:$A),MATCH(AE$1,[4]characters!$1:$1,0)-MATCH("character_id",[4]characters!$1:$1,0)+1),MATCH(AE$1,[4]characters!$1:$1,0)-MATCH("character_id",[4]characters!$1:$1,0)+1,FALSE),"")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0" s="8">
        <v>1</v>
      </c>
      <c r="AG50" s="27">
        <f t="shared" ca="1" si="47"/>
        <v>3</v>
      </c>
      <c r="AH50" s="9">
        <v>20</v>
      </c>
      <c r="AI50" s="8">
        <v>0</v>
      </c>
      <c r="AJ50" s="8">
        <v>0</v>
      </c>
      <c r="AK50" s="8">
        <v>0</v>
      </c>
      <c r="AL50" s="8">
        <v>0</v>
      </c>
      <c r="AM50" s="8">
        <v>1</v>
      </c>
      <c r="AN50" s="8">
        <v>1</v>
      </c>
    </row>
    <row r="51" spans="1:40" ht="21" customHeight="1" x14ac:dyDescent="0.15">
      <c r="A51" s="17" t="str">
        <f t="shared" ca="1" si="48"/>
        <v>11002_1-5/101&lt;lv3&gt;s1</v>
      </c>
      <c r="B51" s="8">
        <v>11002</v>
      </c>
      <c r="C51" s="25">
        <v>1</v>
      </c>
      <c r="D51" s="2" t="str">
        <f t="shared" si="46"/>
        <v>11002_1</v>
      </c>
      <c r="E51" s="5" t="str">
        <f ca="1">VLOOKUP($B51,OFFSET([2]quests!$A$1,0,0,COUNTA([2]quests!$A:$A),MATCH(E$1,[2]quests!$1:$1,0)-MATCH($B$1,[2]quests!$1:$1,0)+1),MATCH(E$1,[2]quests!$1:$1,0)-MATCH($B$1,[2]quests!$1:$1,0)+1,FALSE)</f>
        <v>【火曜限定】 赤の素材</v>
      </c>
      <c r="F51" s="5" t="str">
        <f ca="1">VLOOKUP($D51,OFFSET([2]stages!$A$1,0,0,COUNTA([2]stages!$A:$A),MATCH(F$1,[2]stages!$2:$2,0)-MATCH($D$1,[2]stages!$2:$2,0)+1),MATCH(F$1,[2]stages!$2:$2,0)-MATCH($D$1,[2]stages!$2:$2,0)+1,FALSE)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51" s="25">
        <v>5</v>
      </c>
      <c r="H51" s="16" t="str">
        <f t="shared" si="4"/>
        <v>11002_1-5</v>
      </c>
      <c r="I51" s="5">
        <f ca="1">VLOOKUP($H51,OFFSET(floors!$A$1,0,0,COUNTA(floors!$A:$A),MATCH(I$1,floors!$1:$1,0)-MATCH($H$1,floors!$1:$1,0)+1),MATCH(I$1,floors!$1:$1,0)-MATCH($H$1,floors!$1:$1,0)+1,FALSE)</f>
        <v>45</v>
      </c>
      <c r="J51" s="5">
        <f ca="1">VLOOKUP($H51,OFFSET(floors!$A$1,0,0,COUNTA(floors!$A:$A),MATCH(J$1,floors!$1:$1,0)-MATCH($H$1,floors!$1:$1,0)+1),MATCH(J$1,floors!$1:$1,0)-MATCH($H$1,floors!$1:$1,0)+1,FALSE)</f>
        <v>45</v>
      </c>
      <c r="K51" s="24" t="s">
        <v>197</v>
      </c>
      <c r="L51" s="24">
        <v>101</v>
      </c>
      <c r="M51" s="20" t="str">
        <f ca="1">VLOOKUP($L51,OFFSET([3]enemies!$A$1,0,0,COUNTA([3]enemies!$A:$A),MATCH(M$1,[3]enemies!$1:$1,0)-MATCH($L$1,[3]enemies!$1:$1,0)+1),MATCH(M$1,[3]enemies!$1:$1,0)-MATCH($L$1,[3]enemies!$1:$1,0)+1,FALSE)</f>
        <v>レッドチェシャ</v>
      </c>
      <c r="N51" s="20" t="str">
        <f ca="1">VLOOKUP($L51,OFFSET([3]enemies!$A$1,0,0,COUNTA([3]enemies!$A:$A),MATCH(N$1,[3]enemies!$1:$1,0)-MATCH($L$1,[3]enemies!$1:$1,0)+1),MATCH(N$1,[3]enemies!$1:$1,0)-MATCH($L$1,[3]enemies!$1:$1,0)+1,FALSE)</f>
        <v>red</v>
      </c>
      <c r="O51" s="22" t="str">
        <f ca="1">VLOOKUP($L51,OFFSET([4]characters!$A$1,0,0,COUNTA([4]characters!$A:$A),MATCH(O$1,[4]characters!$1:$1,0)-MATCH($L$1,[4]characters!$1:$1,0)+1),MATCH(O$1,[4]characters!$1:$1,0)-MATCH($L$1,[4]characters!$1:$1,0)+1,FALSE)</f>
        <v>Material</v>
      </c>
      <c r="P51" s="20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20">
        <f ca="1">VLOOKUP($L51,OFFSET([3]enemies!$A$1,0,0,COUNTA([3]enemies!$A:$A),MATCH(Q$1,[3]enemies!$1:$1,0)-MATCH($L$1,[3]enemies!$1:$1,0)+1),MATCH(Q$1,[3]enemies!$1:$1,0)-MATCH($L$1,[3]enemies!$1:$1,0)+1,FALSE)</f>
        <v>15</v>
      </c>
      <c r="R51" s="6">
        <v>3</v>
      </c>
      <c r="S51" s="39">
        <v>1</v>
      </c>
      <c r="T51" s="39">
        <v>1</v>
      </c>
      <c r="U51" s="6">
        <v>0</v>
      </c>
      <c r="V51" s="5" t="str">
        <f ca="1">VLOOKUP($W51,OFFSET([5]enemy_skill_sets!$B$1,0,0,COUNTA([5]enemy_skill_sets!$B:$B),MATCH(M$1,[5]enemy_skill_sets!$1:$1,0)-MATCH($W$1,[5]enemy_skill_sets!$1:$1,0)+2),MATCH(M$1,[5]enemy_skill_sets!$1:$1,0)-MATCH($W$1,[5]enemy_skill_sets!$1:$1,0)+2,FALSE)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1" s="5">
        <f ca="1">VLOOKUP($L51,OFFSET([3]enemies!$A$1,0,0,COUNTA([3]enemies!$A:$A),MATCH(W$1,[3]enemies!$1:$1,0)-MATCH($L$1,[3]enemies!$1:$1,0)+1),MATCH(W$1,[3]enemies!$1:$1,0)-MATCH($L$1,[3]enemies!$1:$1,0)+1,FALSE)</f>
        <v>0</v>
      </c>
      <c r="X51" s="7">
        <v>2</v>
      </c>
      <c r="Y51" s="7">
        <v>100</v>
      </c>
      <c r="Z51" s="7">
        <v>0</v>
      </c>
      <c r="AA51" s="20">
        <f ca="1">VLOOKUP($L51,OFFSET([3]enemies!$A$1,0,0,COUNTA([3]enemies!$A:$A),MATCH(AA$1,[3]enemies!$1:$1,0)-MATCH($L$1,[3]enemies!$1:$1,0)+1),MATCH(AA$1,[3]enemies!$1:$1,0)-MATCH($L$1,[3]enemies!$1:$1,0)+1,FALSE)</f>
        <v>1</v>
      </c>
      <c r="AB51" s="24">
        <v>101</v>
      </c>
      <c r="AC51" s="5" t="str">
        <f ca="1">IFERROR(VLOOKUP($AB51,OFFSET([4]characters!$A$1,0,0,COUNTA([4]characters!$A:$A),MATCH(AC$1,[4]characters!$1:$1,0)-MATCH("character_id",[4]characters!$1:$1,0)+1),MATCH(AC$1,[4]characters!$1:$1,0)-MATCH("character_id",[4]characters!$1:$1,0)+1,FALSE),"")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51" s="5">
        <f ca="1">IFERROR(VLOOKUP($AB51,OFFSET([4]characters!$A$1,0,0,COUNTA([4]characters!$A:$A),MATCH(AD$1,[4]characters!$1:$1,0)-MATCH("character_id",[4]characters!$1:$1,0)+1),MATCH(AD$1,[4]characters!$1:$1,0)-MATCH("character_id",[4]characters!$1:$1,0)+1,FALSE),"")</f>
        <v>2</v>
      </c>
      <c r="AE51" s="5" t="str">
        <f ca="1">IFERROR(VLOOKUP($AB51,OFFSET([4]characters!$A$1,0,0,COUNTA([4]characters!$A:$A),MATCH(AE$1,[4]characters!$1:$1,0)-MATCH("character_id",[4]characters!$1:$1,0)+1),MATCH(AE$1,[4]characters!$1:$1,0)-MATCH("character_id",[4]characters!$1:$1,0)+1,FALSE),"")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1" s="8">
        <v>1</v>
      </c>
      <c r="AG51" s="27">
        <f t="shared" ca="1" si="47"/>
        <v>2</v>
      </c>
      <c r="AH51" s="9">
        <v>100</v>
      </c>
      <c r="AI51" s="8">
        <v>0</v>
      </c>
      <c r="AJ51" s="8">
        <v>0</v>
      </c>
      <c r="AK51" s="8">
        <v>0</v>
      </c>
      <c r="AL51" s="8">
        <v>0</v>
      </c>
      <c r="AM51" s="8">
        <v>1</v>
      </c>
      <c r="AN51" s="8">
        <v>1</v>
      </c>
    </row>
    <row r="52" spans="1:40" ht="21" customHeight="1" x14ac:dyDescent="0.15">
      <c r="A52" s="17" t="str">
        <f t="shared" ca="1" si="48"/>
        <v>11002_1-5/102&lt;lv5&gt;s2</v>
      </c>
      <c r="B52" s="8">
        <v>11002</v>
      </c>
      <c r="C52" s="25">
        <v>1</v>
      </c>
      <c r="D52" s="2" t="str">
        <f t="shared" si="46"/>
        <v>11002_1</v>
      </c>
      <c r="E52" s="5" t="str">
        <f ca="1">VLOOKUP($B52,OFFSET([2]quests!$A$1,0,0,COUNTA([2]quests!$A:$A),MATCH(E$1,[2]quests!$1:$1,0)-MATCH($B$1,[2]quests!$1:$1,0)+1),MATCH(E$1,[2]quests!$1:$1,0)-MATCH($B$1,[2]quests!$1:$1,0)+1,FALSE)</f>
        <v>【火曜限定】 赤の素材</v>
      </c>
      <c r="F52" s="5" t="str">
        <f ca="1">VLOOKUP($D52,OFFSET([2]stages!$A$1,0,0,COUNTA([2]stages!$A:$A),MATCH(F$1,[2]stages!$2:$2,0)-MATCH($D$1,[2]stages!$2:$2,0)+1),MATCH(F$1,[2]stages!$2:$2,0)-MATCH($D$1,[2]stages!$2:$2,0)+1,FALSE)</f>
        <v xml:space="preserve">【初級】火のチェシャ猫 </v>
      </c>
      <c r="G52" s="25">
        <v>5</v>
      </c>
      <c r="H52" s="16" t="str">
        <f t="shared" si="4"/>
        <v>11002_1-5</v>
      </c>
      <c r="I52" s="5">
        <f ca="1">VLOOKUP($H52,OFFSET(floors!$A$1,0,0,COUNTA(floors!$A:$A),MATCH(I$1,floors!$1:$1,0)-MATCH($H$1,floors!$1:$1,0)+1),MATCH(I$1,floors!$1:$1,0)-MATCH($H$1,floors!$1:$1,0)+1,FALSE)</f>
        <v>45</v>
      </c>
      <c r="J52" s="5">
        <f ca="1">VLOOKUP($H52,OFFSET(floors!$A$1,0,0,COUNTA(floors!$A:$A),MATCH(J$1,floors!$1:$1,0)-MATCH($H$1,floors!$1:$1,0)+1),MATCH(J$1,floors!$1:$1,0)-MATCH($H$1,floors!$1:$1,0)+1,FALSE)</f>
        <v>45</v>
      </c>
      <c r="K52" s="24" t="s">
        <v>197</v>
      </c>
      <c r="L52" s="24">
        <v>102</v>
      </c>
      <c r="M52" s="20" t="str">
        <f ca="1">VLOOKUP($L52,OFFSET([3]enemies!$A$1,0,0,COUNTA([3]enemies!$A:$A),MATCH(M$1,[3]enemies!$1:$1,0)-MATCH($L$1,[3]enemies!$1:$1,0)+1),MATCH(M$1,[3]enemies!$1:$1,0)-MATCH($L$1,[3]enemies!$1:$1,0)+1,FALSE)</f>
        <v>レッドラビット</v>
      </c>
      <c r="N52" s="20" t="str">
        <f ca="1">VLOOKUP($L52,OFFSET([3]enemies!$A$1,0,0,COUNTA([3]enemies!$A:$A),MATCH(N$1,[3]enemies!$1:$1,0)-MATCH($L$1,[3]enemies!$1:$1,0)+1),MATCH(N$1,[3]enemies!$1:$1,0)-MATCH($L$1,[3]enemies!$1:$1,0)+1,FALSE)</f>
        <v>red</v>
      </c>
      <c r="O52" s="22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20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20">
        <f ca="1">VLOOKUP($L52,OFFSET([3]enemies!$A$1,0,0,COUNTA([3]enemies!$A:$A),MATCH(Q$1,[3]enemies!$1:$1,0)-MATCH($L$1,[3]enemies!$1:$1,0)+1),MATCH(Q$1,[3]enemies!$1:$1,0)-MATCH($L$1,[3]enemies!$1:$1,0)+1,FALSE)</f>
        <v>15</v>
      </c>
      <c r="R52" s="6">
        <v>5</v>
      </c>
      <c r="S52" s="40">
        <v>1.8</v>
      </c>
      <c r="T52" s="39">
        <v>1</v>
      </c>
      <c r="U52" s="6">
        <v>0</v>
      </c>
      <c r="V52" s="5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5">
        <f ca="1">VLOOKUP($L52,OFFSET([3]enemies!$A$1,0,0,COUNTA([3]enemies!$A:$A),MATCH(W$1,[3]enemies!$1:$1,0)-MATCH($L$1,[3]enemies!$1:$1,0)+1),MATCH(W$1,[3]enemies!$1:$1,0)-MATCH($L$1,[3]enemies!$1:$1,0)+1,FALSE)</f>
        <v>0</v>
      </c>
      <c r="X52" s="7">
        <v>1</v>
      </c>
      <c r="Y52" s="7">
        <v>100</v>
      </c>
      <c r="Z52" s="7">
        <v>1</v>
      </c>
      <c r="AA52" s="20">
        <f ca="1">VLOOKUP($L52,OFFSET([3]enemies!$A$1,0,0,COUNTA([3]enemies!$A:$A),MATCH(AA$1,[3]enemies!$1:$1,0)-MATCH($L$1,[3]enemies!$1:$1,0)+1),MATCH(AA$1,[3]enemies!$1:$1,0)-MATCH($L$1,[3]enemies!$1:$1,0)+1,FALSE)</f>
        <v>2</v>
      </c>
      <c r="AB52" s="24">
        <v>102</v>
      </c>
      <c r="AC52" s="5" t="str">
        <f ca="1">IFERROR(VLOOKUP($AB52,OFFSET([4]characters!$A$1,0,0,COUNTA([4]characters!$A:$A),MATCH(AC$1,[4]characters!$1:$1,0)-MATCH("character_id",[4]characters!$1:$1,0)+1),MATCH(AC$1,[4]characters!$1:$1,0)-MATCH("character_id",[4]characters!$1:$1,0)+1,FALSE),"")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2" s="5">
        <f ca="1">IFERROR(VLOOKUP($AB52,OFFSET([4]characters!$A$1,0,0,COUNTA([4]characters!$A:$A),MATCH(AD$1,[4]characters!$1:$1,0)-MATCH("character_id",[4]characters!$1:$1,0)+1),MATCH(AD$1,[4]characters!$1:$1,0)-MATCH("character_id",[4]characters!$1:$1,0)+1,FALSE),"")</f>
        <v>3</v>
      </c>
      <c r="AE52" s="5" t="str">
        <f ca="1">IFERROR(VLOOKUP($AB52,OFFSET([4]characters!$A$1,0,0,COUNTA([4]characters!$A:$A),MATCH(AE$1,[4]characters!$1:$1,0)-MATCH("character_id",[4]characters!$1:$1,0)+1),MATCH(AE$1,[4]characters!$1:$1,0)-MATCH("character_id",[4]characters!$1:$1,0)+1,FALSE),"")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2" s="8">
        <v>1</v>
      </c>
      <c r="AG52" s="27">
        <f t="shared" ca="1" si="47"/>
        <v>3</v>
      </c>
      <c r="AH52" s="9">
        <v>0</v>
      </c>
      <c r="AI52" s="8">
        <v>0</v>
      </c>
      <c r="AJ52" s="8">
        <v>0</v>
      </c>
      <c r="AK52" s="8">
        <v>0</v>
      </c>
      <c r="AL52" s="8">
        <v>0</v>
      </c>
      <c r="AM52" s="8">
        <v>1</v>
      </c>
      <c r="AN52" s="8">
        <v>1</v>
      </c>
    </row>
    <row r="53" spans="1:40" ht="21" customHeight="1" x14ac:dyDescent="0.15">
      <c r="A53" s="17" t="str">
        <f t="shared" ca="1" si="48"/>
        <v>11002_2-1/102&lt;lv15&gt;s2</v>
      </c>
      <c r="B53" s="8">
        <v>11002</v>
      </c>
      <c r="C53" s="25">
        <v>2</v>
      </c>
      <c r="D53" s="2" t="str">
        <f t="shared" si="46"/>
        <v>11002_2</v>
      </c>
      <c r="E53" s="5" t="str">
        <f ca="1">VLOOKUP($B53,OFFSET([2]quests!$A$1,0,0,COUNTA([2]quests!$A:$A),MATCH(E$1,[2]quests!$1:$1,0)-MATCH($B$1,[2]quests!$1:$1,0)+1),MATCH(E$1,[2]quests!$1:$1,0)-MATCH($B$1,[2]quests!$1:$1,0)+1,FALSE)</f>
        <v>【火曜限定】 赤の素材</v>
      </c>
      <c r="F53" s="5" t="str">
        <f ca="1">VLOOKUP($D53,OFFSET([2]stages!$A$1,0,0,COUNTA([2]stages!$A:$A),MATCH(F$1,[2]stages!$2:$2,0)-MATCH($D$1,[2]stages!$2:$2,0)+1),MATCH(F$1,[2]stages!$2:$2,0)-MATCH($D$1,[2]stages!$2:$2,0)+1,FALSE)</f>
        <v xml:space="preserve">【中級】火のウサギ </v>
      </c>
      <c r="G53" s="25">
        <v>1</v>
      </c>
      <c r="H53" s="16" t="str">
        <f t="shared" si="4"/>
        <v>11002_2-1</v>
      </c>
      <c r="I53" s="5">
        <f ca="1">VLOOKUP($H53,OFFSET(floors!$A$1,0,0,COUNTA(floors!$A:$A),MATCH(I$1,floors!$1:$1,0)-MATCH($H$1,floors!$1:$1,0)+1),MATCH(I$1,floors!$1:$1,0)-MATCH($H$1,floors!$1:$1,0)+1,FALSE)</f>
        <v>30</v>
      </c>
      <c r="J53" s="5">
        <f ca="1">VLOOKUP($H53,OFFSET(floors!$A$1,0,0,COUNTA(floors!$A:$A),MATCH(J$1,floors!$1:$1,0)-MATCH($H$1,floors!$1:$1,0)+1),MATCH(J$1,floors!$1:$1,0)-MATCH($H$1,floors!$1:$1,0)+1,FALSE)</f>
        <v>30</v>
      </c>
      <c r="K53" s="24" t="s">
        <v>197</v>
      </c>
      <c r="L53" s="24">
        <v>102</v>
      </c>
      <c r="M53" s="20" t="str">
        <f ca="1">VLOOKUP($L53,OFFSET([3]enemies!$A$1,0,0,COUNTA([3]enemies!$A:$A),MATCH(M$1,[3]enemies!$1:$1,0)-MATCH($L$1,[3]enemies!$1:$1,0)+1),MATCH(M$1,[3]enemies!$1:$1,0)-MATCH($L$1,[3]enemies!$1:$1,0)+1,FALSE)</f>
        <v>レッドラビット</v>
      </c>
      <c r="N53" s="20" t="str">
        <f ca="1">VLOOKUP($L53,OFFSET([3]enemies!$A$1,0,0,COUNTA([3]enemies!$A:$A),MATCH(N$1,[3]enemies!$1:$1,0)-MATCH($L$1,[3]enemies!$1:$1,0)+1),MATCH(N$1,[3]enemies!$1:$1,0)-MATCH($L$1,[3]enemies!$1:$1,0)+1,FALSE)</f>
        <v>red</v>
      </c>
      <c r="O53" s="22" t="str">
        <f ca="1">VLOOKUP($L53,OFFSET([4]characters!$A$1,0,0,COUNTA([4]characters!$A:$A),MATCH(O$1,[4]characters!$1:$1,0)-MATCH($L$1,[4]characters!$1:$1,0)+1),MATCH(O$1,[4]characters!$1:$1,0)-MATCH($L$1,[4]characters!$1:$1,0)+1,FALSE)</f>
        <v>Material</v>
      </c>
      <c r="P53" s="20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20">
        <f ca="1">VLOOKUP($L53,OFFSET([3]enemies!$A$1,0,0,COUNTA([3]enemies!$A:$A),MATCH(Q$1,[3]enemies!$1:$1,0)-MATCH($L$1,[3]enemies!$1:$1,0)+1),MATCH(Q$1,[3]enemies!$1:$1,0)-MATCH($L$1,[3]enemies!$1:$1,0)+1,FALSE)</f>
        <v>15</v>
      </c>
      <c r="R53" s="6">
        <v>15</v>
      </c>
      <c r="S53" s="40">
        <v>1.8</v>
      </c>
      <c r="T53" s="39">
        <v>1</v>
      </c>
      <c r="U53" s="6">
        <v>0</v>
      </c>
      <c r="V53" s="5" t="str">
        <f ca="1">VLOOKUP($W53,OFFSET([5]enemy_skill_sets!$B$1,0,0,COUNTA([5]enemy_skill_sets!$B:$B),MATCH(M$1,[5]enemy_skill_sets!$1:$1,0)-MATCH($W$1,[5]enemy_skill_sets!$1:$1,0)+2),MATCH(M$1,[5]enemy_skill_sets!$1:$1,0)-MATCH($W$1,[5]enemy_skill_sets!$1:$1,0)+2,FALSE)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3" s="5">
        <f ca="1">VLOOKUP($L53,OFFSET([3]enemies!$A$1,0,0,COUNTA([3]enemies!$A:$A),MATCH(W$1,[3]enemies!$1:$1,0)-MATCH($L$1,[3]enemies!$1:$1,0)+1),MATCH(W$1,[3]enemies!$1:$1,0)-MATCH($L$1,[3]enemies!$1:$1,0)+1,FALSE)</f>
        <v>0</v>
      </c>
      <c r="X53" s="7">
        <v>0</v>
      </c>
      <c r="Y53" s="7">
        <v>100</v>
      </c>
      <c r="Z53" s="7">
        <v>0</v>
      </c>
      <c r="AA53" s="20">
        <f ca="1">VLOOKUP($L53,OFFSET([3]enemies!$A$1,0,0,COUNTA([3]enemies!$A:$A),MATCH(AA$1,[3]enemies!$1:$1,0)-MATCH($L$1,[3]enemies!$1:$1,0)+1),MATCH(AA$1,[3]enemies!$1:$1,0)-MATCH($L$1,[3]enemies!$1:$1,0)+1,FALSE)</f>
        <v>2</v>
      </c>
      <c r="AB53" s="24">
        <v>102</v>
      </c>
      <c r="AC53" s="5" t="str">
        <f ca="1">IFERROR(VLOOKUP($AB53,OFFSET([4]characters!$A$1,0,0,COUNTA([4]characters!$A:$A),MATCH(AC$1,[4]characters!$1:$1,0)-MATCH("character_id",[4]characters!$1:$1,0)+1),MATCH(AC$1,[4]characters!$1:$1,0)-MATCH("character_id",[4]characters!$1:$1,0)+1,FALSE),"")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3" s="5">
        <f ca="1">IFERROR(VLOOKUP($AB53,OFFSET([4]characters!$A$1,0,0,COUNTA([4]characters!$A:$A),MATCH(AD$1,[4]characters!$1:$1,0)-MATCH("character_id",[4]characters!$1:$1,0)+1),MATCH(AD$1,[4]characters!$1:$1,0)-MATCH("character_id",[4]characters!$1:$1,0)+1,FALSE),"")</f>
        <v>3</v>
      </c>
      <c r="AE53" s="5" t="str">
        <f ca="1">IFERROR(VLOOKUP($AB53,OFFSET([4]characters!$A$1,0,0,COUNTA([4]characters!$A:$A),MATCH(AE$1,[4]characters!$1:$1,0)-MATCH("character_id",[4]characters!$1:$1,0)+1),MATCH(AE$1,[4]characters!$1:$1,0)-MATCH("character_id",[4]characters!$1:$1,0)+1,FALSE),"")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3" s="8">
        <v>1</v>
      </c>
      <c r="AG53" s="27">
        <f t="shared" ca="1" si="47"/>
        <v>3</v>
      </c>
      <c r="AH53" s="80">
        <v>20</v>
      </c>
      <c r="AI53" s="8">
        <v>0</v>
      </c>
      <c r="AJ53" s="8">
        <v>0</v>
      </c>
      <c r="AK53" s="8">
        <v>0</v>
      </c>
      <c r="AL53" s="8">
        <v>0</v>
      </c>
      <c r="AM53" s="8">
        <v>1</v>
      </c>
      <c r="AN53" s="8">
        <v>1</v>
      </c>
    </row>
    <row r="54" spans="1:40" ht="21" customHeight="1" x14ac:dyDescent="0.15">
      <c r="A54" s="17" t="str">
        <f t="shared" ca="1" si="48"/>
        <v>11002_2-2/102&lt;lv15&gt;s2</v>
      </c>
      <c r="B54" s="8">
        <v>11002</v>
      </c>
      <c r="C54" s="25">
        <v>2</v>
      </c>
      <c r="D54" s="2" t="str">
        <f t="shared" si="46"/>
        <v>11002_2</v>
      </c>
      <c r="E54" s="5" t="str">
        <f ca="1">VLOOKUP($B54,OFFSET([2]quests!$A$1,0,0,COUNTA([2]quests!$A:$A),MATCH(E$1,[2]quests!$1:$1,0)-MATCH($B$1,[2]quests!$1:$1,0)+1),MATCH(E$1,[2]quests!$1:$1,0)-MATCH($B$1,[2]quests!$1:$1,0)+1,FALSE)</f>
        <v>【火曜限定】 赤の素材</v>
      </c>
      <c r="F54" s="5" t="str">
        <f ca="1">VLOOKUP($D54,OFFSET([2]stages!$A$1,0,0,COUNTA([2]stages!$A:$A),MATCH(F$1,[2]stages!$2:$2,0)-MATCH($D$1,[2]stages!$2:$2,0)+1),MATCH(F$1,[2]stages!$2:$2,0)-MATCH($D$1,[2]stages!$2:$2,0)+1,FALSE)</f>
        <v xml:space="preserve">【中級】火のウサギ </v>
      </c>
      <c r="G54" s="25">
        <v>2</v>
      </c>
      <c r="H54" s="16" t="str">
        <f t="shared" si="4"/>
        <v>11002_2-2</v>
      </c>
      <c r="I54" s="5">
        <f ca="1">VLOOKUP($H54,OFFSET(floors!$A$1,0,0,COUNTA(floors!$A:$A),MATCH(I$1,floors!$1:$1,0)-MATCH($H$1,floors!$1:$1,0)+1),MATCH(I$1,floors!$1:$1,0)-MATCH($H$1,floors!$1:$1,0)+1,FALSE)</f>
        <v>30</v>
      </c>
      <c r="J54" s="5">
        <f ca="1">VLOOKUP($H54,OFFSET(floors!$A$1,0,0,COUNTA(floors!$A:$A),MATCH(J$1,floors!$1:$1,0)-MATCH($H$1,floors!$1:$1,0)+1),MATCH(J$1,floors!$1:$1,0)-MATCH($H$1,floors!$1:$1,0)+1,FALSE)</f>
        <v>30</v>
      </c>
      <c r="K54" s="24" t="s">
        <v>197</v>
      </c>
      <c r="L54" s="24">
        <v>102</v>
      </c>
      <c r="M54" s="20" t="str">
        <f ca="1">VLOOKUP($L54,OFFSET([3]enemies!$A$1,0,0,COUNTA([3]enemies!$A:$A),MATCH(M$1,[3]enemies!$1:$1,0)-MATCH($L$1,[3]enemies!$1:$1,0)+1),MATCH(M$1,[3]enemies!$1:$1,0)-MATCH($L$1,[3]enemies!$1:$1,0)+1,FALSE)</f>
        <v>レッドラビット</v>
      </c>
      <c r="N54" s="20" t="str">
        <f ca="1">VLOOKUP($L54,OFFSET([3]enemies!$A$1,0,0,COUNTA([3]enemies!$A:$A),MATCH(N$1,[3]enemies!$1:$1,0)-MATCH($L$1,[3]enemies!$1:$1,0)+1),MATCH(N$1,[3]enemies!$1:$1,0)-MATCH($L$1,[3]enemies!$1:$1,0)+1,FALSE)</f>
        <v>red</v>
      </c>
      <c r="O54" s="22" t="str">
        <f ca="1">VLOOKUP($L54,OFFSET([4]characters!$A$1,0,0,COUNTA([4]characters!$A:$A),MATCH(O$1,[4]characters!$1:$1,0)-MATCH($L$1,[4]characters!$1:$1,0)+1),MATCH(O$1,[4]characters!$1:$1,0)-MATCH($L$1,[4]characters!$1:$1,0)+1,FALSE)</f>
        <v>Material</v>
      </c>
      <c r="P54" s="20" t="str">
        <f ca="1">VLOOKUP($L54,OFFSET([3]enemies!$A$1,0,0,COUNTA([3]enemies!$A:$A),MATCH(P$1,[3]enemies!$1:$1,0)-MATCH($L$1,[3]enemies!$1:$1,0)+1),MATCH(P$1,[3]enemies!$1:$1,0)-MATCH($L$1,[3]enemies!$1:$1,0)+1,FALSE)</f>
        <v>unknown</v>
      </c>
      <c r="Q54" s="20">
        <f ca="1">VLOOKUP($L54,OFFSET([3]enemies!$A$1,0,0,COUNTA([3]enemies!$A:$A),MATCH(Q$1,[3]enemies!$1:$1,0)-MATCH($L$1,[3]enemies!$1:$1,0)+1),MATCH(Q$1,[3]enemies!$1:$1,0)-MATCH($L$1,[3]enemies!$1:$1,0)+1,FALSE)</f>
        <v>15</v>
      </c>
      <c r="R54" s="6">
        <v>15</v>
      </c>
      <c r="S54" s="40">
        <v>1.8</v>
      </c>
      <c r="T54" s="39">
        <v>1</v>
      </c>
      <c r="U54" s="6">
        <v>0</v>
      </c>
      <c r="V54" s="5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5">
        <f ca="1">VLOOKUP($L54,OFFSET([3]enemies!$A$1,0,0,COUNTA([3]enemies!$A:$A),MATCH(W$1,[3]enemies!$1:$1,0)-MATCH($L$1,[3]enemies!$1:$1,0)+1),MATCH(W$1,[3]enemies!$1:$1,0)-MATCH($L$1,[3]enemies!$1:$1,0)+1,FALSE)</f>
        <v>0</v>
      </c>
      <c r="X54" s="7">
        <v>0</v>
      </c>
      <c r="Y54" s="7">
        <v>100</v>
      </c>
      <c r="Z54" s="7">
        <v>0</v>
      </c>
      <c r="AA54" s="20">
        <f ca="1">VLOOKUP($L54,OFFSET([3]enemies!$A$1,0,0,COUNTA([3]enemies!$A:$A),MATCH(AA$1,[3]enemies!$1:$1,0)-MATCH($L$1,[3]enemies!$1:$1,0)+1),MATCH(AA$1,[3]enemies!$1:$1,0)-MATCH($L$1,[3]enemies!$1:$1,0)+1,FALSE)</f>
        <v>2</v>
      </c>
      <c r="AB54" s="24">
        <v>102</v>
      </c>
      <c r="AC54" s="5" t="str">
        <f ca="1">IFERROR(VLOOKUP($AB54,OFFSET([4]characters!$A$1,0,0,COUNTA([4]characters!$A:$A),MATCH(AC$1,[4]characters!$1:$1,0)-MATCH("character_id",[4]characters!$1:$1,0)+1),MATCH(AC$1,[4]characters!$1:$1,0)-MATCH("character_id",[4]characters!$1:$1,0)+1,FALSE),"")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4" s="5">
        <f ca="1">IFERROR(VLOOKUP($AB54,OFFSET([4]characters!$A$1,0,0,COUNTA([4]characters!$A:$A),MATCH(AD$1,[4]characters!$1:$1,0)-MATCH("character_id",[4]characters!$1:$1,0)+1),MATCH(AD$1,[4]characters!$1:$1,0)-MATCH("character_id",[4]characters!$1:$1,0)+1,FALSE),"")</f>
        <v>3</v>
      </c>
      <c r="AE54" s="5" t="str">
        <f ca="1">IFERROR(VLOOKUP($AB54,OFFSET([4]characters!$A$1,0,0,COUNTA([4]characters!$A:$A),MATCH(AE$1,[4]characters!$1:$1,0)-MATCH("character_id",[4]characters!$1:$1,0)+1),MATCH(AE$1,[4]characters!$1:$1,0)-MATCH("character_id",[4]characters!$1:$1,0)+1,FALSE),"")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4" s="8">
        <v>1</v>
      </c>
      <c r="AG54" s="27">
        <f t="shared" ca="1" si="47"/>
        <v>3</v>
      </c>
      <c r="AH54" s="80">
        <v>20</v>
      </c>
      <c r="AI54" s="8">
        <v>0</v>
      </c>
      <c r="AJ54" s="8">
        <v>0</v>
      </c>
      <c r="AK54" s="8">
        <v>0</v>
      </c>
      <c r="AL54" s="8">
        <v>0</v>
      </c>
      <c r="AM54" s="8">
        <v>1</v>
      </c>
      <c r="AN54" s="8">
        <v>1</v>
      </c>
    </row>
    <row r="55" spans="1:40" ht="21" customHeight="1" x14ac:dyDescent="0.15">
      <c r="A55" s="17" t="str">
        <f t="shared" ca="1" si="48"/>
        <v>11002_2-3/102&lt;lv15&gt;s2</v>
      </c>
      <c r="B55" s="8">
        <v>11002</v>
      </c>
      <c r="C55" s="25">
        <v>2</v>
      </c>
      <c r="D55" s="2" t="str">
        <f t="shared" si="46"/>
        <v>11002_2</v>
      </c>
      <c r="E55" s="5" t="str">
        <f ca="1">VLOOKUP($B55,OFFSET([2]quests!$A$1,0,0,COUNTA([2]quests!$A:$A),MATCH(E$1,[2]quests!$1:$1,0)-MATCH($B$1,[2]quests!$1:$1,0)+1),MATCH(E$1,[2]quests!$1:$1,0)-MATCH($B$1,[2]quests!$1:$1,0)+1,FALSE)</f>
        <v>【火曜限定】 赤の素材</v>
      </c>
      <c r="F55" s="5" t="str">
        <f ca="1">VLOOKUP($D55,OFFSET([2]stages!$A$1,0,0,COUNTA([2]stages!$A:$A),MATCH(F$1,[2]stages!$2:$2,0)-MATCH($D$1,[2]stages!$2:$2,0)+1),MATCH(F$1,[2]stages!$2:$2,0)-MATCH($D$1,[2]stages!$2:$2,0)+1,FALSE)</f>
        <v xml:space="preserve">【中級】火のウサギ </v>
      </c>
      <c r="G55" s="25">
        <v>3</v>
      </c>
      <c r="H55" s="16" t="str">
        <f t="shared" si="4"/>
        <v>11002_2-3</v>
      </c>
      <c r="I55" s="5">
        <f ca="1">VLOOKUP($H55,OFFSET(floors!$A$1,0,0,COUNTA(floors!$A:$A),MATCH(I$1,floors!$1:$1,0)-MATCH($H$1,floors!$1:$1,0)+1),MATCH(I$1,floors!$1:$1,0)-MATCH($H$1,floors!$1:$1,0)+1,FALSE)</f>
        <v>45</v>
      </c>
      <c r="J55" s="5">
        <f ca="1">VLOOKUP($H55,OFFSET(floors!$A$1,0,0,COUNTA(floors!$A:$A),MATCH(J$1,floors!$1:$1,0)-MATCH($H$1,floors!$1:$1,0)+1),MATCH(J$1,floors!$1:$1,0)-MATCH($H$1,floors!$1:$1,0)+1,FALSE)</f>
        <v>45</v>
      </c>
      <c r="K55" s="24" t="s">
        <v>197</v>
      </c>
      <c r="L55" s="24">
        <v>102</v>
      </c>
      <c r="M55" s="20" t="str">
        <f ca="1">VLOOKUP($L55,OFFSET([3]enemies!$A$1,0,0,COUNTA([3]enemies!$A:$A),MATCH(M$1,[3]enemies!$1:$1,0)-MATCH($L$1,[3]enemies!$1:$1,0)+1),MATCH(M$1,[3]enemies!$1:$1,0)-MATCH($L$1,[3]enemies!$1:$1,0)+1,FALSE)</f>
        <v>レッドラビット</v>
      </c>
      <c r="N55" s="20" t="str">
        <f ca="1">VLOOKUP($L55,OFFSET([3]enemies!$A$1,0,0,COUNTA([3]enemies!$A:$A),MATCH(N$1,[3]enemies!$1:$1,0)-MATCH($L$1,[3]enemies!$1:$1,0)+1),MATCH(N$1,[3]enemies!$1:$1,0)-MATCH($L$1,[3]enemies!$1:$1,0)+1,FALSE)</f>
        <v>red</v>
      </c>
      <c r="O55" s="22" t="str">
        <f ca="1">VLOOKUP($L55,OFFSET([4]characters!$A$1,0,0,COUNTA([4]characters!$A:$A),MATCH(O$1,[4]characters!$1:$1,0)-MATCH($L$1,[4]characters!$1:$1,0)+1),MATCH(O$1,[4]characters!$1:$1,0)-MATCH($L$1,[4]characters!$1:$1,0)+1,FALSE)</f>
        <v>Material</v>
      </c>
      <c r="P55" s="20" t="str">
        <f ca="1">VLOOKUP($L55,OFFSET([3]enemies!$A$1,0,0,COUNTA([3]enemies!$A:$A),MATCH(P$1,[3]enemies!$1:$1,0)-MATCH($L$1,[3]enemies!$1:$1,0)+1),MATCH(P$1,[3]enemies!$1:$1,0)-MATCH($L$1,[3]enemies!$1:$1,0)+1,FALSE)</f>
        <v>unknown</v>
      </c>
      <c r="Q55" s="20">
        <f ca="1">VLOOKUP($L55,OFFSET([3]enemies!$A$1,0,0,COUNTA([3]enemies!$A:$A),MATCH(Q$1,[3]enemies!$1:$1,0)-MATCH($L$1,[3]enemies!$1:$1,0)+1),MATCH(Q$1,[3]enemies!$1:$1,0)-MATCH($L$1,[3]enemies!$1:$1,0)+1,FALSE)</f>
        <v>15</v>
      </c>
      <c r="R55" s="6">
        <v>15</v>
      </c>
      <c r="S55" s="40">
        <v>1.8</v>
      </c>
      <c r="T55" s="39">
        <v>1</v>
      </c>
      <c r="U55" s="6">
        <v>0</v>
      </c>
      <c r="V55" s="5" t="str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5" s="5">
        <f ca="1">VLOOKUP($L55,OFFSET([3]enemies!$A$1,0,0,COUNTA([3]enemies!$A:$A),MATCH(W$1,[3]enemies!$1:$1,0)-MATCH($L$1,[3]enemies!$1:$1,0)+1),MATCH(W$1,[3]enemies!$1:$1,0)-MATCH($L$1,[3]enemies!$1:$1,0)+1,FALSE)</f>
        <v>0</v>
      </c>
      <c r="X55" s="7">
        <v>0</v>
      </c>
      <c r="Y55" s="7">
        <v>100</v>
      </c>
      <c r="Z55" s="7">
        <v>0</v>
      </c>
      <c r="AA55" s="20">
        <f ca="1">VLOOKUP($L55,OFFSET([3]enemies!$A$1,0,0,COUNTA([3]enemies!$A:$A),MATCH(AA$1,[3]enemies!$1:$1,0)-MATCH($L$1,[3]enemies!$1:$1,0)+1),MATCH(AA$1,[3]enemies!$1:$1,0)-MATCH($L$1,[3]enemies!$1:$1,0)+1,FALSE)</f>
        <v>2</v>
      </c>
      <c r="AB55" s="24">
        <v>102</v>
      </c>
      <c r="AC55" s="5" t="str">
        <f ca="1">IFERROR(VLOOKUP($AB55,OFFSET([4]characters!$A$1,0,0,COUNTA([4]characters!$A:$A),MATCH(AC$1,[4]characters!$1:$1,0)-MATCH("character_id",[4]characters!$1:$1,0)+1),MATCH(AC$1,[4]characters!$1:$1,0)-MATCH("character_id",[4]characters!$1:$1,0)+1,FALSE),"")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5" s="5">
        <f ca="1">IFERROR(VLOOKUP($AB55,OFFSET([4]characters!$A$1,0,0,COUNTA([4]characters!$A:$A),MATCH(AD$1,[4]characters!$1:$1,0)-MATCH("character_id",[4]characters!$1:$1,0)+1),MATCH(AD$1,[4]characters!$1:$1,0)-MATCH("character_id",[4]characters!$1:$1,0)+1,FALSE),"")</f>
        <v>3</v>
      </c>
      <c r="AE55" s="5" t="str">
        <f ca="1">IFERROR(VLOOKUP($AB55,OFFSET([4]characters!$A$1,0,0,COUNTA([4]characters!$A:$A),MATCH(AE$1,[4]characters!$1:$1,0)-MATCH("character_id",[4]characters!$1:$1,0)+1),MATCH(AE$1,[4]characters!$1:$1,0)-MATCH("character_id",[4]characters!$1:$1,0)+1,FALSE),"")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5" s="8">
        <v>1</v>
      </c>
      <c r="AG55" s="27">
        <f t="shared" ca="1" si="47"/>
        <v>3</v>
      </c>
      <c r="AH55" s="80">
        <v>20</v>
      </c>
      <c r="AI55" s="8">
        <v>0</v>
      </c>
      <c r="AJ55" s="8">
        <v>0</v>
      </c>
      <c r="AK55" s="8">
        <v>0</v>
      </c>
      <c r="AL55" s="8">
        <v>0</v>
      </c>
      <c r="AM55" s="8">
        <v>1</v>
      </c>
      <c r="AN55" s="8">
        <v>1</v>
      </c>
    </row>
    <row r="56" spans="1:40" ht="21" customHeight="1" x14ac:dyDescent="0.15">
      <c r="A56" s="17" t="str">
        <f t="shared" ca="1" si="48"/>
        <v>11002_2-3/103&lt;lv15&gt;s3</v>
      </c>
      <c r="B56" s="8">
        <v>11002</v>
      </c>
      <c r="C56" s="25">
        <v>2</v>
      </c>
      <c r="D56" s="2" t="str">
        <f t="shared" si="46"/>
        <v>11002_2</v>
      </c>
      <c r="E56" s="5" t="str">
        <f ca="1">VLOOKUP($B56,OFFSET([2]quests!$A$1,0,0,COUNTA([2]quests!$A:$A),MATCH(E$1,[2]quests!$1:$1,0)-MATCH($B$1,[2]quests!$1:$1,0)+1),MATCH(E$1,[2]quests!$1:$1,0)-MATCH($B$1,[2]quests!$1:$1,0)+1,FALSE)</f>
        <v>【火曜限定】 赤の素材</v>
      </c>
      <c r="F56" s="5" t="str">
        <f ca="1">VLOOKUP($D56,OFFSET([2]stages!$A$1,0,0,COUNTA([2]stages!$A:$A),MATCH(F$1,[2]stages!$2:$2,0)-MATCH($D$1,[2]stages!$2:$2,0)+1),MATCH(F$1,[2]stages!$2:$2,0)-MATCH($D$1,[2]stages!$2:$2,0)+1,FALSE)</f>
        <v xml:space="preserve">【中級】火のウサギ </v>
      </c>
      <c r="G56" s="25">
        <v>3</v>
      </c>
      <c r="H56" s="16" t="str">
        <f t="shared" si="4"/>
        <v>11002_2-3</v>
      </c>
      <c r="I56" s="5">
        <f ca="1">VLOOKUP($H56,OFFSET(floors!$A$1,0,0,COUNTA(floors!$A:$A),MATCH(I$1,floors!$1:$1,0)-MATCH($H$1,floors!$1:$1,0)+1),MATCH(I$1,floors!$1:$1,0)-MATCH($H$1,floors!$1:$1,0)+1,FALSE)</f>
        <v>45</v>
      </c>
      <c r="J56" s="5">
        <f ca="1">VLOOKUP($H56,OFFSET(floors!$A$1,0,0,COUNTA(floors!$A:$A),MATCH(J$1,floors!$1:$1,0)-MATCH($H$1,floors!$1:$1,0)+1),MATCH(J$1,floors!$1:$1,0)-MATCH($H$1,floors!$1:$1,0)+1,FALSE)</f>
        <v>45</v>
      </c>
      <c r="K56" s="24" t="s">
        <v>197</v>
      </c>
      <c r="L56" s="24">
        <v>103</v>
      </c>
      <c r="M56" s="20" t="str">
        <f ca="1">VLOOKUP($L56,OFFSET([3]enemies!$A$1,0,0,COUNTA([3]enemies!$A:$A),MATCH(M$1,[3]enemies!$1:$1,0)-MATCH($L$1,[3]enemies!$1:$1,0)+1),MATCH(M$1,[3]enemies!$1:$1,0)-MATCH($L$1,[3]enemies!$1:$1,0)+1,FALSE)</f>
        <v>レッドキャタップ</v>
      </c>
      <c r="N56" s="20" t="str">
        <f ca="1">VLOOKUP($L56,OFFSET([3]enemies!$A$1,0,0,COUNTA([3]enemies!$A:$A),MATCH(N$1,[3]enemies!$1:$1,0)-MATCH($L$1,[3]enemies!$1:$1,0)+1),MATCH(N$1,[3]enemies!$1:$1,0)-MATCH($L$1,[3]enemies!$1:$1,0)+1,FALSE)</f>
        <v>red</v>
      </c>
      <c r="O56" s="22" t="str">
        <f ca="1">VLOOKUP($L56,OFFSET([4]characters!$A$1,0,0,COUNTA([4]characters!$A:$A),MATCH(O$1,[4]characters!$1:$1,0)-MATCH($L$1,[4]characters!$1:$1,0)+1),MATCH(O$1,[4]characters!$1:$1,0)-MATCH($L$1,[4]characters!$1:$1,0)+1,FALSE)</f>
        <v>Material</v>
      </c>
      <c r="P56" s="20" t="str">
        <f ca="1">VLOOKUP($L56,OFFSET([3]enemies!$A$1,0,0,COUNTA([3]enemies!$A:$A),MATCH(P$1,[3]enemies!$1:$1,0)-MATCH($L$1,[3]enemies!$1:$1,0)+1),MATCH(P$1,[3]enemies!$1:$1,0)-MATCH($L$1,[3]enemies!$1:$1,0)+1,FALSE)</f>
        <v>unknown</v>
      </c>
      <c r="Q56" s="20">
        <f ca="1">VLOOKUP($L56,OFFSET([3]enemies!$A$1,0,0,COUNTA([3]enemies!$A:$A),MATCH(Q$1,[3]enemies!$1:$1,0)-MATCH($L$1,[3]enemies!$1:$1,0)+1),MATCH(Q$1,[3]enemies!$1:$1,0)-MATCH($L$1,[3]enemies!$1:$1,0)+1,FALSE)</f>
        <v>15</v>
      </c>
      <c r="R56" s="6">
        <v>15</v>
      </c>
      <c r="S56" s="39">
        <v>2</v>
      </c>
      <c r="T56" s="39">
        <v>1</v>
      </c>
      <c r="U56" s="6">
        <v>0</v>
      </c>
      <c r="V56" s="5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6" s="5">
        <f ca="1">VLOOKUP($L56,OFFSET([3]enemies!$A$1,0,0,COUNTA([3]enemies!$A:$A),MATCH(W$1,[3]enemies!$1:$1,0)-MATCH($L$1,[3]enemies!$1:$1,0)+1),MATCH(W$1,[3]enemies!$1:$1,0)-MATCH($L$1,[3]enemies!$1:$1,0)+1,FALSE)</f>
        <v>0</v>
      </c>
      <c r="X56" s="7">
        <v>0</v>
      </c>
      <c r="Y56" s="7">
        <v>25</v>
      </c>
      <c r="Z56" s="7">
        <v>0</v>
      </c>
      <c r="AA56" s="20">
        <f ca="1">VLOOKUP($L56,OFFSET([3]enemies!$A$1,0,0,COUNTA([3]enemies!$A:$A),MATCH(AA$1,[3]enemies!$1:$1,0)-MATCH($L$1,[3]enemies!$1:$1,0)+1),MATCH(AA$1,[3]enemies!$1:$1,0)-MATCH($L$1,[3]enemies!$1:$1,0)+1,FALSE)</f>
        <v>3</v>
      </c>
      <c r="AB56" s="24">
        <v>103</v>
      </c>
      <c r="AC56" s="5" t="str">
        <f ca="1">IFERROR(VLOOKUP($AB56,OFFSET([4]characters!$A$1,0,0,COUNTA([4]characters!$A:$A),MATCH(AC$1,[4]characters!$1:$1,0)-MATCH("character_id",[4]characters!$1:$1,0)+1),MATCH(AC$1,[4]characters!$1:$1,0)-MATCH("character_id",[4]characters!$1:$1,0)+1,FALSE),"")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56" s="5">
        <f ca="1">IFERROR(VLOOKUP($AB56,OFFSET([4]characters!$A$1,0,0,COUNTA([4]characters!$A:$A),MATCH(AD$1,[4]characters!$1:$1,0)-MATCH("character_id",[4]characters!$1:$1,0)+1),MATCH(AD$1,[4]characters!$1:$1,0)-MATCH("character_id",[4]characters!$1:$1,0)+1,FALSE),"")</f>
        <v>4</v>
      </c>
      <c r="AE56" s="5" t="str">
        <f ca="1">IFERROR(VLOOKUP($AB56,OFFSET([4]characters!$A$1,0,0,COUNTA([4]characters!$A:$A),MATCH(AE$1,[4]characters!$1:$1,0)-MATCH("character_id",[4]characters!$1:$1,0)+1),MATCH(AE$1,[4]characters!$1:$1,0)-MATCH("character_id",[4]characters!$1:$1,0)+1,FALSE),"")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6" s="8">
        <v>1</v>
      </c>
      <c r="AG56" s="27">
        <f t="shared" ca="1" si="47"/>
        <v>4</v>
      </c>
      <c r="AH56" s="80">
        <v>5</v>
      </c>
      <c r="AI56" s="8">
        <v>0</v>
      </c>
      <c r="AJ56" s="8">
        <v>0</v>
      </c>
      <c r="AK56" s="8">
        <v>0</v>
      </c>
      <c r="AL56" s="8">
        <v>0</v>
      </c>
      <c r="AM56" s="8">
        <v>1</v>
      </c>
      <c r="AN56" s="8">
        <v>1</v>
      </c>
    </row>
    <row r="57" spans="1:40" ht="21" customHeight="1" x14ac:dyDescent="0.15">
      <c r="A57" s="17" t="str">
        <f t="shared" ca="1" si="48"/>
        <v>11002_2-4/102&lt;lv15&gt;s2</v>
      </c>
      <c r="B57" s="8">
        <v>11002</v>
      </c>
      <c r="C57" s="25">
        <v>2</v>
      </c>
      <c r="D57" s="2" t="str">
        <f t="shared" si="46"/>
        <v>11002_2</v>
      </c>
      <c r="E57" s="5" t="str">
        <f ca="1">VLOOKUP($B57,OFFSET([2]quests!$A$1,0,0,COUNTA([2]quests!$A:$A),MATCH(E$1,[2]quests!$1:$1,0)-MATCH($B$1,[2]quests!$1:$1,0)+1),MATCH(E$1,[2]quests!$1:$1,0)-MATCH($B$1,[2]quests!$1:$1,0)+1,FALSE)</f>
        <v>【火曜限定】 赤の素材</v>
      </c>
      <c r="F57" s="5" t="str">
        <f ca="1">VLOOKUP($D57,OFFSET([2]stages!$A$1,0,0,COUNTA([2]stages!$A:$A),MATCH(F$1,[2]stages!$2:$2,0)-MATCH($D$1,[2]stages!$2:$2,0)+1),MATCH(F$1,[2]stages!$2:$2,0)-MATCH($D$1,[2]stages!$2:$2,0)+1,FALSE)</f>
        <v xml:space="preserve">【中級】火のウサギ </v>
      </c>
      <c r="G57" s="25">
        <v>4</v>
      </c>
      <c r="H57" s="16" t="str">
        <f t="shared" si="4"/>
        <v>11002_2-4</v>
      </c>
      <c r="I57" s="5">
        <f ca="1">VLOOKUP($H57,OFFSET(floors!$A$1,0,0,COUNTA(floors!$A:$A),MATCH(I$1,floors!$1:$1,0)-MATCH($H$1,floors!$1:$1,0)+1),MATCH(I$1,floors!$1:$1,0)-MATCH($H$1,floors!$1:$1,0)+1,FALSE)</f>
        <v>45</v>
      </c>
      <c r="J57" s="5">
        <f ca="1">VLOOKUP($H57,OFFSET(floors!$A$1,0,0,COUNTA(floors!$A:$A),MATCH(J$1,floors!$1:$1,0)-MATCH($H$1,floors!$1:$1,0)+1),MATCH(J$1,floors!$1:$1,0)-MATCH($H$1,floors!$1:$1,0)+1,FALSE)</f>
        <v>45</v>
      </c>
      <c r="K57" s="24" t="s">
        <v>197</v>
      </c>
      <c r="L57" s="24">
        <v>102</v>
      </c>
      <c r="M57" s="20" t="str">
        <f ca="1">VLOOKUP($L57,OFFSET([3]enemies!$A$1,0,0,COUNTA([3]enemies!$A:$A),MATCH(M$1,[3]enemies!$1:$1,0)-MATCH($L$1,[3]enemies!$1:$1,0)+1),MATCH(M$1,[3]enemies!$1:$1,0)-MATCH($L$1,[3]enemies!$1:$1,0)+1,FALSE)</f>
        <v>レッドラビット</v>
      </c>
      <c r="N57" s="20" t="str">
        <f ca="1">VLOOKUP($L57,OFFSET([3]enemies!$A$1,0,0,COUNTA([3]enemies!$A:$A),MATCH(N$1,[3]enemies!$1:$1,0)-MATCH($L$1,[3]enemies!$1:$1,0)+1),MATCH(N$1,[3]enemies!$1:$1,0)-MATCH($L$1,[3]enemies!$1:$1,0)+1,FALSE)</f>
        <v>red</v>
      </c>
      <c r="O57" s="22" t="str">
        <f ca="1">VLOOKUP($L57,OFFSET([4]characters!$A$1,0,0,COUNTA([4]characters!$A:$A),MATCH(O$1,[4]characters!$1:$1,0)-MATCH($L$1,[4]characters!$1:$1,0)+1),MATCH(O$1,[4]characters!$1:$1,0)-MATCH($L$1,[4]characters!$1:$1,0)+1,FALSE)</f>
        <v>Material</v>
      </c>
      <c r="P57" s="20" t="str">
        <f ca="1">VLOOKUP($L57,OFFSET([3]enemies!$A$1,0,0,COUNTA([3]enemies!$A:$A),MATCH(P$1,[3]enemies!$1:$1,0)-MATCH($L$1,[3]enemies!$1:$1,0)+1),MATCH(P$1,[3]enemies!$1:$1,0)-MATCH($L$1,[3]enemies!$1:$1,0)+1,FALSE)</f>
        <v>unknown</v>
      </c>
      <c r="Q57" s="20">
        <f ca="1">VLOOKUP($L57,OFFSET([3]enemies!$A$1,0,0,COUNTA([3]enemies!$A:$A),MATCH(Q$1,[3]enemies!$1:$1,0)-MATCH($L$1,[3]enemies!$1:$1,0)+1),MATCH(Q$1,[3]enemies!$1:$1,0)-MATCH($L$1,[3]enemies!$1:$1,0)+1,FALSE)</f>
        <v>15</v>
      </c>
      <c r="R57" s="6">
        <v>15</v>
      </c>
      <c r="S57" s="40">
        <v>1.8</v>
      </c>
      <c r="T57" s="39">
        <v>1</v>
      </c>
      <c r="U57" s="6">
        <v>0</v>
      </c>
      <c r="V57" s="5" t="str">
        <f ca="1">VLOOKUP($W57,OFFSET([5]enemy_skill_sets!$B$1,0,0,COUNTA([5]enemy_skill_sets!$B:$B),MATCH(M$1,[5]enemy_skill_sets!$1:$1,0)-MATCH($W$1,[5]enemy_skill_sets!$1:$1,0)+2),MATCH(M$1,[5]enemy_skill_sets!$1:$1,0)-MATCH($W$1,[5]enemy_skill_sets!$1:$1,0)+2,FALSE)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7" s="5">
        <f ca="1">VLOOKUP($L57,OFFSET([3]enemies!$A$1,0,0,COUNTA([3]enemies!$A:$A),MATCH(W$1,[3]enemies!$1:$1,0)-MATCH($L$1,[3]enemies!$1:$1,0)+1),MATCH(W$1,[3]enemies!$1:$1,0)-MATCH($L$1,[3]enemies!$1:$1,0)+1,FALSE)</f>
        <v>0</v>
      </c>
      <c r="X57" s="7">
        <v>0</v>
      </c>
      <c r="Y57" s="7">
        <v>100</v>
      </c>
      <c r="Z57" s="7">
        <v>0</v>
      </c>
      <c r="AA57" s="20">
        <f ca="1">VLOOKUP($L57,OFFSET([3]enemies!$A$1,0,0,COUNTA([3]enemies!$A:$A),MATCH(AA$1,[3]enemies!$1:$1,0)-MATCH($L$1,[3]enemies!$1:$1,0)+1),MATCH(AA$1,[3]enemies!$1:$1,0)-MATCH($L$1,[3]enemies!$1:$1,0)+1,FALSE)</f>
        <v>2</v>
      </c>
      <c r="AB57" s="24">
        <v>102</v>
      </c>
      <c r="AC57" s="5" t="str">
        <f ca="1">IFERROR(VLOOKUP($AB57,OFFSET([4]characters!$A$1,0,0,COUNTA([4]characters!$A:$A),MATCH(AC$1,[4]characters!$1:$1,0)-MATCH("character_id",[4]characters!$1:$1,0)+1),MATCH(AC$1,[4]characters!$1:$1,0)-MATCH("character_id",[4]characters!$1:$1,0)+1,FALSE),"")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7" s="5">
        <f ca="1">IFERROR(VLOOKUP($AB57,OFFSET([4]characters!$A$1,0,0,COUNTA([4]characters!$A:$A),MATCH(AD$1,[4]characters!$1:$1,0)-MATCH("character_id",[4]characters!$1:$1,0)+1),MATCH(AD$1,[4]characters!$1:$1,0)-MATCH("character_id",[4]characters!$1:$1,0)+1,FALSE),"")</f>
        <v>3</v>
      </c>
      <c r="AE57" s="5" t="str">
        <f ca="1">IFERROR(VLOOKUP($AB57,OFFSET([4]characters!$A$1,0,0,COUNTA([4]characters!$A:$A),MATCH(AE$1,[4]characters!$1:$1,0)-MATCH("character_id",[4]characters!$1:$1,0)+1),MATCH(AE$1,[4]characters!$1:$1,0)-MATCH("character_id",[4]characters!$1:$1,0)+1,FALSE),"")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7" s="8">
        <v>1</v>
      </c>
      <c r="AG57" s="27">
        <f t="shared" ca="1" si="47"/>
        <v>3</v>
      </c>
      <c r="AH57" s="80">
        <v>20</v>
      </c>
      <c r="AI57" s="8">
        <v>0</v>
      </c>
      <c r="AJ57" s="8">
        <v>0</v>
      </c>
      <c r="AK57" s="8">
        <v>0</v>
      </c>
      <c r="AL57" s="8">
        <v>0</v>
      </c>
      <c r="AM57" s="8">
        <v>1</v>
      </c>
      <c r="AN57" s="8">
        <v>1</v>
      </c>
    </row>
    <row r="58" spans="1:40" ht="21" customHeight="1" x14ac:dyDescent="0.15">
      <c r="A58" s="17" t="str">
        <f t="shared" ca="1" si="48"/>
        <v>11002_2-4/103&lt;lv15&gt;s3</v>
      </c>
      <c r="B58" s="8">
        <v>11002</v>
      </c>
      <c r="C58" s="25">
        <v>2</v>
      </c>
      <c r="D58" s="2" t="str">
        <f t="shared" si="46"/>
        <v>11002_2</v>
      </c>
      <c r="E58" s="5" t="str">
        <f ca="1">VLOOKUP($B58,OFFSET([2]quests!$A$1,0,0,COUNTA([2]quests!$A:$A),MATCH(E$1,[2]quests!$1:$1,0)-MATCH($B$1,[2]quests!$1:$1,0)+1),MATCH(E$1,[2]quests!$1:$1,0)-MATCH($B$1,[2]quests!$1:$1,0)+1,FALSE)</f>
        <v>【火曜限定】 赤の素材</v>
      </c>
      <c r="F58" s="5" t="str">
        <f ca="1">VLOOKUP($D58,OFFSET([2]stages!$A$1,0,0,COUNTA([2]stages!$A:$A),MATCH(F$1,[2]stages!$2:$2,0)-MATCH($D$1,[2]stages!$2:$2,0)+1),MATCH(F$1,[2]stages!$2:$2,0)-MATCH($D$1,[2]stages!$2:$2,0)+1,FALSE)</f>
        <v xml:space="preserve">【中級】火のウサギ </v>
      </c>
      <c r="G58" s="25">
        <v>4</v>
      </c>
      <c r="H58" s="16" t="str">
        <f t="shared" si="4"/>
        <v>11002_2-4</v>
      </c>
      <c r="I58" s="5">
        <f ca="1">VLOOKUP($H58,OFFSET(floors!$A$1,0,0,COUNTA(floors!$A:$A),MATCH(I$1,floors!$1:$1,0)-MATCH($H$1,floors!$1:$1,0)+1),MATCH(I$1,floors!$1:$1,0)-MATCH($H$1,floors!$1:$1,0)+1,FALSE)</f>
        <v>45</v>
      </c>
      <c r="J58" s="5">
        <f ca="1">VLOOKUP($H58,OFFSET(floors!$A$1,0,0,COUNTA(floors!$A:$A),MATCH(J$1,floors!$1:$1,0)-MATCH($H$1,floors!$1:$1,0)+1),MATCH(J$1,floors!$1:$1,0)-MATCH($H$1,floors!$1:$1,0)+1,FALSE)</f>
        <v>45</v>
      </c>
      <c r="K58" s="24" t="s">
        <v>197</v>
      </c>
      <c r="L58" s="24">
        <v>103</v>
      </c>
      <c r="M58" s="20" t="str">
        <f ca="1">VLOOKUP($L58,OFFSET([3]enemies!$A$1,0,0,COUNTA([3]enemies!$A:$A),MATCH(M$1,[3]enemies!$1:$1,0)-MATCH($L$1,[3]enemies!$1:$1,0)+1),MATCH(M$1,[3]enemies!$1:$1,0)-MATCH($L$1,[3]enemies!$1:$1,0)+1,FALSE)</f>
        <v>レッドキャタップ</v>
      </c>
      <c r="N58" s="20" t="str">
        <f ca="1">VLOOKUP($L58,OFFSET([3]enemies!$A$1,0,0,COUNTA([3]enemies!$A:$A),MATCH(N$1,[3]enemies!$1:$1,0)-MATCH($L$1,[3]enemies!$1:$1,0)+1),MATCH(N$1,[3]enemies!$1:$1,0)-MATCH($L$1,[3]enemies!$1:$1,0)+1,FALSE)</f>
        <v>red</v>
      </c>
      <c r="O58" s="22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20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20">
        <f ca="1">VLOOKUP($L58,OFFSET([3]enemies!$A$1,0,0,COUNTA([3]enemies!$A:$A),MATCH(Q$1,[3]enemies!$1:$1,0)-MATCH($L$1,[3]enemies!$1:$1,0)+1),MATCH(Q$1,[3]enemies!$1:$1,0)-MATCH($L$1,[3]enemies!$1:$1,0)+1,FALSE)</f>
        <v>15</v>
      </c>
      <c r="R58" s="6">
        <v>15</v>
      </c>
      <c r="S58" s="39">
        <v>2</v>
      </c>
      <c r="T58" s="39">
        <v>1</v>
      </c>
      <c r="U58" s="6">
        <v>0</v>
      </c>
      <c r="V58" s="5" t="str">
        <f ca="1">VLOOKUP($W58,OFFSET([5]enemy_skill_sets!$B$1,0,0,COUNTA([5]enemy_skill_sets!$B:$B),MATCH(M$1,[5]enemy_skill_sets!$1:$1,0)-MATCH($W$1,[5]enemy_skill_sets!$1:$1,0)+2),MATCH(M$1,[5]enemy_skill_sets!$1:$1,0)-MATCH($W$1,[5]enemy_skill_sets!$1:$1,0)+2,FALSE)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8" s="5">
        <f ca="1">VLOOKUP($L58,OFFSET([3]enemies!$A$1,0,0,COUNTA([3]enemies!$A:$A),MATCH(W$1,[3]enemies!$1:$1,0)-MATCH($L$1,[3]enemies!$1:$1,0)+1),MATCH(W$1,[3]enemies!$1:$1,0)-MATCH($L$1,[3]enemies!$1:$1,0)+1,FALSE)</f>
        <v>0</v>
      </c>
      <c r="X58" s="7">
        <v>0</v>
      </c>
      <c r="Y58" s="7">
        <v>25</v>
      </c>
      <c r="Z58" s="7">
        <v>0</v>
      </c>
      <c r="AA58" s="20">
        <f ca="1">VLOOKUP($L58,OFFSET([3]enemies!$A$1,0,0,COUNTA([3]enemies!$A:$A),MATCH(AA$1,[3]enemies!$1:$1,0)-MATCH($L$1,[3]enemies!$1:$1,0)+1),MATCH(AA$1,[3]enemies!$1:$1,0)-MATCH($L$1,[3]enemies!$1:$1,0)+1,FALSE)</f>
        <v>3</v>
      </c>
      <c r="AB58" s="24">
        <v>103</v>
      </c>
      <c r="AC58" s="5" t="str">
        <f ca="1">IFERROR(VLOOKUP($AB58,OFFSET([4]characters!$A$1,0,0,COUNTA([4]characters!$A:$A),MATCH(AC$1,[4]characters!$1:$1,0)-MATCH("character_id",[4]characters!$1:$1,0)+1),MATCH(AC$1,[4]characters!$1:$1,0)-MATCH("character_id",[4]characters!$1:$1,0)+1,FALSE),"")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58" s="5">
        <f ca="1">IFERROR(VLOOKUP($AB58,OFFSET([4]characters!$A$1,0,0,COUNTA([4]characters!$A:$A),MATCH(AD$1,[4]characters!$1:$1,0)-MATCH("character_id",[4]characters!$1:$1,0)+1),MATCH(AD$1,[4]characters!$1:$1,0)-MATCH("character_id",[4]characters!$1:$1,0)+1,FALSE),"")</f>
        <v>4</v>
      </c>
      <c r="AE58" s="5" t="str">
        <f ca="1">IFERROR(VLOOKUP($AB58,OFFSET([4]characters!$A$1,0,0,COUNTA([4]characters!$A:$A),MATCH(AE$1,[4]characters!$1:$1,0)-MATCH("character_id",[4]characters!$1:$1,0)+1),MATCH(AE$1,[4]characters!$1:$1,0)-MATCH("character_id",[4]characters!$1:$1,0)+1,FALSE),"")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8" s="8">
        <v>1</v>
      </c>
      <c r="AG58" s="27">
        <f t="shared" ca="1" si="47"/>
        <v>4</v>
      </c>
      <c r="AH58" s="80">
        <v>5</v>
      </c>
      <c r="AI58" s="8">
        <v>0</v>
      </c>
      <c r="AJ58" s="8">
        <v>0</v>
      </c>
      <c r="AK58" s="8">
        <v>0</v>
      </c>
      <c r="AL58" s="8">
        <v>0</v>
      </c>
      <c r="AM58" s="8">
        <v>1</v>
      </c>
      <c r="AN58" s="8">
        <v>1</v>
      </c>
    </row>
    <row r="59" spans="1:40" ht="21" customHeight="1" x14ac:dyDescent="0.15">
      <c r="A59" s="17" t="str">
        <f t="shared" ca="1" si="48"/>
        <v>11002_2-5/102&lt;lv15&gt;s2</v>
      </c>
      <c r="B59" s="8">
        <v>11002</v>
      </c>
      <c r="C59" s="25">
        <v>2</v>
      </c>
      <c r="D59" s="2" t="str">
        <f t="shared" si="46"/>
        <v>11002_2</v>
      </c>
      <c r="E59" s="5" t="str">
        <f ca="1">VLOOKUP($B59,OFFSET([2]quests!$A$1,0,0,COUNTA([2]quests!$A:$A),MATCH(E$1,[2]quests!$1:$1,0)-MATCH($B$1,[2]quests!$1:$1,0)+1),MATCH(E$1,[2]quests!$1:$1,0)-MATCH($B$1,[2]quests!$1:$1,0)+1,FALSE)</f>
        <v>【火曜限定】 赤の素材</v>
      </c>
      <c r="F59" s="5" t="str">
        <f ca="1">VLOOKUP($D59,OFFSET([2]stages!$A$1,0,0,COUNTA([2]stages!$A:$A),MATCH(F$1,[2]stages!$2:$2,0)-MATCH($D$1,[2]stages!$2:$2,0)+1),MATCH(F$1,[2]stages!$2:$2,0)-MATCH($D$1,[2]stages!$2:$2,0)+1,FALSE)</f>
        <v xml:space="preserve">【中級】火のウサギ </v>
      </c>
      <c r="G59" s="25">
        <v>5</v>
      </c>
      <c r="H59" s="16" t="str">
        <f t="shared" si="4"/>
        <v>11002_2-5</v>
      </c>
      <c r="I59" s="5">
        <f ca="1">VLOOKUP($H59,OFFSET(floors!$A$1,0,0,COUNTA(floors!$A:$A),MATCH(I$1,floors!$1:$1,0)-MATCH($H$1,floors!$1:$1,0)+1),MATCH(I$1,floors!$1:$1,0)-MATCH($H$1,floors!$1:$1,0)+1,FALSE)</f>
        <v>50</v>
      </c>
      <c r="J59" s="5">
        <f ca="1">VLOOKUP($H59,OFFSET(floors!$A$1,0,0,COUNTA(floors!$A:$A),MATCH(J$1,floors!$1:$1,0)-MATCH($H$1,floors!$1:$1,0)+1),MATCH(J$1,floors!$1:$1,0)-MATCH($H$1,floors!$1:$1,0)+1,FALSE)</f>
        <v>50</v>
      </c>
      <c r="K59" s="24" t="s">
        <v>197</v>
      </c>
      <c r="L59" s="24">
        <v>102</v>
      </c>
      <c r="M59" s="20" t="str">
        <f ca="1">VLOOKUP($L59,OFFSET([3]enemies!$A$1,0,0,COUNTA([3]enemies!$A:$A),MATCH(M$1,[3]enemies!$1:$1,0)-MATCH($L$1,[3]enemies!$1:$1,0)+1),MATCH(M$1,[3]enemies!$1:$1,0)-MATCH($L$1,[3]enemies!$1:$1,0)+1,FALSE)</f>
        <v>レッドラビット</v>
      </c>
      <c r="N59" s="20" t="str">
        <f ca="1">VLOOKUP($L59,OFFSET([3]enemies!$A$1,0,0,COUNTA([3]enemies!$A:$A),MATCH(N$1,[3]enemies!$1:$1,0)-MATCH($L$1,[3]enemies!$1:$1,0)+1),MATCH(N$1,[3]enemies!$1:$1,0)-MATCH($L$1,[3]enemies!$1:$1,0)+1,FALSE)</f>
        <v>red</v>
      </c>
      <c r="O59" s="22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20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20">
        <f ca="1">VLOOKUP($L59,OFFSET([3]enemies!$A$1,0,0,COUNTA([3]enemies!$A:$A),MATCH(Q$1,[3]enemies!$1:$1,0)-MATCH($L$1,[3]enemies!$1:$1,0)+1),MATCH(Q$1,[3]enemies!$1:$1,0)-MATCH($L$1,[3]enemies!$1:$1,0)+1,FALSE)</f>
        <v>15</v>
      </c>
      <c r="R59" s="6">
        <v>15</v>
      </c>
      <c r="S59" s="40">
        <v>1.8</v>
      </c>
      <c r="T59" s="39">
        <v>1</v>
      </c>
      <c r="U59" s="6">
        <v>0</v>
      </c>
      <c r="V59" s="5" t="str">
        <f ca="1">VLOOKUP($W59,OFFSET([5]enemy_skill_sets!$B$1,0,0,COUNTA([5]enemy_skill_sets!$B:$B),MATCH(M$1,[5]enemy_skill_sets!$1:$1,0)-MATCH($W$1,[5]enemy_skill_sets!$1:$1,0)+2),MATCH(M$1,[5]enemy_skill_sets!$1:$1,0)-MATCH($W$1,[5]enemy_skill_sets!$1:$1,0)+2,FALSE)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9" s="5">
        <f ca="1">VLOOKUP($L59,OFFSET([3]enemies!$A$1,0,0,COUNTA([3]enemies!$A:$A),MATCH(W$1,[3]enemies!$1:$1,0)-MATCH($L$1,[3]enemies!$1:$1,0)+1),MATCH(W$1,[3]enemies!$1:$1,0)-MATCH($L$1,[3]enemies!$1:$1,0)+1,FALSE)</f>
        <v>0</v>
      </c>
      <c r="X59" s="7">
        <v>2</v>
      </c>
      <c r="Y59" s="7">
        <v>100</v>
      </c>
      <c r="Z59" s="7">
        <v>0</v>
      </c>
      <c r="AA59" s="20">
        <f ca="1">VLOOKUP($L59,OFFSET([3]enemies!$A$1,0,0,COUNTA([3]enemies!$A:$A),MATCH(AA$1,[3]enemies!$1:$1,0)-MATCH($L$1,[3]enemies!$1:$1,0)+1),MATCH(AA$1,[3]enemies!$1:$1,0)-MATCH($L$1,[3]enemies!$1:$1,0)+1,FALSE)</f>
        <v>2</v>
      </c>
      <c r="AB59" s="24">
        <v>102</v>
      </c>
      <c r="AC59" s="5" t="str">
        <f ca="1">IFERROR(VLOOKUP($AB59,OFFSET([4]characters!$A$1,0,0,COUNTA([4]characters!$A:$A),MATCH(AC$1,[4]characters!$1:$1,0)-MATCH("character_id",[4]characters!$1:$1,0)+1),MATCH(AC$1,[4]characters!$1:$1,0)-MATCH("character_id",[4]characters!$1:$1,0)+1,FALSE),"")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9" s="5">
        <f ca="1">IFERROR(VLOOKUP($AB59,OFFSET([4]characters!$A$1,0,0,COUNTA([4]characters!$A:$A),MATCH(AD$1,[4]characters!$1:$1,0)-MATCH("character_id",[4]characters!$1:$1,0)+1),MATCH(AD$1,[4]characters!$1:$1,0)-MATCH("character_id",[4]characters!$1:$1,0)+1,FALSE),"")</f>
        <v>3</v>
      </c>
      <c r="AE59" s="5" t="str">
        <f ca="1">IFERROR(VLOOKUP($AB59,OFFSET([4]characters!$A$1,0,0,COUNTA([4]characters!$A:$A),MATCH(AE$1,[4]characters!$1:$1,0)-MATCH("character_id",[4]characters!$1:$1,0)+1),MATCH(AE$1,[4]characters!$1:$1,0)-MATCH("character_id",[4]characters!$1:$1,0)+1,FALSE),"")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9" s="8">
        <v>1</v>
      </c>
      <c r="AG59" s="27">
        <f t="shared" ca="1" si="47"/>
        <v>3</v>
      </c>
      <c r="AH59" s="80">
        <v>100</v>
      </c>
      <c r="AI59" s="8">
        <v>0</v>
      </c>
      <c r="AJ59" s="8">
        <v>0</v>
      </c>
      <c r="AK59" s="8">
        <v>0</v>
      </c>
      <c r="AL59" s="8">
        <v>0</v>
      </c>
      <c r="AM59" s="8">
        <v>1</v>
      </c>
      <c r="AN59" s="8">
        <v>1</v>
      </c>
    </row>
    <row r="60" spans="1:40" ht="21" customHeight="1" x14ac:dyDescent="0.15">
      <c r="A60" s="17" t="str">
        <f t="shared" ca="1" si="48"/>
        <v>11002_2-5/50&lt;lv18&gt;s2</v>
      </c>
      <c r="B60" s="8">
        <v>11002</v>
      </c>
      <c r="C60" s="25">
        <v>2</v>
      </c>
      <c r="D60" s="2" t="str">
        <f t="shared" si="46"/>
        <v>11002_2</v>
      </c>
      <c r="E60" s="5" t="str">
        <f ca="1">VLOOKUP($B60,OFFSET([2]quests!$A$1,0,0,COUNTA([2]quests!$A:$A),MATCH(E$1,[2]quests!$1:$1,0)-MATCH($B$1,[2]quests!$1:$1,0)+1),MATCH(E$1,[2]quests!$1:$1,0)-MATCH($B$1,[2]quests!$1:$1,0)+1,FALSE)</f>
        <v>【火曜限定】 赤の素材</v>
      </c>
      <c r="F60" s="5" t="str">
        <f ca="1">VLOOKUP($D60,OFFSET([2]stages!$A$1,0,0,COUNTA([2]stages!$A:$A),MATCH(F$1,[2]stages!$2:$2,0)-MATCH($D$1,[2]stages!$2:$2,0)+1),MATCH(F$1,[2]stages!$2:$2,0)-MATCH($D$1,[2]stages!$2:$2,0)+1,FALSE)</f>
        <v xml:space="preserve">【中級】火のウサギ </v>
      </c>
      <c r="G60" s="25">
        <v>5</v>
      </c>
      <c r="H60" s="16" t="str">
        <f t="shared" si="4"/>
        <v>11002_2-5</v>
      </c>
      <c r="I60" s="5">
        <f ca="1">VLOOKUP($H60,OFFSET(floors!$A$1,0,0,COUNTA(floors!$A:$A),MATCH(I$1,floors!$1:$1,0)-MATCH($H$1,floors!$1:$1,0)+1),MATCH(I$1,floors!$1:$1,0)-MATCH($H$1,floors!$1:$1,0)+1,FALSE)</f>
        <v>50</v>
      </c>
      <c r="J60" s="5">
        <f ca="1">VLOOKUP($H60,OFFSET(floors!$A$1,0,0,COUNTA(floors!$A:$A),MATCH(J$1,floors!$1:$1,0)-MATCH($H$1,floors!$1:$1,0)+1),MATCH(J$1,floors!$1:$1,0)-MATCH($H$1,floors!$1:$1,0)+1,FALSE)</f>
        <v>50</v>
      </c>
      <c r="K60" s="24" t="s">
        <v>197</v>
      </c>
      <c r="L60" s="24">
        <v>50</v>
      </c>
      <c r="M60" s="20" t="str">
        <f ca="1">VLOOKUP($L60,OFFSET([3]enemies!$A$1,0,0,COUNTA([3]enemies!$A:$A),MATCH(M$1,[3]enemies!$1:$1,0)-MATCH($L$1,[3]enemies!$1:$1,0)+1),MATCH(M$1,[3]enemies!$1:$1,0)-MATCH($L$1,[3]enemies!$1:$1,0)+1,FALSE)</f>
        <v>炎銃のレジスタンス ヨシタカ</v>
      </c>
      <c r="N60" s="20" t="str">
        <f ca="1">VLOOKUP($L60,OFFSET([3]enemies!$A$1,0,0,COUNTA([3]enemies!$A:$A),MATCH(N$1,[3]enemies!$1:$1,0)-MATCH($L$1,[3]enemies!$1:$1,0)+1),MATCH(N$1,[3]enemies!$1:$1,0)-MATCH($L$1,[3]enemies!$1:$1,0)+1,FALSE)</f>
        <v>red</v>
      </c>
      <c r="O60" s="22" t="str">
        <f ca="1">VLOOKUP($L60,OFFSET([4]characters!$A$1,0,0,COUNTA([4]characters!$A:$A),MATCH(O$1,[4]characters!$1:$1,0)-MATCH($L$1,[4]characters!$1:$1,0)+1),MATCH(O$1,[4]characters!$1:$1,0)-MATCH($L$1,[4]characters!$1:$1,0)+1,FALSE)</f>
        <v>Drop1N</v>
      </c>
      <c r="P60" s="20" t="str">
        <f ca="1">VLOOKUP($L60,OFFSET([3]enemies!$A$1,0,0,COUNTA([3]enemies!$A:$A),MATCH(P$1,[3]enemies!$1:$1,0)-MATCH($L$1,[3]enemies!$1:$1,0)+1),MATCH(P$1,[3]enemies!$1:$1,0)-MATCH($L$1,[3]enemies!$1:$1,0)+1,FALSE)</f>
        <v>human</v>
      </c>
      <c r="Q60" s="20">
        <f ca="1">VLOOKUP($L60,OFFSET([3]enemies!$A$1,0,0,COUNTA([3]enemies!$A:$A),MATCH(Q$1,[3]enemies!$1:$1,0)-MATCH($L$1,[3]enemies!$1:$1,0)+1),MATCH(Q$1,[3]enemies!$1:$1,0)-MATCH($L$1,[3]enemies!$1:$1,0)+1,FALSE)</f>
        <v>20</v>
      </c>
      <c r="R60" s="6">
        <v>18</v>
      </c>
      <c r="S60" s="39">
        <v>1</v>
      </c>
      <c r="T60" s="39">
        <v>1</v>
      </c>
      <c r="U60" s="6">
        <v>0</v>
      </c>
      <c r="V60" s="5" t="str">
        <f ca="1">VLOOKUP($W60,OFFSET([5]enemy_skill_sets!$B$1,0,0,COUNTA([5]enemy_skill_sets!$B:$B),MATCH(M$1,[5]enemy_skill_sets!$1:$1,0)-MATCH($W$1,[5]enemy_skill_sets!$1:$1,0)+2),MATCH(M$1,[5]enemy_skill_sets!$1:$1,0)-MATCH($W$1,[5]enemy_skill_sets!$1:$1,0)+2,FALSE)</f>
        <v>5ターンの間ダメージを受ける</v>
      </c>
      <c r="W60" s="5">
        <f ca="1">VLOOKUP($L60,OFFSET([3]enemies!$A$1,0,0,COUNTA([3]enemies!$A:$A),MATCH(W$1,[3]enemies!$1:$1,0)-MATCH($L$1,[3]enemies!$1:$1,0)+1),MATCH(W$1,[3]enemies!$1:$1,0)-MATCH($L$1,[3]enemies!$1:$1,0)+1,FALSE)</f>
        <v>50</v>
      </c>
      <c r="X60" s="7">
        <v>0</v>
      </c>
      <c r="Y60" s="7">
        <v>100</v>
      </c>
      <c r="Z60" s="7">
        <v>1</v>
      </c>
      <c r="AA60" s="20">
        <f ca="1">VLOOKUP($L60,OFFSET([3]enemies!$A$1,0,0,COUNTA([3]enemies!$A:$A),MATCH(AA$1,[3]enemies!$1:$1,0)-MATCH($L$1,[3]enemies!$1:$1,0)+1),MATCH(AA$1,[3]enemies!$1:$1,0)-MATCH($L$1,[3]enemies!$1:$1,0)+1,FALSE)</f>
        <v>2</v>
      </c>
      <c r="AB60" s="24">
        <v>49</v>
      </c>
      <c r="AC60" s="5" t="str">
        <f ca="1">IFERROR(VLOOKUP($AB60,OFFSET([4]characters!$A$1,0,0,COUNTA([4]characters!$A:$A),MATCH(AC$1,[4]characters!$1:$1,0)-MATCH("character_id",[4]characters!$1:$1,0)+1),MATCH(AC$1,[4]characters!$1:$1,0)-MATCH("character_id",[4]characters!$1:$1,0)+1,FALSE),"")</f>
        <v>ヨシタカ</v>
      </c>
      <c r="AD60" s="5">
        <f ca="1">IFERROR(VLOOKUP($AB60,OFFSET([4]characters!$A$1,0,0,COUNTA([4]characters!$A:$A),MATCH(AD$1,[4]characters!$1:$1,0)-MATCH("character_id",[4]characters!$1:$1,0)+1),MATCH(AD$1,[4]characters!$1:$1,0)-MATCH("character_id",[4]characters!$1:$1,0)+1,FALSE),"")</f>
        <v>2</v>
      </c>
      <c r="AE60" s="5" t="str">
        <f ca="1">IFERROR(VLOOKUP($AB60,OFFSET([4]characters!$A$1,0,0,COUNTA([4]characters!$A:$A),MATCH(AE$1,[4]characters!$1:$1,0)-MATCH("character_id",[4]characters!$1:$1,0)+1),MATCH(AE$1,[4]characters!$1:$1,0)-MATCH("character_id",[4]characters!$1:$1,0)+1,FALSE),"")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0" s="8">
        <v>1</v>
      </c>
      <c r="AG60" s="27">
        <f t="shared" ca="1" si="47"/>
        <v>2</v>
      </c>
      <c r="AH60" s="9">
        <v>0</v>
      </c>
      <c r="AI60" s="8">
        <v>0</v>
      </c>
      <c r="AJ60" s="8">
        <v>0</v>
      </c>
      <c r="AK60" s="8">
        <v>0</v>
      </c>
      <c r="AL60" s="8">
        <v>0</v>
      </c>
      <c r="AM60" s="8">
        <v>1</v>
      </c>
      <c r="AN60" s="8">
        <v>1</v>
      </c>
    </row>
    <row r="61" spans="1:40" ht="21" customHeight="1" x14ac:dyDescent="0.15">
      <c r="A61" s="17" t="str">
        <f t="shared" ca="1" si="48"/>
        <v>11002_2-5/42&lt;lv18&gt;s1</v>
      </c>
      <c r="B61" s="8">
        <v>11002</v>
      </c>
      <c r="C61" s="25">
        <v>2</v>
      </c>
      <c r="D61" s="2" t="str">
        <f t="shared" si="46"/>
        <v>11002_2</v>
      </c>
      <c r="E61" s="5" t="str">
        <f ca="1">VLOOKUP($B61,OFFSET([2]quests!$A$1,0,0,COUNTA([2]quests!$A:$A),MATCH(E$1,[2]quests!$1:$1,0)-MATCH($B$1,[2]quests!$1:$1,0)+1),MATCH(E$1,[2]quests!$1:$1,0)-MATCH($B$1,[2]quests!$1:$1,0)+1,FALSE)</f>
        <v>【火曜限定】 赤の素材</v>
      </c>
      <c r="F61" s="5" t="str">
        <f ca="1">VLOOKUP($D61,OFFSET([2]stages!$A$1,0,0,COUNTA([2]stages!$A:$A),MATCH(F$1,[2]stages!$2:$2,0)-MATCH($D$1,[2]stages!$2:$2,0)+1),MATCH(F$1,[2]stages!$2:$2,0)-MATCH($D$1,[2]stages!$2:$2,0)+1,FALSE)</f>
        <v xml:space="preserve">【中級】火のウサギ </v>
      </c>
      <c r="G61" s="25">
        <v>5</v>
      </c>
      <c r="H61" s="16" t="str">
        <f t="shared" si="4"/>
        <v>11002_2-5</v>
      </c>
      <c r="I61" s="5">
        <f ca="1">VLOOKUP($H61,OFFSET(floors!$A$1,0,0,COUNTA(floors!$A:$A),MATCH(I$1,floors!$1:$1,0)-MATCH($H$1,floors!$1:$1,0)+1),MATCH(I$1,floors!$1:$1,0)-MATCH($H$1,floors!$1:$1,0)+1,FALSE)</f>
        <v>50</v>
      </c>
      <c r="J61" s="5">
        <f ca="1">VLOOKUP($H61,OFFSET(floors!$A$1,0,0,COUNTA(floors!$A:$A),MATCH(J$1,floors!$1:$1,0)-MATCH($H$1,floors!$1:$1,0)+1),MATCH(J$1,floors!$1:$1,0)-MATCH($H$1,floors!$1:$1,0)+1,FALSE)</f>
        <v>50</v>
      </c>
      <c r="K61" s="24" t="s">
        <v>197</v>
      </c>
      <c r="L61" s="24">
        <v>42</v>
      </c>
      <c r="M61" s="20" t="str">
        <f ca="1">VLOOKUP($L61,OFFSET([3]enemies!$A$1,0,0,COUNTA([3]enemies!$A:$A),MATCH(M$1,[3]enemies!$1:$1,0)-MATCH($L$1,[3]enemies!$1:$1,0)+1),MATCH(M$1,[3]enemies!$1:$1,0)-MATCH($L$1,[3]enemies!$1:$1,0)+1,FALSE)</f>
        <v>燃えゆる吐息 ヒュウガ</v>
      </c>
      <c r="N61" s="20" t="str">
        <f ca="1">VLOOKUP($L61,OFFSET([3]enemies!$A$1,0,0,COUNTA([3]enemies!$A:$A),MATCH(N$1,[3]enemies!$1:$1,0)-MATCH($L$1,[3]enemies!$1:$1,0)+1),MATCH(N$1,[3]enemies!$1:$1,0)-MATCH($L$1,[3]enemies!$1:$1,0)+1,FALSE)</f>
        <v>red</v>
      </c>
      <c r="O61" s="22" t="str">
        <f ca="1">VLOOKUP($L61,OFFSET([4]characters!$A$1,0,0,COUNTA([4]characters!$A:$A),MATCH(O$1,[4]characters!$1:$1,0)-MATCH($L$1,[4]characters!$1:$1,0)+1),MATCH(O$1,[4]characters!$1:$1,0)-MATCH($L$1,[4]characters!$1:$1,0)+1,FALSE)</f>
        <v>Drop1N</v>
      </c>
      <c r="P61" s="20" t="str">
        <f ca="1">VLOOKUP($L61,OFFSET([3]enemies!$A$1,0,0,COUNTA([3]enemies!$A:$A),MATCH(P$1,[3]enemies!$1:$1,0)-MATCH($L$1,[3]enemies!$1:$1,0)+1),MATCH(P$1,[3]enemies!$1:$1,0)-MATCH($L$1,[3]enemies!$1:$1,0)+1,FALSE)</f>
        <v>dragon</v>
      </c>
      <c r="Q61" s="20">
        <f ca="1">VLOOKUP($L61,OFFSET([3]enemies!$A$1,0,0,COUNTA([3]enemies!$A:$A),MATCH(Q$1,[3]enemies!$1:$1,0)-MATCH($L$1,[3]enemies!$1:$1,0)+1),MATCH(Q$1,[3]enemies!$1:$1,0)-MATCH($L$1,[3]enemies!$1:$1,0)+1,FALSE)</f>
        <v>20</v>
      </c>
      <c r="R61" s="6">
        <v>18</v>
      </c>
      <c r="S61" s="39">
        <v>1</v>
      </c>
      <c r="T61" s="39">
        <v>1</v>
      </c>
      <c r="U61" s="6">
        <v>0</v>
      </c>
      <c r="V61" s="5" t="str">
        <f ca="1">VLOOKUP($W61,OFFSET([5]enemy_skill_sets!$B$1,0,0,COUNTA([5]enemy_skill_sets!$B:$B),MATCH(M$1,[5]enemy_skill_sets!$1:$1,0)-MATCH($W$1,[5]enemy_skill_sets!$1:$1,0)+2),MATCH(M$1,[5]enemy_skill_sets!$1:$1,0)-MATCH($W$1,[5]enemy_skill_sets!$1:$1,0)+2,FALSE)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1" s="5">
        <f ca="1">VLOOKUP($L61,OFFSET([3]enemies!$A$1,0,0,COUNTA([3]enemies!$A:$A),MATCH(W$1,[3]enemies!$1:$1,0)-MATCH($L$1,[3]enemies!$1:$1,0)+1),MATCH(W$1,[3]enemies!$1:$1,0)-MATCH($L$1,[3]enemies!$1:$1,0)+1,FALSE)</f>
        <v>0</v>
      </c>
      <c r="X61" s="7">
        <v>0</v>
      </c>
      <c r="Y61" s="7">
        <v>100</v>
      </c>
      <c r="Z61" s="7">
        <v>1</v>
      </c>
      <c r="AA61" s="20">
        <f ca="1">VLOOKUP($L61,OFFSET([3]enemies!$A$1,0,0,COUNTA([3]enemies!$A:$A),MATCH(AA$1,[3]enemies!$1:$1,0)-MATCH($L$1,[3]enemies!$1:$1,0)+1),MATCH(AA$1,[3]enemies!$1:$1,0)-MATCH($L$1,[3]enemies!$1:$1,0)+1,FALSE)</f>
        <v>1</v>
      </c>
      <c r="AB61" s="24">
        <v>41</v>
      </c>
      <c r="AC61" s="5" t="str">
        <f ca="1">IFERROR(VLOOKUP($AB61,OFFSET([4]characters!$A$1,0,0,COUNTA([4]characters!$A:$A),MATCH(AC$1,[4]characters!$1:$1,0)-MATCH("character_id",[4]characters!$1:$1,0)+1),MATCH(AC$1,[4]characters!$1:$1,0)-MATCH("character_id",[4]characters!$1:$1,0)+1,FALSE),"")</f>
        <v>ヒュウガ</v>
      </c>
      <c r="AD61" s="5">
        <f ca="1">IFERROR(VLOOKUP($AB61,OFFSET([4]characters!$A$1,0,0,COUNTA([4]characters!$A:$A),MATCH(AD$1,[4]characters!$1:$1,0)-MATCH("character_id",[4]characters!$1:$1,0)+1),MATCH(AD$1,[4]characters!$1:$1,0)-MATCH("character_id",[4]characters!$1:$1,0)+1,FALSE),"")</f>
        <v>2</v>
      </c>
      <c r="AE61" s="5" t="str">
        <f ca="1">IFERROR(VLOOKUP($AB61,OFFSET([4]characters!$A$1,0,0,COUNTA([4]characters!$A:$A),MATCH(AE$1,[4]characters!$1:$1,0)-MATCH("character_id",[4]characters!$1:$1,0)+1),MATCH(AE$1,[4]characters!$1:$1,0)-MATCH("character_id",[4]characters!$1:$1,0)+1,FALSE),"")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1" s="8">
        <v>1</v>
      </c>
      <c r="AG61" s="27">
        <f t="shared" ca="1" si="47"/>
        <v>2</v>
      </c>
      <c r="AH61" s="9">
        <v>0</v>
      </c>
      <c r="AI61" s="8">
        <v>0</v>
      </c>
      <c r="AJ61" s="8">
        <v>0</v>
      </c>
      <c r="AK61" s="8">
        <v>0</v>
      </c>
      <c r="AL61" s="8">
        <v>0</v>
      </c>
      <c r="AM61" s="8">
        <v>1</v>
      </c>
      <c r="AN61" s="8">
        <v>1</v>
      </c>
    </row>
    <row r="62" spans="1:40" ht="21" customHeight="1" x14ac:dyDescent="0.15">
      <c r="A62" s="17" t="str">
        <f t="shared" ca="1" si="48"/>
        <v>11002_2-5/58&lt;lv18&gt;s2</v>
      </c>
      <c r="B62" s="8">
        <v>11002</v>
      </c>
      <c r="C62" s="25">
        <v>2</v>
      </c>
      <c r="D62" s="2" t="str">
        <f t="shared" si="46"/>
        <v>11002_2</v>
      </c>
      <c r="E62" s="5" t="str">
        <f ca="1">VLOOKUP($B62,OFFSET([2]quests!$A$1,0,0,COUNTA([2]quests!$A:$A),MATCH(E$1,[2]quests!$1:$1,0)-MATCH($B$1,[2]quests!$1:$1,0)+1),MATCH(E$1,[2]quests!$1:$1,0)-MATCH($B$1,[2]quests!$1:$1,0)+1,FALSE)</f>
        <v>【火曜限定】 赤の素材</v>
      </c>
      <c r="F62" s="5" t="str">
        <f ca="1">VLOOKUP($D62,OFFSET([2]stages!$A$1,0,0,COUNTA([2]stages!$A:$A),MATCH(F$1,[2]stages!$2:$2,0)-MATCH($D$1,[2]stages!$2:$2,0)+1),MATCH(F$1,[2]stages!$2:$2,0)-MATCH($D$1,[2]stages!$2:$2,0)+1,FALSE)</f>
        <v xml:space="preserve">【中級】火のウサギ </v>
      </c>
      <c r="G62" s="25">
        <v>5</v>
      </c>
      <c r="H62" s="16" t="str">
        <f t="shared" si="4"/>
        <v>11002_2-5</v>
      </c>
      <c r="I62" s="5">
        <f ca="1">VLOOKUP($H62,OFFSET(floors!$A$1,0,0,COUNTA(floors!$A:$A),MATCH(I$1,floors!$1:$1,0)-MATCH($H$1,floors!$1:$1,0)+1),MATCH(I$1,floors!$1:$1,0)-MATCH($H$1,floors!$1:$1,0)+1,FALSE)</f>
        <v>50</v>
      </c>
      <c r="J62" s="5">
        <f ca="1">VLOOKUP($H62,OFFSET(floors!$A$1,0,0,COUNTA(floors!$A:$A),MATCH(J$1,floors!$1:$1,0)-MATCH($H$1,floors!$1:$1,0)+1),MATCH(J$1,floors!$1:$1,0)-MATCH($H$1,floors!$1:$1,0)+1,FALSE)</f>
        <v>50</v>
      </c>
      <c r="K62" s="24" t="s">
        <v>197</v>
      </c>
      <c r="L62" s="24">
        <v>58</v>
      </c>
      <c r="M62" s="20" t="str">
        <f ca="1">VLOOKUP($L62,OFFSET([3]enemies!$A$1,0,0,COUNTA([3]enemies!$A:$A),MATCH(M$1,[3]enemies!$1:$1,0)-MATCH($L$1,[3]enemies!$1:$1,0)+1),MATCH(M$1,[3]enemies!$1:$1,0)-MATCH($L$1,[3]enemies!$1:$1,0)+1,FALSE)</f>
        <v>ドランクマスター チェン・リー</v>
      </c>
      <c r="N62" s="20" t="str">
        <f ca="1">VLOOKUP($L62,OFFSET([3]enemies!$A$1,0,0,COUNTA([3]enemies!$A:$A),MATCH(N$1,[3]enemies!$1:$1,0)-MATCH($L$1,[3]enemies!$1:$1,0)+1),MATCH(N$1,[3]enemies!$1:$1,0)-MATCH($L$1,[3]enemies!$1:$1,0)+1,FALSE)</f>
        <v>red</v>
      </c>
      <c r="O62" s="22" t="str">
        <f ca="1">VLOOKUP($L62,OFFSET([4]characters!$A$1,0,0,COUNTA([4]characters!$A:$A),MATCH(O$1,[4]characters!$1:$1,0)-MATCH($L$1,[4]characters!$1:$1,0)+1),MATCH(O$1,[4]characters!$1:$1,0)-MATCH($L$1,[4]characters!$1:$1,0)+1,FALSE)</f>
        <v>Drop1N</v>
      </c>
      <c r="P62" s="20" t="str">
        <f ca="1">VLOOKUP($L62,OFFSET([3]enemies!$A$1,0,0,COUNTA([3]enemies!$A:$A),MATCH(P$1,[3]enemies!$1:$1,0)-MATCH($L$1,[3]enemies!$1:$1,0)+1),MATCH(P$1,[3]enemies!$1:$1,0)-MATCH($L$1,[3]enemies!$1:$1,0)+1,FALSE)</f>
        <v>animal</v>
      </c>
      <c r="Q62" s="20">
        <f ca="1">VLOOKUP($L62,OFFSET([3]enemies!$A$1,0,0,COUNTA([3]enemies!$A:$A),MATCH(Q$1,[3]enemies!$1:$1,0)-MATCH($L$1,[3]enemies!$1:$1,0)+1),MATCH(Q$1,[3]enemies!$1:$1,0)-MATCH($L$1,[3]enemies!$1:$1,0)+1,FALSE)</f>
        <v>20</v>
      </c>
      <c r="R62" s="6">
        <v>18</v>
      </c>
      <c r="S62" s="39">
        <v>1</v>
      </c>
      <c r="T62" s="39">
        <v>1</v>
      </c>
      <c r="U62" s="6">
        <v>0</v>
      </c>
      <c r="V62" s="5" t="str">
        <f ca="1">VLOOKUP($W62,OFFSET([5]enemy_skill_sets!$B$1,0,0,COUNTA([5]enemy_skill_sets!$B:$B),MATCH(M$1,[5]enemy_skill_sets!$1:$1,0)-MATCH($W$1,[5]enemy_skill_sets!$1:$1,0)+2),MATCH(M$1,[5]enemy_skill_sets!$1:$1,0)-MATCH($W$1,[5]enemy_skill_sets!$1:$1,0)+2,FALSE)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2" s="5">
        <f ca="1">VLOOKUP($L62,OFFSET([3]enemies!$A$1,0,0,COUNTA([3]enemies!$A:$A),MATCH(W$1,[3]enemies!$1:$1,0)-MATCH($L$1,[3]enemies!$1:$1,0)+1),MATCH(W$1,[3]enemies!$1:$1,0)-MATCH($L$1,[3]enemies!$1:$1,0)+1,FALSE)</f>
        <v>0</v>
      </c>
      <c r="X62" s="7">
        <v>0</v>
      </c>
      <c r="Y62" s="7">
        <v>100</v>
      </c>
      <c r="Z62" s="7">
        <v>1</v>
      </c>
      <c r="AA62" s="20">
        <f ca="1">VLOOKUP($L62,OFFSET([3]enemies!$A$1,0,0,COUNTA([3]enemies!$A:$A),MATCH(AA$1,[3]enemies!$1:$1,0)-MATCH($L$1,[3]enemies!$1:$1,0)+1),MATCH(AA$1,[3]enemies!$1:$1,0)-MATCH($L$1,[3]enemies!$1:$1,0)+1,FALSE)</f>
        <v>2</v>
      </c>
      <c r="AB62" s="24">
        <v>57</v>
      </c>
      <c r="AC62" s="5" t="str">
        <f ca="1">IFERROR(VLOOKUP($AB62,OFFSET([4]characters!$A$1,0,0,COUNTA([4]characters!$A:$A),MATCH(AC$1,[4]characters!$1:$1,0)-MATCH("character_id",[4]characters!$1:$1,0)+1),MATCH(AC$1,[4]characters!$1:$1,0)-MATCH("character_id",[4]characters!$1:$1,0)+1,FALSE),"")</f>
        <v>チェン・リー</v>
      </c>
      <c r="AD62" s="5">
        <f ca="1">IFERROR(VLOOKUP($AB62,OFFSET([4]characters!$A$1,0,0,COUNTA([4]characters!$A:$A),MATCH(AD$1,[4]characters!$1:$1,0)-MATCH("character_id",[4]characters!$1:$1,0)+1),MATCH(AD$1,[4]characters!$1:$1,0)-MATCH("character_id",[4]characters!$1:$1,0)+1,FALSE),"")</f>
        <v>2</v>
      </c>
      <c r="AE62" s="5" t="str">
        <f ca="1">IFERROR(VLOOKUP($AB62,OFFSET([4]characters!$A$1,0,0,COUNTA([4]characters!$A:$A),MATCH(AE$1,[4]characters!$1:$1,0)-MATCH("character_id",[4]characters!$1:$1,0)+1),MATCH(AE$1,[4]characters!$1:$1,0)-MATCH("character_id",[4]characters!$1:$1,0)+1,FALSE),"")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2" s="8">
        <v>1</v>
      </c>
      <c r="AG62" s="27">
        <f t="shared" ca="1" si="47"/>
        <v>2</v>
      </c>
      <c r="AH62" s="9">
        <v>0</v>
      </c>
      <c r="AI62" s="8">
        <v>0</v>
      </c>
      <c r="AJ62" s="8">
        <v>0</v>
      </c>
      <c r="AK62" s="8">
        <v>0</v>
      </c>
      <c r="AL62" s="8">
        <v>0</v>
      </c>
      <c r="AM62" s="8">
        <v>1</v>
      </c>
      <c r="AN62" s="8">
        <v>1</v>
      </c>
    </row>
    <row r="63" spans="1:40" ht="21" customHeight="1" x14ac:dyDescent="0.15">
      <c r="A63" s="17" t="str">
        <f t="shared" ca="1" si="48"/>
        <v>11002_3-1/103&lt;lv30&gt;s3</v>
      </c>
      <c r="B63" s="8">
        <v>11002</v>
      </c>
      <c r="C63" s="25">
        <v>3</v>
      </c>
      <c r="D63" s="2" t="str">
        <f t="shared" si="46"/>
        <v>11002_3</v>
      </c>
      <c r="E63" s="5" t="str">
        <f ca="1">VLOOKUP($B63,OFFSET([2]quests!$A$1,0,0,COUNTA([2]quests!$A:$A),MATCH(E$1,[2]quests!$1:$1,0)-MATCH($B$1,[2]quests!$1:$1,0)+1),MATCH(E$1,[2]quests!$1:$1,0)-MATCH($B$1,[2]quests!$1:$1,0)+1,FALSE)</f>
        <v>【火曜限定】 赤の素材</v>
      </c>
      <c r="F63" s="5" t="str">
        <f ca="1">VLOOKUP($D63,OFFSET([2]stages!$A$1,0,0,COUNTA([2]stages!$A:$A),MATCH(F$1,[2]stages!$2:$2,0)-MATCH($D$1,[2]stages!$2:$2,0)+1),MATCH(F$1,[2]stages!$2:$2,0)-MATCH($D$1,[2]stages!$2:$2,0)+1,FALSE)</f>
        <v xml:space="preserve">【上級】火のイモムシ </v>
      </c>
      <c r="G63" s="25">
        <v>1</v>
      </c>
      <c r="H63" s="16" t="str">
        <f t="shared" si="4"/>
        <v>11002_3-1</v>
      </c>
      <c r="I63" s="5">
        <f ca="1">VLOOKUP($H63,OFFSET(floors!$A$1,0,0,COUNTA(floors!$A:$A),MATCH(I$1,floors!$1:$1,0)-MATCH($H$1,floors!$1:$1,0)+1),MATCH(I$1,floors!$1:$1,0)-MATCH($H$1,floors!$1:$1,0)+1,FALSE)</f>
        <v>30</v>
      </c>
      <c r="J63" s="5">
        <f ca="1">VLOOKUP($H63,OFFSET(floors!$A$1,0,0,COUNTA(floors!$A:$A),MATCH(J$1,floors!$1:$1,0)-MATCH($H$1,floors!$1:$1,0)+1),MATCH(J$1,floors!$1:$1,0)-MATCH($H$1,floors!$1:$1,0)+1,FALSE)</f>
        <v>45</v>
      </c>
      <c r="K63" s="24" t="s">
        <v>197</v>
      </c>
      <c r="L63" s="24">
        <v>103</v>
      </c>
      <c r="M63" s="20" t="str">
        <f ca="1">VLOOKUP($L63,OFFSET([3]enemies!$A$1,0,0,COUNTA([3]enemies!$A:$A),MATCH(M$1,[3]enemies!$1:$1,0)-MATCH($L$1,[3]enemies!$1:$1,0)+1),MATCH(M$1,[3]enemies!$1:$1,0)-MATCH($L$1,[3]enemies!$1:$1,0)+1,FALSE)</f>
        <v>レッドキャタップ</v>
      </c>
      <c r="N63" s="20" t="str">
        <f ca="1">VLOOKUP($L63,OFFSET([3]enemies!$A$1,0,0,COUNTA([3]enemies!$A:$A),MATCH(N$1,[3]enemies!$1:$1,0)-MATCH($L$1,[3]enemies!$1:$1,0)+1),MATCH(N$1,[3]enemies!$1:$1,0)-MATCH($L$1,[3]enemies!$1:$1,0)+1,FALSE)</f>
        <v>red</v>
      </c>
      <c r="O63" s="22" t="str">
        <f ca="1">VLOOKUP($L63,OFFSET([4]characters!$A$1,0,0,COUNTA([4]characters!$A:$A),MATCH(O$1,[4]characters!$1:$1,0)-MATCH($L$1,[4]characters!$1:$1,0)+1),MATCH(O$1,[4]characters!$1:$1,0)-MATCH($L$1,[4]characters!$1:$1,0)+1,FALSE)</f>
        <v>Material</v>
      </c>
      <c r="P63" s="20" t="str">
        <f ca="1">VLOOKUP($L63,OFFSET([3]enemies!$A$1,0,0,COUNTA([3]enemies!$A:$A),MATCH(P$1,[3]enemies!$1:$1,0)-MATCH($L$1,[3]enemies!$1:$1,0)+1),MATCH(P$1,[3]enemies!$1:$1,0)-MATCH($L$1,[3]enemies!$1:$1,0)+1,FALSE)</f>
        <v>unknown</v>
      </c>
      <c r="Q63" s="20">
        <f ca="1">VLOOKUP($L63,OFFSET([3]enemies!$A$1,0,0,COUNTA([3]enemies!$A:$A),MATCH(Q$1,[3]enemies!$1:$1,0)-MATCH($L$1,[3]enemies!$1:$1,0)+1),MATCH(Q$1,[3]enemies!$1:$1,0)-MATCH($L$1,[3]enemies!$1:$1,0)+1,FALSE)</f>
        <v>15</v>
      </c>
      <c r="R63" s="6">
        <v>30</v>
      </c>
      <c r="S63" s="39">
        <v>2</v>
      </c>
      <c r="T63" s="39">
        <v>1</v>
      </c>
      <c r="U63" s="6">
        <v>0</v>
      </c>
      <c r="V63" s="5" t="str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3" s="5">
        <f ca="1">VLOOKUP($L63,OFFSET([3]enemies!$A$1,0,0,COUNTA([3]enemies!$A:$A),MATCH(W$1,[3]enemies!$1:$1,0)-MATCH($L$1,[3]enemies!$1:$1,0)+1),MATCH(W$1,[3]enemies!$1:$1,0)-MATCH($L$1,[3]enemies!$1:$1,0)+1,FALSE)</f>
        <v>0</v>
      </c>
      <c r="X63" s="7">
        <v>1</v>
      </c>
      <c r="Y63" s="7">
        <v>100</v>
      </c>
      <c r="Z63" s="7">
        <v>1</v>
      </c>
      <c r="AA63" s="20">
        <f ca="1">VLOOKUP($L63,OFFSET([3]enemies!$A$1,0,0,COUNTA([3]enemies!$A:$A),MATCH(AA$1,[3]enemies!$1:$1,0)-MATCH($L$1,[3]enemies!$1:$1,0)+1),MATCH(AA$1,[3]enemies!$1:$1,0)-MATCH($L$1,[3]enemies!$1:$1,0)+1,FALSE)</f>
        <v>3</v>
      </c>
      <c r="AB63" s="24">
        <v>103</v>
      </c>
      <c r="AC63" s="5" t="str">
        <f ca="1">IFERROR(VLOOKUP($AB63,OFFSET([4]characters!$A$1,0,0,COUNTA([4]characters!$A:$A),MATCH(AC$1,[4]characters!$1:$1,0)-MATCH("character_id",[4]characters!$1:$1,0)+1),MATCH(AC$1,[4]characters!$1:$1,0)-MATCH("character_id",[4]characters!$1:$1,0)+1,FALSE),"")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63" s="5">
        <f ca="1">IFERROR(VLOOKUP($AB63,OFFSET([4]characters!$A$1,0,0,COUNTA([4]characters!$A:$A),MATCH(AD$1,[4]characters!$1:$1,0)-MATCH("character_id",[4]characters!$1:$1,0)+1),MATCH(AD$1,[4]characters!$1:$1,0)-MATCH("character_id",[4]characters!$1:$1,0)+1,FALSE),"")</f>
        <v>4</v>
      </c>
      <c r="AE63" s="5" t="str">
        <f ca="1">IFERROR(VLOOKUP($AB63,OFFSET([4]characters!$A$1,0,0,COUNTA([4]characters!$A:$A),MATCH(AE$1,[4]characters!$1:$1,0)-MATCH("character_id",[4]characters!$1:$1,0)+1),MATCH(AE$1,[4]characters!$1:$1,0)-MATCH("character_id",[4]characters!$1:$1,0)+1,FALSE),"")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3" s="8">
        <v>1</v>
      </c>
      <c r="AG63" s="27">
        <f t="shared" ca="1" si="47"/>
        <v>4</v>
      </c>
      <c r="AH63" s="9">
        <v>10</v>
      </c>
      <c r="AI63" s="8">
        <v>0</v>
      </c>
      <c r="AJ63" s="8">
        <v>0</v>
      </c>
      <c r="AK63" s="8">
        <v>0</v>
      </c>
      <c r="AL63" s="8">
        <v>0</v>
      </c>
      <c r="AM63" s="8">
        <v>1</v>
      </c>
      <c r="AN63" s="8">
        <v>1</v>
      </c>
    </row>
    <row r="64" spans="1:40" ht="21" customHeight="1" x14ac:dyDescent="0.15">
      <c r="A64" s="17" t="str">
        <f t="shared" ca="1" si="48"/>
        <v>11002_3-1/33&lt;lv35&gt;s2</v>
      </c>
      <c r="B64" s="8">
        <v>11002</v>
      </c>
      <c r="C64" s="25">
        <v>3</v>
      </c>
      <c r="D64" s="2" t="str">
        <f t="shared" si="46"/>
        <v>11002_3</v>
      </c>
      <c r="E64" s="5" t="str">
        <f ca="1">VLOOKUP($B64,OFFSET([2]quests!$A$1,0,0,COUNTA([2]quests!$A:$A),MATCH(E$1,[2]quests!$1:$1,0)-MATCH($B$1,[2]quests!$1:$1,0)+1),MATCH(E$1,[2]quests!$1:$1,0)-MATCH($B$1,[2]quests!$1:$1,0)+1,FALSE)</f>
        <v>【火曜限定】 赤の素材</v>
      </c>
      <c r="F64" s="5" t="str">
        <f ca="1">VLOOKUP($D64,OFFSET([2]stages!$A$1,0,0,COUNTA([2]stages!$A:$A),MATCH(F$1,[2]stages!$2:$2,0)-MATCH($D$1,[2]stages!$2:$2,0)+1),MATCH(F$1,[2]stages!$2:$2,0)-MATCH($D$1,[2]stages!$2:$2,0)+1,FALSE)</f>
        <v xml:space="preserve">【上級】火のイモムシ </v>
      </c>
      <c r="G64" s="25">
        <v>1</v>
      </c>
      <c r="H64" s="16" t="str">
        <f t="shared" si="4"/>
        <v>11002_3-1</v>
      </c>
      <c r="I64" s="5">
        <f ca="1">VLOOKUP($H64,OFFSET(floors!$A$1,0,0,COUNTA(floors!$A:$A),MATCH(I$1,floors!$1:$1,0)-MATCH($H$1,floors!$1:$1,0)+1),MATCH(I$1,floors!$1:$1,0)-MATCH($H$1,floors!$1:$1,0)+1,FALSE)</f>
        <v>30</v>
      </c>
      <c r="J64" s="5">
        <f ca="1">VLOOKUP($H64,OFFSET(floors!$A$1,0,0,COUNTA(floors!$A:$A),MATCH(J$1,floors!$1:$1,0)-MATCH($H$1,floors!$1:$1,0)+1),MATCH(J$1,floors!$1:$1,0)-MATCH($H$1,floors!$1:$1,0)+1,FALSE)</f>
        <v>45</v>
      </c>
      <c r="K64" s="24" t="s">
        <v>197</v>
      </c>
      <c r="L64" s="24">
        <v>33</v>
      </c>
      <c r="M64" s="20" t="str">
        <f ca="1">VLOOKUP($L64,OFFSET([3]enemies!$A$1,0,0,COUNTA([3]enemies!$A:$A),MATCH(M$1,[3]enemies!$1:$1,0)-MATCH($L$1,[3]enemies!$1:$1,0)+1),MATCH(M$1,[3]enemies!$1:$1,0)-MATCH($L$1,[3]enemies!$1:$1,0)+1,FALSE)</f>
        <v>ゴクウ</v>
      </c>
      <c r="N64" s="20" t="str">
        <f ca="1">VLOOKUP($L64,OFFSET([3]enemies!$A$1,0,0,COUNTA([3]enemies!$A:$A),MATCH(N$1,[3]enemies!$1:$1,0)-MATCH($L$1,[3]enemies!$1:$1,0)+1),MATCH(N$1,[3]enemies!$1:$1,0)-MATCH($L$1,[3]enemies!$1:$1,0)+1,FALSE)</f>
        <v>red</v>
      </c>
      <c r="O64" s="22" t="str">
        <f ca="1">VLOOKUP($L64,OFFSET([4]characters!$A$1,0,0,COUNTA([4]characters!$A:$A),MATCH(O$1,[4]characters!$1:$1,0)-MATCH($L$1,[4]characters!$1:$1,0)+1),MATCH(O$1,[4]characters!$1:$1,0)-MATCH($L$1,[4]characters!$1:$1,0)+1,FALSE)</f>
        <v>Drop1S</v>
      </c>
      <c r="P64" s="20" t="str">
        <f ca="1">VLOOKUP($L64,OFFSET([3]enemies!$A$1,0,0,COUNTA([3]enemies!$A:$A),MATCH(P$1,[3]enemies!$1:$1,0)-MATCH($L$1,[3]enemies!$1:$1,0)+1),MATCH(P$1,[3]enemies!$1:$1,0)-MATCH($L$1,[3]enemies!$1:$1,0)+1,FALSE)</f>
        <v>animal</v>
      </c>
      <c r="Q64" s="20">
        <f ca="1">VLOOKUP($L64,OFFSET([3]enemies!$A$1,0,0,COUNTA([3]enemies!$A:$A),MATCH(Q$1,[3]enemies!$1:$1,0)-MATCH($L$1,[3]enemies!$1:$1,0)+1),MATCH(Q$1,[3]enemies!$1:$1,0)-MATCH($L$1,[3]enemies!$1:$1,0)+1,FALSE)</f>
        <v>15</v>
      </c>
      <c r="R64" s="6">
        <v>35</v>
      </c>
      <c r="S64" s="39">
        <v>1</v>
      </c>
      <c r="T64" s="39">
        <v>1</v>
      </c>
      <c r="U64" s="6">
        <v>0</v>
      </c>
      <c r="V64" s="5" t="str">
        <f ca="1">VLOOKUP($W64,OFFSET([5]enemy_skill_sets!$B$1,0,0,COUNTA([5]enemy_skill_sets!$B:$B),MATCH(M$1,[5]enemy_skill_sets!$1:$1,0)-MATCH($W$1,[5]enemy_skill_sets!$1:$1,0)+2),MATCH(M$1,[5]enemy_skill_sets!$1:$1,0)-MATCH($W$1,[5]enemy_skill_sets!$1:$1,0)+2,FALSE)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64" s="5">
        <f ca="1">VLOOKUP($L64,OFFSET([3]enemies!$A$1,0,0,COUNTA([3]enemies!$A:$A),MATCH(W$1,[3]enemies!$1:$1,0)-MATCH($L$1,[3]enemies!$1:$1,0)+1),MATCH(W$1,[3]enemies!$1:$1,0)-MATCH($L$1,[3]enemies!$1:$1,0)+1,FALSE)</f>
        <v>33</v>
      </c>
      <c r="X64" s="7">
        <v>0</v>
      </c>
      <c r="Y64" s="7">
        <v>100</v>
      </c>
      <c r="Z64" s="7">
        <v>0</v>
      </c>
      <c r="AA64" s="20">
        <f ca="1">VLOOKUP($L64,OFFSET([3]enemies!$A$1,0,0,COUNTA([3]enemies!$A:$A),MATCH(AA$1,[3]enemies!$1:$1,0)-MATCH($L$1,[3]enemies!$1:$1,0)+1),MATCH(AA$1,[3]enemies!$1:$1,0)-MATCH($L$1,[3]enemies!$1:$1,0)+1,FALSE)</f>
        <v>2</v>
      </c>
      <c r="AB64" s="24">
        <v>33</v>
      </c>
      <c r="AC64" s="5" t="str">
        <f ca="1">IFERROR(VLOOKUP($AB64,OFFSET([4]characters!$A$1,0,0,COUNTA([4]characters!$A:$A),MATCH(AC$1,[4]characters!$1:$1,0)-MATCH("character_id",[4]characters!$1:$1,0)+1),MATCH(AC$1,[4]characters!$1:$1,0)-MATCH("character_id",[4]characters!$1:$1,0)+1,FALSE),"")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64" s="5">
        <f ca="1">IFERROR(VLOOKUP($AB64,OFFSET([4]characters!$A$1,0,0,COUNTA([4]characters!$A:$A),MATCH(AD$1,[4]characters!$1:$1,0)-MATCH("character_id",[4]characters!$1:$1,0)+1),MATCH(AD$1,[4]characters!$1:$1,0)-MATCH("character_id",[4]characters!$1:$1,0)+1,FALSE),"")</f>
        <v>2</v>
      </c>
      <c r="AE64" s="5" t="str">
        <f ca="1">IFERROR(VLOOKUP($AB64,OFFSET([4]characters!$A$1,0,0,COUNTA([4]characters!$A:$A),MATCH(AE$1,[4]characters!$1:$1,0)-MATCH("character_id",[4]characters!$1:$1,0)+1),MATCH(AE$1,[4]characters!$1:$1,0)-MATCH("character_id",[4]characters!$1:$1,0)+1,FALSE),"")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64" s="8">
        <v>1</v>
      </c>
      <c r="AG64" s="27">
        <f t="shared" ca="1" si="47"/>
        <v>2</v>
      </c>
      <c r="AH64" s="9">
        <v>0</v>
      </c>
      <c r="AI64" s="8">
        <v>0</v>
      </c>
      <c r="AJ64" s="8">
        <v>0</v>
      </c>
      <c r="AK64" s="8">
        <v>0</v>
      </c>
      <c r="AL64" s="8">
        <v>0</v>
      </c>
      <c r="AM64" s="8">
        <v>1</v>
      </c>
      <c r="AN64" s="8">
        <v>1</v>
      </c>
    </row>
    <row r="65" spans="1:40" ht="21" customHeight="1" x14ac:dyDescent="0.15">
      <c r="A65" s="17" t="str">
        <f t="shared" ca="1" si="48"/>
        <v>11002_3-1/21&lt;lv35&gt;s2</v>
      </c>
      <c r="B65" s="8">
        <v>11002</v>
      </c>
      <c r="C65" s="25">
        <v>3</v>
      </c>
      <c r="D65" s="2" t="str">
        <f t="shared" si="46"/>
        <v>11002_3</v>
      </c>
      <c r="E65" s="5" t="str">
        <f ca="1">VLOOKUP($B65,OFFSET([2]quests!$A$1,0,0,COUNTA([2]quests!$A:$A),MATCH(E$1,[2]quests!$1:$1,0)-MATCH($B$1,[2]quests!$1:$1,0)+1),MATCH(E$1,[2]quests!$1:$1,0)-MATCH($B$1,[2]quests!$1:$1,0)+1,FALSE)</f>
        <v>【火曜限定】 赤の素材</v>
      </c>
      <c r="F65" s="5" t="str">
        <f ca="1">VLOOKUP($D65,OFFSET([2]stages!$A$1,0,0,COUNTA([2]stages!$A:$A),MATCH(F$1,[2]stages!$2:$2,0)-MATCH($D$1,[2]stages!$2:$2,0)+1),MATCH(F$1,[2]stages!$2:$2,0)-MATCH($D$1,[2]stages!$2:$2,0)+1,FALSE)</f>
        <v xml:space="preserve">【上級】火のイモムシ </v>
      </c>
      <c r="G65" s="25">
        <v>1</v>
      </c>
      <c r="H65" s="16" t="str">
        <f t="shared" si="4"/>
        <v>11002_3-1</v>
      </c>
      <c r="I65" s="5">
        <f ca="1">VLOOKUP($H65,OFFSET(floors!$A$1,0,0,COUNTA(floors!$A:$A),MATCH(I$1,floors!$1:$1,0)-MATCH($H$1,floors!$1:$1,0)+1),MATCH(I$1,floors!$1:$1,0)-MATCH($H$1,floors!$1:$1,0)+1,FALSE)</f>
        <v>30</v>
      </c>
      <c r="J65" s="5">
        <f ca="1">VLOOKUP($H65,OFFSET(floors!$A$1,0,0,COUNTA(floors!$A:$A),MATCH(J$1,floors!$1:$1,0)-MATCH($H$1,floors!$1:$1,0)+1),MATCH(J$1,floors!$1:$1,0)-MATCH($H$1,floors!$1:$1,0)+1,FALSE)</f>
        <v>45</v>
      </c>
      <c r="K65" s="24" t="s">
        <v>197</v>
      </c>
      <c r="L65" s="24">
        <v>21</v>
      </c>
      <c r="M65" s="20" t="str">
        <f ca="1">VLOOKUP($L65,OFFSET([3]enemies!$A$1,0,0,COUNTA([3]enemies!$A:$A),MATCH(M$1,[3]enemies!$1:$1,0)-MATCH($L$1,[3]enemies!$1:$1,0)+1),MATCH(M$1,[3]enemies!$1:$1,0)-MATCH($L$1,[3]enemies!$1:$1,0)+1,FALSE)</f>
        <v>ヴェロキー</v>
      </c>
      <c r="N65" s="20" t="str">
        <f ca="1">VLOOKUP($L65,OFFSET([3]enemies!$A$1,0,0,COUNTA([3]enemies!$A:$A),MATCH(N$1,[3]enemies!$1:$1,0)-MATCH($L$1,[3]enemies!$1:$1,0)+1),MATCH(N$1,[3]enemies!$1:$1,0)-MATCH($L$1,[3]enemies!$1:$1,0)+1,FALSE)</f>
        <v>red</v>
      </c>
      <c r="O65" s="22" t="str">
        <f ca="1">VLOOKUP($L65,OFFSET([4]characters!$A$1,0,0,COUNTA([4]characters!$A:$A),MATCH(O$1,[4]characters!$1:$1,0)-MATCH($L$1,[4]characters!$1:$1,0)+1),MATCH(O$1,[4]characters!$1:$1,0)-MATCH($L$1,[4]characters!$1:$1,0)+1,FALSE)</f>
        <v>Drop1N</v>
      </c>
      <c r="P65" s="20" t="str">
        <f ca="1">VLOOKUP($L65,OFFSET([3]enemies!$A$1,0,0,COUNTA([3]enemies!$A:$A),MATCH(P$1,[3]enemies!$1:$1,0)-MATCH($L$1,[3]enemies!$1:$1,0)+1),MATCH(P$1,[3]enemies!$1:$1,0)-MATCH($L$1,[3]enemies!$1:$1,0)+1,FALSE)</f>
        <v>dragon</v>
      </c>
      <c r="Q65" s="20">
        <f ca="1">VLOOKUP($L65,OFFSET([3]enemies!$A$1,0,0,COUNTA([3]enemies!$A:$A),MATCH(Q$1,[3]enemies!$1:$1,0)-MATCH($L$1,[3]enemies!$1:$1,0)+1),MATCH(Q$1,[3]enemies!$1:$1,0)-MATCH($L$1,[3]enemies!$1:$1,0)+1,FALSE)</f>
        <v>15</v>
      </c>
      <c r="R65" s="6">
        <v>35</v>
      </c>
      <c r="S65" s="39">
        <v>1</v>
      </c>
      <c r="T65" s="39">
        <v>1</v>
      </c>
      <c r="U65" s="6">
        <v>0</v>
      </c>
      <c r="V65" s="5" t="str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5" s="5">
        <f ca="1">VLOOKUP($L65,OFFSET([3]enemies!$A$1,0,0,COUNTA([3]enemies!$A:$A),MATCH(W$1,[3]enemies!$1:$1,0)-MATCH($L$1,[3]enemies!$1:$1,0)+1),MATCH(W$1,[3]enemies!$1:$1,0)-MATCH($L$1,[3]enemies!$1:$1,0)+1,FALSE)</f>
        <v>0</v>
      </c>
      <c r="X65" s="7">
        <v>0</v>
      </c>
      <c r="Y65" s="7">
        <v>100</v>
      </c>
      <c r="Z65" s="7">
        <v>0</v>
      </c>
      <c r="AA65" s="20">
        <f ca="1">VLOOKUP($L65,OFFSET([3]enemies!$A$1,0,0,COUNTA([3]enemies!$A:$A),MATCH(AA$1,[3]enemies!$1:$1,0)-MATCH($L$1,[3]enemies!$1:$1,0)+1),MATCH(AA$1,[3]enemies!$1:$1,0)-MATCH($L$1,[3]enemies!$1:$1,0)+1,FALSE)</f>
        <v>2</v>
      </c>
      <c r="AB65" s="24">
        <v>21</v>
      </c>
      <c r="AC65" s="5" t="str">
        <f ca="1">IFERROR(VLOOKUP($AB65,OFFSET([4]characters!$A$1,0,0,COUNTA([4]characters!$A:$A),MATCH(AC$1,[4]characters!$1:$1,0)-MATCH("character_id",[4]characters!$1:$1,0)+1),MATCH(AC$1,[4]characters!$1:$1,0)-MATCH("character_id",[4]characters!$1:$1,0)+1,FALSE),"")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65" s="5">
        <f ca="1">IFERROR(VLOOKUP($AB65,OFFSET([4]characters!$A$1,0,0,COUNTA([4]characters!$A:$A),MATCH(AD$1,[4]characters!$1:$1,0)-MATCH("character_id",[4]characters!$1:$1,0)+1),MATCH(AD$1,[4]characters!$1:$1,0)-MATCH("character_id",[4]characters!$1:$1,0)+1,FALSE),"")</f>
        <v>1</v>
      </c>
      <c r="AE65" s="5" t="str">
        <f ca="1">IFERROR(VLOOKUP($AB65,OFFSET([4]characters!$A$1,0,0,COUNTA([4]characters!$A:$A),MATCH(AE$1,[4]characters!$1:$1,0)-MATCH("character_id",[4]characters!$1:$1,0)+1),MATCH(AE$1,[4]characters!$1:$1,0)-MATCH("character_id",[4]characters!$1:$1,0)+1,FALSE),"")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5" s="8">
        <v>1</v>
      </c>
      <c r="AG65" s="27">
        <f t="shared" ca="1" si="47"/>
        <v>1</v>
      </c>
      <c r="AH65" s="9">
        <v>0</v>
      </c>
      <c r="AI65" s="8">
        <v>0</v>
      </c>
      <c r="AJ65" s="8">
        <v>0</v>
      </c>
      <c r="AK65" s="8">
        <v>0</v>
      </c>
      <c r="AL65" s="8">
        <v>0</v>
      </c>
      <c r="AM65" s="8">
        <v>1</v>
      </c>
      <c r="AN65" s="8">
        <v>1</v>
      </c>
    </row>
    <row r="66" spans="1:40" ht="21" customHeight="1" x14ac:dyDescent="0.15">
      <c r="A66" s="17" t="str">
        <f t="shared" ca="1" si="48"/>
        <v>11002_3-1/332&lt;lv1&gt;s1</v>
      </c>
      <c r="B66" s="8">
        <v>11002</v>
      </c>
      <c r="C66" s="25">
        <v>3</v>
      </c>
      <c r="D66" s="2" t="str">
        <f t="shared" si="46"/>
        <v>11002_3</v>
      </c>
      <c r="E66" s="5" t="str">
        <f ca="1">VLOOKUP($B66,OFFSET([2]quests!$A$1,0,0,COUNTA([2]quests!$A:$A),MATCH(E$1,[2]quests!$1:$1,0)-MATCH($B$1,[2]quests!$1:$1,0)+1),MATCH(E$1,[2]quests!$1:$1,0)-MATCH($B$1,[2]quests!$1:$1,0)+1,FALSE)</f>
        <v>【火曜限定】 赤の素材</v>
      </c>
      <c r="F66" s="5" t="str">
        <f ca="1">VLOOKUP($D66,OFFSET([2]stages!$A$1,0,0,COUNTA([2]stages!$A:$A),MATCH(F$1,[2]stages!$2:$2,0)-MATCH($D$1,[2]stages!$2:$2,0)+1),MATCH(F$1,[2]stages!$2:$2,0)-MATCH($D$1,[2]stages!$2:$2,0)+1,FALSE)</f>
        <v xml:space="preserve">【上級】火のイモムシ </v>
      </c>
      <c r="G66" s="25">
        <v>1</v>
      </c>
      <c r="H66" s="16" t="str">
        <f t="shared" si="4"/>
        <v>11002_3-1</v>
      </c>
      <c r="I66" s="5">
        <f ca="1">VLOOKUP($H66,OFFSET(floors!$A$1,0,0,COUNTA(floors!$A:$A),MATCH(I$1,floors!$1:$1,0)-MATCH($H$1,floors!$1:$1,0)+1),MATCH(I$1,floors!$1:$1,0)-MATCH($H$1,floors!$1:$1,0)+1,FALSE)</f>
        <v>30</v>
      </c>
      <c r="J66" s="5">
        <f ca="1">VLOOKUP($H66,OFFSET(floors!$A$1,0,0,COUNTA(floors!$A:$A),MATCH(J$1,floors!$1:$1,0)-MATCH($H$1,floors!$1:$1,0)+1),MATCH(J$1,floors!$1:$1,0)-MATCH($H$1,floors!$1:$1,0)+1,FALSE)</f>
        <v>45</v>
      </c>
      <c r="K66" s="24" t="s">
        <v>197</v>
      </c>
      <c r="L66" s="24">
        <v>332</v>
      </c>
      <c r="M66" s="20" t="str">
        <f ca="1">VLOOKUP($L66,OFFSET([3]enemies!$A$1,0,0,COUNTA([3]enemies!$A:$A),MATCH(M$1,[3]enemies!$1:$1,0)-MATCH($L$1,[3]enemies!$1:$1,0)+1),MATCH(M$1,[3]enemies!$1:$1,0)-MATCH($L$1,[3]enemies!$1:$1,0)+1,FALSE)</f>
        <v>炎のメタルピヨピヨ</v>
      </c>
      <c r="N66" s="20" t="str">
        <f ca="1">VLOOKUP($L66,OFFSET([3]enemies!$A$1,0,0,COUNTA([3]enemies!$A:$A),MATCH(N$1,[3]enemies!$1:$1,0)-MATCH($L$1,[3]enemies!$1:$1,0)+1),MATCH(N$1,[3]enemies!$1:$1,0)-MATCH($L$1,[3]enemies!$1:$1,0)+1,FALSE)</f>
        <v>red</v>
      </c>
      <c r="O66" s="22" t="str">
        <f ca="1">VLOOKUP($L66,OFFSET([4]characters!$A$1,0,0,COUNTA([4]characters!$A:$A),MATCH(O$1,[4]characters!$1:$1,0)-MATCH($L$1,[4]characters!$1:$1,0)+1),MATCH(O$1,[4]characters!$1:$1,0)-MATCH($L$1,[4]characters!$1:$1,0)+1,FALSE)</f>
        <v>Material</v>
      </c>
      <c r="P66" s="20" t="str">
        <f ca="1">VLOOKUP($L66,OFFSET([3]enemies!$A$1,0,0,COUNTA([3]enemies!$A:$A),MATCH(P$1,[3]enemies!$1:$1,0)-MATCH($L$1,[3]enemies!$1:$1,0)+1),MATCH(P$1,[3]enemies!$1:$1,0)-MATCH($L$1,[3]enemies!$1:$1,0)+1,FALSE)</f>
        <v>unknown</v>
      </c>
      <c r="Q66" s="20">
        <f ca="1">VLOOKUP($L66,OFFSET([3]enemies!$A$1,0,0,COUNTA([3]enemies!$A:$A),MATCH(Q$1,[3]enemies!$1:$1,0)-MATCH($L$1,[3]enemies!$1:$1,0)+1),MATCH(Q$1,[3]enemies!$1:$1,0)-MATCH($L$1,[3]enemies!$1:$1,0)+1,FALSE)</f>
        <v>15</v>
      </c>
      <c r="R66" s="6">
        <v>1</v>
      </c>
      <c r="S66" s="39">
        <v>1</v>
      </c>
      <c r="T66" s="39">
        <v>1</v>
      </c>
      <c r="U66" s="6">
        <v>0</v>
      </c>
      <c r="V66" s="5" t="str">
        <f ca="1">VLOOKUP($W66,OFFSET([5]enemy_skill_sets!$B$1,0,0,COUNTA([5]enemy_skill_sets!$B:$B),MATCH(M$1,[5]enemy_skill_sets!$1:$1,0)-MATCH($W$1,[5]enemy_skill_sets!$1:$1,0)+2),MATCH(M$1,[5]enemy_skill_sets!$1:$1,0)-MATCH($W$1,[5]enemy_skill_sets!$1:$1,0)+2,FALSE)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6" s="5">
        <f ca="1">VLOOKUP($L66,OFFSET([3]enemies!$A$1,0,0,COUNTA([3]enemies!$A:$A),MATCH(W$1,[3]enemies!$1:$1,0)-MATCH($L$1,[3]enemies!$1:$1,0)+1),MATCH(W$1,[3]enemies!$1:$1,0)-MATCH($L$1,[3]enemies!$1:$1,0)+1,FALSE)</f>
        <v>0</v>
      </c>
      <c r="X66" s="7">
        <v>0</v>
      </c>
      <c r="Y66" s="7">
        <v>30</v>
      </c>
      <c r="Z66" s="7">
        <v>0</v>
      </c>
      <c r="AA66" s="20">
        <f ca="1">VLOOKUP($L66,OFFSET([3]enemies!$A$1,0,0,COUNTA([3]enemies!$A:$A),MATCH(AA$1,[3]enemies!$1:$1,0)-MATCH($L$1,[3]enemies!$1:$1,0)+1),MATCH(AA$1,[3]enemies!$1:$1,0)-MATCH($L$1,[3]enemies!$1:$1,0)+1,FALSE)</f>
        <v>1</v>
      </c>
      <c r="AB66" s="24">
        <v>332</v>
      </c>
      <c r="AC66" s="5" t="str">
        <f ca="1">IFERROR(VLOOKUP($AB66,OFFSET([4]characters!$A$1,0,0,COUNTA([4]characters!$A:$A),MATCH(AC$1,[4]characters!$1:$1,0)-MATCH("character_id",[4]characters!$1:$1,0)+1),MATCH(AC$1,[4]characters!$1:$1,0)-MATCH("character_id",[4]characters!$1:$1,0)+1,FALSE),"")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66" s="5">
        <f ca="1">IFERROR(VLOOKUP($AB66,OFFSET([4]characters!$A$1,0,0,COUNTA([4]characters!$A:$A),MATCH(AD$1,[4]characters!$1:$1,0)-MATCH("character_id",[4]characters!$1:$1,0)+1),MATCH(AD$1,[4]characters!$1:$1,0)-MATCH("character_id",[4]characters!$1:$1,0)+1,FALSE),"")</f>
        <v>3</v>
      </c>
      <c r="AE66" s="5" t="str">
        <f ca="1">IFERROR(VLOOKUP($AB66,OFFSET([4]characters!$A$1,0,0,COUNTA([4]characters!$A:$A),MATCH(AE$1,[4]characters!$1:$1,0)-MATCH("character_id",[4]characters!$1:$1,0)+1),MATCH(AE$1,[4]characters!$1:$1,0)-MATCH("character_id",[4]characters!$1:$1,0)+1,FALSE),"")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6" s="8">
        <v>1</v>
      </c>
      <c r="AG66" s="27">
        <f t="shared" ca="1" si="47"/>
        <v>3</v>
      </c>
      <c r="AH66" s="9">
        <v>10</v>
      </c>
      <c r="AI66" s="8">
        <v>0</v>
      </c>
      <c r="AJ66" s="8">
        <v>0</v>
      </c>
      <c r="AK66" s="8">
        <v>0</v>
      </c>
      <c r="AL66" s="8">
        <v>0</v>
      </c>
      <c r="AM66" s="8">
        <v>1</v>
      </c>
      <c r="AN66" s="8">
        <v>1</v>
      </c>
    </row>
    <row r="67" spans="1:40" ht="21" customHeight="1" x14ac:dyDescent="0.15">
      <c r="A67" s="17" t="str">
        <f t="shared" ca="1" si="48"/>
        <v>11002_3-1/333&lt;lv1&gt;s2</v>
      </c>
      <c r="B67" s="8">
        <v>11002</v>
      </c>
      <c r="C67" s="25">
        <v>3</v>
      </c>
      <c r="D67" s="2" t="str">
        <f t="shared" si="46"/>
        <v>11002_3</v>
      </c>
      <c r="E67" s="5" t="str">
        <f ca="1">VLOOKUP($B67,OFFSET([2]quests!$A$1,0,0,COUNTA([2]quests!$A:$A),MATCH(E$1,[2]quests!$1:$1,0)-MATCH($B$1,[2]quests!$1:$1,0)+1),MATCH(E$1,[2]quests!$1:$1,0)-MATCH($B$1,[2]quests!$1:$1,0)+1,FALSE)</f>
        <v>【火曜限定】 赤の素材</v>
      </c>
      <c r="F67" s="5" t="str">
        <f ca="1">VLOOKUP($D67,OFFSET([2]stages!$A$1,0,0,COUNTA([2]stages!$A:$A),MATCH(F$1,[2]stages!$2:$2,0)-MATCH($D$1,[2]stages!$2:$2,0)+1),MATCH(F$1,[2]stages!$2:$2,0)-MATCH($D$1,[2]stages!$2:$2,0)+1,FALSE)</f>
        <v xml:space="preserve">【上級】火のイモムシ </v>
      </c>
      <c r="G67" s="25">
        <v>1</v>
      </c>
      <c r="H67" s="16" t="str">
        <f t="shared" ref="H67:H130" si="49">B67&amp;"_"&amp;C67&amp;"-"&amp;G67</f>
        <v>11002_3-1</v>
      </c>
      <c r="I67" s="5">
        <f ca="1">VLOOKUP($H67,OFFSET(floors!$A$1,0,0,COUNTA(floors!$A:$A),MATCH(I$1,floors!$1:$1,0)-MATCH($H$1,floors!$1:$1,0)+1),MATCH(I$1,floors!$1:$1,0)-MATCH($H$1,floors!$1:$1,0)+1,FALSE)</f>
        <v>30</v>
      </c>
      <c r="J67" s="5">
        <f ca="1">VLOOKUP($H67,OFFSET(floors!$A$1,0,0,COUNTA(floors!$A:$A),MATCH(J$1,floors!$1:$1,0)-MATCH($H$1,floors!$1:$1,0)+1),MATCH(J$1,floors!$1:$1,0)-MATCH($H$1,floors!$1:$1,0)+1,FALSE)</f>
        <v>45</v>
      </c>
      <c r="K67" s="24" t="s">
        <v>197</v>
      </c>
      <c r="L67" s="24">
        <v>333</v>
      </c>
      <c r="M67" s="20" t="str">
        <f ca="1">VLOOKUP($L67,OFFSET([3]enemies!$A$1,0,0,COUNTA([3]enemies!$A:$A),MATCH(M$1,[3]enemies!$1:$1,0)-MATCH($L$1,[3]enemies!$1:$1,0)+1),MATCH(M$1,[3]enemies!$1:$1,0)-MATCH($L$1,[3]enemies!$1:$1,0)+1,FALSE)</f>
        <v>炎のメタルチック</v>
      </c>
      <c r="N67" s="20" t="str">
        <f ca="1">VLOOKUP($L67,OFFSET([3]enemies!$A$1,0,0,COUNTA([3]enemies!$A:$A),MATCH(N$1,[3]enemies!$1:$1,0)-MATCH($L$1,[3]enemies!$1:$1,0)+1),MATCH(N$1,[3]enemies!$1:$1,0)-MATCH($L$1,[3]enemies!$1:$1,0)+1,FALSE)</f>
        <v>red</v>
      </c>
      <c r="O67" s="22" t="str">
        <f ca="1">VLOOKUP($L67,OFFSET([4]characters!$A$1,0,0,COUNTA([4]characters!$A:$A),MATCH(O$1,[4]characters!$1:$1,0)-MATCH($L$1,[4]characters!$1:$1,0)+1),MATCH(O$1,[4]characters!$1:$1,0)-MATCH($L$1,[4]characters!$1:$1,0)+1,FALSE)</f>
        <v>Material</v>
      </c>
      <c r="P67" s="20" t="str">
        <f ca="1">VLOOKUP($L67,OFFSET([3]enemies!$A$1,0,0,COUNTA([3]enemies!$A:$A),MATCH(P$1,[3]enemies!$1:$1,0)-MATCH($L$1,[3]enemies!$1:$1,0)+1),MATCH(P$1,[3]enemies!$1:$1,0)-MATCH($L$1,[3]enemies!$1:$1,0)+1,FALSE)</f>
        <v>unknown</v>
      </c>
      <c r="Q67" s="20">
        <f ca="1">VLOOKUP($L67,OFFSET([3]enemies!$A$1,0,0,COUNTA([3]enemies!$A:$A),MATCH(Q$1,[3]enemies!$1:$1,0)-MATCH($L$1,[3]enemies!$1:$1,0)+1),MATCH(Q$1,[3]enemies!$1:$1,0)-MATCH($L$1,[3]enemies!$1:$1,0)+1,FALSE)</f>
        <v>15</v>
      </c>
      <c r="R67" s="6">
        <v>1</v>
      </c>
      <c r="S67" s="39">
        <v>1</v>
      </c>
      <c r="T67" s="39">
        <v>1</v>
      </c>
      <c r="U67" s="6">
        <v>0</v>
      </c>
      <c r="V67" s="5" t="str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7" s="5">
        <f ca="1">VLOOKUP($L67,OFFSET([3]enemies!$A$1,0,0,COUNTA([3]enemies!$A:$A),MATCH(W$1,[3]enemies!$1:$1,0)-MATCH($L$1,[3]enemies!$1:$1,0)+1),MATCH(W$1,[3]enemies!$1:$1,0)-MATCH($L$1,[3]enemies!$1:$1,0)+1,FALSE)</f>
        <v>0</v>
      </c>
      <c r="X67" s="7">
        <v>0</v>
      </c>
      <c r="Y67" s="7">
        <v>30</v>
      </c>
      <c r="Z67" s="7">
        <v>0</v>
      </c>
      <c r="AA67" s="20">
        <f ca="1">VLOOKUP($L67,OFFSET([3]enemies!$A$1,0,0,COUNTA([3]enemies!$A:$A),MATCH(AA$1,[3]enemies!$1:$1,0)-MATCH($L$1,[3]enemies!$1:$1,0)+1),MATCH(AA$1,[3]enemies!$1:$1,0)-MATCH($L$1,[3]enemies!$1:$1,0)+1,FALSE)</f>
        <v>2</v>
      </c>
      <c r="AB67" s="24">
        <v>333</v>
      </c>
      <c r="AC67" s="5" t="str">
        <f ca="1">IFERROR(VLOOKUP($AB67,OFFSET([4]characters!$A$1,0,0,COUNTA([4]characters!$A:$A),MATCH(AC$1,[4]characters!$1:$1,0)-MATCH("character_id",[4]characters!$1:$1,0)+1),MATCH(AC$1,[4]characters!$1:$1,0)-MATCH("character_id",[4]characters!$1:$1,0)+1,FALSE),"")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67" s="5">
        <f ca="1">IFERROR(VLOOKUP($AB67,OFFSET([4]characters!$A$1,0,0,COUNTA([4]characters!$A:$A),MATCH(AD$1,[4]characters!$1:$1,0)-MATCH("character_id",[4]characters!$1:$1,0)+1),MATCH(AD$1,[4]characters!$1:$1,0)-MATCH("character_id",[4]characters!$1:$1,0)+1,FALSE),"")</f>
        <v>4</v>
      </c>
      <c r="AE67" s="5" t="str">
        <f ca="1">IFERROR(VLOOKUP($AB67,OFFSET([4]characters!$A$1,0,0,COUNTA([4]characters!$A:$A),MATCH(AE$1,[4]characters!$1:$1,0)-MATCH("character_id",[4]characters!$1:$1,0)+1),MATCH(AE$1,[4]characters!$1:$1,0)-MATCH("character_id",[4]characters!$1:$1,0)+1,FALSE),"")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7" s="8">
        <v>1</v>
      </c>
      <c r="AG67" s="27">
        <f t="shared" ca="1" si="47"/>
        <v>4</v>
      </c>
      <c r="AH67" s="9">
        <v>5</v>
      </c>
      <c r="AI67" s="8">
        <v>0</v>
      </c>
      <c r="AJ67" s="8">
        <v>0</v>
      </c>
      <c r="AK67" s="8">
        <v>0</v>
      </c>
      <c r="AL67" s="8">
        <v>0</v>
      </c>
      <c r="AM67" s="8">
        <v>1</v>
      </c>
      <c r="AN67" s="8">
        <v>1</v>
      </c>
    </row>
    <row r="68" spans="1:40" ht="18" customHeight="1" x14ac:dyDescent="0.15">
      <c r="A68" s="17" t="str">
        <f t="shared" ca="1" si="48"/>
        <v>11002_3-2/103&lt;lv30&gt;s3</v>
      </c>
      <c r="B68" s="8">
        <v>11002</v>
      </c>
      <c r="C68" s="25">
        <v>3</v>
      </c>
      <c r="D68" s="2" t="str">
        <f t="shared" si="46"/>
        <v>11002_3</v>
      </c>
      <c r="E68" s="5" t="str">
        <f ca="1">VLOOKUP($B68,OFFSET([2]quests!$A$1,0,0,COUNTA([2]quests!$A:$A),MATCH(E$1,[2]quests!$1:$1,0)-MATCH($B$1,[2]quests!$1:$1,0)+1),MATCH(E$1,[2]quests!$1:$1,0)-MATCH($B$1,[2]quests!$1:$1,0)+1,FALSE)</f>
        <v>【火曜限定】 赤の素材</v>
      </c>
      <c r="F68" s="5" t="str">
        <f ca="1">VLOOKUP($D68,OFFSET([2]stages!$A$1,0,0,COUNTA([2]stages!$A:$A),MATCH(F$1,[2]stages!$2:$2,0)-MATCH($D$1,[2]stages!$2:$2,0)+1),MATCH(F$1,[2]stages!$2:$2,0)-MATCH($D$1,[2]stages!$2:$2,0)+1,FALSE)</f>
        <v xml:space="preserve">【上級】火のイモムシ </v>
      </c>
      <c r="G68" s="25">
        <v>2</v>
      </c>
      <c r="H68" s="16" t="str">
        <f t="shared" si="49"/>
        <v>11002_3-2</v>
      </c>
      <c r="I68" s="5">
        <f ca="1">VLOOKUP($H68,OFFSET(floors!$A$1,0,0,COUNTA(floors!$A:$A),MATCH(I$1,floors!$1:$1,0)-MATCH($H$1,floors!$1:$1,0)+1),MATCH(I$1,floors!$1:$1,0)-MATCH($H$1,floors!$1:$1,0)+1,FALSE)</f>
        <v>30</v>
      </c>
      <c r="J68" s="5">
        <f ca="1">VLOOKUP($H68,OFFSET(floors!$A$1,0,0,COUNTA(floors!$A:$A),MATCH(J$1,floors!$1:$1,0)-MATCH($H$1,floors!$1:$1,0)+1),MATCH(J$1,floors!$1:$1,0)-MATCH($H$1,floors!$1:$1,0)+1,FALSE)</f>
        <v>45</v>
      </c>
      <c r="K68" s="24" t="s">
        <v>197</v>
      </c>
      <c r="L68" s="24">
        <v>103</v>
      </c>
      <c r="M68" s="20" t="str">
        <f ca="1">VLOOKUP($L68,OFFSET([3]enemies!$A$1,0,0,COUNTA([3]enemies!$A:$A),MATCH(M$1,[3]enemies!$1:$1,0)-MATCH($L$1,[3]enemies!$1:$1,0)+1),MATCH(M$1,[3]enemies!$1:$1,0)-MATCH($L$1,[3]enemies!$1:$1,0)+1,FALSE)</f>
        <v>レッドキャタップ</v>
      </c>
      <c r="N68" s="20" t="str">
        <f ca="1">VLOOKUP($L68,OFFSET([3]enemies!$A$1,0,0,COUNTA([3]enemies!$A:$A),MATCH(N$1,[3]enemies!$1:$1,0)-MATCH($L$1,[3]enemies!$1:$1,0)+1),MATCH(N$1,[3]enemies!$1:$1,0)-MATCH($L$1,[3]enemies!$1:$1,0)+1,FALSE)</f>
        <v>red</v>
      </c>
      <c r="O68" s="22" t="str">
        <f ca="1">VLOOKUP($L68,OFFSET([4]characters!$A$1,0,0,COUNTA([4]characters!$A:$A),MATCH(O$1,[4]characters!$1:$1,0)-MATCH($L$1,[4]characters!$1:$1,0)+1),MATCH(O$1,[4]characters!$1:$1,0)-MATCH($L$1,[4]characters!$1:$1,0)+1,FALSE)</f>
        <v>Material</v>
      </c>
      <c r="P68" s="20" t="str">
        <f ca="1">VLOOKUP($L68,OFFSET([3]enemies!$A$1,0,0,COUNTA([3]enemies!$A:$A),MATCH(P$1,[3]enemies!$1:$1,0)-MATCH($L$1,[3]enemies!$1:$1,0)+1),MATCH(P$1,[3]enemies!$1:$1,0)-MATCH($L$1,[3]enemies!$1:$1,0)+1,FALSE)</f>
        <v>unknown</v>
      </c>
      <c r="Q68" s="20">
        <f ca="1">VLOOKUP($L68,OFFSET([3]enemies!$A$1,0,0,COUNTA([3]enemies!$A:$A),MATCH(Q$1,[3]enemies!$1:$1,0)-MATCH($L$1,[3]enemies!$1:$1,0)+1),MATCH(Q$1,[3]enemies!$1:$1,0)-MATCH($L$1,[3]enemies!$1:$1,0)+1,FALSE)</f>
        <v>15</v>
      </c>
      <c r="R68" s="6">
        <v>30</v>
      </c>
      <c r="S68" s="39">
        <v>2</v>
      </c>
      <c r="T68" s="39">
        <v>1</v>
      </c>
      <c r="U68" s="6">
        <v>0</v>
      </c>
      <c r="V68" s="5" t="str">
        <f ca="1">VLOOKUP($W68,OFFSET([5]enemy_skill_sets!$B$1,0,0,COUNTA([5]enemy_skill_sets!$B:$B),MATCH(M$1,[5]enemy_skill_sets!$1:$1,0)-MATCH($W$1,[5]enemy_skill_sets!$1:$1,0)+2),MATCH(M$1,[5]enemy_skill_sets!$1:$1,0)-MATCH($W$1,[5]enemy_skill_sets!$1:$1,0)+2,FALSE)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8" s="5">
        <f ca="1">VLOOKUP($L68,OFFSET([3]enemies!$A$1,0,0,COUNTA([3]enemies!$A:$A),MATCH(W$1,[3]enemies!$1:$1,0)-MATCH($L$1,[3]enemies!$1:$1,0)+1),MATCH(W$1,[3]enemies!$1:$1,0)-MATCH($L$1,[3]enemies!$1:$1,0)+1,FALSE)</f>
        <v>0</v>
      </c>
      <c r="X68" s="7">
        <v>1</v>
      </c>
      <c r="Y68" s="7">
        <v>100</v>
      </c>
      <c r="Z68" s="7">
        <v>1</v>
      </c>
      <c r="AA68" s="20">
        <f ca="1">VLOOKUP($L68,OFFSET([3]enemies!$A$1,0,0,COUNTA([3]enemies!$A:$A),MATCH(AA$1,[3]enemies!$1:$1,0)-MATCH($L$1,[3]enemies!$1:$1,0)+1),MATCH(AA$1,[3]enemies!$1:$1,0)-MATCH($L$1,[3]enemies!$1:$1,0)+1,FALSE)</f>
        <v>3</v>
      </c>
      <c r="AB68" s="24">
        <v>103</v>
      </c>
      <c r="AC68" s="5" t="str">
        <f ca="1">IFERROR(VLOOKUP($AB68,OFFSET([4]characters!$A$1,0,0,COUNTA([4]characters!$A:$A),MATCH(AC$1,[4]characters!$1:$1,0)-MATCH("character_id",[4]characters!$1:$1,0)+1),MATCH(AC$1,[4]characters!$1:$1,0)-MATCH("character_id",[4]characters!$1:$1,0)+1,FALSE),"")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68" s="5">
        <f ca="1">IFERROR(VLOOKUP($AB68,OFFSET([4]characters!$A$1,0,0,COUNTA([4]characters!$A:$A),MATCH(AD$1,[4]characters!$1:$1,0)-MATCH("character_id",[4]characters!$1:$1,0)+1),MATCH(AD$1,[4]characters!$1:$1,0)-MATCH("character_id",[4]characters!$1:$1,0)+1,FALSE),"")</f>
        <v>4</v>
      </c>
      <c r="AE68" s="5" t="str">
        <f ca="1">IFERROR(VLOOKUP($AB68,OFFSET([4]characters!$A$1,0,0,COUNTA([4]characters!$A:$A),MATCH(AE$1,[4]characters!$1:$1,0)-MATCH("character_id",[4]characters!$1:$1,0)+1),MATCH(AE$1,[4]characters!$1:$1,0)-MATCH("character_id",[4]characters!$1:$1,0)+1,FALSE),"")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8" s="8">
        <v>1</v>
      </c>
      <c r="AG68" s="27">
        <f t="shared" ca="1" si="47"/>
        <v>4</v>
      </c>
      <c r="AH68" s="9">
        <v>10</v>
      </c>
      <c r="AI68" s="8">
        <v>0</v>
      </c>
      <c r="AJ68" s="8">
        <v>0</v>
      </c>
      <c r="AK68" s="8">
        <v>0</v>
      </c>
      <c r="AL68" s="8">
        <v>0</v>
      </c>
      <c r="AM68" s="8">
        <v>1</v>
      </c>
      <c r="AN68" s="8">
        <v>1</v>
      </c>
    </row>
    <row r="69" spans="1:40" ht="21" customHeight="1" x14ac:dyDescent="0.15">
      <c r="A69" s="17" t="str">
        <f t="shared" ref="A69:A72" ca="1" si="50">B69&amp;"_"&amp;C69&amp;"-"&amp;G69&amp;"/"&amp;L69&amp;"&lt;lv"&amp;R69&amp;"&gt;s"&amp;AA69</f>
        <v>11002_3-2/33&lt;lv35&gt;s2</v>
      </c>
      <c r="B69" s="8">
        <v>11002</v>
      </c>
      <c r="C69" s="25">
        <v>3</v>
      </c>
      <c r="D69" s="2" t="str">
        <f t="shared" ref="D69:D72" si="51">B69&amp;"_"&amp;C69</f>
        <v>11002_3</v>
      </c>
      <c r="E69" s="5" t="str">
        <f ca="1">VLOOKUP($B69,OFFSET([2]quests!$A$1,0,0,COUNTA([2]quests!$A:$A),MATCH(E$1,[2]quests!$1:$1,0)-MATCH($B$1,[2]quests!$1:$1,0)+1),MATCH(E$1,[2]quests!$1:$1,0)-MATCH($B$1,[2]quests!$1:$1,0)+1,FALSE)</f>
        <v>【火曜限定】 赤の素材</v>
      </c>
      <c r="F69" s="5" t="str">
        <f ca="1">VLOOKUP($D69,OFFSET([2]stages!$A$1,0,0,COUNTA([2]stages!$A:$A),MATCH(F$1,[2]stages!$2:$2,0)-MATCH($D$1,[2]stages!$2:$2,0)+1),MATCH(F$1,[2]stages!$2:$2,0)-MATCH($D$1,[2]stages!$2:$2,0)+1,FALSE)</f>
        <v xml:space="preserve">【上級】火のイモムシ </v>
      </c>
      <c r="G69" s="25">
        <v>2</v>
      </c>
      <c r="H69" s="16" t="str">
        <f t="shared" si="49"/>
        <v>11002_3-2</v>
      </c>
      <c r="I69" s="5">
        <f ca="1">VLOOKUP($H69,OFFSET(floors!$A$1,0,0,COUNTA(floors!$A:$A),MATCH(I$1,floors!$1:$1,0)-MATCH($H$1,floors!$1:$1,0)+1),MATCH(I$1,floors!$1:$1,0)-MATCH($H$1,floors!$1:$1,0)+1,FALSE)</f>
        <v>30</v>
      </c>
      <c r="J69" s="5">
        <f ca="1">VLOOKUP($H69,OFFSET(floors!$A$1,0,0,COUNTA(floors!$A:$A),MATCH(J$1,floors!$1:$1,0)-MATCH($H$1,floors!$1:$1,0)+1),MATCH(J$1,floors!$1:$1,0)-MATCH($H$1,floors!$1:$1,0)+1,FALSE)</f>
        <v>45</v>
      </c>
      <c r="K69" s="24" t="s">
        <v>197</v>
      </c>
      <c r="L69" s="24">
        <v>33</v>
      </c>
      <c r="M69" s="20" t="str">
        <f ca="1">VLOOKUP($L69,OFFSET([3]enemies!$A$1,0,0,COUNTA([3]enemies!$A:$A),MATCH(M$1,[3]enemies!$1:$1,0)-MATCH($L$1,[3]enemies!$1:$1,0)+1),MATCH(M$1,[3]enemies!$1:$1,0)-MATCH($L$1,[3]enemies!$1:$1,0)+1,FALSE)</f>
        <v>ゴクウ</v>
      </c>
      <c r="N69" s="20" t="str">
        <f ca="1">VLOOKUP($L69,OFFSET([3]enemies!$A$1,0,0,COUNTA([3]enemies!$A:$A),MATCH(N$1,[3]enemies!$1:$1,0)-MATCH($L$1,[3]enemies!$1:$1,0)+1),MATCH(N$1,[3]enemies!$1:$1,0)-MATCH($L$1,[3]enemies!$1:$1,0)+1,FALSE)</f>
        <v>red</v>
      </c>
      <c r="O69" s="22" t="str">
        <f ca="1">VLOOKUP($L69,OFFSET([4]characters!$A$1,0,0,COUNTA([4]characters!$A:$A),MATCH(O$1,[4]characters!$1:$1,0)-MATCH($L$1,[4]characters!$1:$1,0)+1),MATCH(O$1,[4]characters!$1:$1,0)-MATCH($L$1,[4]characters!$1:$1,0)+1,FALSE)</f>
        <v>Drop1S</v>
      </c>
      <c r="P69" s="20" t="str">
        <f ca="1">VLOOKUP($L69,OFFSET([3]enemies!$A$1,0,0,COUNTA([3]enemies!$A:$A),MATCH(P$1,[3]enemies!$1:$1,0)-MATCH($L$1,[3]enemies!$1:$1,0)+1),MATCH(P$1,[3]enemies!$1:$1,0)-MATCH($L$1,[3]enemies!$1:$1,0)+1,FALSE)</f>
        <v>animal</v>
      </c>
      <c r="Q69" s="20">
        <f ca="1">VLOOKUP($L69,OFFSET([3]enemies!$A$1,0,0,COUNTA([3]enemies!$A:$A),MATCH(Q$1,[3]enemies!$1:$1,0)-MATCH($L$1,[3]enemies!$1:$1,0)+1),MATCH(Q$1,[3]enemies!$1:$1,0)-MATCH($L$1,[3]enemies!$1:$1,0)+1,FALSE)</f>
        <v>15</v>
      </c>
      <c r="R69" s="6">
        <v>35</v>
      </c>
      <c r="S69" s="39">
        <v>1</v>
      </c>
      <c r="T69" s="39">
        <v>1</v>
      </c>
      <c r="U69" s="6">
        <v>0</v>
      </c>
      <c r="V69" s="5" t="str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69" s="5">
        <f ca="1">VLOOKUP($L69,OFFSET([3]enemies!$A$1,0,0,COUNTA([3]enemies!$A:$A),MATCH(W$1,[3]enemies!$1:$1,0)-MATCH($L$1,[3]enemies!$1:$1,0)+1),MATCH(W$1,[3]enemies!$1:$1,0)-MATCH($L$1,[3]enemies!$1:$1,0)+1,FALSE)</f>
        <v>33</v>
      </c>
      <c r="X69" s="7">
        <v>0</v>
      </c>
      <c r="Y69" s="7">
        <v>100</v>
      </c>
      <c r="Z69" s="7">
        <v>0</v>
      </c>
      <c r="AA69" s="20">
        <f ca="1">VLOOKUP($L69,OFFSET([3]enemies!$A$1,0,0,COUNTA([3]enemies!$A:$A),MATCH(AA$1,[3]enemies!$1:$1,0)-MATCH($L$1,[3]enemies!$1:$1,0)+1),MATCH(AA$1,[3]enemies!$1:$1,0)-MATCH($L$1,[3]enemies!$1:$1,0)+1,FALSE)</f>
        <v>2</v>
      </c>
      <c r="AB69" s="24">
        <v>33</v>
      </c>
      <c r="AC69" s="5" t="str">
        <f ca="1">IFERROR(VLOOKUP($AB69,OFFSET([4]characters!$A$1,0,0,COUNTA([4]characters!$A:$A),MATCH(AC$1,[4]characters!$1:$1,0)-MATCH("character_id",[4]characters!$1:$1,0)+1),MATCH(AC$1,[4]characters!$1:$1,0)-MATCH("character_id",[4]characters!$1:$1,0)+1,FALSE),"")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69" s="5">
        <f ca="1">IFERROR(VLOOKUP($AB69,OFFSET([4]characters!$A$1,0,0,COUNTA([4]characters!$A:$A),MATCH(AD$1,[4]characters!$1:$1,0)-MATCH("character_id",[4]characters!$1:$1,0)+1),MATCH(AD$1,[4]characters!$1:$1,0)-MATCH("character_id",[4]characters!$1:$1,0)+1,FALSE),"")</f>
        <v>2</v>
      </c>
      <c r="AE69" s="5" t="str">
        <f ca="1">IFERROR(VLOOKUP($AB69,OFFSET([4]characters!$A$1,0,0,COUNTA([4]characters!$A:$A),MATCH(AE$1,[4]characters!$1:$1,0)-MATCH("character_id",[4]characters!$1:$1,0)+1),MATCH(AE$1,[4]characters!$1:$1,0)-MATCH("character_id",[4]characters!$1:$1,0)+1,FALSE),"")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69" s="8">
        <v>1</v>
      </c>
      <c r="AG69" s="27">
        <f t="shared" ref="AG69:AG72" ca="1" si="52">AD69</f>
        <v>2</v>
      </c>
      <c r="AH69" s="9">
        <v>0</v>
      </c>
      <c r="AI69" s="8">
        <v>0</v>
      </c>
      <c r="AJ69" s="8">
        <v>0</v>
      </c>
      <c r="AK69" s="8">
        <v>0</v>
      </c>
      <c r="AL69" s="8">
        <v>0</v>
      </c>
      <c r="AM69" s="8">
        <v>1</v>
      </c>
      <c r="AN69" s="8">
        <v>1</v>
      </c>
    </row>
    <row r="70" spans="1:40" ht="21" customHeight="1" x14ac:dyDescent="0.15">
      <c r="A70" s="17" t="str">
        <f t="shared" ca="1" si="50"/>
        <v>11002_3-2/21&lt;lv35&gt;s2</v>
      </c>
      <c r="B70" s="8">
        <v>11002</v>
      </c>
      <c r="C70" s="25">
        <v>3</v>
      </c>
      <c r="D70" s="2" t="str">
        <f t="shared" si="51"/>
        <v>11002_3</v>
      </c>
      <c r="E70" s="5" t="str">
        <f ca="1">VLOOKUP($B70,OFFSET([2]quests!$A$1,0,0,COUNTA([2]quests!$A:$A),MATCH(E$1,[2]quests!$1:$1,0)-MATCH($B$1,[2]quests!$1:$1,0)+1),MATCH(E$1,[2]quests!$1:$1,0)-MATCH($B$1,[2]quests!$1:$1,0)+1,FALSE)</f>
        <v>【火曜限定】 赤の素材</v>
      </c>
      <c r="F70" s="5" t="str">
        <f ca="1">VLOOKUP($D70,OFFSET([2]stages!$A$1,0,0,COUNTA([2]stages!$A:$A),MATCH(F$1,[2]stages!$2:$2,0)-MATCH($D$1,[2]stages!$2:$2,0)+1),MATCH(F$1,[2]stages!$2:$2,0)-MATCH($D$1,[2]stages!$2:$2,0)+1,FALSE)</f>
        <v xml:space="preserve">【上級】火のイモムシ </v>
      </c>
      <c r="G70" s="25">
        <v>2</v>
      </c>
      <c r="H70" s="16" t="str">
        <f t="shared" si="49"/>
        <v>11002_3-2</v>
      </c>
      <c r="I70" s="5">
        <f ca="1">VLOOKUP($H70,OFFSET(floors!$A$1,0,0,COUNTA(floors!$A:$A),MATCH(I$1,floors!$1:$1,0)-MATCH($H$1,floors!$1:$1,0)+1),MATCH(I$1,floors!$1:$1,0)-MATCH($H$1,floors!$1:$1,0)+1,FALSE)</f>
        <v>30</v>
      </c>
      <c r="J70" s="5">
        <f ca="1">VLOOKUP($H70,OFFSET(floors!$A$1,0,0,COUNTA(floors!$A:$A),MATCH(J$1,floors!$1:$1,0)-MATCH($H$1,floors!$1:$1,0)+1),MATCH(J$1,floors!$1:$1,0)-MATCH($H$1,floors!$1:$1,0)+1,FALSE)</f>
        <v>45</v>
      </c>
      <c r="K70" s="24" t="s">
        <v>197</v>
      </c>
      <c r="L70" s="24">
        <v>21</v>
      </c>
      <c r="M70" s="20" t="str">
        <f ca="1">VLOOKUP($L70,OFFSET([3]enemies!$A$1,0,0,COUNTA([3]enemies!$A:$A),MATCH(M$1,[3]enemies!$1:$1,0)-MATCH($L$1,[3]enemies!$1:$1,0)+1),MATCH(M$1,[3]enemies!$1:$1,0)-MATCH($L$1,[3]enemies!$1:$1,0)+1,FALSE)</f>
        <v>ヴェロキー</v>
      </c>
      <c r="N70" s="20" t="str">
        <f ca="1">VLOOKUP($L70,OFFSET([3]enemies!$A$1,0,0,COUNTA([3]enemies!$A:$A),MATCH(N$1,[3]enemies!$1:$1,0)-MATCH($L$1,[3]enemies!$1:$1,0)+1),MATCH(N$1,[3]enemies!$1:$1,0)-MATCH($L$1,[3]enemies!$1:$1,0)+1,FALSE)</f>
        <v>red</v>
      </c>
      <c r="O70" s="22" t="str">
        <f ca="1">VLOOKUP($L70,OFFSET([4]characters!$A$1,0,0,COUNTA([4]characters!$A:$A),MATCH(O$1,[4]characters!$1:$1,0)-MATCH($L$1,[4]characters!$1:$1,0)+1),MATCH(O$1,[4]characters!$1:$1,0)-MATCH($L$1,[4]characters!$1:$1,0)+1,FALSE)</f>
        <v>Drop1N</v>
      </c>
      <c r="P70" s="20" t="str">
        <f ca="1">VLOOKUP($L70,OFFSET([3]enemies!$A$1,0,0,COUNTA([3]enemies!$A:$A),MATCH(P$1,[3]enemies!$1:$1,0)-MATCH($L$1,[3]enemies!$1:$1,0)+1),MATCH(P$1,[3]enemies!$1:$1,0)-MATCH($L$1,[3]enemies!$1:$1,0)+1,FALSE)</f>
        <v>dragon</v>
      </c>
      <c r="Q70" s="20">
        <f ca="1">VLOOKUP($L70,OFFSET([3]enemies!$A$1,0,0,COUNTA([3]enemies!$A:$A),MATCH(Q$1,[3]enemies!$1:$1,0)-MATCH($L$1,[3]enemies!$1:$1,0)+1),MATCH(Q$1,[3]enemies!$1:$1,0)-MATCH($L$1,[3]enemies!$1:$1,0)+1,FALSE)</f>
        <v>15</v>
      </c>
      <c r="R70" s="6">
        <v>35</v>
      </c>
      <c r="S70" s="39">
        <v>1</v>
      </c>
      <c r="T70" s="39">
        <v>1</v>
      </c>
      <c r="U70" s="6">
        <v>0</v>
      </c>
      <c r="V70" s="5" t="str">
        <f ca="1">VLOOKUP($W70,OFFSET([5]enemy_skill_sets!$B$1,0,0,COUNTA([5]enemy_skill_sets!$B:$B),MATCH(M$1,[5]enemy_skill_sets!$1:$1,0)-MATCH($W$1,[5]enemy_skill_sets!$1:$1,0)+2),MATCH(M$1,[5]enemy_skill_sets!$1:$1,0)-MATCH($W$1,[5]enemy_skill_sets!$1:$1,0)+2,FALSE)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0" s="5">
        <f ca="1">VLOOKUP($L70,OFFSET([3]enemies!$A$1,0,0,COUNTA([3]enemies!$A:$A),MATCH(W$1,[3]enemies!$1:$1,0)-MATCH($L$1,[3]enemies!$1:$1,0)+1),MATCH(W$1,[3]enemies!$1:$1,0)-MATCH($L$1,[3]enemies!$1:$1,0)+1,FALSE)</f>
        <v>0</v>
      </c>
      <c r="X70" s="7">
        <v>0</v>
      </c>
      <c r="Y70" s="7">
        <v>100</v>
      </c>
      <c r="Z70" s="7">
        <v>0</v>
      </c>
      <c r="AA70" s="20">
        <f ca="1">VLOOKUP($L70,OFFSET([3]enemies!$A$1,0,0,COUNTA([3]enemies!$A:$A),MATCH(AA$1,[3]enemies!$1:$1,0)-MATCH($L$1,[3]enemies!$1:$1,0)+1),MATCH(AA$1,[3]enemies!$1:$1,0)-MATCH($L$1,[3]enemies!$1:$1,0)+1,FALSE)</f>
        <v>2</v>
      </c>
      <c r="AB70" s="24">
        <v>21</v>
      </c>
      <c r="AC70" s="5" t="str">
        <f ca="1">IFERROR(VLOOKUP($AB70,OFFSET([4]characters!$A$1,0,0,COUNTA([4]characters!$A:$A),MATCH(AC$1,[4]characters!$1:$1,0)-MATCH("character_id",[4]characters!$1:$1,0)+1),MATCH(AC$1,[4]characters!$1:$1,0)-MATCH("character_id",[4]characters!$1:$1,0)+1,FALSE),"")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70" s="5">
        <f ca="1">IFERROR(VLOOKUP($AB70,OFFSET([4]characters!$A$1,0,0,COUNTA([4]characters!$A:$A),MATCH(AD$1,[4]characters!$1:$1,0)-MATCH("character_id",[4]characters!$1:$1,0)+1),MATCH(AD$1,[4]characters!$1:$1,0)-MATCH("character_id",[4]characters!$1:$1,0)+1,FALSE),"")</f>
        <v>1</v>
      </c>
      <c r="AE70" s="5" t="str">
        <f ca="1">IFERROR(VLOOKUP($AB70,OFFSET([4]characters!$A$1,0,0,COUNTA([4]characters!$A:$A),MATCH(AE$1,[4]characters!$1:$1,0)-MATCH("character_id",[4]characters!$1:$1,0)+1),MATCH(AE$1,[4]characters!$1:$1,0)-MATCH("character_id",[4]characters!$1:$1,0)+1,FALSE),"")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70" s="8">
        <v>1</v>
      </c>
      <c r="AG70" s="27">
        <f t="shared" ca="1" si="52"/>
        <v>1</v>
      </c>
      <c r="AH70" s="9">
        <v>0</v>
      </c>
      <c r="AI70" s="8">
        <v>0</v>
      </c>
      <c r="AJ70" s="8">
        <v>0</v>
      </c>
      <c r="AK70" s="8">
        <v>0</v>
      </c>
      <c r="AL70" s="8">
        <v>0</v>
      </c>
      <c r="AM70" s="8">
        <v>1</v>
      </c>
      <c r="AN70" s="8">
        <v>1</v>
      </c>
    </row>
    <row r="71" spans="1:40" ht="21" customHeight="1" x14ac:dyDescent="0.15">
      <c r="A71" s="17" t="str">
        <f t="shared" ca="1" si="50"/>
        <v>11002_3-2/332&lt;lv1&gt;s1</v>
      </c>
      <c r="B71" s="8">
        <v>11002</v>
      </c>
      <c r="C71" s="25">
        <v>3</v>
      </c>
      <c r="D71" s="2" t="str">
        <f t="shared" si="51"/>
        <v>11002_3</v>
      </c>
      <c r="E71" s="5" t="str">
        <f ca="1">VLOOKUP($B71,OFFSET([2]quests!$A$1,0,0,COUNTA([2]quests!$A:$A),MATCH(E$1,[2]quests!$1:$1,0)-MATCH($B$1,[2]quests!$1:$1,0)+1),MATCH(E$1,[2]quests!$1:$1,0)-MATCH($B$1,[2]quests!$1:$1,0)+1,FALSE)</f>
        <v>【火曜限定】 赤の素材</v>
      </c>
      <c r="F71" s="5" t="str">
        <f ca="1">VLOOKUP($D71,OFFSET([2]stages!$A$1,0,0,COUNTA([2]stages!$A:$A),MATCH(F$1,[2]stages!$2:$2,0)-MATCH($D$1,[2]stages!$2:$2,0)+1),MATCH(F$1,[2]stages!$2:$2,0)-MATCH($D$1,[2]stages!$2:$2,0)+1,FALSE)</f>
        <v xml:space="preserve">【上級】火のイモムシ </v>
      </c>
      <c r="G71" s="25">
        <v>2</v>
      </c>
      <c r="H71" s="16" t="str">
        <f t="shared" si="49"/>
        <v>11002_3-2</v>
      </c>
      <c r="I71" s="5">
        <f ca="1">VLOOKUP($H71,OFFSET(floors!$A$1,0,0,COUNTA(floors!$A:$A),MATCH(I$1,floors!$1:$1,0)-MATCH($H$1,floors!$1:$1,0)+1),MATCH(I$1,floors!$1:$1,0)-MATCH($H$1,floors!$1:$1,0)+1,FALSE)</f>
        <v>30</v>
      </c>
      <c r="J71" s="5">
        <f ca="1">VLOOKUP($H71,OFFSET(floors!$A$1,0,0,COUNTA(floors!$A:$A),MATCH(J$1,floors!$1:$1,0)-MATCH($H$1,floors!$1:$1,0)+1),MATCH(J$1,floors!$1:$1,0)-MATCH($H$1,floors!$1:$1,0)+1,FALSE)</f>
        <v>45</v>
      </c>
      <c r="K71" s="24" t="s">
        <v>197</v>
      </c>
      <c r="L71" s="24">
        <v>332</v>
      </c>
      <c r="M71" s="20" t="str">
        <f ca="1">VLOOKUP($L71,OFFSET([3]enemies!$A$1,0,0,COUNTA([3]enemies!$A:$A),MATCH(M$1,[3]enemies!$1:$1,0)-MATCH($L$1,[3]enemies!$1:$1,0)+1),MATCH(M$1,[3]enemies!$1:$1,0)-MATCH($L$1,[3]enemies!$1:$1,0)+1,FALSE)</f>
        <v>炎のメタルピヨピヨ</v>
      </c>
      <c r="N71" s="20" t="str">
        <f ca="1">VLOOKUP($L71,OFFSET([3]enemies!$A$1,0,0,COUNTA([3]enemies!$A:$A),MATCH(N$1,[3]enemies!$1:$1,0)-MATCH($L$1,[3]enemies!$1:$1,0)+1),MATCH(N$1,[3]enemies!$1:$1,0)-MATCH($L$1,[3]enemies!$1:$1,0)+1,FALSE)</f>
        <v>red</v>
      </c>
      <c r="O71" s="22" t="str">
        <f ca="1">VLOOKUP($L71,OFFSET([4]characters!$A$1,0,0,COUNTA([4]characters!$A:$A),MATCH(O$1,[4]characters!$1:$1,0)-MATCH($L$1,[4]characters!$1:$1,0)+1),MATCH(O$1,[4]characters!$1:$1,0)-MATCH($L$1,[4]characters!$1:$1,0)+1,FALSE)</f>
        <v>Material</v>
      </c>
      <c r="P71" s="20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20">
        <f ca="1">VLOOKUP($L71,OFFSET([3]enemies!$A$1,0,0,COUNTA([3]enemies!$A:$A),MATCH(Q$1,[3]enemies!$1:$1,0)-MATCH($L$1,[3]enemies!$1:$1,0)+1),MATCH(Q$1,[3]enemies!$1:$1,0)-MATCH($L$1,[3]enemies!$1:$1,0)+1,FALSE)</f>
        <v>15</v>
      </c>
      <c r="R71" s="6">
        <v>1</v>
      </c>
      <c r="S71" s="39">
        <v>1</v>
      </c>
      <c r="T71" s="39">
        <v>1</v>
      </c>
      <c r="U71" s="6">
        <v>0</v>
      </c>
      <c r="V71" s="5" t="str">
        <f ca="1">VLOOKUP($W71,OFFSET([5]enemy_skill_sets!$B$1,0,0,COUNTA([5]enemy_skill_sets!$B:$B),MATCH(M$1,[5]enemy_skill_sets!$1:$1,0)-MATCH($W$1,[5]enemy_skill_sets!$1:$1,0)+2),MATCH(M$1,[5]enemy_skill_sets!$1:$1,0)-MATCH($W$1,[5]enemy_skill_sets!$1:$1,0)+2,FALSE)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1" s="5">
        <f ca="1">VLOOKUP($L71,OFFSET([3]enemies!$A$1,0,0,COUNTA([3]enemies!$A:$A),MATCH(W$1,[3]enemies!$1:$1,0)-MATCH($L$1,[3]enemies!$1:$1,0)+1),MATCH(W$1,[3]enemies!$1:$1,0)-MATCH($L$1,[3]enemies!$1:$1,0)+1,FALSE)</f>
        <v>0</v>
      </c>
      <c r="X71" s="7">
        <v>0</v>
      </c>
      <c r="Y71" s="7">
        <v>30</v>
      </c>
      <c r="Z71" s="7">
        <v>0</v>
      </c>
      <c r="AA71" s="20">
        <f ca="1">VLOOKUP($L71,OFFSET([3]enemies!$A$1,0,0,COUNTA([3]enemies!$A:$A),MATCH(AA$1,[3]enemies!$1:$1,0)-MATCH($L$1,[3]enemies!$1:$1,0)+1),MATCH(AA$1,[3]enemies!$1:$1,0)-MATCH($L$1,[3]enemies!$1:$1,0)+1,FALSE)</f>
        <v>1</v>
      </c>
      <c r="AB71" s="24">
        <v>332</v>
      </c>
      <c r="AC71" s="5" t="str">
        <f ca="1">IFERROR(VLOOKUP($AB71,OFFSET([4]characters!$A$1,0,0,COUNTA([4]characters!$A:$A),MATCH(AC$1,[4]characters!$1:$1,0)-MATCH("character_id",[4]characters!$1:$1,0)+1),MATCH(AC$1,[4]characters!$1:$1,0)-MATCH("character_id",[4]characters!$1:$1,0)+1,FALSE),"")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71" s="5">
        <f ca="1">IFERROR(VLOOKUP($AB71,OFFSET([4]characters!$A$1,0,0,COUNTA([4]characters!$A:$A),MATCH(AD$1,[4]characters!$1:$1,0)-MATCH("character_id",[4]characters!$1:$1,0)+1),MATCH(AD$1,[4]characters!$1:$1,0)-MATCH("character_id",[4]characters!$1:$1,0)+1,FALSE),"")</f>
        <v>3</v>
      </c>
      <c r="AE71" s="5" t="str">
        <f ca="1">IFERROR(VLOOKUP($AB71,OFFSET([4]characters!$A$1,0,0,COUNTA([4]characters!$A:$A),MATCH(AE$1,[4]characters!$1:$1,0)-MATCH("character_id",[4]characters!$1:$1,0)+1),MATCH(AE$1,[4]characters!$1:$1,0)-MATCH("character_id",[4]characters!$1:$1,0)+1,FALSE),"")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1" s="8">
        <v>1</v>
      </c>
      <c r="AG71" s="27">
        <f t="shared" ca="1" si="52"/>
        <v>3</v>
      </c>
      <c r="AH71" s="9">
        <v>10</v>
      </c>
      <c r="AI71" s="8">
        <v>0</v>
      </c>
      <c r="AJ71" s="8">
        <v>0</v>
      </c>
      <c r="AK71" s="8">
        <v>0</v>
      </c>
      <c r="AL71" s="8">
        <v>0</v>
      </c>
      <c r="AM71" s="8">
        <v>1</v>
      </c>
      <c r="AN71" s="8">
        <v>1</v>
      </c>
    </row>
    <row r="72" spans="1:40" ht="21" customHeight="1" x14ac:dyDescent="0.15">
      <c r="A72" s="17" t="str">
        <f t="shared" ca="1" si="50"/>
        <v>11002_3-2/333&lt;lv1&gt;s2</v>
      </c>
      <c r="B72" s="8">
        <v>11002</v>
      </c>
      <c r="C72" s="25">
        <v>3</v>
      </c>
      <c r="D72" s="2" t="str">
        <f t="shared" si="51"/>
        <v>11002_3</v>
      </c>
      <c r="E72" s="5" t="str">
        <f ca="1">VLOOKUP($B72,OFFSET([2]quests!$A$1,0,0,COUNTA([2]quests!$A:$A),MATCH(E$1,[2]quests!$1:$1,0)-MATCH($B$1,[2]quests!$1:$1,0)+1),MATCH(E$1,[2]quests!$1:$1,0)-MATCH($B$1,[2]quests!$1:$1,0)+1,FALSE)</f>
        <v>【火曜限定】 赤の素材</v>
      </c>
      <c r="F72" s="5" t="str">
        <f ca="1">VLOOKUP($D72,OFFSET([2]stages!$A$1,0,0,COUNTA([2]stages!$A:$A),MATCH(F$1,[2]stages!$2:$2,0)-MATCH($D$1,[2]stages!$2:$2,0)+1),MATCH(F$1,[2]stages!$2:$2,0)-MATCH($D$1,[2]stages!$2:$2,0)+1,FALSE)</f>
        <v xml:space="preserve">【上級】火のイモムシ </v>
      </c>
      <c r="G72" s="25">
        <v>2</v>
      </c>
      <c r="H72" s="16" t="str">
        <f t="shared" si="49"/>
        <v>11002_3-2</v>
      </c>
      <c r="I72" s="5">
        <f ca="1">VLOOKUP($H72,OFFSET(floors!$A$1,0,0,COUNTA(floors!$A:$A),MATCH(I$1,floors!$1:$1,0)-MATCH($H$1,floors!$1:$1,0)+1),MATCH(I$1,floors!$1:$1,0)-MATCH($H$1,floors!$1:$1,0)+1,FALSE)</f>
        <v>30</v>
      </c>
      <c r="J72" s="5">
        <f ca="1">VLOOKUP($H72,OFFSET(floors!$A$1,0,0,COUNTA(floors!$A:$A),MATCH(J$1,floors!$1:$1,0)-MATCH($H$1,floors!$1:$1,0)+1),MATCH(J$1,floors!$1:$1,0)-MATCH($H$1,floors!$1:$1,0)+1,FALSE)</f>
        <v>45</v>
      </c>
      <c r="K72" s="24" t="s">
        <v>197</v>
      </c>
      <c r="L72" s="24">
        <v>333</v>
      </c>
      <c r="M72" s="20" t="str">
        <f ca="1">VLOOKUP($L72,OFFSET([3]enemies!$A$1,0,0,COUNTA([3]enemies!$A:$A),MATCH(M$1,[3]enemies!$1:$1,0)-MATCH($L$1,[3]enemies!$1:$1,0)+1),MATCH(M$1,[3]enemies!$1:$1,0)-MATCH($L$1,[3]enemies!$1:$1,0)+1,FALSE)</f>
        <v>炎のメタルチック</v>
      </c>
      <c r="N72" s="20" t="str">
        <f ca="1">VLOOKUP($L72,OFFSET([3]enemies!$A$1,0,0,COUNTA([3]enemies!$A:$A),MATCH(N$1,[3]enemies!$1:$1,0)-MATCH($L$1,[3]enemies!$1:$1,0)+1),MATCH(N$1,[3]enemies!$1:$1,0)-MATCH($L$1,[3]enemies!$1:$1,0)+1,FALSE)</f>
        <v>red</v>
      </c>
      <c r="O72" s="22" t="str">
        <f ca="1">VLOOKUP($L72,OFFSET([4]characters!$A$1,0,0,COUNTA([4]characters!$A:$A),MATCH(O$1,[4]characters!$1:$1,0)-MATCH($L$1,[4]characters!$1:$1,0)+1),MATCH(O$1,[4]characters!$1:$1,0)-MATCH($L$1,[4]characters!$1:$1,0)+1,FALSE)</f>
        <v>Material</v>
      </c>
      <c r="P72" s="20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20">
        <f ca="1">VLOOKUP($L72,OFFSET([3]enemies!$A$1,0,0,COUNTA([3]enemies!$A:$A),MATCH(Q$1,[3]enemies!$1:$1,0)-MATCH($L$1,[3]enemies!$1:$1,0)+1),MATCH(Q$1,[3]enemies!$1:$1,0)-MATCH($L$1,[3]enemies!$1:$1,0)+1,FALSE)</f>
        <v>15</v>
      </c>
      <c r="R72" s="6">
        <v>1</v>
      </c>
      <c r="S72" s="39">
        <v>1</v>
      </c>
      <c r="T72" s="39">
        <v>1</v>
      </c>
      <c r="U72" s="6">
        <v>0</v>
      </c>
      <c r="V72" s="5" t="str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2" s="5">
        <f ca="1">VLOOKUP($L72,OFFSET([3]enemies!$A$1,0,0,COUNTA([3]enemies!$A:$A),MATCH(W$1,[3]enemies!$1:$1,0)-MATCH($L$1,[3]enemies!$1:$1,0)+1),MATCH(W$1,[3]enemies!$1:$1,0)-MATCH($L$1,[3]enemies!$1:$1,0)+1,FALSE)</f>
        <v>0</v>
      </c>
      <c r="X72" s="7">
        <v>0</v>
      </c>
      <c r="Y72" s="7">
        <v>30</v>
      </c>
      <c r="Z72" s="7">
        <v>0</v>
      </c>
      <c r="AA72" s="20">
        <f ca="1">VLOOKUP($L72,OFFSET([3]enemies!$A$1,0,0,COUNTA([3]enemies!$A:$A),MATCH(AA$1,[3]enemies!$1:$1,0)-MATCH($L$1,[3]enemies!$1:$1,0)+1),MATCH(AA$1,[3]enemies!$1:$1,0)-MATCH($L$1,[3]enemies!$1:$1,0)+1,FALSE)</f>
        <v>2</v>
      </c>
      <c r="AB72" s="24">
        <v>333</v>
      </c>
      <c r="AC72" s="5" t="str">
        <f ca="1">IFERROR(VLOOKUP($AB72,OFFSET([4]characters!$A$1,0,0,COUNTA([4]characters!$A:$A),MATCH(AC$1,[4]characters!$1:$1,0)-MATCH("character_id",[4]characters!$1:$1,0)+1),MATCH(AC$1,[4]characters!$1:$1,0)-MATCH("character_id",[4]characters!$1:$1,0)+1,FALSE),"")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72" s="5">
        <f ca="1">IFERROR(VLOOKUP($AB72,OFFSET([4]characters!$A$1,0,0,COUNTA([4]characters!$A:$A),MATCH(AD$1,[4]characters!$1:$1,0)-MATCH("character_id",[4]characters!$1:$1,0)+1),MATCH(AD$1,[4]characters!$1:$1,0)-MATCH("character_id",[4]characters!$1:$1,0)+1,FALSE),"")</f>
        <v>4</v>
      </c>
      <c r="AE72" s="5" t="str">
        <f ca="1">IFERROR(VLOOKUP($AB72,OFFSET([4]characters!$A$1,0,0,COUNTA([4]characters!$A:$A),MATCH(AE$1,[4]characters!$1:$1,0)-MATCH("character_id",[4]characters!$1:$1,0)+1),MATCH(AE$1,[4]characters!$1:$1,0)-MATCH("character_id",[4]characters!$1:$1,0)+1,FALSE),"")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2" s="8">
        <v>1</v>
      </c>
      <c r="AG72" s="27">
        <f t="shared" ca="1" si="52"/>
        <v>4</v>
      </c>
      <c r="AH72" s="9">
        <v>5</v>
      </c>
      <c r="AI72" s="8">
        <v>0</v>
      </c>
      <c r="AJ72" s="8">
        <v>0</v>
      </c>
      <c r="AK72" s="8">
        <v>0</v>
      </c>
      <c r="AL72" s="8">
        <v>0</v>
      </c>
      <c r="AM72" s="8">
        <v>1</v>
      </c>
      <c r="AN72" s="8">
        <v>1</v>
      </c>
    </row>
    <row r="73" spans="1:40" ht="21" customHeight="1" x14ac:dyDescent="0.15">
      <c r="A73" s="17" t="str">
        <f t="shared" ca="1" si="48"/>
        <v>11002_3-3/103&lt;lv30&gt;s3</v>
      </c>
      <c r="B73" s="8">
        <v>11002</v>
      </c>
      <c r="C73" s="25">
        <v>3</v>
      </c>
      <c r="D73" s="2" t="str">
        <f t="shared" si="46"/>
        <v>11002_3</v>
      </c>
      <c r="E73" s="5" t="str">
        <f ca="1">VLOOKUP($B73,OFFSET([2]quests!$A$1,0,0,COUNTA([2]quests!$A:$A),MATCH(E$1,[2]quests!$1:$1,0)-MATCH($B$1,[2]quests!$1:$1,0)+1),MATCH(E$1,[2]quests!$1:$1,0)-MATCH($B$1,[2]quests!$1:$1,0)+1,FALSE)</f>
        <v>【火曜限定】 赤の素材</v>
      </c>
      <c r="F73" s="5" t="str">
        <f ca="1">VLOOKUP($D73,OFFSET([2]stages!$A$1,0,0,COUNTA([2]stages!$A:$A),MATCH(F$1,[2]stages!$2:$2,0)-MATCH($D$1,[2]stages!$2:$2,0)+1),MATCH(F$1,[2]stages!$2:$2,0)-MATCH($D$1,[2]stages!$2:$2,0)+1,FALSE)</f>
        <v xml:space="preserve">【上級】火のイモムシ </v>
      </c>
      <c r="G73" s="25">
        <v>3</v>
      </c>
      <c r="H73" s="16" t="str">
        <f t="shared" si="49"/>
        <v>11002_3-3</v>
      </c>
      <c r="I73" s="5">
        <f ca="1">VLOOKUP($H73,OFFSET(floors!$A$1,0,0,COUNTA(floors!$A:$A),MATCH(I$1,floors!$1:$1,0)-MATCH($H$1,floors!$1:$1,0)+1),MATCH(I$1,floors!$1:$1,0)-MATCH($H$1,floors!$1:$1,0)+1,FALSE)</f>
        <v>45</v>
      </c>
      <c r="J73" s="5">
        <f ca="1">VLOOKUP($H73,OFFSET(floors!$A$1,0,0,COUNTA(floors!$A:$A),MATCH(J$1,floors!$1:$1,0)-MATCH($H$1,floors!$1:$1,0)+1),MATCH(J$1,floors!$1:$1,0)-MATCH($H$1,floors!$1:$1,0)+1,FALSE)</f>
        <v>45</v>
      </c>
      <c r="K73" s="24" t="s">
        <v>197</v>
      </c>
      <c r="L73" s="24">
        <v>103</v>
      </c>
      <c r="M73" s="20" t="str">
        <f ca="1">VLOOKUP($L73,OFFSET([3]enemies!$A$1,0,0,COUNTA([3]enemies!$A:$A),MATCH(M$1,[3]enemies!$1:$1,0)-MATCH($L$1,[3]enemies!$1:$1,0)+1),MATCH(M$1,[3]enemies!$1:$1,0)-MATCH($L$1,[3]enemies!$1:$1,0)+1,FALSE)</f>
        <v>レッドキャタップ</v>
      </c>
      <c r="N73" s="20" t="str">
        <f ca="1">VLOOKUP($L73,OFFSET([3]enemies!$A$1,0,0,COUNTA([3]enemies!$A:$A),MATCH(N$1,[3]enemies!$1:$1,0)-MATCH($L$1,[3]enemies!$1:$1,0)+1),MATCH(N$1,[3]enemies!$1:$1,0)-MATCH($L$1,[3]enemies!$1:$1,0)+1,FALSE)</f>
        <v>red</v>
      </c>
      <c r="O73" s="22" t="str">
        <f ca="1">VLOOKUP($L73,OFFSET([4]characters!$A$1,0,0,COUNTA([4]characters!$A:$A),MATCH(O$1,[4]characters!$1:$1,0)-MATCH($L$1,[4]characters!$1:$1,0)+1),MATCH(O$1,[4]characters!$1:$1,0)-MATCH($L$1,[4]characters!$1:$1,0)+1,FALSE)</f>
        <v>Material</v>
      </c>
      <c r="P73" s="20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20">
        <f ca="1">VLOOKUP($L73,OFFSET([3]enemies!$A$1,0,0,COUNTA([3]enemies!$A:$A),MATCH(Q$1,[3]enemies!$1:$1,0)-MATCH($L$1,[3]enemies!$1:$1,0)+1),MATCH(Q$1,[3]enemies!$1:$1,0)-MATCH($L$1,[3]enemies!$1:$1,0)+1,FALSE)</f>
        <v>15</v>
      </c>
      <c r="R73" s="6">
        <v>30</v>
      </c>
      <c r="S73" s="39">
        <v>2</v>
      </c>
      <c r="T73" s="39">
        <v>1</v>
      </c>
      <c r="U73" s="6">
        <v>0</v>
      </c>
      <c r="V73" s="5" t="str">
        <f ca="1">VLOOKUP($W73,OFFSET([5]enemy_skill_sets!$B$1,0,0,COUNTA([5]enemy_skill_sets!$B:$B),MATCH(M$1,[5]enemy_skill_sets!$1:$1,0)-MATCH($W$1,[5]enemy_skill_sets!$1:$1,0)+2),MATCH(M$1,[5]enemy_skill_sets!$1:$1,0)-MATCH($W$1,[5]enemy_skill_sets!$1:$1,0)+2,FALSE)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3" s="5">
        <f ca="1">VLOOKUP($L73,OFFSET([3]enemies!$A$1,0,0,COUNTA([3]enemies!$A:$A),MATCH(W$1,[3]enemies!$1:$1,0)-MATCH($L$1,[3]enemies!$1:$1,0)+1),MATCH(W$1,[3]enemies!$1:$1,0)-MATCH($L$1,[3]enemies!$1:$1,0)+1,FALSE)</f>
        <v>0</v>
      </c>
      <c r="X73" s="7">
        <v>1</v>
      </c>
      <c r="Y73" s="7">
        <v>100</v>
      </c>
      <c r="Z73" s="7">
        <v>1</v>
      </c>
      <c r="AA73" s="20">
        <f ca="1">VLOOKUP($L73,OFFSET([3]enemies!$A$1,0,0,COUNTA([3]enemies!$A:$A),MATCH(AA$1,[3]enemies!$1:$1,0)-MATCH($L$1,[3]enemies!$1:$1,0)+1),MATCH(AA$1,[3]enemies!$1:$1,0)-MATCH($L$1,[3]enemies!$1:$1,0)+1,FALSE)</f>
        <v>3</v>
      </c>
      <c r="AB73" s="24">
        <v>103</v>
      </c>
      <c r="AC73" s="5" t="str">
        <f ca="1">IFERROR(VLOOKUP($AB73,OFFSET([4]characters!$A$1,0,0,COUNTA([4]characters!$A:$A),MATCH(AC$1,[4]characters!$1:$1,0)-MATCH("character_id",[4]characters!$1:$1,0)+1),MATCH(AC$1,[4]characters!$1:$1,0)-MATCH("character_id",[4]characters!$1:$1,0)+1,FALSE),"")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73" s="5">
        <f ca="1">IFERROR(VLOOKUP($AB73,OFFSET([4]characters!$A$1,0,0,COUNTA([4]characters!$A:$A),MATCH(AD$1,[4]characters!$1:$1,0)-MATCH("character_id",[4]characters!$1:$1,0)+1),MATCH(AD$1,[4]characters!$1:$1,0)-MATCH("character_id",[4]characters!$1:$1,0)+1,FALSE),"")</f>
        <v>4</v>
      </c>
      <c r="AE73" s="5" t="str">
        <f ca="1">IFERROR(VLOOKUP($AB73,OFFSET([4]characters!$A$1,0,0,COUNTA([4]characters!$A:$A),MATCH(AE$1,[4]characters!$1:$1,0)-MATCH("character_id",[4]characters!$1:$1,0)+1),MATCH(AE$1,[4]characters!$1:$1,0)-MATCH("character_id",[4]characters!$1:$1,0)+1,FALSE),"")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3" s="8">
        <v>1</v>
      </c>
      <c r="AG73" s="27">
        <f t="shared" ca="1" si="47"/>
        <v>4</v>
      </c>
      <c r="AH73" s="9">
        <v>50</v>
      </c>
      <c r="AI73" s="8">
        <v>0</v>
      </c>
      <c r="AJ73" s="8">
        <v>0</v>
      </c>
      <c r="AK73" s="8">
        <v>0</v>
      </c>
      <c r="AL73" s="8">
        <v>0</v>
      </c>
      <c r="AM73" s="8">
        <v>1</v>
      </c>
      <c r="AN73" s="8">
        <v>1</v>
      </c>
    </row>
    <row r="74" spans="1:40" ht="21" customHeight="1" x14ac:dyDescent="0.15">
      <c r="A74" s="17" t="str">
        <f t="shared" ca="1" si="48"/>
        <v>11002_3-3/33&lt;lv35&gt;s2</v>
      </c>
      <c r="B74" s="8">
        <v>11002</v>
      </c>
      <c r="C74" s="25">
        <v>3</v>
      </c>
      <c r="D74" s="2" t="str">
        <f t="shared" si="46"/>
        <v>11002_3</v>
      </c>
      <c r="E74" s="5" t="str">
        <f ca="1">VLOOKUP($B74,OFFSET([2]quests!$A$1,0,0,COUNTA([2]quests!$A:$A),MATCH(E$1,[2]quests!$1:$1,0)-MATCH($B$1,[2]quests!$1:$1,0)+1),MATCH(E$1,[2]quests!$1:$1,0)-MATCH($B$1,[2]quests!$1:$1,0)+1,FALSE)</f>
        <v>【火曜限定】 赤の素材</v>
      </c>
      <c r="F74" s="5" t="str">
        <f ca="1">VLOOKUP($D74,OFFSET([2]stages!$A$1,0,0,COUNTA([2]stages!$A:$A),MATCH(F$1,[2]stages!$2:$2,0)-MATCH($D$1,[2]stages!$2:$2,0)+1),MATCH(F$1,[2]stages!$2:$2,0)-MATCH($D$1,[2]stages!$2:$2,0)+1,FALSE)</f>
        <v xml:space="preserve">【上級】火のイモムシ </v>
      </c>
      <c r="G74" s="25">
        <v>3</v>
      </c>
      <c r="H74" s="16" t="str">
        <f t="shared" si="49"/>
        <v>11002_3-3</v>
      </c>
      <c r="I74" s="5">
        <f ca="1">VLOOKUP($H74,OFFSET(floors!$A$1,0,0,COUNTA(floors!$A:$A),MATCH(I$1,floors!$1:$1,0)-MATCH($H$1,floors!$1:$1,0)+1),MATCH(I$1,floors!$1:$1,0)-MATCH($H$1,floors!$1:$1,0)+1,FALSE)</f>
        <v>45</v>
      </c>
      <c r="J74" s="5">
        <f ca="1">VLOOKUP($H74,OFFSET(floors!$A$1,0,0,COUNTA(floors!$A:$A),MATCH(J$1,floors!$1:$1,0)-MATCH($H$1,floors!$1:$1,0)+1),MATCH(J$1,floors!$1:$1,0)-MATCH($H$1,floors!$1:$1,0)+1,FALSE)</f>
        <v>45</v>
      </c>
      <c r="K74" s="24" t="s">
        <v>197</v>
      </c>
      <c r="L74" s="24">
        <v>33</v>
      </c>
      <c r="M74" s="20" t="str">
        <f ca="1">VLOOKUP($L74,OFFSET([3]enemies!$A$1,0,0,COUNTA([3]enemies!$A:$A),MATCH(M$1,[3]enemies!$1:$1,0)-MATCH($L$1,[3]enemies!$1:$1,0)+1),MATCH(M$1,[3]enemies!$1:$1,0)-MATCH($L$1,[3]enemies!$1:$1,0)+1,FALSE)</f>
        <v>ゴクウ</v>
      </c>
      <c r="N74" s="20" t="str">
        <f ca="1">VLOOKUP($L74,OFFSET([3]enemies!$A$1,0,0,COUNTA([3]enemies!$A:$A),MATCH(N$1,[3]enemies!$1:$1,0)-MATCH($L$1,[3]enemies!$1:$1,0)+1),MATCH(N$1,[3]enemies!$1:$1,0)-MATCH($L$1,[3]enemies!$1:$1,0)+1,FALSE)</f>
        <v>red</v>
      </c>
      <c r="O74" s="22" t="str">
        <f ca="1">VLOOKUP($L74,OFFSET([4]characters!$A$1,0,0,COUNTA([4]characters!$A:$A),MATCH(O$1,[4]characters!$1:$1,0)-MATCH($L$1,[4]characters!$1:$1,0)+1),MATCH(O$1,[4]characters!$1:$1,0)-MATCH($L$1,[4]characters!$1:$1,0)+1,FALSE)</f>
        <v>Drop1S</v>
      </c>
      <c r="P74" s="20" t="str">
        <f ca="1">VLOOKUP($L74,OFFSET([3]enemies!$A$1,0,0,COUNTA([3]enemies!$A:$A),MATCH(P$1,[3]enemies!$1:$1,0)-MATCH($L$1,[3]enemies!$1:$1,0)+1),MATCH(P$1,[3]enemies!$1:$1,0)-MATCH($L$1,[3]enemies!$1:$1,0)+1,FALSE)</f>
        <v>animal</v>
      </c>
      <c r="Q74" s="20">
        <f ca="1">VLOOKUP($L74,OFFSET([3]enemies!$A$1,0,0,COUNTA([3]enemies!$A:$A),MATCH(Q$1,[3]enemies!$1:$1,0)-MATCH($L$1,[3]enemies!$1:$1,0)+1),MATCH(Q$1,[3]enemies!$1:$1,0)-MATCH($L$1,[3]enemies!$1:$1,0)+1,FALSE)</f>
        <v>15</v>
      </c>
      <c r="R74" s="6">
        <v>35</v>
      </c>
      <c r="S74" s="39">
        <v>1</v>
      </c>
      <c r="T74" s="39">
        <v>1</v>
      </c>
      <c r="U74" s="6">
        <v>0</v>
      </c>
      <c r="V74" s="5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74" s="5">
        <f ca="1">VLOOKUP($L74,OFFSET([3]enemies!$A$1,0,0,COUNTA([3]enemies!$A:$A),MATCH(W$1,[3]enemies!$1:$1,0)-MATCH($L$1,[3]enemies!$1:$1,0)+1),MATCH(W$1,[3]enemies!$1:$1,0)-MATCH($L$1,[3]enemies!$1:$1,0)+1,FALSE)</f>
        <v>33</v>
      </c>
      <c r="X74" s="7">
        <v>0</v>
      </c>
      <c r="Y74" s="7">
        <v>100</v>
      </c>
      <c r="Z74" s="7">
        <v>0</v>
      </c>
      <c r="AA74" s="20">
        <f ca="1">VLOOKUP($L74,OFFSET([3]enemies!$A$1,0,0,COUNTA([3]enemies!$A:$A),MATCH(AA$1,[3]enemies!$1:$1,0)-MATCH($L$1,[3]enemies!$1:$1,0)+1),MATCH(AA$1,[3]enemies!$1:$1,0)-MATCH($L$1,[3]enemies!$1:$1,0)+1,FALSE)</f>
        <v>2</v>
      </c>
      <c r="AB74" s="24">
        <v>33</v>
      </c>
      <c r="AC74" s="5" t="str">
        <f ca="1">IFERROR(VLOOKUP($AB74,OFFSET([4]characters!$A$1,0,0,COUNTA([4]characters!$A:$A),MATCH(AC$1,[4]characters!$1:$1,0)-MATCH("character_id",[4]characters!$1:$1,0)+1),MATCH(AC$1,[4]characters!$1:$1,0)-MATCH("character_id",[4]characters!$1:$1,0)+1,FALSE),"")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74" s="5">
        <f ca="1">IFERROR(VLOOKUP($AB74,OFFSET([4]characters!$A$1,0,0,COUNTA([4]characters!$A:$A),MATCH(AD$1,[4]characters!$1:$1,0)-MATCH("character_id",[4]characters!$1:$1,0)+1),MATCH(AD$1,[4]characters!$1:$1,0)-MATCH("character_id",[4]characters!$1:$1,0)+1,FALSE),"")</f>
        <v>2</v>
      </c>
      <c r="AE74" s="5" t="str">
        <f ca="1">IFERROR(VLOOKUP($AB74,OFFSET([4]characters!$A$1,0,0,COUNTA([4]characters!$A:$A),MATCH(AE$1,[4]characters!$1:$1,0)-MATCH("character_id",[4]characters!$1:$1,0)+1),MATCH(AE$1,[4]characters!$1:$1,0)-MATCH("character_id",[4]characters!$1:$1,0)+1,FALSE),"")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74" s="8">
        <v>1</v>
      </c>
      <c r="AG74" s="27">
        <f t="shared" ca="1" si="47"/>
        <v>2</v>
      </c>
      <c r="AH74" s="9">
        <v>0</v>
      </c>
      <c r="AI74" s="8">
        <v>0</v>
      </c>
      <c r="AJ74" s="8">
        <v>0</v>
      </c>
      <c r="AK74" s="8">
        <v>0</v>
      </c>
      <c r="AL74" s="8">
        <v>0</v>
      </c>
      <c r="AM74" s="8">
        <v>1</v>
      </c>
      <c r="AN74" s="8">
        <v>1</v>
      </c>
    </row>
    <row r="75" spans="1:40" ht="21" customHeight="1" x14ac:dyDescent="0.15">
      <c r="A75" s="17" t="str">
        <f t="shared" ca="1" si="48"/>
        <v>11002_3-3/21&lt;lv35&gt;s2</v>
      </c>
      <c r="B75" s="8">
        <v>11002</v>
      </c>
      <c r="C75" s="25">
        <v>3</v>
      </c>
      <c r="D75" s="2" t="str">
        <f t="shared" si="46"/>
        <v>11002_3</v>
      </c>
      <c r="E75" s="5" t="str">
        <f ca="1">VLOOKUP($B75,OFFSET([2]quests!$A$1,0,0,COUNTA([2]quests!$A:$A),MATCH(E$1,[2]quests!$1:$1,0)-MATCH($B$1,[2]quests!$1:$1,0)+1),MATCH(E$1,[2]quests!$1:$1,0)-MATCH($B$1,[2]quests!$1:$1,0)+1,FALSE)</f>
        <v>【火曜限定】 赤の素材</v>
      </c>
      <c r="F75" s="5" t="str">
        <f ca="1">VLOOKUP($D75,OFFSET([2]stages!$A$1,0,0,COUNTA([2]stages!$A:$A),MATCH(F$1,[2]stages!$2:$2,0)-MATCH($D$1,[2]stages!$2:$2,0)+1),MATCH(F$1,[2]stages!$2:$2,0)-MATCH($D$1,[2]stages!$2:$2,0)+1,FALSE)</f>
        <v xml:space="preserve">【上級】火のイモムシ </v>
      </c>
      <c r="G75" s="25">
        <v>3</v>
      </c>
      <c r="H75" s="16" t="str">
        <f t="shared" si="49"/>
        <v>11002_3-3</v>
      </c>
      <c r="I75" s="5">
        <f ca="1">VLOOKUP($H75,OFFSET(floors!$A$1,0,0,COUNTA(floors!$A:$A),MATCH(I$1,floors!$1:$1,0)-MATCH($H$1,floors!$1:$1,0)+1),MATCH(I$1,floors!$1:$1,0)-MATCH($H$1,floors!$1:$1,0)+1,FALSE)</f>
        <v>45</v>
      </c>
      <c r="J75" s="5">
        <f ca="1">VLOOKUP($H75,OFFSET(floors!$A$1,0,0,COUNTA(floors!$A:$A),MATCH(J$1,floors!$1:$1,0)-MATCH($H$1,floors!$1:$1,0)+1),MATCH(J$1,floors!$1:$1,0)-MATCH($H$1,floors!$1:$1,0)+1,FALSE)</f>
        <v>45</v>
      </c>
      <c r="K75" s="24" t="s">
        <v>197</v>
      </c>
      <c r="L75" s="24">
        <v>21</v>
      </c>
      <c r="M75" s="20" t="str">
        <f ca="1">VLOOKUP($L75,OFFSET([3]enemies!$A$1,0,0,COUNTA([3]enemies!$A:$A),MATCH(M$1,[3]enemies!$1:$1,0)-MATCH($L$1,[3]enemies!$1:$1,0)+1),MATCH(M$1,[3]enemies!$1:$1,0)-MATCH($L$1,[3]enemies!$1:$1,0)+1,FALSE)</f>
        <v>ヴェロキー</v>
      </c>
      <c r="N75" s="20" t="str">
        <f ca="1">VLOOKUP($L75,OFFSET([3]enemies!$A$1,0,0,COUNTA([3]enemies!$A:$A),MATCH(N$1,[3]enemies!$1:$1,0)-MATCH($L$1,[3]enemies!$1:$1,0)+1),MATCH(N$1,[3]enemies!$1:$1,0)-MATCH($L$1,[3]enemies!$1:$1,0)+1,FALSE)</f>
        <v>red</v>
      </c>
      <c r="O75" s="22" t="str">
        <f ca="1">VLOOKUP($L75,OFFSET([4]characters!$A$1,0,0,COUNTA([4]characters!$A:$A),MATCH(O$1,[4]characters!$1:$1,0)-MATCH($L$1,[4]characters!$1:$1,0)+1),MATCH(O$1,[4]characters!$1:$1,0)-MATCH($L$1,[4]characters!$1:$1,0)+1,FALSE)</f>
        <v>Drop1N</v>
      </c>
      <c r="P75" s="20" t="str">
        <f ca="1">VLOOKUP($L75,OFFSET([3]enemies!$A$1,0,0,COUNTA([3]enemies!$A:$A),MATCH(P$1,[3]enemies!$1:$1,0)-MATCH($L$1,[3]enemies!$1:$1,0)+1),MATCH(P$1,[3]enemies!$1:$1,0)-MATCH($L$1,[3]enemies!$1:$1,0)+1,FALSE)</f>
        <v>dragon</v>
      </c>
      <c r="Q75" s="20">
        <f ca="1">VLOOKUP($L75,OFFSET([3]enemies!$A$1,0,0,COUNTA([3]enemies!$A:$A),MATCH(Q$1,[3]enemies!$1:$1,0)-MATCH($L$1,[3]enemies!$1:$1,0)+1),MATCH(Q$1,[3]enemies!$1:$1,0)-MATCH($L$1,[3]enemies!$1:$1,0)+1,FALSE)</f>
        <v>15</v>
      </c>
      <c r="R75" s="6">
        <v>35</v>
      </c>
      <c r="S75" s="39">
        <v>1</v>
      </c>
      <c r="T75" s="39">
        <v>1</v>
      </c>
      <c r="U75" s="6">
        <v>0</v>
      </c>
      <c r="V75" s="5" t="str">
        <f ca="1">VLOOKUP($W75,OFFSET([5]enemy_skill_sets!$B$1,0,0,COUNTA([5]enemy_skill_sets!$B:$B),MATCH(M$1,[5]enemy_skill_sets!$1:$1,0)-MATCH($W$1,[5]enemy_skill_sets!$1:$1,0)+2),MATCH(M$1,[5]enemy_skill_sets!$1:$1,0)-MATCH($W$1,[5]enemy_skill_sets!$1:$1,0)+2,FALSE)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5" s="5">
        <f ca="1">VLOOKUP($L75,OFFSET([3]enemies!$A$1,0,0,COUNTA([3]enemies!$A:$A),MATCH(W$1,[3]enemies!$1:$1,0)-MATCH($L$1,[3]enemies!$1:$1,0)+1),MATCH(W$1,[3]enemies!$1:$1,0)-MATCH($L$1,[3]enemies!$1:$1,0)+1,FALSE)</f>
        <v>0</v>
      </c>
      <c r="X75" s="7">
        <v>0</v>
      </c>
      <c r="Y75" s="7">
        <v>100</v>
      </c>
      <c r="Z75" s="7">
        <v>0</v>
      </c>
      <c r="AA75" s="20">
        <f ca="1">VLOOKUP($L75,OFFSET([3]enemies!$A$1,0,0,COUNTA([3]enemies!$A:$A),MATCH(AA$1,[3]enemies!$1:$1,0)-MATCH($L$1,[3]enemies!$1:$1,0)+1),MATCH(AA$1,[3]enemies!$1:$1,0)-MATCH($L$1,[3]enemies!$1:$1,0)+1,FALSE)</f>
        <v>2</v>
      </c>
      <c r="AB75" s="24">
        <v>21</v>
      </c>
      <c r="AC75" s="5" t="str">
        <f ca="1">IFERROR(VLOOKUP($AB75,OFFSET([4]characters!$A$1,0,0,COUNTA([4]characters!$A:$A),MATCH(AC$1,[4]characters!$1:$1,0)-MATCH("character_id",[4]characters!$1:$1,0)+1),MATCH(AC$1,[4]characters!$1:$1,0)-MATCH("character_id",[4]characters!$1:$1,0)+1,FALSE),"")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75" s="5">
        <f ca="1">IFERROR(VLOOKUP($AB75,OFFSET([4]characters!$A$1,0,0,COUNTA([4]characters!$A:$A),MATCH(AD$1,[4]characters!$1:$1,0)-MATCH("character_id",[4]characters!$1:$1,0)+1),MATCH(AD$1,[4]characters!$1:$1,0)-MATCH("character_id",[4]characters!$1:$1,0)+1,FALSE),"")</f>
        <v>1</v>
      </c>
      <c r="AE75" s="5" t="str">
        <f ca="1">IFERROR(VLOOKUP($AB75,OFFSET([4]characters!$A$1,0,0,COUNTA([4]characters!$A:$A),MATCH(AE$1,[4]characters!$1:$1,0)-MATCH("character_id",[4]characters!$1:$1,0)+1),MATCH(AE$1,[4]characters!$1:$1,0)-MATCH("character_id",[4]characters!$1:$1,0)+1,FALSE),"")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75" s="8">
        <v>1</v>
      </c>
      <c r="AG75" s="27">
        <f t="shared" ca="1" si="47"/>
        <v>1</v>
      </c>
      <c r="AH75" s="9">
        <v>0</v>
      </c>
      <c r="AI75" s="8">
        <v>0</v>
      </c>
      <c r="AJ75" s="8">
        <v>0</v>
      </c>
      <c r="AK75" s="8">
        <v>0</v>
      </c>
      <c r="AL75" s="8">
        <v>0</v>
      </c>
      <c r="AM75" s="8">
        <v>1</v>
      </c>
      <c r="AN75" s="8">
        <v>1</v>
      </c>
    </row>
    <row r="76" spans="1:40" ht="21" customHeight="1" x14ac:dyDescent="0.15">
      <c r="A76" s="17" t="str">
        <f t="shared" ca="1" si="48"/>
        <v>11002_3-3/332&lt;lv1&gt;s1</v>
      </c>
      <c r="B76" s="8">
        <v>11002</v>
      </c>
      <c r="C76" s="25">
        <v>3</v>
      </c>
      <c r="D76" s="2" t="str">
        <f t="shared" si="46"/>
        <v>11002_3</v>
      </c>
      <c r="E76" s="5" t="str">
        <f ca="1">VLOOKUP($B76,OFFSET([2]quests!$A$1,0,0,COUNTA([2]quests!$A:$A),MATCH(E$1,[2]quests!$1:$1,0)-MATCH($B$1,[2]quests!$1:$1,0)+1),MATCH(E$1,[2]quests!$1:$1,0)-MATCH($B$1,[2]quests!$1:$1,0)+1,FALSE)</f>
        <v>【火曜限定】 赤の素材</v>
      </c>
      <c r="F76" s="5" t="str">
        <f ca="1">VLOOKUP($D76,OFFSET([2]stages!$A$1,0,0,COUNTA([2]stages!$A:$A),MATCH(F$1,[2]stages!$2:$2,0)-MATCH($D$1,[2]stages!$2:$2,0)+1),MATCH(F$1,[2]stages!$2:$2,0)-MATCH($D$1,[2]stages!$2:$2,0)+1,FALSE)</f>
        <v xml:space="preserve">【上級】火のイモムシ </v>
      </c>
      <c r="G76" s="25">
        <v>3</v>
      </c>
      <c r="H76" s="16" t="str">
        <f t="shared" si="49"/>
        <v>11002_3-3</v>
      </c>
      <c r="I76" s="5">
        <f ca="1">VLOOKUP($H76,OFFSET(floors!$A$1,0,0,COUNTA(floors!$A:$A),MATCH(I$1,floors!$1:$1,0)-MATCH($H$1,floors!$1:$1,0)+1),MATCH(I$1,floors!$1:$1,0)-MATCH($H$1,floors!$1:$1,0)+1,FALSE)</f>
        <v>45</v>
      </c>
      <c r="J76" s="5">
        <f ca="1">VLOOKUP($H76,OFFSET(floors!$A$1,0,0,COUNTA(floors!$A:$A),MATCH(J$1,floors!$1:$1,0)-MATCH($H$1,floors!$1:$1,0)+1),MATCH(J$1,floors!$1:$1,0)-MATCH($H$1,floors!$1:$1,0)+1,FALSE)</f>
        <v>45</v>
      </c>
      <c r="K76" s="24" t="s">
        <v>197</v>
      </c>
      <c r="L76" s="24">
        <v>332</v>
      </c>
      <c r="M76" s="20" t="str">
        <f ca="1">VLOOKUP($L76,OFFSET([3]enemies!$A$1,0,0,COUNTA([3]enemies!$A:$A),MATCH(M$1,[3]enemies!$1:$1,0)-MATCH($L$1,[3]enemies!$1:$1,0)+1),MATCH(M$1,[3]enemies!$1:$1,0)-MATCH($L$1,[3]enemies!$1:$1,0)+1,FALSE)</f>
        <v>炎のメタルピヨピヨ</v>
      </c>
      <c r="N76" s="20" t="str">
        <f ca="1">VLOOKUP($L76,OFFSET([3]enemies!$A$1,0,0,COUNTA([3]enemies!$A:$A),MATCH(N$1,[3]enemies!$1:$1,0)-MATCH($L$1,[3]enemies!$1:$1,0)+1),MATCH(N$1,[3]enemies!$1:$1,0)-MATCH($L$1,[3]enemies!$1:$1,0)+1,FALSE)</f>
        <v>red</v>
      </c>
      <c r="O76" s="22" t="str">
        <f ca="1">VLOOKUP($L76,OFFSET([4]characters!$A$1,0,0,COUNTA([4]characters!$A:$A),MATCH(O$1,[4]characters!$1:$1,0)-MATCH($L$1,[4]characters!$1:$1,0)+1),MATCH(O$1,[4]characters!$1:$1,0)-MATCH($L$1,[4]characters!$1:$1,0)+1,FALSE)</f>
        <v>Material</v>
      </c>
      <c r="P76" s="20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20">
        <f ca="1">VLOOKUP($L76,OFFSET([3]enemies!$A$1,0,0,COUNTA([3]enemies!$A:$A),MATCH(Q$1,[3]enemies!$1:$1,0)-MATCH($L$1,[3]enemies!$1:$1,0)+1),MATCH(Q$1,[3]enemies!$1:$1,0)-MATCH($L$1,[3]enemies!$1:$1,0)+1,FALSE)</f>
        <v>15</v>
      </c>
      <c r="R76" s="6">
        <v>1</v>
      </c>
      <c r="S76" s="39">
        <v>1</v>
      </c>
      <c r="T76" s="39">
        <v>1</v>
      </c>
      <c r="U76" s="6">
        <v>0</v>
      </c>
      <c r="V76" s="5" t="str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6" s="5">
        <f ca="1">VLOOKUP($L76,OFFSET([3]enemies!$A$1,0,0,COUNTA([3]enemies!$A:$A),MATCH(W$1,[3]enemies!$1:$1,0)-MATCH($L$1,[3]enemies!$1:$1,0)+1),MATCH(W$1,[3]enemies!$1:$1,0)-MATCH($L$1,[3]enemies!$1:$1,0)+1,FALSE)</f>
        <v>0</v>
      </c>
      <c r="X76" s="7">
        <v>0</v>
      </c>
      <c r="Y76" s="7">
        <v>30</v>
      </c>
      <c r="Z76" s="7">
        <v>0</v>
      </c>
      <c r="AA76" s="20">
        <f ca="1">VLOOKUP($L76,OFFSET([3]enemies!$A$1,0,0,COUNTA([3]enemies!$A:$A),MATCH(AA$1,[3]enemies!$1:$1,0)-MATCH($L$1,[3]enemies!$1:$1,0)+1),MATCH(AA$1,[3]enemies!$1:$1,0)-MATCH($L$1,[3]enemies!$1:$1,0)+1,FALSE)</f>
        <v>1</v>
      </c>
      <c r="AB76" s="24">
        <v>332</v>
      </c>
      <c r="AC76" s="5" t="str">
        <f ca="1">IFERROR(VLOOKUP($AB76,OFFSET([4]characters!$A$1,0,0,COUNTA([4]characters!$A:$A),MATCH(AC$1,[4]characters!$1:$1,0)-MATCH("character_id",[4]characters!$1:$1,0)+1),MATCH(AC$1,[4]characters!$1:$1,0)-MATCH("character_id",[4]characters!$1:$1,0)+1,FALSE),"")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76" s="5">
        <f ca="1">IFERROR(VLOOKUP($AB76,OFFSET([4]characters!$A$1,0,0,COUNTA([4]characters!$A:$A),MATCH(AD$1,[4]characters!$1:$1,0)-MATCH("character_id",[4]characters!$1:$1,0)+1),MATCH(AD$1,[4]characters!$1:$1,0)-MATCH("character_id",[4]characters!$1:$1,0)+1,FALSE),"")</f>
        <v>3</v>
      </c>
      <c r="AE76" s="5" t="str">
        <f ca="1">IFERROR(VLOOKUP($AB76,OFFSET([4]characters!$A$1,0,0,COUNTA([4]characters!$A:$A),MATCH(AE$1,[4]characters!$1:$1,0)-MATCH("character_id",[4]characters!$1:$1,0)+1),MATCH(AE$1,[4]characters!$1:$1,0)-MATCH("character_id",[4]characters!$1:$1,0)+1,FALSE),"")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6" s="8">
        <v>1</v>
      </c>
      <c r="AG76" s="27">
        <f t="shared" ca="1" si="47"/>
        <v>3</v>
      </c>
      <c r="AH76" s="9">
        <v>10</v>
      </c>
      <c r="AI76" s="8">
        <v>0</v>
      </c>
      <c r="AJ76" s="8">
        <v>0</v>
      </c>
      <c r="AK76" s="8">
        <v>0</v>
      </c>
      <c r="AL76" s="8">
        <v>0</v>
      </c>
      <c r="AM76" s="8">
        <v>1</v>
      </c>
      <c r="AN76" s="8">
        <v>1</v>
      </c>
    </row>
    <row r="77" spans="1:40" ht="21" customHeight="1" x14ac:dyDescent="0.15">
      <c r="A77" s="17" t="str">
        <f t="shared" ca="1" si="48"/>
        <v>11002_3-3/333&lt;lv1&gt;s2</v>
      </c>
      <c r="B77" s="8">
        <v>11002</v>
      </c>
      <c r="C77" s="25">
        <v>3</v>
      </c>
      <c r="D77" s="2" t="str">
        <f t="shared" si="46"/>
        <v>11002_3</v>
      </c>
      <c r="E77" s="5" t="str">
        <f ca="1">VLOOKUP($B77,OFFSET([2]quests!$A$1,0,0,COUNTA([2]quests!$A:$A),MATCH(E$1,[2]quests!$1:$1,0)-MATCH($B$1,[2]quests!$1:$1,0)+1),MATCH(E$1,[2]quests!$1:$1,0)-MATCH($B$1,[2]quests!$1:$1,0)+1,FALSE)</f>
        <v>【火曜限定】 赤の素材</v>
      </c>
      <c r="F77" s="5" t="str">
        <f ca="1">VLOOKUP($D77,OFFSET([2]stages!$A$1,0,0,COUNTA([2]stages!$A:$A),MATCH(F$1,[2]stages!$2:$2,0)-MATCH($D$1,[2]stages!$2:$2,0)+1),MATCH(F$1,[2]stages!$2:$2,0)-MATCH($D$1,[2]stages!$2:$2,0)+1,FALSE)</f>
        <v xml:space="preserve">【上級】火のイモムシ </v>
      </c>
      <c r="G77" s="25">
        <v>3</v>
      </c>
      <c r="H77" s="16" t="str">
        <f t="shared" si="49"/>
        <v>11002_3-3</v>
      </c>
      <c r="I77" s="5">
        <f ca="1">VLOOKUP($H77,OFFSET(floors!$A$1,0,0,COUNTA(floors!$A:$A),MATCH(I$1,floors!$1:$1,0)-MATCH($H$1,floors!$1:$1,0)+1),MATCH(I$1,floors!$1:$1,0)-MATCH($H$1,floors!$1:$1,0)+1,FALSE)</f>
        <v>45</v>
      </c>
      <c r="J77" s="5">
        <f ca="1">VLOOKUP($H77,OFFSET(floors!$A$1,0,0,COUNTA(floors!$A:$A),MATCH(J$1,floors!$1:$1,0)-MATCH($H$1,floors!$1:$1,0)+1),MATCH(J$1,floors!$1:$1,0)-MATCH($H$1,floors!$1:$1,0)+1,FALSE)</f>
        <v>45</v>
      </c>
      <c r="K77" s="24" t="s">
        <v>197</v>
      </c>
      <c r="L77" s="24">
        <v>333</v>
      </c>
      <c r="M77" s="20" t="str">
        <f ca="1">VLOOKUP($L77,OFFSET([3]enemies!$A$1,0,0,COUNTA([3]enemies!$A:$A),MATCH(M$1,[3]enemies!$1:$1,0)-MATCH($L$1,[3]enemies!$1:$1,0)+1),MATCH(M$1,[3]enemies!$1:$1,0)-MATCH($L$1,[3]enemies!$1:$1,0)+1,FALSE)</f>
        <v>炎のメタルチック</v>
      </c>
      <c r="N77" s="20" t="str">
        <f ca="1">VLOOKUP($L77,OFFSET([3]enemies!$A$1,0,0,COUNTA([3]enemies!$A:$A),MATCH(N$1,[3]enemies!$1:$1,0)-MATCH($L$1,[3]enemies!$1:$1,0)+1),MATCH(N$1,[3]enemies!$1:$1,0)-MATCH($L$1,[3]enemies!$1:$1,0)+1,FALSE)</f>
        <v>red</v>
      </c>
      <c r="O77" s="22" t="str">
        <f ca="1">VLOOKUP($L77,OFFSET([4]characters!$A$1,0,0,COUNTA([4]characters!$A:$A),MATCH(O$1,[4]characters!$1:$1,0)-MATCH($L$1,[4]characters!$1:$1,0)+1),MATCH(O$1,[4]characters!$1:$1,0)-MATCH($L$1,[4]characters!$1:$1,0)+1,FALSE)</f>
        <v>Material</v>
      </c>
      <c r="P77" s="20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20">
        <f ca="1">VLOOKUP($L77,OFFSET([3]enemies!$A$1,0,0,COUNTA([3]enemies!$A:$A),MATCH(Q$1,[3]enemies!$1:$1,0)-MATCH($L$1,[3]enemies!$1:$1,0)+1),MATCH(Q$1,[3]enemies!$1:$1,0)-MATCH($L$1,[3]enemies!$1:$1,0)+1,FALSE)</f>
        <v>15</v>
      </c>
      <c r="R77" s="6">
        <v>1</v>
      </c>
      <c r="S77" s="39">
        <v>1</v>
      </c>
      <c r="T77" s="39">
        <v>1</v>
      </c>
      <c r="U77" s="6">
        <v>0</v>
      </c>
      <c r="V77" s="5" t="str">
        <f ca="1">VLOOKUP($W77,OFFSET([5]enemy_skill_sets!$B$1,0,0,COUNTA([5]enemy_skill_sets!$B:$B),MATCH(M$1,[5]enemy_skill_sets!$1:$1,0)-MATCH($W$1,[5]enemy_skill_sets!$1:$1,0)+2),MATCH(M$1,[5]enemy_skill_sets!$1:$1,0)-MATCH($W$1,[5]enemy_skill_sets!$1:$1,0)+2,FALSE)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7" s="5">
        <f ca="1">VLOOKUP($L77,OFFSET([3]enemies!$A$1,0,0,COUNTA([3]enemies!$A:$A),MATCH(W$1,[3]enemies!$1:$1,0)-MATCH($L$1,[3]enemies!$1:$1,0)+1),MATCH(W$1,[3]enemies!$1:$1,0)-MATCH($L$1,[3]enemies!$1:$1,0)+1,FALSE)</f>
        <v>0</v>
      </c>
      <c r="X77" s="7">
        <v>0</v>
      </c>
      <c r="Y77" s="7">
        <v>30</v>
      </c>
      <c r="Z77" s="7">
        <v>0</v>
      </c>
      <c r="AA77" s="20">
        <f ca="1">VLOOKUP($L77,OFFSET([3]enemies!$A$1,0,0,COUNTA([3]enemies!$A:$A),MATCH(AA$1,[3]enemies!$1:$1,0)-MATCH($L$1,[3]enemies!$1:$1,0)+1),MATCH(AA$1,[3]enemies!$1:$1,0)-MATCH($L$1,[3]enemies!$1:$1,0)+1,FALSE)</f>
        <v>2</v>
      </c>
      <c r="AB77" s="24">
        <v>333</v>
      </c>
      <c r="AC77" s="5" t="str">
        <f ca="1">IFERROR(VLOOKUP($AB77,OFFSET([4]characters!$A$1,0,0,COUNTA([4]characters!$A:$A),MATCH(AC$1,[4]characters!$1:$1,0)-MATCH("character_id",[4]characters!$1:$1,0)+1),MATCH(AC$1,[4]characters!$1:$1,0)-MATCH("character_id",[4]characters!$1:$1,0)+1,FALSE),"")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77" s="5">
        <f ca="1">IFERROR(VLOOKUP($AB77,OFFSET([4]characters!$A$1,0,0,COUNTA([4]characters!$A:$A),MATCH(AD$1,[4]characters!$1:$1,0)-MATCH("character_id",[4]characters!$1:$1,0)+1),MATCH(AD$1,[4]characters!$1:$1,0)-MATCH("character_id",[4]characters!$1:$1,0)+1,FALSE),"")</f>
        <v>4</v>
      </c>
      <c r="AE77" s="5" t="str">
        <f ca="1">IFERROR(VLOOKUP($AB77,OFFSET([4]characters!$A$1,0,0,COUNTA([4]characters!$A:$A),MATCH(AE$1,[4]characters!$1:$1,0)-MATCH("character_id",[4]characters!$1:$1,0)+1),MATCH(AE$1,[4]characters!$1:$1,0)-MATCH("character_id",[4]characters!$1:$1,0)+1,FALSE),"")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7" s="8">
        <v>1</v>
      </c>
      <c r="AG77" s="27">
        <f t="shared" ca="1" si="47"/>
        <v>4</v>
      </c>
      <c r="AH77" s="9">
        <v>5</v>
      </c>
      <c r="AI77" s="8">
        <v>0</v>
      </c>
      <c r="AJ77" s="8">
        <v>0</v>
      </c>
      <c r="AK77" s="8">
        <v>0</v>
      </c>
      <c r="AL77" s="8">
        <v>0</v>
      </c>
      <c r="AM77" s="8">
        <v>1</v>
      </c>
      <c r="AN77" s="8">
        <v>1</v>
      </c>
    </row>
    <row r="78" spans="1:40" ht="21" customHeight="1" x14ac:dyDescent="0.15">
      <c r="A78" s="17" t="str">
        <f t="shared" ca="1" si="48"/>
        <v>11002_3-4/103&lt;lv30&gt;s3</v>
      </c>
      <c r="B78" s="8">
        <v>11002</v>
      </c>
      <c r="C78" s="25">
        <v>3</v>
      </c>
      <c r="D78" s="2" t="str">
        <f t="shared" si="46"/>
        <v>11002_3</v>
      </c>
      <c r="E78" s="5" t="str">
        <f ca="1">VLOOKUP($B78,OFFSET([2]quests!$A$1,0,0,COUNTA([2]quests!$A:$A),MATCH(E$1,[2]quests!$1:$1,0)-MATCH($B$1,[2]quests!$1:$1,0)+1),MATCH(E$1,[2]quests!$1:$1,0)-MATCH($B$1,[2]quests!$1:$1,0)+1,FALSE)</f>
        <v>【火曜限定】 赤の素材</v>
      </c>
      <c r="F78" s="5" t="str">
        <f ca="1">VLOOKUP($D78,OFFSET([2]stages!$A$1,0,0,COUNTA([2]stages!$A:$A),MATCH(F$1,[2]stages!$2:$2,0)-MATCH($D$1,[2]stages!$2:$2,0)+1),MATCH(F$1,[2]stages!$2:$2,0)-MATCH($D$1,[2]stages!$2:$2,0)+1,FALSE)</f>
        <v xml:space="preserve">【上級】火のイモムシ </v>
      </c>
      <c r="G78" s="25">
        <v>4</v>
      </c>
      <c r="H78" s="16" t="str">
        <f t="shared" si="49"/>
        <v>11002_3-4</v>
      </c>
      <c r="I78" s="5">
        <f ca="1">VLOOKUP($H78,OFFSET(floors!$A$1,0,0,COUNTA(floors!$A:$A),MATCH(I$1,floors!$1:$1,0)-MATCH($H$1,floors!$1:$1,0)+1),MATCH(I$1,floors!$1:$1,0)-MATCH($H$1,floors!$1:$1,0)+1,FALSE)</f>
        <v>45</v>
      </c>
      <c r="J78" s="5">
        <f ca="1">VLOOKUP($H78,OFFSET(floors!$A$1,0,0,COUNTA(floors!$A:$A),MATCH(J$1,floors!$1:$1,0)-MATCH($H$1,floors!$1:$1,0)+1),MATCH(J$1,floors!$1:$1,0)-MATCH($H$1,floors!$1:$1,0)+1,FALSE)</f>
        <v>60</v>
      </c>
      <c r="K78" s="24" t="s">
        <v>197</v>
      </c>
      <c r="L78" s="24">
        <v>103</v>
      </c>
      <c r="M78" s="20" t="str">
        <f ca="1">VLOOKUP($L78,OFFSET([3]enemies!$A$1,0,0,COUNTA([3]enemies!$A:$A),MATCH(M$1,[3]enemies!$1:$1,0)-MATCH($L$1,[3]enemies!$1:$1,0)+1),MATCH(M$1,[3]enemies!$1:$1,0)-MATCH($L$1,[3]enemies!$1:$1,0)+1,FALSE)</f>
        <v>レッドキャタップ</v>
      </c>
      <c r="N78" s="20" t="str">
        <f ca="1">VLOOKUP($L78,OFFSET([3]enemies!$A$1,0,0,COUNTA([3]enemies!$A:$A),MATCH(N$1,[3]enemies!$1:$1,0)-MATCH($L$1,[3]enemies!$1:$1,0)+1),MATCH(N$1,[3]enemies!$1:$1,0)-MATCH($L$1,[3]enemies!$1:$1,0)+1,FALSE)</f>
        <v>red</v>
      </c>
      <c r="O78" s="22" t="str">
        <f ca="1">VLOOKUP($L78,OFFSET([4]characters!$A$1,0,0,COUNTA([4]characters!$A:$A),MATCH(O$1,[4]characters!$1:$1,0)-MATCH($L$1,[4]characters!$1:$1,0)+1),MATCH(O$1,[4]characters!$1:$1,0)-MATCH($L$1,[4]characters!$1:$1,0)+1,FALSE)</f>
        <v>Material</v>
      </c>
      <c r="P78" s="20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20">
        <f ca="1">VLOOKUP($L78,OFFSET([3]enemies!$A$1,0,0,COUNTA([3]enemies!$A:$A),MATCH(Q$1,[3]enemies!$1:$1,0)-MATCH($L$1,[3]enemies!$1:$1,0)+1),MATCH(Q$1,[3]enemies!$1:$1,0)-MATCH($L$1,[3]enemies!$1:$1,0)+1,FALSE)</f>
        <v>15</v>
      </c>
      <c r="R78" s="6">
        <v>30</v>
      </c>
      <c r="S78" s="39">
        <v>2</v>
      </c>
      <c r="T78" s="39">
        <v>1</v>
      </c>
      <c r="U78" s="6">
        <v>0</v>
      </c>
      <c r="V78" s="5" t="str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8" s="5">
        <f ca="1">VLOOKUP($L78,OFFSET([3]enemies!$A$1,0,0,COUNTA([3]enemies!$A:$A),MATCH(W$1,[3]enemies!$1:$1,0)-MATCH($L$1,[3]enemies!$1:$1,0)+1),MATCH(W$1,[3]enemies!$1:$1,0)-MATCH($L$1,[3]enemies!$1:$1,0)+1,FALSE)</f>
        <v>0</v>
      </c>
      <c r="X78" s="7">
        <v>1</v>
      </c>
      <c r="Y78" s="7">
        <v>100</v>
      </c>
      <c r="Z78" s="7">
        <v>1</v>
      </c>
      <c r="AA78" s="20">
        <f ca="1">VLOOKUP($L78,OFFSET([3]enemies!$A$1,0,0,COUNTA([3]enemies!$A:$A),MATCH(AA$1,[3]enemies!$1:$1,0)-MATCH($L$1,[3]enemies!$1:$1,0)+1),MATCH(AA$1,[3]enemies!$1:$1,0)-MATCH($L$1,[3]enemies!$1:$1,0)+1,FALSE)</f>
        <v>3</v>
      </c>
      <c r="AB78" s="24">
        <v>103</v>
      </c>
      <c r="AC78" s="5" t="str">
        <f ca="1">IFERROR(VLOOKUP($AB78,OFFSET([4]characters!$A$1,0,0,COUNTA([4]characters!$A:$A),MATCH(AC$1,[4]characters!$1:$1,0)-MATCH("character_id",[4]characters!$1:$1,0)+1),MATCH(AC$1,[4]characters!$1:$1,0)-MATCH("character_id",[4]characters!$1:$1,0)+1,FALSE),"")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78" s="5">
        <f ca="1">IFERROR(VLOOKUP($AB78,OFFSET([4]characters!$A$1,0,0,COUNTA([4]characters!$A:$A),MATCH(AD$1,[4]characters!$1:$1,0)-MATCH("character_id",[4]characters!$1:$1,0)+1),MATCH(AD$1,[4]characters!$1:$1,0)-MATCH("character_id",[4]characters!$1:$1,0)+1,FALSE),"")</f>
        <v>4</v>
      </c>
      <c r="AE78" s="5" t="str">
        <f ca="1">IFERROR(VLOOKUP($AB78,OFFSET([4]characters!$A$1,0,0,COUNTA([4]characters!$A:$A),MATCH(AE$1,[4]characters!$1:$1,0)-MATCH("character_id",[4]characters!$1:$1,0)+1),MATCH(AE$1,[4]characters!$1:$1,0)-MATCH("character_id",[4]characters!$1:$1,0)+1,FALSE),"")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8" s="8">
        <v>1</v>
      </c>
      <c r="AG78" s="27">
        <f t="shared" ca="1" si="47"/>
        <v>4</v>
      </c>
      <c r="AH78" s="9">
        <v>30</v>
      </c>
      <c r="AI78" s="8">
        <v>0</v>
      </c>
      <c r="AJ78" s="8">
        <v>0</v>
      </c>
      <c r="AK78" s="8">
        <v>0</v>
      </c>
      <c r="AL78" s="8">
        <v>0</v>
      </c>
      <c r="AM78" s="8">
        <v>1</v>
      </c>
      <c r="AN78" s="8">
        <v>1</v>
      </c>
    </row>
    <row r="79" spans="1:40" ht="21" customHeight="1" x14ac:dyDescent="0.15">
      <c r="A79" s="17" t="str">
        <f t="shared" ref="A79:A82" ca="1" si="53">B79&amp;"_"&amp;C79&amp;"-"&amp;G79&amp;"/"&amp;L79&amp;"&lt;lv"&amp;R79&amp;"&gt;s"&amp;AA79</f>
        <v>11002_3-4/33&lt;lv35&gt;s2</v>
      </c>
      <c r="B79" s="8">
        <v>11002</v>
      </c>
      <c r="C79" s="25">
        <v>3</v>
      </c>
      <c r="D79" s="2" t="str">
        <f t="shared" ref="D79:D82" si="54">B79&amp;"_"&amp;C79</f>
        <v>11002_3</v>
      </c>
      <c r="E79" s="5" t="str">
        <f ca="1">VLOOKUP($B79,OFFSET([2]quests!$A$1,0,0,COUNTA([2]quests!$A:$A),MATCH(E$1,[2]quests!$1:$1,0)-MATCH($B$1,[2]quests!$1:$1,0)+1),MATCH(E$1,[2]quests!$1:$1,0)-MATCH($B$1,[2]quests!$1:$1,0)+1,FALSE)</f>
        <v>【火曜限定】 赤の素材</v>
      </c>
      <c r="F79" s="5" t="str">
        <f ca="1">VLOOKUP($D79,OFFSET([2]stages!$A$1,0,0,COUNTA([2]stages!$A:$A),MATCH(F$1,[2]stages!$2:$2,0)-MATCH($D$1,[2]stages!$2:$2,0)+1),MATCH(F$1,[2]stages!$2:$2,0)-MATCH($D$1,[2]stages!$2:$2,0)+1,FALSE)</f>
        <v xml:space="preserve">【上級】火のイモムシ </v>
      </c>
      <c r="G79" s="25">
        <v>4</v>
      </c>
      <c r="H79" s="16" t="str">
        <f t="shared" si="49"/>
        <v>11002_3-4</v>
      </c>
      <c r="I79" s="5">
        <f ca="1">VLOOKUP($H79,OFFSET(floors!$A$1,0,0,COUNTA(floors!$A:$A),MATCH(I$1,floors!$1:$1,0)-MATCH($H$1,floors!$1:$1,0)+1),MATCH(I$1,floors!$1:$1,0)-MATCH($H$1,floors!$1:$1,0)+1,FALSE)</f>
        <v>45</v>
      </c>
      <c r="J79" s="5">
        <f ca="1">VLOOKUP($H79,OFFSET(floors!$A$1,0,0,COUNTA(floors!$A:$A),MATCH(J$1,floors!$1:$1,0)-MATCH($H$1,floors!$1:$1,0)+1),MATCH(J$1,floors!$1:$1,0)-MATCH($H$1,floors!$1:$1,0)+1,FALSE)</f>
        <v>60</v>
      </c>
      <c r="K79" s="24" t="s">
        <v>197</v>
      </c>
      <c r="L79" s="24">
        <v>33</v>
      </c>
      <c r="M79" s="20" t="str">
        <f ca="1">VLOOKUP($L79,OFFSET([3]enemies!$A$1,0,0,COUNTA([3]enemies!$A:$A),MATCH(M$1,[3]enemies!$1:$1,0)-MATCH($L$1,[3]enemies!$1:$1,0)+1),MATCH(M$1,[3]enemies!$1:$1,0)-MATCH($L$1,[3]enemies!$1:$1,0)+1,FALSE)</f>
        <v>ゴクウ</v>
      </c>
      <c r="N79" s="20" t="str">
        <f ca="1">VLOOKUP($L79,OFFSET([3]enemies!$A$1,0,0,COUNTA([3]enemies!$A:$A),MATCH(N$1,[3]enemies!$1:$1,0)-MATCH($L$1,[3]enemies!$1:$1,0)+1),MATCH(N$1,[3]enemies!$1:$1,0)-MATCH($L$1,[3]enemies!$1:$1,0)+1,FALSE)</f>
        <v>red</v>
      </c>
      <c r="O79" s="22" t="str">
        <f ca="1">VLOOKUP($L79,OFFSET([4]characters!$A$1,0,0,COUNTA([4]characters!$A:$A),MATCH(O$1,[4]characters!$1:$1,0)-MATCH($L$1,[4]characters!$1:$1,0)+1),MATCH(O$1,[4]characters!$1:$1,0)-MATCH($L$1,[4]characters!$1:$1,0)+1,FALSE)</f>
        <v>Drop1S</v>
      </c>
      <c r="P79" s="20" t="str">
        <f ca="1">VLOOKUP($L79,OFFSET([3]enemies!$A$1,0,0,COUNTA([3]enemies!$A:$A),MATCH(P$1,[3]enemies!$1:$1,0)-MATCH($L$1,[3]enemies!$1:$1,0)+1),MATCH(P$1,[3]enemies!$1:$1,0)-MATCH($L$1,[3]enemies!$1:$1,0)+1,FALSE)</f>
        <v>animal</v>
      </c>
      <c r="Q79" s="20">
        <f ca="1">VLOOKUP($L79,OFFSET([3]enemies!$A$1,0,0,COUNTA([3]enemies!$A:$A),MATCH(Q$1,[3]enemies!$1:$1,0)-MATCH($L$1,[3]enemies!$1:$1,0)+1),MATCH(Q$1,[3]enemies!$1:$1,0)-MATCH($L$1,[3]enemies!$1:$1,0)+1,FALSE)</f>
        <v>15</v>
      </c>
      <c r="R79" s="6">
        <v>35</v>
      </c>
      <c r="S79" s="39">
        <v>1</v>
      </c>
      <c r="T79" s="39">
        <v>1</v>
      </c>
      <c r="U79" s="6">
        <v>0</v>
      </c>
      <c r="V79" s="5" t="str">
        <f ca="1">VLOOKUP($W79,OFFSET([5]enemy_skill_sets!$B$1,0,0,COUNTA([5]enemy_skill_sets!$B:$B),MATCH(M$1,[5]enemy_skill_sets!$1:$1,0)-MATCH($W$1,[5]enemy_skill_sets!$1:$1,0)+2),MATCH(M$1,[5]enemy_skill_sets!$1:$1,0)-MATCH($W$1,[5]enemy_skill_sets!$1:$1,0)+2,FALSE)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79" s="5">
        <f ca="1">VLOOKUP($L79,OFFSET([3]enemies!$A$1,0,0,COUNTA([3]enemies!$A:$A),MATCH(W$1,[3]enemies!$1:$1,0)-MATCH($L$1,[3]enemies!$1:$1,0)+1),MATCH(W$1,[3]enemies!$1:$1,0)-MATCH($L$1,[3]enemies!$1:$1,0)+1,FALSE)</f>
        <v>33</v>
      </c>
      <c r="X79" s="7">
        <v>0</v>
      </c>
      <c r="Y79" s="7">
        <v>100</v>
      </c>
      <c r="Z79" s="7">
        <v>0</v>
      </c>
      <c r="AA79" s="20">
        <f ca="1">VLOOKUP($L79,OFFSET([3]enemies!$A$1,0,0,COUNTA([3]enemies!$A:$A),MATCH(AA$1,[3]enemies!$1:$1,0)-MATCH($L$1,[3]enemies!$1:$1,0)+1),MATCH(AA$1,[3]enemies!$1:$1,0)-MATCH($L$1,[3]enemies!$1:$1,0)+1,FALSE)</f>
        <v>2</v>
      </c>
      <c r="AB79" s="24">
        <v>33</v>
      </c>
      <c r="AC79" s="5" t="str">
        <f ca="1">IFERROR(VLOOKUP($AB79,OFFSET([4]characters!$A$1,0,0,COUNTA([4]characters!$A:$A),MATCH(AC$1,[4]characters!$1:$1,0)-MATCH("character_id",[4]characters!$1:$1,0)+1),MATCH(AC$1,[4]characters!$1:$1,0)-MATCH("character_id",[4]characters!$1:$1,0)+1,FALSE),"")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79" s="5">
        <f ca="1">IFERROR(VLOOKUP($AB79,OFFSET([4]characters!$A$1,0,0,COUNTA([4]characters!$A:$A),MATCH(AD$1,[4]characters!$1:$1,0)-MATCH("character_id",[4]characters!$1:$1,0)+1),MATCH(AD$1,[4]characters!$1:$1,0)-MATCH("character_id",[4]characters!$1:$1,0)+1,FALSE),"")</f>
        <v>2</v>
      </c>
      <c r="AE79" s="5" t="str">
        <f ca="1">IFERROR(VLOOKUP($AB79,OFFSET([4]characters!$A$1,0,0,COUNTA([4]characters!$A:$A),MATCH(AE$1,[4]characters!$1:$1,0)-MATCH("character_id",[4]characters!$1:$1,0)+1),MATCH(AE$1,[4]characters!$1:$1,0)-MATCH("character_id",[4]characters!$1:$1,0)+1,FALSE),"")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79" s="8">
        <v>1</v>
      </c>
      <c r="AG79" s="27">
        <f t="shared" ref="AG79:AG82" ca="1" si="55">AD79</f>
        <v>2</v>
      </c>
      <c r="AH79" s="9">
        <v>0</v>
      </c>
      <c r="AI79" s="8">
        <v>0</v>
      </c>
      <c r="AJ79" s="8">
        <v>0</v>
      </c>
      <c r="AK79" s="8">
        <v>0</v>
      </c>
      <c r="AL79" s="8">
        <v>0</v>
      </c>
      <c r="AM79" s="8">
        <v>1</v>
      </c>
      <c r="AN79" s="8">
        <v>1</v>
      </c>
    </row>
    <row r="80" spans="1:40" ht="21" customHeight="1" x14ac:dyDescent="0.15">
      <c r="A80" s="17" t="str">
        <f t="shared" ca="1" si="53"/>
        <v>11002_3-4/21&lt;lv35&gt;s2</v>
      </c>
      <c r="B80" s="8">
        <v>11002</v>
      </c>
      <c r="C80" s="25">
        <v>3</v>
      </c>
      <c r="D80" s="2" t="str">
        <f t="shared" si="54"/>
        <v>11002_3</v>
      </c>
      <c r="E80" s="5" t="str">
        <f ca="1">VLOOKUP($B80,OFFSET([2]quests!$A$1,0,0,COUNTA([2]quests!$A:$A),MATCH(E$1,[2]quests!$1:$1,0)-MATCH($B$1,[2]quests!$1:$1,0)+1),MATCH(E$1,[2]quests!$1:$1,0)-MATCH($B$1,[2]quests!$1:$1,0)+1,FALSE)</f>
        <v>【火曜限定】 赤の素材</v>
      </c>
      <c r="F80" s="5" t="str">
        <f ca="1">VLOOKUP($D80,OFFSET([2]stages!$A$1,0,0,COUNTA([2]stages!$A:$A),MATCH(F$1,[2]stages!$2:$2,0)-MATCH($D$1,[2]stages!$2:$2,0)+1),MATCH(F$1,[2]stages!$2:$2,0)-MATCH($D$1,[2]stages!$2:$2,0)+1,FALSE)</f>
        <v xml:space="preserve">【上級】火のイモムシ </v>
      </c>
      <c r="G80" s="25">
        <v>4</v>
      </c>
      <c r="H80" s="16" t="str">
        <f t="shared" si="49"/>
        <v>11002_3-4</v>
      </c>
      <c r="I80" s="5">
        <f ca="1">VLOOKUP($H80,OFFSET(floors!$A$1,0,0,COUNTA(floors!$A:$A),MATCH(I$1,floors!$1:$1,0)-MATCH($H$1,floors!$1:$1,0)+1),MATCH(I$1,floors!$1:$1,0)-MATCH($H$1,floors!$1:$1,0)+1,FALSE)</f>
        <v>45</v>
      </c>
      <c r="J80" s="5">
        <f ca="1">VLOOKUP($H80,OFFSET(floors!$A$1,0,0,COUNTA(floors!$A:$A),MATCH(J$1,floors!$1:$1,0)-MATCH($H$1,floors!$1:$1,0)+1),MATCH(J$1,floors!$1:$1,0)-MATCH($H$1,floors!$1:$1,0)+1,FALSE)</f>
        <v>60</v>
      </c>
      <c r="K80" s="24" t="s">
        <v>197</v>
      </c>
      <c r="L80" s="24">
        <v>21</v>
      </c>
      <c r="M80" s="20" t="str">
        <f ca="1">VLOOKUP($L80,OFFSET([3]enemies!$A$1,0,0,COUNTA([3]enemies!$A:$A),MATCH(M$1,[3]enemies!$1:$1,0)-MATCH($L$1,[3]enemies!$1:$1,0)+1),MATCH(M$1,[3]enemies!$1:$1,0)-MATCH($L$1,[3]enemies!$1:$1,0)+1,FALSE)</f>
        <v>ヴェロキー</v>
      </c>
      <c r="N80" s="20" t="str">
        <f ca="1">VLOOKUP($L80,OFFSET([3]enemies!$A$1,0,0,COUNTA([3]enemies!$A:$A),MATCH(N$1,[3]enemies!$1:$1,0)-MATCH($L$1,[3]enemies!$1:$1,0)+1),MATCH(N$1,[3]enemies!$1:$1,0)-MATCH($L$1,[3]enemies!$1:$1,0)+1,FALSE)</f>
        <v>red</v>
      </c>
      <c r="O80" s="22" t="str">
        <f ca="1">VLOOKUP($L80,OFFSET([4]characters!$A$1,0,0,COUNTA([4]characters!$A:$A),MATCH(O$1,[4]characters!$1:$1,0)-MATCH($L$1,[4]characters!$1:$1,0)+1),MATCH(O$1,[4]characters!$1:$1,0)-MATCH($L$1,[4]characters!$1:$1,0)+1,FALSE)</f>
        <v>Drop1N</v>
      </c>
      <c r="P80" s="20" t="str">
        <f ca="1">VLOOKUP($L80,OFFSET([3]enemies!$A$1,0,0,COUNTA([3]enemies!$A:$A),MATCH(P$1,[3]enemies!$1:$1,0)-MATCH($L$1,[3]enemies!$1:$1,0)+1),MATCH(P$1,[3]enemies!$1:$1,0)-MATCH($L$1,[3]enemies!$1:$1,0)+1,FALSE)</f>
        <v>dragon</v>
      </c>
      <c r="Q80" s="20">
        <f ca="1">VLOOKUP($L80,OFFSET([3]enemies!$A$1,0,0,COUNTA([3]enemies!$A:$A),MATCH(Q$1,[3]enemies!$1:$1,0)-MATCH($L$1,[3]enemies!$1:$1,0)+1),MATCH(Q$1,[3]enemies!$1:$1,0)-MATCH($L$1,[3]enemies!$1:$1,0)+1,FALSE)</f>
        <v>15</v>
      </c>
      <c r="R80" s="6">
        <v>35</v>
      </c>
      <c r="S80" s="39">
        <v>1</v>
      </c>
      <c r="T80" s="39">
        <v>1</v>
      </c>
      <c r="U80" s="6">
        <v>0</v>
      </c>
      <c r="V80" s="5" t="str">
        <f ca="1">VLOOKUP($W80,OFFSET([5]enemy_skill_sets!$B$1,0,0,COUNTA([5]enemy_skill_sets!$B:$B),MATCH(M$1,[5]enemy_skill_sets!$1:$1,0)-MATCH($W$1,[5]enemy_skill_sets!$1:$1,0)+2),MATCH(M$1,[5]enemy_skill_sets!$1:$1,0)-MATCH($W$1,[5]enemy_skill_sets!$1:$1,0)+2,FALSE)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0" s="5">
        <f ca="1">VLOOKUP($L80,OFFSET([3]enemies!$A$1,0,0,COUNTA([3]enemies!$A:$A),MATCH(W$1,[3]enemies!$1:$1,0)-MATCH($L$1,[3]enemies!$1:$1,0)+1),MATCH(W$1,[3]enemies!$1:$1,0)-MATCH($L$1,[3]enemies!$1:$1,0)+1,FALSE)</f>
        <v>0</v>
      </c>
      <c r="X80" s="7">
        <v>0</v>
      </c>
      <c r="Y80" s="7">
        <v>100</v>
      </c>
      <c r="Z80" s="7">
        <v>0</v>
      </c>
      <c r="AA80" s="20">
        <f ca="1">VLOOKUP($L80,OFFSET([3]enemies!$A$1,0,0,COUNTA([3]enemies!$A:$A),MATCH(AA$1,[3]enemies!$1:$1,0)-MATCH($L$1,[3]enemies!$1:$1,0)+1),MATCH(AA$1,[3]enemies!$1:$1,0)-MATCH($L$1,[3]enemies!$1:$1,0)+1,FALSE)</f>
        <v>2</v>
      </c>
      <c r="AB80" s="24">
        <v>21</v>
      </c>
      <c r="AC80" s="5" t="str">
        <f ca="1">IFERROR(VLOOKUP($AB80,OFFSET([4]characters!$A$1,0,0,COUNTA([4]characters!$A:$A),MATCH(AC$1,[4]characters!$1:$1,0)-MATCH("character_id",[4]characters!$1:$1,0)+1),MATCH(AC$1,[4]characters!$1:$1,0)-MATCH("character_id",[4]characters!$1:$1,0)+1,FALSE),"")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80" s="5">
        <f ca="1">IFERROR(VLOOKUP($AB80,OFFSET([4]characters!$A$1,0,0,COUNTA([4]characters!$A:$A),MATCH(AD$1,[4]characters!$1:$1,0)-MATCH("character_id",[4]characters!$1:$1,0)+1),MATCH(AD$1,[4]characters!$1:$1,0)-MATCH("character_id",[4]characters!$1:$1,0)+1,FALSE),"")</f>
        <v>1</v>
      </c>
      <c r="AE80" s="5" t="str">
        <f ca="1">IFERROR(VLOOKUP($AB80,OFFSET([4]characters!$A$1,0,0,COUNTA([4]characters!$A:$A),MATCH(AE$1,[4]characters!$1:$1,0)-MATCH("character_id",[4]characters!$1:$1,0)+1),MATCH(AE$1,[4]characters!$1:$1,0)-MATCH("character_id",[4]characters!$1:$1,0)+1,FALSE),"")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80" s="8">
        <v>1</v>
      </c>
      <c r="AG80" s="27">
        <f t="shared" ca="1" si="55"/>
        <v>1</v>
      </c>
      <c r="AH80" s="9">
        <v>0</v>
      </c>
      <c r="AI80" s="8">
        <v>0</v>
      </c>
      <c r="AJ80" s="8">
        <v>0</v>
      </c>
      <c r="AK80" s="8">
        <v>0</v>
      </c>
      <c r="AL80" s="8">
        <v>0</v>
      </c>
      <c r="AM80" s="8">
        <v>1</v>
      </c>
      <c r="AN80" s="8">
        <v>1</v>
      </c>
    </row>
    <row r="81" spans="1:40" ht="21" customHeight="1" x14ac:dyDescent="0.15">
      <c r="A81" s="17" t="str">
        <f t="shared" ca="1" si="53"/>
        <v>11002_3-4/332&lt;lv1&gt;s1</v>
      </c>
      <c r="B81" s="8">
        <v>11002</v>
      </c>
      <c r="C81" s="25">
        <v>3</v>
      </c>
      <c r="D81" s="2" t="str">
        <f t="shared" si="54"/>
        <v>11002_3</v>
      </c>
      <c r="E81" s="5" t="str">
        <f ca="1">VLOOKUP($B81,OFFSET([2]quests!$A$1,0,0,COUNTA([2]quests!$A:$A),MATCH(E$1,[2]quests!$1:$1,0)-MATCH($B$1,[2]quests!$1:$1,0)+1),MATCH(E$1,[2]quests!$1:$1,0)-MATCH($B$1,[2]quests!$1:$1,0)+1,FALSE)</f>
        <v>【火曜限定】 赤の素材</v>
      </c>
      <c r="F81" s="5" t="str">
        <f ca="1">VLOOKUP($D81,OFFSET([2]stages!$A$1,0,0,COUNTA([2]stages!$A:$A),MATCH(F$1,[2]stages!$2:$2,0)-MATCH($D$1,[2]stages!$2:$2,0)+1),MATCH(F$1,[2]stages!$2:$2,0)-MATCH($D$1,[2]stages!$2:$2,0)+1,FALSE)</f>
        <v xml:space="preserve">【上級】火のイモムシ </v>
      </c>
      <c r="G81" s="25">
        <v>4</v>
      </c>
      <c r="H81" s="16" t="str">
        <f t="shared" si="49"/>
        <v>11002_3-4</v>
      </c>
      <c r="I81" s="5">
        <f ca="1">VLOOKUP($H81,OFFSET(floors!$A$1,0,0,COUNTA(floors!$A:$A),MATCH(I$1,floors!$1:$1,0)-MATCH($H$1,floors!$1:$1,0)+1),MATCH(I$1,floors!$1:$1,0)-MATCH($H$1,floors!$1:$1,0)+1,FALSE)</f>
        <v>45</v>
      </c>
      <c r="J81" s="5">
        <f ca="1">VLOOKUP($H81,OFFSET(floors!$A$1,0,0,COUNTA(floors!$A:$A),MATCH(J$1,floors!$1:$1,0)-MATCH($H$1,floors!$1:$1,0)+1),MATCH(J$1,floors!$1:$1,0)-MATCH($H$1,floors!$1:$1,0)+1,FALSE)</f>
        <v>60</v>
      </c>
      <c r="K81" s="24" t="s">
        <v>197</v>
      </c>
      <c r="L81" s="24">
        <v>332</v>
      </c>
      <c r="M81" s="20" t="str">
        <f ca="1">VLOOKUP($L81,OFFSET([3]enemies!$A$1,0,0,COUNTA([3]enemies!$A:$A),MATCH(M$1,[3]enemies!$1:$1,0)-MATCH($L$1,[3]enemies!$1:$1,0)+1),MATCH(M$1,[3]enemies!$1:$1,0)-MATCH($L$1,[3]enemies!$1:$1,0)+1,FALSE)</f>
        <v>炎のメタルピヨピヨ</v>
      </c>
      <c r="N81" s="20" t="str">
        <f ca="1">VLOOKUP($L81,OFFSET([3]enemies!$A$1,0,0,COUNTA([3]enemies!$A:$A),MATCH(N$1,[3]enemies!$1:$1,0)-MATCH($L$1,[3]enemies!$1:$1,0)+1),MATCH(N$1,[3]enemies!$1:$1,0)-MATCH($L$1,[3]enemies!$1:$1,0)+1,FALSE)</f>
        <v>red</v>
      </c>
      <c r="O81" s="22" t="str">
        <f ca="1">VLOOKUP($L81,OFFSET([4]characters!$A$1,0,0,COUNTA([4]characters!$A:$A),MATCH(O$1,[4]characters!$1:$1,0)-MATCH($L$1,[4]characters!$1:$1,0)+1),MATCH(O$1,[4]characters!$1:$1,0)-MATCH($L$1,[4]characters!$1:$1,0)+1,FALSE)</f>
        <v>Material</v>
      </c>
      <c r="P81" s="20" t="str">
        <f ca="1">VLOOKUP($L81,OFFSET([3]enemies!$A$1,0,0,COUNTA([3]enemies!$A:$A),MATCH(P$1,[3]enemies!$1:$1,0)-MATCH($L$1,[3]enemies!$1:$1,0)+1),MATCH(P$1,[3]enemies!$1:$1,0)-MATCH($L$1,[3]enemies!$1:$1,0)+1,FALSE)</f>
        <v>unknown</v>
      </c>
      <c r="Q81" s="20">
        <f ca="1">VLOOKUP($L81,OFFSET([3]enemies!$A$1,0,0,COUNTA([3]enemies!$A:$A),MATCH(Q$1,[3]enemies!$1:$1,0)-MATCH($L$1,[3]enemies!$1:$1,0)+1),MATCH(Q$1,[3]enemies!$1:$1,0)-MATCH($L$1,[3]enemies!$1:$1,0)+1,FALSE)</f>
        <v>15</v>
      </c>
      <c r="R81" s="6">
        <v>1</v>
      </c>
      <c r="S81" s="39">
        <v>1</v>
      </c>
      <c r="T81" s="39">
        <v>1</v>
      </c>
      <c r="U81" s="6">
        <v>0</v>
      </c>
      <c r="V81" s="5" t="str">
        <f ca="1">VLOOKUP($W81,OFFSET([5]enemy_skill_sets!$B$1,0,0,COUNTA([5]enemy_skill_sets!$B:$B),MATCH(M$1,[5]enemy_skill_sets!$1:$1,0)-MATCH($W$1,[5]enemy_skill_sets!$1:$1,0)+2),MATCH(M$1,[5]enemy_skill_sets!$1:$1,0)-MATCH($W$1,[5]enemy_skill_sets!$1:$1,0)+2,FALSE)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1" s="5">
        <f ca="1">VLOOKUP($L81,OFFSET([3]enemies!$A$1,0,0,COUNTA([3]enemies!$A:$A),MATCH(W$1,[3]enemies!$1:$1,0)-MATCH($L$1,[3]enemies!$1:$1,0)+1),MATCH(W$1,[3]enemies!$1:$1,0)-MATCH($L$1,[3]enemies!$1:$1,0)+1,FALSE)</f>
        <v>0</v>
      </c>
      <c r="X81" s="7">
        <v>0</v>
      </c>
      <c r="Y81" s="7">
        <v>30</v>
      </c>
      <c r="Z81" s="7">
        <v>0</v>
      </c>
      <c r="AA81" s="20">
        <f ca="1">VLOOKUP($L81,OFFSET([3]enemies!$A$1,0,0,COUNTA([3]enemies!$A:$A),MATCH(AA$1,[3]enemies!$1:$1,0)-MATCH($L$1,[3]enemies!$1:$1,0)+1),MATCH(AA$1,[3]enemies!$1:$1,0)-MATCH($L$1,[3]enemies!$1:$1,0)+1,FALSE)</f>
        <v>1</v>
      </c>
      <c r="AB81" s="24">
        <v>332</v>
      </c>
      <c r="AC81" s="5" t="str">
        <f ca="1">IFERROR(VLOOKUP($AB81,OFFSET([4]characters!$A$1,0,0,COUNTA([4]characters!$A:$A),MATCH(AC$1,[4]characters!$1:$1,0)-MATCH("character_id",[4]characters!$1:$1,0)+1),MATCH(AC$1,[4]characters!$1:$1,0)-MATCH("character_id",[4]characters!$1:$1,0)+1,FALSE),"")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81" s="5">
        <f ca="1">IFERROR(VLOOKUP($AB81,OFFSET([4]characters!$A$1,0,0,COUNTA([4]characters!$A:$A),MATCH(AD$1,[4]characters!$1:$1,0)-MATCH("character_id",[4]characters!$1:$1,0)+1),MATCH(AD$1,[4]characters!$1:$1,0)-MATCH("character_id",[4]characters!$1:$1,0)+1,FALSE),"")</f>
        <v>3</v>
      </c>
      <c r="AE81" s="5" t="str">
        <f ca="1">IFERROR(VLOOKUP($AB81,OFFSET([4]characters!$A$1,0,0,COUNTA([4]characters!$A:$A),MATCH(AE$1,[4]characters!$1:$1,0)-MATCH("character_id",[4]characters!$1:$1,0)+1),MATCH(AE$1,[4]characters!$1:$1,0)-MATCH("character_id",[4]characters!$1:$1,0)+1,FALSE),"")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1" s="8">
        <v>1</v>
      </c>
      <c r="AG81" s="27">
        <f t="shared" ca="1" si="55"/>
        <v>3</v>
      </c>
      <c r="AH81" s="9">
        <v>10</v>
      </c>
      <c r="AI81" s="8">
        <v>0</v>
      </c>
      <c r="AJ81" s="8">
        <v>0</v>
      </c>
      <c r="AK81" s="8">
        <v>0</v>
      </c>
      <c r="AL81" s="8">
        <v>0</v>
      </c>
      <c r="AM81" s="8">
        <v>1</v>
      </c>
      <c r="AN81" s="8">
        <v>1</v>
      </c>
    </row>
    <row r="82" spans="1:40" ht="21" customHeight="1" x14ac:dyDescent="0.15">
      <c r="A82" s="17" t="str">
        <f t="shared" ca="1" si="53"/>
        <v>11002_3-4/333&lt;lv1&gt;s2</v>
      </c>
      <c r="B82" s="8">
        <v>11002</v>
      </c>
      <c r="C82" s="25">
        <v>3</v>
      </c>
      <c r="D82" s="2" t="str">
        <f t="shared" si="54"/>
        <v>11002_3</v>
      </c>
      <c r="E82" s="5" t="str">
        <f ca="1">VLOOKUP($B82,OFFSET([2]quests!$A$1,0,0,COUNTA([2]quests!$A:$A),MATCH(E$1,[2]quests!$1:$1,0)-MATCH($B$1,[2]quests!$1:$1,0)+1),MATCH(E$1,[2]quests!$1:$1,0)-MATCH($B$1,[2]quests!$1:$1,0)+1,FALSE)</f>
        <v>【火曜限定】 赤の素材</v>
      </c>
      <c r="F82" s="5" t="str">
        <f ca="1">VLOOKUP($D82,OFFSET([2]stages!$A$1,0,0,COUNTA([2]stages!$A:$A),MATCH(F$1,[2]stages!$2:$2,0)-MATCH($D$1,[2]stages!$2:$2,0)+1),MATCH(F$1,[2]stages!$2:$2,0)-MATCH($D$1,[2]stages!$2:$2,0)+1,FALSE)</f>
        <v xml:space="preserve">【上級】火のイモムシ </v>
      </c>
      <c r="G82" s="25">
        <v>4</v>
      </c>
      <c r="H82" s="16" t="str">
        <f t="shared" si="49"/>
        <v>11002_3-4</v>
      </c>
      <c r="I82" s="5">
        <f ca="1">VLOOKUP($H82,OFFSET(floors!$A$1,0,0,COUNTA(floors!$A:$A),MATCH(I$1,floors!$1:$1,0)-MATCH($H$1,floors!$1:$1,0)+1),MATCH(I$1,floors!$1:$1,0)-MATCH($H$1,floors!$1:$1,0)+1,FALSE)</f>
        <v>45</v>
      </c>
      <c r="J82" s="5">
        <f ca="1">VLOOKUP($H82,OFFSET(floors!$A$1,0,0,COUNTA(floors!$A:$A),MATCH(J$1,floors!$1:$1,0)-MATCH($H$1,floors!$1:$1,0)+1),MATCH(J$1,floors!$1:$1,0)-MATCH($H$1,floors!$1:$1,0)+1,FALSE)</f>
        <v>60</v>
      </c>
      <c r="K82" s="24" t="s">
        <v>197</v>
      </c>
      <c r="L82" s="24">
        <v>333</v>
      </c>
      <c r="M82" s="20" t="str">
        <f ca="1">VLOOKUP($L82,OFFSET([3]enemies!$A$1,0,0,COUNTA([3]enemies!$A:$A),MATCH(M$1,[3]enemies!$1:$1,0)-MATCH($L$1,[3]enemies!$1:$1,0)+1),MATCH(M$1,[3]enemies!$1:$1,0)-MATCH($L$1,[3]enemies!$1:$1,0)+1,FALSE)</f>
        <v>炎のメタルチック</v>
      </c>
      <c r="N82" s="20" t="str">
        <f ca="1">VLOOKUP($L82,OFFSET([3]enemies!$A$1,0,0,COUNTA([3]enemies!$A:$A),MATCH(N$1,[3]enemies!$1:$1,0)-MATCH($L$1,[3]enemies!$1:$1,0)+1),MATCH(N$1,[3]enemies!$1:$1,0)-MATCH($L$1,[3]enemies!$1:$1,0)+1,FALSE)</f>
        <v>red</v>
      </c>
      <c r="O82" s="22" t="str">
        <f ca="1">VLOOKUP($L82,OFFSET([4]characters!$A$1,0,0,COUNTA([4]characters!$A:$A),MATCH(O$1,[4]characters!$1:$1,0)-MATCH($L$1,[4]characters!$1:$1,0)+1),MATCH(O$1,[4]characters!$1:$1,0)-MATCH($L$1,[4]characters!$1:$1,0)+1,FALSE)</f>
        <v>Material</v>
      </c>
      <c r="P82" s="20" t="str">
        <f ca="1">VLOOKUP($L82,OFFSET([3]enemies!$A$1,0,0,COUNTA([3]enemies!$A:$A),MATCH(P$1,[3]enemies!$1:$1,0)-MATCH($L$1,[3]enemies!$1:$1,0)+1),MATCH(P$1,[3]enemies!$1:$1,0)-MATCH($L$1,[3]enemies!$1:$1,0)+1,FALSE)</f>
        <v>unknown</v>
      </c>
      <c r="Q82" s="20">
        <f ca="1">VLOOKUP($L82,OFFSET([3]enemies!$A$1,0,0,COUNTA([3]enemies!$A:$A),MATCH(Q$1,[3]enemies!$1:$1,0)-MATCH($L$1,[3]enemies!$1:$1,0)+1),MATCH(Q$1,[3]enemies!$1:$1,0)-MATCH($L$1,[3]enemies!$1:$1,0)+1,FALSE)</f>
        <v>15</v>
      </c>
      <c r="R82" s="6">
        <v>1</v>
      </c>
      <c r="S82" s="39">
        <v>1</v>
      </c>
      <c r="T82" s="39">
        <v>1</v>
      </c>
      <c r="U82" s="6">
        <v>0</v>
      </c>
      <c r="V82" s="5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2" s="5">
        <f ca="1">VLOOKUP($L82,OFFSET([3]enemies!$A$1,0,0,COUNTA([3]enemies!$A:$A),MATCH(W$1,[3]enemies!$1:$1,0)-MATCH($L$1,[3]enemies!$1:$1,0)+1),MATCH(W$1,[3]enemies!$1:$1,0)-MATCH($L$1,[3]enemies!$1:$1,0)+1,FALSE)</f>
        <v>0</v>
      </c>
      <c r="X82" s="7">
        <v>0</v>
      </c>
      <c r="Y82" s="7">
        <v>30</v>
      </c>
      <c r="Z82" s="7">
        <v>0</v>
      </c>
      <c r="AA82" s="20">
        <f ca="1">VLOOKUP($L82,OFFSET([3]enemies!$A$1,0,0,COUNTA([3]enemies!$A:$A),MATCH(AA$1,[3]enemies!$1:$1,0)-MATCH($L$1,[3]enemies!$1:$1,0)+1),MATCH(AA$1,[3]enemies!$1:$1,0)-MATCH($L$1,[3]enemies!$1:$1,0)+1,FALSE)</f>
        <v>2</v>
      </c>
      <c r="AB82" s="24">
        <v>333</v>
      </c>
      <c r="AC82" s="5" t="str">
        <f ca="1">IFERROR(VLOOKUP($AB82,OFFSET([4]characters!$A$1,0,0,COUNTA([4]characters!$A:$A),MATCH(AC$1,[4]characters!$1:$1,0)-MATCH("character_id",[4]characters!$1:$1,0)+1),MATCH(AC$1,[4]characters!$1:$1,0)-MATCH("character_id",[4]characters!$1:$1,0)+1,FALSE),"")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82" s="5">
        <f ca="1">IFERROR(VLOOKUP($AB82,OFFSET([4]characters!$A$1,0,0,COUNTA([4]characters!$A:$A),MATCH(AD$1,[4]characters!$1:$1,0)-MATCH("character_id",[4]characters!$1:$1,0)+1),MATCH(AD$1,[4]characters!$1:$1,0)-MATCH("character_id",[4]characters!$1:$1,0)+1,FALSE),"")</f>
        <v>4</v>
      </c>
      <c r="AE82" s="5" t="str">
        <f ca="1">IFERROR(VLOOKUP($AB82,OFFSET([4]characters!$A$1,0,0,COUNTA([4]characters!$A:$A),MATCH(AE$1,[4]characters!$1:$1,0)-MATCH("character_id",[4]characters!$1:$1,0)+1),MATCH(AE$1,[4]characters!$1:$1,0)-MATCH("character_id",[4]characters!$1:$1,0)+1,FALSE),"")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2" s="8">
        <v>1</v>
      </c>
      <c r="AG82" s="27">
        <f t="shared" ca="1" si="55"/>
        <v>4</v>
      </c>
      <c r="AH82" s="9">
        <v>5</v>
      </c>
      <c r="AI82" s="8">
        <v>0</v>
      </c>
      <c r="AJ82" s="8">
        <v>0</v>
      </c>
      <c r="AK82" s="8">
        <v>0</v>
      </c>
      <c r="AL82" s="8">
        <v>0</v>
      </c>
      <c r="AM82" s="8">
        <v>1</v>
      </c>
      <c r="AN82" s="8">
        <v>1</v>
      </c>
    </row>
    <row r="83" spans="1:40" ht="21" customHeight="1" x14ac:dyDescent="0.15">
      <c r="A83" s="17" t="str">
        <f t="shared" ca="1" si="48"/>
        <v>11002_3-5/103&lt;lv30&gt;s3</v>
      </c>
      <c r="B83" s="8">
        <v>11002</v>
      </c>
      <c r="C83" s="25">
        <v>3</v>
      </c>
      <c r="D83" s="2" t="str">
        <f t="shared" si="46"/>
        <v>11002_3</v>
      </c>
      <c r="E83" s="5" t="str">
        <f ca="1">VLOOKUP($B83,OFFSET([2]quests!$A$1,0,0,COUNTA([2]quests!$A:$A),MATCH(E$1,[2]quests!$1:$1,0)-MATCH($B$1,[2]quests!$1:$1,0)+1),MATCH(E$1,[2]quests!$1:$1,0)-MATCH($B$1,[2]quests!$1:$1,0)+1,FALSE)</f>
        <v>【火曜限定】 赤の素材</v>
      </c>
      <c r="F83" s="5" t="str">
        <f ca="1">VLOOKUP($D83,OFFSET([2]stages!$A$1,0,0,COUNTA([2]stages!$A:$A),MATCH(F$1,[2]stages!$2:$2,0)-MATCH($D$1,[2]stages!$2:$2,0)+1),MATCH(F$1,[2]stages!$2:$2,0)-MATCH($D$1,[2]stages!$2:$2,0)+1,FALSE)</f>
        <v xml:space="preserve">【上級】火のイモムシ </v>
      </c>
      <c r="G83" s="25">
        <v>5</v>
      </c>
      <c r="H83" s="16" t="str">
        <f t="shared" si="49"/>
        <v>11002_3-5</v>
      </c>
      <c r="I83" s="5">
        <f ca="1">VLOOKUP($H83,OFFSET(floors!$A$1,0,0,COUNTA(floors!$A:$A),MATCH(I$1,floors!$1:$1,0)-MATCH($H$1,floors!$1:$1,0)+1),MATCH(I$1,floors!$1:$1,0)-MATCH($H$1,floors!$1:$1,0)+1,FALSE)</f>
        <v>60</v>
      </c>
      <c r="J83" s="5">
        <f ca="1">VLOOKUP($H83,OFFSET(floors!$A$1,0,0,COUNTA(floors!$A:$A),MATCH(J$1,floors!$1:$1,0)-MATCH($H$1,floors!$1:$1,0)+1),MATCH(J$1,floors!$1:$1,0)-MATCH($H$1,floors!$1:$1,0)+1,FALSE)</f>
        <v>60</v>
      </c>
      <c r="K83" s="24" t="s">
        <v>197</v>
      </c>
      <c r="L83" s="24">
        <v>103</v>
      </c>
      <c r="M83" s="20" t="str">
        <f ca="1">VLOOKUP($L83,OFFSET([3]enemies!$A$1,0,0,COUNTA([3]enemies!$A:$A),MATCH(M$1,[3]enemies!$1:$1,0)-MATCH($L$1,[3]enemies!$1:$1,0)+1),MATCH(M$1,[3]enemies!$1:$1,0)-MATCH($L$1,[3]enemies!$1:$1,0)+1,FALSE)</f>
        <v>レッドキャタップ</v>
      </c>
      <c r="N83" s="20" t="str">
        <f ca="1">VLOOKUP($L83,OFFSET([3]enemies!$A$1,0,0,COUNTA([3]enemies!$A:$A),MATCH(N$1,[3]enemies!$1:$1,0)-MATCH($L$1,[3]enemies!$1:$1,0)+1),MATCH(N$1,[3]enemies!$1:$1,0)-MATCH($L$1,[3]enemies!$1:$1,0)+1,FALSE)</f>
        <v>red</v>
      </c>
      <c r="O83" s="22" t="str">
        <f ca="1">VLOOKUP($L83,OFFSET([4]characters!$A$1,0,0,COUNTA([4]characters!$A:$A),MATCH(O$1,[4]characters!$1:$1,0)-MATCH($L$1,[4]characters!$1:$1,0)+1),MATCH(O$1,[4]characters!$1:$1,0)-MATCH($L$1,[4]characters!$1:$1,0)+1,FALSE)</f>
        <v>Material</v>
      </c>
      <c r="P83" s="20" t="str">
        <f ca="1">VLOOKUP($L83,OFFSET([3]enemies!$A$1,0,0,COUNTA([3]enemies!$A:$A),MATCH(P$1,[3]enemies!$1:$1,0)-MATCH($L$1,[3]enemies!$1:$1,0)+1),MATCH(P$1,[3]enemies!$1:$1,0)-MATCH($L$1,[3]enemies!$1:$1,0)+1,FALSE)</f>
        <v>unknown</v>
      </c>
      <c r="Q83" s="20">
        <f ca="1">VLOOKUP($L83,OFFSET([3]enemies!$A$1,0,0,COUNTA([3]enemies!$A:$A),MATCH(Q$1,[3]enemies!$1:$1,0)-MATCH($L$1,[3]enemies!$1:$1,0)+1),MATCH(Q$1,[3]enemies!$1:$1,0)-MATCH($L$1,[3]enemies!$1:$1,0)+1,FALSE)</f>
        <v>15</v>
      </c>
      <c r="R83" s="6">
        <v>30</v>
      </c>
      <c r="S83" s="39">
        <v>2</v>
      </c>
      <c r="T83" s="39">
        <v>1</v>
      </c>
      <c r="U83" s="6">
        <v>0</v>
      </c>
      <c r="V83" s="5" t="str">
        <f ca="1">VLOOKUP($W83,OFFSET([5]enemy_skill_sets!$B$1,0,0,COUNTA([5]enemy_skill_sets!$B:$B),MATCH(M$1,[5]enemy_skill_sets!$1:$1,0)-MATCH($W$1,[5]enemy_skill_sets!$1:$1,0)+2),MATCH(M$1,[5]enemy_skill_sets!$1:$1,0)-MATCH($W$1,[5]enemy_skill_sets!$1:$1,0)+2,FALSE)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3" s="5">
        <f ca="1">VLOOKUP($L83,OFFSET([3]enemies!$A$1,0,0,COUNTA([3]enemies!$A:$A),MATCH(W$1,[3]enemies!$1:$1,0)-MATCH($L$1,[3]enemies!$1:$1,0)+1),MATCH(W$1,[3]enemies!$1:$1,0)-MATCH($L$1,[3]enemies!$1:$1,0)+1,FALSE)</f>
        <v>0</v>
      </c>
      <c r="X83" s="7">
        <v>1</v>
      </c>
      <c r="Y83" s="7">
        <v>100</v>
      </c>
      <c r="Z83" s="7">
        <v>1</v>
      </c>
      <c r="AA83" s="20">
        <f ca="1">VLOOKUP($L83,OFFSET([3]enemies!$A$1,0,0,COUNTA([3]enemies!$A:$A),MATCH(AA$1,[3]enemies!$1:$1,0)-MATCH($L$1,[3]enemies!$1:$1,0)+1),MATCH(AA$1,[3]enemies!$1:$1,0)-MATCH($L$1,[3]enemies!$1:$1,0)+1,FALSE)</f>
        <v>3</v>
      </c>
      <c r="AB83" s="24">
        <v>103</v>
      </c>
      <c r="AC83" s="5" t="str">
        <f ca="1">IFERROR(VLOOKUP($AB83,OFFSET([4]characters!$A$1,0,0,COUNTA([4]characters!$A:$A),MATCH(AC$1,[4]characters!$1:$1,0)-MATCH("character_id",[4]characters!$1:$1,0)+1),MATCH(AC$1,[4]characters!$1:$1,0)-MATCH("character_id",[4]characters!$1:$1,0)+1,FALSE),"")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83" s="5">
        <f ca="1">IFERROR(VLOOKUP($AB83,OFFSET([4]characters!$A$1,0,0,COUNTA([4]characters!$A:$A),MATCH(AD$1,[4]characters!$1:$1,0)-MATCH("character_id",[4]characters!$1:$1,0)+1),MATCH(AD$1,[4]characters!$1:$1,0)-MATCH("character_id",[4]characters!$1:$1,0)+1,FALSE),"")</f>
        <v>4</v>
      </c>
      <c r="AE83" s="5" t="str">
        <f ca="1">IFERROR(VLOOKUP($AB83,OFFSET([4]characters!$A$1,0,0,COUNTA([4]characters!$A:$A),MATCH(AE$1,[4]characters!$1:$1,0)-MATCH("character_id",[4]characters!$1:$1,0)+1),MATCH(AE$1,[4]characters!$1:$1,0)-MATCH("character_id",[4]characters!$1:$1,0)+1,FALSE),"")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3" s="8">
        <v>1</v>
      </c>
      <c r="AG83" s="27">
        <f t="shared" ca="1" si="47"/>
        <v>4</v>
      </c>
      <c r="AH83" s="9">
        <v>100</v>
      </c>
      <c r="AI83" s="8">
        <v>0</v>
      </c>
      <c r="AJ83" s="8">
        <v>0</v>
      </c>
      <c r="AK83" s="8">
        <v>0</v>
      </c>
      <c r="AL83" s="8">
        <v>0</v>
      </c>
      <c r="AM83" s="8">
        <v>1</v>
      </c>
      <c r="AN83" s="8">
        <v>1</v>
      </c>
    </row>
    <row r="84" spans="1:40" ht="21" customHeight="1" x14ac:dyDescent="0.15">
      <c r="A84" s="17" t="str">
        <f ca="1">B84&amp;"_"&amp;C84&amp;"-"&amp;G84&amp;"/"&amp;L84&amp;"&lt;lv"&amp;R84&amp;"&gt;s"&amp;AA84</f>
        <v>11002_3-5/126&lt;lv30&gt;s1</v>
      </c>
      <c r="B84" s="8">
        <v>11002</v>
      </c>
      <c r="C84" s="25">
        <v>3</v>
      </c>
      <c r="D84" s="2" t="str">
        <f t="shared" si="46"/>
        <v>11002_3</v>
      </c>
      <c r="E84" s="5" t="str">
        <f ca="1">VLOOKUP($B84,OFFSET([2]quests!$A$1,0,0,COUNTA([2]quests!$A:$A),MATCH(E$1,[2]quests!$1:$1,0)-MATCH($B$1,[2]quests!$1:$1,0)+1),MATCH(E$1,[2]quests!$1:$1,0)-MATCH($B$1,[2]quests!$1:$1,0)+1,FALSE)</f>
        <v>【火曜限定】 赤の素材</v>
      </c>
      <c r="F84" s="5" t="str">
        <f ca="1">VLOOKUP($D84,OFFSET([2]stages!$A$1,0,0,COUNTA([2]stages!$A:$A),MATCH(F$1,[2]stages!$2:$2,0)-MATCH($D$1,[2]stages!$2:$2,0)+1),MATCH(F$1,[2]stages!$2:$2,0)-MATCH($D$1,[2]stages!$2:$2,0)+1,FALSE)</f>
        <v xml:space="preserve">【上級】火のイモムシ </v>
      </c>
      <c r="G84" s="25">
        <v>5</v>
      </c>
      <c r="H84" s="16" t="str">
        <f t="shared" si="49"/>
        <v>11002_3-5</v>
      </c>
      <c r="I84" s="5">
        <f ca="1">VLOOKUP($H84,OFFSET(floors!$A$1,0,0,COUNTA(floors!$A:$A),MATCH(I$1,floors!$1:$1,0)-MATCH($H$1,floors!$1:$1,0)+1),MATCH(I$1,floors!$1:$1,0)-MATCH($H$1,floors!$1:$1,0)+1,FALSE)</f>
        <v>60</v>
      </c>
      <c r="J84" s="5">
        <f ca="1">VLOOKUP($H84,OFFSET(floors!$A$1,0,0,COUNTA(floors!$A:$A),MATCH(J$1,floors!$1:$1,0)-MATCH($H$1,floors!$1:$1,0)+1),MATCH(J$1,floors!$1:$1,0)-MATCH($H$1,floors!$1:$1,0)+1,FALSE)</f>
        <v>60</v>
      </c>
      <c r="K84" s="24" t="s">
        <v>197</v>
      </c>
      <c r="L84" s="24">
        <v>126</v>
      </c>
      <c r="M84" s="20" t="str">
        <f ca="1">VLOOKUP($L84,OFFSET([3]enemies!$A$1,0,0,COUNTA([3]enemies!$A:$A),MATCH(M$1,[3]enemies!$1:$1,0)-MATCH($L$1,[3]enemies!$1:$1,0)+1),MATCH(M$1,[3]enemies!$1:$1,0)-MATCH($L$1,[3]enemies!$1:$1,0)+1,FALSE)</f>
        <v>骨器使い ユノ</v>
      </c>
      <c r="N84" s="20" t="str">
        <f ca="1">VLOOKUP($L84,OFFSET([3]enemies!$A$1,0,0,COUNTA([3]enemies!$A:$A),MATCH(N$1,[3]enemies!$1:$1,0)-MATCH($L$1,[3]enemies!$1:$1,0)+1),MATCH(N$1,[3]enemies!$1:$1,0)-MATCH($L$1,[3]enemies!$1:$1,0)+1,FALSE)</f>
        <v>red</v>
      </c>
      <c r="O84" s="22" t="str">
        <f ca="1">VLOOKUP($L84,OFFSET([4]characters!$A$1,0,0,COUNTA([4]characters!$A:$A),MATCH(O$1,[4]characters!$1:$1,0)-MATCH($L$1,[4]characters!$1:$1,0)+1),MATCH(O$1,[4]characters!$1:$1,0)-MATCH($L$1,[4]characters!$1:$1,0)+1,FALSE)</f>
        <v>PremiumW</v>
      </c>
      <c r="P84" s="20" t="str">
        <f ca="1">VLOOKUP($L84,OFFSET([3]enemies!$A$1,0,0,COUNTA([3]enemies!$A:$A),MATCH(P$1,[3]enemies!$1:$1,0)-MATCH($L$1,[3]enemies!$1:$1,0)+1),MATCH(P$1,[3]enemies!$1:$1,0)-MATCH($L$1,[3]enemies!$1:$1,0)+1,FALSE)</f>
        <v>human</v>
      </c>
      <c r="Q84" s="20">
        <f ca="1">VLOOKUP($L84,OFFSET([3]enemies!$A$1,0,0,COUNTA([3]enemies!$A:$A),MATCH(Q$1,[3]enemies!$1:$1,0)-MATCH($L$1,[3]enemies!$1:$1,0)+1),MATCH(Q$1,[3]enemies!$1:$1,0)-MATCH($L$1,[3]enemies!$1:$1,0)+1,FALSE)</f>
        <v>20</v>
      </c>
      <c r="R84" s="6">
        <v>30</v>
      </c>
      <c r="S84" s="39">
        <v>1</v>
      </c>
      <c r="T84" s="39">
        <v>1</v>
      </c>
      <c r="U84" s="6">
        <v>0</v>
      </c>
      <c r="V84" s="5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84" s="5">
        <f ca="1">VLOOKUP($L84,OFFSET([3]enemies!$A$1,0,0,COUNTA([3]enemies!$A:$A),MATCH(W$1,[3]enemies!$1:$1,0)-MATCH($L$1,[3]enemies!$1:$1,0)+1),MATCH(W$1,[3]enemies!$1:$1,0)-MATCH($L$1,[3]enemies!$1:$1,0)+1,FALSE)</f>
        <v>126</v>
      </c>
      <c r="X84" s="7">
        <v>0</v>
      </c>
      <c r="Y84" s="7">
        <v>100</v>
      </c>
      <c r="Z84" s="7">
        <v>1</v>
      </c>
      <c r="AA84" s="20">
        <f ca="1">VLOOKUP($L84,OFFSET([3]enemies!$A$1,0,0,COUNTA([3]enemies!$A:$A),MATCH(AA$1,[3]enemies!$1:$1,0)-MATCH($L$1,[3]enemies!$1:$1,0)+1),MATCH(AA$1,[3]enemies!$1:$1,0)-MATCH($L$1,[3]enemies!$1:$1,0)+1,FALSE)</f>
        <v>1</v>
      </c>
      <c r="AB84" s="24">
        <v>126</v>
      </c>
      <c r="AC84" s="5" t="str">
        <f ca="1">IFERROR(VLOOKUP($AB84,OFFSET([4]characters!$A$1,0,0,COUNTA([4]characters!$A:$A),MATCH(AC$1,[4]characters!$1:$1,0)-MATCH("character_id",[4]characters!$1:$1,0)+1),MATCH(AC$1,[4]characters!$1:$1,0)-MATCH("character_id",[4]characters!$1:$1,0)+1,FALSE),"")</f>
        <v>骨器使い ユノ</v>
      </c>
      <c r="AD84" s="5">
        <f ca="1">IFERROR(VLOOKUP($AB84,OFFSET([4]characters!$A$1,0,0,COUNTA([4]characters!$A:$A),MATCH(AD$1,[4]characters!$1:$1,0)-MATCH("character_id",[4]characters!$1:$1,0)+1),MATCH(AD$1,[4]characters!$1:$1,0)-MATCH("character_id",[4]characters!$1:$1,0)+1,FALSE),"")</f>
        <v>3</v>
      </c>
      <c r="AE84" s="5" t="str">
        <f ca="1">IFERROR(VLOOKUP($AB84,OFFSET([4]characters!$A$1,0,0,COUNTA([4]characters!$A:$A),MATCH(AE$1,[4]characters!$1:$1,0)-MATCH("character_id",[4]characters!$1:$1,0)+1),MATCH(AE$1,[4]characters!$1:$1,0)-MATCH("character_id",[4]characters!$1:$1,0)+1,FALSE),"")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84" s="8">
        <v>1</v>
      </c>
      <c r="AG84" s="27">
        <f t="shared" ca="1" si="47"/>
        <v>3</v>
      </c>
      <c r="AH84" s="9">
        <v>0</v>
      </c>
      <c r="AI84" s="8">
        <v>0</v>
      </c>
      <c r="AJ84" s="8">
        <v>0</v>
      </c>
      <c r="AK84" s="8">
        <v>0</v>
      </c>
      <c r="AL84" s="8">
        <v>0</v>
      </c>
      <c r="AM84" s="8">
        <v>1</v>
      </c>
      <c r="AN84" s="8">
        <v>1</v>
      </c>
    </row>
    <row r="85" spans="1:40" ht="21" customHeight="1" x14ac:dyDescent="0.15">
      <c r="A85" s="17" t="str">
        <f ca="1">B85&amp;"_"&amp;C85&amp;"-"&amp;G85&amp;"/"&amp;L85&amp;"&lt;lv"&amp;R85&amp;"&gt;s"&amp;AA85</f>
        <v>11002_3-5/134&lt;lv30&gt;s3</v>
      </c>
      <c r="B85" s="8">
        <v>11002</v>
      </c>
      <c r="C85" s="25">
        <v>3</v>
      </c>
      <c r="D85" s="2" t="str">
        <f t="shared" si="46"/>
        <v>11002_3</v>
      </c>
      <c r="E85" s="5" t="str">
        <f ca="1">VLOOKUP($B85,OFFSET([2]quests!$A$1,0,0,COUNTA([2]quests!$A:$A),MATCH(E$1,[2]quests!$1:$1,0)-MATCH($B$1,[2]quests!$1:$1,0)+1),MATCH(E$1,[2]quests!$1:$1,0)-MATCH($B$1,[2]quests!$1:$1,0)+1,FALSE)</f>
        <v>【火曜限定】 赤の素材</v>
      </c>
      <c r="F85" s="5" t="str">
        <f ca="1">VLOOKUP($D85,OFFSET([2]stages!$A$1,0,0,COUNTA([2]stages!$A:$A),MATCH(F$1,[2]stages!$2:$2,0)-MATCH($D$1,[2]stages!$2:$2,0)+1),MATCH(F$1,[2]stages!$2:$2,0)-MATCH($D$1,[2]stages!$2:$2,0)+1,FALSE)</f>
        <v xml:space="preserve">【上級】火のイモムシ </v>
      </c>
      <c r="G85" s="25">
        <v>5</v>
      </c>
      <c r="H85" s="16" t="str">
        <f t="shared" si="49"/>
        <v>11002_3-5</v>
      </c>
      <c r="I85" s="5">
        <f ca="1">VLOOKUP($H85,OFFSET(floors!$A$1,0,0,COUNTA(floors!$A:$A),MATCH(I$1,floors!$1:$1,0)-MATCH($H$1,floors!$1:$1,0)+1),MATCH(I$1,floors!$1:$1,0)-MATCH($H$1,floors!$1:$1,0)+1,FALSE)</f>
        <v>60</v>
      </c>
      <c r="J85" s="5">
        <f ca="1">VLOOKUP($H85,OFFSET(floors!$A$1,0,0,COUNTA(floors!$A:$A),MATCH(J$1,floors!$1:$1,0)-MATCH($H$1,floors!$1:$1,0)+1),MATCH(J$1,floors!$1:$1,0)-MATCH($H$1,floors!$1:$1,0)+1,FALSE)</f>
        <v>60</v>
      </c>
      <c r="K85" s="24" t="s">
        <v>197</v>
      </c>
      <c r="L85" s="24">
        <v>134</v>
      </c>
      <c r="M85" s="20" t="str">
        <f ca="1">VLOOKUP($L85,OFFSET([3]enemies!$A$1,0,0,COUNTA([3]enemies!$A:$A),MATCH(M$1,[3]enemies!$1:$1,0)-MATCH($L$1,[3]enemies!$1:$1,0)+1),MATCH(M$1,[3]enemies!$1:$1,0)-MATCH($L$1,[3]enemies!$1:$1,0)+1,FALSE)</f>
        <v>妖炎の夕霧</v>
      </c>
      <c r="N85" s="20" t="str">
        <f ca="1">VLOOKUP($L85,OFFSET([3]enemies!$A$1,0,0,COUNTA([3]enemies!$A:$A),MATCH(N$1,[3]enemies!$1:$1,0)-MATCH($L$1,[3]enemies!$1:$1,0)+1),MATCH(N$1,[3]enemies!$1:$1,0)-MATCH($L$1,[3]enemies!$1:$1,0)+1,FALSE)</f>
        <v>red</v>
      </c>
      <c r="O85" s="22" t="str">
        <f ca="1">VLOOKUP($L85,OFFSET([4]characters!$A$1,0,0,COUNTA([4]characters!$A:$A),MATCH(O$1,[4]characters!$1:$1,0)-MATCH($L$1,[4]characters!$1:$1,0)+1),MATCH(O$1,[4]characters!$1:$1,0)-MATCH($L$1,[4]characters!$1:$1,0)+1,FALSE)</f>
        <v>PremiumW</v>
      </c>
      <c r="P85" s="20" t="str">
        <f ca="1">VLOOKUP($L85,OFFSET([3]enemies!$A$1,0,0,COUNTA([3]enemies!$A:$A),MATCH(P$1,[3]enemies!$1:$1,0)-MATCH($L$1,[3]enemies!$1:$1,0)+1),MATCH(P$1,[3]enemies!$1:$1,0)-MATCH($L$1,[3]enemies!$1:$1,0)+1,FALSE)</f>
        <v>human</v>
      </c>
      <c r="Q85" s="20">
        <f ca="1">VLOOKUP($L85,OFFSET([3]enemies!$A$1,0,0,COUNTA([3]enemies!$A:$A),MATCH(Q$1,[3]enemies!$1:$1,0)-MATCH($L$1,[3]enemies!$1:$1,0)+1),MATCH(Q$1,[3]enemies!$1:$1,0)-MATCH($L$1,[3]enemies!$1:$1,0)+1,FALSE)</f>
        <v>20</v>
      </c>
      <c r="R85" s="6">
        <v>30</v>
      </c>
      <c r="S85" s="39">
        <v>1</v>
      </c>
      <c r="T85" s="39">
        <v>1</v>
      </c>
      <c r="U85" s="6">
        <v>0</v>
      </c>
      <c r="V85" s="5" t="str">
        <f ca="1">VLOOKUP($W85,OFFSET([5]enemy_skill_sets!$B$1,0,0,COUNTA([5]enemy_skill_sets!$B:$B),MATCH(M$1,[5]enemy_skill_sets!$1:$1,0)-MATCH($W$1,[5]enemy_skill_sets!$1:$1,0)+2),MATCH(M$1,[5]enemy_skill_sets!$1:$1,0)-MATCH($W$1,[5]enemy_skill_sets!$1:$1,0)+2,FALSE)</f>
        <v>3ターンの間ダメージを受ける</v>
      </c>
      <c r="W85" s="5">
        <f ca="1">VLOOKUP($L85,OFFSET([3]enemies!$A$1,0,0,COUNTA([3]enemies!$A:$A),MATCH(W$1,[3]enemies!$1:$1,0)-MATCH($L$1,[3]enemies!$1:$1,0)+1),MATCH(W$1,[3]enemies!$1:$1,0)-MATCH($L$1,[3]enemies!$1:$1,0)+1,FALSE)</f>
        <v>134</v>
      </c>
      <c r="X85" s="7">
        <v>0</v>
      </c>
      <c r="Y85" s="7">
        <v>100</v>
      </c>
      <c r="Z85" s="7">
        <v>1</v>
      </c>
      <c r="AA85" s="20">
        <f ca="1">VLOOKUP($L85,OFFSET([3]enemies!$A$1,0,0,COUNTA([3]enemies!$A:$A),MATCH(AA$1,[3]enemies!$1:$1,0)-MATCH($L$1,[3]enemies!$1:$1,0)+1),MATCH(AA$1,[3]enemies!$1:$1,0)-MATCH($L$1,[3]enemies!$1:$1,0)+1,FALSE)</f>
        <v>3</v>
      </c>
      <c r="AB85" s="24">
        <v>134</v>
      </c>
      <c r="AC85" s="5" t="str">
        <f ca="1">IFERROR(VLOOKUP($AB85,OFFSET([4]characters!$A$1,0,0,COUNTA([4]characters!$A:$A),MATCH(AC$1,[4]characters!$1:$1,0)-MATCH("character_id",[4]characters!$1:$1,0)+1),MATCH(AC$1,[4]characters!$1:$1,0)-MATCH("character_id",[4]characters!$1:$1,0)+1,FALSE),"")</f>
        <v>妖炎の夕霧</v>
      </c>
      <c r="AD85" s="5">
        <f ca="1">IFERROR(VLOOKUP($AB85,OFFSET([4]characters!$A$1,0,0,COUNTA([4]characters!$A:$A),MATCH(AD$1,[4]characters!$1:$1,0)-MATCH("character_id",[4]characters!$1:$1,0)+1),MATCH(AD$1,[4]characters!$1:$1,0)-MATCH("character_id",[4]characters!$1:$1,0)+1,FALSE),"")</f>
        <v>3</v>
      </c>
      <c r="AE85" s="5" t="str">
        <f ca="1">IFERROR(VLOOKUP($AB85,OFFSET([4]characters!$A$1,0,0,COUNTA([4]characters!$A:$A),MATCH(AE$1,[4]characters!$1:$1,0)-MATCH("character_id",[4]characters!$1:$1,0)+1),MATCH(AE$1,[4]characters!$1:$1,0)-MATCH("character_id",[4]characters!$1:$1,0)+1,FALSE),"")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85" s="8">
        <v>1</v>
      </c>
      <c r="AG85" s="27">
        <f t="shared" ca="1" si="47"/>
        <v>3</v>
      </c>
      <c r="AH85" s="9">
        <v>0</v>
      </c>
      <c r="AI85" s="8">
        <v>0</v>
      </c>
      <c r="AJ85" s="8">
        <v>0</v>
      </c>
      <c r="AK85" s="8">
        <v>0</v>
      </c>
      <c r="AL85" s="8">
        <v>0</v>
      </c>
      <c r="AM85" s="8">
        <v>1</v>
      </c>
      <c r="AN85" s="8">
        <v>1</v>
      </c>
    </row>
    <row r="86" spans="1:40" ht="21" customHeight="1" x14ac:dyDescent="0.15">
      <c r="A86" s="17" t="str">
        <f ca="1">B86&amp;"_"&amp;C86&amp;"-"&amp;G86&amp;"/"&amp;L86&amp;"&lt;lv"&amp;R86&amp;"&gt;s"&amp;AA86</f>
        <v>11002_3-5/142&lt;lv30&gt;s2</v>
      </c>
      <c r="B86" s="8">
        <v>11002</v>
      </c>
      <c r="C86" s="25">
        <v>3</v>
      </c>
      <c r="D86" s="2" t="str">
        <f t="shared" si="46"/>
        <v>11002_3</v>
      </c>
      <c r="E86" s="5" t="str">
        <f ca="1">VLOOKUP($B86,OFFSET([2]quests!$A$1,0,0,COUNTA([2]quests!$A:$A),MATCH(E$1,[2]quests!$1:$1,0)-MATCH($B$1,[2]quests!$1:$1,0)+1),MATCH(E$1,[2]quests!$1:$1,0)-MATCH($B$1,[2]quests!$1:$1,0)+1,FALSE)</f>
        <v>【火曜限定】 赤の素材</v>
      </c>
      <c r="F86" s="5" t="str">
        <f ca="1">VLOOKUP($D86,OFFSET([2]stages!$A$1,0,0,COUNTA([2]stages!$A:$A),MATCH(F$1,[2]stages!$2:$2,0)-MATCH($D$1,[2]stages!$2:$2,0)+1),MATCH(F$1,[2]stages!$2:$2,0)-MATCH($D$1,[2]stages!$2:$2,0)+1,FALSE)</f>
        <v xml:space="preserve">【上級】火のイモムシ </v>
      </c>
      <c r="G86" s="25">
        <v>5</v>
      </c>
      <c r="H86" s="16" t="str">
        <f t="shared" si="49"/>
        <v>11002_3-5</v>
      </c>
      <c r="I86" s="5">
        <f ca="1">VLOOKUP($H86,OFFSET(floors!$A$1,0,0,COUNTA(floors!$A:$A),MATCH(I$1,floors!$1:$1,0)-MATCH($H$1,floors!$1:$1,0)+1),MATCH(I$1,floors!$1:$1,0)-MATCH($H$1,floors!$1:$1,0)+1,FALSE)</f>
        <v>60</v>
      </c>
      <c r="J86" s="5">
        <f ca="1">VLOOKUP($H86,OFFSET(floors!$A$1,0,0,COUNTA(floors!$A:$A),MATCH(J$1,floors!$1:$1,0)-MATCH($H$1,floors!$1:$1,0)+1),MATCH(J$1,floors!$1:$1,0)-MATCH($H$1,floors!$1:$1,0)+1,FALSE)</f>
        <v>60</v>
      </c>
      <c r="K86" s="24" t="s">
        <v>197</v>
      </c>
      <c r="L86" s="24">
        <v>142</v>
      </c>
      <c r="M86" s="20" t="str">
        <f ca="1">VLOOKUP($L86,OFFSET([3]enemies!$A$1,0,0,COUNTA([3]enemies!$A:$A),MATCH(M$1,[3]enemies!$1:$1,0)-MATCH($L$1,[3]enemies!$1:$1,0)+1),MATCH(M$1,[3]enemies!$1:$1,0)-MATCH($L$1,[3]enemies!$1:$1,0)+1,FALSE)</f>
        <v>赤ずきん</v>
      </c>
      <c r="N86" s="20" t="str">
        <f ca="1">VLOOKUP($L86,OFFSET([3]enemies!$A$1,0,0,COUNTA([3]enemies!$A:$A),MATCH(N$1,[3]enemies!$1:$1,0)-MATCH($L$1,[3]enemies!$1:$1,0)+1),MATCH(N$1,[3]enemies!$1:$1,0)-MATCH($L$1,[3]enemies!$1:$1,0)+1,FALSE)</f>
        <v>red</v>
      </c>
      <c r="O86" s="22" t="str">
        <f ca="1">VLOOKUP($L86,OFFSET([4]characters!$A$1,0,0,COUNTA([4]characters!$A:$A),MATCH(O$1,[4]characters!$1:$1,0)-MATCH($L$1,[4]characters!$1:$1,0)+1),MATCH(O$1,[4]characters!$1:$1,0)-MATCH($L$1,[4]characters!$1:$1,0)+1,FALSE)</f>
        <v>PremiumW</v>
      </c>
      <c r="P86" s="20" t="str">
        <f ca="1">VLOOKUP($L86,OFFSET([3]enemies!$A$1,0,0,COUNTA([3]enemies!$A:$A),MATCH(P$1,[3]enemies!$1:$1,0)-MATCH($L$1,[3]enemies!$1:$1,0)+1),MATCH(P$1,[3]enemies!$1:$1,0)-MATCH($L$1,[3]enemies!$1:$1,0)+1,FALSE)</f>
        <v>human</v>
      </c>
      <c r="Q86" s="20">
        <f ca="1">VLOOKUP($L86,OFFSET([3]enemies!$A$1,0,0,COUNTA([3]enemies!$A:$A),MATCH(Q$1,[3]enemies!$1:$1,0)-MATCH($L$1,[3]enemies!$1:$1,0)+1),MATCH(Q$1,[3]enemies!$1:$1,0)-MATCH($L$1,[3]enemies!$1:$1,0)+1,FALSE)</f>
        <v>20</v>
      </c>
      <c r="R86" s="6">
        <v>30</v>
      </c>
      <c r="S86" s="39">
        <v>1</v>
      </c>
      <c r="T86" s="39">
        <v>1</v>
      </c>
      <c r="U86" s="6">
        <v>0</v>
      </c>
      <c r="V86" s="5" t="str">
        <f ca="1">VLOOKUP($W86,OFFSET([5]enemy_skill_sets!$B$1,0,0,COUNTA([5]enemy_skill_sets!$B:$B),MATCH(M$1,[5]enemy_skill_sets!$1:$1,0)-MATCH($W$1,[5]enemy_skill_sets!$1:$1,0)+2),MATCH(M$1,[5]enemy_skill_sets!$1:$1,0)-MATCH($W$1,[5]enemy_skill_sets!$1:$1,0)+2,FALSE)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6" s="5">
        <f ca="1">VLOOKUP($L86,OFFSET([3]enemies!$A$1,0,0,COUNTA([3]enemies!$A:$A),MATCH(W$1,[3]enemies!$1:$1,0)-MATCH($L$1,[3]enemies!$1:$1,0)+1),MATCH(W$1,[3]enemies!$1:$1,0)-MATCH($L$1,[3]enemies!$1:$1,0)+1,FALSE)</f>
        <v>0</v>
      </c>
      <c r="X86" s="7">
        <v>0</v>
      </c>
      <c r="Y86" s="7">
        <v>100</v>
      </c>
      <c r="Z86" s="7">
        <v>1</v>
      </c>
      <c r="AA86" s="20">
        <f ca="1">VLOOKUP($L86,OFFSET([3]enemies!$A$1,0,0,COUNTA([3]enemies!$A:$A),MATCH(AA$1,[3]enemies!$1:$1,0)-MATCH($L$1,[3]enemies!$1:$1,0)+1),MATCH(AA$1,[3]enemies!$1:$1,0)-MATCH($L$1,[3]enemies!$1:$1,0)+1,FALSE)</f>
        <v>2</v>
      </c>
      <c r="AB86" s="24">
        <v>142</v>
      </c>
      <c r="AC86" s="5" t="str">
        <f ca="1">IFERROR(VLOOKUP($AB86,OFFSET([4]characters!$A$1,0,0,COUNTA([4]characters!$A:$A),MATCH(AC$1,[4]characters!$1:$1,0)-MATCH("character_id",[4]characters!$1:$1,0)+1),MATCH(AC$1,[4]characters!$1:$1,0)-MATCH("character_id",[4]characters!$1:$1,0)+1,FALSE),"")</f>
        <v>赤ずきん</v>
      </c>
      <c r="AD86" s="5">
        <f ca="1">IFERROR(VLOOKUP($AB86,OFFSET([4]characters!$A$1,0,0,COUNTA([4]characters!$A:$A),MATCH(AD$1,[4]characters!$1:$1,0)-MATCH("character_id",[4]characters!$1:$1,0)+1),MATCH(AD$1,[4]characters!$1:$1,0)-MATCH("character_id",[4]characters!$1:$1,0)+1,FALSE),"")</f>
        <v>3</v>
      </c>
      <c r="AE86" s="5" t="str">
        <f ca="1">IFERROR(VLOOKUP($AB86,OFFSET([4]characters!$A$1,0,0,COUNTA([4]characters!$A:$A),MATCH(AE$1,[4]characters!$1:$1,0)-MATCH("character_id",[4]characters!$1:$1,0)+1),MATCH(AE$1,[4]characters!$1:$1,0)-MATCH("character_id",[4]characters!$1:$1,0)+1,FALSE),"")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86" s="8">
        <v>1</v>
      </c>
      <c r="AG86" s="27">
        <f t="shared" ca="1" si="47"/>
        <v>3</v>
      </c>
      <c r="AH86" s="9">
        <v>0</v>
      </c>
      <c r="AI86" s="8">
        <v>0</v>
      </c>
      <c r="AJ86" s="8">
        <v>0</v>
      </c>
      <c r="AK86" s="8">
        <v>0</v>
      </c>
      <c r="AL86" s="8">
        <v>0</v>
      </c>
      <c r="AM86" s="8">
        <v>1</v>
      </c>
      <c r="AN86" s="8">
        <v>1</v>
      </c>
    </row>
    <row r="87" spans="1:40" ht="21" customHeight="1" x14ac:dyDescent="0.15">
      <c r="A87" s="17" t="str">
        <f ca="1">B87&amp;"_"&amp;C87&amp;"-"&amp;G87&amp;"/"&amp;L87&amp;"&lt;lv"&amp;R87&amp;"&gt;s"&amp;AA87</f>
        <v>11002_3-5/150&lt;lv30&gt;s2</v>
      </c>
      <c r="B87" s="8">
        <v>11002</v>
      </c>
      <c r="C87" s="25">
        <v>3</v>
      </c>
      <c r="D87" s="2" t="str">
        <f t="shared" ref="D87:D89" si="56">B87&amp;"_"&amp;C87</f>
        <v>11002_3</v>
      </c>
      <c r="E87" s="5" t="str">
        <f ca="1">VLOOKUP($B87,OFFSET([2]quests!$A$1,0,0,COUNTA([2]quests!$A:$A),MATCH(E$1,[2]quests!$1:$1,0)-MATCH($B$1,[2]quests!$1:$1,0)+1),MATCH(E$1,[2]quests!$1:$1,0)-MATCH($B$1,[2]quests!$1:$1,0)+1,FALSE)</f>
        <v>【火曜限定】 赤の素材</v>
      </c>
      <c r="F87" s="5" t="str">
        <f ca="1">VLOOKUP($D87,OFFSET([2]stages!$A$1,0,0,COUNTA([2]stages!$A:$A),MATCH(F$1,[2]stages!$2:$2,0)-MATCH($D$1,[2]stages!$2:$2,0)+1),MATCH(F$1,[2]stages!$2:$2,0)-MATCH($D$1,[2]stages!$2:$2,0)+1,FALSE)</f>
        <v xml:space="preserve">【上級】火のイモムシ </v>
      </c>
      <c r="G87" s="25">
        <v>5</v>
      </c>
      <c r="H87" s="16" t="str">
        <f t="shared" si="49"/>
        <v>11002_3-5</v>
      </c>
      <c r="I87" s="5">
        <f ca="1">VLOOKUP($H87,OFFSET(floors!$A$1,0,0,COUNTA(floors!$A:$A),MATCH(I$1,floors!$1:$1,0)-MATCH($H$1,floors!$1:$1,0)+1),MATCH(I$1,floors!$1:$1,0)-MATCH($H$1,floors!$1:$1,0)+1,FALSE)</f>
        <v>60</v>
      </c>
      <c r="J87" s="5">
        <f ca="1">VLOOKUP($H87,OFFSET(floors!$A$1,0,0,COUNTA(floors!$A:$A),MATCH(J$1,floors!$1:$1,0)-MATCH($H$1,floors!$1:$1,0)+1),MATCH(J$1,floors!$1:$1,0)-MATCH($H$1,floors!$1:$1,0)+1,FALSE)</f>
        <v>60</v>
      </c>
      <c r="K87" s="24" t="s">
        <v>197</v>
      </c>
      <c r="L87" s="24">
        <v>150</v>
      </c>
      <c r="M87" s="20" t="str">
        <f ca="1">VLOOKUP($L87,OFFSET([3]enemies!$A$1,0,0,COUNTA([3]enemies!$A:$A),MATCH(M$1,[3]enemies!$1:$1,0)-MATCH($L$1,[3]enemies!$1:$1,0)+1),MATCH(M$1,[3]enemies!$1:$1,0)-MATCH($L$1,[3]enemies!$1:$1,0)+1,FALSE)</f>
        <v>ポイズンマスターサキ</v>
      </c>
      <c r="N87" s="20" t="str">
        <f ca="1">VLOOKUP($L87,OFFSET([3]enemies!$A$1,0,0,COUNTA([3]enemies!$A:$A),MATCH(N$1,[3]enemies!$1:$1,0)-MATCH($L$1,[3]enemies!$1:$1,0)+1),MATCH(N$1,[3]enemies!$1:$1,0)-MATCH($L$1,[3]enemies!$1:$1,0)+1,FALSE)</f>
        <v>red</v>
      </c>
      <c r="O87" s="22" t="str">
        <f ca="1">VLOOKUP($L87,OFFSET([4]characters!$A$1,0,0,COUNTA([4]characters!$A:$A),MATCH(O$1,[4]characters!$1:$1,0)-MATCH($L$1,[4]characters!$1:$1,0)+1),MATCH(O$1,[4]characters!$1:$1,0)-MATCH($L$1,[4]characters!$1:$1,0)+1,FALSE)</f>
        <v>PremiumW</v>
      </c>
      <c r="P87" s="20" t="str">
        <f ca="1">VLOOKUP($L87,OFFSET([3]enemies!$A$1,0,0,COUNTA([3]enemies!$A:$A),MATCH(P$1,[3]enemies!$1:$1,0)-MATCH($L$1,[3]enemies!$1:$1,0)+1),MATCH(P$1,[3]enemies!$1:$1,0)-MATCH($L$1,[3]enemies!$1:$1,0)+1,FALSE)</f>
        <v>human</v>
      </c>
      <c r="Q87" s="20">
        <f ca="1">VLOOKUP($L87,OFFSET([3]enemies!$A$1,0,0,COUNTA([3]enemies!$A:$A),MATCH(Q$1,[3]enemies!$1:$1,0)-MATCH($L$1,[3]enemies!$1:$1,0)+1),MATCH(Q$1,[3]enemies!$1:$1,0)-MATCH($L$1,[3]enemies!$1:$1,0)+1,FALSE)</f>
        <v>20</v>
      </c>
      <c r="R87" s="6">
        <v>30</v>
      </c>
      <c r="S87" s="39">
        <v>1</v>
      </c>
      <c r="T87" s="39">
        <v>1</v>
      </c>
      <c r="U87" s="6">
        <v>0</v>
      </c>
      <c r="V87" s="5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5">
        <f ca="1">VLOOKUP($L87,OFFSET([3]enemies!$A$1,0,0,COUNTA([3]enemies!$A:$A),MATCH(W$1,[3]enemies!$1:$1,0)-MATCH($L$1,[3]enemies!$1:$1,0)+1),MATCH(W$1,[3]enemies!$1:$1,0)-MATCH($L$1,[3]enemies!$1:$1,0)+1,FALSE)</f>
        <v>0</v>
      </c>
      <c r="X87" s="7">
        <v>0</v>
      </c>
      <c r="Y87" s="7">
        <v>100</v>
      </c>
      <c r="Z87" s="7">
        <v>1</v>
      </c>
      <c r="AA87" s="20">
        <f ca="1">VLOOKUP($L87,OFFSET([3]enemies!$A$1,0,0,COUNTA([3]enemies!$A:$A),MATCH(AA$1,[3]enemies!$1:$1,0)-MATCH($L$1,[3]enemies!$1:$1,0)+1),MATCH(AA$1,[3]enemies!$1:$1,0)-MATCH($L$1,[3]enemies!$1:$1,0)+1,FALSE)</f>
        <v>2</v>
      </c>
      <c r="AB87" s="24">
        <v>150</v>
      </c>
      <c r="AC87" s="5" t="str">
        <f ca="1">IFERROR(VLOOKUP($AB87,OFFSET([4]characters!$A$1,0,0,COUNTA([4]characters!$A:$A),MATCH(AC$1,[4]characters!$1:$1,0)-MATCH("character_id",[4]characters!$1:$1,0)+1),MATCH(AC$1,[4]characters!$1:$1,0)-MATCH("character_id",[4]characters!$1:$1,0)+1,FALSE),"")</f>
        <v>ポイズンマスターサキ</v>
      </c>
      <c r="AD87" s="5">
        <f ca="1">IFERROR(VLOOKUP($AB87,OFFSET([4]characters!$A$1,0,0,COUNTA([4]characters!$A:$A),MATCH(AD$1,[4]characters!$1:$1,0)-MATCH("character_id",[4]characters!$1:$1,0)+1),MATCH(AD$1,[4]characters!$1:$1,0)-MATCH("character_id",[4]characters!$1:$1,0)+1,FALSE),"")</f>
        <v>3</v>
      </c>
      <c r="AE87" s="5" t="str">
        <f ca="1">IFERROR(VLOOKUP($AB87,OFFSET([4]characters!$A$1,0,0,COUNTA([4]characters!$A:$A),MATCH(AE$1,[4]characters!$1:$1,0)-MATCH("character_id",[4]characters!$1:$1,0)+1),MATCH(AE$1,[4]characters!$1:$1,0)-MATCH("character_id",[4]characters!$1:$1,0)+1,FALSE),"")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87" s="8">
        <v>1</v>
      </c>
      <c r="AG87" s="27">
        <f t="shared" ref="AG87:AG89" ca="1" si="57">AD87</f>
        <v>3</v>
      </c>
      <c r="AH87" s="9">
        <v>0</v>
      </c>
      <c r="AI87" s="8">
        <v>0</v>
      </c>
      <c r="AJ87" s="8">
        <v>0</v>
      </c>
      <c r="AK87" s="8">
        <v>0</v>
      </c>
      <c r="AL87" s="8">
        <v>0</v>
      </c>
      <c r="AM87" s="8">
        <v>1</v>
      </c>
      <c r="AN87" s="8">
        <v>1</v>
      </c>
    </row>
    <row r="88" spans="1:40" ht="21" customHeight="1" x14ac:dyDescent="0.15">
      <c r="A88" s="17" t="str">
        <f t="shared" ref="A88:A89" ca="1" si="58">B88&amp;"_"&amp;C88&amp;"-"&amp;G88&amp;"/"&amp;L88&amp;"&lt;lv"&amp;R88&amp;"&gt;s"&amp;AA88</f>
        <v>11003_1-1/109&lt;lv3&gt;s2</v>
      </c>
      <c r="B88" s="8">
        <v>11003</v>
      </c>
      <c r="C88" s="25">
        <v>1</v>
      </c>
      <c r="D88" s="2" t="str">
        <f t="shared" si="56"/>
        <v>11003_1</v>
      </c>
      <c r="E88" s="5" t="str">
        <f ca="1">VLOOKUP($B88,OFFSET([2]quests!$A$1,0,0,COUNTA([2]quests!$A:$A),MATCH(E$1,[2]quests!$1:$1,0)-MATCH($B$1,[2]quests!$1:$1,0)+1),MATCH(E$1,[2]quests!$1:$1,0)-MATCH($B$1,[2]quests!$1:$1,0)+1,FALSE)</f>
        <v>【水曜限定】 青の素材</v>
      </c>
      <c r="F88" s="5" t="str">
        <f ca="1">VLOOKUP($D88,OFFSET([2]stages!$A$1,0,0,COUNTA([2]stages!$A:$A),MATCH(F$1,[2]stages!$2:$2,0)-MATCH($D$1,[2]stages!$2:$2,0)+1),MATCH(F$1,[2]stages!$2:$2,0)-MATCH($D$1,[2]stages!$2:$2,0)+1,FALSE)</f>
        <v>【初級】水のチェシャ猫</v>
      </c>
      <c r="G88" s="25">
        <v>1</v>
      </c>
      <c r="H88" s="16" t="str">
        <f t="shared" si="49"/>
        <v>11003_1-1</v>
      </c>
      <c r="I88" s="5">
        <f ca="1">VLOOKUP($H88,OFFSET(floors!$A$1,0,0,COUNTA(floors!$A:$A),MATCH(I$1,floors!$1:$1,0)-MATCH($H$1,floors!$1:$1,0)+1),MATCH(I$1,floors!$1:$1,0)-MATCH($H$1,floors!$1:$1,0)+1,FALSE)</f>
        <v>30</v>
      </c>
      <c r="J88" s="5">
        <f ca="1">VLOOKUP($H88,OFFSET(floors!$A$1,0,0,COUNTA(floors!$A:$A),MATCH(J$1,floors!$1:$1,0)-MATCH($H$1,floors!$1:$1,0)+1),MATCH(J$1,floors!$1:$1,0)-MATCH($H$1,floors!$1:$1,0)+1,FALSE)</f>
        <v>45</v>
      </c>
      <c r="K88" s="24" t="s">
        <v>197</v>
      </c>
      <c r="L88" s="24">
        <v>109</v>
      </c>
      <c r="M88" s="20" t="str">
        <f ca="1">VLOOKUP($L88,OFFSET([3]enemies!$A$1,0,0,COUNTA([3]enemies!$A:$A),MATCH(M$1,[3]enemies!$1:$1,0)-MATCH($L$1,[3]enemies!$1:$1,0)+1),MATCH(M$1,[3]enemies!$1:$1,0)-MATCH($L$1,[3]enemies!$1:$1,0)+1,FALSE)</f>
        <v>ブルーチェシャ</v>
      </c>
      <c r="N88" s="20" t="str">
        <f ca="1">VLOOKUP($L88,OFFSET([3]enemies!$A$1,0,0,COUNTA([3]enemies!$A:$A),MATCH(N$1,[3]enemies!$1:$1,0)-MATCH($L$1,[3]enemies!$1:$1,0)+1),MATCH(N$1,[3]enemies!$1:$1,0)-MATCH($L$1,[3]enemies!$1:$1,0)+1,FALSE)</f>
        <v>blue</v>
      </c>
      <c r="O88" s="22" t="str">
        <f ca="1">VLOOKUP($L88,OFFSET([4]characters!$A$1,0,0,COUNTA([4]characters!$A:$A),MATCH(O$1,[4]characters!$1:$1,0)-MATCH($L$1,[4]characters!$1:$1,0)+1),MATCH(O$1,[4]characters!$1:$1,0)-MATCH($L$1,[4]characters!$1:$1,0)+1,FALSE)</f>
        <v>Material</v>
      </c>
      <c r="P88" s="20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20">
        <f ca="1">VLOOKUP($L88,OFFSET([3]enemies!$A$1,0,0,COUNTA([3]enemies!$A:$A),MATCH(Q$1,[3]enemies!$1:$1,0)-MATCH($L$1,[3]enemies!$1:$1,0)+1),MATCH(Q$1,[3]enemies!$1:$1,0)-MATCH($L$1,[3]enemies!$1:$1,0)+1,FALSE)</f>
        <v>15</v>
      </c>
      <c r="R88" s="6">
        <v>3</v>
      </c>
      <c r="S88" s="39">
        <v>1</v>
      </c>
      <c r="T88" s="39">
        <v>1</v>
      </c>
      <c r="U88" s="6">
        <v>0</v>
      </c>
      <c r="V88" s="5" t="str">
        <f ca="1">VLOOKUP($W88,OFFSET([5]enemy_skill_sets!$B$1,0,0,COUNTA([5]enemy_skill_sets!$B:$B),MATCH(M$1,[5]enemy_skill_sets!$1:$1,0)-MATCH($W$1,[5]enemy_skill_sets!$1:$1,0)+2),MATCH(M$1,[5]enemy_skill_sets!$1:$1,0)-MATCH($W$1,[5]enemy_skill_sets!$1:$1,0)+2,FALSE)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8" s="5">
        <f ca="1">VLOOKUP($L88,OFFSET([3]enemies!$A$1,0,0,COUNTA([3]enemies!$A:$A),MATCH(W$1,[3]enemies!$1:$1,0)-MATCH($L$1,[3]enemies!$1:$1,0)+1),MATCH(W$1,[3]enemies!$1:$1,0)-MATCH($L$1,[3]enemies!$1:$1,0)+1,FALSE)</f>
        <v>0</v>
      </c>
      <c r="X88" s="7">
        <v>0</v>
      </c>
      <c r="Y88" s="7">
        <v>100</v>
      </c>
      <c r="Z88" s="7">
        <v>0</v>
      </c>
      <c r="AA88" s="20">
        <f ca="1">VLOOKUP($L88,OFFSET([3]enemies!$A$1,0,0,COUNTA([3]enemies!$A:$A),MATCH(AA$1,[3]enemies!$1:$1,0)-MATCH($L$1,[3]enemies!$1:$1,0)+1),MATCH(AA$1,[3]enemies!$1:$1,0)-MATCH($L$1,[3]enemies!$1:$1,0)+1,FALSE)</f>
        <v>2</v>
      </c>
      <c r="AB88" s="24">
        <v>109</v>
      </c>
      <c r="AC88" s="5" t="str">
        <f ca="1">IFERROR(VLOOKUP($AB88,OFFSET([4]characters!$A$1,0,0,COUNTA([4]characters!$A:$A),MATCH(AC$1,[4]characters!$1:$1,0)-MATCH("character_id",[4]characters!$1:$1,0)+1),MATCH(AC$1,[4]characters!$1:$1,0)-MATCH("character_id",[4]characters!$1:$1,0)+1,FALSE),"")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88" s="5">
        <f ca="1">IFERROR(VLOOKUP($AB88,OFFSET([4]characters!$A$1,0,0,COUNTA([4]characters!$A:$A),MATCH(AD$1,[4]characters!$1:$1,0)-MATCH("character_id",[4]characters!$1:$1,0)+1),MATCH(AD$1,[4]characters!$1:$1,0)-MATCH("character_id",[4]characters!$1:$1,0)+1,FALSE),"")</f>
        <v>2</v>
      </c>
      <c r="AE88" s="5" t="str">
        <f ca="1">IFERROR(VLOOKUP($AB88,OFFSET([4]characters!$A$1,0,0,COUNTA([4]characters!$A:$A),MATCH(AE$1,[4]characters!$1:$1,0)-MATCH("character_id",[4]characters!$1:$1,0)+1),MATCH(AE$1,[4]characters!$1:$1,0)-MATCH("character_id",[4]characters!$1:$1,0)+1,FALSE),"")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8" s="8">
        <v>1</v>
      </c>
      <c r="AG88" s="27">
        <f t="shared" ca="1" si="57"/>
        <v>2</v>
      </c>
      <c r="AH88" s="9">
        <v>40</v>
      </c>
      <c r="AI88" s="8">
        <v>0</v>
      </c>
      <c r="AJ88" s="8">
        <v>0</v>
      </c>
      <c r="AK88" s="8">
        <v>0</v>
      </c>
      <c r="AL88" s="8">
        <v>0</v>
      </c>
      <c r="AM88" s="8">
        <v>1</v>
      </c>
      <c r="AN88" s="8">
        <v>1</v>
      </c>
    </row>
    <row r="89" spans="1:40" ht="21" customHeight="1" x14ac:dyDescent="0.15">
      <c r="A89" s="17" t="str">
        <f t="shared" ca="1" si="58"/>
        <v>11003_1-2/109&lt;lv3&gt;s2</v>
      </c>
      <c r="B89" s="8">
        <v>11003</v>
      </c>
      <c r="C89" s="25">
        <v>1</v>
      </c>
      <c r="D89" s="2" t="str">
        <f t="shared" si="56"/>
        <v>11003_1</v>
      </c>
      <c r="E89" s="5" t="str">
        <f ca="1">VLOOKUP($B89,OFFSET([2]quests!$A$1,0,0,COUNTA([2]quests!$A:$A),MATCH(E$1,[2]quests!$1:$1,0)-MATCH($B$1,[2]quests!$1:$1,0)+1),MATCH(E$1,[2]quests!$1:$1,0)-MATCH($B$1,[2]quests!$1:$1,0)+1,FALSE)</f>
        <v>【水曜限定】 青の素材</v>
      </c>
      <c r="F89" s="5" t="str">
        <f ca="1">VLOOKUP($D89,OFFSET([2]stages!$A$1,0,0,COUNTA([2]stages!$A:$A),MATCH(F$1,[2]stages!$2:$2,0)-MATCH($D$1,[2]stages!$2:$2,0)+1),MATCH(F$1,[2]stages!$2:$2,0)-MATCH($D$1,[2]stages!$2:$2,0)+1,FALSE)</f>
        <v>【初級】水のチェシャ猫</v>
      </c>
      <c r="G89" s="25">
        <v>2</v>
      </c>
      <c r="H89" s="16" t="str">
        <f t="shared" si="49"/>
        <v>11003_1-2</v>
      </c>
      <c r="I89" s="5">
        <f ca="1">VLOOKUP($H89,OFFSET(floors!$A$1,0,0,COUNTA(floors!$A:$A),MATCH(I$1,floors!$1:$1,0)-MATCH($H$1,floors!$1:$1,0)+1),MATCH(I$1,floors!$1:$1,0)-MATCH($H$1,floors!$1:$1,0)+1,FALSE)</f>
        <v>30</v>
      </c>
      <c r="J89" s="5">
        <f ca="1">VLOOKUP($H89,OFFSET(floors!$A$1,0,0,COUNTA(floors!$A:$A),MATCH(J$1,floors!$1:$1,0)-MATCH($H$1,floors!$1:$1,0)+1),MATCH(J$1,floors!$1:$1,0)-MATCH($H$1,floors!$1:$1,0)+1,FALSE)</f>
        <v>45</v>
      </c>
      <c r="K89" s="24" t="s">
        <v>197</v>
      </c>
      <c r="L89" s="24">
        <v>109</v>
      </c>
      <c r="M89" s="20" t="str">
        <f ca="1">VLOOKUP($L89,OFFSET([3]enemies!$A$1,0,0,COUNTA([3]enemies!$A:$A),MATCH(M$1,[3]enemies!$1:$1,0)-MATCH($L$1,[3]enemies!$1:$1,0)+1),MATCH(M$1,[3]enemies!$1:$1,0)-MATCH($L$1,[3]enemies!$1:$1,0)+1,FALSE)</f>
        <v>ブルーチェシャ</v>
      </c>
      <c r="N89" s="20" t="str">
        <f ca="1">VLOOKUP($L89,OFFSET([3]enemies!$A$1,0,0,COUNTA([3]enemies!$A:$A),MATCH(N$1,[3]enemies!$1:$1,0)-MATCH($L$1,[3]enemies!$1:$1,0)+1),MATCH(N$1,[3]enemies!$1:$1,0)-MATCH($L$1,[3]enemies!$1:$1,0)+1,FALSE)</f>
        <v>blue</v>
      </c>
      <c r="O89" s="22" t="str">
        <f ca="1">VLOOKUP($L89,OFFSET([4]characters!$A$1,0,0,COUNTA([4]characters!$A:$A),MATCH(O$1,[4]characters!$1:$1,0)-MATCH($L$1,[4]characters!$1:$1,0)+1),MATCH(O$1,[4]characters!$1:$1,0)-MATCH($L$1,[4]characters!$1:$1,0)+1,FALSE)</f>
        <v>Material</v>
      </c>
      <c r="P89" s="20" t="str">
        <f ca="1">VLOOKUP($L89,OFFSET([3]enemies!$A$1,0,0,COUNTA([3]enemies!$A:$A),MATCH(P$1,[3]enemies!$1:$1,0)-MATCH($L$1,[3]enemies!$1:$1,0)+1),MATCH(P$1,[3]enemies!$1:$1,0)-MATCH($L$1,[3]enemies!$1:$1,0)+1,FALSE)</f>
        <v>unknown</v>
      </c>
      <c r="Q89" s="20">
        <f ca="1">VLOOKUP($L89,OFFSET([3]enemies!$A$1,0,0,COUNTA([3]enemies!$A:$A),MATCH(Q$1,[3]enemies!$1:$1,0)-MATCH($L$1,[3]enemies!$1:$1,0)+1),MATCH(Q$1,[3]enemies!$1:$1,0)-MATCH($L$1,[3]enemies!$1:$1,0)+1,FALSE)</f>
        <v>15</v>
      </c>
      <c r="R89" s="6">
        <v>3</v>
      </c>
      <c r="S89" s="39">
        <v>1</v>
      </c>
      <c r="T89" s="39">
        <v>1</v>
      </c>
      <c r="U89" s="6">
        <v>0</v>
      </c>
      <c r="V89" s="5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9" s="5">
        <f ca="1">VLOOKUP($L89,OFFSET([3]enemies!$A$1,0,0,COUNTA([3]enemies!$A:$A),MATCH(W$1,[3]enemies!$1:$1,0)-MATCH($L$1,[3]enemies!$1:$1,0)+1),MATCH(W$1,[3]enemies!$1:$1,0)-MATCH($L$1,[3]enemies!$1:$1,0)+1,FALSE)</f>
        <v>0</v>
      </c>
      <c r="X89" s="7">
        <v>0</v>
      </c>
      <c r="Y89" s="7">
        <v>100</v>
      </c>
      <c r="Z89" s="7">
        <v>0</v>
      </c>
      <c r="AA89" s="20">
        <f ca="1">VLOOKUP($L89,OFFSET([3]enemies!$A$1,0,0,COUNTA([3]enemies!$A:$A),MATCH(AA$1,[3]enemies!$1:$1,0)-MATCH($L$1,[3]enemies!$1:$1,0)+1),MATCH(AA$1,[3]enemies!$1:$1,0)-MATCH($L$1,[3]enemies!$1:$1,0)+1,FALSE)</f>
        <v>2</v>
      </c>
      <c r="AB89" s="24">
        <v>109</v>
      </c>
      <c r="AC89" s="5" t="str">
        <f ca="1">IFERROR(VLOOKUP($AB89,OFFSET([4]characters!$A$1,0,0,COUNTA([4]characters!$A:$A),MATCH(AC$1,[4]characters!$1:$1,0)-MATCH("character_id",[4]characters!$1:$1,0)+1),MATCH(AC$1,[4]characters!$1:$1,0)-MATCH("character_id",[4]characters!$1:$1,0)+1,FALSE),"")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89" s="5">
        <f ca="1">IFERROR(VLOOKUP($AB89,OFFSET([4]characters!$A$1,0,0,COUNTA([4]characters!$A:$A),MATCH(AD$1,[4]characters!$1:$1,0)-MATCH("character_id",[4]characters!$1:$1,0)+1),MATCH(AD$1,[4]characters!$1:$1,0)-MATCH("character_id",[4]characters!$1:$1,0)+1,FALSE),"")</f>
        <v>2</v>
      </c>
      <c r="AE89" s="5" t="str">
        <f ca="1">IFERROR(VLOOKUP($AB89,OFFSET([4]characters!$A$1,0,0,COUNTA([4]characters!$A:$A),MATCH(AE$1,[4]characters!$1:$1,0)-MATCH("character_id",[4]characters!$1:$1,0)+1),MATCH(AE$1,[4]characters!$1:$1,0)-MATCH("character_id",[4]characters!$1:$1,0)+1,FALSE),"")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9" s="8">
        <v>1</v>
      </c>
      <c r="AG89" s="27">
        <f t="shared" ca="1" si="57"/>
        <v>2</v>
      </c>
      <c r="AH89" s="9">
        <v>40</v>
      </c>
      <c r="AI89" s="8">
        <v>0</v>
      </c>
      <c r="AJ89" s="8">
        <v>0</v>
      </c>
      <c r="AK89" s="8">
        <v>0</v>
      </c>
      <c r="AL89" s="8">
        <v>0</v>
      </c>
      <c r="AM89" s="8">
        <v>1</v>
      </c>
      <c r="AN89" s="8">
        <v>1</v>
      </c>
    </row>
    <row r="90" spans="1:40" ht="21" customHeight="1" x14ac:dyDescent="0.15">
      <c r="A90" s="17" t="str">
        <f t="shared" ref="A90:A126" ca="1" si="59">B90&amp;"_"&amp;C90&amp;"-"&amp;G90&amp;"/"&amp;L90&amp;"&lt;lv"&amp;R90&amp;"&gt;s"&amp;AA90</f>
        <v>11003_1-3/109&lt;lv3&gt;s2</v>
      </c>
      <c r="B90" s="8">
        <v>11003</v>
      </c>
      <c r="C90" s="25">
        <v>1</v>
      </c>
      <c r="D90" s="2" t="str">
        <f t="shared" ref="D90:D132" si="60">B90&amp;"_"&amp;C90</f>
        <v>11003_1</v>
      </c>
      <c r="E90" s="5" t="str">
        <f ca="1">VLOOKUP($B90,OFFSET([2]quests!$A$1,0,0,COUNTA([2]quests!$A:$A),MATCH(E$1,[2]quests!$1:$1,0)-MATCH($B$1,[2]quests!$1:$1,0)+1),MATCH(E$1,[2]quests!$1:$1,0)-MATCH($B$1,[2]quests!$1:$1,0)+1,FALSE)</f>
        <v>【水曜限定】 青の素材</v>
      </c>
      <c r="F90" s="5" t="str">
        <f ca="1">VLOOKUP($D90,OFFSET([2]stages!$A$1,0,0,COUNTA([2]stages!$A:$A),MATCH(F$1,[2]stages!$2:$2,0)-MATCH($D$1,[2]stages!$2:$2,0)+1),MATCH(F$1,[2]stages!$2:$2,0)-MATCH($D$1,[2]stages!$2:$2,0)+1,FALSE)</f>
        <v>【初級】水のチェシャ猫</v>
      </c>
      <c r="G90" s="25">
        <v>3</v>
      </c>
      <c r="H90" s="16" t="str">
        <f t="shared" si="49"/>
        <v>11003_1-3</v>
      </c>
      <c r="I90" s="5">
        <f ca="1">VLOOKUP($H90,OFFSET(floors!$A$1,0,0,COUNTA(floors!$A:$A),MATCH(I$1,floors!$1:$1,0)-MATCH($H$1,floors!$1:$1,0)+1),MATCH(I$1,floors!$1:$1,0)-MATCH($H$1,floors!$1:$1,0)+1,FALSE)</f>
        <v>45</v>
      </c>
      <c r="J90" s="5">
        <f ca="1">VLOOKUP($H90,OFFSET(floors!$A$1,0,0,COUNTA(floors!$A:$A),MATCH(J$1,floors!$1:$1,0)-MATCH($H$1,floors!$1:$1,0)+1),MATCH(J$1,floors!$1:$1,0)-MATCH($H$1,floors!$1:$1,0)+1,FALSE)</f>
        <v>45</v>
      </c>
      <c r="K90" s="24" t="s">
        <v>197</v>
      </c>
      <c r="L90" s="24">
        <v>109</v>
      </c>
      <c r="M90" s="20" t="str">
        <f ca="1">VLOOKUP($L90,OFFSET([3]enemies!$A$1,0,0,COUNTA([3]enemies!$A:$A),MATCH(M$1,[3]enemies!$1:$1,0)-MATCH($L$1,[3]enemies!$1:$1,0)+1),MATCH(M$1,[3]enemies!$1:$1,0)-MATCH($L$1,[3]enemies!$1:$1,0)+1,FALSE)</f>
        <v>ブルーチェシャ</v>
      </c>
      <c r="N90" s="20" t="str">
        <f ca="1">VLOOKUP($L90,OFFSET([3]enemies!$A$1,0,0,COUNTA([3]enemies!$A:$A),MATCH(N$1,[3]enemies!$1:$1,0)-MATCH($L$1,[3]enemies!$1:$1,0)+1),MATCH(N$1,[3]enemies!$1:$1,0)-MATCH($L$1,[3]enemies!$1:$1,0)+1,FALSE)</f>
        <v>blue</v>
      </c>
      <c r="O90" s="22" t="str">
        <f ca="1">VLOOKUP($L90,OFFSET([4]characters!$A$1,0,0,COUNTA([4]characters!$A:$A),MATCH(O$1,[4]characters!$1:$1,0)-MATCH($L$1,[4]characters!$1:$1,0)+1),MATCH(O$1,[4]characters!$1:$1,0)-MATCH($L$1,[4]characters!$1:$1,0)+1,FALSE)</f>
        <v>Material</v>
      </c>
      <c r="P90" s="20" t="str">
        <f ca="1">VLOOKUP($L90,OFFSET([3]enemies!$A$1,0,0,COUNTA([3]enemies!$A:$A),MATCH(P$1,[3]enemies!$1:$1,0)-MATCH($L$1,[3]enemies!$1:$1,0)+1),MATCH(P$1,[3]enemies!$1:$1,0)-MATCH($L$1,[3]enemies!$1:$1,0)+1,FALSE)</f>
        <v>unknown</v>
      </c>
      <c r="Q90" s="20">
        <f ca="1">VLOOKUP($L90,OFFSET([3]enemies!$A$1,0,0,COUNTA([3]enemies!$A:$A),MATCH(Q$1,[3]enemies!$1:$1,0)-MATCH($L$1,[3]enemies!$1:$1,0)+1),MATCH(Q$1,[3]enemies!$1:$1,0)-MATCH($L$1,[3]enemies!$1:$1,0)+1,FALSE)</f>
        <v>15</v>
      </c>
      <c r="R90" s="6">
        <v>3</v>
      </c>
      <c r="S90" s="39">
        <v>1</v>
      </c>
      <c r="T90" s="39">
        <v>1</v>
      </c>
      <c r="U90" s="6">
        <v>0</v>
      </c>
      <c r="V90" s="5" t="str">
        <f ca="1">VLOOKUP($W90,OFFSET([5]enemy_skill_sets!$B$1,0,0,COUNTA([5]enemy_skill_sets!$B:$B),MATCH(M$1,[5]enemy_skill_sets!$1:$1,0)-MATCH($W$1,[5]enemy_skill_sets!$1:$1,0)+2),MATCH(M$1,[5]enemy_skill_sets!$1:$1,0)-MATCH($W$1,[5]enemy_skill_sets!$1:$1,0)+2,FALSE)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0" s="5">
        <f ca="1">VLOOKUP($L90,OFFSET([3]enemies!$A$1,0,0,COUNTA([3]enemies!$A:$A),MATCH(W$1,[3]enemies!$1:$1,0)-MATCH($L$1,[3]enemies!$1:$1,0)+1),MATCH(W$1,[3]enemies!$1:$1,0)-MATCH($L$1,[3]enemies!$1:$1,0)+1,FALSE)</f>
        <v>0</v>
      </c>
      <c r="X90" s="7">
        <v>0</v>
      </c>
      <c r="Y90" s="7">
        <v>100</v>
      </c>
      <c r="Z90" s="7">
        <v>0</v>
      </c>
      <c r="AA90" s="20">
        <f ca="1">VLOOKUP($L90,OFFSET([3]enemies!$A$1,0,0,COUNTA([3]enemies!$A:$A),MATCH(AA$1,[3]enemies!$1:$1,0)-MATCH($L$1,[3]enemies!$1:$1,0)+1),MATCH(AA$1,[3]enemies!$1:$1,0)-MATCH($L$1,[3]enemies!$1:$1,0)+1,FALSE)</f>
        <v>2</v>
      </c>
      <c r="AB90" s="24">
        <v>109</v>
      </c>
      <c r="AC90" s="5" t="str">
        <f ca="1">IFERROR(VLOOKUP($AB90,OFFSET([4]characters!$A$1,0,0,COUNTA([4]characters!$A:$A),MATCH(AC$1,[4]characters!$1:$1,0)-MATCH("character_id",[4]characters!$1:$1,0)+1),MATCH(AC$1,[4]characters!$1:$1,0)-MATCH("character_id",[4]characters!$1:$1,0)+1,FALSE),"")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90" s="5">
        <f ca="1">IFERROR(VLOOKUP($AB90,OFFSET([4]characters!$A$1,0,0,COUNTA([4]characters!$A:$A),MATCH(AD$1,[4]characters!$1:$1,0)-MATCH("character_id",[4]characters!$1:$1,0)+1),MATCH(AD$1,[4]characters!$1:$1,0)-MATCH("character_id",[4]characters!$1:$1,0)+1,FALSE),"")</f>
        <v>2</v>
      </c>
      <c r="AE90" s="5" t="str">
        <f ca="1">IFERROR(VLOOKUP($AB90,OFFSET([4]characters!$A$1,0,0,COUNTA([4]characters!$A:$A),MATCH(AE$1,[4]characters!$1:$1,0)-MATCH("character_id",[4]characters!$1:$1,0)+1),MATCH(AE$1,[4]characters!$1:$1,0)-MATCH("character_id",[4]characters!$1:$1,0)+1,FALSE),"")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0" s="8">
        <v>1</v>
      </c>
      <c r="AG90" s="27">
        <f t="shared" ref="AG90:AG132" ca="1" si="61">AD90</f>
        <v>2</v>
      </c>
      <c r="AH90" s="9">
        <v>40</v>
      </c>
      <c r="AI90" s="8">
        <v>0</v>
      </c>
      <c r="AJ90" s="8">
        <v>0</v>
      </c>
      <c r="AK90" s="8">
        <v>0</v>
      </c>
      <c r="AL90" s="8">
        <v>0</v>
      </c>
      <c r="AM90" s="8">
        <v>1</v>
      </c>
      <c r="AN90" s="8">
        <v>1</v>
      </c>
    </row>
    <row r="91" spans="1:40" ht="21" customHeight="1" x14ac:dyDescent="0.15">
      <c r="A91" s="17" t="str">
        <f t="shared" ca="1" si="59"/>
        <v>11003_1-3/110&lt;lv3&gt;s4</v>
      </c>
      <c r="B91" s="8">
        <v>11003</v>
      </c>
      <c r="C91" s="25">
        <v>1</v>
      </c>
      <c r="D91" s="2" t="str">
        <f t="shared" si="60"/>
        <v>11003_1</v>
      </c>
      <c r="E91" s="5" t="str">
        <f ca="1">VLOOKUP($B91,OFFSET([2]quests!$A$1,0,0,COUNTA([2]quests!$A:$A),MATCH(E$1,[2]quests!$1:$1,0)-MATCH($B$1,[2]quests!$1:$1,0)+1),MATCH(E$1,[2]quests!$1:$1,0)-MATCH($B$1,[2]quests!$1:$1,0)+1,FALSE)</f>
        <v>【水曜限定】 青の素材</v>
      </c>
      <c r="F91" s="5" t="str">
        <f ca="1">VLOOKUP($D91,OFFSET([2]stages!$A$1,0,0,COUNTA([2]stages!$A:$A),MATCH(F$1,[2]stages!$2:$2,0)-MATCH($D$1,[2]stages!$2:$2,0)+1),MATCH(F$1,[2]stages!$2:$2,0)-MATCH($D$1,[2]stages!$2:$2,0)+1,FALSE)</f>
        <v>【初級】水のチェシャ猫</v>
      </c>
      <c r="G91" s="25">
        <v>3</v>
      </c>
      <c r="H91" s="16" t="str">
        <f t="shared" si="49"/>
        <v>11003_1-3</v>
      </c>
      <c r="I91" s="5">
        <f ca="1">VLOOKUP($H91,OFFSET(floors!$A$1,0,0,COUNTA(floors!$A:$A),MATCH(I$1,floors!$1:$1,0)-MATCH($H$1,floors!$1:$1,0)+1),MATCH(I$1,floors!$1:$1,0)-MATCH($H$1,floors!$1:$1,0)+1,FALSE)</f>
        <v>45</v>
      </c>
      <c r="J91" s="5">
        <f ca="1">VLOOKUP($H91,OFFSET(floors!$A$1,0,0,COUNTA(floors!$A:$A),MATCH(J$1,floors!$1:$1,0)-MATCH($H$1,floors!$1:$1,0)+1),MATCH(J$1,floors!$1:$1,0)-MATCH($H$1,floors!$1:$1,0)+1,FALSE)</f>
        <v>45</v>
      </c>
      <c r="K91" s="24" t="s">
        <v>197</v>
      </c>
      <c r="L91" s="24">
        <v>110</v>
      </c>
      <c r="M91" s="20" t="str">
        <f ca="1">VLOOKUP($L91,OFFSET([3]enemies!$A$1,0,0,COUNTA([3]enemies!$A:$A),MATCH(M$1,[3]enemies!$1:$1,0)-MATCH($L$1,[3]enemies!$1:$1,0)+1),MATCH(M$1,[3]enemies!$1:$1,0)-MATCH($L$1,[3]enemies!$1:$1,0)+1,FALSE)</f>
        <v>ブルーラビット</v>
      </c>
      <c r="N91" s="20" t="str">
        <f ca="1">VLOOKUP($L91,OFFSET([3]enemies!$A$1,0,0,COUNTA([3]enemies!$A:$A),MATCH(N$1,[3]enemies!$1:$1,0)-MATCH($L$1,[3]enemies!$1:$1,0)+1),MATCH(N$1,[3]enemies!$1:$1,0)-MATCH($L$1,[3]enemies!$1:$1,0)+1,FALSE)</f>
        <v>blue</v>
      </c>
      <c r="O91" s="22" t="str">
        <f ca="1">VLOOKUP($L91,OFFSET([4]characters!$A$1,0,0,COUNTA([4]characters!$A:$A),MATCH(O$1,[4]characters!$1:$1,0)-MATCH($L$1,[4]characters!$1:$1,0)+1),MATCH(O$1,[4]characters!$1:$1,0)-MATCH($L$1,[4]characters!$1:$1,0)+1,FALSE)</f>
        <v>Material</v>
      </c>
      <c r="P91" s="20" t="str">
        <f ca="1">VLOOKUP($L91,OFFSET([3]enemies!$A$1,0,0,COUNTA([3]enemies!$A:$A),MATCH(P$1,[3]enemies!$1:$1,0)-MATCH($L$1,[3]enemies!$1:$1,0)+1),MATCH(P$1,[3]enemies!$1:$1,0)-MATCH($L$1,[3]enemies!$1:$1,0)+1,FALSE)</f>
        <v>unknown</v>
      </c>
      <c r="Q91" s="20">
        <f ca="1">VLOOKUP($L91,OFFSET([3]enemies!$A$1,0,0,COUNTA([3]enemies!$A:$A),MATCH(Q$1,[3]enemies!$1:$1,0)-MATCH($L$1,[3]enemies!$1:$1,0)+1),MATCH(Q$1,[3]enemies!$1:$1,0)-MATCH($L$1,[3]enemies!$1:$1,0)+1,FALSE)</f>
        <v>15</v>
      </c>
      <c r="R91" s="6">
        <v>3</v>
      </c>
      <c r="S91" s="40">
        <v>1.8</v>
      </c>
      <c r="T91" s="39">
        <v>1</v>
      </c>
      <c r="U91" s="6">
        <v>0</v>
      </c>
      <c r="V91" s="5" t="str">
        <f ca="1">VLOOKUP($W91,OFFSET([5]enemy_skill_sets!$B$1,0,0,COUNTA([5]enemy_skill_sets!$B:$B),MATCH(M$1,[5]enemy_skill_sets!$1:$1,0)-MATCH($W$1,[5]enemy_skill_sets!$1:$1,0)+2),MATCH(M$1,[5]enemy_skill_sets!$1:$1,0)-MATCH($W$1,[5]enemy_skill_sets!$1:$1,0)+2,FALSE)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1" s="5">
        <f ca="1">VLOOKUP($L91,OFFSET([3]enemies!$A$1,0,0,COUNTA([3]enemies!$A:$A),MATCH(W$1,[3]enemies!$1:$1,0)-MATCH($L$1,[3]enemies!$1:$1,0)+1),MATCH(W$1,[3]enemies!$1:$1,0)-MATCH($L$1,[3]enemies!$1:$1,0)+1,FALSE)</f>
        <v>0</v>
      </c>
      <c r="X91" s="7">
        <v>0</v>
      </c>
      <c r="Y91" s="7">
        <v>40</v>
      </c>
      <c r="Z91" s="7">
        <v>0</v>
      </c>
      <c r="AA91" s="20">
        <f ca="1">VLOOKUP($L91,OFFSET([3]enemies!$A$1,0,0,COUNTA([3]enemies!$A:$A),MATCH(AA$1,[3]enemies!$1:$1,0)-MATCH($L$1,[3]enemies!$1:$1,0)+1),MATCH(AA$1,[3]enemies!$1:$1,0)-MATCH($L$1,[3]enemies!$1:$1,0)+1,FALSE)</f>
        <v>4</v>
      </c>
      <c r="AB91" s="24">
        <v>110</v>
      </c>
      <c r="AC91" s="5" t="str">
        <f ca="1">IFERROR(VLOOKUP($AB91,OFFSET([4]characters!$A$1,0,0,COUNTA([4]characters!$A:$A),MATCH(AC$1,[4]characters!$1:$1,0)-MATCH("character_id",[4]characters!$1:$1,0)+1),MATCH(AC$1,[4]characters!$1:$1,0)-MATCH("character_id",[4]characters!$1:$1,0)+1,FALSE),"")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91" s="5">
        <f ca="1">IFERROR(VLOOKUP($AB91,OFFSET([4]characters!$A$1,0,0,COUNTA([4]characters!$A:$A),MATCH(AD$1,[4]characters!$1:$1,0)-MATCH("character_id",[4]characters!$1:$1,0)+1),MATCH(AD$1,[4]characters!$1:$1,0)-MATCH("character_id",[4]characters!$1:$1,0)+1,FALSE),"")</f>
        <v>3</v>
      </c>
      <c r="AE91" s="5" t="str">
        <f ca="1">IFERROR(VLOOKUP($AB91,OFFSET([4]characters!$A$1,0,0,COUNTA([4]characters!$A:$A),MATCH(AE$1,[4]characters!$1:$1,0)-MATCH("character_id",[4]characters!$1:$1,0)+1),MATCH(AE$1,[4]characters!$1:$1,0)-MATCH("character_id",[4]characters!$1:$1,0)+1,FALSE),"")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1" s="8">
        <v>1</v>
      </c>
      <c r="AG91" s="27">
        <f t="shared" ca="1" si="61"/>
        <v>3</v>
      </c>
      <c r="AH91" s="9">
        <v>10</v>
      </c>
      <c r="AI91" s="8">
        <v>0</v>
      </c>
      <c r="AJ91" s="8">
        <v>0</v>
      </c>
      <c r="AK91" s="8">
        <v>0</v>
      </c>
      <c r="AL91" s="8">
        <v>0</v>
      </c>
      <c r="AM91" s="8">
        <v>1</v>
      </c>
      <c r="AN91" s="8">
        <v>1</v>
      </c>
    </row>
    <row r="92" spans="1:40" ht="21" customHeight="1" x14ac:dyDescent="0.15">
      <c r="A92" s="17" t="str">
        <f t="shared" ca="1" si="59"/>
        <v>11003_1-4/109&lt;lv3&gt;s2</v>
      </c>
      <c r="B92" s="8">
        <v>11003</v>
      </c>
      <c r="C92" s="25">
        <v>1</v>
      </c>
      <c r="D92" s="2" t="str">
        <f t="shared" si="60"/>
        <v>11003_1</v>
      </c>
      <c r="E92" s="5" t="str">
        <f ca="1">VLOOKUP($B92,OFFSET([2]quests!$A$1,0,0,COUNTA([2]quests!$A:$A),MATCH(E$1,[2]quests!$1:$1,0)-MATCH($B$1,[2]quests!$1:$1,0)+1),MATCH(E$1,[2]quests!$1:$1,0)-MATCH($B$1,[2]quests!$1:$1,0)+1,FALSE)</f>
        <v>【水曜限定】 青の素材</v>
      </c>
      <c r="F92" s="5" t="str">
        <f ca="1">VLOOKUP($D92,OFFSET([2]stages!$A$1,0,0,COUNTA([2]stages!$A:$A),MATCH(F$1,[2]stages!$2:$2,0)-MATCH($D$1,[2]stages!$2:$2,0)+1),MATCH(F$1,[2]stages!$2:$2,0)-MATCH($D$1,[2]stages!$2:$2,0)+1,FALSE)</f>
        <v>【初級】水のチェシャ猫</v>
      </c>
      <c r="G92" s="25">
        <v>4</v>
      </c>
      <c r="H92" s="16" t="str">
        <f t="shared" si="49"/>
        <v>11003_1-4</v>
      </c>
      <c r="I92" s="5">
        <f ca="1">VLOOKUP($H92,OFFSET(floors!$A$1,0,0,COUNTA(floors!$A:$A),MATCH(I$1,floors!$1:$1,0)-MATCH($H$1,floors!$1:$1,0)+1),MATCH(I$1,floors!$1:$1,0)-MATCH($H$1,floors!$1:$1,0)+1,FALSE)</f>
        <v>45</v>
      </c>
      <c r="J92" s="5">
        <f ca="1">VLOOKUP($H92,OFFSET(floors!$A$1,0,0,COUNTA(floors!$A:$A),MATCH(J$1,floors!$1:$1,0)-MATCH($H$1,floors!$1:$1,0)+1),MATCH(J$1,floors!$1:$1,0)-MATCH($H$1,floors!$1:$1,0)+1,FALSE)</f>
        <v>60</v>
      </c>
      <c r="K92" s="24" t="s">
        <v>197</v>
      </c>
      <c r="L92" s="24">
        <v>109</v>
      </c>
      <c r="M92" s="20" t="str">
        <f ca="1">VLOOKUP($L92,OFFSET([3]enemies!$A$1,0,0,COUNTA([3]enemies!$A:$A),MATCH(M$1,[3]enemies!$1:$1,0)-MATCH($L$1,[3]enemies!$1:$1,0)+1),MATCH(M$1,[3]enemies!$1:$1,0)-MATCH($L$1,[3]enemies!$1:$1,0)+1,FALSE)</f>
        <v>ブルーチェシャ</v>
      </c>
      <c r="N92" s="20" t="str">
        <f ca="1">VLOOKUP($L92,OFFSET([3]enemies!$A$1,0,0,COUNTA([3]enemies!$A:$A),MATCH(N$1,[3]enemies!$1:$1,0)-MATCH($L$1,[3]enemies!$1:$1,0)+1),MATCH(N$1,[3]enemies!$1:$1,0)-MATCH($L$1,[3]enemies!$1:$1,0)+1,FALSE)</f>
        <v>blue</v>
      </c>
      <c r="O92" s="22" t="str">
        <f ca="1">VLOOKUP($L92,OFFSET([4]characters!$A$1,0,0,COUNTA([4]characters!$A:$A),MATCH(O$1,[4]characters!$1:$1,0)-MATCH($L$1,[4]characters!$1:$1,0)+1),MATCH(O$1,[4]characters!$1:$1,0)-MATCH($L$1,[4]characters!$1:$1,0)+1,FALSE)</f>
        <v>Material</v>
      </c>
      <c r="P92" s="20" t="str">
        <f ca="1">VLOOKUP($L92,OFFSET([3]enemies!$A$1,0,0,COUNTA([3]enemies!$A:$A),MATCH(P$1,[3]enemies!$1:$1,0)-MATCH($L$1,[3]enemies!$1:$1,0)+1),MATCH(P$1,[3]enemies!$1:$1,0)-MATCH($L$1,[3]enemies!$1:$1,0)+1,FALSE)</f>
        <v>unknown</v>
      </c>
      <c r="Q92" s="20">
        <f ca="1">VLOOKUP($L92,OFFSET([3]enemies!$A$1,0,0,COUNTA([3]enemies!$A:$A),MATCH(Q$1,[3]enemies!$1:$1,0)-MATCH($L$1,[3]enemies!$1:$1,0)+1),MATCH(Q$1,[3]enemies!$1:$1,0)-MATCH($L$1,[3]enemies!$1:$1,0)+1,FALSE)</f>
        <v>15</v>
      </c>
      <c r="R92" s="6">
        <v>3</v>
      </c>
      <c r="S92" s="39">
        <v>1</v>
      </c>
      <c r="T92" s="39">
        <v>1</v>
      </c>
      <c r="U92" s="6">
        <v>0</v>
      </c>
      <c r="V92" s="5" t="str">
        <f ca="1">VLOOKUP($W92,OFFSET([5]enemy_skill_sets!$B$1,0,0,COUNTA([5]enemy_skill_sets!$B:$B),MATCH(M$1,[5]enemy_skill_sets!$1:$1,0)-MATCH($W$1,[5]enemy_skill_sets!$1:$1,0)+2),MATCH(M$1,[5]enemy_skill_sets!$1:$1,0)-MATCH($W$1,[5]enemy_skill_sets!$1:$1,0)+2,FALSE)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2" s="5">
        <f ca="1">VLOOKUP($L92,OFFSET([3]enemies!$A$1,0,0,COUNTA([3]enemies!$A:$A),MATCH(W$1,[3]enemies!$1:$1,0)-MATCH($L$1,[3]enemies!$1:$1,0)+1),MATCH(W$1,[3]enemies!$1:$1,0)-MATCH($L$1,[3]enemies!$1:$1,0)+1,FALSE)</f>
        <v>0</v>
      </c>
      <c r="X92" s="7">
        <v>0</v>
      </c>
      <c r="Y92" s="7">
        <v>100</v>
      </c>
      <c r="Z92" s="7">
        <v>0</v>
      </c>
      <c r="AA92" s="20">
        <f ca="1">VLOOKUP($L92,OFFSET([3]enemies!$A$1,0,0,COUNTA([3]enemies!$A:$A),MATCH(AA$1,[3]enemies!$1:$1,0)-MATCH($L$1,[3]enemies!$1:$1,0)+1),MATCH(AA$1,[3]enemies!$1:$1,0)-MATCH($L$1,[3]enemies!$1:$1,0)+1,FALSE)</f>
        <v>2</v>
      </c>
      <c r="AB92" s="24">
        <v>109</v>
      </c>
      <c r="AC92" s="5" t="str">
        <f ca="1">IFERROR(VLOOKUP($AB92,OFFSET([4]characters!$A$1,0,0,COUNTA([4]characters!$A:$A),MATCH(AC$1,[4]characters!$1:$1,0)-MATCH("character_id",[4]characters!$1:$1,0)+1),MATCH(AC$1,[4]characters!$1:$1,0)-MATCH("character_id",[4]characters!$1:$1,0)+1,FALSE),"")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92" s="5">
        <f ca="1">IFERROR(VLOOKUP($AB92,OFFSET([4]characters!$A$1,0,0,COUNTA([4]characters!$A:$A),MATCH(AD$1,[4]characters!$1:$1,0)-MATCH("character_id",[4]characters!$1:$1,0)+1),MATCH(AD$1,[4]characters!$1:$1,0)-MATCH("character_id",[4]characters!$1:$1,0)+1,FALSE),"")</f>
        <v>2</v>
      </c>
      <c r="AE92" s="5" t="str">
        <f ca="1">IFERROR(VLOOKUP($AB92,OFFSET([4]characters!$A$1,0,0,COUNTA([4]characters!$A:$A),MATCH(AE$1,[4]characters!$1:$1,0)-MATCH("character_id",[4]characters!$1:$1,0)+1),MATCH(AE$1,[4]characters!$1:$1,0)-MATCH("character_id",[4]characters!$1:$1,0)+1,FALSE),"")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2" s="8">
        <v>1</v>
      </c>
      <c r="AG92" s="27">
        <f t="shared" ca="1" si="61"/>
        <v>2</v>
      </c>
      <c r="AH92" s="9">
        <v>40</v>
      </c>
      <c r="AI92" s="8">
        <v>0</v>
      </c>
      <c r="AJ92" s="8">
        <v>0</v>
      </c>
      <c r="AK92" s="8">
        <v>0</v>
      </c>
      <c r="AL92" s="8">
        <v>0</v>
      </c>
      <c r="AM92" s="8">
        <v>1</v>
      </c>
      <c r="AN92" s="8">
        <v>1</v>
      </c>
    </row>
    <row r="93" spans="1:40" ht="21" customHeight="1" x14ac:dyDescent="0.15">
      <c r="A93" s="17" t="str">
        <f t="shared" ca="1" si="59"/>
        <v>11003_1-4/110&lt;lv3&gt;s4</v>
      </c>
      <c r="B93" s="8">
        <v>11003</v>
      </c>
      <c r="C93" s="25">
        <v>1</v>
      </c>
      <c r="D93" s="2" t="str">
        <f t="shared" si="60"/>
        <v>11003_1</v>
      </c>
      <c r="E93" s="5" t="str">
        <f ca="1">VLOOKUP($B93,OFFSET([2]quests!$A$1,0,0,COUNTA([2]quests!$A:$A),MATCH(E$1,[2]quests!$1:$1,0)-MATCH($B$1,[2]quests!$1:$1,0)+1),MATCH(E$1,[2]quests!$1:$1,0)-MATCH($B$1,[2]quests!$1:$1,0)+1,FALSE)</f>
        <v>【水曜限定】 青の素材</v>
      </c>
      <c r="F93" s="5" t="str">
        <f ca="1">VLOOKUP($D93,OFFSET([2]stages!$A$1,0,0,COUNTA([2]stages!$A:$A),MATCH(F$1,[2]stages!$2:$2,0)-MATCH($D$1,[2]stages!$2:$2,0)+1),MATCH(F$1,[2]stages!$2:$2,0)-MATCH($D$1,[2]stages!$2:$2,0)+1,FALSE)</f>
        <v>【初級】水のチェシャ猫</v>
      </c>
      <c r="G93" s="25">
        <v>4</v>
      </c>
      <c r="H93" s="16" t="str">
        <f t="shared" si="49"/>
        <v>11003_1-4</v>
      </c>
      <c r="I93" s="5">
        <f ca="1">VLOOKUP($H93,OFFSET(floors!$A$1,0,0,COUNTA(floors!$A:$A),MATCH(I$1,floors!$1:$1,0)-MATCH($H$1,floors!$1:$1,0)+1),MATCH(I$1,floors!$1:$1,0)-MATCH($H$1,floors!$1:$1,0)+1,FALSE)</f>
        <v>45</v>
      </c>
      <c r="J93" s="5">
        <f ca="1">VLOOKUP($H93,OFFSET(floors!$A$1,0,0,COUNTA(floors!$A:$A),MATCH(J$1,floors!$1:$1,0)-MATCH($H$1,floors!$1:$1,0)+1),MATCH(J$1,floors!$1:$1,0)-MATCH($H$1,floors!$1:$1,0)+1,FALSE)</f>
        <v>60</v>
      </c>
      <c r="K93" s="24" t="s">
        <v>197</v>
      </c>
      <c r="L93" s="24">
        <v>110</v>
      </c>
      <c r="M93" s="20" t="str">
        <f ca="1">VLOOKUP($L93,OFFSET([3]enemies!$A$1,0,0,COUNTA([3]enemies!$A:$A),MATCH(M$1,[3]enemies!$1:$1,0)-MATCH($L$1,[3]enemies!$1:$1,0)+1),MATCH(M$1,[3]enemies!$1:$1,0)-MATCH($L$1,[3]enemies!$1:$1,0)+1,FALSE)</f>
        <v>ブルーラビット</v>
      </c>
      <c r="N93" s="20" t="str">
        <f ca="1">VLOOKUP($L93,OFFSET([3]enemies!$A$1,0,0,COUNTA([3]enemies!$A:$A),MATCH(N$1,[3]enemies!$1:$1,0)-MATCH($L$1,[3]enemies!$1:$1,0)+1),MATCH(N$1,[3]enemies!$1:$1,0)-MATCH($L$1,[3]enemies!$1:$1,0)+1,FALSE)</f>
        <v>blue</v>
      </c>
      <c r="O93" s="22" t="str">
        <f ca="1">VLOOKUP($L93,OFFSET([4]characters!$A$1,0,0,COUNTA([4]characters!$A:$A),MATCH(O$1,[4]characters!$1:$1,0)-MATCH($L$1,[4]characters!$1:$1,0)+1),MATCH(O$1,[4]characters!$1:$1,0)-MATCH($L$1,[4]characters!$1:$1,0)+1,FALSE)</f>
        <v>Material</v>
      </c>
      <c r="P93" s="20" t="str">
        <f ca="1">VLOOKUP($L93,OFFSET([3]enemies!$A$1,0,0,COUNTA([3]enemies!$A:$A),MATCH(P$1,[3]enemies!$1:$1,0)-MATCH($L$1,[3]enemies!$1:$1,0)+1),MATCH(P$1,[3]enemies!$1:$1,0)-MATCH($L$1,[3]enemies!$1:$1,0)+1,FALSE)</f>
        <v>unknown</v>
      </c>
      <c r="Q93" s="20">
        <f ca="1">VLOOKUP($L93,OFFSET([3]enemies!$A$1,0,0,COUNTA([3]enemies!$A:$A),MATCH(Q$1,[3]enemies!$1:$1,0)-MATCH($L$1,[3]enemies!$1:$1,0)+1),MATCH(Q$1,[3]enemies!$1:$1,0)-MATCH($L$1,[3]enemies!$1:$1,0)+1,FALSE)</f>
        <v>15</v>
      </c>
      <c r="R93" s="6">
        <v>3</v>
      </c>
      <c r="S93" s="40">
        <v>1.8</v>
      </c>
      <c r="T93" s="39">
        <v>1</v>
      </c>
      <c r="U93" s="6">
        <v>0</v>
      </c>
      <c r="V93" s="5" t="str">
        <f ca="1">VLOOKUP($W93,OFFSET([5]enemy_skill_sets!$B$1,0,0,COUNTA([5]enemy_skill_sets!$B:$B),MATCH(M$1,[5]enemy_skill_sets!$1:$1,0)-MATCH($W$1,[5]enemy_skill_sets!$1:$1,0)+2),MATCH(M$1,[5]enemy_skill_sets!$1:$1,0)-MATCH($W$1,[5]enemy_skill_sets!$1:$1,0)+2,FALSE)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3" s="5">
        <f ca="1">VLOOKUP($L93,OFFSET([3]enemies!$A$1,0,0,COUNTA([3]enemies!$A:$A),MATCH(W$1,[3]enemies!$1:$1,0)-MATCH($L$1,[3]enemies!$1:$1,0)+1),MATCH(W$1,[3]enemies!$1:$1,0)-MATCH($L$1,[3]enemies!$1:$1,0)+1,FALSE)</f>
        <v>0</v>
      </c>
      <c r="X93" s="7">
        <v>0</v>
      </c>
      <c r="Y93" s="7">
        <v>40</v>
      </c>
      <c r="Z93" s="7">
        <v>0</v>
      </c>
      <c r="AA93" s="20">
        <f ca="1">VLOOKUP($L93,OFFSET([3]enemies!$A$1,0,0,COUNTA([3]enemies!$A:$A),MATCH(AA$1,[3]enemies!$1:$1,0)-MATCH($L$1,[3]enemies!$1:$1,0)+1),MATCH(AA$1,[3]enemies!$1:$1,0)-MATCH($L$1,[3]enemies!$1:$1,0)+1,FALSE)</f>
        <v>4</v>
      </c>
      <c r="AB93" s="24">
        <v>110</v>
      </c>
      <c r="AC93" s="5" t="str">
        <f ca="1">IFERROR(VLOOKUP($AB93,OFFSET([4]characters!$A$1,0,0,COUNTA([4]characters!$A:$A),MATCH(AC$1,[4]characters!$1:$1,0)-MATCH("character_id",[4]characters!$1:$1,0)+1),MATCH(AC$1,[4]characters!$1:$1,0)-MATCH("character_id",[4]characters!$1:$1,0)+1,FALSE),"")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93" s="5">
        <f ca="1">IFERROR(VLOOKUP($AB93,OFFSET([4]characters!$A$1,0,0,COUNTA([4]characters!$A:$A),MATCH(AD$1,[4]characters!$1:$1,0)-MATCH("character_id",[4]characters!$1:$1,0)+1),MATCH(AD$1,[4]characters!$1:$1,0)-MATCH("character_id",[4]characters!$1:$1,0)+1,FALSE),"")</f>
        <v>3</v>
      </c>
      <c r="AE93" s="5" t="str">
        <f ca="1">IFERROR(VLOOKUP($AB93,OFFSET([4]characters!$A$1,0,0,COUNTA([4]characters!$A:$A),MATCH(AE$1,[4]characters!$1:$1,0)-MATCH("character_id",[4]characters!$1:$1,0)+1),MATCH(AE$1,[4]characters!$1:$1,0)-MATCH("character_id",[4]characters!$1:$1,0)+1,FALSE),"")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3" s="8">
        <v>1</v>
      </c>
      <c r="AG93" s="27">
        <f t="shared" ca="1" si="61"/>
        <v>3</v>
      </c>
      <c r="AH93" s="9">
        <v>20</v>
      </c>
      <c r="AI93" s="8">
        <v>0</v>
      </c>
      <c r="AJ93" s="8">
        <v>0</v>
      </c>
      <c r="AK93" s="8">
        <v>0</v>
      </c>
      <c r="AL93" s="8">
        <v>0</v>
      </c>
      <c r="AM93" s="8">
        <v>1</v>
      </c>
      <c r="AN93" s="8">
        <v>1</v>
      </c>
    </row>
    <row r="94" spans="1:40" ht="21" customHeight="1" x14ac:dyDescent="0.15">
      <c r="A94" s="17" t="str">
        <f t="shared" ca="1" si="59"/>
        <v>11003_1-5/109&lt;lv3&gt;s2</v>
      </c>
      <c r="B94" s="8">
        <v>11003</v>
      </c>
      <c r="C94" s="25">
        <v>1</v>
      </c>
      <c r="D94" s="2" t="str">
        <f t="shared" si="60"/>
        <v>11003_1</v>
      </c>
      <c r="E94" s="5" t="str">
        <f ca="1">VLOOKUP($B94,OFFSET([2]quests!$A$1,0,0,COUNTA([2]quests!$A:$A),MATCH(E$1,[2]quests!$1:$1,0)-MATCH($B$1,[2]quests!$1:$1,0)+1),MATCH(E$1,[2]quests!$1:$1,0)-MATCH($B$1,[2]quests!$1:$1,0)+1,FALSE)</f>
        <v>【水曜限定】 青の素材</v>
      </c>
      <c r="F94" s="5" t="str">
        <f ca="1">VLOOKUP($D94,OFFSET([2]stages!$A$1,0,0,COUNTA([2]stages!$A:$A),MATCH(F$1,[2]stages!$2:$2,0)-MATCH($D$1,[2]stages!$2:$2,0)+1),MATCH(F$1,[2]stages!$2:$2,0)-MATCH($D$1,[2]stages!$2:$2,0)+1,FALSE)</f>
        <v>【初級】水のチェシャ猫</v>
      </c>
      <c r="G94" s="25">
        <v>5</v>
      </c>
      <c r="H94" s="16" t="str">
        <f t="shared" si="49"/>
        <v>11003_1-5</v>
      </c>
      <c r="I94" s="5">
        <f ca="1">VLOOKUP($H94,OFFSET(floors!$A$1,0,0,COUNTA(floors!$A:$A),MATCH(I$1,floors!$1:$1,0)-MATCH($H$1,floors!$1:$1,0)+1),MATCH(I$1,floors!$1:$1,0)-MATCH($H$1,floors!$1:$1,0)+1,FALSE)</f>
        <v>45</v>
      </c>
      <c r="J94" s="5">
        <f ca="1">VLOOKUP($H94,OFFSET(floors!$A$1,0,0,COUNTA(floors!$A:$A),MATCH(J$1,floors!$1:$1,0)-MATCH($H$1,floors!$1:$1,0)+1),MATCH(J$1,floors!$1:$1,0)-MATCH($H$1,floors!$1:$1,0)+1,FALSE)</f>
        <v>45</v>
      </c>
      <c r="K94" s="24" t="s">
        <v>197</v>
      </c>
      <c r="L94" s="24">
        <v>109</v>
      </c>
      <c r="M94" s="20" t="str">
        <f ca="1">VLOOKUP($L94,OFFSET([3]enemies!$A$1,0,0,COUNTA([3]enemies!$A:$A),MATCH(M$1,[3]enemies!$1:$1,0)-MATCH($L$1,[3]enemies!$1:$1,0)+1),MATCH(M$1,[3]enemies!$1:$1,0)-MATCH($L$1,[3]enemies!$1:$1,0)+1,FALSE)</f>
        <v>ブルーチェシャ</v>
      </c>
      <c r="N94" s="20" t="str">
        <f ca="1">VLOOKUP($L94,OFFSET([3]enemies!$A$1,0,0,COUNTA([3]enemies!$A:$A),MATCH(N$1,[3]enemies!$1:$1,0)-MATCH($L$1,[3]enemies!$1:$1,0)+1),MATCH(N$1,[3]enemies!$1:$1,0)-MATCH($L$1,[3]enemies!$1:$1,0)+1,FALSE)</f>
        <v>blue</v>
      </c>
      <c r="O94" s="22" t="str">
        <f ca="1">VLOOKUP($L94,OFFSET([4]characters!$A$1,0,0,COUNTA([4]characters!$A:$A),MATCH(O$1,[4]characters!$1:$1,0)-MATCH($L$1,[4]characters!$1:$1,0)+1),MATCH(O$1,[4]characters!$1:$1,0)-MATCH($L$1,[4]characters!$1:$1,0)+1,FALSE)</f>
        <v>Material</v>
      </c>
      <c r="P94" s="20" t="str">
        <f ca="1">VLOOKUP($L94,OFFSET([3]enemies!$A$1,0,0,COUNTA([3]enemies!$A:$A),MATCH(P$1,[3]enemies!$1:$1,0)-MATCH($L$1,[3]enemies!$1:$1,0)+1),MATCH(P$1,[3]enemies!$1:$1,0)-MATCH($L$1,[3]enemies!$1:$1,0)+1,FALSE)</f>
        <v>unknown</v>
      </c>
      <c r="Q94" s="20">
        <f ca="1">VLOOKUP($L94,OFFSET([3]enemies!$A$1,0,0,COUNTA([3]enemies!$A:$A),MATCH(Q$1,[3]enemies!$1:$1,0)-MATCH($L$1,[3]enemies!$1:$1,0)+1),MATCH(Q$1,[3]enemies!$1:$1,0)-MATCH($L$1,[3]enemies!$1:$1,0)+1,FALSE)</f>
        <v>15</v>
      </c>
      <c r="R94" s="6">
        <v>3</v>
      </c>
      <c r="S94" s="39">
        <v>1</v>
      </c>
      <c r="T94" s="39">
        <v>1</v>
      </c>
      <c r="U94" s="6">
        <v>0</v>
      </c>
      <c r="V94" s="5" t="str">
        <f ca="1">VLOOKUP($W94,OFFSET([5]enemy_skill_sets!$B$1,0,0,COUNTA([5]enemy_skill_sets!$B:$B),MATCH(M$1,[5]enemy_skill_sets!$1:$1,0)-MATCH($W$1,[5]enemy_skill_sets!$1:$1,0)+2),MATCH(M$1,[5]enemy_skill_sets!$1:$1,0)-MATCH($W$1,[5]enemy_skill_sets!$1:$1,0)+2,FALSE)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4" s="5">
        <f ca="1">VLOOKUP($L94,OFFSET([3]enemies!$A$1,0,0,COUNTA([3]enemies!$A:$A),MATCH(W$1,[3]enemies!$1:$1,0)-MATCH($L$1,[3]enemies!$1:$1,0)+1),MATCH(W$1,[3]enemies!$1:$1,0)-MATCH($L$1,[3]enemies!$1:$1,0)+1,FALSE)</f>
        <v>0</v>
      </c>
      <c r="X94" s="7">
        <v>2</v>
      </c>
      <c r="Y94" s="7">
        <v>100</v>
      </c>
      <c r="Z94" s="7">
        <v>0</v>
      </c>
      <c r="AA94" s="20">
        <f ca="1">VLOOKUP($L94,OFFSET([3]enemies!$A$1,0,0,COUNTA([3]enemies!$A:$A),MATCH(AA$1,[3]enemies!$1:$1,0)-MATCH($L$1,[3]enemies!$1:$1,0)+1),MATCH(AA$1,[3]enemies!$1:$1,0)-MATCH($L$1,[3]enemies!$1:$1,0)+1,FALSE)</f>
        <v>2</v>
      </c>
      <c r="AB94" s="24">
        <v>109</v>
      </c>
      <c r="AC94" s="5" t="str">
        <f ca="1">IFERROR(VLOOKUP($AB94,OFFSET([4]characters!$A$1,0,0,COUNTA([4]characters!$A:$A),MATCH(AC$1,[4]characters!$1:$1,0)-MATCH("character_id",[4]characters!$1:$1,0)+1),MATCH(AC$1,[4]characters!$1:$1,0)-MATCH("character_id",[4]characters!$1:$1,0)+1,FALSE),"")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94" s="5">
        <f ca="1">IFERROR(VLOOKUP($AB94,OFFSET([4]characters!$A$1,0,0,COUNTA([4]characters!$A:$A),MATCH(AD$1,[4]characters!$1:$1,0)-MATCH("character_id",[4]characters!$1:$1,0)+1),MATCH(AD$1,[4]characters!$1:$1,0)-MATCH("character_id",[4]characters!$1:$1,0)+1,FALSE),"")</f>
        <v>2</v>
      </c>
      <c r="AE94" s="5" t="str">
        <f ca="1">IFERROR(VLOOKUP($AB94,OFFSET([4]characters!$A$1,0,0,COUNTA([4]characters!$A:$A),MATCH(AE$1,[4]characters!$1:$1,0)-MATCH("character_id",[4]characters!$1:$1,0)+1),MATCH(AE$1,[4]characters!$1:$1,0)-MATCH("character_id",[4]characters!$1:$1,0)+1,FALSE),"")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4" s="8">
        <v>1</v>
      </c>
      <c r="AG94" s="27">
        <f t="shared" ca="1" si="61"/>
        <v>2</v>
      </c>
      <c r="AH94" s="9">
        <v>100</v>
      </c>
      <c r="AI94" s="8">
        <v>0</v>
      </c>
      <c r="AJ94" s="8">
        <v>0</v>
      </c>
      <c r="AK94" s="8">
        <v>0</v>
      </c>
      <c r="AL94" s="8">
        <v>0</v>
      </c>
      <c r="AM94" s="8">
        <v>1</v>
      </c>
      <c r="AN94" s="8">
        <v>1</v>
      </c>
    </row>
    <row r="95" spans="1:40" ht="21" customHeight="1" x14ac:dyDescent="0.15">
      <c r="A95" s="17" t="str">
        <f t="shared" ca="1" si="59"/>
        <v>11003_1-5/110&lt;lv5&gt;s4</v>
      </c>
      <c r="B95" s="8">
        <v>11003</v>
      </c>
      <c r="C95" s="25">
        <v>1</v>
      </c>
      <c r="D95" s="2" t="str">
        <f t="shared" si="60"/>
        <v>11003_1</v>
      </c>
      <c r="E95" s="5" t="str">
        <f ca="1">VLOOKUP($B95,OFFSET([2]quests!$A$1,0,0,COUNTA([2]quests!$A:$A),MATCH(E$1,[2]quests!$1:$1,0)-MATCH($B$1,[2]quests!$1:$1,0)+1),MATCH(E$1,[2]quests!$1:$1,0)-MATCH($B$1,[2]quests!$1:$1,0)+1,FALSE)</f>
        <v>【水曜限定】 青の素材</v>
      </c>
      <c r="F95" s="5" t="str">
        <f ca="1">VLOOKUP($D95,OFFSET([2]stages!$A$1,0,0,COUNTA([2]stages!$A:$A),MATCH(F$1,[2]stages!$2:$2,0)-MATCH($D$1,[2]stages!$2:$2,0)+1),MATCH(F$1,[2]stages!$2:$2,0)-MATCH($D$1,[2]stages!$2:$2,0)+1,FALSE)</f>
        <v>【初級】水のチェシャ猫</v>
      </c>
      <c r="G95" s="25">
        <v>5</v>
      </c>
      <c r="H95" s="16" t="str">
        <f t="shared" si="49"/>
        <v>11003_1-5</v>
      </c>
      <c r="I95" s="5">
        <f ca="1">VLOOKUP($H95,OFFSET(floors!$A$1,0,0,COUNTA(floors!$A:$A),MATCH(I$1,floors!$1:$1,0)-MATCH($H$1,floors!$1:$1,0)+1),MATCH(I$1,floors!$1:$1,0)-MATCH($H$1,floors!$1:$1,0)+1,FALSE)</f>
        <v>45</v>
      </c>
      <c r="J95" s="5">
        <f ca="1">VLOOKUP($H95,OFFSET(floors!$A$1,0,0,COUNTA(floors!$A:$A),MATCH(J$1,floors!$1:$1,0)-MATCH($H$1,floors!$1:$1,0)+1),MATCH(J$1,floors!$1:$1,0)-MATCH($H$1,floors!$1:$1,0)+1,FALSE)</f>
        <v>45</v>
      </c>
      <c r="K95" s="24" t="s">
        <v>197</v>
      </c>
      <c r="L95" s="24">
        <v>110</v>
      </c>
      <c r="M95" s="20" t="str">
        <f ca="1">VLOOKUP($L95,OFFSET([3]enemies!$A$1,0,0,COUNTA([3]enemies!$A:$A),MATCH(M$1,[3]enemies!$1:$1,0)-MATCH($L$1,[3]enemies!$1:$1,0)+1),MATCH(M$1,[3]enemies!$1:$1,0)-MATCH($L$1,[3]enemies!$1:$1,0)+1,FALSE)</f>
        <v>ブルーラビット</v>
      </c>
      <c r="N95" s="20" t="str">
        <f ca="1">VLOOKUP($L95,OFFSET([3]enemies!$A$1,0,0,COUNTA([3]enemies!$A:$A),MATCH(N$1,[3]enemies!$1:$1,0)-MATCH($L$1,[3]enemies!$1:$1,0)+1),MATCH(N$1,[3]enemies!$1:$1,0)-MATCH($L$1,[3]enemies!$1:$1,0)+1,FALSE)</f>
        <v>blue</v>
      </c>
      <c r="O95" s="22" t="str">
        <f ca="1">VLOOKUP($L95,OFFSET([4]characters!$A$1,0,0,COUNTA([4]characters!$A:$A),MATCH(O$1,[4]characters!$1:$1,0)-MATCH($L$1,[4]characters!$1:$1,0)+1),MATCH(O$1,[4]characters!$1:$1,0)-MATCH($L$1,[4]characters!$1:$1,0)+1,FALSE)</f>
        <v>Material</v>
      </c>
      <c r="P95" s="20" t="str">
        <f ca="1">VLOOKUP($L95,OFFSET([3]enemies!$A$1,0,0,COUNTA([3]enemies!$A:$A),MATCH(P$1,[3]enemies!$1:$1,0)-MATCH($L$1,[3]enemies!$1:$1,0)+1),MATCH(P$1,[3]enemies!$1:$1,0)-MATCH($L$1,[3]enemies!$1:$1,0)+1,FALSE)</f>
        <v>unknown</v>
      </c>
      <c r="Q95" s="20">
        <f ca="1">VLOOKUP($L95,OFFSET([3]enemies!$A$1,0,0,COUNTA([3]enemies!$A:$A),MATCH(Q$1,[3]enemies!$1:$1,0)-MATCH($L$1,[3]enemies!$1:$1,0)+1),MATCH(Q$1,[3]enemies!$1:$1,0)-MATCH($L$1,[3]enemies!$1:$1,0)+1,FALSE)</f>
        <v>15</v>
      </c>
      <c r="R95" s="6">
        <v>5</v>
      </c>
      <c r="S95" s="40">
        <v>1.8</v>
      </c>
      <c r="T95" s="39">
        <v>1</v>
      </c>
      <c r="U95" s="6">
        <v>0</v>
      </c>
      <c r="V95" s="5" t="str">
        <f ca="1">VLOOKUP($W95,OFFSET([5]enemy_skill_sets!$B$1,0,0,COUNTA([5]enemy_skill_sets!$B:$B),MATCH(M$1,[5]enemy_skill_sets!$1:$1,0)-MATCH($W$1,[5]enemy_skill_sets!$1:$1,0)+2),MATCH(M$1,[5]enemy_skill_sets!$1:$1,0)-MATCH($W$1,[5]enemy_skill_sets!$1:$1,0)+2,FALSE)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5" s="5">
        <f ca="1">VLOOKUP($L95,OFFSET([3]enemies!$A$1,0,0,COUNTA([3]enemies!$A:$A),MATCH(W$1,[3]enemies!$1:$1,0)-MATCH($L$1,[3]enemies!$1:$1,0)+1),MATCH(W$1,[3]enemies!$1:$1,0)-MATCH($L$1,[3]enemies!$1:$1,0)+1,FALSE)</f>
        <v>0</v>
      </c>
      <c r="X95" s="7">
        <v>1</v>
      </c>
      <c r="Y95" s="7">
        <v>100</v>
      </c>
      <c r="Z95" s="7">
        <v>1</v>
      </c>
      <c r="AA95" s="20">
        <f ca="1">VLOOKUP($L95,OFFSET([3]enemies!$A$1,0,0,COUNTA([3]enemies!$A:$A),MATCH(AA$1,[3]enemies!$1:$1,0)-MATCH($L$1,[3]enemies!$1:$1,0)+1),MATCH(AA$1,[3]enemies!$1:$1,0)-MATCH($L$1,[3]enemies!$1:$1,0)+1,FALSE)</f>
        <v>4</v>
      </c>
      <c r="AB95" s="24">
        <v>110</v>
      </c>
      <c r="AC95" s="5" t="str">
        <f ca="1">IFERROR(VLOOKUP($AB95,OFFSET([4]characters!$A$1,0,0,COUNTA([4]characters!$A:$A),MATCH(AC$1,[4]characters!$1:$1,0)-MATCH("character_id",[4]characters!$1:$1,0)+1),MATCH(AC$1,[4]characters!$1:$1,0)-MATCH("character_id",[4]characters!$1:$1,0)+1,FALSE),"")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95" s="5">
        <f ca="1">IFERROR(VLOOKUP($AB95,OFFSET([4]characters!$A$1,0,0,COUNTA([4]characters!$A:$A),MATCH(AD$1,[4]characters!$1:$1,0)-MATCH("character_id",[4]characters!$1:$1,0)+1),MATCH(AD$1,[4]characters!$1:$1,0)-MATCH("character_id",[4]characters!$1:$1,0)+1,FALSE),"")</f>
        <v>3</v>
      </c>
      <c r="AE95" s="5" t="str">
        <f ca="1">IFERROR(VLOOKUP($AB95,OFFSET([4]characters!$A$1,0,0,COUNTA([4]characters!$A:$A),MATCH(AE$1,[4]characters!$1:$1,0)-MATCH("character_id",[4]characters!$1:$1,0)+1),MATCH(AE$1,[4]characters!$1:$1,0)-MATCH("character_id",[4]characters!$1:$1,0)+1,FALSE),"")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5" s="8">
        <v>1</v>
      </c>
      <c r="AG95" s="27">
        <f t="shared" ca="1" si="61"/>
        <v>3</v>
      </c>
      <c r="AH95" s="9">
        <v>0</v>
      </c>
      <c r="AI95" s="8">
        <v>0</v>
      </c>
      <c r="AJ95" s="8">
        <v>0</v>
      </c>
      <c r="AK95" s="8">
        <v>0</v>
      </c>
      <c r="AL95" s="8">
        <v>0</v>
      </c>
      <c r="AM95" s="8">
        <v>1</v>
      </c>
      <c r="AN95" s="8">
        <v>1</v>
      </c>
    </row>
    <row r="96" spans="1:40" ht="21" customHeight="1" x14ac:dyDescent="0.15">
      <c r="A96" s="17" t="str">
        <f t="shared" ca="1" si="59"/>
        <v>11003_2-1/110&lt;lv15&gt;s4</v>
      </c>
      <c r="B96" s="8">
        <v>11003</v>
      </c>
      <c r="C96" s="25">
        <v>2</v>
      </c>
      <c r="D96" s="2" t="str">
        <f t="shared" si="60"/>
        <v>11003_2</v>
      </c>
      <c r="E96" s="5" t="str">
        <f ca="1">VLOOKUP($B96,OFFSET([2]quests!$A$1,0,0,COUNTA([2]quests!$A:$A),MATCH(E$1,[2]quests!$1:$1,0)-MATCH($B$1,[2]quests!$1:$1,0)+1),MATCH(E$1,[2]quests!$1:$1,0)-MATCH($B$1,[2]quests!$1:$1,0)+1,FALSE)</f>
        <v>【水曜限定】 青の素材</v>
      </c>
      <c r="F96" s="5" t="str">
        <f ca="1">VLOOKUP($D96,OFFSET([2]stages!$A$1,0,0,COUNTA([2]stages!$A:$A),MATCH(F$1,[2]stages!$2:$2,0)-MATCH($D$1,[2]stages!$2:$2,0)+1),MATCH(F$1,[2]stages!$2:$2,0)-MATCH($D$1,[2]stages!$2:$2,0)+1,FALSE)</f>
        <v xml:space="preserve">【中級】水のウサギ </v>
      </c>
      <c r="G96" s="25">
        <v>1</v>
      </c>
      <c r="H96" s="16" t="str">
        <f t="shared" si="49"/>
        <v>11003_2-1</v>
      </c>
      <c r="I96" s="5">
        <f ca="1">VLOOKUP($H96,OFFSET(floors!$A$1,0,0,COUNTA(floors!$A:$A),MATCH(I$1,floors!$1:$1,0)-MATCH($H$1,floors!$1:$1,0)+1),MATCH(I$1,floors!$1:$1,0)-MATCH($H$1,floors!$1:$1,0)+1,FALSE)</f>
        <v>30</v>
      </c>
      <c r="J96" s="5">
        <f ca="1">VLOOKUP($H96,OFFSET(floors!$A$1,0,0,COUNTA(floors!$A:$A),MATCH(J$1,floors!$1:$1,0)-MATCH($H$1,floors!$1:$1,0)+1),MATCH(J$1,floors!$1:$1,0)-MATCH($H$1,floors!$1:$1,0)+1,FALSE)</f>
        <v>30</v>
      </c>
      <c r="K96" s="24" t="s">
        <v>197</v>
      </c>
      <c r="L96" s="24">
        <v>110</v>
      </c>
      <c r="M96" s="20" t="str">
        <f ca="1">VLOOKUP($L96,OFFSET([3]enemies!$A$1,0,0,COUNTA([3]enemies!$A:$A),MATCH(M$1,[3]enemies!$1:$1,0)-MATCH($L$1,[3]enemies!$1:$1,0)+1),MATCH(M$1,[3]enemies!$1:$1,0)-MATCH($L$1,[3]enemies!$1:$1,0)+1,FALSE)</f>
        <v>ブルーラビット</v>
      </c>
      <c r="N96" s="20" t="str">
        <f ca="1">VLOOKUP($L96,OFFSET([3]enemies!$A$1,0,0,COUNTA([3]enemies!$A:$A),MATCH(N$1,[3]enemies!$1:$1,0)-MATCH($L$1,[3]enemies!$1:$1,0)+1),MATCH(N$1,[3]enemies!$1:$1,0)-MATCH($L$1,[3]enemies!$1:$1,0)+1,FALSE)</f>
        <v>blue</v>
      </c>
      <c r="O96" s="22" t="str">
        <f ca="1">VLOOKUP($L96,OFFSET([4]characters!$A$1,0,0,COUNTA([4]characters!$A:$A),MATCH(O$1,[4]characters!$1:$1,0)-MATCH($L$1,[4]characters!$1:$1,0)+1),MATCH(O$1,[4]characters!$1:$1,0)-MATCH($L$1,[4]characters!$1:$1,0)+1,FALSE)</f>
        <v>Material</v>
      </c>
      <c r="P96" s="20" t="str">
        <f ca="1">VLOOKUP($L96,OFFSET([3]enemies!$A$1,0,0,COUNTA([3]enemies!$A:$A),MATCH(P$1,[3]enemies!$1:$1,0)-MATCH($L$1,[3]enemies!$1:$1,0)+1),MATCH(P$1,[3]enemies!$1:$1,0)-MATCH($L$1,[3]enemies!$1:$1,0)+1,FALSE)</f>
        <v>unknown</v>
      </c>
      <c r="Q96" s="20">
        <f ca="1">VLOOKUP($L96,OFFSET([3]enemies!$A$1,0,0,COUNTA([3]enemies!$A:$A),MATCH(Q$1,[3]enemies!$1:$1,0)-MATCH($L$1,[3]enemies!$1:$1,0)+1),MATCH(Q$1,[3]enemies!$1:$1,0)-MATCH($L$1,[3]enemies!$1:$1,0)+1,FALSE)</f>
        <v>15</v>
      </c>
      <c r="R96" s="6">
        <v>15</v>
      </c>
      <c r="S96" s="40">
        <v>1.8</v>
      </c>
      <c r="T96" s="39">
        <v>1</v>
      </c>
      <c r="U96" s="6">
        <v>0</v>
      </c>
      <c r="V96" s="5" t="str">
        <f ca="1">VLOOKUP($W96,OFFSET([5]enemy_skill_sets!$B$1,0,0,COUNTA([5]enemy_skill_sets!$B:$B),MATCH(M$1,[5]enemy_skill_sets!$1:$1,0)-MATCH($W$1,[5]enemy_skill_sets!$1:$1,0)+2),MATCH(M$1,[5]enemy_skill_sets!$1:$1,0)-MATCH($W$1,[5]enemy_skill_sets!$1:$1,0)+2,FALSE)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6" s="5">
        <f ca="1">VLOOKUP($L96,OFFSET([3]enemies!$A$1,0,0,COUNTA([3]enemies!$A:$A),MATCH(W$1,[3]enemies!$1:$1,0)-MATCH($L$1,[3]enemies!$1:$1,0)+1),MATCH(W$1,[3]enemies!$1:$1,0)-MATCH($L$1,[3]enemies!$1:$1,0)+1,FALSE)</f>
        <v>0</v>
      </c>
      <c r="X96" s="7">
        <v>0</v>
      </c>
      <c r="Y96" s="7">
        <v>100</v>
      </c>
      <c r="Z96" s="7">
        <v>0</v>
      </c>
      <c r="AA96" s="20">
        <f ca="1">VLOOKUP($L96,OFFSET([3]enemies!$A$1,0,0,COUNTA([3]enemies!$A:$A),MATCH(AA$1,[3]enemies!$1:$1,0)-MATCH($L$1,[3]enemies!$1:$1,0)+1),MATCH(AA$1,[3]enemies!$1:$1,0)-MATCH($L$1,[3]enemies!$1:$1,0)+1,FALSE)</f>
        <v>4</v>
      </c>
      <c r="AB96" s="24">
        <v>110</v>
      </c>
      <c r="AC96" s="5" t="str">
        <f ca="1">IFERROR(VLOOKUP($AB96,OFFSET([4]characters!$A$1,0,0,COUNTA([4]characters!$A:$A),MATCH(AC$1,[4]characters!$1:$1,0)-MATCH("character_id",[4]characters!$1:$1,0)+1),MATCH(AC$1,[4]characters!$1:$1,0)-MATCH("character_id",[4]characters!$1:$1,0)+1,FALSE),"")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96" s="5">
        <f ca="1">IFERROR(VLOOKUP($AB96,OFFSET([4]characters!$A$1,0,0,COUNTA([4]characters!$A:$A),MATCH(AD$1,[4]characters!$1:$1,0)-MATCH("character_id",[4]characters!$1:$1,0)+1),MATCH(AD$1,[4]characters!$1:$1,0)-MATCH("character_id",[4]characters!$1:$1,0)+1,FALSE),"")</f>
        <v>3</v>
      </c>
      <c r="AE96" s="5" t="str">
        <f ca="1">IFERROR(VLOOKUP($AB96,OFFSET([4]characters!$A$1,0,0,COUNTA([4]characters!$A:$A),MATCH(AE$1,[4]characters!$1:$1,0)-MATCH("character_id",[4]characters!$1:$1,0)+1),MATCH(AE$1,[4]characters!$1:$1,0)-MATCH("character_id",[4]characters!$1:$1,0)+1,FALSE),"")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6" s="8">
        <v>1</v>
      </c>
      <c r="AG96" s="27">
        <f t="shared" ca="1" si="61"/>
        <v>3</v>
      </c>
      <c r="AH96" s="80">
        <v>20</v>
      </c>
      <c r="AI96" s="8">
        <v>0</v>
      </c>
      <c r="AJ96" s="8">
        <v>0</v>
      </c>
      <c r="AK96" s="8">
        <v>0</v>
      </c>
      <c r="AL96" s="8">
        <v>0</v>
      </c>
      <c r="AM96" s="8">
        <v>1</v>
      </c>
      <c r="AN96" s="8">
        <v>1</v>
      </c>
    </row>
    <row r="97" spans="1:40" ht="21" customHeight="1" x14ac:dyDescent="0.15">
      <c r="A97" s="17" t="str">
        <f t="shared" ca="1" si="59"/>
        <v>11003_2-2/110&lt;lv15&gt;s4</v>
      </c>
      <c r="B97" s="8">
        <v>11003</v>
      </c>
      <c r="C97" s="25">
        <v>2</v>
      </c>
      <c r="D97" s="2" t="str">
        <f t="shared" si="60"/>
        <v>11003_2</v>
      </c>
      <c r="E97" s="5" t="str">
        <f ca="1">VLOOKUP($B97,OFFSET([2]quests!$A$1,0,0,COUNTA([2]quests!$A:$A),MATCH(E$1,[2]quests!$1:$1,0)-MATCH($B$1,[2]quests!$1:$1,0)+1),MATCH(E$1,[2]quests!$1:$1,0)-MATCH($B$1,[2]quests!$1:$1,0)+1,FALSE)</f>
        <v>【水曜限定】 青の素材</v>
      </c>
      <c r="F97" s="5" t="str">
        <f ca="1">VLOOKUP($D97,OFFSET([2]stages!$A$1,0,0,COUNTA([2]stages!$A:$A),MATCH(F$1,[2]stages!$2:$2,0)-MATCH($D$1,[2]stages!$2:$2,0)+1),MATCH(F$1,[2]stages!$2:$2,0)-MATCH($D$1,[2]stages!$2:$2,0)+1,FALSE)</f>
        <v xml:space="preserve">【中級】水のウサギ </v>
      </c>
      <c r="G97" s="25">
        <v>2</v>
      </c>
      <c r="H97" s="16" t="str">
        <f t="shared" si="49"/>
        <v>11003_2-2</v>
      </c>
      <c r="I97" s="5">
        <f ca="1">VLOOKUP($H97,OFFSET(floors!$A$1,0,0,COUNTA(floors!$A:$A),MATCH(I$1,floors!$1:$1,0)-MATCH($H$1,floors!$1:$1,0)+1),MATCH(I$1,floors!$1:$1,0)-MATCH($H$1,floors!$1:$1,0)+1,FALSE)</f>
        <v>30</v>
      </c>
      <c r="J97" s="5">
        <f ca="1">VLOOKUP($H97,OFFSET(floors!$A$1,0,0,COUNTA(floors!$A:$A),MATCH(J$1,floors!$1:$1,0)-MATCH($H$1,floors!$1:$1,0)+1),MATCH(J$1,floors!$1:$1,0)-MATCH($H$1,floors!$1:$1,0)+1,FALSE)</f>
        <v>30</v>
      </c>
      <c r="K97" s="24" t="s">
        <v>197</v>
      </c>
      <c r="L97" s="24">
        <v>110</v>
      </c>
      <c r="M97" s="20" t="str">
        <f ca="1">VLOOKUP($L97,OFFSET([3]enemies!$A$1,0,0,COUNTA([3]enemies!$A:$A),MATCH(M$1,[3]enemies!$1:$1,0)-MATCH($L$1,[3]enemies!$1:$1,0)+1),MATCH(M$1,[3]enemies!$1:$1,0)-MATCH($L$1,[3]enemies!$1:$1,0)+1,FALSE)</f>
        <v>ブルーラビット</v>
      </c>
      <c r="N97" s="20" t="str">
        <f ca="1">VLOOKUP($L97,OFFSET([3]enemies!$A$1,0,0,COUNTA([3]enemies!$A:$A),MATCH(N$1,[3]enemies!$1:$1,0)-MATCH($L$1,[3]enemies!$1:$1,0)+1),MATCH(N$1,[3]enemies!$1:$1,0)-MATCH($L$1,[3]enemies!$1:$1,0)+1,FALSE)</f>
        <v>blue</v>
      </c>
      <c r="O97" s="22" t="str">
        <f ca="1">VLOOKUP($L97,OFFSET([4]characters!$A$1,0,0,COUNTA([4]characters!$A:$A),MATCH(O$1,[4]characters!$1:$1,0)-MATCH($L$1,[4]characters!$1:$1,0)+1),MATCH(O$1,[4]characters!$1:$1,0)-MATCH($L$1,[4]characters!$1:$1,0)+1,FALSE)</f>
        <v>Material</v>
      </c>
      <c r="P97" s="20" t="str">
        <f ca="1">VLOOKUP($L97,OFFSET([3]enemies!$A$1,0,0,COUNTA([3]enemies!$A:$A),MATCH(P$1,[3]enemies!$1:$1,0)-MATCH($L$1,[3]enemies!$1:$1,0)+1),MATCH(P$1,[3]enemies!$1:$1,0)-MATCH($L$1,[3]enemies!$1:$1,0)+1,FALSE)</f>
        <v>unknown</v>
      </c>
      <c r="Q97" s="20">
        <f ca="1">VLOOKUP($L97,OFFSET([3]enemies!$A$1,0,0,COUNTA([3]enemies!$A:$A),MATCH(Q$1,[3]enemies!$1:$1,0)-MATCH($L$1,[3]enemies!$1:$1,0)+1),MATCH(Q$1,[3]enemies!$1:$1,0)-MATCH($L$1,[3]enemies!$1:$1,0)+1,FALSE)</f>
        <v>15</v>
      </c>
      <c r="R97" s="6">
        <v>15</v>
      </c>
      <c r="S97" s="40">
        <v>1.8</v>
      </c>
      <c r="T97" s="39">
        <v>1</v>
      </c>
      <c r="U97" s="6">
        <v>0</v>
      </c>
      <c r="V97" s="5" t="str">
        <f ca="1">VLOOKUP($W97,OFFSET([5]enemy_skill_sets!$B$1,0,0,COUNTA([5]enemy_skill_sets!$B:$B),MATCH(M$1,[5]enemy_skill_sets!$1:$1,0)-MATCH($W$1,[5]enemy_skill_sets!$1:$1,0)+2),MATCH(M$1,[5]enemy_skill_sets!$1:$1,0)-MATCH($W$1,[5]enemy_skill_sets!$1:$1,0)+2,FALSE)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7" s="5">
        <f ca="1">VLOOKUP($L97,OFFSET([3]enemies!$A$1,0,0,COUNTA([3]enemies!$A:$A),MATCH(W$1,[3]enemies!$1:$1,0)-MATCH($L$1,[3]enemies!$1:$1,0)+1),MATCH(W$1,[3]enemies!$1:$1,0)-MATCH($L$1,[3]enemies!$1:$1,0)+1,FALSE)</f>
        <v>0</v>
      </c>
      <c r="X97" s="7">
        <v>0</v>
      </c>
      <c r="Y97" s="7">
        <v>100</v>
      </c>
      <c r="Z97" s="7">
        <v>0</v>
      </c>
      <c r="AA97" s="20">
        <f ca="1">VLOOKUP($L97,OFFSET([3]enemies!$A$1,0,0,COUNTA([3]enemies!$A:$A),MATCH(AA$1,[3]enemies!$1:$1,0)-MATCH($L$1,[3]enemies!$1:$1,0)+1),MATCH(AA$1,[3]enemies!$1:$1,0)-MATCH($L$1,[3]enemies!$1:$1,0)+1,FALSE)</f>
        <v>4</v>
      </c>
      <c r="AB97" s="24">
        <v>110</v>
      </c>
      <c r="AC97" s="5" t="str">
        <f ca="1">IFERROR(VLOOKUP($AB97,OFFSET([4]characters!$A$1,0,0,COUNTA([4]characters!$A:$A),MATCH(AC$1,[4]characters!$1:$1,0)-MATCH("character_id",[4]characters!$1:$1,0)+1),MATCH(AC$1,[4]characters!$1:$1,0)-MATCH("character_id",[4]characters!$1:$1,0)+1,FALSE),"")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97" s="5">
        <f ca="1">IFERROR(VLOOKUP($AB97,OFFSET([4]characters!$A$1,0,0,COUNTA([4]characters!$A:$A),MATCH(AD$1,[4]characters!$1:$1,0)-MATCH("character_id",[4]characters!$1:$1,0)+1),MATCH(AD$1,[4]characters!$1:$1,0)-MATCH("character_id",[4]characters!$1:$1,0)+1,FALSE),"")</f>
        <v>3</v>
      </c>
      <c r="AE97" s="5" t="str">
        <f ca="1">IFERROR(VLOOKUP($AB97,OFFSET([4]characters!$A$1,0,0,COUNTA([4]characters!$A:$A),MATCH(AE$1,[4]characters!$1:$1,0)-MATCH("character_id",[4]characters!$1:$1,0)+1),MATCH(AE$1,[4]characters!$1:$1,0)-MATCH("character_id",[4]characters!$1:$1,0)+1,FALSE),"")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7" s="8">
        <v>1</v>
      </c>
      <c r="AG97" s="27">
        <f t="shared" ca="1" si="61"/>
        <v>3</v>
      </c>
      <c r="AH97" s="80">
        <v>20</v>
      </c>
      <c r="AI97" s="8">
        <v>0</v>
      </c>
      <c r="AJ97" s="8">
        <v>0</v>
      </c>
      <c r="AK97" s="8">
        <v>0</v>
      </c>
      <c r="AL97" s="8">
        <v>0</v>
      </c>
      <c r="AM97" s="8">
        <v>1</v>
      </c>
      <c r="AN97" s="8">
        <v>1</v>
      </c>
    </row>
    <row r="98" spans="1:40" ht="21" customHeight="1" x14ac:dyDescent="0.15">
      <c r="A98" s="17" t="str">
        <f t="shared" ca="1" si="59"/>
        <v>11003_2-3/110&lt;lv15&gt;s4</v>
      </c>
      <c r="B98" s="8">
        <v>11003</v>
      </c>
      <c r="C98" s="25">
        <v>2</v>
      </c>
      <c r="D98" s="2" t="str">
        <f t="shared" si="60"/>
        <v>11003_2</v>
      </c>
      <c r="E98" s="5" t="str">
        <f ca="1">VLOOKUP($B98,OFFSET([2]quests!$A$1,0,0,COUNTA([2]quests!$A:$A),MATCH(E$1,[2]quests!$1:$1,0)-MATCH($B$1,[2]quests!$1:$1,0)+1),MATCH(E$1,[2]quests!$1:$1,0)-MATCH($B$1,[2]quests!$1:$1,0)+1,FALSE)</f>
        <v>【水曜限定】 青の素材</v>
      </c>
      <c r="F98" s="5" t="str">
        <f ca="1">VLOOKUP($D98,OFFSET([2]stages!$A$1,0,0,COUNTA([2]stages!$A:$A),MATCH(F$1,[2]stages!$2:$2,0)-MATCH($D$1,[2]stages!$2:$2,0)+1),MATCH(F$1,[2]stages!$2:$2,0)-MATCH($D$1,[2]stages!$2:$2,0)+1,FALSE)</f>
        <v xml:space="preserve">【中級】水のウサギ </v>
      </c>
      <c r="G98" s="25">
        <v>3</v>
      </c>
      <c r="H98" s="16" t="str">
        <f t="shared" si="49"/>
        <v>11003_2-3</v>
      </c>
      <c r="I98" s="5">
        <f ca="1">VLOOKUP($H98,OFFSET(floors!$A$1,0,0,COUNTA(floors!$A:$A),MATCH(I$1,floors!$1:$1,0)-MATCH($H$1,floors!$1:$1,0)+1),MATCH(I$1,floors!$1:$1,0)-MATCH($H$1,floors!$1:$1,0)+1,FALSE)</f>
        <v>45</v>
      </c>
      <c r="J98" s="5">
        <f ca="1">VLOOKUP($H98,OFFSET(floors!$A$1,0,0,COUNTA(floors!$A:$A),MATCH(J$1,floors!$1:$1,0)-MATCH($H$1,floors!$1:$1,0)+1),MATCH(J$1,floors!$1:$1,0)-MATCH($H$1,floors!$1:$1,0)+1,FALSE)</f>
        <v>45</v>
      </c>
      <c r="K98" s="24" t="s">
        <v>197</v>
      </c>
      <c r="L98" s="24">
        <v>110</v>
      </c>
      <c r="M98" s="20" t="str">
        <f ca="1">VLOOKUP($L98,OFFSET([3]enemies!$A$1,0,0,COUNTA([3]enemies!$A:$A),MATCH(M$1,[3]enemies!$1:$1,0)-MATCH($L$1,[3]enemies!$1:$1,0)+1),MATCH(M$1,[3]enemies!$1:$1,0)-MATCH($L$1,[3]enemies!$1:$1,0)+1,FALSE)</f>
        <v>ブルーラビット</v>
      </c>
      <c r="N98" s="20" t="str">
        <f ca="1">VLOOKUP($L98,OFFSET([3]enemies!$A$1,0,0,COUNTA([3]enemies!$A:$A),MATCH(N$1,[3]enemies!$1:$1,0)-MATCH($L$1,[3]enemies!$1:$1,0)+1),MATCH(N$1,[3]enemies!$1:$1,0)-MATCH($L$1,[3]enemies!$1:$1,0)+1,FALSE)</f>
        <v>blue</v>
      </c>
      <c r="O98" s="22" t="str">
        <f ca="1">VLOOKUP($L98,OFFSET([4]characters!$A$1,0,0,COUNTA([4]characters!$A:$A),MATCH(O$1,[4]characters!$1:$1,0)-MATCH($L$1,[4]characters!$1:$1,0)+1),MATCH(O$1,[4]characters!$1:$1,0)-MATCH($L$1,[4]characters!$1:$1,0)+1,FALSE)</f>
        <v>Material</v>
      </c>
      <c r="P98" s="20" t="str">
        <f ca="1">VLOOKUP($L98,OFFSET([3]enemies!$A$1,0,0,COUNTA([3]enemies!$A:$A),MATCH(P$1,[3]enemies!$1:$1,0)-MATCH($L$1,[3]enemies!$1:$1,0)+1),MATCH(P$1,[3]enemies!$1:$1,0)-MATCH($L$1,[3]enemies!$1:$1,0)+1,FALSE)</f>
        <v>unknown</v>
      </c>
      <c r="Q98" s="20">
        <f ca="1">VLOOKUP($L98,OFFSET([3]enemies!$A$1,0,0,COUNTA([3]enemies!$A:$A),MATCH(Q$1,[3]enemies!$1:$1,0)-MATCH($L$1,[3]enemies!$1:$1,0)+1),MATCH(Q$1,[3]enemies!$1:$1,0)-MATCH($L$1,[3]enemies!$1:$1,0)+1,FALSE)</f>
        <v>15</v>
      </c>
      <c r="R98" s="6">
        <v>15</v>
      </c>
      <c r="S98" s="40">
        <v>1.8</v>
      </c>
      <c r="T98" s="39">
        <v>1</v>
      </c>
      <c r="U98" s="6">
        <v>0</v>
      </c>
      <c r="V98" s="5" t="str">
        <f ca="1">VLOOKUP($W98,OFFSET([5]enemy_skill_sets!$B$1,0,0,COUNTA([5]enemy_skill_sets!$B:$B),MATCH(M$1,[5]enemy_skill_sets!$1:$1,0)-MATCH($W$1,[5]enemy_skill_sets!$1:$1,0)+2),MATCH(M$1,[5]enemy_skill_sets!$1:$1,0)-MATCH($W$1,[5]enemy_skill_sets!$1:$1,0)+2,FALSE)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8" s="5">
        <f ca="1">VLOOKUP($L98,OFFSET([3]enemies!$A$1,0,0,COUNTA([3]enemies!$A:$A),MATCH(W$1,[3]enemies!$1:$1,0)-MATCH($L$1,[3]enemies!$1:$1,0)+1),MATCH(W$1,[3]enemies!$1:$1,0)-MATCH($L$1,[3]enemies!$1:$1,0)+1,FALSE)</f>
        <v>0</v>
      </c>
      <c r="X98" s="7">
        <v>0</v>
      </c>
      <c r="Y98" s="7">
        <v>100</v>
      </c>
      <c r="Z98" s="7">
        <v>0</v>
      </c>
      <c r="AA98" s="20">
        <f ca="1">VLOOKUP($L98,OFFSET([3]enemies!$A$1,0,0,COUNTA([3]enemies!$A:$A),MATCH(AA$1,[3]enemies!$1:$1,0)-MATCH($L$1,[3]enemies!$1:$1,0)+1),MATCH(AA$1,[3]enemies!$1:$1,0)-MATCH($L$1,[3]enemies!$1:$1,0)+1,FALSE)</f>
        <v>4</v>
      </c>
      <c r="AB98" s="24">
        <v>110</v>
      </c>
      <c r="AC98" s="5" t="str">
        <f ca="1">IFERROR(VLOOKUP($AB98,OFFSET([4]characters!$A$1,0,0,COUNTA([4]characters!$A:$A),MATCH(AC$1,[4]characters!$1:$1,0)-MATCH("character_id",[4]characters!$1:$1,0)+1),MATCH(AC$1,[4]characters!$1:$1,0)-MATCH("character_id",[4]characters!$1:$1,0)+1,FALSE),"")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98" s="5">
        <f ca="1">IFERROR(VLOOKUP($AB98,OFFSET([4]characters!$A$1,0,0,COUNTA([4]characters!$A:$A),MATCH(AD$1,[4]characters!$1:$1,0)-MATCH("character_id",[4]characters!$1:$1,0)+1),MATCH(AD$1,[4]characters!$1:$1,0)-MATCH("character_id",[4]characters!$1:$1,0)+1,FALSE),"")</f>
        <v>3</v>
      </c>
      <c r="AE98" s="5" t="str">
        <f ca="1">IFERROR(VLOOKUP($AB98,OFFSET([4]characters!$A$1,0,0,COUNTA([4]characters!$A:$A),MATCH(AE$1,[4]characters!$1:$1,0)-MATCH("character_id",[4]characters!$1:$1,0)+1),MATCH(AE$1,[4]characters!$1:$1,0)-MATCH("character_id",[4]characters!$1:$1,0)+1,FALSE),"")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8" s="8">
        <v>1</v>
      </c>
      <c r="AG98" s="27">
        <f t="shared" ca="1" si="61"/>
        <v>3</v>
      </c>
      <c r="AH98" s="80">
        <v>20</v>
      </c>
      <c r="AI98" s="8">
        <v>0</v>
      </c>
      <c r="AJ98" s="8">
        <v>0</v>
      </c>
      <c r="AK98" s="8">
        <v>0</v>
      </c>
      <c r="AL98" s="8">
        <v>0</v>
      </c>
      <c r="AM98" s="8">
        <v>1</v>
      </c>
      <c r="AN98" s="8">
        <v>1</v>
      </c>
    </row>
    <row r="99" spans="1:40" ht="21" customHeight="1" x14ac:dyDescent="0.15">
      <c r="A99" s="17" t="str">
        <f t="shared" ca="1" si="59"/>
        <v>11003_2-3/111&lt;lv15&gt;s1</v>
      </c>
      <c r="B99" s="8">
        <v>11003</v>
      </c>
      <c r="C99" s="25">
        <v>2</v>
      </c>
      <c r="D99" s="2" t="str">
        <f t="shared" si="60"/>
        <v>11003_2</v>
      </c>
      <c r="E99" s="5" t="str">
        <f ca="1">VLOOKUP($B99,OFFSET([2]quests!$A$1,0,0,COUNTA([2]quests!$A:$A),MATCH(E$1,[2]quests!$1:$1,0)-MATCH($B$1,[2]quests!$1:$1,0)+1),MATCH(E$1,[2]quests!$1:$1,0)-MATCH($B$1,[2]quests!$1:$1,0)+1,FALSE)</f>
        <v>【水曜限定】 青の素材</v>
      </c>
      <c r="F99" s="5" t="str">
        <f ca="1">VLOOKUP($D99,OFFSET([2]stages!$A$1,0,0,COUNTA([2]stages!$A:$A),MATCH(F$1,[2]stages!$2:$2,0)-MATCH($D$1,[2]stages!$2:$2,0)+1),MATCH(F$1,[2]stages!$2:$2,0)-MATCH($D$1,[2]stages!$2:$2,0)+1,FALSE)</f>
        <v xml:space="preserve">【中級】水のウサギ </v>
      </c>
      <c r="G99" s="25">
        <v>3</v>
      </c>
      <c r="H99" s="16" t="str">
        <f t="shared" si="49"/>
        <v>11003_2-3</v>
      </c>
      <c r="I99" s="5">
        <f ca="1">VLOOKUP($H99,OFFSET(floors!$A$1,0,0,COUNTA(floors!$A:$A),MATCH(I$1,floors!$1:$1,0)-MATCH($H$1,floors!$1:$1,0)+1),MATCH(I$1,floors!$1:$1,0)-MATCH($H$1,floors!$1:$1,0)+1,FALSE)</f>
        <v>45</v>
      </c>
      <c r="J99" s="5">
        <f ca="1">VLOOKUP($H99,OFFSET(floors!$A$1,0,0,COUNTA(floors!$A:$A),MATCH(J$1,floors!$1:$1,0)-MATCH($H$1,floors!$1:$1,0)+1),MATCH(J$1,floors!$1:$1,0)-MATCH($H$1,floors!$1:$1,0)+1,FALSE)</f>
        <v>45</v>
      </c>
      <c r="K99" s="24" t="s">
        <v>197</v>
      </c>
      <c r="L99" s="24">
        <v>111</v>
      </c>
      <c r="M99" s="20" t="str">
        <f ca="1">VLOOKUP($L99,OFFSET([3]enemies!$A$1,0,0,COUNTA([3]enemies!$A:$A),MATCH(M$1,[3]enemies!$1:$1,0)-MATCH($L$1,[3]enemies!$1:$1,0)+1),MATCH(M$1,[3]enemies!$1:$1,0)-MATCH($L$1,[3]enemies!$1:$1,0)+1,FALSE)</f>
        <v>ブルーキャタップ</v>
      </c>
      <c r="N99" s="20" t="str">
        <f ca="1">VLOOKUP($L99,OFFSET([3]enemies!$A$1,0,0,COUNTA([3]enemies!$A:$A),MATCH(N$1,[3]enemies!$1:$1,0)-MATCH($L$1,[3]enemies!$1:$1,0)+1),MATCH(N$1,[3]enemies!$1:$1,0)-MATCH($L$1,[3]enemies!$1:$1,0)+1,FALSE)</f>
        <v>blue</v>
      </c>
      <c r="O99" s="22" t="str">
        <f ca="1">VLOOKUP($L99,OFFSET([4]characters!$A$1,0,0,COUNTA([4]characters!$A:$A),MATCH(O$1,[4]characters!$1:$1,0)-MATCH($L$1,[4]characters!$1:$1,0)+1),MATCH(O$1,[4]characters!$1:$1,0)-MATCH($L$1,[4]characters!$1:$1,0)+1,FALSE)</f>
        <v>Material</v>
      </c>
      <c r="P99" s="20" t="str">
        <f ca="1">VLOOKUP($L99,OFFSET([3]enemies!$A$1,0,0,COUNTA([3]enemies!$A:$A),MATCH(P$1,[3]enemies!$1:$1,0)-MATCH($L$1,[3]enemies!$1:$1,0)+1),MATCH(P$1,[3]enemies!$1:$1,0)-MATCH($L$1,[3]enemies!$1:$1,0)+1,FALSE)</f>
        <v>unknown</v>
      </c>
      <c r="Q99" s="20">
        <f ca="1">VLOOKUP($L99,OFFSET([3]enemies!$A$1,0,0,COUNTA([3]enemies!$A:$A),MATCH(Q$1,[3]enemies!$1:$1,0)-MATCH($L$1,[3]enemies!$1:$1,0)+1),MATCH(Q$1,[3]enemies!$1:$1,0)-MATCH($L$1,[3]enemies!$1:$1,0)+1,FALSE)</f>
        <v>15</v>
      </c>
      <c r="R99" s="6">
        <v>15</v>
      </c>
      <c r="S99" s="39">
        <v>2</v>
      </c>
      <c r="T99" s="39">
        <v>1</v>
      </c>
      <c r="U99" s="6">
        <v>0</v>
      </c>
      <c r="V99" s="5" t="str">
        <f ca="1">VLOOKUP($W99,OFFSET([5]enemy_skill_sets!$B$1,0,0,COUNTA([5]enemy_skill_sets!$B:$B),MATCH(M$1,[5]enemy_skill_sets!$1:$1,0)-MATCH($W$1,[5]enemy_skill_sets!$1:$1,0)+2),MATCH(M$1,[5]enemy_skill_sets!$1:$1,0)-MATCH($W$1,[5]enemy_skill_sets!$1:$1,0)+2,FALSE)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9" s="5">
        <f ca="1">VLOOKUP($L99,OFFSET([3]enemies!$A$1,0,0,COUNTA([3]enemies!$A:$A),MATCH(W$1,[3]enemies!$1:$1,0)-MATCH($L$1,[3]enemies!$1:$1,0)+1),MATCH(W$1,[3]enemies!$1:$1,0)-MATCH($L$1,[3]enemies!$1:$1,0)+1,FALSE)</f>
        <v>0</v>
      </c>
      <c r="X99" s="7">
        <v>0</v>
      </c>
      <c r="Y99" s="7">
        <v>25</v>
      </c>
      <c r="Z99" s="7">
        <v>0</v>
      </c>
      <c r="AA99" s="20">
        <f ca="1">VLOOKUP($L99,OFFSET([3]enemies!$A$1,0,0,COUNTA([3]enemies!$A:$A),MATCH(AA$1,[3]enemies!$1:$1,0)-MATCH($L$1,[3]enemies!$1:$1,0)+1),MATCH(AA$1,[3]enemies!$1:$1,0)-MATCH($L$1,[3]enemies!$1:$1,0)+1,FALSE)</f>
        <v>1</v>
      </c>
      <c r="AB99" s="24">
        <v>111</v>
      </c>
      <c r="AC99" s="5" t="str">
        <f ca="1">IFERROR(VLOOKUP($AB99,OFFSET([4]characters!$A$1,0,0,COUNTA([4]characters!$A:$A),MATCH(AC$1,[4]characters!$1:$1,0)-MATCH("character_id",[4]characters!$1:$1,0)+1),MATCH(AC$1,[4]characters!$1:$1,0)-MATCH("character_id",[4]characters!$1:$1,0)+1,FALSE),"")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99" s="5">
        <f ca="1">IFERROR(VLOOKUP($AB99,OFFSET([4]characters!$A$1,0,0,COUNTA([4]characters!$A:$A),MATCH(AD$1,[4]characters!$1:$1,0)-MATCH("character_id",[4]characters!$1:$1,0)+1),MATCH(AD$1,[4]characters!$1:$1,0)-MATCH("character_id",[4]characters!$1:$1,0)+1,FALSE),"")</f>
        <v>4</v>
      </c>
      <c r="AE99" s="5" t="str">
        <f ca="1">IFERROR(VLOOKUP($AB99,OFFSET([4]characters!$A$1,0,0,COUNTA([4]characters!$A:$A),MATCH(AE$1,[4]characters!$1:$1,0)-MATCH("character_id",[4]characters!$1:$1,0)+1),MATCH(AE$1,[4]characters!$1:$1,0)-MATCH("character_id",[4]characters!$1:$1,0)+1,FALSE),"")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9" s="8">
        <v>1</v>
      </c>
      <c r="AG99" s="27">
        <f t="shared" ca="1" si="61"/>
        <v>4</v>
      </c>
      <c r="AH99" s="80">
        <v>5</v>
      </c>
      <c r="AI99" s="8">
        <v>0</v>
      </c>
      <c r="AJ99" s="8">
        <v>0</v>
      </c>
      <c r="AK99" s="8">
        <v>0</v>
      </c>
      <c r="AL99" s="8">
        <v>0</v>
      </c>
      <c r="AM99" s="8">
        <v>1</v>
      </c>
      <c r="AN99" s="8">
        <v>1</v>
      </c>
    </row>
    <row r="100" spans="1:40" ht="21" customHeight="1" x14ac:dyDescent="0.15">
      <c r="A100" s="17" t="str">
        <f t="shared" ca="1" si="59"/>
        <v>11003_2-4/110&lt;lv15&gt;s4</v>
      </c>
      <c r="B100" s="8">
        <v>11003</v>
      </c>
      <c r="C100" s="25">
        <v>2</v>
      </c>
      <c r="D100" s="2" t="str">
        <f t="shared" si="60"/>
        <v>11003_2</v>
      </c>
      <c r="E100" s="5" t="str">
        <f ca="1">VLOOKUP($B100,OFFSET([2]quests!$A$1,0,0,COUNTA([2]quests!$A:$A),MATCH(E$1,[2]quests!$1:$1,0)-MATCH($B$1,[2]quests!$1:$1,0)+1),MATCH(E$1,[2]quests!$1:$1,0)-MATCH($B$1,[2]quests!$1:$1,0)+1,FALSE)</f>
        <v>【水曜限定】 青の素材</v>
      </c>
      <c r="F100" s="5" t="str">
        <f ca="1">VLOOKUP($D100,OFFSET([2]stages!$A$1,0,0,COUNTA([2]stages!$A:$A),MATCH(F$1,[2]stages!$2:$2,0)-MATCH($D$1,[2]stages!$2:$2,0)+1),MATCH(F$1,[2]stages!$2:$2,0)-MATCH($D$1,[2]stages!$2:$2,0)+1,FALSE)</f>
        <v xml:space="preserve">【中級】水のウサギ </v>
      </c>
      <c r="G100" s="25">
        <v>4</v>
      </c>
      <c r="H100" s="16" t="str">
        <f t="shared" si="49"/>
        <v>11003_2-4</v>
      </c>
      <c r="I100" s="5">
        <f ca="1">VLOOKUP($H100,OFFSET(floors!$A$1,0,0,COUNTA(floors!$A:$A),MATCH(I$1,floors!$1:$1,0)-MATCH($H$1,floors!$1:$1,0)+1),MATCH(I$1,floors!$1:$1,0)-MATCH($H$1,floors!$1:$1,0)+1,FALSE)</f>
        <v>45</v>
      </c>
      <c r="J100" s="5">
        <f ca="1">VLOOKUP($H100,OFFSET(floors!$A$1,0,0,COUNTA(floors!$A:$A),MATCH(J$1,floors!$1:$1,0)-MATCH($H$1,floors!$1:$1,0)+1),MATCH(J$1,floors!$1:$1,0)-MATCH($H$1,floors!$1:$1,0)+1,FALSE)</f>
        <v>45</v>
      </c>
      <c r="K100" s="24" t="s">
        <v>197</v>
      </c>
      <c r="L100" s="24">
        <v>110</v>
      </c>
      <c r="M100" s="20" t="str">
        <f ca="1">VLOOKUP($L100,OFFSET([3]enemies!$A$1,0,0,COUNTA([3]enemies!$A:$A),MATCH(M$1,[3]enemies!$1:$1,0)-MATCH($L$1,[3]enemies!$1:$1,0)+1),MATCH(M$1,[3]enemies!$1:$1,0)-MATCH($L$1,[3]enemies!$1:$1,0)+1,FALSE)</f>
        <v>ブルーラビット</v>
      </c>
      <c r="N100" s="20" t="str">
        <f ca="1">VLOOKUP($L100,OFFSET([3]enemies!$A$1,0,0,COUNTA([3]enemies!$A:$A),MATCH(N$1,[3]enemies!$1:$1,0)-MATCH($L$1,[3]enemies!$1:$1,0)+1),MATCH(N$1,[3]enemies!$1:$1,0)-MATCH($L$1,[3]enemies!$1:$1,0)+1,FALSE)</f>
        <v>blue</v>
      </c>
      <c r="O100" s="22" t="str">
        <f ca="1">VLOOKUP($L100,OFFSET([4]characters!$A$1,0,0,COUNTA([4]characters!$A:$A),MATCH(O$1,[4]characters!$1:$1,0)-MATCH($L$1,[4]characters!$1:$1,0)+1),MATCH(O$1,[4]characters!$1:$1,0)-MATCH($L$1,[4]characters!$1:$1,0)+1,FALSE)</f>
        <v>Material</v>
      </c>
      <c r="P100" s="20" t="str">
        <f ca="1">VLOOKUP($L100,OFFSET([3]enemies!$A$1,0,0,COUNTA([3]enemies!$A:$A),MATCH(P$1,[3]enemies!$1:$1,0)-MATCH($L$1,[3]enemies!$1:$1,0)+1),MATCH(P$1,[3]enemies!$1:$1,0)-MATCH($L$1,[3]enemies!$1:$1,0)+1,FALSE)</f>
        <v>unknown</v>
      </c>
      <c r="Q100" s="20">
        <f ca="1">VLOOKUP($L100,OFFSET([3]enemies!$A$1,0,0,COUNTA([3]enemies!$A:$A),MATCH(Q$1,[3]enemies!$1:$1,0)-MATCH($L$1,[3]enemies!$1:$1,0)+1),MATCH(Q$1,[3]enemies!$1:$1,0)-MATCH($L$1,[3]enemies!$1:$1,0)+1,FALSE)</f>
        <v>15</v>
      </c>
      <c r="R100" s="6">
        <v>15</v>
      </c>
      <c r="S100" s="40">
        <v>1.8</v>
      </c>
      <c r="T100" s="39">
        <v>1</v>
      </c>
      <c r="U100" s="6">
        <v>0</v>
      </c>
      <c r="V100" s="5" t="str">
        <f ca="1">VLOOKUP($W100,OFFSET([5]enemy_skill_sets!$B$1,0,0,COUNTA([5]enemy_skill_sets!$B:$B),MATCH(M$1,[5]enemy_skill_sets!$1:$1,0)-MATCH($W$1,[5]enemy_skill_sets!$1:$1,0)+2),MATCH(M$1,[5]enemy_skill_sets!$1:$1,0)-MATCH($W$1,[5]enemy_skill_sets!$1:$1,0)+2,FALSE)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0" s="5">
        <f ca="1">VLOOKUP($L100,OFFSET([3]enemies!$A$1,0,0,COUNTA([3]enemies!$A:$A),MATCH(W$1,[3]enemies!$1:$1,0)-MATCH($L$1,[3]enemies!$1:$1,0)+1),MATCH(W$1,[3]enemies!$1:$1,0)-MATCH($L$1,[3]enemies!$1:$1,0)+1,FALSE)</f>
        <v>0</v>
      </c>
      <c r="X100" s="7">
        <v>0</v>
      </c>
      <c r="Y100" s="7">
        <v>100</v>
      </c>
      <c r="Z100" s="7">
        <v>0</v>
      </c>
      <c r="AA100" s="20">
        <f ca="1">VLOOKUP($L100,OFFSET([3]enemies!$A$1,0,0,COUNTA([3]enemies!$A:$A),MATCH(AA$1,[3]enemies!$1:$1,0)-MATCH($L$1,[3]enemies!$1:$1,0)+1),MATCH(AA$1,[3]enemies!$1:$1,0)-MATCH($L$1,[3]enemies!$1:$1,0)+1,FALSE)</f>
        <v>4</v>
      </c>
      <c r="AB100" s="24">
        <v>110</v>
      </c>
      <c r="AC100" s="5" t="str">
        <f ca="1">IFERROR(VLOOKUP($AB100,OFFSET([4]characters!$A$1,0,0,COUNTA([4]characters!$A:$A),MATCH(AC$1,[4]characters!$1:$1,0)-MATCH("character_id",[4]characters!$1:$1,0)+1),MATCH(AC$1,[4]characters!$1:$1,0)-MATCH("character_id",[4]characters!$1:$1,0)+1,FALSE),"")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100" s="5">
        <f ca="1">IFERROR(VLOOKUP($AB100,OFFSET([4]characters!$A$1,0,0,COUNTA([4]characters!$A:$A),MATCH(AD$1,[4]characters!$1:$1,0)-MATCH("character_id",[4]characters!$1:$1,0)+1),MATCH(AD$1,[4]characters!$1:$1,0)-MATCH("character_id",[4]characters!$1:$1,0)+1,FALSE),"")</f>
        <v>3</v>
      </c>
      <c r="AE100" s="5" t="str">
        <f ca="1">IFERROR(VLOOKUP($AB100,OFFSET([4]characters!$A$1,0,0,COUNTA([4]characters!$A:$A),MATCH(AE$1,[4]characters!$1:$1,0)-MATCH("character_id",[4]characters!$1:$1,0)+1),MATCH(AE$1,[4]characters!$1:$1,0)-MATCH("character_id",[4]characters!$1:$1,0)+1,FALSE),"")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0" s="8">
        <v>1</v>
      </c>
      <c r="AG100" s="27">
        <f t="shared" ca="1" si="61"/>
        <v>3</v>
      </c>
      <c r="AH100" s="80">
        <v>20</v>
      </c>
      <c r="AI100" s="8">
        <v>0</v>
      </c>
      <c r="AJ100" s="8">
        <v>0</v>
      </c>
      <c r="AK100" s="8">
        <v>0</v>
      </c>
      <c r="AL100" s="8">
        <v>0</v>
      </c>
      <c r="AM100" s="8">
        <v>1</v>
      </c>
      <c r="AN100" s="8">
        <v>1</v>
      </c>
    </row>
    <row r="101" spans="1:40" ht="21" customHeight="1" x14ac:dyDescent="0.15">
      <c r="A101" s="17" t="str">
        <f t="shared" ca="1" si="59"/>
        <v>11003_2-4/111&lt;lv15&gt;s1</v>
      </c>
      <c r="B101" s="8">
        <v>11003</v>
      </c>
      <c r="C101" s="25">
        <v>2</v>
      </c>
      <c r="D101" s="2" t="str">
        <f t="shared" si="60"/>
        <v>11003_2</v>
      </c>
      <c r="E101" s="5" t="str">
        <f ca="1">VLOOKUP($B101,OFFSET([2]quests!$A$1,0,0,COUNTA([2]quests!$A:$A),MATCH(E$1,[2]quests!$1:$1,0)-MATCH($B$1,[2]quests!$1:$1,0)+1),MATCH(E$1,[2]quests!$1:$1,0)-MATCH($B$1,[2]quests!$1:$1,0)+1,FALSE)</f>
        <v>【水曜限定】 青の素材</v>
      </c>
      <c r="F101" s="5" t="str">
        <f ca="1">VLOOKUP($D101,OFFSET([2]stages!$A$1,0,0,COUNTA([2]stages!$A:$A),MATCH(F$1,[2]stages!$2:$2,0)-MATCH($D$1,[2]stages!$2:$2,0)+1),MATCH(F$1,[2]stages!$2:$2,0)-MATCH($D$1,[2]stages!$2:$2,0)+1,FALSE)</f>
        <v xml:space="preserve">【中級】水のウサギ </v>
      </c>
      <c r="G101" s="25">
        <v>4</v>
      </c>
      <c r="H101" s="16" t="str">
        <f t="shared" si="49"/>
        <v>11003_2-4</v>
      </c>
      <c r="I101" s="5">
        <f ca="1">VLOOKUP($H101,OFFSET(floors!$A$1,0,0,COUNTA(floors!$A:$A),MATCH(I$1,floors!$1:$1,0)-MATCH($H$1,floors!$1:$1,0)+1),MATCH(I$1,floors!$1:$1,0)-MATCH($H$1,floors!$1:$1,0)+1,FALSE)</f>
        <v>45</v>
      </c>
      <c r="J101" s="5">
        <f ca="1">VLOOKUP($H101,OFFSET(floors!$A$1,0,0,COUNTA(floors!$A:$A),MATCH(J$1,floors!$1:$1,0)-MATCH($H$1,floors!$1:$1,0)+1),MATCH(J$1,floors!$1:$1,0)-MATCH($H$1,floors!$1:$1,0)+1,FALSE)</f>
        <v>45</v>
      </c>
      <c r="K101" s="24" t="s">
        <v>197</v>
      </c>
      <c r="L101" s="24">
        <v>111</v>
      </c>
      <c r="M101" s="20" t="str">
        <f ca="1">VLOOKUP($L101,OFFSET([3]enemies!$A$1,0,0,COUNTA([3]enemies!$A:$A),MATCH(M$1,[3]enemies!$1:$1,0)-MATCH($L$1,[3]enemies!$1:$1,0)+1),MATCH(M$1,[3]enemies!$1:$1,0)-MATCH($L$1,[3]enemies!$1:$1,0)+1,FALSE)</f>
        <v>ブルーキャタップ</v>
      </c>
      <c r="N101" s="20" t="str">
        <f ca="1">VLOOKUP($L101,OFFSET([3]enemies!$A$1,0,0,COUNTA([3]enemies!$A:$A),MATCH(N$1,[3]enemies!$1:$1,0)-MATCH($L$1,[3]enemies!$1:$1,0)+1),MATCH(N$1,[3]enemies!$1:$1,0)-MATCH($L$1,[3]enemies!$1:$1,0)+1,FALSE)</f>
        <v>blue</v>
      </c>
      <c r="O101" s="22" t="str">
        <f ca="1">VLOOKUP($L101,OFFSET([4]characters!$A$1,0,0,COUNTA([4]characters!$A:$A),MATCH(O$1,[4]characters!$1:$1,0)-MATCH($L$1,[4]characters!$1:$1,0)+1),MATCH(O$1,[4]characters!$1:$1,0)-MATCH($L$1,[4]characters!$1:$1,0)+1,FALSE)</f>
        <v>Material</v>
      </c>
      <c r="P101" s="20" t="str">
        <f ca="1">VLOOKUP($L101,OFFSET([3]enemies!$A$1,0,0,COUNTA([3]enemies!$A:$A),MATCH(P$1,[3]enemies!$1:$1,0)-MATCH($L$1,[3]enemies!$1:$1,0)+1),MATCH(P$1,[3]enemies!$1:$1,0)-MATCH($L$1,[3]enemies!$1:$1,0)+1,FALSE)</f>
        <v>unknown</v>
      </c>
      <c r="Q101" s="20">
        <f ca="1">VLOOKUP($L101,OFFSET([3]enemies!$A$1,0,0,COUNTA([3]enemies!$A:$A),MATCH(Q$1,[3]enemies!$1:$1,0)-MATCH($L$1,[3]enemies!$1:$1,0)+1),MATCH(Q$1,[3]enemies!$1:$1,0)-MATCH($L$1,[3]enemies!$1:$1,0)+1,FALSE)</f>
        <v>15</v>
      </c>
      <c r="R101" s="6">
        <v>15</v>
      </c>
      <c r="S101" s="39">
        <v>2</v>
      </c>
      <c r="T101" s="39">
        <v>1</v>
      </c>
      <c r="U101" s="6">
        <v>0</v>
      </c>
      <c r="V101" s="5" t="str">
        <f ca="1">VLOOKUP($W101,OFFSET([5]enemy_skill_sets!$B$1,0,0,COUNTA([5]enemy_skill_sets!$B:$B),MATCH(M$1,[5]enemy_skill_sets!$1:$1,0)-MATCH($W$1,[5]enemy_skill_sets!$1:$1,0)+2),MATCH(M$1,[5]enemy_skill_sets!$1:$1,0)-MATCH($W$1,[5]enemy_skill_sets!$1:$1,0)+2,FALSE)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1" s="5">
        <f ca="1">VLOOKUP($L101,OFFSET([3]enemies!$A$1,0,0,COUNTA([3]enemies!$A:$A),MATCH(W$1,[3]enemies!$1:$1,0)-MATCH($L$1,[3]enemies!$1:$1,0)+1),MATCH(W$1,[3]enemies!$1:$1,0)-MATCH($L$1,[3]enemies!$1:$1,0)+1,FALSE)</f>
        <v>0</v>
      </c>
      <c r="X101" s="7">
        <v>0</v>
      </c>
      <c r="Y101" s="7">
        <v>25</v>
      </c>
      <c r="Z101" s="7">
        <v>0</v>
      </c>
      <c r="AA101" s="20">
        <f ca="1">VLOOKUP($L101,OFFSET([3]enemies!$A$1,0,0,COUNTA([3]enemies!$A:$A),MATCH(AA$1,[3]enemies!$1:$1,0)-MATCH($L$1,[3]enemies!$1:$1,0)+1),MATCH(AA$1,[3]enemies!$1:$1,0)-MATCH($L$1,[3]enemies!$1:$1,0)+1,FALSE)</f>
        <v>1</v>
      </c>
      <c r="AB101" s="24">
        <v>111</v>
      </c>
      <c r="AC101" s="5" t="str">
        <f ca="1">IFERROR(VLOOKUP($AB101,OFFSET([4]characters!$A$1,0,0,COUNTA([4]characters!$A:$A),MATCH(AC$1,[4]characters!$1:$1,0)-MATCH("character_id",[4]characters!$1:$1,0)+1),MATCH(AC$1,[4]characters!$1:$1,0)-MATCH("character_id",[4]characters!$1:$1,0)+1,FALSE),"")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01" s="5">
        <f ca="1">IFERROR(VLOOKUP($AB101,OFFSET([4]characters!$A$1,0,0,COUNTA([4]characters!$A:$A),MATCH(AD$1,[4]characters!$1:$1,0)-MATCH("character_id",[4]characters!$1:$1,0)+1),MATCH(AD$1,[4]characters!$1:$1,0)-MATCH("character_id",[4]characters!$1:$1,0)+1,FALSE),"")</f>
        <v>4</v>
      </c>
      <c r="AE101" s="5" t="str">
        <f ca="1">IFERROR(VLOOKUP($AB101,OFFSET([4]characters!$A$1,0,0,COUNTA([4]characters!$A:$A),MATCH(AE$1,[4]characters!$1:$1,0)-MATCH("character_id",[4]characters!$1:$1,0)+1),MATCH(AE$1,[4]characters!$1:$1,0)-MATCH("character_id",[4]characters!$1:$1,0)+1,FALSE),"")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1" s="8">
        <v>1</v>
      </c>
      <c r="AG101" s="27">
        <f t="shared" ca="1" si="61"/>
        <v>4</v>
      </c>
      <c r="AH101" s="80">
        <v>5</v>
      </c>
      <c r="AI101" s="8">
        <v>0</v>
      </c>
      <c r="AJ101" s="8">
        <v>0</v>
      </c>
      <c r="AK101" s="8">
        <v>0</v>
      </c>
      <c r="AL101" s="8">
        <v>0</v>
      </c>
      <c r="AM101" s="8">
        <v>1</v>
      </c>
      <c r="AN101" s="8">
        <v>1</v>
      </c>
    </row>
    <row r="102" spans="1:40" ht="21" customHeight="1" x14ac:dyDescent="0.15">
      <c r="A102" s="17" t="str">
        <f t="shared" ca="1" si="59"/>
        <v>11003_2-5/110&lt;lv15&gt;s4</v>
      </c>
      <c r="B102" s="8">
        <v>11003</v>
      </c>
      <c r="C102" s="25">
        <v>2</v>
      </c>
      <c r="D102" s="2" t="str">
        <f t="shared" si="60"/>
        <v>11003_2</v>
      </c>
      <c r="E102" s="5" t="str">
        <f ca="1">VLOOKUP($B102,OFFSET([2]quests!$A$1,0,0,COUNTA([2]quests!$A:$A),MATCH(E$1,[2]quests!$1:$1,0)-MATCH($B$1,[2]quests!$1:$1,0)+1),MATCH(E$1,[2]quests!$1:$1,0)-MATCH($B$1,[2]quests!$1:$1,0)+1,FALSE)</f>
        <v>【水曜限定】 青の素材</v>
      </c>
      <c r="F102" s="5" t="str">
        <f ca="1">VLOOKUP($D102,OFFSET([2]stages!$A$1,0,0,COUNTA([2]stages!$A:$A),MATCH(F$1,[2]stages!$2:$2,0)-MATCH($D$1,[2]stages!$2:$2,0)+1),MATCH(F$1,[2]stages!$2:$2,0)-MATCH($D$1,[2]stages!$2:$2,0)+1,FALSE)</f>
        <v xml:space="preserve">【中級】水のウサギ </v>
      </c>
      <c r="G102" s="25">
        <v>5</v>
      </c>
      <c r="H102" s="16" t="str">
        <f t="shared" si="49"/>
        <v>11003_2-5</v>
      </c>
      <c r="I102" s="5">
        <f ca="1">VLOOKUP($H102,OFFSET(floors!$A$1,0,0,COUNTA(floors!$A:$A),MATCH(I$1,floors!$1:$1,0)-MATCH($H$1,floors!$1:$1,0)+1),MATCH(I$1,floors!$1:$1,0)-MATCH($H$1,floors!$1:$1,0)+1,FALSE)</f>
        <v>50</v>
      </c>
      <c r="J102" s="5">
        <f ca="1">VLOOKUP($H102,OFFSET(floors!$A$1,0,0,COUNTA(floors!$A:$A),MATCH(J$1,floors!$1:$1,0)-MATCH($H$1,floors!$1:$1,0)+1),MATCH(J$1,floors!$1:$1,0)-MATCH($H$1,floors!$1:$1,0)+1,FALSE)</f>
        <v>50</v>
      </c>
      <c r="K102" s="24" t="s">
        <v>197</v>
      </c>
      <c r="L102" s="24">
        <v>110</v>
      </c>
      <c r="M102" s="20" t="str">
        <f ca="1">VLOOKUP($L102,OFFSET([3]enemies!$A$1,0,0,COUNTA([3]enemies!$A:$A),MATCH(M$1,[3]enemies!$1:$1,0)-MATCH($L$1,[3]enemies!$1:$1,0)+1),MATCH(M$1,[3]enemies!$1:$1,0)-MATCH($L$1,[3]enemies!$1:$1,0)+1,FALSE)</f>
        <v>ブルーラビット</v>
      </c>
      <c r="N102" s="20" t="str">
        <f ca="1">VLOOKUP($L102,OFFSET([3]enemies!$A$1,0,0,COUNTA([3]enemies!$A:$A),MATCH(N$1,[3]enemies!$1:$1,0)-MATCH($L$1,[3]enemies!$1:$1,0)+1),MATCH(N$1,[3]enemies!$1:$1,0)-MATCH($L$1,[3]enemies!$1:$1,0)+1,FALSE)</f>
        <v>blue</v>
      </c>
      <c r="O102" s="22" t="str">
        <f ca="1">VLOOKUP($L102,OFFSET([4]characters!$A$1,0,0,COUNTA([4]characters!$A:$A),MATCH(O$1,[4]characters!$1:$1,0)-MATCH($L$1,[4]characters!$1:$1,0)+1),MATCH(O$1,[4]characters!$1:$1,0)-MATCH($L$1,[4]characters!$1:$1,0)+1,FALSE)</f>
        <v>Material</v>
      </c>
      <c r="P102" s="20" t="str">
        <f ca="1">VLOOKUP($L102,OFFSET([3]enemies!$A$1,0,0,COUNTA([3]enemies!$A:$A),MATCH(P$1,[3]enemies!$1:$1,0)-MATCH($L$1,[3]enemies!$1:$1,0)+1),MATCH(P$1,[3]enemies!$1:$1,0)-MATCH($L$1,[3]enemies!$1:$1,0)+1,FALSE)</f>
        <v>unknown</v>
      </c>
      <c r="Q102" s="20">
        <f ca="1">VLOOKUP($L102,OFFSET([3]enemies!$A$1,0,0,COUNTA([3]enemies!$A:$A),MATCH(Q$1,[3]enemies!$1:$1,0)-MATCH($L$1,[3]enemies!$1:$1,0)+1),MATCH(Q$1,[3]enemies!$1:$1,0)-MATCH($L$1,[3]enemies!$1:$1,0)+1,FALSE)</f>
        <v>15</v>
      </c>
      <c r="R102" s="6">
        <v>15</v>
      </c>
      <c r="S102" s="40">
        <v>1.8</v>
      </c>
      <c r="T102" s="39">
        <v>1</v>
      </c>
      <c r="U102" s="6">
        <v>0</v>
      </c>
      <c r="V102" s="5" t="str">
        <f ca="1">VLOOKUP($W102,OFFSET([5]enemy_skill_sets!$B$1,0,0,COUNTA([5]enemy_skill_sets!$B:$B),MATCH(M$1,[5]enemy_skill_sets!$1:$1,0)-MATCH($W$1,[5]enemy_skill_sets!$1:$1,0)+2),MATCH(M$1,[5]enemy_skill_sets!$1:$1,0)-MATCH($W$1,[5]enemy_skill_sets!$1:$1,0)+2,FALSE)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2" s="5">
        <f ca="1">VLOOKUP($L102,OFFSET([3]enemies!$A$1,0,0,COUNTA([3]enemies!$A:$A),MATCH(W$1,[3]enemies!$1:$1,0)-MATCH($L$1,[3]enemies!$1:$1,0)+1),MATCH(W$1,[3]enemies!$1:$1,0)-MATCH($L$1,[3]enemies!$1:$1,0)+1,FALSE)</f>
        <v>0</v>
      </c>
      <c r="X102" s="7">
        <v>2</v>
      </c>
      <c r="Y102" s="7">
        <v>100</v>
      </c>
      <c r="Z102" s="7">
        <v>0</v>
      </c>
      <c r="AA102" s="20">
        <f ca="1">VLOOKUP($L102,OFFSET([3]enemies!$A$1,0,0,COUNTA([3]enemies!$A:$A),MATCH(AA$1,[3]enemies!$1:$1,0)-MATCH($L$1,[3]enemies!$1:$1,0)+1),MATCH(AA$1,[3]enemies!$1:$1,0)-MATCH($L$1,[3]enemies!$1:$1,0)+1,FALSE)</f>
        <v>4</v>
      </c>
      <c r="AB102" s="24">
        <v>110</v>
      </c>
      <c r="AC102" s="5" t="str">
        <f ca="1">IFERROR(VLOOKUP($AB102,OFFSET([4]characters!$A$1,0,0,COUNTA([4]characters!$A:$A),MATCH(AC$1,[4]characters!$1:$1,0)-MATCH("character_id",[4]characters!$1:$1,0)+1),MATCH(AC$1,[4]characters!$1:$1,0)-MATCH("character_id",[4]characters!$1:$1,0)+1,FALSE),"")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102" s="5">
        <f ca="1">IFERROR(VLOOKUP($AB102,OFFSET([4]characters!$A$1,0,0,COUNTA([4]characters!$A:$A),MATCH(AD$1,[4]characters!$1:$1,0)-MATCH("character_id",[4]characters!$1:$1,0)+1),MATCH(AD$1,[4]characters!$1:$1,0)-MATCH("character_id",[4]characters!$1:$1,0)+1,FALSE),"")</f>
        <v>3</v>
      </c>
      <c r="AE102" s="5" t="str">
        <f ca="1">IFERROR(VLOOKUP($AB102,OFFSET([4]characters!$A$1,0,0,COUNTA([4]characters!$A:$A),MATCH(AE$1,[4]characters!$1:$1,0)-MATCH("character_id",[4]characters!$1:$1,0)+1),MATCH(AE$1,[4]characters!$1:$1,0)-MATCH("character_id",[4]characters!$1:$1,0)+1,FALSE),"")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2" s="8">
        <v>1</v>
      </c>
      <c r="AG102" s="27">
        <f t="shared" ca="1" si="61"/>
        <v>3</v>
      </c>
      <c r="AH102" s="80">
        <v>100</v>
      </c>
      <c r="AI102" s="8">
        <v>0</v>
      </c>
      <c r="AJ102" s="8">
        <v>0</v>
      </c>
      <c r="AK102" s="8">
        <v>0</v>
      </c>
      <c r="AL102" s="8">
        <v>0</v>
      </c>
      <c r="AM102" s="8">
        <v>1</v>
      </c>
      <c r="AN102" s="8">
        <v>1</v>
      </c>
    </row>
    <row r="103" spans="1:40" ht="21" customHeight="1" x14ac:dyDescent="0.15">
      <c r="A103" s="17" t="str">
        <f t="shared" ca="1" si="59"/>
        <v>11003_2-5/54&lt;lv18&gt;s2</v>
      </c>
      <c r="B103" s="8">
        <v>11003</v>
      </c>
      <c r="C103" s="25">
        <v>2</v>
      </c>
      <c r="D103" s="2" t="str">
        <f t="shared" si="60"/>
        <v>11003_2</v>
      </c>
      <c r="E103" s="5" t="str">
        <f ca="1">VLOOKUP($B103,OFFSET([2]quests!$A$1,0,0,COUNTA([2]quests!$A:$A),MATCH(E$1,[2]quests!$1:$1,0)-MATCH($B$1,[2]quests!$1:$1,0)+1),MATCH(E$1,[2]quests!$1:$1,0)-MATCH($B$1,[2]quests!$1:$1,0)+1,FALSE)</f>
        <v>【水曜限定】 青の素材</v>
      </c>
      <c r="F103" s="5" t="str">
        <f ca="1">VLOOKUP($D103,OFFSET([2]stages!$A$1,0,0,COUNTA([2]stages!$A:$A),MATCH(F$1,[2]stages!$2:$2,0)-MATCH($D$1,[2]stages!$2:$2,0)+1),MATCH(F$1,[2]stages!$2:$2,0)-MATCH($D$1,[2]stages!$2:$2,0)+1,FALSE)</f>
        <v xml:space="preserve">【中級】水のウサギ </v>
      </c>
      <c r="G103" s="25">
        <v>5</v>
      </c>
      <c r="H103" s="16" t="str">
        <f t="shared" si="49"/>
        <v>11003_2-5</v>
      </c>
      <c r="I103" s="5">
        <f ca="1">VLOOKUP($H103,OFFSET(floors!$A$1,0,0,COUNTA(floors!$A:$A),MATCH(I$1,floors!$1:$1,0)-MATCH($H$1,floors!$1:$1,0)+1),MATCH(I$1,floors!$1:$1,0)-MATCH($H$1,floors!$1:$1,0)+1,FALSE)</f>
        <v>50</v>
      </c>
      <c r="J103" s="5">
        <f ca="1">VLOOKUP($H103,OFFSET(floors!$A$1,0,0,COUNTA(floors!$A:$A),MATCH(J$1,floors!$1:$1,0)-MATCH($H$1,floors!$1:$1,0)+1),MATCH(J$1,floors!$1:$1,0)-MATCH($H$1,floors!$1:$1,0)+1,FALSE)</f>
        <v>50</v>
      </c>
      <c r="K103" s="24" t="s">
        <v>197</v>
      </c>
      <c r="L103" s="24">
        <v>54</v>
      </c>
      <c r="M103" s="20" t="str">
        <f ca="1">VLOOKUP($L103,OFFSET([3]enemies!$A$1,0,0,COUNTA([3]enemies!$A:$A),MATCH(M$1,[3]enemies!$1:$1,0)-MATCH($L$1,[3]enemies!$1:$1,0)+1),MATCH(M$1,[3]enemies!$1:$1,0)-MATCH($L$1,[3]enemies!$1:$1,0)+1,FALSE)</f>
        <v>蒼斬のレジスタンス ケンジ</v>
      </c>
      <c r="N103" s="20" t="str">
        <f ca="1">VLOOKUP($L103,OFFSET([3]enemies!$A$1,0,0,COUNTA([3]enemies!$A:$A),MATCH(N$1,[3]enemies!$1:$1,0)-MATCH($L$1,[3]enemies!$1:$1,0)+1),MATCH(N$1,[3]enemies!$1:$1,0)-MATCH($L$1,[3]enemies!$1:$1,0)+1,FALSE)</f>
        <v>blue</v>
      </c>
      <c r="O103" s="22" t="str">
        <f ca="1">VLOOKUP($L103,OFFSET([4]characters!$A$1,0,0,COUNTA([4]characters!$A:$A),MATCH(O$1,[4]characters!$1:$1,0)-MATCH($L$1,[4]characters!$1:$1,0)+1),MATCH(O$1,[4]characters!$1:$1,0)-MATCH($L$1,[4]characters!$1:$1,0)+1,FALSE)</f>
        <v>Drop1N</v>
      </c>
      <c r="P103" s="20" t="str">
        <f ca="1">VLOOKUP($L103,OFFSET([3]enemies!$A$1,0,0,COUNTA([3]enemies!$A:$A),MATCH(P$1,[3]enemies!$1:$1,0)-MATCH($L$1,[3]enemies!$1:$1,0)+1),MATCH(P$1,[3]enemies!$1:$1,0)-MATCH($L$1,[3]enemies!$1:$1,0)+1,FALSE)</f>
        <v>human</v>
      </c>
      <c r="Q103" s="20">
        <f ca="1">VLOOKUP($L103,OFFSET([3]enemies!$A$1,0,0,COUNTA([3]enemies!$A:$A),MATCH(Q$1,[3]enemies!$1:$1,0)-MATCH($L$1,[3]enemies!$1:$1,0)+1),MATCH(Q$1,[3]enemies!$1:$1,0)-MATCH($L$1,[3]enemies!$1:$1,0)+1,FALSE)</f>
        <v>20</v>
      </c>
      <c r="R103" s="6">
        <v>18</v>
      </c>
      <c r="S103" s="39">
        <v>1</v>
      </c>
      <c r="T103" s="39">
        <v>1</v>
      </c>
      <c r="U103" s="6">
        <v>0</v>
      </c>
      <c r="V103" s="5" t="str">
        <f ca="1">VLOOKUP($W103,OFFSET([5]enemy_skill_sets!$B$1,0,0,COUNTA([5]enemy_skill_sets!$B:$B),MATCH(M$1,[5]enemy_skill_sets!$1:$1,0)-MATCH($W$1,[5]enemy_skill_sets!$1:$1,0)+2),MATCH(M$1,[5]enemy_skill_sets!$1:$1,0)-MATCH($W$1,[5]enemy_skill_sets!$1:$1,0)+2,FALSE)</f>
        <v>効いてしまうと２ターン行動できない</v>
      </c>
      <c r="W103" s="5">
        <f ca="1">VLOOKUP($L103,OFFSET([3]enemies!$A$1,0,0,COUNTA([3]enemies!$A:$A),MATCH(W$1,[3]enemies!$1:$1,0)-MATCH($L$1,[3]enemies!$1:$1,0)+1),MATCH(W$1,[3]enemies!$1:$1,0)-MATCH($L$1,[3]enemies!$1:$1,0)+1,FALSE)</f>
        <v>53</v>
      </c>
      <c r="X103" s="7">
        <v>0</v>
      </c>
      <c r="Y103" s="7">
        <v>100</v>
      </c>
      <c r="Z103" s="7">
        <v>1</v>
      </c>
      <c r="AA103" s="20">
        <f ca="1">VLOOKUP($L103,OFFSET([3]enemies!$A$1,0,0,COUNTA([3]enemies!$A:$A),MATCH(AA$1,[3]enemies!$1:$1,0)-MATCH($L$1,[3]enemies!$1:$1,0)+1),MATCH(AA$1,[3]enemies!$1:$1,0)-MATCH($L$1,[3]enemies!$1:$1,0)+1,FALSE)</f>
        <v>2</v>
      </c>
      <c r="AB103" s="24">
        <v>53</v>
      </c>
      <c r="AC103" s="5" t="str">
        <f ca="1">IFERROR(VLOOKUP($AB103,OFFSET([4]characters!$A$1,0,0,COUNTA([4]characters!$A:$A),MATCH(AC$1,[4]characters!$1:$1,0)-MATCH("character_id",[4]characters!$1:$1,0)+1),MATCH(AC$1,[4]characters!$1:$1,0)-MATCH("character_id",[4]characters!$1:$1,0)+1,FALSE),"")</f>
        <v>ケンジ</v>
      </c>
      <c r="AD103" s="5">
        <f ca="1">IFERROR(VLOOKUP($AB103,OFFSET([4]characters!$A$1,0,0,COUNTA([4]characters!$A:$A),MATCH(AD$1,[4]characters!$1:$1,0)-MATCH("character_id",[4]characters!$1:$1,0)+1),MATCH(AD$1,[4]characters!$1:$1,0)-MATCH("character_id",[4]characters!$1:$1,0)+1,FALSE),"")</f>
        <v>2</v>
      </c>
      <c r="AE103" s="5" t="str">
        <f ca="1">IFERROR(VLOOKUP($AB103,OFFSET([4]characters!$A$1,0,0,COUNTA([4]characters!$A:$A),MATCH(AE$1,[4]characters!$1:$1,0)-MATCH("character_id",[4]characters!$1:$1,0)+1),MATCH(AE$1,[4]characters!$1:$1,0)-MATCH("character_id",[4]characters!$1:$1,0)+1,FALSE),"")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3" s="8">
        <v>1</v>
      </c>
      <c r="AG103" s="27">
        <f t="shared" ca="1" si="61"/>
        <v>2</v>
      </c>
      <c r="AH103" s="9">
        <v>0</v>
      </c>
      <c r="AI103" s="8">
        <v>0</v>
      </c>
      <c r="AJ103" s="8">
        <v>0</v>
      </c>
      <c r="AK103" s="8">
        <v>0</v>
      </c>
      <c r="AL103" s="8">
        <v>0</v>
      </c>
      <c r="AM103" s="8">
        <v>1</v>
      </c>
      <c r="AN103" s="8">
        <v>1</v>
      </c>
    </row>
    <row r="104" spans="1:40" ht="21" customHeight="1" x14ac:dyDescent="0.15">
      <c r="A104" s="17" t="str">
        <f t="shared" ca="1" si="59"/>
        <v>11003_2-5/46&lt;lv18&gt;s3</v>
      </c>
      <c r="B104" s="8">
        <v>11003</v>
      </c>
      <c r="C104" s="25">
        <v>2</v>
      </c>
      <c r="D104" s="2" t="str">
        <f t="shared" si="60"/>
        <v>11003_2</v>
      </c>
      <c r="E104" s="5" t="str">
        <f ca="1">VLOOKUP($B104,OFFSET([2]quests!$A$1,0,0,COUNTA([2]quests!$A:$A),MATCH(E$1,[2]quests!$1:$1,0)-MATCH($B$1,[2]quests!$1:$1,0)+1),MATCH(E$1,[2]quests!$1:$1,0)-MATCH($B$1,[2]quests!$1:$1,0)+1,FALSE)</f>
        <v>【水曜限定】 青の素材</v>
      </c>
      <c r="F104" s="5" t="str">
        <f ca="1">VLOOKUP($D104,OFFSET([2]stages!$A$1,0,0,COUNTA([2]stages!$A:$A),MATCH(F$1,[2]stages!$2:$2,0)-MATCH($D$1,[2]stages!$2:$2,0)+1),MATCH(F$1,[2]stages!$2:$2,0)-MATCH($D$1,[2]stages!$2:$2,0)+1,FALSE)</f>
        <v xml:space="preserve">【中級】水のウサギ </v>
      </c>
      <c r="G104" s="25">
        <v>5</v>
      </c>
      <c r="H104" s="16" t="str">
        <f t="shared" si="49"/>
        <v>11003_2-5</v>
      </c>
      <c r="I104" s="5">
        <f ca="1">VLOOKUP($H104,OFFSET(floors!$A$1,0,0,COUNTA(floors!$A:$A),MATCH(I$1,floors!$1:$1,0)-MATCH($H$1,floors!$1:$1,0)+1),MATCH(I$1,floors!$1:$1,0)-MATCH($H$1,floors!$1:$1,0)+1,FALSE)</f>
        <v>50</v>
      </c>
      <c r="J104" s="5">
        <f ca="1">VLOOKUP($H104,OFFSET(floors!$A$1,0,0,COUNTA(floors!$A:$A),MATCH(J$1,floors!$1:$1,0)-MATCH($H$1,floors!$1:$1,0)+1),MATCH(J$1,floors!$1:$1,0)-MATCH($H$1,floors!$1:$1,0)+1,FALSE)</f>
        <v>50</v>
      </c>
      <c r="K104" s="24" t="s">
        <v>197</v>
      </c>
      <c r="L104" s="24">
        <v>46</v>
      </c>
      <c r="M104" s="20" t="str">
        <f ca="1">VLOOKUP($L104,OFFSET([3]enemies!$A$1,0,0,COUNTA([3]enemies!$A:$A),MATCH(M$1,[3]enemies!$1:$1,0)-MATCH($L$1,[3]enemies!$1:$1,0)+1),MATCH(M$1,[3]enemies!$1:$1,0)-MATCH($L$1,[3]enemies!$1:$1,0)+1,FALSE)</f>
        <v>微笑みの筆跡 ショウイン</v>
      </c>
      <c r="N104" s="20" t="str">
        <f ca="1">VLOOKUP($L104,OFFSET([3]enemies!$A$1,0,0,COUNTA([3]enemies!$A:$A),MATCH(N$1,[3]enemies!$1:$1,0)-MATCH($L$1,[3]enemies!$1:$1,0)+1),MATCH(N$1,[3]enemies!$1:$1,0)-MATCH($L$1,[3]enemies!$1:$1,0)+1,FALSE)</f>
        <v>blue</v>
      </c>
      <c r="O104" s="22" t="str">
        <f ca="1">VLOOKUP($L104,OFFSET([4]characters!$A$1,0,0,COUNTA([4]characters!$A:$A),MATCH(O$1,[4]characters!$1:$1,0)-MATCH($L$1,[4]characters!$1:$1,0)+1),MATCH(O$1,[4]characters!$1:$1,0)-MATCH($L$1,[4]characters!$1:$1,0)+1,FALSE)</f>
        <v>Drop1N</v>
      </c>
      <c r="P104" s="20" t="str">
        <f ca="1">VLOOKUP($L104,OFFSET([3]enemies!$A$1,0,0,COUNTA([3]enemies!$A:$A),MATCH(P$1,[3]enemies!$1:$1,0)-MATCH($L$1,[3]enemies!$1:$1,0)+1),MATCH(P$1,[3]enemies!$1:$1,0)-MATCH($L$1,[3]enemies!$1:$1,0)+1,FALSE)</f>
        <v>animal</v>
      </c>
      <c r="Q104" s="20">
        <f ca="1">VLOOKUP($L104,OFFSET([3]enemies!$A$1,0,0,COUNTA([3]enemies!$A:$A),MATCH(Q$1,[3]enemies!$1:$1,0)-MATCH($L$1,[3]enemies!$1:$1,0)+1),MATCH(Q$1,[3]enemies!$1:$1,0)-MATCH($L$1,[3]enemies!$1:$1,0)+1,FALSE)</f>
        <v>20</v>
      </c>
      <c r="R104" s="6">
        <v>18</v>
      </c>
      <c r="S104" s="39">
        <v>1</v>
      </c>
      <c r="T104" s="39">
        <v>1</v>
      </c>
      <c r="U104" s="6">
        <v>0</v>
      </c>
      <c r="V104" s="5" t="str">
        <f ca="1">VLOOKUP($W104,OFFSET([5]enemy_skill_sets!$B$1,0,0,COUNTA([5]enemy_skill_sets!$B:$B),MATCH(M$1,[5]enemy_skill_sets!$1:$1,0)-MATCH($W$1,[5]enemy_skill_sets!$1:$1,0)+2),MATCH(M$1,[5]enemy_skill_sets!$1:$1,0)-MATCH($W$1,[5]enemy_skill_sets!$1:$1,0)+2,FALSE)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4" s="5">
        <f ca="1">VLOOKUP($L104,OFFSET([3]enemies!$A$1,0,0,COUNTA([3]enemies!$A:$A),MATCH(W$1,[3]enemies!$1:$1,0)-MATCH($L$1,[3]enemies!$1:$1,0)+1),MATCH(W$1,[3]enemies!$1:$1,0)-MATCH($L$1,[3]enemies!$1:$1,0)+1,FALSE)</f>
        <v>0</v>
      </c>
      <c r="X104" s="7">
        <v>0</v>
      </c>
      <c r="Y104" s="7">
        <v>100</v>
      </c>
      <c r="Z104" s="7">
        <v>1</v>
      </c>
      <c r="AA104" s="20">
        <f ca="1">VLOOKUP($L104,OFFSET([3]enemies!$A$1,0,0,COUNTA([3]enemies!$A:$A),MATCH(AA$1,[3]enemies!$1:$1,0)-MATCH($L$1,[3]enemies!$1:$1,0)+1),MATCH(AA$1,[3]enemies!$1:$1,0)-MATCH($L$1,[3]enemies!$1:$1,0)+1,FALSE)</f>
        <v>3</v>
      </c>
      <c r="AB104" s="24">
        <v>45</v>
      </c>
      <c r="AC104" s="5" t="str">
        <f ca="1">IFERROR(VLOOKUP($AB104,OFFSET([4]characters!$A$1,0,0,COUNTA([4]characters!$A:$A),MATCH(AC$1,[4]characters!$1:$1,0)-MATCH("character_id",[4]characters!$1:$1,0)+1),MATCH(AC$1,[4]characters!$1:$1,0)-MATCH("character_id",[4]characters!$1:$1,0)+1,FALSE),"")</f>
        <v>ショウイン</v>
      </c>
      <c r="AD104" s="5">
        <f ca="1">IFERROR(VLOOKUP($AB104,OFFSET([4]characters!$A$1,0,0,COUNTA([4]characters!$A:$A),MATCH(AD$1,[4]characters!$1:$1,0)-MATCH("character_id",[4]characters!$1:$1,0)+1),MATCH(AD$1,[4]characters!$1:$1,0)-MATCH("character_id",[4]characters!$1:$1,0)+1,FALSE),"")</f>
        <v>2</v>
      </c>
      <c r="AE104" s="5" t="str">
        <f ca="1">IFERROR(VLOOKUP($AB104,OFFSET([4]characters!$A$1,0,0,COUNTA([4]characters!$A:$A),MATCH(AE$1,[4]characters!$1:$1,0)-MATCH("character_id",[4]characters!$1:$1,0)+1),MATCH(AE$1,[4]characters!$1:$1,0)-MATCH("character_id",[4]characters!$1:$1,0)+1,FALSE),"")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4" s="8">
        <v>1</v>
      </c>
      <c r="AG104" s="27">
        <f t="shared" ca="1" si="61"/>
        <v>2</v>
      </c>
      <c r="AH104" s="9">
        <v>0</v>
      </c>
      <c r="AI104" s="8">
        <v>0</v>
      </c>
      <c r="AJ104" s="8">
        <v>0</v>
      </c>
      <c r="AK104" s="8">
        <v>0</v>
      </c>
      <c r="AL104" s="8">
        <v>0</v>
      </c>
      <c r="AM104" s="8">
        <v>1</v>
      </c>
      <c r="AN104" s="8">
        <v>1</v>
      </c>
    </row>
    <row r="105" spans="1:40" ht="21" customHeight="1" x14ac:dyDescent="0.15">
      <c r="A105" s="17" t="str">
        <f t="shared" ca="1" si="59"/>
        <v>11003_2-5/62&lt;lv18&gt;s2</v>
      </c>
      <c r="B105" s="8">
        <v>11003</v>
      </c>
      <c r="C105" s="25">
        <v>2</v>
      </c>
      <c r="D105" s="2" t="str">
        <f t="shared" si="60"/>
        <v>11003_2</v>
      </c>
      <c r="E105" s="5" t="str">
        <f ca="1">VLOOKUP($B105,OFFSET([2]quests!$A$1,0,0,COUNTA([2]quests!$A:$A),MATCH(E$1,[2]quests!$1:$1,0)-MATCH($B$1,[2]quests!$1:$1,0)+1),MATCH(E$1,[2]quests!$1:$1,0)-MATCH($B$1,[2]quests!$1:$1,0)+1,FALSE)</f>
        <v>【水曜限定】 青の素材</v>
      </c>
      <c r="F105" s="5" t="str">
        <f ca="1">VLOOKUP($D105,OFFSET([2]stages!$A$1,0,0,COUNTA([2]stages!$A:$A),MATCH(F$1,[2]stages!$2:$2,0)-MATCH($D$1,[2]stages!$2:$2,0)+1),MATCH(F$1,[2]stages!$2:$2,0)-MATCH($D$1,[2]stages!$2:$2,0)+1,FALSE)</f>
        <v xml:space="preserve">【中級】水のウサギ </v>
      </c>
      <c r="G105" s="25">
        <v>5</v>
      </c>
      <c r="H105" s="16" t="str">
        <f t="shared" si="49"/>
        <v>11003_2-5</v>
      </c>
      <c r="I105" s="5">
        <f ca="1">VLOOKUP($H105,OFFSET(floors!$A$1,0,0,COUNTA(floors!$A:$A),MATCH(I$1,floors!$1:$1,0)-MATCH($H$1,floors!$1:$1,0)+1),MATCH(I$1,floors!$1:$1,0)-MATCH($H$1,floors!$1:$1,0)+1,FALSE)</f>
        <v>50</v>
      </c>
      <c r="J105" s="5">
        <f ca="1">VLOOKUP($H105,OFFSET(floors!$A$1,0,0,COUNTA(floors!$A:$A),MATCH(J$1,floors!$1:$1,0)-MATCH($H$1,floors!$1:$1,0)+1),MATCH(J$1,floors!$1:$1,0)-MATCH($H$1,floors!$1:$1,0)+1,FALSE)</f>
        <v>50</v>
      </c>
      <c r="K105" s="24" t="s">
        <v>197</v>
      </c>
      <c r="L105" s="24">
        <v>62</v>
      </c>
      <c r="M105" s="20" t="str">
        <f ca="1">VLOOKUP($L105,OFFSET([3]enemies!$A$1,0,0,COUNTA([3]enemies!$A:$A),MATCH(M$1,[3]enemies!$1:$1,0)-MATCH($L$1,[3]enemies!$1:$1,0)+1),MATCH(M$1,[3]enemies!$1:$1,0)-MATCH($L$1,[3]enemies!$1:$1,0)+1,FALSE)</f>
        <v>脈動旋律のクロウ</v>
      </c>
      <c r="N105" s="20" t="str">
        <f ca="1">VLOOKUP($L105,OFFSET([3]enemies!$A$1,0,0,COUNTA([3]enemies!$A:$A),MATCH(N$1,[3]enemies!$1:$1,0)-MATCH($L$1,[3]enemies!$1:$1,0)+1),MATCH(N$1,[3]enemies!$1:$1,0)-MATCH($L$1,[3]enemies!$1:$1,0)+1,FALSE)</f>
        <v>blue</v>
      </c>
      <c r="O105" s="22" t="str">
        <f ca="1">VLOOKUP($L105,OFFSET([4]characters!$A$1,0,0,COUNTA([4]characters!$A:$A),MATCH(O$1,[4]characters!$1:$1,0)-MATCH($L$1,[4]characters!$1:$1,0)+1),MATCH(O$1,[4]characters!$1:$1,0)-MATCH($L$1,[4]characters!$1:$1,0)+1,FALSE)</f>
        <v>Drop1N</v>
      </c>
      <c r="P105" s="20" t="str">
        <f ca="1">VLOOKUP($L105,OFFSET([3]enemies!$A$1,0,0,COUNTA([3]enemies!$A:$A),MATCH(P$1,[3]enemies!$1:$1,0)-MATCH($L$1,[3]enemies!$1:$1,0)+1),MATCH(P$1,[3]enemies!$1:$1,0)-MATCH($L$1,[3]enemies!$1:$1,0)+1,FALSE)</f>
        <v>animal</v>
      </c>
      <c r="Q105" s="20">
        <f ca="1">VLOOKUP($L105,OFFSET([3]enemies!$A$1,0,0,COUNTA([3]enemies!$A:$A),MATCH(Q$1,[3]enemies!$1:$1,0)-MATCH($L$1,[3]enemies!$1:$1,0)+1),MATCH(Q$1,[3]enemies!$1:$1,0)-MATCH($L$1,[3]enemies!$1:$1,0)+1,FALSE)</f>
        <v>20</v>
      </c>
      <c r="R105" s="6">
        <v>18</v>
      </c>
      <c r="S105" s="39">
        <v>1</v>
      </c>
      <c r="T105" s="39">
        <v>1</v>
      </c>
      <c r="U105" s="6">
        <v>0</v>
      </c>
      <c r="V105" s="5" t="str">
        <f ca="1">VLOOKUP($W105,OFFSET([5]enemy_skill_sets!$B$1,0,0,COUNTA([5]enemy_skill_sets!$B:$B),MATCH(M$1,[5]enemy_skill_sets!$1:$1,0)-MATCH($W$1,[5]enemy_skill_sets!$1:$1,0)+2),MATCH(M$1,[5]enemy_skill_sets!$1:$1,0)-MATCH($W$1,[5]enemy_skill_sets!$1:$1,0)+2,FALSE)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5" s="5">
        <f ca="1">VLOOKUP($L105,OFFSET([3]enemies!$A$1,0,0,COUNTA([3]enemies!$A:$A),MATCH(W$1,[3]enemies!$1:$1,0)-MATCH($L$1,[3]enemies!$1:$1,0)+1),MATCH(W$1,[3]enemies!$1:$1,0)-MATCH($L$1,[3]enemies!$1:$1,0)+1,FALSE)</f>
        <v>0</v>
      </c>
      <c r="X105" s="7">
        <v>0</v>
      </c>
      <c r="Y105" s="7">
        <v>100</v>
      </c>
      <c r="Z105" s="7">
        <v>1</v>
      </c>
      <c r="AA105" s="20">
        <f ca="1">VLOOKUP($L105,OFFSET([3]enemies!$A$1,0,0,COUNTA([3]enemies!$A:$A),MATCH(AA$1,[3]enemies!$1:$1,0)-MATCH($L$1,[3]enemies!$1:$1,0)+1),MATCH(AA$1,[3]enemies!$1:$1,0)-MATCH($L$1,[3]enemies!$1:$1,0)+1,FALSE)</f>
        <v>2</v>
      </c>
      <c r="AB105" s="24">
        <v>61</v>
      </c>
      <c r="AC105" s="5" t="str">
        <f ca="1">IFERROR(VLOOKUP($AB105,OFFSET([4]characters!$A$1,0,0,COUNTA([4]characters!$A:$A),MATCH(AC$1,[4]characters!$1:$1,0)-MATCH("character_id",[4]characters!$1:$1,0)+1),MATCH(AC$1,[4]characters!$1:$1,0)-MATCH("character_id",[4]characters!$1:$1,0)+1,FALSE),"")</f>
        <v>クロウ</v>
      </c>
      <c r="AD105" s="5">
        <f ca="1">IFERROR(VLOOKUP($AB105,OFFSET([4]characters!$A$1,0,0,COUNTA([4]characters!$A:$A),MATCH(AD$1,[4]characters!$1:$1,0)-MATCH("character_id",[4]characters!$1:$1,0)+1),MATCH(AD$1,[4]characters!$1:$1,0)-MATCH("character_id",[4]characters!$1:$1,0)+1,FALSE),"")</f>
        <v>2</v>
      </c>
      <c r="AE105" s="5" t="str">
        <f ca="1">IFERROR(VLOOKUP($AB105,OFFSET([4]characters!$A$1,0,0,COUNTA([4]characters!$A:$A),MATCH(AE$1,[4]characters!$1:$1,0)-MATCH("character_id",[4]characters!$1:$1,0)+1),MATCH(AE$1,[4]characters!$1:$1,0)-MATCH("character_id",[4]characters!$1:$1,0)+1,FALSE),"")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5" s="8">
        <v>1</v>
      </c>
      <c r="AG105" s="27">
        <f t="shared" ca="1" si="61"/>
        <v>2</v>
      </c>
      <c r="AH105" s="9">
        <v>0</v>
      </c>
      <c r="AI105" s="8">
        <v>0</v>
      </c>
      <c r="AJ105" s="8">
        <v>0</v>
      </c>
      <c r="AK105" s="8">
        <v>0</v>
      </c>
      <c r="AL105" s="8">
        <v>0</v>
      </c>
      <c r="AM105" s="8">
        <v>1</v>
      </c>
      <c r="AN105" s="8">
        <v>1</v>
      </c>
    </row>
    <row r="106" spans="1:40" ht="21" customHeight="1" x14ac:dyDescent="0.15">
      <c r="A106" s="17" t="str">
        <f t="shared" ca="1" si="59"/>
        <v>11003_3-1/111&lt;lv30&gt;s1</v>
      </c>
      <c r="B106" s="8">
        <v>11003</v>
      </c>
      <c r="C106" s="25">
        <v>3</v>
      </c>
      <c r="D106" s="2" t="str">
        <f t="shared" si="60"/>
        <v>11003_3</v>
      </c>
      <c r="E106" s="5" t="str">
        <f ca="1">VLOOKUP($B106,OFFSET([2]quests!$A$1,0,0,COUNTA([2]quests!$A:$A),MATCH(E$1,[2]quests!$1:$1,0)-MATCH($B$1,[2]quests!$1:$1,0)+1),MATCH(E$1,[2]quests!$1:$1,0)-MATCH($B$1,[2]quests!$1:$1,0)+1,FALSE)</f>
        <v>【水曜限定】 青の素材</v>
      </c>
      <c r="F106" s="5" t="str">
        <f ca="1">VLOOKUP($D106,OFFSET([2]stages!$A$1,0,0,COUNTA([2]stages!$A:$A),MATCH(F$1,[2]stages!$2:$2,0)-MATCH($D$1,[2]stages!$2:$2,0)+1),MATCH(F$1,[2]stages!$2:$2,0)-MATCH($D$1,[2]stages!$2:$2,0)+1,FALSE)</f>
        <v>【上級】水のイモムシ</v>
      </c>
      <c r="G106" s="25">
        <v>1</v>
      </c>
      <c r="H106" s="16" t="str">
        <f t="shared" si="49"/>
        <v>11003_3-1</v>
      </c>
      <c r="I106" s="5">
        <f ca="1">VLOOKUP($H106,OFFSET(floors!$A$1,0,0,COUNTA(floors!$A:$A),MATCH(I$1,floors!$1:$1,0)-MATCH($H$1,floors!$1:$1,0)+1),MATCH(I$1,floors!$1:$1,0)-MATCH($H$1,floors!$1:$1,0)+1,FALSE)</f>
        <v>30</v>
      </c>
      <c r="J106" s="5">
        <f ca="1">VLOOKUP($H106,OFFSET(floors!$A$1,0,0,COUNTA(floors!$A:$A),MATCH(J$1,floors!$1:$1,0)-MATCH($H$1,floors!$1:$1,0)+1),MATCH(J$1,floors!$1:$1,0)-MATCH($H$1,floors!$1:$1,0)+1,FALSE)</f>
        <v>45</v>
      </c>
      <c r="K106" s="24" t="s">
        <v>197</v>
      </c>
      <c r="L106" s="24">
        <v>111</v>
      </c>
      <c r="M106" s="20" t="str">
        <f ca="1">VLOOKUP($L106,OFFSET([3]enemies!$A$1,0,0,COUNTA([3]enemies!$A:$A),MATCH(M$1,[3]enemies!$1:$1,0)-MATCH($L$1,[3]enemies!$1:$1,0)+1),MATCH(M$1,[3]enemies!$1:$1,0)-MATCH($L$1,[3]enemies!$1:$1,0)+1,FALSE)</f>
        <v>ブルーキャタップ</v>
      </c>
      <c r="N106" s="20" t="str">
        <f ca="1">VLOOKUP($L106,OFFSET([3]enemies!$A$1,0,0,COUNTA([3]enemies!$A:$A),MATCH(N$1,[3]enemies!$1:$1,0)-MATCH($L$1,[3]enemies!$1:$1,0)+1),MATCH(N$1,[3]enemies!$1:$1,0)-MATCH($L$1,[3]enemies!$1:$1,0)+1,FALSE)</f>
        <v>blue</v>
      </c>
      <c r="O106" s="22" t="str">
        <f ca="1">VLOOKUP($L106,OFFSET([4]characters!$A$1,0,0,COUNTA([4]characters!$A:$A),MATCH(O$1,[4]characters!$1:$1,0)-MATCH($L$1,[4]characters!$1:$1,0)+1),MATCH(O$1,[4]characters!$1:$1,0)-MATCH($L$1,[4]characters!$1:$1,0)+1,FALSE)</f>
        <v>Material</v>
      </c>
      <c r="P106" s="20" t="str">
        <f ca="1">VLOOKUP($L106,OFFSET([3]enemies!$A$1,0,0,COUNTA([3]enemies!$A:$A),MATCH(P$1,[3]enemies!$1:$1,0)-MATCH($L$1,[3]enemies!$1:$1,0)+1),MATCH(P$1,[3]enemies!$1:$1,0)-MATCH($L$1,[3]enemies!$1:$1,0)+1,FALSE)</f>
        <v>unknown</v>
      </c>
      <c r="Q106" s="20">
        <f ca="1">VLOOKUP($L106,OFFSET([3]enemies!$A$1,0,0,COUNTA([3]enemies!$A:$A),MATCH(Q$1,[3]enemies!$1:$1,0)-MATCH($L$1,[3]enemies!$1:$1,0)+1),MATCH(Q$1,[3]enemies!$1:$1,0)-MATCH($L$1,[3]enemies!$1:$1,0)+1,FALSE)</f>
        <v>15</v>
      </c>
      <c r="R106" s="6">
        <v>30</v>
      </c>
      <c r="S106" s="39">
        <v>2</v>
      </c>
      <c r="T106" s="39">
        <v>1</v>
      </c>
      <c r="U106" s="6">
        <v>0</v>
      </c>
      <c r="V106" s="5" t="str">
        <f ca="1">VLOOKUP($W106,OFFSET([5]enemy_skill_sets!$B$1,0,0,COUNTA([5]enemy_skill_sets!$B:$B),MATCH(M$1,[5]enemy_skill_sets!$1:$1,0)-MATCH($W$1,[5]enemy_skill_sets!$1:$1,0)+2),MATCH(M$1,[5]enemy_skill_sets!$1:$1,0)-MATCH($W$1,[5]enemy_skill_sets!$1:$1,0)+2,FALSE)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6" s="5">
        <f ca="1">VLOOKUP($L106,OFFSET([3]enemies!$A$1,0,0,COUNTA([3]enemies!$A:$A),MATCH(W$1,[3]enemies!$1:$1,0)-MATCH($L$1,[3]enemies!$1:$1,0)+1),MATCH(W$1,[3]enemies!$1:$1,0)-MATCH($L$1,[3]enemies!$1:$1,0)+1,FALSE)</f>
        <v>0</v>
      </c>
      <c r="X106" s="7">
        <v>1</v>
      </c>
      <c r="Y106" s="7">
        <v>100</v>
      </c>
      <c r="Z106" s="7">
        <v>1</v>
      </c>
      <c r="AA106" s="20">
        <f ca="1">VLOOKUP($L106,OFFSET([3]enemies!$A$1,0,0,COUNTA([3]enemies!$A:$A),MATCH(AA$1,[3]enemies!$1:$1,0)-MATCH($L$1,[3]enemies!$1:$1,0)+1),MATCH(AA$1,[3]enemies!$1:$1,0)-MATCH($L$1,[3]enemies!$1:$1,0)+1,FALSE)</f>
        <v>1</v>
      </c>
      <c r="AB106" s="24">
        <v>111</v>
      </c>
      <c r="AC106" s="5" t="str">
        <f ca="1">IFERROR(VLOOKUP($AB106,OFFSET([4]characters!$A$1,0,0,COUNTA([4]characters!$A:$A),MATCH(AC$1,[4]characters!$1:$1,0)-MATCH("character_id",[4]characters!$1:$1,0)+1),MATCH(AC$1,[4]characters!$1:$1,0)-MATCH("character_id",[4]characters!$1:$1,0)+1,FALSE),"")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06" s="5">
        <f ca="1">IFERROR(VLOOKUP($AB106,OFFSET([4]characters!$A$1,0,0,COUNTA([4]characters!$A:$A),MATCH(AD$1,[4]characters!$1:$1,0)-MATCH("character_id",[4]characters!$1:$1,0)+1),MATCH(AD$1,[4]characters!$1:$1,0)-MATCH("character_id",[4]characters!$1:$1,0)+1,FALSE),"")</f>
        <v>4</v>
      </c>
      <c r="AE106" s="5" t="str">
        <f ca="1">IFERROR(VLOOKUP($AB106,OFFSET([4]characters!$A$1,0,0,COUNTA([4]characters!$A:$A),MATCH(AE$1,[4]characters!$1:$1,0)-MATCH("character_id",[4]characters!$1:$1,0)+1),MATCH(AE$1,[4]characters!$1:$1,0)-MATCH("character_id",[4]characters!$1:$1,0)+1,FALSE),"")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6" s="8">
        <v>1</v>
      </c>
      <c r="AG106" s="27">
        <f t="shared" ca="1" si="61"/>
        <v>4</v>
      </c>
      <c r="AH106" s="9">
        <v>10</v>
      </c>
      <c r="AI106" s="8">
        <v>0</v>
      </c>
      <c r="AJ106" s="8">
        <v>0</v>
      </c>
      <c r="AK106" s="8">
        <v>0</v>
      </c>
      <c r="AL106" s="8">
        <v>0</v>
      </c>
      <c r="AM106" s="8">
        <v>1</v>
      </c>
      <c r="AN106" s="8">
        <v>1</v>
      </c>
    </row>
    <row r="107" spans="1:40" ht="21" customHeight="1" x14ac:dyDescent="0.15">
      <c r="A107" s="17" t="str">
        <f t="shared" ca="1" si="59"/>
        <v>11003_3-1/37&lt;lv35&gt;s3</v>
      </c>
      <c r="B107" s="8">
        <v>11003</v>
      </c>
      <c r="C107" s="25">
        <v>3</v>
      </c>
      <c r="D107" s="2" t="str">
        <f t="shared" si="60"/>
        <v>11003_3</v>
      </c>
      <c r="E107" s="5" t="str">
        <f ca="1">VLOOKUP($B107,OFFSET([2]quests!$A$1,0,0,COUNTA([2]quests!$A:$A),MATCH(E$1,[2]quests!$1:$1,0)-MATCH($B$1,[2]quests!$1:$1,0)+1),MATCH(E$1,[2]quests!$1:$1,0)-MATCH($B$1,[2]quests!$1:$1,0)+1,FALSE)</f>
        <v>【水曜限定】 青の素材</v>
      </c>
      <c r="F107" s="5" t="str">
        <f ca="1">VLOOKUP($D107,OFFSET([2]stages!$A$1,0,0,COUNTA([2]stages!$A:$A),MATCH(F$1,[2]stages!$2:$2,0)-MATCH($D$1,[2]stages!$2:$2,0)+1),MATCH(F$1,[2]stages!$2:$2,0)-MATCH($D$1,[2]stages!$2:$2,0)+1,FALSE)</f>
        <v>【上級】水のイモムシ</v>
      </c>
      <c r="G107" s="25">
        <v>1</v>
      </c>
      <c r="H107" s="16" t="str">
        <f t="shared" si="49"/>
        <v>11003_3-1</v>
      </c>
      <c r="I107" s="5">
        <f ca="1">VLOOKUP($H107,OFFSET(floors!$A$1,0,0,COUNTA(floors!$A:$A),MATCH(I$1,floors!$1:$1,0)-MATCH($H$1,floors!$1:$1,0)+1),MATCH(I$1,floors!$1:$1,0)-MATCH($H$1,floors!$1:$1,0)+1,FALSE)</f>
        <v>30</v>
      </c>
      <c r="J107" s="5">
        <f ca="1">VLOOKUP($H107,OFFSET(floors!$A$1,0,0,COUNTA(floors!$A:$A),MATCH(J$1,floors!$1:$1,0)-MATCH($H$1,floors!$1:$1,0)+1),MATCH(J$1,floors!$1:$1,0)-MATCH($H$1,floors!$1:$1,0)+1,FALSE)</f>
        <v>45</v>
      </c>
      <c r="K107" s="24" t="s">
        <v>197</v>
      </c>
      <c r="L107" s="24">
        <v>37</v>
      </c>
      <c r="M107" s="20" t="str">
        <f ca="1">VLOOKUP($L107,OFFSET([3]enemies!$A$1,0,0,COUNTA([3]enemies!$A:$A),MATCH(M$1,[3]enemies!$1:$1,0)-MATCH($L$1,[3]enemies!$1:$1,0)+1),MATCH(M$1,[3]enemies!$1:$1,0)-MATCH($L$1,[3]enemies!$1:$1,0)+1,FALSE)</f>
        <v>ガイル</v>
      </c>
      <c r="N107" s="20" t="str">
        <f ca="1">VLOOKUP($L107,OFFSET([3]enemies!$A$1,0,0,COUNTA([3]enemies!$A:$A),MATCH(N$1,[3]enemies!$1:$1,0)-MATCH($L$1,[3]enemies!$1:$1,0)+1),MATCH(N$1,[3]enemies!$1:$1,0)-MATCH($L$1,[3]enemies!$1:$1,0)+1,FALSE)</f>
        <v>blue</v>
      </c>
      <c r="O107" s="22" t="str">
        <f ca="1">VLOOKUP($L107,OFFSET([4]characters!$A$1,0,0,COUNTA([4]characters!$A:$A),MATCH(O$1,[4]characters!$1:$1,0)-MATCH($L$1,[4]characters!$1:$1,0)+1),MATCH(O$1,[4]characters!$1:$1,0)-MATCH($L$1,[4]characters!$1:$1,0)+1,FALSE)</f>
        <v>Drop1S</v>
      </c>
      <c r="P107" s="20" t="str">
        <f ca="1">VLOOKUP($L107,OFFSET([3]enemies!$A$1,0,0,COUNTA([3]enemies!$A:$A),MATCH(P$1,[3]enemies!$1:$1,0)-MATCH($L$1,[3]enemies!$1:$1,0)+1),MATCH(P$1,[3]enemies!$1:$1,0)-MATCH($L$1,[3]enemies!$1:$1,0)+1,FALSE)</f>
        <v>animal</v>
      </c>
      <c r="Q107" s="20">
        <f ca="1">VLOOKUP($L107,OFFSET([3]enemies!$A$1,0,0,COUNTA([3]enemies!$A:$A),MATCH(Q$1,[3]enemies!$1:$1,0)-MATCH($L$1,[3]enemies!$1:$1,0)+1),MATCH(Q$1,[3]enemies!$1:$1,0)-MATCH($L$1,[3]enemies!$1:$1,0)+1,FALSE)</f>
        <v>15</v>
      </c>
      <c r="R107" s="6">
        <v>35</v>
      </c>
      <c r="S107" s="39">
        <v>1</v>
      </c>
      <c r="T107" s="39">
        <v>1</v>
      </c>
      <c r="U107" s="6">
        <v>0</v>
      </c>
      <c r="V107" s="5" t="str">
        <f ca="1">VLOOKUP($W107,OFFSET([5]enemy_skill_sets!$B$1,0,0,COUNTA([5]enemy_skill_sets!$B:$B),MATCH(M$1,[5]enemy_skill_sets!$1:$1,0)-MATCH($W$1,[5]enemy_skill_sets!$1:$1,0)+2),MATCH(M$1,[5]enemy_skill_sets!$1:$1,0)-MATCH($W$1,[5]enemy_skill_sets!$1:$1,0)+2,FALSE)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07" s="5">
        <f ca="1">VLOOKUP($L107,OFFSET([3]enemies!$A$1,0,0,COUNTA([3]enemies!$A:$A),MATCH(W$1,[3]enemies!$1:$1,0)-MATCH($L$1,[3]enemies!$1:$1,0)+1),MATCH(W$1,[3]enemies!$1:$1,0)-MATCH($L$1,[3]enemies!$1:$1,0)+1,FALSE)</f>
        <v>37</v>
      </c>
      <c r="X107" s="7">
        <v>0</v>
      </c>
      <c r="Y107" s="7">
        <v>100</v>
      </c>
      <c r="Z107" s="7">
        <v>0</v>
      </c>
      <c r="AA107" s="20">
        <f ca="1">VLOOKUP($L107,OFFSET([3]enemies!$A$1,0,0,COUNTA([3]enemies!$A:$A),MATCH(AA$1,[3]enemies!$1:$1,0)-MATCH($L$1,[3]enemies!$1:$1,0)+1),MATCH(AA$1,[3]enemies!$1:$1,0)-MATCH($L$1,[3]enemies!$1:$1,0)+1,FALSE)</f>
        <v>3</v>
      </c>
      <c r="AB107" s="24">
        <v>37</v>
      </c>
      <c r="AC107" s="5" t="str">
        <f ca="1">IFERROR(VLOOKUP($AB107,OFFSET([4]characters!$A$1,0,0,COUNTA([4]characters!$A:$A),MATCH(AC$1,[4]characters!$1:$1,0)-MATCH("character_id",[4]characters!$1:$1,0)+1),MATCH(AC$1,[4]characters!$1:$1,0)-MATCH("character_id",[4]characters!$1:$1,0)+1,FALSE),"")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07" s="5">
        <f ca="1">IFERROR(VLOOKUP($AB107,OFFSET([4]characters!$A$1,0,0,COUNTA([4]characters!$A:$A),MATCH(AD$1,[4]characters!$1:$1,0)-MATCH("character_id",[4]characters!$1:$1,0)+1),MATCH(AD$1,[4]characters!$1:$1,0)-MATCH("character_id",[4]characters!$1:$1,0)+1,FALSE),"")</f>
        <v>2</v>
      </c>
      <c r="AE107" s="5" t="str">
        <f ca="1">IFERROR(VLOOKUP($AB107,OFFSET([4]characters!$A$1,0,0,COUNTA([4]characters!$A:$A),MATCH(AE$1,[4]characters!$1:$1,0)-MATCH("character_id",[4]characters!$1:$1,0)+1),MATCH(AE$1,[4]characters!$1:$1,0)-MATCH("character_id",[4]characters!$1:$1,0)+1,FALSE),"")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07" s="8">
        <v>1</v>
      </c>
      <c r="AG107" s="27">
        <f t="shared" ca="1" si="61"/>
        <v>2</v>
      </c>
      <c r="AH107" s="9">
        <v>0</v>
      </c>
      <c r="AI107" s="8">
        <v>0</v>
      </c>
      <c r="AJ107" s="8">
        <v>0</v>
      </c>
      <c r="AK107" s="8">
        <v>0</v>
      </c>
      <c r="AL107" s="8">
        <v>0</v>
      </c>
      <c r="AM107" s="8">
        <v>1</v>
      </c>
      <c r="AN107" s="8">
        <v>1</v>
      </c>
    </row>
    <row r="108" spans="1:40" ht="21" customHeight="1" x14ac:dyDescent="0.15">
      <c r="A108" s="17" t="str">
        <f t="shared" ca="1" si="59"/>
        <v>11003_3-1/29&lt;lv35&gt;s2</v>
      </c>
      <c r="B108" s="8">
        <v>11003</v>
      </c>
      <c r="C108" s="25">
        <v>3</v>
      </c>
      <c r="D108" s="2" t="str">
        <f t="shared" si="60"/>
        <v>11003_3</v>
      </c>
      <c r="E108" s="5" t="str">
        <f ca="1">VLOOKUP($B108,OFFSET([2]quests!$A$1,0,0,COUNTA([2]quests!$A:$A),MATCH(E$1,[2]quests!$1:$1,0)-MATCH($B$1,[2]quests!$1:$1,0)+1),MATCH(E$1,[2]quests!$1:$1,0)-MATCH($B$1,[2]quests!$1:$1,0)+1,FALSE)</f>
        <v>【水曜限定】 青の素材</v>
      </c>
      <c r="F108" s="5" t="str">
        <f ca="1">VLOOKUP($D108,OFFSET([2]stages!$A$1,0,0,COUNTA([2]stages!$A:$A),MATCH(F$1,[2]stages!$2:$2,0)-MATCH($D$1,[2]stages!$2:$2,0)+1),MATCH(F$1,[2]stages!$2:$2,0)-MATCH($D$1,[2]stages!$2:$2,0)+1,FALSE)</f>
        <v>【上級】水のイモムシ</v>
      </c>
      <c r="G108" s="25">
        <v>1</v>
      </c>
      <c r="H108" s="16" t="str">
        <f t="shared" si="49"/>
        <v>11003_3-1</v>
      </c>
      <c r="I108" s="5">
        <f ca="1">VLOOKUP($H108,OFFSET(floors!$A$1,0,0,COUNTA(floors!$A:$A),MATCH(I$1,floors!$1:$1,0)-MATCH($H$1,floors!$1:$1,0)+1),MATCH(I$1,floors!$1:$1,0)-MATCH($H$1,floors!$1:$1,0)+1,FALSE)</f>
        <v>30</v>
      </c>
      <c r="J108" s="5">
        <f ca="1">VLOOKUP($H108,OFFSET(floors!$A$1,0,0,COUNTA(floors!$A:$A),MATCH(J$1,floors!$1:$1,0)-MATCH($H$1,floors!$1:$1,0)+1),MATCH(J$1,floors!$1:$1,0)-MATCH($H$1,floors!$1:$1,0)+1,FALSE)</f>
        <v>45</v>
      </c>
      <c r="K108" s="24" t="s">
        <v>197</v>
      </c>
      <c r="L108" s="24">
        <v>29</v>
      </c>
      <c r="M108" s="20" t="str">
        <f ca="1">VLOOKUP($L108,OFFSET([3]enemies!$A$1,0,0,COUNTA([3]enemies!$A:$A),MATCH(M$1,[3]enemies!$1:$1,0)-MATCH($L$1,[3]enemies!$1:$1,0)+1),MATCH(M$1,[3]enemies!$1:$1,0)-MATCH($L$1,[3]enemies!$1:$1,0)+1,FALSE)</f>
        <v>スケアクロウ</v>
      </c>
      <c r="N108" s="20" t="str">
        <f ca="1">VLOOKUP($L108,OFFSET([3]enemies!$A$1,0,0,COUNTA([3]enemies!$A:$A),MATCH(N$1,[3]enemies!$1:$1,0)-MATCH($L$1,[3]enemies!$1:$1,0)+1),MATCH(N$1,[3]enemies!$1:$1,0)-MATCH($L$1,[3]enemies!$1:$1,0)+1,FALSE)</f>
        <v>blue</v>
      </c>
      <c r="O108" s="22" t="str">
        <f ca="1">VLOOKUP($L108,OFFSET([4]characters!$A$1,0,0,COUNTA([4]characters!$A:$A),MATCH(O$1,[4]characters!$1:$1,0)-MATCH($L$1,[4]characters!$1:$1,0)+1),MATCH(O$1,[4]characters!$1:$1,0)-MATCH($L$1,[4]characters!$1:$1,0)+1,FALSE)</f>
        <v>Drop1N</v>
      </c>
      <c r="P108" s="20" t="str">
        <f ca="1">VLOOKUP($L108,OFFSET([3]enemies!$A$1,0,0,COUNTA([3]enemies!$A:$A),MATCH(P$1,[3]enemies!$1:$1,0)-MATCH($L$1,[3]enemies!$1:$1,0)+1),MATCH(P$1,[3]enemies!$1:$1,0)-MATCH($L$1,[3]enemies!$1:$1,0)+1,FALSE)</f>
        <v>machine</v>
      </c>
      <c r="Q108" s="20">
        <f ca="1">VLOOKUP($L108,OFFSET([3]enemies!$A$1,0,0,COUNTA([3]enemies!$A:$A),MATCH(Q$1,[3]enemies!$1:$1,0)-MATCH($L$1,[3]enemies!$1:$1,0)+1),MATCH(Q$1,[3]enemies!$1:$1,0)-MATCH($L$1,[3]enemies!$1:$1,0)+1,FALSE)</f>
        <v>15</v>
      </c>
      <c r="R108" s="6">
        <v>35</v>
      </c>
      <c r="S108" s="39">
        <v>1</v>
      </c>
      <c r="T108" s="39">
        <v>1</v>
      </c>
      <c r="U108" s="6">
        <v>0</v>
      </c>
      <c r="V108" s="5" t="str">
        <f ca="1">VLOOKUP($W108,OFFSET([5]enemy_skill_sets!$B$1,0,0,COUNTA([5]enemy_skill_sets!$B:$B),MATCH(M$1,[5]enemy_skill_sets!$1:$1,0)-MATCH($W$1,[5]enemy_skill_sets!$1:$1,0)+2),MATCH(M$1,[5]enemy_skill_sets!$1:$1,0)-MATCH($W$1,[5]enemy_skill_sets!$1:$1,0)+2,FALSE)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8" s="5">
        <f ca="1">VLOOKUP($L108,OFFSET([3]enemies!$A$1,0,0,COUNTA([3]enemies!$A:$A),MATCH(W$1,[3]enemies!$1:$1,0)-MATCH($L$1,[3]enemies!$1:$1,0)+1),MATCH(W$1,[3]enemies!$1:$1,0)-MATCH($L$1,[3]enemies!$1:$1,0)+1,FALSE)</f>
        <v>0</v>
      </c>
      <c r="X108" s="7">
        <v>0</v>
      </c>
      <c r="Y108" s="7">
        <v>100</v>
      </c>
      <c r="Z108" s="7">
        <v>0</v>
      </c>
      <c r="AA108" s="20">
        <f ca="1">VLOOKUP($L108,OFFSET([3]enemies!$A$1,0,0,COUNTA([3]enemies!$A:$A),MATCH(AA$1,[3]enemies!$1:$1,0)-MATCH($L$1,[3]enemies!$1:$1,0)+1),MATCH(AA$1,[3]enemies!$1:$1,0)-MATCH($L$1,[3]enemies!$1:$1,0)+1,FALSE)</f>
        <v>2</v>
      </c>
      <c r="AB108" s="24">
        <v>29</v>
      </c>
      <c r="AC108" s="5" t="str">
        <f ca="1">IFERROR(VLOOKUP($AB108,OFFSET([4]characters!$A$1,0,0,COUNTA([4]characters!$A:$A),MATCH(AC$1,[4]characters!$1:$1,0)-MATCH("character_id",[4]characters!$1:$1,0)+1),MATCH(AC$1,[4]characters!$1:$1,0)-MATCH("character_id",[4]characters!$1:$1,0)+1,FALSE),"")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08" s="5">
        <f ca="1">IFERROR(VLOOKUP($AB108,OFFSET([4]characters!$A$1,0,0,COUNTA([4]characters!$A:$A),MATCH(AD$1,[4]characters!$1:$1,0)-MATCH("character_id",[4]characters!$1:$1,0)+1),MATCH(AD$1,[4]characters!$1:$1,0)-MATCH("character_id",[4]characters!$1:$1,0)+1,FALSE),"")</f>
        <v>1</v>
      </c>
      <c r="AE108" s="5" t="str">
        <f ca="1">IFERROR(VLOOKUP($AB108,OFFSET([4]characters!$A$1,0,0,COUNTA([4]characters!$A:$A),MATCH(AE$1,[4]characters!$1:$1,0)-MATCH("character_id",[4]characters!$1:$1,0)+1),MATCH(AE$1,[4]characters!$1:$1,0)-MATCH("character_id",[4]characters!$1:$1,0)+1,FALSE),"")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8" s="8">
        <v>1</v>
      </c>
      <c r="AG108" s="27">
        <f t="shared" ca="1" si="61"/>
        <v>1</v>
      </c>
      <c r="AH108" s="9">
        <v>0</v>
      </c>
      <c r="AI108" s="8">
        <v>0</v>
      </c>
      <c r="AJ108" s="8">
        <v>0</v>
      </c>
      <c r="AK108" s="8">
        <v>0</v>
      </c>
      <c r="AL108" s="8">
        <v>0</v>
      </c>
      <c r="AM108" s="8">
        <v>1</v>
      </c>
      <c r="AN108" s="8">
        <v>1</v>
      </c>
    </row>
    <row r="109" spans="1:40" ht="21" customHeight="1" x14ac:dyDescent="0.15">
      <c r="A109" s="17" t="str">
        <f t="shared" ca="1" si="59"/>
        <v>11003_3-1/340&lt;lv1&gt;s1</v>
      </c>
      <c r="B109" s="8">
        <v>11003</v>
      </c>
      <c r="C109" s="25">
        <v>3</v>
      </c>
      <c r="D109" s="2" t="str">
        <f t="shared" si="60"/>
        <v>11003_3</v>
      </c>
      <c r="E109" s="5" t="str">
        <f ca="1">VLOOKUP($B109,OFFSET([2]quests!$A$1,0,0,COUNTA([2]quests!$A:$A),MATCH(E$1,[2]quests!$1:$1,0)-MATCH($B$1,[2]quests!$1:$1,0)+1),MATCH(E$1,[2]quests!$1:$1,0)-MATCH($B$1,[2]quests!$1:$1,0)+1,FALSE)</f>
        <v>【水曜限定】 青の素材</v>
      </c>
      <c r="F109" s="5" t="str">
        <f ca="1">VLOOKUP($D109,OFFSET([2]stages!$A$1,0,0,COUNTA([2]stages!$A:$A),MATCH(F$1,[2]stages!$2:$2,0)-MATCH($D$1,[2]stages!$2:$2,0)+1),MATCH(F$1,[2]stages!$2:$2,0)-MATCH($D$1,[2]stages!$2:$2,0)+1,FALSE)</f>
        <v>【上級】水のイモムシ</v>
      </c>
      <c r="G109" s="25">
        <v>1</v>
      </c>
      <c r="H109" s="16" t="str">
        <f t="shared" si="49"/>
        <v>11003_3-1</v>
      </c>
      <c r="I109" s="5">
        <f ca="1">VLOOKUP($H109,OFFSET(floors!$A$1,0,0,COUNTA(floors!$A:$A),MATCH(I$1,floors!$1:$1,0)-MATCH($H$1,floors!$1:$1,0)+1),MATCH(I$1,floors!$1:$1,0)-MATCH($H$1,floors!$1:$1,0)+1,FALSE)</f>
        <v>30</v>
      </c>
      <c r="J109" s="5">
        <f ca="1">VLOOKUP($H109,OFFSET(floors!$A$1,0,0,COUNTA(floors!$A:$A),MATCH(J$1,floors!$1:$1,0)-MATCH($H$1,floors!$1:$1,0)+1),MATCH(J$1,floors!$1:$1,0)-MATCH($H$1,floors!$1:$1,0)+1,FALSE)</f>
        <v>45</v>
      </c>
      <c r="K109" s="24" t="s">
        <v>197</v>
      </c>
      <c r="L109" s="24">
        <v>340</v>
      </c>
      <c r="M109" s="20" t="str">
        <f ca="1">VLOOKUP($L109,OFFSET([3]enemies!$A$1,0,0,COUNTA([3]enemies!$A:$A),MATCH(M$1,[3]enemies!$1:$1,0)-MATCH($L$1,[3]enemies!$1:$1,0)+1),MATCH(M$1,[3]enemies!$1:$1,0)-MATCH($L$1,[3]enemies!$1:$1,0)+1,FALSE)</f>
        <v>水のメタルピヨピヨ</v>
      </c>
      <c r="N109" s="20" t="str">
        <f ca="1">VLOOKUP($L109,OFFSET([3]enemies!$A$1,0,0,COUNTA([3]enemies!$A:$A),MATCH(N$1,[3]enemies!$1:$1,0)-MATCH($L$1,[3]enemies!$1:$1,0)+1),MATCH(N$1,[3]enemies!$1:$1,0)-MATCH($L$1,[3]enemies!$1:$1,0)+1,FALSE)</f>
        <v>blue</v>
      </c>
      <c r="O109" s="22" t="str">
        <f ca="1">VLOOKUP($L109,OFFSET([4]characters!$A$1,0,0,COUNTA([4]characters!$A:$A),MATCH(O$1,[4]characters!$1:$1,0)-MATCH($L$1,[4]characters!$1:$1,0)+1),MATCH(O$1,[4]characters!$1:$1,0)-MATCH($L$1,[4]characters!$1:$1,0)+1,FALSE)</f>
        <v>Material</v>
      </c>
      <c r="P109" s="20" t="str">
        <f ca="1">VLOOKUP($L109,OFFSET([3]enemies!$A$1,0,0,COUNTA([3]enemies!$A:$A),MATCH(P$1,[3]enemies!$1:$1,0)-MATCH($L$1,[3]enemies!$1:$1,0)+1),MATCH(P$1,[3]enemies!$1:$1,0)-MATCH($L$1,[3]enemies!$1:$1,0)+1,FALSE)</f>
        <v>unknown</v>
      </c>
      <c r="Q109" s="20">
        <f ca="1">VLOOKUP($L109,OFFSET([3]enemies!$A$1,0,0,COUNTA([3]enemies!$A:$A),MATCH(Q$1,[3]enemies!$1:$1,0)-MATCH($L$1,[3]enemies!$1:$1,0)+1),MATCH(Q$1,[3]enemies!$1:$1,0)-MATCH($L$1,[3]enemies!$1:$1,0)+1,FALSE)</f>
        <v>15</v>
      </c>
      <c r="R109" s="6">
        <v>1</v>
      </c>
      <c r="S109" s="39">
        <v>1</v>
      </c>
      <c r="T109" s="39">
        <v>1</v>
      </c>
      <c r="U109" s="6">
        <v>0</v>
      </c>
      <c r="V109" s="5" t="str">
        <f ca="1">VLOOKUP($W109,OFFSET([5]enemy_skill_sets!$B$1,0,0,COUNTA([5]enemy_skill_sets!$B:$B),MATCH(M$1,[5]enemy_skill_sets!$1:$1,0)-MATCH($W$1,[5]enemy_skill_sets!$1:$1,0)+2),MATCH(M$1,[5]enemy_skill_sets!$1:$1,0)-MATCH($W$1,[5]enemy_skill_sets!$1:$1,0)+2,FALSE)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9" s="5">
        <f ca="1">VLOOKUP($L109,OFFSET([3]enemies!$A$1,0,0,COUNTA([3]enemies!$A:$A),MATCH(W$1,[3]enemies!$1:$1,0)-MATCH($L$1,[3]enemies!$1:$1,0)+1),MATCH(W$1,[3]enemies!$1:$1,0)-MATCH($L$1,[3]enemies!$1:$1,0)+1,FALSE)</f>
        <v>0</v>
      </c>
      <c r="X109" s="7">
        <v>0</v>
      </c>
      <c r="Y109" s="7">
        <v>30</v>
      </c>
      <c r="Z109" s="7">
        <v>0</v>
      </c>
      <c r="AA109" s="20">
        <f ca="1">VLOOKUP($L109,OFFSET([3]enemies!$A$1,0,0,COUNTA([3]enemies!$A:$A),MATCH(AA$1,[3]enemies!$1:$1,0)-MATCH($L$1,[3]enemies!$1:$1,0)+1),MATCH(AA$1,[3]enemies!$1:$1,0)-MATCH($L$1,[3]enemies!$1:$1,0)+1,FALSE)</f>
        <v>1</v>
      </c>
      <c r="AB109" s="24">
        <v>340</v>
      </c>
      <c r="AC109" s="5" t="str">
        <f ca="1">IFERROR(VLOOKUP($AB109,OFFSET([4]characters!$A$1,0,0,COUNTA([4]characters!$A:$A),MATCH(AC$1,[4]characters!$1:$1,0)-MATCH("character_id",[4]characters!$1:$1,0)+1),MATCH(AC$1,[4]characters!$1:$1,0)-MATCH("character_id",[4]characters!$1:$1,0)+1,FALSE),"")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09" s="5">
        <f ca="1">IFERROR(VLOOKUP($AB109,OFFSET([4]characters!$A$1,0,0,COUNTA([4]characters!$A:$A),MATCH(AD$1,[4]characters!$1:$1,0)-MATCH("character_id",[4]characters!$1:$1,0)+1),MATCH(AD$1,[4]characters!$1:$1,0)-MATCH("character_id",[4]characters!$1:$1,0)+1,FALSE),"")</f>
        <v>3</v>
      </c>
      <c r="AE109" s="5" t="str">
        <f ca="1">IFERROR(VLOOKUP($AB109,OFFSET([4]characters!$A$1,0,0,COUNTA([4]characters!$A:$A),MATCH(AE$1,[4]characters!$1:$1,0)-MATCH("character_id",[4]characters!$1:$1,0)+1),MATCH(AE$1,[4]characters!$1:$1,0)-MATCH("character_id",[4]characters!$1:$1,0)+1,FALSE),"")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9" s="8">
        <v>1</v>
      </c>
      <c r="AG109" s="27">
        <f t="shared" ca="1" si="61"/>
        <v>3</v>
      </c>
      <c r="AH109" s="9">
        <v>10</v>
      </c>
      <c r="AI109" s="8">
        <v>0</v>
      </c>
      <c r="AJ109" s="8">
        <v>0</v>
      </c>
      <c r="AK109" s="8">
        <v>0</v>
      </c>
      <c r="AL109" s="8">
        <v>0</v>
      </c>
      <c r="AM109" s="8">
        <v>1</v>
      </c>
      <c r="AN109" s="8">
        <v>1</v>
      </c>
    </row>
    <row r="110" spans="1:40" ht="21" customHeight="1" x14ac:dyDescent="0.15">
      <c r="A110" s="17" t="str">
        <f t="shared" ca="1" si="59"/>
        <v>11003_3-1/341&lt;lv1&gt;s2</v>
      </c>
      <c r="B110" s="8">
        <v>11003</v>
      </c>
      <c r="C110" s="25">
        <v>3</v>
      </c>
      <c r="D110" s="2" t="str">
        <f t="shared" si="60"/>
        <v>11003_3</v>
      </c>
      <c r="E110" s="5" t="str">
        <f ca="1">VLOOKUP($B110,OFFSET([2]quests!$A$1,0,0,COUNTA([2]quests!$A:$A),MATCH(E$1,[2]quests!$1:$1,0)-MATCH($B$1,[2]quests!$1:$1,0)+1),MATCH(E$1,[2]quests!$1:$1,0)-MATCH($B$1,[2]quests!$1:$1,0)+1,FALSE)</f>
        <v>【水曜限定】 青の素材</v>
      </c>
      <c r="F110" s="5" t="str">
        <f ca="1">VLOOKUP($D110,OFFSET([2]stages!$A$1,0,0,COUNTA([2]stages!$A:$A),MATCH(F$1,[2]stages!$2:$2,0)-MATCH($D$1,[2]stages!$2:$2,0)+1),MATCH(F$1,[2]stages!$2:$2,0)-MATCH($D$1,[2]stages!$2:$2,0)+1,FALSE)</f>
        <v>【上級】水のイモムシ</v>
      </c>
      <c r="G110" s="25">
        <v>1</v>
      </c>
      <c r="H110" s="16" t="str">
        <f t="shared" si="49"/>
        <v>11003_3-1</v>
      </c>
      <c r="I110" s="5">
        <f ca="1">VLOOKUP($H110,OFFSET(floors!$A$1,0,0,COUNTA(floors!$A:$A),MATCH(I$1,floors!$1:$1,0)-MATCH($H$1,floors!$1:$1,0)+1),MATCH(I$1,floors!$1:$1,0)-MATCH($H$1,floors!$1:$1,0)+1,FALSE)</f>
        <v>30</v>
      </c>
      <c r="J110" s="5">
        <f ca="1">VLOOKUP($H110,OFFSET(floors!$A$1,0,0,COUNTA(floors!$A:$A),MATCH(J$1,floors!$1:$1,0)-MATCH($H$1,floors!$1:$1,0)+1),MATCH(J$1,floors!$1:$1,0)-MATCH($H$1,floors!$1:$1,0)+1,FALSE)</f>
        <v>45</v>
      </c>
      <c r="K110" s="24" t="s">
        <v>197</v>
      </c>
      <c r="L110" s="24">
        <v>341</v>
      </c>
      <c r="M110" s="20" t="str">
        <f ca="1">VLOOKUP($L110,OFFSET([3]enemies!$A$1,0,0,COUNTA([3]enemies!$A:$A),MATCH(M$1,[3]enemies!$1:$1,0)-MATCH($L$1,[3]enemies!$1:$1,0)+1),MATCH(M$1,[3]enemies!$1:$1,0)-MATCH($L$1,[3]enemies!$1:$1,0)+1,FALSE)</f>
        <v>水のメタルチック</v>
      </c>
      <c r="N110" s="20" t="str">
        <f ca="1">VLOOKUP($L110,OFFSET([3]enemies!$A$1,0,0,COUNTA([3]enemies!$A:$A),MATCH(N$1,[3]enemies!$1:$1,0)-MATCH($L$1,[3]enemies!$1:$1,0)+1),MATCH(N$1,[3]enemies!$1:$1,0)-MATCH($L$1,[3]enemies!$1:$1,0)+1,FALSE)</f>
        <v>blue</v>
      </c>
      <c r="O110" s="22" t="str">
        <f ca="1">VLOOKUP($L110,OFFSET([4]characters!$A$1,0,0,COUNTA([4]characters!$A:$A),MATCH(O$1,[4]characters!$1:$1,0)-MATCH($L$1,[4]characters!$1:$1,0)+1),MATCH(O$1,[4]characters!$1:$1,0)-MATCH($L$1,[4]characters!$1:$1,0)+1,FALSE)</f>
        <v>Material</v>
      </c>
      <c r="P110" s="20" t="str">
        <f ca="1">VLOOKUP($L110,OFFSET([3]enemies!$A$1,0,0,COUNTA([3]enemies!$A:$A),MATCH(P$1,[3]enemies!$1:$1,0)-MATCH($L$1,[3]enemies!$1:$1,0)+1),MATCH(P$1,[3]enemies!$1:$1,0)-MATCH($L$1,[3]enemies!$1:$1,0)+1,FALSE)</f>
        <v>unknown</v>
      </c>
      <c r="Q110" s="20">
        <f ca="1">VLOOKUP($L110,OFFSET([3]enemies!$A$1,0,0,COUNTA([3]enemies!$A:$A),MATCH(Q$1,[3]enemies!$1:$1,0)-MATCH($L$1,[3]enemies!$1:$1,0)+1),MATCH(Q$1,[3]enemies!$1:$1,0)-MATCH($L$1,[3]enemies!$1:$1,0)+1,FALSE)</f>
        <v>15</v>
      </c>
      <c r="R110" s="6">
        <v>1</v>
      </c>
      <c r="S110" s="39">
        <v>1</v>
      </c>
      <c r="T110" s="39">
        <v>1</v>
      </c>
      <c r="U110" s="6">
        <v>0</v>
      </c>
      <c r="V110" s="5" t="str">
        <f ca="1">VLOOKUP($W110,OFFSET([5]enemy_skill_sets!$B$1,0,0,COUNTA([5]enemy_skill_sets!$B:$B),MATCH(M$1,[5]enemy_skill_sets!$1:$1,0)-MATCH($W$1,[5]enemy_skill_sets!$1:$1,0)+2),MATCH(M$1,[5]enemy_skill_sets!$1:$1,0)-MATCH($W$1,[5]enemy_skill_sets!$1:$1,0)+2,FALSE)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0" s="5">
        <f ca="1">VLOOKUP($L110,OFFSET([3]enemies!$A$1,0,0,COUNTA([3]enemies!$A:$A),MATCH(W$1,[3]enemies!$1:$1,0)-MATCH($L$1,[3]enemies!$1:$1,0)+1),MATCH(W$1,[3]enemies!$1:$1,0)-MATCH($L$1,[3]enemies!$1:$1,0)+1,FALSE)</f>
        <v>0</v>
      </c>
      <c r="X110" s="7">
        <v>0</v>
      </c>
      <c r="Y110" s="7">
        <v>30</v>
      </c>
      <c r="Z110" s="7">
        <v>0</v>
      </c>
      <c r="AA110" s="20">
        <f ca="1">VLOOKUP($L110,OFFSET([3]enemies!$A$1,0,0,COUNTA([3]enemies!$A:$A),MATCH(AA$1,[3]enemies!$1:$1,0)-MATCH($L$1,[3]enemies!$1:$1,0)+1),MATCH(AA$1,[3]enemies!$1:$1,0)-MATCH($L$1,[3]enemies!$1:$1,0)+1,FALSE)</f>
        <v>2</v>
      </c>
      <c r="AB110" s="24">
        <v>341</v>
      </c>
      <c r="AC110" s="5" t="str">
        <f ca="1">IFERROR(VLOOKUP($AB110,OFFSET([4]characters!$A$1,0,0,COUNTA([4]characters!$A:$A),MATCH(AC$1,[4]characters!$1:$1,0)-MATCH("character_id",[4]characters!$1:$1,0)+1),MATCH(AC$1,[4]characters!$1:$1,0)-MATCH("character_id",[4]characters!$1:$1,0)+1,FALSE),"")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10" s="5">
        <f ca="1">IFERROR(VLOOKUP($AB110,OFFSET([4]characters!$A$1,0,0,COUNTA([4]characters!$A:$A),MATCH(AD$1,[4]characters!$1:$1,0)-MATCH("character_id",[4]characters!$1:$1,0)+1),MATCH(AD$1,[4]characters!$1:$1,0)-MATCH("character_id",[4]characters!$1:$1,0)+1,FALSE),"")</f>
        <v>4</v>
      </c>
      <c r="AE110" s="5" t="str">
        <f ca="1">IFERROR(VLOOKUP($AB110,OFFSET([4]characters!$A$1,0,0,COUNTA([4]characters!$A:$A),MATCH(AE$1,[4]characters!$1:$1,0)-MATCH("character_id",[4]characters!$1:$1,0)+1),MATCH(AE$1,[4]characters!$1:$1,0)-MATCH("character_id",[4]characters!$1:$1,0)+1,FALSE),"")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0" s="8">
        <v>1</v>
      </c>
      <c r="AG110" s="27">
        <f t="shared" ca="1" si="61"/>
        <v>4</v>
      </c>
      <c r="AH110" s="9">
        <v>5</v>
      </c>
      <c r="AI110" s="8">
        <v>0</v>
      </c>
      <c r="AJ110" s="8">
        <v>0</v>
      </c>
      <c r="AK110" s="8">
        <v>0</v>
      </c>
      <c r="AL110" s="8">
        <v>0</v>
      </c>
      <c r="AM110" s="8">
        <v>1</v>
      </c>
      <c r="AN110" s="8">
        <v>1</v>
      </c>
    </row>
    <row r="111" spans="1:40" ht="21" customHeight="1" x14ac:dyDescent="0.15">
      <c r="A111" s="17" t="str">
        <f t="shared" ca="1" si="59"/>
        <v>11003_3-2/111&lt;lv30&gt;s1</v>
      </c>
      <c r="B111" s="8">
        <v>11003</v>
      </c>
      <c r="C111" s="25">
        <v>3</v>
      </c>
      <c r="D111" s="2" t="str">
        <f t="shared" si="60"/>
        <v>11003_3</v>
      </c>
      <c r="E111" s="5" t="str">
        <f ca="1">VLOOKUP($B111,OFFSET([2]quests!$A$1,0,0,COUNTA([2]quests!$A:$A),MATCH(E$1,[2]quests!$1:$1,0)-MATCH($B$1,[2]quests!$1:$1,0)+1),MATCH(E$1,[2]quests!$1:$1,0)-MATCH($B$1,[2]quests!$1:$1,0)+1,FALSE)</f>
        <v>【水曜限定】 青の素材</v>
      </c>
      <c r="F111" s="5" t="str">
        <f ca="1">VLOOKUP($D111,OFFSET([2]stages!$A$1,0,0,COUNTA([2]stages!$A:$A),MATCH(F$1,[2]stages!$2:$2,0)-MATCH($D$1,[2]stages!$2:$2,0)+1),MATCH(F$1,[2]stages!$2:$2,0)-MATCH($D$1,[2]stages!$2:$2,0)+1,FALSE)</f>
        <v>【上級】水のイモムシ</v>
      </c>
      <c r="G111" s="25">
        <v>2</v>
      </c>
      <c r="H111" s="16" t="str">
        <f t="shared" si="49"/>
        <v>11003_3-2</v>
      </c>
      <c r="I111" s="5">
        <f ca="1">VLOOKUP($H111,OFFSET(floors!$A$1,0,0,COUNTA(floors!$A:$A),MATCH(I$1,floors!$1:$1,0)-MATCH($H$1,floors!$1:$1,0)+1),MATCH(I$1,floors!$1:$1,0)-MATCH($H$1,floors!$1:$1,0)+1,FALSE)</f>
        <v>30</v>
      </c>
      <c r="J111" s="5">
        <f ca="1">VLOOKUP($H111,OFFSET(floors!$A$1,0,0,COUNTA(floors!$A:$A),MATCH(J$1,floors!$1:$1,0)-MATCH($H$1,floors!$1:$1,0)+1),MATCH(J$1,floors!$1:$1,0)-MATCH($H$1,floors!$1:$1,0)+1,FALSE)</f>
        <v>45</v>
      </c>
      <c r="K111" s="24" t="s">
        <v>197</v>
      </c>
      <c r="L111" s="24">
        <v>111</v>
      </c>
      <c r="M111" s="20" t="str">
        <f ca="1">VLOOKUP($L111,OFFSET([3]enemies!$A$1,0,0,COUNTA([3]enemies!$A:$A),MATCH(M$1,[3]enemies!$1:$1,0)-MATCH($L$1,[3]enemies!$1:$1,0)+1),MATCH(M$1,[3]enemies!$1:$1,0)-MATCH($L$1,[3]enemies!$1:$1,0)+1,FALSE)</f>
        <v>ブルーキャタップ</v>
      </c>
      <c r="N111" s="20" t="str">
        <f ca="1">VLOOKUP($L111,OFFSET([3]enemies!$A$1,0,0,COUNTA([3]enemies!$A:$A),MATCH(N$1,[3]enemies!$1:$1,0)-MATCH($L$1,[3]enemies!$1:$1,0)+1),MATCH(N$1,[3]enemies!$1:$1,0)-MATCH($L$1,[3]enemies!$1:$1,0)+1,FALSE)</f>
        <v>blue</v>
      </c>
      <c r="O111" s="22" t="str">
        <f ca="1">VLOOKUP($L111,OFFSET([4]characters!$A$1,0,0,COUNTA([4]characters!$A:$A),MATCH(O$1,[4]characters!$1:$1,0)-MATCH($L$1,[4]characters!$1:$1,0)+1),MATCH(O$1,[4]characters!$1:$1,0)-MATCH($L$1,[4]characters!$1:$1,0)+1,FALSE)</f>
        <v>Material</v>
      </c>
      <c r="P111" s="20" t="str">
        <f ca="1">VLOOKUP($L111,OFFSET([3]enemies!$A$1,0,0,COUNTA([3]enemies!$A:$A),MATCH(P$1,[3]enemies!$1:$1,0)-MATCH($L$1,[3]enemies!$1:$1,0)+1),MATCH(P$1,[3]enemies!$1:$1,0)-MATCH($L$1,[3]enemies!$1:$1,0)+1,FALSE)</f>
        <v>unknown</v>
      </c>
      <c r="Q111" s="20">
        <f ca="1">VLOOKUP($L111,OFFSET([3]enemies!$A$1,0,0,COUNTA([3]enemies!$A:$A),MATCH(Q$1,[3]enemies!$1:$1,0)-MATCH($L$1,[3]enemies!$1:$1,0)+1),MATCH(Q$1,[3]enemies!$1:$1,0)-MATCH($L$1,[3]enemies!$1:$1,0)+1,FALSE)</f>
        <v>15</v>
      </c>
      <c r="R111" s="6">
        <v>30</v>
      </c>
      <c r="S111" s="39">
        <v>2</v>
      </c>
      <c r="T111" s="39">
        <v>1</v>
      </c>
      <c r="U111" s="6">
        <v>0</v>
      </c>
      <c r="V111" s="5" t="str">
        <f ca="1">VLOOKUP($W111,OFFSET([5]enemy_skill_sets!$B$1,0,0,COUNTA([5]enemy_skill_sets!$B:$B),MATCH(M$1,[5]enemy_skill_sets!$1:$1,0)-MATCH($W$1,[5]enemy_skill_sets!$1:$1,0)+2),MATCH(M$1,[5]enemy_skill_sets!$1:$1,0)-MATCH($W$1,[5]enemy_skill_sets!$1:$1,0)+2,FALSE)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1" s="5">
        <f ca="1">VLOOKUP($L111,OFFSET([3]enemies!$A$1,0,0,COUNTA([3]enemies!$A:$A),MATCH(W$1,[3]enemies!$1:$1,0)-MATCH($L$1,[3]enemies!$1:$1,0)+1),MATCH(W$1,[3]enemies!$1:$1,0)-MATCH($L$1,[3]enemies!$1:$1,0)+1,FALSE)</f>
        <v>0</v>
      </c>
      <c r="X111" s="7">
        <v>1</v>
      </c>
      <c r="Y111" s="7">
        <v>100</v>
      </c>
      <c r="Z111" s="7">
        <v>1</v>
      </c>
      <c r="AA111" s="20">
        <f ca="1">VLOOKUP($L111,OFFSET([3]enemies!$A$1,0,0,COUNTA([3]enemies!$A:$A),MATCH(AA$1,[3]enemies!$1:$1,0)-MATCH($L$1,[3]enemies!$1:$1,0)+1),MATCH(AA$1,[3]enemies!$1:$1,0)-MATCH($L$1,[3]enemies!$1:$1,0)+1,FALSE)</f>
        <v>1</v>
      </c>
      <c r="AB111" s="24">
        <v>111</v>
      </c>
      <c r="AC111" s="5" t="str">
        <f ca="1">IFERROR(VLOOKUP($AB111,OFFSET([4]characters!$A$1,0,0,COUNTA([4]characters!$A:$A),MATCH(AC$1,[4]characters!$1:$1,0)-MATCH("character_id",[4]characters!$1:$1,0)+1),MATCH(AC$1,[4]characters!$1:$1,0)-MATCH("character_id",[4]characters!$1:$1,0)+1,FALSE),"")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11" s="5">
        <f ca="1">IFERROR(VLOOKUP($AB111,OFFSET([4]characters!$A$1,0,0,COUNTA([4]characters!$A:$A),MATCH(AD$1,[4]characters!$1:$1,0)-MATCH("character_id",[4]characters!$1:$1,0)+1),MATCH(AD$1,[4]characters!$1:$1,0)-MATCH("character_id",[4]characters!$1:$1,0)+1,FALSE),"")</f>
        <v>4</v>
      </c>
      <c r="AE111" s="5" t="str">
        <f ca="1">IFERROR(VLOOKUP($AB111,OFFSET([4]characters!$A$1,0,0,COUNTA([4]characters!$A:$A),MATCH(AE$1,[4]characters!$1:$1,0)-MATCH("character_id",[4]characters!$1:$1,0)+1),MATCH(AE$1,[4]characters!$1:$1,0)-MATCH("character_id",[4]characters!$1:$1,0)+1,FALSE),"")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1" s="8">
        <v>1</v>
      </c>
      <c r="AG111" s="27">
        <f t="shared" ca="1" si="61"/>
        <v>4</v>
      </c>
      <c r="AH111" s="9">
        <v>10</v>
      </c>
      <c r="AI111" s="8">
        <v>0</v>
      </c>
      <c r="AJ111" s="8">
        <v>0</v>
      </c>
      <c r="AK111" s="8">
        <v>0</v>
      </c>
      <c r="AL111" s="8">
        <v>0</v>
      </c>
      <c r="AM111" s="8">
        <v>1</v>
      </c>
      <c r="AN111" s="8">
        <v>1</v>
      </c>
    </row>
    <row r="112" spans="1:40" ht="21" customHeight="1" x14ac:dyDescent="0.15">
      <c r="A112" s="17" t="str">
        <f t="shared" ref="A112:A115" ca="1" si="62">B112&amp;"_"&amp;C112&amp;"-"&amp;G112&amp;"/"&amp;L112&amp;"&lt;lv"&amp;R112&amp;"&gt;s"&amp;AA112</f>
        <v>11003_3-2/37&lt;lv35&gt;s3</v>
      </c>
      <c r="B112" s="8">
        <v>11003</v>
      </c>
      <c r="C112" s="25">
        <v>3</v>
      </c>
      <c r="D112" s="2" t="str">
        <f t="shared" ref="D112:D115" si="63">B112&amp;"_"&amp;C112</f>
        <v>11003_3</v>
      </c>
      <c r="E112" s="5" t="str">
        <f ca="1">VLOOKUP($B112,OFFSET([2]quests!$A$1,0,0,COUNTA([2]quests!$A:$A),MATCH(E$1,[2]quests!$1:$1,0)-MATCH($B$1,[2]quests!$1:$1,0)+1),MATCH(E$1,[2]quests!$1:$1,0)-MATCH($B$1,[2]quests!$1:$1,0)+1,FALSE)</f>
        <v>【水曜限定】 青の素材</v>
      </c>
      <c r="F112" s="5" t="str">
        <f ca="1">VLOOKUP($D112,OFFSET([2]stages!$A$1,0,0,COUNTA([2]stages!$A:$A),MATCH(F$1,[2]stages!$2:$2,0)-MATCH($D$1,[2]stages!$2:$2,0)+1),MATCH(F$1,[2]stages!$2:$2,0)-MATCH($D$1,[2]stages!$2:$2,0)+1,FALSE)</f>
        <v>【上級】水のイモムシ</v>
      </c>
      <c r="G112" s="25">
        <v>2</v>
      </c>
      <c r="H112" s="16" t="str">
        <f t="shared" si="49"/>
        <v>11003_3-2</v>
      </c>
      <c r="I112" s="5">
        <f ca="1">VLOOKUP($H112,OFFSET(floors!$A$1,0,0,COUNTA(floors!$A:$A),MATCH(I$1,floors!$1:$1,0)-MATCH($H$1,floors!$1:$1,0)+1),MATCH(I$1,floors!$1:$1,0)-MATCH($H$1,floors!$1:$1,0)+1,FALSE)</f>
        <v>30</v>
      </c>
      <c r="J112" s="5">
        <f ca="1">VLOOKUP($H112,OFFSET(floors!$A$1,0,0,COUNTA(floors!$A:$A),MATCH(J$1,floors!$1:$1,0)-MATCH($H$1,floors!$1:$1,0)+1),MATCH(J$1,floors!$1:$1,0)-MATCH($H$1,floors!$1:$1,0)+1,FALSE)</f>
        <v>45</v>
      </c>
      <c r="K112" s="24" t="s">
        <v>197</v>
      </c>
      <c r="L112" s="24">
        <v>37</v>
      </c>
      <c r="M112" s="20" t="str">
        <f ca="1">VLOOKUP($L112,OFFSET([3]enemies!$A$1,0,0,COUNTA([3]enemies!$A:$A),MATCH(M$1,[3]enemies!$1:$1,0)-MATCH($L$1,[3]enemies!$1:$1,0)+1),MATCH(M$1,[3]enemies!$1:$1,0)-MATCH($L$1,[3]enemies!$1:$1,0)+1,FALSE)</f>
        <v>ガイル</v>
      </c>
      <c r="N112" s="20" t="str">
        <f ca="1">VLOOKUP($L112,OFFSET([3]enemies!$A$1,0,0,COUNTA([3]enemies!$A:$A),MATCH(N$1,[3]enemies!$1:$1,0)-MATCH($L$1,[3]enemies!$1:$1,0)+1),MATCH(N$1,[3]enemies!$1:$1,0)-MATCH($L$1,[3]enemies!$1:$1,0)+1,FALSE)</f>
        <v>blue</v>
      </c>
      <c r="O112" s="22" t="str">
        <f ca="1">VLOOKUP($L112,OFFSET([4]characters!$A$1,0,0,COUNTA([4]characters!$A:$A),MATCH(O$1,[4]characters!$1:$1,0)-MATCH($L$1,[4]characters!$1:$1,0)+1),MATCH(O$1,[4]characters!$1:$1,0)-MATCH($L$1,[4]characters!$1:$1,0)+1,FALSE)</f>
        <v>Drop1S</v>
      </c>
      <c r="P112" s="20" t="str">
        <f ca="1">VLOOKUP($L112,OFFSET([3]enemies!$A$1,0,0,COUNTA([3]enemies!$A:$A),MATCH(P$1,[3]enemies!$1:$1,0)-MATCH($L$1,[3]enemies!$1:$1,0)+1),MATCH(P$1,[3]enemies!$1:$1,0)-MATCH($L$1,[3]enemies!$1:$1,0)+1,FALSE)</f>
        <v>animal</v>
      </c>
      <c r="Q112" s="20">
        <f ca="1">VLOOKUP($L112,OFFSET([3]enemies!$A$1,0,0,COUNTA([3]enemies!$A:$A),MATCH(Q$1,[3]enemies!$1:$1,0)-MATCH($L$1,[3]enemies!$1:$1,0)+1),MATCH(Q$1,[3]enemies!$1:$1,0)-MATCH($L$1,[3]enemies!$1:$1,0)+1,FALSE)</f>
        <v>15</v>
      </c>
      <c r="R112" s="6">
        <v>35</v>
      </c>
      <c r="S112" s="39">
        <v>1</v>
      </c>
      <c r="T112" s="39">
        <v>1</v>
      </c>
      <c r="U112" s="6">
        <v>0</v>
      </c>
      <c r="V112" s="5" t="str">
        <f ca="1">VLOOKUP($W112,OFFSET([5]enemy_skill_sets!$B$1,0,0,COUNTA([5]enemy_skill_sets!$B:$B),MATCH(M$1,[5]enemy_skill_sets!$1:$1,0)-MATCH($W$1,[5]enemy_skill_sets!$1:$1,0)+2),MATCH(M$1,[5]enemy_skill_sets!$1:$1,0)-MATCH($W$1,[5]enemy_skill_sets!$1:$1,0)+2,FALSE)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12" s="5">
        <f ca="1">VLOOKUP($L112,OFFSET([3]enemies!$A$1,0,0,COUNTA([3]enemies!$A:$A),MATCH(W$1,[3]enemies!$1:$1,0)-MATCH($L$1,[3]enemies!$1:$1,0)+1),MATCH(W$1,[3]enemies!$1:$1,0)-MATCH($L$1,[3]enemies!$1:$1,0)+1,FALSE)</f>
        <v>37</v>
      </c>
      <c r="X112" s="7">
        <v>0</v>
      </c>
      <c r="Y112" s="7">
        <v>100</v>
      </c>
      <c r="Z112" s="7">
        <v>0</v>
      </c>
      <c r="AA112" s="20">
        <f ca="1">VLOOKUP($L112,OFFSET([3]enemies!$A$1,0,0,COUNTA([3]enemies!$A:$A),MATCH(AA$1,[3]enemies!$1:$1,0)-MATCH($L$1,[3]enemies!$1:$1,0)+1),MATCH(AA$1,[3]enemies!$1:$1,0)-MATCH($L$1,[3]enemies!$1:$1,0)+1,FALSE)</f>
        <v>3</v>
      </c>
      <c r="AB112" s="24">
        <v>37</v>
      </c>
      <c r="AC112" s="5" t="str">
        <f ca="1">IFERROR(VLOOKUP($AB112,OFFSET([4]characters!$A$1,0,0,COUNTA([4]characters!$A:$A),MATCH(AC$1,[4]characters!$1:$1,0)-MATCH("character_id",[4]characters!$1:$1,0)+1),MATCH(AC$1,[4]characters!$1:$1,0)-MATCH("character_id",[4]characters!$1:$1,0)+1,FALSE),"")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12" s="5">
        <f ca="1">IFERROR(VLOOKUP($AB112,OFFSET([4]characters!$A$1,0,0,COUNTA([4]characters!$A:$A),MATCH(AD$1,[4]characters!$1:$1,0)-MATCH("character_id",[4]characters!$1:$1,0)+1),MATCH(AD$1,[4]characters!$1:$1,0)-MATCH("character_id",[4]characters!$1:$1,0)+1,FALSE),"")</f>
        <v>2</v>
      </c>
      <c r="AE112" s="5" t="str">
        <f ca="1">IFERROR(VLOOKUP($AB112,OFFSET([4]characters!$A$1,0,0,COUNTA([4]characters!$A:$A),MATCH(AE$1,[4]characters!$1:$1,0)-MATCH("character_id",[4]characters!$1:$1,0)+1),MATCH(AE$1,[4]characters!$1:$1,0)-MATCH("character_id",[4]characters!$1:$1,0)+1,FALSE),"")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12" s="8">
        <v>1</v>
      </c>
      <c r="AG112" s="27">
        <f t="shared" ref="AG112:AG115" ca="1" si="64">AD112</f>
        <v>2</v>
      </c>
      <c r="AH112" s="9">
        <v>0</v>
      </c>
      <c r="AI112" s="8">
        <v>0</v>
      </c>
      <c r="AJ112" s="8">
        <v>0</v>
      </c>
      <c r="AK112" s="8">
        <v>0</v>
      </c>
      <c r="AL112" s="8">
        <v>0</v>
      </c>
      <c r="AM112" s="8">
        <v>1</v>
      </c>
      <c r="AN112" s="8">
        <v>1</v>
      </c>
    </row>
    <row r="113" spans="1:40" ht="21" customHeight="1" x14ac:dyDescent="0.15">
      <c r="A113" s="17" t="str">
        <f t="shared" ca="1" si="62"/>
        <v>11003_3-2/29&lt;lv35&gt;s2</v>
      </c>
      <c r="B113" s="8">
        <v>11003</v>
      </c>
      <c r="C113" s="25">
        <v>3</v>
      </c>
      <c r="D113" s="2" t="str">
        <f t="shared" si="63"/>
        <v>11003_3</v>
      </c>
      <c r="E113" s="5" t="str">
        <f ca="1">VLOOKUP($B113,OFFSET([2]quests!$A$1,0,0,COUNTA([2]quests!$A:$A),MATCH(E$1,[2]quests!$1:$1,0)-MATCH($B$1,[2]quests!$1:$1,0)+1),MATCH(E$1,[2]quests!$1:$1,0)-MATCH($B$1,[2]quests!$1:$1,0)+1,FALSE)</f>
        <v>【水曜限定】 青の素材</v>
      </c>
      <c r="F113" s="5" t="str">
        <f ca="1">VLOOKUP($D113,OFFSET([2]stages!$A$1,0,0,COUNTA([2]stages!$A:$A),MATCH(F$1,[2]stages!$2:$2,0)-MATCH($D$1,[2]stages!$2:$2,0)+1),MATCH(F$1,[2]stages!$2:$2,0)-MATCH($D$1,[2]stages!$2:$2,0)+1,FALSE)</f>
        <v>【上級】水のイモムシ</v>
      </c>
      <c r="G113" s="25">
        <v>2</v>
      </c>
      <c r="H113" s="16" t="str">
        <f t="shared" si="49"/>
        <v>11003_3-2</v>
      </c>
      <c r="I113" s="5">
        <f ca="1">VLOOKUP($H113,OFFSET(floors!$A$1,0,0,COUNTA(floors!$A:$A),MATCH(I$1,floors!$1:$1,0)-MATCH($H$1,floors!$1:$1,0)+1),MATCH(I$1,floors!$1:$1,0)-MATCH($H$1,floors!$1:$1,0)+1,FALSE)</f>
        <v>30</v>
      </c>
      <c r="J113" s="5">
        <f ca="1">VLOOKUP($H113,OFFSET(floors!$A$1,0,0,COUNTA(floors!$A:$A),MATCH(J$1,floors!$1:$1,0)-MATCH($H$1,floors!$1:$1,0)+1),MATCH(J$1,floors!$1:$1,0)-MATCH($H$1,floors!$1:$1,0)+1,FALSE)</f>
        <v>45</v>
      </c>
      <c r="K113" s="24" t="s">
        <v>197</v>
      </c>
      <c r="L113" s="24">
        <v>29</v>
      </c>
      <c r="M113" s="20" t="str">
        <f ca="1">VLOOKUP($L113,OFFSET([3]enemies!$A$1,0,0,COUNTA([3]enemies!$A:$A),MATCH(M$1,[3]enemies!$1:$1,0)-MATCH($L$1,[3]enemies!$1:$1,0)+1),MATCH(M$1,[3]enemies!$1:$1,0)-MATCH($L$1,[3]enemies!$1:$1,0)+1,FALSE)</f>
        <v>スケアクロウ</v>
      </c>
      <c r="N113" s="20" t="str">
        <f ca="1">VLOOKUP($L113,OFFSET([3]enemies!$A$1,0,0,COUNTA([3]enemies!$A:$A),MATCH(N$1,[3]enemies!$1:$1,0)-MATCH($L$1,[3]enemies!$1:$1,0)+1),MATCH(N$1,[3]enemies!$1:$1,0)-MATCH($L$1,[3]enemies!$1:$1,0)+1,FALSE)</f>
        <v>blue</v>
      </c>
      <c r="O113" s="22" t="str">
        <f ca="1">VLOOKUP($L113,OFFSET([4]characters!$A$1,0,0,COUNTA([4]characters!$A:$A),MATCH(O$1,[4]characters!$1:$1,0)-MATCH($L$1,[4]characters!$1:$1,0)+1),MATCH(O$1,[4]characters!$1:$1,0)-MATCH($L$1,[4]characters!$1:$1,0)+1,FALSE)</f>
        <v>Drop1N</v>
      </c>
      <c r="P113" s="20" t="str">
        <f ca="1">VLOOKUP($L113,OFFSET([3]enemies!$A$1,0,0,COUNTA([3]enemies!$A:$A),MATCH(P$1,[3]enemies!$1:$1,0)-MATCH($L$1,[3]enemies!$1:$1,0)+1),MATCH(P$1,[3]enemies!$1:$1,0)-MATCH($L$1,[3]enemies!$1:$1,0)+1,FALSE)</f>
        <v>machine</v>
      </c>
      <c r="Q113" s="20">
        <f ca="1">VLOOKUP($L113,OFFSET([3]enemies!$A$1,0,0,COUNTA([3]enemies!$A:$A),MATCH(Q$1,[3]enemies!$1:$1,0)-MATCH($L$1,[3]enemies!$1:$1,0)+1),MATCH(Q$1,[3]enemies!$1:$1,0)-MATCH($L$1,[3]enemies!$1:$1,0)+1,FALSE)</f>
        <v>15</v>
      </c>
      <c r="R113" s="6">
        <v>35</v>
      </c>
      <c r="S113" s="39">
        <v>1</v>
      </c>
      <c r="T113" s="39">
        <v>1</v>
      </c>
      <c r="U113" s="6">
        <v>0</v>
      </c>
      <c r="V113" s="5" t="str">
        <f ca="1">VLOOKUP($W113,OFFSET([5]enemy_skill_sets!$B$1,0,0,COUNTA([5]enemy_skill_sets!$B:$B),MATCH(M$1,[5]enemy_skill_sets!$1:$1,0)-MATCH($W$1,[5]enemy_skill_sets!$1:$1,0)+2),MATCH(M$1,[5]enemy_skill_sets!$1:$1,0)-MATCH($W$1,[5]enemy_skill_sets!$1:$1,0)+2,FALSE)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3" s="5">
        <f ca="1">VLOOKUP($L113,OFFSET([3]enemies!$A$1,0,0,COUNTA([3]enemies!$A:$A),MATCH(W$1,[3]enemies!$1:$1,0)-MATCH($L$1,[3]enemies!$1:$1,0)+1),MATCH(W$1,[3]enemies!$1:$1,0)-MATCH($L$1,[3]enemies!$1:$1,0)+1,FALSE)</f>
        <v>0</v>
      </c>
      <c r="X113" s="7">
        <v>0</v>
      </c>
      <c r="Y113" s="7">
        <v>100</v>
      </c>
      <c r="Z113" s="7">
        <v>0</v>
      </c>
      <c r="AA113" s="20">
        <f ca="1">VLOOKUP($L113,OFFSET([3]enemies!$A$1,0,0,COUNTA([3]enemies!$A:$A),MATCH(AA$1,[3]enemies!$1:$1,0)-MATCH($L$1,[3]enemies!$1:$1,0)+1),MATCH(AA$1,[3]enemies!$1:$1,0)-MATCH($L$1,[3]enemies!$1:$1,0)+1,FALSE)</f>
        <v>2</v>
      </c>
      <c r="AB113" s="24">
        <v>29</v>
      </c>
      <c r="AC113" s="5" t="str">
        <f ca="1">IFERROR(VLOOKUP($AB113,OFFSET([4]characters!$A$1,0,0,COUNTA([4]characters!$A:$A),MATCH(AC$1,[4]characters!$1:$1,0)-MATCH("character_id",[4]characters!$1:$1,0)+1),MATCH(AC$1,[4]characters!$1:$1,0)-MATCH("character_id",[4]characters!$1:$1,0)+1,FALSE),"")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13" s="5">
        <f ca="1">IFERROR(VLOOKUP($AB113,OFFSET([4]characters!$A$1,0,0,COUNTA([4]characters!$A:$A),MATCH(AD$1,[4]characters!$1:$1,0)-MATCH("character_id",[4]characters!$1:$1,0)+1),MATCH(AD$1,[4]characters!$1:$1,0)-MATCH("character_id",[4]characters!$1:$1,0)+1,FALSE),"")</f>
        <v>1</v>
      </c>
      <c r="AE113" s="5" t="str">
        <f ca="1">IFERROR(VLOOKUP($AB113,OFFSET([4]characters!$A$1,0,0,COUNTA([4]characters!$A:$A),MATCH(AE$1,[4]characters!$1:$1,0)-MATCH("character_id",[4]characters!$1:$1,0)+1),MATCH(AE$1,[4]characters!$1:$1,0)-MATCH("character_id",[4]characters!$1:$1,0)+1,FALSE),"")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3" s="8">
        <v>1</v>
      </c>
      <c r="AG113" s="27">
        <f t="shared" ca="1" si="64"/>
        <v>1</v>
      </c>
      <c r="AH113" s="9">
        <v>0</v>
      </c>
      <c r="AI113" s="8">
        <v>0</v>
      </c>
      <c r="AJ113" s="8">
        <v>0</v>
      </c>
      <c r="AK113" s="8">
        <v>0</v>
      </c>
      <c r="AL113" s="8">
        <v>0</v>
      </c>
      <c r="AM113" s="8">
        <v>1</v>
      </c>
      <c r="AN113" s="8">
        <v>1</v>
      </c>
    </row>
    <row r="114" spans="1:40" ht="21" customHeight="1" x14ac:dyDescent="0.15">
      <c r="A114" s="17" t="str">
        <f t="shared" ca="1" si="62"/>
        <v>11003_3-2/340&lt;lv1&gt;s1</v>
      </c>
      <c r="B114" s="8">
        <v>11003</v>
      </c>
      <c r="C114" s="25">
        <v>3</v>
      </c>
      <c r="D114" s="2" t="str">
        <f t="shared" si="63"/>
        <v>11003_3</v>
      </c>
      <c r="E114" s="5" t="str">
        <f ca="1">VLOOKUP($B114,OFFSET([2]quests!$A$1,0,0,COUNTA([2]quests!$A:$A),MATCH(E$1,[2]quests!$1:$1,0)-MATCH($B$1,[2]quests!$1:$1,0)+1),MATCH(E$1,[2]quests!$1:$1,0)-MATCH($B$1,[2]quests!$1:$1,0)+1,FALSE)</f>
        <v>【水曜限定】 青の素材</v>
      </c>
      <c r="F114" s="5" t="str">
        <f ca="1">VLOOKUP($D114,OFFSET([2]stages!$A$1,0,0,COUNTA([2]stages!$A:$A),MATCH(F$1,[2]stages!$2:$2,0)-MATCH($D$1,[2]stages!$2:$2,0)+1),MATCH(F$1,[2]stages!$2:$2,0)-MATCH($D$1,[2]stages!$2:$2,0)+1,FALSE)</f>
        <v>【上級】水のイモムシ</v>
      </c>
      <c r="G114" s="25">
        <v>2</v>
      </c>
      <c r="H114" s="16" t="str">
        <f t="shared" si="49"/>
        <v>11003_3-2</v>
      </c>
      <c r="I114" s="5">
        <f ca="1">VLOOKUP($H114,OFFSET(floors!$A$1,0,0,COUNTA(floors!$A:$A),MATCH(I$1,floors!$1:$1,0)-MATCH($H$1,floors!$1:$1,0)+1),MATCH(I$1,floors!$1:$1,0)-MATCH($H$1,floors!$1:$1,0)+1,FALSE)</f>
        <v>30</v>
      </c>
      <c r="J114" s="5">
        <f ca="1">VLOOKUP($H114,OFFSET(floors!$A$1,0,0,COUNTA(floors!$A:$A),MATCH(J$1,floors!$1:$1,0)-MATCH($H$1,floors!$1:$1,0)+1),MATCH(J$1,floors!$1:$1,0)-MATCH($H$1,floors!$1:$1,0)+1,FALSE)</f>
        <v>45</v>
      </c>
      <c r="K114" s="24" t="s">
        <v>197</v>
      </c>
      <c r="L114" s="24">
        <v>340</v>
      </c>
      <c r="M114" s="20" t="str">
        <f ca="1">VLOOKUP($L114,OFFSET([3]enemies!$A$1,0,0,COUNTA([3]enemies!$A:$A),MATCH(M$1,[3]enemies!$1:$1,0)-MATCH($L$1,[3]enemies!$1:$1,0)+1),MATCH(M$1,[3]enemies!$1:$1,0)-MATCH($L$1,[3]enemies!$1:$1,0)+1,FALSE)</f>
        <v>水のメタルピヨピヨ</v>
      </c>
      <c r="N114" s="20" t="str">
        <f ca="1">VLOOKUP($L114,OFFSET([3]enemies!$A$1,0,0,COUNTA([3]enemies!$A:$A),MATCH(N$1,[3]enemies!$1:$1,0)-MATCH($L$1,[3]enemies!$1:$1,0)+1),MATCH(N$1,[3]enemies!$1:$1,0)-MATCH($L$1,[3]enemies!$1:$1,0)+1,FALSE)</f>
        <v>blue</v>
      </c>
      <c r="O114" s="22" t="str">
        <f ca="1">VLOOKUP($L114,OFFSET([4]characters!$A$1,0,0,COUNTA([4]characters!$A:$A),MATCH(O$1,[4]characters!$1:$1,0)-MATCH($L$1,[4]characters!$1:$1,0)+1),MATCH(O$1,[4]characters!$1:$1,0)-MATCH($L$1,[4]characters!$1:$1,0)+1,FALSE)</f>
        <v>Material</v>
      </c>
      <c r="P114" s="20" t="str">
        <f ca="1">VLOOKUP($L114,OFFSET([3]enemies!$A$1,0,0,COUNTA([3]enemies!$A:$A),MATCH(P$1,[3]enemies!$1:$1,0)-MATCH($L$1,[3]enemies!$1:$1,0)+1),MATCH(P$1,[3]enemies!$1:$1,0)-MATCH($L$1,[3]enemies!$1:$1,0)+1,FALSE)</f>
        <v>unknown</v>
      </c>
      <c r="Q114" s="20">
        <f ca="1">VLOOKUP($L114,OFFSET([3]enemies!$A$1,0,0,COUNTA([3]enemies!$A:$A),MATCH(Q$1,[3]enemies!$1:$1,0)-MATCH($L$1,[3]enemies!$1:$1,0)+1),MATCH(Q$1,[3]enemies!$1:$1,0)-MATCH($L$1,[3]enemies!$1:$1,0)+1,FALSE)</f>
        <v>15</v>
      </c>
      <c r="R114" s="6">
        <v>1</v>
      </c>
      <c r="S114" s="39">
        <v>1</v>
      </c>
      <c r="T114" s="39">
        <v>1</v>
      </c>
      <c r="U114" s="6">
        <v>0</v>
      </c>
      <c r="V114" s="5" t="str">
        <f ca="1">VLOOKUP($W114,OFFSET([5]enemy_skill_sets!$B$1,0,0,COUNTA([5]enemy_skill_sets!$B:$B),MATCH(M$1,[5]enemy_skill_sets!$1:$1,0)-MATCH($W$1,[5]enemy_skill_sets!$1:$1,0)+2),MATCH(M$1,[5]enemy_skill_sets!$1:$1,0)-MATCH($W$1,[5]enemy_skill_sets!$1:$1,0)+2,FALSE)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4" s="5">
        <f ca="1">VLOOKUP($L114,OFFSET([3]enemies!$A$1,0,0,COUNTA([3]enemies!$A:$A),MATCH(W$1,[3]enemies!$1:$1,0)-MATCH($L$1,[3]enemies!$1:$1,0)+1),MATCH(W$1,[3]enemies!$1:$1,0)-MATCH($L$1,[3]enemies!$1:$1,0)+1,FALSE)</f>
        <v>0</v>
      </c>
      <c r="X114" s="7">
        <v>0</v>
      </c>
      <c r="Y114" s="7">
        <v>30</v>
      </c>
      <c r="Z114" s="7">
        <v>0</v>
      </c>
      <c r="AA114" s="20">
        <f ca="1">VLOOKUP($L114,OFFSET([3]enemies!$A$1,0,0,COUNTA([3]enemies!$A:$A),MATCH(AA$1,[3]enemies!$1:$1,0)-MATCH($L$1,[3]enemies!$1:$1,0)+1),MATCH(AA$1,[3]enemies!$1:$1,0)-MATCH($L$1,[3]enemies!$1:$1,0)+1,FALSE)</f>
        <v>1</v>
      </c>
      <c r="AB114" s="24">
        <v>340</v>
      </c>
      <c r="AC114" s="5" t="str">
        <f ca="1">IFERROR(VLOOKUP($AB114,OFFSET([4]characters!$A$1,0,0,COUNTA([4]characters!$A:$A),MATCH(AC$1,[4]characters!$1:$1,0)-MATCH("character_id",[4]characters!$1:$1,0)+1),MATCH(AC$1,[4]characters!$1:$1,0)-MATCH("character_id",[4]characters!$1:$1,0)+1,FALSE),"")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14" s="5">
        <f ca="1">IFERROR(VLOOKUP($AB114,OFFSET([4]characters!$A$1,0,0,COUNTA([4]characters!$A:$A),MATCH(AD$1,[4]characters!$1:$1,0)-MATCH("character_id",[4]characters!$1:$1,0)+1),MATCH(AD$1,[4]characters!$1:$1,0)-MATCH("character_id",[4]characters!$1:$1,0)+1,FALSE),"")</f>
        <v>3</v>
      </c>
      <c r="AE114" s="5" t="str">
        <f ca="1">IFERROR(VLOOKUP($AB114,OFFSET([4]characters!$A$1,0,0,COUNTA([4]characters!$A:$A),MATCH(AE$1,[4]characters!$1:$1,0)-MATCH("character_id",[4]characters!$1:$1,0)+1),MATCH(AE$1,[4]characters!$1:$1,0)-MATCH("character_id",[4]characters!$1:$1,0)+1,FALSE),"")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4" s="8">
        <v>1</v>
      </c>
      <c r="AG114" s="27">
        <f t="shared" ca="1" si="64"/>
        <v>3</v>
      </c>
      <c r="AH114" s="9">
        <v>10</v>
      </c>
      <c r="AI114" s="8">
        <v>0</v>
      </c>
      <c r="AJ114" s="8">
        <v>0</v>
      </c>
      <c r="AK114" s="8">
        <v>0</v>
      </c>
      <c r="AL114" s="8">
        <v>0</v>
      </c>
      <c r="AM114" s="8">
        <v>1</v>
      </c>
      <c r="AN114" s="8">
        <v>1</v>
      </c>
    </row>
    <row r="115" spans="1:40" ht="21" customHeight="1" x14ac:dyDescent="0.15">
      <c r="A115" s="17" t="str">
        <f t="shared" ca="1" si="62"/>
        <v>11003_3-2/341&lt;lv1&gt;s2</v>
      </c>
      <c r="B115" s="8">
        <v>11003</v>
      </c>
      <c r="C115" s="25">
        <v>3</v>
      </c>
      <c r="D115" s="2" t="str">
        <f t="shared" si="63"/>
        <v>11003_3</v>
      </c>
      <c r="E115" s="5" t="str">
        <f ca="1">VLOOKUP($B115,OFFSET([2]quests!$A$1,0,0,COUNTA([2]quests!$A:$A),MATCH(E$1,[2]quests!$1:$1,0)-MATCH($B$1,[2]quests!$1:$1,0)+1),MATCH(E$1,[2]quests!$1:$1,0)-MATCH($B$1,[2]quests!$1:$1,0)+1,FALSE)</f>
        <v>【水曜限定】 青の素材</v>
      </c>
      <c r="F115" s="5" t="str">
        <f ca="1">VLOOKUP($D115,OFFSET([2]stages!$A$1,0,0,COUNTA([2]stages!$A:$A),MATCH(F$1,[2]stages!$2:$2,0)-MATCH($D$1,[2]stages!$2:$2,0)+1),MATCH(F$1,[2]stages!$2:$2,0)-MATCH($D$1,[2]stages!$2:$2,0)+1,FALSE)</f>
        <v>【上級】水のイモムシ</v>
      </c>
      <c r="G115" s="25">
        <v>2</v>
      </c>
      <c r="H115" s="16" t="str">
        <f t="shared" si="49"/>
        <v>11003_3-2</v>
      </c>
      <c r="I115" s="5">
        <f ca="1">VLOOKUP($H115,OFFSET(floors!$A$1,0,0,COUNTA(floors!$A:$A),MATCH(I$1,floors!$1:$1,0)-MATCH($H$1,floors!$1:$1,0)+1),MATCH(I$1,floors!$1:$1,0)-MATCH($H$1,floors!$1:$1,0)+1,FALSE)</f>
        <v>30</v>
      </c>
      <c r="J115" s="5">
        <f ca="1">VLOOKUP($H115,OFFSET(floors!$A$1,0,0,COUNTA(floors!$A:$A),MATCH(J$1,floors!$1:$1,0)-MATCH($H$1,floors!$1:$1,0)+1),MATCH(J$1,floors!$1:$1,0)-MATCH($H$1,floors!$1:$1,0)+1,FALSE)</f>
        <v>45</v>
      </c>
      <c r="K115" s="24" t="s">
        <v>197</v>
      </c>
      <c r="L115" s="24">
        <v>341</v>
      </c>
      <c r="M115" s="20" t="str">
        <f ca="1">VLOOKUP($L115,OFFSET([3]enemies!$A$1,0,0,COUNTA([3]enemies!$A:$A),MATCH(M$1,[3]enemies!$1:$1,0)-MATCH($L$1,[3]enemies!$1:$1,0)+1),MATCH(M$1,[3]enemies!$1:$1,0)-MATCH($L$1,[3]enemies!$1:$1,0)+1,FALSE)</f>
        <v>水のメタルチック</v>
      </c>
      <c r="N115" s="20" t="str">
        <f ca="1">VLOOKUP($L115,OFFSET([3]enemies!$A$1,0,0,COUNTA([3]enemies!$A:$A),MATCH(N$1,[3]enemies!$1:$1,0)-MATCH($L$1,[3]enemies!$1:$1,0)+1),MATCH(N$1,[3]enemies!$1:$1,0)-MATCH($L$1,[3]enemies!$1:$1,0)+1,FALSE)</f>
        <v>blue</v>
      </c>
      <c r="O115" s="22" t="str">
        <f ca="1">VLOOKUP($L115,OFFSET([4]characters!$A$1,0,0,COUNTA([4]characters!$A:$A),MATCH(O$1,[4]characters!$1:$1,0)-MATCH($L$1,[4]characters!$1:$1,0)+1),MATCH(O$1,[4]characters!$1:$1,0)-MATCH($L$1,[4]characters!$1:$1,0)+1,FALSE)</f>
        <v>Material</v>
      </c>
      <c r="P115" s="20" t="str">
        <f ca="1">VLOOKUP($L115,OFFSET([3]enemies!$A$1,0,0,COUNTA([3]enemies!$A:$A),MATCH(P$1,[3]enemies!$1:$1,0)-MATCH($L$1,[3]enemies!$1:$1,0)+1),MATCH(P$1,[3]enemies!$1:$1,0)-MATCH($L$1,[3]enemies!$1:$1,0)+1,FALSE)</f>
        <v>unknown</v>
      </c>
      <c r="Q115" s="20">
        <f ca="1">VLOOKUP($L115,OFFSET([3]enemies!$A$1,0,0,COUNTA([3]enemies!$A:$A),MATCH(Q$1,[3]enemies!$1:$1,0)-MATCH($L$1,[3]enemies!$1:$1,0)+1),MATCH(Q$1,[3]enemies!$1:$1,0)-MATCH($L$1,[3]enemies!$1:$1,0)+1,FALSE)</f>
        <v>15</v>
      </c>
      <c r="R115" s="6">
        <v>1</v>
      </c>
      <c r="S115" s="39">
        <v>1</v>
      </c>
      <c r="T115" s="39">
        <v>1</v>
      </c>
      <c r="U115" s="6">
        <v>0</v>
      </c>
      <c r="V115" s="5" t="str">
        <f ca="1">VLOOKUP($W115,OFFSET([5]enemy_skill_sets!$B$1,0,0,COUNTA([5]enemy_skill_sets!$B:$B),MATCH(M$1,[5]enemy_skill_sets!$1:$1,0)-MATCH($W$1,[5]enemy_skill_sets!$1:$1,0)+2),MATCH(M$1,[5]enemy_skill_sets!$1:$1,0)-MATCH($W$1,[5]enemy_skill_sets!$1:$1,0)+2,FALSE)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5" s="5">
        <f ca="1">VLOOKUP($L115,OFFSET([3]enemies!$A$1,0,0,COUNTA([3]enemies!$A:$A),MATCH(W$1,[3]enemies!$1:$1,0)-MATCH($L$1,[3]enemies!$1:$1,0)+1),MATCH(W$1,[3]enemies!$1:$1,0)-MATCH($L$1,[3]enemies!$1:$1,0)+1,FALSE)</f>
        <v>0</v>
      </c>
      <c r="X115" s="7">
        <v>0</v>
      </c>
      <c r="Y115" s="7">
        <v>30</v>
      </c>
      <c r="Z115" s="7">
        <v>0</v>
      </c>
      <c r="AA115" s="20">
        <f ca="1">VLOOKUP($L115,OFFSET([3]enemies!$A$1,0,0,COUNTA([3]enemies!$A:$A),MATCH(AA$1,[3]enemies!$1:$1,0)-MATCH($L$1,[3]enemies!$1:$1,0)+1),MATCH(AA$1,[3]enemies!$1:$1,0)-MATCH($L$1,[3]enemies!$1:$1,0)+1,FALSE)</f>
        <v>2</v>
      </c>
      <c r="AB115" s="24">
        <v>341</v>
      </c>
      <c r="AC115" s="5" t="str">
        <f ca="1">IFERROR(VLOOKUP($AB115,OFFSET([4]characters!$A$1,0,0,COUNTA([4]characters!$A:$A),MATCH(AC$1,[4]characters!$1:$1,0)-MATCH("character_id",[4]characters!$1:$1,0)+1),MATCH(AC$1,[4]characters!$1:$1,0)-MATCH("character_id",[4]characters!$1:$1,0)+1,FALSE),"")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15" s="5">
        <f ca="1">IFERROR(VLOOKUP($AB115,OFFSET([4]characters!$A$1,0,0,COUNTA([4]characters!$A:$A),MATCH(AD$1,[4]characters!$1:$1,0)-MATCH("character_id",[4]characters!$1:$1,0)+1),MATCH(AD$1,[4]characters!$1:$1,0)-MATCH("character_id",[4]characters!$1:$1,0)+1,FALSE),"")</f>
        <v>4</v>
      </c>
      <c r="AE115" s="5" t="str">
        <f ca="1">IFERROR(VLOOKUP($AB115,OFFSET([4]characters!$A$1,0,0,COUNTA([4]characters!$A:$A),MATCH(AE$1,[4]characters!$1:$1,0)-MATCH("character_id",[4]characters!$1:$1,0)+1),MATCH(AE$1,[4]characters!$1:$1,0)-MATCH("character_id",[4]characters!$1:$1,0)+1,FALSE),"")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5" s="8">
        <v>1</v>
      </c>
      <c r="AG115" s="27">
        <f t="shared" ca="1" si="64"/>
        <v>4</v>
      </c>
      <c r="AH115" s="9">
        <v>5</v>
      </c>
      <c r="AI115" s="8">
        <v>0</v>
      </c>
      <c r="AJ115" s="8">
        <v>0</v>
      </c>
      <c r="AK115" s="8">
        <v>0</v>
      </c>
      <c r="AL115" s="8">
        <v>0</v>
      </c>
      <c r="AM115" s="8">
        <v>1</v>
      </c>
      <c r="AN115" s="8">
        <v>1</v>
      </c>
    </row>
    <row r="116" spans="1:40" ht="21" customHeight="1" x14ac:dyDescent="0.15">
      <c r="A116" s="17" t="str">
        <f t="shared" ca="1" si="59"/>
        <v>11003_3-3/111&lt;lv30&gt;s1</v>
      </c>
      <c r="B116" s="8">
        <v>11003</v>
      </c>
      <c r="C116" s="25">
        <v>3</v>
      </c>
      <c r="D116" s="2" t="str">
        <f t="shared" si="60"/>
        <v>11003_3</v>
      </c>
      <c r="E116" s="5" t="str">
        <f ca="1">VLOOKUP($B116,OFFSET([2]quests!$A$1,0,0,COUNTA([2]quests!$A:$A),MATCH(E$1,[2]quests!$1:$1,0)-MATCH($B$1,[2]quests!$1:$1,0)+1),MATCH(E$1,[2]quests!$1:$1,0)-MATCH($B$1,[2]quests!$1:$1,0)+1,FALSE)</f>
        <v>【水曜限定】 青の素材</v>
      </c>
      <c r="F116" s="5" t="str">
        <f ca="1">VLOOKUP($D116,OFFSET([2]stages!$A$1,0,0,COUNTA([2]stages!$A:$A),MATCH(F$1,[2]stages!$2:$2,0)-MATCH($D$1,[2]stages!$2:$2,0)+1),MATCH(F$1,[2]stages!$2:$2,0)-MATCH($D$1,[2]stages!$2:$2,0)+1,FALSE)</f>
        <v>【上級】水のイモムシ</v>
      </c>
      <c r="G116" s="25">
        <v>3</v>
      </c>
      <c r="H116" s="16" t="str">
        <f t="shared" si="49"/>
        <v>11003_3-3</v>
      </c>
      <c r="I116" s="5">
        <f ca="1">VLOOKUP($H116,OFFSET(floors!$A$1,0,0,COUNTA(floors!$A:$A),MATCH(I$1,floors!$1:$1,0)-MATCH($H$1,floors!$1:$1,0)+1),MATCH(I$1,floors!$1:$1,0)-MATCH($H$1,floors!$1:$1,0)+1,FALSE)</f>
        <v>45</v>
      </c>
      <c r="J116" s="5">
        <f ca="1">VLOOKUP($H116,OFFSET(floors!$A$1,0,0,COUNTA(floors!$A:$A),MATCH(J$1,floors!$1:$1,0)-MATCH($H$1,floors!$1:$1,0)+1),MATCH(J$1,floors!$1:$1,0)-MATCH($H$1,floors!$1:$1,0)+1,FALSE)</f>
        <v>45</v>
      </c>
      <c r="K116" s="24" t="s">
        <v>197</v>
      </c>
      <c r="L116" s="24">
        <v>111</v>
      </c>
      <c r="M116" s="20" t="str">
        <f ca="1">VLOOKUP($L116,OFFSET([3]enemies!$A$1,0,0,COUNTA([3]enemies!$A:$A),MATCH(M$1,[3]enemies!$1:$1,0)-MATCH($L$1,[3]enemies!$1:$1,0)+1),MATCH(M$1,[3]enemies!$1:$1,0)-MATCH($L$1,[3]enemies!$1:$1,0)+1,FALSE)</f>
        <v>ブルーキャタップ</v>
      </c>
      <c r="N116" s="20" t="str">
        <f ca="1">VLOOKUP($L116,OFFSET([3]enemies!$A$1,0,0,COUNTA([3]enemies!$A:$A),MATCH(N$1,[3]enemies!$1:$1,0)-MATCH($L$1,[3]enemies!$1:$1,0)+1),MATCH(N$1,[3]enemies!$1:$1,0)-MATCH($L$1,[3]enemies!$1:$1,0)+1,FALSE)</f>
        <v>blue</v>
      </c>
      <c r="O116" s="22" t="str">
        <f ca="1">VLOOKUP($L116,OFFSET([4]characters!$A$1,0,0,COUNTA([4]characters!$A:$A),MATCH(O$1,[4]characters!$1:$1,0)-MATCH($L$1,[4]characters!$1:$1,0)+1),MATCH(O$1,[4]characters!$1:$1,0)-MATCH($L$1,[4]characters!$1:$1,0)+1,FALSE)</f>
        <v>Material</v>
      </c>
      <c r="P116" s="20" t="str">
        <f ca="1">VLOOKUP($L116,OFFSET([3]enemies!$A$1,0,0,COUNTA([3]enemies!$A:$A),MATCH(P$1,[3]enemies!$1:$1,0)-MATCH($L$1,[3]enemies!$1:$1,0)+1),MATCH(P$1,[3]enemies!$1:$1,0)-MATCH($L$1,[3]enemies!$1:$1,0)+1,FALSE)</f>
        <v>unknown</v>
      </c>
      <c r="Q116" s="20">
        <f ca="1">VLOOKUP($L116,OFFSET([3]enemies!$A$1,0,0,COUNTA([3]enemies!$A:$A),MATCH(Q$1,[3]enemies!$1:$1,0)-MATCH($L$1,[3]enemies!$1:$1,0)+1),MATCH(Q$1,[3]enemies!$1:$1,0)-MATCH($L$1,[3]enemies!$1:$1,0)+1,FALSE)</f>
        <v>15</v>
      </c>
      <c r="R116" s="6">
        <v>30</v>
      </c>
      <c r="S116" s="39">
        <v>2</v>
      </c>
      <c r="T116" s="39">
        <v>1</v>
      </c>
      <c r="U116" s="6">
        <v>0</v>
      </c>
      <c r="V116" s="5" t="str">
        <f ca="1">VLOOKUP($W116,OFFSET([5]enemy_skill_sets!$B$1,0,0,COUNTA([5]enemy_skill_sets!$B:$B),MATCH(M$1,[5]enemy_skill_sets!$1:$1,0)-MATCH($W$1,[5]enemy_skill_sets!$1:$1,0)+2),MATCH(M$1,[5]enemy_skill_sets!$1:$1,0)-MATCH($W$1,[5]enemy_skill_sets!$1:$1,0)+2,FALSE)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6" s="5">
        <f ca="1">VLOOKUP($L116,OFFSET([3]enemies!$A$1,0,0,COUNTA([3]enemies!$A:$A),MATCH(W$1,[3]enemies!$1:$1,0)-MATCH($L$1,[3]enemies!$1:$1,0)+1),MATCH(W$1,[3]enemies!$1:$1,0)-MATCH($L$1,[3]enemies!$1:$1,0)+1,FALSE)</f>
        <v>0</v>
      </c>
      <c r="X116" s="7">
        <v>1</v>
      </c>
      <c r="Y116" s="7">
        <v>100</v>
      </c>
      <c r="Z116" s="7">
        <v>1</v>
      </c>
      <c r="AA116" s="20">
        <f ca="1">VLOOKUP($L116,OFFSET([3]enemies!$A$1,0,0,COUNTA([3]enemies!$A:$A),MATCH(AA$1,[3]enemies!$1:$1,0)-MATCH($L$1,[3]enemies!$1:$1,0)+1),MATCH(AA$1,[3]enemies!$1:$1,0)-MATCH($L$1,[3]enemies!$1:$1,0)+1,FALSE)</f>
        <v>1</v>
      </c>
      <c r="AB116" s="24">
        <v>111</v>
      </c>
      <c r="AC116" s="5" t="str">
        <f ca="1">IFERROR(VLOOKUP($AB116,OFFSET([4]characters!$A$1,0,0,COUNTA([4]characters!$A:$A),MATCH(AC$1,[4]characters!$1:$1,0)-MATCH("character_id",[4]characters!$1:$1,0)+1),MATCH(AC$1,[4]characters!$1:$1,0)-MATCH("character_id",[4]characters!$1:$1,0)+1,FALSE),"")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16" s="5">
        <f ca="1">IFERROR(VLOOKUP($AB116,OFFSET([4]characters!$A$1,0,0,COUNTA([4]characters!$A:$A),MATCH(AD$1,[4]characters!$1:$1,0)-MATCH("character_id",[4]characters!$1:$1,0)+1),MATCH(AD$1,[4]characters!$1:$1,0)-MATCH("character_id",[4]characters!$1:$1,0)+1,FALSE),"")</f>
        <v>4</v>
      </c>
      <c r="AE116" s="5" t="str">
        <f ca="1">IFERROR(VLOOKUP($AB116,OFFSET([4]characters!$A$1,0,0,COUNTA([4]characters!$A:$A),MATCH(AE$1,[4]characters!$1:$1,0)-MATCH("character_id",[4]characters!$1:$1,0)+1),MATCH(AE$1,[4]characters!$1:$1,0)-MATCH("character_id",[4]characters!$1:$1,0)+1,FALSE),"")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6" s="8">
        <v>1</v>
      </c>
      <c r="AG116" s="27">
        <f t="shared" ca="1" si="61"/>
        <v>4</v>
      </c>
      <c r="AH116" s="9">
        <v>50</v>
      </c>
      <c r="AI116" s="8">
        <v>0</v>
      </c>
      <c r="AJ116" s="8">
        <v>0</v>
      </c>
      <c r="AK116" s="8">
        <v>0</v>
      </c>
      <c r="AL116" s="8">
        <v>0</v>
      </c>
      <c r="AM116" s="8">
        <v>1</v>
      </c>
      <c r="AN116" s="8">
        <v>1</v>
      </c>
    </row>
    <row r="117" spans="1:40" ht="21" customHeight="1" x14ac:dyDescent="0.15">
      <c r="A117" s="17" t="str">
        <f t="shared" ca="1" si="59"/>
        <v>11003_3-3/37&lt;lv35&gt;s3</v>
      </c>
      <c r="B117" s="8">
        <v>11003</v>
      </c>
      <c r="C117" s="25">
        <v>3</v>
      </c>
      <c r="D117" s="2" t="str">
        <f t="shared" si="60"/>
        <v>11003_3</v>
      </c>
      <c r="E117" s="5" t="str">
        <f ca="1">VLOOKUP($B117,OFFSET([2]quests!$A$1,0,0,COUNTA([2]quests!$A:$A),MATCH(E$1,[2]quests!$1:$1,0)-MATCH($B$1,[2]quests!$1:$1,0)+1),MATCH(E$1,[2]quests!$1:$1,0)-MATCH($B$1,[2]quests!$1:$1,0)+1,FALSE)</f>
        <v>【水曜限定】 青の素材</v>
      </c>
      <c r="F117" s="5" t="str">
        <f ca="1">VLOOKUP($D117,OFFSET([2]stages!$A$1,0,0,COUNTA([2]stages!$A:$A),MATCH(F$1,[2]stages!$2:$2,0)-MATCH($D$1,[2]stages!$2:$2,0)+1),MATCH(F$1,[2]stages!$2:$2,0)-MATCH($D$1,[2]stages!$2:$2,0)+1,FALSE)</f>
        <v>【上級】水のイモムシ</v>
      </c>
      <c r="G117" s="25">
        <v>3</v>
      </c>
      <c r="H117" s="16" t="str">
        <f t="shared" si="49"/>
        <v>11003_3-3</v>
      </c>
      <c r="I117" s="5">
        <f ca="1">VLOOKUP($H117,OFFSET(floors!$A$1,0,0,COUNTA(floors!$A:$A),MATCH(I$1,floors!$1:$1,0)-MATCH($H$1,floors!$1:$1,0)+1),MATCH(I$1,floors!$1:$1,0)-MATCH($H$1,floors!$1:$1,0)+1,FALSE)</f>
        <v>45</v>
      </c>
      <c r="J117" s="5">
        <f ca="1">VLOOKUP($H117,OFFSET(floors!$A$1,0,0,COUNTA(floors!$A:$A),MATCH(J$1,floors!$1:$1,0)-MATCH($H$1,floors!$1:$1,0)+1),MATCH(J$1,floors!$1:$1,0)-MATCH($H$1,floors!$1:$1,0)+1,FALSE)</f>
        <v>45</v>
      </c>
      <c r="K117" s="24" t="s">
        <v>197</v>
      </c>
      <c r="L117" s="24">
        <v>37</v>
      </c>
      <c r="M117" s="20" t="str">
        <f ca="1">VLOOKUP($L117,OFFSET([3]enemies!$A$1,0,0,COUNTA([3]enemies!$A:$A),MATCH(M$1,[3]enemies!$1:$1,0)-MATCH($L$1,[3]enemies!$1:$1,0)+1),MATCH(M$1,[3]enemies!$1:$1,0)-MATCH($L$1,[3]enemies!$1:$1,0)+1,FALSE)</f>
        <v>ガイル</v>
      </c>
      <c r="N117" s="20" t="str">
        <f ca="1">VLOOKUP($L117,OFFSET([3]enemies!$A$1,0,0,COUNTA([3]enemies!$A:$A),MATCH(N$1,[3]enemies!$1:$1,0)-MATCH($L$1,[3]enemies!$1:$1,0)+1),MATCH(N$1,[3]enemies!$1:$1,0)-MATCH($L$1,[3]enemies!$1:$1,0)+1,FALSE)</f>
        <v>blue</v>
      </c>
      <c r="O117" s="22" t="str">
        <f ca="1">VLOOKUP($L117,OFFSET([4]characters!$A$1,0,0,COUNTA([4]characters!$A:$A),MATCH(O$1,[4]characters!$1:$1,0)-MATCH($L$1,[4]characters!$1:$1,0)+1),MATCH(O$1,[4]characters!$1:$1,0)-MATCH($L$1,[4]characters!$1:$1,0)+1,FALSE)</f>
        <v>Drop1S</v>
      </c>
      <c r="P117" s="20" t="str">
        <f ca="1">VLOOKUP($L117,OFFSET([3]enemies!$A$1,0,0,COUNTA([3]enemies!$A:$A),MATCH(P$1,[3]enemies!$1:$1,0)-MATCH($L$1,[3]enemies!$1:$1,0)+1),MATCH(P$1,[3]enemies!$1:$1,0)-MATCH($L$1,[3]enemies!$1:$1,0)+1,FALSE)</f>
        <v>animal</v>
      </c>
      <c r="Q117" s="20">
        <f ca="1">VLOOKUP($L117,OFFSET([3]enemies!$A$1,0,0,COUNTA([3]enemies!$A:$A),MATCH(Q$1,[3]enemies!$1:$1,0)-MATCH($L$1,[3]enemies!$1:$1,0)+1),MATCH(Q$1,[3]enemies!$1:$1,0)-MATCH($L$1,[3]enemies!$1:$1,0)+1,FALSE)</f>
        <v>15</v>
      </c>
      <c r="R117" s="6">
        <v>35</v>
      </c>
      <c r="S117" s="39">
        <v>1</v>
      </c>
      <c r="T117" s="39">
        <v>1</v>
      </c>
      <c r="U117" s="6">
        <v>0</v>
      </c>
      <c r="V117" s="5" t="str">
        <f ca="1">VLOOKUP($W117,OFFSET([5]enemy_skill_sets!$B$1,0,0,COUNTA([5]enemy_skill_sets!$B:$B),MATCH(M$1,[5]enemy_skill_sets!$1:$1,0)-MATCH($W$1,[5]enemy_skill_sets!$1:$1,0)+2),MATCH(M$1,[5]enemy_skill_sets!$1:$1,0)-MATCH($W$1,[5]enemy_skill_sets!$1:$1,0)+2,FALSE)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17" s="5">
        <f ca="1">VLOOKUP($L117,OFFSET([3]enemies!$A$1,0,0,COUNTA([3]enemies!$A:$A),MATCH(W$1,[3]enemies!$1:$1,0)-MATCH($L$1,[3]enemies!$1:$1,0)+1),MATCH(W$1,[3]enemies!$1:$1,0)-MATCH($L$1,[3]enemies!$1:$1,0)+1,FALSE)</f>
        <v>37</v>
      </c>
      <c r="X117" s="7">
        <v>0</v>
      </c>
      <c r="Y117" s="7">
        <v>100</v>
      </c>
      <c r="Z117" s="7">
        <v>0</v>
      </c>
      <c r="AA117" s="20">
        <f ca="1">VLOOKUP($L117,OFFSET([3]enemies!$A$1,0,0,COUNTA([3]enemies!$A:$A),MATCH(AA$1,[3]enemies!$1:$1,0)-MATCH($L$1,[3]enemies!$1:$1,0)+1),MATCH(AA$1,[3]enemies!$1:$1,0)-MATCH($L$1,[3]enemies!$1:$1,0)+1,FALSE)</f>
        <v>3</v>
      </c>
      <c r="AB117" s="24">
        <v>37</v>
      </c>
      <c r="AC117" s="5" t="str">
        <f ca="1">IFERROR(VLOOKUP($AB117,OFFSET([4]characters!$A$1,0,0,COUNTA([4]characters!$A:$A),MATCH(AC$1,[4]characters!$1:$1,0)-MATCH("character_id",[4]characters!$1:$1,0)+1),MATCH(AC$1,[4]characters!$1:$1,0)-MATCH("character_id",[4]characters!$1:$1,0)+1,FALSE),"")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17" s="5">
        <f ca="1">IFERROR(VLOOKUP($AB117,OFFSET([4]characters!$A$1,0,0,COUNTA([4]characters!$A:$A),MATCH(AD$1,[4]characters!$1:$1,0)-MATCH("character_id",[4]characters!$1:$1,0)+1),MATCH(AD$1,[4]characters!$1:$1,0)-MATCH("character_id",[4]characters!$1:$1,0)+1,FALSE),"")</f>
        <v>2</v>
      </c>
      <c r="AE117" s="5" t="str">
        <f ca="1">IFERROR(VLOOKUP($AB117,OFFSET([4]characters!$A$1,0,0,COUNTA([4]characters!$A:$A),MATCH(AE$1,[4]characters!$1:$1,0)-MATCH("character_id",[4]characters!$1:$1,0)+1),MATCH(AE$1,[4]characters!$1:$1,0)-MATCH("character_id",[4]characters!$1:$1,0)+1,FALSE),"")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17" s="8">
        <v>1</v>
      </c>
      <c r="AG117" s="27">
        <f t="shared" ca="1" si="61"/>
        <v>2</v>
      </c>
      <c r="AH117" s="9">
        <v>0</v>
      </c>
      <c r="AI117" s="8">
        <v>0</v>
      </c>
      <c r="AJ117" s="8">
        <v>0</v>
      </c>
      <c r="AK117" s="8">
        <v>0</v>
      </c>
      <c r="AL117" s="8">
        <v>0</v>
      </c>
      <c r="AM117" s="8">
        <v>1</v>
      </c>
      <c r="AN117" s="8">
        <v>1</v>
      </c>
    </row>
    <row r="118" spans="1:40" ht="21" customHeight="1" x14ac:dyDescent="0.15">
      <c r="A118" s="17" t="str">
        <f t="shared" ca="1" si="59"/>
        <v>11003_3-3/29&lt;lv35&gt;s2</v>
      </c>
      <c r="B118" s="8">
        <v>11003</v>
      </c>
      <c r="C118" s="25">
        <v>3</v>
      </c>
      <c r="D118" s="2" t="str">
        <f t="shared" si="60"/>
        <v>11003_3</v>
      </c>
      <c r="E118" s="5" t="str">
        <f ca="1">VLOOKUP($B118,OFFSET([2]quests!$A$1,0,0,COUNTA([2]quests!$A:$A),MATCH(E$1,[2]quests!$1:$1,0)-MATCH($B$1,[2]quests!$1:$1,0)+1),MATCH(E$1,[2]quests!$1:$1,0)-MATCH($B$1,[2]quests!$1:$1,0)+1,FALSE)</f>
        <v>【水曜限定】 青の素材</v>
      </c>
      <c r="F118" s="5" t="str">
        <f ca="1">VLOOKUP($D118,OFFSET([2]stages!$A$1,0,0,COUNTA([2]stages!$A:$A),MATCH(F$1,[2]stages!$2:$2,0)-MATCH($D$1,[2]stages!$2:$2,0)+1),MATCH(F$1,[2]stages!$2:$2,0)-MATCH($D$1,[2]stages!$2:$2,0)+1,FALSE)</f>
        <v>【上級】水のイモムシ</v>
      </c>
      <c r="G118" s="25">
        <v>3</v>
      </c>
      <c r="H118" s="16" t="str">
        <f t="shared" si="49"/>
        <v>11003_3-3</v>
      </c>
      <c r="I118" s="5">
        <f ca="1">VLOOKUP($H118,OFFSET(floors!$A$1,0,0,COUNTA(floors!$A:$A),MATCH(I$1,floors!$1:$1,0)-MATCH($H$1,floors!$1:$1,0)+1),MATCH(I$1,floors!$1:$1,0)-MATCH($H$1,floors!$1:$1,0)+1,FALSE)</f>
        <v>45</v>
      </c>
      <c r="J118" s="5">
        <f ca="1">VLOOKUP($H118,OFFSET(floors!$A$1,0,0,COUNTA(floors!$A:$A),MATCH(J$1,floors!$1:$1,0)-MATCH($H$1,floors!$1:$1,0)+1),MATCH(J$1,floors!$1:$1,0)-MATCH($H$1,floors!$1:$1,0)+1,FALSE)</f>
        <v>45</v>
      </c>
      <c r="K118" s="24" t="s">
        <v>197</v>
      </c>
      <c r="L118" s="24">
        <v>29</v>
      </c>
      <c r="M118" s="20" t="str">
        <f ca="1">VLOOKUP($L118,OFFSET([3]enemies!$A$1,0,0,COUNTA([3]enemies!$A:$A),MATCH(M$1,[3]enemies!$1:$1,0)-MATCH($L$1,[3]enemies!$1:$1,0)+1),MATCH(M$1,[3]enemies!$1:$1,0)-MATCH($L$1,[3]enemies!$1:$1,0)+1,FALSE)</f>
        <v>スケアクロウ</v>
      </c>
      <c r="N118" s="20" t="str">
        <f ca="1">VLOOKUP($L118,OFFSET([3]enemies!$A$1,0,0,COUNTA([3]enemies!$A:$A),MATCH(N$1,[3]enemies!$1:$1,0)-MATCH($L$1,[3]enemies!$1:$1,0)+1),MATCH(N$1,[3]enemies!$1:$1,0)-MATCH($L$1,[3]enemies!$1:$1,0)+1,FALSE)</f>
        <v>blue</v>
      </c>
      <c r="O118" s="22" t="str">
        <f ca="1">VLOOKUP($L118,OFFSET([4]characters!$A$1,0,0,COUNTA([4]characters!$A:$A),MATCH(O$1,[4]characters!$1:$1,0)-MATCH($L$1,[4]characters!$1:$1,0)+1),MATCH(O$1,[4]characters!$1:$1,0)-MATCH($L$1,[4]characters!$1:$1,0)+1,FALSE)</f>
        <v>Drop1N</v>
      </c>
      <c r="P118" s="20" t="str">
        <f ca="1">VLOOKUP($L118,OFFSET([3]enemies!$A$1,0,0,COUNTA([3]enemies!$A:$A),MATCH(P$1,[3]enemies!$1:$1,0)-MATCH($L$1,[3]enemies!$1:$1,0)+1),MATCH(P$1,[3]enemies!$1:$1,0)-MATCH($L$1,[3]enemies!$1:$1,0)+1,FALSE)</f>
        <v>machine</v>
      </c>
      <c r="Q118" s="20">
        <f ca="1">VLOOKUP($L118,OFFSET([3]enemies!$A$1,0,0,COUNTA([3]enemies!$A:$A),MATCH(Q$1,[3]enemies!$1:$1,0)-MATCH($L$1,[3]enemies!$1:$1,0)+1),MATCH(Q$1,[3]enemies!$1:$1,0)-MATCH($L$1,[3]enemies!$1:$1,0)+1,FALSE)</f>
        <v>15</v>
      </c>
      <c r="R118" s="6">
        <v>35</v>
      </c>
      <c r="S118" s="39">
        <v>1</v>
      </c>
      <c r="T118" s="39">
        <v>1</v>
      </c>
      <c r="U118" s="6">
        <v>0</v>
      </c>
      <c r="V118" s="5" t="str">
        <f ca="1">VLOOKUP($W118,OFFSET([5]enemy_skill_sets!$B$1,0,0,COUNTA([5]enemy_skill_sets!$B:$B),MATCH(M$1,[5]enemy_skill_sets!$1:$1,0)-MATCH($W$1,[5]enemy_skill_sets!$1:$1,0)+2),MATCH(M$1,[5]enemy_skill_sets!$1:$1,0)-MATCH($W$1,[5]enemy_skill_sets!$1:$1,0)+2,FALSE)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8" s="5">
        <f ca="1">VLOOKUP($L118,OFFSET([3]enemies!$A$1,0,0,COUNTA([3]enemies!$A:$A),MATCH(W$1,[3]enemies!$1:$1,0)-MATCH($L$1,[3]enemies!$1:$1,0)+1),MATCH(W$1,[3]enemies!$1:$1,0)-MATCH($L$1,[3]enemies!$1:$1,0)+1,FALSE)</f>
        <v>0</v>
      </c>
      <c r="X118" s="7">
        <v>0</v>
      </c>
      <c r="Y118" s="7">
        <v>100</v>
      </c>
      <c r="Z118" s="7">
        <v>0</v>
      </c>
      <c r="AA118" s="20">
        <f ca="1">VLOOKUP($L118,OFFSET([3]enemies!$A$1,0,0,COUNTA([3]enemies!$A:$A),MATCH(AA$1,[3]enemies!$1:$1,0)-MATCH($L$1,[3]enemies!$1:$1,0)+1),MATCH(AA$1,[3]enemies!$1:$1,0)-MATCH($L$1,[3]enemies!$1:$1,0)+1,FALSE)</f>
        <v>2</v>
      </c>
      <c r="AB118" s="24">
        <v>29</v>
      </c>
      <c r="AC118" s="5" t="str">
        <f ca="1">IFERROR(VLOOKUP($AB118,OFFSET([4]characters!$A$1,0,0,COUNTA([4]characters!$A:$A),MATCH(AC$1,[4]characters!$1:$1,0)-MATCH("character_id",[4]characters!$1:$1,0)+1),MATCH(AC$1,[4]characters!$1:$1,0)-MATCH("character_id",[4]characters!$1:$1,0)+1,FALSE),"")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18" s="5">
        <f ca="1">IFERROR(VLOOKUP($AB118,OFFSET([4]characters!$A$1,0,0,COUNTA([4]characters!$A:$A),MATCH(AD$1,[4]characters!$1:$1,0)-MATCH("character_id",[4]characters!$1:$1,0)+1),MATCH(AD$1,[4]characters!$1:$1,0)-MATCH("character_id",[4]characters!$1:$1,0)+1,FALSE),"")</f>
        <v>1</v>
      </c>
      <c r="AE118" s="5" t="str">
        <f ca="1">IFERROR(VLOOKUP($AB118,OFFSET([4]characters!$A$1,0,0,COUNTA([4]characters!$A:$A),MATCH(AE$1,[4]characters!$1:$1,0)-MATCH("character_id",[4]characters!$1:$1,0)+1),MATCH(AE$1,[4]characters!$1:$1,0)-MATCH("character_id",[4]characters!$1:$1,0)+1,FALSE),"")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8" s="8">
        <v>1</v>
      </c>
      <c r="AG118" s="27">
        <f t="shared" ca="1" si="61"/>
        <v>1</v>
      </c>
      <c r="AH118" s="9">
        <v>0</v>
      </c>
      <c r="AI118" s="8">
        <v>0</v>
      </c>
      <c r="AJ118" s="8">
        <v>0</v>
      </c>
      <c r="AK118" s="8">
        <v>0</v>
      </c>
      <c r="AL118" s="8">
        <v>0</v>
      </c>
      <c r="AM118" s="8">
        <v>1</v>
      </c>
      <c r="AN118" s="8">
        <v>1</v>
      </c>
    </row>
    <row r="119" spans="1:40" ht="21" customHeight="1" x14ac:dyDescent="0.15">
      <c r="A119" s="17" t="str">
        <f t="shared" ca="1" si="59"/>
        <v>11003_3-3/340&lt;lv1&gt;s1</v>
      </c>
      <c r="B119" s="8">
        <v>11003</v>
      </c>
      <c r="C119" s="25">
        <v>3</v>
      </c>
      <c r="D119" s="2" t="str">
        <f t="shared" si="60"/>
        <v>11003_3</v>
      </c>
      <c r="E119" s="5" t="str">
        <f ca="1">VLOOKUP($B119,OFFSET([2]quests!$A$1,0,0,COUNTA([2]quests!$A:$A),MATCH(E$1,[2]quests!$1:$1,0)-MATCH($B$1,[2]quests!$1:$1,0)+1),MATCH(E$1,[2]quests!$1:$1,0)-MATCH($B$1,[2]quests!$1:$1,0)+1,FALSE)</f>
        <v>【水曜限定】 青の素材</v>
      </c>
      <c r="F119" s="5" t="str">
        <f ca="1">VLOOKUP($D119,OFFSET([2]stages!$A$1,0,0,COUNTA([2]stages!$A:$A),MATCH(F$1,[2]stages!$2:$2,0)-MATCH($D$1,[2]stages!$2:$2,0)+1),MATCH(F$1,[2]stages!$2:$2,0)-MATCH($D$1,[2]stages!$2:$2,0)+1,FALSE)</f>
        <v>【上級】水のイモムシ</v>
      </c>
      <c r="G119" s="25">
        <v>3</v>
      </c>
      <c r="H119" s="16" t="str">
        <f t="shared" si="49"/>
        <v>11003_3-3</v>
      </c>
      <c r="I119" s="5">
        <f ca="1">VLOOKUP($H119,OFFSET(floors!$A$1,0,0,COUNTA(floors!$A:$A),MATCH(I$1,floors!$1:$1,0)-MATCH($H$1,floors!$1:$1,0)+1),MATCH(I$1,floors!$1:$1,0)-MATCH($H$1,floors!$1:$1,0)+1,FALSE)</f>
        <v>45</v>
      </c>
      <c r="J119" s="5">
        <f ca="1">VLOOKUP($H119,OFFSET(floors!$A$1,0,0,COUNTA(floors!$A:$A),MATCH(J$1,floors!$1:$1,0)-MATCH($H$1,floors!$1:$1,0)+1),MATCH(J$1,floors!$1:$1,0)-MATCH($H$1,floors!$1:$1,0)+1,FALSE)</f>
        <v>45</v>
      </c>
      <c r="K119" s="24" t="s">
        <v>197</v>
      </c>
      <c r="L119" s="24">
        <v>340</v>
      </c>
      <c r="M119" s="20" t="str">
        <f ca="1">VLOOKUP($L119,OFFSET([3]enemies!$A$1,0,0,COUNTA([3]enemies!$A:$A),MATCH(M$1,[3]enemies!$1:$1,0)-MATCH($L$1,[3]enemies!$1:$1,0)+1),MATCH(M$1,[3]enemies!$1:$1,0)-MATCH($L$1,[3]enemies!$1:$1,0)+1,FALSE)</f>
        <v>水のメタルピヨピヨ</v>
      </c>
      <c r="N119" s="20" t="str">
        <f ca="1">VLOOKUP($L119,OFFSET([3]enemies!$A$1,0,0,COUNTA([3]enemies!$A:$A),MATCH(N$1,[3]enemies!$1:$1,0)-MATCH($L$1,[3]enemies!$1:$1,0)+1),MATCH(N$1,[3]enemies!$1:$1,0)-MATCH($L$1,[3]enemies!$1:$1,0)+1,FALSE)</f>
        <v>blue</v>
      </c>
      <c r="O119" s="22" t="str">
        <f ca="1">VLOOKUP($L119,OFFSET([4]characters!$A$1,0,0,COUNTA([4]characters!$A:$A),MATCH(O$1,[4]characters!$1:$1,0)-MATCH($L$1,[4]characters!$1:$1,0)+1),MATCH(O$1,[4]characters!$1:$1,0)-MATCH($L$1,[4]characters!$1:$1,0)+1,FALSE)</f>
        <v>Material</v>
      </c>
      <c r="P119" s="20" t="str">
        <f ca="1">VLOOKUP($L119,OFFSET([3]enemies!$A$1,0,0,COUNTA([3]enemies!$A:$A),MATCH(P$1,[3]enemies!$1:$1,0)-MATCH($L$1,[3]enemies!$1:$1,0)+1),MATCH(P$1,[3]enemies!$1:$1,0)-MATCH($L$1,[3]enemies!$1:$1,0)+1,FALSE)</f>
        <v>unknown</v>
      </c>
      <c r="Q119" s="20">
        <f ca="1">VLOOKUP($L119,OFFSET([3]enemies!$A$1,0,0,COUNTA([3]enemies!$A:$A),MATCH(Q$1,[3]enemies!$1:$1,0)-MATCH($L$1,[3]enemies!$1:$1,0)+1),MATCH(Q$1,[3]enemies!$1:$1,0)-MATCH($L$1,[3]enemies!$1:$1,0)+1,FALSE)</f>
        <v>15</v>
      </c>
      <c r="R119" s="6">
        <v>1</v>
      </c>
      <c r="S119" s="39">
        <v>1</v>
      </c>
      <c r="T119" s="39">
        <v>1</v>
      </c>
      <c r="U119" s="6">
        <v>0</v>
      </c>
      <c r="V119" s="5" t="str">
        <f ca="1">VLOOKUP($W119,OFFSET([5]enemy_skill_sets!$B$1,0,0,COUNTA([5]enemy_skill_sets!$B:$B),MATCH(M$1,[5]enemy_skill_sets!$1:$1,0)-MATCH($W$1,[5]enemy_skill_sets!$1:$1,0)+2),MATCH(M$1,[5]enemy_skill_sets!$1:$1,0)-MATCH($W$1,[5]enemy_skill_sets!$1:$1,0)+2,FALSE)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9" s="5">
        <f ca="1">VLOOKUP($L119,OFFSET([3]enemies!$A$1,0,0,COUNTA([3]enemies!$A:$A),MATCH(W$1,[3]enemies!$1:$1,0)-MATCH($L$1,[3]enemies!$1:$1,0)+1),MATCH(W$1,[3]enemies!$1:$1,0)-MATCH($L$1,[3]enemies!$1:$1,0)+1,FALSE)</f>
        <v>0</v>
      </c>
      <c r="X119" s="7">
        <v>0</v>
      </c>
      <c r="Y119" s="7">
        <v>30</v>
      </c>
      <c r="Z119" s="7">
        <v>0</v>
      </c>
      <c r="AA119" s="20">
        <f ca="1">VLOOKUP($L119,OFFSET([3]enemies!$A$1,0,0,COUNTA([3]enemies!$A:$A),MATCH(AA$1,[3]enemies!$1:$1,0)-MATCH($L$1,[3]enemies!$1:$1,0)+1),MATCH(AA$1,[3]enemies!$1:$1,0)-MATCH($L$1,[3]enemies!$1:$1,0)+1,FALSE)</f>
        <v>1</v>
      </c>
      <c r="AB119" s="24">
        <v>340</v>
      </c>
      <c r="AC119" s="5" t="str">
        <f ca="1">IFERROR(VLOOKUP($AB119,OFFSET([4]characters!$A$1,0,0,COUNTA([4]characters!$A:$A),MATCH(AC$1,[4]characters!$1:$1,0)-MATCH("character_id",[4]characters!$1:$1,0)+1),MATCH(AC$1,[4]characters!$1:$1,0)-MATCH("character_id",[4]characters!$1:$1,0)+1,FALSE),"")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19" s="5">
        <f ca="1">IFERROR(VLOOKUP($AB119,OFFSET([4]characters!$A$1,0,0,COUNTA([4]characters!$A:$A),MATCH(AD$1,[4]characters!$1:$1,0)-MATCH("character_id",[4]characters!$1:$1,0)+1),MATCH(AD$1,[4]characters!$1:$1,0)-MATCH("character_id",[4]characters!$1:$1,0)+1,FALSE),"")</f>
        <v>3</v>
      </c>
      <c r="AE119" s="5" t="str">
        <f ca="1">IFERROR(VLOOKUP($AB119,OFFSET([4]characters!$A$1,0,0,COUNTA([4]characters!$A:$A),MATCH(AE$1,[4]characters!$1:$1,0)-MATCH("character_id",[4]characters!$1:$1,0)+1),MATCH(AE$1,[4]characters!$1:$1,0)-MATCH("character_id",[4]characters!$1:$1,0)+1,FALSE),"")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9" s="8">
        <v>1</v>
      </c>
      <c r="AG119" s="27">
        <f t="shared" ca="1" si="61"/>
        <v>3</v>
      </c>
      <c r="AH119" s="9">
        <v>10</v>
      </c>
      <c r="AI119" s="8">
        <v>0</v>
      </c>
      <c r="AJ119" s="8">
        <v>0</v>
      </c>
      <c r="AK119" s="8">
        <v>0</v>
      </c>
      <c r="AL119" s="8">
        <v>0</v>
      </c>
      <c r="AM119" s="8">
        <v>1</v>
      </c>
      <c r="AN119" s="8">
        <v>1</v>
      </c>
    </row>
    <row r="120" spans="1:40" ht="21" customHeight="1" x14ac:dyDescent="0.15">
      <c r="A120" s="17" t="str">
        <f t="shared" ca="1" si="59"/>
        <v>11003_3-3/341&lt;lv1&gt;s2</v>
      </c>
      <c r="B120" s="8">
        <v>11003</v>
      </c>
      <c r="C120" s="25">
        <v>3</v>
      </c>
      <c r="D120" s="2" t="str">
        <f t="shared" si="60"/>
        <v>11003_3</v>
      </c>
      <c r="E120" s="5" t="str">
        <f ca="1">VLOOKUP($B120,OFFSET([2]quests!$A$1,0,0,COUNTA([2]quests!$A:$A),MATCH(E$1,[2]quests!$1:$1,0)-MATCH($B$1,[2]quests!$1:$1,0)+1),MATCH(E$1,[2]quests!$1:$1,0)-MATCH($B$1,[2]quests!$1:$1,0)+1,FALSE)</f>
        <v>【水曜限定】 青の素材</v>
      </c>
      <c r="F120" s="5" t="str">
        <f ca="1">VLOOKUP($D120,OFFSET([2]stages!$A$1,0,0,COUNTA([2]stages!$A:$A),MATCH(F$1,[2]stages!$2:$2,0)-MATCH($D$1,[2]stages!$2:$2,0)+1),MATCH(F$1,[2]stages!$2:$2,0)-MATCH($D$1,[2]stages!$2:$2,0)+1,FALSE)</f>
        <v>【上級】水のイモムシ</v>
      </c>
      <c r="G120" s="25">
        <v>3</v>
      </c>
      <c r="H120" s="16" t="str">
        <f t="shared" si="49"/>
        <v>11003_3-3</v>
      </c>
      <c r="I120" s="5">
        <f ca="1">VLOOKUP($H120,OFFSET(floors!$A$1,0,0,COUNTA(floors!$A:$A),MATCH(I$1,floors!$1:$1,0)-MATCH($H$1,floors!$1:$1,0)+1),MATCH(I$1,floors!$1:$1,0)-MATCH($H$1,floors!$1:$1,0)+1,FALSE)</f>
        <v>45</v>
      </c>
      <c r="J120" s="5">
        <f ca="1">VLOOKUP($H120,OFFSET(floors!$A$1,0,0,COUNTA(floors!$A:$A),MATCH(J$1,floors!$1:$1,0)-MATCH($H$1,floors!$1:$1,0)+1),MATCH(J$1,floors!$1:$1,0)-MATCH($H$1,floors!$1:$1,0)+1,FALSE)</f>
        <v>45</v>
      </c>
      <c r="K120" s="24" t="s">
        <v>197</v>
      </c>
      <c r="L120" s="24">
        <v>341</v>
      </c>
      <c r="M120" s="20" t="str">
        <f ca="1">VLOOKUP($L120,OFFSET([3]enemies!$A$1,0,0,COUNTA([3]enemies!$A:$A),MATCH(M$1,[3]enemies!$1:$1,0)-MATCH($L$1,[3]enemies!$1:$1,0)+1),MATCH(M$1,[3]enemies!$1:$1,0)-MATCH($L$1,[3]enemies!$1:$1,0)+1,FALSE)</f>
        <v>水のメタルチック</v>
      </c>
      <c r="N120" s="20" t="str">
        <f ca="1">VLOOKUP($L120,OFFSET([3]enemies!$A$1,0,0,COUNTA([3]enemies!$A:$A),MATCH(N$1,[3]enemies!$1:$1,0)-MATCH($L$1,[3]enemies!$1:$1,0)+1),MATCH(N$1,[3]enemies!$1:$1,0)-MATCH($L$1,[3]enemies!$1:$1,0)+1,FALSE)</f>
        <v>blue</v>
      </c>
      <c r="O120" s="22" t="str">
        <f ca="1">VLOOKUP($L120,OFFSET([4]characters!$A$1,0,0,COUNTA([4]characters!$A:$A),MATCH(O$1,[4]characters!$1:$1,0)-MATCH($L$1,[4]characters!$1:$1,0)+1),MATCH(O$1,[4]characters!$1:$1,0)-MATCH($L$1,[4]characters!$1:$1,0)+1,FALSE)</f>
        <v>Material</v>
      </c>
      <c r="P120" s="20" t="str">
        <f ca="1">VLOOKUP($L120,OFFSET([3]enemies!$A$1,0,0,COUNTA([3]enemies!$A:$A),MATCH(P$1,[3]enemies!$1:$1,0)-MATCH($L$1,[3]enemies!$1:$1,0)+1),MATCH(P$1,[3]enemies!$1:$1,0)-MATCH($L$1,[3]enemies!$1:$1,0)+1,FALSE)</f>
        <v>unknown</v>
      </c>
      <c r="Q120" s="20">
        <f ca="1">VLOOKUP($L120,OFFSET([3]enemies!$A$1,0,0,COUNTA([3]enemies!$A:$A),MATCH(Q$1,[3]enemies!$1:$1,0)-MATCH($L$1,[3]enemies!$1:$1,0)+1),MATCH(Q$1,[3]enemies!$1:$1,0)-MATCH($L$1,[3]enemies!$1:$1,0)+1,FALSE)</f>
        <v>15</v>
      </c>
      <c r="R120" s="6">
        <v>1</v>
      </c>
      <c r="S120" s="39">
        <v>1</v>
      </c>
      <c r="T120" s="39">
        <v>1</v>
      </c>
      <c r="U120" s="6">
        <v>0</v>
      </c>
      <c r="V120" s="5" t="str">
        <f ca="1">VLOOKUP($W120,OFFSET([5]enemy_skill_sets!$B$1,0,0,COUNTA([5]enemy_skill_sets!$B:$B),MATCH(M$1,[5]enemy_skill_sets!$1:$1,0)-MATCH($W$1,[5]enemy_skill_sets!$1:$1,0)+2),MATCH(M$1,[5]enemy_skill_sets!$1:$1,0)-MATCH($W$1,[5]enemy_skill_sets!$1:$1,0)+2,FALSE)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0" s="5">
        <f ca="1">VLOOKUP($L120,OFFSET([3]enemies!$A$1,0,0,COUNTA([3]enemies!$A:$A),MATCH(W$1,[3]enemies!$1:$1,0)-MATCH($L$1,[3]enemies!$1:$1,0)+1),MATCH(W$1,[3]enemies!$1:$1,0)-MATCH($L$1,[3]enemies!$1:$1,0)+1,FALSE)</f>
        <v>0</v>
      </c>
      <c r="X120" s="7">
        <v>0</v>
      </c>
      <c r="Y120" s="7">
        <v>30</v>
      </c>
      <c r="Z120" s="7">
        <v>0</v>
      </c>
      <c r="AA120" s="20">
        <f ca="1">VLOOKUP($L120,OFFSET([3]enemies!$A$1,0,0,COUNTA([3]enemies!$A:$A),MATCH(AA$1,[3]enemies!$1:$1,0)-MATCH($L$1,[3]enemies!$1:$1,0)+1),MATCH(AA$1,[3]enemies!$1:$1,0)-MATCH($L$1,[3]enemies!$1:$1,0)+1,FALSE)</f>
        <v>2</v>
      </c>
      <c r="AB120" s="24">
        <v>341</v>
      </c>
      <c r="AC120" s="5" t="str">
        <f ca="1">IFERROR(VLOOKUP($AB120,OFFSET([4]characters!$A$1,0,0,COUNTA([4]characters!$A:$A),MATCH(AC$1,[4]characters!$1:$1,0)-MATCH("character_id",[4]characters!$1:$1,0)+1),MATCH(AC$1,[4]characters!$1:$1,0)-MATCH("character_id",[4]characters!$1:$1,0)+1,FALSE),"")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20" s="5">
        <f ca="1">IFERROR(VLOOKUP($AB120,OFFSET([4]characters!$A$1,0,0,COUNTA([4]characters!$A:$A),MATCH(AD$1,[4]characters!$1:$1,0)-MATCH("character_id",[4]characters!$1:$1,0)+1),MATCH(AD$1,[4]characters!$1:$1,0)-MATCH("character_id",[4]characters!$1:$1,0)+1,FALSE),"")</f>
        <v>4</v>
      </c>
      <c r="AE120" s="5" t="str">
        <f ca="1">IFERROR(VLOOKUP($AB120,OFFSET([4]characters!$A$1,0,0,COUNTA([4]characters!$A:$A),MATCH(AE$1,[4]characters!$1:$1,0)-MATCH("character_id",[4]characters!$1:$1,0)+1),MATCH(AE$1,[4]characters!$1:$1,0)-MATCH("character_id",[4]characters!$1:$1,0)+1,FALSE),"")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0" s="8">
        <v>1</v>
      </c>
      <c r="AG120" s="27">
        <f t="shared" ca="1" si="61"/>
        <v>4</v>
      </c>
      <c r="AH120" s="9">
        <v>5</v>
      </c>
      <c r="AI120" s="8">
        <v>0</v>
      </c>
      <c r="AJ120" s="8">
        <v>0</v>
      </c>
      <c r="AK120" s="8">
        <v>0</v>
      </c>
      <c r="AL120" s="8">
        <v>0</v>
      </c>
      <c r="AM120" s="8">
        <v>1</v>
      </c>
      <c r="AN120" s="8">
        <v>1</v>
      </c>
    </row>
    <row r="121" spans="1:40" ht="21" customHeight="1" x14ac:dyDescent="0.15">
      <c r="A121" s="17" t="str">
        <f t="shared" ca="1" si="59"/>
        <v>11003_3-4/111&lt;lv30&gt;s1</v>
      </c>
      <c r="B121" s="8">
        <v>11003</v>
      </c>
      <c r="C121" s="25">
        <v>3</v>
      </c>
      <c r="D121" s="2" t="str">
        <f t="shared" si="60"/>
        <v>11003_3</v>
      </c>
      <c r="E121" s="5" t="str">
        <f ca="1">VLOOKUP($B121,OFFSET([2]quests!$A$1,0,0,COUNTA([2]quests!$A:$A),MATCH(E$1,[2]quests!$1:$1,0)-MATCH($B$1,[2]quests!$1:$1,0)+1),MATCH(E$1,[2]quests!$1:$1,0)-MATCH($B$1,[2]quests!$1:$1,0)+1,FALSE)</f>
        <v>【水曜限定】 青の素材</v>
      </c>
      <c r="F121" s="5" t="str">
        <f ca="1">VLOOKUP($D121,OFFSET([2]stages!$A$1,0,0,COUNTA([2]stages!$A:$A),MATCH(F$1,[2]stages!$2:$2,0)-MATCH($D$1,[2]stages!$2:$2,0)+1),MATCH(F$1,[2]stages!$2:$2,0)-MATCH($D$1,[2]stages!$2:$2,0)+1,FALSE)</f>
        <v>【上級】水のイモムシ</v>
      </c>
      <c r="G121" s="25">
        <v>4</v>
      </c>
      <c r="H121" s="16" t="str">
        <f t="shared" si="49"/>
        <v>11003_3-4</v>
      </c>
      <c r="I121" s="5">
        <f ca="1">VLOOKUP($H121,OFFSET(floors!$A$1,0,0,COUNTA(floors!$A:$A),MATCH(I$1,floors!$1:$1,0)-MATCH($H$1,floors!$1:$1,0)+1),MATCH(I$1,floors!$1:$1,0)-MATCH($H$1,floors!$1:$1,0)+1,FALSE)</f>
        <v>45</v>
      </c>
      <c r="J121" s="5">
        <f ca="1">VLOOKUP($H121,OFFSET(floors!$A$1,0,0,COUNTA(floors!$A:$A),MATCH(J$1,floors!$1:$1,0)-MATCH($H$1,floors!$1:$1,0)+1),MATCH(J$1,floors!$1:$1,0)-MATCH($H$1,floors!$1:$1,0)+1,FALSE)</f>
        <v>60</v>
      </c>
      <c r="K121" s="24" t="s">
        <v>197</v>
      </c>
      <c r="L121" s="24">
        <v>111</v>
      </c>
      <c r="M121" s="20" t="str">
        <f ca="1">VLOOKUP($L121,OFFSET([3]enemies!$A$1,0,0,COUNTA([3]enemies!$A:$A),MATCH(M$1,[3]enemies!$1:$1,0)-MATCH($L$1,[3]enemies!$1:$1,0)+1),MATCH(M$1,[3]enemies!$1:$1,0)-MATCH($L$1,[3]enemies!$1:$1,0)+1,FALSE)</f>
        <v>ブルーキャタップ</v>
      </c>
      <c r="N121" s="20" t="str">
        <f ca="1">VLOOKUP($L121,OFFSET([3]enemies!$A$1,0,0,COUNTA([3]enemies!$A:$A),MATCH(N$1,[3]enemies!$1:$1,0)-MATCH($L$1,[3]enemies!$1:$1,0)+1),MATCH(N$1,[3]enemies!$1:$1,0)-MATCH($L$1,[3]enemies!$1:$1,0)+1,FALSE)</f>
        <v>blue</v>
      </c>
      <c r="O121" s="22" t="str">
        <f ca="1">VLOOKUP($L121,OFFSET([4]characters!$A$1,0,0,COUNTA([4]characters!$A:$A),MATCH(O$1,[4]characters!$1:$1,0)-MATCH($L$1,[4]characters!$1:$1,0)+1),MATCH(O$1,[4]characters!$1:$1,0)-MATCH($L$1,[4]characters!$1:$1,0)+1,FALSE)</f>
        <v>Material</v>
      </c>
      <c r="P121" s="20" t="str">
        <f ca="1">VLOOKUP($L121,OFFSET([3]enemies!$A$1,0,0,COUNTA([3]enemies!$A:$A),MATCH(P$1,[3]enemies!$1:$1,0)-MATCH($L$1,[3]enemies!$1:$1,0)+1),MATCH(P$1,[3]enemies!$1:$1,0)-MATCH($L$1,[3]enemies!$1:$1,0)+1,FALSE)</f>
        <v>unknown</v>
      </c>
      <c r="Q121" s="20">
        <f ca="1">VLOOKUP($L121,OFFSET([3]enemies!$A$1,0,0,COUNTA([3]enemies!$A:$A),MATCH(Q$1,[3]enemies!$1:$1,0)-MATCH($L$1,[3]enemies!$1:$1,0)+1),MATCH(Q$1,[3]enemies!$1:$1,0)-MATCH($L$1,[3]enemies!$1:$1,0)+1,FALSE)</f>
        <v>15</v>
      </c>
      <c r="R121" s="6">
        <v>30</v>
      </c>
      <c r="S121" s="39">
        <v>2</v>
      </c>
      <c r="T121" s="39">
        <v>1</v>
      </c>
      <c r="U121" s="6">
        <v>0</v>
      </c>
      <c r="V121" s="5" t="str">
        <f ca="1">VLOOKUP($W121,OFFSET([5]enemy_skill_sets!$B$1,0,0,COUNTA([5]enemy_skill_sets!$B:$B),MATCH(M$1,[5]enemy_skill_sets!$1:$1,0)-MATCH($W$1,[5]enemy_skill_sets!$1:$1,0)+2),MATCH(M$1,[5]enemy_skill_sets!$1:$1,0)-MATCH($W$1,[5]enemy_skill_sets!$1:$1,0)+2,FALSE)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1" s="5">
        <f ca="1">VLOOKUP($L121,OFFSET([3]enemies!$A$1,0,0,COUNTA([3]enemies!$A:$A),MATCH(W$1,[3]enemies!$1:$1,0)-MATCH($L$1,[3]enemies!$1:$1,0)+1),MATCH(W$1,[3]enemies!$1:$1,0)-MATCH($L$1,[3]enemies!$1:$1,0)+1,FALSE)</f>
        <v>0</v>
      </c>
      <c r="X121" s="7">
        <v>1</v>
      </c>
      <c r="Y121" s="7">
        <v>100</v>
      </c>
      <c r="Z121" s="7">
        <v>1</v>
      </c>
      <c r="AA121" s="20">
        <f ca="1">VLOOKUP($L121,OFFSET([3]enemies!$A$1,0,0,COUNTA([3]enemies!$A:$A),MATCH(AA$1,[3]enemies!$1:$1,0)-MATCH($L$1,[3]enemies!$1:$1,0)+1),MATCH(AA$1,[3]enemies!$1:$1,0)-MATCH($L$1,[3]enemies!$1:$1,0)+1,FALSE)</f>
        <v>1</v>
      </c>
      <c r="AB121" s="24">
        <v>111</v>
      </c>
      <c r="AC121" s="5" t="str">
        <f ca="1">IFERROR(VLOOKUP($AB121,OFFSET([4]characters!$A$1,0,0,COUNTA([4]characters!$A:$A),MATCH(AC$1,[4]characters!$1:$1,0)-MATCH("character_id",[4]characters!$1:$1,0)+1),MATCH(AC$1,[4]characters!$1:$1,0)-MATCH("character_id",[4]characters!$1:$1,0)+1,FALSE),"")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21" s="5">
        <f ca="1">IFERROR(VLOOKUP($AB121,OFFSET([4]characters!$A$1,0,0,COUNTA([4]characters!$A:$A),MATCH(AD$1,[4]characters!$1:$1,0)-MATCH("character_id",[4]characters!$1:$1,0)+1),MATCH(AD$1,[4]characters!$1:$1,0)-MATCH("character_id",[4]characters!$1:$1,0)+1,FALSE),"")</f>
        <v>4</v>
      </c>
      <c r="AE121" s="5" t="str">
        <f ca="1">IFERROR(VLOOKUP($AB121,OFFSET([4]characters!$A$1,0,0,COUNTA([4]characters!$A:$A),MATCH(AE$1,[4]characters!$1:$1,0)-MATCH("character_id",[4]characters!$1:$1,0)+1),MATCH(AE$1,[4]characters!$1:$1,0)-MATCH("character_id",[4]characters!$1:$1,0)+1,FALSE),"")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1" s="8">
        <v>1</v>
      </c>
      <c r="AG121" s="27">
        <f t="shared" ca="1" si="61"/>
        <v>4</v>
      </c>
      <c r="AH121" s="9">
        <v>30</v>
      </c>
      <c r="AI121" s="8">
        <v>0</v>
      </c>
      <c r="AJ121" s="8">
        <v>0</v>
      </c>
      <c r="AK121" s="8">
        <v>0</v>
      </c>
      <c r="AL121" s="8">
        <v>0</v>
      </c>
      <c r="AM121" s="8">
        <v>1</v>
      </c>
      <c r="AN121" s="8">
        <v>1</v>
      </c>
    </row>
    <row r="122" spans="1:40" ht="21" customHeight="1" x14ac:dyDescent="0.15">
      <c r="A122" s="17" t="str">
        <f t="shared" ref="A122:A125" ca="1" si="65">B122&amp;"_"&amp;C122&amp;"-"&amp;G122&amp;"/"&amp;L122&amp;"&lt;lv"&amp;R122&amp;"&gt;s"&amp;AA122</f>
        <v>11003_3-4/37&lt;lv35&gt;s3</v>
      </c>
      <c r="B122" s="8">
        <v>11003</v>
      </c>
      <c r="C122" s="25">
        <v>3</v>
      </c>
      <c r="D122" s="2" t="str">
        <f t="shared" ref="D122:D125" si="66">B122&amp;"_"&amp;C122</f>
        <v>11003_3</v>
      </c>
      <c r="E122" s="5" t="str">
        <f ca="1">VLOOKUP($B122,OFFSET([2]quests!$A$1,0,0,COUNTA([2]quests!$A:$A),MATCH(E$1,[2]quests!$1:$1,0)-MATCH($B$1,[2]quests!$1:$1,0)+1),MATCH(E$1,[2]quests!$1:$1,0)-MATCH($B$1,[2]quests!$1:$1,0)+1,FALSE)</f>
        <v>【水曜限定】 青の素材</v>
      </c>
      <c r="F122" s="5" t="str">
        <f ca="1">VLOOKUP($D122,OFFSET([2]stages!$A$1,0,0,COUNTA([2]stages!$A:$A),MATCH(F$1,[2]stages!$2:$2,0)-MATCH($D$1,[2]stages!$2:$2,0)+1),MATCH(F$1,[2]stages!$2:$2,0)-MATCH($D$1,[2]stages!$2:$2,0)+1,FALSE)</f>
        <v>【上級】水のイモムシ</v>
      </c>
      <c r="G122" s="25">
        <v>4</v>
      </c>
      <c r="H122" s="16" t="str">
        <f t="shared" si="49"/>
        <v>11003_3-4</v>
      </c>
      <c r="I122" s="5">
        <f ca="1">VLOOKUP($H122,OFFSET(floors!$A$1,0,0,COUNTA(floors!$A:$A),MATCH(I$1,floors!$1:$1,0)-MATCH($H$1,floors!$1:$1,0)+1),MATCH(I$1,floors!$1:$1,0)-MATCH($H$1,floors!$1:$1,0)+1,FALSE)</f>
        <v>45</v>
      </c>
      <c r="J122" s="5">
        <f ca="1">VLOOKUP($H122,OFFSET(floors!$A$1,0,0,COUNTA(floors!$A:$A),MATCH(J$1,floors!$1:$1,0)-MATCH($H$1,floors!$1:$1,0)+1),MATCH(J$1,floors!$1:$1,0)-MATCH($H$1,floors!$1:$1,0)+1,FALSE)</f>
        <v>60</v>
      </c>
      <c r="K122" s="24" t="s">
        <v>197</v>
      </c>
      <c r="L122" s="24">
        <v>37</v>
      </c>
      <c r="M122" s="20" t="str">
        <f ca="1">VLOOKUP($L122,OFFSET([3]enemies!$A$1,0,0,COUNTA([3]enemies!$A:$A),MATCH(M$1,[3]enemies!$1:$1,0)-MATCH($L$1,[3]enemies!$1:$1,0)+1),MATCH(M$1,[3]enemies!$1:$1,0)-MATCH($L$1,[3]enemies!$1:$1,0)+1,FALSE)</f>
        <v>ガイル</v>
      </c>
      <c r="N122" s="20" t="str">
        <f ca="1">VLOOKUP($L122,OFFSET([3]enemies!$A$1,0,0,COUNTA([3]enemies!$A:$A),MATCH(N$1,[3]enemies!$1:$1,0)-MATCH($L$1,[3]enemies!$1:$1,0)+1),MATCH(N$1,[3]enemies!$1:$1,0)-MATCH($L$1,[3]enemies!$1:$1,0)+1,FALSE)</f>
        <v>blue</v>
      </c>
      <c r="O122" s="22" t="str">
        <f ca="1">VLOOKUP($L122,OFFSET([4]characters!$A$1,0,0,COUNTA([4]characters!$A:$A),MATCH(O$1,[4]characters!$1:$1,0)-MATCH($L$1,[4]characters!$1:$1,0)+1),MATCH(O$1,[4]characters!$1:$1,0)-MATCH($L$1,[4]characters!$1:$1,0)+1,FALSE)</f>
        <v>Drop1S</v>
      </c>
      <c r="P122" s="20" t="str">
        <f ca="1">VLOOKUP($L122,OFFSET([3]enemies!$A$1,0,0,COUNTA([3]enemies!$A:$A),MATCH(P$1,[3]enemies!$1:$1,0)-MATCH($L$1,[3]enemies!$1:$1,0)+1),MATCH(P$1,[3]enemies!$1:$1,0)-MATCH($L$1,[3]enemies!$1:$1,0)+1,FALSE)</f>
        <v>animal</v>
      </c>
      <c r="Q122" s="20">
        <f ca="1">VLOOKUP($L122,OFFSET([3]enemies!$A$1,0,0,COUNTA([3]enemies!$A:$A),MATCH(Q$1,[3]enemies!$1:$1,0)-MATCH($L$1,[3]enemies!$1:$1,0)+1),MATCH(Q$1,[3]enemies!$1:$1,0)-MATCH($L$1,[3]enemies!$1:$1,0)+1,FALSE)</f>
        <v>15</v>
      </c>
      <c r="R122" s="6">
        <v>35</v>
      </c>
      <c r="S122" s="39">
        <v>1</v>
      </c>
      <c r="T122" s="39">
        <v>1</v>
      </c>
      <c r="U122" s="6">
        <v>0</v>
      </c>
      <c r="V122" s="5" t="str">
        <f ca="1">VLOOKUP($W122,OFFSET([5]enemy_skill_sets!$B$1,0,0,COUNTA([5]enemy_skill_sets!$B:$B),MATCH(M$1,[5]enemy_skill_sets!$1:$1,0)-MATCH($W$1,[5]enemy_skill_sets!$1:$1,0)+2),MATCH(M$1,[5]enemy_skill_sets!$1:$1,0)-MATCH($W$1,[5]enemy_skill_sets!$1:$1,0)+2,FALSE)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22" s="5">
        <f ca="1">VLOOKUP($L122,OFFSET([3]enemies!$A$1,0,0,COUNTA([3]enemies!$A:$A),MATCH(W$1,[3]enemies!$1:$1,0)-MATCH($L$1,[3]enemies!$1:$1,0)+1),MATCH(W$1,[3]enemies!$1:$1,0)-MATCH($L$1,[3]enemies!$1:$1,0)+1,FALSE)</f>
        <v>37</v>
      </c>
      <c r="X122" s="7">
        <v>0</v>
      </c>
      <c r="Y122" s="7">
        <v>100</v>
      </c>
      <c r="Z122" s="7">
        <v>0</v>
      </c>
      <c r="AA122" s="20">
        <f ca="1">VLOOKUP($L122,OFFSET([3]enemies!$A$1,0,0,COUNTA([3]enemies!$A:$A),MATCH(AA$1,[3]enemies!$1:$1,0)-MATCH($L$1,[3]enemies!$1:$1,0)+1),MATCH(AA$1,[3]enemies!$1:$1,0)-MATCH($L$1,[3]enemies!$1:$1,0)+1,FALSE)</f>
        <v>3</v>
      </c>
      <c r="AB122" s="24">
        <v>37</v>
      </c>
      <c r="AC122" s="5" t="str">
        <f ca="1">IFERROR(VLOOKUP($AB122,OFFSET([4]characters!$A$1,0,0,COUNTA([4]characters!$A:$A),MATCH(AC$1,[4]characters!$1:$1,0)-MATCH("character_id",[4]characters!$1:$1,0)+1),MATCH(AC$1,[4]characters!$1:$1,0)-MATCH("character_id",[4]characters!$1:$1,0)+1,FALSE),"")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22" s="5">
        <f ca="1">IFERROR(VLOOKUP($AB122,OFFSET([4]characters!$A$1,0,0,COUNTA([4]characters!$A:$A),MATCH(AD$1,[4]characters!$1:$1,0)-MATCH("character_id",[4]characters!$1:$1,0)+1),MATCH(AD$1,[4]characters!$1:$1,0)-MATCH("character_id",[4]characters!$1:$1,0)+1,FALSE),"")</f>
        <v>2</v>
      </c>
      <c r="AE122" s="5" t="str">
        <f ca="1">IFERROR(VLOOKUP($AB122,OFFSET([4]characters!$A$1,0,0,COUNTA([4]characters!$A:$A),MATCH(AE$1,[4]characters!$1:$1,0)-MATCH("character_id",[4]characters!$1:$1,0)+1),MATCH(AE$1,[4]characters!$1:$1,0)-MATCH("character_id",[4]characters!$1:$1,0)+1,FALSE),"")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22" s="8">
        <v>1</v>
      </c>
      <c r="AG122" s="27">
        <f t="shared" ref="AG122:AG125" ca="1" si="67">AD122</f>
        <v>2</v>
      </c>
      <c r="AH122" s="9">
        <v>0</v>
      </c>
      <c r="AI122" s="8">
        <v>0</v>
      </c>
      <c r="AJ122" s="8">
        <v>0</v>
      </c>
      <c r="AK122" s="8">
        <v>0</v>
      </c>
      <c r="AL122" s="8">
        <v>0</v>
      </c>
      <c r="AM122" s="8">
        <v>1</v>
      </c>
      <c r="AN122" s="8">
        <v>1</v>
      </c>
    </row>
    <row r="123" spans="1:40" ht="21" customHeight="1" x14ac:dyDescent="0.15">
      <c r="A123" s="17" t="str">
        <f t="shared" ca="1" si="65"/>
        <v>11003_3-4/29&lt;lv35&gt;s2</v>
      </c>
      <c r="B123" s="8">
        <v>11003</v>
      </c>
      <c r="C123" s="25">
        <v>3</v>
      </c>
      <c r="D123" s="2" t="str">
        <f t="shared" si="66"/>
        <v>11003_3</v>
      </c>
      <c r="E123" s="5" t="str">
        <f ca="1">VLOOKUP($B123,OFFSET([2]quests!$A$1,0,0,COUNTA([2]quests!$A:$A),MATCH(E$1,[2]quests!$1:$1,0)-MATCH($B$1,[2]quests!$1:$1,0)+1),MATCH(E$1,[2]quests!$1:$1,0)-MATCH($B$1,[2]quests!$1:$1,0)+1,FALSE)</f>
        <v>【水曜限定】 青の素材</v>
      </c>
      <c r="F123" s="5" t="str">
        <f ca="1">VLOOKUP($D123,OFFSET([2]stages!$A$1,0,0,COUNTA([2]stages!$A:$A),MATCH(F$1,[2]stages!$2:$2,0)-MATCH($D$1,[2]stages!$2:$2,0)+1),MATCH(F$1,[2]stages!$2:$2,0)-MATCH($D$1,[2]stages!$2:$2,0)+1,FALSE)</f>
        <v>【上級】水のイモムシ</v>
      </c>
      <c r="G123" s="25">
        <v>4</v>
      </c>
      <c r="H123" s="16" t="str">
        <f t="shared" si="49"/>
        <v>11003_3-4</v>
      </c>
      <c r="I123" s="5">
        <f ca="1">VLOOKUP($H123,OFFSET(floors!$A$1,0,0,COUNTA(floors!$A:$A),MATCH(I$1,floors!$1:$1,0)-MATCH($H$1,floors!$1:$1,0)+1),MATCH(I$1,floors!$1:$1,0)-MATCH($H$1,floors!$1:$1,0)+1,FALSE)</f>
        <v>45</v>
      </c>
      <c r="J123" s="5">
        <f ca="1">VLOOKUP($H123,OFFSET(floors!$A$1,0,0,COUNTA(floors!$A:$A),MATCH(J$1,floors!$1:$1,0)-MATCH($H$1,floors!$1:$1,0)+1),MATCH(J$1,floors!$1:$1,0)-MATCH($H$1,floors!$1:$1,0)+1,FALSE)</f>
        <v>60</v>
      </c>
      <c r="K123" s="24" t="s">
        <v>197</v>
      </c>
      <c r="L123" s="24">
        <v>29</v>
      </c>
      <c r="M123" s="20" t="str">
        <f ca="1">VLOOKUP($L123,OFFSET([3]enemies!$A$1,0,0,COUNTA([3]enemies!$A:$A),MATCH(M$1,[3]enemies!$1:$1,0)-MATCH($L$1,[3]enemies!$1:$1,0)+1),MATCH(M$1,[3]enemies!$1:$1,0)-MATCH($L$1,[3]enemies!$1:$1,0)+1,FALSE)</f>
        <v>スケアクロウ</v>
      </c>
      <c r="N123" s="20" t="str">
        <f ca="1">VLOOKUP($L123,OFFSET([3]enemies!$A$1,0,0,COUNTA([3]enemies!$A:$A),MATCH(N$1,[3]enemies!$1:$1,0)-MATCH($L$1,[3]enemies!$1:$1,0)+1),MATCH(N$1,[3]enemies!$1:$1,0)-MATCH($L$1,[3]enemies!$1:$1,0)+1,FALSE)</f>
        <v>blue</v>
      </c>
      <c r="O123" s="22" t="str">
        <f ca="1">VLOOKUP($L123,OFFSET([4]characters!$A$1,0,0,COUNTA([4]characters!$A:$A),MATCH(O$1,[4]characters!$1:$1,0)-MATCH($L$1,[4]characters!$1:$1,0)+1),MATCH(O$1,[4]characters!$1:$1,0)-MATCH($L$1,[4]characters!$1:$1,0)+1,FALSE)</f>
        <v>Drop1N</v>
      </c>
      <c r="P123" s="20" t="str">
        <f ca="1">VLOOKUP($L123,OFFSET([3]enemies!$A$1,0,0,COUNTA([3]enemies!$A:$A),MATCH(P$1,[3]enemies!$1:$1,0)-MATCH($L$1,[3]enemies!$1:$1,0)+1),MATCH(P$1,[3]enemies!$1:$1,0)-MATCH($L$1,[3]enemies!$1:$1,0)+1,FALSE)</f>
        <v>machine</v>
      </c>
      <c r="Q123" s="20">
        <f ca="1">VLOOKUP($L123,OFFSET([3]enemies!$A$1,0,0,COUNTA([3]enemies!$A:$A),MATCH(Q$1,[3]enemies!$1:$1,0)-MATCH($L$1,[3]enemies!$1:$1,0)+1),MATCH(Q$1,[3]enemies!$1:$1,0)-MATCH($L$1,[3]enemies!$1:$1,0)+1,FALSE)</f>
        <v>15</v>
      </c>
      <c r="R123" s="6">
        <v>35</v>
      </c>
      <c r="S123" s="39">
        <v>1</v>
      </c>
      <c r="T123" s="39">
        <v>1</v>
      </c>
      <c r="U123" s="6">
        <v>0</v>
      </c>
      <c r="V123" s="5" t="str">
        <f ca="1">VLOOKUP($W123,OFFSET([5]enemy_skill_sets!$B$1,0,0,COUNTA([5]enemy_skill_sets!$B:$B),MATCH(M$1,[5]enemy_skill_sets!$1:$1,0)-MATCH($W$1,[5]enemy_skill_sets!$1:$1,0)+2),MATCH(M$1,[5]enemy_skill_sets!$1:$1,0)-MATCH($W$1,[5]enemy_skill_sets!$1:$1,0)+2,FALSE)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3" s="5">
        <f ca="1">VLOOKUP($L123,OFFSET([3]enemies!$A$1,0,0,COUNTA([3]enemies!$A:$A),MATCH(W$1,[3]enemies!$1:$1,0)-MATCH($L$1,[3]enemies!$1:$1,0)+1),MATCH(W$1,[3]enemies!$1:$1,0)-MATCH($L$1,[3]enemies!$1:$1,0)+1,FALSE)</f>
        <v>0</v>
      </c>
      <c r="X123" s="7">
        <v>0</v>
      </c>
      <c r="Y123" s="7">
        <v>100</v>
      </c>
      <c r="Z123" s="7">
        <v>0</v>
      </c>
      <c r="AA123" s="20">
        <f ca="1">VLOOKUP($L123,OFFSET([3]enemies!$A$1,0,0,COUNTA([3]enemies!$A:$A),MATCH(AA$1,[3]enemies!$1:$1,0)-MATCH($L$1,[3]enemies!$1:$1,0)+1),MATCH(AA$1,[3]enemies!$1:$1,0)-MATCH($L$1,[3]enemies!$1:$1,0)+1,FALSE)</f>
        <v>2</v>
      </c>
      <c r="AB123" s="24">
        <v>29</v>
      </c>
      <c r="AC123" s="5" t="str">
        <f ca="1">IFERROR(VLOOKUP($AB123,OFFSET([4]characters!$A$1,0,0,COUNTA([4]characters!$A:$A),MATCH(AC$1,[4]characters!$1:$1,0)-MATCH("character_id",[4]characters!$1:$1,0)+1),MATCH(AC$1,[4]characters!$1:$1,0)-MATCH("character_id",[4]characters!$1:$1,0)+1,FALSE),"")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23" s="5">
        <f ca="1">IFERROR(VLOOKUP($AB123,OFFSET([4]characters!$A$1,0,0,COUNTA([4]characters!$A:$A),MATCH(AD$1,[4]characters!$1:$1,0)-MATCH("character_id",[4]characters!$1:$1,0)+1),MATCH(AD$1,[4]characters!$1:$1,0)-MATCH("character_id",[4]characters!$1:$1,0)+1,FALSE),"")</f>
        <v>1</v>
      </c>
      <c r="AE123" s="5" t="str">
        <f ca="1">IFERROR(VLOOKUP($AB123,OFFSET([4]characters!$A$1,0,0,COUNTA([4]characters!$A:$A),MATCH(AE$1,[4]characters!$1:$1,0)-MATCH("character_id",[4]characters!$1:$1,0)+1),MATCH(AE$1,[4]characters!$1:$1,0)-MATCH("character_id",[4]characters!$1:$1,0)+1,FALSE),"")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23" s="8">
        <v>1</v>
      </c>
      <c r="AG123" s="27">
        <f t="shared" ca="1" si="67"/>
        <v>1</v>
      </c>
      <c r="AH123" s="9">
        <v>0</v>
      </c>
      <c r="AI123" s="8">
        <v>0</v>
      </c>
      <c r="AJ123" s="8">
        <v>0</v>
      </c>
      <c r="AK123" s="8">
        <v>0</v>
      </c>
      <c r="AL123" s="8">
        <v>0</v>
      </c>
      <c r="AM123" s="8">
        <v>1</v>
      </c>
      <c r="AN123" s="8">
        <v>1</v>
      </c>
    </row>
    <row r="124" spans="1:40" ht="21" customHeight="1" x14ac:dyDescent="0.15">
      <c r="A124" s="17" t="str">
        <f t="shared" ca="1" si="65"/>
        <v>11003_3-4/340&lt;lv1&gt;s1</v>
      </c>
      <c r="B124" s="8">
        <v>11003</v>
      </c>
      <c r="C124" s="25">
        <v>3</v>
      </c>
      <c r="D124" s="2" t="str">
        <f t="shared" si="66"/>
        <v>11003_3</v>
      </c>
      <c r="E124" s="5" t="str">
        <f ca="1">VLOOKUP($B124,OFFSET([2]quests!$A$1,0,0,COUNTA([2]quests!$A:$A),MATCH(E$1,[2]quests!$1:$1,0)-MATCH($B$1,[2]quests!$1:$1,0)+1),MATCH(E$1,[2]quests!$1:$1,0)-MATCH($B$1,[2]quests!$1:$1,0)+1,FALSE)</f>
        <v>【水曜限定】 青の素材</v>
      </c>
      <c r="F124" s="5" t="str">
        <f ca="1">VLOOKUP($D124,OFFSET([2]stages!$A$1,0,0,COUNTA([2]stages!$A:$A),MATCH(F$1,[2]stages!$2:$2,0)-MATCH($D$1,[2]stages!$2:$2,0)+1),MATCH(F$1,[2]stages!$2:$2,0)-MATCH($D$1,[2]stages!$2:$2,0)+1,FALSE)</f>
        <v>【上級】水のイモムシ</v>
      </c>
      <c r="G124" s="25">
        <v>4</v>
      </c>
      <c r="H124" s="16" t="str">
        <f t="shared" si="49"/>
        <v>11003_3-4</v>
      </c>
      <c r="I124" s="5">
        <f ca="1">VLOOKUP($H124,OFFSET(floors!$A$1,0,0,COUNTA(floors!$A:$A),MATCH(I$1,floors!$1:$1,0)-MATCH($H$1,floors!$1:$1,0)+1),MATCH(I$1,floors!$1:$1,0)-MATCH($H$1,floors!$1:$1,0)+1,FALSE)</f>
        <v>45</v>
      </c>
      <c r="J124" s="5">
        <f ca="1">VLOOKUP($H124,OFFSET(floors!$A$1,0,0,COUNTA(floors!$A:$A),MATCH(J$1,floors!$1:$1,0)-MATCH($H$1,floors!$1:$1,0)+1),MATCH(J$1,floors!$1:$1,0)-MATCH($H$1,floors!$1:$1,0)+1,FALSE)</f>
        <v>60</v>
      </c>
      <c r="K124" s="24" t="s">
        <v>197</v>
      </c>
      <c r="L124" s="24">
        <v>340</v>
      </c>
      <c r="M124" s="20" t="str">
        <f ca="1">VLOOKUP($L124,OFFSET([3]enemies!$A$1,0,0,COUNTA([3]enemies!$A:$A),MATCH(M$1,[3]enemies!$1:$1,0)-MATCH($L$1,[3]enemies!$1:$1,0)+1),MATCH(M$1,[3]enemies!$1:$1,0)-MATCH($L$1,[3]enemies!$1:$1,0)+1,FALSE)</f>
        <v>水のメタルピヨピヨ</v>
      </c>
      <c r="N124" s="20" t="str">
        <f ca="1">VLOOKUP($L124,OFFSET([3]enemies!$A$1,0,0,COUNTA([3]enemies!$A:$A),MATCH(N$1,[3]enemies!$1:$1,0)-MATCH($L$1,[3]enemies!$1:$1,0)+1),MATCH(N$1,[3]enemies!$1:$1,0)-MATCH($L$1,[3]enemies!$1:$1,0)+1,FALSE)</f>
        <v>blue</v>
      </c>
      <c r="O124" s="22" t="str">
        <f ca="1">VLOOKUP($L124,OFFSET([4]characters!$A$1,0,0,COUNTA([4]characters!$A:$A),MATCH(O$1,[4]characters!$1:$1,0)-MATCH($L$1,[4]characters!$1:$1,0)+1),MATCH(O$1,[4]characters!$1:$1,0)-MATCH($L$1,[4]characters!$1:$1,0)+1,FALSE)</f>
        <v>Material</v>
      </c>
      <c r="P124" s="20" t="str">
        <f ca="1">VLOOKUP($L124,OFFSET([3]enemies!$A$1,0,0,COUNTA([3]enemies!$A:$A),MATCH(P$1,[3]enemies!$1:$1,0)-MATCH($L$1,[3]enemies!$1:$1,0)+1),MATCH(P$1,[3]enemies!$1:$1,0)-MATCH($L$1,[3]enemies!$1:$1,0)+1,FALSE)</f>
        <v>unknown</v>
      </c>
      <c r="Q124" s="20">
        <f ca="1">VLOOKUP($L124,OFFSET([3]enemies!$A$1,0,0,COUNTA([3]enemies!$A:$A),MATCH(Q$1,[3]enemies!$1:$1,0)-MATCH($L$1,[3]enemies!$1:$1,0)+1),MATCH(Q$1,[3]enemies!$1:$1,0)-MATCH($L$1,[3]enemies!$1:$1,0)+1,FALSE)</f>
        <v>15</v>
      </c>
      <c r="R124" s="6">
        <v>1</v>
      </c>
      <c r="S124" s="39">
        <v>1</v>
      </c>
      <c r="T124" s="39">
        <v>1</v>
      </c>
      <c r="U124" s="6">
        <v>0</v>
      </c>
      <c r="V124" s="5" t="str">
        <f ca="1">VLOOKUP($W124,OFFSET([5]enemy_skill_sets!$B$1,0,0,COUNTA([5]enemy_skill_sets!$B:$B),MATCH(M$1,[5]enemy_skill_sets!$1:$1,0)-MATCH($W$1,[5]enemy_skill_sets!$1:$1,0)+2),MATCH(M$1,[5]enemy_skill_sets!$1:$1,0)-MATCH($W$1,[5]enemy_skill_sets!$1:$1,0)+2,FALSE)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4" s="5">
        <f ca="1">VLOOKUP($L124,OFFSET([3]enemies!$A$1,0,0,COUNTA([3]enemies!$A:$A),MATCH(W$1,[3]enemies!$1:$1,0)-MATCH($L$1,[3]enemies!$1:$1,0)+1),MATCH(W$1,[3]enemies!$1:$1,0)-MATCH($L$1,[3]enemies!$1:$1,0)+1,FALSE)</f>
        <v>0</v>
      </c>
      <c r="X124" s="7">
        <v>0</v>
      </c>
      <c r="Y124" s="7">
        <v>30</v>
      </c>
      <c r="Z124" s="7">
        <v>0</v>
      </c>
      <c r="AA124" s="20">
        <f ca="1">VLOOKUP($L124,OFFSET([3]enemies!$A$1,0,0,COUNTA([3]enemies!$A:$A),MATCH(AA$1,[3]enemies!$1:$1,0)-MATCH($L$1,[3]enemies!$1:$1,0)+1),MATCH(AA$1,[3]enemies!$1:$1,0)-MATCH($L$1,[3]enemies!$1:$1,0)+1,FALSE)</f>
        <v>1</v>
      </c>
      <c r="AB124" s="24">
        <v>340</v>
      </c>
      <c r="AC124" s="5" t="str">
        <f ca="1">IFERROR(VLOOKUP($AB124,OFFSET([4]characters!$A$1,0,0,COUNTA([4]characters!$A:$A),MATCH(AC$1,[4]characters!$1:$1,0)-MATCH("character_id",[4]characters!$1:$1,0)+1),MATCH(AC$1,[4]characters!$1:$1,0)-MATCH("character_id",[4]characters!$1:$1,0)+1,FALSE),"")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24" s="5">
        <f ca="1">IFERROR(VLOOKUP($AB124,OFFSET([4]characters!$A$1,0,0,COUNTA([4]characters!$A:$A),MATCH(AD$1,[4]characters!$1:$1,0)-MATCH("character_id",[4]characters!$1:$1,0)+1),MATCH(AD$1,[4]characters!$1:$1,0)-MATCH("character_id",[4]characters!$1:$1,0)+1,FALSE),"")</f>
        <v>3</v>
      </c>
      <c r="AE124" s="5" t="str">
        <f ca="1">IFERROR(VLOOKUP($AB124,OFFSET([4]characters!$A$1,0,0,COUNTA([4]characters!$A:$A),MATCH(AE$1,[4]characters!$1:$1,0)-MATCH("character_id",[4]characters!$1:$1,0)+1),MATCH(AE$1,[4]characters!$1:$1,0)-MATCH("character_id",[4]characters!$1:$1,0)+1,FALSE),"")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4" s="8">
        <v>1</v>
      </c>
      <c r="AG124" s="27">
        <f t="shared" ca="1" si="67"/>
        <v>3</v>
      </c>
      <c r="AH124" s="9">
        <v>10</v>
      </c>
      <c r="AI124" s="8">
        <v>0</v>
      </c>
      <c r="AJ124" s="8">
        <v>0</v>
      </c>
      <c r="AK124" s="8">
        <v>0</v>
      </c>
      <c r="AL124" s="8">
        <v>0</v>
      </c>
      <c r="AM124" s="8">
        <v>1</v>
      </c>
      <c r="AN124" s="8">
        <v>1</v>
      </c>
    </row>
    <row r="125" spans="1:40" ht="21" customHeight="1" x14ac:dyDescent="0.15">
      <c r="A125" s="17" t="str">
        <f t="shared" ca="1" si="65"/>
        <v>11003_3-4/341&lt;lv1&gt;s2</v>
      </c>
      <c r="B125" s="8">
        <v>11003</v>
      </c>
      <c r="C125" s="25">
        <v>3</v>
      </c>
      <c r="D125" s="2" t="str">
        <f t="shared" si="66"/>
        <v>11003_3</v>
      </c>
      <c r="E125" s="5" t="str">
        <f ca="1">VLOOKUP($B125,OFFSET([2]quests!$A$1,0,0,COUNTA([2]quests!$A:$A),MATCH(E$1,[2]quests!$1:$1,0)-MATCH($B$1,[2]quests!$1:$1,0)+1),MATCH(E$1,[2]quests!$1:$1,0)-MATCH($B$1,[2]quests!$1:$1,0)+1,FALSE)</f>
        <v>【水曜限定】 青の素材</v>
      </c>
      <c r="F125" s="5" t="str">
        <f ca="1">VLOOKUP($D125,OFFSET([2]stages!$A$1,0,0,COUNTA([2]stages!$A:$A),MATCH(F$1,[2]stages!$2:$2,0)-MATCH($D$1,[2]stages!$2:$2,0)+1),MATCH(F$1,[2]stages!$2:$2,0)-MATCH($D$1,[2]stages!$2:$2,0)+1,FALSE)</f>
        <v>【上級】水のイモムシ</v>
      </c>
      <c r="G125" s="25">
        <v>4</v>
      </c>
      <c r="H125" s="16" t="str">
        <f t="shared" si="49"/>
        <v>11003_3-4</v>
      </c>
      <c r="I125" s="5">
        <f ca="1">VLOOKUP($H125,OFFSET(floors!$A$1,0,0,COUNTA(floors!$A:$A),MATCH(I$1,floors!$1:$1,0)-MATCH($H$1,floors!$1:$1,0)+1),MATCH(I$1,floors!$1:$1,0)-MATCH($H$1,floors!$1:$1,0)+1,FALSE)</f>
        <v>45</v>
      </c>
      <c r="J125" s="5">
        <f ca="1">VLOOKUP($H125,OFFSET(floors!$A$1,0,0,COUNTA(floors!$A:$A),MATCH(J$1,floors!$1:$1,0)-MATCH($H$1,floors!$1:$1,0)+1),MATCH(J$1,floors!$1:$1,0)-MATCH($H$1,floors!$1:$1,0)+1,FALSE)</f>
        <v>60</v>
      </c>
      <c r="K125" s="24" t="s">
        <v>197</v>
      </c>
      <c r="L125" s="24">
        <v>341</v>
      </c>
      <c r="M125" s="20" t="str">
        <f ca="1">VLOOKUP($L125,OFFSET([3]enemies!$A$1,0,0,COUNTA([3]enemies!$A:$A),MATCH(M$1,[3]enemies!$1:$1,0)-MATCH($L$1,[3]enemies!$1:$1,0)+1),MATCH(M$1,[3]enemies!$1:$1,0)-MATCH($L$1,[3]enemies!$1:$1,0)+1,FALSE)</f>
        <v>水のメタルチック</v>
      </c>
      <c r="N125" s="20" t="str">
        <f ca="1">VLOOKUP($L125,OFFSET([3]enemies!$A$1,0,0,COUNTA([3]enemies!$A:$A),MATCH(N$1,[3]enemies!$1:$1,0)-MATCH($L$1,[3]enemies!$1:$1,0)+1),MATCH(N$1,[3]enemies!$1:$1,0)-MATCH($L$1,[3]enemies!$1:$1,0)+1,FALSE)</f>
        <v>blue</v>
      </c>
      <c r="O125" s="22" t="str">
        <f ca="1">VLOOKUP($L125,OFFSET([4]characters!$A$1,0,0,COUNTA([4]characters!$A:$A),MATCH(O$1,[4]characters!$1:$1,0)-MATCH($L$1,[4]characters!$1:$1,0)+1),MATCH(O$1,[4]characters!$1:$1,0)-MATCH($L$1,[4]characters!$1:$1,0)+1,FALSE)</f>
        <v>Material</v>
      </c>
      <c r="P125" s="20" t="str">
        <f ca="1">VLOOKUP($L125,OFFSET([3]enemies!$A$1,0,0,COUNTA([3]enemies!$A:$A),MATCH(P$1,[3]enemies!$1:$1,0)-MATCH($L$1,[3]enemies!$1:$1,0)+1),MATCH(P$1,[3]enemies!$1:$1,0)-MATCH($L$1,[3]enemies!$1:$1,0)+1,FALSE)</f>
        <v>unknown</v>
      </c>
      <c r="Q125" s="20">
        <f ca="1">VLOOKUP($L125,OFFSET([3]enemies!$A$1,0,0,COUNTA([3]enemies!$A:$A),MATCH(Q$1,[3]enemies!$1:$1,0)-MATCH($L$1,[3]enemies!$1:$1,0)+1),MATCH(Q$1,[3]enemies!$1:$1,0)-MATCH($L$1,[3]enemies!$1:$1,0)+1,FALSE)</f>
        <v>15</v>
      </c>
      <c r="R125" s="6">
        <v>1</v>
      </c>
      <c r="S125" s="39">
        <v>1</v>
      </c>
      <c r="T125" s="39">
        <v>1</v>
      </c>
      <c r="U125" s="6">
        <v>0</v>
      </c>
      <c r="V125" s="5" t="str">
        <f ca="1">VLOOKUP($W125,OFFSET([5]enemy_skill_sets!$B$1,0,0,COUNTA([5]enemy_skill_sets!$B:$B),MATCH(M$1,[5]enemy_skill_sets!$1:$1,0)-MATCH($W$1,[5]enemy_skill_sets!$1:$1,0)+2),MATCH(M$1,[5]enemy_skill_sets!$1:$1,0)-MATCH($W$1,[5]enemy_skill_sets!$1:$1,0)+2,FALSE)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5" s="5">
        <f ca="1">VLOOKUP($L125,OFFSET([3]enemies!$A$1,0,0,COUNTA([3]enemies!$A:$A),MATCH(W$1,[3]enemies!$1:$1,0)-MATCH($L$1,[3]enemies!$1:$1,0)+1),MATCH(W$1,[3]enemies!$1:$1,0)-MATCH($L$1,[3]enemies!$1:$1,0)+1,FALSE)</f>
        <v>0</v>
      </c>
      <c r="X125" s="7">
        <v>0</v>
      </c>
      <c r="Y125" s="7">
        <v>30</v>
      </c>
      <c r="Z125" s="7">
        <v>0</v>
      </c>
      <c r="AA125" s="20">
        <f ca="1">VLOOKUP($L125,OFFSET([3]enemies!$A$1,0,0,COUNTA([3]enemies!$A:$A),MATCH(AA$1,[3]enemies!$1:$1,0)-MATCH($L$1,[3]enemies!$1:$1,0)+1),MATCH(AA$1,[3]enemies!$1:$1,0)-MATCH($L$1,[3]enemies!$1:$1,0)+1,FALSE)</f>
        <v>2</v>
      </c>
      <c r="AB125" s="24">
        <v>341</v>
      </c>
      <c r="AC125" s="5" t="str">
        <f ca="1">IFERROR(VLOOKUP($AB125,OFFSET([4]characters!$A$1,0,0,COUNTA([4]characters!$A:$A),MATCH(AC$1,[4]characters!$1:$1,0)-MATCH("character_id",[4]characters!$1:$1,0)+1),MATCH(AC$1,[4]characters!$1:$1,0)-MATCH("character_id",[4]characters!$1:$1,0)+1,FALSE),"")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25" s="5">
        <f ca="1">IFERROR(VLOOKUP($AB125,OFFSET([4]characters!$A$1,0,0,COUNTA([4]characters!$A:$A),MATCH(AD$1,[4]characters!$1:$1,0)-MATCH("character_id",[4]characters!$1:$1,0)+1),MATCH(AD$1,[4]characters!$1:$1,0)-MATCH("character_id",[4]characters!$1:$1,0)+1,FALSE),"")</f>
        <v>4</v>
      </c>
      <c r="AE125" s="5" t="str">
        <f ca="1">IFERROR(VLOOKUP($AB125,OFFSET([4]characters!$A$1,0,0,COUNTA([4]characters!$A:$A),MATCH(AE$1,[4]characters!$1:$1,0)-MATCH("character_id",[4]characters!$1:$1,0)+1),MATCH(AE$1,[4]characters!$1:$1,0)-MATCH("character_id",[4]characters!$1:$1,0)+1,FALSE),"")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5" s="8">
        <v>1</v>
      </c>
      <c r="AG125" s="27">
        <f t="shared" ca="1" si="67"/>
        <v>4</v>
      </c>
      <c r="AH125" s="9">
        <v>5</v>
      </c>
      <c r="AI125" s="8">
        <v>0</v>
      </c>
      <c r="AJ125" s="8">
        <v>0</v>
      </c>
      <c r="AK125" s="8">
        <v>0</v>
      </c>
      <c r="AL125" s="8">
        <v>0</v>
      </c>
      <c r="AM125" s="8">
        <v>1</v>
      </c>
      <c r="AN125" s="8">
        <v>1</v>
      </c>
    </row>
    <row r="126" spans="1:40" ht="21" customHeight="1" x14ac:dyDescent="0.15">
      <c r="A126" s="17" t="str">
        <f t="shared" ca="1" si="59"/>
        <v>11003_3-5/111&lt;lv30&gt;s1</v>
      </c>
      <c r="B126" s="8">
        <v>11003</v>
      </c>
      <c r="C126" s="25">
        <v>3</v>
      </c>
      <c r="D126" s="2" t="str">
        <f t="shared" si="60"/>
        <v>11003_3</v>
      </c>
      <c r="E126" s="5" t="str">
        <f ca="1">VLOOKUP($B126,OFFSET([2]quests!$A$1,0,0,COUNTA([2]quests!$A:$A),MATCH(E$1,[2]quests!$1:$1,0)-MATCH($B$1,[2]quests!$1:$1,0)+1),MATCH(E$1,[2]quests!$1:$1,0)-MATCH($B$1,[2]quests!$1:$1,0)+1,FALSE)</f>
        <v>【水曜限定】 青の素材</v>
      </c>
      <c r="F126" s="5" t="str">
        <f ca="1">VLOOKUP($D126,OFFSET([2]stages!$A$1,0,0,COUNTA([2]stages!$A:$A),MATCH(F$1,[2]stages!$2:$2,0)-MATCH($D$1,[2]stages!$2:$2,0)+1),MATCH(F$1,[2]stages!$2:$2,0)-MATCH($D$1,[2]stages!$2:$2,0)+1,FALSE)</f>
        <v>【上級】水のイモムシ</v>
      </c>
      <c r="G126" s="25">
        <v>5</v>
      </c>
      <c r="H126" s="16" t="str">
        <f t="shared" si="49"/>
        <v>11003_3-5</v>
      </c>
      <c r="I126" s="5">
        <f ca="1">VLOOKUP($H126,OFFSET(floors!$A$1,0,0,COUNTA(floors!$A:$A),MATCH(I$1,floors!$1:$1,0)-MATCH($H$1,floors!$1:$1,0)+1),MATCH(I$1,floors!$1:$1,0)-MATCH($H$1,floors!$1:$1,0)+1,FALSE)</f>
        <v>60</v>
      </c>
      <c r="J126" s="5">
        <f ca="1">VLOOKUP($H126,OFFSET(floors!$A$1,0,0,COUNTA(floors!$A:$A),MATCH(J$1,floors!$1:$1,0)-MATCH($H$1,floors!$1:$1,0)+1),MATCH(J$1,floors!$1:$1,0)-MATCH($H$1,floors!$1:$1,0)+1,FALSE)</f>
        <v>60</v>
      </c>
      <c r="K126" s="24" t="s">
        <v>197</v>
      </c>
      <c r="L126" s="24">
        <v>111</v>
      </c>
      <c r="M126" s="20" t="str">
        <f ca="1">VLOOKUP($L126,OFFSET([3]enemies!$A$1,0,0,COUNTA([3]enemies!$A:$A),MATCH(M$1,[3]enemies!$1:$1,0)-MATCH($L$1,[3]enemies!$1:$1,0)+1),MATCH(M$1,[3]enemies!$1:$1,0)-MATCH($L$1,[3]enemies!$1:$1,0)+1,FALSE)</f>
        <v>ブルーキャタップ</v>
      </c>
      <c r="N126" s="20" t="str">
        <f ca="1">VLOOKUP($L126,OFFSET([3]enemies!$A$1,0,0,COUNTA([3]enemies!$A:$A),MATCH(N$1,[3]enemies!$1:$1,0)-MATCH($L$1,[3]enemies!$1:$1,0)+1),MATCH(N$1,[3]enemies!$1:$1,0)-MATCH($L$1,[3]enemies!$1:$1,0)+1,FALSE)</f>
        <v>blue</v>
      </c>
      <c r="O126" s="22" t="str">
        <f ca="1">VLOOKUP($L126,OFFSET([4]characters!$A$1,0,0,COUNTA([4]characters!$A:$A),MATCH(O$1,[4]characters!$1:$1,0)-MATCH($L$1,[4]characters!$1:$1,0)+1),MATCH(O$1,[4]characters!$1:$1,0)-MATCH($L$1,[4]characters!$1:$1,0)+1,FALSE)</f>
        <v>Material</v>
      </c>
      <c r="P126" s="20" t="str">
        <f ca="1">VLOOKUP($L126,OFFSET([3]enemies!$A$1,0,0,COUNTA([3]enemies!$A:$A),MATCH(P$1,[3]enemies!$1:$1,0)-MATCH($L$1,[3]enemies!$1:$1,0)+1),MATCH(P$1,[3]enemies!$1:$1,0)-MATCH($L$1,[3]enemies!$1:$1,0)+1,FALSE)</f>
        <v>unknown</v>
      </c>
      <c r="Q126" s="20">
        <f ca="1">VLOOKUP($L126,OFFSET([3]enemies!$A$1,0,0,COUNTA([3]enemies!$A:$A),MATCH(Q$1,[3]enemies!$1:$1,0)-MATCH($L$1,[3]enemies!$1:$1,0)+1),MATCH(Q$1,[3]enemies!$1:$1,0)-MATCH($L$1,[3]enemies!$1:$1,0)+1,FALSE)</f>
        <v>15</v>
      </c>
      <c r="R126" s="6">
        <v>30</v>
      </c>
      <c r="S126" s="39">
        <v>2</v>
      </c>
      <c r="T126" s="39">
        <v>1</v>
      </c>
      <c r="U126" s="6">
        <v>0</v>
      </c>
      <c r="V126" s="5" t="str">
        <f ca="1">VLOOKUP($W126,OFFSET([5]enemy_skill_sets!$B$1,0,0,COUNTA([5]enemy_skill_sets!$B:$B),MATCH(M$1,[5]enemy_skill_sets!$1:$1,0)-MATCH($W$1,[5]enemy_skill_sets!$1:$1,0)+2),MATCH(M$1,[5]enemy_skill_sets!$1:$1,0)-MATCH($W$1,[5]enemy_skill_sets!$1:$1,0)+2,FALSE)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6" s="5">
        <f ca="1">VLOOKUP($L126,OFFSET([3]enemies!$A$1,0,0,COUNTA([3]enemies!$A:$A),MATCH(W$1,[3]enemies!$1:$1,0)-MATCH($L$1,[3]enemies!$1:$1,0)+1),MATCH(W$1,[3]enemies!$1:$1,0)-MATCH($L$1,[3]enemies!$1:$1,0)+1,FALSE)</f>
        <v>0</v>
      </c>
      <c r="X126" s="7">
        <v>1</v>
      </c>
      <c r="Y126" s="7">
        <v>100</v>
      </c>
      <c r="Z126" s="7">
        <v>1</v>
      </c>
      <c r="AA126" s="20">
        <f ca="1">VLOOKUP($L126,OFFSET([3]enemies!$A$1,0,0,COUNTA([3]enemies!$A:$A),MATCH(AA$1,[3]enemies!$1:$1,0)-MATCH($L$1,[3]enemies!$1:$1,0)+1),MATCH(AA$1,[3]enemies!$1:$1,0)-MATCH($L$1,[3]enemies!$1:$1,0)+1,FALSE)</f>
        <v>1</v>
      </c>
      <c r="AB126" s="24">
        <v>111</v>
      </c>
      <c r="AC126" s="5" t="str">
        <f ca="1">IFERROR(VLOOKUP($AB126,OFFSET([4]characters!$A$1,0,0,COUNTA([4]characters!$A:$A),MATCH(AC$1,[4]characters!$1:$1,0)-MATCH("character_id",[4]characters!$1:$1,0)+1),MATCH(AC$1,[4]characters!$1:$1,0)-MATCH("character_id",[4]characters!$1:$1,0)+1,FALSE),"")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126" s="5">
        <f ca="1">IFERROR(VLOOKUP($AB126,OFFSET([4]characters!$A$1,0,0,COUNTA([4]characters!$A:$A),MATCH(AD$1,[4]characters!$1:$1,0)-MATCH("character_id",[4]characters!$1:$1,0)+1),MATCH(AD$1,[4]characters!$1:$1,0)-MATCH("character_id",[4]characters!$1:$1,0)+1,FALSE),"")</f>
        <v>4</v>
      </c>
      <c r="AE126" s="5" t="str">
        <f ca="1">IFERROR(VLOOKUP($AB126,OFFSET([4]characters!$A$1,0,0,COUNTA([4]characters!$A:$A),MATCH(AE$1,[4]characters!$1:$1,0)-MATCH("character_id",[4]characters!$1:$1,0)+1),MATCH(AE$1,[4]characters!$1:$1,0)-MATCH("character_id",[4]characters!$1:$1,0)+1,FALSE),"")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6" s="8">
        <v>1</v>
      </c>
      <c r="AG126" s="27">
        <f t="shared" ca="1" si="61"/>
        <v>4</v>
      </c>
      <c r="AH126" s="9">
        <v>100</v>
      </c>
      <c r="AI126" s="8">
        <v>0</v>
      </c>
      <c r="AJ126" s="8">
        <v>0</v>
      </c>
      <c r="AK126" s="8">
        <v>0</v>
      </c>
      <c r="AL126" s="8">
        <v>0</v>
      </c>
      <c r="AM126" s="8">
        <v>1</v>
      </c>
      <c r="AN126" s="8">
        <v>1</v>
      </c>
    </row>
    <row r="127" spans="1:40" ht="21" customHeight="1" x14ac:dyDescent="0.15">
      <c r="A127" s="17" t="str">
        <f ca="1">B127&amp;"_"&amp;C127&amp;"-"&amp;G127&amp;"/"&amp;L127&amp;"&lt;lv"&amp;R127&amp;"&gt;s"&amp;AA127</f>
        <v>11003_3-5/130&lt;lv30&gt;s3</v>
      </c>
      <c r="B127" s="8">
        <v>11003</v>
      </c>
      <c r="C127" s="25">
        <v>3</v>
      </c>
      <c r="D127" s="2" t="str">
        <f t="shared" si="60"/>
        <v>11003_3</v>
      </c>
      <c r="E127" s="5" t="str">
        <f ca="1">VLOOKUP($B127,OFFSET([2]quests!$A$1,0,0,COUNTA([2]quests!$A:$A),MATCH(E$1,[2]quests!$1:$1,0)-MATCH($B$1,[2]quests!$1:$1,0)+1),MATCH(E$1,[2]quests!$1:$1,0)-MATCH($B$1,[2]quests!$1:$1,0)+1,FALSE)</f>
        <v>【水曜限定】 青の素材</v>
      </c>
      <c r="F127" s="5" t="str">
        <f ca="1">VLOOKUP($D127,OFFSET([2]stages!$A$1,0,0,COUNTA([2]stages!$A:$A),MATCH(F$1,[2]stages!$2:$2,0)-MATCH($D$1,[2]stages!$2:$2,0)+1),MATCH(F$1,[2]stages!$2:$2,0)-MATCH($D$1,[2]stages!$2:$2,0)+1,FALSE)</f>
        <v>【上級】水のイモムシ</v>
      </c>
      <c r="G127" s="25">
        <v>5</v>
      </c>
      <c r="H127" s="16" t="str">
        <f t="shared" si="49"/>
        <v>11003_3-5</v>
      </c>
      <c r="I127" s="5">
        <f ca="1">VLOOKUP($H127,OFFSET(floors!$A$1,0,0,COUNTA(floors!$A:$A),MATCH(I$1,floors!$1:$1,0)-MATCH($H$1,floors!$1:$1,0)+1),MATCH(I$1,floors!$1:$1,0)-MATCH($H$1,floors!$1:$1,0)+1,FALSE)</f>
        <v>60</v>
      </c>
      <c r="J127" s="5">
        <f ca="1">VLOOKUP($H127,OFFSET(floors!$A$1,0,0,COUNTA(floors!$A:$A),MATCH(J$1,floors!$1:$1,0)-MATCH($H$1,floors!$1:$1,0)+1),MATCH(J$1,floors!$1:$1,0)-MATCH($H$1,floors!$1:$1,0)+1,FALSE)</f>
        <v>60</v>
      </c>
      <c r="K127" s="24" t="s">
        <v>197</v>
      </c>
      <c r="L127" s="24">
        <v>130</v>
      </c>
      <c r="M127" s="20" t="str">
        <f ca="1">VLOOKUP($L127,OFFSET([3]enemies!$A$1,0,0,COUNTA([3]enemies!$A:$A),MATCH(M$1,[3]enemies!$1:$1,0)-MATCH($L$1,[3]enemies!$1:$1,0)+1),MATCH(M$1,[3]enemies!$1:$1,0)-MATCH($L$1,[3]enemies!$1:$1,0)+1,FALSE)</f>
        <v>狼男 ローレンス</v>
      </c>
      <c r="N127" s="20" t="str">
        <f ca="1">VLOOKUP($L127,OFFSET([3]enemies!$A$1,0,0,COUNTA([3]enemies!$A:$A),MATCH(N$1,[3]enemies!$1:$1,0)-MATCH($L$1,[3]enemies!$1:$1,0)+1),MATCH(N$1,[3]enemies!$1:$1,0)-MATCH($L$1,[3]enemies!$1:$1,0)+1,FALSE)</f>
        <v>blue</v>
      </c>
      <c r="O127" s="22" t="str">
        <f ca="1">VLOOKUP($L127,OFFSET([4]characters!$A$1,0,0,COUNTA([4]characters!$A:$A),MATCH(O$1,[4]characters!$1:$1,0)-MATCH($L$1,[4]characters!$1:$1,0)+1),MATCH(O$1,[4]characters!$1:$1,0)-MATCH($L$1,[4]characters!$1:$1,0)+1,FALSE)</f>
        <v>PremiumW</v>
      </c>
      <c r="P127" s="20" t="str">
        <f ca="1">VLOOKUP($L127,OFFSET([3]enemies!$A$1,0,0,COUNTA([3]enemies!$A:$A),MATCH(P$1,[3]enemies!$1:$1,0)-MATCH($L$1,[3]enemies!$1:$1,0)+1),MATCH(P$1,[3]enemies!$1:$1,0)-MATCH($L$1,[3]enemies!$1:$1,0)+1,FALSE)</f>
        <v>animal</v>
      </c>
      <c r="Q127" s="20">
        <f ca="1">VLOOKUP($L127,OFFSET([3]enemies!$A$1,0,0,COUNTA([3]enemies!$A:$A),MATCH(Q$1,[3]enemies!$1:$1,0)-MATCH($L$1,[3]enemies!$1:$1,0)+1),MATCH(Q$1,[3]enemies!$1:$1,0)-MATCH($L$1,[3]enemies!$1:$1,0)+1,FALSE)</f>
        <v>20</v>
      </c>
      <c r="R127" s="6">
        <v>30</v>
      </c>
      <c r="S127" s="39">
        <v>1</v>
      </c>
      <c r="T127" s="39">
        <v>1</v>
      </c>
      <c r="U127" s="6">
        <v>0</v>
      </c>
      <c r="V127" s="5" t="str">
        <f ca="1">VLOOKUP($W127,OFFSET([5]enemy_skill_sets!$B$1,0,0,COUNTA([5]enemy_skill_sets!$B:$B),MATCH(M$1,[5]enemy_skill_sets!$1:$1,0)-MATCH($W$1,[5]enemy_skill_sets!$1:$1,0)+2),MATCH(M$1,[5]enemy_skill_sets!$1:$1,0)-MATCH($W$1,[5]enemy_skill_sets!$1:$1,0)+2,FALSE)</f>
        <v>攻撃力×1.5倍の攻撃</v>
      </c>
      <c r="W127" s="5">
        <f ca="1">VLOOKUP($L127,OFFSET([3]enemies!$A$1,0,0,COUNTA([3]enemies!$A:$A),MATCH(W$1,[3]enemies!$1:$1,0)-MATCH($L$1,[3]enemies!$1:$1,0)+1),MATCH(W$1,[3]enemies!$1:$1,0)-MATCH($L$1,[3]enemies!$1:$1,0)+1,FALSE)</f>
        <v>130</v>
      </c>
      <c r="X127" s="7">
        <v>0</v>
      </c>
      <c r="Y127" s="7">
        <v>100</v>
      </c>
      <c r="Z127" s="7">
        <v>1</v>
      </c>
      <c r="AA127" s="20">
        <f ca="1">VLOOKUP($L127,OFFSET([3]enemies!$A$1,0,0,COUNTA([3]enemies!$A:$A),MATCH(AA$1,[3]enemies!$1:$1,0)-MATCH($L$1,[3]enemies!$1:$1,0)+1),MATCH(AA$1,[3]enemies!$1:$1,0)-MATCH($L$1,[3]enemies!$1:$1,0)+1,FALSE)</f>
        <v>3</v>
      </c>
      <c r="AB127" s="24">
        <v>130</v>
      </c>
      <c r="AC127" s="5" t="str">
        <f ca="1">IFERROR(VLOOKUP($AB127,OFFSET([4]characters!$A$1,0,0,COUNTA([4]characters!$A:$A),MATCH(AC$1,[4]characters!$1:$1,0)-MATCH("character_id",[4]characters!$1:$1,0)+1),MATCH(AC$1,[4]characters!$1:$1,0)-MATCH("character_id",[4]characters!$1:$1,0)+1,FALSE),"")</f>
        <v>狼男 ローレンス</v>
      </c>
      <c r="AD127" s="5">
        <f ca="1">IFERROR(VLOOKUP($AB127,OFFSET([4]characters!$A$1,0,0,COUNTA([4]characters!$A:$A),MATCH(AD$1,[4]characters!$1:$1,0)-MATCH("character_id",[4]characters!$1:$1,0)+1),MATCH(AD$1,[4]characters!$1:$1,0)-MATCH("character_id",[4]characters!$1:$1,0)+1,FALSE),"")</f>
        <v>3</v>
      </c>
      <c r="AE127" s="5" t="str">
        <f ca="1">IFERROR(VLOOKUP($AB127,OFFSET([4]characters!$A$1,0,0,COUNTA([4]characters!$A:$A),MATCH(AE$1,[4]characters!$1:$1,0)-MATCH("character_id",[4]characters!$1:$1,0)+1),MATCH(AE$1,[4]characters!$1:$1,0)-MATCH("character_id",[4]characters!$1:$1,0)+1,FALSE),"")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27" s="8">
        <v>1</v>
      </c>
      <c r="AG127" s="27">
        <f t="shared" ca="1" si="61"/>
        <v>3</v>
      </c>
      <c r="AH127" s="9">
        <v>0</v>
      </c>
      <c r="AI127" s="8">
        <v>0</v>
      </c>
      <c r="AJ127" s="8">
        <v>0</v>
      </c>
      <c r="AK127" s="8">
        <v>0</v>
      </c>
      <c r="AL127" s="8">
        <v>0</v>
      </c>
      <c r="AM127" s="8">
        <v>1</v>
      </c>
      <c r="AN127" s="8">
        <v>1</v>
      </c>
    </row>
    <row r="128" spans="1:40" ht="21" customHeight="1" x14ac:dyDescent="0.15">
      <c r="A128" s="17" t="str">
        <f ca="1">B128&amp;"_"&amp;C128&amp;"-"&amp;G128&amp;"/"&amp;L128&amp;"&lt;lv"&amp;R128&amp;"&gt;s"&amp;AA128</f>
        <v>11003_3-5/138&lt;lv30&gt;s2</v>
      </c>
      <c r="B128" s="8">
        <v>11003</v>
      </c>
      <c r="C128" s="25">
        <v>3</v>
      </c>
      <c r="D128" s="2" t="str">
        <f t="shared" si="60"/>
        <v>11003_3</v>
      </c>
      <c r="E128" s="5" t="str">
        <f ca="1">VLOOKUP($B128,OFFSET([2]quests!$A$1,0,0,COUNTA([2]quests!$A:$A),MATCH(E$1,[2]quests!$1:$1,0)-MATCH($B$1,[2]quests!$1:$1,0)+1),MATCH(E$1,[2]quests!$1:$1,0)-MATCH($B$1,[2]quests!$1:$1,0)+1,FALSE)</f>
        <v>【水曜限定】 青の素材</v>
      </c>
      <c r="F128" s="5" t="str">
        <f ca="1">VLOOKUP($D128,OFFSET([2]stages!$A$1,0,0,COUNTA([2]stages!$A:$A),MATCH(F$1,[2]stages!$2:$2,0)-MATCH($D$1,[2]stages!$2:$2,0)+1),MATCH(F$1,[2]stages!$2:$2,0)-MATCH($D$1,[2]stages!$2:$2,0)+1,FALSE)</f>
        <v>【上級】水のイモムシ</v>
      </c>
      <c r="G128" s="25">
        <v>5</v>
      </c>
      <c r="H128" s="16" t="str">
        <f t="shared" si="49"/>
        <v>11003_3-5</v>
      </c>
      <c r="I128" s="5">
        <f ca="1">VLOOKUP($H128,OFFSET(floors!$A$1,0,0,COUNTA(floors!$A:$A),MATCH(I$1,floors!$1:$1,0)-MATCH($H$1,floors!$1:$1,0)+1),MATCH(I$1,floors!$1:$1,0)-MATCH($H$1,floors!$1:$1,0)+1,FALSE)</f>
        <v>60</v>
      </c>
      <c r="J128" s="5">
        <f ca="1">VLOOKUP($H128,OFFSET(floors!$A$1,0,0,COUNTA(floors!$A:$A),MATCH(J$1,floors!$1:$1,0)-MATCH($H$1,floors!$1:$1,0)+1),MATCH(J$1,floors!$1:$1,0)-MATCH($H$1,floors!$1:$1,0)+1,FALSE)</f>
        <v>60</v>
      </c>
      <c r="K128" s="24" t="s">
        <v>197</v>
      </c>
      <c r="L128" s="24">
        <v>138</v>
      </c>
      <c r="M128" s="20" t="str">
        <f ca="1">VLOOKUP($L128,OFFSET([3]enemies!$A$1,0,0,COUNTA([3]enemies!$A:$A),MATCH(M$1,[3]enemies!$1:$1,0)-MATCH($L$1,[3]enemies!$1:$1,0)+1),MATCH(M$1,[3]enemies!$1:$1,0)-MATCH($L$1,[3]enemies!$1:$1,0)+1,FALSE)</f>
        <v>蒼薙のトモエ</v>
      </c>
      <c r="N128" s="20" t="str">
        <f ca="1">VLOOKUP($L128,OFFSET([3]enemies!$A$1,0,0,COUNTA([3]enemies!$A:$A),MATCH(N$1,[3]enemies!$1:$1,0)-MATCH($L$1,[3]enemies!$1:$1,0)+1),MATCH(N$1,[3]enemies!$1:$1,0)-MATCH($L$1,[3]enemies!$1:$1,0)+1,FALSE)</f>
        <v>blue</v>
      </c>
      <c r="O128" s="22" t="str">
        <f ca="1">VLOOKUP($L128,OFFSET([4]characters!$A$1,0,0,COUNTA([4]characters!$A:$A),MATCH(O$1,[4]characters!$1:$1,0)-MATCH($L$1,[4]characters!$1:$1,0)+1),MATCH(O$1,[4]characters!$1:$1,0)-MATCH($L$1,[4]characters!$1:$1,0)+1,FALSE)</f>
        <v>PremiumW</v>
      </c>
      <c r="P128" s="20" t="str">
        <f ca="1">VLOOKUP($L128,OFFSET([3]enemies!$A$1,0,0,COUNTA([3]enemies!$A:$A),MATCH(P$1,[3]enemies!$1:$1,0)-MATCH($L$1,[3]enemies!$1:$1,0)+1),MATCH(P$1,[3]enemies!$1:$1,0)-MATCH($L$1,[3]enemies!$1:$1,0)+1,FALSE)</f>
        <v>human</v>
      </c>
      <c r="Q128" s="20">
        <f ca="1">VLOOKUP($L128,OFFSET([3]enemies!$A$1,0,0,COUNTA([3]enemies!$A:$A),MATCH(Q$1,[3]enemies!$1:$1,0)-MATCH($L$1,[3]enemies!$1:$1,0)+1),MATCH(Q$1,[3]enemies!$1:$1,0)-MATCH($L$1,[3]enemies!$1:$1,0)+1,FALSE)</f>
        <v>20</v>
      </c>
      <c r="R128" s="6">
        <v>30</v>
      </c>
      <c r="S128" s="39">
        <v>1</v>
      </c>
      <c r="T128" s="39">
        <v>1</v>
      </c>
      <c r="U128" s="6">
        <v>0</v>
      </c>
      <c r="V128" s="5" t="str">
        <f ca="1">VLOOKUP($W128,OFFSET([5]enemy_skill_sets!$B$1,0,0,COUNTA([5]enemy_skill_sets!$B:$B),MATCH(M$1,[5]enemy_skill_sets!$1:$1,0)-MATCH($W$1,[5]enemy_skill_sets!$1:$1,0)+2),MATCH(M$1,[5]enemy_skill_sets!$1:$1,0)-MATCH($W$1,[5]enemy_skill_sets!$1:$1,0)+2,FALSE)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8" s="5">
        <f ca="1">VLOOKUP($L128,OFFSET([3]enemies!$A$1,0,0,COUNTA([3]enemies!$A:$A),MATCH(W$1,[3]enemies!$1:$1,0)-MATCH($L$1,[3]enemies!$1:$1,0)+1),MATCH(W$1,[3]enemies!$1:$1,0)-MATCH($L$1,[3]enemies!$1:$1,0)+1,FALSE)</f>
        <v>0</v>
      </c>
      <c r="X128" s="7">
        <v>0</v>
      </c>
      <c r="Y128" s="7">
        <v>100</v>
      </c>
      <c r="Z128" s="7">
        <v>1</v>
      </c>
      <c r="AA128" s="20">
        <f ca="1">VLOOKUP($L128,OFFSET([3]enemies!$A$1,0,0,COUNTA([3]enemies!$A:$A),MATCH(AA$1,[3]enemies!$1:$1,0)-MATCH($L$1,[3]enemies!$1:$1,0)+1),MATCH(AA$1,[3]enemies!$1:$1,0)-MATCH($L$1,[3]enemies!$1:$1,0)+1,FALSE)</f>
        <v>2</v>
      </c>
      <c r="AB128" s="24">
        <v>138</v>
      </c>
      <c r="AC128" s="5" t="str">
        <f ca="1">IFERROR(VLOOKUP($AB128,OFFSET([4]characters!$A$1,0,0,COUNTA([4]characters!$A:$A),MATCH(AC$1,[4]characters!$1:$1,0)-MATCH("character_id",[4]characters!$1:$1,0)+1),MATCH(AC$1,[4]characters!$1:$1,0)-MATCH("character_id",[4]characters!$1:$1,0)+1,FALSE),"")</f>
        <v>蒼薙のトモエ</v>
      </c>
      <c r="AD128" s="5">
        <f ca="1">IFERROR(VLOOKUP($AB128,OFFSET([4]characters!$A$1,0,0,COUNTA([4]characters!$A:$A),MATCH(AD$1,[4]characters!$1:$1,0)-MATCH("character_id",[4]characters!$1:$1,0)+1),MATCH(AD$1,[4]characters!$1:$1,0)-MATCH("character_id",[4]characters!$1:$1,0)+1,FALSE),"")</f>
        <v>3</v>
      </c>
      <c r="AE128" s="5" t="str">
        <f ca="1">IFERROR(VLOOKUP($AB128,OFFSET([4]characters!$A$1,0,0,COUNTA([4]characters!$A:$A),MATCH(AE$1,[4]characters!$1:$1,0)-MATCH("character_id",[4]characters!$1:$1,0)+1),MATCH(AE$1,[4]characters!$1:$1,0)-MATCH("character_id",[4]characters!$1:$1,0)+1,FALSE),"")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28" s="8">
        <v>1</v>
      </c>
      <c r="AG128" s="27">
        <f t="shared" ca="1" si="61"/>
        <v>3</v>
      </c>
      <c r="AH128" s="9">
        <v>0</v>
      </c>
      <c r="AI128" s="8">
        <v>0</v>
      </c>
      <c r="AJ128" s="8">
        <v>0</v>
      </c>
      <c r="AK128" s="8">
        <v>0</v>
      </c>
      <c r="AL128" s="8">
        <v>0</v>
      </c>
      <c r="AM128" s="8">
        <v>1</v>
      </c>
      <c r="AN128" s="8">
        <v>1</v>
      </c>
    </row>
    <row r="129" spans="1:40" ht="21" customHeight="1" x14ac:dyDescent="0.15">
      <c r="A129" s="17" t="str">
        <f ca="1">B129&amp;"_"&amp;C129&amp;"-"&amp;G129&amp;"/"&amp;L129&amp;"&lt;lv"&amp;R129&amp;"&gt;s"&amp;AA129</f>
        <v>11003_3-5/146&lt;lv30&gt;s3</v>
      </c>
      <c r="B129" s="8">
        <v>11003</v>
      </c>
      <c r="C129" s="25">
        <v>3</v>
      </c>
      <c r="D129" s="2" t="str">
        <f t="shared" si="60"/>
        <v>11003_3</v>
      </c>
      <c r="E129" s="5" t="str">
        <f ca="1">VLOOKUP($B129,OFFSET([2]quests!$A$1,0,0,COUNTA([2]quests!$A:$A),MATCH(E$1,[2]quests!$1:$1,0)-MATCH($B$1,[2]quests!$1:$1,0)+1),MATCH(E$1,[2]quests!$1:$1,0)-MATCH($B$1,[2]quests!$1:$1,0)+1,FALSE)</f>
        <v>【水曜限定】 青の素材</v>
      </c>
      <c r="F129" s="5" t="str">
        <f ca="1">VLOOKUP($D129,OFFSET([2]stages!$A$1,0,0,COUNTA([2]stages!$A:$A),MATCH(F$1,[2]stages!$2:$2,0)-MATCH($D$1,[2]stages!$2:$2,0)+1),MATCH(F$1,[2]stages!$2:$2,0)-MATCH($D$1,[2]stages!$2:$2,0)+1,FALSE)</f>
        <v>【上級】水のイモムシ</v>
      </c>
      <c r="G129" s="25">
        <v>5</v>
      </c>
      <c r="H129" s="16" t="str">
        <f t="shared" si="49"/>
        <v>11003_3-5</v>
      </c>
      <c r="I129" s="5">
        <f ca="1">VLOOKUP($H129,OFFSET(floors!$A$1,0,0,COUNTA(floors!$A:$A),MATCH(I$1,floors!$1:$1,0)-MATCH($H$1,floors!$1:$1,0)+1),MATCH(I$1,floors!$1:$1,0)-MATCH($H$1,floors!$1:$1,0)+1,FALSE)</f>
        <v>60</v>
      </c>
      <c r="J129" s="5">
        <f ca="1">VLOOKUP($H129,OFFSET(floors!$A$1,0,0,COUNTA(floors!$A:$A),MATCH(J$1,floors!$1:$1,0)-MATCH($H$1,floors!$1:$1,0)+1),MATCH(J$1,floors!$1:$1,0)-MATCH($H$1,floors!$1:$1,0)+1,FALSE)</f>
        <v>60</v>
      </c>
      <c r="K129" s="24" t="s">
        <v>197</v>
      </c>
      <c r="L129" s="24">
        <v>146</v>
      </c>
      <c r="M129" s="20" t="str">
        <f ca="1">VLOOKUP($L129,OFFSET([3]enemies!$A$1,0,0,COUNTA([3]enemies!$A:$A),MATCH(M$1,[3]enemies!$1:$1,0)-MATCH($L$1,[3]enemies!$1:$1,0)+1),MATCH(M$1,[3]enemies!$1:$1,0)-MATCH($L$1,[3]enemies!$1:$1,0)+1,FALSE)</f>
        <v>マーメイド</v>
      </c>
      <c r="N129" s="20" t="str">
        <f ca="1">VLOOKUP($L129,OFFSET([3]enemies!$A$1,0,0,COUNTA([3]enemies!$A:$A),MATCH(N$1,[3]enemies!$1:$1,0)-MATCH($L$1,[3]enemies!$1:$1,0)+1),MATCH(N$1,[3]enemies!$1:$1,0)-MATCH($L$1,[3]enemies!$1:$1,0)+1,FALSE)</f>
        <v>blue</v>
      </c>
      <c r="O129" s="22" t="str">
        <f ca="1">VLOOKUP($L129,OFFSET([4]characters!$A$1,0,0,COUNTA([4]characters!$A:$A),MATCH(O$1,[4]characters!$1:$1,0)-MATCH($L$1,[4]characters!$1:$1,0)+1),MATCH(O$1,[4]characters!$1:$1,0)-MATCH($L$1,[4]characters!$1:$1,0)+1,FALSE)</f>
        <v>PremiumW</v>
      </c>
      <c r="P129" s="20" t="str">
        <f ca="1">VLOOKUP($L129,OFFSET([3]enemies!$A$1,0,0,COUNTA([3]enemies!$A:$A),MATCH(P$1,[3]enemies!$1:$1,0)-MATCH($L$1,[3]enemies!$1:$1,0)+1),MATCH(P$1,[3]enemies!$1:$1,0)-MATCH($L$1,[3]enemies!$1:$1,0)+1,FALSE)</f>
        <v>human</v>
      </c>
      <c r="Q129" s="20">
        <f ca="1">VLOOKUP($L129,OFFSET([3]enemies!$A$1,0,0,COUNTA([3]enemies!$A:$A),MATCH(Q$1,[3]enemies!$1:$1,0)-MATCH($L$1,[3]enemies!$1:$1,0)+1),MATCH(Q$1,[3]enemies!$1:$1,0)-MATCH($L$1,[3]enemies!$1:$1,0)+1,FALSE)</f>
        <v>20</v>
      </c>
      <c r="R129" s="6">
        <v>30</v>
      </c>
      <c r="S129" s="39">
        <v>1</v>
      </c>
      <c r="T129" s="39">
        <v>1</v>
      </c>
      <c r="U129" s="6">
        <v>0</v>
      </c>
      <c r="V129" s="5" t="str">
        <f ca="1">VLOOKUP($W129,OFFSET([5]enemy_skill_sets!$B$1,0,0,COUNTA([5]enemy_skill_sets!$B:$B),MATCH(M$1,[5]enemy_skill_sets!$1:$1,0)-MATCH($W$1,[5]enemy_skill_sets!$1:$1,0)+2),MATCH(M$1,[5]enemy_skill_sets!$1:$1,0)-MATCH($W$1,[5]enemy_skill_sets!$1:$1,0)+2,FALSE)</f>
        <v>ハートパネルで回復できない</v>
      </c>
      <c r="W129" s="5">
        <f ca="1">VLOOKUP($L129,OFFSET([3]enemies!$A$1,0,0,COUNTA([3]enemies!$A:$A),MATCH(W$1,[3]enemies!$1:$1,0)-MATCH($L$1,[3]enemies!$1:$1,0)+1),MATCH(W$1,[3]enemies!$1:$1,0)-MATCH($L$1,[3]enemies!$1:$1,0)+1,FALSE)</f>
        <v>146</v>
      </c>
      <c r="X129" s="7">
        <v>0</v>
      </c>
      <c r="Y129" s="7">
        <v>100</v>
      </c>
      <c r="Z129" s="7">
        <v>1</v>
      </c>
      <c r="AA129" s="20">
        <f ca="1">VLOOKUP($L129,OFFSET([3]enemies!$A$1,0,0,COUNTA([3]enemies!$A:$A),MATCH(AA$1,[3]enemies!$1:$1,0)-MATCH($L$1,[3]enemies!$1:$1,0)+1),MATCH(AA$1,[3]enemies!$1:$1,0)-MATCH($L$1,[3]enemies!$1:$1,0)+1,FALSE)</f>
        <v>3</v>
      </c>
      <c r="AB129" s="24">
        <v>146</v>
      </c>
      <c r="AC129" s="5" t="str">
        <f ca="1">IFERROR(VLOOKUP($AB129,OFFSET([4]characters!$A$1,0,0,COUNTA([4]characters!$A:$A),MATCH(AC$1,[4]characters!$1:$1,0)-MATCH("character_id",[4]characters!$1:$1,0)+1),MATCH(AC$1,[4]characters!$1:$1,0)-MATCH("character_id",[4]characters!$1:$1,0)+1,FALSE),"")</f>
        <v>マーメイド</v>
      </c>
      <c r="AD129" s="5">
        <f ca="1">IFERROR(VLOOKUP($AB129,OFFSET([4]characters!$A$1,0,0,COUNTA([4]characters!$A:$A),MATCH(AD$1,[4]characters!$1:$1,0)-MATCH("character_id",[4]characters!$1:$1,0)+1),MATCH(AD$1,[4]characters!$1:$1,0)-MATCH("character_id",[4]characters!$1:$1,0)+1,FALSE),"")</f>
        <v>3</v>
      </c>
      <c r="AE129" s="5" t="str">
        <f ca="1">IFERROR(VLOOKUP($AB129,OFFSET([4]characters!$A$1,0,0,COUNTA([4]characters!$A:$A),MATCH(AE$1,[4]characters!$1:$1,0)-MATCH("character_id",[4]characters!$1:$1,0)+1),MATCH(AE$1,[4]characters!$1:$1,0)-MATCH("character_id",[4]characters!$1:$1,0)+1,FALSE),"")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29" s="8">
        <v>1</v>
      </c>
      <c r="AG129" s="27">
        <f t="shared" ca="1" si="61"/>
        <v>3</v>
      </c>
      <c r="AH129" s="9">
        <v>0</v>
      </c>
      <c r="AI129" s="8">
        <v>0</v>
      </c>
      <c r="AJ129" s="8">
        <v>0</v>
      </c>
      <c r="AK129" s="8">
        <v>0</v>
      </c>
      <c r="AL129" s="8">
        <v>0</v>
      </c>
      <c r="AM129" s="8">
        <v>1</v>
      </c>
      <c r="AN129" s="8">
        <v>1</v>
      </c>
    </row>
    <row r="130" spans="1:40" ht="21" customHeight="1" x14ac:dyDescent="0.15">
      <c r="A130" s="17" t="str">
        <f ca="1">B130&amp;"_"&amp;C130&amp;"-"&amp;G130&amp;"/"&amp;L130&amp;"&lt;lv"&amp;R130&amp;"&gt;s"&amp;AA130</f>
        <v>11003_3-5/154&lt;lv30&gt;s3</v>
      </c>
      <c r="B130" s="8">
        <v>11003</v>
      </c>
      <c r="C130" s="25">
        <v>3</v>
      </c>
      <c r="D130" s="2" t="str">
        <f t="shared" si="60"/>
        <v>11003_3</v>
      </c>
      <c r="E130" s="5" t="str">
        <f ca="1">VLOOKUP($B130,OFFSET([2]quests!$A$1,0,0,COUNTA([2]quests!$A:$A),MATCH(E$1,[2]quests!$1:$1,0)-MATCH($B$1,[2]quests!$1:$1,0)+1),MATCH(E$1,[2]quests!$1:$1,0)-MATCH($B$1,[2]quests!$1:$1,0)+1,FALSE)</f>
        <v>【水曜限定】 青の素材</v>
      </c>
      <c r="F130" s="5" t="str">
        <f ca="1">VLOOKUP($D130,OFFSET([2]stages!$A$1,0,0,COUNTA([2]stages!$A:$A),MATCH(F$1,[2]stages!$2:$2,0)-MATCH($D$1,[2]stages!$2:$2,0)+1),MATCH(F$1,[2]stages!$2:$2,0)-MATCH($D$1,[2]stages!$2:$2,0)+1,FALSE)</f>
        <v>【上級】水のイモムシ</v>
      </c>
      <c r="G130" s="25">
        <v>5</v>
      </c>
      <c r="H130" s="16" t="str">
        <f t="shared" si="49"/>
        <v>11003_3-5</v>
      </c>
      <c r="I130" s="5">
        <f ca="1">VLOOKUP($H130,OFFSET(floors!$A$1,0,0,COUNTA(floors!$A:$A),MATCH(I$1,floors!$1:$1,0)-MATCH($H$1,floors!$1:$1,0)+1),MATCH(I$1,floors!$1:$1,0)-MATCH($H$1,floors!$1:$1,0)+1,FALSE)</f>
        <v>60</v>
      </c>
      <c r="J130" s="5">
        <f ca="1">VLOOKUP($H130,OFFSET(floors!$A$1,0,0,COUNTA(floors!$A:$A),MATCH(J$1,floors!$1:$1,0)-MATCH($H$1,floors!$1:$1,0)+1),MATCH(J$1,floors!$1:$1,0)-MATCH($H$1,floors!$1:$1,0)+1,FALSE)</f>
        <v>60</v>
      </c>
      <c r="K130" s="24" t="s">
        <v>197</v>
      </c>
      <c r="L130" s="24">
        <v>154</v>
      </c>
      <c r="M130" s="20" t="str">
        <f ca="1">VLOOKUP($L130,OFFSET([3]enemies!$A$1,0,0,COUNTA([3]enemies!$A:$A),MATCH(M$1,[3]enemies!$1:$1,0)-MATCH($L$1,[3]enemies!$1:$1,0)+1),MATCH(M$1,[3]enemies!$1:$1,0)-MATCH($L$1,[3]enemies!$1:$1,0)+1,FALSE)</f>
        <v>始末屋 ハンナ</v>
      </c>
      <c r="N130" s="20" t="str">
        <f ca="1">VLOOKUP($L130,OFFSET([3]enemies!$A$1,0,0,COUNTA([3]enemies!$A:$A),MATCH(N$1,[3]enemies!$1:$1,0)-MATCH($L$1,[3]enemies!$1:$1,0)+1),MATCH(N$1,[3]enemies!$1:$1,0)-MATCH($L$1,[3]enemies!$1:$1,0)+1,FALSE)</f>
        <v>blue</v>
      </c>
      <c r="O130" s="22" t="str">
        <f ca="1">VLOOKUP($L130,OFFSET([4]characters!$A$1,0,0,COUNTA([4]characters!$A:$A),MATCH(O$1,[4]characters!$1:$1,0)-MATCH($L$1,[4]characters!$1:$1,0)+1),MATCH(O$1,[4]characters!$1:$1,0)-MATCH($L$1,[4]characters!$1:$1,0)+1,FALSE)</f>
        <v>PremiumW</v>
      </c>
      <c r="P130" s="20" t="str">
        <f ca="1">VLOOKUP($L130,OFFSET([3]enemies!$A$1,0,0,COUNTA([3]enemies!$A:$A),MATCH(P$1,[3]enemies!$1:$1,0)-MATCH($L$1,[3]enemies!$1:$1,0)+1),MATCH(P$1,[3]enemies!$1:$1,0)-MATCH($L$1,[3]enemies!$1:$1,0)+1,FALSE)</f>
        <v>human</v>
      </c>
      <c r="Q130" s="20">
        <f ca="1">VLOOKUP($L130,OFFSET([3]enemies!$A$1,0,0,COUNTA([3]enemies!$A:$A),MATCH(Q$1,[3]enemies!$1:$1,0)-MATCH($L$1,[3]enemies!$1:$1,0)+1),MATCH(Q$1,[3]enemies!$1:$1,0)-MATCH($L$1,[3]enemies!$1:$1,0)+1,FALSE)</f>
        <v>20</v>
      </c>
      <c r="R130" s="6">
        <v>30</v>
      </c>
      <c r="S130" s="39">
        <v>1</v>
      </c>
      <c r="T130" s="39">
        <v>1</v>
      </c>
      <c r="U130" s="6">
        <v>0</v>
      </c>
      <c r="V130" s="5" t="str">
        <f ca="1">VLOOKUP($W130,OFFSET([5]enemy_skill_sets!$B$1,0,0,COUNTA([5]enemy_skill_sets!$B:$B),MATCH(M$1,[5]enemy_skill_sets!$1:$1,0)-MATCH($W$1,[5]enemy_skill_sets!$1:$1,0)+2),MATCH(M$1,[5]enemy_skill_sets!$1:$1,0)-MATCH($W$1,[5]enemy_skill_sets!$1:$1,0)+2,FALSE)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30" s="5">
        <f ca="1">VLOOKUP($L130,OFFSET([3]enemies!$A$1,0,0,COUNTA([3]enemies!$A:$A),MATCH(W$1,[3]enemies!$1:$1,0)-MATCH($L$1,[3]enemies!$1:$1,0)+1),MATCH(W$1,[3]enemies!$1:$1,0)-MATCH($L$1,[3]enemies!$1:$1,0)+1,FALSE)</f>
        <v>154</v>
      </c>
      <c r="X130" s="7">
        <v>0</v>
      </c>
      <c r="Y130" s="7">
        <v>100</v>
      </c>
      <c r="Z130" s="7">
        <v>1</v>
      </c>
      <c r="AA130" s="20">
        <f ca="1">VLOOKUP($L130,OFFSET([3]enemies!$A$1,0,0,COUNTA([3]enemies!$A:$A),MATCH(AA$1,[3]enemies!$1:$1,0)-MATCH($L$1,[3]enemies!$1:$1,0)+1),MATCH(AA$1,[3]enemies!$1:$1,0)-MATCH($L$1,[3]enemies!$1:$1,0)+1,FALSE)</f>
        <v>3</v>
      </c>
      <c r="AB130" s="24">
        <v>154</v>
      </c>
      <c r="AC130" s="5" t="str">
        <f ca="1">IFERROR(VLOOKUP($AB130,OFFSET([4]characters!$A$1,0,0,COUNTA([4]characters!$A:$A),MATCH(AC$1,[4]characters!$1:$1,0)-MATCH("character_id",[4]characters!$1:$1,0)+1),MATCH(AC$1,[4]characters!$1:$1,0)-MATCH("character_id",[4]characters!$1:$1,0)+1,FALSE),"")</f>
        <v>始末屋 ハンナ</v>
      </c>
      <c r="AD130" s="5">
        <f ca="1">IFERROR(VLOOKUP($AB130,OFFSET([4]characters!$A$1,0,0,COUNTA([4]characters!$A:$A),MATCH(AD$1,[4]characters!$1:$1,0)-MATCH("character_id",[4]characters!$1:$1,0)+1),MATCH(AD$1,[4]characters!$1:$1,0)-MATCH("character_id",[4]characters!$1:$1,0)+1,FALSE),"")</f>
        <v>3</v>
      </c>
      <c r="AE130" s="5" t="str">
        <f ca="1">IFERROR(VLOOKUP($AB130,OFFSET([4]characters!$A$1,0,0,COUNTA([4]characters!$A:$A),MATCH(AE$1,[4]characters!$1:$1,0)-MATCH("character_id",[4]characters!$1:$1,0)+1),MATCH(AE$1,[4]characters!$1:$1,0)-MATCH("character_id",[4]characters!$1:$1,0)+1,FALSE),"")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30" s="8">
        <v>1</v>
      </c>
      <c r="AG130" s="27">
        <f t="shared" ca="1" si="61"/>
        <v>3</v>
      </c>
      <c r="AH130" s="9">
        <v>0</v>
      </c>
      <c r="AI130" s="8">
        <v>0</v>
      </c>
      <c r="AJ130" s="8">
        <v>0</v>
      </c>
      <c r="AK130" s="8">
        <v>0</v>
      </c>
      <c r="AL130" s="8">
        <v>0</v>
      </c>
      <c r="AM130" s="8">
        <v>1</v>
      </c>
      <c r="AN130" s="8">
        <v>1</v>
      </c>
    </row>
    <row r="131" spans="1:40" ht="21" customHeight="1" x14ac:dyDescent="0.15">
      <c r="A131" s="17" t="str">
        <f t="shared" ref="A131:A132" ca="1" si="68">B131&amp;"_"&amp;C131&amp;"-"&amp;G131&amp;"/"&amp;L131&amp;"&lt;lv"&amp;R131&amp;"&gt;s"&amp;AA131</f>
        <v>11004_1-1/105&lt;lv3&gt;s1</v>
      </c>
      <c r="B131" s="8">
        <v>11004</v>
      </c>
      <c r="C131" s="25">
        <v>1</v>
      </c>
      <c r="D131" s="2" t="str">
        <f t="shared" si="60"/>
        <v>11004_1</v>
      </c>
      <c r="E131" s="5" t="str">
        <f ca="1">VLOOKUP($B131,OFFSET([2]quests!$A$1,0,0,COUNTA([2]quests!$A:$A),MATCH(E$1,[2]quests!$1:$1,0)-MATCH($B$1,[2]quests!$1:$1,0)+1),MATCH(E$1,[2]quests!$1:$1,0)-MATCH($B$1,[2]quests!$1:$1,0)+1,FALSE)</f>
        <v>【木曜限定】 緑の素材</v>
      </c>
      <c r="F131" s="5" t="str">
        <f ca="1">VLOOKUP($D131,OFFSET([2]stages!$A$1,0,0,COUNTA([2]stages!$A:$A),MATCH(F$1,[2]stages!$2:$2,0)-MATCH($D$1,[2]stages!$2:$2,0)+1),MATCH(F$1,[2]stages!$2:$2,0)-MATCH($D$1,[2]stages!$2:$2,0)+1,FALSE)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1" s="25">
        <v>1</v>
      </c>
      <c r="H131" s="16" t="str">
        <f t="shared" ref="H131:H194" si="69">B131&amp;"_"&amp;C131&amp;"-"&amp;G131</f>
        <v>11004_1-1</v>
      </c>
      <c r="I131" s="5">
        <f ca="1">VLOOKUP($H131,OFFSET(floors!$A$1,0,0,COUNTA(floors!$A:$A),MATCH(I$1,floors!$1:$1,0)-MATCH($H$1,floors!$1:$1,0)+1),MATCH(I$1,floors!$1:$1,0)-MATCH($H$1,floors!$1:$1,0)+1,FALSE)</f>
        <v>30</v>
      </c>
      <c r="J131" s="5">
        <f ca="1">VLOOKUP($H131,OFFSET(floors!$A$1,0,0,COUNTA(floors!$A:$A),MATCH(J$1,floors!$1:$1,0)-MATCH($H$1,floors!$1:$1,0)+1),MATCH(J$1,floors!$1:$1,0)-MATCH($H$1,floors!$1:$1,0)+1,FALSE)</f>
        <v>45</v>
      </c>
      <c r="K131" s="24" t="s">
        <v>197</v>
      </c>
      <c r="L131" s="24">
        <v>105</v>
      </c>
      <c r="M131" s="20" t="str">
        <f ca="1">VLOOKUP($L131,OFFSET([3]enemies!$A$1,0,0,COUNTA([3]enemies!$A:$A),MATCH(M$1,[3]enemies!$1:$1,0)-MATCH($L$1,[3]enemies!$1:$1,0)+1),MATCH(M$1,[3]enemies!$1:$1,0)-MATCH($L$1,[3]enemies!$1:$1,0)+1,FALSE)</f>
        <v>グリーンチェシャ</v>
      </c>
      <c r="N131" s="20" t="str">
        <f ca="1">VLOOKUP($L131,OFFSET([3]enemies!$A$1,0,0,COUNTA([3]enemies!$A:$A),MATCH(N$1,[3]enemies!$1:$1,0)-MATCH($L$1,[3]enemies!$1:$1,0)+1),MATCH(N$1,[3]enemies!$1:$1,0)-MATCH($L$1,[3]enemies!$1:$1,0)+1,FALSE)</f>
        <v>green</v>
      </c>
      <c r="O131" s="22" t="str">
        <f ca="1">VLOOKUP($L131,OFFSET([4]characters!$A$1,0,0,COUNTA([4]characters!$A:$A),MATCH(O$1,[4]characters!$1:$1,0)-MATCH($L$1,[4]characters!$1:$1,0)+1),MATCH(O$1,[4]characters!$1:$1,0)-MATCH($L$1,[4]characters!$1:$1,0)+1,FALSE)</f>
        <v>Material</v>
      </c>
      <c r="P131" s="20" t="str">
        <f ca="1">VLOOKUP($L131,OFFSET([3]enemies!$A$1,0,0,COUNTA([3]enemies!$A:$A),MATCH(P$1,[3]enemies!$1:$1,0)-MATCH($L$1,[3]enemies!$1:$1,0)+1),MATCH(P$1,[3]enemies!$1:$1,0)-MATCH($L$1,[3]enemies!$1:$1,0)+1,FALSE)</f>
        <v>unknown</v>
      </c>
      <c r="Q131" s="20">
        <f ca="1">VLOOKUP($L131,OFFSET([3]enemies!$A$1,0,0,COUNTA([3]enemies!$A:$A),MATCH(Q$1,[3]enemies!$1:$1,0)-MATCH($L$1,[3]enemies!$1:$1,0)+1),MATCH(Q$1,[3]enemies!$1:$1,0)-MATCH($L$1,[3]enemies!$1:$1,0)+1,FALSE)</f>
        <v>15</v>
      </c>
      <c r="R131" s="6">
        <v>3</v>
      </c>
      <c r="S131" s="39">
        <v>1</v>
      </c>
      <c r="T131" s="39">
        <v>1</v>
      </c>
      <c r="U131" s="6">
        <v>0</v>
      </c>
      <c r="V131" s="5" t="str">
        <f ca="1">VLOOKUP($W131,OFFSET([5]enemy_skill_sets!$B$1,0,0,COUNTA([5]enemy_skill_sets!$B:$B),MATCH(M$1,[5]enemy_skill_sets!$1:$1,0)-MATCH($W$1,[5]enemy_skill_sets!$1:$1,0)+2),MATCH(M$1,[5]enemy_skill_sets!$1:$1,0)-MATCH($W$1,[5]enemy_skill_sets!$1:$1,0)+2,FALSE)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1" s="5">
        <f ca="1">VLOOKUP($L131,OFFSET([3]enemies!$A$1,0,0,COUNTA([3]enemies!$A:$A),MATCH(W$1,[3]enemies!$1:$1,0)-MATCH($L$1,[3]enemies!$1:$1,0)+1),MATCH(W$1,[3]enemies!$1:$1,0)-MATCH($L$1,[3]enemies!$1:$1,0)+1,FALSE)</f>
        <v>0</v>
      </c>
      <c r="X131" s="7">
        <v>0</v>
      </c>
      <c r="Y131" s="7">
        <v>100</v>
      </c>
      <c r="Z131" s="7">
        <v>0</v>
      </c>
      <c r="AA131" s="20">
        <f ca="1">VLOOKUP($L131,OFFSET([3]enemies!$A$1,0,0,COUNTA([3]enemies!$A:$A),MATCH(AA$1,[3]enemies!$1:$1,0)-MATCH($L$1,[3]enemies!$1:$1,0)+1),MATCH(AA$1,[3]enemies!$1:$1,0)-MATCH($L$1,[3]enemies!$1:$1,0)+1,FALSE)</f>
        <v>1</v>
      </c>
      <c r="AB131" s="24">
        <v>105</v>
      </c>
      <c r="AC131" s="5" t="str">
        <f ca="1">IFERROR(VLOOKUP($AB131,OFFSET([4]characters!$A$1,0,0,COUNTA([4]characters!$A:$A),MATCH(AC$1,[4]characters!$1:$1,0)-MATCH("character_id",[4]characters!$1:$1,0)+1),MATCH(AC$1,[4]characters!$1:$1,0)-MATCH("character_id",[4]characters!$1:$1,0)+1,FALSE),"")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31" s="5">
        <f ca="1">IFERROR(VLOOKUP($AB131,OFFSET([4]characters!$A$1,0,0,COUNTA([4]characters!$A:$A),MATCH(AD$1,[4]characters!$1:$1,0)-MATCH("character_id",[4]characters!$1:$1,0)+1),MATCH(AD$1,[4]characters!$1:$1,0)-MATCH("character_id",[4]characters!$1:$1,0)+1,FALSE),"")</f>
        <v>2</v>
      </c>
      <c r="AE131" s="5" t="str">
        <f ca="1">IFERROR(VLOOKUP($AB131,OFFSET([4]characters!$A$1,0,0,COUNTA([4]characters!$A:$A),MATCH(AE$1,[4]characters!$1:$1,0)-MATCH("character_id",[4]characters!$1:$1,0)+1),MATCH(AE$1,[4]characters!$1:$1,0)-MATCH("character_id",[4]characters!$1:$1,0)+1,FALSE),"")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1" s="8">
        <v>1</v>
      </c>
      <c r="AG131" s="27">
        <f t="shared" ca="1" si="61"/>
        <v>2</v>
      </c>
      <c r="AH131" s="9">
        <v>40</v>
      </c>
      <c r="AI131" s="8">
        <v>0</v>
      </c>
      <c r="AJ131" s="8">
        <v>0</v>
      </c>
      <c r="AK131" s="8">
        <v>0</v>
      </c>
      <c r="AL131" s="8">
        <v>0</v>
      </c>
      <c r="AM131" s="8">
        <v>1</v>
      </c>
      <c r="AN131" s="8">
        <v>1</v>
      </c>
    </row>
    <row r="132" spans="1:40" ht="21" customHeight="1" x14ac:dyDescent="0.15">
      <c r="A132" s="17" t="str">
        <f t="shared" ca="1" si="68"/>
        <v>11004_1-2/105&lt;lv3&gt;s1</v>
      </c>
      <c r="B132" s="8">
        <v>11004</v>
      </c>
      <c r="C132" s="25">
        <v>1</v>
      </c>
      <c r="D132" s="2" t="str">
        <f t="shared" si="60"/>
        <v>11004_1</v>
      </c>
      <c r="E132" s="5" t="str">
        <f ca="1">VLOOKUP($B132,OFFSET([2]quests!$A$1,0,0,COUNTA([2]quests!$A:$A),MATCH(E$1,[2]quests!$1:$1,0)-MATCH($B$1,[2]quests!$1:$1,0)+1),MATCH(E$1,[2]quests!$1:$1,0)-MATCH($B$1,[2]quests!$1:$1,0)+1,FALSE)</f>
        <v>【木曜限定】 緑の素材</v>
      </c>
      <c r="F132" s="5" t="str">
        <f ca="1">VLOOKUP($D132,OFFSET([2]stages!$A$1,0,0,COUNTA([2]stages!$A:$A),MATCH(F$1,[2]stages!$2:$2,0)-MATCH($D$1,[2]stages!$2:$2,0)+1),MATCH(F$1,[2]stages!$2:$2,0)-MATCH($D$1,[2]stages!$2:$2,0)+1,FALSE)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2" s="25">
        <v>2</v>
      </c>
      <c r="H132" s="16" t="str">
        <f t="shared" si="69"/>
        <v>11004_1-2</v>
      </c>
      <c r="I132" s="5">
        <f ca="1">VLOOKUP($H132,OFFSET(floors!$A$1,0,0,COUNTA(floors!$A:$A),MATCH(I$1,floors!$1:$1,0)-MATCH($H$1,floors!$1:$1,0)+1),MATCH(I$1,floors!$1:$1,0)-MATCH($H$1,floors!$1:$1,0)+1,FALSE)</f>
        <v>30</v>
      </c>
      <c r="J132" s="5">
        <f ca="1">VLOOKUP($H132,OFFSET(floors!$A$1,0,0,COUNTA(floors!$A:$A),MATCH(J$1,floors!$1:$1,0)-MATCH($H$1,floors!$1:$1,0)+1),MATCH(J$1,floors!$1:$1,0)-MATCH($H$1,floors!$1:$1,0)+1,FALSE)</f>
        <v>45</v>
      </c>
      <c r="K132" s="24" t="s">
        <v>197</v>
      </c>
      <c r="L132" s="24">
        <v>105</v>
      </c>
      <c r="M132" s="20" t="str">
        <f ca="1">VLOOKUP($L132,OFFSET([3]enemies!$A$1,0,0,COUNTA([3]enemies!$A:$A),MATCH(M$1,[3]enemies!$1:$1,0)-MATCH($L$1,[3]enemies!$1:$1,0)+1),MATCH(M$1,[3]enemies!$1:$1,0)-MATCH($L$1,[3]enemies!$1:$1,0)+1,FALSE)</f>
        <v>グリーンチェシャ</v>
      </c>
      <c r="N132" s="20" t="str">
        <f ca="1">VLOOKUP($L132,OFFSET([3]enemies!$A$1,0,0,COUNTA([3]enemies!$A:$A),MATCH(N$1,[3]enemies!$1:$1,0)-MATCH($L$1,[3]enemies!$1:$1,0)+1),MATCH(N$1,[3]enemies!$1:$1,0)-MATCH($L$1,[3]enemies!$1:$1,0)+1,FALSE)</f>
        <v>green</v>
      </c>
      <c r="O132" s="22" t="str">
        <f ca="1">VLOOKUP($L132,OFFSET([4]characters!$A$1,0,0,COUNTA([4]characters!$A:$A),MATCH(O$1,[4]characters!$1:$1,0)-MATCH($L$1,[4]characters!$1:$1,0)+1),MATCH(O$1,[4]characters!$1:$1,0)-MATCH($L$1,[4]characters!$1:$1,0)+1,FALSE)</f>
        <v>Material</v>
      </c>
      <c r="P132" s="20" t="str">
        <f ca="1">VLOOKUP($L132,OFFSET([3]enemies!$A$1,0,0,COUNTA([3]enemies!$A:$A),MATCH(P$1,[3]enemies!$1:$1,0)-MATCH($L$1,[3]enemies!$1:$1,0)+1),MATCH(P$1,[3]enemies!$1:$1,0)-MATCH($L$1,[3]enemies!$1:$1,0)+1,FALSE)</f>
        <v>unknown</v>
      </c>
      <c r="Q132" s="20">
        <f ca="1">VLOOKUP($L132,OFFSET([3]enemies!$A$1,0,0,COUNTA([3]enemies!$A:$A),MATCH(Q$1,[3]enemies!$1:$1,0)-MATCH($L$1,[3]enemies!$1:$1,0)+1),MATCH(Q$1,[3]enemies!$1:$1,0)-MATCH($L$1,[3]enemies!$1:$1,0)+1,FALSE)</f>
        <v>15</v>
      </c>
      <c r="R132" s="6">
        <v>3</v>
      </c>
      <c r="S132" s="39">
        <v>1</v>
      </c>
      <c r="T132" s="39">
        <v>1</v>
      </c>
      <c r="U132" s="6">
        <v>0</v>
      </c>
      <c r="V132" s="5" t="str">
        <f ca="1">VLOOKUP($W132,OFFSET([5]enemy_skill_sets!$B$1,0,0,COUNTA([5]enemy_skill_sets!$B:$B),MATCH(M$1,[5]enemy_skill_sets!$1:$1,0)-MATCH($W$1,[5]enemy_skill_sets!$1:$1,0)+2),MATCH(M$1,[5]enemy_skill_sets!$1:$1,0)-MATCH($W$1,[5]enemy_skill_sets!$1:$1,0)+2,FALSE)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2" s="5">
        <f ca="1">VLOOKUP($L132,OFFSET([3]enemies!$A$1,0,0,COUNTA([3]enemies!$A:$A),MATCH(W$1,[3]enemies!$1:$1,0)-MATCH($L$1,[3]enemies!$1:$1,0)+1),MATCH(W$1,[3]enemies!$1:$1,0)-MATCH($L$1,[3]enemies!$1:$1,0)+1,FALSE)</f>
        <v>0</v>
      </c>
      <c r="X132" s="7">
        <v>0</v>
      </c>
      <c r="Y132" s="7">
        <v>100</v>
      </c>
      <c r="Z132" s="7">
        <v>0</v>
      </c>
      <c r="AA132" s="20">
        <f ca="1">VLOOKUP($L132,OFFSET([3]enemies!$A$1,0,0,COUNTA([3]enemies!$A:$A),MATCH(AA$1,[3]enemies!$1:$1,0)-MATCH($L$1,[3]enemies!$1:$1,0)+1),MATCH(AA$1,[3]enemies!$1:$1,0)-MATCH($L$1,[3]enemies!$1:$1,0)+1,FALSE)</f>
        <v>1</v>
      </c>
      <c r="AB132" s="24">
        <v>105</v>
      </c>
      <c r="AC132" s="5" t="str">
        <f ca="1">IFERROR(VLOOKUP($AB132,OFFSET([4]characters!$A$1,0,0,COUNTA([4]characters!$A:$A),MATCH(AC$1,[4]characters!$1:$1,0)-MATCH("character_id",[4]characters!$1:$1,0)+1),MATCH(AC$1,[4]characters!$1:$1,0)-MATCH("character_id",[4]characters!$1:$1,0)+1,FALSE),"")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32" s="5">
        <f ca="1">IFERROR(VLOOKUP($AB132,OFFSET([4]characters!$A$1,0,0,COUNTA([4]characters!$A:$A),MATCH(AD$1,[4]characters!$1:$1,0)-MATCH("character_id",[4]characters!$1:$1,0)+1),MATCH(AD$1,[4]characters!$1:$1,0)-MATCH("character_id",[4]characters!$1:$1,0)+1,FALSE),"")</f>
        <v>2</v>
      </c>
      <c r="AE132" s="5" t="str">
        <f ca="1">IFERROR(VLOOKUP($AB132,OFFSET([4]characters!$A$1,0,0,COUNTA([4]characters!$A:$A),MATCH(AE$1,[4]characters!$1:$1,0)-MATCH("character_id",[4]characters!$1:$1,0)+1),MATCH(AE$1,[4]characters!$1:$1,0)-MATCH("character_id",[4]characters!$1:$1,0)+1,FALSE),"")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2" s="8">
        <v>1</v>
      </c>
      <c r="AG132" s="27">
        <f t="shared" ca="1" si="61"/>
        <v>2</v>
      </c>
      <c r="AH132" s="9">
        <v>40</v>
      </c>
      <c r="AI132" s="8">
        <v>0</v>
      </c>
      <c r="AJ132" s="8">
        <v>0</v>
      </c>
      <c r="AK132" s="8">
        <v>0</v>
      </c>
      <c r="AL132" s="8">
        <v>0</v>
      </c>
      <c r="AM132" s="8">
        <v>1</v>
      </c>
      <c r="AN132" s="8">
        <v>1</v>
      </c>
    </row>
    <row r="133" spans="1:40" ht="21" customHeight="1" x14ac:dyDescent="0.15">
      <c r="A133" s="17" t="str">
        <f t="shared" ref="A133:A169" ca="1" si="70">B133&amp;"_"&amp;C133&amp;"-"&amp;G133&amp;"/"&amp;L133&amp;"&lt;lv"&amp;R133&amp;"&gt;s"&amp;AA133</f>
        <v>11004_1-3/105&lt;lv3&gt;s1</v>
      </c>
      <c r="B133" s="8">
        <v>11004</v>
      </c>
      <c r="C133" s="25">
        <v>1</v>
      </c>
      <c r="D133" s="2" t="str">
        <f t="shared" ref="D133:D175" si="71">B133&amp;"_"&amp;C133</f>
        <v>11004_1</v>
      </c>
      <c r="E133" s="5" t="str">
        <f ca="1">VLOOKUP($B133,OFFSET([2]quests!$A$1,0,0,COUNTA([2]quests!$A:$A),MATCH(E$1,[2]quests!$1:$1,0)-MATCH($B$1,[2]quests!$1:$1,0)+1),MATCH(E$1,[2]quests!$1:$1,0)-MATCH($B$1,[2]quests!$1:$1,0)+1,FALSE)</f>
        <v>【木曜限定】 緑の素材</v>
      </c>
      <c r="F133" s="5" t="str">
        <f ca="1">VLOOKUP($D133,OFFSET([2]stages!$A$1,0,0,COUNTA([2]stages!$A:$A),MATCH(F$1,[2]stages!$2:$2,0)-MATCH($D$1,[2]stages!$2:$2,0)+1),MATCH(F$1,[2]stages!$2:$2,0)-MATCH($D$1,[2]stages!$2:$2,0)+1,FALSE)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3" s="25">
        <v>3</v>
      </c>
      <c r="H133" s="16" t="str">
        <f t="shared" si="69"/>
        <v>11004_1-3</v>
      </c>
      <c r="I133" s="5">
        <f ca="1">VLOOKUP($H133,OFFSET(floors!$A$1,0,0,COUNTA(floors!$A:$A),MATCH(I$1,floors!$1:$1,0)-MATCH($H$1,floors!$1:$1,0)+1),MATCH(I$1,floors!$1:$1,0)-MATCH($H$1,floors!$1:$1,0)+1,FALSE)</f>
        <v>45</v>
      </c>
      <c r="J133" s="5">
        <f ca="1">VLOOKUP($H133,OFFSET(floors!$A$1,0,0,COUNTA(floors!$A:$A),MATCH(J$1,floors!$1:$1,0)-MATCH($H$1,floors!$1:$1,0)+1),MATCH(J$1,floors!$1:$1,0)-MATCH($H$1,floors!$1:$1,0)+1,FALSE)</f>
        <v>45</v>
      </c>
      <c r="K133" s="24" t="s">
        <v>197</v>
      </c>
      <c r="L133" s="24">
        <v>105</v>
      </c>
      <c r="M133" s="20" t="str">
        <f ca="1">VLOOKUP($L133,OFFSET([3]enemies!$A$1,0,0,COUNTA([3]enemies!$A:$A),MATCH(M$1,[3]enemies!$1:$1,0)-MATCH($L$1,[3]enemies!$1:$1,0)+1),MATCH(M$1,[3]enemies!$1:$1,0)-MATCH($L$1,[3]enemies!$1:$1,0)+1,FALSE)</f>
        <v>グリーンチェシャ</v>
      </c>
      <c r="N133" s="20" t="str">
        <f ca="1">VLOOKUP($L133,OFFSET([3]enemies!$A$1,0,0,COUNTA([3]enemies!$A:$A),MATCH(N$1,[3]enemies!$1:$1,0)-MATCH($L$1,[3]enemies!$1:$1,0)+1),MATCH(N$1,[3]enemies!$1:$1,0)-MATCH($L$1,[3]enemies!$1:$1,0)+1,FALSE)</f>
        <v>green</v>
      </c>
      <c r="O133" s="22" t="str">
        <f ca="1">VLOOKUP($L133,OFFSET([4]characters!$A$1,0,0,COUNTA([4]characters!$A:$A),MATCH(O$1,[4]characters!$1:$1,0)-MATCH($L$1,[4]characters!$1:$1,0)+1),MATCH(O$1,[4]characters!$1:$1,0)-MATCH($L$1,[4]characters!$1:$1,0)+1,FALSE)</f>
        <v>Material</v>
      </c>
      <c r="P133" s="20" t="str">
        <f ca="1">VLOOKUP($L133,OFFSET([3]enemies!$A$1,0,0,COUNTA([3]enemies!$A:$A),MATCH(P$1,[3]enemies!$1:$1,0)-MATCH($L$1,[3]enemies!$1:$1,0)+1),MATCH(P$1,[3]enemies!$1:$1,0)-MATCH($L$1,[3]enemies!$1:$1,0)+1,FALSE)</f>
        <v>unknown</v>
      </c>
      <c r="Q133" s="20">
        <f ca="1">VLOOKUP($L133,OFFSET([3]enemies!$A$1,0,0,COUNTA([3]enemies!$A:$A),MATCH(Q$1,[3]enemies!$1:$1,0)-MATCH($L$1,[3]enemies!$1:$1,0)+1),MATCH(Q$1,[3]enemies!$1:$1,0)-MATCH($L$1,[3]enemies!$1:$1,0)+1,FALSE)</f>
        <v>15</v>
      </c>
      <c r="R133" s="6">
        <v>3</v>
      </c>
      <c r="S133" s="39">
        <v>1</v>
      </c>
      <c r="T133" s="39">
        <v>1</v>
      </c>
      <c r="U133" s="6">
        <v>0</v>
      </c>
      <c r="V133" s="5" t="str">
        <f ca="1">VLOOKUP($W133,OFFSET([5]enemy_skill_sets!$B$1,0,0,COUNTA([5]enemy_skill_sets!$B:$B),MATCH(M$1,[5]enemy_skill_sets!$1:$1,0)-MATCH($W$1,[5]enemy_skill_sets!$1:$1,0)+2),MATCH(M$1,[5]enemy_skill_sets!$1:$1,0)-MATCH($W$1,[5]enemy_skill_sets!$1:$1,0)+2,FALSE)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3" s="5">
        <f ca="1">VLOOKUP($L133,OFFSET([3]enemies!$A$1,0,0,COUNTA([3]enemies!$A:$A),MATCH(W$1,[3]enemies!$1:$1,0)-MATCH($L$1,[3]enemies!$1:$1,0)+1),MATCH(W$1,[3]enemies!$1:$1,0)-MATCH($L$1,[3]enemies!$1:$1,0)+1,FALSE)</f>
        <v>0</v>
      </c>
      <c r="X133" s="7">
        <v>0</v>
      </c>
      <c r="Y133" s="7">
        <v>100</v>
      </c>
      <c r="Z133" s="7">
        <v>0</v>
      </c>
      <c r="AA133" s="20">
        <f ca="1">VLOOKUP($L133,OFFSET([3]enemies!$A$1,0,0,COUNTA([3]enemies!$A:$A),MATCH(AA$1,[3]enemies!$1:$1,0)-MATCH($L$1,[3]enemies!$1:$1,0)+1),MATCH(AA$1,[3]enemies!$1:$1,0)-MATCH($L$1,[3]enemies!$1:$1,0)+1,FALSE)</f>
        <v>1</v>
      </c>
      <c r="AB133" s="24">
        <v>105</v>
      </c>
      <c r="AC133" s="5" t="str">
        <f ca="1">IFERROR(VLOOKUP($AB133,OFFSET([4]characters!$A$1,0,0,COUNTA([4]characters!$A:$A),MATCH(AC$1,[4]characters!$1:$1,0)-MATCH("character_id",[4]characters!$1:$1,0)+1),MATCH(AC$1,[4]characters!$1:$1,0)-MATCH("character_id",[4]characters!$1:$1,0)+1,FALSE),"")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33" s="5">
        <f ca="1">IFERROR(VLOOKUP($AB133,OFFSET([4]characters!$A$1,0,0,COUNTA([4]characters!$A:$A),MATCH(AD$1,[4]characters!$1:$1,0)-MATCH("character_id",[4]characters!$1:$1,0)+1),MATCH(AD$1,[4]characters!$1:$1,0)-MATCH("character_id",[4]characters!$1:$1,0)+1,FALSE),"")</f>
        <v>2</v>
      </c>
      <c r="AE133" s="5" t="str">
        <f ca="1">IFERROR(VLOOKUP($AB133,OFFSET([4]characters!$A$1,0,0,COUNTA([4]characters!$A:$A),MATCH(AE$1,[4]characters!$1:$1,0)-MATCH("character_id",[4]characters!$1:$1,0)+1),MATCH(AE$1,[4]characters!$1:$1,0)-MATCH("character_id",[4]characters!$1:$1,0)+1,FALSE),"")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3" s="8">
        <v>1</v>
      </c>
      <c r="AG133" s="27">
        <f t="shared" ref="AG133:AG175" ca="1" si="72">AD133</f>
        <v>2</v>
      </c>
      <c r="AH133" s="9">
        <v>40</v>
      </c>
      <c r="AI133" s="8">
        <v>0</v>
      </c>
      <c r="AJ133" s="8">
        <v>0</v>
      </c>
      <c r="AK133" s="8">
        <v>0</v>
      </c>
      <c r="AL133" s="8">
        <v>0</v>
      </c>
      <c r="AM133" s="8">
        <v>1</v>
      </c>
      <c r="AN133" s="8">
        <v>1</v>
      </c>
    </row>
    <row r="134" spans="1:40" ht="21" customHeight="1" x14ac:dyDescent="0.15">
      <c r="A134" s="17" t="str">
        <f t="shared" ca="1" si="70"/>
        <v>11004_1-3/106&lt;lv3&gt;s2</v>
      </c>
      <c r="B134" s="8">
        <v>11004</v>
      </c>
      <c r="C134" s="25">
        <v>1</v>
      </c>
      <c r="D134" s="2" t="str">
        <f t="shared" si="71"/>
        <v>11004_1</v>
      </c>
      <c r="E134" s="5" t="str">
        <f ca="1">VLOOKUP($B134,OFFSET([2]quests!$A$1,0,0,COUNTA([2]quests!$A:$A),MATCH(E$1,[2]quests!$1:$1,0)-MATCH($B$1,[2]quests!$1:$1,0)+1),MATCH(E$1,[2]quests!$1:$1,0)-MATCH($B$1,[2]quests!$1:$1,0)+1,FALSE)</f>
        <v>【木曜限定】 緑の素材</v>
      </c>
      <c r="F134" s="5" t="str">
        <f ca="1">VLOOKUP($D134,OFFSET([2]stages!$A$1,0,0,COUNTA([2]stages!$A:$A),MATCH(F$1,[2]stages!$2:$2,0)-MATCH($D$1,[2]stages!$2:$2,0)+1),MATCH(F$1,[2]stages!$2:$2,0)-MATCH($D$1,[2]stages!$2:$2,0)+1,FALSE)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4" s="25">
        <v>3</v>
      </c>
      <c r="H134" s="16" t="str">
        <f t="shared" si="69"/>
        <v>11004_1-3</v>
      </c>
      <c r="I134" s="5">
        <f ca="1">VLOOKUP($H134,OFFSET(floors!$A$1,0,0,COUNTA(floors!$A:$A),MATCH(I$1,floors!$1:$1,0)-MATCH($H$1,floors!$1:$1,0)+1),MATCH(I$1,floors!$1:$1,0)-MATCH($H$1,floors!$1:$1,0)+1,FALSE)</f>
        <v>45</v>
      </c>
      <c r="J134" s="5">
        <f ca="1">VLOOKUP($H134,OFFSET(floors!$A$1,0,0,COUNTA(floors!$A:$A),MATCH(J$1,floors!$1:$1,0)-MATCH($H$1,floors!$1:$1,0)+1),MATCH(J$1,floors!$1:$1,0)-MATCH($H$1,floors!$1:$1,0)+1,FALSE)</f>
        <v>45</v>
      </c>
      <c r="K134" s="24" t="s">
        <v>197</v>
      </c>
      <c r="L134" s="24">
        <v>106</v>
      </c>
      <c r="M134" s="20" t="str">
        <f ca="1">VLOOKUP($L134,OFFSET([3]enemies!$A$1,0,0,COUNTA([3]enemies!$A:$A),MATCH(M$1,[3]enemies!$1:$1,0)-MATCH($L$1,[3]enemies!$1:$1,0)+1),MATCH(M$1,[3]enemies!$1:$1,0)-MATCH($L$1,[3]enemies!$1:$1,0)+1,FALSE)</f>
        <v>グリーンラビット</v>
      </c>
      <c r="N134" s="20" t="str">
        <f ca="1">VLOOKUP($L134,OFFSET([3]enemies!$A$1,0,0,COUNTA([3]enemies!$A:$A),MATCH(N$1,[3]enemies!$1:$1,0)-MATCH($L$1,[3]enemies!$1:$1,0)+1),MATCH(N$1,[3]enemies!$1:$1,0)-MATCH($L$1,[3]enemies!$1:$1,0)+1,FALSE)</f>
        <v>green</v>
      </c>
      <c r="O134" s="22" t="str">
        <f ca="1">VLOOKUP($L134,OFFSET([4]characters!$A$1,0,0,COUNTA([4]characters!$A:$A),MATCH(O$1,[4]characters!$1:$1,0)-MATCH($L$1,[4]characters!$1:$1,0)+1),MATCH(O$1,[4]characters!$1:$1,0)-MATCH($L$1,[4]characters!$1:$1,0)+1,FALSE)</f>
        <v>Material</v>
      </c>
      <c r="P134" s="20" t="str">
        <f ca="1">VLOOKUP($L134,OFFSET([3]enemies!$A$1,0,0,COUNTA([3]enemies!$A:$A),MATCH(P$1,[3]enemies!$1:$1,0)-MATCH($L$1,[3]enemies!$1:$1,0)+1),MATCH(P$1,[3]enemies!$1:$1,0)-MATCH($L$1,[3]enemies!$1:$1,0)+1,FALSE)</f>
        <v>unknown</v>
      </c>
      <c r="Q134" s="20">
        <f ca="1">VLOOKUP($L134,OFFSET([3]enemies!$A$1,0,0,COUNTA([3]enemies!$A:$A),MATCH(Q$1,[3]enemies!$1:$1,0)-MATCH($L$1,[3]enemies!$1:$1,0)+1),MATCH(Q$1,[3]enemies!$1:$1,0)-MATCH($L$1,[3]enemies!$1:$1,0)+1,FALSE)</f>
        <v>15</v>
      </c>
      <c r="R134" s="6">
        <v>3</v>
      </c>
      <c r="S134" s="40">
        <v>1.8</v>
      </c>
      <c r="T134" s="39">
        <v>1</v>
      </c>
      <c r="U134" s="6">
        <v>0</v>
      </c>
      <c r="V134" s="5" t="str">
        <f ca="1">VLOOKUP($W134,OFFSET([5]enemy_skill_sets!$B$1,0,0,COUNTA([5]enemy_skill_sets!$B:$B),MATCH(M$1,[5]enemy_skill_sets!$1:$1,0)-MATCH($W$1,[5]enemy_skill_sets!$1:$1,0)+2),MATCH(M$1,[5]enemy_skill_sets!$1:$1,0)-MATCH($W$1,[5]enemy_skill_sets!$1:$1,0)+2,FALSE)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4" s="5">
        <f ca="1">VLOOKUP($L134,OFFSET([3]enemies!$A$1,0,0,COUNTA([3]enemies!$A:$A),MATCH(W$1,[3]enemies!$1:$1,0)-MATCH($L$1,[3]enemies!$1:$1,0)+1),MATCH(W$1,[3]enemies!$1:$1,0)-MATCH($L$1,[3]enemies!$1:$1,0)+1,FALSE)</f>
        <v>0</v>
      </c>
      <c r="X134" s="7">
        <v>0</v>
      </c>
      <c r="Y134" s="7">
        <v>40</v>
      </c>
      <c r="Z134" s="7">
        <v>0</v>
      </c>
      <c r="AA134" s="20">
        <f ca="1">VLOOKUP($L134,OFFSET([3]enemies!$A$1,0,0,COUNTA([3]enemies!$A:$A),MATCH(AA$1,[3]enemies!$1:$1,0)-MATCH($L$1,[3]enemies!$1:$1,0)+1),MATCH(AA$1,[3]enemies!$1:$1,0)-MATCH($L$1,[3]enemies!$1:$1,0)+1,FALSE)</f>
        <v>2</v>
      </c>
      <c r="AB134" s="24">
        <v>106</v>
      </c>
      <c r="AC134" s="5" t="str">
        <f ca="1">IFERROR(VLOOKUP($AB134,OFFSET([4]characters!$A$1,0,0,COUNTA([4]characters!$A:$A),MATCH(AC$1,[4]characters!$1:$1,0)-MATCH("character_id",[4]characters!$1:$1,0)+1),MATCH(AC$1,[4]characters!$1:$1,0)-MATCH("character_id",[4]characters!$1:$1,0)+1,FALSE),"")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34" s="5">
        <f ca="1">IFERROR(VLOOKUP($AB134,OFFSET([4]characters!$A$1,0,0,COUNTA([4]characters!$A:$A),MATCH(AD$1,[4]characters!$1:$1,0)-MATCH("character_id",[4]characters!$1:$1,0)+1),MATCH(AD$1,[4]characters!$1:$1,0)-MATCH("character_id",[4]characters!$1:$1,0)+1,FALSE),"")</f>
        <v>3</v>
      </c>
      <c r="AE134" s="5" t="str">
        <f ca="1">IFERROR(VLOOKUP($AB134,OFFSET([4]characters!$A$1,0,0,COUNTA([4]characters!$A:$A),MATCH(AE$1,[4]characters!$1:$1,0)-MATCH("character_id",[4]characters!$1:$1,0)+1),MATCH(AE$1,[4]characters!$1:$1,0)-MATCH("character_id",[4]characters!$1:$1,0)+1,FALSE),"")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4" s="8">
        <v>1</v>
      </c>
      <c r="AG134" s="27">
        <f t="shared" ca="1" si="72"/>
        <v>3</v>
      </c>
      <c r="AH134" s="9">
        <v>10</v>
      </c>
      <c r="AI134" s="8">
        <v>0</v>
      </c>
      <c r="AJ134" s="8">
        <v>0</v>
      </c>
      <c r="AK134" s="8">
        <v>0</v>
      </c>
      <c r="AL134" s="8">
        <v>0</v>
      </c>
      <c r="AM134" s="8">
        <v>1</v>
      </c>
      <c r="AN134" s="8">
        <v>1</v>
      </c>
    </row>
    <row r="135" spans="1:40" ht="21" customHeight="1" x14ac:dyDescent="0.15">
      <c r="A135" s="17" t="str">
        <f t="shared" ca="1" si="70"/>
        <v>11004_1-4/105&lt;lv3&gt;s1</v>
      </c>
      <c r="B135" s="8">
        <v>11004</v>
      </c>
      <c r="C135" s="25">
        <v>1</v>
      </c>
      <c r="D135" s="2" t="str">
        <f t="shared" si="71"/>
        <v>11004_1</v>
      </c>
      <c r="E135" s="5" t="str">
        <f ca="1">VLOOKUP($B135,OFFSET([2]quests!$A$1,0,0,COUNTA([2]quests!$A:$A),MATCH(E$1,[2]quests!$1:$1,0)-MATCH($B$1,[2]quests!$1:$1,0)+1),MATCH(E$1,[2]quests!$1:$1,0)-MATCH($B$1,[2]quests!$1:$1,0)+1,FALSE)</f>
        <v>【木曜限定】 緑の素材</v>
      </c>
      <c r="F135" s="5" t="str">
        <f ca="1">VLOOKUP($D135,OFFSET([2]stages!$A$1,0,0,COUNTA([2]stages!$A:$A),MATCH(F$1,[2]stages!$2:$2,0)-MATCH($D$1,[2]stages!$2:$2,0)+1),MATCH(F$1,[2]stages!$2:$2,0)-MATCH($D$1,[2]stages!$2:$2,0)+1,FALSE)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5" s="25">
        <v>4</v>
      </c>
      <c r="H135" s="16" t="str">
        <f t="shared" si="69"/>
        <v>11004_1-4</v>
      </c>
      <c r="I135" s="5">
        <f ca="1">VLOOKUP($H135,OFFSET(floors!$A$1,0,0,COUNTA(floors!$A:$A),MATCH(I$1,floors!$1:$1,0)-MATCH($H$1,floors!$1:$1,0)+1),MATCH(I$1,floors!$1:$1,0)-MATCH($H$1,floors!$1:$1,0)+1,FALSE)</f>
        <v>45</v>
      </c>
      <c r="J135" s="5">
        <f ca="1">VLOOKUP($H135,OFFSET(floors!$A$1,0,0,COUNTA(floors!$A:$A),MATCH(J$1,floors!$1:$1,0)-MATCH($H$1,floors!$1:$1,0)+1),MATCH(J$1,floors!$1:$1,0)-MATCH($H$1,floors!$1:$1,0)+1,FALSE)</f>
        <v>60</v>
      </c>
      <c r="K135" s="24" t="s">
        <v>197</v>
      </c>
      <c r="L135" s="24">
        <v>105</v>
      </c>
      <c r="M135" s="20" t="str">
        <f ca="1">VLOOKUP($L135,OFFSET([3]enemies!$A$1,0,0,COUNTA([3]enemies!$A:$A),MATCH(M$1,[3]enemies!$1:$1,0)-MATCH($L$1,[3]enemies!$1:$1,0)+1),MATCH(M$1,[3]enemies!$1:$1,0)-MATCH($L$1,[3]enemies!$1:$1,0)+1,FALSE)</f>
        <v>グリーンチェシャ</v>
      </c>
      <c r="N135" s="20" t="str">
        <f ca="1">VLOOKUP($L135,OFFSET([3]enemies!$A$1,0,0,COUNTA([3]enemies!$A:$A),MATCH(N$1,[3]enemies!$1:$1,0)-MATCH($L$1,[3]enemies!$1:$1,0)+1),MATCH(N$1,[3]enemies!$1:$1,0)-MATCH($L$1,[3]enemies!$1:$1,0)+1,FALSE)</f>
        <v>green</v>
      </c>
      <c r="O135" s="22" t="str">
        <f ca="1">VLOOKUP($L135,OFFSET([4]characters!$A$1,0,0,COUNTA([4]characters!$A:$A),MATCH(O$1,[4]characters!$1:$1,0)-MATCH($L$1,[4]characters!$1:$1,0)+1),MATCH(O$1,[4]characters!$1:$1,0)-MATCH($L$1,[4]characters!$1:$1,0)+1,FALSE)</f>
        <v>Material</v>
      </c>
      <c r="P135" s="20" t="str">
        <f ca="1">VLOOKUP($L135,OFFSET([3]enemies!$A$1,0,0,COUNTA([3]enemies!$A:$A),MATCH(P$1,[3]enemies!$1:$1,0)-MATCH($L$1,[3]enemies!$1:$1,0)+1),MATCH(P$1,[3]enemies!$1:$1,0)-MATCH($L$1,[3]enemies!$1:$1,0)+1,FALSE)</f>
        <v>unknown</v>
      </c>
      <c r="Q135" s="20">
        <f ca="1">VLOOKUP($L135,OFFSET([3]enemies!$A$1,0,0,COUNTA([3]enemies!$A:$A),MATCH(Q$1,[3]enemies!$1:$1,0)-MATCH($L$1,[3]enemies!$1:$1,0)+1),MATCH(Q$1,[3]enemies!$1:$1,0)-MATCH($L$1,[3]enemies!$1:$1,0)+1,FALSE)</f>
        <v>15</v>
      </c>
      <c r="R135" s="6">
        <v>3</v>
      </c>
      <c r="S135" s="39">
        <v>1</v>
      </c>
      <c r="T135" s="39">
        <v>1</v>
      </c>
      <c r="U135" s="6">
        <v>0</v>
      </c>
      <c r="V135" s="5" t="str">
        <f ca="1">VLOOKUP($W135,OFFSET([5]enemy_skill_sets!$B$1,0,0,COUNTA([5]enemy_skill_sets!$B:$B),MATCH(M$1,[5]enemy_skill_sets!$1:$1,0)-MATCH($W$1,[5]enemy_skill_sets!$1:$1,0)+2),MATCH(M$1,[5]enemy_skill_sets!$1:$1,0)-MATCH($W$1,[5]enemy_skill_sets!$1:$1,0)+2,FALSE)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5" s="5">
        <f ca="1">VLOOKUP($L135,OFFSET([3]enemies!$A$1,0,0,COUNTA([3]enemies!$A:$A),MATCH(W$1,[3]enemies!$1:$1,0)-MATCH($L$1,[3]enemies!$1:$1,0)+1),MATCH(W$1,[3]enemies!$1:$1,0)-MATCH($L$1,[3]enemies!$1:$1,0)+1,FALSE)</f>
        <v>0</v>
      </c>
      <c r="X135" s="7">
        <v>0</v>
      </c>
      <c r="Y135" s="7">
        <v>100</v>
      </c>
      <c r="Z135" s="7">
        <v>0</v>
      </c>
      <c r="AA135" s="20">
        <f ca="1">VLOOKUP($L135,OFFSET([3]enemies!$A$1,0,0,COUNTA([3]enemies!$A:$A),MATCH(AA$1,[3]enemies!$1:$1,0)-MATCH($L$1,[3]enemies!$1:$1,0)+1),MATCH(AA$1,[3]enemies!$1:$1,0)-MATCH($L$1,[3]enemies!$1:$1,0)+1,FALSE)</f>
        <v>1</v>
      </c>
      <c r="AB135" s="24">
        <v>105</v>
      </c>
      <c r="AC135" s="5" t="str">
        <f ca="1">IFERROR(VLOOKUP($AB135,OFFSET([4]characters!$A$1,0,0,COUNTA([4]characters!$A:$A),MATCH(AC$1,[4]characters!$1:$1,0)-MATCH("character_id",[4]characters!$1:$1,0)+1),MATCH(AC$1,[4]characters!$1:$1,0)-MATCH("character_id",[4]characters!$1:$1,0)+1,FALSE),"")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35" s="5">
        <f ca="1">IFERROR(VLOOKUP($AB135,OFFSET([4]characters!$A$1,0,0,COUNTA([4]characters!$A:$A),MATCH(AD$1,[4]characters!$1:$1,0)-MATCH("character_id",[4]characters!$1:$1,0)+1),MATCH(AD$1,[4]characters!$1:$1,0)-MATCH("character_id",[4]characters!$1:$1,0)+1,FALSE),"")</f>
        <v>2</v>
      </c>
      <c r="AE135" s="5" t="str">
        <f ca="1">IFERROR(VLOOKUP($AB135,OFFSET([4]characters!$A$1,0,0,COUNTA([4]characters!$A:$A),MATCH(AE$1,[4]characters!$1:$1,0)-MATCH("character_id",[4]characters!$1:$1,0)+1),MATCH(AE$1,[4]characters!$1:$1,0)-MATCH("character_id",[4]characters!$1:$1,0)+1,FALSE),"")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5" s="8">
        <v>1</v>
      </c>
      <c r="AG135" s="27">
        <f t="shared" ca="1" si="72"/>
        <v>2</v>
      </c>
      <c r="AH135" s="9">
        <v>40</v>
      </c>
      <c r="AI135" s="8">
        <v>0</v>
      </c>
      <c r="AJ135" s="8">
        <v>0</v>
      </c>
      <c r="AK135" s="8">
        <v>0</v>
      </c>
      <c r="AL135" s="8">
        <v>0</v>
      </c>
      <c r="AM135" s="8">
        <v>1</v>
      </c>
      <c r="AN135" s="8">
        <v>1</v>
      </c>
    </row>
    <row r="136" spans="1:40" ht="21" customHeight="1" x14ac:dyDescent="0.15">
      <c r="A136" s="17" t="str">
        <f t="shared" ca="1" si="70"/>
        <v>11004_1-4/106&lt;lv3&gt;s2</v>
      </c>
      <c r="B136" s="8">
        <v>11004</v>
      </c>
      <c r="C136" s="25">
        <v>1</v>
      </c>
      <c r="D136" s="2" t="str">
        <f t="shared" si="71"/>
        <v>11004_1</v>
      </c>
      <c r="E136" s="5" t="str">
        <f ca="1">VLOOKUP($B136,OFFSET([2]quests!$A$1,0,0,COUNTA([2]quests!$A:$A),MATCH(E$1,[2]quests!$1:$1,0)-MATCH($B$1,[2]quests!$1:$1,0)+1),MATCH(E$1,[2]quests!$1:$1,0)-MATCH($B$1,[2]quests!$1:$1,0)+1,FALSE)</f>
        <v>【木曜限定】 緑の素材</v>
      </c>
      <c r="F136" s="5" t="str">
        <f ca="1">VLOOKUP($D136,OFFSET([2]stages!$A$1,0,0,COUNTA([2]stages!$A:$A),MATCH(F$1,[2]stages!$2:$2,0)-MATCH($D$1,[2]stages!$2:$2,0)+1),MATCH(F$1,[2]stages!$2:$2,0)-MATCH($D$1,[2]stages!$2:$2,0)+1,FALSE)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6" s="25">
        <v>4</v>
      </c>
      <c r="H136" s="16" t="str">
        <f t="shared" si="69"/>
        <v>11004_1-4</v>
      </c>
      <c r="I136" s="5">
        <f ca="1">VLOOKUP($H136,OFFSET(floors!$A$1,0,0,COUNTA(floors!$A:$A),MATCH(I$1,floors!$1:$1,0)-MATCH($H$1,floors!$1:$1,0)+1),MATCH(I$1,floors!$1:$1,0)-MATCH($H$1,floors!$1:$1,0)+1,FALSE)</f>
        <v>45</v>
      </c>
      <c r="J136" s="5">
        <f ca="1">VLOOKUP($H136,OFFSET(floors!$A$1,0,0,COUNTA(floors!$A:$A),MATCH(J$1,floors!$1:$1,0)-MATCH($H$1,floors!$1:$1,0)+1),MATCH(J$1,floors!$1:$1,0)-MATCH($H$1,floors!$1:$1,0)+1,FALSE)</f>
        <v>60</v>
      </c>
      <c r="K136" s="24" t="s">
        <v>197</v>
      </c>
      <c r="L136" s="24">
        <v>106</v>
      </c>
      <c r="M136" s="20" t="str">
        <f ca="1">VLOOKUP($L136,OFFSET([3]enemies!$A$1,0,0,COUNTA([3]enemies!$A:$A),MATCH(M$1,[3]enemies!$1:$1,0)-MATCH($L$1,[3]enemies!$1:$1,0)+1),MATCH(M$1,[3]enemies!$1:$1,0)-MATCH($L$1,[3]enemies!$1:$1,0)+1,FALSE)</f>
        <v>グリーンラビット</v>
      </c>
      <c r="N136" s="20" t="str">
        <f ca="1">VLOOKUP($L136,OFFSET([3]enemies!$A$1,0,0,COUNTA([3]enemies!$A:$A),MATCH(N$1,[3]enemies!$1:$1,0)-MATCH($L$1,[3]enemies!$1:$1,0)+1),MATCH(N$1,[3]enemies!$1:$1,0)-MATCH($L$1,[3]enemies!$1:$1,0)+1,FALSE)</f>
        <v>green</v>
      </c>
      <c r="O136" s="22" t="str">
        <f ca="1">VLOOKUP($L136,OFFSET([4]characters!$A$1,0,0,COUNTA([4]characters!$A:$A),MATCH(O$1,[4]characters!$1:$1,0)-MATCH($L$1,[4]characters!$1:$1,0)+1),MATCH(O$1,[4]characters!$1:$1,0)-MATCH($L$1,[4]characters!$1:$1,0)+1,FALSE)</f>
        <v>Material</v>
      </c>
      <c r="P136" s="20" t="str">
        <f ca="1">VLOOKUP($L136,OFFSET([3]enemies!$A$1,0,0,COUNTA([3]enemies!$A:$A),MATCH(P$1,[3]enemies!$1:$1,0)-MATCH($L$1,[3]enemies!$1:$1,0)+1),MATCH(P$1,[3]enemies!$1:$1,0)-MATCH($L$1,[3]enemies!$1:$1,0)+1,FALSE)</f>
        <v>unknown</v>
      </c>
      <c r="Q136" s="20">
        <f ca="1">VLOOKUP($L136,OFFSET([3]enemies!$A$1,0,0,COUNTA([3]enemies!$A:$A),MATCH(Q$1,[3]enemies!$1:$1,0)-MATCH($L$1,[3]enemies!$1:$1,0)+1),MATCH(Q$1,[3]enemies!$1:$1,0)-MATCH($L$1,[3]enemies!$1:$1,0)+1,FALSE)</f>
        <v>15</v>
      </c>
      <c r="R136" s="6">
        <v>3</v>
      </c>
      <c r="S136" s="40">
        <v>1.8</v>
      </c>
      <c r="T136" s="39">
        <v>1</v>
      </c>
      <c r="U136" s="6">
        <v>0</v>
      </c>
      <c r="V136" s="5" t="str">
        <f ca="1">VLOOKUP($W136,OFFSET([5]enemy_skill_sets!$B$1,0,0,COUNTA([5]enemy_skill_sets!$B:$B),MATCH(M$1,[5]enemy_skill_sets!$1:$1,0)-MATCH($W$1,[5]enemy_skill_sets!$1:$1,0)+2),MATCH(M$1,[5]enemy_skill_sets!$1:$1,0)-MATCH($W$1,[5]enemy_skill_sets!$1:$1,0)+2,FALSE)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6" s="5">
        <f ca="1">VLOOKUP($L136,OFFSET([3]enemies!$A$1,0,0,COUNTA([3]enemies!$A:$A),MATCH(W$1,[3]enemies!$1:$1,0)-MATCH($L$1,[3]enemies!$1:$1,0)+1),MATCH(W$1,[3]enemies!$1:$1,0)-MATCH($L$1,[3]enemies!$1:$1,0)+1,FALSE)</f>
        <v>0</v>
      </c>
      <c r="X136" s="7">
        <v>0</v>
      </c>
      <c r="Y136" s="7">
        <v>40</v>
      </c>
      <c r="Z136" s="7">
        <v>0</v>
      </c>
      <c r="AA136" s="20">
        <f ca="1">VLOOKUP($L136,OFFSET([3]enemies!$A$1,0,0,COUNTA([3]enemies!$A:$A),MATCH(AA$1,[3]enemies!$1:$1,0)-MATCH($L$1,[3]enemies!$1:$1,0)+1),MATCH(AA$1,[3]enemies!$1:$1,0)-MATCH($L$1,[3]enemies!$1:$1,0)+1,FALSE)</f>
        <v>2</v>
      </c>
      <c r="AB136" s="24">
        <v>106</v>
      </c>
      <c r="AC136" s="5" t="str">
        <f ca="1">IFERROR(VLOOKUP($AB136,OFFSET([4]characters!$A$1,0,0,COUNTA([4]characters!$A:$A),MATCH(AC$1,[4]characters!$1:$1,0)-MATCH("character_id",[4]characters!$1:$1,0)+1),MATCH(AC$1,[4]characters!$1:$1,0)-MATCH("character_id",[4]characters!$1:$1,0)+1,FALSE),"")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36" s="5">
        <f ca="1">IFERROR(VLOOKUP($AB136,OFFSET([4]characters!$A$1,0,0,COUNTA([4]characters!$A:$A),MATCH(AD$1,[4]characters!$1:$1,0)-MATCH("character_id",[4]characters!$1:$1,0)+1),MATCH(AD$1,[4]characters!$1:$1,0)-MATCH("character_id",[4]characters!$1:$1,0)+1,FALSE),"")</f>
        <v>3</v>
      </c>
      <c r="AE136" s="5" t="str">
        <f ca="1">IFERROR(VLOOKUP($AB136,OFFSET([4]characters!$A$1,0,0,COUNTA([4]characters!$A:$A),MATCH(AE$1,[4]characters!$1:$1,0)-MATCH("character_id",[4]characters!$1:$1,0)+1),MATCH(AE$1,[4]characters!$1:$1,0)-MATCH("character_id",[4]characters!$1:$1,0)+1,FALSE),"")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6" s="8">
        <v>1</v>
      </c>
      <c r="AG136" s="27">
        <f t="shared" ca="1" si="72"/>
        <v>3</v>
      </c>
      <c r="AH136" s="9">
        <v>20</v>
      </c>
      <c r="AI136" s="8">
        <v>0</v>
      </c>
      <c r="AJ136" s="8">
        <v>0</v>
      </c>
      <c r="AK136" s="8">
        <v>0</v>
      </c>
      <c r="AL136" s="8">
        <v>0</v>
      </c>
      <c r="AM136" s="8">
        <v>1</v>
      </c>
      <c r="AN136" s="8">
        <v>1</v>
      </c>
    </row>
    <row r="137" spans="1:40" ht="21" customHeight="1" x14ac:dyDescent="0.15">
      <c r="A137" s="17" t="str">
        <f t="shared" ca="1" si="70"/>
        <v>11004_1-5/105&lt;lv3&gt;s1</v>
      </c>
      <c r="B137" s="8">
        <v>11004</v>
      </c>
      <c r="C137" s="25">
        <v>1</v>
      </c>
      <c r="D137" s="2" t="str">
        <f t="shared" si="71"/>
        <v>11004_1</v>
      </c>
      <c r="E137" s="5" t="str">
        <f ca="1">VLOOKUP($B137,OFFSET([2]quests!$A$1,0,0,COUNTA([2]quests!$A:$A),MATCH(E$1,[2]quests!$1:$1,0)-MATCH($B$1,[2]quests!$1:$1,0)+1),MATCH(E$1,[2]quests!$1:$1,0)-MATCH($B$1,[2]quests!$1:$1,0)+1,FALSE)</f>
        <v>【木曜限定】 緑の素材</v>
      </c>
      <c r="F137" s="5" t="str">
        <f ca="1">VLOOKUP($D137,OFFSET([2]stages!$A$1,0,0,COUNTA([2]stages!$A:$A),MATCH(F$1,[2]stages!$2:$2,0)-MATCH($D$1,[2]stages!$2:$2,0)+1),MATCH(F$1,[2]stages!$2:$2,0)-MATCH($D$1,[2]stages!$2:$2,0)+1,FALSE)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7" s="25">
        <v>5</v>
      </c>
      <c r="H137" s="16" t="str">
        <f t="shared" si="69"/>
        <v>11004_1-5</v>
      </c>
      <c r="I137" s="5">
        <f ca="1">VLOOKUP($H137,OFFSET(floors!$A$1,0,0,COUNTA(floors!$A:$A),MATCH(I$1,floors!$1:$1,0)-MATCH($H$1,floors!$1:$1,0)+1),MATCH(I$1,floors!$1:$1,0)-MATCH($H$1,floors!$1:$1,0)+1,FALSE)</f>
        <v>45</v>
      </c>
      <c r="J137" s="5">
        <f ca="1">VLOOKUP($H137,OFFSET(floors!$A$1,0,0,COUNTA(floors!$A:$A),MATCH(J$1,floors!$1:$1,0)-MATCH($H$1,floors!$1:$1,0)+1),MATCH(J$1,floors!$1:$1,0)-MATCH($H$1,floors!$1:$1,0)+1,FALSE)</f>
        <v>45</v>
      </c>
      <c r="K137" s="24" t="s">
        <v>197</v>
      </c>
      <c r="L137" s="24">
        <v>105</v>
      </c>
      <c r="M137" s="20" t="str">
        <f ca="1">VLOOKUP($L137,OFFSET([3]enemies!$A$1,0,0,COUNTA([3]enemies!$A:$A),MATCH(M$1,[3]enemies!$1:$1,0)-MATCH($L$1,[3]enemies!$1:$1,0)+1),MATCH(M$1,[3]enemies!$1:$1,0)-MATCH($L$1,[3]enemies!$1:$1,0)+1,FALSE)</f>
        <v>グリーンチェシャ</v>
      </c>
      <c r="N137" s="20" t="str">
        <f ca="1">VLOOKUP($L137,OFFSET([3]enemies!$A$1,0,0,COUNTA([3]enemies!$A:$A),MATCH(N$1,[3]enemies!$1:$1,0)-MATCH($L$1,[3]enemies!$1:$1,0)+1),MATCH(N$1,[3]enemies!$1:$1,0)-MATCH($L$1,[3]enemies!$1:$1,0)+1,FALSE)</f>
        <v>green</v>
      </c>
      <c r="O137" s="22" t="str">
        <f ca="1">VLOOKUP($L137,OFFSET([4]characters!$A$1,0,0,COUNTA([4]characters!$A:$A),MATCH(O$1,[4]characters!$1:$1,0)-MATCH($L$1,[4]characters!$1:$1,0)+1),MATCH(O$1,[4]characters!$1:$1,0)-MATCH($L$1,[4]characters!$1:$1,0)+1,FALSE)</f>
        <v>Material</v>
      </c>
      <c r="P137" s="20" t="str">
        <f ca="1">VLOOKUP($L137,OFFSET([3]enemies!$A$1,0,0,COUNTA([3]enemies!$A:$A),MATCH(P$1,[3]enemies!$1:$1,0)-MATCH($L$1,[3]enemies!$1:$1,0)+1),MATCH(P$1,[3]enemies!$1:$1,0)-MATCH($L$1,[3]enemies!$1:$1,0)+1,FALSE)</f>
        <v>unknown</v>
      </c>
      <c r="Q137" s="20">
        <f ca="1">VLOOKUP($L137,OFFSET([3]enemies!$A$1,0,0,COUNTA([3]enemies!$A:$A),MATCH(Q$1,[3]enemies!$1:$1,0)-MATCH($L$1,[3]enemies!$1:$1,0)+1),MATCH(Q$1,[3]enemies!$1:$1,0)-MATCH($L$1,[3]enemies!$1:$1,0)+1,FALSE)</f>
        <v>15</v>
      </c>
      <c r="R137" s="6">
        <v>3</v>
      </c>
      <c r="S137" s="39">
        <v>1</v>
      </c>
      <c r="T137" s="39">
        <v>1</v>
      </c>
      <c r="U137" s="6">
        <v>0</v>
      </c>
      <c r="V137" s="5" t="str">
        <f ca="1">VLOOKUP($W137,OFFSET([5]enemy_skill_sets!$B$1,0,0,COUNTA([5]enemy_skill_sets!$B:$B),MATCH(M$1,[5]enemy_skill_sets!$1:$1,0)-MATCH($W$1,[5]enemy_skill_sets!$1:$1,0)+2),MATCH(M$1,[5]enemy_skill_sets!$1:$1,0)-MATCH($W$1,[5]enemy_skill_sets!$1:$1,0)+2,FALSE)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7" s="5">
        <f ca="1">VLOOKUP($L137,OFFSET([3]enemies!$A$1,0,0,COUNTA([3]enemies!$A:$A),MATCH(W$1,[3]enemies!$1:$1,0)-MATCH($L$1,[3]enemies!$1:$1,0)+1),MATCH(W$1,[3]enemies!$1:$1,0)-MATCH($L$1,[3]enemies!$1:$1,0)+1,FALSE)</f>
        <v>0</v>
      </c>
      <c r="X137" s="7">
        <v>2</v>
      </c>
      <c r="Y137" s="7">
        <v>100</v>
      </c>
      <c r="Z137" s="7">
        <v>0</v>
      </c>
      <c r="AA137" s="20">
        <f ca="1">VLOOKUP($L137,OFFSET([3]enemies!$A$1,0,0,COUNTA([3]enemies!$A:$A),MATCH(AA$1,[3]enemies!$1:$1,0)-MATCH($L$1,[3]enemies!$1:$1,0)+1),MATCH(AA$1,[3]enemies!$1:$1,0)-MATCH($L$1,[3]enemies!$1:$1,0)+1,FALSE)</f>
        <v>1</v>
      </c>
      <c r="AB137" s="24">
        <v>105</v>
      </c>
      <c r="AC137" s="5" t="str">
        <f ca="1">IFERROR(VLOOKUP($AB137,OFFSET([4]characters!$A$1,0,0,COUNTA([4]characters!$A:$A),MATCH(AC$1,[4]characters!$1:$1,0)-MATCH("character_id",[4]characters!$1:$1,0)+1),MATCH(AC$1,[4]characters!$1:$1,0)-MATCH("character_id",[4]characters!$1:$1,0)+1,FALSE),"")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37" s="5">
        <f ca="1">IFERROR(VLOOKUP($AB137,OFFSET([4]characters!$A$1,0,0,COUNTA([4]characters!$A:$A),MATCH(AD$1,[4]characters!$1:$1,0)-MATCH("character_id",[4]characters!$1:$1,0)+1),MATCH(AD$1,[4]characters!$1:$1,0)-MATCH("character_id",[4]characters!$1:$1,0)+1,FALSE),"")</f>
        <v>2</v>
      </c>
      <c r="AE137" s="5" t="str">
        <f ca="1">IFERROR(VLOOKUP($AB137,OFFSET([4]characters!$A$1,0,0,COUNTA([4]characters!$A:$A),MATCH(AE$1,[4]characters!$1:$1,0)-MATCH("character_id",[4]characters!$1:$1,0)+1),MATCH(AE$1,[4]characters!$1:$1,0)-MATCH("character_id",[4]characters!$1:$1,0)+1,FALSE),"")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7" s="8">
        <v>1</v>
      </c>
      <c r="AG137" s="27">
        <f t="shared" ca="1" si="72"/>
        <v>2</v>
      </c>
      <c r="AH137" s="9">
        <v>100</v>
      </c>
      <c r="AI137" s="8">
        <v>0</v>
      </c>
      <c r="AJ137" s="8">
        <v>0</v>
      </c>
      <c r="AK137" s="8">
        <v>0</v>
      </c>
      <c r="AL137" s="8">
        <v>0</v>
      </c>
      <c r="AM137" s="8">
        <v>1</v>
      </c>
      <c r="AN137" s="8">
        <v>1</v>
      </c>
    </row>
    <row r="138" spans="1:40" ht="21" customHeight="1" x14ac:dyDescent="0.15">
      <c r="A138" s="17" t="str">
        <f t="shared" ca="1" si="70"/>
        <v>11004_1-5/106&lt;lv5&gt;s2</v>
      </c>
      <c r="B138" s="8">
        <v>11004</v>
      </c>
      <c r="C138" s="25">
        <v>1</v>
      </c>
      <c r="D138" s="2" t="str">
        <f t="shared" si="71"/>
        <v>11004_1</v>
      </c>
      <c r="E138" s="5" t="str">
        <f ca="1">VLOOKUP($B138,OFFSET([2]quests!$A$1,0,0,COUNTA([2]quests!$A:$A),MATCH(E$1,[2]quests!$1:$1,0)-MATCH($B$1,[2]quests!$1:$1,0)+1),MATCH(E$1,[2]quests!$1:$1,0)-MATCH($B$1,[2]quests!$1:$1,0)+1,FALSE)</f>
        <v>【木曜限定】 緑の素材</v>
      </c>
      <c r="F138" s="5" t="str">
        <f ca="1">VLOOKUP($D138,OFFSET([2]stages!$A$1,0,0,COUNTA([2]stages!$A:$A),MATCH(F$1,[2]stages!$2:$2,0)-MATCH($D$1,[2]stages!$2:$2,0)+1),MATCH(F$1,[2]stages!$2:$2,0)-MATCH($D$1,[2]stages!$2:$2,0)+1,FALSE)</f>
        <v xml:space="preserve">【初級】樹のチェシャ猫 </v>
      </c>
      <c r="G138" s="25">
        <v>5</v>
      </c>
      <c r="H138" s="16" t="str">
        <f t="shared" si="69"/>
        <v>11004_1-5</v>
      </c>
      <c r="I138" s="5">
        <f ca="1">VLOOKUP($H138,OFFSET(floors!$A$1,0,0,COUNTA(floors!$A:$A),MATCH(I$1,floors!$1:$1,0)-MATCH($H$1,floors!$1:$1,0)+1),MATCH(I$1,floors!$1:$1,0)-MATCH($H$1,floors!$1:$1,0)+1,FALSE)</f>
        <v>45</v>
      </c>
      <c r="J138" s="5">
        <f ca="1">VLOOKUP($H138,OFFSET(floors!$A$1,0,0,COUNTA(floors!$A:$A),MATCH(J$1,floors!$1:$1,0)-MATCH($H$1,floors!$1:$1,0)+1),MATCH(J$1,floors!$1:$1,0)-MATCH($H$1,floors!$1:$1,0)+1,FALSE)</f>
        <v>45</v>
      </c>
      <c r="K138" s="24" t="s">
        <v>197</v>
      </c>
      <c r="L138" s="24">
        <v>106</v>
      </c>
      <c r="M138" s="20" t="str">
        <f ca="1">VLOOKUP($L138,OFFSET([3]enemies!$A$1,0,0,COUNTA([3]enemies!$A:$A),MATCH(M$1,[3]enemies!$1:$1,0)-MATCH($L$1,[3]enemies!$1:$1,0)+1),MATCH(M$1,[3]enemies!$1:$1,0)-MATCH($L$1,[3]enemies!$1:$1,0)+1,FALSE)</f>
        <v>グリーンラビット</v>
      </c>
      <c r="N138" s="20" t="str">
        <f ca="1">VLOOKUP($L138,OFFSET([3]enemies!$A$1,0,0,COUNTA([3]enemies!$A:$A),MATCH(N$1,[3]enemies!$1:$1,0)-MATCH($L$1,[3]enemies!$1:$1,0)+1),MATCH(N$1,[3]enemies!$1:$1,0)-MATCH($L$1,[3]enemies!$1:$1,0)+1,FALSE)</f>
        <v>green</v>
      </c>
      <c r="O138" s="22" t="str">
        <f ca="1">VLOOKUP($L138,OFFSET([4]characters!$A$1,0,0,COUNTA([4]characters!$A:$A),MATCH(O$1,[4]characters!$1:$1,0)-MATCH($L$1,[4]characters!$1:$1,0)+1),MATCH(O$1,[4]characters!$1:$1,0)-MATCH($L$1,[4]characters!$1:$1,0)+1,FALSE)</f>
        <v>Material</v>
      </c>
      <c r="P138" s="20" t="str">
        <f ca="1">VLOOKUP($L138,OFFSET([3]enemies!$A$1,0,0,COUNTA([3]enemies!$A:$A),MATCH(P$1,[3]enemies!$1:$1,0)-MATCH($L$1,[3]enemies!$1:$1,0)+1),MATCH(P$1,[3]enemies!$1:$1,0)-MATCH($L$1,[3]enemies!$1:$1,0)+1,FALSE)</f>
        <v>unknown</v>
      </c>
      <c r="Q138" s="20">
        <f ca="1">VLOOKUP($L138,OFFSET([3]enemies!$A$1,0,0,COUNTA([3]enemies!$A:$A),MATCH(Q$1,[3]enemies!$1:$1,0)-MATCH($L$1,[3]enemies!$1:$1,0)+1),MATCH(Q$1,[3]enemies!$1:$1,0)-MATCH($L$1,[3]enemies!$1:$1,0)+1,FALSE)</f>
        <v>15</v>
      </c>
      <c r="R138" s="6">
        <v>5</v>
      </c>
      <c r="S138" s="40">
        <v>1.8</v>
      </c>
      <c r="T138" s="39">
        <v>1</v>
      </c>
      <c r="U138" s="6">
        <v>0</v>
      </c>
      <c r="V138" s="5" t="str">
        <f ca="1">VLOOKUP($W138,OFFSET([5]enemy_skill_sets!$B$1,0,0,COUNTA([5]enemy_skill_sets!$B:$B),MATCH(M$1,[5]enemy_skill_sets!$1:$1,0)-MATCH($W$1,[5]enemy_skill_sets!$1:$1,0)+2),MATCH(M$1,[5]enemy_skill_sets!$1:$1,0)-MATCH($W$1,[5]enemy_skill_sets!$1:$1,0)+2,FALSE)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8" s="5">
        <f ca="1">VLOOKUP($L138,OFFSET([3]enemies!$A$1,0,0,COUNTA([3]enemies!$A:$A),MATCH(W$1,[3]enemies!$1:$1,0)-MATCH($L$1,[3]enemies!$1:$1,0)+1),MATCH(W$1,[3]enemies!$1:$1,0)-MATCH($L$1,[3]enemies!$1:$1,0)+1,FALSE)</f>
        <v>0</v>
      </c>
      <c r="X138" s="7">
        <v>1</v>
      </c>
      <c r="Y138" s="7">
        <v>100</v>
      </c>
      <c r="Z138" s="7">
        <v>1</v>
      </c>
      <c r="AA138" s="20">
        <f ca="1">VLOOKUP($L138,OFFSET([3]enemies!$A$1,0,0,COUNTA([3]enemies!$A:$A),MATCH(AA$1,[3]enemies!$1:$1,0)-MATCH($L$1,[3]enemies!$1:$1,0)+1),MATCH(AA$1,[3]enemies!$1:$1,0)-MATCH($L$1,[3]enemies!$1:$1,0)+1,FALSE)</f>
        <v>2</v>
      </c>
      <c r="AB138" s="24">
        <v>106</v>
      </c>
      <c r="AC138" s="5" t="str">
        <f ca="1">IFERROR(VLOOKUP($AB138,OFFSET([4]characters!$A$1,0,0,COUNTA([4]characters!$A:$A),MATCH(AC$1,[4]characters!$1:$1,0)-MATCH("character_id",[4]characters!$1:$1,0)+1),MATCH(AC$1,[4]characters!$1:$1,0)-MATCH("character_id",[4]characters!$1:$1,0)+1,FALSE),"")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38" s="5">
        <f ca="1">IFERROR(VLOOKUP($AB138,OFFSET([4]characters!$A$1,0,0,COUNTA([4]characters!$A:$A),MATCH(AD$1,[4]characters!$1:$1,0)-MATCH("character_id",[4]characters!$1:$1,0)+1),MATCH(AD$1,[4]characters!$1:$1,0)-MATCH("character_id",[4]characters!$1:$1,0)+1,FALSE),"")</f>
        <v>3</v>
      </c>
      <c r="AE138" s="5" t="str">
        <f ca="1">IFERROR(VLOOKUP($AB138,OFFSET([4]characters!$A$1,0,0,COUNTA([4]characters!$A:$A),MATCH(AE$1,[4]characters!$1:$1,0)-MATCH("character_id",[4]characters!$1:$1,0)+1),MATCH(AE$1,[4]characters!$1:$1,0)-MATCH("character_id",[4]characters!$1:$1,0)+1,FALSE),"")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8" s="8">
        <v>1</v>
      </c>
      <c r="AG138" s="27">
        <f t="shared" ca="1" si="72"/>
        <v>3</v>
      </c>
      <c r="AH138" s="9">
        <v>0</v>
      </c>
      <c r="AI138" s="8">
        <v>0</v>
      </c>
      <c r="AJ138" s="8">
        <v>0</v>
      </c>
      <c r="AK138" s="8">
        <v>0</v>
      </c>
      <c r="AL138" s="8">
        <v>0</v>
      </c>
      <c r="AM138" s="8">
        <v>1</v>
      </c>
      <c r="AN138" s="8">
        <v>1</v>
      </c>
    </row>
    <row r="139" spans="1:40" ht="21" customHeight="1" x14ac:dyDescent="0.15">
      <c r="A139" s="17" t="str">
        <f t="shared" ca="1" si="70"/>
        <v>11004_2-1/106&lt;lv15&gt;s2</v>
      </c>
      <c r="B139" s="8">
        <v>11004</v>
      </c>
      <c r="C139" s="25">
        <v>2</v>
      </c>
      <c r="D139" s="2" t="str">
        <f t="shared" si="71"/>
        <v>11004_2</v>
      </c>
      <c r="E139" s="5" t="str">
        <f ca="1">VLOOKUP($B139,OFFSET([2]quests!$A$1,0,0,COUNTA([2]quests!$A:$A),MATCH(E$1,[2]quests!$1:$1,0)-MATCH($B$1,[2]quests!$1:$1,0)+1),MATCH(E$1,[2]quests!$1:$1,0)-MATCH($B$1,[2]quests!$1:$1,0)+1,FALSE)</f>
        <v>【木曜限定】 緑の素材</v>
      </c>
      <c r="F139" s="5" t="str">
        <f ca="1">VLOOKUP($D139,OFFSET([2]stages!$A$1,0,0,COUNTA([2]stages!$A:$A),MATCH(F$1,[2]stages!$2:$2,0)-MATCH($D$1,[2]stages!$2:$2,0)+1),MATCH(F$1,[2]stages!$2:$2,0)-MATCH($D$1,[2]stages!$2:$2,0)+1,FALSE)</f>
        <v>【中級】樹のウサギ</v>
      </c>
      <c r="G139" s="25">
        <v>1</v>
      </c>
      <c r="H139" s="16" t="str">
        <f t="shared" si="69"/>
        <v>11004_2-1</v>
      </c>
      <c r="I139" s="5">
        <f ca="1">VLOOKUP($H139,OFFSET(floors!$A$1,0,0,COUNTA(floors!$A:$A),MATCH(I$1,floors!$1:$1,0)-MATCH($H$1,floors!$1:$1,0)+1),MATCH(I$1,floors!$1:$1,0)-MATCH($H$1,floors!$1:$1,0)+1,FALSE)</f>
        <v>30</v>
      </c>
      <c r="J139" s="5">
        <f ca="1">VLOOKUP($H139,OFFSET(floors!$A$1,0,0,COUNTA(floors!$A:$A),MATCH(J$1,floors!$1:$1,0)-MATCH($H$1,floors!$1:$1,0)+1),MATCH(J$1,floors!$1:$1,0)-MATCH($H$1,floors!$1:$1,0)+1,FALSE)</f>
        <v>30</v>
      </c>
      <c r="K139" s="24" t="s">
        <v>197</v>
      </c>
      <c r="L139" s="24">
        <v>106</v>
      </c>
      <c r="M139" s="20" t="str">
        <f ca="1">VLOOKUP($L139,OFFSET([3]enemies!$A$1,0,0,COUNTA([3]enemies!$A:$A),MATCH(M$1,[3]enemies!$1:$1,0)-MATCH($L$1,[3]enemies!$1:$1,0)+1),MATCH(M$1,[3]enemies!$1:$1,0)-MATCH($L$1,[3]enemies!$1:$1,0)+1,FALSE)</f>
        <v>グリーンラビット</v>
      </c>
      <c r="N139" s="20" t="str">
        <f ca="1">VLOOKUP($L139,OFFSET([3]enemies!$A$1,0,0,COUNTA([3]enemies!$A:$A),MATCH(N$1,[3]enemies!$1:$1,0)-MATCH($L$1,[3]enemies!$1:$1,0)+1),MATCH(N$1,[3]enemies!$1:$1,0)-MATCH($L$1,[3]enemies!$1:$1,0)+1,FALSE)</f>
        <v>green</v>
      </c>
      <c r="O139" s="22" t="str">
        <f ca="1">VLOOKUP($L139,OFFSET([4]characters!$A$1,0,0,COUNTA([4]characters!$A:$A),MATCH(O$1,[4]characters!$1:$1,0)-MATCH($L$1,[4]characters!$1:$1,0)+1),MATCH(O$1,[4]characters!$1:$1,0)-MATCH($L$1,[4]characters!$1:$1,0)+1,FALSE)</f>
        <v>Material</v>
      </c>
      <c r="P139" s="20" t="str">
        <f ca="1">VLOOKUP($L139,OFFSET([3]enemies!$A$1,0,0,COUNTA([3]enemies!$A:$A),MATCH(P$1,[3]enemies!$1:$1,0)-MATCH($L$1,[3]enemies!$1:$1,0)+1),MATCH(P$1,[3]enemies!$1:$1,0)-MATCH($L$1,[3]enemies!$1:$1,0)+1,FALSE)</f>
        <v>unknown</v>
      </c>
      <c r="Q139" s="20">
        <f ca="1">VLOOKUP($L139,OFFSET([3]enemies!$A$1,0,0,COUNTA([3]enemies!$A:$A),MATCH(Q$1,[3]enemies!$1:$1,0)-MATCH($L$1,[3]enemies!$1:$1,0)+1),MATCH(Q$1,[3]enemies!$1:$1,0)-MATCH($L$1,[3]enemies!$1:$1,0)+1,FALSE)</f>
        <v>15</v>
      </c>
      <c r="R139" s="6">
        <v>15</v>
      </c>
      <c r="S139" s="40">
        <v>1.8</v>
      </c>
      <c r="T139" s="39">
        <v>1</v>
      </c>
      <c r="U139" s="6">
        <v>0</v>
      </c>
      <c r="V139" s="5" t="str">
        <f ca="1">VLOOKUP($W139,OFFSET([5]enemy_skill_sets!$B$1,0,0,COUNTA([5]enemy_skill_sets!$B:$B),MATCH(M$1,[5]enemy_skill_sets!$1:$1,0)-MATCH($W$1,[5]enemy_skill_sets!$1:$1,0)+2),MATCH(M$1,[5]enemy_skill_sets!$1:$1,0)-MATCH($W$1,[5]enemy_skill_sets!$1:$1,0)+2,FALSE)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9" s="5">
        <f ca="1">VLOOKUP($L139,OFFSET([3]enemies!$A$1,0,0,COUNTA([3]enemies!$A:$A),MATCH(W$1,[3]enemies!$1:$1,0)-MATCH($L$1,[3]enemies!$1:$1,0)+1),MATCH(W$1,[3]enemies!$1:$1,0)-MATCH($L$1,[3]enemies!$1:$1,0)+1,FALSE)</f>
        <v>0</v>
      </c>
      <c r="X139" s="7">
        <v>0</v>
      </c>
      <c r="Y139" s="7">
        <v>100</v>
      </c>
      <c r="Z139" s="7">
        <v>0</v>
      </c>
      <c r="AA139" s="20">
        <f ca="1">VLOOKUP($L139,OFFSET([3]enemies!$A$1,0,0,COUNTA([3]enemies!$A:$A),MATCH(AA$1,[3]enemies!$1:$1,0)-MATCH($L$1,[3]enemies!$1:$1,0)+1),MATCH(AA$1,[3]enemies!$1:$1,0)-MATCH($L$1,[3]enemies!$1:$1,0)+1,FALSE)</f>
        <v>2</v>
      </c>
      <c r="AB139" s="24">
        <v>106</v>
      </c>
      <c r="AC139" s="5" t="str">
        <f ca="1">IFERROR(VLOOKUP($AB139,OFFSET([4]characters!$A$1,0,0,COUNTA([4]characters!$A:$A),MATCH(AC$1,[4]characters!$1:$1,0)-MATCH("character_id",[4]characters!$1:$1,0)+1),MATCH(AC$1,[4]characters!$1:$1,0)-MATCH("character_id",[4]characters!$1:$1,0)+1,FALSE),"")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39" s="5">
        <f ca="1">IFERROR(VLOOKUP($AB139,OFFSET([4]characters!$A$1,0,0,COUNTA([4]characters!$A:$A),MATCH(AD$1,[4]characters!$1:$1,0)-MATCH("character_id",[4]characters!$1:$1,0)+1),MATCH(AD$1,[4]characters!$1:$1,0)-MATCH("character_id",[4]characters!$1:$1,0)+1,FALSE),"")</f>
        <v>3</v>
      </c>
      <c r="AE139" s="5" t="str">
        <f ca="1">IFERROR(VLOOKUP($AB139,OFFSET([4]characters!$A$1,0,0,COUNTA([4]characters!$A:$A),MATCH(AE$1,[4]characters!$1:$1,0)-MATCH("character_id",[4]characters!$1:$1,0)+1),MATCH(AE$1,[4]characters!$1:$1,0)-MATCH("character_id",[4]characters!$1:$1,0)+1,FALSE),"")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9" s="8">
        <v>1</v>
      </c>
      <c r="AG139" s="27">
        <f t="shared" ca="1" si="72"/>
        <v>3</v>
      </c>
      <c r="AH139" s="80">
        <v>20</v>
      </c>
      <c r="AI139" s="8">
        <v>0</v>
      </c>
      <c r="AJ139" s="8">
        <v>0</v>
      </c>
      <c r="AK139" s="8">
        <v>0</v>
      </c>
      <c r="AL139" s="8">
        <v>0</v>
      </c>
      <c r="AM139" s="8">
        <v>1</v>
      </c>
      <c r="AN139" s="8">
        <v>1</v>
      </c>
    </row>
    <row r="140" spans="1:40" ht="21" customHeight="1" x14ac:dyDescent="0.15">
      <c r="A140" s="17" t="str">
        <f t="shared" ca="1" si="70"/>
        <v>11004_2-2/106&lt;lv15&gt;s2</v>
      </c>
      <c r="B140" s="8">
        <v>11004</v>
      </c>
      <c r="C140" s="25">
        <v>2</v>
      </c>
      <c r="D140" s="2" t="str">
        <f t="shared" si="71"/>
        <v>11004_2</v>
      </c>
      <c r="E140" s="5" t="str">
        <f ca="1">VLOOKUP($B140,OFFSET([2]quests!$A$1,0,0,COUNTA([2]quests!$A:$A),MATCH(E$1,[2]quests!$1:$1,0)-MATCH($B$1,[2]quests!$1:$1,0)+1),MATCH(E$1,[2]quests!$1:$1,0)-MATCH($B$1,[2]quests!$1:$1,0)+1,FALSE)</f>
        <v>【木曜限定】 緑の素材</v>
      </c>
      <c r="F140" s="5" t="str">
        <f ca="1">VLOOKUP($D140,OFFSET([2]stages!$A$1,0,0,COUNTA([2]stages!$A:$A),MATCH(F$1,[2]stages!$2:$2,0)-MATCH($D$1,[2]stages!$2:$2,0)+1),MATCH(F$1,[2]stages!$2:$2,0)-MATCH($D$1,[2]stages!$2:$2,0)+1,FALSE)</f>
        <v>【中級】樹のウサギ</v>
      </c>
      <c r="G140" s="25">
        <v>2</v>
      </c>
      <c r="H140" s="16" t="str">
        <f t="shared" si="69"/>
        <v>11004_2-2</v>
      </c>
      <c r="I140" s="5">
        <f ca="1">VLOOKUP($H140,OFFSET(floors!$A$1,0,0,COUNTA(floors!$A:$A),MATCH(I$1,floors!$1:$1,0)-MATCH($H$1,floors!$1:$1,0)+1),MATCH(I$1,floors!$1:$1,0)-MATCH($H$1,floors!$1:$1,0)+1,FALSE)</f>
        <v>30</v>
      </c>
      <c r="J140" s="5">
        <f ca="1">VLOOKUP($H140,OFFSET(floors!$A$1,0,0,COUNTA(floors!$A:$A),MATCH(J$1,floors!$1:$1,0)-MATCH($H$1,floors!$1:$1,0)+1),MATCH(J$1,floors!$1:$1,0)-MATCH($H$1,floors!$1:$1,0)+1,FALSE)</f>
        <v>30</v>
      </c>
      <c r="K140" s="24" t="s">
        <v>197</v>
      </c>
      <c r="L140" s="24">
        <v>106</v>
      </c>
      <c r="M140" s="20" t="str">
        <f ca="1">VLOOKUP($L140,OFFSET([3]enemies!$A$1,0,0,COUNTA([3]enemies!$A:$A),MATCH(M$1,[3]enemies!$1:$1,0)-MATCH($L$1,[3]enemies!$1:$1,0)+1),MATCH(M$1,[3]enemies!$1:$1,0)-MATCH($L$1,[3]enemies!$1:$1,0)+1,FALSE)</f>
        <v>グリーンラビット</v>
      </c>
      <c r="N140" s="20" t="str">
        <f ca="1">VLOOKUP($L140,OFFSET([3]enemies!$A$1,0,0,COUNTA([3]enemies!$A:$A),MATCH(N$1,[3]enemies!$1:$1,0)-MATCH($L$1,[3]enemies!$1:$1,0)+1),MATCH(N$1,[3]enemies!$1:$1,0)-MATCH($L$1,[3]enemies!$1:$1,0)+1,FALSE)</f>
        <v>green</v>
      </c>
      <c r="O140" s="22" t="str">
        <f ca="1">VLOOKUP($L140,OFFSET([4]characters!$A$1,0,0,COUNTA([4]characters!$A:$A),MATCH(O$1,[4]characters!$1:$1,0)-MATCH($L$1,[4]characters!$1:$1,0)+1),MATCH(O$1,[4]characters!$1:$1,0)-MATCH($L$1,[4]characters!$1:$1,0)+1,FALSE)</f>
        <v>Material</v>
      </c>
      <c r="P140" s="20" t="str">
        <f ca="1">VLOOKUP($L140,OFFSET([3]enemies!$A$1,0,0,COUNTA([3]enemies!$A:$A),MATCH(P$1,[3]enemies!$1:$1,0)-MATCH($L$1,[3]enemies!$1:$1,0)+1),MATCH(P$1,[3]enemies!$1:$1,0)-MATCH($L$1,[3]enemies!$1:$1,0)+1,FALSE)</f>
        <v>unknown</v>
      </c>
      <c r="Q140" s="20">
        <f ca="1">VLOOKUP($L140,OFFSET([3]enemies!$A$1,0,0,COUNTA([3]enemies!$A:$A),MATCH(Q$1,[3]enemies!$1:$1,0)-MATCH($L$1,[3]enemies!$1:$1,0)+1),MATCH(Q$1,[3]enemies!$1:$1,0)-MATCH($L$1,[3]enemies!$1:$1,0)+1,FALSE)</f>
        <v>15</v>
      </c>
      <c r="R140" s="6">
        <v>15</v>
      </c>
      <c r="S140" s="40">
        <v>1.8</v>
      </c>
      <c r="T140" s="39">
        <v>1</v>
      </c>
      <c r="U140" s="6">
        <v>0</v>
      </c>
      <c r="V140" s="5" t="str">
        <f ca="1">VLOOKUP($W140,OFFSET([5]enemy_skill_sets!$B$1,0,0,COUNTA([5]enemy_skill_sets!$B:$B),MATCH(M$1,[5]enemy_skill_sets!$1:$1,0)-MATCH($W$1,[5]enemy_skill_sets!$1:$1,0)+2),MATCH(M$1,[5]enemy_skill_sets!$1:$1,0)-MATCH($W$1,[5]enemy_skill_sets!$1:$1,0)+2,FALSE)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0" s="5">
        <f ca="1">VLOOKUP($L140,OFFSET([3]enemies!$A$1,0,0,COUNTA([3]enemies!$A:$A),MATCH(W$1,[3]enemies!$1:$1,0)-MATCH($L$1,[3]enemies!$1:$1,0)+1),MATCH(W$1,[3]enemies!$1:$1,0)-MATCH($L$1,[3]enemies!$1:$1,0)+1,FALSE)</f>
        <v>0</v>
      </c>
      <c r="X140" s="7">
        <v>0</v>
      </c>
      <c r="Y140" s="7">
        <v>100</v>
      </c>
      <c r="Z140" s="7">
        <v>0</v>
      </c>
      <c r="AA140" s="20">
        <f ca="1">VLOOKUP($L140,OFFSET([3]enemies!$A$1,0,0,COUNTA([3]enemies!$A:$A),MATCH(AA$1,[3]enemies!$1:$1,0)-MATCH($L$1,[3]enemies!$1:$1,0)+1),MATCH(AA$1,[3]enemies!$1:$1,0)-MATCH($L$1,[3]enemies!$1:$1,0)+1,FALSE)</f>
        <v>2</v>
      </c>
      <c r="AB140" s="24">
        <v>106</v>
      </c>
      <c r="AC140" s="5" t="str">
        <f ca="1">IFERROR(VLOOKUP($AB140,OFFSET([4]characters!$A$1,0,0,COUNTA([4]characters!$A:$A),MATCH(AC$1,[4]characters!$1:$1,0)-MATCH("character_id",[4]characters!$1:$1,0)+1),MATCH(AC$1,[4]characters!$1:$1,0)-MATCH("character_id",[4]characters!$1:$1,0)+1,FALSE),"")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40" s="5">
        <f ca="1">IFERROR(VLOOKUP($AB140,OFFSET([4]characters!$A$1,0,0,COUNTA([4]characters!$A:$A),MATCH(AD$1,[4]characters!$1:$1,0)-MATCH("character_id",[4]characters!$1:$1,0)+1),MATCH(AD$1,[4]characters!$1:$1,0)-MATCH("character_id",[4]characters!$1:$1,0)+1,FALSE),"")</f>
        <v>3</v>
      </c>
      <c r="AE140" s="5" t="str">
        <f ca="1">IFERROR(VLOOKUP($AB140,OFFSET([4]characters!$A$1,0,0,COUNTA([4]characters!$A:$A),MATCH(AE$1,[4]characters!$1:$1,0)-MATCH("character_id",[4]characters!$1:$1,0)+1),MATCH(AE$1,[4]characters!$1:$1,0)-MATCH("character_id",[4]characters!$1:$1,0)+1,FALSE),"")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0" s="8">
        <v>1</v>
      </c>
      <c r="AG140" s="27">
        <f t="shared" ca="1" si="72"/>
        <v>3</v>
      </c>
      <c r="AH140" s="80">
        <v>20</v>
      </c>
      <c r="AI140" s="8">
        <v>0</v>
      </c>
      <c r="AJ140" s="8">
        <v>0</v>
      </c>
      <c r="AK140" s="8">
        <v>0</v>
      </c>
      <c r="AL140" s="8">
        <v>0</v>
      </c>
      <c r="AM140" s="8">
        <v>1</v>
      </c>
      <c r="AN140" s="8">
        <v>1</v>
      </c>
    </row>
    <row r="141" spans="1:40" ht="21" customHeight="1" x14ac:dyDescent="0.15">
      <c r="A141" s="17" t="str">
        <f t="shared" ca="1" si="70"/>
        <v>11004_2-3/106&lt;lv15&gt;s2</v>
      </c>
      <c r="B141" s="8">
        <v>11004</v>
      </c>
      <c r="C141" s="25">
        <v>2</v>
      </c>
      <c r="D141" s="2" t="str">
        <f t="shared" si="71"/>
        <v>11004_2</v>
      </c>
      <c r="E141" s="5" t="str">
        <f ca="1">VLOOKUP($B141,OFFSET([2]quests!$A$1,0,0,COUNTA([2]quests!$A:$A),MATCH(E$1,[2]quests!$1:$1,0)-MATCH($B$1,[2]quests!$1:$1,0)+1),MATCH(E$1,[2]quests!$1:$1,0)-MATCH($B$1,[2]quests!$1:$1,0)+1,FALSE)</f>
        <v>【木曜限定】 緑の素材</v>
      </c>
      <c r="F141" s="5" t="str">
        <f ca="1">VLOOKUP($D141,OFFSET([2]stages!$A$1,0,0,COUNTA([2]stages!$A:$A),MATCH(F$1,[2]stages!$2:$2,0)-MATCH($D$1,[2]stages!$2:$2,0)+1),MATCH(F$1,[2]stages!$2:$2,0)-MATCH($D$1,[2]stages!$2:$2,0)+1,FALSE)</f>
        <v>【中級】樹のウサギ</v>
      </c>
      <c r="G141" s="25">
        <v>3</v>
      </c>
      <c r="H141" s="16" t="str">
        <f t="shared" si="69"/>
        <v>11004_2-3</v>
      </c>
      <c r="I141" s="5">
        <f ca="1">VLOOKUP($H141,OFFSET(floors!$A$1,0,0,COUNTA(floors!$A:$A),MATCH(I$1,floors!$1:$1,0)-MATCH($H$1,floors!$1:$1,0)+1),MATCH(I$1,floors!$1:$1,0)-MATCH($H$1,floors!$1:$1,0)+1,FALSE)</f>
        <v>45</v>
      </c>
      <c r="J141" s="5">
        <f ca="1">VLOOKUP($H141,OFFSET(floors!$A$1,0,0,COUNTA(floors!$A:$A),MATCH(J$1,floors!$1:$1,0)-MATCH($H$1,floors!$1:$1,0)+1),MATCH(J$1,floors!$1:$1,0)-MATCH($H$1,floors!$1:$1,0)+1,FALSE)</f>
        <v>45</v>
      </c>
      <c r="K141" s="24" t="s">
        <v>197</v>
      </c>
      <c r="L141" s="24">
        <v>106</v>
      </c>
      <c r="M141" s="20" t="str">
        <f ca="1">VLOOKUP($L141,OFFSET([3]enemies!$A$1,0,0,COUNTA([3]enemies!$A:$A),MATCH(M$1,[3]enemies!$1:$1,0)-MATCH($L$1,[3]enemies!$1:$1,0)+1),MATCH(M$1,[3]enemies!$1:$1,0)-MATCH($L$1,[3]enemies!$1:$1,0)+1,FALSE)</f>
        <v>グリーンラビット</v>
      </c>
      <c r="N141" s="20" t="str">
        <f ca="1">VLOOKUP($L141,OFFSET([3]enemies!$A$1,0,0,COUNTA([3]enemies!$A:$A),MATCH(N$1,[3]enemies!$1:$1,0)-MATCH($L$1,[3]enemies!$1:$1,0)+1),MATCH(N$1,[3]enemies!$1:$1,0)-MATCH($L$1,[3]enemies!$1:$1,0)+1,FALSE)</f>
        <v>green</v>
      </c>
      <c r="O141" s="22" t="str">
        <f ca="1">VLOOKUP($L141,OFFSET([4]characters!$A$1,0,0,COUNTA([4]characters!$A:$A),MATCH(O$1,[4]characters!$1:$1,0)-MATCH($L$1,[4]characters!$1:$1,0)+1),MATCH(O$1,[4]characters!$1:$1,0)-MATCH($L$1,[4]characters!$1:$1,0)+1,FALSE)</f>
        <v>Material</v>
      </c>
      <c r="P141" s="20" t="str">
        <f ca="1">VLOOKUP($L141,OFFSET([3]enemies!$A$1,0,0,COUNTA([3]enemies!$A:$A),MATCH(P$1,[3]enemies!$1:$1,0)-MATCH($L$1,[3]enemies!$1:$1,0)+1),MATCH(P$1,[3]enemies!$1:$1,0)-MATCH($L$1,[3]enemies!$1:$1,0)+1,FALSE)</f>
        <v>unknown</v>
      </c>
      <c r="Q141" s="20">
        <f ca="1">VLOOKUP($L141,OFFSET([3]enemies!$A$1,0,0,COUNTA([3]enemies!$A:$A),MATCH(Q$1,[3]enemies!$1:$1,0)-MATCH($L$1,[3]enemies!$1:$1,0)+1),MATCH(Q$1,[3]enemies!$1:$1,0)-MATCH($L$1,[3]enemies!$1:$1,0)+1,FALSE)</f>
        <v>15</v>
      </c>
      <c r="R141" s="6">
        <v>15</v>
      </c>
      <c r="S141" s="40">
        <v>1.8</v>
      </c>
      <c r="T141" s="39">
        <v>1</v>
      </c>
      <c r="U141" s="6">
        <v>0</v>
      </c>
      <c r="V141" s="5" t="str">
        <f ca="1">VLOOKUP($W141,OFFSET([5]enemy_skill_sets!$B$1,0,0,COUNTA([5]enemy_skill_sets!$B:$B),MATCH(M$1,[5]enemy_skill_sets!$1:$1,0)-MATCH($W$1,[5]enemy_skill_sets!$1:$1,0)+2),MATCH(M$1,[5]enemy_skill_sets!$1:$1,0)-MATCH($W$1,[5]enemy_skill_sets!$1:$1,0)+2,FALSE)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1" s="5">
        <f ca="1">VLOOKUP($L141,OFFSET([3]enemies!$A$1,0,0,COUNTA([3]enemies!$A:$A),MATCH(W$1,[3]enemies!$1:$1,0)-MATCH($L$1,[3]enemies!$1:$1,0)+1),MATCH(W$1,[3]enemies!$1:$1,0)-MATCH($L$1,[3]enemies!$1:$1,0)+1,FALSE)</f>
        <v>0</v>
      </c>
      <c r="X141" s="7">
        <v>0</v>
      </c>
      <c r="Y141" s="7">
        <v>100</v>
      </c>
      <c r="Z141" s="7">
        <v>0</v>
      </c>
      <c r="AA141" s="20">
        <f ca="1">VLOOKUP($L141,OFFSET([3]enemies!$A$1,0,0,COUNTA([3]enemies!$A:$A),MATCH(AA$1,[3]enemies!$1:$1,0)-MATCH($L$1,[3]enemies!$1:$1,0)+1),MATCH(AA$1,[3]enemies!$1:$1,0)-MATCH($L$1,[3]enemies!$1:$1,0)+1,FALSE)</f>
        <v>2</v>
      </c>
      <c r="AB141" s="24">
        <v>106</v>
      </c>
      <c r="AC141" s="5" t="str">
        <f ca="1">IFERROR(VLOOKUP($AB141,OFFSET([4]characters!$A$1,0,0,COUNTA([4]characters!$A:$A),MATCH(AC$1,[4]characters!$1:$1,0)-MATCH("character_id",[4]characters!$1:$1,0)+1),MATCH(AC$1,[4]characters!$1:$1,0)-MATCH("character_id",[4]characters!$1:$1,0)+1,FALSE),"")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41" s="5">
        <f ca="1">IFERROR(VLOOKUP($AB141,OFFSET([4]characters!$A$1,0,0,COUNTA([4]characters!$A:$A),MATCH(AD$1,[4]characters!$1:$1,0)-MATCH("character_id",[4]characters!$1:$1,0)+1),MATCH(AD$1,[4]characters!$1:$1,0)-MATCH("character_id",[4]characters!$1:$1,0)+1,FALSE),"")</f>
        <v>3</v>
      </c>
      <c r="AE141" s="5" t="str">
        <f ca="1">IFERROR(VLOOKUP($AB141,OFFSET([4]characters!$A$1,0,0,COUNTA([4]characters!$A:$A),MATCH(AE$1,[4]characters!$1:$1,0)-MATCH("character_id",[4]characters!$1:$1,0)+1),MATCH(AE$1,[4]characters!$1:$1,0)-MATCH("character_id",[4]characters!$1:$1,0)+1,FALSE),"")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1" s="8">
        <v>1</v>
      </c>
      <c r="AG141" s="27">
        <f t="shared" ca="1" si="72"/>
        <v>3</v>
      </c>
      <c r="AH141" s="80">
        <v>20</v>
      </c>
      <c r="AI141" s="8">
        <v>0</v>
      </c>
      <c r="AJ141" s="8">
        <v>0</v>
      </c>
      <c r="AK141" s="8">
        <v>0</v>
      </c>
      <c r="AL141" s="8">
        <v>0</v>
      </c>
      <c r="AM141" s="8">
        <v>1</v>
      </c>
      <c r="AN141" s="8">
        <v>1</v>
      </c>
    </row>
    <row r="142" spans="1:40" ht="21" customHeight="1" x14ac:dyDescent="0.15">
      <c r="A142" s="17" t="str">
        <f t="shared" ca="1" si="70"/>
        <v>11004_2-3/107&lt;lv15&gt;s1</v>
      </c>
      <c r="B142" s="8">
        <v>11004</v>
      </c>
      <c r="C142" s="25">
        <v>2</v>
      </c>
      <c r="D142" s="2" t="str">
        <f t="shared" si="71"/>
        <v>11004_2</v>
      </c>
      <c r="E142" s="5" t="str">
        <f ca="1">VLOOKUP($B142,OFFSET([2]quests!$A$1,0,0,COUNTA([2]quests!$A:$A),MATCH(E$1,[2]quests!$1:$1,0)-MATCH($B$1,[2]quests!$1:$1,0)+1),MATCH(E$1,[2]quests!$1:$1,0)-MATCH($B$1,[2]quests!$1:$1,0)+1,FALSE)</f>
        <v>【木曜限定】 緑の素材</v>
      </c>
      <c r="F142" s="5" t="str">
        <f ca="1">VLOOKUP($D142,OFFSET([2]stages!$A$1,0,0,COUNTA([2]stages!$A:$A),MATCH(F$1,[2]stages!$2:$2,0)-MATCH($D$1,[2]stages!$2:$2,0)+1),MATCH(F$1,[2]stages!$2:$2,0)-MATCH($D$1,[2]stages!$2:$2,0)+1,FALSE)</f>
        <v>【中級】樹のウサギ</v>
      </c>
      <c r="G142" s="25">
        <v>3</v>
      </c>
      <c r="H142" s="16" t="str">
        <f t="shared" si="69"/>
        <v>11004_2-3</v>
      </c>
      <c r="I142" s="5">
        <f ca="1">VLOOKUP($H142,OFFSET(floors!$A$1,0,0,COUNTA(floors!$A:$A),MATCH(I$1,floors!$1:$1,0)-MATCH($H$1,floors!$1:$1,0)+1),MATCH(I$1,floors!$1:$1,0)-MATCH($H$1,floors!$1:$1,0)+1,FALSE)</f>
        <v>45</v>
      </c>
      <c r="J142" s="5">
        <f ca="1">VLOOKUP($H142,OFFSET(floors!$A$1,0,0,COUNTA(floors!$A:$A),MATCH(J$1,floors!$1:$1,0)-MATCH($H$1,floors!$1:$1,0)+1),MATCH(J$1,floors!$1:$1,0)-MATCH($H$1,floors!$1:$1,0)+1,FALSE)</f>
        <v>45</v>
      </c>
      <c r="K142" s="24" t="s">
        <v>197</v>
      </c>
      <c r="L142" s="24">
        <v>107</v>
      </c>
      <c r="M142" s="20" t="str">
        <f ca="1">VLOOKUP($L142,OFFSET([3]enemies!$A$1,0,0,COUNTA([3]enemies!$A:$A),MATCH(M$1,[3]enemies!$1:$1,0)-MATCH($L$1,[3]enemies!$1:$1,0)+1),MATCH(M$1,[3]enemies!$1:$1,0)-MATCH($L$1,[3]enemies!$1:$1,0)+1,FALSE)</f>
        <v>グリーンキャタップ</v>
      </c>
      <c r="N142" s="20" t="str">
        <f ca="1">VLOOKUP($L142,OFFSET([3]enemies!$A$1,0,0,COUNTA([3]enemies!$A:$A),MATCH(N$1,[3]enemies!$1:$1,0)-MATCH($L$1,[3]enemies!$1:$1,0)+1),MATCH(N$1,[3]enemies!$1:$1,0)-MATCH($L$1,[3]enemies!$1:$1,0)+1,FALSE)</f>
        <v>green</v>
      </c>
      <c r="O142" s="22" t="str">
        <f ca="1">VLOOKUP($L142,OFFSET([4]characters!$A$1,0,0,COUNTA([4]characters!$A:$A),MATCH(O$1,[4]characters!$1:$1,0)-MATCH($L$1,[4]characters!$1:$1,0)+1),MATCH(O$1,[4]characters!$1:$1,0)-MATCH($L$1,[4]characters!$1:$1,0)+1,FALSE)</f>
        <v>Material</v>
      </c>
      <c r="P142" s="20" t="str">
        <f ca="1">VLOOKUP($L142,OFFSET([3]enemies!$A$1,0,0,COUNTA([3]enemies!$A:$A),MATCH(P$1,[3]enemies!$1:$1,0)-MATCH($L$1,[3]enemies!$1:$1,0)+1),MATCH(P$1,[3]enemies!$1:$1,0)-MATCH($L$1,[3]enemies!$1:$1,0)+1,FALSE)</f>
        <v>unknown</v>
      </c>
      <c r="Q142" s="20">
        <f ca="1">VLOOKUP($L142,OFFSET([3]enemies!$A$1,0,0,COUNTA([3]enemies!$A:$A),MATCH(Q$1,[3]enemies!$1:$1,0)-MATCH($L$1,[3]enemies!$1:$1,0)+1),MATCH(Q$1,[3]enemies!$1:$1,0)-MATCH($L$1,[3]enemies!$1:$1,0)+1,FALSE)</f>
        <v>15</v>
      </c>
      <c r="R142" s="6">
        <v>15</v>
      </c>
      <c r="S142" s="39">
        <v>2</v>
      </c>
      <c r="T142" s="39">
        <v>1</v>
      </c>
      <c r="U142" s="6">
        <v>0</v>
      </c>
      <c r="V142" s="5" t="str">
        <f ca="1">VLOOKUP($W142,OFFSET([5]enemy_skill_sets!$B$1,0,0,COUNTA([5]enemy_skill_sets!$B:$B),MATCH(M$1,[5]enemy_skill_sets!$1:$1,0)-MATCH($W$1,[5]enemy_skill_sets!$1:$1,0)+2),MATCH(M$1,[5]enemy_skill_sets!$1:$1,0)-MATCH($W$1,[5]enemy_skill_sets!$1:$1,0)+2,FALSE)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2" s="5">
        <f ca="1">VLOOKUP($L142,OFFSET([3]enemies!$A$1,0,0,COUNTA([3]enemies!$A:$A),MATCH(W$1,[3]enemies!$1:$1,0)-MATCH($L$1,[3]enemies!$1:$1,0)+1),MATCH(W$1,[3]enemies!$1:$1,0)-MATCH($L$1,[3]enemies!$1:$1,0)+1,FALSE)</f>
        <v>0</v>
      </c>
      <c r="X142" s="7">
        <v>0</v>
      </c>
      <c r="Y142" s="7">
        <v>25</v>
      </c>
      <c r="Z142" s="7">
        <v>0</v>
      </c>
      <c r="AA142" s="20">
        <f ca="1">VLOOKUP($L142,OFFSET([3]enemies!$A$1,0,0,COUNTA([3]enemies!$A:$A),MATCH(AA$1,[3]enemies!$1:$1,0)-MATCH($L$1,[3]enemies!$1:$1,0)+1),MATCH(AA$1,[3]enemies!$1:$1,0)-MATCH($L$1,[3]enemies!$1:$1,0)+1,FALSE)</f>
        <v>1</v>
      </c>
      <c r="AB142" s="24">
        <v>107</v>
      </c>
      <c r="AC142" s="5" t="str">
        <f ca="1">IFERROR(VLOOKUP($AB142,OFFSET([4]characters!$A$1,0,0,COUNTA([4]characters!$A:$A),MATCH(AC$1,[4]characters!$1:$1,0)-MATCH("character_id",[4]characters!$1:$1,0)+1),MATCH(AC$1,[4]characters!$1:$1,0)-MATCH("character_id",[4]characters!$1:$1,0)+1,FALSE),"")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42" s="5">
        <f ca="1">IFERROR(VLOOKUP($AB142,OFFSET([4]characters!$A$1,0,0,COUNTA([4]characters!$A:$A),MATCH(AD$1,[4]characters!$1:$1,0)-MATCH("character_id",[4]characters!$1:$1,0)+1),MATCH(AD$1,[4]characters!$1:$1,0)-MATCH("character_id",[4]characters!$1:$1,0)+1,FALSE),"")</f>
        <v>4</v>
      </c>
      <c r="AE142" s="5" t="str">
        <f ca="1">IFERROR(VLOOKUP($AB142,OFFSET([4]characters!$A$1,0,0,COUNTA([4]characters!$A:$A),MATCH(AE$1,[4]characters!$1:$1,0)-MATCH("character_id",[4]characters!$1:$1,0)+1),MATCH(AE$1,[4]characters!$1:$1,0)-MATCH("character_id",[4]characters!$1:$1,0)+1,FALSE),"")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2" s="8">
        <v>1</v>
      </c>
      <c r="AG142" s="27">
        <f t="shared" ca="1" si="72"/>
        <v>4</v>
      </c>
      <c r="AH142" s="80">
        <v>5</v>
      </c>
      <c r="AI142" s="8">
        <v>0</v>
      </c>
      <c r="AJ142" s="8">
        <v>0</v>
      </c>
      <c r="AK142" s="8">
        <v>0</v>
      </c>
      <c r="AL142" s="8">
        <v>0</v>
      </c>
      <c r="AM142" s="8">
        <v>1</v>
      </c>
      <c r="AN142" s="8">
        <v>1</v>
      </c>
    </row>
    <row r="143" spans="1:40" ht="21" customHeight="1" x14ac:dyDescent="0.15">
      <c r="A143" s="17" t="str">
        <f t="shared" ca="1" si="70"/>
        <v>11004_2-4/106&lt;lv15&gt;s2</v>
      </c>
      <c r="B143" s="8">
        <v>11004</v>
      </c>
      <c r="C143" s="25">
        <v>2</v>
      </c>
      <c r="D143" s="2" t="str">
        <f t="shared" si="71"/>
        <v>11004_2</v>
      </c>
      <c r="E143" s="5" t="str">
        <f ca="1">VLOOKUP($B143,OFFSET([2]quests!$A$1,0,0,COUNTA([2]quests!$A:$A),MATCH(E$1,[2]quests!$1:$1,0)-MATCH($B$1,[2]quests!$1:$1,0)+1),MATCH(E$1,[2]quests!$1:$1,0)-MATCH($B$1,[2]quests!$1:$1,0)+1,FALSE)</f>
        <v>【木曜限定】 緑の素材</v>
      </c>
      <c r="F143" s="5" t="str">
        <f ca="1">VLOOKUP($D143,OFFSET([2]stages!$A$1,0,0,COUNTA([2]stages!$A:$A),MATCH(F$1,[2]stages!$2:$2,0)-MATCH($D$1,[2]stages!$2:$2,0)+1),MATCH(F$1,[2]stages!$2:$2,0)-MATCH($D$1,[2]stages!$2:$2,0)+1,FALSE)</f>
        <v>【中級】樹のウサギ</v>
      </c>
      <c r="G143" s="25">
        <v>4</v>
      </c>
      <c r="H143" s="16" t="str">
        <f t="shared" si="69"/>
        <v>11004_2-4</v>
      </c>
      <c r="I143" s="5">
        <f ca="1">VLOOKUP($H143,OFFSET(floors!$A$1,0,0,COUNTA(floors!$A:$A),MATCH(I$1,floors!$1:$1,0)-MATCH($H$1,floors!$1:$1,0)+1),MATCH(I$1,floors!$1:$1,0)-MATCH($H$1,floors!$1:$1,0)+1,FALSE)</f>
        <v>45</v>
      </c>
      <c r="J143" s="5">
        <f ca="1">VLOOKUP($H143,OFFSET(floors!$A$1,0,0,COUNTA(floors!$A:$A),MATCH(J$1,floors!$1:$1,0)-MATCH($H$1,floors!$1:$1,0)+1),MATCH(J$1,floors!$1:$1,0)-MATCH($H$1,floors!$1:$1,0)+1,FALSE)</f>
        <v>45</v>
      </c>
      <c r="K143" s="24" t="s">
        <v>197</v>
      </c>
      <c r="L143" s="24">
        <v>106</v>
      </c>
      <c r="M143" s="20" t="str">
        <f ca="1">VLOOKUP($L143,OFFSET([3]enemies!$A$1,0,0,COUNTA([3]enemies!$A:$A),MATCH(M$1,[3]enemies!$1:$1,0)-MATCH($L$1,[3]enemies!$1:$1,0)+1),MATCH(M$1,[3]enemies!$1:$1,0)-MATCH($L$1,[3]enemies!$1:$1,0)+1,FALSE)</f>
        <v>グリーンラビット</v>
      </c>
      <c r="N143" s="20" t="str">
        <f ca="1">VLOOKUP($L143,OFFSET([3]enemies!$A$1,0,0,COUNTA([3]enemies!$A:$A),MATCH(N$1,[3]enemies!$1:$1,0)-MATCH($L$1,[3]enemies!$1:$1,0)+1),MATCH(N$1,[3]enemies!$1:$1,0)-MATCH($L$1,[3]enemies!$1:$1,0)+1,FALSE)</f>
        <v>green</v>
      </c>
      <c r="O143" s="22" t="str">
        <f ca="1">VLOOKUP($L143,OFFSET([4]characters!$A$1,0,0,COUNTA([4]characters!$A:$A),MATCH(O$1,[4]characters!$1:$1,0)-MATCH($L$1,[4]characters!$1:$1,0)+1),MATCH(O$1,[4]characters!$1:$1,0)-MATCH($L$1,[4]characters!$1:$1,0)+1,FALSE)</f>
        <v>Material</v>
      </c>
      <c r="P143" s="20" t="str">
        <f ca="1">VLOOKUP($L143,OFFSET([3]enemies!$A$1,0,0,COUNTA([3]enemies!$A:$A),MATCH(P$1,[3]enemies!$1:$1,0)-MATCH($L$1,[3]enemies!$1:$1,0)+1),MATCH(P$1,[3]enemies!$1:$1,0)-MATCH($L$1,[3]enemies!$1:$1,0)+1,FALSE)</f>
        <v>unknown</v>
      </c>
      <c r="Q143" s="20">
        <f ca="1">VLOOKUP($L143,OFFSET([3]enemies!$A$1,0,0,COUNTA([3]enemies!$A:$A),MATCH(Q$1,[3]enemies!$1:$1,0)-MATCH($L$1,[3]enemies!$1:$1,0)+1),MATCH(Q$1,[3]enemies!$1:$1,0)-MATCH($L$1,[3]enemies!$1:$1,0)+1,FALSE)</f>
        <v>15</v>
      </c>
      <c r="R143" s="6">
        <v>15</v>
      </c>
      <c r="S143" s="40">
        <v>1.8</v>
      </c>
      <c r="T143" s="39">
        <v>1</v>
      </c>
      <c r="U143" s="6">
        <v>0</v>
      </c>
      <c r="V143" s="5" t="str">
        <f ca="1">VLOOKUP($W143,OFFSET([5]enemy_skill_sets!$B$1,0,0,COUNTA([5]enemy_skill_sets!$B:$B),MATCH(M$1,[5]enemy_skill_sets!$1:$1,0)-MATCH($W$1,[5]enemy_skill_sets!$1:$1,0)+2),MATCH(M$1,[5]enemy_skill_sets!$1:$1,0)-MATCH($W$1,[5]enemy_skill_sets!$1:$1,0)+2,FALSE)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3" s="5">
        <f ca="1">VLOOKUP($L143,OFFSET([3]enemies!$A$1,0,0,COUNTA([3]enemies!$A:$A),MATCH(W$1,[3]enemies!$1:$1,0)-MATCH($L$1,[3]enemies!$1:$1,0)+1),MATCH(W$1,[3]enemies!$1:$1,0)-MATCH($L$1,[3]enemies!$1:$1,0)+1,FALSE)</f>
        <v>0</v>
      </c>
      <c r="X143" s="7">
        <v>0</v>
      </c>
      <c r="Y143" s="7">
        <v>100</v>
      </c>
      <c r="Z143" s="7">
        <v>0</v>
      </c>
      <c r="AA143" s="20">
        <f ca="1">VLOOKUP($L143,OFFSET([3]enemies!$A$1,0,0,COUNTA([3]enemies!$A:$A),MATCH(AA$1,[3]enemies!$1:$1,0)-MATCH($L$1,[3]enemies!$1:$1,0)+1),MATCH(AA$1,[3]enemies!$1:$1,0)-MATCH($L$1,[3]enemies!$1:$1,0)+1,FALSE)</f>
        <v>2</v>
      </c>
      <c r="AB143" s="24">
        <v>106</v>
      </c>
      <c r="AC143" s="5" t="str">
        <f ca="1">IFERROR(VLOOKUP($AB143,OFFSET([4]characters!$A$1,0,0,COUNTA([4]characters!$A:$A),MATCH(AC$1,[4]characters!$1:$1,0)-MATCH("character_id",[4]characters!$1:$1,0)+1),MATCH(AC$1,[4]characters!$1:$1,0)-MATCH("character_id",[4]characters!$1:$1,0)+1,FALSE),"")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43" s="5">
        <f ca="1">IFERROR(VLOOKUP($AB143,OFFSET([4]characters!$A$1,0,0,COUNTA([4]characters!$A:$A),MATCH(AD$1,[4]characters!$1:$1,0)-MATCH("character_id",[4]characters!$1:$1,0)+1),MATCH(AD$1,[4]characters!$1:$1,0)-MATCH("character_id",[4]characters!$1:$1,0)+1,FALSE),"")</f>
        <v>3</v>
      </c>
      <c r="AE143" s="5" t="str">
        <f ca="1">IFERROR(VLOOKUP($AB143,OFFSET([4]characters!$A$1,0,0,COUNTA([4]characters!$A:$A),MATCH(AE$1,[4]characters!$1:$1,0)-MATCH("character_id",[4]characters!$1:$1,0)+1),MATCH(AE$1,[4]characters!$1:$1,0)-MATCH("character_id",[4]characters!$1:$1,0)+1,FALSE),"")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3" s="8">
        <v>1</v>
      </c>
      <c r="AG143" s="27">
        <f t="shared" ca="1" si="72"/>
        <v>3</v>
      </c>
      <c r="AH143" s="80">
        <v>20</v>
      </c>
      <c r="AI143" s="8">
        <v>0</v>
      </c>
      <c r="AJ143" s="8">
        <v>0</v>
      </c>
      <c r="AK143" s="8">
        <v>0</v>
      </c>
      <c r="AL143" s="8">
        <v>0</v>
      </c>
      <c r="AM143" s="8">
        <v>1</v>
      </c>
      <c r="AN143" s="8">
        <v>1</v>
      </c>
    </row>
    <row r="144" spans="1:40" ht="21" customHeight="1" x14ac:dyDescent="0.15">
      <c r="A144" s="17" t="str">
        <f t="shared" ca="1" si="70"/>
        <v>11004_2-4/107&lt;lv15&gt;s1</v>
      </c>
      <c r="B144" s="8">
        <v>11004</v>
      </c>
      <c r="C144" s="25">
        <v>2</v>
      </c>
      <c r="D144" s="2" t="str">
        <f t="shared" si="71"/>
        <v>11004_2</v>
      </c>
      <c r="E144" s="5" t="str">
        <f ca="1">VLOOKUP($B144,OFFSET([2]quests!$A$1,0,0,COUNTA([2]quests!$A:$A),MATCH(E$1,[2]quests!$1:$1,0)-MATCH($B$1,[2]quests!$1:$1,0)+1),MATCH(E$1,[2]quests!$1:$1,0)-MATCH($B$1,[2]quests!$1:$1,0)+1,FALSE)</f>
        <v>【木曜限定】 緑の素材</v>
      </c>
      <c r="F144" s="5" t="str">
        <f ca="1">VLOOKUP($D144,OFFSET([2]stages!$A$1,0,0,COUNTA([2]stages!$A:$A),MATCH(F$1,[2]stages!$2:$2,0)-MATCH($D$1,[2]stages!$2:$2,0)+1),MATCH(F$1,[2]stages!$2:$2,0)-MATCH($D$1,[2]stages!$2:$2,0)+1,FALSE)</f>
        <v>【中級】樹のウサギ</v>
      </c>
      <c r="G144" s="25">
        <v>4</v>
      </c>
      <c r="H144" s="16" t="str">
        <f t="shared" si="69"/>
        <v>11004_2-4</v>
      </c>
      <c r="I144" s="5">
        <f ca="1">VLOOKUP($H144,OFFSET(floors!$A$1,0,0,COUNTA(floors!$A:$A),MATCH(I$1,floors!$1:$1,0)-MATCH($H$1,floors!$1:$1,0)+1),MATCH(I$1,floors!$1:$1,0)-MATCH($H$1,floors!$1:$1,0)+1,FALSE)</f>
        <v>45</v>
      </c>
      <c r="J144" s="5">
        <f ca="1">VLOOKUP($H144,OFFSET(floors!$A$1,0,0,COUNTA(floors!$A:$A),MATCH(J$1,floors!$1:$1,0)-MATCH($H$1,floors!$1:$1,0)+1),MATCH(J$1,floors!$1:$1,0)-MATCH($H$1,floors!$1:$1,0)+1,FALSE)</f>
        <v>45</v>
      </c>
      <c r="K144" s="24" t="s">
        <v>197</v>
      </c>
      <c r="L144" s="24">
        <v>107</v>
      </c>
      <c r="M144" s="20" t="str">
        <f ca="1">VLOOKUP($L144,OFFSET([3]enemies!$A$1,0,0,COUNTA([3]enemies!$A:$A),MATCH(M$1,[3]enemies!$1:$1,0)-MATCH($L$1,[3]enemies!$1:$1,0)+1),MATCH(M$1,[3]enemies!$1:$1,0)-MATCH($L$1,[3]enemies!$1:$1,0)+1,FALSE)</f>
        <v>グリーンキャタップ</v>
      </c>
      <c r="N144" s="20" t="str">
        <f ca="1">VLOOKUP($L144,OFFSET([3]enemies!$A$1,0,0,COUNTA([3]enemies!$A:$A),MATCH(N$1,[3]enemies!$1:$1,0)-MATCH($L$1,[3]enemies!$1:$1,0)+1),MATCH(N$1,[3]enemies!$1:$1,0)-MATCH($L$1,[3]enemies!$1:$1,0)+1,FALSE)</f>
        <v>green</v>
      </c>
      <c r="O144" s="22" t="str">
        <f ca="1">VLOOKUP($L144,OFFSET([4]characters!$A$1,0,0,COUNTA([4]characters!$A:$A),MATCH(O$1,[4]characters!$1:$1,0)-MATCH($L$1,[4]characters!$1:$1,0)+1),MATCH(O$1,[4]characters!$1:$1,0)-MATCH($L$1,[4]characters!$1:$1,0)+1,FALSE)</f>
        <v>Material</v>
      </c>
      <c r="P144" s="20" t="str">
        <f ca="1">VLOOKUP($L144,OFFSET([3]enemies!$A$1,0,0,COUNTA([3]enemies!$A:$A),MATCH(P$1,[3]enemies!$1:$1,0)-MATCH($L$1,[3]enemies!$1:$1,0)+1),MATCH(P$1,[3]enemies!$1:$1,0)-MATCH($L$1,[3]enemies!$1:$1,0)+1,FALSE)</f>
        <v>unknown</v>
      </c>
      <c r="Q144" s="20">
        <f ca="1">VLOOKUP($L144,OFFSET([3]enemies!$A$1,0,0,COUNTA([3]enemies!$A:$A),MATCH(Q$1,[3]enemies!$1:$1,0)-MATCH($L$1,[3]enemies!$1:$1,0)+1),MATCH(Q$1,[3]enemies!$1:$1,0)-MATCH($L$1,[3]enemies!$1:$1,0)+1,FALSE)</f>
        <v>15</v>
      </c>
      <c r="R144" s="6">
        <v>15</v>
      </c>
      <c r="S144" s="39">
        <v>2</v>
      </c>
      <c r="T144" s="39">
        <v>1</v>
      </c>
      <c r="U144" s="6">
        <v>0</v>
      </c>
      <c r="V144" s="5" t="str">
        <f ca="1">VLOOKUP($W144,OFFSET([5]enemy_skill_sets!$B$1,0,0,COUNTA([5]enemy_skill_sets!$B:$B),MATCH(M$1,[5]enemy_skill_sets!$1:$1,0)-MATCH($W$1,[5]enemy_skill_sets!$1:$1,0)+2),MATCH(M$1,[5]enemy_skill_sets!$1:$1,0)-MATCH($W$1,[5]enemy_skill_sets!$1:$1,0)+2,FALSE)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4" s="5">
        <f ca="1">VLOOKUP($L144,OFFSET([3]enemies!$A$1,0,0,COUNTA([3]enemies!$A:$A),MATCH(W$1,[3]enemies!$1:$1,0)-MATCH($L$1,[3]enemies!$1:$1,0)+1),MATCH(W$1,[3]enemies!$1:$1,0)-MATCH($L$1,[3]enemies!$1:$1,0)+1,FALSE)</f>
        <v>0</v>
      </c>
      <c r="X144" s="7">
        <v>0</v>
      </c>
      <c r="Y144" s="7">
        <v>25</v>
      </c>
      <c r="Z144" s="7">
        <v>0</v>
      </c>
      <c r="AA144" s="20">
        <f ca="1">VLOOKUP($L144,OFFSET([3]enemies!$A$1,0,0,COUNTA([3]enemies!$A:$A),MATCH(AA$1,[3]enemies!$1:$1,0)-MATCH($L$1,[3]enemies!$1:$1,0)+1),MATCH(AA$1,[3]enemies!$1:$1,0)-MATCH($L$1,[3]enemies!$1:$1,0)+1,FALSE)</f>
        <v>1</v>
      </c>
      <c r="AB144" s="24">
        <v>107</v>
      </c>
      <c r="AC144" s="5" t="str">
        <f ca="1">IFERROR(VLOOKUP($AB144,OFFSET([4]characters!$A$1,0,0,COUNTA([4]characters!$A:$A),MATCH(AC$1,[4]characters!$1:$1,0)-MATCH("character_id",[4]characters!$1:$1,0)+1),MATCH(AC$1,[4]characters!$1:$1,0)-MATCH("character_id",[4]characters!$1:$1,0)+1,FALSE),"")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44" s="5">
        <f ca="1">IFERROR(VLOOKUP($AB144,OFFSET([4]characters!$A$1,0,0,COUNTA([4]characters!$A:$A),MATCH(AD$1,[4]characters!$1:$1,0)-MATCH("character_id",[4]characters!$1:$1,0)+1),MATCH(AD$1,[4]characters!$1:$1,0)-MATCH("character_id",[4]characters!$1:$1,0)+1,FALSE),"")</f>
        <v>4</v>
      </c>
      <c r="AE144" s="5" t="str">
        <f ca="1">IFERROR(VLOOKUP($AB144,OFFSET([4]characters!$A$1,0,0,COUNTA([4]characters!$A:$A),MATCH(AE$1,[4]characters!$1:$1,0)-MATCH("character_id",[4]characters!$1:$1,0)+1),MATCH(AE$1,[4]characters!$1:$1,0)-MATCH("character_id",[4]characters!$1:$1,0)+1,FALSE),"")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4" s="8">
        <v>1</v>
      </c>
      <c r="AG144" s="27">
        <f t="shared" ca="1" si="72"/>
        <v>4</v>
      </c>
      <c r="AH144" s="80">
        <v>5</v>
      </c>
      <c r="AI144" s="8">
        <v>0</v>
      </c>
      <c r="AJ144" s="8">
        <v>0</v>
      </c>
      <c r="AK144" s="8">
        <v>0</v>
      </c>
      <c r="AL144" s="8">
        <v>0</v>
      </c>
      <c r="AM144" s="8">
        <v>1</v>
      </c>
      <c r="AN144" s="8">
        <v>1</v>
      </c>
    </row>
    <row r="145" spans="1:40" ht="21" customHeight="1" x14ac:dyDescent="0.15">
      <c r="A145" s="17" t="str">
        <f t="shared" ca="1" si="70"/>
        <v>11004_2-5/106&lt;lv15&gt;s2</v>
      </c>
      <c r="B145" s="8">
        <v>11004</v>
      </c>
      <c r="C145" s="25">
        <v>2</v>
      </c>
      <c r="D145" s="2" t="str">
        <f t="shared" si="71"/>
        <v>11004_2</v>
      </c>
      <c r="E145" s="5" t="str">
        <f ca="1">VLOOKUP($B145,OFFSET([2]quests!$A$1,0,0,COUNTA([2]quests!$A:$A),MATCH(E$1,[2]quests!$1:$1,0)-MATCH($B$1,[2]quests!$1:$1,0)+1),MATCH(E$1,[2]quests!$1:$1,0)-MATCH($B$1,[2]quests!$1:$1,0)+1,FALSE)</f>
        <v>【木曜限定】 緑の素材</v>
      </c>
      <c r="F145" s="5" t="str">
        <f ca="1">VLOOKUP($D145,OFFSET([2]stages!$A$1,0,0,COUNTA([2]stages!$A:$A),MATCH(F$1,[2]stages!$2:$2,0)-MATCH($D$1,[2]stages!$2:$2,0)+1),MATCH(F$1,[2]stages!$2:$2,0)-MATCH($D$1,[2]stages!$2:$2,0)+1,FALSE)</f>
        <v>【中級】樹のウサギ</v>
      </c>
      <c r="G145" s="25">
        <v>5</v>
      </c>
      <c r="H145" s="16" t="str">
        <f t="shared" si="69"/>
        <v>11004_2-5</v>
      </c>
      <c r="I145" s="5">
        <f ca="1">VLOOKUP($H145,OFFSET(floors!$A$1,0,0,COUNTA(floors!$A:$A),MATCH(I$1,floors!$1:$1,0)-MATCH($H$1,floors!$1:$1,0)+1),MATCH(I$1,floors!$1:$1,0)-MATCH($H$1,floors!$1:$1,0)+1,FALSE)</f>
        <v>50</v>
      </c>
      <c r="J145" s="5">
        <f ca="1">VLOOKUP($H145,OFFSET(floors!$A$1,0,0,COUNTA(floors!$A:$A),MATCH(J$1,floors!$1:$1,0)-MATCH($H$1,floors!$1:$1,0)+1),MATCH(J$1,floors!$1:$1,0)-MATCH($H$1,floors!$1:$1,0)+1,FALSE)</f>
        <v>50</v>
      </c>
      <c r="K145" s="24" t="s">
        <v>197</v>
      </c>
      <c r="L145" s="24">
        <v>106</v>
      </c>
      <c r="M145" s="20" t="str">
        <f ca="1">VLOOKUP($L145,OFFSET([3]enemies!$A$1,0,0,COUNTA([3]enemies!$A:$A),MATCH(M$1,[3]enemies!$1:$1,0)-MATCH($L$1,[3]enemies!$1:$1,0)+1),MATCH(M$1,[3]enemies!$1:$1,0)-MATCH($L$1,[3]enemies!$1:$1,0)+1,FALSE)</f>
        <v>グリーンラビット</v>
      </c>
      <c r="N145" s="20" t="str">
        <f ca="1">VLOOKUP($L145,OFFSET([3]enemies!$A$1,0,0,COUNTA([3]enemies!$A:$A),MATCH(N$1,[3]enemies!$1:$1,0)-MATCH($L$1,[3]enemies!$1:$1,0)+1),MATCH(N$1,[3]enemies!$1:$1,0)-MATCH($L$1,[3]enemies!$1:$1,0)+1,FALSE)</f>
        <v>green</v>
      </c>
      <c r="O145" s="22" t="str">
        <f ca="1">VLOOKUP($L145,OFFSET([4]characters!$A$1,0,0,COUNTA([4]characters!$A:$A),MATCH(O$1,[4]characters!$1:$1,0)-MATCH($L$1,[4]characters!$1:$1,0)+1),MATCH(O$1,[4]characters!$1:$1,0)-MATCH($L$1,[4]characters!$1:$1,0)+1,FALSE)</f>
        <v>Material</v>
      </c>
      <c r="P145" s="20" t="str">
        <f ca="1">VLOOKUP($L145,OFFSET([3]enemies!$A$1,0,0,COUNTA([3]enemies!$A:$A),MATCH(P$1,[3]enemies!$1:$1,0)-MATCH($L$1,[3]enemies!$1:$1,0)+1),MATCH(P$1,[3]enemies!$1:$1,0)-MATCH($L$1,[3]enemies!$1:$1,0)+1,FALSE)</f>
        <v>unknown</v>
      </c>
      <c r="Q145" s="20">
        <f ca="1">VLOOKUP($L145,OFFSET([3]enemies!$A$1,0,0,COUNTA([3]enemies!$A:$A),MATCH(Q$1,[3]enemies!$1:$1,0)-MATCH($L$1,[3]enemies!$1:$1,0)+1),MATCH(Q$1,[3]enemies!$1:$1,0)-MATCH($L$1,[3]enemies!$1:$1,0)+1,FALSE)</f>
        <v>15</v>
      </c>
      <c r="R145" s="6">
        <v>15</v>
      </c>
      <c r="S145" s="40">
        <v>1.8</v>
      </c>
      <c r="T145" s="39">
        <v>1</v>
      </c>
      <c r="U145" s="6">
        <v>0</v>
      </c>
      <c r="V145" s="5" t="str">
        <f ca="1">VLOOKUP($W145,OFFSET([5]enemy_skill_sets!$B$1,0,0,COUNTA([5]enemy_skill_sets!$B:$B),MATCH(M$1,[5]enemy_skill_sets!$1:$1,0)-MATCH($W$1,[5]enemy_skill_sets!$1:$1,0)+2),MATCH(M$1,[5]enemy_skill_sets!$1:$1,0)-MATCH($W$1,[5]enemy_skill_sets!$1:$1,0)+2,FALSE)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5" s="5">
        <f ca="1">VLOOKUP($L145,OFFSET([3]enemies!$A$1,0,0,COUNTA([3]enemies!$A:$A),MATCH(W$1,[3]enemies!$1:$1,0)-MATCH($L$1,[3]enemies!$1:$1,0)+1),MATCH(W$1,[3]enemies!$1:$1,0)-MATCH($L$1,[3]enemies!$1:$1,0)+1,FALSE)</f>
        <v>0</v>
      </c>
      <c r="X145" s="7">
        <v>2</v>
      </c>
      <c r="Y145" s="7">
        <v>100</v>
      </c>
      <c r="Z145" s="7">
        <v>0</v>
      </c>
      <c r="AA145" s="20">
        <f ca="1">VLOOKUP($L145,OFFSET([3]enemies!$A$1,0,0,COUNTA([3]enemies!$A:$A),MATCH(AA$1,[3]enemies!$1:$1,0)-MATCH($L$1,[3]enemies!$1:$1,0)+1),MATCH(AA$1,[3]enemies!$1:$1,0)-MATCH($L$1,[3]enemies!$1:$1,0)+1,FALSE)</f>
        <v>2</v>
      </c>
      <c r="AB145" s="24">
        <v>106</v>
      </c>
      <c r="AC145" s="5" t="str">
        <f ca="1">IFERROR(VLOOKUP($AB145,OFFSET([4]characters!$A$1,0,0,COUNTA([4]characters!$A:$A),MATCH(AC$1,[4]characters!$1:$1,0)-MATCH("character_id",[4]characters!$1:$1,0)+1),MATCH(AC$1,[4]characters!$1:$1,0)-MATCH("character_id",[4]characters!$1:$1,0)+1,FALSE),"")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45" s="5">
        <f ca="1">IFERROR(VLOOKUP($AB145,OFFSET([4]characters!$A$1,0,0,COUNTA([4]characters!$A:$A),MATCH(AD$1,[4]characters!$1:$1,0)-MATCH("character_id",[4]characters!$1:$1,0)+1),MATCH(AD$1,[4]characters!$1:$1,0)-MATCH("character_id",[4]characters!$1:$1,0)+1,FALSE),"")</f>
        <v>3</v>
      </c>
      <c r="AE145" s="5" t="str">
        <f ca="1">IFERROR(VLOOKUP($AB145,OFFSET([4]characters!$A$1,0,0,COUNTA([4]characters!$A:$A),MATCH(AE$1,[4]characters!$1:$1,0)-MATCH("character_id",[4]characters!$1:$1,0)+1),MATCH(AE$1,[4]characters!$1:$1,0)-MATCH("character_id",[4]characters!$1:$1,0)+1,FALSE),"")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5" s="8">
        <v>1</v>
      </c>
      <c r="AG145" s="27">
        <f t="shared" ca="1" si="72"/>
        <v>3</v>
      </c>
      <c r="AH145" s="80">
        <v>100</v>
      </c>
      <c r="AI145" s="8">
        <v>0</v>
      </c>
      <c r="AJ145" s="8">
        <v>0</v>
      </c>
      <c r="AK145" s="8">
        <v>0</v>
      </c>
      <c r="AL145" s="8">
        <v>0</v>
      </c>
      <c r="AM145" s="8">
        <v>1</v>
      </c>
      <c r="AN145" s="8">
        <v>1</v>
      </c>
    </row>
    <row r="146" spans="1:40" ht="21" customHeight="1" x14ac:dyDescent="0.15">
      <c r="A146" s="17" t="str">
        <f t="shared" ca="1" si="70"/>
        <v>11004_2-5/52&lt;lv18&gt;s2</v>
      </c>
      <c r="B146" s="8">
        <v>11004</v>
      </c>
      <c r="C146" s="25">
        <v>2</v>
      </c>
      <c r="D146" s="2" t="str">
        <f t="shared" si="71"/>
        <v>11004_2</v>
      </c>
      <c r="E146" s="5" t="str">
        <f ca="1">VLOOKUP($B146,OFFSET([2]quests!$A$1,0,0,COUNTA([2]quests!$A:$A),MATCH(E$1,[2]quests!$1:$1,0)-MATCH($B$1,[2]quests!$1:$1,0)+1),MATCH(E$1,[2]quests!$1:$1,0)-MATCH($B$1,[2]quests!$1:$1,0)+1,FALSE)</f>
        <v>【木曜限定】 緑の素材</v>
      </c>
      <c r="F146" s="5" t="str">
        <f ca="1">VLOOKUP($D146,OFFSET([2]stages!$A$1,0,0,COUNTA([2]stages!$A:$A),MATCH(F$1,[2]stages!$2:$2,0)-MATCH($D$1,[2]stages!$2:$2,0)+1),MATCH(F$1,[2]stages!$2:$2,0)-MATCH($D$1,[2]stages!$2:$2,0)+1,FALSE)</f>
        <v>【中級】樹のウサギ</v>
      </c>
      <c r="G146" s="25">
        <v>5</v>
      </c>
      <c r="H146" s="16" t="str">
        <f t="shared" si="69"/>
        <v>11004_2-5</v>
      </c>
      <c r="I146" s="5">
        <f ca="1">VLOOKUP($H146,OFFSET(floors!$A$1,0,0,COUNTA(floors!$A:$A),MATCH(I$1,floors!$1:$1,0)-MATCH($H$1,floors!$1:$1,0)+1),MATCH(I$1,floors!$1:$1,0)-MATCH($H$1,floors!$1:$1,0)+1,FALSE)</f>
        <v>50</v>
      </c>
      <c r="J146" s="5">
        <f ca="1">VLOOKUP($H146,OFFSET(floors!$A$1,0,0,COUNTA(floors!$A:$A),MATCH(J$1,floors!$1:$1,0)-MATCH($H$1,floors!$1:$1,0)+1),MATCH(J$1,floors!$1:$1,0)-MATCH($H$1,floors!$1:$1,0)+1,FALSE)</f>
        <v>50</v>
      </c>
      <c r="K146" s="24" t="s">
        <v>197</v>
      </c>
      <c r="L146" s="24">
        <v>52</v>
      </c>
      <c r="M146" s="20" t="str">
        <f ca="1">VLOOKUP($L146,OFFSET([3]enemies!$A$1,0,0,COUNTA([3]enemies!$A:$A),MATCH(M$1,[3]enemies!$1:$1,0)-MATCH($L$1,[3]enemies!$1:$1,0)+1),MATCH(M$1,[3]enemies!$1:$1,0)-MATCH($L$1,[3]enemies!$1:$1,0)+1,FALSE)</f>
        <v>翠槍のレジスタンス マイ</v>
      </c>
      <c r="N146" s="20" t="str">
        <f ca="1">VLOOKUP($L146,OFFSET([3]enemies!$A$1,0,0,COUNTA([3]enemies!$A:$A),MATCH(N$1,[3]enemies!$1:$1,0)-MATCH($L$1,[3]enemies!$1:$1,0)+1),MATCH(N$1,[3]enemies!$1:$1,0)-MATCH($L$1,[3]enemies!$1:$1,0)+1,FALSE)</f>
        <v>green</v>
      </c>
      <c r="O146" s="22" t="str">
        <f ca="1">VLOOKUP($L146,OFFSET([4]characters!$A$1,0,0,COUNTA([4]characters!$A:$A),MATCH(O$1,[4]characters!$1:$1,0)-MATCH($L$1,[4]characters!$1:$1,0)+1),MATCH(O$1,[4]characters!$1:$1,0)-MATCH($L$1,[4]characters!$1:$1,0)+1,FALSE)</f>
        <v>Drop1N</v>
      </c>
      <c r="P146" s="20" t="str">
        <f ca="1">VLOOKUP($L146,OFFSET([3]enemies!$A$1,0,0,COUNTA([3]enemies!$A:$A),MATCH(P$1,[3]enemies!$1:$1,0)-MATCH($L$1,[3]enemies!$1:$1,0)+1),MATCH(P$1,[3]enemies!$1:$1,0)-MATCH($L$1,[3]enemies!$1:$1,0)+1,FALSE)</f>
        <v>human</v>
      </c>
      <c r="Q146" s="20">
        <f ca="1">VLOOKUP($L146,OFFSET([3]enemies!$A$1,0,0,COUNTA([3]enemies!$A:$A),MATCH(Q$1,[3]enemies!$1:$1,0)-MATCH($L$1,[3]enemies!$1:$1,0)+1),MATCH(Q$1,[3]enemies!$1:$1,0)-MATCH($L$1,[3]enemies!$1:$1,0)+1,FALSE)</f>
        <v>20</v>
      </c>
      <c r="R146" s="6">
        <v>18</v>
      </c>
      <c r="S146" s="39">
        <v>1</v>
      </c>
      <c r="T146" s="39">
        <v>1</v>
      </c>
      <c r="U146" s="6">
        <v>0</v>
      </c>
      <c r="V146" s="5" t="str">
        <f ca="1">VLOOKUP($W146,OFFSET([5]enemy_skill_sets!$B$1,0,0,COUNTA([5]enemy_skill_sets!$B:$B),MATCH(M$1,[5]enemy_skill_sets!$1:$1,0)-MATCH($W$1,[5]enemy_skill_sets!$1:$1,0)+2),MATCH(M$1,[5]enemy_skill_sets!$1:$1,0)-MATCH($W$1,[5]enemy_skill_sets!$1:$1,0)+2,FALSE)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46" s="5">
        <f ca="1">VLOOKUP($L146,OFFSET([3]enemies!$A$1,0,0,COUNTA([3]enemies!$A:$A),MATCH(W$1,[3]enemies!$1:$1,0)-MATCH($L$1,[3]enemies!$1:$1,0)+1),MATCH(W$1,[3]enemies!$1:$1,0)-MATCH($L$1,[3]enemies!$1:$1,0)+1,FALSE)</f>
        <v>51</v>
      </c>
      <c r="X146" s="7">
        <v>0</v>
      </c>
      <c r="Y146" s="7">
        <v>100</v>
      </c>
      <c r="Z146" s="7">
        <v>1</v>
      </c>
      <c r="AA146" s="20">
        <f ca="1">VLOOKUP($L146,OFFSET([3]enemies!$A$1,0,0,COUNTA([3]enemies!$A:$A),MATCH(AA$1,[3]enemies!$1:$1,0)-MATCH($L$1,[3]enemies!$1:$1,0)+1),MATCH(AA$1,[3]enemies!$1:$1,0)-MATCH($L$1,[3]enemies!$1:$1,0)+1,FALSE)</f>
        <v>2</v>
      </c>
      <c r="AB146" s="24">
        <v>51</v>
      </c>
      <c r="AC146" s="5" t="str">
        <f ca="1">IFERROR(VLOOKUP($AB146,OFFSET([4]characters!$A$1,0,0,COUNTA([4]characters!$A:$A),MATCH(AC$1,[4]characters!$1:$1,0)-MATCH("character_id",[4]characters!$1:$1,0)+1),MATCH(AC$1,[4]characters!$1:$1,0)-MATCH("character_id",[4]characters!$1:$1,0)+1,FALSE),"")</f>
        <v>マイ</v>
      </c>
      <c r="AD146" s="5">
        <f ca="1">IFERROR(VLOOKUP($AB146,OFFSET([4]characters!$A$1,0,0,COUNTA([4]characters!$A:$A),MATCH(AD$1,[4]characters!$1:$1,0)-MATCH("character_id",[4]characters!$1:$1,0)+1),MATCH(AD$1,[4]characters!$1:$1,0)-MATCH("character_id",[4]characters!$1:$1,0)+1,FALSE),"")</f>
        <v>2</v>
      </c>
      <c r="AE146" s="5" t="str">
        <f ca="1">IFERROR(VLOOKUP($AB146,OFFSET([4]characters!$A$1,0,0,COUNTA([4]characters!$A:$A),MATCH(AE$1,[4]characters!$1:$1,0)-MATCH("character_id",[4]characters!$1:$1,0)+1),MATCH(AE$1,[4]characters!$1:$1,0)-MATCH("character_id",[4]characters!$1:$1,0)+1,FALSE),"")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46" s="8">
        <v>1</v>
      </c>
      <c r="AG146" s="27">
        <f t="shared" ca="1" si="72"/>
        <v>2</v>
      </c>
      <c r="AH146" s="9">
        <v>0</v>
      </c>
      <c r="AI146" s="8">
        <v>0</v>
      </c>
      <c r="AJ146" s="8">
        <v>0</v>
      </c>
      <c r="AK146" s="8">
        <v>0</v>
      </c>
      <c r="AL146" s="8">
        <v>0</v>
      </c>
      <c r="AM146" s="8">
        <v>1</v>
      </c>
      <c r="AN146" s="8">
        <v>1</v>
      </c>
    </row>
    <row r="147" spans="1:40" ht="21" customHeight="1" x14ac:dyDescent="0.15">
      <c r="A147" s="17" t="str">
        <f t="shared" ref="A147" ca="1" si="73">B147&amp;"_"&amp;C147&amp;"-"&amp;G147&amp;"/"&amp;L147&amp;"&lt;lv"&amp;R147&amp;"&gt;s"&amp;AA147</f>
        <v>11004_2-5/44&lt;lv18&gt;s2</v>
      </c>
      <c r="B147" s="8">
        <v>11004</v>
      </c>
      <c r="C147" s="25">
        <v>2</v>
      </c>
      <c r="D147" s="2" t="str">
        <f t="shared" ref="D147" si="74">B147&amp;"_"&amp;C147</f>
        <v>11004_2</v>
      </c>
      <c r="E147" s="5" t="str">
        <f ca="1">VLOOKUP($B147,OFFSET([2]quests!$A$1,0,0,COUNTA([2]quests!$A:$A),MATCH(E$1,[2]quests!$1:$1,0)-MATCH($B$1,[2]quests!$1:$1,0)+1),MATCH(E$1,[2]quests!$1:$1,0)-MATCH($B$1,[2]quests!$1:$1,0)+1,FALSE)</f>
        <v>【木曜限定】 緑の素材</v>
      </c>
      <c r="F147" s="5" t="str">
        <f ca="1">VLOOKUP($D147,OFFSET([2]stages!$A$1,0,0,COUNTA([2]stages!$A:$A),MATCH(F$1,[2]stages!$2:$2,0)-MATCH($D$1,[2]stages!$2:$2,0)+1),MATCH(F$1,[2]stages!$2:$2,0)-MATCH($D$1,[2]stages!$2:$2,0)+1,FALSE)</f>
        <v>【中級】樹のウサギ</v>
      </c>
      <c r="G147" s="25">
        <v>5</v>
      </c>
      <c r="H147" s="16" t="str">
        <f t="shared" si="69"/>
        <v>11004_2-5</v>
      </c>
      <c r="I147" s="5">
        <f ca="1">VLOOKUP($H147,OFFSET(floors!$A$1,0,0,COUNTA(floors!$A:$A),MATCH(I$1,floors!$1:$1,0)-MATCH($H$1,floors!$1:$1,0)+1),MATCH(I$1,floors!$1:$1,0)-MATCH($H$1,floors!$1:$1,0)+1,FALSE)</f>
        <v>50</v>
      </c>
      <c r="J147" s="5">
        <f ca="1">VLOOKUP($H147,OFFSET(floors!$A$1,0,0,COUNTA(floors!$A:$A),MATCH(J$1,floors!$1:$1,0)-MATCH($H$1,floors!$1:$1,0)+1),MATCH(J$1,floors!$1:$1,0)-MATCH($H$1,floors!$1:$1,0)+1,FALSE)</f>
        <v>50</v>
      </c>
      <c r="K147" s="24" t="s">
        <v>197</v>
      </c>
      <c r="L147" s="24">
        <v>44</v>
      </c>
      <c r="M147" s="20" t="str">
        <f ca="1">VLOOKUP($L147,OFFSET([3]enemies!$A$1,0,0,COUNTA([3]enemies!$A:$A),MATCH(M$1,[3]enemies!$1:$1,0)-MATCH($L$1,[3]enemies!$1:$1,0)+1),MATCH(M$1,[3]enemies!$1:$1,0)-MATCH($L$1,[3]enemies!$1:$1,0)+1,FALSE)</f>
        <v>遠い星からやってきたムゥ</v>
      </c>
      <c r="N147" s="20" t="str">
        <f ca="1">VLOOKUP($L147,OFFSET([3]enemies!$A$1,0,0,COUNTA([3]enemies!$A:$A),MATCH(N$1,[3]enemies!$1:$1,0)-MATCH($L$1,[3]enemies!$1:$1,0)+1),MATCH(N$1,[3]enemies!$1:$1,0)-MATCH($L$1,[3]enemies!$1:$1,0)+1,FALSE)</f>
        <v>green</v>
      </c>
      <c r="O147" s="22" t="str">
        <f ca="1">VLOOKUP($L147,OFFSET([4]characters!$A$1,0,0,COUNTA([4]characters!$A:$A),MATCH(O$1,[4]characters!$1:$1,0)-MATCH($L$1,[4]characters!$1:$1,0)+1),MATCH(O$1,[4]characters!$1:$1,0)-MATCH($L$1,[4]characters!$1:$1,0)+1,FALSE)</f>
        <v>Drop1N</v>
      </c>
      <c r="P147" s="20" t="str">
        <f ca="1">VLOOKUP($L147,OFFSET([3]enemies!$A$1,0,0,COUNTA([3]enemies!$A:$A),MATCH(P$1,[3]enemies!$1:$1,0)-MATCH($L$1,[3]enemies!$1:$1,0)+1),MATCH(P$1,[3]enemies!$1:$1,0)-MATCH($L$1,[3]enemies!$1:$1,0)+1,FALSE)</f>
        <v>dragon</v>
      </c>
      <c r="Q147" s="20">
        <f ca="1">VLOOKUP($L147,OFFSET([3]enemies!$A$1,0,0,COUNTA([3]enemies!$A:$A),MATCH(Q$1,[3]enemies!$1:$1,0)-MATCH($L$1,[3]enemies!$1:$1,0)+1),MATCH(Q$1,[3]enemies!$1:$1,0)-MATCH($L$1,[3]enemies!$1:$1,0)+1,FALSE)</f>
        <v>20</v>
      </c>
      <c r="R147" s="6">
        <v>18</v>
      </c>
      <c r="S147" s="39">
        <v>1</v>
      </c>
      <c r="T147" s="39">
        <v>1</v>
      </c>
      <c r="U147" s="6">
        <v>0</v>
      </c>
      <c r="V147" s="5" t="str">
        <f ca="1">VLOOKUP($W147,OFFSET([5]enemy_skill_sets!$B$1,0,0,COUNTA([5]enemy_skill_sets!$B:$B),MATCH(M$1,[5]enemy_skill_sets!$1:$1,0)-MATCH($W$1,[5]enemy_skill_sets!$1:$1,0)+2),MATCH(M$1,[5]enemy_skill_sets!$1:$1,0)-MATCH($W$1,[5]enemy_skill_sets!$1:$1,0)+2,FALSE)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7" s="5">
        <f ca="1">VLOOKUP($L147,OFFSET([3]enemies!$A$1,0,0,COUNTA([3]enemies!$A:$A),MATCH(W$1,[3]enemies!$1:$1,0)-MATCH($L$1,[3]enemies!$1:$1,0)+1),MATCH(W$1,[3]enemies!$1:$1,0)-MATCH($L$1,[3]enemies!$1:$1,0)+1,FALSE)</f>
        <v>0</v>
      </c>
      <c r="X147" s="7">
        <v>0</v>
      </c>
      <c r="Y147" s="7">
        <v>100</v>
      </c>
      <c r="Z147" s="7">
        <v>1</v>
      </c>
      <c r="AA147" s="20">
        <f ca="1">VLOOKUP($L147,OFFSET([3]enemies!$A$1,0,0,COUNTA([3]enemies!$A:$A),MATCH(AA$1,[3]enemies!$1:$1,0)-MATCH($L$1,[3]enemies!$1:$1,0)+1),MATCH(AA$1,[3]enemies!$1:$1,0)-MATCH($L$1,[3]enemies!$1:$1,0)+1,FALSE)</f>
        <v>2</v>
      </c>
      <c r="AB147" s="24">
        <v>43</v>
      </c>
      <c r="AC147" s="5" t="str">
        <f ca="1">IFERROR(VLOOKUP($AB147,OFFSET([4]characters!$A$1,0,0,COUNTA([4]characters!$A:$A),MATCH(AC$1,[4]characters!$1:$1,0)-MATCH("character_id",[4]characters!$1:$1,0)+1),MATCH(AC$1,[4]characters!$1:$1,0)-MATCH("character_id",[4]characters!$1:$1,0)+1,FALSE),"")</f>
        <v>ムゥ</v>
      </c>
      <c r="AD147" s="5">
        <f ca="1">IFERROR(VLOOKUP($AB147,OFFSET([4]characters!$A$1,0,0,COUNTA([4]characters!$A:$A),MATCH(AD$1,[4]characters!$1:$1,0)-MATCH("character_id",[4]characters!$1:$1,0)+1),MATCH(AD$1,[4]characters!$1:$1,0)-MATCH("character_id",[4]characters!$1:$1,0)+1,FALSE),"")</f>
        <v>2</v>
      </c>
      <c r="AE147" s="5" t="str">
        <f ca="1">IFERROR(VLOOKUP($AB147,OFFSET([4]characters!$A$1,0,0,COUNTA([4]characters!$A:$A),MATCH(AE$1,[4]characters!$1:$1,0)-MATCH("character_id",[4]characters!$1:$1,0)+1),MATCH(AE$1,[4]characters!$1:$1,0)-MATCH("character_id",[4]characters!$1:$1,0)+1,FALSE),"")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47" s="8">
        <v>1</v>
      </c>
      <c r="AG147" s="27">
        <f t="shared" ref="AG147" ca="1" si="75">AD147</f>
        <v>2</v>
      </c>
      <c r="AH147" s="9">
        <v>0</v>
      </c>
      <c r="AI147" s="8">
        <v>0</v>
      </c>
      <c r="AJ147" s="8">
        <v>0</v>
      </c>
      <c r="AK147" s="8">
        <v>0</v>
      </c>
      <c r="AL147" s="8">
        <v>0</v>
      </c>
      <c r="AM147" s="8">
        <v>1</v>
      </c>
      <c r="AN147" s="8">
        <v>1</v>
      </c>
    </row>
    <row r="148" spans="1:40" ht="21" customHeight="1" x14ac:dyDescent="0.15">
      <c r="A148" s="17" t="str">
        <f t="shared" ref="A148" ca="1" si="76">B148&amp;"_"&amp;C148&amp;"-"&amp;G148&amp;"/"&amp;L148&amp;"&lt;lv"&amp;R148&amp;"&gt;s"&amp;AA148</f>
        <v>11004_2-5/60&lt;lv18&gt;s2</v>
      </c>
      <c r="B148" s="8">
        <v>11004</v>
      </c>
      <c r="C148" s="25">
        <v>2</v>
      </c>
      <c r="D148" s="2" t="str">
        <f t="shared" ref="D148" si="77">B148&amp;"_"&amp;C148</f>
        <v>11004_2</v>
      </c>
      <c r="E148" s="5" t="str">
        <f ca="1">VLOOKUP($B148,OFFSET([2]quests!$A$1,0,0,COUNTA([2]quests!$A:$A),MATCH(E$1,[2]quests!$1:$1,0)-MATCH($B$1,[2]quests!$1:$1,0)+1),MATCH(E$1,[2]quests!$1:$1,0)-MATCH($B$1,[2]quests!$1:$1,0)+1,FALSE)</f>
        <v>【木曜限定】 緑の素材</v>
      </c>
      <c r="F148" s="5" t="str">
        <f ca="1">VLOOKUP($D148,OFFSET([2]stages!$A$1,0,0,COUNTA([2]stages!$A:$A),MATCH(F$1,[2]stages!$2:$2,0)-MATCH($D$1,[2]stages!$2:$2,0)+1),MATCH(F$1,[2]stages!$2:$2,0)-MATCH($D$1,[2]stages!$2:$2,0)+1,FALSE)</f>
        <v>【中級】樹のウサギ</v>
      </c>
      <c r="G148" s="25">
        <v>5</v>
      </c>
      <c r="H148" s="16" t="str">
        <f t="shared" si="69"/>
        <v>11004_2-5</v>
      </c>
      <c r="I148" s="5">
        <f ca="1">VLOOKUP($H148,OFFSET(floors!$A$1,0,0,COUNTA(floors!$A:$A),MATCH(I$1,floors!$1:$1,0)-MATCH($H$1,floors!$1:$1,0)+1),MATCH(I$1,floors!$1:$1,0)-MATCH($H$1,floors!$1:$1,0)+1,FALSE)</f>
        <v>50</v>
      </c>
      <c r="J148" s="5">
        <f ca="1">VLOOKUP($H148,OFFSET(floors!$A$1,0,0,COUNTA(floors!$A:$A),MATCH(J$1,floors!$1:$1,0)-MATCH($H$1,floors!$1:$1,0)+1),MATCH(J$1,floors!$1:$1,0)-MATCH($H$1,floors!$1:$1,0)+1,FALSE)</f>
        <v>50</v>
      </c>
      <c r="K148" s="24" t="s">
        <v>197</v>
      </c>
      <c r="L148" s="24">
        <v>60</v>
      </c>
      <c r="M148" s="20" t="str">
        <f ca="1">VLOOKUP($L148,OFFSET([3]enemies!$A$1,0,0,COUNTA([3]enemies!$A:$A),MATCH(M$1,[3]enemies!$1:$1,0)-MATCH($L$1,[3]enemies!$1:$1,0)+1),MATCH(M$1,[3]enemies!$1:$1,0)-MATCH($L$1,[3]enemies!$1:$1,0)+1,FALSE)</f>
        <v>おでかけマーチ</v>
      </c>
      <c r="N148" s="20" t="str">
        <f ca="1">VLOOKUP($L148,OFFSET([3]enemies!$A$1,0,0,COUNTA([3]enemies!$A:$A),MATCH(N$1,[3]enemies!$1:$1,0)-MATCH($L$1,[3]enemies!$1:$1,0)+1),MATCH(N$1,[3]enemies!$1:$1,0)-MATCH($L$1,[3]enemies!$1:$1,0)+1,FALSE)</f>
        <v>green</v>
      </c>
      <c r="O148" s="22" t="str">
        <f ca="1">VLOOKUP($L148,OFFSET([4]characters!$A$1,0,0,COUNTA([4]characters!$A:$A),MATCH(O$1,[4]characters!$1:$1,0)-MATCH($L$1,[4]characters!$1:$1,0)+1),MATCH(O$1,[4]characters!$1:$1,0)-MATCH($L$1,[4]characters!$1:$1,0)+1,FALSE)</f>
        <v>Drop1N</v>
      </c>
      <c r="P148" s="20" t="str">
        <f ca="1">VLOOKUP($L148,OFFSET([3]enemies!$A$1,0,0,COUNTA([3]enemies!$A:$A),MATCH(P$1,[3]enemies!$1:$1,0)-MATCH($L$1,[3]enemies!$1:$1,0)+1),MATCH(P$1,[3]enemies!$1:$1,0)-MATCH($L$1,[3]enemies!$1:$1,0)+1,FALSE)</f>
        <v>animal</v>
      </c>
      <c r="Q148" s="20">
        <f ca="1">VLOOKUP($L148,OFFSET([3]enemies!$A$1,0,0,COUNTA([3]enemies!$A:$A),MATCH(Q$1,[3]enemies!$1:$1,0)-MATCH($L$1,[3]enemies!$1:$1,0)+1),MATCH(Q$1,[3]enemies!$1:$1,0)-MATCH($L$1,[3]enemies!$1:$1,0)+1,FALSE)</f>
        <v>20</v>
      </c>
      <c r="R148" s="6">
        <v>18</v>
      </c>
      <c r="S148" s="39">
        <v>1</v>
      </c>
      <c r="T148" s="39">
        <v>1</v>
      </c>
      <c r="U148" s="6">
        <v>0</v>
      </c>
      <c r="V148" s="5" t="str">
        <f ca="1">VLOOKUP($W148,OFFSET([5]enemy_skill_sets!$B$1,0,0,COUNTA([5]enemy_skill_sets!$B:$B),MATCH(M$1,[5]enemy_skill_sets!$1:$1,0)-MATCH($W$1,[5]enemy_skill_sets!$1:$1,0)+2),MATCH(M$1,[5]enemy_skill_sets!$1:$1,0)-MATCH($W$1,[5]enemy_skill_sets!$1:$1,0)+2,FALSE)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8" s="5">
        <f ca="1">VLOOKUP($L148,OFFSET([3]enemies!$A$1,0,0,COUNTA([3]enemies!$A:$A),MATCH(W$1,[3]enemies!$1:$1,0)-MATCH($L$1,[3]enemies!$1:$1,0)+1),MATCH(W$1,[3]enemies!$1:$1,0)-MATCH($L$1,[3]enemies!$1:$1,0)+1,FALSE)</f>
        <v>0</v>
      </c>
      <c r="X148" s="7">
        <v>0</v>
      </c>
      <c r="Y148" s="7">
        <v>100</v>
      </c>
      <c r="Z148" s="7">
        <v>1</v>
      </c>
      <c r="AA148" s="20">
        <f ca="1">VLOOKUP($L148,OFFSET([3]enemies!$A$1,0,0,COUNTA([3]enemies!$A:$A),MATCH(AA$1,[3]enemies!$1:$1,0)-MATCH($L$1,[3]enemies!$1:$1,0)+1),MATCH(AA$1,[3]enemies!$1:$1,0)-MATCH($L$1,[3]enemies!$1:$1,0)+1,FALSE)</f>
        <v>2</v>
      </c>
      <c r="AB148" s="24">
        <v>59</v>
      </c>
      <c r="AC148" s="5" t="str">
        <f ca="1">IFERROR(VLOOKUP($AB148,OFFSET([4]characters!$A$1,0,0,COUNTA([4]characters!$A:$A),MATCH(AC$1,[4]characters!$1:$1,0)-MATCH("character_id",[4]characters!$1:$1,0)+1),MATCH(AC$1,[4]characters!$1:$1,0)-MATCH("character_id",[4]characters!$1:$1,0)+1,FALSE),"")</f>
        <v>マーチ</v>
      </c>
      <c r="AD148" s="5">
        <f ca="1">IFERROR(VLOOKUP($AB148,OFFSET([4]characters!$A$1,0,0,COUNTA([4]characters!$A:$A),MATCH(AD$1,[4]characters!$1:$1,0)-MATCH("character_id",[4]characters!$1:$1,0)+1),MATCH(AD$1,[4]characters!$1:$1,0)-MATCH("character_id",[4]characters!$1:$1,0)+1,FALSE),"")</f>
        <v>2</v>
      </c>
      <c r="AE148" s="5" t="str">
        <f ca="1">IFERROR(VLOOKUP($AB148,OFFSET([4]characters!$A$1,0,0,COUNTA([4]characters!$A:$A),MATCH(AE$1,[4]characters!$1:$1,0)-MATCH("character_id",[4]characters!$1:$1,0)+1),MATCH(AE$1,[4]characters!$1:$1,0)-MATCH("character_id",[4]characters!$1:$1,0)+1,FALSE),"")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48" s="8">
        <v>1</v>
      </c>
      <c r="AG148" s="27">
        <f t="shared" ref="AG148" ca="1" si="78">AD148</f>
        <v>2</v>
      </c>
      <c r="AH148" s="9">
        <v>0</v>
      </c>
      <c r="AI148" s="8">
        <v>0</v>
      </c>
      <c r="AJ148" s="8">
        <v>0</v>
      </c>
      <c r="AK148" s="8">
        <v>0</v>
      </c>
      <c r="AL148" s="8">
        <v>0</v>
      </c>
      <c r="AM148" s="8">
        <v>1</v>
      </c>
      <c r="AN148" s="8">
        <v>1</v>
      </c>
    </row>
    <row r="149" spans="1:40" ht="21" customHeight="1" x14ac:dyDescent="0.15">
      <c r="A149" s="17" t="str">
        <f t="shared" ca="1" si="70"/>
        <v>11004_3-1/107&lt;lv30&gt;s1</v>
      </c>
      <c r="B149" s="8">
        <v>11004</v>
      </c>
      <c r="C149" s="25">
        <v>3</v>
      </c>
      <c r="D149" s="2" t="str">
        <f t="shared" si="71"/>
        <v>11004_3</v>
      </c>
      <c r="E149" s="5" t="str">
        <f ca="1">VLOOKUP($B149,OFFSET([2]quests!$A$1,0,0,COUNTA([2]quests!$A:$A),MATCH(E$1,[2]quests!$1:$1,0)-MATCH($B$1,[2]quests!$1:$1,0)+1),MATCH(E$1,[2]quests!$1:$1,0)-MATCH($B$1,[2]quests!$1:$1,0)+1,FALSE)</f>
        <v>【木曜限定】 緑の素材</v>
      </c>
      <c r="F149" s="5" t="str">
        <f ca="1">VLOOKUP($D149,OFFSET([2]stages!$A$1,0,0,COUNTA([2]stages!$A:$A),MATCH(F$1,[2]stages!$2:$2,0)-MATCH($D$1,[2]stages!$2:$2,0)+1),MATCH(F$1,[2]stages!$2:$2,0)-MATCH($D$1,[2]stages!$2:$2,0)+1,FALSE)</f>
        <v xml:space="preserve">【上級】樹のイモムシ </v>
      </c>
      <c r="G149" s="25">
        <v>1</v>
      </c>
      <c r="H149" s="16" t="str">
        <f t="shared" si="69"/>
        <v>11004_3-1</v>
      </c>
      <c r="I149" s="5">
        <f ca="1">VLOOKUP($H149,OFFSET(floors!$A$1,0,0,COUNTA(floors!$A:$A),MATCH(I$1,floors!$1:$1,0)-MATCH($H$1,floors!$1:$1,0)+1),MATCH(I$1,floors!$1:$1,0)-MATCH($H$1,floors!$1:$1,0)+1,FALSE)</f>
        <v>30</v>
      </c>
      <c r="J149" s="5">
        <f ca="1">VLOOKUP($H149,OFFSET(floors!$A$1,0,0,COUNTA(floors!$A:$A),MATCH(J$1,floors!$1:$1,0)-MATCH($H$1,floors!$1:$1,0)+1),MATCH(J$1,floors!$1:$1,0)-MATCH($H$1,floors!$1:$1,0)+1,FALSE)</f>
        <v>45</v>
      </c>
      <c r="K149" s="24" t="s">
        <v>197</v>
      </c>
      <c r="L149" s="24">
        <v>107</v>
      </c>
      <c r="M149" s="20" t="str">
        <f ca="1">VLOOKUP($L149,OFFSET([3]enemies!$A$1,0,0,COUNTA([3]enemies!$A:$A),MATCH(M$1,[3]enemies!$1:$1,0)-MATCH($L$1,[3]enemies!$1:$1,0)+1),MATCH(M$1,[3]enemies!$1:$1,0)-MATCH($L$1,[3]enemies!$1:$1,0)+1,FALSE)</f>
        <v>グリーンキャタップ</v>
      </c>
      <c r="N149" s="20" t="str">
        <f ca="1">VLOOKUP($L149,OFFSET([3]enemies!$A$1,0,0,COUNTA([3]enemies!$A:$A),MATCH(N$1,[3]enemies!$1:$1,0)-MATCH($L$1,[3]enemies!$1:$1,0)+1),MATCH(N$1,[3]enemies!$1:$1,0)-MATCH($L$1,[3]enemies!$1:$1,0)+1,FALSE)</f>
        <v>green</v>
      </c>
      <c r="O149" s="22" t="str">
        <f ca="1">VLOOKUP($L149,OFFSET([4]characters!$A$1,0,0,COUNTA([4]characters!$A:$A),MATCH(O$1,[4]characters!$1:$1,0)-MATCH($L$1,[4]characters!$1:$1,0)+1),MATCH(O$1,[4]characters!$1:$1,0)-MATCH($L$1,[4]characters!$1:$1,0)+1,FALSE)</f>
        <v>Material</v>
      </c>
      <c r="P149" s="20" t="str">
        <f ca="1">VLOOKUP($L149,OFFSET([3]enemies!$A$1,0,0,COUNTA([3]enemies!$A:$A),MATCH(P$1,[3]enemies!$1:$1,0)-MATCH($L$1,[3]enemies!$1:$1,0)+1),MATCH(P$1,[3]enemies!$1:$1,0)-MATCH($L$1,[3]enemies!$1:$1,0)+1,FALSE)</f>
        <v>unknown</v>
      </c>
      <c r="Q149" s="20">
        <f ca="1">VLOOKUP($L149,OFFSET([3]enemies!$A$1,0,0,COUNTA([3]enemies!$A:$A),MATCH(Q$1,[3]enemies!$1:$1,0)-MATCH($L$1,[3]enemies!$1:$1,0)+1),MATCH(Q$1,[3]enemies!$1:$1,0)-MATCH($L$1,[3]enemies!$1:$1,0)+1,FALSE)</f>
        <v>15</v>
      </c>
      <c r="R149" s="6">
        <v>30</v>
      </c>
      <c r="S149" s="39">
        <v>2</v>
      </c>
      <c r="T149" s="39">
        <v>1</v>
      </c>
      <c r="U149" s="6">
        <v>0</v>
      </c>
      <c r="V149" s="5" t="str">
        <f ca="1">VLOOKUP($W149,OFFSET([5]enemy_skill_sets!$B$1,0,0,COUNTA([5]enemy_skill_sets!$B:$B),MATCH(M$1,[5]enemy_skill_sets!$1:$1,0)-MATCH($W$1,[5]enemy_skill_sets!$1:$1,0)+2),MATCH(M$1,[5]enemy_skill_sets!$1:$1,0)-MATCH($W$1,[5]enemy_skill_sets!$1:$1,0)+2,FALSE)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9" s="5">
        <f ca="1">VLOOKUP($L149,OFFSET([3]enemies!$A$1,0,0,COUNTA([3]enemies!$A:$A),MATCH(W$1,[3]enemies!$1:$1,0)-MATCH($L$1,[3]enemies!$1:$1,0)+1),MATCH(W$1,[3]enemies!$1:$1,0)-MATCH($L$1,[3]enemies!$1:$1,0)+1,FALSE)</f>
        <v>0</v>
      </c>
      <c r="X149" s="7">
        <v>1</v>
      </c>
      <c r="Y149" s="7">
        <v>100</v>
      </c>
      <c r="Z149" s="7">
        <v>1</v>
      </c>
      <c r="AA149" s="20">
        <f ca="1">VLOOKUP($L149,OFFSET([3]enemies!$A$1,0,0,COUNTA([3]enemies!$A:$A),MATCH(AA$1,[3]enemies!$1:$1,0)-MATCH($L$1,[3]enemies!$1:$1,0)+1),MATCH(AA$1,[3]enemies!$1:$1,0)-MATCH($L$1,[3]enemies!$1:$1,0)+1,FALSE)</f>
        <v>1</v>
      </c>
      <c r="AB149" s="24">
        <v>107</v>
      </c>
      <c r="AC149" s="5" t="str">
        <f ca="1">IFERROR(VLOOKUP($AB149,OFFSET([4]characters!$A$1,0,0,COUNTA([4]characters!$A:$A),MATCH(AC$1,[4]characters!$1:$1,0)-MATCH("character_id",[4]characters!$1:$1,0)+1),MATCH(AC$1,[4]characters!$1:$1,0)-MATCH("character_id",[4]characters!$1:$1,0)+1,FALSE),"")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49" s="5">
        <f ca="1">IFERROR(VLOOKUP($AB149,OFFSET([4]characters!$A$1,0,0,COUNTA([4]characters!$A:$A),MATCH(AD$1,[4]characters!$1:$1,0)-MATCH("character_id",[4]characters!$1:$1,0)+1),MATCH(AD$1,[4]characters!$1:$1,0)-MATCH("character_id",[4]characters!$1:$1,0)+1,FALSE),"")</f>
        <v>4</v>
      </c>
      <c r="AE149" s="5" t="str">
        <f ca="1">IFERROR(VLOOKUP($AB149,OFFSET([4]characters!$A$1,0,0,COUNTA([4]characters!$A:$A),MATCH(AE$1,[4]characters!$1:$1,0)-MATCH("character_id",[4]characters!$1:$1,0)+1),MATCH(AE$1,[4]characters!$1:$1,0)-MATCH("character_id",[4]characters!$1:$1,0)+1,FALSE),"")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9" s="8">
        <v>1</v>
      </c>
      <c r="AG149" s="27">
        <f t="shared" ca="1" si="72"/>
        <v>4</v>
      </c>
      <c r="AH149" s="9">
        <v>10</v>
      </c>
      <c r="AI149" s="8">
        <v>0</v>
      </c>
      <c r="AJ149" s="8">
        <v>0</v>
      </c>
      <c r="AK149" s="8">
        <v>0</v>
      </c>
      <c r="AL149" s="8">
        <v>0</v>
      </c>
      <c r="AM149" s="8">
        <v>1</v>
      </c>
      <c r="AN149" s="8">
        <v>1</v>
      </c>
    </row>
    <row r="150" spans="1:40" ht="21" customHeight="1" x14ac:dyDescent="0.15">
      <c r="A150" s="17" t="str">
        <f t="shared" ca="1" si="70"/>
        <v>11004_3-1/35&lt;lv35&gt;s4</v>
      </c>
      <c r="B150" s="8">
        <v>11004</v>
      </c>
      <c r="C150" s="25">
        <v>3</v>
      </c>
      <c r="D150" s="2" t="str">
        <f t="shared" si="71"/>
        <v>11004_3</v>
      </c>
      <c r="E150" s="5" t="str">
        <f ca="1">VLOOKUP($B150,OFFSET([2]quests!$A$1,0,0,COUNTA([2]quests!$A:$A),MATCH(E$1,[2]quests!$1:$1,0)-MATCH($B$1,[2]quests!$1:$1,0)+1),MATCH(E$1,[2]quests!$1:$1,0)-MATCH($B$1,[2]quests!$1:$1,0)+1,FALSE)</f>
        <v>【木曜限定】 緑の素材</v>
      </c>
      <c r="F150" s="5" t="str">
        <f ca="1">VLOOKUP($D150,OFFSET([2]stages!$A$1,0,0,COUNTA([2]stages!$A:$A),MATCH(F$1,[2]stages!$2:$2,0)-MATCH($D$1,[2]stages!$2:$2,0)+1),MATCH(F$1,[2]stages!$2:$2,0)-MATCH($D$1,[2]stages!$2:$2,0)+1,FALSE)</f>
        <v xml:space="preserve">【上級】樹のイモムシ </v>
      </c>
      <c r="G150" s="25">
        <v>1</v>
      </c>
      <c r="H150" s="16" t="str">
        <f t="shared" si="69"/>
        <v>11004_3-1</v>
      </c>
      <c r="I150" s="5">
        <f ca="1">VLOOKUP($H150,OFFSET(floors!$A$1,0,0,COUNTA(floors!$A:$A),MATCH(I$1,floors!$1:$1,0)-MATCH($H$1,floors!$1:$1,0)+1),MATCH(I$1,floors!$1:$1,0)-MATCH($H$1,floors!$1:$1,0)+1,FALSE)</f>
        <v>30</v>
      </c>
      <c r="J150" s="5">
        <f ca="1">VLOOKUP($H150,OFFSET(floors!$A$1,0,0,COUNTA(floors!$A:$A),MATCH(J$1,floors!$1:$1,0)-MATCH($H$1,floors!$1:$1,0)+1),MATCH(J$1,floors!$1:$1,0)-MATCH($H$1,floors!$1:$1,0)+1,FALSE)</f>
        <v>45</v>
      </c>
      <c r="K150" s="24" t="s">
        <v>197</v>
      </c>
      <c r="L150" s="24">
        <v>35</v>
      </c>
      <c r="M150" s="20" t="str">
        <f ca="1">VLOOKUP($L150,OFFSET([3]enemies!$A$1,0,0,COUNTA([3]enemies!$A:$A),MATCH(M$1,[3]enemies!$1:$1,0)-MATCH($L$1,[3]enemies!$1:$1,0)+1),MATCH(M$1,[3]enemies!$1:$1,0)-MATCH($L$1,[3]enemies!$1:$1,0)+1,FALSE)</f>
        <v>F2</v>
      </c>
      <c r="N150" s="20" t="str">
        <f ca="1">VLOOKUP($L150,OFFSET([3]enemies!$A$1,0,0,COUNTA([3]enemies!$A:$A),MATCH(N$1,[3]enemies!$1:$1,0)-MATCH($L$1,[3]enemies!$1:$1,0)+1),MATCH(N$1,[3]enemies!$1:$1,0)-MATCH($L$1,[3]enemies!$1:$1,0)+1,FALSE)</f>
        <v>green</v>
      </c>
      <c r="O150" s="22" t="str">
        <f ca="1">VLOOKUP($L150,OFFSET([4]characters!$A$1,0,0,COUNTA([4]characters!$A:$A),MATCH(O$1,[4]characters!$1:$1,0)-MATCH($L$1,[4]characters!$1:$1,0)+1),MATCH(O$1,[4]characters!$1:$1,0)-MATCH($L$1,[4]characters!$1:$1,0)+1,FALSE)</f>
        <v>Drop1S</v>
      </c>
      <c r="P150" s="20" t="str">
        <f ca="1">VLOOKUP($L150,OFFSET([3]enemies!$A$1,0,0,COUNTA([3]enemies!$A:$A),MATCH(P$1,[3]enemies!$1:$1,0)-MATCH($L$1,[3]enemies!$1:$1,0)+1),MATCH(P$1,[3]enemies!$1:$1,0)-MATCH($L$1,[3]enemies!$1:$1,0)+1,FALSE)</f>
        <v>machine</v>
      </c>
      <c r="Q150" s="20">
        <f ca="1">VLOOKUP($L150,OFFSET([3]enemies!$A$1,0,0,COUNTA([3]enemies!$A:$A),MATCH(Q$1,[3]enemies!$1:$1,0)-MATCH($L$1,[3]enemies!$1:$1,0)+1),MATCH(Q$1,[3]enemies!$1:$1,0)-MATCH($L$1,[3]enemies!$1:$1,0)+1,FALSE)</f>
        <v>15</v>
      </c>
      <c r="R150" s="6">
        <v>35</v>
      </c>
      <c r="S150" s="39">
        <v>1</v>
      </c>
      <c r="T150" s="39">
        <v>1</v>
      </c>
      <c r="U150" s="6">
        <v>0</v>
      </c>
      <c r="V150" s="5" t="str">
        <f ca="1">VLOOKUP($W150,OFFSET([5]enemy_skill_sets!$B$1,0,0,COUNTA([5]enemy_skill_sets!$B:$B),MATCH(M$1,[5]enemy_skill_sets!$1:$1,0)-MATCH($W$1,[5]enemy_skill_sets!$1:$1,0)+2),MATCH(M$1,[5]enemy_skill_sets!$1:$1,0)-MATCH($W$1,[5]enemy_skill_sets!$1:$1,0)+2,FALSE)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50" s="5">
        <f ca="1">VLOOKUP($L150,OFFSET([3]enemies!$A$1,0,0,COUNTA([3]enemies!$A:$A),MATCH(W$1,[3]enemies!$1:$1,0)-MATCH($L$1,[3]enemies!$1:$1,0)+1),MATCH(W$1,[3]enemies!$1:$1,0)-MATCH($L$1,[3]enemies!$1:$1,0)+1,FALSE)</f>
        <v>35</v>
      </c>
      <c r="X150" s="7">
        <v>0</v>
      </c>
      <c r="Y150" s="7">
        <v>100</v>
      </c>
      <c r="Z150" s="7">
        <v>0</v>
      </c>
      <c r="AA150" s="20">
        <f ca="1">VLOOKUP($L150,OFFSET([3]enemies!$A$1,0,0,COUNTA([3]enemies!$A:$A),MATCH(AA$1,[3]enemies!$1:$1,0)-MATCH($L$1,[3]enemies!$1:$1,0)+1),MATCH(AA$1,[3]enemies!$1:$1,0)-MATCH($L$1,[3]enemies!$1:$1,0)+1,FALSE)</f>
        <v>4</v>
      </c>
      <c r="AB150" s="24">
        <v>35</v>
      </c>
      <c r="AC150" s="5" t="str">
        <f ca="1">IFERROR(VLOOKUP($AB150,OFFSET([4]characters!$A$1,0,0,COUNTA([4]characters!$A:$A),MATCH(AC$1,[4]characters!$1:$1,0)-MATCH("character_id",[4]characters!$1:$1,0)+1),MATCH(AC$1,[4]characters!$1:$1,0)-MATCH("character_id",[4]characters!$1:$1,0)+1,FALSE),"")</f>
        <v>F2</v>
      </c>
      <c r="AD150" s="5">
        <f ca="1">IFERROR(VLOOKUP($AB150,OFFSET([4]characters!$A$1,0,0,COUNTA([4]characters!$A:$A),MATCH(AD$1,[4]characters!$1:$1,0)-MATCH("character_id",[4]characters!$1:$1,0)+1),MATCH(AD$1,[4]characters!$1:$1,0)-MATCH("character_id",[4]characters!$1:$1,0)+1,FALSE),"")</f>
        <v>2</v>
      </c>
      <c r="AE150" s="5" t="str">
        <f ca="1">IFERROR(VLOOKUP($AB150,OFFSET([4]characters!$A$1,0,0,COUNTA([4]characters!$A:$A),MATCH(AE$1,[4]characters!$1:$1,0)-MATCH("character_id",[4]characters!$1:$1,0)+1),MATCH(AE$1,[4]characters!$1:$1,0)-MATCH("character_id",[4]characters!$1:$1,0)+1,FALSE),"")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50" s="8">
        <v>1</v>
      </c>
      <c r="AG150" s="27">
        <f t="shared" ca="1" si="72"/>
        <v>2</v>
      </c>
      <c r="AH150" s="9">
        <v>0</v>
      </c>
      <c r="AI150" s="8">
        <v>0</v>
      </c>
      <c r="AJ150" s="8">
        <v>0</v>
      </c>
      <c r="AK150" s="8">
        <v>0</v>
      </c>
      <c r="AL150" s="8">
        <v>0</v>
      </c>
      <c r="AM150" s="8">
        <v>1</v>
      </c>
      <c r="AN150" s="8">
        <v>1</v>
      </c>
    </row>
    <row r="151" spans="1:40" ht="21" customHeight="1" x14ac:dyDescent="0.15">
      <c r="A151" s="17" t="str">
        <f t="shared" ca="1" si="70"/>
        <v>11004_3-1/27&lt;lv35&gt;s1</v>
      </c>
      <c r="B151" s="8">
        <v>11004</v>
      </c>
      <c r="C151" s="25">
        <v>3</v>
      </c>
      <c r="D151" s="2" t="str">
        <f t="shared" si="71"/>
        <v>11004_3</v>
      </c>
      <c r="E151" s="5" t="str">
        <f ca="1">VLOOKUP($B151,OFFSET([2]quests!$A$1,0,0,COUNTA([2]quests!$A:$A),MATCH(E$1,[2]quests!$1:$1,0)-MATCH($B$1,[2]quests!$1:$1,0)+1),MATCH(E$1,[2]quests!$1:$1,0)-MATCH($B$1,[2]quests!$1:$1,0)+1,FALSE)</f>
        <v>【木曜限定】 緑の素材</v>
      </c>
      <c r="F151" s="5" t="str">
        <f ca="1">VLOOKUP($D151,OFFSET([2]stages!$A$1,0,0,COUNTA([2]stages!$A:$A),MATCH(F$1,[2]stages!$2:$2,0)-MATCH($D$1,[2]stages!$2:$2,0)+1),MATCH(F$1,[2]stages!$2:$2,0)-MATCH($D$1,[2]stages!$2:$2,0)+1,FALSE)</f>
        <v xml:space="preserve">【上級】樹のイモムシ </v>
      </c>
      <c r="G151" s="25">
        <v>1</v>
      </c>
      <c r="H151" s="16" t="str">
        <f t="shared" si="69"/>
        <v>11004_3-1</v>
      </c>
      <c r="I151" s="5">
        <f ca="1">VLOOKUP($H151,OFFSET(floors!$A$1,0,0,COUNTA(floors!$A:$A),MATCH(I$1,floors!$1:$1,0)-MATCH($H$1,floors!$1:$1,0)+1),MATCH(I$1,floors!$1:$1,0)-MATCH($H$1,floors!$1:$1,0)+1,FALSE)</f>
        <v>30</v>
      </c>
      <c r="J151" s="5">
        <f ca="1">VLOOKUP($H151,OFFSET(floors!$A$1,0,0,COUNTA(floors!$A:$A),MATCH(J$1,floors!$1:$1,0)-MATCH($H$1,floors!$1:$1,0)+1),MATCH(J$1,floors!$1:$1,0)-MATCH($H$1,floors!$1:$1,0)+1,FALSE)</f>
        <v>45</v>
      </c>
      <c r="K151" s="24" t="s">
        <v>197</v>
      </c>
      <c r="L151" s="24">
        <v>27</v>
      </c>
      <c r="M151" s="20" t="str">
        <f ca="1">VLOOKUP($L151,OFFSET([3]enemies!$A$1,0,0,COUNTA([3]enemies!$A:$A),MATCH(M$1,[3]enemies!$1:$1,0)-MATCH($L$1,[3]enemies!$1:$1,0)+1),MATCH(M$1,[3]enemies!$1:$1,0)-MATCH($L$1,[3]enemies!$1:$1,0)+1,FALSE)</f>
        <v>パトライン</v>
      </c>
      <c r="N151" s="20" t="str">
        <f ca="1">VLOOKUP($L151,OFFSET([3]enemies!$A$1,0,0,COUNTA([3]enemies!$A:$A),MATCH(N$1,[3]enemies!$1:$1,0)-MATCH($L$1,[3]enemies!$1:$1,0)+1),MATCH(N$1,[3]enemies!$1:$1,0)-MATCH($L$1,[3]enemies!$1:$1,0)+1,FALSE)</f>
        <v>green</v>
      </c>
      <c r="O151" s="22" t="str">
        <f ca="1">VLOOKUP($L151,OFFSET([4]characters!$A$1,0,0,COUNTA([4]characters!$A:$A),MATCH(O$1,[4]characters!$1:$1,0)-MATCH($L$1,[4]characters!$1:$1,0)+1),MATCH(O$1,[4]characters!$1:$1,0)-MATCH($L$1,[4]characters!$1:$1,0)+1,FALSE)</f>
        <v>Drop1N</v>
      </c>
      <c r="P151" s="20" t="str">
        <f ca="1">VLOOKUP($L151,OFFSET([3]enemies!$A$1,0,0,COUNTA([3]enemies!$A:$A),MATCH(P$1,[3]enemies!$1:$1,0)-MATCH($L$1,[3]enemies!$1:$1,0)+1),MATCH(P$1,[3]enemies!$1:$1,0)-MATCH($L$1,[3]enemies!$1:$1,0)+1,FALSE)</f>
        <v>machine</v>
      </c>
      <c r="Q151" s="20">
        <f ca="1">VLOOKUP($L151,OFFSET([3]enemies!$A$1,0,0,COUNTA([3]enemies!$A:$A),MATCH(Q$1,[3]enemies!$1:$1,0)-MATCH($L$1,[3]enemies!$1:$1,0)+1),MATCH(Q$1,[3]enemies!$1:$1,0)-MATCH($L$1,[3]enemies!$1:$1,0)+1,FALSE)</f>
        <v>15</v>
      </c>
      <c r="R151" s="6">
        <v>35</v>
      </c>
      <c r="S151" s="39">
        <v>1</v>
      </c>
      <c r="T151" s="39">
        <v>1</v>
      </c>
      <c r="U151" s="6">
        <v>0</v>
      </c>
      <c r="V151" s="5" t="str">
        <f ca="1">VLOOKUP($W151,OFFSET([5]enemy_skill_sets!$B$1,0,0,COUNTA([5]enemy_skill_sets!$B:$B),MATCH(M$1,[5]enemy_skill_sets!$1:$1,0)-MATCH($W$1,[5]enemy_skill_sets!$1:$1,0)+2),MATCH(M$1,[5]enemy_skill_sets!$1:$1,0)-MATCH($W$1,[5]enemy_skill_sets!$1:$1,0)+2,FALSE)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1" s="5">
        <f ca="1">VLOOKUP($L151,OFFSET([3]enemies!$A$1,0,0,COUNTA([3]enemies!$A:$A),MATCH(W$1,[3]enemies!$1:$1,0)-MATCH($L$1,[3]enemies!$1:$1,0)+1),MATCH(W$1,[3]enemies!$1:$1,0)-MATCH($L$1,[3]enemies!$1:$1,0)+1,FALSE)</f>
        <v>0</v>
      </c>
      <c r="X151" s="7">
        <v>0</v>
      </c>
      <c r="Y151" s="7">
        <v>100</v>
      </c>
      <c r="Z151" s="7">
        <v>0</v>
      </c>
      <c r="AA151" s="20">
        <f ca="1">VLOOKUP($L151,OFFSET([3]enemies!$A$1,0,0,COUNTA([3]enemies!$A:$A),MATCH(AA$1,[3]enemies!$1:$1,0)-MATCH($L$1,[3]enemies!$1:$1,0)+1),MATCH(AA$1,[3]enemies!$1:$1,0)-MATCH($L$1,[3]enemies!$1:$1,0)+1,FALSE)</f>
        <v>1</v>
      </c>
      <c r="AB151" s="24">
        <v>27</v>
      </c>
      <c r="AC151" s="5" t="str">
        <f ca="1">IFERROR(VLOOKUP($AB151,OFFSET([4]characters!$A$1,0,0,COUNTA([4]characters!$A:$A),MATCH(AC$1,[4]characters!$1:$1,0)-MATCH("character_id",[4]characters!$1:$1,0)+1),MATCH(AC$1,[4]characters!$1:$1,0)-MATCH("character_id",[4]characters!$1:$1,0)+1,FALSE),"")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51" s="5">
        <f ca="1">IFERROR(VLOOKUP($AB151,OFFSET([4]characters!$A$1,0,0,COUNTA([4]characters!$A:$A),MATCH(AD$1,[4]characters!$1:$1,0)-MATCH("character_id",[4]characters!$1:$1,0)+1),MATCH(AD$1,[4]characters!$1:$1,0)-MATCH("character_id",[4]characters!$1:$1,0)+1,FALSE),"")</f>
        <v>1</v>
      </c>
      <c r="AE151" s="5" t="str">
        <f ca="1">IFERROR(VLOOKUP($AB151,OFFSET([4]characters!$A$1,0,0,COUNTA([4]characters!$A:$A),MATCH(AE$1,[4]characters!$1:$1,0)-MATCH("character_id",[4]characters!$1:$1,0)+1),MATCH(AE$1,[4]characters!$1:$1,0)-MATCH("character_id",[4]characters!$1:$1,0)+1,FALSE),"")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51" s="8">
        <v>1</v>
      </c>
      <c r="AG151" s="27">
        <f t="shared" ca="1" si="72"/>
        <v>1</v>
      </c>
      <c r="AH151" s="9">
        <v>0</v>
      </c>
      <c r="AI151" s="8">
        <v>0</v>
      </c>
      <c r="AJ151" s="8">
        <v>0</v>
      </c>
      <c r="AK151" s="8">
        <v>0</v>
      </c>
      <c r="AL151" s="8">
        <v>0</v>
      </c>
      <c r="AM151" s="8">
        <v>1</v>
      </c>
      <c r="AN151" s="8">
        <v>1</v>
      </c>
    </row>
    <row r="152" spans="1:40" ht="21" customHeight="1" x14ac:dyDescent="0.15">
      <c r="A152" s="17" t="str">
        <f t="shared" ca="1" si="70"/>
        <v>11004_3-1/336&lt;lv1&gt;s1</v>
      </c>
      <c r="B152" s="8">
        <v>11004</v>
      </c>
      <c r="C152" s="25">
        <v>3</v>
      </c>
      <c r="D152" s="2" t="str">
        <f t="shared" si="71"/>
        <v>11004_3</v>
      </c>
      <c r="E152" s="5" t="str">
        <f ca="1">VLOOKUP($B152,OFFSET([2]quests!$A$1,0,0,COUNTA([2]quests!$A:$A),MATCH(E$1,[2]quests!$1:$1,0)-MATCH($B$1,[2]quests!$1:$1,0)+1),MATCH(E$1,[2]quests!$1:$1,0)-MATCH($B$1,[2]quests!$1:$1,0)+1,FALSE)</f>
        <v>【木曜限定】 緑の素材</v>
      </c>
      <c r="F152" s="5" t="str">
        <f ca="1">VLOOKUP($D152,OFFSET([2]stages!$A$1,0,0,COUNTA([2]stages!$A:$A),MATCH(F$1,[2]stages!$2:$2,0)-MATCH($D$1,[2]stages!$2:$2,0)+1),MATCH(F$1,[2]stages!$2:$2,0)-MATCH($D$1,[2]stages!$2:$2,0)+1,FALSE)</f>
        <v xml:space="preserve">【上級】樹のイモムシ </v>
      </c>
      <c r="G152" s="25">
        <v>1</v>
      </c>
      <c r="H152" s="16" t="str">
        <f t="shared" si="69"/>
        <v>11004_3-1</v>
      </c>
      <c r="I152" s="5">
        <f ca="1">VLOOKUP($H152,OFFSET(floors!$A$1,0,0,COUNTA(floors!$A:$A),MATCH(I$1,floors!$1:$1,0)-MATCH($H$1,floors!$1:$1,0)+1),MATCH(I$1,floors!$1:$1,0)-MATCH($H$1,floors!$1:$1,0)+1,FALSE)</f>
        <v>30</v>
      </c>
      <c r="J152" s="5">
        <f ca="1">VLOOKUP($H152,OFFSET(floors!$A$1,0,0,COUNTA(floors!$A:$A),MATCH(J$1,floors!$1:$1,0)-MATCH($H$1,floors!$1:$1,0)+1),MATCH(J$1,floors!$1:$1,0)-MATCH($H$1,floors!$1:$1,0)+1,FALSE)</f>
        <v>45</v>
      </c>
      <c r="K152" s="24" t="s">
        <v>197</v>
      </c>
      <c r="L152" s="24">
        <v>336</v>
      </c>
      <c r="M152" s="20" t="str">
        <f ca="1">VLOOKUP($L152,OFFSET([3]enemies!$A$1,0,0,COUNTA([3]enemies!$A:$A),MATCH(M$1,[3]enemies!$1:$1,0)-MATCH($L$1,[3]enemies!$1:$1,0)+1),MATCH(M$1,[3]enemies!$1:$1,0)-MATCH($L$1,[3]enemies!$1:$1,0)+1,FALSE)</f>
        <v>森のメタルピヨピヨ</v>
      </c>
      <c r="N152" s="20" t="str">
        <f ca="1">VLOOKUP($L152,OFFSET([3]enemies!$A$1,0,0,COUNTA([3]enemies!$A:$A),MATCH(N$1,[3]enemies!$1:$1,0)-MATCH($L$1,[3]enemies!$1:$1,0)+1),MATCH(N$1,[3]enemies!$1:$1,0)-MATCH($L$1,[3]enemies!$1:$1,0)+1,FALSE)</f>
        <v>green</v>
      </c>
      <c r="O152" s="22" t="str">
        <f ca="1">VLOOKUP($L152,OFFSET([4]characters!$A$1,0,0,COUNTA([4]characters!$A:$A),MATCH(O$1,[4]characters!$1:$1,0)-MATCH($L$1,[4]characters!$1:$1,0)+1),MATCH(O$1,[4]characters!$1:$1,0)-MATCH($L$1,[4]characters!$1:$1,0)+1,FALSE)</f>
        <v>Material</v>
      </c>
      <c r="P152" s="20" t="str">
        <f ca="1">VLOOKUP($L152,OFFSET([3]enemies!$A$1,0,0,COUNTA([3]enemies!$A:$A),MATCH(P$1,[3]enemies!$1:$1,0)-MATCH($L$1,[3]enemies!$1:$1,0)+1),MATCH(P$1,[3]enemies!$1:$1,0)-MATCH($L$1,[3]enemies!$1:$1,0)+1,FALSE)</f>
        <v>unknown</v>
      </c>
      <c r="Q152" s="20">
        <f ca="1">VLOOKUP($L152,OFFSET([3]enemies!$A$1,0,0,COUNTA([3]enemies!$A:$A),MATCH(Q$1,[3]enemies!$1:$1,0)-MATCH($L$1,[3]enemies!$1:$1,0)+1),MATCH(Q$1,[3]enemies!$1:$1,0)-MATCH($L$1,[3]enemies!$1:$1,0)+1,FALSE)</f>
        <v>15</v>
      </c>
      <c r="R152" s="6">
        <v>1</v>
      </c>
      <c r="S152" s="39">
        <v>1</v>
      </c>
      <c r="T152" s="39">
        <v>1</v>
      </c>
      <c r="U152" s="6">
        <v>0</v>
      </c>
      <c r="V152" s="5" t="str">
        <f ca="1">VLOOKUP($W152,OFFSET([5]enemy_skill_sets!$B$1,0,0,COUNTA([5]enemy_skill_sets!$B:$B),MATCH(M$1,[5]enemy_skill_sets!$1:$1,0)-MATCH($W$1,[5]enemy_skill_sets!$1:$1,0)+2),MATCH(M$1,[5]enemy_skill_sets!$1:$1,0)-MATCH($W$1,[5]enemy_skill_sets!$1:$1,0)+2,FALSE)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2" s="5">
        <f ca="1">VLOOKUP($L152,OFFSET([3]enemies!$A$1,0,0,COUNTA([3]enemies!$A:$A),MATCH(W$1,[3]enemies!$1:$1,0)-MATCH($L$1,[3]enemies!$1:$1,0)+1),MATCH(W$1,[3]enemies!$1:$1,0)-MATCH($L$1,[3]enemies!$1:$1,0)+1,FALSE)</f>
        <v>0</v>
      </c>
      <c r="X152" s="7">
        <v>0</v>
      </c>
      <c r="Y152" s="7">
        <v>30</v>
      </c>
      <c r="Z152" s="7">
        <v>0</v>
      </c>
      <c r="AA152" s="20">
        <f ca="1">VLOOKUP($L152,OFFSET([3]enemies!$A$1,0,0,COUNTA([3]enemies!$A:$A),MATCH(AA$1,[3]enemies!$1:$1,0)-MATCH($L$1,[3]enemies!$1:$1,0)+1),MATCH(AA$1,[3]enemies!$1:$1,0)-MATCH($L$1,[3]enemies!$1:$1,0)+1,FALSE)</f>
        <v>1</v>
      </c>
      <c r="AB152" s="24">
        <v>336</v>
      </c>
      <c r="AC152" s="5" t="str">
        <f ca="1">IFERROR(VLOOKUP($AB152,OFFSET([4]characters!$A$1,0,0,COUNTA([4]characters!$A:$A),MATCH(AC$1,[4]characters!$1:$1,0)-MATCH("character_id",[4]characters!$1:$1,0)+1),MATCH(AC$1,[4]characters!$1:$1,0)-MATCH("character_id",[4]characters!$1:$1,0)+1,FALSE),"")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52" s="5">
        <f ca="1">IFERROR(VLOOKUP($AB152,OFFSET([4]characters!$A$1,0,0,COUNTA([4]characters!$A:$A),MATCH(AD$1,[4]characters!$1:$1,0)-MATCH("character_id",[4]characters!$1:$1,0)+1),MATCH(AD$1,[4]characters!$1:$1,0)-MATCH("character_id",[4]characters!$1:$1,0)+1,FALSE),"")</f>
        <v>3</v>
      </c>
      <c r="AE152" s="5" t="str">
        <f ca="1">IFERROR(VLOOKUP($AB152,OFFSET([4]characters!$A$1,0,0,COUNTA([4]characters!$A:$A),MATCH(AE$1,[4]characters!$1:$1,0)-MATCH("character_id",[4]characters!$1:$1,0)+1),MATCH(AE$1,[4]characters!$1:$1,0)-MATCH("character_id",[4]characters!$1:$1,0)+1,FALSE),"")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2" s="8">
        <v>1</v>
      </c>
      <c r="AG152" s="27">
        <f t="shared" ca="1" si="72"/>
        <v>3</v>
      </c>
      <c r="AH152" s="9">
        <v>10</v>
      </c>
      <c r="AI152" s="8">
        <v>0</v>
      </c>
      <c r="AJ152" s="8">
        <v>0</v>
      </c>
      <c r="AK152" s="8">
        <v>0</v>
      </c>
      <c r="AL152" s="8">
        <v>0</v>
      </c>
      <c r="AM152" s="8">
        <v>1</v>
      </c>
      <c r="AN152" s="8">
        <v>1</v>
      </c>
    </row>
    <row r="153" spans="1:40" ht="21" customHeight="1" x14ac:dyDescent="0.15">
      <c r="A153" s="17" t="str">
        <f t="shared" ca="1" si="70"/>
        <v>11004_3-1/337&lt;lv1&gt;s2</v>
      </c>
      <c r="B153" s="8">
        <v>11004</v>
      </c>
      <c r="C153" s="25">
        <v>3</v>
      </c>
      <c r="D153" s="2" t="str">
        <f t="shared" si="71"/>
        <v>11004_3</v>
      </c>
      <c r="E153" s="5" t="str">
        <f ca="1">VLOOKUP($B153,OFFSET([2]quests!$A$1,0,0,COUNTA([2]quests!$A:$A),MATCH(E$1,[2]quests!$1:$1,0)-MATCH($B$1,[2]quests!$1:$1,0)+1),MATCH(E$1,[2]quests!$1:$1,0)-MATCH($B$1,[2]quests!$1:$1,0)+1,FALSE)</f>
        <v>【木曜限定】 緑の素材</v>
      </c>
      <c r="F153" s="5" t="str">
        <f ca="1">VLOOKUP($D153,OFFSET([2]stages!$A$1,0,0,COUNTA([2]stages!$A:$A),MATCH(F$1,[2]stages!$2:$2,0)-MATCH($D$1,[2]stages!$2:$2,0)+1),MATCH(F$1,[2]stages!$2:$2,0)-MATCH($D$1,[2]stages!$2:$2,0)+1,FALSE)</f>
        <v xml:space="preserve">【上級】樹のイモムシ </v>
      </c>
      <c r="G153" s="25">
        <v>1</v>
      </c>
      <c r="H153" s="16" t="str">
        <f t="shared" si="69"/>
        <v>11004_3-1</v>
      </c>
      <c r="I153" s="5">
        <f ca="1">VLOOKUP($H153,OFFSET(floors!$A$1,0,0,COUNTA(floors!$A:$A),MATCH(I$1,floors!$1:$1,0)-MATCH($H$1,floors!$1:$1,0)+1),MATCH(I$1,floors!$1:$1,0)-MATCH($H$1,floors!$1:$1,0)+1,FALSE)</f>
        <v>30</v>
      </c>
      <c r="J153" s="5">
        <f ca="1">VLOOKUP($H153,OFFSET(floors!$A$1,0,0,COUNTA(floors!$A:$A),MATCH(J$1,floors!$1:$1,0)-MATCH($H$1,floors!$1:$1,0)+1),MATCH(J$1,floors!$1:$1,0)-MATCH($H$1,floors!$1:$1,0)+1,FALSE)</f>
        <v>45</v>
      </c>
      <c r="K153" s="24" t="s">
        <v>197</v>
      </c>
      <c r="L153" s="24">
        <v>337</v>
      </c>
      <c r="M153" s="20" t="str">
        <f ca="1">VLOOKUP($L153,OFFSET([3]enemies!$A$1,0,0,COUNTA([3]enemies!$A:$A),MATCH(M$1,[3]enemies!$1:$1,0)-MATCH($L$1,[3]enemies!$1:$1,0)+1),MATCH(M$1,[3]enemies!$1:$1,0)-MATCH($L$1,[3]enemies!$1:$1,0)+1,FALSE)</f>
        <v>森のメタルチック</v>
      </c>
      <c r="N153" s="20" t="str">
        <f ca="1">VLOOKUP($L153,OFFSET([3]enemies!$A$1,0,0,COUNTA([3]enemies!$A:$A),MATCH(N$1,[3]enemies!$1:$1,0)-MATCH($L$1,[3]enemies!$1:$1,0)+1),MATCH(N$1,[3]enemies!$1:$1,0)-MATCH($L$1,[3]enemies!$1:$1,0)+1,FALSE)</f>
        <v>green</v>
      </c>
      <c r="O153" s="22" t="str">
        <f ca="1">VLOOKUP($L153,OFFSET([4]characters!$A$1,0,0,COUNTA([4]characters!$A:$A),MATCH(O$1,[4]characters!$1:$1,0)-MATCH($L$1,[4]characters!$1:$1,0)+1),MATCH(O$1,[4]characters!$1:$1,0)-MATCH($L$1,[4]characters!$1:$1,0)+1,FALSE)</f>
        <v>Material</v>
      </c>
      <c r="P153" s="20" t="str">
        <f ca="1">VLOOKUP($L153,OFFSET([3]enemies!$A$1,0,0,COUNTA([3]enemies!$A:$A),MATCH(P$1,[3]enemies!$1:$1,0)-MATCH($L$1,[3]enemies!$1:$1,0)+1),MATCH(P$1,[3]enemies!$1:$1,0)-MATCH($L$1,[3]enemies!$1:$1,0)+1,FALSE)</f>
        <v>unknown</v>
      </c>
      <c r="Q153" s="20">
        <f ca="1">VLOOKUP($L153,OFFSET([3]enemies!$A$1,0,0,COUNTA([3]enemies!$A:$A),MATCH(Q$1,[3]enemies!$1:$1,0)-MATCH($L$1,[3]enemies!$1:$1,0)+1),MATCH(Q$1,[3]enemies!$1:$1,0)-MATCH($L$1,[3]enemies!$1:$1,0)+1,FALSE)</f>
        <v>15</v>
      </c>
      <c r="R153" s="6">
        <v>1</v>
      </c>
      <c r="S153" s="39">
        <v>1</v>
      </c>
      <c r="T153" s="39">
        <v>1</v>
      </c>
      <c r="U153" s="6">
        <v>0</v>
      </c>
      <c r="V153" s="5" t="str">
        <f ca="1">VLOOKUP($W153,OFFSET([5]enemy_skill_sets!$B$1,0,0,COUNTA([5]enemy_skill_sets!$B:$B),MATCH(M$1,[5]enemy_skill_sets!$1:$1,0)-MATCH($W$1,[5]enemy_skill_sets!$1:$1,0)+2),MATCH(M$1,[5]enemy_skill_sets!$1:$1,0)-MATCH($W$1,[5]enemy_skill_sets!$1:$1,0)+2,FALSE)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3" s="5">
        <f ca="1">VLOOKUP($L153,OFFSET([3]enemies!$A$1,0,0,COUNTA([3]enemies!$A:$A),MATCH(W$1,[3]enemies!$1:$1,0)-MATCH($L$1,[3]enemies!$1:$1,0)+1),MATCH(W$1,[3]enemies!$1:$1,0)-MATCH($L$1,[3]enemies!$1:$1,0)+1,FALSE)</f>
        <v>0</v>
      </c>
      <c r="X153" s="7">
        <v>0</v>
      </c>
      <c r="Y153" s="7">
        <v>30</v>
      </c>
      <c r="Z153" s="7">
        <v>0</v>
      </c>
      <c r="AA153" s="20">
        <f ca="1">VLOOKUP($L153,OFFSET([3]enemies!$A$1,0,0,COUNTA([3]enemies!$A:$A),MATCH(AA$1,[3]enemies!$1:$1,0)-MATCH($L$1,[3]enemies!$1:$1,0)+1),MATCH(AA$1,[3]enemies!$1:$1,0)-MATCH($L$1,[3]enemies!$1:$1,0)+1,FALSE)</f>
        <v>2</v>
      </c>
      <c r="AB153" s="24">
        <v>337</v>
      </c>
      <c r="AC153" s="5" t="str">
        <f ca="1">IFERROR(VLOOKUP($AB153,OFFSET([4]characters!$A$1,0,0,COUNTA([4]characters!$A:$A),MATCH(AC$1,[4]characters!$1:$1,0)-MATCH("character_id",[4]characters!$1:$1,0)+1),MATCH(AC$1,[4]characters!$1:$1,0)-MATCH("character_id",[4]characters!$1:$1,0)+1,FALSE),"")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53" s="5">
        <f ca="1">IFERROR(VLOOKUP($AB153,OFFSET([4]characters!$A$1,0,0,COUNTA([4]characters!$A:$A),MATCH(AD$1,[4]characters!$1:$1,0)-MATCH("character_id",[4]characters!$1:$1,0)+1),MATCH(AD$1,[4]characters!$1:$1,0)-MATCH("character_id",[4]characters!$1:$1,0)+1,FALSE),"")</f>
        <v>4</v>
      </c>
      <c r="AE153" s="5" t="str">
        <f ca="1">IFERROR(VLOOKUP($AB153,OFFSET([4]characters!$A$1,0,0,COUNTA([4]characters!$A:$A),MATCH(AE$1,[4]characters!$1:$1,0)-MATCH("character_id",[4]characters!$1:$1,0)+1),MATCH(AE$1,[4]characters!$1:$1,0)-MATCH("character_id",[4]characters!$1:$1,0)+1,FALSE),"")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3" s="8">
        <v>1</v>
      </c>
      <c r="AG153" s="27">
        <f t="shared" ca="1" si="72"/>
        <v>4</v>
      </c>
      <c r="AH153" s="9">
        <v>5</v>
      </c>
      <c r="AI153" s="8">
        <v>0</v>
      </c>
      <c r="AJ153" s="8">
        <v>0</v>
      </c>
      <c r="AK153" s="8">
        <v>0</v>
      </c>
      <c r="AL153" s="8">
        <v>0</v>
      </c>
      <c r="AM153" s="8">
        <v>1</v>
      </c>
      <c r="AN153" s="8">
        <v>1</v>
      </c>
    </row>
    <row r="154" spans="1:40" ht="21" customHeight="1" x14ac:dyDescent="0.15">
      <c r="A154" s="17" t="str">
        <f t="shared" ca="1" si="70"/>
        <v>11004_3-2/107&lt;lv30&gt;s1</v>
      </c>
      <c r="B154" s="8">
        <v>11004</v>
      </c>
      <c r="C154" s="25">
        <v>3</v>
      </c>
      <c r="D154" s="2" t="str">
        <f t="shared" si="71"/>
        <v>11004_3</v>
      </c>
      <c r="E154" s="5" t="str">
        <f ca="1">VLOOKUP($B154,OFFSET([2]quests!$A$1,0,0,COUNTA([2]quests!$A:$A),MATCH(E$1,[2]quests!$1:$1,0)-MATCH($B$1,[2]quests!$1:$1,0)+1),MATCH(E$1,[2]quests!$1:$1,0)-MATCH($B$1,[2]quests!$1:$1,0)+1,FALSE)</f>
        <v>【木曜限定】 緑の素材</v>
      </c>
      <c r="F154" s="5" t="str">
        <f ca="1">VLOOKUP($D154,OFFSET([2]stages!$A$1,0,0,COUNTA([2]stages!$A:$A),MATCH(F$1,[2]stages!$2:$2,0)-MATCH($D$1,[2]stages!$2:$2,0)+1),MATCH(F$1,[2]stages!$2:$2,0)-MATCH($D$1,[2]stages!$2:$2,0)+1,FALSE)</f>
        <v xml:space="preserve">【上級】樹のイモムシ </v>
      </c>
      <c r="G154" s="25">
        <v>2</v>
      </c>
      <c r="H154" s="16" t="str">
        <f t="shared" si="69"/>
        <v>11004_3-2</v>
      </c>
      <c r="I154" s="5">
        <f ca="1">VLOOKUP($H154,OFFSET(floors!$A$1,0,0,COUNTA(floors!$A:$A),MATCH(I$1,floors!$1:$1,0)-MATCH($H$1,floors!$1:$1,0)+1),MATCH(I$1,floors!$1:$1,0)-MATCH($H$1,floors!$1:$1,0)+1,FALSE)</f>
        <v>30</v>
      </c>
      <c r="J154" s="5">
        <f ca="1">VLOOKUP($H154,OFFSET(floors!$A$1,0,0,COUNTA(floors!$A:$A),MATCH(J$1,floors!$1:$1,0)-MATCH($H$1,floors!$1:$1,0)+1),MATCH(J$1,floors!$1:$1,0)-MATCH($H$1,floors!$1:$1,0)+1,FALSE)</f>
        <v>45</v>
      </c>
      <c r="K154" s="24" t="s">
        <v>197</v>
      </c>
      <c r="L154" s="24">
        <v>107</v>
      </c>
      <c r="M154" s="20" t="str">
        <f ca="1">VLOOKUP($L154,OFFSET([3]enemies!$A$1,0,0,COUNTA([3]enemies!$A:$A),MATCH(M$1,[3]enemies!$1:$1,0)-MATCH($L$1,[3]enemies!$1:$1,0)+1),MATCH(M$1,[3]enemies!$1:$1,0)-MATCH($L$1,[3]enemies!$1:$1,0)+1,FALSE)</f>
        <v>グリーンキャタップ</v>
      </c>
      <c r="N154" s="20" t="str">
        <f ca="1">VLOOKUP($L154,OFFSET([3]enemies!$A$1,0,0,COUNTA([3]enemies!$A:$A),MATCH(N$1,[3]enemies!$1:$1,0)-MATCH($L$1,[3]enemies!$1:$1,0)+1),MATCH(N$1,[3]enemies!$1:$1,0)-MATCH($L$1,[3]enemies!$1:$1,0)+1,FALSE)</f>
        <v>green</v>
      </c>
      <c r="O154" s="22" t="str">
        <f ca="1">VLOOKUP($L154,OFFSET([4]characters!$A$1,0,0,COUNTA([4]characters!$A:$A),MATCH(O$1,[4]characters!$1:$1,0)-MATCH($L$1,[4]characters!$1:$1,0)+1),MATCH(O$1,[4]characters!$1:$1,0)-MATCH($L$1,[4]characters!$1:$1,0)+1,FALSE)</f>
        <v>Material</v>
      </c>
      <c r="P154" s="20" t="str">
        <f ca="1">VLOOKUP($L154,OFFSET([3]enemies!$A$1,0,0,COUNTA([3]enemies!$A:$A),MATCH(P$1,[3]enemies!$1:$1,0)-MATCH($L$1,[3]enemies!$1:$1,0)+1),MATCH(P$1,[3]enemies!$1:$1,0)-MATCH($L$1,[3]enemies!$1:$1,0)+1,FALSE)</f>
        <v>unknown</v>
      </c>
      <c r="Q154" s="20">
        <f ca="1">VLOOKUP($L154,OFFSET([3]enemies!$A$1,0,0,COUNTA([3]enemies!$A:$A),MATCH(Q$1,[3]enemies!$1:$1,0)-MATCH($L$1,[3]enemies!$1:$1,0)+1),MATCH(Q$1,[3]enemies!$1:$1,0)-MATCH($L$1,[3]enemies!$1:$1,0)+1,FALSE)</f>
        <v>15</v>
      </c>
      <c r="R154" s="6">
        <v>30</v>
      </c>
      <c r="S154" s="39">
        <v>2</v>
      </c>
      <c r="T154" s="39">
        <v>1</v>
      </c>
      <c r="U154" s="6">
        <v>0</v>
      </c>
      <c r="V154" s="5" t="str">
        <f ca="1">VLOOKUP($W154,OFFSET([5]enemy_skill_sets!$B$1,0,0,COUNTA([5]enemy_skill_sets!$B:$B),MATCH(M$1,[5]enemy_skill_sets!$1:$1,0)-MATCH($W$1,[5]enemy_skill_sets!$1:$1,0)+2),MATCH(M$1,[5]enemy_skill_sets!$1:$1,0)-MATCH($W$1,[5]enemy_skill_sets!$1:$1,0)+2,FALSE)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4" s="5">
        <f ca="1">VLOOKUP($L154,OFFSET([3]enemies!$A$1,0,0,COUNTA([3]enemies!$A:$A),MATCH(W$1,[3]enemies!$1:$1,0)-MATCH($L$1,[3]enemies!$1:$1,0)+1),MATCH(W$1,[3]enemies!$1:$1,0)-MATCH($L$1,[3]enemies!$1:$1,0)+1,FALSE)</f>
        <v>0</v>
      </c>
      <c r="X154" s="7">
        <v>1</v>
      </c>
      <c r="Y154" s="7">
        <v>100</v>
      </c>
      <c r="Z154" s="7">
        <v>1</v>
      </c>
      <c r="AA154" s="20">
        <f ca="1">VLOOKUP($L154,OFFSET([3]enemies!$A$1,0,0,COUNTA([3]enemies!$A:$A),MATCH(AA$1,[3]enemies!$1:$1,0)-MATCH($L$1,[3]enemies!$1:$1,0)+1),MATCH(AA$1,[3]enemies!$1:$1,0)-MATCH($L$1,[3]enemies!$1:$1,0)+1,FALSE)</f>
        <v>1</v>
      </c>
      <c r="AB154" s="24">
        <v>107</v>
      </c>
      <c r="AC154" s="5" t="str">
        <f ca="1">IFERROR(VLOOKUP($AB154,OFFSET([4]characters!$A$1,0,0,COUNTA([4]characters!$A:$A),MATCH(AC$1,[4]characters!$1:$1,0)-MATCH("character_id",[4]characters!$1:$1,0)+1),MATCH(AC$1,[4]characters!$1:$1,0)-MATCH("character_id",[4]characters!$1:$1,0)+1,FALSE),"")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54" s="5">
        <f ca="1">IFERROR(VLOOKUP($AB154,OFFSET([4]characters!$A$1,0,0,COUNTA([4]characters!$A:$A),MATCH(AD$1,[4]characters!$1:$1,0)-MATCH("character_id",[4]characters!$1:$1,0)+1),MATCH(AD$1,[4]characters!$1:$1,0)-MATCH("character_id",[4]characters!$1:$1,0)+1,FALSE),"")</f>
        <v>4</v>
      </c>
      <c r="AE154" s="5" t="str">
        <f ca="1">IFERROR(VLOOKUP($AB154,OFFSET([4]characters!$A$1,0,0,COUNTA([4]characters!$A:$A),MATCH(AE$1,[4]characters!$1:$1,0)-MATCH("character_id",[4]characters!$1:$1,0)+1),MATCH(AE$1,[4]characters!$1:$1,0)-MATCH("character_id",[4]characters!$1:$1,0)+1,FALSE),"")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4" s="8">
        <v>1</v>
      </c>
      <c r="AG154" s="27">
        <f t="shared" ca="1" si="72"/>
        <v>4</v>
      </c>
      <c r="AH154" s="9">
        <v>10</v>
      </c>
      <c r="AI154" s="8">
        <v>0</v>
      </c>
      <c r="AJ154" s="8">
        <v>0</v>
      </c>
      <c r="AK154" s="8">
        <v>0</v>
      </c>
      <c r="AL154" s="8">
        <v>0</v>
      </c>
      <c r="AM154" s="8">
        <v>1</v>
      </c>
      <c r="AN154" s="8">
        <v>1</v>
      </c>
    </row>
    <row r="155" spans="1:40" ht="21" customHeight="1" x14ac:dyDescent="0.15">
      <c r="A155" s="17" t="str">
        <f t="shared" ref="A155:A158" ca="1" si="79">B155&amp;"_"&amp;C155&amp;"-"&amp;G155&amp;"/"&amp;L155&amp;"&lt;lv"&amp;R155&amp;"&gt;s"&amp;AA155</f>
        <v>11004_3-2/35&lt;lv35&gt;s4</v>
      </c>
      <c r="B155" s="8">
        <v>11004</v>
      </c>
      <c r="C155" s="25">
        <v>3</v>
      </c>
      <c r="D155" s="2" t="str">
        <f t="shared" ref="D155:D158" si="80">B155&amp;"_"&amp;C155</f>
        <v>11004_3</v>
      </c>
      <c r="E155" s="5" t="str">
        <f ca="1">VLOOKUP($B155,OFFSET([2]quests!$A$1,0,0,COUNTA([2]quests!$A:$A),MATCH(E$1,[2]quests!$1:$1,0)-MATCH($B$1,[2]quests!$1:$1,0)+1),MATCH(E$1,[2]quests!$1:$1,0)-MATCH($B$1,[2]quests!$1:$1,0)+1,FALSE)</f>
        <v>【木曜限定】 緑の素材</v>
      </c>
      <c r="F155" s="5" t="str">
        <f ca="1">VLOOKUP($D155,OFFSET([2]stages!$A$1,0,0,COUNTA([2]stages!$A:$A),MATCH(F$1,[2]stages!$2:$2,0)-MATCH($D$1,[2]stages!$2:$2,0)+1),MATCH(F$1,[2]stages!$2:$2,0)-MATCH($D$1,[2]stages!$2:$2,0)+1,FALSE)</f>
        <v xml:space="preserve">【上級】樹のイモムシ </v>
      </c>
      <c r="G155" s="25">
        <v>2</v>
      </c>
      <c r="H155" s="16" t="str">
        <f t="shared" si="69"/>
        <v>11004_3-2</v>
      </c>
      <c r="I155" s="5">
        <f ca="1">VLOOKUP($H155,OFFSET(floors!$A$1,0,0,COUNTA(floors!$A:$A),MATCH(I$1,floors!$1:$1,0)-MATCH($H$1,floors!$1:$1,0)+1),MATCH(I$1,floors!$1:$1,0)-MATCH($H$1,floors!$1:$1,0)+1,FALSE)</f>
        <v>30</v>
      </c>
      <c r="J155" s="5">
        <f ca="1">VLOOKUP($H155,OFFSET(floors!$A$1,0,0,COUNTA(floors!$A:$A),MATCH(J$1,floors!$1:$1,0)-MATCH($H$1,floors!$1:$1,0)+1),MATCH(J$1,floors!$1:$1,0)-MATCH($H$1,floors!$1:$1,0)+1,FALSE)</f>
        <v>45</v>
      </c>
      <c r="K155" s="24" t="s">
        <v>197</v>
      </c>
      <c r="L155" s="24">
        <v>35</v>
      </c>
      <c r="M155" s="20" t="str">
        <f ca="1">VLOOKUP($L155,OFFSET([3]enemies!$A$1,0,0,COUNTA([3]enemies!$A:$A),MATCH(M$1,[3]enemies!$1:$1,0)-MATCH($L$1,[3]enemies!$1:$1,0)+1),MATCH(M$1,[3]enemies!$1:$1,0)-MATCH($L$1,[3]enemies!$1:$1,0)+1,FALSE)</f>
        <v>F2</v>
      </c>
      <c r="N155" s="20" t="str">
        <f ca="1">VLOOKUP($L155,OFFSET([3]enemies!$A$1,0,0,COUNTA([3]enemies!$A:$A),MATCH(N$1,[3]enemies!$1:$1,0)-MATCH($L$1,[3]enemies!$1:$1,0)+1),MATCH(N$1,[3]enemies!$1:$1,0)-MATCH($L$1,[3]enemies!$1:$1,0)+1,FALSE)</f>
        <v>green</v>
      </c>
      <c r="O155" s="22" t="str">
        <f ca="1">VLOOKUP($L155,OFFSET([4]characters!$A$1,0,0,COUNTA([4]characters!$A:$A),MATCH(O$1,[4]characters!$1:$1,0)-MATCH($L$1,[4]characters!$1:$1,0)+1),MATCH(O$1,[4]characters!$1:$1,0)-MATCH($L$1,[4]characters!$1:$1,0)+1,FALSE)</f>
        <v>Drop1S</v>
      </c>
      <c r="P155" s="20" t="str">
        <f ca="1">VLOOKUP($L155,OFFSET([3]enemies!$A$1,0,0,COUNTA([3]enemies!$A:$A),MATCH(P$1,[3]enemies!$1:$1,0)-MATCH($L$1,[3]enemies!$1:$1,0)+1),MATCH(P$1,[3]enemies!$1:$1,0)-MATCH($L$1,[3]enemies!$1:$1,0)+1,FALSE)</f>
        <v>machine</v>
      </c>
      <c r="Q155" s="20">
        <f ca="1">VLOOKUP($L155,OFFSET([3]enemies!$A$1,0,0,COUNTA([3]enemies!$A:$A),MATCH(Q$1,[3]enemies!$1:$1,0)-MATCH($L$1,[3]enemies!$1:$1,0)+1),MATCH(Q$1,[3]enemies!$1:$1,0)-MATCH($L$1,[3]enemies!$1:$1,0)+1,FALSE)</f>
        <v>15</v>
      </c>
      <c r="R155" s="6">
        <v>35</v>
      </c>
      <c r="S155" s="39">
        <v>1</v>
      </c>
      <c r="T155" s="39">
        <v>1</v>
      </c>
      <c r="U155" s="6">
        <v>0</v>
      </c>
      <c r="V155" s="5" t="str">
        <f ca="1">VLOOKUP($W155,OFFSET([5]enemy_skill_sets!$B$1,0,0,COUNTA([5]enemy_skill_sets!$B:$B),MATCH(M$1,[5]enemy_skill_sets!$1:$1,0)-MATCH($W$1,[5]enemy_skill_sets!$1:$1,0)+2),MATCH(M$1,[5]enemy_skill_sets!$1:$1,0)-MATCH($W$1,[5]enemy_skill_sets!$1:$1,0)+2,FALSE)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55" s="5">
        <f ca="1">VLOOKUP($L155,OFFSET([3]enemies!$A$1,0,0,COUNTA([3]enemies!$A:$A),MATCH(W$1,[3]enemies!$1:$1,0)-MATCH($L$1,[3]enemies!$1:$1,0)+1),MATCH(W$1,[3]enemies!$1:$1,0)-MATCH($L$1,[3]enemies!$1:$1,0)+1,FALSE)</f>
        <v>35</v>
      </c>
      <c r="X155" s="7">
        <v>0</v>
      </c>
      <c r="Y155" s="7">
        <v>100</v>
      </c>
      <c r="Z155" s="7">
        <v>0</v>
      </c>
      <c r="AA155" s="20">
        <f ca="1">VLOOKUP($L155,OFFSET([3]enemies!$A$1,0,0,COUNTA([3]enemies!$A:$A),MATCH(AA$1,[3]enemies!$1:$1,0)-MATCH($L$1,[3]enemies!$1:$1,0)+1),MATCH(AA$1,[3]enemies!$1:$1,0)-MATCH($L$1,[3]enemies!$1:$1,0)+1,FALSE)</f>
        <v>4</v>
      </c>
      <c r="AB155" s="24">
        <v>35</v>
      </c>
      <c r="AC155" s="5" t="str">
        <f ca="1">IFERROR(VLOOKUP($AB155,OFFSET([4]characters!$A$1,0,0,COUNTA([4]characters!$A:$A),MATCH(AC$1,[4]characters!$1:$1,0)-MATCH("character_id",[4]characters!$1:$1,0)+1),MATCH(AC$1,[4]characters!$1:$1,0)-MATCH("character_id",[4]characters!$1:$1,0)+1,FALSE),"")</f>
        <v>F2</v>
      </c>
      <c r="AD155" s="5">
        <f ca="1">IFERROR(VLOOKUP($AB155,OFFSET([4]characters!$A$1,0,0,COUNTA([4]characters!$A:$A),MATCH(AD$1,[4]characters!$1:$1,0)-MATCH("character_id",[4]characters!$1:$1,0)+1),MATCH(AD$1,[4]characters!$1:$1,0)-MATCH("character_id",[4]characters!$1:$1,0)+1,FALSE),"")</f>
        <v>2</v>
      </c>
      <c r="AE155" s="5" t="str">
        <f ca="1">IFERROR(VLOOKUP($AB155,OFFSET([4]characters!$A$1,0,0,COUNTA([4]characters!$A:$A),MATCH(AE$1,[4]characters!$1:$1,0)-MATCH("character_id",[4]characters!$1:$1,0)+1),MATCH(AE$1,[4]characters!$1:$1,0)-MATCH("character_id",[4]characters!$1:$1,0)+1,FALSE),"")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55" s="8">
        <v>1</v>
      </c>
      <c r="AG155" s="27">
        <f t="shared" ref="AG155:AG158" ca="1" si="81">AD155</f>
        <v>2</v>
      </c>
      <c r="AH155" s="9">
        <v>0</v>
      </c>
      <c r="AI155" s="8">
        <v>0</v>
      </c>
      <c r="AJ155" s="8">
        <v>0</v>
      </c>
      <c r="AK155" s="8">
        <v>0</v>
      </c>
      <c r="AL155" s="8">
        <v>0</v>
      </c>
      <c r="AM155" s="8">
        <v>1</v>
      </c>
      <c r="AN155" s="8">
        <v>1</v>
      </c>
    </row>
    <row r="156" spans="1:40" ht="21" customHeight="1" x14ac:dyDescent="0.15">
      <c r="A156" s="17" t="str">
        <f t="shared" ca="1" si="79"/>
        <v>11004_3-2/27&lt;lv35&gt;s1</v>
      </c>
      <c r="B156" s="8">
        <v>11004</v>
      </c>
      <c r="C156" s="25">
        <v>3</v>
      </c>
      <c r="D156" s="2" t="str">
        <f t="shared" si="80"/>
        <v>11004_3</v>
      </c>
      <c r="E156" s="5" t="str">
        <f ca="1">VLOOKUP($B156,OFFSET([2]quests!$A$1,0,0,COUNTA([2]quests!$A:$A),MATCH(E$1,[2]quests!$1:$1,0)-MATCH($B$1,[2]quests!$1:$1,0)+1),MATCH(E$1,[2]quests!$1:$1,0)-MATCH($B$1,[2]quests!$1:$1,0)+1,FALSE)</f>
        <v>【木曜限定】 緑の素材</v>
      </c>
      <c r="F156" s="5" t="str">
        <f ca="1">VLOOKUP($D156,OFFSET([2]stages!$A$1,0,0,COUNTA([2]stages!$A:$A),MATCH(F$1,[2]stages!$2:$2,0)-MATCH($D$1,[2]stages!$2:$2,0)+1),MATCH(F$1,[2]stages!$2:$2,0)-MATCH($D$1,[2]stages!$2:$2,0)+1,FALSE)</f>
        <v xml:space="preserve">【上級】樹のイモムシ </v>
      </c>
      <c r="G156" s="25">
        <v>2</v>
      </c>
      <c r="H156" s="16" t="str">
        <f t="shared" si="69"/>
        <v>11004_3-2</v>
      </c>
      <c r="I156" s="5">
        <f ca="1">VLOOKUP($H156,OFFSET(floors!$A$1,0,0,COUNTA(floors!$A:$A),MATCH(I$1,floors!$1:$1,0)-MATCH($H$1,floors!$1:$1,0)+1),MATCH(I$1,floors!$1:$1,0)-MATCH($H$1,floors!$1:$1,0)+1,FALSE)</f>
        <v>30</v>
      </c>
      <c r="J156" s="5">
        <f ca="1">VLOOKUP($H156,OFFSET(floors!$A$1,0,0,COUNTA(floors!$A:$A),MATCH(J$1,floors!$1:$1,0)-MATCH($H$1,floors!$1:$1,0)+1),MATCH(J$1,floors!$1:$1,0)-MATCH($H$1,floors!$1:$1,0)+1,FALSE)</f>
        <v>45</v>
      </c>
      <c r="K156" s="24" t="s">
        <v>197</v>
      </c>
      <c r="L156" s="24">
        <v>27</v>
      </c>
      <c r="M156" s="20" t="str">
        <f ca="1">VLOOKUP($L156,OFFSET([3]enemies!$A$1,0,0,COUNTA([3]enemies!$A:$A),MATCH(M$1,[3]enemies!$1:$1,0)-MATCH($L$1,[3]enemies!$1:$1,0)+1),MATCH(M$1,[3]enemies!$1:$1,0)-MATCH($L$1,[3]enemies!$1:$1,0)+1,FALSE)</f>
        <v>パトライン</v>
      </c>
      <c r="N156" s="20" t="str">
        <f ca="1">VLOOKUP($L156,OFFSET([3]enemies!$A$1,0,0,COUNTA([3]enemies!$A:$A),MATCH(N$1,[3]enemies!$1:$1,0)-MATCH($L$1,[3]enemies!$1:$1,0)+1),MATCH(N$1,[3]enemies!$1:$1,0)-MATCH($L$1,[3]enemies!$1:$1,0)+1,FALSE)</f>
        <v>green</v>
      </c>
      <c r="O156" s="22" t="str">
        <f ca="1">VLOOKUP($L156,OFFSET([4]characters!$A$1,0,0,COUNTA([4]characters!$A:$A),MATCH(O$1,[4]characters!$1:$1,0)-MATCH($L$1,[4]characters!$1:$1,0)+1),MATCH(O$1,[4]characters!$1:$1,0)-MATCH($L$1,[4]characters!$1:$1,0)+1,FALSE)</f>
        <v>Drop1N</v>
      </c>
      <c r="P156" s="20" t="str">
        <f ca="1">VLOOKUP($L156,OFFSET([3]enemies!$A$1,0,0,COUNTA([3]enemies!$A:$A),MATCH(P$1,[3]enemies!$1:$1,0)-MATCH($L$1,[3]enemies!$1:$1,0)+1),MATCH(P$1,[3]enemies!$1:$1,0)-MATCH($L$1,[3]enemies!$1:$1,0)+1,FALSE)</f>
        <v>machine</v>
      </c>
      <c r="Q156" s="20">
        <f ca="1">VLOOKUP($L156,OFFSET([3]enemies!$A$1,0,0,COUNTA([3]enemies!$A:$A),MATCH(Q$1,[3]enemies!$1:$1,0)-MATCH($L$1,[3]enemies!$1:$1,0)+1),MATCH(Q$1,[3]enemies!$1:$1,0)-MATCH($L$1,[3]enemies!$1:$1,0)+1,FALSE)</f>
        <v>15</v>
      </c>
      <c r="R156" s="6">
        <v>35</v>
      </c>
      <c r="S156" s="39">
        <v>1</v>
      </c>
      <c r="T156" s="39">
        <v>1</v>
      </c>
      <c r="U156" s="6">
        <v>0</v>
      </c>
      <c r="V156" s="5" t="str">
        <f ca="1">VLOOKUP($W156,OFFSET([5]enemy_skill_sets!$B$1,0,0,COUNTA([5]enemy_skill_sets!$B:$B),MATCH(M$1,[5]enemy_skill_sets!$1:$1,0)-MATCH($W$1,[5]enemy_skill_sets!$1:$1,0)+2),MATCH(M$1,[5]enemy_skill_sets!$1:$1,0)-MATCH($W$1,[5]enemy_skill_sets!$1:$1,0)+2,FALSE)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6" s="5">
        <f ca="1">VLOOKUP($L156,OFFSET([3]enemies!$A$1,0,0,COUNTA([3]enemies!$A:$A),MATCH(W$1,[3]enemies!$1:$1,0)-MATCH($L$1,[3]enemies!$1:$1,0)+1),MATCH(W$1,[3]enemies!$1:$1,0)-MATCH($L$1,[3]enemies!$1:$1,0)+1,FALSE)</f>
        <v>0</v>
      </c>
      <c r="X156" s="7">
        <v>0</v>
      </c>
      <c r="Y156" s="7">
        <v>100</v>
      </c>
      <c r="Z156" s="7">
        <v>0</v>
      </c>
      <c r="AA156" s="20">
        <f ca="1">VLOOKUP($L156,OFFSET([3]enemies!$A$1,0,0,COUNTA([3]enemies!$A:$A),MATCH(AA$1,[3]enemies!$1:$1,0)-MATCH($L$1,[3]enemies!$1:$1,0)+1),MATCH(AA$1,[3]enemies!$1:$1,0)-MATCH($L$1,[3]enemies!$1:$1,0)+1,FALSE)</f>
        <v>1</v>
      </c>
      <c r="AB156" s="24">
        <v>27</v>
      </c>
      <c r="AC156" s="5" t="str">
        <f ca="1">IFERROR(VLOOKUP($AB156,OFFSET([4]characters!$A$1,0,0,COUNTA([4]characters!$A:$A),MATCH(AC$1,[4]characters!$1:$1,0)-MATCH("character_id",[4]characters!$1:$1,0)+1),MATCH(AC$1,[4]characters!$1:$1,0)-MATCH("character_id",[4]characters!$1:$1,0)+1,FALSE),"")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56" s="5">
        <f ca="1">IFERROR(VLOOKUP($AB156,OFFSET([4]characters!$A$1,0,0,COUNTA([4]characters!$A:$A),MATCH(AD$1,[4]characters!$1:$1,0)-MATCH("character_id",[4]characters!$1:$1,0)+1),MATCH(AD$1,[4]characters!$1:$1,0)-MATCH("character_id",[4]characters!$1:$1,0)+1,FALSE),"")</f>
        <v>1</v>
      </c>
      <c r="AE156" s="5" t="str">
        <f ca="1">IFERROR(VLOOKUP($AB156,OFFSET([4]characters!$A$1,0,0,COUNTA([4]characters!$A:$A),MATCH(AE$1,[4]characters!$1:$1,0)-MATCH("character_id",[4]characters!$1:$1,0)+1),MATCH(AE$1,[4]characters!$1:$1,0)-MATCH("character_id",[4]characters!$1:$1,0)+1,FALSE),"")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56" s="8">
        <v>1</v>
      </c>
      <c r="AG156" s="27">
        <f t="shared" ca="1" si="81"/>
        <v>1</v>
      </c>
      <c r="AH156" s="9">
        <v>0</v>
      </c>
      <c r="AI156" s="8">
        <v>0</v>
      </c>
      <c r="AJ156" s="8">
        <v>0</v>
      </c>
      <c r="AK156" s="8">
        <v>0</v>
      </c>
      <c r="AL156" s="8">
        <v>0</v>
      </c>
      <c r="AM156" s="8">
        <v>1</v>
      </c>
      <c r="AN156" s="8">
        <v>1</v>
      </c>
    </row>
    <row r="157" spans="1:40" ht="21" customHeight="1" x14ac:dyDescent="0.15">
      <c r="A157" s="17" t="str">
        <f t="shared" ca="1" si="79"/>
        <v>11004_3-2/336&lt;lv1&gt;s1</v>
      </c>
      <c r="B157" s="8">
        <v>11004</v>
      </c>
      <c r="C157" s="25">
        <v>3</v>
      </c>
      <c r="D157" s="2" t="str">
        <f t="shared" si="80"/>
        <v>11004_3</v>
      </c>
      <c r="E157" s="5" t="str">
        <f ca="1">VLOOKUP($B157,OFFSET([2]quests!$A$1,0,0,COUNTA([2]quests!$A:$A),MATCH(E$1,[2]quests!$1:$1,0)-MATCH($B$1,[2]quests!$1:$1,0)+1),MATCH(E$1,[2]quests!$1:$1,0)-MATCH($B$1,[2]quests!$1:$1,0)+1,FALSE)</f>
        <v>【木曜限定】 緑の素材</v>
      </c>
      <c r="F157" s="5" t="str">
        <f ca="1">VLOOKUP($D157,OFFSET([2]stages!$A$1,0,0,COUNTA([2]stages!$A:$A),MATCH(F$1,[2]stages!$2:$2,0)-MATCH($D$1,[2]stages!$2:$2,0)+1),MATCH(F$1,[2]stages!$2:$2,0)-MATCH($D$1,[2]stages!$2:$2,0)+1,FALSE)</f>
        <v xml:space="preserve">【上級】樹のイモムシ </v>
      </c>
      <c r="G157" s="25">
        <v>2</v>
      </c>
      <c r="H157" s="16" t="str">
        <f t="shared" si="69"/>
        <v>11004_3-2</v>
      </c>
      <c r="I157" s="5">
        <f ca="1">VLOOKUP($H157,OFFSET(floors!$A$1,0,0,COUNTA(floors!$A:$A),MATCH(I$1,floors!$1:$1,0)-MATCH($H$1,floors!$1:$1,0)+1),MATCH(I$1,floors!$1:$1,0)-MATCH($H$1,floors!$1:$1,0)+1,FALSE)</f>
        <v>30</v>
      </c>
      <c r="J157" s="5">
        <f ca="1">VLOOKUP($H157,OFFSET(floors!$A$1,0,0,COUNTA(floors!$A:$A),MATCH(J$1,floors!$1:$1,0)-MATCH($H$1,floors!$1:$1,0)+1),MATCH(J$1,floors!$1:$1,0)-MATCH($H$1,floors!$1:$1,0)+1,FALSE)</f>
        <v>45</v>
      </c>
      <c r="K157" s="24" t="s">
        <v>197</v>
      </c>
      <c r="L157" s="24">
        <v>336</v>
      </c>
      <c r="M157" s="20" t="str">
        <f ca="1">VLOOKUP($L157,OFFSET([3]enemies!$A$1,0,0,COUNTA([3]enemies!$A:$A),MATCH(M$1,[3]enemies!$1:$1,0)-MATCH($L$1,[3]enemies!$1:$1,0)+1),MATCH(M$1,[3]enemies!$1:$1,0)-MATCH($L$1,[3]enemies!$1:$1,0)+1,FALSE)</f>
        <v>森のメタルピヨピヨ</v>
      </c>
      <c r="N157" s="20" t="str">
        <f ca="1">VLOOKUP($L157,OFFSET([3]enemies!$A$1,0,0,COUNTA([3]enemies!$A:$A),MATCH(N$1,[3]enemies!$1:$1,0)-MATCH($L$1,[3]enemies!$1:$1,0)+1),MATCH(N$1,[3]enemies!$1:$1,0)-MATCH($L$1,[3]enemies!$1:$1,0)+1,FALSE)</f>
        <v>green</v>
      </c>
      <c r="O157" s="22" t="str">
        <f ca="1">VLOOKUP($L157,OFFSET([4]characters!$A$1,0,0,COUNTA([4]characters!$A:$A),MATCH(O$1,[4]characters!$1:$1,0)-MATCH($L$1,[4]characters!$1:$1,0)+1),MATCH(O$1,[4]characters!$1:$1,0)-MATCH($L$1,[4]characters!$1:$1,0)+1,FALSE)</f>
        <v>Material</v>
      </c>
      <c r="P157" s="20" t="str">
        <f ca="1">VLOOKUP($L157,OFFSET([3]enemies!$A$1,0,0,COUNTA([3]enemies!$A:$A),MATCH(P$1,[3]enemies!$1:$1,0)-MATCH($L$1,[3]enemies!$1:$1,0)+1),MATCH(P$1,[3]enemies!$1:$1,0)-MATCH($L$1,[3]enemies!$1:$1,0)+1,FALSE)</f>
        <v>unknown</v>
      </c>
      <c r="Q157" s="20">
        <f ca="1">VLOOKUP($L157,OFFSET([3]enemies!$A$1,0,0,COUNTA([3]enemies!$A:$A),MATCH(Q$1,[3]enemies!$1:$1,0)-MATCH($L$1,[3]enemies!$1:$1,0)+1),MATCH(Q$1,[3]enemies!$1:$1,0)-MATCH($L$1,[3]enemies!$1:$1,0)+1,FALSE)</f>
        <v>15</v>
      </c>
      <c r="R157" s="6">
        <v>1</v>
      </c>
      <c r="S157" s="39">
        <v>1</v>
      </c>
      <c r="T157" s="39">
        <v>1</v>
      </c>
      <c r="U157" s="6">
        <v>0</v>
      </c>
      <c r="V157" s="5" t="str">
        <f ca="1">VLOOKUP($W157,OFFSET([5]enemy_skill_sets!$B$1,0,0,COUNTA([5]enemy_skill_sets!$B:$B),MATCH(M$1,[5]enemy_skill_sets!$1:$1,0)-MATCH($W$1,[5]enemy_skill_sets!$1:$1,0)+2),MATCH(M$1,[5]enemy_skill_sets!$1:$1,0)-MATCH($W$1,[5]enemy_skill_sets!$1:$1,0)+2,FALSE)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7" s="5">
        <f ca="1">VLOOKUP($L157,OFFSET([3]enemies!$A$1,0,0,COUNTA([3]enemies!$A:$A),MATCH(W$1,[3]enemies!$1:$1,0)-MATCH($L$1,[3]enemies!$1:$1,0)+1),MATCH(W$1,[3]enemies!$1:$1,0)-MATCH($L$1,[3]enemies!$1:$1,0)+1,FALSE)</f>
        <v>0</v>
      </c>
      <c r="X157" s="7">
        <v>0</v>
      </c>
      <c r="Y157" s="7">
        <v>30</v>
      </c>
      <c r="Z157" s="7">
        <v>0</v>
      </c>
      <c r="AA157" s="20">
        <f ca="1">VLOOKUP($L157,OFFSET([3]enemies!$A$1,0,0,COUNTA([3]enemies!$A:$A),MATCH(AA$1,[3]enemies!$1:$1,0)-MATCH($L$1,[3]enemies!$1:$1,0)+1),MATCH(AA$1,[3]enemies!$1:$1,0)-MATCH($L$1,[3]enemies!$1:$1,0)+1,FALSE)</f>
        <v>1</v>
      </c>
      <c r="AB157" s="24">
        <v>336</v>
      </c>
      <c r="AC157" s="5" t="str">
        <f ca="1">IFERROR(VLOOKUP($AB157,OFFSET([4]characters!$A$1,0,0,COUNTA([4]characters!$A:$A),MATCH(AC$1,[4]characters!$1:$1,0)-MATCH("character_id",[4]characters!$1:$1,0)+1),MATCH(AC$1,[4]characters!$1:$1,0)-MATCH("character_id",[4]characters!$1:$1,0)+1,FALSE),"")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57" s="5">
        <f ca="1">IFERROR(VLOOKUP($AB157,OFFSET([4]characters!$A$1,0,0,COUNTA([4]characters!$A:$A),MATCH(AD$1,[4]characters!$1:$1,0)-MATCH("character_id",[4]characters!$1:$1,0)+1),MATCH(AD$1,[4]characters!$1:$1,0)-MATCH("character_id",[4]characters!$1:$1,0)+1,FALSE),"")</f>
        <v>3</v>
      </c>
      <c r="AE157" s="5" t="str">
        <f ca="1">IFERROR(VLOOKUP($AB157,OFFSET([4]characters!$A$1,0,0,COUNTA([4]characters!$A:$A),MATCH(AE$1,[4]characters!$1:$1,0)-MATCH("character_id",[4]characters!$1:$1,0)+1),MATCH(AE$1,[4]characters!$1:$1,0)-MATCH("character_id",[4]characters!$1:$1,0)+1,FALSE),"")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7" s="8">
        <v>1</v>
      </c>
      <c r="AG157" s="27">
        <f t="shared" ca="1" si="81"/>
        <v>3</v>
      </c>
      <c r="AH157" s="9">
        <v>10</v>
      </c>
      <c r="AI157" s="8">
        <v>0</v>
      </c>
      <c r="AJ157" s="8">
        <v>0</v>
      </c>
      <c r="AK157" s="8">
        <v>0</v>
      </c>
      <c r="AL157" s="8">
        <v>0</v>
      </c>
      <c r="AM157" s="8">
        <v>1</v>
      </c>
      <c r="AN157" s="8">
        <v>1</v>
      </c>
    </row>
    <row r="158" spans="1:40" ht="21" customHeight="1" x14ac:dyDescent="0.15">
      <c r="A158" s="17" t="str">
        <f t="shared" ca="1" si="79"/>
        <v>11004_3-2/337&lt;lv1&gt;s2</v>
      </c>
      <c r="B158" s="8">
        <v>11004</v>
      </c>
      <c r="C158" s="25">
        <v>3</v>
      </c>
      <c r="D158" s="2" t="str">
        <f t="shared" si="80"/>
        <v>11004_3</v>
      </c>
      <c r="E158" s="5" t="str">
        <f ca="1">VLOOKUP($B158,OFFSET([2]quests!$A$1,0,0,COUNTA([2]quests!$A:$A),MATCH(E$1,[2]quests!$1:$1,0)-MATCH($B$1,[2]quests!$1:$1,0)+1),MATCH(E$1,[2]quests!$1:$1,0)-MATCH($B$1,[2]quests!$1:$1,0)+1,FALSE)</f>
        <v>【木曜限定】 緑の素材</v>
      </c>
      <c r="F158" s="5" t="str">
        <f ca="1">VLOOKUP($D158,OFFSET([2]stages!$A$1,0,0,COUNTA([2]stages!$A:$A),MATCH(F$1,[2]stages!$2:$2,0)-MATCH($D$1,[2]stages!$2:$2,0)+1),MATCH(F$1,[2]stages!$2:$2,0)-MATCH($D$1,[2]stages!$2:$2,0)+1,FALSE)</f>
        <v xml:space="preserve">【上級】樹のイモムシ </v>
      </c>
      <c r="G158" s="25">
        <v>2</v>
      </c>
      <c r="H158" s="16" t="str">
        <f t="shared" si="69"/>
        <v>11004_3-2</v>
      </c>
      <c r="I158" s="5">
        <f ca="1">VLOOKUP($H158,OFFSET(floors!$A$1,0,0,COUNTA(floors!$A:$A),MATCH(I$1,floors!$1:$1,0)-MATCH($H$1,floors!$1:$1,0)+1),MATCH(I$1,floors!$1:$1,0)-MATCH($H$1,floors!$1:$1,0)+1,FALSE)</f>
        <v>30</v>
      </c>
      <c r="J158" s="5">
        <f ca="1">VLOOKUP($H158,OFFSET(floors!$A$1,0,0,COUNTA(floors!$A:$A),MATCH(J$1,floors!$1:$1,0)-MATCH($H$1,floors!$1:$1,0)+1),MATCH(J$1,floors!$1:$1,0)-MATCH($H$1,floors!$1:$1,0)+1,FALSE)</f>
        <v>45</v>
      </c>
      <c r="K158" s="24" t="s">
        <v>197</v>
      </c>
      <c r="L158" s="24">
        <v>337</v>
      </c>
      <c r="M158" s="20" t="str">
        <f ca="1">VLOOKUP($L158,OFFSET([3]enemies!$A$1,0,0,COUNTA([3]enemies!$A:$A),MATCH(M$1,[3]enemies!$1:$1,0)-MATCH($L$1,[3]enemies!$1:$1,0)+1),MATCH(M$1,[3]enemies!$1:$1,0)-MATCH($L$1,[3]enemies!$1:$1,0)+1,FALSE)</f>
        <v>森のメタルチック</v>
      </c>
      <c r="N158" s="20" t="str">
        <f ca="1">VLOOKUP($L158,OFFSET([3]enemies!$A$1,0,0,COUNTA([3]enemies!$A:$A),MATCH(N$1,[3]enemies!$1:$1,0)-MATCH($L$1,[3]enemies!$1:$1,0)+1),MATCH(N$1,[3]enemies!$1:$1,0)-MATCH($L$1,[3]enemies!$1:$1,0)+1,FALSE)</f>
        <v>green</v>
      </c>
      <c r="O158" s="22" t="str">
        <f ca="1">VLOOKUP($L158,OFFSET([4]characters!$A$1,0,0,COUNTA([4]characters!$A:$A),MATCH(O$1,[4]characters!$1:$1,0)-MATCH($L$1,[4]characters!$1:$1,0)+1),MATCH(O$1,[4]characters!$1:$1,0)-MATCH($L$1,[4]characters!$1:$1,0)+1,FALSE)</f>
        <v>Material</v>
      </c>
      <c r="P158" s="20" t="str">
        <f ca="1">VLOOKUP($L158,OFFSET([3]enemies!$A$1,0,0,COUNTA([3]enemies!$A:$A),MATCH(P$1,[3]enemies!$1:$1,0)-MATCH($L$1,[3]enemies!$1:$1,0)+1),MATCH(P$1,[3]enemies!$1:$1,0)-MATCH($L$1,[3]enemies!$1:$1,0)+1,FALSE)</f>
        <v>unknown</v>
      </c>
      <c r="Q158" s="20">
        <f ca="1">VLOOKUP($L158,OFFSET([3]enemies!$A$1,0,0,COUNTA([3]enemies!$A:$A),MATCH(Q$1,[3]enemies!$1:$1,0)-MATCH($L$1,[3]enemies!$1:$1,0)+1),MATCH(Q$1,[3]enemies!$1:$1,0)-MATCH($L$1,[3]enemies!$1:$1,0)+1,FALSE)</f>
        <v>15</v>
      </c>
      <c r="R158" s="6">
        <v>1</v>
      </c>
      <c r="S158" s="39">
        <v>1</v>
      </c>
      <c r="T158" s="39">
        <v>1</v>
      </c>
      <c r="U158" s="6">
        <v>0</v>
      </c>
      <c r="V158" s="5" t="str">
        <f ca="1">VLOOKUP($W158,OFFSET([5]enemy_skill_sets!$B$1,0,0,COUNTA([5]enemy_skill_sets!$B:$B),MATCH(M$1,[5]enemy_skill_sets!$1:$1,0)-MATCH($W$1,[5]enemy_skill_sets!$1:$1,0)+2),MATCH(M$1,[5]enemy_skill_sets!$1:$1,0)-MATCH($W$1,[5]enemy_skill_sets!$1:$1,0)+2,FALSE)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8" s="5">
        <f ca="1">VLOOKUP($L158,OFFSET([3]enemies!$A$1,0,0,COUNTA([3]enemies!$A:$A),MATCH(W$1,[3]enemies!$1:$1,0)-MATCH($L$1,[3]enemies!$1:$1,0)+1),MATCH(W$1,[3]enemies!$1:$1,0)-MATCH($L$1,[3]enemies!$1:$1,0)+1,FALSE)</f>
        <v>0</v>
      </c>
      <c r="X158" s="7">
        <v>0</v>
      </c>
      <c r="Y158" s="7">
        <v>30</v>
      </c>
      <c r="Z158" s="7">
        <v>0</v>
      </c>
      <c r="AA158" s="20">
        <f ca="1">VLOOKUP($L158,OFFSET([3]enemies!$A$1,0,0,COUNTA([3]enemies!$A:$A),MATCH(AA$1,[3]enemies!$1:$1,0)-MATCH($L$1,[3]enemies!$1:$1,0)+1),MATCH(AA$1,[3]enemies!$1:$1,0)-MATCH($L$1,[3]enemies!$1:$1,0)+1,FALSE)</f>
        <v>2</v>
      </c>
      <c r="AB158" s="24">
        <v>337</v>
      </c>
      <c r="AC158" s="5" t="str">
        <f ca="1">IFERROR(VLOOKUP($AB158,OFFSET([4]characters!$A$1,0,0,COUNTA([4]characters!$A:$A),MATCH(AC$1,[4]characters!$1:$1,0)-MATCH("character_id",[4]characters!$1:$1,0)+1),MATCH(AC$1,[4]characters!$1:$1,0)-MATCH("character_id",[4]characters!$1:$1,0)+1,FALSE),"")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58" s="5">
        <f ca="1">IFERROR(VLOOKUP($AB158,OFFSET([4]characters!$A$1,0,0,COUNTA([4]characters!$A:$A),MATCH(AD$1,[4]characters!$1:$1,0)-MATCH("character_id",[4]characters!$1:$1,0)+1),MATCH(AD$1,[4]characters!$1:$1,0)-MATCH("character_id",[4]characters!$1:$1,0)+1,FALSE),"")</f>
        <v>4</v>
      </c>
      <c r="AE158" s="5" t="str">
        <f ca="1">IFERROR(VLOOKUP($AB158,OFFSET([4]characters!$A$1,0,0,COUNTA([4]characters!$A:$A),MATCH(AE$1,[4]characters!$1:$1,0)-MATCH("character_id",[4]characters!$1:$1,0)+1),MATCH(AE$1,[4]characters!$1:$1,0)-MATCH("character_id",[4]characters!$1:$1,0)+1,FALSE),"")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8" s="8">
        <v>1</v>
      </c>
      <c r="AG158" s="27">
        <f t="shared" ca="1" si="81"/>
        <v>4</v>
      </c>
      <c r="AH158" s="9">
        <v>5</v>
      </c>
      <c r="AI158" s="8">
        <v>0</v>
      </c>
      <c r="AJ158" s="8">
        <v>0</v>
      </c>
      <c r="AK158" s="8">
        <v>0</v>
      </c>
      <c r="AL158" s="8">
        <v>0</v>
      </c>
      <c r="AM158" s="8">
        <v>1</v>
      </c>
      <c r="AN158" s="8">
        <v>1</v>
      </c>
    </row>
    <row r="159" spans="1:40" ht="21" customHeight="1" x14ac:dyDescent="0.15">
      <c r="A159" s="17" t="str">
        <f t="shared" ca="1" si="70"/>
        <v>11004_3-3/107&lt;lv30&gt;s1</v>
      </c>
      <c r="B159" s="8">
        <v>11004</v>
      </c>
      <c r="C159" s="25">
        <v>3</v>
      </c>
      <c r="D159" s="2" t="str">
        <f t="shared" si="71"/>
        <v>11004_3</v>
      </c>
      <c r="E159" s="5" t="str">
        <f ca="1">VLOOKUP($B159,OFFSET([2]quests!$A$1,0,0,COUNTA([2]quests!$A:$A),MATCH(E$1,[2]quests!$1:$1,0)-MATCH($B$1,[2]quests!$1:$1,0)+1),MATCH(E$1,[2]quests!$1:$1,0)-MATCH($B$1,[2]quests!$1:$1,0)+1,FALSE)</f>
        <v>【木曜限定】 緑の素材</v>
      </c>
      <c r="F159" s="5" t="str">
        <f ca="1">VLOOKUP($D159,OFFSET([2]stages!$A$1,0,0,COUNTA([2]stages!$A:$A),MATCH(F$1,[2]stages!$2:$2,0)-MATCH($D$1,[2]stages!$2:$2,0)+1),MATCH(F$1,[2]stages!$2:$2,0)-MATCH($D$1,[2]stages!$2:$2,0)+1,FALSE)</f>
        <v xml:space="preserve">【上級】樹のイモムシ </v>
      </c>
      <c r="G159" s="25">
        <v>3</v>
      </c>
      <c r="H159" s="16" t="str">
        <f t="shared" si="69"/>
        <v>11004_3-3</v>
      </c>
      <c r="I159" s="5">
        <f ca="1">VLOOKUP($H159,OFFSET(floors!$A$1,0,0,COUNTA(floors!$A:$A),MATCH(I$1,floors!$1:$1,0)-MATCH($H$1,floors!$1:$1,0)+1),MATCH(I$1,floors!$1:$1,0)-MATCH($H$1,floors!$1:$1,0)+1,FALSE)</f>
        <v>45</v>
      </c>
      <c r="J159" s="5">
        <f ca="1">VLOOKUP($H159,OFFSET(floors!$A$1,0,0,COUNTA(floors!$A:$A),MATCH(J$1,floors!$1:$1,0)-MATCH($H$1,floors!$1:$1,0)+1),MATCH(J$1,floors!$1:$1,0)-MATCH($H$1,floors!$1:$1,0)+1,FALSE)</f>
        <v>45</v>
      </c>
      <c r="K159" s="24" t="s">
        <v>197</v>
      </c>
      <c r="L159" s="24">
        <v>107</v>
      </c>
      <c r="M159" s="20" t="str">
        <f ca="1">VLOOKUP($L159,OFFSET([3]enemies!$A$1,0,0,COUNTA([3]enemies!$A:$A),MATCH(M$1,[3]enemies!$1:$1,0)-MATCH($L$1,[3]enemies!$1:$1,0)+1),MATCH(M$1,[3]enemies!$1:$1,0)-MATCH($L$1,[3]enemies!$1:$1,0)+1,FALSE)</f>
        <v>グリーンキャタップ</v>
      </c>
      <c r="N159" s="20" t="str">
        <f ca="1">VLOOKUP($L159,OFFSET([3]enemies!$A$1,0,0,COUNTA([3]enemies!$A:$A),MATCH(N$1,[3]enemies!$1:$1,0)-MATCH($L$1,[3]enemies!$1:$1,0)+1),MATCH(N$1,[3]enemies!$1:$1,0)-MATCH($L$1,[3]enemies!$1:$1,0)+1,FALSE)</f>
        <v>green</v>
      </c>
      <c r="O159" s="22" t="str">
        <f ca="1">VLOOKUP($L159,OFFSET([4]characters!$A$1,0,0,COUNTA([4]characters!$A:$A),MATCH(O$1,[4]characters!$1:$1,0)-MATCH($L$1,[4]characters!$1:$1,0)+1),MATCH(O$1,[4]characters!$1:$1,0)-MATCH($L$1,[4]characters!$1:$1,0)+1,FALSE)</f>
        <v>Material</v>
      </c>
      <c r="P159" s="20" t="str">
        <f ca="1">VLOOKUP($L159,OFFSET([3]enemies!$A$1,0,0,COUNTA([3]enemies!$A:$A),MATCH(P$1,[3]enemies!$1:$1,0)-MATCH($L$1,[3]enemies!$1:$1,0)+1),MATCH(P$1,[3]enemies!$1:$1,0)-MATCH($L$1,[3]enemies!$1:$1,0)+1,FALSE)</f>
        <v>unknown</v>
      </c>
      <c r="Q159" s="20">
        <f ca="1">VLOOKUP($L159,OFFSET([3]enemies!$A$1,0,0,COUNTA([3]enemies!$A:$A),MATCH(Q$1,[3]enemies!$1:$1,0)-MATCH($L$1,[3]enemies!$1:$1,0)+1),MATCH(Q$1,[3]enemies!$1:$1,0)-MATCH($L$1,[3]enemies!$1:$1,0)+1,FALSE)</f>
        <v>15</v>
      </c>
      <c r="R159" s="6">
        <v>30</v>
      </c>
      <c r="S159" s="39">
        <v>2</v>
      </c>
      <c r="T159" s="39">
        <v>1</v>
      </c>
      <c r="U159" s="6">
        <v>0</v>
      </c>
      <c r="V159" s="5" t="str">
        <f ca="1">VLOOKUP($W159,OFFSET([5]enemy_skill_sets!$B$1,0,0,COUNTA([5]enemy_skill_sets!$B:$B),MATCH(M$1,[5]enemy_skill_sets!$1:$1,0)-MATCH($W$1,[5]enemy_skill_sets!$1:$1,0)+2),MATCH(M$1,[5]enemy_skill_sets!$1:$1,0)-MATCH($W$1,[5]enemy_skill_sets!$1:$1,0)+2,FALSE)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9" s="5">
        <f ca="1">VLOOKUP($L159,OFFSET([3]enemies!$A$1,0,0,COUNTA([3]enemies!$A:$A),MATCH(W$1,[3]enemies!$1:$1,0)-MATCH($L$1,[3]enemies!$1:$1,0)+1),MATCH(W$1,[3]enemies!$1:$1,0)-MATCH($L$1,[3]enemies!$1:$1,0)+1,FALSE)</f>
        <v>0</v>
      </c>
      <c r="X159" s="7">
        <v>1</v>
      </c>
      <c r="Y159" s="7">
        <v>100</v>
      </c>
      <c r="Z159" s="7">
        <v>1</v>
      </c>
      <c r="AA159" s="20">
        <f ca="1">VLOOKUP($L159,OFFSET([3]enemies!$A$1,0,0,COUNTA([3]enemies!$A:$A),MATCH(AA$1,[3]enemies!$1:$1,0)-MATCH($L$1,[3]enemies!$1:$1,0)+1),MATCH(AA$1,[3]enemies!$1:$1,0)-MATCH($L$1,[3]enemies!$1:$1,0)+1,FALSE)</f>
        <v>1</v>
      </c>
      <c r="AB159" s="24">
        <v>107</v>
      </c>
      <c r="AC159" s="5" t="str">
        <f ca="1">IFERROR(VLOOKUP($AB159,OFFSET([4]characters!$A$1,0,0,COUNTA([4]characters!$A:$A),MATCH(AC$1,[4]characters!$1:$1,0)-MATCH("character_id",[4]characters!$1:$1,0)+1),MATCH(AC$1,[4]characters!$1:$1,0)-MATCH("character_id",[4]characters!$1:$1,0)+1,FALSE),"")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59" s="5">
        <f ca="1">IFERROR(VLOOKUP($AB159,OFFSET([4]characters!$A$1,0,0,COUNTA([4]characters!$A:$A),MATCH(AD$1,[4]characters!$1:$1,0)-MATCH("character_id",[4]characters!$1:$1,0)+1),MATCH(AD$1,[4]characters!$1:$1,0)-MATCH("character_id",[4]characters!$1:$1,0)+1,FALSE),"")</f>
        <v>4</v>
      </c>
      <c r="AE159" s="5" t="str">
        <f ca="1">IFERROR(VLOOKUP($AB159,OFFSET([4]characters!$A$1,0,0,COUNTA([4]characters!$A:$A),MATCH(AE$1,[4]characters!$1:$1,0)-MATCH("character_id",[4]characters!$1:$1,0)+1),MATCH(AE$1,[4]characters!$1:$1,0)-MATCH("character_id",[4]characters!$1:$1,0)+1,FALSE),"")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9" s="8">
        <v>1</v>
      </c>
      <c r="AG159" s="27">
        <f t="shared" ca="1" si="72"/>
        <v>4</v>
      </c>
      <c r="AH159" s="9">
        <v>50</v>
      </c>
      <c r="AI159" s="8">
        <v>0</v>
      </c>
      <c r="AJ159" s="8">
        <v>0</v>
      </c>
      <c r="AK159" s="8">
        <v>0</v>
      </c>
      <c r="AL159" s="8">
        <v>0</v>
      </c>
      <c r="AM159" s="8">
        <v>1</v>
      </c>
      <c r="AN159" s="8">
        <v>1</v>
      </c>
    </row>
    <row r="160" spans="1:40" ht="21" customHeight="1" x14ac:dyDescent="0.15">
      <c r="A160" s="17" t="str">
        <f t="shared" ca="1" si="70"/>
        <v>11004_3-3/35&lt;lv35&gt;s4</v>
      </c>
      <c r="B160" s="8">
        <v>11004</v>
      </c>
      <c r="C160" s="25">
        <v>3</v>
      </c>
      <c r="D160" s="2" t="str">
        <f t="shared" si="71"/>
        <v>11004_3</v>
      </c>
      <c r="E160" s="5" t="str">
        <f ca="1">VLOOKUP($B160,OFFSET([2]quests!$A$1,0,0,COUNTA([2]quests!$A:$A),MATCH(E$1,[2]quests!$1:$1,0)-MATCH($B$1,[2]quests!$1:$1,0)+1),MATCH(E$1,[2]quests!$1:$1,0)-MATCH($B$1,[2]quests!$1:$1,0)+1,FALSE)</f>
        <v>【木曜限定】 緑の素材</v>
      </c>
      <c r="F160" s="5" t="str">
        <f ca="1">VLOOKUP($D160,OFFSET([2]stages!$A$1,0,0,COUNTA([2]stages!$A:$A),MATCH(F$1,[2]stages!$2:$2,0)-MATCH($D$1,[2]stages!$2:$2,0)+1),MATCH(F$1,[2]stages!$2:$2,0)-MATCH($D$1,[2]stages!$2:$2,0)+1,FALSE)</f>
        <v xml:space="preserve">【上級】樹のイモムシ </v>
      </c>
      <c r="G160" s="25">
        <v>3</v>
      </c>
      <c r="H160" s="16" t="str">
        <f t="shared" si="69"/>
        <v>11004_3-3</v>
      </c>
      <c r="I160" s="5">
        <f ca="1">VLOOKUP($H160,OFFSET(floors!$A$1,0,0,COUNTA(floors!$A:$A),MATCH(I$1,floors!$1:$1,0)-MATCH($H$1,floors!$1:$1,0)+1),MATCH(I$1,floors!$1:$1,0)-MATCH($H$1,floors!$1:$1,0)+1,FALSE)</f>
        <v>45</v>
      </c>
      <c r="J160" s="5">
        <f ca="1">VLOOKUP($H160,OFFSET(floors!$A$1,0,0,COUNTA(floors!$A:$A),MATCH(J$1,floors!$1:$1,0)-MATCH($H$1,floors!$1:$1,0)+1),MATCH(J$1,floors!$1:$1,0)-MATCH($H$1,floors!$1:$1,0)+1,FALSE)</f>
        <v>45</v>
      </c>
      <c r="K160" s="24" t="s">
        <v>197</v>
      </c>
      <c r="L160" s="24">
        <v>35</v>
      </c>
      <c r="M160" s="20" t="str">
        <f ca="1">VLOOKUP($L160,OFFSET([3]enemies!$A$1,0,0,COUNTA([3]enemies!$A:$A),MATCH(M$1,[3]enemies!$1:$1,0)-MATCH($L$1,[3]enemies!$1:$1,0)+1),MATCH(M$1,[3]enemies!$1:$1,0)-MATCH($L$1,[3]enemies!$1:$1,0)+1,FALSE)</f>
        <v>F2</v>
      </c>
      <c r="N160" s="20" t="str">
        <f ca="1">VLOOKUP($L160,OFFSET([3]enemies!$A$1,0,0,COUNTA([3]enemies!$A:$A),MATCH(N$1,[3]enemies!$1:$1,0)-MATCH($L$1,[3]enemies!$1:$1,0)+1),MATCH(N$1,[3]enemies!$1:$1,0)-MATCH($L$1,[3]enemies!$1:$1,0)+1,FALSE)</f>
        <v>green</v>
      </c>
      <c r="O160" s="22" t="str">
        <f ca="1">VLOOKUP($L160,OFFSET([4]characters!$A$1,0,0,COUNTA([4]characters!$A:$A),MATCH(O$1,[4]characters!$1:$1,0)-MATCH($L$1,[4]characters!$1:$1,0)+1),MATCH(O$1,[4]characters!$1:$1,0)-MATCH($L$1,[4]characters!$1:$1,0)+1,FALSE)</f>
        <v>Drop1S</v>
      </c>
      <c r="P160" s="20" t="str">
        <f ca="1">VLOOKUP($L160,OFFSET([3]enemies!$A$1,0,0,COUNTA([3]enemies!$A:$A),MATCH(P$1,[3]enemies!$1:$1,0)-MATCH($L$1,[3]enemies!$1:$1,0)+1),MATCH(P$1,[3]enemies!$1:$1,0)-MATCH($L$1,[3]enemies!$1:$1,0)+1,FALSE)</f>
        <v>machine</v>
      </c>
      <c r="Q160" s="20">
        <f ca="1">VLOOKUP($L160,OFFSET([3]enemies!$A$1,0,0,COUNTA([3]enemies!$A:$A),MATCH(Q$1,[3]enemies!$1:$1,0)-MATCH($L$1,[3]enemies!$1:$1,0)+1),MATCH(Q$1,[3]enemies!$1:$1,0)-MATCH($L$1,[3]enemies!$1:$1,0)+1,FALSE)</f>
        <v>15</v>
      </c>
      <c r="R160" s="6">
        <v>35</v>
      </c>
      <c r="S160" s="39">
        <v>1</v>
      </c>
      <c r="T160" s="39">
        <v>1</v>
      </c>
      <c r="U160" s="6">
        <v>0</v>
      </c>
      <c r="V160" s="5" t="str">
        <f ca="1">VLOOKUP($W160,OFFSET([5]enemy_skill_sets!$B$1,0,0,COUNTA([5]enemy_skill_sets!$B:$B),MATCH(M$1,[5]enemy_skill_sets!$1:$1,0)-MATCH($W$1,[5]enemy_skill_sets!$1:$1,0)+2),MATCH(M$1,[5]enemy_skill_sets!$1:$1,0)-MATCH($W$1,[5]enemy_skill_sets!$1:$1,0)+2,FALSE)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60" s="5">
        <f ca="1">VLOOKUP($L160,OFFSET([3]enemies!$A$1,0,0,COUNTA([3]enemies!$A:$A),MATCH(W$1,[3]enemies!$1:$1,0)-MATCH($L$1,[3]enemies!$1:$1,0)+1),MATCH(W$1,[3]enemies!$1:$1,0)-MATCH($L$1,[3]enemies!$1:$1,0)+1,FALSE)</f>
        <v>35</v>
      </c>
      <c r="X160" s="7">
        <v>0</v>
      </c>
      <c r="Y160" s="7">
        <v>100</v>
      </c>
      <c r="Z160" s="7">
        <v>0</v>
      </c>
      <c r="AA160" s="20">
        <f ca="1">VLOOKUP($L160,OFFSET([3]enemies!$A$1,0,0,COUNTA([3]enemies!$A:$A),MATCH(AA$1,[3]enemies!$1:$1,0)-MATCH($L$1,[3]enemies!$1:$1,0)+1),MATCH(AA$1,[3]enemies!$1:$1,0)-MATCH($L$1,[3]enemies!$1:$1,0)+1,FALSE)</f>
        <v>4</v>
      </c>
      <c r="AB160" s="24">
        <v>35</v>
      </c>
      <c r="AC160" s="5" t="str">
        <f ca="1">IFERROR(VLOOKUP($AB160,OFFSET([4]characters!$A$1,0,0,COUNTA([4]characters!$A:$A),MATCH(AC$1,[4]characters!$1:$1,0)-MATCH("character_id",[4]characters!$1:$1,0)+1),MATCH(AC$1,[4]characters!$1:$1,0)-MATCH("character_id",[4]characters!$1:$1,0)+1,FALSE),"")</f>
        <v>F2</v>
      </c>
      <c r="AD160" s="5">
        <f ca="1">IFERROR(VLOOKUP($AB160,OFFSET([4]characters!$A$1,0,0,COUNTA([4]characters!$A:$A),MATCH(AD$1,[4]characters!$1:$1,0)-MATCH("character_id",[4]characters!$1:$1,0)+1),MATCH(AD$1,[4]characters!$1:$1,0)-MATCH("character_id",[4]characters!$1:$1,0)+1,FALSE),"")</f>
        <v>2</v>
      </c>
      <c r="AE160" s="5" t="str">
        <f ca="1">IFERROR(VLOOKUP($AB160,OFFSET([4]characters!$A$1,0,0,COUNTA([4]characters!$A:$A),MATCH(AE$1,[4]characters!$1:$1,0)-MATCH("character_id",[4]characters!$1:$1,0)+1),MATCH(AE$1,[4]characters!$1:$1,0)-MATCH("character_id",[4]characters!$1:$1,0)+1,FALSE),"")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60" s="8">
        <v>1</v>
      </c>
      <c r="AG160" s="27">
        <f t="shared" ca="1" si="72"/>
        <v>2</v>
      </c>
      <c r="AH160" s="9">
        <v>0</v>
      </c>
      <c r="AI160" s="8">
        <v>0</v>
      </c>
      <c r="AJ160" s="8">
        <v>0</v>
      </c>
      <c r="AK160" s="8">
        <v>0</v>
      </c>
      <c r="AL160" s="8">
        <v>0</v>
      </c>
      <c r="AM160" s="8">
        <v>1</v>
      </c>
      <c r="AN160" s="8">
        <v>1</v>
      </c>
    </row>
    <row r="161" spans="1:40" ht="21" customHeight="1" x14ac:dyDescent="0.15">
      <c r="A161" s="17" t="str">
        <f t="shared" ca="1" si="70"/>
        <v>11004_3-3/27&lt;lv35&gt;s1</v>
      </c>
      <c r="B161" s="8">
        <v>11004</v>
      </c>
      <c r="C161" s="25">
        <v>3</v>
      </c>
      <c r="D161" s="2" t="str">
        <f t="shared" si="71"/>
        <v>11004_3</v>
      </c>
      <c r="E161" s="5" t="str">
        <f ca="1">VLOOKUP($B161,OFFSET([2]quests!$A$1,0,0,COUNTA([2]quests!$A:$A),MATCH(E$1,[2]quests!$1:$1,0)-MATCH($B$1,[2]quests!$1:$1,0)+1),MATCH(E$1,[2]quests!$1:$1,0)-MATCH($B$1,[2]quests!$1:$1,0)+1,FALSE)</f>
        <v>【木曜限定】 緑の素材</v>
      </c>
      <c r="F161" s="5" t="str">
        <f ca="1">VLOOKUP($D161,OFFSET([2]stages!$A$1,0,0,COUNTA([2]stages!$A:$A),MATCH(F$1,[2]stages!$2:$2,0)-MATCH($D$1,[2]stages!$2:$2,0)+1),MATCH(F$1,[2]stages!$2:$2,0)-MATCH($D$1,[2]stages!$2:$2,0)+1,FALSE)</f>
        <v xml:space="preserve">【上級】樹のイモムシ </v>
      </c>
      <c r="G161" s="25">
        <v>3</v>
      </c>
      <c r="H161" s="16" t="str">
        <f t="shared" si="69"/>
        <v>11004_3-3</v>
      </c>
      <c r="I161" s="5">
        <f ca="1">VLOOKUP($H161,OFFSET(floors!$A$1,0,0,COUNTA(floors!$A:$A),MATCH(I$1,floors!$1:$1,0)-MATCH($H$1,floors!$1:$1,0)+1),MATCH(I$1,floors!$1:$1,0)-MATCH($H$1,floors!$1:$1,0)+1,FALSE)</f>
        <v>45</v>
      </c>
      <c r="J161" s="5">
        <f ca="1">VLOOKUP($H161,OFFSET(floors!$A$1,0,0,COUNTA(floors!$A:$A),MATCH(J$1,floors!$1:$1,0)-MATCH($H$1,floors!$1:$1,0)+1),MATCH(J$1,floors!$1:$1,0)-MATCH($H$1,floors!$1:$1,0)+1,FALSE)</f>
        <v>45</v>
      </c>
      <c r="K161" s="24" t="s">
        <v>197</v>
      </c>
      <c r="L161" s="24">
        <v>27</v>
      </c>
      <c r="M161" s="20" t="str">
        <f ca="1">VLOOKUP($L161,OFFSET([3]enemies!$A$1,0,0,COUNTA([3]enemies!$A:$A),MATCH(M$1,[3]enemies!$1:$1,0)-MATCH($L$1,[3]enemies!$1:$1,0)+1),MATCH(M$1,[3]enemies!$1:$1,0)-MATCH($L$1,[3]enemies!$1:$1,0)+1,FALSE)</f>
        <v>パトライン</v>
      </c>
      <c r="N161" s="20" t="str">
        <f ca="1">VLOOKUP($L161,OFFSET([3]enemies!$A$1,0,0,COUNTA([3]enemies!$A:$A),MATCH(N$1,[3]enemies!$1:$1,0)-MATCH($L$1,[3]enemies!$1:$1,0)+1),MATCH(N$1,[3]enemies!$1:$1,0)-MATCH($L$1,[3]enemies!$1:$1,0)+1,FALSE)</f>
        <v>green</v>
      </c>
      <c r="O161" s="22" t="str">
        <f ca="1">VLOOKUP($L161,OFFSET([4]characters!$A$1,0,0,COUNTA([4]characters!$A:$A),MATCH(O$1,[4]characters!$1:$1,0)-MATCH($L$1,[4]characters!$1:$1,0)+1),MATCH(O$1,[4]characters!$1:$1,0)-MATCH($L$1,[4]characters!$1:$1,0)+1,FALSE)</f>
        <v>Drop1N</v>
      </c>
      <c r="P161" s="20" t="str">
        <f ca="1">VLOOKUP($L161,OFFSET([3]enemies!$A$1,0,0,COUNTA([3]enemies!$A:$A),MATCH(P$1,[3]enemies!$1:$1,0)-MATCH($L$1,[3]enemies!$1:$1,0)+1),MATCH(P$1,[3]enemies!$1:$1,0)-MATCH($L$1,[3]enemies!$1:$1,0)+1,FALSE)</f>
        <v>machine</v>
      </c>
      <c r="Q161" s="20">
        <f ca="1">VLOOKUP($L161,OFFSET([3]enemies!$A$1,0,0,COUNTA([3]enemies!$A:$A),MATCH(Q$1,[3]enemies!$1:$1,0)-MATCH($L$1,[3]enemies!$1:$1,0)+1),MATCH(Q$1,[3]enemies!$1:$1,0)-MATCH($L$1,[3]enemies!$1:$1,0)+1,FALSE)</f>
        <v>15</v>
      </c>
      <c r="R161" s="6">
        <v>35</v>
      </c>
      <c r="S161" s="39">
        <v>1</v>
      </c>
      <c r="T161" s="39">
        <v>1</v>
      </c>
      <c r="U161" s="6">
        <v>0</v>
      </c>
      <c r="V161" s="5" t="str">
        <f ca="1">VLOOKUP($W161,OFFSET([5]enemy_skill_sets!$B$1,0,0,COUNTA([5]enemy_skill_sets!$B:$B),MATCH(M$1,[5]enemy_skill_sets!$1:$1,0)-MATCH($W$1,[5]enemy_skill_sets!$1:$1,0)+2),MATCH(M$1,[5]enemy_skill_sets!$1:$1,0)-MATCH($W$1,[5]enemy_skill_sets!$1:$1,0)+2,FALSE)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1" s="5">
        <f ca="1">VLOOKUP($L161,OFFSET([3]enemies!$A$1,0,0,COUNTA([3]enemies!$A:$A),MATCH(W$1,[3]enemies!$1:$1,0)-MATCH($L$1,[3]enemies!$1:$1,0)+1),MATCH(W$1,[3]enemies!$1:$1,0)-MATCH($L$1,[3]enemies!$1:$1,0)+1,FALSE)</f>
        <v>0</v>
      </c>
      <c r="X161" s="7">
        <v>0</v>
      </c>
      <c r="Y161" s="7">
        <v>100</v>
      </c>
      <c r="Z161" s="7">
        <v>0</v>
      </c>
      <c r="AA161" s="20">
        <f ca="1">VLOOKUP($L161,OFFSET([3]enemies!$A$1,0,0,COUNTA([3]enemies!$A:$A),MATCH(AA$1,[3]enemies!$1:$1,0)-MATCH($L$1,[3]enemies!$1:$1,0)+1),MATCH(AA$1,[3]enemies!$1:$1,0)-MATCH($L$1,[3]enemies!$1:$1,0)+1,FALSE)</f>
        <v>1</v>
      </c>
      <c r="AB161" s="24">
        <v>27</v>
      </c>
      <c r="AC161" s="5" t="str">
        <f ca="1">IFERROR(VLOOKUP($AB161,OFFSET([4]characters!$A$1,0,0,COUNTA([4]characters!$A:$A),MATCH(AC$1,[4]characters!$1:$1,0)-MATCH("character_id",[4]characters!$1:$1,0)+1),MATCH(AC$1,[4]characters!$1:$1,0)-MATCH("character_id",[4]characters!$1:$1,0)+1,FALSE),"")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61" s="5">
        <f ca="1">IFERROR(VLOOKUP($AB161,OFFSET([4]characters!$A$1,0,0,COUNTA([4]characters!$A:$A),MATCH(AD$1,[4]characters!$1:$1,0)-MATCH("character_id",[4]characters!$1:$1,0)+1),MATCH(AD$1,[4]characters!$1:$1,0)-MATCH("character_id",[4]characters!$1:$1,0)+1,FALSE),"")</f>
        <v>1</v>
      </c>
      <c r="AE161" s="5" t="str">
        <f ca="1">IFERROR(VLOOKUP($AB161,OFFSET([4]characters!$A$1,0,0,COUNTA([4]characters!$A:$A),MATCH(AE$1,[4]characters!$1:$1,0)-MATCH("character_id",[4]characters!$1:$1,0)+1),MATCH(AE$1,[4]characters!$1:$1,0)-MATCH("character_id",[4]characters!$1:$1,0)+1,FALSE),"")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61" s="8">
        <v>1</v>
      </c>
      <c r="AG161" s="27">
        <f t="shared" ca="1" si="72"/>
        <v>1</v>
      </c>
      <c r="AH161" s="9">
        <v>0</v>
      </c>
      <c r="AI161" s="8">
        <v>0</v>
      </c>
      <c r="AJ161" s="8">
        <v>0</v>
      </c>
      <c r="AK161" s="8">
        <v>0</v>
      </c>
      <c r="AL161" s="8">
        <v>0</v>
      </c>
      <c r="AM161" s="8">
        <v>1</v>
      </c>
      <c r="AN161" s="8">
        <v>1</v>
      </c>
    </row>
    <row r="162" spans="1:40" ht="21" customHeight="1" x14ac:dyDescent="0.15">
      <c r="A162" s="17" t="str">
        <f t="shared" ca="1" si="70"/>
        <v>11004_3-3/336&lt;lv1&gt;s1</v>
      </c>
      <c r="B162" s="8">
        <v>11004</v>
      </c>
      <c r="C162" s="25">
        <v>3</v>
      </c>
      <c r="D162" s="2" t="str">
        <f t="shared" si="71"/>
        <v>11004_3</v>
      </c>
      <c r="E162" s="5" t="str">
        <f ca="1">VLOOKUP($B162,OFFSET([2]quests!$A$1,0,0,COUNTA([2]quests!$A:$A),MATCH(E$1,[2]quests!$1:$1,0)-MATCH($B$1,[2]quests!$1:$1,0)+1),MATCH(E$1,[2]quests!$1:$1,0)-MATCH($B$1,[2]quests!$1:$1,0)+1,FALSE)</f>
        <v>【木曜限定】 緑の素材</v>
      </c>
      <c r="F162" s="5" t="str">
        <f ca="1">VLOOKUP($D162,OFFSET([2]stages!$A$1,0,0,COUNTA([2]stages!$A:$A),MATCH(F$1,[2]stages!$2:$2,0)-MATCH($D$1,[2]stages!$2:$2,0)+1),MATCH(F$1,[2]stages!$2:$2,0)-MATCH($D$1,[2]stages!$2:$2,0)+1,FALSE)</f>
        <v xml:space="preserve">【上級】樹のイモムシ </v>
      </c>
      <c r="G162" s="25">
        <v>3</v>
      </c>
      <c r="H162" s="16" t="str">
        <f t="shared" si="69"/>
        <v>11004_3-3</v>
      </c>
      <c r="I162" s="5">
        <f ca="1">VLOOKUP($H162,OFFSET(floors!$A$1,0,0,COUNTA(floors!$A:$A),MATCH(I$1,floors!$1:$1,0)-MATCH($H$1,floors!$1:$1,0)+1),MATCH(I$1,floors!$1:$1,0)-MATCH($H$1,floors!$1:$1,0)+1,FALSE)</f>
        <v>45</v>
      </c>
      <c r="J162" s="5">
        <f ca="1">VLOOKUP($H162,OFFSET(floors!$A$1,0,0,COUNTA(floors!$A:$A),MATCH(J$1,floors!$1:$1,0)-MATCH($H$1,floors!$1:$1,0)+1),MATCH(J$1,floors!$1:$1,0)-MATCH($H$1,floors!$1:$1,0)+1,FALSE)</f>
        <v>45</v>
      </c>
      <c r="K162" s="24" t="s">
        <v>197</v>
      </c>
      <c r="L162" s="24">
        <v>336</v>
      </c>
      <c r="M162" s="20" t="str">
        <f ca="1">VLOOKUP($L162,OFFSET([3]enemies!$A$1,0,0,COUNTA([3]enemies!$A:$A),MATCH(M$1,[3]enemies!$1:$1,0)-MATCH($L$1,[3]enemies!$1:$1,0)+1),MATCH(M$1,[3]enemies!$1:$1,0)-MATCH($L$1,[3]enemies!$1:$1,0)+1,FALSE)</f>
        <v>森のメタルピヨピヨ</v>
      </c>
      <c r="N162" s="20" t="str">
        <f ca="1">VLOOKUP($L162,OFFSET([3]enemies!$A$1,0,0,COUNTA([3]enemies!$A:$A),MATCH(N$1,[3]enemies!$1:$1,0)-MATCH($L$1,[3]enemies!$1:$1,0)+1),MATCH(N$1,[3]enemies!$1:$1,0)-MATCH($L$1,[3]enemies!$1:$1,0)+1,FALSE)</f>
        <v>green</v>
      </c>
      <c r="O162" s="22" t="str">
        <f ca="1">VLOOKUP($L162,OFFSET([4]characters!$A$1,0,0,COUNTA([4]characters!$A:$A),MATCH(O$1,[4]characters!$1:$1,0)-MATCH($L$1,[4]characters!$1:$1,0)+1),MATCH(O$1,[4]characters!$1:$1,0)-MATCH($L$1,[4]characters!$1:$1,0)+1,FALSE)</f>
        <v>Material</v>
      </c>
      <c r="P162" s="20" t="str">
        <f ca="1">VLOOKUP($L162,OFFSET([3]enemies!$A$1,0,0,COUNTA([3]enemies!$A:$A),MATCH(P$1,[3]enemies!$1:$1,0)-MATCH($L$1,[3]enemies!$1:$1,0)+1),MATCH(P$1,[3]enemies!$1:$1,0)-MATCH($L$1,[3]enemies!$1:$1,0)+1,FALSE)</f>
        <v>unknown</v>
      </c>
      <c r="Q162" s="20">
        <f ca="1">VLOOKUP($L162,OFFSET([3]enemies!$A$1,0,0,COUNTA([3]enemies!$A:$A),MATCH(Q$1,[3]enemies!$1:$1,0)-MATCH($L$1,[3]enemies!$1:$1,0)+1),MATCH(Q$1,[3]enemies!$1:$1,0)-MATCH($L$1,[3]enemies!$1:$1,0)+1,FALSE)</f>
        <v>15</v>
      </c>
      <c r="R162" s="6">
        <v>1</v>
      </c>
      <c r="S162" s="39">
        <v>1</v>
      </c>
      <c r="T162" s="39">
        <v>1</v>
      </c>
      <c r="U162" s="6">
        <v>0</v>
      </c>
      <c r="V162" s="5" t="str">
        <f ca="1">VLOOKUP($W162,OFFSET([5]enemy_skill_sets!$B$1,0,0,COUNTA([5]enemy_skill_sets!$B:$B),MATCH(M$1,[5]enemy_skill_sets!$1:$1,0)-MATCH($W$1,[5]enemy_skill_sets!$1:$1,0)+2),MATCH(M$1,[5]enemy_skill_sets!$1:$1,0)-MATCH($W$1,[5]enemy_skill_sets!$1:$1,0)+2,FALSE)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2" s="5">
        <f ca="1">VLOOKUP($L162,OFFSET([3]enemies!$A$1,0,0,COUNTA([3]enemies!$A:$A),MATCH(W$1,[3]enemies!$1:$1,0)-MATCH($L$1,[3]enemies!$1:$1,0)+1),MATCH(W$1,[3]enemies!$1:$1,0)-MATCH($L$1,[3]enemies!$1:$1,0)+1,FALSE)</f>
        <v>0</v>
      </c>
      <c r="X162" s="7">
        <v>0</v>
      </c>
      <c r="Y162" s="7">
        <v>30</v>
      </c>
      <c r="Z162" s="7">
        <v>0</v>
      </c>
      <c r="AA162" s="20">
        <f ca="1">VLOOKUP($L162,OFFSET([3]enemies!$A$1,0,0,COUNTA([3]enemies!$A:$A),MATCH(AA$1,[3]enemies!$1:$1,0)-MATCH($L$1,[3]enemies!$1:$1,0)+1),MATCH(AA$1,[3]enemies!$1:$1,0)-MATCH($L$1,[3]enemies!$1:$1,0)+1,FALSE)</f>
        <v>1</v>
      </c>
      <c r="AB162" s="24">
        <v>336</v>
      </c>
      <c r="AC162" s="5" t="str">
        <f ca="1">IFERROR(VLOOKUP($AB162,OFFSET([4]characters!$A$1,0,0,COUNTA([4]characters!$A:$A),MATCH(AC$1,[4]characters!$1:$1,0)-MATCH("character_id",[4]characters!$1:$1,0)+1),MATCH(AC$1,[4]characters!$1:$1,0)-MATCH("character_id",[4]characters!$1:$1,0)+1,FALSE),"")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62" s="5">
        <f ca="1">IFERROR(VLOOKUP($AB162,OFFSET([4]characters!$A$1,0,0,COUNTA([4]characters!$A:$A),MATCH(AD$1,[4]characters!$1:$1,0)-MATCH("character_id",[4]characters!$1:$1,0)+1),MATCH(AD$1,[4]characters!$1:$1,0)-MATCH("character_id",[4]characters!$1:$1,0)+1,FALSE),"")</f>
        <v>3</v>
      </c>
      <c r="AE162" s="5" t="str">
        <f ca="1">IFERROR(VLOOKUP($AB162,OFFSET([4]characters!$A$1,0,0,COUNTA([4]characters!$A:$A),MATCH(AE$1,[4]characters!$1:$1,0)-MATCH("character_id",[4]characters!$1:$1,0)+1),MATCH(AE$1,[4]characters!$1:$1,0)-MATCH("character_id",[4]characters!$1:$1,0)+1,FALSE),"")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2" s="8">
        <v>1</v>
      </c>
      <c r="AG162" s="27">
        <f t="shared" ca="1" si="72"/>
        <v>3</v>
      </c>
      <c r="AH162" s="9">
        <v>10</v>
      </c>
      <c r="AI162" s="8">
        <v>0</v>
      </c>
      <c r="AJ162" s="8">
        <v>0</v>
      </c>
      <c r="AK162" s="8">
        <v>0</v>
      </c>
      <c r="AL162" s="8">
        <v>0</v>
      </c>
      <c r="AM162" s="8">
        <v>1</v>
      </c>
      <c r="AN162" s="8">
        <v>1</v>
      </c>
    </row>
    <row r="163" spans="1:40" ht="21" customHeight="1" x14ac:dyDescent="0.15">
      <c r="A163" s="17" t="str">
        <f t="shared" ca="1" si="70"/>
        <v>11004_3-3/337&lt;lv1&gt;s2</v>
      </c>
      <c r="B163" s="8">
        <v>11004</v>
      </c>
      <c r="C163" s="25">
        <v>3</v>
      </c>
      <c r="D163" s="2" t="str">
        <f t="shared" si="71"/>
        <v>11004_3</v>
      </c>
      <c r="E163" s="5" t="str">
        <f ca="1">VLOOKUP($B163,OFFSET([2]quests!$A$1,0,0,COUNTA([2]quests!$A:$A),MATCH(E$1,[2]quests!$1:$1,0)-MATCH($B$1,[2]quests!$1:$1,0)+1),MATCH(E$1,[2]quests!$1:$1,0)-MATCH($B$1,[2]quests!$1:$1,0)+1,FALSE)</f>
        <v>【木曜限定】 緑の素材</v>
      </c>
      <c r="F163" s="5" t="str">
        <f ca="1">VLOOKUP($D163,OFFSET([2]stages!$A$1,0,0,COUNTA([2]stages!$A:$A),MATCH(F$1,[2]stages!$2:$2,0)-MATCH($D$1,[2]stages!$2:$2,0)+1),MATCH(F$1,[2]stages!$2:$2,0)-MATCH($D$1,[2]stages!$2:$2,0)+1,FALSE)</f>
        <v xml:space="preserve">【上級】樹のイモムシ </v>
      </c>
      <c r="G163" s="25">
        <v>3</v>
      </c>
      <c r="H163" s="16" t="str">
        <f t="shared" si="69"/>
        <v>11004_3-3</v>
      </c>
      <c r="I163" s="5">
        <f ca="1">VLOOKUP($H163,OFFSET(floors!$A$1,0,0,COUNTA(floors!$A:$A),MATCH(I$1,floors!$1:$1,0)-MATCH($H$1,floors!$1:$1,0)+1),MATCH(I$1,floors!$1:$1,0)-MATCH($H$1,floors!$1:$1,0)+1,FALSE)</f>
        <v>45</v>
      </c>
      <c r="J163" s="5">
        <f ca="1">VLOOKUP($H163,OFFSET(floors!$A$1,0,0,COUNTA(floors!$A:$A),MATCH(J$1,floors!$1:$1,0)-MATCH($H$1,floors!$1:$1,0)+1),MATCH(J$1,floors!$1:$1,0)-MATCH($H$1,floors!$1:$1,0)+1,FALSE)</f>
        <v>45</v>
      </c>
      <c r="K163" s="24" t="s">
        <v>197</v>
      </c>
      <c r="L163" s="24">
        <v>337</v>
      </c>
      <c r="M163" s="20" t="str">
        <f ca="1">VLOOKUP($L163,OFFSET([3]enemies!$A$1,0,0,COUNTA([3]enemies!$A:$A),MATCH(M$1,[3]enemies!$1:$1,0)-MATCH($L$1,[3]enemies!$1:$1,0)+1),MATCH(M$1,[3]enemies!$1:$1,0)-MATCH($L$1,[3]enemies!$1:$1,0)+1,FALSE)</f>
        <v>森のメタルチック</v>
      </c>
      <c r="N163" s="20" t="str">
        <f ca="1">VLOOKUP($L163,OFFSET([3]enemies!$A$1,0,0,COUNTA([3]enemies!$A:$A),MATCH(N$1,[3]enemies!$1:$1,0)-MATCH($L$1,[3]enemies!$1:$1,0)+1),MATCH(N$1,[3]enemies!$1:$1,0)-MATCH($L$1,[3]enemies!$1:$1,0)+1,FALSE)</f>
        <v>green</v>
      </c>
      <c r="O163" s="22" t="str">
        <f ca="1">VLOOKUP($L163,OFFSET([4]characters!$A$1,0,0,COUNTA([4]characters!$A:$A),MATCH(O$1,[4]characters!$1:$1,0)-MATCH($L$1,[4]characters!$1:$1,0)+1),MATCH(O$1,[4]characters!$1:$1,0)-MATCH($L$1,[4]characters!$1:$1,0)+1,FALSE)</f>
        <v>Material</v>
      </c>
      <c r="P163" s="20" t="str">
        <f ca="1">VLOOKUP($L163,OFFSET([3]enemies!$A$1,0,0,COUNTA([3]enemies!$A:$A),MATCH(P$1,[3]enemies!$1:$1,0)-MATCH($L$1,[3]enemies!$1:$1,0)+1),MATCH(P$1,[3]enemies!$1:$1,0)-MATCH($L$1,[3]enemies!$1:$1,0)+1,FALSE)</f>
        <v>unknown</v>
      </c>
      <c r="Q163" s="20">
        <f ca="1">VLOOKUP($L163,OFFSET([3]enemies!$A$1,0,0,COUNTA([3]enemies!$A:$A),MATCH(Q$1,[3]enemies!$1:$1,0)-MATCH($L$1,[3]enemies!$1:$1,0)+1),MATCH(Q$1,[3]enemies!$1:$1,0)-MATCH($L$1,[3]enemies!$1:$1,0)+1,FALSE)</f>
        <v>15</v>
      </c>
      <c r="R163" s="6">
        <v>1</v>
      </c>
      <c r="S163" s="39">
        <v>1</v>
      </c>
      <c r="T163" s="39">
        <v>1</v>
      </c>
      <c r="U163" s="6">
        <v>0</v>
      </c>
      <c r="V163" s="5" t="str">
        <f ca="1">VLOOKUP($W163,OFFSET([5]enemy_skill_sets!$B$1,0,0,COUNTA([5]enemy_skill_sets!$B:$B),MATCH(M$1,[5]enemy_skill_sets!$1:$1,0)-MATCH($W$1,[5]enemy_skill_sets!$1:$1,0)+2),MATCH(M$1,[5]enemy_skill_sets!$1:$1,0)-MATCH($W$1,[5]enemy_skill_sets!$1:$1,0)+2,FALSE)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3" s="5">
        <f ca="1">VLOOKUP($L163,OFFSET([3]enemies!$A$1,0,0,COUNTA([3]enemies!$A:$A),MATCH(W$1,[3]enemies!$1:$1,0)-MATCH($L$1,[3]enemies!$1:$1,0)+1),MATCH(W$1,[3]enemies!$1:$1,0)-MATCH($L$1,[3]enemies!$1:$1,0)+1,FALSE)</f>
        <v>0</v>
      </c>
      <c r="X163" s="7">
        <v>0</v>
      </c>
      <c r="Y163" s="7">
        <v>30</v>
      </c>
      <c r="Z163" s="7">
        <v>0</v>
      </c>
      <c r="AA163" s="20">
        <f ca="1">VLOOKUP($L163,OFFSET([3]enemies!$A$1,0,0,COUNTA([3]enemies!$A:$A),MATCH(AA$1,[3]enemies!$1:$1,0)-MATCH($L$1,[3]enemies!$1:$1,0)+1),MATCH(AA$1,[3]enemies!$1:$1,0)-MATCH($L$1,[3]enemies!$1:$1,0)+1,FALSE)</f>
        <v>2</v>
      </c>
      <c r="AB163" s="24">
        <v>337</v>
      </c>
      <c r="AC163" s="5" t="str">
        <f ca="1">IFERROR(VLOOKUP($AB163,OFFSET([4]characters!$A$1,0,0,COUNTA([4]characters!$A:$A),MATCH(AC$1,[4]characters!$1:$1,0)-MATCH("character_id",[4]characters!$1:$1,0)+1),MATCH(AC$1,[4]characters!$1:$1,0)-MATCH("character_id",[4]characters!$1:$1,0)+1,FALSE),"")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63" s="5">
        <f ca="1">IFERROR(VLOOKUP($AB163,OFFSET([4]characters!$A$1,0,0,COUNTA([4]characters!$A:$A),MATCH(AD$1,[4]characters!$1:$1,0)-MATCH("character_id",[4]characters!$1:$1,0)+1),MATCH(AD$1,[4]characters!$1:$1,0)-MATCH("character_id",[4]characters!$1:$1,0)+1,FALSE),"")</f>
        <v>4</v>
      </c>
      <c r="AE163" s="5" t="str">
        <f ca="1">IFERROR(VLOOKUP($AB163,OFFSET([4]characters!$A$1,0,0,COUNTA([4]characters!$A:$A),MATCH(AE$1,[4]characters!$1:$1,0)-MATCH("character_id",[4]characters!$1:$1,0)+1),MATCH(AE$1,[4]characters!$1:$1,0)-MATCH("character_id",[4]characters!$1:$1,0)+1,FALSE),"")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3" s="8">
        <v>1</v>
      </c>
      <c r="AG163" s="27">
        <f t="shared" ca="1" si="72"/>
        <v>4</v>
      </c>
      <c r="AH163" s="9">
        <v>5</v>
      </c>
      <c r="AI163" s="8">
        <v>0</v>
      </c>
      <c r="AJ163" s="8">
        <v>0</v>
      </c>
      <c r="AK163" s="8">
        <v>0</v>
      </c>
      <c r="AL163" s="8">
        <v>0</v>
      </c>
      <c r="AM163" s="8">
        <v>1</v>
      </c>
      <c r="AN163" s="8">
        <v>1</v>
      </c>
    </row>
    <row r="164" spans="1:40" ht="21" customHeight="1" x14ac:dyDescent="0.15">
      <c r="A164" s="17" t="str">
        <f t="shared" ca="1" si="70"/>
        <v>11004_3-4/107&lt;lv30&gt;s1</v>
      </c>
      <c r="B164" s="8">
        <v>11004</v>
      </c>
      <c r="C164" s="25">
        <v>3</v>
      </c>
      <c r="D164" s="2" t="str">
        <f t="shared" si="71"/>
        <v>11004_3</v>
      </c>
      <c r="E164" s="5" t="str">
        <f ca="1">VLOOKUP($B164,OFFSET([2]quests!$A$1,0,0,COUNTA([2]quests!$A:$A),MATCH(E$1,[2]quests!$1:$1,0)-MATCH($B$1,[2]quests!$1:$1,0)+1),MATCH(E$1,[2]quests!$1:$1,0)-MATCH($B$1,[2]quests!$1:$1,0)+1,FALSE)</f>
        <v>【木曜限定】 緑の素材</v>
      </c>
      <c r="F164" s="5" t="str">
        <f ca="1">VLOOKUP($D164,OFFSET([2]stages!$A$1,0,0,COUNTA([2]stages!$A:$A),MATCH(F$1,[2]stages!$2:$2,0)-MATCH($D$1,[2]stages!$2:$2,0)+1),MATCH(F$1,[2]stages!$2:$2,0)-MATCH($D$1,[2]stages!$2:$2,0)+1,FALSE)</f>
        <v xml:space="preserve">【上級】樹のイモムシ </v>
      </c>
      <c r="G164" s="25">
        <v>4</v>
      </c>
      <c r="H164" s="16" t="str">
        <f t="shared" si="69"/>
        <v>11004_3-4</v>
      </c>
      <c r="I164" s="5">
        <f ca="1">VLOOKUP($H164,OFFSET(floors!$A$1,0,0,COUNTA(floors!$A:$A),MATCH(I$1,floors!$1:$1,0)-MATCH($H$1,floors!$1:$1,0)+1),MATCH(I$1,floors!$1:$1,0)-MATCH($H$1,floors!$1:$1,0)+1,FALSE)</f>
        <v>45</v>
      </c>
      <c r="J164" s="5">
        <f ca="1">VLOOKUP($H164,OFFSET(floors!$A$1,0,0,COUNTA(floors!$A:$A),MATCH(J$1,floors!$1:$1,0)-MATCH($H$1,floors!$1:$1,0)+1),MATCH(J$1,floors!$1:$1,0)-MATCH($H$1,floors!$1:$1,0)+1,FALSE)</f>
        <v>60</v>
      </c>
      <c r="K164" s="24" t="s">
        <v>197</v>
      </c>
      <c r="L164" s="24">
        <v>107</v>
      </c>
      <c r="M164" s="20" t="str">
        <f ca="1">VLOOKUP($L164,OFFSET([3]enemies!$A$1,0,0,COUNTA([3]enemies!$A:$A),MATCH(M$1,[3]enemies!$1:$1,0)-MATCH($L$1,[3]enemies!$1:$1,0)+1),MATCH(M$1,[3]enemies!$1:$1,0)-MATCH($L$1,[3]enemies!$1:$1,0)+1,FALSE)</f>
        <v>グリーンキャタップ</v>
      </c>
      <c r="N164" s="20" t="str">
        <f ca="1">VLOOKUP($L164,OFFSET([3]enemies!$A$1,0,0,COUNTA([3]enemies!$A:$A),MATCH(N$1,[3]enemies!$1:$1,0)-MATCH($L$1,[3]enemies!$1:$1,0)+1),MATCH(N$1,[3]enemies!$1:$1,0)-MATCH($L$1,[3]enemies!$1:$1,0)+1,FALSE)</f>
        <v>green</v>
      </c>
      <c r="O164" s="22" t="str">
        <f ca="1">VLOOKUP($L164,OFFSET([4]characters!$A$1,0,0,COUNTA([4]characters!$A:$A),MATCH(O$1,[4]characters!$1:$1,0)-MATCH($L$1,[4]characters!$1:$1,0)+1),MATCH(O$1,[4]characters!$1:$1,0)-MATCH($L$1,[4]characters!$1:$1,0)+1,FALSE)</f>
        <v>Material</v>
      </c>
      <c r="P164" s="20" t="str">
        <f ca="1">VLOOKUP($L164,OFFSET([3]enemies!$A$1,0,0,COUNTA([3]enemies!$A:$A),MATCH(P$1,[3]enemies!$1:$1,0)-MATCH($L$1,[3]enemies!$1:$1,0)+1),MATCH(P$1,[3]enemies!$1:$1,0)-MATCH($L$1,[3]enemies!$1:$1,0)+1,FALSE)</f>
        <v>unknown</v>
      </c>
      <c r="Q164" s="20">
        <f ca="1">VLOOKUP($L164,OFFSET([3]enemies!$A$1,0,0,COUNTA([3]enemies!$A:$A),MATCH(Q$1,[3]enemies!$1:$1,0)-MATCH($L$1,[3]enemies!$1:$1,0)+1),MATCH(Q$1,[3]enemies!$1:$1,0)-MATCH($L$1,[3]enemies!$1:$1,0)+1,FALSE)</f>
        <v>15</v>
      </c>
      <c r="R164" s="6">
        <v>30</v>
      </c>
      <c r="S164" s="39">
        <v>2</v>
      </c>
      <c r="T164" s="39">
        <v>1</v>
      </c>
      <c r="U164" s="6">
        <v>0</v>
      </c>
      <c r="V164" s="5" t="str">
        <f ca="1">VLOOKUP($W164,OFFSET([5]enemy_skill_sets!$B$1,0,0,COUNTA([5]enemy_skill_sets!$B:$B),MATCH(M$1,[5]enemy_skill_sets!$1:$1,0)-MATCH($W$1,[5]enemy_skill_sets!$1:$1,0)+2),MATCH(M$1,[5]enemy_skill_sets!$1:$1,0)-MATCH($W$1,[5]enemy_skill_sets!$1:$1,0)+2,FALSE)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4" s="5">
        <f ca="1">VLOOKUP($L164,OFFSET([3]enemies!$A$1,0,0,COUNTA([3]enemies!$A:$A),MATCH(W$1,[3]enemies!$1:$1,0)-MATCH($L$1,[3]enemies!$1:$1,0)+1),MATCH(W$1,[3]enemies!$1:$1,0)-MATCH($L$1,[3]enemies!$1:$1,0)+1,FALSE)</f>
        <v>0</v>
      </c>
      <c r="X164" s="7">
        <v>1</v>
      </c>
      <c r="Y164" s="7">
        <v>100</v>
      </c>
      <c r="Z164" s="7">
        <v>1</v>
      </c>
      <c r="AA164" s="20">
        <f ca="1">VLOOKUP($L164,OFFSET([3]enemies!$A$1,0,0,COUNTA([3]enemies!$A:$A),MATCH(AA$1,[3]enemies!$1:$1,0)-MATCH($L$1,[3]enemies!$1:$1,0)+1),MATCH(AA$1,[3]enemies!$1:$1,0)-MATCH($L$1,[3]enemies!$1:$1,0)+1,FALSE)</f>
        <v>1</v>
      </c>
      <c r="AB164" s="24">
        <v>107</v>
      </c>
      <c r="AC164" s="5" t="str">
        <f ca="1">IFERROR(VLOOKUP($AB164,OFFSET([4]characters!$A$1,0,0,COUNTA([4]characters!$A:$A),MATCH(AC$1,[4]characters!$1:$1,0)-MATCH("character_id",[4]characters!$1:$1,0)+1),MATCH(AC$1,[4]characters!$1:$1,0)-MATCH("character_id",[4]characters!$1:$1,0)+1,FALSE),"")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64" s="5">
        <f ca="1">IFERROR(VLOOKUP($AB164,OFFSET([4]characters!$A$1,0,0,COUNTA([4]characters!$A:$A),MATCH(AD$1,[4]characters!$1:$1,0)-MATCH("character_id",[4]characters!$1:$1,0)+1),MATCH(AD$1,[4]characters!$1:$1,0)-MATCH("character_id",[4]characters!$1:$1,0)+1,FALSE),"")</f>
        <v>4</v>
      </c>
      <c r="AE164" s="5" t="str">
        <f ca="1">IFERROR(VLOOKUP($AB164,OFFSET([4]characters!$A$1,0,0,COUNTA([4]characters!$A:$A),MATCH(AE$1,[4]characters!$1:$1,0)-MATCH("character_id",[4]characters!$1:$1,0)+1),MATCH(AE$1,[4]characters!$1:$1,0)-MATCH("character_id",[4]characters!$1:$1,0)+1,FALSE),"")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4" s="8">
        <v>1</v>
      </c>
      <c r="AG164" s="27">
        <f t="shared" ca="1" si="72"/>
        <v>4</v>
      </c>
      <c r="AH164" s="9">
        <v>30</v>
      </c>
      <c r="AI164" s="8">
        <v>0</v>
      </c>
      <c r="AJ164" s="8">
        <v>0</v>
      </c>
      <c r="AK164" s="8">
        <v>0</v>
      </c>
      <c r="AL164" s="8">
        <v>0</v>
      </c>
      <c r="AM164" s="8">
        <v>1</v>
      </c>
      <c r="AN164" s="8">
        <v>1</v>
      </c>
    </row>
    <row r="165" spans="1:40" ht="21" customHeight="1" x14ac:dyDescent="0.15">
      <c r="A165" s="17" t="str">
        <f t="shared" ref="A165:A168" ca="1" si="82">B165&amp;"_"&amp;C165&amp;"-"&amp;G165&amp;"/"&amp;L165&amp;"&lt;lv"&amp;R165&amp;"&gt;s"&amp;AA165</f>
        <v>11004_3-4/35&lt;lv35&gt;s4</v>
      </c>
      <c r="B165" s="8">
        <v>11004</v>
      </c>
      <c r="C165" s="25">
        <v>3</v>
      </c>
      <c r="D165" s="2" t="str">
        <f t="shared" ref="D165:D168" si="83">B165&amp;"_"&amp;C165</f>
        <v>11004_3</v>
      </c>
      <c r="E165" s="5" t="str">
        <f ca="1">VLOOKUP($B165,OFFSET([2]quests!$A$1,0,0,COUNTA([2]quests!$A:$A),MATCH(E$1,[2]quests!$1:$1,0)-MATCH($B$1,[2]quests!$1:$1,0)+1),MATCH(E$1,[2]quests!$1:$1,0)-MATCH($B$1,[2]quests!$1:$1,0)+1,FALSE)</f>
        <v>【木曜限定】 緑の素材</v>
      </c>
      <c r="F165" s="5" t="str">
        <f ca="1">VLOOKUP($D165,OFFSET([2]stages!$A$1,0,0,COUNTA([2]stages!$A:$A),MATCH(F$1,[2]stages!$2:$2,0)-MATCH($D$1,[2]stages!$2:$2,0)+1),MATCH(F$1,[2]stages!$2:$2,0)-MATCH($D$1,[2]stages!$2:$2,0)+1,FALSE)</f>
        <v xml:space="preserve">【上級】樹のイモムシ </v>
      </c>
      <c r="G165" s="25">
        <v>4</v>
      </c>
      <c r="H165" s="16" t="str">
        <f t="shared" si="69"/>
        <v>11004_3-4</v>
      </c>
      <c r="I165" s="5">
        <f ca="1">VLOOKUP($H165,OFFSET(floors!$A$1,0,0,COUNTA(floors!$A:$A),MATCH(I$1,floors!$1:$1,0)-MATCH($H$1,floors!$1:$1,0)+1),MATCH(I$1,floors!$1:$1,0)-MATCH($H$1,floors!$1:$1,0)+1,FALSE)</f>
        <v>45</v>
      </c>
      <c r="J165" s="5">
        <f ca="1">VLOOKUP($H165,OFFSET(floors!$A$1,0,0,COUNTA(floors!$A:$A),MATCH(J$1,floors!$1:$1,0)-MATCH($H$1,floors!$1:$1,0)+1),MATCH(J$1,floors!$1:$1,0)-MATCH($H$1,floors!$1:$1,0)+1,FALSE)</f>
        <v>60</v>
      </c>
      <c r="K165" s="24" t="s">
        <v>197</v>
      </c>
      <c r="L165" s="24">
        <v>35</v>
      </c>
      <c r="M165" s="20" t="str">
        <f ca="1">VLOOKUP($L165,OFFSET([3]enemies!$A$1,0,0,COUNTA([3]enemies!$A:$A),MATCH(M$1,[3]enemies!$1:$1,0)-MATCH($L$1,[3]enemies!$1:$1,0)+1),MATCH(M$1,[3]enemies!$1:$1,0)-MATCH($L$1,[3]enemies!$1:$1,0)+1,FALSE)</f>
        <v>F2</v>
      </c>
      <c r="N165" s="20" t="str">
        <f ca="1">VLOOKUP($L165,OFFSET([3]enemies!$A$1,0,0,COUNTA([3]enemies!$A:$A),MATCH(N$1,[3]enemies!$1:$1,0)-MATCH($L$1,[3]enemies!$1:$1,0)+1),MATCH(N$1,[3]enemies!$1:$1,0)-MATCH($L$1,[3]enemies!$1:$1,0)+1,FALSE)</f>
        <v>green</v>
      </c>
      <c r="O165" s="22" t="str">
        <f ca="1">VLOOKUP($L165,OFFSET([4]characters!$A$1,0,0,COUNTA([4]characters!$A:$A),MATCH(O$1,[4]characters!$1:$1,0)-MATCH($L$1,[4]characters!$1:$1,0)+1),MATCH(O$1,[4]characters!$1:$1,0)-MATCH($L$1,[4]characters!$1:$1,0)+1,FALSE)</f>
        <v>Drop1S</v>
      </c>
      <c r="P165" s="20" t="str">
        <f ca="1">VLOOKUP($L165,OFFSET([3]enemies!$A$1,0,0,COUNTA([3]enemies!$A:$A),MATCH(P$1,[3]enemies!$1:$1,0)-MATCH($L$1,[3]enemies!$1:$1,0)+1),MATCH(P$1,[3]enemies!$1:$1,0)-MATCH($L$1,[3]enemies!$1:$1,0)+1,FALSE)</f>
        <v>machine</v>
      </c>
      <c r="Q165" s="20">
        <f ca="1">VLOOKUP($L165,OFFSET([3]enemies!$A$1,0,0,COUNTA([3]enemies!$A:$A),MATCH(Q$1,[3]enemies!$1:$1,0)-MATCH($L$1,[3]enemies!$1:$1,0)+1),MATCH(Q$1,[3]enemies!$1:$1,0)-MATCH($L$1,[3]enemies!$1:$1,0)+1,FALSE)</f>
        <v>15</v>
      </c>
      <c r="R165" s="6">
        <v>35</v>
      </c>
      <c r="S165" s="39">
        <v>1</v>
      </c>
      <c r="T165" s="39">
        <v>1</v>
      </c>
      <c r="U165" s="6">
        <v>0</v>
      </c>
      <c r="V165" s="5" t="str">
        <f ca="1">VLOOKUP($W165,OFFSET([5]enemy_skill_sets!$B$1,0,0,COUNTA([5]enemy_skill_sets!$B:$B),MATCH(M$1,[5]enemy_skill_sets!$1:$1,0)-MATCH($W$1,[5]enemy_skill_sets!$1:$1,0)+2),MATCH(M$1,[5]enemy_skill_sets!$1:$1,0)-MATCH($W$1,[5]enemy_skill_sets!$1:$1,0)+2,FALSE)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65" s="5">
        <f ca="1">VLOOKUP($L165,OFFSET([3]enemies!$A$1,0,0,COUNTA([3]enemies!$A:$A),MATCH(W$1,[3]enemies!$1:$1,0)-MATCH($L$1,[3]enemies!$1:$1,0)+1),MATCH(W$1,[3]enemies!$1:$1,0)-MATCH($L$1,[3]enemies!$1:$1,0)+1,FALSE)</f>
        <v>35</v>
      </c>
      <c r="X165" s="7">
        <v>0</v>
      </c>
      <c r="Y165" s="7">
        <v>100</v>
      </c>
      <c r="Z165" s="7">
        <v>0</v>
      </c>
      <c r="AA165" s="20">
        <f ca="1">VLOOKUP($L165,OFFSET([3]enemies!$A$1,0,0,COUNTA([3]enemies!$A:$A),MATCH(AA$1,[3]enemies!$1:$1,0)-MATCH($L$1,[3]enemies!$1:$1,0)+1),MATCH(AA$1,[3]enemies!$1:$1,0)-MATCH($L$1,[3]enemies!$1:$1,0)+1,FALSE)</f>
        <v>4</v>
      </c>
      <c r="AB165" s="24">
        <v>35</v>
      </c>
      <c r="AC165" s="5" t="str">
        <f ca="1">IFERROR(VLOOKUP($AB165,OFFSET([4]characters!$A$1,0,0,COUNTA([4]characters!$A:$A),MATCH(AC$1,[4]characters!$1:$1,0)-MATCH("character_id",[4]characters!$1:$1,0)+1),MATCH(AC$1,[4]characters!$1:$1,0)-MATCH("character_id",[4]characters!$1:$1,0)+1,FALSE),"")</f>
        <v>F2</v>
      </c>
      <c r="AD165" s="5">
        <f ca="1">IFERROR(VLOOKUP($AB165,OFFSET([4]characters!$A$1,0,0,COUNTA([4]characters!$A:$A),MATCH(AD$1,[4]characters!$1:$1,0)-MATCH("character_id",[4]characters!$1:$1,0)+1),MATCH(AD$1,[4]characters!$1:$1,0)-MATCH("character_id",[4]characters!$1:$1,0)+1,FALSE),"")</f>
        <v>2</v>
      </c>
      <c r="AE165" s="5" t="str">
        <f ca="1">IFERROR(VLOOKUP($AB165,OFFSET([4]characters!$A$1,0,0,COUNTA([4]characters!$A:$A),MATCH(AE$1,[4]characters!$1:$1,0)-MATCH("character_id",[4]characters!$1:$1,0)+1),MATCH(AE$1,[4]characters!$1:$1,0)-MATCH("character_id",[4]characters!$1:$1,0)+1,FALSE),"")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65" s="8">
        <v>1</v>
      </c>
      <c r="AG165" s="27">
        <f t="shared" ref="AG165:AG168" ca="1" si="84">AD165</f>
        <v>2</v>
      </c>
      <c r="AH165" s="9">
        <v>0</v>
      </c>
      <c r="AI165" s="8">
        <v>0</v>
      </c>
      <c r="AJ165" s="8">
        <v>0</v>
      </c>
      <c r="AK165" s="8">
        <v>0</v>
      </c>
      <c r="AL165" s="8">
        <v>0</v>
      </c>
      <c r="AM165" s="8">
        <v>1</v>
      </c>
      <c r="AN165" s="8">
        <v>1</v>
      </c>
    </row>
    <row r="166" spans="1:40" ht="21" customHeight="1" x14ac:dyDescent="0.15">
      <c r="A166" s="17" t="str">
        <f t="shared" ca="1" si="82"/>
        <v>11004_3-4/27&lt;lv35&gt;s1</v>
      </c>
      <c r="B166" s="8">
        <v>11004</v>
      </c>
      <c r="C166" s="25">
        <v>3</v>
      </c>
      <c r="D166" s="2" t="str">
        <f t="shared" si="83"/>
        <v>11004_3</v>
      </c>
      <c r="E166" s="5" t="str">
        <f ca="1">VLOOKUP($B166,OFFSET([2]quests!$A$1,0,0,COUNTA([2]quests!$A:$A),MATCH(E$1,[2]quests!$1:$1,0)-MATCH($B$1,[2]quests!$1:$1,0)+1),MATCH(E$1,[2]quests!$1:$1,0)-MATCH($B$1,[2]quests!$1:$1,0)+1,FALSE)</f>
        <v>【木曜限定】 緑の素材</v>
      </c>
      <c r="F166" s="5" t="str">
        <f ca="1">VLOOKUP($D166,OFFSET([2]stages!$A$1,0,0,COUNTA([2]stages!$A:$A),MATCH(F$1,[2]stages!$2:$2,0)-MATCH($D$1,[2]stages!$2:$2,0)+1),MATCH(F$1,[2]stages!$2:$2,0)-MATCH($D$1,[2]stages!$2:$2,0)+1,FALSE)</f>
        <v xml:space="preserve">【上級】樹のイモムシ </v>
      </c>
      <c r="G166" s="25">
        <v>4</v>
      </c>
      <c r="H166" s="16" t="str">
        <f t="shared" si="69"/>
        <v>11004_3-4</v>
      </c>
      <c r="I166" s="5">
        <f ca="1">VLOOKUP($H166,OFFSET(floors!$A$1,0,0,COUNTA(floors!$A:$A),MATCH(I$1,floors!$1:$1,0)-MATCH($H$1,floors!$1:$1,0)+1),MATCH(I$1,floors!$1:$1,0)-MATCH($H$1,floors!$1:$1,0)+1,FALSE)</f>
        <v>45</v>
      </c>
      <c r="J166" s="5">
        <f ca="1">VLOOKUP($H166,OFFSET(floors!$A$1,0,0,COUNTA(floors!$A:$A),MATCH(J$1,floors!$1:$1,0)-MATCH($H$1,floors!$1:$1,0)+1),MATCH(J$1,floors!$1:$1,0)-MATCH($H$1,floors!$1:$1,0)+1,FALSE)</f>
        <v>60</v>
      </c>
      <c r="K166" s="24" t="s">
        <v>197</v>
      </c>
      <c r="L166" s="24">
        <v>27</v>
      </c>
      <c r="M166" s="20" t="str">
        <f ca="1">VLOOKUP($L166,OFFSET([3]enemies!$A$1,0,0,COUNTA([3]enemies!$A:$A),MATCH(M$1,[3]enemies!$1:$1,0)-MATCH($L$1,[3]enemies!$1:$1,0)+1),MATCH(M$1,[3]enemies!$1:$1,0)-MATCH($L$1,[3]enemies!$1:$1,0)+1,FALSE)</f>
        <v>パトライン</v>
      </c>
      <c r="N166" s="20" t="str">
        <f ca="1">VLOOKUP($L166,OFFSET([3]enemies!$A$1,0,0,COUNTA([3]enemies!$A:$A),MATCH(N$1,[3]enemies!$1:$1,0)-MATCH($L$1,[3]enemies!$1:$1,0)+1),MATCH(N$1,[3]enemies!$1:$1,0)-MATCH($L$1,[3]enemies!$1:$1,0)+1,FALSE)</f>
        <v>green</v>
      </c>
      <c r="O166" s="22" t="str">
        <f ca="1">VLOOKUP($L166,OFFSET([4]characters!$A$1,0,0,COUNTA([4]characters!$A:$A),MATCH(O$1,[4]characters!$1:$1,0)-MATCH($L$1,[4]characters!$1:$1,0)+1),MATCH(O$1,[4]characters!$1:$1,0)-MATCH($L$1,[4]characters!$1:$1,0)+1,FALSE)</f>
        <v>Drop1N</v>
      </c>
      <c r="P166" s="20" t="str">
        <f ca="1">VLOOKUP($L166,OFFSET([3]enemies!$A$1,0,0,COUNTA([3]enemies!$A:$A),MATCH(P$1,[3]enemies!$1:$1,0)-MATCH($L$1,[3]enemies!$1:$1,0)+1),MATCH(P$1,[3]enemies!$1:$1,0)-MATCH($L$1,[3]enemies!$1:$1,0)+1,FALSE)</f>
        <v>machine</v>
      </c>
      <c r="Q166" s="20">
        <f ca="1">VLOOKUP($L166,OFFSET([3]enemies!$A$1,0,0,COUNTA([3]enemies!$A:$A),MATCH(Q$1,[3]enemies!$1:$1,0)-MATCH($L$1,[3]enemies!$1:$1,0)+1),MATCH(Q$1,[3]enemies!$1:$1,0)-MATCH($L$1,[3]enemies!$1:$1,0)+1,FALSE)</f>
        <v>15</v>
      </c>
      <c r="R166" s="6">
        <v>35</v>
      </c>
      <c r="S166" s="39">
        <v>1</v>
      </c>
      <c r="T166" s="39">
        <v>1</v>
      </c>
      <c r="U166" s="6">
        <v>0</v>
      </c>
      <c r="V166" s="5" t="str">
        <f ca="1">VLOOKUP($W166,OFFSET([5]enemy_skill_sets!$B$1,0,0,COUNTA([5]enemy_skill_sets!$B:$B),MATCH(M$1,[5]enemy_skill_sets!$1:$1,0)-MATCH($W$1,[5]enemy_skill_sets!$1:$1,0)+2),MATCH(M$1,[5]enemy_skill_sets!$1:$1,0)-MATCH($W$1,[5]enemy_skill_sets!$1:$1,0)+2,FALSE)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6" s="5">
        <f ca="1">VLOOKUP($L166,OFFSET([3]enemies!$A$1,0,0,COUNTA([3]enemies!$A:$A),MATCH(W$1,[3]enemies!$1:$1,0)-MATCH($L$1,[3]enemies!$1:$1,0)+1),MATCH(W$1,[3]enemies!$1:$1,0)-MATCH($L$1,[3]enemies!$1:$1,0)+1,FALSE)</f>
        <v>0</v>
      </c>
      <c r="X166" s="7">
        <v>0</v>
      </c>
      <c r="Y166" s="7">
        <v>100</v>
      </c>
      <c r="Z166" s="7">
        <v>0</v>
      </c>
      <c r="AA166" s="20">
        <f ca="1">VLOOKUP($L166,OFFSET([3]enemies!$A$1,0,0,COUNTA([3]enemies!$A:$A),MATCH(AA$1,[3]enemies!$1:$1,0)-MATCH($L$1,[3]enemies!$1:$1,0)+1),MATCH(AA$1,[3]enemies!$1:$1,0)-MATCH($L$1,[3]enemies!$1:$1,0)+1,FALSE)</f>
        <v>1</v>
      </c>
      <c r="AB166" s="24">
        <v>27</v>
      </c>
      <c r="AC166" s="5" t="str">
        <f ca="1">IFERROR(VLOOKUP($AB166,OFFSET([4]characters!$A$1,0,0,COUNTA([4]characters!$A:$A),MATCH(AC$1,[4]characters!$1:$1,0)-MATCH("character_id",[4]characters!$1:$1,0)+1),MATCH(AC$1,[4]characters!$1:$1,0)-MATCH("character_id",[4]characters!$1:$1,0)+1,FALSE),"")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66" s="5">
        <f ca="1">IFERROR(VLOOKUP($AB166,OFFSET([4]characters!$A$1,0,0,COUNTA([4]characters!$A:$A),MATCH(AD$1,[4]characters!$1:$1,0)-MATCH("character_id",[4]characters!$1:$1,0)+1),MATCH(AD$1,[4]characters!$1:$1,0)-MATCH("character_id",[4]characters!$1:$1,0)+1,FALSE),"")</f>
        <v>1</v>
      </c>
      <c r="AE166" s="5" t="str">
        <f ca="1">IFERROR(VLOOKUP($AB166,OFFSET([4]characters!$A$1,0,0,COUNTA([4]characters!$A:$A),MATCH(AE$1,[4]characters!$1:$1,0)-MATCH("character_id",[4]characters!$1:$1,0)+1),MATCH(AE$1,[4]characters!$1:$1,0)-MATCH("character_id",[4]characters!$1:$1,0)+1,FALSE),"")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66" s="8">
        <v>1</v>
      </c>
      <c r="AG166" s="27">
        <f t="shared" ca="1" si="84"/>
        <v>1</v>
      </c>
      <c r="AH166" s="9">
        <v>0</v>
      </c>
      <c r="AI166" s="8">
        <v>0</v>
      </c>
      <c r="AJ166" s="8">
        <v>0</v>
      </c>
      <c r="AK166" s="8">
        <v>0</v>
      </c>
      <c r="AL166" s="8">
        <v>0</v>
      </c>
      <c r="AM166" s="8">
        <v>1</v>
      </c>
      <c r="AN166" s="8">
        <v>1</v>
      </c>
    </row>
    <row r="167" spans="1:40" ht="21" customHeight="1" x14ac:dyDescent="0.15">
      <c r="A167" s="17" t="str">
        <f t="shared" ca="1" si="82"/>
        <v>11004_3-4/336&lt;lv1&gt;s1</v>
      </c>
      <c r="B167" s="8">
        <v>11004</v>
      </c>
      <c r="C167" s="25">
        <v>3</v>
      </c>
      <c r="D167" s="2" t="str">
        <f t="shared" si="83"/>
        <v>11004_3</v>
      </c>
      <c r="E167" s="5" t="str">
        <f ca="1">VLOOKUP($B167,OFFSET([2]quests!$A$1,0,0,COUNTA([2]quests!$A:$A),MATCH(E$1,[2]quests!$1:$1,0)-MATCH($B$1,[2]quests!$1:$1,0)+1),MATCH(E$1,[2]quests!$1:$1,0)-MATCH($B$1,[2]quests!$1:$1,0)+1,FALSE)</f>
        <v>【木曜限定】 緑の素材</v>
      </c>
      <c r="F167" s="5" t="str">
        <f ca="1">VLOOKUP($D167,OFFSET([2]stages!$A$1,0,0,COUNTA([2]stages!$A:$A),MATCH(F$1,[2]stages!$2:$2,0)-MATCH($D$1,[2]stages!$2:$2,0)+1),MATCH(F$1,[2]stages!$2:$2,0)-MATCH($D$1,[2]stages!$2:$2,0)+1,FALSE)</f>
        <v xml:space="preserve">【上級】樹のイモムシ </v>
      </c>
      <c r="G167" s="25">
        <v>4</v>
      </c>
      <c r="H167" s="16" t="str">
        <f t="shared" si="69"/>
        <v>11004_3-4</v>
      </c>
      <c r="I167" s="5">
        <f ca="1">VLOOKUP($H167,OFFSET(floors!$A$1,0,0,COUNTA(floors!$A:$A),MATCH(I$1,floors!$1:$1,0)-MATCH($H$1,floors!$1:$1,0)+1),MATCH(I$1,floors!$1:$1,0)-MATCH($H$1,floors!$1:$1,0)+1,FALSE)</f>
        <v>45</v>
      </c>
      <c r="J167" s="5">
        <f ca="1">VLOOKUP($H167,OFFSET(floors!$A$1,0,0,COUNTA(floors!$A:$A),MATCH(J$1,floors!$1:$1,0)-MATCH($H$1,floors!$1:$1,0)+1),MATCH(J$1,floors!$1:$1,0)-MATCH($H$1,floors!$1:$1,0)+1,FALSE)</f>
        <v>60</v>
      </c>
      <c r="K167" s="24" t="s">
        <v>197</v>
      </c>
      <c r="L167" s="24">
        <v>336</v>
      </c>
      <c r="M167" s="20" t="str">
        <f ca="1">VLOOKUP($L167,OFFSET([3]enemies!$A$1,0,0,COUNTA([3]enemies!$A:$A),MATCH(M$1,[3]enemies!$1:$1,0)-MATCH($L$1,[3]enemies!$1:$1,0)+1),MATCH(M$1,[3]enemies!$1:$1,0)-MATCH($L$1,[3]enemies!$1:$1,0)+1,FALSE)</f>
        <v>森のメタルピヨピヨ</v>
      </c>
      <c r="N167" s="20" t="str">
        <f ca="1">VLOOKUP($L167,OFFSET([3]enemies!$A$1,0,0,COUNTA([3]enemies!$A:$A),MATCH(N$1,[3]enemies!$1:$1,0)-MATCH($L$1,[3]enemies!$1:$1,0)+1),MATCH(N$1,[3]enemies!$1:$1,0)-MATCH($L$1,[3]enemies!$1:$1,0)+1,FALSE)</f>
        <v>green</v>
      </c>
      <c r="O167" s="22" t="str">
        <f ca="1">VLOOKUP($L167,OFFSET([4]characters!$A$1,0,0,COUNTA([4]characters!$A:$A),MATCH(O$1,[4]characters!$1:$1,0)-MATCH($L$1,[4]characters!$1:$1,0)+1),MATCH(O$1,[4]characters!$1:$1,0)-MATCH($L$1,[4]characters!$1:$1,0)+1,FALSE)</f>
        <v>Material</v>
      </c>
      <c r="P167" s="20" t="str">
        <f ca="1">VLOOKUP($L167,OFFSET([3]enemies!$A$1,0,0,COUNTA([3]enemies!$A:$A),MATCH(P$1,[3]enemies!$1:$1,0)-MATCH($L$1,[3]enemies!$1:$1,0)+1),MATCH(P$1,[3]enemies!$1:$1,0)-MATCH($L$1,[3]enemies!$1:$1,0)+1,FALSE)</f>
        <v>unknown</v>
      </c>
      <c r="Q167" s="20">
        <f ca="1">VLOOKUP($L167,OFFSET([3]enemies!$A$1,0,0,COUNTA([3]enemies!$A:$A),MATCH(Q$1,[3]enemies!$1:$1,0)-MATCH($L$1,[3]enemies!$1:$1,0)+1),MATCH(Q$1,[3]enemies!$1:$1,0)-MATCH($L$1,[3]enemies!$1:$1,0)+1,FALSE)</f>
        <v>15</v>
      </c>
      <c r="R167" s="6">
        <v>1</v>
      </c>
      <c r="S167" s="39">
        <v>1</v>
      </c>
      <c r="T167" s="39">
        <v>1</v>
      </c>
      <c r="U167" s="6">
        <v>0</v>
      </c>
      <c r="V167" s="5" t="str">
        <f ca="1">VLOOKUP($W167,OFFSET([5]enemy_skill_sets!$B$1,0,0,COUNTA([5]enemy_skill_sets!$B:$B),MATCH(M$1,[5]enemy_skill_sets!$1:$1,0)-MATCH($W$1,[5]enemy_skill_sets!$1:$1,0)+2),MATCH(M$1,[5]enemy_skill_sets!$1:$1,0)-MATCH($W$1,[5]enemy_skill_sets!$1:$1,0)+2,FALSE)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7" s="5">
        <f ca="1">VLOOKUP($L167,OFFSET([3]enemies!$A$1,0,0,COUNTA([3]enemies!$A:$A),MATCH(W$1,[3]enemies!$1:$1,0)-MATCH($L$1,[3]enemies!$1:$1,0)+1),MATCH(W$1,[3]enemies!$1:$1,0)-MATCH($L$1,[3]enemies!$1:$1,0)+1,FALSE)</f>
        <v>0</v>
      </c>
      <c r="X167" s="7">
        <v>0</v>
      </c>
      <c r="Y167" s="7">
        <v>30</v>
      </c>
      <c r="Z167" s="7">
        <v>0</v>
      </c>
      <c r="AA167" s="20">
        <f ca="1">VLOOKUP($L167,OFFSET([3]enemies!$A$1,0,0,COUNTA([3]enemies!$A:$A),MATCH(AA$1,[3]enemies!$1:$1,0)-MATCH($L$1,[3]enemies!$1:$1,0)+1),MATCH(AA$1,[3]enemies!$1:$1,0)-MATCH($L$1,[3]enemies!$1:$1,0)+1,FALSE)</f>
        <v>1</v>
      </c>
      <c r="AB167" s="24">
        <v>336</v>
      </c>
      <c r="AC167" s="5" t="str">
        <f ca="1">IFERROR(VLOOKUP($AB167,OFFSET([4]characters!$A$1,0,0,COUNTA([4]characters!$A:$A),MATCH(AC$1,[4]characters!$1:$1,0)-MATCH("character_id",[4]characters!$1:$1,0)+1),MATCH(AC$1,[4]characters!$1:$1,0)-MATCH("character_id",[4]characters!$1:$1,0)+1,FALSE),"")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67" s="5">
        <f ca="1">IFERROR(VLOOKUP($AB167,OFFSET([4]characters!$A$1,0,0,COUNTA([4]characters!$A:$A),MATCH(AD$1,[4]characters!$1:$1,0)-MATCH("character_id",[4]characters!$1:$1,0)+1),MATCH(AD$1,[4]characters!$1:$1,0)-MATCH("character_id",[4]characters!$1:$1,0)+1,FALSE),"")</f>
        <v>3</v>
      </c>
      <c r="AE167" s="5" t="str">
        <f ca="1">IFERROR(VLOOKUP($AB167,OFFSET([4]characters!$A$1,0,0,COUNTA([4]characters!$A:$A),MATCH(AE$1,[4]characters!$1:$1,0)-MATCH("character_id",[4]characters!$1:$1,0)+1),MATCH(AE$1,[4]characters!$1:$1,0)-MATCH("character_id",[4]characters!$1:$1,0)+1,FALSE),"")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7" s="8">
        <v>1</v>
      </c>
      <c r="AG167" s="27">
        <f t="shared" ca="1" si="84"/>
        <v>3</v>
      </c>
      <c r="AH167" s="9">
        <v>10</v>
      </c>
      <c r="AI167" s="8">
        <v>0</v>
      </c>
      <c r="AJ167" s="8">
        <v>0</v>
      </c>
      <c r="AK167" s="8">
        <v>0</v>
      </c>
      <c r="AL167" s="8">
        <v>0</v>
      </c>
      <c r="AM167" s="8">
        <v>1</v>
      </c>
      <c r="AN167" s="8">
        <v>1</v>
      </c>
    </row>
    <row r="168" spans="1:40" ht="21" customHeight="1" x14ac:dyDescent="0.15">
      <c r="A168" s="17" t="str">
        <f t="shared" ca="1" si="82"/>
        <v>11004_3-4/337&lt;lv1&gt;s2</v>
      </c>
      <c r="B168" s="8">
        <v>11004</v>
      </c>
      <c r="C168" s="25">
        <v>3</v>
      </c>
      <c r="D168" s="2" t="str">
        <f t="shared" si="83"/>
        <v>11004_3</v>
      </c>
      <c r="E168" s="5" t="str">
        <f ca="1">VLOOKUP($B168,OFFSET([2]quests!$A$1,0,0,COUNTA([2]quests!$A:$A),MATCH(E$1,[2]quests!$1:$1,0)-MATCH($B$1,[2]quests!$1:$1,0)+1),MATCH(E$1,[2]quests!$1:$1,0)-MATCH($B$1,[2]quests!$1:$1,0)+1,FALSE)</f>
        <v>【木曜限定】 緑の素材</v>
      </c>
      <c r="F168" s="5" t="str">
        <f ca="1">VLOOKUP($D168,OFFSET([2]stages!$A$1,0,0,COUNTA([2]stages!$A:$A),MATCH(F$1,[2]stages!$2:$2,0)-MATCH($D$1,[2]stages!$2:$2,0)+1),MATCH(F$1,[2]stages!$2:$2,0)-MATCH($D$1,[2]stages!$2:$2,0)+1,FALSE)</f>
        <v xml:space="preserve">【上級】樹のイモムシ </v>
      </c>
      <c r="G168" s="25">
        <v>4</v>
      </c>
      <c r="H168" s="16" t="str">
        <f t="shared" si="69"/>
        <v>11004_3-4</v>
      </c>
      <c r="I168" s="5">
        <f ca="1">VLOOKUP($H168,OFFSET(floors!$A$1,0,0,COUNTA(floors!$A:$A),MATCH(I$1,floors!$1:$1,0)-MATCH($H$1,floors!$1:$1,0)+1),MATCH(I$1,floors!$1:$1,0)-MATCH($H$1,floors!$1:$1,0)+1,FALSE)</f>
        <v>45</v>
      </c>
      <c r="J168" s="5">
        <f ca="1">VLOOKUP($H168,OFFSET(floors!$A$1,0,0,COUNTA(floors!$A:$A),MATCH(J$1,floors!$1:$1,0)-MATCH($H$1,floors!$1:$1,0)+1),MATCH(J$1,floors!$1:$1,0)-MATCH($H$1,floors!$1:$1,0)+1,FALSE)</f>
        <v>60</v>
      </c>
      <c r="K168" s="24" t="s">
        <v>197</v>
      </c>
      <c r="L168" s="24">
        <v>337</v>
      </c>
      <c r="M168" s="20" t="str">
        <f ca="1">VLOOKUP($L168,OFFSET([3]enemies!$A$1,0,0,COUNTA([3]enemies!$A:$A),MATCH(M$1,[3]enemies!$1:$1,0)-MATCH($L$1,[3]enemies!$1:$1,0)+1),MATCH(M$1,[3]enemies!$1:$1,0)-MATCH($L$1,[3]enemies!$1:$1,0)+1,FALSE)</f>
        <v>森のメタルチック</v>
      </c>
      <c r="N168" s="20" t="str">
        <f ca="1">VLOOKUP($L168,OFFSET([3]enemies!$A$1,0,0,COUNTA([3]enemies!$A:$A),MATCH(N$1,[3]enemies!$1:$1,0)-MATCH($L$1,[3]enemies!$1:$1,0)+1),MATCH(N$1,[3]enemies!$1:$1,0)-MATCH($L$1,[3]enemies!$1:$1,0)+1,FALSE)</f>
        <v>green</v>
      </c>
      <c r="O168" s="22" t="str">
        <f ca="1">VLOOKUP($L168,OFFSET([4]characters!$A$1,0,0,COUNTA([4]characters!$A:$A),MATCH(O$1,[4]characters!$1:$1,0)-MATCH($L$1,[4]characters!$1:$1,0)+1),MATCH(O$1,[4]characters!$1:$1,0)-MATCH($L$1,[4]characters!$1:$1,0)+1,FALSE)</f>
        <v>Material</v>
      </c>
      <c r="P168" s="20" t="str">
        <f ca="1">VLOOKUP($L168,OFFSET([3]enemies!$A$1,0,0,COUNTA([3]enemies!$A:$A),MATCH(P$1,[3]enemies!$1:$1,0)-MATCH($L$1,[3]enemies!$1:$1,0)+1),MATCH(P$1,[3]enemies!$1:$1,0)-MATCH($L$1,[3]enemies!$1:$1,0)+1,FALSE)</f>
        <v>unknown</v>
      </c>
      <c r="Q168" s="20">
        <f ca="1">VLOOKUP($L168,OFFSET([3]enemies!$A$1,0,0,COUNTA([3]enemies!$A:$A),MATCH(Q$1,[3]enemies!$1:$1,0)-MATCH($L$1,[3]enemies!$1:$1,0)+1),MATCH(Q$1,[3]enemies!$1:$1,0)-MATCH($L$1,[3]enemies!$1:$1,0)+1,FALSE)</f>
        <v>15</v>
      </c>
      <c r="R168" s="6">
        <v>1</v>
      </c>
      <c r="S168" s="39">
        <v>1</v>
      </c>
      <c r="T168" s="39">
        <v>1</v>
      </c>
      <c r="U168" s="6">
        <v>0</v>
      </c>
      <c r="V168" s="5" t="str">
        <f ca="1">VLOOKUP($W168,OFFSET([5]enemy_skill_sets!$B$1,0,0,COUNTA([5]enemy_skill_sets!$B:$B),MATCH(M$1,[5]enemy_skill_sets!$1:$1,0)-MATCH($W$1,[5]enemy_skill_sets!$1:$1,0)+2),MATCH(M$1,[5]enemy_skill_sets!$1:$1,0)-MATCH($W$1,[5]enemy_skill_sets!$1:$1,0)+2,FALSE)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8" s="5">
        <f ca="1">VLOOKUP($L168,OFFSET([3]enemies!$A$1,0,0,COUNTA([3]enemies!$A:$A),MATCH(W$1,[3]enemies!$1:$1,0)-MATCH($L$1,[3]enemies!$1:$1,0)+1),MATCH(W$1,[3]enemies!$1:$1,0)-MATCH($L$1,[3]enemies!$1:$1,0)+1,FALSE)</f>
        <v>0</v>
      </c>
      <c r="X168" s="7">
        <v>0</v>
      </c>
      <c r="Y168" s="7">
        <v>30</v>
      </c>
      <c r="Z168" s="7">
        <v>0</v>
      </c>
      <c r="AA168" s="20">
        <f ca="1">VLOOKUP($L168,OFFSET([3]enemies!$A$1,0,0,COUNTA([3]enemies!$A:$A),MATCH(AA$1,[3]enemies!$1:$1,0)-MATCH($L$1,[3]enemies!$1:$1,0)+1),MATCH(AA$1,[3]enemies!$1:$1,0)-MATCH($L$1,[3]enemies!$1:$1,0)+1,FALSE)</f>
        <v>2</v>
      </c>
      <c r="AB168" s="24">
        <v>337</v>
      </c>
      <c r="AC168" s="5" t="str">
        <f ca="1">IFERROR(VLOOKUP($AB168,OFFSET([4]characters!$A$1,0,0,COUNTA([4]characters!$A:$A),MATCH(AC$1,[4]characters!$1:$1,0)-MATCH("character_id",[4]characters!$1:$1,0)+1),MATCH(AC$1,[4]characters!$1:$1,0)-MATCH("character_id",[4]characters!$1:$1,0)+1,FALSE),"")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68" s="5">
        <f ca="1">IFERROR(VLOOKUP($AB168,OFFSET([4]characters!$A$1,0,0,COUNTA([4]characters!$A:$A),MATCH(AD$1,[4]characters!$1:$1,0)-MATCH("character_id",[4]characters!$1:$1,0)+1),MATCH(AD$1,[4]characters!$1:$1,0)-MATCH("character_id",[4]characters!$1:$1,0)+1,FALSE),"")</f>
        <v>4</v>
      </c>
      <c r="AE168" s="5" t="str">
        <f ca="1">IFERROR(VLOOKUP($AB168,OFFSET([4]characters!$A$1,0,0,COUNTA([4]characters!$A:$A),MATCH(AE$1,[4]characters!$1:$1,0)-MATCH("character_id",[4]characters!$1:$1,0)+1),MATCH(AE$1,[4]characters!$1:$1,0)-MATCH("character_id",[4]characters!$1:$1,0)+1,FALSE),"")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8" s="8">
        <v>1</v>
      </c>
      <c r="AG168" s="27">
        <f t="shared" ca="1" si="84"/>
        <v>4</v>
      </c>
      <c r="AH168" s="9">
        <v>5</v>
      </c>
      <c r="AI168" s="8">
        <v>0</v>
      </c>
      <c r="AJ168" s="8">
        <v>0</v>
      </c>
      <c r="AK168" s="8">
        <v>0</v>
      </c>
      <c r="AL168" s="8">
        <v>0</v>
      </c>
      <c r="AM168" s="8">
        <v>1</v>
      </c>
      <c r="AN168" s="8">
        <v>1</v>
      </c>
    </row>
    <row r="169" spans="1:40" ht="21" customHeight="1" x14ac:dyDescent="0.15">
      <c r="A169" s="17" t="str">
        <f t="shared" ca="1" si="70"/>
        <v>11004_3-5/107&lt;lv30&gt;s1</v>
      </c>
      <c r="B169" s="8">
        <v>11004</v>
      </c>
      <c r="C169" s="25">
        <v>3</v>
      </c>
      <c r="D169" s="2" t="str">
        <f t="shared" si="71"/>
        <v>11004_3</v>
      </c>
      <c r="E169" s="5" t="str">
        <f ca="1">VLOOKUP($B169,OFFSET([2]quests!$A$1,0,0,COUNTA([2]quests!$A:$A),MATCH(E$1,[2]quests!$1:$1,0)-MATCH($B$1,[2]quests!$1:$1,0)+1),MATCH(E$1,[2]quests!$1:$1,0)-MATCH($B$1,[2]quests!$1:$1,0)+1,FALSE)</f>
        <v>【木曜限定】 緑の素材</v>
      </c>
      <c r="F169" s="5" t="str">
        <f ca="1">VLOOKUP($D169,OFFSET([2]stages!$A$1,0,0,COUNTA([2]stages!$A:$A),MATCH(F$1,[2]stages!$2:$2,0)-MATCH($D$1,[2]stages!$2:$2,0)+1),MATCH(F$1,[2]stages!$2:$2,0)-MATCH($D$1,[2]stages!$2:$2,0)+1,FALSE)</f>
        <v xml:space="preserve">【上級】樹のイモムシ </v>
      </c>
      <c r="G169" s="25">
        <v>5</v>
      </c>
      <c r="H169" s="16" t="str">
        <f t="shared" si="69"/>
        <v>11004_3-5</v>
      </c>
      <c r="I169" s="5">
        <f ca="1">VLOOKUP($H169,OFFSET(floors!$A$1,0,0,COUNTA(floors!$A:$A),MATCH(I$1,floors!$1:$1,0)-MATCH($H$1,floors!$1:$1,0)+1),MATCH(I$1,floors!$1:$1,0)-MATCH($H$1,floors!$1:$1,0)+1,FALSE)</f>
        <v>60</v>
      </c>
      <c r="J169" s="5">
        <f ca="1">VLOOKUP($H169,OFFSET(floors!$A$1,0,0,COUNTA(floors!$A:$A),MATCH(J$1,floors!$1:$1,0)-MATCH($H$1,floors!$1:$1,0)+1),MATCH(J$1,floors!$1:$1,0)-MATCH($H$1,floors!$1:$1,0)+1,FALSE)</f>
        <v>60</v>
      </c>
      <c r="K169" s="24" t="s">
        <v>197</v>
      </c>
      <c r="L169" s="24">
        <v>107</v>
      </c>
      <c r="M169" s="20" t="str">
        <f ca="1">VLOOKUP($L169,OFFSET([3]enemies!$A$1,0,0,COUNTA([3]enemies!$A:$A),MATCH(M$1,[3]enemies!$1:$1,0)-MATCH($L$1,[3]enemies!$1:$1,0)+1),MATCH(M$1,[3]enemies!$1:$1,0)-MATCH($L$1,[3]enemies!$1:$1,0)+1,FALSE)</f>
        <v>グリーンキャタップ</v>
      </c>
      <c r="N169" s="20" t="str">
        <f ca="1">VLOOKUP($L169,OFFSET([3]enemies!$A$1,0,0,COUNTA([3]enemies!$A:$A),MATCH(N$1,[3]enemies!$1:$1,0)-MATCH($L$1,[3]enemies!$1:$1,0)+1),MATCH(N$1,[3]enemies!$1:$1,0)-MATCH($L$1,[3]enemies!$1:$1,0)+1,FALSE)</f>
        <v>green</v>
      </c>
      <c r="O169" s="22" t="str">
        <f ca="1">VLOOKUP($L169,OFFSET([4]characters!$A$1,0,0,COUNTA([4]characters!$A:$A),MATCH(O$1,[4]characters!$1:$1,0)-MATCH($L$1,[4]characters!$1:$1,0)+1),MATCH(O$1,[4]characters!$1:$1,0)-MATCH($L$1,[4]characters!$1:$1,0)+1,FALSE)</f>
        <v>Material</v>
      </c>
      <c r="P169" s="20" t="str">
        <f ca="1">VLOOKUP($L169,OFFSET([3]enemies!$A$1,0,0,COUNTA([3]enemies!$A:$A),MATCH(P$1,[3]enemies!$1:$1,0)-MATCH($L$1,[3]enemies!$1:$1,0)+1),MATCH(P$1,[3]enemies!$1:$1,0)-MATCH($L$1,[3]enemies!$1:$1,0)+1,FALSE)</f>
        <v>unknown</v>
      </c>
      <c r="Q169" s="20">
        <f ca="1">VLOOKUP($L169,OFFSET([3]enemies!$A$1,0,0,COUNTA([3]enemies!$A:$A),MATCH(Q$1,[3]enemies!$1:$1,0)-MATCH($L$1,[3]enemies!$1:$1,0)+1),MATCH(Q$1,[3]enemies!$1:$1,0)-MATCH($L$1,[3]enemies!$1:$1,0)+1,FALSE)</f>
        <v>15</v>
      </c>
      <c r="R169" s="6">
        <v>30</v>
      </c>
      <c r="S169" s="39">
        <v>2</v>
      </c>
      <c r="T169" s="39">
        <v>1</v>
      </c>
      <c r="U169" s="6">
        <v>0</v>
      </c>
      <c r="V169" s="5" t="str">
        <f ca="1">VLOOKUP($W169,OFFSET([5]enemy_skill_sets!$B$1,0,0,COUNTA([5]enemy_skill_sets!$B:$B),MATCH(M$1,[5]enemy_skill_sets!$1:$1,0)-MATCH($W$1,[5]enemy_skill_sets!$1:$1,0)+2),MATCH(M$1,[5]enemy_skill_sets!$1:$1,0)-MATCH($W$1,[5]enemy_skill_sets!$1:$1,0)+2,FALSE)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9" s="5">
        <f ca="1">VLOOKUP($L169,OFFSET([3]enemies!$A$1,0,0,COUNTA([3]enemies!$A:$A),MATCH(W$1,[3]enemies!$1:$1,0)-MATCH($L$1,[3]enemies!$1:$1,0)+1),MATCH(W$1,[3]enemies!$1:$1,0)-MATCH($L$1,[3]enemies!$1:$1,0)+1,FALSE)</f>
        <v>0</v>
      </c>
      <c r="X169" s="7">
        <v>1</v>
      </c>
      <c r="Y169" s="7">
        <v>100</v>
      </c>
      <c r="Z169" s="7">
        <v>1</v>
      </c>
      <c r="AA169" s="20">
        <f ca="1">VLOOKUP($L169,OFFSET([3]enemies!$A$1,0,0,COUNTA([3]enemies!$A:$A),MATCH(AA$1,[3]enemies!$1:$1,0)-MATCH($L$1,[3]enemies!$1:$1,0)+1),MATCH(AA$1,[3]enemies!$1:$1,0)-MATCH($L$1,[3]enemies!$1:$1,0)+1,FALSE)</f>
        <v>1</v>
      </c>
      <c r="AB169" s="24">
        <v>107</v>
      </c>
      <c r="AC169" s="5" t="str">
        <f ca="1">IFERROR(VLOOKUP($AB169,OFFSET([4]characters!$A$1,0,0,COUNTA([4]characters!$A:$A),MATCH(AC$1,[4]characters!$1:$1,0)-MATCH("character_id",[4]characters!$1:$1,0)+1),MATCH(AC$1,[4]characters!$1:$1,0)-MATCH("character_id",[4]characters!$1:$1,0)+1,FALSE),"")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169" s="5">
        <f ca="1">IFERROR(VLOOKUP($AB169,OFFSET([4]characters!$A$1,0,0,COUNTA([4]characters!$A:$A),MATCH(AD$1,[4]characters!$1:$1,0)-MATCH("character_id",[4]characters!$1:$1,0)+1),MATCH(AD$1,[4]characters!$1:$1,0)-MATCH("character_id",[4]characters!$1:$1,0)+1,FALSE),"")</f>
        <v>4</v>
      </c>
      <c r="AE169" s="5" t="str">
        <f ca="1">IFERROR(VLOOKUP($AB169,OFFSET([4]characters!$A$1,0,0,COUNTA([4]characters!$A:$A),MATCH(AE$1,[4]characters!$1:$1,0)-MATCH("character_id",[4]characters!$1:$1,0)+1),MATCH(AE$1,[4]characters!$1:$1,0)-MATCH("character_id",[4]characters!$1:$1,0)+1,FALSE),"")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9" s="8">
        <v>1</v>
      </c>
      <c r="AG169" s="27">
        <f t="shared" ca="1" si="72"/>
        <v>4</v>
      </c>
      <c r="AH169" s="9">
        <v>100</v>
      </c>
      <c r="AI169" s="8">
        <v>0</v>
      </c>
      <c r="AJ169" s="8">
        <v>0</v>
      </c>
      <c r="AK169" s="8">
        <v>0</v>
      </c>
      <c r="AL169" s="8">
        <v>0</v>
      </c>
      <c r="AM169" s="8">
        <v>1</v>
      </c>
      <c r="AN169" s="8">
        <v>1</v>
      </c>
    </row>
    <row r="170" spans="1:40" ht="21" customHeight="1" x14ac:dyDescent="0.15">
      <c r="A170" s="17" t="str">
        <f ca="1">B170&amp;"_"&amp;C170&amp;"-"&amp;G170&amp;"/"&amp;L170&amp;"&lt;lv"&amp;R170&amp;"&gt;s"&amp;AA170</f>
        <v>11004_3-5/128&lt;lv30&gt;s2</v>
      </c>
      <c r="B170" s="8">
        <v>11004</v>
      </c>
      <c r="C170" s="25">
        <v>3</v>
      </c>
      <c r="D170" s="2" t="str">
        <f t="shared" si="71"/>
        <v>11004_3</v>
      </c>
      <c r="E170" s="5" t="str">
        <f ca="1">VLOOKUP($B170,OFFSET([2]quests!$A$1,0,0,COUNTA([2]quests!$A:$A),MATCH(E$1,[2]quests!$1:$1,0)-MATCH($B$1,[2]quests!$1:$1,0)+1),MATCH(E$1,[2]quests!$1:$1,0)-MATCH($B$1,[2]quests!$1:$1,0)+1,FALSE)</f>
        <v>【木曜限定】 緑の素材</v>
      </c>
      <c r="F170" s="5" t="str">
        <f ca="1">VLOOKUP($D170,OFFSET([2]stages!$A$1,0,0,COUNTA([2]stages!$A:$A),MATCH(F$1,[2]stages!$2:$2,0)-MATCH($D$1,[2]stages!$2:$2,0)+1),MATCH(F$1,[2]stages!$2:$2,0)-MATCH($D$1,[2]stages!$2:$2,0)+1,FALSE)</f>
        <v xml:space="preserve">【上級】樹のイモムシ </v>
      </c>
      <c r="G170" s="25">
        <v>5</v>
      </c>
      <c r="H170" s="16" t="str">
        <f t="shared" si="69"/>
        <v>11004_3-5</v>
      </c>
      <c r="I170" s="5">
        <f ca="1">VLOOKUP($H170,OFFSET(floors!$A$1,0,0,COUNTA(floors!$A:$A),MATCH(I$1,floors!$1:$1,0)-MATCH($H$1,floors!$1:$1,0)+1),MATCH(I$1,floors!$1:$1,0)-MATCH($H$1,floors!$1:$1,0)+1,FALSE)</f>
        <v>60</v>
      </c>
      <c r="J170" s="5">
        <f ca="1">VLOOKUP($H170,OFFSET(floors!$A$1,0,0,COUNTA(floors!$A:$A),MATCH(J$1,floors!$1:$1,0)-MATCH($H$1,floors!$1:$1,0)+1),MATCH(J$1,floors!$1:$1,0)-MATCH($H$1,floors!$1:$1,0)+1,FALSE)</f>
        <v>60</v>
      </c>
      <c r="K170" s="24" t="s">
        <v>197</v>
      </c>
      <c r="L170" s="24">
        <v>128</v>
      </c>
      <c r="M170" s="20" t="str">
        <f ca="1">VLOOKUP($L170,OFFSET([3]enemies!$A$1,0,0,COUNTA([3]enemies!$A:$A),MATCH(M$1,[3]enemies!$1:$1,0)-MATCH($L$1,[3]enemies!$1:$1,0)+1),MATCH(M$1,[3]enemies!$1:$1,0)-MATCH($L$1,[3]enemies!$1:$1,0)+1,FALSE)</f>
        <v>野生児 アマラ</v>
      </c>
      <c r="N170" s="20" t="str">
        <f ca="1">VLOOKUP($L170,OFFSET([3]enemies!$A$1,0,0,COUNTA([3]enemies!$A:$A),MATCH(N$1,[3]enemies!$1:$1,0)-MATCH($L$1,[3]enemies!$1:$1,0)+1),MATCH(N$1,[3]enemies!$1:$1,0)-MATCH($L$1,[3]enemies!$1:$1,0)+1,FALSE)</f>
        <v>green</v>
      </c>
      <c r="O170" s="22" t="str">
        <f ca="1">VLOOKUP($L170,OFFSET([4]characters!$A$1,0,0,COUNTA([4]characters!$A:$A),MATCH(O$1,[4]characters!$1:$1,0)-MATCH($L$1,[4]characters!$1:$1,0)+1),MATCH(O$1,[4]characters!$1:$1,0)-MATCH($L$1,[4]characters!$1:$1,0)+1,FALSE)</f>
        <v>PremiumW</v>
      </c>
      <c r="P170" s="20" t="str">
        <f ca="1">VLOOKUP($L170,OFFSET([3]enemies!$A$1,0,0,COUNTA([3]enemies!$A:$A),MATCH(P$1,[3]enemies!$1:$1,0)-MATCH($L$1,[3]enemies!$1:$1,0)+1),MATCH(P$1,[3]enemies!$1:$1,0)-MATCH($L$1,[3]enemies!$1:$1,0)+1,FALSE)</f>
        <v>human</v>
      </c>
      <c r="Q170" s="20">
        <f ca="1">VLOOKUP($L170,OFFSET([3]enemies!$A$1,0,0,COUNTA([3]enemies!$A:$A),MATCH(Q$1,[3]enemies!$1:$1,0)-MATCH($L$1,[3]enemies!$1:$1,0)+1),MATCH(Q$1,[3]enemies!$1:$1,0)-MATCH($L$1,[3]enemies!$1:$1,0)+1,FALSE)</f>
        <v>20</v>
      </c>
      <c r="R170" s="6">
        <v>30</v>
      </c>
      <c r="S170" s="39">
        <v>1</v>
      </c>
      <c r="T170" s="39">
        <v>1</v>
      </c>
      <c r="U170" s="6">
        <v>0</v>
      </c>
      <c r="V170" s="5" t="str">
        <f ca="1">VLOOKUP($W170,OFFSET([5]enemy_skill_sets!$B$1,0,0,COUNTA([5]enemy_skill_sets!$B:$B),MATCH(M$1,[5]enemy_skill_sets!$1:$1,0)-MATCH($W$1,[5]enemy_skill_sets!$1:$1,0)+2),MATCH(M$1,[5]enemy_skill_sets!$1:$1,0)-MATCH($W$1,[5]enemy_skill_sets!$1:$1,0)+2,FALSE)</f>
        <v>5ターン攻撃力小UP</v>
      </c>
      <c r="W170" s="5">
        <f ca="1">VLOOKUP($L170,OFFSET([3]enemies!$A$1,0,0,COUNTA([3]enemies!$A:$A),MATCH(W$1,[3]enemies!$1:$1,0)-MATCH($L$1,[3]enemies!$1:$1,0)+1),MATCH(W$1,[3]enemies!$1:$1,0)-MATCH($L$1,[3]enemies!$1:$1,0)+1,FALSE)</f>
        <v>128</v>
      </c>
      <c r="X170" s="7">
        <v>0</v>
      </c>
      <c r="Y170" s="7">
        <v>100</v>
      </c>
      <c r="Z170" s="7">
        <v>1</v>
      </c>
      <c r="AA170" s="20">
        <f ca="1">VLOOKUP($L170,OFFSET([3]enemies!$A$1,0,0,COUNTA([3]enemies!$A:$A),MATCH(AA$1,[3]enemies!$1:$1,0)-MATCH($L$1,[3]enemies!$1:$1,0)+1),MATCH(AA$1,[3]enemies!$1:$1,0)-MATCH($L$1,[3]enemies!$1:$1,0)+1,FALSE)</f>
        <v>2</v>
      </c>
      <c r="AB170" s="24">
        <v>128</v>
      </c>
      <c r="AC170" s="5" t="str">
        <f ca="1">IFERROR(VLOOKUP($AB170,OFFSET([4]characters!$A$1,0,0,COUNTA([4]characters!$A:$A),MATCH(AC$1,[4]characters!$1:$1,0)-MATCH("character_id",[4]characters!$1:$1,0)+1),MATCH(AC$1,[4]characters!$1:$1,0)-MATCH("character_id",[4]characters!$1:$1,0)+1,FALSE),"")</f>
        <v>野生児 アマラ</v>
      </c>
      <c r="AD170" s="5">
        <f ca="1">IFERROR(VLOOKUP($AB170,OFFSET([4]characters!$A$1,0,0,COUNTA([4]characters!$A:$A),MATCH(AD$1,[4]characters!$1:$1,0)-MATCH("character_id",[4]characters!$1:$1,0)+1),MATCH(AD$1,[4]characters!$1:$1,0)-MATCH("character_id",[4]characters!$1:$1,0)+1,FALSE),"")</f>
        <v>3</v>
      </c>
      <c r="AE170" s="5" t="str">
        <f ca="1">IFERROR(VLOOKUP($AB170,OFFSET([4]characters!$A$1,0,0,COUNTA([4]characters!$A:$A),MATCH(AE$1,[4]characters!$1:$1,0)-MATCH("character_id",[4]characters!$1:$1,0)+1),MATCH(AE$1,[4]characters!$1:$1,0)-MATCH("character_id",[4]characters!$1:$1,0)+1,FALSE),"")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70" s="8">
        <v>1</v>
      </c>
      <c r="AG170" s="27">
        <f t="shared" ca="1" si="72"/>
        <v>3</v>
      </c>
      <c r="AH170" s="9">
        <v>0</v>
      </c>
      <c r="AI170" s="8">
        <v>0</v>
      </c>
      <c r="AJ170" s="8">
        <v>0</v>
      </c>
      <c r="AK170" s="8">
        <v>0</v>
      </c>
      <c r="AL170" s="8">
        <v>0</v>
      </c>
      <c r="AM170" s="8">
        <v>1</v>
      </c>
      <c r="AN170" s="8">
        <v>1</v>
      </c>
    </row>
    <row r="171" spans="1:40" ht="21" customHeight="1" x14ac:dyDescent="0.15">
      <c r="A171" s="17" t="str">
        <f ca="1">B171&amp;"_"&amp;C171&amp;"-"&amp;G171&amp;"/"&amp;L171&amp;"&lt;lv"&amp;R171&amp;"&gt;s"&amp;AA171</f>
        <v>11004_3-5/136&lt;lv30&gt;s4</v>
      </c>
      <c r="B171" s="8">
        <v>11004</v>
      </c>
      <c r="C171" s="25">
        <v>3</v>
      </c>
      <c r="D171" s="2" t="str">
        <f t="shared" si="71"/>
        <v>11004_3</v>
      </c>
      <c r="E171" s="5" t="str">
        <f ca="1">VLOOKUP($B171,OFFSET([2]quests!$A$1,0,0,COUNTA([2]quests!$A:$A),MATCH(E$1,[2]quests!$1:$1,0)-MATCH($B$1,[2]quests!$1:$1,0)+1),MATCH(E$1,[2]quests!$1:$1,0)-MATCH($B$1,[2]quests!$1:$1,0)+1,FALSE)</f>
        <v>【木曜限定】 緑の素材</v>
      </c>
      <c r="F171" s="5" t="str">
        <f ca="1">VLOOKUP($D171,OFFSET([2]stages!$A$1,0,0,COUNTA([2]stages!$A:$A),MATCH(F$1,[2]stages!$2:$2,0)-MATCH($D$1,[2]stages!$2:$2,0)+1),MATCH(F$1,[2]stages!$2:$2,0)-MATCH($D$1,[2]stages!$2:$2,0)+1,FALSE)</f>
        <v xml:space="preserve">【上級】樹のイモムシ </v>
      </c>
      <c r="G171" s="25">
        <v>5</v>
      </c>
      <c r="H171" s="16" t="str">
        <f t="shared" si="69"/>
        <v>11004_3-5</v>
      </c>
      <c r="I171" s="5">
        <f ca="1">VLOOKUP($H171,OFFSET(floors!$A$1,0,0,COUNTA(floors!$A:$A),MATCH(I$1,floors!$1:$1,0)-MATCH($H$1,floors!$1:$1,0)+1),MATCH(I$1,floors!$1:$1,0)-MATCH($H$1,floors!$1:$1,0)+1,FALSE)</f>
        <v>60</v>
      </c>
      <c r="J171" s="5">
        <f ca="1">VLOOKUP($H171,OFFSET(floors!$A$1,0,0,COUNTA(floors!$A:$A),MATCH(J$1,floors!$1:$1,0)-MATCH($H$1,floors!$1:$1,0)+1),MATCH(J$1,floors!$1:$1,0)-MATCH($H$1,floors!$1:$1,0)+1,FALSE)</f>
        <v>60</v>
      </c>
      <c r="K171" s="24" t="s">
        <v>197</v>
      </c>
      <c r="L171" s="24">
        <v>136</v>
      </c>
      <c r="M171" s="20" t="str">
        <f ca="1">VLOOKUP($L171,OFFSET([3]enemies!$A$1,0,0,COUNTA([3]enemies!$A:$A),MATCH(M$1,[3]enemies!$1:$1,0)-MATCH($L$1,[3]enemies!$1:$1,0)+1),MATCH(M$1,[3]enemies!$1:$1,0)-MATCH($L$1,[3]enemies!$1:$1,0)+1,FALSE)</f>
        <v>お針子チハヤ</v>
      </c>
      <c r="N171" s="20" t="str">
        <f ca="1">VLOOKUP($L171,OFFSET([3]enemies!$A$1,0,0,COUNTA([3]enemies!$A:$A),MATCH(N$1,[3]enemies!$1:$1,0)-MATCH($L$1,[3]enemies!$1:$1,0)+1),MATCH(N$1,[3]enemies!$1:$1,0)-MATCH($L$1,[3]enemies!$1:$1,0)+1,FALSE)</f>
        <v>green</v>
      </c>
      <c r="O171" s="22" t="str">
        <f ca="1">VLOOKUP($L171,OFFSET([4]characters!$A$1,0,0,COUNTA([4]characters!$A:$A),MATCH(O$1,[4]characters!$1:$1,0)-MATCH($L$1,[4]characters!$1:$1,0)+1),MATCH(O$1,[4]characters!$1:$1,0)-MATCH($L$1,[4]characters!$1:$1,0)+1,FALSE)</f>
        <v>PremiumW</v>
      </c>
      <c r="P171" s="20" t="str">
        <f ca="1">VLOOKUP($L171,OFFSET([3]enemies!$A$1,0,0,COUNTA([3]enemies!$A:$A),MATCH(P$1,[3]enemies!$1:$1,0)-MATCH($L$1,[3]enemies!$1:$1,0)+1),MATCH(P$1,[3]enemies!$1:$1,0)-MATCH($L$1,[3]enemies!$1:$1,0)+1,FALSE)</f>
        <v>human</v>
      </c>
      <c r="Q171" s="20">
        <f ca="1">VLOOKUP($L171,OFFSET([3]enemies!$A$1,0,0,COUNTA([3]enemies!$A:$A),MATCH(Q$1,[3]enemies!$1:$1,0)-MATCH($L$1,[3]enemies!$1:$1,0)+1),MATCH(Q$1,[3]enemies!$1:$1,0)-MATCH($L$1,[3]enemies!$1:$1,0)+1,FALSE)</f>
        <v>20</v>
      </c>
      <c r="R171" s="6">
        <v>30</v>
      </c>
      <c r="S171" s="39">
        <v>1</v>
      </c>
      <c r="T171" s="39">
        <v>1</v>
      </c>
      <c r="U171" s="6">
        <v>0</v>
      </c>
      <c r="V171" s="5" t="str">
        <f ca="1">VLOOKUP($W171,OFFSET([5]enemy_skill_sets!$B$1,0,0,COUNTA([5]enemy_skill_sets!$B:$B),MATCH(M$1,[5]enemy_skill_sets!$1:$1,0)-MATCH($W$1,[5]enemy_skill_sets!$1:$1,0)+2),MATCH(M$1,[5]enemy_skill_sets!$1:$1,0)-MATCH($W$1,[5]enemy_skill_sets!$1:$1,0)+2,FALSE)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71" s="5">
        <f ca="1">VLOOKUP($L171,OFFSET([3]enemies!$A$1,0,0,COUNTA([3]enemies!$A:$A),MATCH(W$1,[3]enemies!$1:$1,0)-MATCH($L$1,[3]enemies!$1:$1,0)+1),MATCH(W$1,[3]enemies!$1:$1,0)-MATCH($L$1,[3]enemies!$1:$1,0)+1,FALSE)</f>
        <v>136</v>
      </c>
      <c r="X171" s="7">
        <v>0</v>
      </c>
      <c r="Y171" s="7">
        <v>100</v>
      </c>
      <c r="Z171" s="7">
        <v>1</v>
      </c>
      <c r="AA171" s="20">
        <f ca="1">VLOOKUP($L171,OFFSET([3]enemies!$A$1,0,0,COUNTA([3]enemies!$A:$A),MATCH(AA$1,[3]enemies!$1:$1,0)-MATCH($L$1,[3]enemies!$1:$1,0)+1),MATCH(AA$1,[3]enemies!$1:$1,0)-MATCH($L$1,[3]enemies!$1:$1,0)+1,FALSE)</f>
        <v>4</v>
      </c>
      <c r="AB171" s="24">
        <v>136</v>
      </c>
      <c r="AC171" s="5" t="str">
        <f ca="1">IFERROR(VLOOKUP($AB171,OFFSET([4]characters!$A$1,0,0,COUNTA([4]characters!$A:$A),MATCH(AC$1,[4]characters!$1:$1,0)-MATCH("character_id",[4]characters!$1:$1,0)+1),MATCH(AC$1,[4]characters!$1:$1,0)-MATCH("character_id",[4]characters!$1:$1,0)+1,FALSE),"")</f>
        <v>お針子チハヤ</v>
      </c>
      <c r="AD171" s="5">
        <f ca="1">IFERROR(VLOOKUP($AB171,OFFSET([4]characters!$A$1,0,0,COUNTA([4]characters!$A:$A),MATCH(AD$1,[4]characters!$1:$1,0)-MATCH("character_id",[4]characters!$1:$1,0)+1),MATCH(AD$1,[4]characters!$1:$1,0)-MATCH("character_id",[4]characters!$1:$1,0)+1,FALSE),"")</f>
        <v>3</v>
      </c>
      <c r="AE171" s="5" t="str">
        <f ca="1">IFERROR(VLOOKUP($AB171,OFFSET([4]characters!$A$1,0,0,COUNTA([4]characters!$A:$A),MATCH(AE$1,[4]characters!$1:$1,0)-MATCH("character_id",[4]characters!$1:$1,0)+1),MATCH(AE$1,[4]characters!$1:$1,0)-MATCH("character_id",[4]characters!$1:$1,0)+1,FALSE),"")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71" s="8">
        <v>1</v>
      </c>
      <c r="AG171" s="27">
        <f t="shared" ca="1" si="72"/>
        <v>3</v>
      </c>
      <c r="AH171" s="9">
        <v>0</v>
      </c>
      <c r="AI171" s="8">
        <v>0</v>
      </c>
      <c r="AJ171" s="8">
        <v>0</v>
      </c>
      <c r="AK171" s="8">
        <v>0</v>
      </c>
      <c r="AL171" s="8">
        <v>0</v>
      </c>
      <c r="AM171" s="8">
        <v>1</v>
      </c>
      <c r="AN171" s="8">
        <v>1</v>
      </c>
    </row>
    <row r="172" spans="1:40" ht="21" customHeight="1" x14ac:dyDescent="0.15">
      <c r="A172" s="17" t="str">
        <f ca="1">B172&amp;"_"&amp;C172&amp;"-"&amp;G172&amp;"/"&amp;L172&amp;"&lt;lv"&amp;R172&amp;"&gt;s"&amp;AA172</f>
        <v>11004_3-5/144&lt;lv30&gt;s2</v>
      </c>
      <c r="B172" s="8">
        <v>11004</v>
      </c>
      <c r="C172" s="25">
        <v>3</v>
      </c>
      <c r="D172" s="2" t="str">
        <f t="shared" si="71"/>
        <v>11004_3</v>
      </c>
      <c r="E172" s="5" t="str">
        <f ca="1">VLOOKUP($B172,OFFSET([2]quests!$A$1,0,0,COUNTA([2]quests!$A:$A),MATCH(E$1,[2]quests!$1:$1,0)-MATCH($B$1,[2]quests!$1:$1,0)+1),MATCH(E$1,[2]quests!$1:$1,0)-MATCH($B$1,[2]quests!$1:$1,0)+1,FALSE)</f>
        <v>【木曜限定】 緑の素材</v>
      </c>
      <c r="F172" s="5" t="str">
        <f ca="1">VLOOKUP($D172,OFFSET([2]stages!$A$1,0,0,COUNTA([2]stages!$A:$A),MATCH(F$1,[2]stages!$2:$2,0)-MATCH($D$1,[2]stages!$2:$2,0)+1),MATCH(F$1,[2]stages!$2:$2,0)-MATCH($D$1,[2]stages!$2:$2,0)+1,FALSE)</f>
        <v xml:space="preserve">【上級】樹のイモムシ </v>
      </c>
      <c r="G172" s="25">
        <v>5</v>
      </c>
      <c r="H172" s="16" t="str">
        <f t="shared" si="69"/>
        <v>11004_3-5</v>
      </c>
      <c r="I172" s="5">
        <f ca="1">VLOOKUP($H172,OFFSET(floors!$A$1,0,0,COUNTA(floors!$A:$A),MATCH(I$1,floors!$1:$1,0)-MATCH($H$1,floors!$1:$1,0)+1),MATCH(I$1,floors!$1:$1,0)-MATCH($H$1,floors!$1:$1,0)+1,FALSE)</f>
        <v>60</v>
      </c>
      <c r="J172" s="5">
        <f ca="1">VLOOKUP($H172,OFFSET(floors!$A$1,0,0,COUNTA(floors!$A:$A),MATCH(J$1,floors!$1:$1,0)-MATCH($H$1,floors!$1:$1,0)+1),MATCH(J$1,floors!$1:$1,0)-MATCH($H$1,floors!$1:$1,0)+1,FALSE)</f>
        <v>60</v>
      </c>
      <c r="K172" s="24" t="s">
        <v>197</v>
      </c>
      <c r="L172" s="24">
        <v>144</v>
      </c>
      <c r="M172" s="20" t="str">
        <f ca="1">VLOOKUP($L172,OFFSET([3]enemies!$A$1,0,0,COUNTA([3]enemies!$A:$A),MATCH(M$1,[3]enemies!$1:$1,0)-MATCH($L$1,[3]enemies!$1:$1,0)+1),MATCH(M$1,[3]enemies!$1:$1,0)-MATCH($L$1,[3]enemies!$1:$1,0)+1,FALSE)</f>
        <v>かぐや</v>
      </c>
      <c r="N172" s="20" t="str">
        <f ca="1">VLOOKUP($L172,OFFSET([3]enemies!$A$1,0,0,COUNTA([3]enemies!$A:$A),MATCH(N$1,[3]enemies!$1:$1,0)-MATCH($L$1,[3]enemies!$1:$1,0)+1),MATCH(N$1,[3]enemies!$1:$1,0)-MATCH($L$1,[3]enemies!$1:$1,0)+1,FALSE)</f>
        <v>green</v>
      </c>
      <c r="O172" s="22" t="str">
        <f ca="1">VLOOKUP($L172,OFFSET([4]characters!$A$1,0,0,COUNTA([4]characters!$A:$A),MATCH(O$1,[4]characters!$1:$1,0)-MATCH($L$1,[4]characters!$1:$1,0)+1),MATCH(O$1,[4]characters!$1:$1,0)-MATCH($L$1,[4]characters!$1:$1,0)+1,FALSE)</f>
        <v>PremiumW</v>
      </c>
      <c r="P172" s="20" t="str">
        <f ca="1">VLOOKUP($L172,OFFSET([3]enemies!$A$1,0,0,COUNTA([3]enemies!$A:$A),MATCH(P$1,[3]enemies!$1:$1,0)-MATCH($L$1,[3]enemies!$1:$1,0)+1),MATCH(P$1,[3]enemies!$1:$1,0)-MATCH($L$1,[3]enemies!$1:$1,0)+1,FALSE)</f>
        <v>human</v>
      </c>
      <c r="Q172" s="20">
        <f ca="1">VLOOKUP($L172,OFFSET([3]enemies!$A$1,0,0,COUNTA([3]enemies!$A:$A),MATCH(Q$1,[3]enemies!$1:$1,0)-MATCH($L$1,[3]enemies!$1:$1,0)+1),MATCH(Q$1,[3]enemies!$1:$1,0)-MATCH($L$1,[3]enemies!$1:$1,0)+1,FALSE)</f>
        <v>20</v>
      </c>
      <c r="R172" s="6">
        <v>30</v>
      </c>
      <c r="S172" s="39">
        <v>1</v>
      </c>
      <c r="T172" s="39">
        <v>1</v>
      </c>
      <c r="U172" s="6">
        <v>0</v>
      </c>
      <c r="V172" s="5" t="str">
        <f ca="1">VLOOKUP($W172,OFFSET([5]enemy_skill_sets!$B$1,0,0,COUNTA([5]enemy_skill_sets!$B:$B),MATCH(M$1,[5]enemy_skill_sets!$1:$1,0)-MATCH($W$1,[5]enemy_skill_sets!$1:$1,0)+2),MATCH(M$1,[5]enemy_skill_sets!$1:$1,0)-MATCH($W$1,[5]enemy_skill_sets!$1:$1,0)+2,FALSE)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2" s="5">
        <f ca="1">VLOOKUP($L172,OFFSET([3]enemies!$A$1,0,0,COUNTA([3]enemies!$A:$A),MATCH(W$1,[3]enemies!$1:$1,0)-MATCH($L$1,[3]enemies!$1:$1,0)+1),MATCH(W$1,[3]enemies!$1:$1,0)-MATCH($L$1,[3]enemies!$1:$1,0)+1,FALSE)</f>
        <v>0</v>
      </c>
      <c r="X172" s="7">
        <v>0</v>
      </c>
      <c r="Y172" s="7">
        <v>100</v>
      </c>
      <c r="Z172" s="7">
        <v>1</v>
      </c>
      <c r="AA172" s="20">
        <f ca="1">VLOOKUP($L172,OFFSET([3]enemies!$A$1,0,0,COUNTA([3]enemies!$A:$A),MATCH(AA$1,[3]enemies!$1:$1,0)-MATCH($L$1,[3]enemies!$1:$1,0)+1),MATCH(AA$1,[3]enemies!$1:$1,0)-MATCH($L$1,[3]enemies!$1:$1,0)+1,FALSE)</f>
        <v>2</v>
      </c>
      <c r="AB172" s="24">
        <v>144</v>
      </c>
      <c r="AC172" s="5" t="str">
        <f ca="1">IFERROR(VLOOKUP($AB172,OFFSET([4]characters!$A$1,0,0,COUNTA([4]characters!$A:$A),MATCH(AC$1,[4]characters!$1:$1,0)-MATCH("character_id",[4]characters!$1:$1,0)+1),MATCH(AC$1,[4]characters!$1:$1,0)-MATCH("character_id",[4]characters!$1:$1,0)+1,FALSE),"")</f>
        <v>かぐや</v>
      </c>
      <c r="AD172" s="5">
        <f ca="1">IFERROR(VLOOKUP($AB172,OFFSET([4]characters!$A$1,0,0,COUNTA([4]characters!$A:$A),MATCH(AD$1,[4]characters!$1:$1,0)-MATCH("character_id",[4]characters!$1:$1,0)+1),MATCH(AD$1,[4]characters!$1:$1,0)-MATCH("character_id",[4]characters!$1:$1,0)+1,FALSE),"")</f>
        <v>3</v>
      </c>
      <c r="AE172" s="5" t="str">
        <f ca="1">IFERROR(VLOOKUP($AB172,OFFSET([4]characters!$A$1,0,0,COUNTA([4]characters!$A:$A),MATCH(AE$1,[4]characters!$1:$1,0)-MATCH("character_id",[4]characters!$1:$1,0)+1),MATCH(AE$1,[4]characters!$1:$1,0)-MATCH("character_id",[4]characters!$1:$1,0)+1,FALSE),"")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72" s="8">
        <v>1</v>
      </c>
      <c r="AG172" s="27">
        <f t="shared" ca="1" si="72"/>
        <v>3</v>
      </c>
      <c r="AH172" s="9">
        <v>0</v>
      </c>
      <c r="AI172" s="8">
        <v>0</v>
      </c>
      <c r="AJ172" s="8">
        <v>0</v>
      </c>
      <c r="AK172" s="8">
        <v>0</v>
      </c>
      <c r="AL172" s="8">
        <v>0</v>
      </c>
      <c r="AM172" s="8">
        <v>1</v>
      </c>
      <c r="AN172" s="8">
        <v>1</v>
      </c>
    </row>
    <row r="173" spans="1:40" ht="21" customHeight="1" x14ac:dyDescent="0.15">
      <c r="A173" s="17" t="str">
        <f ca="1">B173&amp;"_"&amp;C173&amp;"-"&amp;G173&amp;"/"&amp;L173&amp;"&lt;lv"&amp;R173&amp;"&gt;s"&amp;AA173</f>
        <v>11004_3-5/152&lt;lv30&gt;s1</v>
      </c>
      <c r="B173" s="8">
        <v>11004</v>
      </c>
      <c r="C173" s="25">
        <v>3</v>
      </c>
      <c r="D173" s="2" t="str">
        <f t="shared" si="71"/>
        <v>11004_3</v>
      </c>
      <c r="E173" s="5" t="str">
        <f ca="1">VLOOKUP($B173,OFFSET([2]quests!$A$1,0,0,COUNTA([2]quests!$A:$A),MATCH(E$1,[2]quests!$1:$1,0)-MATCH($B$1,[2]quests!$1:$1,0)+1),MATCH(E$1,[2]quests!$1:$1,0)-MATCH($B$1,[2]quests!$1:$1,0)+1,FALSE)</f>
        <v>【木曜限定】 緑の素材</v>
      </c>
      <c r="F173" s="5" t="str">
        <f ca="1">VLOOKUP($D173,OFFSET([2]stages!$A$1,0,0,COUNTA([2]stages!$A:$A),MATCH(F$1,[2]stages!$2:$2,0)-MATCH($D$1,[2]stages!$2:$2,0)+1),MATCH(F$1,[2]stages!$2:$2,0)-MATCH($D$1,[2]stages!$2:$2,0)+1,FALSE)</f>
        <v xml:space="preserve">【上級】樹のイモムシ </v>
      </c>
      <c r="G173" s="25">
        <v>5</v>
      </c>
      <c r="H173" s="16" t="str">
        <f t="shared" si="69"/>
        <v>11004_3-5</v>
      </c>
      <c r="I173" s="5">
        <f ca="1">VLOOKUP($H173,OFFSET(floors!$A$1,0,0,COUNTA(floors!$A:$A),MATCH(I$1,floors!$1:$1,0)-MATCH($H$1,floors!$1:$1,0)+1),MATCH(I$1,floors!$1:$1,0)-MATCH($H$1,floors!$1:$1,0)+1,FALSE)</f>
        <v>60</v>
      </c>
      <c r="J173" s="5">
        <f ca="1">VLOOKUP($H173,OFFSET(floors!$A$1,0,0,COUNTA(floors!$A:$A),MATCH(J$1,floors!$1:$1,0)-MATCH($H$1,floors!$1:$1,0)+1),MATCH(J$1,floors!$1:$1,0)-MATCH($H$1,floors!$1:$1,0)+1,FALSE)</f>
        <v>60</v>
      </c>
      <c r="K173" s="24" t="s">
        <v>197</v>
      </c>
      <c r="L173" s="24">
        <v>152</v>
      </c>
      <c r="M173" s="20" t="str">
        <f ca="1">VLOOKUP($L173,OFFSET([3]enemies!$A$1,0,0,COUNTA([3]enemies!$A:$A),MATCH(M$1,[3]enemies!$1:$1,0)-MATCH($L$1,[3]enemies!$1:$1,0)+1),MATCH(M$1,[3]enemies!$1:$1,0)-MATCH($L$1,[3]enemies!$1:$1,0)+1,FALSE)</f>
        <v>功夫少女ランラン</v>
      </c>
      <c r="N173" s="20" t="str">
        <f ca="1">VLOOKUP($L173,OFFSET([3]enemies!$A$1,0,0,COUNTA([3]enemies!$A:$A),MATCH(N$1,[3]enemies!$1:$1,0)-MATCH($L$1,[3]enemies!$1:$1,0)+1),MATCH(N$1,[3]enemies!$1:$1,0)-MATCH($L$1,[3]enemies!$1:$1,0)+1,FALSE)</f>
        <v>green</v>
      </c>
      <c r="O173" s="22" t="str">
        <f ca="1">VLOOKUP($L173,OFFSET([4]characters!$A$1,0,0,COUNTA([4]characters!$A:$A),MATCH(O$1,[4]characters!$1:$1,0)-MATCH($L$1,[4]characters!$1:$1,0)+1),MATCH(O$1,[4]characters!$1:$1,0)-MATCH($L$1,[4]characters!$1:$1,0)+1,FALSE)</f>
        <v>PremiumW</v>
      </c>
      <c r="P173" s="20" t="str">
        <f ca="1">VLOOKUP($L173,OFFSET([3]enemies!$A$1,0,0,COUNTA([3]enemies!$A:$A),MATCH(P$1,[3]enemies!$1:$1,0)-MATCH($L$1,[3]enemies!$1:$1,0)+1),MATCH(P$1,[3]enemies!$1:$1,0)-MATCH($L$1,[3]enemies!$1:$1,0)+1,FALSE)</f>
        <v>human</v>
      </c>
      <c r="Q173" s="20">
        <f ca="1">VLOOKUP($L173,OFFSET([3]enemies!$A$1,0,0,COUNTA([3]enemies!$A:$A),MATCH(Q$1,[3]enemies!$1:$1,0)-MATCH($L$1,[3]enemies!$1:$1,0)+1),MATCH(Q$1,[3]enemies!$1:$1,0)-MATCH($L$1,[3]enemies!$1:$1,0)+1,FALSE)</f>
        <v>20</v>
      </c>
      <c r="R173" s="6">
        <v>30</v>
      </c>
      <c r="S173" s="39">
        <v>1</v>
      </c>
      <c r="T173" s="39">
        <v>1</v>
      </c>
      <c r="U173" s="6">
        <v>0</v>
      </c>
      <c r="V173" s="5" t="str">
        <f ca="1">VLOOKUP($W173,OFFSET([5]enemy_skill_sets!$B$1,0,0,COUNTA([5]enemy_skill_sets!$B:$B),MATCH(M$1,[5]enemy_skill_sets!$1:$1,0)-MATCH($W$1,[5]enemy_skill_sets!$1:$1,0)+2),MATCH(M$1,[5]enemy_skill_sets!$1:$1,0)-MATCH($W$1,[5]enemy_skill_sets!$1:$1,0)+2,FALSE)</f>
        <v>攻撃力×1.3倍の攻撃</v>
      </c>
      <c r="W173" s="5">
        <f ca="1">VLOOKUP($L173,OFFSET([3]enemies!$A$1,0,0,COUNTA([3]enemies!$A:$A),MATCH(W$1,[3]enemies!$1:$1,0)-MATCH($L$1,[3]enemies!$1:$1,0)+1),MATCH(W$1,[3]enemies!$1:$1,0)-MATCH($L$1,[3]enemies!$1:$1,0)+1,FALSE)</f>
        <v>152</v>
      </c>
      <c r="X173" s="7">
        <v>0</v>
      </c>
      <c r="Y173" s="7">
        <v>100</v>
      </c>
      <c r="Z173" s="7">
        <v>1</v>
      </c>
      <c r="AA173" s="20">
        <f ca="1">VLOOKUP($L173,OFFSET([3]enemies!$A$1,0,0,COUNTA([3]enemies!$A:$A),MATCH(AA$1,[3]enemies!$1:$1,0)-MATCH($L$1,[3]enemies!$1:$1,0)+1),MATCH(AA$1,[3]enemies!$1:$1,0)-MATCH($L$1,[3]enemies!$1:$1,0)+1,FALSE)</f>
        <v>1</v>
      </c>
      <c r="AB173" s="24">
        <v>152</v>
      </c>
      <c r="AC173" s="5" t="str">
        <f ca="1">IFERROR(VLOOKUP($AB173,OFFSET([4]characters!$A$1,0,0,COUNTA([4]characters!$A:$A),MATCH(AC$1,[4]characters!$1:$1,0)-MATCH("character_id",[4]characters!$1:$1,0)+1),MATCH(AC$1,[4]characters!$1:$1,0)-MATCH("character_id",[4]characters!$1:$1,0)+1,FALSE),"")</f>
        <v>功夫少女ランラン</v>
      </c>
      <c r="AD173" s="5">
        <f ca="1">IFERROR(VLOOKUP($AB173,OFFSET([4]characters!$A$1,0,0,COUNTA([4]characters!$A:$A),MATCH(AD$1,[4]characters!$1:$1,0)-MATCH("character_id",[4]characters!$1:$1,0)+1),MATCH(AD$1,[4]characters!$1:$1,0)-MATCH("character_id",[4]characters!$1:$1,0)+1,FALSE),"")</f>
        <v>3</v>
      </c>
      <c r="AE173" s="5" t="str">
        <f ca="1">IFERROR(VLOOKUP($AB173,OFFSET([4]characters!$A$1,0,0,COUNTA([4]characters!$A:$A),MATCH(AE$1,[4]characters!$1:$1,0)-MATCH("character_id",[4]characters!$1:$1,0)+1),MATCH(AE$1,[4]characters!$1:$1,0)-MATCH("character_id",[4]characters!$1:$1,0)+1,FALSE),"")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73" s="8">
        <v>1</v>
      </c>
      <c r="AG173" s="27">
        <f t="shared" ca="1" si="72"/>
        <v>3</v>
      </c>
      <c r="AH173" s="9">
        <v>0</v>
      </c>
      <c r="AI173" s="8">
        <v>0</v>
      </c>
      <c r="AJ173" s="8">
        <v>0</v>
      </c>
      <c r="AK173" s="8">
        <v>0</v>
      </c>
      <c r="AL173" s="8">
        <v>0</v>
      </c>
      <c r="AM173" s="8">
        <v>1</v>
      </c>
      <c r="AN173" s="8">
        <v>1</v>
      </c>
    </row>
    <row r="174" spans="1:40" ht="21" customHeight="1" x14ac:dyDescent="0.15">
      <c r="A174" s="17" t="str">
        <f t="shared" ref="A174:A175" ca="1" si="85">B174&amp;"_"&amp;C174&amp;"-"&amp;G174&amp;"/"&amp;L174&amp;"&lt;lv"&amp;R174&amp;"&gt;s"&amp;AA174</f>
        <v>11005_1-1/33&lt;lv42&gt;s2</v>
      </c>
      <c r="B174" s="8">
        <v>11005</v>
      </c>
      <c r="C174" s="25">
        <v>1</v>
      </c>
      <c r="D174" s="2" t="str">
        <f t="shared" si="71"/>
        <v>11005_1</v>
      </c>
      <c r="E174" s="5" t="str">
        <f ca="1">VLOOKUP($B174,OFFSET([2]quests!$A$1,0,0,COUNTA([2]quests!$A:$A),MATCH(E$1,[2]quests!$1:$1,0)-MATCH($B$1,[2]quests!$1:$1,0)+1),MATCH(E$1,[2]quests!$1:$1,0)-MATCH($B$1,[2]quests!$1:$1,0)+1,FALSE)</f>
        <v>【金曜限定】 帽子屋を追え！</v>
      </c>
      <c r="F174" s="5" t="str">
        <f ca="1">VLOOKUP($D174,OFFSET([2]stages!$A$1,0,0,COUNTA([2]stages!$A:$A),MATCH(F$1,[2]stages!$2:$2,0)-MATCH($D$1,[2]stages!$2:$2,0)+1),MATCH(F$1,[2]stages!$2:$2,0)-MATCH($D$1,[2]stages!$2:$2,0)+1,FALSE)</f>
        <v xml:space="preserve">【超級】火の帽子屋 </v>
      </c>
      <c r="G174" s="25">
        <v>1</v>
      </c>
      <c r="H174" s="16" t="str">
        <f t="shared" si="69"/>
        <v>11005_1-1</v>
      </c>
      <c r="I174" s="5">
        <f ca="1">VLOOKUP($H174,OFFSET(floors!$A$1,0,0,COUNTA(floors!$A:$A),MATCH(I$1,floors!$1:$1,0)-MATCH($H$1,floors!$1:$1,0)+1),MATCH(I$1,floors!$1:$1,0)-MATCH($H$1,floors!$1:$1,0)+1,FALSE)</f>
        <v>30</v>
      </c>
      <c r="J174" s="5">
        <f ca="1">VLOOKUP($H174,OFFSET(floors!$A$1,0,0,COUNTA(floors!$A:$A),MATCH(J$1,floors!$1:$1,0)-MATCH($H$1,floors!$1:$1,0)+1),MATCH(J$1,floors!$1:$1,0)-MATCH($H$1,floors!$1:$1,0)+1,FALSE)</f>
        <v>45</v>
      </c>
      <c r="K174" s="24" t="s">
        <v>197</v>
      </c>
      <c r="L174" s="24">
        <v>33</v>
      </c>
      <c r="M174" s="20" t="str">
        <f ca="1">VLOOKUP($L174,OFFSET([3]enemies!$A$1,0,0,COUNTA([3]enemies!$A:$A),MATCH(M$1,[3]enemies!$1:$1,0)-MATCH($L$1,[3]enemies!$1:$1,0)+1),MATCH(M$1,[3]enemies!$1:$1,0)-MATCH($L$1,[3]enemies!$1:$1,0)+1,FALSE)</f>
        <v>ゴクウ</v>
      </c>
      <c r="N174" s="20" t="str">
        <f ca="1">VLOOKUP($L174,OFFSET([3]enemies!$A$1,0,0,COUNTA([3]enemies!$A:$A),MATCH(N$1,[3]enemies!$1:$1,0)-MATCH($L$1,[3]enemies!$1:$1,0)+1),MATCH(N$1,[3]enemies!$1:$1,0)-MATCH($L$1,[3]enemies!$1:$1,0)+1,FALSE)</f>
        <v>red</v>
      </c>
      <c r="O174" s="22" t="str">
        <f ca="1">VLOOKUP($L174,OFFSET([4]characters!$A$1,0,0,COUNTA([4]characters!$A:$A),MATCH(O$1,[4]characters!$1:$1,0)-MATCH($L$1,[4]characters!$1:$1,0)+1),MATCH(O$1,[4]characters!$1:$1,0)-MATCH($L$1,[4]characters!$1:$1,0)+1,FALSE)</f>
        <v>Drop1S</v>
      </c>
      <c r="P174" s="20" t="str">
        <f ca="1">VLOOKUP($L174,OFFSET([3]enemies!$A$1,0,0,COUNTA([3]enemies!$A:$A),MATCH(P$1,[3]enemies!$1:$1,0)-MATCH($L$1,[3]enemies!$1:$1,0)+1),MATCH(P$1,[3]enemies!$1:$1,0)-MATCH($L$1,[3]enemies!$1:$1,0)+1,FALSE)</f>
        <v>animal</v>
      </c>
      <c r="Q174" s="20">
        <f ca="1">VLOOKUP($L174,OFFSET([3]enemies!$A$1,0,0,COUNTA([3]enemies!$A:$A),MATCH(Q$1,[3]enemies!$1:$1,0)-MATCH($L$1,[3]enemies!$1:$1,0)+1),MATCH(Q$1,[3]enemies!$1:$1,0)-MATCH($L$1,[3]enemies!$1:$1,0)+1,FALSE)</f>
        <v>15</v>
      </c>
      <c r="R174" s="6">
        <v>42</v>
      </c>
      <c r="S174" s="39">
        <v>1</v>
      </c>
      <c r="T174" s="39">
        <v>1</v>
      </c>
      <c r="U174" s="6">
        <v>0</v>
      </c>
      <c r="V174" s="5" t="str">
        <f ca="1">VLOOKUP($W174,OFFSET([5]enemy_skill_sets!$B$1,0,0,COUNTA([5]enemy_skill_sets!$B:$B),MATCH(M$1,[5]enemy_skill_sets!$1:$1,0)-MATCH($W$1,[5]enemy_skill_sets!$1:$1,0)+2),MATCH(M$1,[5]enemy_skill_sets!$1:$1,0)-MATCH($W$1,[5]enemy_skill_sets!$1:$1,0)+2,FALSE)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74" s="5">
        <f ca="1">VLOOKUP($L174,OFFSET([3]enemies!$A$1,0,0,COUNTA([3]enemies!$A:$A),MATCH(W$1,[3]enemies!$1:$1,0)-MATCH($L$1,[3]enemies!$1:$1,0)+1),MATCH(W$1,[3]enemies!$1:$1,0)-MATCH($L$1,[3]enemies!$1:$1,0)+1,FALSE)</f>
        <v>33</v>
      </c>
      <c r="X174" s="7">
        <v>0</v>
      </c>
      <c r="Y174" s="7">
        <v>100</v>
      </c>
      <c r="Z174" s="7">
        <v>0</v>
      </c>
      <c r="AA174" s="20">
        <f ca="1">VLOOKUP($L174,OFFSET([3]enemies!$A$1,0,0,COUNTA([3]enemies!$A:$A),MATCH(AA$1,[3]enemies!$1:$1,0)-MATCH($L$1,[3]enemies!$1:$1,0)+1),MATCH(AA$1,[3]enemies!$1:$1,0)-MATCH($L$1,[3]enemies!$1:$1,0)+1,FALSE)</f>
        <v>2</v>
      </c>
      <c r="AB174" s="24">
        <v>33</v>
      </c>
      <c r="AC174" s="5" t="str">
        <f ca="1">IFERROR(VLOOKUP($AB174,OFFSET([4]characters!$A$1,0,0,COUNTA([4]characters!$A:$A),MATCH(AC$1,[4]characters!$1:$1,0)-MATCH("character_id",[4]characters!$1:$1,0)+1),MATCH(AC$1,[4]characters!$1:$1,0)-MATCH("character_id",[4]characters!$1:$1,0)+1,FALSE),"")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174" s="5">
        <f ca="1">IFERROR(VLOOKUP($AB174,OFFSET([4]characters!$A$1,0,0,COUNTA([4]characters!$A:$A),MATCH(AD$1,[4]characters!$1:$1,0)-MATCH("character_id",[4]characters!$1:$1,0)+1),MATCH(AD$1,[4]characters!$1:$1,0)-MATCH("character_id",[4]characters!$1:$1,0)+1,FALSE),"")</f>
        <v>2</v>
      </c>
      <c r="AE174" s="5" t="str">
        <f ca="1">IFERROR(VLOOKUP($AB174,OFFSET([4]characters!$A$1,0,0,COUNTA([4]characters!$A:$A),MATCH(AE$1,[4]characters!$1:$1,0)-MATCH("character_id",[4]characters!$1:$1,0)+1),MATCH(AE$1,[4]characters!$1:$1,0)-MATCH("character_id",[4]characters!$1:$1,0)+1,FALSE),"")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74" s="8">
        <v>1</v>
      </c>
      <c r="AG174" s="27">
        <f t="shared" ca="1" si="72"/>
        <v>2</v>
      </c>
      <c r="AH174" s="9">
        <v>0</v>
      </c>
      <c r="AI174" s="8">
        <v>0</v>
      </c>
      <c r="AJ174" s="8">
        <v>0</v>
      </c>
      <c r="AK174" s="8">
        <v>0</v>
      </c>
      <c r="AL174" s="8">
        <v>0</v>
      </c>
      <c r="AM174" s="8">
        <v>1</v>
      </c>
      <c r="AN174" s="8">
        <v>1</v>
      </c>
    </row>
    <row r="175" spans="1:40" ht="21" customHeight="1" x14ac:dyDescent="0.15">
      <c r="A175" s="17" t="str">
        <f t="shared" ca="1" si="85"/>
        <v>11005_1-1/21&lt;lv42&gt;s2</v>
      </c>
      <c r="B175" s="8">
        <v>11005</v>
      </c>
      <c r="C175" s="25">
        <v>1</v>
      </c>
      <c r="D175" s="2" t="str">
        <f t="shared" si="71"/>
        <v>11005_1</v>
      </c>
      <c r="E175" s="5" t="str">
        <f ca="1">VLOOKUP($B175,OFFSET([2]quests!$A$1,0,0,COUNTA([2]quests!$A:$A),MATCH(E$1,[2]quests!$1:$1,0)-MATCH($B$1,[2]quests!$1:$1,0)+1),MATCH(E$1,[2]quests!$1:$1,0)-MATCH($B$1,[2]quests!$1:$1,0)+1,FALSE)</f>
        <v>【金曜限定】 帽子屋を追え！</v>
      </c>
      <c r="F175" s="5" t="str">
        <f ca="1">VLOOKUP($D175,OFFSET([2]stages!$A$1,0,0,COUNTA([2]stages!$A:$A),MATCH(F$1,[2]stages!$2:$2,0)-MATCH($D$1,[2]stages!$2:$2,0)+1),MATCH(F$1,[2]stages!$2:$2,0)-MATCH($D$1,[2]stages!$2:$2,0)+1,FALSE)</f>
        <v xml:space="preserve">【超級】火の帽子屋 </v>
      </c>
      <c r="G175" s="25">
        <v>1</v>
      </c>
      <c r="H175" s="16" t="str">
        <f t="shared" si="69"/>
        <v>11005_1-1</v>
      </c>
      <c r="I175" s="5">
        <f ca="1">VLOOKUP($H175,OFFSET(floors!$A$1,0,0,COUNTA(floors!$A:$A),MATCH(I$1,floors!$1:$1,0)-MATCH($H$1,floors!$1:$1,0)+1),MATCH(I$1,floors!$1:$1,0)-MATCH($H$1,floors!$1:$1,0)+1,FALSE)</f>
        <v>30</v>
      </c>
      <c r="J175" s="5">
        <f ca="1">VLOOKUP($H175,OFFSET(floors!$A$1,0,0,COUNTA(floors!$A:$A),MATCH(J$1,floors!$1:$1,0)-MATCH($H$1,floors!$1:$1,0)+1),MATCH(J$1,floors!$1:$1,0)-MATCH($H$1,floors!$1:$1,0)+1,FALSE)</f>
        <v>45</v>
      </c>
      <c r="K175" s="24" t="s">
        <v>197</v>
      </c>
      <c r="L175" s="24">
        <v>21</v>
      </c>
      <c r="M175" s="20" t="str">
        <f ca="1">VLOOKUP($L175,OFFSET([3]enemies!$A$1,0,0,COUNTA([3]enemies!$A:$A),MATCH(M$1,[3]enemies!$1:$1,0)-MATCH($L$1,[3]enemies!$1:$1,0)+1),MATCH(M$1,[3]enemies!$1:$1,0)-MATCH($L$1,[3]enemies!$1:$1,0)+1,FALSE)</f>
        <v>ヴェロキー</v>
      </c>
      <c r="N175" s="20" t="str">
        <f ca="1">VLOOKUP($L175,OFFSET([3]enemies!$A$1,0,0,COUNTA([3]enemies!$A:$A),MATCH(N$1,[3]enemies!$1:$1,0)-MATCH($L$1,[3]enemies!$1:$1,0)+1),MATCH(N$1,[3]enemies!$1:$1,0)-MATCH($L$1,[3]enemies!$1:$1,0)+1,FALSE)</f>
        <v>red</v>
      </c>
      <c r="O175" s="22" t="str">
        <f ca="1">VLOOKUP($L175,OFFSET([4]characters!$A$1,0,0,COUNTA([4]characters!$A:$A),MATCH(O$1,[4]characters!$1:$1,0)-MATCH($L$1,[4]characters!$1:$1,0)+1),MATCH(O$1,[4]characters!$1:$1,0)-MATCH($L$1,[4]characters!$1:$1,0)+1,FALSE)</f>
        <v>Drop1N</v>
      </c>
      <c r="P175" s="20" t="str">
        <f ca="1">VLOOKUP($L175,OFFSET([3]enemies!$A$1,0,0,COUNTA([3]enemies!$A:$A),MATCH(P$1,[3]enemies!$1:$1,0)-MATCH($L$1,[3]enemies!$1:$1,0)+1),MATCH(P$1,[3]enemies!$1:$1,0)-MATCH($L$1,[3]enemies!$1:$1,0)+1,FALSE)</f>
        <v>dragon</v>
      </c>
      <c r="Q175" s="20">
        <f ca="1">VLOOKUP($L175,OFFSET([3]enemies!$A$1,0,0,COUNTA([3]enemies!$A:$A),MATCH(Q$1,[3]enemies!$1:$1,0)-MATCH($L$1,[3]enemies!$1:$1,0)+1),MATCH(Q$1,[3]enemies!$1:$1,0)-MATCH($L$1,[3]enemies!$1:$1,0)+1,FALSE)</f>
        <v>15</v>
      </c>
      <c r="R175" s="6">
        <v>42</v>
      </c>
      <c r="S175" s="39">
        <v>1</v>
      </c>
      <c r="T175" s="39">
        <v>1</v>
      </c>
      <c r="U175" s="6">
        <v>0</v>
      </c>
      <c r="V175" s="5" t="str">
        <f ca="1">VLOOKUP($W175,OFFSET([5]enemy_skill_sets!$B$1,0,0,COUNTA([5]enemy_skill_sets!$B:$B),MATCH(M$1,[5]enemy_skill_sets!$1:$1,0)-MATCH($W$1,[5]enemy_skill_sets!$1:$1,0)+2),MATCH(M$1,[5]enemy_skill_sets!$1:$1,0)-MATCH($W$1,[5]enemy_skill_sets!$1:$1,0)+2,FALSE)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5" s="5">
        <f ca="1">VLOOKUP($L175,OFFSET([3]enemies!$A$1,0,0,COUNTA([3]enemies!$A:$A),MATCH(W$1,[3]enemies!$1:$1,0)-MATCH($L$1,[3]enemies!$1:$1,0)+1),MATCH(W$1,[3]enemies!$1:$1,0)-MATCH($L$1,[3]enemies!$1:$1,0)+1,FALSE)</f>
        <v>0</v>
      </c>
      <c r="X175" s="7">
        <v>0</v>
      </c>
      <c r="Y175" s="7">
        <v>100</v>
      </c>
      <c r="Z175" s="7">
        <v>0</v>
      </c>
      <c r="AA175" s="20">
        <f ca="1">VLOOKUP($L175,OFFSET([3]enemies!$A$1,0,0,COUNTA([3]enemies!$A:$A),MATCH(AA$1,[3]enemies!$1:$1,0)-MATCH($L$1,[3]enemies!$1:$1,0)+1),MATCH(AA$1,[3]enemies!$1:$1,0)-MATCH($L$1,[3]enemies!$1:$1,0)+1,FALSE)</f>
        <v>2</v>
      </c>
      <c r="AB175" s="24">
        <v>21</v>
      </c>
      <c r="AC175" s="5" t="str">
        <f ca="1">IFERROR(VLOOKUP($AB175,OFFSET([4]characters!$A$1,0,0,COUNTA([4]characters!$A:$A),MATCH(AC$1,[4]characters!$1:$1,0)-MATCH("character_id",[4]characters!$1:$1,0)+1),MATCH(AC$1,[4]characters!$1:$1,0)-MATCH("character_id",[4]characters!$1:$1,0)+1,FALSE),"")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75" s="5">
        <f ca="1">IFERROR(VLOOKUP($AB175,OFFSET([4]characters!$A$1,0,0,COUNTA([4]characters!$A:$A),MATCH(AD$1,[4]characters!$1:$1,0)-MATCH("character_id",[4]characters!$1:$1,0)+1),MATCH(AD$1,[4]characters!$1:$1,0)-MATCH("character_id",[4]characters!$1:$1,0)+1,FALSE),"")</f>
        <v>1</v>
      </c>
      <c r="AE175" s="5" t="str">
        <f ca="1">IFERROR(VLOOKUP($AB175,OFFSET([4]characters!$A$1,0,0,COUNTA([4]characters!$A:$A),MATCH(AE$1,[4]characters!$1:$1,0)-MATCH("character_id",[4]characters!$1:$1,0)+1),MATCH(AE$1,[4]characters!$1:$1,0)-MATCH("character_id",[4]characters!$1:$1,0)+1,FALSE),"")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75" s="8">
        <v>1</v>
      </c>
      <c r="AG175" s="27">
        <f t="shared" ca="1" si="72"/>
        <v>1</v>
      </c>
      <c r="AH175" s="9">
        <v>0</v>
      </c>
      <c r="AI175" s="8">
        <v>0</v>
      </c>
      <c r="AJ175" s="8">
        <v>0</v>
      </c>
      <c r="AK175" s="8">
        <v>0</v>
      </c>
      <c r="AL175" s="8">
        <v>0</v>
      </c>
      <c r="AM175" s="8">
        <v>1</v>
      </c>
      <c r="AN175" s="8">
        <v>1</v>
      </c>
    </row>
    <row r="176" spans="1:40" ht="21" customHeight="1" x14ac:dyDescent="0.15">
      <c r="A176" s="17" t="str">
        <f t="shared" ref="A176:A179" ca="1" si="86">B176&amp;"_"&amp;C176&amp;"-"&amp;G176&amp;"/"&amp;L176&amp;"&lt;lv"&amp;R176&amp;"&gt;s"&amp;AA176</f>
        <v>11005_1-2/33&lt;lv42&gt;s2</v>
      </c>
      <c r="B176" s="8">
        <v>11005</v>
      </c>
      <c r="C176" s="25">
        <v>1</v>
      </c>
      <c r="D176" s="2" t="str">
        <f t="shared" ref="D176:D179" si="87">B176&amp;"_"&amp;C176</f>
        <v>11005_1</v>
      </c>
      <c r="E176" s="5" t="str">
        <f ca="1">VLOOKUP($B176,OFFSET([2]quests!$A$1,0,0,COUNTA([2]quests!$A:$A),MATCH(E$1,[2]quests!$1:$1,0)-MATCH($B$1,[2]quests!$1:$1,0)+1),MATCH(E$1,[2]quests!$1:$1,0)-MATCH($B$1,[2]quests!$1:$1,0)+1,FALSE)</f>
        <v>【金曜限定】 帽子屋を追え！</v>
      </c>
      <c r="F176" s="5" t="str">
        <f ca="1">VLOOKUP($D176,OFFSET([2]stages!$A$1,0,0,COUNTA([2]stages!$A:$A),MATCH(F$1,[2]stages!$2:$2,0)-MATCH($D$1,[2]stages!$2:$2,0)+1),MATCH(F$1,[2]stages!$2:$2,0)-MATCH($D$1,[2]stages!$2:$2,0)+1,FALSE)</f>
        <v xml:space="preserve">【超級】火の帽子屋 </v>
      </c>
      <c r="G176" s="25">
        <v>2</v>
      </c>
      <c r="H176" s="16" t="str">
        <f t="shared" si="69"/>
        <v>11005_1-2</v>
      </c>
      <c r="I176" s="5">
        <f ca="1">VLOOKUP($H176,OFFSET(floors!$A$1,0,0,COUNTA(floors!$A:$A),MATCH(I$1,floors!$1:$1,0)-MATCH($H$1,floors!$1:$1,0)+1),MATCH(I$1,floors!$1:$1,0)-MATCH($H$1,floors!$1:$1,0)+1,FALSE)</f>
        <v>45</v>
      </c>
      <c r="J176" s="5">
        <f ca="1">VLOOKUP($H176,OFFSET(floors!$A$1,0,0,COUNTA(floors!$A:$A),MATCH(J$1,floors!$1:$1,0)-MATCH($H$1,floors!$1:$1,0)+1),MATCH(J$1,floors!$1:$1,0)-MATCH($H$1,floors!$1:$1,0)+1,FALSE)</f>
        <v>60</v>
      </c>
      <c r="K176" s="24" t="s">
        <v>197</v>
      </c>
      <c r="L176" s="24">
        <v>33</v>
      </c>
      <c r="M176" s="20" t="str">
        <f ca="1">VLOOKUP($L176,OFFSET([3]enemies!$A$1,0,0,COUNTA([3]enemies!$A:$A),MATCH(M$1,[3]enemies!$1:$1,0)-MATCH($L$1,[3]enemies!$1:$1,0)+1),MATCH(M$1,[3]enemies!$1:$1,0)-MATCH($L$1,[3]enemies!$1:$1,0)+1,FALSE)</f>
        <v>ゴクウ</v>
      </c>
      <c r="N176" s="20" t="str">
        <f ca="1">VLOOKUP($L176,OFFSET([3]enemies!$A$1,0,0,COUNTA([3]enemies!$A:$A),MATCH(N$1,[3]enemies!$1:$1,0)-MATCH($L$1,[3]enemies!$1:$1,0)+1),MATCH(N$1,[3]enemies!$1:$1,0)-MATCH($L$1,[3]enemies!$1:$1,0)+1,FALSE)</f>
        <v>red</v>
      </c>
      <c r="O176" s="22" t="str">
        <f ca="1">VLOOKUP($L176,OFFSET([4]characters!$A$1,0,0,COUNTA([4]characters!$A:$A),MATCH(O$1,[4]characters!$1:$1,0)-MATCH($L$1,[4]characters!$1:$1,0)+1),MATCH(O$1,[4]characters!$1:$1,0)-MATCH($L$1,[4]characters!$1:$1,0)+1,FALSE)</f>
        <v>Drop1S</v>
      </c>
      <c r="P176" s="20" t="str">
        <f ca="1">VLOOKUP($L176,OFFSET([3]enemies!$A$1,0,0,COUNTA([3]enemies!$A:$A),MATCH(P$1,[3]enemies!$1:$1,0)-MATCH($L$1,[3]enemies!$1:$1,0)+1),MATCH(P$1,[3]enemies!$1:$1,0)-MATCH($L$1,[3]enemies!$1:$1,0)+1,FALSE)</f>
        <v>animal</v>
      </c>
      <c r="Q176" s="20">
        <f ca="1">VLOOKUP($L176,OFFSET([3]enemies!$A$1,0,0,COUNTA([3]enemies!$A:$A),MATCH(Q$1,[3]enemies!$1:$1,0)-MATCH($L$1,[3]enemies!$1:$1,0)+1),MATCH(Q$1,[3]enemies!$1:$1,0)-MATCH($L$1,[3]enemies!$1:$1,0)+1,FALSE)</f>
        <v>15</v>
      </c>
      <c r="R176" s="6">
        <v>42</v>
      </c>
      <c r="S176" s="39">
        <v>1</v>
      </c>
      <c r="T176" s="39">
        <v>1</v>
      </c>
      <c r="U176" s="6">
        <v>0</v>
      </c>
      <c r="V176" s="5" t="str">
        <f ca="1">VLOOKUP($W176,OFFSET([5]enemy_skill_sets!$B$1,0,0,COUNTA([5]enemy_skill_sets!$B:$B),MATCH(M$1,[5]enemy_skill_sets!$1:$1,0)-MATCH($W$1,[5]enemy_skill_sets!$1:$1,0)+2),MATCH(M$1,[5]enemy_skill_sets!$1:$1,0)-MATCH($W$1,[5]enemy_skill_sets!$1:$1,0)+2,FALSE)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76" s="5">
        <f ca="1">VLOOKUP($L176,OFFSET([3]enemies!$A$1,0,0,COUNTA([3]enemies!$A:$A),MATCH(W$1,[3]enemies!$1:$1,0)-MATCH($L$1,[3]enemies!$1:$1,0)+1),MATCH(W$1,[3]enemies!$1:$1,0)-MATCH($L$1,[3]enemies!$1:$1,0)+1,FALSE)</f>
        <v>33</v>
      </c>
      <c r="X176" s="7">
        <v>0</v>
      </c>
      <c r="Y176" s="7">
        <v>100</v>
      </c>
      <c r="Z176" s="7">
        <v>0</v>
      </c>
      <c r="AA176" s="20">
        <f ca="1">VLOOKUP($L176,OFFSET([3]enemies!$A$1,0,0,COUNTA([3]enemies!$A:$A),MATCH(AA$1,[3]enemies!$1:$1,0)-MATCH($L$1,[3]enemies!$1:$1,0)+1),MATCH(AA$1,[3]enemies!$1:$1,0)-MATCH($L$1,[3]enemies!$1:$1,0)+1,FALSE)</f>
        <v>2</v>
      </c>
      <c r="AB176" s="24">
        <v>33</v>
      </c>
      <c r="AC176" s="5" t="str">
        <f ca="1">IFERROR(VLOOKUP($AB176,OFFSET([4]characters!$A$1,0,0,COUNTA([4]characters!$A:$A),MATCH(AC$1,[4]characters!$1:$1,0)-MATCH("character_id",[4]characters!$1:$1,0)+1),MATCH(AC$1,[4]characters!$1:$1,0)-MATCH("character_id",[4]characters!$1:$1,0)+1,FALSE),"")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176" s="5">
        <f ca="1">IFERROR(VLOOKUP($AB176,OFFSET([4]characters!$A$1,0,0,COUNTA([4]characters!$A:$A),MATCH(AD$1,[4]characters!$1:$1,0)-MATCH("character_id",[4]characters!$1:$1,0)+1),MATCH(AD$1,[4]characters!$1:$1,0)-MATCH("character_id",[4]characters!$1:$1,0)+1,FALSE),"")</f>
        <v>2</v>
      </c>
      <c r="AE176" s="5" t="str">
        <f ca="1">IFERROR(VLOOKUP($AB176,OFFSET([4]characters!$A$1,0,0,COUNTA([4]characters!$A:$A),MATCH(AE$1,[4]characters!$1:$1,0)-MATCH("character_id",[4]characters!$1:$1,0)+1),MATCH(AE$1,[4]characters!$1:$1,0)-MATCH("character_id",[4]characters!$1:$1,0)+1,FALSE),"")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76" s="8">
        <v>1</v>
      </c>
      <c r="AG176" s="27">
        <f t="shared" ref="AG176:AG179" ca="1" si="88">AD176</f>
        <v>2</v>
      </c>
      <c r="AH176" s="9">
        <v>0</v>
      </c>
      <c r="AI176" s="8">
        <v>0</v>
      </c>
      <c r="AJ176" s="8">
        <v>0</v>
      </c>
      <c r="AK176" s="8">
        <v>0</v>
      </c>
      <c r="AL176" s="8">
        <v>0</v>
      </c>
      <c r="AM176" s="8">
        <v>1</v>
      </c>
      <c r="AN176" s="8">
        <v>1</v>
      </c>
    </row>
    <row r="177" spans="1:40" ht="21" customHeight="1" x14ac:dyDescent="0.15">
      <c r="A177" s="17" t="str">
        <f t="shared" ca="1" si="86"/>
        <v>11005_1-2/21&lt;lv42&gt;s2</v>
      </c>
      <c r="B177" s="8">
        <v>11005</v>
      </c>
      <c r="C177" s="25">
        <v>1</v>
      </c>
      <c r="D177" s="2" t="str">
        <f t="shared" si="87"/>
        <v>11005_1</v>
      </c>
      <c r="E177" s="5" t="str">
        <f ca="1">VLOOKUP($B177,OFFSET([2]quests!$A$1,0,0,COUNTA([2]quests!$A:$A),MATCH(E$1,[2]quests!$1:$1,0)-MATCH($B$1,[2]quests!$1:$1,0)+1),MATCH(E$1,[2]quests!$1:$1,0)-MATCH($B$1,[2]quests!$1:$1,0)+1,FALSE)</f>
        <v>【金曜限定】 帽子屋を追え！</v>
      </c>
      <c r="F177" s="5" t="str">
        <f ca="1">VLOOKUP($D177,OFFSET([2]stages!$A$1,0,0,COUNTA([2]stages!$A:$A),MATCH(F$1,[2]stages!$2:$2,0)-MATCH($D$1,[2]stages!$2:$2,0)+1),MATCH(F$1,[2]stages!$2:$2,0)-MATCH($D$1,[2]stages!$2:$2,0)+1,FALSE)</f>
        <v xml:space="preserve">【超級】火の帽子屋 </v>
      </c>
      <c r="G177" s="25">
        <v>2</v>
      </c>
      <c r="H177" s="16" t="str">
        <f t="shared" si="69"/>
        <v>11005_1-2</v>
      </c>
      <c r="I177" s="5">
        <f ca="1">VLOOKUP($H177,OFFSET(floors!$A$1,0,0,COUNTA(floors!$A:$A),MATCH(I$1,floors!$1:$1,0)-MATCH($H$1,floors!$1:$1,0)+1),MATCH(I$1,floors!$1:$1,0)-MATCH($H$1,floors!$1:$1,0)+1,FALSE)</f>
        <v>45</v>
      </c>
      <c r="J177" s="5">
        <f ca="1">VLOOKUP($H177,OFFSET(floors!$A$1,0,0,COUNTA(floors!$A:$A),MATCH(J$1,floors!$1:$1,0)-MATCH($H$1,floors!$1:$1,0)+1),MATCH(J$1,floors!$1:$1,0)-MATCH($H$1,floors!$1:$1,0)+1,FALSE)</f>
        <v>60</v>
      </c>
      <c r="K177" s="24" t="s">
        <v>197</v>
      </c>
      <c r="L177" s="24">
        <v>21</v>
      </c>
      <c r="M177" s="20" t="str">
        <f ca="1">VLOOKUP($L177,OFFSET([3]enemies!$A$1,0,0,COUNTA([3]enemies!$A:$A),MATCH(M$1,[3]enemies!$1:$1,0)-MATCH($L$1,[3]enemies!$1:$1,0)+1),MATCH(M$1,[3]enemies!$1:$1,0)-MATCH($L$1,[3]enemies!$1:$1,0)+1,FALSE)</f>
        <v>ヴェロキー</v>
      </c>
      <c r="N177" s="20" t="str">
        <f ca="1">VLOOKUP($L177,OFFSET([3]enemies!$A$1,0,0,COUNTA([3]enemies!$A:$A),MATCH(N$1,[3]enemies!$1:$1,0)-MATCH($L$1,[3]enemies!$1:$1,0)+1),MATCH(N$1,[3]enemies!$1:$1,0)-MATCH($L$1,[3]enemies!$1:$1,0)+1,FALSE)</f>
        <v>red</v>
      </c>
      <c r="O177" s="22" t="str">
        <f ca="1">VLOOKUP($L177,OFFSET([4]characters!$A$1,0,0,COUNTA([4]characters!$A:$A),MATCH(O$1,[4]characters!$1:$1,0)-MATCH($L$1,[4]characters!$1:$1,0)+1),MATCH(O$1,[4]characters!$1:$1,0)-MATCH($L$1,[4]characters!$1:$1,0)+1,FALSE)</f>
        <v>Drop1N</v>
      </c>
      <c r="P177" s="20" t="str">
        <f ca="1">VLOOKUP($L177,OFFSET([3]enemies!$A$1,0,0,COUNTA([3]enemies!$A:$A),MATCH(P$1,[3]enemies!$1:$1,0)-MATCH($L$1,[3]enemies!$1:$1,0)+1),MATCH(P$1,[3]enemies!$1:$1,0)-MATCH($L$1,[3]enemies!$1:$1,0)+1,FALSE)</f>
        <v>dragon</v>
      </c>
      <c r="Q177" s="20">
        <f ca="1">VLOOKUP($L177,OFFSET([3]enemies!$A$1,0,0,COUNTA([3]enemies!$A:$A),MATCH(Q$1,[3]enemies!$1:$1,0)-MATCH($L$1,[3]enemies!$1:$1,0)+1),MATCH(Q$1,[3]enemies!$1:$1,0)-MATCH($L$1,[3]enemies!$1:$1,0)+1,FALSE)</f>
        <v>15</v>
      </c>
      <c r="R177" s="6">
        <v>42</v>
      </c>
      <c r="S177" s="39">
        <v>1</v>
      </c>
      <c r="T177" s="39">
        <v>1</v>
      </c>
      <c r="U177" s="6">
        <v>0</v>
      </c>
      <c r="V177" s="5" t="str">
        <f ca="1">VLOOKUP($W177,OFFSET([5]enemy_skill_sets!$B$1,0,0,COUNTA([5]enemy_skill_sets!$B:$B),MATCH(M$1,[5]enemy_skill_sets!$1:$1,0)-MATCH($W$1,[5]enemy_skill_sets!$1:$1,0)+2),MATCH(M$1,[5]enemy_skill_sets!$1:$1,0)-MATCH($W$1,[5]enemy_skill_sets!$1:$1,0)+2,FALSE)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7" s="5">
        <f ca="1">VLOOKUP($L177,OFFSET([3]enemies!$A$1,0,0,COUNTA([3]enemies!$A:$A),MATCH(W$1,[3]enemies!$1:$1,0)-MATCH($L$1,[3]enemies!$1:$1,0)+1),MATCH(W$1,[3]enemies!$1:$1,0)-MATCH($L$1,[3]enemies!$1:$1,0)+1,FALSE)</f>
        <v>0</v>
      </c>
      <c r="X177" s="7">
        <v>0</v>
      </c>
      <c r="Y177" s="7">
        <v>100</v>
      </c>
      <c r="Z177" s="7">
        <v>0</v>
      </c>
      <c r="AA177" s="20">
        <f ca="1">VLOOKUP($L177,OFFSET([3]enemies!$A$1,0,0,COUNTA([3]enemies!$A:$A),MATCH(AA$1,[3]enemies!$1:$1,0)-MATCH($L$1,[3]enemies!$1:$1,0)+1),MATCH(AA$1,[3]enemies!$1:$1,0)-MATCH($L$1,[3]enemies!$1:$1,0)+1,FALSE)</f>
        <v>2</v>
      </c>
      <c r="AB177" s="24">
        <v>21</v>
      </c>
      <c r="AC177" s="5" t="str">
        <f ca="1">IFERROR(VLOOKUP($AB177,OFFSET([4]characters!$A$1,0,0,COUNTA([4]characters!$A:$A),MATCH(AC$1,[4]characters!$1:$1,0)-MATCH("character_id",[4]characters!$1:$1,0)+1),MATCH(AC$1,[4]characters!$1:$1,0)-MATCH("character_id",[4]characters!$1:$1,0)+1,FALSE),"")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77" s="5">
        <f ca="1">IFERROR(VLOOKUP($AB177,OFFSET([4]characters!$A$1,0,0,COUNTA([4]characters!$A:$A),MATCH(AD$1,[4]characters!$1:$1,0)-MATCH("character_id",[4]characters!$1:$1,0)+1),MATCH(AD$1,[4]characters!$1:$1,0)-MATCH("character_id",[4]characters!$1:$1,0)+1,FALSE),"")</f>
        <v>1</v>
      </c>
      <c r="AE177" s="5" t="str">
        <f ca="1">IFERROR(VLOOKUP($AB177,OFFSET([4]characters!$A$1,0,0,COUNTA([4]characters!$A:$A),MATCH(AE$1,[4]characters!$1:$1,0)-MATCH("character_id",[4]characters!$1:$1,0)+1),MATCH(AE$1,[4]characters!$1:$1,0)-MATCH("character_id",[4]characters!$1:$1,0)+1,FALSE),"")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77" s="8">
        <v>1</v>
      </c>
      <c r="AG177" s="27">
        <f t="shared" ca="1" si="88"/>
        <v>1</v>
      </c>
      <c r="AH177" s="9">
        <v>0</v>
      </c>
      <c r="AI177" s="8">
        <v>0</v>
      </c>
      <c r="AJ177" s="8">
        <v>0</v>
      </c>
      <c r="AK177" s="8">
        <v>0</v>
      </c>
      <c r="AL177" s="8">
        <v>0</v>
      </c>
      <c r="AM177" s="8">
        <v>1</v>
      </c>
      <c r="AN177" s="8">
        <v>1</v>
      </c>
    </row>
    <row r="178" spans="1:40" ht="21" customHeight="1" x14ac:dyDescent="0.15">
      <c r="A178" s="17" t="str">
        <f t="shared" ca="1" si="86"/>
        <v>11005_1-2/332&lt;lv1&gt;s1</v>
      </c>
      <c r="B178" s="8">
        <v>11005</v>
      </c>
      <c r="C178" s="25">
        <v>1</v>
      </c>
      <c r="D178" s="2" t="str">
        <f t="shared" si="87"/>
        <v>11005_1</v>
      </c>
      <c r="E178" s="5" t="str">
        <f ca="1">VLOOKUP($B178,OFFSET([2]quests!$A$1,0,0,COUNTA([2]quests!$A:$A),MATCH(E$1,[2]quests!$1:$1,0)-MATCH($B$1,[2]quests!$1:$1,0)+1),MATCH(E$1,[2]quests!$1:$1,0)-MATCH($B$1,[2]quests!$1:$1,0)+1,FALSE)</f>
        <v>【金曜限定】 帽子屋を追え！</v>
      </c>
      <c r="F178" s="5" t="str">
        <f ca="1">VLOOKUP($D178,OFFSET([2]stages!$A$1,0,0,COUNTA([2]stages!$A:$A),MATCH(F$1,[2]stages!$2:$2,0)-MATCH($D$1,[2]stages!$2:$2,0)+1),MATCH(F$1,[2]stages!$2:$2,0)-MATCH($D$1,[2]stages!$2:$2,0)+1,FALSE)</f>
        <v xml:space="preserve">【超級】火の帽子屋 </v>
      </c>
      <c r="G178" s="25">
        <v>2</v>
      </c>
      <c r="H178" s="16" t="str">
        <f t="shared" si="69"/>
        <v>11005_1-2</v>
      </c>
      <c r="I178" s="5">
        <f ca="1">VLOOKUP($H178,OFFSET(floors!$A$1,0,0,COUNTA(floors!$A:$A),MATCH(I$1,floors!$1:$1,0)-MATCH($H$1,floors!$1:$1,0)+1),MATCH(I$1,floors!$1:$1,0)-MATCH($H$1,floors!$1:$1,0)+1,FALSE)</f>
        <v>45</v>
      </c>
      <c r="J178" s="5">
        <f ca="1">VLOOKUP($H178,OFFSET(floors!$A$1,0,0,COUNTA(floors!$A:$A),MATCH(J$1,floors!$1:$1,0)-MATCH($H$1,floors!$1:$1,0)+1),MATCH(J$1,floors!$1:$1,0)-MATCH($H$1,floors!$1:$1,0)+1,FALSE)</f>
        <v>60</v>
      </c>
      <c r="K178" s="24" t="s">
        <v>197</v>
      </c>
      <c r="L178" s="24">
        <v>332</v>
      </c>
      <c r="M178" s="20" t="str">
        <f ca="1">VLOOKUP($L178,OFFSET([3]enemies!$A$1,0,0,COUNTA([3]enemies!$A:$A),MATCH(M$1,[3]enemies!$1:$1,0)-MATCH($L$1,[3]enemies!$1:$1,0)+1),MATCH(M$1,[3]enemies!$1:$1,0)-MATCH($L$1,[3]enemies!$1:$1,0)+1,FALSE)</f>
        <v>炎のメタルピヨピヨ</v>
      </c>
      <c r="N178" s="20" t="str">
        <f ca="1">VLOOKUP($L178,OFFSET([3]enemies!$A$1,0,0,COUNTA([3]enemies!$A:$A),MATCH(N$1,[3]enemies!$1:$1,0)-MATCH($L$1,[3]enemies!$1:$1,0)+1),MATCH(N$1,[3]enemies!$1:$1,0)-MATCH($L$1,[3]enemies!$1:$1,0)+1,FALSE)</f>
        <v>red</v>
      </c>
      <c r="O178" s="22" t="str">
        <f ca="1">VLOOKUP($L178,OFFSET([4]characters!$A$1,0,0,COUNTA([4]characters!$A:$A),MATCH(O$1,[4]characters!$1:$1,0)-MATCH($L$1,[4]characters!$1:$1,0)+1),MATCH(O$1,[4]characters!$1:$1,0)-MATCH($L$1,[4]characters!$1:$1,0)+1,FALSE)</f>
        <v>Material</v>
      </c>
      <c r="P178" s="20" t="str">
        <f ca="1">VLOOKUP($L178,OFFSET([3]enemies!$A$1,0,0,COUNTA([3]enemies!$A:$A),MATCH(P$1,[3]enemies!$1:$1,0)-MATCH($L$1,[3]enemies!$1:$1,0)+1),MATCH(P$1,[3]enemies!$1:$1,0)-MATCH($L$1,[3]enemies!$1:$1,0)+1,FALSE)</f>
        <v>unknown</v>
      </c>
      <c r="Q178" s="20">
        <f ca="1">VLOOKUP($L178,OFFSET([3]enemies!$A$1,0,0,COUNTA([3]enemies!$A:$A),MATCH(Q$1,[3]enemies!$1:$1,0)-MATCH($L$1,[3]enemies!$1:$1,0)+1),MATCH(Q$1,[3]enemies!$1:$1,0)-MATCH($L$1,[3]enemies!$1:$1,0)+1,FALSE)</f>
        <v>15</v>
      </c>
      <c r="R178" s="6">
        <v>1</v>
      </c>
      <c r="S178" s="39">
        <v>1</v>
      </c>
      <c r="T178" s="39">
        <v>1</v>
      </c>
      <c r="U178" s="6">
        <v>0</v>
      </c>
      <c r="V178" s="5" t="str">
        <f ca="1">VLOOKUP($W178,OFFSET([5]enemy_skill_sets!$B$1,0,0,COUNTA([5]enemy_skill_sets!$B:$B),MATCH(M$1,[5]enemy_skill_sets!$1:$1,0)-MATCH($W$1,[5]enemy_skill_sets!$1:$1,0)+2),MATCH(M$1,[5]enemy_skill_sets!$1:$1,0)-MATCH($W$1,[5]enemy_skill_sets!$1:$1,0)+2,FALSE)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8" s="5">
        <f ca="1">VLOOKUP($L178,OFFSET([3]enemies!$A$1,0,0,COUNTA([3]enemies!$A:$A),MATCH(W$1,[3]enemies!$1:$1,0)-MATCH($L$1,[3]enemies!$1:$1,0)+1),MATCH(W$1,[3]enemies!$1:$1,0)-MATCH($L$1,[3]enemies!$1:$1,0)+1,FALSE)</f>
        <v>0</v>
      </c>
      <c r="X178" s="7">
        <v>0</v>
      </c>
      <c r="Y178" s="7">
        <v>20</v>
      </c>
      <c r="Z178" s="7">
        <v>0</v>
      </c>
      <c r="AA178" s="20">
        <f ca="1">VLOOKUP($L178,OFFSET([3]enemies!$A$1,0,0,COUNTA([3]enemies!$A:$A),MATCH(AA$1,[3]enemies!$1:$1,0)-MATCH($L$1,[3]enemies!$1:$1,0)+1),MATCH(AA$1,[3]enemies!$1:$1,0)-MATCH($L$1,[3]enemies!$1:$1,0)+1,FALSE)</f>
        <v>1</v>
      </c>
      <c r="AB178" s="24">
        <v>332</v>
      </c>
      <c r="AC178" s="5" t="str">
        <f ca="1">IFERROR(VLOOKUP($AB178,OFFSET([4]characters!$A$1,0,0,COUNTA([4]characters!$A:$A),MATCH(AC$1,[4]characters!$1:$1,0)-MATCH("character_id",[4]characters!$1:$1,0)+1),MATCH(AC$1,[4]characters!$1:$1,0)-MATCH("character_id",[4]characters!$1:$1,0)+1,FALSE),"")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178" s="5">
        <f ca="1">IFERROR(VLOOKUP($AB178,OFFSET([4]characters!$A$1,0,0,COUNTA([4]characters!$A:$A),MATCH(AD$1,[4]characters!$1:$1,0)-MATCH("character_id",[4]characters!$1:$1,0)+1),MATCH(AD$1,[4]characters!$1:$1,0)-MATCH("character_id",[4]characters!$1:$1,0)+1,FALSE),"")</f>
        <v>3</v>
      </c>
      <c r="AE178" s="5" t="str">
        <f ca="1">IFERROR(VLOOKUP($AB178,OFFSET([4]characters!$A$1,0,0,COUNTA([4]characters!$A:$A),MATCH(AE$1,[4]characters!$1:$1,0)-MATCH("character_id",[4]characters!$1:$1,0)+1),MATCH(AE$1,[4]characters!$1:$1,0)-MATCH("character_id",[4]characters!$1:$1,0)+1,FALSE),"")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8" s="8">
        <v>1</v>
      </c>
      <c r="AG178" s="27">
        <f t="shared" ca="1" si="88"/>
        <v>3</v>
      </c>
      <c r="AH178" s="9">
        <v>10</v>
      </c>
      <c r="AI178" s="8">
        <v>0</v>
      </c>
      <c r="AJ178" s="8">
        <v>0</v>
      </c>
      <c r="AK178" s="8">
        <v>0</v>
      </c>
      <c r="AL178" s="8">
        <v>0</v>
      </c>
      <c r="AM178" s="8">
        <v>1</v>
      </c>
      <c r="AN178" s="8">
        <v>1</v>
      </c>
    </row>
    <row r="179" spans="1:40" ht="21" customHeight="1" x14ac:dyDescent="0.15">
      <c r="A179" s="17" t="str">
        <f t="shared" ca="1" si="86"/>
        <v>11005_1-2/333&lt;lv1&gt;s2</v>
      </c>
      <c r="B179" s="8">
        <v>11005</v>
      </c>
      <c r="C179" s="25">
        <v>1</v>
      </c>
      <c r="D179" s="2" t="str">
        <f t="shared" si="87"/>
        <v>11005_1</v>
      </c>
      <c r="E179" s="5" t="str">
        <f ca="1">VLOOKUP($B179,OFFSET([2]quests!$A$1,0,0,COUNTA([2]quests!$A:$A),MATCH(E$1,[2]quests!$1:$1,0)-MATCH($B$1,[2]quests!$1:$1,0)+1),MATCH(E$1,[2]quests!$1:$1,0)-MATCH($B$1,[2]quests!$1:$1,0)+1,FALSE)</f>
        <v>【金曜限定】 帽子屋を追え！</v>
      </c>
      <c r="F179" s="5" t="str">
        <f ca="1">VLOOKUP($D179,OFFSET([2]stages!$A$1,0,0,COUNTA([2]stages!$A:$A),MATCH(F$1,[2]stages!$2:$2,0)-MATCH($D$1,[2]stages!$2:$2,0)+1),MATCH(F$1,[2]stages!$2:$2,0)-MATCH($D$1,[2]stages!$2:$2,0)+1,FALSE)</f>
        <v xml:space="preserve">【超級】火の帽子屋 </v>
      </c>
      <c r="G179" s="25">
        <v>2</v>
      </c>
      <c r="H179" s="16" t="str">
        <f t="shared" si="69"/>
        <v>11005_1-2</v>
      </c>
      <c r="I179" s="5">
        <f ca="1">VLOOKUP($H179,OFFSET(floors!$A$1,0,0,COUNTA(floors!$A:$A),MATCH(I$1,floors!$1:$1,0)-MATCH($H$1,floors!$1:$1,0)+1),MATCH(I$1,floors!$1:$1,0)-MATCH($H$1,floors!$1:$1,0)+1,FALSE)</f>
        <v>45</v>
      </c>
      <c r="J179" s="5">
        <f ca="1">VLOOKUP($H179,OFFSET(floors!$A$1,0,0,COUNTA(floors!$A:$A),MATCH(J$1,floors!$1:$1,0)-MATCH($H$1,floors!$1:$1,0)+1),MATCH(J$1,floors!$1:$1,0)-MATCH($H$1,floors!$1:$1,0)+1,FALSE)</f>
        <v>60</v>
      </c>
      <c r="K179" s="24" t="s">
        <v>197</v>
      </c>
      <c r="L179" s="24">
        <v>333</v>
      </c>
      <c r="M179" s="20" t="str">
        <f ca="1">VLOOKUP($L179,OFFSET([3]enemies!$A$1,0,0,COUNTA([3]enemies!$A:$A),MATCH(M$1,[3]enemies!$1:$1,0)-MATCH($L$1,[3]enemies!$1:$1,0)+1),MATCH(M$1,[3]enemies!$1:$1,0)-MATCH($L$1,[3]enemies!$1:$1,0)+1,FALSE)</f>
        <v>炎のメタルチック</v>
      </c>
      <c r="N179" s="20" t="str">
        <f ca="1">VLOOKUP($L179,OFFSET([3]enemies!$A$1,0,0,COUNTA([3]enemies!$A:$A),MATCH(N$1,[3]enemies!$1:$1,0)-MATCH($L$1,[3]enemies!$1:$1,0)+1),MATCH(N$1,[3]enemies!$1:$1,0)-MATCH($L$1,[3]enemies!$1:$1,0)+1,FALSE)</f>
        <v>red</v>
      </c>
      <c r="O179" s="22" t="str">
        <f ca="1">VLOOKUP($L179,OFFSET([4]characters!$A$1,0,0,COUNTA([4]characters!$A:$A),MATCH(O$1,[4]characters!$1:$1,0)-MATCH($L$1,[4]characters!$1:$1,0)+1),MATCH(O$1,[4]characters!$1:$1,0)-MATCH($L$1,[4]characters!$1:$1,0)+1,FALSE)</f>
        <v>Material</v>
      </c>
      <c r="P179" s="20" t="str">
        <f ca="1">VLOOKUP($L179,OFFSET([3]enemies!$A$1,0,0,COUNTA([3]enemies!$A:$A),MATCH(P$1,[3]enemies!$1:$1,0)-MATCH($L$1,[3]enemies!$1:$1,0)+1),MATCH(P$1,[3]enemies!$1:$1,0)-MATCH($L$1,[3]enemies!$1:$1,0)+1,FALSE)</f>
        <v>unknown</v>
      </c>
      <c r="Q179" s="20">
        <f ca="1">VLOOKUP($L179,OFFSET([3]enemies!$A$1,0,0,COUNTA([3]enemies!$A:$A),MATCH(Q$1,[3]enemies!$1:$1,0)-MATCH($L$1,[3]enemies!$1:$1,0)+1),MATCH(Q$1,[3]enemies!$1:$1,0)-MATCH($L$1,[3]enemies!$1:$1,0)+1,FALSE)</f>
        <v>15</v>
      </c>
      <c r="R179" s="6">
        <v>1</v>
      </c>
      <c r="S179" s="39">
        <v>1</v>
      </c>
      <c r="T179" s="39">
        <v>1</v>
      </c>
      <c r="U179" s="6">
        <v>0</v>
      </c>
      <c r="V179" s="5" t="str">
        <f ca="1">VLOOKUP($W179,OFFSET([5]enemy_skill_sets!$B$1,0,0,COUNTA([5]enemy_skill_sets!$B:$B),MATCH(M$1,[5]enemy_skill_sets!$1:$1,0)-MATCH($W$1,[5]enemy_skill_sets!$1:$1,0)+2),MATCH(M$1,[5]enemy_skill_sets!$1:$1,0)-MATCH($W$1,[5]enemy_skill_sets!$1:$1,0)+2,FALSE)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9" s="5">
        <f ca="1">VLOOKUP($L179,OFFSET([3]enemies!$A$1,0,0,COUNTA([3]enemies!$A:$A),MATCH(W$1,[3]enemies!$1:$1,0)-MATCH($L$1,[3]enemies!$1:$1,0)+1),MATCH(W$1,[3]enemies!$1:$1,0)-MATCH($L$1,[3]enemies!$1:$1,0)+1,FALSE)</f>
        <v>0</v>
      </c>
      <c r="X179" s="7">
        <v>0</v>
      </c>
      <c r="Y179" s="7">
        <v>10</v>
      </c>
      <c r="Z179" s="7">
        <v>0</v>
      </c>
      <c r="AA179" s="20">
        <f ca="1">VLOOKUP($L179,OFFSET([3]enemies!$A$1,0,0,COUNTA([3]enemies!$A:$A),MATCH(AA$1,[3]enemies!$1:$1,0)-MATCH($L$1,[3]enemies!$1:$1,0)+1),MATCH(AA$1,[3]enemies!$1:$1,0)-MATCH($L$1,[3]enemies!$1:$1,0)+1,FALSE)</f>
        <v>2</v>
      </c>
      <c r="AB179" s="24">
        <v>333</v>
      </c>
      <c r="AC179" s="5" t="str">
        <f ca="1">IFERROR(VLOOKUP($AB179,OFFSET([4]characters!$A$1,0,0,COUNTA([4]characters!$A:$A),MATCH(AC$1,[4]characters!$1:$1,0)-MATCH("character_id",[4]characters!$1:$1,0)+1),MATCH(AC$1,[4]characters!$1:$1,0)-MATCH("character_id",[4]characters!$1:$1,0)+1,FALSE),"")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179" s="5">
        <f ca="1">IFERROR(VLOOKUP($AB179,OFFSET([4]characters!$A$1,0,0,COUNTA([4]characters!$A:$A),MATCH(AD$1,[4]characters!$1:$1,0)-MATCH("character_id",[4]characters!$1:$1,0)+1),MATCH(AD$1,[4]characters!$1:$1,0)-MATCH("character_id",[4]characters!$1:$1,0)+1,FALSE),"")</f>
        <v>4</v>
      </c>
      <c r="AE179" s="5" t="str">
        <f ca="1">IFERROR(VLOOKUP($AB179,OFFSET([4]characters!$A$1,0,0,COUNTA([4]characters!$A:$A),MATCH(AE$1,[4]characters!$1:$1,0)-MATCH("character_id",[4]characters!$1:$1,0)+1),MATCH(AE$1,[4]characters!$1:$1,0)-MATCH("character_id",[4]characters!$1:$1,0)+1,FALSE),"")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9" s="8">
        <v>1</v>
      </c>
      <c r="AG179" s="27">
        <f t="shared" ca="1" si="88"/>
        <v>4</v>
      </c>
      <c r="AH179" s="9">
        <v>5</v>
      </c>
      <c r="AI179" s="8">
        <v>0</v>
      </c>
      <c r="AJ179" s="8">
        <v>0</v>
      </c>
      <c r="AK179" s="8">
        <v>0</v>
      </c>
      <c r="AL179" s="8">
        <v>0</v>
      </c>
      <c r="AM179" s="8">
        <v>1</v>
      </c>
      <c r="AN179" s="8">
        <v>1</v>
      </c>
    </row>
    <row r="180" spans="1:40" ht="21" customHeight="1" x14ac:dyDescent="0.15">
      <c r="A180" s="17" t="str">
        <f t="shared" ref="A180:A191" ca="1" si="89">B180&amp;"_"&amp;C180&amp;"-"&amp;G180&amp;"/"&amp;L180&amp;"&lt;lv"&amp;R180&amp;"&gt;s"&amp;AA180</f>
        <v>11005_1-3/135&lt;lv50&gt;s3</v>
      </c>
      <c r="B180" s="8">
        <v>11005</v>
      </c>
      <c r="C180" s="25">
        <v>1</v>
      </c>
      <c r="D180" s="2" t="str">
        <f t="shared" ref="D180:D191" si="90">B180&amp;"_"&amp;C180</f>
        <v>11005_1</v>
      </c>
      <c r="E180" s="5" t="str">
        <f ca="1">VLOOKUP($B180,OFFSET([2]quests!$A$1,0,0,COUNTA([2]quests!$A:$A),MATCH(E$1,[2]quests!$1:$1,0)-MATCH($B$1,[2]quests!$1:$1,0)+1),MATCH(E$1,[2]quests!$1:$1,0)-MATCH($B$1,[2]quests!$1:$1,0)+1,FALSE)</f>
        <v>【金曜限定】 帽子屋を追え！</v>
      </c>
      <c r="F180" s="5" t="str">
        <f ca="1">VLOOKUP($D180,OFFSET([2]stages!$A$1,0,0,COUNTA([2]stages!$A:$A),MATCH(F$1,[2]stages!$2:$2,0)-MATCH($D$1,[2]stages!$2:$2,0)+1),MATCH(F$1,[2]stages!$2:$2,0)-MATCH($D$1,[2]stages!$2:$2,0)+1,FALSE)</f>
        <v xml:space="preserve">【超級】火の帽子屋 </v>
      </c>
      <c r="G180" s="25">
        <v>3</v>
      </c>
      <c r="H180" s="16" t="str">
        <f t="shared" si="69"/>
        <v>11005_1-3</v>
      </c>
      <c r="I180" s="5">
        <f ca="1">VLOOKUP($H180,OFFSET(floors!$A$1,0,0,COUNTA(floors!$A:$A),MATCH(I$1,floors!$1:$1,0)-MATCH($H$1,floors!$1:$1,0)+1),MATCH(I$1,floors!$1:$1,0)-MATCH($H$1,floors!$1:$1,0)+1,FALSE)</f>
        <v>50</v>
      </c>
      <c r="J180" s="5">
        <f ca="1">VLOOKUP($H180,OFFSET(floors!$A$1,0,0,COUNTA(floors!$A:$A),MATCH(J$1,floors!$1:$1,0)-MATCH($H$1,floors!$1:$1,0)+1),MATCH(J$1,floors!$1:$1,0)-MATCH($H$1,floors!$1:$1,0)+1,FALSE)</f>
        <v>60</v>
      </c>
      <c r="K180" s="24" t="s">
        <v>197</v>
      </c>
      <c r="L180" s="24">
        <v>135</v>
      </c>
      <c r="M180" s="20" t="str">
        <f ca="1">VLOOKUP($L180,OFFSET([3]enemies!$A$1,0,0,COUNTA([3]enemies!$A:$A),MATCH(M$1,[3]enemies!$1:$1,0)-MATCH($L$1,[3]enemies!$1:$1,0)+1),MATCH(M$1,[3]enemies!$1:$1,0)-MATCH($L$1,[3]enemies!$1:$1,0)+1,FALSE)</f>
        <v>京の炎華夕霧</v>
      </c>
      <c r="N180" s="20" t="str">
        <f ca="1">VLOOKUP($L180,OFFSET([3]enemies!$A$1,0,0,COUNTA([3]enemies!$A:$A),MATCH(N$1,[3]enemies!$1:$1,0)-MATCH($L$1,[3]enemies!$1:$1,0)+1),MATCH(N$1,[3]enemies!$1:$1,0)-MATCH($L$1,[3]enemies!$1:$1,0)+1,FALSE)</f>
        <v>red</v>
      </c>
      <c r="O180" s="22" t="str">
        <f ca="1">VLOOKUP($L180,OFFSET([4]characters!$A$1,0,0,COUNTA([4]characters!$A:$A),MATCH(O$1,[4]characters!$1:$1,0)-MATCH($L$1,[4]characters!$1:$1,0)+1),MATCH(O$1,[4]characters!$1:$1,0)-MATCH($L$1,[4]characters!$1:$1,0)+1,FALSE)</f>
        <v>PremiumW</v>
      </c>
      <c r="P180" s="20" t="str">
        <f ca="1">VLOOKUP($L180,OFFSET([3]enemies!$A$1,0,0,COUNTA([3]enemies!$A:$A),MATCH(P$1,[3]enemies!$1:$1,0)-MATCH($L$1,[3]enemies!$1:$1,0)+1),MATCH(P$1,[3]enemies!$1:$1,0)-MATCH($L$1,[3]enemies!$1:$1,0)+1,FALSE)</f>
        <v>human</v>
      </c>
      <c r="Q180" s="20">
        <f ca="1">VLOOKUP($L180,OFFSET([3]enemies!$A$1,0,0,COUNTA([3]enemies!$A:$A),MATCH(Q$1,[3]enemies!$1:$1,0)-MATCH($L$1,[3]enemies!$1:$1,0)+1),MATCH(Q$1,[3]enemies!$1:$1,0)-MATCH($L$1,[3]enemies!$1:$1,0)+1,FALSE)</f>
        <v>30</v>
      </c>
      <c r="R180" s="6">
        <v>50</v>
      </c>
      <c r="S180" s="39">
        <v>1</v>
      </c>
      <c r="T180" s="39">
        <v>1</v>
      </c>
      <c r="U180" s="6">
        <v>0</v>
      </c>
      <c r="V180" s="5" t="str">
        <f ca="1">VLOOKUP($W180,OFFSET([5]enemy_skill_sets!$B$1,0,0,COUNTA([5]enemy_skill_sets!$B:$B),MATCH(M$1,[5]enemy_skill_sets!$1:$1,0)-MATCH($W$1,[5]enemy_skill_sets!$1:$1,0)+2),MATCH(M$1,[5]enemy_skill_sets!$1:$1,0)-MATCH($W$1,[5]enemy_skill_sets!$1:$1,0)+2,FALSE)</f>
        <v>3ターンの間ダメージを受ける</v>
      </c>
      <c r="W180" s="5">
        <f ca="1">VLOOKUP($L180,OFFSET([3]enemies!$A$1,0,0,COUNTA([3]enemies!$A:$A),MATCH(W$1,[3]enemies!$1:$1,0)-MATCH($L$1,[3]enemies!$1:$1,0)+1),MATCH(W$1,[3]enemies!$1:$1,0)-MATCH($L$1,[3]enemies!$1:$1,0)+1,FALSE)</f>
        <v>134</v>
      </c>
      <c r="X180" s="7">
        <v>0</v>
      </c>
      <c r="Y180" s="7">
        <v>80</v>
      </c>
      <c r="Z180" s="7">
        <v>1</v>
      </c>
      <c r="AA180" s="20">
        <f ca="1">VLOOKUP($L180,OFFSET([3]enemies!$A$1,0,0,COUNTA([3]enemies!$A:$A),MATCH(AA$1,[3]enemies!$1:$1,0)-MATCH($L$1,[3]enemies!$1:$1,0)+1),MATCH(AA$1,[3]enemies!$1:$1,0)-MATCH($L$1,[3]enemies!$1:$1,0)+1,FALSE)</f>
        <v>3</v>
      </c>
      <c r="AB180" s="24">
        <v>134</v>
      </c>
      <c r="AC180" s="5" t="str">
        <f ca="1">IFERROR(VLOOKUP($AB180,OFFSET([4]characters!$A$1,0,0,COUNTA([4]characters!$A:$A),MATCH(AC$1,[4]characters!$1:$1,0)-MATCH("character_id",[4]characters!$1:$1,0)+1),MATCH(AC$1,[4]characters!$1:$1,0)-MATCH("character_id",[4]characters!$1:$1,0)+1,FALSE),"")</f>
        <v>妖炎の夕霧</v>
      </c>
      <c r="AD180" s="5">
        <f ca="1">IFERROR(VLOOKUP($AB180,OFFSET([4]characters!$A$1,0,0,COUNTA([4]characters!$A:$A),MATCH(AD$1,[4]characters!$1:$1,0)-MATCH("character_id",[4]characters!$1:$1,0)+1),MATCH(AD$1,[4]characters!$1:$1,0)-MATCH("character_id",[4]characters!$1:$1,0)+1,FALSE),"")</f>
        <v>3</v>
      </c>
      <c r="AE180" s="5" t="str">
        <f ca="1">IFERROR(VLOOKUP($AB180,OFFSET([4]characters!$A$1,0,0,COUNTA([4]characters!$A:$A),MATCH(AE$1,[4]characters!$1:$1,0)-MATCH("character_id",[4]characters!$1:$1,0)+1),MATCH(AE$1,[4]characters!$1:$1,0)-MATCH("character_id",[4]characters!$1:$1,0)+1,FALSE),"")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80" s="8">
        <v>1</v>
      </c>
      <c r="AG180" s="27">
        <f t="shared" ref="AG180:AG191" ca="1" si="91">AD180</f>
        <v>3</v>
      </c>
      <c r="AH180" s="9">
        <v>0</v>
      </c>
      <c r="AI180" s="8">
        <v>0</v>
      </c>
      <c r="AJ180" s="8">
        <v>0</v>
      </c>
      <c r="AK180" s="8">
        <v>0</v>
      </c>
      <c r="AL180" s="8">
        <v>0</v>
      </c>
      <c r="AM180" s="8">
        <v>1</v>
      </c>
      <c r="AN180" s="8">
        <v>1</v>
      </c>
    </row>
    <row r="181" spans="1:40" ht="21" customHeight="1" x14ac:dyDescent="0.15">
      <c r="A181" s="17" t="str">
        <f t="shared" ca="1" si="89"/>
        <v>11005_1-3/334&lt;lv1&gt;s3</v>
      </c>
      <c r="B181" s="8">
        <v>11005</v>
      </c>
      <c r="C181" s="25">
        <v>1</v>
      </c>
      <c r="D181" s="2" t="str">
        <f t="shared" si="90"/>
        <v>11005_1</v>
      </c>
      <c r="E181" s="5" t="str">
        <f ca="1">VLOOKUP($B181,OFFSET([2]quests!$A$1,0,0,COUNTA([2]quests!$A:$A),MATCH(E$1,[2]quests!$1:$1,0)-MATCH($B$1,[2]quests!$1:$1,0)+1),MATCH(E$1,[2]quests!$1:$1,0)-MATCH($B$1,[2]quests!$1:$1,0)+1,FALSE)</f>
        <v>【金曜限定】 帽子屋を追え！</v>
      </c>
      <c r="F181" s="5" t="str">
        <f ca="1">VLOOKUP($D181,OFFSET([2]stages!$A$1,0,0,COUNTA([2]stages!$A:$A),MATCH(F$1,[2]stages!$2:$2,0)-MATCH($D$1,[2]stages!$2:$2,0)+1),MATCH(F$1,[2]stages!$2:$2,0)-MATCH($D$1,[2]stages!$2:$2,0)+1,FALSE)</f>
        <v xml:space="preserve">【超級】火の帽子屋 </v>
      </c>
      <c r="G181" s="25">
        <v>3</v>
      </c>
      <c r="H181" s="16" t="str">
        <f t="shared" si="69"/>
        <v>11005_1-3</v>
      </c>
      <c r="I181" s="5">
        <f ca="1">VLOOKUP($H181,OFFSET(floors!$A$1,0,0,COUNTA(floors!$A:$A),MATCH(I$1,floors!$1:$1,0)-MATCH($H$1,floors!$1:$1,0)+1),MATCH(I$1,floors!$1:$1,0)-MATCH($H$1,floors!$1:$1,0)+1,FALSE)</f>
        <v>50</v>
      </c>
      <c r="J181" s="5">
        <f ca="1">VLOOKUP($H181,OFFSET(floors!$A$1,0,0,COUNTA(floors!$A:$A),MATCH(J$1,floors!$1:$1,0)-MATCH($H$1,floors!$1:$1,0)+1),MATCH(J$1,floors!$1:$1,0)-MATCH($H$1,floors!$1:$1,0)+1,FALSE)</f>
        <v>60</v>
      </c>
      <c r="K181" s="24" t="s">
        <v>197</v>
      </c>
      <c r="L181" s="24">
        <v>334</v>
      </c>
      <c r="M181" s="20" t="str">
        <f ca="1">VLOOKUP($L181,OFFSET([3]enemies!$A$1,0,0,COUNTA([3]enemies!$A:$A),MATCH(M$1,[3]enemies!$1:$1,0)-MATCH($L$1,[3]enemies!$1:$1,0)+1),MATCH(M$1,[3]enemies!$1:$1,0)-MATCH($L$1,[3]enemies!$1:$1,0)+1,FALSE)</f>
        <v>炎のメタルダック</v>
      </c>
      <c r="N181" s="20" t="str">
        <f ca="1">VLOOKUP($L181,OFFSET([3]enemies!$A$1,0,0,COUNTA([3]enemies!$A:$A),MATCH(N$1,[3]enemies!$1:$1,0)-MATCH($L$1,[3]enemies!$1:$1,0)+1),MATCH(N$1,[3]enemies!$1:$1,0)-MATCH($L$1,[3]enemies!$1:$1,0)+1,FALSE)</f>
        <v>red</v>
      </c>
      <c r="O181" s="22" t="str">
        <f ca="1">VLOOKUP($L181,OFFSET([4]characters!$A$1,0,0,COUNTA([4]characters!$A:$A),MATCH(O$1,[4]characters!$1:$1,0)-MATCH($L$1,[4]characters!$1:$1,0)+1),MATCH(O$1,[4]characters!$1:$1,0)-MATCH($L$1,[4]characters!$1:$1,0)+1,FALSE)</f>
        <v>Material</v>
      </c>
      <c r="P181" s="20" t="str">
        <f ca="1">VLOOKUP($L181,OFFSET([3]enemies!$A$1,0,0,COUNTA([3]enemies!$A:$A),MATCH(P$1,[3]enemies!$1:$1,0)-MATCH($L$1,[3]enemies!$1:$1,0)+1),MATCH(P$1,[3]enemies!$1:$1,0)-MATCH($L$1,[3]enemies!$1:$1,0)+1,FALSE)</f>
        <v>unknown</v>
      </c>
      <c r="Q181" s="20">
        <f ca="1">VLOOKUP($L181,OFFSET([3]enemies!$A$1,0,0,COUNTA([3]enemies!$A:$A),MATCH(Q$1,[3]enemies!$1:$1,0)-MATCH($L$1,[3]enemies!$1:$1,0)+1),MATCH(Q$1,[3]enemies!$1:$1,0)-MATCH($L$1,[3]enemies!$1:$1,0)+1,FALSE)</f>
        <v>20</v>
      </c>
      <c r="R181" s="6">
        <v>1</v>
      </c>
      <c r="S181" s="39">
        <v>1</v>
      </c>
      <c r="T181" s="39">
        <v>1</v>
      </c>
      <c r="U181" s="6">
        <v>0</v>
      </c>
      <c r="V181" s="5" t="str">
        <f ca="1">VLOOKUP($W181,OFFSET([5]enemy_skill_sets!$B$1,0,0,COUNTA([5]enemy_skill_sets!$B:$B),MATCH(M$1,[5]enemy_skill_sets!$1:$1,0)-MATCH($W$1,[5]enemy_skill_sets!$1:$1,0)+2),MATCH(M$1,[5]enemy_skill_sets!$1:$1,0)-MATCH($W$1,[5]enemy_skill_sets!$1:$1,0)+2,FALSE)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1" s="5">
        <f ca="1">VLOOKUP($L181,OFFSET([3]enemies!$A$1,0,0,COUNTA([3]enemies!$A:$A),MATCH(W$1,[3]enemies!$1:$1,0)-MATCH($L$1,[3]enemies!$1:$1,0)+1),MATCH(W$1,[3]enemies!$1:$1,0)-MATCH($L$1,[3]enemies!$1:$1,0)+1,FALSE)</f>
        <v>0</v>
      </c>
      <c r="X181" s="7">
        <v>0</v>
      </c>
      <c r="Y181" s="7">
        <v>20</v>
      </c>
      <c r="Z181" s="7">
        <v>1</v>
      </c>
      <c r="AA181" s="20">
        <f ca="1">VLOOKUP($L181,OFFSET([3]enemies!$A$1,0,0,COUNTA([3]enemies!$A:$A),MATCH(AA$1,[3]enemies!$1:$1,0)-MATCH($L$1,[3]enemies!$1:$1,0)+1),MATCH(AA$1,[3]enemies!$1:$1,0)-MATCH($L$1,[3]enemies!$1:$1,0)+1,FALSE)</f>
        <v>3</v>
      </c>
      <c r="AB181" s="24">
        <v>334</v>
      </c>
      <c r="AC181" s="5" t="str">
        <f ca="1">IFERROR(VLOOKUP($AB181,OFFSET([4]characters!$A$1,0,0,COUNTA([4]characters!$A:$A),MATCH(AC$1,[4]characters!$1:$1,0)-MATCH("character_id",[4]characters!$1:$1,0)+1),MATCH(AC$1,[4]characters!$1:$1,0)-MATCH("character_id",[4]characters!$1:$1,0)+1,FALSE),"")</f>
        <v>炎のメタルダック</v>
      </c>
      <c r="AD181" s="5">
        <f ca="1">IFERROR(VLOOKUP($AB181,OFFSET([4]characters!$A$1,0,0,COUNTA([4]characters!$A:$A),MATCH(AD$1,[4]characters!$1:$1,0)-MATCH("character_id",[4]characters!$1:$1,0)+1),MATCH(AD$1,[4]characters!$1:$1,0)-MATCH("character_id",[4]characters!$1:$1,0)+1,FALSE),"")</f>
        <v>5</v>
      </c>
      <c r="AE181" s="5" t="str">
        <f ca="1">IFERROR(VLOOKUP($AB181,OFFSET([4]characters!$A$1,0,0,COUNTA([4]characters!$A:$A),MATCH(AE$1,[4]characters!$1:$1,0)-MATCH("character_id",[4]characters!$1:$1,0)+1),MATCH(AE$1,[4]characters!$1:$1,0)-MATCH("character_id",[4]characters!$1:$1,0)+1,FALSE),"")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1" s="8">
        <v>1</v>
      </c>
      <c r="AG181" s="27">
        <f t="shared" ca="1" si="91"/>
        <v>5</v>
      </c>
      <c r="AH181" s="9">
        <v>5</v>
      </c>
      <c r="AI181" s="8">
        <v>0</v>
      </c>
      <c r="AJ181" s="8">
        <v>0</v>
      </c>
      <c r="AK181" s="8">
        <v>0</v>
      </c>
      <c r="AL181" s="8">
        <v>0</v>
      </c>
      <c r="AM181" s="8">
        <v>1</v>
      </c>
      <c r="AN181" s="8">
        <v>1</v>
      </c>
    </row>
    <row r="182" spans="1:40" ht="21" customHeight="1" x14ac:dyDescent="0.15">
      <c r="A182" s="17" t="str">
        <f t="shared" ref="A182" ca="1" si="92">B182&amp;"_"&amp;C182&amp;"-"&amp;G182&amp;"/"&amp;L182&amp;"&lt;lv"&amp;R182&amp;"&gt;s"&amp;AA182</f>
        <v>11005_1-3/332&lt;lv1&gt;s1</v>
      </c>
      <c r="B182" s="8">
        <v>11005</v>
      </c>
      <c r="C182" s="25">
        <v>1</v>
      </c>
      <c r="D182" s="2" t="str">
        <f t="shared" ref="D182" si="93">B182&amp;"_"&amp;C182</f>
        <v>11005_1</v>
      </c>
      <c r="E182" s="5" t="str">
        <f ca="1">VLOOKUP($B182,OFFSET([2]quests!$A$1,0,0,COUNTA([2]quests!$A:$A),MATCH(E$1,[2]quests!$1:$1,0)-MATCH($B$1,[2]quests!$1:$1,0)+1),MATCH(E$1,[2]quests!$1:$1,0)-MATCH($B$1,[2]quests!$1:$1,0)+1,FALSE)</f>
        <v>【金曜限定】 帽子屋を追え！</v>
      </c>
      <c r="F182" s="5" t="str">
        <f ca="1">VLOOKUP($D182,OFFSET([2]stages!$A$1,0,0,COUNTA([2]stages!$A:$A),MATCH(F$1,[2]stages!$2:$2,0)-MATCH($D$1,[2]stages!$2:$2,0)+1),MATCH(F$1,[2]stages!$2:$2,0)-MATCH($D$1,[2]stages!$2:$2,0)+1,FALSE)</f>
        <v xml:space="preserve">【超級】火の帽子屋 </v>
      </c>
      <c r="G182" s="25">
        <v>3</v>
      </c>
      <c r="H182" s="16" t="str">
        <f t="shared" si="69"/>
        <v>11005_1-3</v>
      </c>
      <c r="I182" s="5">
        <f ca="1">VLOOKUP($H182,OFFSET(floors!$A$1,0,0,COUNTA(floors!$A:$A),MATCH(I$1,floors!$1:$1,0)-MATCH($H$1,floors!$1:$1,0)+1),MATCH(I$1,floors!$1:$1,0)-MATCH($H$1,floors!$1:$1,0)+1,FALSE)</f>
        <v>50</v>
      </c>
      <c r="J182" s="5">
        <f ca="1">VLOOKUP($H182,OFFSET(floors!$A$1,0,0,COUNTA(floors!$A:$A),MATCH(J$1,floors!$1:$1,0)-MATCH($H$1,floors!$1:$1,0)+1),MATCH(J$1,floors!$1:$1,0)-MATCH($H$1,floors!$1:$1,0)+1,FALSE)</f>
        <v>60</v>
      </c>
      <c r="K182" s="24" t="s">
        <v>197</v>
      </c>
      <c r="L182" s="24">
        <v>332</v>
      </c>
      <c r="M182" s="20" t="str">
        <f ca="1">VLOOKUP($L182,OFFSET([3]enemies!$A$1,0,0,COUNTA([3]enemies!$A:$A),MATCH(M$1,[3]enemies!$1:$1,0)-MATCH($L$1,[3]enemies!$1:$1,0)+1),MATCH(M$1,[3]enemies!$1:$1,0)-MATCH($L$1,[3]enemies!$1:$1,0)+1,FALSE)</f>
        <v>炎のメタルピヨピヨ</v>
      </c>
      <c r="N182" s="20" t="str">
        <f ca="1">VLOOKUP($L182,OFFSET([3]enemies!$A$1,0,0,COUNTA([3]enemies!$A:$A),MATCH(N$1,[3]enemies!$1:$1,0)-MATCH($L$1,[3]enemies!$1:$1,0)+1),MATCH(N$1,[3]enemies!$1:$1,0)-MATCH($L$1,[3]enemies!$1:$1,0)+1,FALSE)</f>
        <v>red</v>
      </c>
      <c r="O182" s="22" t="str">
        <f ca="1">VLOOKUP($L182,OFFSET([4]characters!$A$1,0,0,COUNTA([4]characters!$A:$A),MATCH(O$1,[4]characters!$1:$1,0)-MATCH($L$1,[4]characters!$1:$1,0)+1),MATCH(O$1,[4]characters!$1:$1,0)-MATCH($L$1,[4]characters!$1:$1,0)+1,FALSE)</f>
        <v>Material</v>
      </c>
      <c r="P182" s="20" t="str">
        <f ca="1">VLOOKUP($L182,OFFSET([3]enemies!$A$1,0,0,COUNTA([3]enemies!$A:$A),MATCH(P$1,[3]enemies!$1:$1,0)-MATCH($L$1,[3]enemies!$1:$1,0)+1),MATCH(P$1,[3]enemies!$1:$1,0)-MATCH($L$1,[3]enemies!$1:$1,0)+1,FALSE)</f>
        <v>unknown</v>
      </c>
      <c r="Q182" s="20">
        <f ca="1">VLOOKUP($L182,OFFSET([3]enemies!$A$1,0,0,COUNTA([3]enemies!$A:$A),MATCH(Q$1,[3]enemies!$1:$1,0)-MATCH($L$1,[3]enemies!$1:$1,0)+1),MATCH(Q$1,[3]enemies!$1:$1,0)-MATCH($L$1,[3]enemies!$1:$1,0)+1,FALSE)</f>
        <v>15</v>
      </c>
      <c r="R182" s="6">
        <v>1</v>
      </c>
      <c r="S182" s="39">
        <v>1</v>
      </c>
      <c r="T182" s="39">
        <v>1</v>
      </c>
      <c r="U182" s="6">
        <v>0</v>
      </c>
      <c r="V182" s="5" t="str">
        <f ca="1">VLOOKUP($W182,OFFSET([5]enemy_skill_sets!$B$1,0,0,COUNTA([5]enemy_skill_sets!$B:$B),MATCH(M$1,[5]enemy_skill_sets!$1:$1,0)-MATCH($W$1,[5]enemy_skill_sets!$1:$1,0)+2),MATCH(M$1,[5]enemy_skill_sets!$1:$1,0)-MATCH($W$1,[5]enemy_skill_sets!$1:$1,0)+2,FALSE)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2" s="5">
        <f ca="1">VLOOKUP($L182,OFFSET([3]enemies!$A$1,0,0,COUNTA([3]enemies!$A:$A),MATCH(W$1,[3]enemies!$1:$1,0)-MATCH($L$1,[3]enemies!$1:$1,0)+1),MATCH(W$1,[3]enemies!$1:$1,0)-MATCH($L$1,[3]enemies!$1:$1,0)+1,FALSE)</f>
        <v>0</v>
      </c>
      <c r="X182" s="7">
        <v>1</v>
      </c>
      <c r="Y182" s="7">
        <v>100</v>
      </c>
      <c r="Z182" s="7">
        <v>0</v>
      </c>
      <c r="AA182" s="20">
        <f ca="1">VLOOKUP($L182,OFFSET([3]enemies!$A$1,0,0,COUNTA([3]enemies!$A:$A),MATCH(AA$1,[3]enemies!$1:$1,0)-MATCH($L$1,[3]enemies!$1:$1,0)+1),MATCH(AA$1,[3]enemies!$1:$1,0)-MATCH($L$1,[3]enemies!$1:$1,0)+1,FALSE)</f>
        <v>1</v>
      </c>
      <c r="AB182" s="24">
        <v>332</v>
      </c>
      <c r="AC182" s="5" t="str">
        <f ca="1">IFERROR(VLOOKUP($AB182,OFFSET([4]characters!$A$1,0,0,COUNTA([4]characters!$A:$A),MATCH(AC$1,[4]characters!$1:$1,0)-MATCH("character_id",[4]characters!$1:$1,0)+1),MATCH(AC$1,[4]characters!$1:$1,0)-MATCH("character_id",[4]characters!$1:$1,0)+1,FALSE),"")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182" s="5">
        <f ca="1">IFERROR(VLOOKUP($AB182,OFFSET([4]characters!$A$1,0,0,COUNTA([4]characters!$A:$A),MATCH(AD$1,[4]characters!$1:$1,0)-MATCH("character_id",[4]characters!$1:$1,0)+1),MATCH(AD$1,[4]characters!$1:$1,0)-MATCH("character_id",[4]characters!$1:$1,0)+1,FALSE),"")</f>
        <v>3</v>
      </c>
      <c r="AE182" s="5" t="str">
        <f ca="1">IFERROR(VLOOKUP($AB182,OFFSET([4]characters!$A$1,0,0,COUNTA([4]characters!$A:$A),MATCH(AE$1,[4]characters!$1:$1,0)-MATCH("character_id",[4]characters!$1:$1,0)+1),MATCH(AE$1,[4]characters!$1:$1,0)-MATCH("character_id",[4]characters!$1:$1,0)+1,FALSE),"")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2" s="8">
        <v>1</v>
      </c>
      <c r="AG182" s="27">
        <f t="shared" ref="AG182" ca="1" si="94">AD182</f>
        <v>3</v>
      </c>
      <c r="AH182" s="9">
        <v>20</v>
      </c>
      <c r="AI182" s="8">
        <v>0</v>
      </c>
      <c r="AJ182" s="8">
        <v>0</v>
      </c>
      <c r="AK182" s="8">
        <v>0</v>
      </c>
      <c r="AL182" s="8">
        <v>0</v>
      </c>
      <c r="AM182" s="8">
        <v>1</v>
      </c>
      <c r="AN182" s="8">
        <v>1</v>
      </c>
    </row>
    <row r="183" spans="1:40" ht="21" customHeight="1" x14ac:dyDescent="0.15">
      <c r="A183" s="17" t="str">
        <f t="shared" ref="A183" ca="1" si="95">B183&amp;"_"&amp;C183&amp;"-"&amp;G183&amp;"/"&amp;L183&amp;"&lt;lv"&amp;R183&amp;"&gt;s"&amp;AA183</f>
        <v>11005_1-3/333&lt;lv1&gt;s2</v>
      </c>
      <c r="B183" s="8">
        <v>11005</v>
      </c>
      <c r="C183" s="25">
        <v>1</v>
      </c>
      <c r="D183" s="2" t="str">
        <f t="shared" ref="D183" si="96">B183&amp;"_"&amp;C183</f>
        <v>11005_1</v>
      </c>
      <c r="E183" s="5" t="str">
        <f ca="1">VLOOKUP($B183,OFFSET([2]quests!$A$1,0,0,COUNTA([2]quests!$A:$A),MATCH(E$1,[2]quests!$1:$1,0)-MATCH($B$1,[2]quests!$1:$1,0)+1),MATCH(E$1,[2]quests!$1:$1,0)-MATCH($B$1,[2]quests!$1:$1,0)+1,FALSE)</f>
        <v>【金曜限定】 帽子屋を追え！</v>
      </c>
      <c r="F183" s="5" t="str">
        <f ca="1">VLOOKUP($D183,OFFSET([2]stages!$A$1,0,0,COUNTA([2]stages!$A:$A),MATCH(F$1,[2]stages!$2:$2,0)-MATCH($D$1,[2]stages!$2:$2,0)+1),MATCH(F$1,[2]stages!$2:$2,0)-MATCH($D$1,[2]stages!$2:$2,0)+1,FALSE)</f>
        <v xml:space="preserve">【超級】火の帽子屋 </v>
      </c>
      <c r="G183" s="25">
        <v>3</v>
      </c>
      <c r="H183" s="16" t="str">
        <f t="shared" si="69"/>
        <v>11005_1-3</v>
      </c>
      <c r="I183" s="5">
        <f ca="1">VLOOKUP($H183,OFFSET(floors!$A$1,0,0,COUNTA(floors!$A:$A),MATCH(I$1,floors!$1:$1,0)-MATCH($H$1,floors!$1:$1,0)+1),MATCH(I$1,floors!$1:$1,0)-MATCH($H$1,floors!$1:$1,0)+1,FALSE)</f>
        <v>50</v>
      </c>
      <c r="J183" s="5">
        <f ca="1">VLOOKUP($H183,OFFSET(floors!$A$1,0,0,COUNTA(floors!$A:$A),MATCH(J$1,floors!$1:$1,0)-MATCH($H$1,floors!$1:$1,0)+1),MATCH(J$1,floors!$1:$1,0)-MATCH($H$1,floors!$1:$1,0)+1,FALSE)</f>
        <v>60</v>
      </c>
      <c r="K183" s="24" t="s">
        <v>197</v>
      </c>
      <c r="L183" s="24">
        <v>333</v>
      </c>
      <c r="M183" s="20" t="str">
        <f ca="1">VLOOKUP($L183,OFFSET([3]enemies!$A$1,0,0,COUNTA([3]enemies!$A:$A),MATCH(M$1,[3]enemies!$1:$1,0)-MATCH($L$1,[3]enemies!$1:$1,0)+1),MATCH(M$1,[3]enemies!$1:$1,0)-MATCH($L$1,[3]enemies!$1:$1,0)+1,FALSE)</f>
        <v>炎のメタルチック</v>
      </c>
      <c r="N183" s="20" t="str">
        <f ca="1">VLOOKUP($L183,OFFSET([3]enemies!$A$1,0,0,COUNTA([3]enemies!$A:$A),MATCH(N$1,[3]enemies!$1:$1,0)-MATCH($L$1,[3]enemies!$1:$1,0)+1),MATCH(N$1,[3]enemies!$1:$1,0)-MATCH($L$1,[3]enemies!$1:$1,0)+1,FALSE)</f>
        <v>red</v>
      </c>
      <c r="O183" s="22" t="str">
        <f ca="1">VLOOKUP($L183,OFFSET([4]characters!$A$1,0,0,COUNTA([4]characters!$A:$A),MATCH(O$1,[4]characters!$1:$1,0)-MATCH($L$1,[4]characters!$1:$1,0)+1),MATCH(O$1,[4]characters!$1:$1,0)-MATCH($L$1,[4]characters!$1:$1,0)+1,FALSE)</f>
        <v>Material</v>
      </c>
      <c r="P183" s="20" t="str">
        <f ca="1">VLOOKUP($L183,OFFSET([3]enemies!$A$1,0,0,COUNTA([3]enemies!$A:$A),MATCH(P$1,[3]enemies!$1:$1,0)-MATCH($L$1,[3]enemies!$1:$1,0)+1),MATCH(P$1,[3]enemies!$1:$1,0)-MATCH($L$1,[3]enemies!$1:$1,0)+1,FALSE)</f>
        <v>unknown</v>
      </c>
      <c r="Q183" s="20">
        <f ca="1">VLOOKUP($L183,OFFSET([3]enemies!$A$1,0,0,COUNTA([3]enemies!$A:$A),MATCH(Q$1,[3]enemies!$1:$1,0)-MATCH($L$1,[3]enemies!$1:$1,0)+1),MATCH(Q$1,[3]enemies!$1:$1,0)-MATCH($L$1,[3]enemies!$1:$1,0)+1,FALSE)</f>
        <v>15</v>
      </c>
      <c r="R183" s="6">
        <v>1</v>
      </c>
      <c r="S183" s="39">
        <v>1</v>
      </c>
      <c r="T183" s="39">
        <v>1</v>
      </c>
      <c r="U183" s="6">
        <v>0</v>
      </c>
      <c r="V183" s="5" t="str">
        <f ca="1">VLOOKUP($W183,OFFSET([5]enemy_skill_sets!$B$1,0,0,COUNTA([5]enemy_skill_sets!$B:$B),MATCH(M$1,[5]enemy_skill_sets!$1:$1,0)-MATCH($W$1,[5]enemy_skill_sets!$1:$1,0)+2),MATCH(M$1,[5]enemy_skill_sets!$1:$1,0)-MATCH($W$1,[5]enemy_skill_sets!$1:$1,0)+2,FALSE)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3" s="5">
        <f ca="1">VLOOKUP($L183,OFFSET([3]enemies!$A$1,0,0,COUNTA([3]enemies!$A:$A),MATCH(W$1,[3]enemies!$1:$1,0)-MATCH($L$1,[3]enemies!$1:$1,0)+1),MATCH(W$1,[3]enemies!$1:$1,0)-MATCH($L$1,[3]enemies!$1:$1,0)+1,FALSE)</f>
        <v>0</v>
      </c>
      <c r="X183" s="7">
        <v>1</v>
      </c>
      <c r="Y183" s="7">
        <v>100</v>
      </c>
      <c r="Z183" s="7">
        <v>0</v>
      </c>
      <c r="AA183" s="20">
        <f ca="1">VLOOKUP($L183,OFFSET([3]enemies!$A$1,0,0,COUNTA([3]enemies!$A:$A),MATCH(AA$1,[3]enemies!$1:$1,0)-MATCH($L$1,[3]enemies!$1:$1,0)+1),MATCH(AA$1,[3]enemies!$1:$1,0)-MATCH($L$1,[3]enemies!$1:$1,0)+1,FALSE)</f>
        <v>2</v>
      </c>
      <c r="AB183" s="24">
        <v>333</v>
      </c>
      <c r="AC183" s="5" t="str">
        <f ca="1">IFERROR(VLOOKUP($AB183,OFFSET([4]characters!$A$1,0,0,COUNTA([4]characters!$A:$A),MATCH(AC$1,[4]characters!$1:$1,0)-MATCH("character_id",[4]characters!$1:$1,0)+1),MATCH(AC$1,[4]characters!$1:$1,0)-MATCH("character_id",[4]characters!$1:$1,0)+1,FALSE),"")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183" s="5">
        <f ca="1">IFERROR(VLOOKUP($AB183,OFFSET([4]characters!$A$1,0,0,COUNTA([4]characters!$A:$A),MATCH(AD$1,[4]characters!$1:$1,0)-MATCH("character_id",[4]characters!$1:$1,0)+1),MATCH(AD$1,[4]characters!$1:$1,0)-MATCH("character_id",[4]characters!$1:$1,0)+1,FALSE),"")</f>
        <v>4</v>
      </c>
      <c r="AE183" s="5" t="str">
        <f ca="1">IFERROR(VLOOKUP($AB183,OFFSET([4]characters!$A$1,0,0,COUNTA([4]characters!$A:$A),MATCH(AE$1,[4]characters!$1:$1,0)-MATCH("character_id",[4]characters!$1:$1,0)+1),MATCH(AE$1,[4]characters!$1:$1,0)-MATCH("character_id",[4]characters!$1:$1,0)+1,FALSE),"")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3" s="8">
        <v>1</v>
      </c>
      <c r="AG183" s="27">
        <f t="shared" ref="AG183" ca="1" si="97">AD183</f>
        <v>4</v>
      </c>
      <c r="AH183" s="9">
        <v>10</v>
      </c>
      <c r="AI183" s="8">
        <v>0</v>
      </c>
      <c r="AJ183" s="8">
        <v>0</v>
      </c>
      <c r="AK183" s="8">
        <v>0</v>
      </c>
      <c r="AL183" s="8">
        <v>0</v>
      </c>
      <c r="AM183" s="8">
        <v>1</v>
      </c>
      <c r="AN183" s="8">
        <v>1</v>
      </c>
    </row>
    <row r="184" spans="1:40" ht="21" customHeight="1" x14ac:dyDescent="0.15">
      <c r="A184" s="17" t="str">
        <f t="shared" ca="1" si="89"/>
        <v>11005_1-4/33&lt;lv42&gt;s2</v>
      </c>
      <c r="B184" s="8">
        <v>11005</v>
      </c>
      <c r="C184" s="25">
        <v>1</v>
      </c>
      <c r="D184" s="2" t="str">
        <f t="shared" si="90"/>
        <v>11005_1</v>
      </c>
      <c r="E184" s="5" t="str">
        <f ca="1">VLOOKUP($B184,OFFSET([2]quests!$A$1,0,0,COUNTA([2]quests!$A:$A),MATCH(E$1,[2]quests!$1:$1,0)-MATCH($B$1,[2]quests!$1:$1,0)+1),MATCH(E$1,[2]quests!$1:$1,0)-MATCH($B$1,[2]quests!$1:$1,0)+1,FALSE)</f>
        <v>【金曜限定】 帽子屋を追え！</v>
      </c>
      <c r="F184" s="5" t="str">
        <f ca="1">VLOOKUP($D184,OFFSET([2]stages!$A$1,0,0,COUNTA([2]stages!$A:$A),MATCH(F$1,[2]stages!$2:$2,0)-MATCH($D$1,[2]stages!$2:$2,0)+1),MATCH(F$1,[2]stages!$2:$2,0)-MATCH($D$1,[2]stages!$2:$2,0)+1,FALSE)</f>
        <v xml:space="preserve">【超級】火の帽子屋 </v>
      </c>
      <c r="G184" s="25">
        <v>4</v>
      </c>
      <c r="H184" s="16" t="str">
        <f t="shared" si="69"/>
        <v>11005_1-4</v>
      </c>
      <c r="I184" s="5">
        <f ca="1">VLOOKUP($H184,OFFSET(floors!$A$1,0,0,COUNTA(floors!$A:$A),MATCH(I$1,floors!$1:$1,0)-MATCH($H$1,floors!$1:$1,0)+1),MATCH(I$1,floors!$1:$1,0)-MATCH($H$1,floors!$1:$1,0)+1,FALSE)</f>
        <v>45</v>
      </c>
      <c r="J184" s="5">
        <f ca="1">VLOOKUP($H184,OFFSET(floors!$A$1,0,0,COUNTA(floors!$A:$A),MATCH(J$1,floors!$1:$1,0)-MATCH($H$1,floors!$1:$1,0)+1),MATCH(J$1,floors!$1:$1,0)-MATCH($H$1,floors!$1:$1,0)+1,FALSE)</f>
        <v>60</v>
      </c>
      <c r="K184" s="24" t="s">
        <v>197</v>
      </c>
      <c r="L184" s="24">
        <v>33</v>
      </c>
      <c r="M184" s="20" t="str">
        <f ca="1">VLOOKUP($L184,OFFSET([3]enemies!$A$1,0,0,COUNTA([3]enemies!$A:$A),MATCH(M$1,[3]enemies!$1:$1,0)-MATCH($L$1,[3]enemies!$1:$1,0)+1),MATCH(M$1,[3]enemies!$1:$1,0)-MATCH($L$1,[3]enemies!$1:$1,0)+1,FALSE)</f>
        <v>ゴクウ</v>
      </c>
      <c r="N184" s="20" t="str">
        <f ca="1">VLOOKUP($L184,OFFSET([3]enemies!$A$1,0,0,COUNTA([3]enemies!$A:$A),MATCH(N$1,[3]enemies!$1:$1,0)-MATCH($L$1,[3]enemies!$1:$1,0)+1),MATCH(N$1,[3]enemies!$1:$1,0)-MATCH($L$1,[3]enemies!$1:$1,0)+1,FALSE)</f>
        <v>red</v>
      </c>
      <c r="O184" s="22" t="str">
        <f ca="1">VLOOKUP($L184,OFFSET([4]characters!$A$1,0,0,COUNTA([4]characters!$A:$A),MATCH(O$1,[4]characters!$1:$1,0)-MATCH($L$1,[4]characters!$1:$1,0)+1),MATCH(O$1,[4]characters!$1:$1,0)-MATCH($L$1,[4]characters!$1:$1,0)+1,FALSE)</f>
        <v>Drop1S</v>
      </c>
      <c r="P184" s="20" t="str">
        <f ca="1">VLOOKUP($L184,OFFSET([3]enemies!$A$1,0,0,COUNTA([3]enemies!$A:$A),MATCH(P$1,[3]enemies!$1:$1,0)-MATCH($L$1,[3]enemies!$1:$1,0)+1),MATCH(P$1,[3]enemies!$1:$1,0)-MATCH($L$1,[3]enemies!$1:$1,0)+1,FALSE)</f>
        <v>animal</v>
      </c>
      <c r="Q184" s="20">
        <f ca="1">VLOOKUP($L184,OFFSET([3]enemies!$A$1,0,0,COUNTA([3]enemies!$A:$A),MATCH(Q$1,[3]enemies!$1:$1,0)-MATCH($L$1,[3]enemies!$1:$1,0)+1),MATCH(Q$1,[3]enemies!$1:$1,0)-MATCH($L$1,[3]enemies!$1:$1,0)+1,FALSE)</f>
        <v>15</v>
      </c>
      <c r="R184" s="6">
        <v>42</v>
      </c>
      <c r="S184" s="39">
        <v>1</v>
      </c>
      <c r="T184" s="39">
        <v>1</v>
      </c>
      <c r="U184" s="6">
        <v>0</v>
      </c>
      <c r="V184" s="5" t="str">
        <f ca="1">VLOOKUP($W184,OFFSET([5]enemy_skill_sets!$B$1,0,0,COUNTA([5]enemy_skill_sets!$B:$B),MATCH(M$1,[5]enemy_skill_sets!$1:$1,0)-MATCH($W$1,[5]enemy_skill_sets!$1:$1,0)+2),MATCH(M$1,[5]enemy_skill_sets!$1:$1,0)-MATCH($W$1,[5]enemy_skill_sets!$1:$1,0)+2,FALSE)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84" s="5">
        <f ca="1">VLOOKUP($L184,OFFSET([3]enemies!$A$1,0,0,COUNTA([3]enemies!$A:$A),MATCH(W$1,[3]enemies!$1:$1,0)-MATCH($L$1,[3]enemies!$1:$1,0)+1),MATCH(W$1,[3]enemies!$1:$1,0)-MATCH($L$1,[3]enemies!$1:$1,0)+1,FALSE)</f>
        <v>33</v>
      </c>
      <c r="X184" s="7">
        <v>0</v>
      </c>
      <c r="Y184" s="7">
        <v>100</v>
      </c>
      <c r="Z184" s="7">
        <v>0</v>
      </c>
      <c r="AA184" s="20">
        <f ca="1">VLOOKUP($L184,OFFSET([3]enemies!$A$1,0,0,COUNTA([3]enemies!$A:$A),MATCH(AA$1,[3]enemies!$1:$1,0)-MATCH($L$1,[3]enemies!$1:$1,0)+1),MATCH(AA$1,[3]enemies!$1:$1,0)-MATCH($L$1,[3]enemies!$1:$1,0)+1,FALSE)</f>
        <v>2</v>
      </c>
      <c r="AB184" s="24">
        <v>33</v>
      </c>
      <c r="AC184" s="5" t="str">
        <f ca="1">IFERROR(VLOOKUP($AB184,OFFSET([4]characters!$A$1,0,0,COUNTA([4]characters!$A:$A),MATCH(AC$1,[4]characters!$1:$1,0)-MATCH("character_id",[4]characters!$1:$1,0)+1),MATCH(AC$1,[4]characters!$1:$1,0)-MATCH("character_id",[4]characters!$1:$1,0)+1,FALSE),"")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184" s="5">
        <f ca="1">IFERROR(VLOOKUP($AB184,OFFSET([4]characters!$A$1,0,0,COUNTA([4]characters!$A:$A),MATCH(AD$1,[4]characters!$1:$1,0)-MATCH("character_id",[4]characters!$1:$1,0)+1),MATCH(AD$1,[4]characters!$1:$1,0)-MATCH("character_id",[4]characters!$1:$1,0)+1,FALSE),"")</f>
        <v>2</v>
      </c>
      <c r="AE184" s="5" t="str">
        <f ca="1">IFERROR(VLOOKUP($AB184,OFFSET([4]characters!$A$1,0,0,COUNTA([4]characters!$A:$A),MATCH(AE$1,[4]characters!$1:$1,0)-MATCH("character_id",[4]characters!$1:$1,0)+1),MATCH(AE$1,[4]characters!$1:$1,0)-MATCH("character_id",[4]characters!$1:$1,0)+1,FALSE),"")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84" s="8">
        <v>1</v>
      </c>
      <c r="AG184" s="27">
        <f t="shared" ca="1" si="91"/>
        <v>2</v>
      </c>
      <c r="AH184" s="9">
        <v>0</v>
      </c>
      <c r="AI184" s="8">
        <v>0</v>
      </c>
      <c r="AJ184" s="8">
        <v>0</v>
      </c>
      <c r="AK184" s="8">
        <v>0</v>
      </c>
      <c r="AL184" s="8">
        <v>0</v>
      </c>
      <c r="AM184" s="8">
        <v>1</v>
      </c>
      <c r="AN184" s="8">
        <v>1</v>
      </c>
    </row>
    <row r="185" spans="1:40" ht="21" customHeight="1" x14ac:dyDescent="0.15">
      <c r="A185" s="17" t="str">
        <f t="shared" ca="1" si="89"/>
        <v>11005_1-4/21&lt;lv42&gt;s2</v>
      </c>
      <c r="B185" s="8">
        <v>11005</v>
      </c>
      <c r="C185" s="25">
        <v>1</v>
      </c>
      <c r="D185" s="2" t="str">
        <f t="shared" si="90"/>
        <v>11005_1</v>
      </c>
      <c r="E185" s="5" t="str">
        <f ca="1">VLOOKUP($B185,OFFSET([2]quests!$A$1,0,0,COUNTA([2]quests!$A:$A),MATCH(E$1,[2]quests!$1:$1,0)-MATCH($B$1,[2]quests!$1:$1,0)+1),MATCH(E$1,[2]quests!$1:$1,0)-MATCH($B$1,[2]quests!$1:$1,0)+1,FALSE)</f>
        <v>【金曜限定】 帽子屋を追え！</v>
      </c>
      <c r="F185" s="5" t="str">
        <f ca="1">VLOOKUP($D185,OFFSET([2]stages!$A$1,0,0,COUNTA([2]stages!$A:$A),MATCH(F$1,[2]stages!$2:$2,0)-MATCH($D$1,[2]stages!$2:$2,0)+1),MATCH(F$1,[2]stages!$2:$2,0)-MATCH($D$1,[2]stages!$2:$2,0)+1,FALSE)</f>
        <v xml:space="preserve">【超級】火の帽子屋 </v>
      </c>
      <c r="G185" s="25">
        <v>4</v>
      </c>
      <c r="H185" s="16" t="str">
        <f t="shared" si="69"/>
        <v>11005_1-4</v>
      </c>
      <c r="I185" s="5">
        <f ca="1">VLOOKUP($H185,OFFSET(floors!$A$1,0,0,COUNTA(floors!$A:$A),MATCH(I$1,floors!$1:$1,0)-MATCH($H$1,floors!$1:$1,0)+1),MATCH(I$1,floors!$1:$1,0)-MATCH($H$1,floors!$1:$1,0)+1,FALSE)</f>
        <v>45</v>
      </c>
      <c r="J185" s="5">
        <f ca="1">VLOOKUP($H185,OFFSET(floors!$A$1,0,0,COUNTA(floors!$A:$A),MATCH(J$1,floors!$1:$1,0)-MATCH($H$1,floors!$1:$1,0)+1),MATCH(J$1,floors!$1:$1,0)-MATCH($H$1,floors!$1:$1,0)+1,FALSE)</f>
        <v>60</v>
      </c>
      <c r="K185" s="24" t="s">
        <v>197</v>
      </c>
      <c r="L185" s="24">
        <v>21</v>
      </c>
      <c r="M185" s="20" t="str">
        <f ca="1">VLOOKUP($L185,OFFSET([3]enemies!$A$1,0,0,COUNTA([3]enemies!$A:$A),MATCH(M$1,[3]enemies!$1:$1,0)-MATCH($L$1,[3]enemies!$1:$1,0)+1),MATCH(M$1,[3]enemies!$1:$1,0)-MATCH($L$1,[3]enemies!$1:$1,0)+1,FALSE)</f>
        <v>ヴェロキー</v>
      </c>
      <c r="N185" s="20" t="str">
        <f ca="1">VLOOKUP($L185,OFFSET([3]enemies!$A$1,0,0,COUNTA([3]enemies!$A:$A),MATCH(N$1,[3]enemies!$1:$1,0)-MATCH($L$1,[3]enemies!$1:$1,0)+1),MATCH(N$1,[3]enemies!$1:$1,0)-MATCH($L$1,[3]enemies!$1:$1,0)+1,FALSE)</f>
        <v>red</v>
      </c>
      <c r="O185" s="22" t="str">
        <f ca="1">VLOOKUP($L185,OFFSET([4]characters!$A$1,0,0,COUNTA([4]characters!$A:$A),MATCH(O$1,[4]characters!$1:$1,0)-MATCH($L$1,[4]characters!$1:$1,0)+1),MATCH(O$1,[4]characters!$1:$1,0)-MATCH($L$1,[4]characters!$1:$1,0)+1,FALSE)</f>
        <v>Drop1N</v>
      </c>
      <c r="P185" s="20" t="str">
        <f ca="1">VLOOKUP($L185,OFFSET([3]enemies!$A$1,0,0,COUNTA([3]enemies!$A:$A),MATCH(P$1,[3]enemies!$1:$1,0)-MATCH($L$1,[3]enemies!$1:$1,0)+1),MATCH(P$1,[3]enemies!$1:$1,0)-MATCH($L$1,[3]enemies!$1:$1,0)+1,FALSE)</f>
        <v>dragon</v>
      </c>
      <c r="Q185" s="20">
        <f ca="1">VLOOKUP($L185,OFFSET([3]enemies!$A$1,0,0,COUNTA([3]enemies!$A:$A),MATCH(Q$1,[3]enemies!$1:$1,0)-MATCH($L$1,[3]enemies!$1:$1,0)+1),MATCH(Q$1,[3]enemies!$1:$1,0)-MATCH($L$1,[3]enemies!$1:$1,0)+1,FALSE)</f>
        <v>15</v>
      </c>
      <c r="R185" s="6">
        <v>42</v>
      </c>
      <c r="S185" s="39">
        <v>1</v>
      </c>
      <c r="T185" s="39">
        <v>1</v>
      </c>
      <c r="U185" s="6">
        <v>0</v>
      </c>
      <c r="V185" s="5" t="str">
        <f ca="1">VLOOKUP($W185,OFFSET([5]enemy_skill_sets!$B$1,0,0,COUNTA([5]enemy_skill_sets!$B:$B),MATCH(M$1,[5]enemy_skill_sets!$1:$1,0)-MATCH($W$1,[5]enemy_skill_sets!$1:$1,0)+2),MATCH(M$1,[5]enemy_skill_sets!$1:$1,0)-MATCH($W$1,[5]enemy_skill_sets!$1:$1,0)+2,FALSE)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5" s="5">
        <f ca="1">VLOOKUP($L185,OFFSET([3]enemies!$A$1,0,0,COUNTA([3]enemies!$A:$A),MATCH(W$1,[3]enemies!$1:$1,0)-MATCH($L$1,[3]enemies!$1:$1,0)+1),MATCH(W$1,[3]enemies!$1:$1,0)-MATCH($L$1,[3]enemies!$1:$1,0)+1,FALSE)</f>
        <v>0</v>
      </c>
      <c r="X185" s="7">
        <v>0</v>
      </c>
      <c r="Y185" s="7">
        <v>100</v>
      </c>
      <c r="Z185" s="7">
        <v>0</v>
      </c>
      <c r="AA185" s="20">
        <f ca="1">VLOOKUP($L185,OFFSET([3]enemies!$A$1,0,0,COUNTA([3]enemies!$A:$A),MATCH(AA$1,[3]enemies!$1:$1,0)-MATCH($L$1,[3]enemies!$1:$1,0)+1),MATCH(AA$1,[3]enemies!$1:$1,0)-MATCH($L$1,[3]enemies!$1:$1,0)+1,FALSE)</f>
        <v>2</v>
      </c>
      <c r="AB185" s="24">
        <v>21</v>
      </c>
      <c r="AC185" s="5" t="str">
        <f ca="1">IFERROR(VLOOKUP($AB185,OFFSET([4]characters!$A$1,0,0,COUNTA([4]characters!$A:$A),MATCH(AC$1,[4]characters!$1:$1,0)-MATCH("character_id",[4]characters!$1:$1,0)+1),MATCH(AC$1,[4]characters!$1:$1,0)-MATCH("character_id",[4]characters!$1:$1,0)+1,FALSE),"")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85" s="5">
        <f ca="1">IFERROR(VLOOKUP($AB185,OFFSET([4]characters!$A$1,0,0,COUNTA([4]characters!$A:$A),MATCH(AD$1,[4]characters!$1:$1,0)-MATCH("character_id",[4]characters!$1:$1,0)+1),MATCH(AD$1,[4]characters!$1:$1,0)-MATCH("character_id",[4]characters!$1:$1,0)+1,FALSE),"")</f>
        <v>1</v>
      </c>
      <c r="AE185" s="5" t="str">
        <f ca="1">IFERROR(VLOOKUP($AB185,OFFSET([4]characters!$A$1,0,0,COUNTA([4]characters!$A:$A),MATCH(AE$1,[4]characters!$1:$1,0)-MATCH("character_id",[4]characters!$1:$1,0)+1),MATCH(AE$1,[4]characters!$1:$1,0)-MATCH("character_id",[4]characters!$1:$1,0)+1,FALSE),"")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85" s="8">
        <v>1</v>
      </c>
      <c r="AG185" s="27">
        <f t="shared" ca="1" si="91"/>
        <v>1</v>
      </c>
      <c r="AH185" s="9">
        <v>0</v>
      </c>
      <c r="AI185" s="8">
        <v>0</v>
      </c>
      <c r="AJ185" s="8">
        <v>0</v>
      </c>
      <c r="AK185" s="8">
        <v>0</v>
      </c>
      <c r="AL185" s="8">
        <v>0</v>
      </c>
      <c r="AM185" s="8">
        <v>1</v>
      </c>
      <c r="AN185" s="8">
        <v>1</v>
      </c>
    </row>
    <row r="186" spans="1:40" ht="21" customHeight="1" x14ac:dyDescent="0.15">
      <c r="A186" s="17" t="str">
        <f t="shared" ref="A186:A187" ca="1" si="98">B186&amp;"_"&amp;C186&amp;"-"&amp;G186&amp;"/"&amp;L186&amp;"&lt;lv"&amp;R186&amp;"&gt;s"&amp;AA186</f>
        <v>11005_1-5/33&lt;lv42&gt;s2</v>
      </c>
      <c r="B186" s="8">
        <v>11005</v>
      </c>
      <c r="C186" s="25">
        <v>1</v>
      </c>
      <c r="D186" s="2" t="str">
        <f t="shared" ref="D186:D187" si="99">B186&amp;"_"&amp;C186</f>
        <v>11005_1</v>
      </c>
      <c r="E186" s="5" t="str">
        <f ca="1">VLOOKUP($B186,OFFSET([2]quests!$A$1,0,0,COUNTA([2]quests!$A:$A),MATCH(E$1,[2]quests!$1:$1,0)-MATCH($B$1,[2]quests!$1:$1,0)+1),MATCH(E$1,[2]quests!$1:$1,0)-MATCH($B$1,[2]quests!$1:$1,0)+1,FALSE)</f>
        <v>【金曜限定】 帽子屋を追え！</v>
      </c>
      <c r="F186" s="5" t="str">
        <f ca="1">VLOOKUP($D186,OFFSET([2]stages!$A$1,0,0,COUNTA([2]stages!$A:$A),MATCH(F$1,[2]stages!$2:$2,0)-MATCH($D$1,[2]stages!$2:$2,0)+1),MATCH(F$1,[2]stages!$2:$2,0)-MATCH($D$1,[2]stages!$2:$2,0)+1,FALSE)</f>
        <v xml:space="preserve">【超級】火の帽子屋 </v>
      </c>
      <c r="G186" s="25">
        <v>5</v>
      </c>
      <c r="H186" s="16" t="str">
        <f t="shared" si="69"/>
        <v>11005_1-5</v>
      </c>
      <c r="I186" s="5">
        <f ca="1">VLOOKUP($H186,OFFSET(floors!$A$1,0,0,COUNTA(floors!$A:$A),MATCH(I$1,floors!$1:$1,0)-MATCH($H$1,floors!$1:$1,0)+1),MATCH(I$1,floors!$1:$1,0)-MATCH($H$1,floors!$1:$1,0)+1,FALSE)</f>
        <v>60</v>
      </c>
      <c r="J186" s="5">
        <f ca="1">VLOOKUP($H186,OFFSET(floors!$A$1,0,0,COUNTA(floors!$A:$A),MATCH(J$1,floors!$1:$1,0)-MATCH($H$1,floors!$1:$1,0)+1),MATCH(J$1,floors!$1:$1,0)-MATCH($H$1,floors!$1:$1,0)+1,FALSE)</f>
        <v>60</v>
      </c>
      <c r="K186" s="24" t="s">
        <v>197</v>
      </c>
      <c r="L186" s="24">
        <v>33</v>
      </c>
      <c r="M186" s="20" t="str">
        <f ca="1">VLOOKUP($L186,OFFSET([3]enemies!$A$1,0,0,COUNTA([3]enemies!$A:$A),MATCH(M$1,[3]enemies!$1:$1,0)-MATCH($L$1,[3]enemies!$1:$1,0)+1),MATCH(M$1,[3]enemies!$1:$1,0)-MATCH($L$1,[3]enemies!$1:$1,0)+1,FALSE)</f>
        <v>ゴクウ</v>
      </c>
      <c r="N186" s="20" t="str">
        <f ca="1">VLOOKUP($L186,OFFSET([3]enemies!$A$1,0,0,COUNTA([3]enemies!$A:$A),MATCH(N$1,[3]enemies!$1:$1,0)-MATCH($L$1,[3]enemies!$1:$1,0)+1),MATCH(N$1,[3]enemies!$1:$1,0)-MATCH($L$1,[3]enemies!$1:$1,0)+1,FALSE)</f>
        <v>red</v>
      </c>
      <c r="O186" s="22" t="str">
        <f ca="1">VLOOKUP($L186,OFFSET([4]characters!$A$1,0,0,COUNTA([4]characters!$A:$A),MATCH(O$1,[4]characters!$1:$1,0)-MATCH($L$1,[4]characters!$1:$1,0)+1),MATCH(O$1,[4]characters!$1:$1,0)-MATCH($L$1,[4]characters!$1:$1,0)+1,FALSE)</f>
        <v>Drop1S</v>
      </c>
      <c r="P186" s="20" t="str">
        <f ca="1">VLOOKUP($L186,OFFSET([3]enemies!$A$1,0,0,COUNTA([3]enemies!$A:$A),MATCH(P$1,[3]enemies!$1:$1,0)-MATCH($L$1,[3]enemies!$1:$1,0)+1),MATCH(P$1,[3]enemies!$1:$1,0)-MATCH($L$1,[3]enemies!$1:$1,0)+1,FALSE)</f>
        <v>animal</v>
      </c>
      <c r="Q186" s="20">
        <f ca="1">VLOOKUP($L186,OFFSET([3]enemies!$A$1,0,0,COUNTA([3]enemies!$A:$A),MATCH(Q$1,[3]enemies!$1:$1,0)-MATCH($L$1,[3]enemies!$1:$1,0)+1),MATCH(Q$1,[3]enemies!$1:$1,0)-MATCH($L$1,[3]enemies!$1:$1,0)+1,FALSE)</f>
        <v>15</v>
      </c>
      <c r="R186" s="6">
        <v>42</v>
      </c>
      <c r="S186" s="39">
        <v>1</v>
      </c>
      <c r="T186" s="39">
        <v>1</v>
      </c>
      <c r="U186" s="6">
        <v>0</v>
      </c>
      <c r="V186" s="5" t="str">
        <f ca="1">VLOOKUP($W186,OFFSET([5]enemy_skill_sets!$B$1,0,0,COUNTA([5]enemy_skill_sets!$B:$B),MATCH(M$1,[5]enemy_skill_sets!$1:$1,0)-MATCH($W$1,[5]enemy_skill_sets!$1:$1,0)+2),MATCH(M$1,[5]enemy_skill_sets!$1:$1,0)-MATCH($W$1,[5]enemy_skill_sets!$1:$1,0)+2,FALSE)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86" s="5">
        <f ca="1">VLOOKUP($L186,OFFSET([3]enemies!$A$1,0,0,COUNTA([3]enemies!$A:$A),MATCH(W$1,[3]enemies!$1:$1,0)-MATCH($L$1,[3]enemies!$1:$1,0)+1),MATCH(W$1,[3]enemies!$1:$1,0)-MATCH($L$1,[3]enemies!$1:$1,0)+1,FALSE)</f>
        <v>33</v>
      </c>
      <c r="X186" s="7">
        <v>0</v>
      </c>
      <c r="Y186" s="7">
        <v>100</v>
      </c>
      <c r="Z186" s="7">
        <v>0</v>
      </c>
      <c r="AA186" s="20">
        <f ca="1">VLOOKUP($L186,OFFSET([3]enemies!$A$1,0,0,COUNTA([3]enemies!$A:$A),MATCH(AA$1,[3]enemies!$1:$1,0)-MATCH($L$1,[3]enemies!$1:$1,0)+1),MATCH(AA$1,[3]enemies!$1:$1,0)-MATCH($L$1,[3]enemies!$1:$1,0)+1,FALSE)</f>
        <v>2</v>
      </c>
      <c r="AB186" s="24">
        <v>33</v>
      </c>
      <c r="AC186" s="5" t="str">
        <f ca="1">IFERROR(VLOOKUP($AB186,OFFSET([4]characters!$A$1,0,0,COUNTA([4]characters!$A:$A),MATCH(AC$1,[4]characters!$1:$1,0)-MATCH("character_id",[4]characters!$1:$1,0)+1),MATCH(AC$1,[4]characters!$1:$1,0)-MATCH("character_id",[4]characters!$1:$1,0)+1,FALSE),"")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186" s="5">
        <f ca="1">IFERROR(VLOOKUP($AB186,OFFSET([4]characters!$A$1,0,0,COUNTA([4]characters!$A:$A),MATCH(AD$1,[4]characters!$1:$1,0)-MATCH("character_id",[4]characters!$1:$1,0)+1),MATCH(AD$1,[4]characters!$1:$1,0)-MATCH("character_id",[4]characters!$1:$1,0)+1,FALSE),"")</f>
        <v>2</v>
      </c>
      <c r="AE186" s="5" t="str">
        <f ca="1">IFERROR(VLOOKUP($AB186,OFFSET([4]characters!$A$1,0,0,COUNTA([4]characters!$A:$A),MATCH(AE$1,[4]characters!$1:$1,0)-MATCH("character_id",[4]characters!$1:$1,0)+1),MATCH(AE$1,[4]characters!$1:$1,0)-MATCH("character_id",[4]characters!$1:$1,0)+1,FALSE),"")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86" s="8">
        <v>1</v>
      </c>
      <c r="AG186" s="27">
        <f t="shared" ref="AG186:AG187" ca="1" si="100">AD186</f>
        <v>2</v>
      </c>
      <c r="AH186" s="9">
        <v>0</v>
      </c>
      <c r="AI186" s="8">
        <v>0</v>
      </c>
      <c r="AJ186" s="8">
        <v>0</v>
      </c>
      <c r="AK186" s="8">
        <v>0</v>
      </c>
      <c r="AL186" s="8">
        <v>0</v>
      </c>
      <c r="AM186" s="8">
        <v>1</v>
      </c>
      <c r="AN186" s="8">
        <v>1</v>
      </c>
    </row>
    <row r="187" spans="1:40" ht="21" customHeight="1" x14ac:dyDescent="0.15">
      <c r="A187" s="17" t="str">
        <f t="shared" ca="1" si="98"/>
        <v>11005_1-5/21&lt;lv42&gt;s2</v>
      </c>
      <c r="B187" s="8">
        <v>11005</v>
      </c>
      <c r="C187" s="25">
        <v>1</v>
      </c>
      <c r="D187" s="2" t="str">
        <f t="shared" si="99"/>
        <v>11005_1</v>
      </c>
      <c r="E187" s="5" t="str">
        <f ca="1">VLOOKUP($B187,OFFSET([2]quests!$A$1,0,0,COUNTA([2]quests!$A:$A),MATCH(E$1,[2]quests!$1:$1,0)-MATCH($B$1,[2]quests!$1:$1,0)+1),MATCH(E$1,[2]quests!$1:$1,0)-MATCH($B$1,[2]quests!$1:$1,0)+1,FALSE)</f>
        <v>【金曜限定】 帽子屋を追え！</v>
      </c>
      <c r="F187" s="5" t="str">
        <f ca="1">VLOOKUP($D187,OFFSET([2]stages!$A$1,0,0,COUNTA([2]stages!$A:$A),MATCH(F$1,[2]stages!$2:$2,0)-MATCH($D$1,[2]stages!$2:$2,0)+1),MATCH(F$1,[2]stages!$2:$2,0)-MATCH($D$1,[2]stages!$2:$2,0)+1,FALSE)</f>
        <v xml:space="preserve">【超級】火の帽子屋 </v>
      </c>
      <c r="G187" s="25">
        <v>5</v>
      </c>
      <c r="H187" s="16" t="str">
        <f t="shared" si="69"/>
        <v>11005_1-5</v>
      </c>
      <c r="I187" s="5">
        <f ca="1">VLOOKUP($H187,OFFSET(floors!$A$1,0,0,COUNTA(floors!$A:$A),MATCH(I$1,floors!$1:$1,0)-MATCH($H$1,floors!$1:$1,0)+1),MATCH(I$1,floors!$1:$1,0)-MATCH($H$1,floors!$1:$1,0)+1,FALSE)</f>
        <v>60</v>
      </c>
      <c r="J187" s="5">
        <f ca="1">VLOOKUP($H187,OFFSET(floors!$A$1,0,0,COUNTA(floors!$A:$A),MATCH(J$1,floors!$1:$1,0)-MATCH($H$1,floors!$1:$1,0)+1),MATCH(J$1,floors!$1:$1,0)-MATCH($H$1,floors!$1:$1,0)+1,FALSE)</f>
        <v>60</v>
      </c>
      <c r="K187" s="24" t="s">
        <v>197</v>
      </c>
      <c r="L187" s="24">
        <v>21</v>
      </c>
      <c r="M187" s="20" t="str">
        <f ca="1">VLOOKUP($L187,OFFSET([3]enemies!$A$1,0,0,COUNTA([3]enemies!$A:$A),MATCH(M$1,[3]enemies!$1:$1,0)-MATCH($L$1,[3]enemies!$1:$1,0)+1),MATCH(M$1,[3]enemies!$1:$1,0)-MATCH($L$1,[3]enemies!$1:$1,0)+1,FALSE)</f>
        <v>ヴェロキー</v>
      </c>
      <c r="N187" s="20" t="str">
        <f ca="1">VLOOKUP($L187,OFFSET([3]enemies!$A$1,0,0,COUNTA([3]enemies!$A:$A),MATCH(N$1,[3]enemies!$1:$1,0)-MATCH($L$1,[3]enemies!$1:$1,0)+1),MATCH(N$1,[3]enemies!$1:$1,0)-MATCH($L$1,[3]enemies!$1:$1,0)+1,FALSE)</f>
        <v>red</v>
      </c>
      <c r="O187" s="22" t="str">
        <f ca="1">VLOOKUP($L187,OFFSET([4]characters!$A$1,0,0,COUNTA([4]characters!$A:$A),MATCH(O$1,[4]characters!$1:$1,0)-MATCH($L$1,[4]characters!$1:$1,0)+1),MATCH(O$1,[4]characters!$1:$1,0)-MATCH($L$1,[4]characters!$1:$1,0)+1,FALSE)</f>
        <v>Drop1N</v>
      </c>
      <c r="P187" s="20" t="str">
        <f ca="1">VLOOKUP($L187,OFFSET([3]enemies!$A$1,0,0,COUNTA([3]enemies!$A:$A),MATCH(P$1,[3]enemies!$1:$1,0)-MATCH($L$1,[3]enemies!$1:$1,0)+1),MATCH(P$1,[3]enemies!$1:$1,0)-MATCH($L$1,[3]enemies!$1:$1,0)+1,FALSE)</f>
        <v>dragon</v>
      </c>
      <c r="Q187" s="20">
        <f ca="1">VLOOKUP($L187,OFFSET([3]enemies!$A$1,0,0,COUNTA([3]enemies!$A:$A),MATCH(Q$1,[3]enemies!$1:$1,0)-MATCH($L$1,[3]enemies!$1:$1,0)+1),MATCH(Q$1,[3]enemies!$1:$1,0)-MATCH($L$1,[3]enemies!$1:$1,0)+1,FALSE)</f>
        <v>15</v>
      </c>
      <c r="R187" s="6">
        <v>42</v>
      </c>
      <c r="S187" s="39">
        <v>1</v>
      </c>
      <c r="T187" s="39">
        <v>1</v>
      </c>
      <c r="U187" s="6">
        <v>0</v>
      </c>
      <c r="V187" s="5" t="str">
        <f ca="1">VLOOKUP($W187,OFFSET([5]enemy_skill_sets!$B$1,0,0,COUNTA([5]enemy_skill_sets!$B:$B),MATCH(M$1,[5]enemy_skill_sets!$1:$1,0)-MATCH($W$1,[5]enemy_skill_sets!$1:$1,0)+2),MATCH(M$1,[5]enemy_skill_sets!$1:$1,0)-MATCH($W$1,[5]enemy_skill_sets!$1:$1,0)+2,FALSE)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7" s="5">
        <f ca="1">VLOOKUP($L187,OFFSET([3]enemies!$A$1,0,0,COUNTA([3]enemies!$A:$A),MATCH(W$1,[3]enemies!$1:$1,0)-MATCH($L$1,[3]enemies!$1:$1,0)+1),MATCH(W$1,[3]enemies!$1:$1,0)-MATCH($L$1,[3]enemies!$1:$1,0)+1,FALSE)</f>
        <v>0</v>
      </c>
      <c r="X187" s="7">
        <v>0</v>
      </c>
      <c r="Y187" s="7">
        <v>100</v>
      </c>
      <c r="Z187" s="7">
        <v>0</v>
      </c>
      <c r="AA187" s="20">
        <f ca="1">VLOOKUP($L187,OFFSET([3]enemies!$A$1,0,0,COUNTA([3]enemies!$A:$A),MATCH(AA$1,[3]enemies!$1:$1,0)-MATCH($L$1,[3]enemies!$1:$1,0)+1),MATCH(AA$1,[3]enemies!$1:$1,0)-MATCH($L$1,[3]enemies!$1:$1,0)+1,FALSE)</f>
        <v>2</v>
      </c>
      <c r="AB187" s="24">
        <v>21</v>
      </c>
      <c r="AC187" s="5" t="str">
        <f ca="1">IFERROR(VLOOKUP($AB187,OFFSET([4]characters!$A$1,0,0,COUNTA([4]characters!$A:$A),MATCH(AC$1,[4]characters!$1:$1,0)-MATCH("character_id",[4]characters!$1:$1,0)+1),MATCH(AC$1,[4]characters!$1:$1,0)-MATCH("character_id",[4]characters!$1:$1,0)+1,FALSE),"")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87" s="5">
        <f ca="1">IFERROR(VLOOKUP($AB187,OFFSET([4]characters!$A$1,0,0,COUNTA([4]characters!$A:$A),MATCH(AD$1,[4]characters!$1:$1,0)-MATCH("character_id",[4]characters!$1:$1,0)+1),MATCH(AD$1,[4]characters!$1:$1,0)-MATCH("character_id",[4]characters!$1:$1,0)+1,FALSE),"")</f>
        <v>1</v>
      </c>
      <c r="AE187" s="5" t="str">
        <f ca="1">IFERROR(VLOOKUP($AB187,OFFSET([4]characters!$A$1,0,0,COUNTA([4]characters!$A:$A),MATCH(AE$1,[4]characters!$1:$1,0)-MATCH("character_id",[4]characters!$1:$1,0)+1),MATCH(AE$1,[4]characters!$1:$1,0)-MATCH("character_id",[4]characters!$1:$1,0)+1,FALSE),"")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87" s="8">
        <v>1</v>
      </c>
      <c r="AG187" s="27">
        <f t="shared" ca="1" si="100"/>
        <v>1</v>
      </c>
      <c r="AH187" s="9">
        <v>0</v>
      </c>
      <c r="AI187" s="8">
        <v>0</v>
      </c>
      <c r="AJ187" s="8">
        <v>0</v>
      </c>
      <c r="AK187" s="8">
        <v>0</v>
      </c>
      <c r="AL187" s="8">
        <v>0</v>
      </c>
      <c r="AM187" s="8">
        <v>1</v>
      </c>
      <c r="AN187" s="8">
        <v>1</v>
      </c>
    </row>
    <row r="188" spans="1:40" ht="21" customHeight="1" x14ac:dyDescent="0.15">
      <c r="A188" s="17" t="str">
        <f t="shared" ca="1" si="89"/>
        <v>11005_1-6/104&lt;lv40&gt;s2</v>
      </c>
      <c r="B188" s="8">
        <v>11005</v>
      </c>
      <c r="C188" s="25">
        <v>1</v>
      </c>
      <c r="D188" s="2" t="str">
        <f t="shared" si="90"/>
        <v>11005_1</v>
      </c>
      <c r="E188" s="5" t="str">
        <f ca="1">VLOOKUP($B188,OFFSET([2]quests!$A$1,0,0,COUNTA([2]quests!$A:$A),MATCH(E$1,[2]quests!$1:$1,0)-MATCH($B$1,[2]quests!$1:$1,0)+1),MATCH(E$1,[2]quests!$1:$1,0)-MATCH($B$1,[2]quests!$1:$1,0)+1,FALSE)</f>
        <v>【金曜限定】 帽子屋を追え！</v>
      </c>
      <c r="F188" s="5" t="str">
        <f ca="1">VLOOKUP($D188,OFFSET([2]stages!$A$1,0,0,COUNTA([2]stages!$A:$A),MATCH(F$1,[2]stages!$2:$2,0)-MATCH($D$1,[2]stages!$2:$2,0)+1),MATCH(F$1,[2]stages!$2:$2,0)-MATCH($D$1,[2]stages!$2:$2,0)+1,FALSE)</f>
        <v xml:space="preserve">【超級】火の帽子屋 </v>
      </c>
      <c r="G188" s="25">
        <v>6</v>
      </c>
      <c r="H188" s="16" t="str">
        <f t="shared" si="69"/>
        <v>11005_1-6</v>
      </c>
      <c r="I188" s="5">
        <f ca="1">VLOOKUP($H188,OFFSET(floors!$A$1,0,0,COUNTA(floors!$A:$A),MATCH(I$1,floors!$1:$1,0)-MATCH($H$1,floors!$1:$1,0)+1),MATCH(I$1,floors!$1:$1,0)-MATCH($H$1,floors!$1:$1,0)+1,FALSE)</f>
        <v>60</v>
      </c>
      <c r="J188" s="5">
        <f ca="1">VLOOKUP($H188,OFFSET(floors!$A$1,0,0,COUNTA(floors!$A:$A),MATCH(J$1,floors!$1:$1,0)-MATCH($H$1,floors!$1:$1,0)+1),MATCH(J$1,floors!$1:$1,0)-MATCH($H$1,floors!$1:$1,0)+1,FALSE)</f>
        <v>60</v>
      </c>
      <c r="K188" s="24" t="s">
        <v>197</v>
      </c>
      <c r="L188" s="24">
        <v>104</v>
      </c>
      <c r="M188" s="20" t="str">
        <f ca="1">VLOOKUP($L188,OFFSET([3]enemies!$A$1,0,0,COUNTA([3]enemies!$A:$A),MATCH(M$1,[3]enemies!$1:$1,0)-MATCH($L$1,[3]enemies!$1:$1,0)+1),MATCH(M$1,[3]enemies!$1:$1,0)-MATCH($L$1,[3]enemies!$1:$1,0)+1,FALSE)</f>
        <v>炎のマッドハッター</v>
      </c>
      <c r="N188" s="20" t="str">
        <f ca="1">VLOOKUP($L188,OFFSET([3]enemies!$A$1,0,0,COUNTA([3]enemies!$A:$A),MATCH(N$1,[3]enemies!$1:$1,0)-MATCH($L$1,[3]enemies!$1:$1,0)+1),MATCH(N$1,[3]enemies!$1:$1,0)-MATCH($L$1,[3]enemies!$1:$1,0)+1,FALSE)</f>
        <v>red</v>
      </c>
      <c r="O188" s="22" t="str">
        <f ca="1">VLOOKUP($L188,OFFSET([4]characters!$A$1,0,0,COUNTA([4]characters!$A:$A),MATCH(O$1,[4]characters!$1:$1,0)-MATCH($L$1,[4]characters!$1:$1,0)+1),MATCH(O$1,[4]characters!$1:$1,0)-MATCH($L$1,[4]characters!$1:$1,0)+1,FALSE)</f>
        <v>Material</v>
      </c>
      <c r="P188" s="20" t="str">
        <f ca="1">VLOOKUP($L188,OFFSET([3]enemies!$A$1,0,0,COUNTA([3]enemies!$A:$A),MATCH(P$1,[3]enemies!$1:$1,0)-MATCH($L$1,[3]enemies!$1:$1,0)+1),MATCH(P$1,[3]enemies!$1:$1,0)-MATCH($L$1,[3]enemies!$1:$1,0)+1,FALSE)</f>
        <v>unknown</v>
      </c>
      <c r="Q188" s="20">
        <f ca="1">VLOOKUP($L188,OFFSET([3]enemies!$A$1,0,0,COUNTA([3]enemies!$A:$A),MATCH(Q$1,[3]enemies!$1:$1,0)-MATCH($L$1,[3]enemies!$1:$1,0)+1),MATCH(Q$1,[3]enemies!$1:$1,0)-MATCH($L$1,[3]enemies!$1:$1,0)+1,FALSE)</f>
        <v>20</v>
      </c>
      <c r="R188" s="6">
        <v>40</v>
      </c>
      <c r="S188" s="39">
        <v>1.7</v>
      </c>
      <c r="T188" s="39">
        <v>1</v>
      </c>
      <c r="U188" s="6">
        <v>0</v>
      </c>
      <c r="V188" s="5" t="str">
        <f ca="1">VLOOKUP($W188,OFFSET([5]enemy_skill_sets!$B$1,0,0,COUNTA([5]enemy_skill_sets!$B:$B),MATCH(M$1,[5]enemy_skill_sets!$1:$1,0)-MATCH($W$1,[5]enemy_skill_sets!$1:$1,0)+2),MATCH(M$1,[5]enemy_skill_sets!$1:$1,0)-MATCH($W$1,[5]enemy_skill_sets!$1:$1,0)+2,FALSE)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8" s="5">
        <f ca="1">VLOOKUP($L188,OFFSET([3]enemies!$A$1,0,0,COUNTA([3]enemies!$A:$A),MATCH(W$1,[3]enemies!$1:$1,0)-MATCH($L$1,[3]enemies!$1:$1,0)+1),MATCH(W$1,[3]enemies!$1:$1,0)-MATCH($L$1,[3]enemies!$1:$1,0)+1,FALSE)</f>
        <v>0</v>
      </c>
      <c r="X188" s="7">
        <v>1</v>
      </c>
      <c r="Y188" s="7">
        <v>100</v>
      </c>
      <c r="Z188" s="7">
        <v>1</v>
      </c>
      <c r="AA188" s="20">
        <f ca="1">VLOOKUP($L188,OFFSET([3]enemies!$A$1,0,0,COUNTA([3]enemies!$A:$A),MATCH(AA$1,[3]enemies!$1:$1,0)-MATCH($L$1,[3]enemies!$1:$1,0)+1),MATCH(AA$1,[3]enemies!$1:$1,0)-MATCH($L$1,[3]enemies!$1:$1,0)+1,FALSE)</f>
        <v>2</v>
      </c>
      <c r="AB188" s="24">
        <v>104</v>
      </c>
      <c r="AC188" s="5" t="str">
        <f ca="1">IFERROR(VLOOKUP($AB188,OFFSET([4]characters!$A$1,0,0,COUNTA([4]characters!$A:$A),MATCH(AC$1,[4]characters!$1:$1,0)-MATCH("character_id",[4]characters!$1:$1,0)+1),MATCH(AC$1,[4]characters!$1:$1,0)-MATCH("character_id",[4]characters!$1:$1,0)+1,FALSE),"")</f>
        <v>炎のマッドハッター</v>
      </c>
      <c r="AD188" s="5">
        <f ca="1">IFERROR(VLOOKUP($AB188,OFFSET([4]characters!$A$1,0,0,COUNTA([4]characters!$A:$A),MATCH(AD$1,[4]characters!$1:$1,0)-MATCH("character_id",[4]characters!$1:$1,0)+1),MATCH(AD$1,[4]characters!$1:$1,0)-MATCH("character_id",[4]characters!$1:$1,0)+1,FALSE),"")</f>
        <v>5</v>
      </c>
      <c r="AE188" s="5" t="str">
        <f ca="1">IFERROR(VLOOKUP($AB188,OFFSET([4]characters!$A$1,0,0,COUNTA([4]characters!$A:$A),MATCH(AE$1,[4]characters!$1:$1,0)-MATCH("character_id",[4]characters!$1:$1,0)+1),MATCH(AE$1,[4]characters!$1:$1,0)-MATCH("character_id",[4]characters!$1:$1,0)+1,FALSE),"")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8" s="8">
        <v>1</v>
      </c>
      <c r="AG188" s="27">
        <f t="shared" ca="1" si="91"/>
        <v>5</v>
      </c>
      <c r="AH188" s="9">
        <v>100</v>
      </c>
      <c r="AI188" s="8">
        <v>0</v>
      </c>
      <c r="AJ188" s="8">
        <v>0</v>
      </c>
      <c r="AK188" s="8">
        <v>0</v>
      </c>
      <c r="AL188" s="8">
        <v>0</v>
      </c>
      <c r="AM188" s="8">
        <v>1</v>
      </c>
      <c r="AN188" s="8">
        <v>1</v>
      </c>
    </row>
    <row r="189" spans="1:40" ht="21" customHeight="1" x14ac:dyDescent="0.15">
      <c r="A189" s="17" t="str">
        <f t="shared" ca="1" si="89"/>
        <v>11005_1-6/22&lt;lv42&gt;s2</v>
      </c>
      <c r="B189" s="8">
        <v>11005</v>
      </c>
      <c r="C189" s="25">
        <v>1</v>
      </c>
      <c r="D189" s="2" t="str">
        <f t="shared" si="90"/>
        <v>11005_1</v>
      </c>
      <c r="E189" s="5" t="str">
        <f ca="1">VLOOKUP($B189,OFFSET([2]quests!$A$1,0,0,COUNTA([2]quests!$A:$A),MATCH(E$1,[2]quests!$1:$1,0)-MATCH($B$1,[2]quests!$1:$1,0)+1),MATCH(E$1,[2]quests!$1:$1,0)-MATCH($B$1,[2]quests!$1:$1,0)+1,FALSE)</f>
        <v>【金曜限定】 帽子屋を追え！</v>
      </c>
      <c r="F189" s="5" t="str">
        <f ca="1">VLOOKUP($D189,OFFSET([2]stages!$A$1,0,0,COUNTA([2]stages!$A:$A),MATCH(F$1,[2]stages!$2:$2,0)-MATCH($D$1,[2]stages!$2:$2,0)+1),MATCH(F$1,[2]stages!$2:$2,0)-MATCH($D$1,[2]stages!$2:$2,0)+1,FALSE)</f>
        <v xml:space="preserve">【超級】火の帽子屋 </v>
      </c>
      <c r="G189" s="25">
        <v>6</v>
      </c>
      <c r="H189" s="16" t="str">
        <f t="shared" si="69"/>
        <v>11005_1-6</v>
      </c>
      <c r="I189" s="5">
        <f ca="1">VLOOKUP($H189,OFFSET(floors!$A$1,0,0,COUNTA(floors!$A:$A),MATCH(I$1,floors!$1:$1,0)-MATCH($H$1,floors!$1:$1,0)+1),MATCH(I$1,floors!$1:$1,0)-MATCH($H$1,floors!$1:$1,0)+1,FALSE)</f>
        <v>60</v>
      </c>
      <c r="J189" s="5">
        <f ca="1">VLOOKUP($H189,OFFSET(floors!$A$1,0,0,COUNTA(floors!$A:$A),MATCH(J$1,floors!$1:$1,0)-MATCH($H$1,floors!$1:$1,0)+1),MATCH(J$1,floors!$1:$1,0)-MATCH($H$1,floors!$1:$1,0)+1,FALSE)</f>
        <v>60</v>
      </c>
      <c r="K189" s="24" t="s">
        <v>197</v>
      </c>
      <c r="L189" s="24">
        <v>22</v>
      </c>
      <c r="M189" s="20" t="str">
        <f ca="1">VLOOKUP($L189,OFFSET([3]enemies!$A$1,0,0,COUNTA([3]enemies!$A:$A),MATCH(M$1,[3]enemies!$1:$1,0)-MATCH($L$1,[3]enemies!$1:$1,0)+1),MATCH(M$1,[3]enemies!$1:$1,0)-MATCH($L$1,[3]enemies!$1:$1,0)+1,FALSE)</f>
        <v>突然変異ヴェロキー</v>
      </c>
      <c r="N189" s="20" t="str">
        <f ca="1">VLOOKUP($L189,OFFSET([3]enemies!$A$1,0,0,COUNTA([3]enemies!$A:$A),MATCH(N$1,[3]enemies!$1:$1,0)-MATCH($L$1,[3]enemies!$1:$1,0)+1),MATCH(N$1,[3]enemies!$1:$1,0)-MATCH($L$1,[3]enemies!$1:$1,0)+1,FALSE)</f>
        <v>red</v>
      </c>
      <c r="O189" s="22" t="str">
        <f ca="1">VLOOKUP($L189,OFFSET([4]characters!$A$1,0,0,COUNTA([4]characters!$A:$A),MATCH(O$1,[4]characters!$1:$1,0)-MATCH($L$1,[4]characters!$1:$1,0)+1),MATCH(O$1,[4]characters!$1:$1,0)-MATCH($L$1,[4]characters!$1:$1,0)+1,FALSE)</f>
        <v>Drop1N</v>
      </c>
      <c r="P189" s="20" t="str">
        <f ca="1">VLOOKUP($L189,OFFSET([3]enemies!$A$1,0,0,COUNTA([3]enemies!$A:$A),MATCH(P$1,[3]enemies!$1:$1,0)-MATCH($L$1,[3]enemies!$1:$1,0)+1),MATCH(P$1,[3]enemies!$1:$1,0)-MATCH($L$1,[3]enemies!$1:$1,0)+1,FALSE)</f>
        <v>dragon</v>
      </c>
      <c r="Q189" s="20">
        <f ca="1">VLOOKUP($L189,OFFSET([3]enemies!$A$1,0,0,COUNTA([3]enemies!$A:$A),MATCH(Q$1,[3]enemies!$1:$1,0)-MATCH($L$1,[3]enemies!$1:$1,0)+1),MATCH(Q$1,[3]enemies!$1:$1,0)-MATCH($L$1,[3]enemies!$1:$1,0)+1,FALSE)</f>
        <v>15</v>
      </c>
      <c r="R189" s="6">
        <v>42</v>
      </c>
      <c r="S189" s="39">
        <v>1</v>
      </c>
      <c r="T189" s="39">
        <v>1</v>
      </c>
      <c r="U189" s="6">
        <v>0</v>
      </c>
      <c r="V189" s="5" t="str">
        <f ca="1">VLOOKUP($W189,OFFSET([5]enemy_skill_sets!$B$1,0,0,COUNTA([5]enemy_skill_sets!$B:$B),MATCH(M$1,[5]enemy_skill_sets!$1:$1,0)-MATCH($W$1,[5]enemy_skill_sets!$1:$1,0)+2),MATCH(M$1,[5]enemy_skill_sets!$1:$1,0)-MATCH($W$1,[5]enemy_skill_sets!$1:$1,0)+2,FALSE)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9" s="5">
        <f ca="1">VLOOKUP($L189,OFFSET([3]enemies!$A$1,0,0,COUNTA([3]enemies!$A:$A),MATCH(W$1,[3]enemies!$1:$1,0)-MATCH($L$1,[3]enemies!$1:$1,0)+1),MATCH(W$1,[3]enemies!$1:$1,0)-MATCH($L$1,[3]enemies!$1:$1,0)+1,FALSE)</f>
        <v>0</v>
      </c>
      <c r="X189" s="7">
        <v>2</v>
      </c>
      <c r="Y189" s="7">
        <v>100</v>
      </c>
      <c r="Z189" s="7">
        <v>0</v>
      </c>
      <c r="AA189" s="20">
        <f ca="1">VLOOKUP($L189,OFFSET([3]enemies!$A$1,0,0,COUNTA([3]enemies!$A:$A),MATCH(AA$1,[3]enemies!$1:$1,0)-MATCH($L$1,[3]enemies!$1:$1,0)+1),MATCH(AA$1,[3]enemies!$1:$1,0)-MATCH($L$1,[3]enemies!$1:$1,0)+1,FALSE)</f>
        <v>2</v>
      </c>
      <c r="AB189" s="24">
        <v>21</v>
      </c>
      <c r="AC189" s="5" t="str">
        <f ca="1">IFERROR(VLOOKUP($AB189,OFFSET([4]characters!$A$1,0,0,COUNTA([4]characters!$A:$A),MATCH(AC$1,[4]characters!$1:$1,0)-MATCH("character_id",[4]characters!$1:$1,0)+1),MATCH(AC$1,[4]characters!$1:$1,0)-MATCH("character_id",[4]characters!$1:$1,0)+1,FALSE),"")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189" s="5">
        <f ca="1">IFERROR(VLOOKUP($AB189,OFFSET([4]characters!$A$1,0,0,COUNTA([4]characters!$A:$A),MATCH(AD$1,[4]characters!$1:$1,0)-MATCH("character_id",[4]characters!$1:$1,0)+1),MATCH(AD$1,[4]characters!$1:$1,0)-MATCH("character_id",[4]characters!$1:$1,0)+1,FALSE),"")</f>
        <v>1</v>
      </c>
      <c r="AE189" s="5" t="str">
        <f ca="1">IFERROR(VLOOKUP($AB189,OFFSET([4]characters!$A$1,0,0,COUNTA([4]characters!$A:$A),MATCH(AE$1,[4]characters!$1:$1,0)-MATCH("character_id",[4]characters!$1:$1,0)+1),MATCH(AE$1,[4]characters!$1:$1,0)-MATCH("character_id",[4]characters!$1:$1,0)+1,FALSE),"")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89" s="8">
        <v>1</v>
      </c>
      <c r="AG189" s="27">
        <f t="shared" ca="1" si="91"/>
        <v>1</v>
      </c>
      <c r="AH189" s="9">
        <v>0</v>
      </c>
      <c r="AI189" s="8">
        <v>0</v>
      </c>
      <c r="AJ189" s="8">
        <v>0</v>
      </c>
      <c r="AK189" s="8">
        <v>0</v>
      </c>
      <c r="AL189" s="8">
        <v>0</v>
      </c>
      <c r="AM189" s="8">
        <v>1</v>
      </c>
      <c r="AN189" s="8">
        <v>1</v>
      </c>
    </row>
    <row r="190" spans="1:40" ht="21" customHeight="1" x14ac:dyDescent="0.15">
      <c r="A190" s="17" t="str">
        <f t="shared" ca="1" si="89"/>
        <v>11005_2-1/35&lt;lv40&gt;s4</v>
      </c>
      <c r="B190" s="8">
        <v>11005</v>
      </c>
      <c r="C190" s="25">
        <v>2</v>
      </c>
      <c r="D190" s="2" t="str">
        <f t="shared" si="90"/>
        <v>11005_2</v>
      </c>
      <c r="E190" s="5" t="str">
        <f ca="1">VLOOKUP($B190,OFFSET([2]quests!$A$1,0,0,COUNTA([2]quests!$A:$A),MATCH(E$1,[2]quests!$1:$1,0)-MATCH($B$1,[2]quests!$1:$1,0)+1),MATCH(E$1,[2]quests!$1:$1,0)-MATCH($B$1,[2]quests!$1:$1,0)+1,FALSE)</f>
        <v>【金曜限定】 帽子屋を追え！</v>
      </c>
      <c r="F190" s="5" t="str">
        <f ca="1">VLOOKUP($D190,OFFSET([2]stages!$A$1,0,0,COUNTA([2]stages!$A:$A),MATCH(F$1,[2]stages!$2:$2,0)-MATCH($D$1,[2]stages!$2:$2,0)+1),MATCH(F$1,[2]stages!$2:$2,0)-MATCH($D$1,[2]stages!$2:$2,0)+1,FALSE)</f>
        <v xml:space="preserve">【超級】樹の帽子屋 </v>
      </c>
      <c r="G190" s="25">
        <v>1</v>
      </c>
      <c r="H190" s="16" t="str">
        <f t="shared" si="69"/>
        <v>11005_2-1</v>
      </c>
      <c r="I190" s="5">
        <f ca="1">VLOOKUP($H190,OFFSET(floors!$A$1,0,0,COUNTA(floors!$A:$A),MATCH(I$1,floors!$1:$1,0)-MATCH($H$1,floors!$1:$1,0)+1),MATCH(I$1,floors!$1:$1,0)-MATCH($H$1,floors!$1:$1,0)+1,FALSE)</f>
        <v>30</v>
      </c>
      <c r="J190" s="5">
        <f ca="1">VLOOKUP($H190,OFFSET(floors!$A$1,0,0,COUNTA(floors!$A:$A),MATCH(J$1,floors!$1:$1,0)-MATCH($H$1,floors!$1:$1,0)+1),MATCH(J$1,floors!$1:$1,0)-MATCH($H$1,floors!$1:$1,0)+1,FALSE)</f>
        <v>45</v>
      </c>
      <c r="K190" s="24" t="s">
        <v>197</v>
      </c>
      <c r="L190" s="24">
        <v>35</v>
      </c>
      <c r="M190" s="20" t="str">
        <f ca="1">VLOOKUP($L190,OFFSET([3]enemies!$A$1,0,0,COUNTA([3]enemies!$A:$A),MATCH(M$1,[3]enemies!$1:$1,0)-MATCH($L$1,[3]enemies!$1:$1,0)+1),MATCH(M$1,[3]enemies!$1:$1,0)-MATCH($L$1,[3]enemies!$1:$1,0)+1,FALSE)</f>
        <v>F2</v>
      </c>
      <c r="N190" s="20" t="str">
        <f ca="1">VLOOKUP($L190,OFFSET([3]enemies!$A$1,0,0,COUNTA([3]enemies!$A:$A),MATCH(N$1,[3]enemies!$1:$1,0)-MATCH($L$1,[3]enemies!$1:$1,0)+1),MATCH(N$1,[3]enemies!$1:$1,0)-MATCH($L$1,[3]enemies!$1:$1,0)+1,FALSE)</f>
        <v>green</v>
      </c>
      <c r="O190" s="22" t="str">
        <f ca="1">VLOOKUP($L190,OFFSET([4]characters!$A$1,0,0,COUNTA([4]characters!$A:$A),MATCH(O$1,[4]characters!$1:$1,0)-MATCH($L$1,[4]characters!$1:$1,0)+1),MATCH(O$1,[4]characters!$1:$1,0)-MATCH($L$1,[4]characters!$1:$1,0)+1,FALSE)</f>
        <v>Drop1S</v>
      </c>
      <c r="P190" s="20" t="str">
        <f ca="1">VLOOKUP($L190,OFFSET([3]enemies!$A$1,0,0,COUNTA([3]enemies!$A:$A),MATCH(P$1,[3]enemies!$1:$1,0)-MATCH($L$1,[3]enemies!$1:$1,0)+1),MATCH(P$1,[3]enemies!$1:$1,0)-MATCH($L$1,[3]enemies!$1:$1,0)+1,FALSE)</f>
        <v>machine</v>
      </c>
      <c r="Q190" s="20">
        <f ca="1">VLOOKUP($L190,OFFSET([3]enemies!$A$1,0,0,COUNTA([3]enemies!$A:$A),MATCH(Q$1,[3]enemies!$1:$1,0)-MATCH($L$1,[3]enemies!$1:$1,0)+1),MATCH(Q$1,[3]enemies!$1:$1,0)-MATCH($L$1,[3]enemies!$1:$1,0)+1,FALSE)</f>
        <v>15</v>
      </c>
      <c r="R190" s="6">
        <v>40</v>
      </c>
      <c r="S190" s="39">
        <v>1.3</v>
      </c>
      <c r="T190" s="39">
        <v>0.8</v>
      </c>
      <c r="U190" s="6">
        <v>0</v>
      </c>
      <c r="V190" s="5" t="str">
        <f ca="1">VLOOKUP($W190,OFFSET([5]enemy_skill_sets!$B$1,0,0,COUNTA([5]enemy_skill_sets!$B:$B),MATCH(M$1,[5]enemy_skill_sets!$1:$1,0)-MATCH($W$1,[5]enemy_skill_sets!$1:$1,0)+2),MATCH(M$1,[5]enemy_skill_sets!$1:$1,0)-MATCH($W$1,[5]enemy_skill_sets!$1:$1,0)+2,FALSE)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90" s="5">
        <f ca="1">VLOOKUP($L190,OFFSET([3]enemies!$A$1,0,0,COUNTA([3]enemies!$A:$A),MATCH(W$1,[3]enemies!$1:$1,0)-MATCH($L$1,[3]enemies!$1:$1,0)+1),MATCH(W$1,[3]enemies!$1:$1,0)-MATCH($L$1,[3]enemies!$1:$1,0)+1,FALSE)</f>
        <v>35</v>
      </c>
      <c r="X190" s="7">
        <v>0</v>
      </c>
      <c r="Y190" s="7">
        <v>100</v>
      </c>
      <c r="Z190" s="7">
        <v>0</v>
      </c>
      <c r="AA190" s="20">
        <f ca="1">VLOOKUP($L190,OFFSET([3]enemies!$A$1,0,0,COUNTA([3]enemies!$A:$A),MATCH(AA$1,[3]enemies!$1:$1,0)-MATCH($L$1,[3]enemies!$1:$1,0)+1),MATCH(AA$1,[3]enemies!$1:$1,0)-MATCH($L$1,[3]enemies!$1:$1,0)+1,FALSE)</f>
        <v>4</v>
      </c>
      <c r="AB190" s="24">
        <v>35</v>
      </c>
      <c r="AC190" s="5" t="str">
        <f ca="1">IFERROR(VLOOKUP($AB190,OFFSET([4]characters!$A$1,0,0,COUNTA([4]characters!$A:$A),MATCH(AC$1,[4]characters!$1:$1,0)-MATCH("character_id",[4]characters!$1:$1,0)+1),MATCH(AC$1,[4]characters!$1:$1,0)-MATCH("character_id",[4]characters!$1:$1,0)+1,FALSE),"")</f>
        <v>F2</v>
      </c>
      <c r="AD190" s="5">
        <f ca="1">IFERROR(VLOOKUP($AB190,OFFSET([4]characters!$A$1,0,0,COUNTA([4]characters!$A:$A),MATCH(AD$1,[4]characters!$1:$1,0)-MATCH("character_id",[4]characters!$1:$1,0)+1),MATCH(AD$1,[4]characters!$1:$1,0)-MATCH("character_id",[4]characters!$1:$1,0)+1,FALSE),"")</f>
        <v>2</v>
      </c>
      <c r="AE190" s="5" t="str">
        <f ca="1">IFERROR(VLOOKUP($AB190,OFFSET([4]characters!$A$1,0,0,COUNTA([4]characters!$A:$A),MATCH(AE$1,[4]characters!$1:$1,0)-MATCH("character_id",[4]characters!$1:$1,0)+1),MATCH(AE$1,[4]characters!$1:$1,0)-MATCH("character_id",[4]characters!$1:$1,0)+1,FALSE),"")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90" s="8">
        <v>1</v>
      </c>
      <c r="AG190" s="27">
        <f t="shared" ca="1" si="91"/>
        <v>2</v>
      </c>
      <c r="AH190" s="9">
        <v>0</v>
      </c>
      <c r="AI190" s="8">
        <v>0</v>
      </c>
      <c r="AJ190" s="8">
        <v>0</v>
      </c>
      <c r="AK190" s="8">
        <v>0</v>
      </c>
      <c r="AL190" s="8">
        <v>0</v>
      </c>
      <c r="AM190" s="8">
        <v>1</v>
      </c>
      <c r="AN190" s="8">
        <v>1</v>
      </c>
    </row>
    <row r="191" spans="1:40" ht="21" customHeight="1" x14ac:dyDescent="0.15">
      <c r="A191" s="17" t="str">
        <f t="shared" ca="1" si="89"/>
        <v>11005_2-1/27&lt;lv42&gt;s1</v>
      </c>
      <c r="B191" s="8">
        <v>11005</v>
      </c>
      <c r="C191" s="25">
        <v>2</v>
      </c>
      <c r="D191" s="2" t="str">
        <f t="shared" si="90"/>
        <v>11005_2</v>
      </c>
      <c r="E191" s="5" t="str">
        <f ca="1">VLOOKUP($B191,OFFSET([2]quests!$A$1,0,0,COUNTA([2]quests!$A:$A),MATCH(E$1,[2]quests!$1:$1,0)-MATCH($B$1,[2]quests!$1:$1,0)+1),MATCH(E$1,[2]quests!$1:$1,0)-MATCH($B$1,[2]quests!$1:$1,0)+1,FALSE)</f>
        <v>【金曜限定】 帽子屋を追え！</v>
      </c>
      <c r="F191" s="5" t="str">
        <f ca="1">VLOOKUP($D191,OFFSET([2]stages!$A$1,0,0,COUNTA([2]stages!$A:$A),MATCH(F$1,[2]stages!$2:$2,0)-MATCH($D$1,[2]stages!$2:$2,0)+1),MATCH(F$1,[2]stages!$2:$2,0)-MATCH($D$1,[2]stages!$2:$2,0)+1,FALSE)</f>
        <v xml:space="preserve">【超級】樹の帽子屋 </v>
      </c>
      <c r="G191" s="25">
        <v>1</v>
      </c>
      <c r="H191" s="16" t="str">
        <f t="shared" si="69"/>
        <v>11005_2-1</v>
      </c>
      <c r="I191" s="5">
        <f ca="1">VLOOKUP($H191,OFFSET(floors!$A$1,0,0,COUNTA(floors!$A:$A),MATCH(I$1,floors!$1:$1,0)-MATCH($H$1,floors!$1:$1,0)+1),MATCH(I$1,floors!$1:$1,0)-MATCH($H$1,floors!$1:$1,0)+1,FALSE)</f>
        <v>30</v>
      </c>
      <c r="J191" s="5">
        <f ca="1">VLOOKUP($H191,OFFSET(floors!$A$1,0,0,COUNTA(floors!$A:$A),MATCH(J$1,floors!$1:$1,0)-MATCH($H$1,floors!$1:$1,0)+1),MATCH(J$1,floors!$1:$1,0)-MATCH($H$1,floors!$1:$1,0)+1,FALSE)</f>
        <v>45</v>
      </c>
      <c r="K191" s="24" t="s">
        <v>197</v>
      </c>
      <c r="L191" s="24">
        <v>27</v>
      </c>
      <c r="M191" s="20" t="str">
        <f ca="1">VLOOKUP($L191,OFFSET([3]enemies!$A$1,0,0,COUNTA([3]enemies!$A:$A),MATCH(M$1,[3]enemies!$1:$1,0)-MATCH($L$1,[3]enemies!$1:$1,0)+1),MATCH(M$1,[3]enemies!$1:$1,0)-MATCH($L$1,[3]enemies!$1:$1,0)+1,FALSE)</f>
        <v>パトライン</v>
      </c>
      <c r="N191" s="20" t="str">
        <f ca="1">VLOOKUP($L191,OFFSET([3]enemies!$A$1,0,0,COUNTA([3]enemies!$A:$A),MATCH(N$1,[3]enemies!$1:$1,0)-MATCH($L$1,[3]enemies!$1:$1,0)+1),MATCH(N$1,[3]enemies!$1:$1,0)-MATCH($L$1,[3]enemies!$1:$1,0)+1,FALSE)</f>
        <v>green</v>
      </c>
      <c r="O191" s="22" t="str">
        <f ca="1">VLOOKUP($L191,OFFSET([4]characters!$A$1,0,0,COUNTA([4]characters!$A:$A),MATCH(O$1,[4]characters!$1:$1,0)-MATCH($L$1,[4]characters!$1:$1,0)+1),MATCH(O$1,[4]characters!$1:$1,0)-MATCH($L$1,[4]characters!$1:$1,0)+1,FALSE)</f>
        <v>Drop1N</v>
      </c>
      <c r="P191" s="20" t="str">
        <f ca="1">VLOOKUP($L191,OFFSET([3]enemies!$A$1,0,0,COUNTA([3]enemies!$A:$A),MATCH(P$1,[3]enemies!$1:$1,0)-MATCH($L$1,[3]enemies!$1:$1,0)+1),MATCH(P$1,[3]enemies!$1:$1,0)-MATCH($L$1,[3]enemies!$1:$1,0)+1,FALSE)</f>
        <v>machine</v>
      </c>
      <c r="Q191" s="20">
        <f ca="1">VLOOKUP($L191,OFFSET([3]enemies!$A$1,0,0,COUNTA([3]enemies!$A:$A),MATCH(Q$1,[3]enemies!$1:$1,0)-MATCH($L$1,[3]enemies!$1:$1,0)+1),MATCH(Q$1,[3]enemies!$1:$1,0)-MATCH($L$1,[3]enemies!$1:$1,0)+1,FALSE)</f>
        <v>15</v>
      </c>
      <c r="R191" s="6">
        <v>42</v>
      </c>
      <c r="S191" s="39">
        <v>1.2</v>
      </c>
      <c r="T191" s="39">
        <v>1</v>
      </c>
      <c r="U191" s="6">
        <v>0</v>
      </c>
      <c r="V191" s="5" t="str">
        <f ca="1">VLOOKUP($W191,OFFSET([5]enemy_skill_sets!$B$1,0,0,COUNTA([5]enemy_skill_sets!$B:$B),MATCH(M$1,[5]enemy_skill_sets!$1:$1,0)-MATCH($W$1,[5]enemy_skill_sets!$1:$1,0)+2),MATCH(M$1,[5]enemy_skill_sets!$1:$1,0)-MATCH($W$1,[5]enemy_skill_sets!$1:$1,0)+2,FALSE)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1" s="5">
        <f ca="1">VLOOKUP($L191,OFFSET([3]enemies!$A$1,0,0,COUNTA([3]enemies!$A:$A),MATCH(W$1,[3]enemies!$1:$1,0)-MATCH($L$1,[3]enemies!$1:$1,0)+1),MATCH(W$1,[3]enemies!$1:$1,0)-MATCH($L$1,[3]enemies!$1:$1,0)+1,FALSE)</f>
        <v>0</v>
      </c>
      <c r="X191" s="7">
        <v>0</v>
      </c>
      <c r="Y191" s="7">
        <v>100</v>
      </c>
      <c r="Z191" s="7">
        <v>0</v>
      </c>
      <c r="AA191" s="20">
        <f ca="1">VLOOKUP($L191,OFFSET([3]enemies!$A$1,0,0,COUNTA([3]enemies!$A:$A),MATCH(AA$1,[3]enemies!$1:$1,0)-MATCH($L$1,[3]enemies!$1:$1,0)+1),MATCH(AA$1,[3]enemies!$1:$1,0)-MATCH($L$1,[3]enemies!$1:$1,0)+1,FALSE)</f>
        <v>1</v>
      </c>
      <c r="AB191" s="24">
        <v>27</v>
      </c>
      <c r="AC191" s="5" t="str">
        <f ca="1">IFERROR(VLOOKUP($AB191,OFFSET([4]characters!$A$1,0,0,COUNTA([4]characters!$A:$A),MATCH(AC$1,[4]characters!$1:$1,0)-MATCH("character_id",[4]characters!$1:$1,0)+1),MATCH(AC$1,[4]characters!$1:$1,0)-MATCH("character_id",[4]characters!$1:$1,0)+1,FALSE),"")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91" s="5">
        <f ca="1">IFERROR(VLOOKUP($AB191,OFFSET([4]characters!$A$1,0,0,COUNTA([4]characters!$A:$A),MATCH(AD$1,[4]characters!$1:$1,0)-MATCH("character_id",[4]characters!$1:$1,0)+1),MATCH(AD$1,[4]characters!$1:$1,0)-MATCH("character_id",[4]characters!$1:$1,0)+1,FALSE),"")</f>
        <v>1</v>
      </c>
      <c r="AE191" s="5" t="str">
        <f ca="1">IFERROR(VLOOKUP($AB191,OFFSET([4]characters!$A$1,0,0,COUNTA([4]characters!$A:$A),MATCH(AE$1,[4]characters!$1:$1,0)-MATCH("character_id",[4]characters!$1:$1,0)+1),MATCH(AE$1,[4]characters!$1:$1,0)-MATCH("character_id",[4]characters!$1:$1,0)+1,FALSE),"")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91" s="8">
        <v>1</v>
      </c>
      <c r="AG191" s="27">
        <f t="shared" ca="1" si="91"/>
        <v>1</v>
      </c>
      <c r="AH191" s="9">
        <v>0</v>
      </c>
      <c r="AI191" s="8">
        <v>0</v>
      </c>
      <c r="AJ191" s="8">
        <v>0</v>
      </c>
      <c r="AK191" s="8">
        <v>0</v>
      </c>
      <c r="AL191" s="8">
        <v>0</v>
      </c>
      <c r="AM191" s="8">
        <v>1</v>
      </c>
      <c r="AN191" s="8">
        <v>1</v>
      </c>
    </row>
    <row r="192" spans="1:40" ht="21" customHeight="1" x14ac:dyDescent="0.15">
      <c r="A192" s="17" t="str">
        <f t="shared" ref="A192:A197" ca="1" si="101">B192&amp;"_"&amp;C192&amp;"-"&amp;G192&amp;"/"&amp;L192&amp;"&lt;lv"&amp;R192&amp;"&gt;s"&amp;AA192</f>
        <v>11005_2-2/35&lt;lv40&gt;s4</v>
      </c>
      <c r="B192" s="8">
        <v>11005</v>
      </c>
      <c r="C192" s="25">
        <v>2</v>
      </c>
      <c r="D192" s="2" t="str">
        <f t="shared" ref="D192:D197" si="102">B192&amp;"_"&amp;C192</f>
        <v>11005_2</v>
      </c>
      <c r="E192" s="5" t="str">
        <f ca="1">VLOOKUP($B192,OFFSET([2]quests!$A$1,0,0,COUNTA([2]quests!$A:$A),MATCH(E$1,[2]quests!$1:$1,0)-MATCH($B$1,[2]quests!$1:$1,0)+1),MATCH(E$1,[2]quests!$1:$1,0)-MATCH($B$1,[2]quests!$1:$1,0)+1,FALSE)</f>
        <v>【金曜限定】 帽子屋を追え！</v>
      </c>
      <c r="F192" s="5" t="str">
        <f ca="1">VLOOKUP($D192,OFFSET([2]stages!$A$1,0,0,COUNTA([2]stages!$A:$A),MATCH(F$1,[2]stages!$2:$2,0)-MATCH($D$1,[2]stages!$2:$2,0)+1),MATCH(F$1,[2]stages!$2:$2,0)-MATCH($D$1,[2]stages!$2:$2,0)+1,FALSE)</f>
        <v xml:space="preserve">【超級】樹の帽子屋 </v>
      </c>
      <c r="G192" s="25">
        <v>2</v>
      </c>
      <c r="H192" s="16" t="str">
        <f t="shared" si="69"/>
        <v>11005_2-2</v>
      </c>
      <c r="I192" s="5">
        <f ca="1">VLOOKUP($H192,OFFSET(floors!$A$1,0,0,COUNTA(floors!$A:$A),MATCH(I$1,floors!$1:$1,0)-MATCH($H$1,floors!$1:$1,0)+1),MATCH(I$1,floors!$1:$1,0)-MATCH($H$1,floors!$1:$1,0)+1,FALSE)</f>
        <v>45</v>
      </c>
      <c r="J192" s="5">
        <f ca="1">VLOOKUP($H192,OFFSET(floors!$A$1,0,0,COUNTA(floors!$A:$A),MATCH(J$1,floors!$1:$1,0)-MATCH($H$1,floors!$1:$1,0)+1),MATCH(J$1,floors!$1:$1,0)-MATCH($H$1,floors!$1:$1,0)+1,FALSE)</f>
        <v>60</v>
      </c>
      <c r="K192" s="24" t="s">
        <v>197</v>
      </c>
      <c r="L192" s="24">
        <v>35</v>
      </c>
      <c r="M192" s="20" t="str">
        <f ca="1">VLOOKUP($L192,OFFSET([3]enemies!$A$1,0,0,COUNTA([3]enemies!$A:$A),MATCH(M$1,[3]enemies!$1:$1,0)-MATCH($L$1,[3]enemies!$1:$1,0)+1),MATCH(M$1,[3]enemies!$1:$1,0)-MATCH($L$1,[3]enemies!$1:$1,0)+1,FALSE)</f>
        <v>F2</v>
      </c>
      <c r="N192" s="20" t="str">
        <f ca="1">VLOOKUP($L192,OFFSET([3]enemies!$A$1,0,0,COUNTA([3]enemies!$A:$A),MATCH(N$1,[3]enemies!$1:$1,0)-MATCH($L$1,[3]enemies!$1:$1,0)+1),MATCH(N$1,[3]enemies!$1:$1,0)-MATCH($L$1,[3]enemies!$1:$1,0)+1,FALSE)</f>
        <v>green</v>
      </c>
      <c r="O192" s="22" t="str">
        <f ca="1">VLOOKUP($L192,OFFSET([4]characters!$A$1,0,0,COUNTA([4]characters!$A:$A),MATCH(O$1,[4]characters!$1:$1,0)-MATCH($L$1,[4]characters!$1:$1,0)+1),MATCH(O$1,[4]characters!$1:$1,0)-MATCH($L$1,[4]characters!$1:$1,0)+1,FALSE)</f>
        <v>Drop1S</v>
      </c>
      <c r="P192" s="20" t="str">
        <f ca="1">VLOOKUP($L192,OFFSET([3]enemies!$A$1,0,0,COUNTA([3]enemies!$A:$A),MATCH(P$1,[3]enemies!$1:$1,0)-MATCH($L$1,[3]enemies!$1:$1,0)+1),MATCH(P$1,[3]enemies!$1:$1,0)-MATCH($L$1,[3]enemies!$1:$1,0)+1,FALSE)</f>
        <v>machine</v>
      </c>
      <c r="Q192" s="20">
        <f ca="1">VLOOKUP($L192,OFFSET([3]enemies!$A$1,0,0,COUNTA([3]enemies!$A:$A),MATCH(Q$1,[3]enemies!$1:$1,0)-MATCH($L$1,[3]enemies!$1:$1,0)+1),MATCH(Q$1,[3]enemies!$1:$1,0)-MATCH($L$1,[3]enemies!$1:$1,0)+1,FALSE)</f>
        <v>15</v>
      </c>
      <c r="R192" s="6">
        <v>40</v>
      </c>
      <c r="S192" s="39">
        <v>1.3</v>
      </c>
      <c r="T192" s="39">
        <v>0.8</v>
      </c>
      <c r="U192" s="6">
        <v>0</v>
      </c>
      <c r="V192" s="5" t="str">
        <f ca="1">VLOOKUP($W192,OFFSET([5]enemy_skill_sets!$B$1,0,0,COUNTA([5]enemy_skill_sets!$B:$B),MATCH(M$1,[5]enemy_skill_sets!$1:$1,0)-MATCH($W$1,[5]enemy_skill_sets!$1:$1,0)+2),MATCH(M$1,[5]enemy_skill_sets!$1:$1,0)-MATCH($W$1,[5]enemy_skill_sets!$1:$1,0)+2,FALSE)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92" s="5">
        <f ca="1">VLOOKUP($L192,OFFSET([3]enemies!$A$1,0,0,COUNTA([3]enemies!$A:$A),MATCH(W$1,[3]enemies!$1:$1,0)-MATCH($L$1,[3]enemies!$1:$1,0)+1),MATCH(W$1,[3]enemies!$1:$1,0)-MATCH($L$1,[3]enemies!$1:$1,0)+1,FALSE)</f>
        <v>35</v>
      </c>
      <c r="X192" s="7">
        <v>0</v>
      </c>
      <c r="Y192" s="7">
        <v>100</v>
      </c>
      <c r="Z192" s="7">
        <v>0</v>
      </c>
      <c r="AA192" s="20">
        <f ca="1">VLOOKUP($L192,OFFSET([3]enemies!$A$1,0,0,COUNTA([3]enemies!$A:$A),MATCH(AA$1,[3]enemies!$1:$1,0)-MATCH($L$1,[3]enemies!$1:$1,0)+1),MATCH(AA$1,[3]enemies!$1:$1,0)-MATCH($L$1,[3]enemies!$1:$1,0)+1,FALSE)</f>
        <v>4</v>
      </c>
      <c r="AB192" s="24">
        <v>35</v>
      </c>
      <c r="AC192" s="5" t="str">
        <f ca="1">IFERROR(VLOOKUP($AB192,OFFSET([4]characters!$A$1,0,0,COUNTA([4]characters!$A:$A),MATCH(AC$1,[4]characters!$1:$1,0)-MATCH("character_id",[4]characters!$1:$1,0)+1),MATCH(AC$1,[4]characters!$1:$1,0)-MATCH("character_id",[4]characters!$1:$1,0)+1,FALSE),"")</f>
        <v>F2</v>
      </c>
      <c r="AD192" s="5">
        <f ca="1">IFERROR(VLOOKUP($AB192,OFFSET([4]characters!$A$1,0,0,COUNTA([4]characters!$A:$A),MATCH(AD$1,[4]characters!$1:$1,0)-MATCH("character_id",[4]characters!$1:$1,0)+1),MATCH(AD$1,[4]characters!$1:$1,0)-MATCH("character_id",[4]characters!$1:$1,0)+1,FALSE),"")</f>
        <v>2</v>
      </c>
      <c r="AE192" s="5" t="str">
        <f ca="1">IFERROR(VLOOKUP($AB192,OFFSET([4]characters!$A$1,0,0,COUNTA([4]characters!$A:$A),MATCH(AE$1,[4]characters!$1:$1,0)-MATCH("character_id",[4]characters!$1:$1,0)+1),MATCH(AE$1,[4]characters!$1:$1,0)-MATCH("character_id",[4]characters!$1:$1,0)+1,FALSE),"")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92" s="8">
        <v>1</v>
      </c>
      <c r="AG192" s="27">
        <f t="shared" ref="AG192:AG197" ca="1" si="103">AD192</f>
        <v>2</v>
      </c>
      <c r="AH192" s="9">
        <v>0</v>
      </c>
      <c r="AI192" s="8">
        <v>0</v>
      </c>
      <c r="AJ192" s="8">
        <v>0</v>
      </c>
      <c r="AK192" s="8">
        <v>0</v>
      </c>
      <c r="AL192" s="8">
        <v>0</v>
      </c>
      <c r="AM192" s="8">
        <v>1</v>
      </c>
      <c r="AN192" s="8">
        <v>1</v>
      </c>
    </row>
    <row r="193" spans="1:40" ht="21" customHeight="1" x14ac:dyDescent="0.15">
      <c r="A193" s="17" t="str">
        <f t="shared" ca="1" si="101"/>
        <v>11005_2-2/27&lt;lv42&gt;s1</v>
      </c>
      <c r="B193" s="8">
        <v>11005</v>
      </c>
      <c r="C193" s="25">
        <v>2</v>
      </c>
      <c r="D193" s="2" t="str">
        <f t="shared" si="102"/>
        <v>11005_2</v>
      </c>
      <c r="E193" s="5" t="str">
        <f ca="1">VLOOKUP($B193,OFFSET([2]quests!$A$1,0,0,COUNTA([2]quests!$A:$A),MATCH(E$1,[2]quests!$1:$1,0)-MATCH($B$1,[2]quests!$1:$1,0)+1),MATCH(E$1,[2]quests!$1:$1,0)-MATCH($B$1,[2]quests!$1:$1,0)+1,FALSE)</f>
        <v>【金曜限定】 帽子屋を追え！</v>
      </c>
      <c r="F193" s="5" t="str">
        <f ca="1">VLOOKUP($D193,OFFSET([2]stages!$A$1,0,0,COUNTA([2]stages!$A:$A),MATCH(F$1,[2]stages!$2:$2,0)-MATCH($D$1,[2]stages!$2:$2,0)+1),MATCH(F$1,[2]stages!$2:$2,0)-MATCH($D$1,[2]stages!$2:$2,0)+1,FALSE)</f>
        <v xml:space="preserve">【超級】樹の帽子屋 </v>
      </c>
      <c r="G193" s="25">
        <v>2</v>
      </c>
      <c r="H193" s="16" t="str">
        <f t="shared" si="69"/>
        <v>11005_2-2</v>
      </c>
      <c r="I193" s="5">
        <f ca="1">VLOOKUP($H193,OFFSET(floors!$A$1,0,0,COUNTA(floors!$A:$A),MATCH(I$1,floors!$1:$1,0)-MATCH($H$1,floors!$1:$1,0)+1),MATCH(I$1,floors!$1:$1,0)-MATCH($H$1,floors!$1:$1,0)+1,FALSE)</f>
        <v>45</v>
      </c>
      <c r="J193" s="5">
        <f ca="1">VLOOKUP($H193,OFFSET(floors!$A$1,0,0,COUNTA(floors!$A:$A),MATCH(J$1,floors!$1:$1,0)-MATCH($H$1,floors!$1:$1,0)+1),MATCH(J$1,floors!$1:$1,0)-MATCH($H$1,floors!$1:$1,0)+1,FALSE)</f>
        <v>60</v>
      </c>
      <c r="K193" s="24" t="s">
        <v>197</v>
      </c>
      <c r="L193" s="24">
        <v>27</v>
      </c>
      <c r="M193" s="20" t="str">
        <f ca="1">VLOOKUP($L193,OFFSET([3]enemies!$A$1,0,0,COUNTA([3]enemies!$A:$A),MATCH(M$1,[3]enemies!$1:$1,0)-MATCH($L$1,[3]enemies!$1:$1,0)+1),MATCH(M$1,[3]enemies!$1:$1,0)-MATCH($L$1,[3]enemies!$1:$1,0)+1,FALSE)</f>
        <v>パトライン</v>
      </c>
      <c r="N193" s="20" t="str">
        <f ca="1">VLOOKUP($L193,OFFSET([3]enemies!$A$1,0,0,COUNTA([3]enemies!$A:$A),MATCH(N$1,[3]enemies!$1:$1,0)-MATCH($L$1,[3]enemies!$1:$1,0)+1),MATCH(N$1,[3]enemies!$1:$1,0)-MATCH($L$1,[3]enemies!$1:$1,0)+1,FALSE)</f>
        <v>green</v>
      </c>
      <c r="O193" s="22" t="str">
        <f ca="1">VLOOKUP($L193,OFFSET([4]characters!$A$1,0,0,COUNTA([4]characters!$A:$A),MATCH(O$1,[4]characters!$1:$1,0)-MATCH($L$1,[4]characters!$1:$1,0)+1),MATCH(O$1,[4]characters!$1:$1,0)-MATCH($L$1,[4]characters!$1:$1,0)+1,FALSE)</f>
        <v>Drop1N</v>
      </c>
      <c r="P193" s="20" t="str">
        <f ca="1">VLOOKUP($L193,OFFSET([3]enemies!$A$1,0,0,COUNTA([3]enemies!$A:$A),MATCH(P$1,[3]enemies!$1:$1,0)-MATCH($L$1,[3]enemies!$1:$1,0)+1),MATCH(P$1,[3]enemies!$1:$1,0)-MATCH($L$1,[3]enemies!$1:$1,0)+1,FALSE)</f>
        <v>machine</v>
      </c>
      <c r="Q193" s="20">
        <f ca="1">VLOOKUP($L193,OFFSET([3]enemies!$A$1,0,0,COUNTA([3]enemies!$A:$A),MATCH(Q$1,[3]enemies!$1:$1,0)-MATCH($L$1,[3]enemies!$1:$1,0)+1),MATCH(Q$1,[3]enemies!$1:$1,0)-MATCH($L$1,[3]enemies!$1:$1,0)+1,FALSE)</f>
        <v>15</v>
      </c>
      <c r="R193" s="6">
        <v>42</v>
      </c>
      <c r="S193" s="39">
        <v>1.2</v>
      </c>
      <c r="T193" s="39">
        <v>1</v>
      </c>
      <c r="U193" s="6">
        <v>0</v>
      </c>
      <c r="V193" s="5" t="str">
        <f ca="1">VLOOKUP($W193,OFFSET([5]enemy_skill_sets!$B$1,0,0,COUNTA([5]enemy_skill_sets!$B:$B),MATCH(M$1,[5]enemy_skill_sets!$1:$1,0)-MATCH($W$1,[5]enemy_skill_sets!$1:$1,0)+2),MATCH(M$1,[5]enemy_skill_sets!$1:$1,0)-MATCH($W$1,[5]enemy_skill_sets!$1:$1,0)+2,FALSE)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3" s="5">
        <f ca="1">VLOOKUP($L193,OFFSET([3]enemies!$A$1,0,0,COUNTA([3]enemies!$A:$A),MATCH(W$1,[3]enemies!$1:$1,0)-MATCH($L$1,[3]enemies!$1:$1,0)+1),MATCH(W$1,[3]enemies!$1:$1,0)-MATCH($L$1,[3]enemies!$1:$1,0)+1,FALSE)</f>
        <v>0</v>
      </c>
      <c r="X193" s="7">
        <v>0</v>
      </c>
      <c r="Y193" s="7">
        <v>100</v>
      </c>
      <c r="Z193" s="7">
        <v>0</v>
      </c>
      <c r="AA193" s="20">
        <f ca="1">VLOOKUP($L193,OFFSET([3]enemies!$A$1,0,0,COUNTA([3]enemies!$A:$A),MATCH(AA$1,[3]enemies!$1:$1,0)-MATCH($L$1,[3]enemies!$1:$1,0)+1),MATCH(AA$1,[3]enemies!$1:$1,0)-MATCH($L$1,[3]enemies!$1:$1,0)+1,FALSE)</f>
        <v>1</v>
      </c>
      <c r="AB193" s="24">
        <v>27</v>
      </c>
      <c r="AC193" s="5" t="str">
        <f ca="1">IFERROR(VLOOKUP($AB193,OFFSET([4]characters!$A$1,0,0,COUNTA([4]characters!$A:$A),MATCH(AC$1,[4]characters!$1:$1,0)-MATCH("character_id",[4]characters!$1:$1,0)+1),MATCH(AC$1,[4]characters!$1:$1,0)-MATCH("character_id",[4]characters!$1:$1,0)+1,FALSE),"")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93" s="5">
        <f ca="1">IFERROR(VLOOKUP($AB193,OFFSET([4]characters!$A$1,0,0,COUNTA([4]characters!$A:$A),MATCH(AD$1,[4]characters!$1:$1,0)-MATCH("character_id",[4]characters!$1:$1,0)+1),MATCH(AD$1,[4]characters!$1:$1,0)-MATCH("character_id",[4]characters!$1:$1,0)+1,FALSE),"")</f>
        <v>1</v>
      </c>
      <c r="AE193" s="5" t="str">
        <f ca="1">IFERROR(VLOOKUP($AB193,OFFSET([4]characters!$A$1,0,0,COUNTA([4]characters!$A:$A),MATCH(AE$1,[4]characters!$1:$1,0)-MATCH("character_id",[4]characters!$1:$1,0)+1),MATCH(AE$1,[4]characters!$1:$1,0)-MATCH("character_id",[4]characters!$1:$1,0)+1,FALSE),"")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93" s="8">
        <v>1</v>
      </c>
      <c r="AG193" s="27">
        <f t="shared" ca="1" si="103"/>
        <v>1</v>
      </c>
      <c r="AH193" s="9">
        <v>0</v>
      </c>
      <c r="AI193" s="8">
        <v>0</v>
      </c>
      <c r="AJ193" s="8">
        <v>0</v>
      </c>
      <c r="AK193" s="8">
        <v>0</v>
      </c>
      <c r="AL193" s="8">
        <v>0</v>
      </c>
      <c r="AM193" s="8">
        <v>1</v>
      </c>
      <c r="AN193" s="8">
        <v>1</v>
      </c>
    </row>
    <row r="194" spans="1:40" ht="21" customHeight="1" x14ac:dyDescent="0.15">
      <c r="A194" s="17" t="str">
        <f t="shared" ca="1" si="101"/>
        <v>11005_2-3/137&lt;lv50&gt;s4</v>
      </c>
      <c r="B194" s="8">
        <v>11005</v>
      </c>
      <c r="C194" s="25">
        <v>2</v>
      </c>
      <c r="D194" s="2" t="str">
        <f t="shared" si="102"/>
        <v>11005_2</v>
      </c>
      <c r="E194" s="5" t="str">
        <f ca="1">VLOOKUP($B194,OFFSET([2]quests!$A$1,0,0,COUNTA([2]quests!$A:$A),MATCH(E$1,[2]quests!$1:$1,0)-MATCH($B$1,[2]quests!$1:$1,0)+1),MATCH(E$1,[2]quests!$1:$1,0)-MATCH($B$1,[2]quests!$1:$1,0)+1,FALSE)</f>
        <v>【金曜限定】 帽子屋を追え！</v>
      </c>
      <c r="F194" s="5" t="str">
        <f ca="1">VLOOKUP($D194,OFFSET([2]stages!$A$1,0,0,COUNTA([2]stages!$A:$A),MATCH(F$1,[2]stages!$2:$2,0)-MATCH($D$1,[2]stages!$2:$2,0)+1),MATCH(F$1,[2]stages!$2:$2,0)-MATCH($D$1,[2]stages!$2:$2,0)+1,FALSE)</f>
        <v xml:space="preserve">【超級】樹の帽子屋 </v>
      </c>
      <c r="G194" s="25">
        <v>3</v>
      </c>
      <c r="H194" s="16" t="str">
        <f t="shared" si="69"/>
        <v>11005_2-3</v>
      </c>
      <c r="I194" s="5">
        <f ca="1">VLOOKUP($H194,OFFSET(floors!$A$1,0,0,COUNTA(floors!$A:$A),MATCH(I$1,floors!$1:$1,0)-MATCH($H$1,floors!$1:$1,0)+1),MATCH(I$1,floors!$1:$1,0)-MATCH($H$1,floors!$1:$1,0)+1,FALSE)</f>
        <v>50</v>
      </c>
      <c r="J194" s="5">
        <f ca="1">VLOOKUP($H194,OFFSET(floors!$A$1,0,0,COUNTA(floors!$A:$A),MATCH(J$1,floors!$1:$1,0)-MATCH($H$1,floors!$1:$1,0)+1),MATCH(J$1,floors!$1:$1,0)-MATCH($H$1,floors!$1:$1,0)+1,FALSE)</f>
        <v>60</v>
      </c>
      <c r="K194" s="24" t="s">
        <v>197</v>
      </c>
      <c r="L194" s="24">
        <v>137</v>
      </c>
      <c r="M194" s="20" t="str">
        <f ca="1">VLOOKUP($L194,OFFSET([3]enemies!$A$1,0,0,COUNTA([3]enemies!$A:$A),MATCH(M$1,[3]enemies!$1:$1,0)-MATCH($L$1,[3]enemies!$1:$1,0)+1),MATCH(M$1,[3]enemies!$1:$1,0)-MATCH($L$1,[3]enemies!$1:$1,0)+1,FALSE)</f>
        <v>清福の仕立屋 チハヤ</v>
      </c>
      <c r="N194" s="20" t="str">
        <f ca="1">VLOOKUP($L194,OFFSET([3]enemies!$A$1,0,0,COUNTA([3]enemies!$A:$A),MATCH(N$1,[3]enemies!$1:$1,0)-MATCH($L$1,[3]enemies!$1:$1,0)+1),MATCH(N$1,[3]enemies!$1:$1,0)-MATCH($L$1,[3]enemies!$1:$1,0)+1,FALSE)</f>
        <v>green</v>
      </c>
      <c r="O194" s="22" t="str">
        <f ca="1">VLOOKUP($L194,OFFSET([4]characters!$A$1,0,0,COUNTA([4]characters!$A:$A),MATCH(O$1,[4]characters!$1:$1,0)-MATCH($L$1,[4]characters!$1:$1,0)+1),MATCH(O$1,[4]characters!$1:$1,0)-MATCH($L$1,[4]characters!$1:$1,0)+1,FALSE)</f>
        <v>PremiumW</v>
      </c>
      <c r="P194" s="20" t="str">
        <f ca="1">VLOOKUP($L194,OFFSET([3]enemies!$A$1,0,0,COUNTA([3]enemies!$A:$A),MATCH(P$1,[3]enemies!$1:$1,0)-MATCH($L$1,[3]enemies!$1:$1,0)+1),MATCH(P$1,[3]enemies!$1:$1,0)-MATCH($L$1,[3]enemies!$1:$1,0)+1,FALSE)</f>
        <v>human</v>
      </c>
      <c r="Q194" s="20">
        <f ca="1">VLOOKUP($L194,OFFSET([3]enemies!$A$1,0,0,COUNTA([3]enemies!$A:$A),MATCH(Q$1,[3]enemies!$1:$1,0)-MATCH($L$1,[3]enemies!$1:$1,0)+1),MATCH(Q$1,[3]enemies!$1:$1,0)-MATCH($L$1,[3]enemies!$1:$1,0)+1,FALSE)</f>
        <v>30</v>
      </c>
      <c r="R194" s="6">
        <v>50</v>
      </c>
      <c r="S194" s="39">
        <v>1.2</v>
      </c>
      <c r="T194" s="39">
        <v>1</v>
      </c>
      <c r="U194" s="6">
        <v>0</v>
      </c>
      <c r="V194" s="5" t="str">
        <f ca="1">VLOOKUP($W194,OFFSET([5]enemy_skill_sets!$B$1,0,0,COUNTA([5]enemy_skill_sets!$B:$B),MATCH(M$1,[5]enemy_skill_sets!$1:$1,0)-MATCH($W$1,[5]enemy_skill_sets!$1:$1,0)+2),MATCH(M$1,[5]enemy_skill_sets!$1:$1,0)-MATCH($W$1,[5]enemy_skill_sets!$1:$1,0)+2,FALSE)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194" s="5">
        <f ca="1">VLOOKUP($L194,OFFSET([3]enemies!$A$1,0,0,COUNTA([3]enemies!$A:$A),MATCH(W$1,[3]enemies!$1:$1,0)-MATCH($L$1,[3]enemies!$1:$1,0)+1),MATCH(W$1,[3]enemies!$1:$1,0)-MATCH($L$1,[3]enemies!$1:$1,0)+1,FALSE)</f>
        <v>136</v>
      </c>
      <c r="X194" s="7">
        <v>0</v>
      </c>
      <c r="Y194" s="7">
        <v>80</v>
      </c>
      <c r="Z194" s="7">
        <v>1</v>
      </c>
      <c r="AA194" s="20">
        <f ca="1">VLOOKUP($L194,OFFSET([3]enemies!$A$1,0,0,COUNTA([3]enemies!$A:$A),MATCH(AA$1,[3]enemies!$1:$1,0)-MATCH($L$1,[3]enemies!$1:$1,0)+1),MATCH(AA$1,[3]enemies!$1:$1,0)-MATCH($L$1,[3]enemies!$1:$1,0)+1,FALSE)</f>
        <v>4</v>
      </c>
      <c r="AB194" s="24">
        <v>136</v>
      </c>
      <c r="AC194" s="5" t="str">
        <f ca="1">IFERROR(VLOOKUP($AB194,OFFSET([4]characters!$A$1,0,0,COUNTA([4]characters!$A:$A),MATCH(AC$1,[4]characters!$1:$1,0)-MATCH("character_id",[4]characters!$1:$1,0)+1),MATCH(AC$1,[4]characters!$1:$1,0)-MATCH("character_id",[4]characters!$1:$1,0)+1,FALSE),"")</f>
        <v>お針子チハヤ</v>
      </c>
      <c r="AD194" s="5">
        <f ca="1">IFERROR(VLOOKUP($AB194,OFFSET([4]characters!$A$1,0,0,COUNTA([4]characters!$A:$A),MATCH(AD$1,[4]characters!$1:$1,0)-MATCH("character_id",[4]characters!$1:$1,0)+1),MATCH(AD$1,[4]characters!$1:$1,0)-MATCH("character_id",[4]characters!$1:$1,0)+1,FALSE),"")</f>
        <v>3</v>
      </c>
      <c r="AE194" s="5" t="str">
        <f ca="1">IFERROR(VLOOKUP($AB194,OFFSET([4]characters!$A$1,0,0,COUNTA([4]characters!$A:$A),MATCH(AE$1,[4]characters!$1:$1,0)-MATCH("character_id",[4]characters!$1:$1,0)+1),MATCH(AE$1,[4]characters!$1:$1,0)-MATCH("character_id",[4]characters!$1:$1,0)+1,FALSE),"")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94" s="8">
        <v>1</v>
      </c>
      <c r="AG194" s="27">
        <f t="shared" ca="1" si="103"/>
        <v>3</v>
      </c>
      <c r="AH194" s="9">
        <v>0</v>
      </c>
      <c r="AI194" s="8">
        <v>0</v>
      </c>
      <c r="AJ194" s="8">
        <v>0</v>
      </c>
      <c r="AK194" s="8">
        <v>0</v>
      </c>
      <c r="AL194" s="8">
        <v>0</v>
      </c>
      <c r="AM194" s="8">
        <v>1</v>
      </c>
      <c r="AN194" s="8">
        <v>1</v>
      </c>
    </row>
    <row r="195" spans="1:40" ht="21" customHeight="1" x14ac:dyDescent="0.15">
      <c r="A195" s="17" t="str">
        <f t="shared" ca="1" si="101"/>
        <v>11005_2-3/338&lt;lv1&gt;s3</v>
      </c>
      <c r="B195" s="8">
        <v>11005</v>
      </c>
      <c r="C195" s="25">
        <v>2</v>
      </c>
      <c r="D195" s="2" t="str">
        <f t="shared" si="102"/>
        <v>11005_2</v>
      </c>
      <c r="E195" s="5" t="str">
        <f ca="1">VLOOKUP($B195,OFFSET([2]quests!$A$1,0,0,COUNTA([2]quests!$A:$A),MATCH(E$1,[2]quests!$1:$1,0)-MATCH($B$1,[2]quests!$1:$1,0)+1),MATCH(E$1,[2]quests!$1:$1,0)-MATCH($B$1,[2]quests!$1:$1,0)+1,FALSE)</f>
        <v>【金曜限定】 帽子屋を追え！</v>
      </c>
      <c r="F195" s="5" t="str">
        <f ca="1">VLOOKUP($D195,OFFSET([2]stages!$A$1,0,0,COUNTA([2]stages!$A:$A),MATCH(F$1,[2]stages!$2:$2,0)-MATCH($D$1,[2]stages!$2:$2,0)+1),MATCH(F$1,[2]stages!$2:$2,0)-MATCH($D$1,[2]stages!$2:$2,0)+1,FALSE)</f>
        <v xml:space="preserve">【超級】樹の帽子屋 </v>
      </c>
      <c r="G195" s="25">
        <v>3</v>
      </c>
      <c r="H195" s="16" t="str">
        <f t="shared" ref="H195:H254" si="104">B195&amp;"_"&amp;C195&amp;"-"&amp;G195</f>
        <v>11005_2-3</v>
      </c>
      <c r="I195" s="5">
        <f ca="1">VLOOKUP($H195,OFFSET(floors!$A$1,0,0,COUNTA(floors!$A:$A),MATCH(I$1,floors!$1:$1,0)-MATCH($H$1,floors!$1:$1,0)+1),MATCH(I$1,floors!$1:$1,0)-MATCH($H$1,floors!$1:$1,0)+1,FALSE)</f>
        <v>50</v>
      </c>
      <c r="J195" s="5">
        <f ca="1">VLOOKUP($H195,OFFSET(floors!$A$1,0,0,COUNTA(floors!$A:$A),MATCH(J$1,floors!$1:$1,0)-MATCH($H$1,floors!$1:$1,0)+1),MATCH(J$1,floors!$1:$1,0)-MATCH($H$1,floors!$1:$1,0)+1,FALSE)</f>
        <v>60</v>
      </c>
      <c r="K195" s="24" t="s">
        <v>197</v>
      </c>
      <c r="L195" s="24">
        <v>338</v>
      </c>
      <c r="M195" s="20" t="str">
        <f ca="1">VLOOKUP($L195,OFFSET([3]enemies!$A$1,0,0,COUNTA([3]enemies!$A:$A),MATCH(M$1,[3]enemies!$1:$1,0)-MATCH($L$1,[3]enemies!$1:$1,0)+1),MATCH(M$1,[3]enemies!$1:$1,0)-MATCH($L$1,[3]enemies!$1:$1,0)+1,FALSE)</f>
        <v>森のメタルダック</v>
      </c>
      <c r="N195" s="20" t="str">
        <f ca="1">VLOOKUP($L195,OFFSET([3]enemies!$A$1,0,0,COUNTA([3]enemies!$A:$A),MATCH(N$1,[3]enemies!$1:$1,0)-MATCH($L$1,[3]enemies!$1:$1,0)+1),MATCH(N$1,[3]enemies!$1:$1,0)-MATCH($L$1,[3]enemies!$1:$1,0)+1,FALSE)</f>
        <v>green</v>
      </c>
      <c r="O195" s="22" t="str">
        <f ca="1">VLOOKUP($L195,OFFSET([4]characters!$A$1,0,0,COUNTA([4]characters!$A:$A),MATCH(O$1,[4]characters!$1:$1,0)-MATCH($L$1,[4]characters!$1:$1,0)+1),MATCH(O$1,[4]characters!$1:$1,0)-MATCH($L$1,[4]characters!$1:$1,0)+1,FALSE)</f>
        <v>Material</v>
      </c>
      <c r="P195" s="20" t="str">
        <f ca="1">VLOOKUP($L195,OFFSET([3]enemies!$A$1,0,0,COUNTA([3]enemies!$A:$A),MATCH(P$1,[3]enemies!$1:$1,0)-MATCH($L$1,[3]enemies!$1:$1,0)+1),MATCH(P$1,[3]enemies!$1:$1,0)-MATCH($L$1,[3]enemies!$1:$1,0)+1,FALSE)</f>
        <v>unknown</v>
      </c>
      <c r="Q195" s="20">
        <f ca="1">VLOOKUP($L195,OFFSET([3]enemies!$A$1,0,0,COUNTA([3]enemies!$A:$A),MATCH(Q$1,[3]enemies!$1:$1,0)-MATCH($L$1,[3]enemies!$1:$1,0)+1),MATCH(Q$1,[3]enemies!$1:$1,0)-MATCH($L$1,[3]enemies!$1:$1,0)+1,FALSE)</f>
        <v>20</v>
      </c>
      <c r="R195" s="6">
        <v>1</v>
      </c>
      <c r="S195" s="39">
        <v>1</v>
      </c>
      <c r="T195" s="39">
        <v>1</v>
      </c>
      <c r="U195" s="6">
        <v>0</v>
      </c>
      <c r="V195" s="5" t="str">
        <f ca="1">VLOOKUP($W195,OFFSET([5]enemy_skill_sets!$B$1,0,0,COUNTA([5]enemy_skill_sets!$B:$B),MATCH(M$1,[5]enemy_skill_sets!$1:$1,0)-MATCH($W$1,[5]enemy_skill_sets!$1:$1,0)+2),MATCH(M$1,[5]enemy_skill_sets!$1:$1,0)-MATCH($W$1,[5]enemy_skill_sets!$1:$1,0)+2,FALSE)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5" s="5">
        <f ca="1">VLOOKUP($L195,OFFSET([3]enemies!$A$1,0,0,COUNTA([3]enemies!$A:$A),MATCH(W$1,[3]enemies!$1:$1,0)-MATCH($L$1,[3]enemies!$1:$1,0)+1),MATCH(W$1,[3]enemies!$1:$1,0)-MATCH($L$1,[3]enemies!$1:$1,0)+1,FALSE)</f>
        <v>0</v>
      </c>
      <c r="X195" s="7">
        <v>0</v>
      </c>
      <c r="Y195" s="7">
        <v>20</v>
      </c>
      <c r="Z195" s="7">
        <v>1</v>
      </c>
      <c r="AA195" s="20">
        <f ca="1">VLOOKUP($L195,OFFSET([3]enemies!$A$1,0,0,COUNTA([3]enemies!$A:$A),MATCH(AA$1,[3]enemies!$1:$1,0)-MATCH($L$1,[3]enemies!$1:$1,0)+1),MATCH(AA$1,[3]enemies!$1:$1,0)-MATCH($L$1,[3]enemies!$1:$1,0)+1,FALSE)</f>
        <v>3</v>
      </c>
      <c r="AB195" s="24">
        <v>338</v>
      </c>
      <c r="AC195" s="5" t="str">
        <f ca="1">IFERROR(VLOOKUP($AB195,OFFSET([4]characters!$A$1,0,0,COUNTA([4]characters!$A:$A),MATCH(AC$1,[4]characters!$1:$1,0)-MATCH("character_id",[4]characters!$1:$1,0)+1),MATCH(AC$1,[4]characters!$1:$1,0)-MATCH("character_id",[4]characters!$1:$1,0)+1,FALSE),"")</f>
        <v>森のメタルダック</v>
      </c>
      <c r="AD195" s="5">
        <f ca="1">IFERROR(VLOOKUP($AB195,OFFSET([4]characters!$A$1,0,0,COUNTA([4]characters!$A:$A),MATCH(AD$1,[4]characters!$1:$1,0)-MATCH("character_id",[4]characters!$1:$1,0)+1),MATCH(AD$1,[4]characters!$1:$1,0)-MATCH("character_id",[4]characters!$1:$1,0)+1,FALSE),"")</f>
        <v>5</v>
      </c>
      <c r="AE195" s="5" t="str">
        <f ca="1">IFERROR(VLOOKUP($AB195,OFFSET([4]characters!$A$1,0,0,COUNTA([4]characters!$A:$A),MATCH(AE$1,[4]characters!$1:$1,0)-MATCH("character_id",[4]characters!$1:$1,0)+1),MATCH(AE$1,[4]characters!$1:$1,0)-MATCH("character_id",[4]characters!$1:$1,0)+1,FALSE),"")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5" s="8">
        <v>1</v>
      </c>
      <c r="AG195" s="27">
        <f t="shared" ca="1" si="103"/>
        <v>5</v>
      </c>
      <c r="AH195" s="9">
        <v>5</v>
      </c>
      <c r="AI195" s="8">
        <v>0</v>
      </c>
      <c r="AJ195" s="8">
        <v>0</v>
      </c>
      <c r="AK195" s="8">
        <v>0</v>
      </c>
      <c r="AL195" s="8">
        <v>0</v>
      </c>
      <c r="AM195" s="8">
        <v>1</v>
      </c>
      <c r="AN195" s="8">
        <v>1</v>
      </c>
    </row>
    <row r="196" spans="1:40" ht="21" customHeight="1" x14ac:dyDescent="0.15">
      <c r="A196" s="17" t="str">
        <f t="shared" ca="1" si="101"/>
        <v>11005_2-3/336&lt;lv1&gt;s1</v>
      </c>
      <c r="B196" s="8">
        <v>11005</v>
      </c>
      <c r="C196" s="25">
        <v>2</v>
      </c>
      <c r="D196" s="2" t="str">
        <f t="shared" si="102"/>
        <v>11005_2</v>
      </c>
      <c r="E196" s="5" t="str">
        <f ca="1">VLOOKUP($B196,OFFSET([2]quests!$A$1,0,0,COUNTA([2]quests!$A:$A),MATCH(E$1,[2]quests!$1:$1,0)-MATCH($B$1,[2]quests!$1:$1,0)+1),MATCH(E$1,[2]quests!$1:$1,0)-MATCH($B$1,[2]quests!$1:$1,0)+1,FALSE)</f>
        <v>【金曜限定】 帽子屋を追え！</v>
      </c>
      <c r="F196" s="5" t="str">
        <f ca="1">VLOOKUP($D196,OFFSET([2]stages!$A$1,0,0,COUNTA([2]stages!$A:$A),MATCH(F$1,[2]stages!$2:$2,0)-MATCH($D$1,[2]stages!$2:$2,0)+1),MATCH(F$1,[2]stages!$2:$2,0)-MATCH($D$1,[2]stages!$2:$2,0)+1,FALSE)</f>
        <v xml:space="preserve">【超級】樹の帽子屋 </v>
      </c>
      <c r="G196" s="25">
        <v>3</v>
      </c>
      <c r="H196" s="16" t="str">
        <f t="shared" si="104"/>
        <v>11005_2-3</v>
      </c>
      <c r="I196" s="5">
        <f ca="1">VLOOKUP($H196,OFFSET(floors!$A$1,0,0,COUNTA(floors!$A:$A),MATCH(I$1,floors!$1:$1,0)-MATCH($H$1,floors!$1:$1,0)+1),MATCH(I$1,floors!$1:$1,0)-MATCH($H$1,floors!$1:$1,0)+1,FALSE)</f>
        <v>50</v>
      </c>
      <c r="J196" s="5">
        <f ca="1">VLOOKUP($H196,OFFSET(floors!$A$1,0,0,COUNTA(floors!$A:$A),MATCH(J$1,floors!$1:$1,0)-MATCH($H$1,floors!$1:$1,0)+1),MATCH(J$1,floors!$1:$1,0)-MATCH($H$1,floors!$1:$1,0)+1,FALSE)</f>
        <v>60</v>
      </c>
      <c r="K196" s="24" t="s">
        <v>197</v>
      </c>
      <c r="L196" s="24">
        <v>336</v>
      </c>
      <c r="M196" s="20" t="str">
        <f ca="1">VLOOKUP($L196,OFFSET([3]enemies!$A$1,0,0,COUNTA([3]enemies!$A:$A),MATCH(M$1,[3]enemies!$1:$1,0)-MATCH($L$1,[3]enemies!$1:$1,0)+1),MATCH(M$1,[3]enemies!$1:$1,0)-MATCH($L$1,[3]enemies!$1:$1,0)+1,FALSE)</f>
        <v>森のメタルピヨピヨ</v>
      </c>
      <c r="N196" s="20" t="str">
        <f ca="1">VLOOKUP($L196,OFFSET([3]enemies!$A$1,0,0,COUNTA([3]enemies!$A:$A),MATCH(N$1,[3]enemies!$1:$1,0)-MATCH($L$1,[3]enemies!$1:$1,0)+1),MATCH(N$1,[3]enemies!$1:$1,0)-MATCH($L$1,[3]enemies!$1:$1,0)+1,FALSE)</f>
        <v>green</v>
      </c>
      <c r="O196" s="22" t="str">
        <f ca="1">VLOOKUP($L196,OFFSET([4]characters!$A$1,0,0,COUNTA([4]characters!$A:$A),MATCH(O$1,[4]characters!$1:$1,0)-MATCH($L$1,[4]characters!$1:$1,0)+1),MATCH(O$1,[4]characters!$1:$1,0)-MATCH($L$1,[4]characters!$1:$1,0)+1,FALSE)</f>
        <v>Material</v>
      </c>
      <c r="P196" s="20" t="str">
        <f ca="1">VLOOKUP($L196,OFFSET([3]enemies!$A$1,0,0,COUNTA([3]enemies!$A:$A),MATCH(P$1,[3]enemies!$1:$1,0)-MATCH($L$1,[3]enemies!$1:$1,0)+1),MATCH(P$1,[3]enemies!$1:$1,0)-MATCH($L$1,[3]enemies!$1:$1,0)+1,FALSE)</f>
        <v>unknown</v>
      </c>
      <c r="Q196" s="20">
        <f ca="1">VLOOKUP($L196,OFFSET([3]enemies!$A$1,0,0,COUNTA([3]enemies!$A:$A),MATCH(Q$1,[3]enemies!$1:$1,0)-MATCH($L$1,[3]enemies!$1:$1,0)+1),MATCH(Q$1,[3]enemies!$1:$1,0)-MATCH($L$1,[3]enemies!$1:$1,0)+1,FALSE)</f>
        <v>15</v>
      </c>
      <c r="R196" s="6">
        <v>1</v>
      </c>
      <c r="S196" s="39">
        <v>1</v>
      </c>
      <c r="T196" s="39">
        <v>1</v>
      </c>
      <c r="U196" s="6">
        <v>0</v>
      </c>
      <c r="V196" s="5" t="str">
        <f ca="1">VLOOKUP($W196,OFFSET([5]enemy_skill_sets!$B$1,0,0,COUNTA([5]enemy_skill_sets!$B:$B),MATCH(M$1,[5]enemy_skill_sets!$1:$1,0)-MATCH($W$1,[5]enemy_skill_sets!$1:$1,0)+2),MATCH(M$1,[5]enemy_skill_sets!$1:$1,0)-MATCH($W$1,[5]enemy_skill_sets!$1:$1,0)+2,FALSE)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6" s="5">
        <f ca="1">VLOOKUP($L196,OFFSET([3]enemies!$A$1,0,0,COUNTA([3]enemies!$A:$A),MATCH(W$1,[3]enemies!$1:$1,0)-MATCH($L$1,[3]enemies!$1:$1,0)+1),MATCH(W$1,[3]enemies!$1:$1,0)-MATCH($L$1,[3]enemies!$1:$1,0)+1,FALSE)</f>
        <v>0</v>
      </c>
      <c r="X196" s="7">
        <v>1</v>
      </c>
      <c r="Y196" s="7">
        <v>100</v>
      </c>
      <c r="Z196" s="7">
        <v>0</v>
      </c>
      <c r="AA196" s="20">
        <f ca="1">VLOOKUP($L196,OFFSET([3]enemies!$A$1,0,0,COUNTA([3]enemies!$A:$A),MATCH(AA$1,[3]enemies!$1:$1,0)-MATCH($L$1,[3]enemies!$1:$1,0)+1),MATCH(AA$1,[3]enemies!$1:$1,0)-MATCH($L$1,[3]enemies!$1:$1,0)+1,FALSE)</f>
        <v>1</v>
      </c>
      <c r="AB196" s="24">
        <v>336</v>
      </c>
      <c r="AC196" s="5" t="str">
        <f ca="1">IFERROR(VLOOKUP($AB196,OFFSET([4]characters!$A$1,0,0,COUNTA([4]characters!$A:$A),MATCH(AC$1,[4]characters!$1:$1,0)-MATCH("character_id",[4]characters!$1:$1,0)+1),MATCH(AC$1,[4]characters!$1:$1,0)-MATCH("character_id",[4]characters!$1:$1,0)+1,FALSE),"")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196" s="5">
        <f ca="1">IFERROR(VLOOKUP($AB196,OFFSET([4]characters!$A$1,0,0,COUNTA([4]characters!$A:$A),MATCH(AD$1,[4]characters!$1:$1,0)-MATCH("character_id",[4]characters!$1:$1,0)+1),MATCH(AD$1,[4]characters!$1:$1,0)-MATCH("character_id",[4]characters!$1:$1,0)+1,FALSE),"")</f>
        <v>3</v>
      </c>
      <c r="AE196" s="5" t="str">
        <f ca="1">IFERROR(VLOOKUP($AB196,OFFSET([4]characters!$A$1,0,0,COUNTA([4]characters!$A:$A),MATCH(AE$1,[4]characters!$1:$1,0)-MATCH("character_id",[4]characters!$1:$1,0)+1),MATCH(AE$1,[4]characters!$1:$1,0)-MATCH("character_id",[4]characters!$1:$1,0)+1,FALSE),"")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6" s="8">
        <v>1</v>
      </c>
      <c r="AG196" s="27">
        <f t="shared" ca="1" si="103"/>
        <v>3</v>
      </c>
      <c r="AH196" s="9">
        <v>20</v>
      </c>
      <c r="AI196" s="8">
        <v>0</v>
      </c>
      <c r="AJ196" s="8">
        <v>0</v>
      </c>
      <c r="AK196" s="8">
        <v>0</v>
      </c>
      <c r="AL196" s="8">
        <v>0</v>
      </c>
      <c r="AM196" s="8">
        <v>1</v>
      </c>
      <c r="AN196" s="8">
        <v>1</v>
      </c>
    </row>
    <row r="197" spans="1:40" ht="21" customHeight="1" x14ac:dyDescent="0.15">
      <c r="A197" s="17" t="str">
        <f t="shared" ca="1" si="101"/>
        <v>11005_2-3/337&lt;lv1&gt;s2</v>
      </c>
      <c r="B197" s="8">
        <v>11005</v>
      </c>
      <c r="C197" s="25">
        <v>2</v>
      </c>
      <c r="D197" s="2" t="str">
        <f t="shared" si="102"/>
        <v>11005_2</v>
      </c>
      <c r="E197" s="5" t="str">
        <f ca="1">VLOOKUP($B197,OFFSET([2]quests!$A$1,0,0,COUNTA([2]quests!$A:$A),MATCH(E$1,[2]quests!$1:$1,0)-MATCH($B$1,[2]quests!$1:$1,0)+1),MATCH(E$1,[2]quests!$1:$1,0)-MATCH($B$1,[2]quests!$1:$1,0)+1,FALSE)</f>
        <v>【金曜限定】 帽子屋を追え！</v>
      </c>
      <c r="F197" s="5" t="str">
        <f ca="1">VLOOKUP($D197,OFFSET([2]stages!$A$1,0,0,COUNTA([2]stages!$A:$A),MATCH(F$1,[2]stages!$2:$2,0)-MATCH($D$1,[2]stages!$2:$2,0)+1),MATCH(F$1,[2]stages!$2:$2,0)-MATCH($D$1,[2]stages!$2:$2,0)+1,FALSE)</f>
        <v xml:space="preserve">【超級】樹の帽子屋 </v>
      </c>
      <c r="G197" s="25">
        <v>3</v>
      </c>
      <c r="H197" s="16" t="str">
        <f t="shared" si="104"/>
        <v>11005_2-3</v>
      </c>
      <c r="I197" s="5">
        <f ca="1">VLOOKUP($H197,OFFSET(floors!$A$1,0,0,COUNTA(floors!$A:$A),MATCH(I$1,floors!$1:$1,0)-MATCH($H$1,floors!$1:$1,0)+1),MATCH(I$1,floors!$1:$1,0)-MATCH($H$1,floors!$1:$1,0)+1,FALSE)</f>
        <v>50</v>
      </c>
      <c r="J197" s="5">
        <f ca="1">VLOOKUP($H197,OFFSET(floors!$A$1,0,0,COUNTA(floors!$A:$A),MATCH(J$1,floors!$1:$1,0)-MATCH($H$1,floors!$1:$1,0)+1),MATCH(J$1,floors!$1:$1,0)-MATCH($H$1,floors!$1:$1,0)+1,FALSE)</f>
        <v>60</v>
      </c>
      <c r="K197" s="24" t="s">
        <v>197</v>
      </c>
      <c r="L197" s="24">
        <v>337</v>
      </c>
      <c r="M197" s="20" t="str">
        <f ca="1">VLOOKUP($L197,OFFSET([3]enemies!$A$1,0,0,COUNTA([3]enemies!$A:$A),MATCH(M$1,[3]enemies!$1:$1,0)-MATCH($L$1,[3]enemies!$1:$1,0)+1),MATCH(M$1,[3]enemies!$1:$1,0)-MATCH($L$1,[3]enemies!$1:$1,0)+1,FALSE)</f>
        <v>森のメタルチック</v>
      </c>
      <c r="N197" s="20" t="str">
        <f ca="1">VLOOKUP($L197,OFFSET([3]enemies!$A$1,0,0,COUNTA([3]enemies!$A:$A),MATCH(N$1,[3]enemies!$1:$1,0)-MATCH($L$1,[3]enemies!$1:$1,0)+1),MATCH(N$1,[3]enemies!$1:$1,0)-MATCH($L$1,[3]enemies!$1:$1,0)+1,FALSE)</f>
        <v>green</v>
      </c>
      <c r="O197" s="22" t="str">
        <f ca="1">VLOOKUP($L197,OFFSET([4]characters!$A$1,0,0,COUNTA([4]characters!$A:$A),MATCH(O$1,[4]characters!$1:$1,0)-MATCH($L$1,[4]characters!$1:$1,0)+1),MATCH(O$1,[4]characters!$1:$1,0)-MATCH($L$1,[4]characters!$1:$1,0)+1,FALSE)</f>
        <v>Material</v>
      </c>
      <c r="P197" s="20" t="str">
        <f ca="1">VLOOKUP($L197,OFFSET([3]enemies!$A$1,0,0,COUNTA([3]enemies!$A:$A),MATCH(P$1,[3]enemies!$1:$1,0)-MATCH($L$1,[3]enemies!$1:$1,0)+1),MATCH(P$1,[3]enemies!$1:$1,0)-MATCH($L$1,[3]enemies!$1:$1,0)+1,FALSE)</f>
        <v>unknown</v>
      </c>
      <c r="Q197" s="20">
        <f ca="1">VLOOKUP($L197,OFFSET([3]enemies!$A$1,0,0,COUNTA([3]enemies!$A:$A),MATCH(Q$1,[3]enemies!$1:$1,0)-MATCH($L$1,[3]enemies!$1:$1,0)+1),MATCH(Q$1,[3]enemies!$1:$1,0)-MATCH($L$1,[3]enemies!$1:$1,0)+1,FALSE)</f>
        <v>15</v>
      </c>
      <c r="R197" s="6">
        <v>1</v>
      </c>
      <c r="S197" s="39">
        <v>1</v>
      </c>
      <c r="T197" s="39">
        <v>1</v>
      </c>
      <c r="U197" s="6">
        <v>0</v>
      </c>
      <c r="V197" s="5" t="str">
        <f ca="1">VLOOKUP($W197,OFFSET([5]enemy_skill_sets!$B$1,0,0,COUNTA([5]enemy_skill_sets!$B:$B),MATCH(M$1,[5]enemy_skill_sets!$1:$1,0)-MATCH($W$1,[5]enemy_skill_sets!$1:$1,0)+2),MATCH(M$1,[5]enemy_skill_sets!$1:$1,0)-MATCH($W$1,[5]enemy_skill_sets!$1:$1,0)+2,FALSE)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7" s="5">
        <f ca="1">VLOOKUP($L197,OFFSET([3]enemies!$A$1,0,0,COUNTA([3]enemies!$A:$A),MATCH(W$1,[3]enemies!$1:$1,0)-MATCH($L$1,[3]enemies!$1:$1,0)+1),MATCH(W$1,[3]enemies!$1:$1,0)-MATCH($L$1,[3]enemies!$1:$1,0)+1,FALSE)</f>
        <v>0</v>
      </c>
      <c r="X197" s="7">
        <v>1</v>
      </c>
      <c r="Y197" s="7">
        <v>100</v>
      </c>
      <c r="Z197" s="7">
        <v>0</v>
      </c>
      <c r="AA197" s="20">
        <f ca="1">VLOOKUP($L197,OFFSET([3]enemies!$A$1,0,0,COUNTA([3]enemies!$A:$A),MATCH(AA$1,[3]enemies!$1:$1,0)-MATCH($L$1,[3]enemies!$1:$1,0)+1),MATCH(AA$1,[3]enemies!$1:$1,0)-MATCH($L$1,[3]enemies!$1:$1,0)+1,FALSE)</f>
        <v>2</v>
      </c>
      <c r="AB197" s="24">
        <v>337</v>
      </c>
      <c r="AC197" s="5" t="str">
        <f ca="1">IFERROR(VLOOKUP($AB197,OFFSET([4]characters!$A$1,0,0,COUNTA([4]characters!$A:$A),MATCH(AC$1,[4]characters!$1:$1,0)-MATCH("character_id",[4]characters!$1:$1,0)+1),MATCH(AC$1,[4]characters!$1:$1,0)-MATCH("character_id",[4]characters!$1:$1,0)+1,FALSE),"")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197" s="5">
        <f ca="1">IFERROR(VLOOKUP($AB197,OFFSET([4]characters!$A$1,0,0,COUNTA([4]characters!$A:$A),MATCH(AD$1,[4]characters!$1:$1,0)-MATCH("character_id",[4]characters!$1:$1,0)+1),MATCH(AD$1,[4]characters!$1:$1,0)-MATCH("character_id",[4]characters!$1:$1,0)+1,FALSE),"")</f>
        <v>4</v>
      </c>
      <c r="AE197" s="5" t="str">
        <f ca="1">IFERROR(VLOOKUP($AB197,OFFSET([4]characters!$A$1,0,0,COUNTA([4]characters!$A:$A),MATCH(AE$1,[4]characters!$1:$1,0)-MATCH("character_id",[4]characters!$1:$1,0)+1),MATCH(AE$1,[4]characters!$1:$1,0)-MATCH("character_id",[4]characters!$1:$1,0)+1,FALSE),"")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7" s="8">
        <v>1</v>
      </c>
      <c r="AG197" s="27">
        <f t="shared" ca="1" si="103"/>
        <v>4</v>
      </c>
      <c r="AH197" s="9">
        <v>10</v>
      </c>
      <c r="AI197" s="8">
        <v>0</v>
      </c>
      <c r="AJ197" s="8">
        <v>0</v>
      </c>
      <c r="AK197" s="8">
        <v>0</v>
      </c>
      <c r="AL197" s="8">
        <v>0</v>
      </c>
      <c r="AM197" s="8">
        <v>1</v>
      </c>
      <c r="AN197" s="8">
        <v>1</v>
      </c>
    </row>
    <row r="198" spans="1:40" ht="21" customHeight="1" x14ac:dyDescent="0.15">
      <c r="A198" s="17" t="str">
        <f t="shared" ref="A198:A203" ca="1" si="105">B198&amp;"_"&amp;C198&amp;"-"&amp;G198&amp;"/"&amp;L198&amp;"&lt;lv"&amp;R198&amp;"&gt;s"&amp;AA198</f>
        <v>11005_2-4/35&lt;lv40&gt;s4</v>
      </c>
      <c r="B198" s="8">
        <v>11005</v>
      </c>
      <c r="C198" s="25">
        <v>2</v>
      </c>
      <c r="D198" s="2" t="str">
        <f t="shared" ref="D198:D203" si="106">B198&amp;"_"&amp;C198</f>
        <v>11005_2</v>
      </c>
      <c r="E198" s="5" t="str">
        <f ca="1">VLOOKUP($B198,OFFSET([2]quests!$A$1,0,0,COUNTA([2]quests!$A:$A),MATCH(E$1,[2]quests!$1:$1,0)-MATCH($B$1,[2]quests!$1:$1,0)+1),MATCH(E$1,[2]quests!$1:$1,0)-MATCH($B$1,[2]quests!$1:$1,0)+1,FALSE)</f>
        <v>【金曜限定】 帽子屋を追え！</v>
      </c>
      <c r="F198" s="5" t="str">
        <f ca="1">VLOOKUP($D198,OFFSET([2]stages!$A$1,0,0,COUNTA([2]stages!$A:$A),MATCH(F$1,[2]stages!$2:$2,0)-MATCH($D$1,[2]stages!$2:$2,0)+1),MATCH(F$1,[2]stages!$2:$2,0)-MATCH($D$1,[2]stages!$2:$2,0)+1,FALSE)</f>
        <v xml:space="preserve">【超級】樹の帽子屋 </v>
      </c>
      <c r="G198" s="25">
        <v>4</v>
      </c>
      <c r="H198" s="16" t="str">
        <f t="shared" si="104"/>
        <v>11005_2-4</v>
      </c>
      <c r="I198" s="5">
        <f ca="1">VLOOKUP($H198,OFFSET(floors!$A$1,0,0,COUNTA(floors!$A:$A),MATCH(I$1,floors!$1:$1,0)-MATCH($H$1,floors!$1:$1,0)+1),MATCH(I$1,floors!$1:$1,0)-MATCH($H$1,floors!$1:$1,0)+1,FALSE)</f>
        <v>45</v>
      </c>
      <c r="J198" s="5">
        <f ca="1">VLOOKUP($H198,OFFSET(floors!$A$1,0,0,COUNTA(floors!$A:$A),MATCH(J$1,floors!$1:$1,0)-MATCH($H$1,floors!$1:$1,0)+1),MATCH(J$1,floors!$1:$1,0)-MATCH($H$1,floors!$1:$1,0)+1,FALSE)</f>
        <v>60</v>
      </c>
      <c r="K198" s="24" t="s">
        <v>197</v>
      </c>
      <c r="L198" s="24">
        <v>35</v>
      </c>
      <c r="M198" s="20" t="str">
        <f ca="1">VLOOKUP($L198,OFFSET([3]enemies!$A$1,0,0,COUNTA([3]enemies!$A:$A),MATCH(M$1,[3]enemies!$1:$1,0)-MATCH($L$1,[3]enemies!$1:$1,0)+1),MATCH(M$1,[3]enemies!$1:$1,0)-MATCH($L$1,[3]enemies!$1:$1,0)+1,FALSE)</f>
        <v>F2</v>
      </c>
      <c r="N198" s="20" t="str">
        <f ca="1">VLOOKUP($L198,OFFSET([3]enemies!$A$1,0,0,COUNTA([3]enemies!$A:$A),MATCH(N$1,[3]enemies!$1:$1,0)-MATCH($L$1,[3]enemies!$1:$1,0)+1),MATCH(N$1,[3]enemies!$1:$1,0)-MATCH($L$1,[3]enemies!$1:$1,0)+1,FALSE)</f>
        <v>green</v>
      </c>
      <c r="O198" s="22" t="str">
        <f ca="1">VLOOKUP($L198,OFFSET([4]characters!$A$1,0,0,COUNTA([4]characters!$A:$A),MATCH(O$1,[4]characters!$1:$1,0)-MATCH($L$1,[4]characters!$1:$1,0)+1),MATCH(O$1,[4]characters!$1:$1,0)-MATCH($L$1,[4]characters!$1:$1,0)+1,FALSE)</f>
        <v>Drop1S</v>
      </c>
      <c r="P198" s="20" t="str">
        <f ca="1">VLOOKUP($L198,OFFSET([3]enemies!$A$1,0,0,COUNTA([3]enemies!$A:$A),MATCH(P$1,[3]enemies!$1:$1,0)-MATCH($L$1,[3]enemies!$1:$1,0)+1),MATCH(P$1,[3]enemies!$1:$1,0)-MATCH($L$1,[3]enemies!$1:$1,0)+1,FALSE)</f>
        <v>machine</v>
      </c>
      <c r="Q198" s="20">
        <f ca="1">VLOOKUP($L198,OFFSET([3]enemies!$A$1,0,0,COUNTA([3]enemies!$A:$A),MATCH(Q$1,[3]enemies!$1:$1,0)-MATCH($L$1,[3]enemies!$1:$1,0)+1),MATCH(Q$1,[3]enemies!$1:$1,0)-MATCH($L$1,[3]enemies!$1:$1,0)+1,FALSE)</f>
        <v>15</v>
      </c>
      <c r="R198" s="6">
        <v>40</v>
      </c>
      <c r="S198" s="39">
        <v>1.3</v>
      </c>
      <c r="T198" s="39">
        <v>0.8</v>
      </c>
      <c r="U198" s="6">
        <v>0</v>
      </c>
      <c r="V198" s="5" t="str">
        <f ca="1">VLOOKUP($W198,OFFSET([5]enemy_skill_sets!$B$1,0,0,COUNTA([5]enemy_skill_sets!$B:$B),MATCH(M$1,[5]enemy_skill_sets!$1:$1,0)-MATCH($W$1,[5]enemy_skill_sets!$1:$1,0)+2),MATCH(M$1,[5]enemy_skill_sets!$1:$1,0)-MATCH($W$1,[5]enemy_skill_sets!$1:$1,0)+2,FALSE)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98" s="5">
        <f ca="1">VLOOKUP($L198,OFFSET([3]enemies!$A$1,0,0,COUNTA([3]enemies!$A:$A),MATCH(W$1,[3]enemies!$1:$1,0)-MATCH($L$1,[3]enemies!$1:$1,0)+1),MATCH(W$1,[3]enemies!$1:$1,0)-MATCH($L$1,[3]enemies!$1:$1,0)+1,FALSE)</f>
        <v>35</v>
      </c>
      <c r="X198" s="7">
        <v>0</v>
      </c>
      <c r="Y198" s="7">
        <v>100</v>
      </c>
      <c r="Z198" s="7">
        <v>0</v>
      </c>
      <c r="AA198" s="20">
        <f ca="1">VLOOKUP($L198,OFFSET([3]enemies!$A$1,0,0,COUNTA([3]enemies!$A:$A),MATCH(AA$1,[3]enemies!$1:$1,0)-MATCH($L$1,[3]enemies!$1:$1,0)+1),MATCH(AA$1,[3]enemies!$1:$1,0)-MATCH($L$1,[3]enemies!$1:$1,0)+1,FALSE)</f>
        <v>4</v>
      </c>
      <c r="AB198" s="24">
        <v>35</v>
      </c>
      <c r="AC198" s="5" t="str">
        <f ca="1">IFERROR(VLOOKUP($AB198,OFFSET([4]characters!$A$1,0,0,COUNTA([4]characters!$A:$A),MATCH(AC$1,[4]characters!$1:$1,0)-MATCH("character_id",[4]characters!$1:$1,0)+1),MATCH(AC$1,[4]characters!$1:$1,0)-MATCH("character_id",[4]characters!$1:$1,0)+1,FALSE),"")</f>
        <v>F2</v>
      </c>
      <c r="AD198" s="5">
        <f ca="1">IFERROR(VLOOKUP($AB198,OFFSET([4]characters!$A$1,0,0,COUNTA([4]characters!$A:$A),MATCH(AD$1,[4]characters!$1:$1,0)-MATCH("character_id",[4]characters!$1:$1,0)+1),MATCH(AD$1,[4]characters!$1:$1,0)-MATCH("character_id",[4]characters!$1:$1,0)+1,FALSE),"")</f>
        <v>2</v>
      </c>
      <c r="AE198" s="5" t="str">
        <f ca="1">IFERROR(VLOOKUP($AB198,OFFSET([4]characters!$A$1,0,0,COUNTA([4]characters!$A:$A),MATCH(AE$1,[4]characters!$1:$1,0)-MATCH("character_id",[4]characters!$1:$1,0)+1),MATCH(AE$1,[4]characters!$1:$1,0)-MATCH("character_id",[4]characters!$1:$1,0)+1,FALSE),"")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98" s="8">
        <v>1</v>
      </c>
      <c r="AG198" s="27">
        <f t="shared" ref="AG198:AG203" ca="1" si="107">AD198</f>
        <v>2</v>
      </c>
      <c r="AH198" s="9">
        <v>0</v>
      </c>
      <c r="AI198" s="8">
        <v>0</v>
      </c>
      <c r="AJ198" s="8">
        <v>0</v>
      </c>
      <c r="AK198" s="8">
        <v>0</v>
      </c>
      <c r="AL198" s="8">
        <v>0</v>
      </c>
      <c r="AM198" s="8">
        <v>1</v>
      </c>
      <c r="AN198" s="8">
        <v>1</v>
      </c>
    </row>
    <row r="199" spans="1:40" ht="21" customHeight="1" x14ac:dyDescent="0.15">
      <c r="A199" s="17" t="str">
        <f t="shared" ca="1" si="105"/>
        <v>11005_2-4/27&lt;lv42&gt;s1</v>
      </c>
      <c r="B199" s="8">
        <v>11005</v>
      </c>
      <c r="C199" s="25">
        <v>2</v>
      </c>
      <c r="D199" s="2" t="str">
        <f t="shared" si="106"/>
        <v>11005_2</v>
      </c>
      <c r="E199" s="5" t="str">
        <f ca="1">VLOOKUP($B199,OFFSET([2]quests!$A$1,0,0,COUNTA([2]quests!$A:$A),MATCH(E$1,[2]quests!$1:$1,0)-MATCH($B$1,[2]quests!$1:$1,0)+1),MATCH(E$1,[2]quests!$1:$1,0)-MATCH($B$1,[2]quests!$1:$1,0)+1,FALSE)</f>
        <v>【金曜限定】 帽子屋を追え！</v>
      </c>
      <c r="F199" s="5" t="str">
        <f ca="1">VLOOKUP($D199,OFFSET([2]stages!$A$1,0,0,COUNTA([2]stages!$A:$A),MATCH(F$1,[2]stages!$2:$2,0)-MATCH($D$1,[2]stages!$2:$2,0)+1),MATCH(F$1,[2]stages!$2:$2,0)-MATCH($D$1,[2]stages!$2:$2,0)+1,FALSE)</f>
        <v xml:space="preserve">【超級】樹の帽子屋 </v>
      </c>
      <c r="G199" s="25">
        <v>4</v>
      </c>
      <c r="H199" s="16" t="str">
        <f t="shared" si="104"/>
        <v>11005_2-4</v>
      </c>
      <c r="I199" s="5">
        <f ca="1">VLOOKUP($H199,OFFSET(floors!$A$1,0,0,COUNTA(floors!$A:$A),MATCH(I$1,floors!$1:$1,0)-MATCH($H$1,floors!$1:$1,0)+1),MATCH(I$1,floors!$1:$1,0)-MATCH($H$1,floors!$1:$1,0)+1,FALSE)</f>
        <v>45</v>
      </c>
      <c r="J199" s="5">
        <f ca="1">VLOOKUP($H199,OFFSET(floors!$A$1,0,0,COUNTA(floors!$A:$A),MATCH(J$1,floors!$1:$1,0)-MATCH($H$1,floors!$1:$1,0)+1),MATCH(J$1,floors!$1:$1,0)-MATCH($H$1,floors!$1:$1,0)+1,FALSE)</f>
        <v>60</v>
      </c>
      <c r="K199" s="24" t="s">
        <v>197</v>
      </c>
      <c r="L199" s="24">
        <v>27</v>
      </c>
      <c r="M199" s="20" t="str">
        <f ca="1">VLOOKUP($L199,OFFSET([3]enemies!$A$1,0,0,COUNTA([3]enemies!$A:$A),MATCH(M$1,[3]enemies!$1:$1,0)-MATCH($L$1,[3]enemies!$1:$1,0)+1),MATCH(M$1,[3]enemies!$1:$1,0)-MATCH($L$1,[3]enemies!$1:$1,0)+1,FALSE)</f>
        <v>パトライン</v>
      </c>
      <c r="N199" s="20" t="str">
        <f ca="1">VLOOKUP($L199,OFFSET([3]enemies!$A$1,0,0,COUNTA([3]enemies!$A:$A),MATCH(N$1,[3]enemies!$1:$1,0)-MATCH($L$1,[3]enemies!$1:$1,0)+1),MATCH(N$1,[3]enemies!$1:$1,0)-MATCH($L$1,[3]enemies!$1:$1,0)+1,FALSE)</f>
        <v>green</v>
      </c>
      <c r="O199" s="22" t="str">
        <f ca="1">VLOOKUP($L199,OFFSET([4]characters!$A$1,0,0,COUNTA([4]characters!$A:$A),MATCH(O$1,[4]characters!$1:$1,0)-MATCH($L$1,[4]characters!$1:$1,0)+1),MATCH(O$1,[4]characters!$1:$1,0)-MATCH($L$1,[4]characters!$1:$1,0)+1,FALSE)</f>
        <v>Drop1N</v>
      </c>
      <c r="P199" s="20" t="str">
        <f ca="1">VLOOKUP($L199,OFFSET([3]enemies!$A$1,0,0,COUNTA([3]enemies!$A:$A),MATCH(P$1,[3]enemies!$1:$1,0)-MATCH($L$1,[3]enemies!$1:$1,0)+1),MATCH(P$1,[3]enemies!$1:$1,0)-MATCH($L$1,[3]enemies!$1:$1,0)+1,FALSE)</f>
        <v>machine</v>
      </c>
      <c r="Q199" s="20">
        <f ca="1">VLOOKUP($L199,OFFSET([3]enemies!$A$1,0,0,COUNTA([3]enemies!$A:$A),MATCH(Q$1,[3]enemies!$1:$1,0)-MATCH($L$1,[3]enemies!$1:$1,0)+1),MATCH(Q$1,[3]enemies!$1:$1,0)-MATCH($L$1,[3]enemies!$1:$1,0)+1,FALSE)</f>
        <v>15</v>
      </c>
      <c r="R199" s="6">
        <v>42</v>
      </c>
      <c r="S199" s="39">
        <v>1.2</v>
      </c>
      <c r="T199" s="39">
        <v>1</v>
      </c>
      <c r="U199" s="6">
        <v>0</v>
      </c>
      <c r="V199" s="5" t="str">
        <f ca="1">VLOOKUP($W199,OFFSET([5]enemy_skill_sets!$B$1,0,0,COUNTA([5]enemy_skill_sets!$B:$B),MATCH(M$1,[5]enemy_skill_sets!$1:$1,0)-MATCH($W$1,[5]enemy_skill_sets!$1:$1,0)+2),MATCH(M$1,[5]enemy_skill_sets!$1:$1,0)-MATCH($W$1,[5]enemy_skill_sets!$1:$1,0)+2,FALSE)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9" s="5">
        <f ca="1">VLOOKUP($L199,OFFSET([3]enemies!$A$1,0,0,COUNTA([3]enemies!$A:$A),MATCH(W$1,[3]enemies!$1:$1,0)-MATCH($L$1,[3]enemies!$1:$1,0)+1),MATCH(W$1,[3]enemies!$1:$1,0)-MATCH($L$1,[3]enemies!$1:$1,0)+1,FALSE)</f>
        <v>0</v>
      </c>
      <c r="X199" s="7">
        <v>0</v>
      </c>
      <c r="Y199" s="7">
        <v>100</v>
      </c>
      <c r="Z199" s="7">
        <v>0</v>
      </c>
      <c r="AA199" s="20">
        <f ca="1">VLOOKUP($L199,OFFSET([3]enemies!$A$1,0,0,COUNTA([3]enemies!$A:$A),MATCH(AA$1,[3]enemies!$1:$1,0)-MATCH($L$1,[3]enemies!$1:$1,0)+1),MATCH(AA$1,[3]enemies!$1:$1,0)-MATCH($L$1,[3]enemies!$1:$1,0)+1,FALSE)</f>
        <v>1</v>
      </c>
      <c r="AB199" s="24">
        <v>27</v>
      </c>
      <c r="AC199" s="5" t="str">
        <f ca="1">IFERROR(VLOOKUP($AB199,OFFSET([4]characters!$A$1,0,0,COUNTA([4]characters!$A:$A),MATCH(AC$1,[4]characters!$1:$1,0)-MATCH("character_id",[4]characters!$1:$1,0)+1),MATCH(AC$1,[4]characters!$1:$1,0)-MATCH("character_id",[4]characters!$1:$1,0)+1,FALSE),"")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199" s="5">
        <f ca="1">IFERROR(VLOOKUP($AB199,OFFSET([4]characters!$A$1,0,0,COUNTA([4]characters!$A:$A),MATCH(AD$1,[4]characters!$1:$1,0)-MATCH("character_id",[4]characters!$1:$1,0)+1),MATCH(AD$1,[4]characters!$1:$1,0)-MATCH("character_id",[4]characters!$1:$1,0)+1,FALSE),"")</f>
        <v>1</v>
      </c>
      <c r="AE199" s="5" t="str">
        <f ca="1">IFERROR(VLOOKUP($AB199,OFFSET([4]characters!$A$1,0,0,COUNTA([4]characters!$A:$A),MATCH(AE$1,[4]characters!$1:$1,0)-MATCH("character_id",[4]characters!$1:$1,0)+1),MATCH(AE$1,[4]characters!$1:$1,0)-MATCH("character_id",[4]characters!$1:$1,0)+1,FALSE),"")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99" s="8">
        <v>1</v>
      </c>
      <c r="AG199" s="27">
        <f t="shared" ca="1" si="107"/>
        <v>1</v>
      </c>
      <c r="AH199" s="9">
        <v>0</v>
      </c>
      <c r="AI199" s="8">
        <v>0</v>
      </c>
      <c r="AJ199" s="8">
        <v>0</v>
      </c>
      <c r="AK199" s="8">
        <v>0</v>
      </c>
      <c r="AL199" s="8">
        <v>0</v>
      </c>
      <c r="AM199" s="8">
        <v>1</v>
      </c>
      <c r="AN199" s="8">
        <v>1</v>
      </c>
    </row>
    <row r="200" spans="1:40" ht="21" customHeight="1" x14ac:dyDescent="0.15">
      <c r="A200" s="17" t="str">
        <f t="shared" ref="A200:A201" ca="1" si="108">B200&amp;"_"&amp;C200&amp;"-"&amp;G200&amp;"/"&amp;L200&amp;"&lt;lv"&amp;R200&amp;"&gt;s"&amp;AA200</f>
        <v>11005_2-5/35&lt;lv40&gt;s4</v>
      </c>
      <c r="B200" s="8">
        <v>11005</v>
      </c>
      <c r="C200" s="25">
        <v>2</v>
      </c>
      <c r="D200" s="2" t="str">
        <f t="shared" ref="D200:D201" si="109">B200&amp;"_"&amp;C200</f>
        <v>11005_2</v>
      </c>
      <c r="E200" s="5" t="str">
        <f ca="1">VLOOKUP($B200,OFFSET([2]quests!$A$1,0,0,COUNTA([2]quests!$A:$A),MATCH(E$1,[2]quests!$1:$1,0)-MATCH($B$1,[2]quests!$1:$1,0)+1),MATCH(E$1,[2]quests!$1:$1,0)-MATCH($B$1,[2]quests!$1:$1,0)+1,FALSE)</f>
        <v>【金曜限定】 帽子屋を追え！</v>
      </c>
      <c r="F200" s="5" t="str">
        <f ca="1">VLOOKUP($D200,OFFSET([2]stages!$A$1,0,0,COUNTA([2]stages!$A:$A),MATCH(F$1,[2]stages!$2:$2,0)-MATCH($D$1,[2]stages!$2:$2,0)+1),MATCH(F$1,[2]stages!$2:$2,0)-MATCH($D$1,[2]stages!$2:$2,0)+1,FALSE)</f>
        <v xml:space="preserve">【超級】樹の帽子屋 </v>
      </c>
      <c r="G200" s="25">
        <v>5</v>
      </c>
      <c r="H200" s="16" t="str">
        <f t="shared" si="104"/>
        <v>11005_2-5</v>
      </c>
      <c r="I200" s="5">
        <f ca="1">VLOOKUP($H200,OFFSET(floors!$A$1,0,0,COUNTA(floors!$A:$A),MATCH(I$1,floors!$1:$1,0)-MATCH($H$1,floors!$1:$1,0)+1),MATCH(I$1,floors!$1:$1,0)-MATCH($H$1,floors!$1:$1,0)+1,FALSE)</f>
        <v>60</v>
      </c>
      <c r="J200" s="5">
        <f ca="1">VLOOKUP($H200,OFFSET(floors!$A$1,0,0,COUNTA(floors!$A:$A),MATCH(J$1,floors!$1:$1,0)-MATCH($H$1,floors!$1:$1,0)+1),MATCH(J$1,floors!$1:$1,0)-MATCH($H$1,floors!$1:$1,0)+1,FALSE)</f>
        <v>60</v>
      </c>
      <c r="K200" s="24" t="s">
        <v>197</v>
      </c>
      <c r="L200" s="24">
        <v>35</v>
      </c>
      <c r="M200" s="20" t="str">
        <f ca="1">VLOOKUP($L200,OFFSET([3]enemies!$A$1,0,0,COUNTA([3]enemies!$A:$A),MATCH(M$1,[3]enemies!$1:$1,0)-MATCH($L$1,[3]enemies!$1:$1,0)+1),MATCH(M$1,[3]enemies!$1:$1,0)-MATCH($L$1,[3]enemies!$1:$1,0)+1,FALSE)</f>
        <v>F2</v>
      </c>
      <c r="N200" s="20" t="str">
        <f ca="1">VLOOKUP($L200,OFFSET([3]enemies!$A$1,0,0,COUNTA([3]enemies!$A:$A),MATCH(N$1,[3]enemies!$1:$1,0)-MATCH($L$1,[3]enemies!$1:$1,0)+1),MATCH(N$1,[3]enemies!$1:$1,0)-MATCH($L$1,[3]enemies!$1:$1,0)+1,FALSE)</f>
        <v>green</v>
      </c>
      <c r="O200" s="22" t="str">
        <f ca="1">VLOOKUP($L200,OFFSET([4]characters!$A$1,0,0,COUNTA([4]characters!$A:$A),MATCH(O$1,[4]characters!$1:$1,0)-MATCH($L$1,[4]characters!$1:$1,0)+1),MATCH(O$1,[4]characters!$1:$1,0)-MATCH($L$1,[4]characters!$1:$1,0)+1,FALSE)</f>
        <v>Drop1S</v>
      </c>
      <c r="P200" s="20" t="str">
        <f ca="1">VLOOKUP($L200,OFFSET([3]enemies!$A$1,0,0,COUNTA([3]enemies!$A:$A),MATCH(P$1,[3]enemies!$1:$1,0)-MATCH($L$1,[3]enemies!$1:$1,0)+1),MATCH(P$1,[3]enemies!$1:$1,0)-MATCH($L$1,[3]enemies!$1:$1,0)+1,FALSE)</f>
        <v>machine</v>
      </c>
      <c r="Q200" s="20">
        <f ca="1">VLOOKUP($L200,OFFSET([3]enemies!$A$1,0,0,COUNTA([3]enemies!$A:$A),MATCH(Q$1,[3]enemies!$1:$1,0)-MATCH($L$1,[3]enemies!$1:$1,0)+1),MATCH(Q$1,[3]enemies!$1:$1,0)-MATCH($L$1,[3]enemies!$1:$1,0)+1,FALSE)</f>
        <v>15</v>
      </c>
      <c r="R200" s="6">
        <v>40</v>
      </c>
      <c r="S200" s="39">
        <v>1.3</v>
      </c>
      <c r="T200" s="39">
        <v>0.8</v>
      </c>
      <c r="U200" s="6">
        <v>0</v>
      </c>
      <c r="V200" s="5" t="str">
        <f ca="1">VLOOKUP($W200,OFFSET([5]enemy_skill_sets!$B$1,0,0,COUNTA([5]enemy_skill_sets!$B:$B),MATCH(M$1,[5]enemy_skill_sets!$1:$1,0)-MATCH($W$1,[5]enemy_skill_sets!$1:$1,0)+2),MATCH(M$1,[5]enemy_skill_sets!$1:$1,0)-MATCH($W$1,[5]enemy_skill_sets!$1:$1,0)+2,FALSE)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00" s="5">
        <f ca="1">VLOOKUP($L200,OFFSET([3]enemies!$A$1,0,0,COUNTA([3]enemies!$A:$A),MATCH(W$1,[3]enemies!$1:$1,0)-MATCH($L$1,[3]enemies!$1:$1,0)+1),MATCH(W$1,[3]enemies!$1:$1,0)-MATCH($L$1,[3]enemies!$1:$1,0)+1,FALSE)</f>
        <v>35</v>
      </c>
      <c r="X200" s="7">
        <v>0</v>
      </c>
      <c r="Y200" s="7">
        <v>100</v>
      </c>
      <c r="Z200" s="7">
        <v>0</v>
      </c>
      <c r="AA200" s="20">
        <f ca="1">VLOOKUP($L200,OFFSET([3]enemies!$A$1,0,0,COUNTA([3]enemies!$A:$A),MATCH(AA$1,[3]enemies!$1:$1,0)-MATCH($L$1,[3]enemies!$1:$1,0)+1),MATCH(AA$1,[3]enemies!$1:$1,0)-MATCH($L$1,[3]enemies!$1:$1,0)+1,FALSE)</f>
        <v>4</v>
      </c>
      <c r="AB200" s="24">
        <v>35</v>
      </c>
      <c r="AC200" s="5" t="str">
        <f ca="1">IFERROR(VLOOKUP($AB200,OFFSET([4]characters!$A$1,0,0,COUNTA([4]characters!$A:$A),MATCH(AC$1,[4]characters!$1:$1,0)-MATCH("character_id",[4]characters!$1:$1,0)+1),MATCH(AC$1,[4]characters!$1:$1,0)-MATCH("character_id",[4]characters!$1:$1,0)+1,FALSE),"")</f>
        <v>F2</v>
      </c>
      <c r="AD200" s="5">
        <f ca="1">IFERROR(VLOOKUP($AB200,OFFSET([4]characters!$A$1,0,0,COUNTA([4]characters!$A:$A),MATCH(AD$1,[4]characters!$1:$1,0)-MATCH("character_id",[4]characters!$1:$1,0)+1),MATCH(AD$1,[4]characters!$1:$1,0)-MATCH("character_id",[4]characters!$1:$1,0)+1,FALSE),"")</f>
        <v>2</v>
      </c>
      <c r="AE200" s="5" t="str">
        <f ca="1">IFERROR(VLOOKUP($AB200,OFFSET([4]characters!$A$1,0,0,COUNTA([4]characters!$A:$A),MATCH(AE$1,[4]characters!$1:$1,0)-MATCH("character_id",[4]characters!$1:$1,0)+1),MATCH(AE$1,[4]characters!$1:$1,0)-MATCH("character_id",[4]characters!$1:$1,0)+1,FALSE),"")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00" s="8">
        <v>1</v>
      </c>
      <c r="AG200" s="27">
        <f t="shared" ref="AG200:AG201" ca="1" si="110">AD200</f>
        <v>2</v>
      </c>
      <c r="AH200" s="9">
        <v>0</v>
      </c>
      <c r="AI200" s="8">
        <v>0</v>
      </c>
      <c r="AJ200" s="8">
        <v>0</v>
      </c>
      <c r="AK200" s="8">
        <v>0</v>
      </c>
      <c r="AL200" s="8">
        <v>0</v>
      </c>
      <c r="AM200" s="8">
        <v>1</v>
      </c>
      <c r="AN200" s="8">
        <v>1</v>
      </c>
    </row>
    <row r="201" spans="1:40" ht="21" customHeight="1" x14ac:dyDescent="0.15">
      <c r="A201" s="17" t="str">
        <f t="shared" ca="1" si="108"/>
        <v>11005_2-5/27&lt;lv42&gt;s1</v>
      </c>
      <c r="B201" s="8">
        <v>11005</v>
      </c>
      <c r="C201" s="25">
        <v>2</v>
      </c>
      <c r="D201" s="2" t="str">
        <f t="shared" si="109"/>
        <v>11005_2</v>
      </c>
      <c r="E201" s="5" t="str">
        <f ca="1">VLOOKUP($B201,OFFSET([2]quests!$A$1,0,0,COUNTA([2]quests!$A:$A),MATCH(E$1,[2]quests!$1:$1,0)-MATCH($B$1,[2]quests!$1:$1,0)+1),MATCH(E$1,[2]quests!$1:$1,0)-MATCH($B$1,[2]quests!$1:$1,0)+1,FALSE)</f>
        <v>【金曜限定】 帽子屋を追え！</v>
      </c>
      <c r="F201" s="5" t="str">
        <f ca="1">VLOOKUP($D201,OFFSET([2]stages!$A$1,0,0,COUNTA([2]stages!$A:$A),MATCH(F$1,[2]stages!$2:$2,0)-MATCH($D$1,[2]stages!$2:$2,0)+1),MATCH(F$1,[2]stages!$2:$2,0)-MATCH($D$1,[2]stages!$2:$2,0)+1,FALSE)</f>
        <v xml:space="preserve">【超級】樹の帽子屋 </v>
      </c>
      <c r="G201" s="25">
        <v>5</v>
      </c>
      <c r="H201" s="16" t="str">
        <f t="shared" si="104"/>
        <v>11005_2-5</v>
      </c>
      <c r="I201" s="5">
        <f ca="1">VLOOKUP($H201,OFFSET(floors!$A$1,0,0,COUNTA(floors!$A:$A),MATCH(I$1,floors!$1:$1,0)-MATCH($H$1,floors!$1:$1,0)+1),MATCH(I$1,floors!$1:$1,0)-MATCH($H$1,floors!$1:$1,0)+1,FALSE)</f>
        <v>60</v>
      </c>
      <c r="J201" s="5">
        <f ca="1">VLOOKUP($H201,OFFSET(floors!$A$1,0,0,COUNTA(floors!$A:$A),MATCH(J$1,floors!$1:$1,0)-MATCH($H$1,floors!$1:$1,0)+1),MATCH(J$1,floors!$1:$1,0)-MATCH($H$1,floors!$1:$1,0)+1,FALSE)</f>
        <v>60</v>
      </c>
      <c r="K201" s="24" t="s">
        <v>197</v>
      </c>
      <c r="L201" s="24">
        <v>27</v>
      </c>
      <c r="M201" s="20" t="str">
        <f ca="1">VLOOKUP($L201,OFFSET([3]enemies!$A$1,0,0,COUNTA([3]enemies!$A:$A),MATCH(M$1,[3]enemies!$1:$1,0)-MATCH($L$1,[3]enemies!$1:$1,0)+1),MATCH(M$1,[3]enemies!$1:$1,0)-MATCH($L$1,[3]enemies!$1:$1,0)+1,FALSE)</f>
        <v>パトライン</v>
      </c>
      <c r="N201" s="20" t="str">
        <f ca="1">VLOOKUP($L201,OFFSET([3]enemies!$A$1,0,0,COUNTA([3]enemies!$A:$A),MATCH(N$1,[3]enemies!$1:$1,0)-MATCH($L$1,[3]enemies!$1:$1,0)+1),MATCH(N$1,[3]enemies!$1:$1,0)-MATCH($L$1,[3]enemies!$1:$1,0)+1,FALSE)</f>
        <v>green</v>
      </c>
      <c r="O201" s="22" t="str">
        <f ca="1">VLOOKUP($L201,OFFSET([4]characters!$A$1,0,0,COUNTA([4]characters!$A:$A),MATCH(O$1,[4]characters!$1:$1,0)-MATCH($L$1,[4]characters!$1:$1,0)+1),MATCH(O$1,[4]characters!$1:$1,0)-MATCH($L$1,[4]characters!$1:$1,0)+1,FALSE)</f>
        <v>Drop1N</v>
      </c>
      <c r="P201" s="20" t="str">
        <f ca="1">VLOOKUP($L201,OFFSET([3]enemies!$A$1,0,0,COUNTA([3]enemies!$A:$A),MATCH(P$1,[3]enemies!$1:$1,0)-MATCH($L$1,[3]enemies!$1:$1,0)+1),MATCH(P$1,[3]enemies!$1:$1,0)-MATCH($L$1,[3]enemies!$1:$1,0)+1,FALSE)</f>
        <v>machine</v>
      </c>
      <c r="Q201" s="20">
        <f ca="1">VLOOKUP($L201,OFFSET([3]enemies!$A$1,0,0,COUNTA([3]enemies!$A:$A),MATCH(Q$1,[3]enemies!$1:$1,0)-MATCH($L$1,[3]enemies!$1:$1,0)+1),MATCH(Q$1,[3]enemies!$1:$1,0)-MATCH($L$1,[3]enemies!$1:$1,0)+1,FALSE)</f>
        <v>15</v>
      </c>
      <c r="R201" s="6">
        <v>42</v>
      </c>
      <c r="S201" s="39">
        <v>1.2</v>
      </c>
      <c r="T201" s="39">
        <v>1</v>
      </c>
      <c r="U201" s="6">
        <v>0</v>
      </c>
      <c r="V201" s="5" t="str">
        <f ca="1">VLOOKUP($W201,OFFSET([5]enemy_skill_sets!$B$1,0,0,COUNTA([5]enemy_skill_sets!$B:$B),MATCH(M$1,[5]enemy_skill_sets!$1:$1,0)-MATCH($W$1,[5]enemy_skill_sets!$1:$1,0)+2),MATCH(M$1,[5]enemy_skill_sets!$1:$1,0)-MATCH($W$1,[5]enemy_skill_sets!$1:$1,0)+2,FALSE)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1" s="5">
        <f ca="1">VLOOKUP($L201,OFFSET([3]enemies!$A$1,0,0,COUNTA([3]enemies!$A:$A),MATCH(W$1,[3]enemies!$1:$1,0)-MATCH($L$1,[3]enemies!$1:$1,0)+1),MATCH(W$1,[3]enemies!$1:$1,0)-MATCH($L$1,[3]enemies!$1:$1,0)+1,FALSE)</f>
        <v>0</v>
      </c>
      <c r="X201" s="7">
        <v>0</v>
      </c>
      <c r="Y201" s="7">
        <v>100</v>
      </c>
      <c r="Z201" s="7">
        <v>0</v>
      </c>
      <c r="AA201" s="20">
        <f ca="1">VLOOKUP($L201,OFFSET([3]enemies!$A$1,0,0,COUNTA([3]enemies!$A:$A),MATCH(AA$1,[3]enemies!$1:$1,0)-MATCH($L$1,[3]enemies!$1:$1,0)+1),MATCH(AA$1,[3]enemies!$1:$1,0)-MATCH($L$1,[3]enemies!$1:$1,0)+1,FALSE)</f>
        <v>1</v>
      </c>
      <c r="AB201" s="24">
        <v>27</v>
      </c>
      <c r="AC201" s="5" t="str">
        <f ca="1">IFERROR(VLOOKUP($AB201,OFFSET([4]characters!$A$1,0,0,COUNTA([4]characters!$A:$A),MATCH(AC$1,[4]characters!$1:$1,0)-MATCH("character_id",[4]characters!$1:$1,0)+1),MATCH(AC$1,[4]characters!$1:$1,0)-MATCH("character_id",[4]characters!$1:$1,0)+1,FALSE),"")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201" s="5">
        <f ca="1">IFERROR(VLOOKUP($AB201,OFFSET([4]characters!$A$1,0,0,COUNTA([4]characters!$A:$A),MATCH(AD$1,[4]characters!$1:$1,0)-MATCH("character_id",[4]characters!$1:$1,0)+1),MATCH(AD$1,[4]characters!$1:$1,0)-MATCH("character_id",[4]characters!$1:$1,0)+1,FALSE),"")</f>
        <v>1</v>
      </c>
      <c r="AE201" s="5" t="str">
        <f ca="1">IFERROR(VLOOKUP($AB201,OFFSET([4]characters!$A$1,0,0,COUNTA([4]characters!$A:$A),MATCH(AE$1,[4]characters!$1:$1,0)-MATCH("character_id",[4]characters!$1:$1,0)+1),MATCH(AE$1,[4]characters!$1:$1,0)-MATCH("character_id",[4]characters!$1:$1,0)+1,FALSE),"")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01" s="8">
        <v>1</v>
      </c>
      <c r="AG201" s="27">
        <f t="shared" ca="1" si="110"/>
        <v>1</v>
      </c>
      <c r="AH201" s="9">
        <v>0</v>
      </c>
      <c r="AI201" s="8">
        <v>0</v>
      </c>
      <c r="AJ201" s="8">
        <v>0</v>
      </c>
      <c r="AK201" s="8">
        <v>0</v>
      </c>
      <c r="AL201" s="8">
        <v>0</v>
      </c>
      <c r="AM201" s="8">
        <v>1</v>
      </c>
      <c r="AN201" s="8">
        <v>1</v>
      </c>
    </row>
    <row r="202" spans="1:40" ht="21" customHeight="1" x14ac:dyDescent="0.15">
      <c r="A202" s="17" t="str">
        <f t="shared" ca="1" si="105"/>
        <v>11005_2-6/108&lt;lv40&gt;s2</v>
      </c>
      <c r="B202" s="8">
        <v>11005</v>
      </c>
      <c r="C202" s="25">
        <v>2</v>
      </c>
      <c r="D202" s="2" t="str">
        <f t="shared" si="106"/>
        <v>11005_2</v>
      </c>
      <c r="E202" s="5" t="str">
        <f ca="1">VLOOKUP($B202,OFFSET([2]quests!$A$1,0,0,COUNTA([2]quests!$A:$A),MATCH(E$1,[2]quests!$1:$1,0)-MATCH($B$1,[2]quests!$1:$1,0)+1),MATCH(E$1,[2]quests!$1:$1,0)-MATCH($B$1,[2]quests!$1:$1,0)+1,FALSE)</f>
        <v>【金曜限定】 帽子屋を追え！</v>
      </c>
      <c r="F202" s="5" t="str">
        <f ca="1">VLOOKUP($D202,OFFSET([2]stages!$A$1,0,0,COUNTA([2]stages!$A:$A),MATCH(F$1,[2]stages!$2:$2,0)-MATCH($D$1,[2]stages!$2:$2,0)+1),MATCH(F$1,[2]stages!$2:$2,0)-MATCH($D$1,[2]stages!$2:$2,0)+1,FALSE)</f>
        <v xml:space="preserve">【超級】樹の帽子屋 </v>
      </c>
      <c r="G202" s="25">
        <v>6</v>
      </c>
      <c r="H202" s="16" t="str">
        <f t="shared" si="104"/>
        <v>11005_2-6</v>
      </c>
      <c r="I202" s="5">
        <f ca="1">VLOOKUP($H202,OFFSET(floors!$A$1,0,0,COUNTA(floors!$A:$A),MATCH(I$1,floors!$1:$1,0)-MATCH($H$1,floors!$1:$1,0)+1),MATCH(I$1,floors!$1:$1,0)-MATCH($H$1,floors!$1:$1,0)+1,FALSE)</f>
        <v>60</v>
      </c>
      <c r="J202" s="5">
        <f ca="1">VLOOKUP($H202,OFFSET(floors!$A$1,0,0,COUNTA(floors!$A:$A),MATCH(J$1,floors!$1:$1,0)-MATCH($H$1,floors!$1:$1,0)+1),MATCH(J$1,floors!$1:$1,0)-MATCH($H$1,floors!$1:$1,0)+1,FALSE)</f>
        <v>60</v>
      </c>
      <c r="K202" s="24" t="s">
        <v>197</v>
      </c>
      <c r="L202" s="24">
        <v>108</v>
      </c>
      <c r="M202" s="20" t="str">
        <f ca="1">VLOOKUP($L202,OFFSET([3]enemies!$A$1,0,0,COUNTA([3]enemies!$A:$A),MATCH(M$1,[3]enemies!$1:$1,0)-MATCH($L$1,[3]enemies!$1:$1,0)+1),MATCH(M$1,[3]enemies!$1:$1,0)-MATCH($L$1,[3]enemies!$1:$1,0)+1,FALSE)</f>
        <v>森のマッドハッター</v>
      </c>
      <c r="N202" s="20" t="str">
        <f ca="1">VLOOKUP($L202,OFFSET([3]enemies!$A$1,0,0,COUNTA([3]enemies!$A:$A),MATCH(N$1,[3]enemies!$1:$1,0)-MATCH($L$1,[3]enemies!$1:$1,0)+1),MATCH(N$1,[3]enemies!$1:$1,0)-MATCH($L$1,[3]enemies!$1:$1,0)+1,FALSE)</f>
        <v>green</v>
      </c>
      <c r="O202" s="22" t="str">
        <f ca="1">VLOOKUP($L202,OFFSET([4]characters!$A$1,0,0,COUNTA([4]characters!$A:$A),MATCH(O$1,[4]characters!$1:$1,0)-MATCH($L$1,[4]characters!$1:$1,0)+1),MATCH(O$1,[4]characters!$1:$1,0)-MATCH($L$1,[4]characters!$1:$1,0)+1,FALSE)</f>
        <v>Material</v>
      </c>
      <c r="P202" s="20" t="str">
        <f ca="1">VLOOKUP($L202,OFFSET([3]enemies!$A$1,0,0,COUNTA([3]enemies!$A:$A),MATCH(P$1,[3]enemies!$1:$1,0)-MATCH($L$1,[3]enemies!$1:$1,0)+1),MATCH(P$1,[3]enemies!$1:$1,0)-MATCH($L$1,[3]enemies!$1:$1,0)+1,FALSE)</f>
        <v>unknown</v>
      </c>
      <c r="Q202" s="20">
        <f ca="1">VLOOKUP($L202,OFFSET([3]enemies!$A$1,0,0,COUNTA([3]enemies!$A:$A),MATCH(Q$1,[3]enemies!$1:$1,0)-MATCH($L$1,[3]enemies!$1:$1,0)+1),MATCH(Q$1,[3]enemies!$1:$1,0)-MATCH($L$1,[3]enemies!$1:$1,0)+1,FALSE)</f>
        <v>20</v>
      </c>
      <c r="R202" s="6">
        <v>40</v>
      </c>
      <c r="S202" s="39">
        <v>2</v>
      </c>
      <c r="T202" s="39">
        <v>1</v>
      </c>
      <c r="U202" s="6">
        <v>0</v>
      </c>
      <c r="V202" s="5" t="str">
        <f ca="1">VLOOKUP($W202,OFFSET([5]enemy_skill_sets!$B$1,0,0,COUNTA([5]enemy_skill_sets!$B:$B),MATCH(M$1,[5]enemy_skill_sets!$1:$1,0)-MATCH($W$1,[5]enemy_skill_sets!$1:$1,0)+2),MATCH(M$1,[5]enemy_skill_sets!$1:$1,0)-MATCH($W$1,[5]enemy_skill_sets!$1:$1,0)+2,FALSE)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2" s="5">
        <f ca="1">VLOOKUP($L202,OFFSET([3]enemies!$A$1,0,0,COUNTA([3]enemies!$A:$A),MATCH(W$1,[3]enemies!$1:$1,0)-MATCH($L$1,[3]enemies!$1:$1,0)+1),MATCH(W$1,[3]enemies!$1:$1,0)-MATCH($L$1,[3]enemies!$1:$1,0)+1,FALSE)</f>
        <v>0</v>
      </c>
      <c r="X202" s="7">
        <v>0</v>
      </c>
      <c r="Y202" s="7">
        <v>100</v>
      </c>
      <c r="Z202" s="7">
        <v>1</v>
      </c>
      <c r="AA202" s="20">
        <f ca="1">VLOOKUP($L202,OFFSET([3]enemies!$A$1,0,0,COUNTA([3]enemies!$A:$A),MATCH(AA$1,[3]enemies!$1:$1,0)-MATCH($L$1,[3]enemies!$1:$1,0)+1),MATCH(AA$1,[3]enemies!$1:$1,0)-MATCH($L$1,[3]enemies!$1:$1,0)+1,FALSE)</f>
        <v>2</v>
      </c>
      <c r="AB202" s="24">
        <v>108</v>
      </c>
      <c r="AC202" s="5" t="str">
        <f ca="1">IFERROR(VLOOKUP($AB202,OFFSET([4]characters!$A$1,0,0,COUNTA([4]characters!$A:$A),MATCH(AC$1,[4]characters!$1:$1,0)-MATCH("character_id",[4]characters!$1:$1,0)+1),MATCH(AC$1,[4]characters!$1:$1,0)-MATCH("character_id",[4]characters!$1:$1,0)+1,FALSE),"")</f>
        <v>森のマッドハッター</v>
      </c>
      <c r="AD202" s="5">
        <f ca="1">IFERROR(VLOOKUP($AB202,OFFSET([4]characters!$A$1,0,0,COUNTA([4]characters!$A:$A),MATCH(AD$1,[4]characters!$1:$1,0)-MATCH("character_id",[4]characters!$1:$1,0)+1),MATCH(AD$1,[4]characters!$1:$1,0)-MATCH("character_id",[4]characters!$1:$1,0)+1,FALSE),"")</f>
        <v>5</v>
      </c>
      <c r="AE202" s="5" t="str">
        <f ca="1">IFERROR(VLOOKUP($AB202,OFFSET([4]characters!$A$1,0,0,COUNTA([4]characters!$A:$A),MATCH(AE$1,[4]characters!$1:$1,0)-MATCH("character_id",[4]characters!$1:$1,0)+1),MATCH(AE$1,[4]characters!$1:$1,0)-MATCH("character_id",[4]characters!$1:$1,0)+1,FALSE),"")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2" s="8">
        <v>1</v>
      </c>
      <c r="AG202" s="27">
        <f t="shared" ca="1" si="107"/>
        <v>5</v>
      </c>
      <c r="AH202" s="9">
        <v>100</v>
      </c>
      <c r="AI202" s="8">
        <v>0</v>
      </c>
      <c r="AJ202" s="8">
        <v>0</v>
      </c>
      <c r="AK202" s="8">
        <v>0</v>
      </c>
      <c r="AL202" s="8">
        <v>0</v>
      </c>
      <c r="AM202" s="8">
        <v>1</v>
      </c>
      <c r="AN202" s="8">
        <v>1</v>
      </c>
    </row>
    <row r="203" spans="1:40" ht="21" customHeight="1" x14ac:dyDescent="0.15">
      <c r="A203" s="17" t="str">
        <f t="shared" ca="1" si="105"/>
        <v>11005_2-6/24&lt;lv45&gt;s4</v>
      </c>
      <c r="B203" s="8">
        <v>11005</v>
      </c>
      <c r="C203" s="25">
        <v>2</v>
      </c>
      <c r="D203" s="2" t="str">
        <f t="shared" si="106"/>
        <v>11005_2</v>
      </c>
      <c r="E203" s="5" t="str">
        <f ca="1">VLOOKUP($B203,OFFSET([2]quests!$A$1,0,0,COUNTA([2]quests!$A:$A),MATCH(E$1,[2]quests!$1:$1,0)-MATCH($B$1,[2]quests!$1:$1,0)+1),MATCH(E$1,[2]quests!$1:$1,0)-MATCH($B$1,[2]quests!$1:$1,0)+1,FALSE)</f>
        <v>【金曜限定】 帽子屋を追え！</v>
      </c>
      <c r="F203" s="5" t="str">
        <f ca="1">VLOOKUP($D203,OFFSET([2]stages!$A$1,0,0,COUNTA([2]stages!$A:$A),MATCH(F$1,[2]stages!$2:$2,0)-MATCH($D$1,[2]stages!$2:$2,0)+1),MATCH(F$1,[2]stages!$2:$2,0)-MATCH($D$1,[2]stages!$2:$2,0)+1,FALSE)</f>
        <v xml:space="preserve">【超級】樹の帽子屋 </v>
      </c>
      <c r="G203" s="25">
        <v>6</v>
      </c>
      <c r="H203" s="16" t="str">
        <f t="shared" si="104"/>
        <v>11005_2-6</v>
      </c>
      <c r="I203" s="5">
        <f ca="1">VLOOKUP($H203,OFFSET(floors!$A$1,0,0,COUNTA(floors!$A:$A),MATCH(I$1,floors!$1:$1,0)-MATCH($H$1,floors!$1:$1,0)+1),MATCH(I$1,floors!$1:$1,0)-MATCH($H$1,floors!$1:$1,0)+1,FALSE)</f>
        <v>60</v>
      </c>
      <c r="J203" s="5">
        <f ca="1">VLOOKUP($H203,OFFSET(floors!$A$1,0,0,COUNTA(floors!$A:$A),MATCH(J$1,floors!$1:$1,0)-MATCH($H$1,floors!$1:$1,0)+1),MATCH(J$1,floors!$1:$1,0)-MATCH($H$1,floors!$1:$1,0)+1,FALSE)</f>
        <v>60</v>
      </c>
      <c r="K203" s="24" t="s">
        <v>197</v>
      </c>
      <c r="L203" s="24">
        <v>24</v>
      </c>
      <c r="M203" s="20" t="str">
        <f ca="1">VLOOKUP($L203,OFFSET([3]enemies!$A$1,0,0,COUNTA([3]enemies!$A:$A),MATCH(M$1,[3]enemies!$1:$1,0)-MATCH($L$1,[3]enemies!$1:$1,0)+1),MATCH(M$1,[3]enemies!$1:$1,0)-MATCH($L$1,[3]enemies!$1:$1,0)+1,FALSE)</f>
        <v>天翔のミール</v>
      </c>
      <c r="N203" s="20" t="str">
        <f ca="1">VLOOKUP($L203,OFFSET([3]enemies!$A$1,0,0,COUNTA([3]enemies!$A:$A),MATCH(N$1,[3]enemies!$1:$1,0)-MATCH($L$1,[3]enemies!$1:$1,0)+1),MATCH(N$1,[3]enemies!$1:$1,0)-MATCH($L$1,[3]enemies!$1:$1,0)+1,FALSE)</f>
        <v>green</v>
      </c>
      <c r="O203" s="22" t="str">
        <f ca="1">VLOOKUP($L203,OFFSET([4]characters!$A$1,0,0,COUNTA([4]characters!$A:$A),MATCH(O$1,[4]characters!$1:$1,0)-MATCH($L$1,[4]characters!$1:$1,0)+1),MATCH(O$1,[4]characters!$1:$1,0)-MATCH($L$1,[4]characters!$1:$1,0)+1,FALSE)</f>
        <v>Drop1N</v>
      </c>
      <c r="P203" s="20" t="str">
        <f ca="1">VLOOKUP($L203,OFFSET([3]enemies!$A$1,0,0,COUNTA([3]enemies!$A:$A),MATCH(P$1,[3]enemies!$1:$1,0)-MATCH($L$1,[3]enemies!$1:$1,0)+1),MATCH(P$1,[3]enemies!$1:$1,0)-MATCH($L$1,[3]enemies!$1:$1,0)+1,FALSE)</f>
        <v>animal</v>
      </c>
      <c r="Q203" s="20">
        <f ca="1">VLOOKUP($L203,OFFSET([3]enemies!$A$1,0,0,COUNTA([3]enemies!$A:$A),MATCH(Q$1,[3]enemies!$1:$1,0)-MATCH($L$1,[3]enemies!$1:$1,0)+1),MATCH(Q$1,[3]enemies!$1:$1,0)-MATCH($L$1,[3]enemies!$1:$1,0)+1,FALSE)</f>
        <v>15</v>
      </c>
      <c r="R203" s="6">
        <v>45</v>
      </c>
      <c r="S203" s="39">
        <v>1.5</v>
      </c>
      <c r="T203" s="39">
        <v>1</v>
      </c>
      <c r="U203" s="6">
        <v>0</v>
      </c>
      <c r="V203" s="5" t="str">
        <f ca="1">VLOOKUP($W203,OFFSET([5]enemy_skill_sets!$B$1,0,0,COUNTA([5]enemy_skill_sets!$B:$B),MATCH(M$1,[5]enemy_skill_sets!$1:$1,0)-MATCH($W$1,[5]enemy_skill_sets!$1:$1,0)+2),MATCH(M$1,[5]enemy_skill_sets!$1:$1,0)-MATCH($W$1,[5]enemy_skill_sets!$1:$1,0)+2,FALSE)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3" s="5">
        <f ca="1">VLOOKUP($L203,OFFSET([3]enemies!$A$1,0,0,COUNTA([3]enemies!$A:$A),MATCH(W$1,[3]enemies!$1:$1,0)-MATCH($L$1,[3]enemies!$1:$1,0)+1),MATCH(W$1,[3]enemies!$1:$1,0)-MATCH($L$1,[3]enemies!$1:$1,0)+1,FALSE)</f>
        <v>0</v>
      </c>
      <c r="X203" s="7">
        <v>0</v>
      </c>
      <c r="Y203" s="7">
        <v>100</v>
      </c>
      <c r="Z203" s="7">
        <v>0</v>
      </c>
      <c r="AA203" s="20">
        <f ca="1">VLOOKUP($L203,OFFSET([3]enemies!$A$1,0,0,COUNTA([3]enemies!$A:$A),MATCH(AA$1,[3]enemies!$1:$1,0)-MATCH($L$1,[3]enemies!$1:$1,0)+1),MATCH(AA$1,[3]enemies!$1:$1,0)-MATCH($L$1,[3]enemies!$1:$1,0)+1,FALSE)</f>
        <v>4</v>
      </c>
      <c r="AB203" s="24">
        <v>23</v>
      </c>
      <c r="AC203" s="5" t="str">
        <f ca="1">IFERROR(VLOOKUP($AB203,OFFSET([4]characters!$A$1,0,0,COUNTA([4]characters!$A:$A),MATCH(AC$1,[4]characters!$1:$1,0)-MATCH("character_id",[4]characters!$1:$1,0)+1),MATCH(AC$1,[4]characters!$1:$1,0)-MATCH("character_id",[4]characters!$1:$1,0)+1,FALSE),"")</f>
        <v>ミール</v>
      </c>
      <c r="AD203" s="5">
        <f ca="1">IFERROR(VLOOKUP($AB203,OFFSET([4]characters!$A$1,0,0,COUNTA([4]characters!$A:$A),MATCH(AD$1,[4]characters!$1:$1,0)-MATCH("character_id",[4]characters!$1:$1,0)+1),MATCH(AD$1,[4]characters!$1:$1,0)-MATCH("character_id",[4]characters!$1:$1,0)+1,FALSE),"")</f>
        <v>1</v>
      </c>
      <c r="AE203" s="5" t="str">
        <f ca="1">IFERROR(VLOOKUP($AB203,OFFSET([4]characters!$A$1,0,0,COUNTA([4]characters!$A:$A),MATCH(AE$1,[4]characters!$1:$1,0)-MATCH("character_id",[4]characters!$1:$1,0)+1),MATCH(AE$1,[4]characters!$1:$1,0)-MATCH("character_id",[4]characters!$1:$1,0)+1,FALSE),"")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03" s="8">
        <v>1</v>
      </c>
      <c r="AG203" s="27">
        <f t="shared" ca="1" si="107"/>
        <v>1</v>
      </c>
      <c r="AH203" s="9">
        <v>0</v>
      </c>
      <c r="AI203" s="8">
        <v>0</v>
      </c>
      <c r="AJ203" s="8">
        <v>0</v>
      </c>
      <c r="AK203" s="8">
        <v>0</v>
      </c>
      <c r="AL203" s="8">
        <v>0</v>
      </c>
      <c r="AM203" s="8">
        <v>1</v>
      </c>
      <c r="AN203" s="8">
        <v>1</v>
      </c>
    </row>
    <row r="204" spans="1:40" ht="21" customHeight="1" x14ac:dyDescent="0.15">
      <c r="A204" s="17" t="str">
        <f t="shared" ref="A204:A219" ca="1" si="111">B204&amp;"_"&amp;C204&amp;"-"&amp;G204&amp;"/"&amp;L204&amp;"&lt;lv"&amp;R204&amp;"&gt;s"&amp;AA204</f>
        <v>11005_3-1/37&lt;lv42&gt;s3</v>
      </c>
      <c r="B204" s="8">
        <v>11005</v>
      </c>
      <c r="C204" s="25">
        <v>3</v>
      </c>
      <c r="D204" s="2" t="str">
        <f t="shared" ref="D204:D219" si="112">B204&amp;"_"&amp;C204</f>
        <v>11005_3</v>
      </c>
      <c r="E204" s="5" t="str">
        <f ca="1">VLOOKUP($B204,OFFSET([2]quests!$A$1,0,0,COUNTA([2]quests!$A:$A),MATCH(E$1,[2]quests!$1:$1,0)-MATCH($B$1,[2]quests!$1:$1,0)+1),MATCH(E$1,[2]quests!$1:$1,0)-MATCH($B$1,[2]quests!$1:$1,0)+1,FALSE)</f>
        <v>【金曜限定】 帽子屋を追え！</v>
      </c>
      <c r="F204" s="5" t="str">
        <f ca="1">VLOOKUP($D204,OFFSET([2]stages!$A$1,0,0,COUNTA([2]stages!$A:$A),MATCH(F$1,[2]stages!$2:$2,0)-MATCH($D$1,[2]stages!$2:$2,0)+1),MATCH(F$1,[2]stages!$2:$2,0)-MATCH($D$1,[2]stages!$2:$2,0)+1,FALSE)</f>
        <v xml:space="preserve">【超級】水の帽子屋 </v>
      </c>
      <c r="G204" s="25">
        <v>1</v>
      </c>
      <c r="H204" s="16" t="str">
        <f t="shared" si="104"/>
        <v>11005_3-1</v>
      </c>
      <c r="I204" s="5">
        <f ca="1">VLOOKUP($H204,OFFSET(floors!$A$1,0,0,COUNTA(floors!$A:$A),MATCH(I$1,floors!$1:$1,0)-MATCH($H$1,floors!$1:$1,0)+1),MATCH(I$1,floors!$1:$1,0)-MATCH($H$1,floors!$1:$1,0)+1,FALSE)</f>
        <v>30</v>
      </c>
      <c r="J204" s="5">
        <f ca="1">VLOOKUP($H204,OFFSET(floors!$A$1,0,0,COUNTA(floors!$A:$A),MATCH(J$1,floors!$1:$1,0)-MATCH($H$1,floors!$1:$1,0)+1),MATCH(J$1,floors!$1:$1,0)-MATCH($H$1,floors!$1:$1,0)+1,FALSE)</f>
        <v>45</v>
      </c>
      <c r="K204" s="24" t="s">
        <v>197</v>
      </c>
      <c r="L204" s="24">
        <v>37</v>
      </c>
      <c r="M204" s="20" t="str">
        <f ca="1">VLOOKUP($L204,OFFSET([3]enemies!$A$1,0,0,COUNTA([3]enemies!$A:$A),MATCH(M$1,[3]enemies!$1:$1,0)-MATCH($L$1,[3]enemies!$1:$1,0)+1),MATCH(M$1,[3]enemies!$1:$1,0)-MATCH($L$1,[3]enemies!$1:$1,0)+1,FALSE)</f>
        <v>ガイル</v>
      </c>
      <c r="N204" s="20" t="str">
        <f ca="1">VLOOKUP($L204,OFFSET([3]enemies!$A$1,0,0,COUNTA([3]enemies!$A:$A),MATCH(N$1,[3]enemies!$1:$1,0)-MATCH($L$1,[3]enemies!$1:$1,0)+1),MATCH(N$1,[3]enemies!$1:$1,0)-MATCH($L$1,[3]enemies!$1:$1,0)+1,FALSE)</f>
        <v>blue</v>
      </c>
      <c r="O204" s="22" t="str">
        <f ca="1">VLOOKUP($L204,OFFSET([4]characters!$A$1,0,0,COUNTA([4]characters!$A:$A),MATCH(O$1,[4]characters!$1:$1,0)-MATCH($L$1,[4]characters!$1:$1,0)+1),MATCH(O$1,[4]characters!$1:$1,0)-MATCH($L$1,[4]characters!$1:$1,0)+1,FALSE)</f>
        <v>Drop1S</v>
      </c>
      <c r="P204" s="20" t="str">
        <f ca="1">VLOOKUP($L204,OFFSET([3]enemies!$A$1,0,0,COUNTA([3]enemies!$A:$A),MATCH(P$1,[3]enemies!$1:$1,0)-MATCH($L$1,[3]enemies!$1:$1,0)+1),MATCH(P$1,[3]enemies!$1:$1,0)-MATCH($L$1,[3]enemies!$1:$1,0)+1,FALSE)</f>
        <v>animal</v>
      </c>
      <c r="Q204" s="20">
        <f ca="1">VLOOKUP($L204,OFFSET([3]enemies!$A$1,0,0,COUNTA([3]enemies!$A:$A),MATCH(Q$1,[3]enemies!$1:$1,0)-MATCH($L$1,[3]enemies!$1:$1,0)+1),MATCH(Q$1,[3]enemies!$1:$1,0)-MATCH($L$1,[3]enemies!$1:$1,0)+1,FALSE)</f>
        <v>15</v>
      </c>
      <c r="R204" s="6">
        <v>42</v>
      </c>
      <c r="S204" s="39">
        <v>1</v>
      </c>
      <c r="T204" s="39">
        <v>1</v>
      </c>
      <c r="U204" s="6">
        <v>0</v>
      </c>
      <c r="V204" s="5" t="str">
        <f ca="1">VLOOKUP($W204,OFFSET([5]enemy_skill_sets!$B$1,0,0,COUNTA([5]enemy_skill_sets!$B:$B),MATCH(M$1,[5]enemy_skill_sets!$1:$1,0)-MATCH($W$1,[5]enemy_skill_sets!$1:$1,0)+2),MATCH(M$1,[5]enemy_skill_sets!$1:$1,0)-MATCH($W$1,[5]enemy_skill_sets!$1:$1,0)+2,FALSE)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04" s="5">
        <f ca="1">VLOOKUP($L204,OFFSET([3]enemies!$A$1,0,0,COUNTA([3]enemies!$A:$A),MATCH(W$1,[3]enemies!$1:$1,0)-MATCH($L$1,[3]enemies!$1:$1,0)+1),MATCH(W$1,[3]enemies!$1:$1,0)-MATCH($L$1,[3]enemies!$1:$1,0)+1,FALSE)</f>
        <v>37</v>
      </c>
      <c r="X204" s="7">
        <v>0</v>
      </c>
      <c r="Y204" s="7">
        <v>100</v>
      </c>
      <c r="Z204" s="7">
        <v>0</v>
      </c>
      <c r="AA204" s="20">
        <f ca="1">VLOOKUP($L204,OFFSET([3]enemies!$A$1,0,0,COUNTA([3]enemies!$A:$A),MATCH(AA$1,[3]enemies!$1:$1,0)-MATCH($L$1,[3]enemies!$1:$1,0)+1),MATCH(AA$1,[3]enemies!$1:$1,0)-MATCH($L$1,[3]enemies!$1:$1,0)+1,FALSE)</f>
        <v>3</v>
      </c>
      <c r="AB204" s="24">
        <v>37</v>
      </c>
      <c r="AC204" s="5" t="str">
        <f ca="1">IFERROR(VLOOKUP($AB204,OFFSET([4]characters!$A$1,0,0,COUNTA([4]characters!$A:$A),MATCH(AC$1,[4]characters!$1:$1,0)-MATCH("character_id",[4]characters!$1:$1,0)+1),MATCH(AC$1,[4]characters!$1:$1,0)-MATCH("character_id",[4]characters!$1:$1,0)+1,FALSE),"")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04" s="5">
        <f ca="1">IFERROR(VLOOKUP($AB204,OFFSET([4]characters!$A$1,0,0,COUNTA([4]characters!$A:$A),MATCH(AD$1,[4]characters!$1:$1,0)-MATCH("character_id",[4]characters!$1:$1,0)+1),MATCH(AD$1,[4]characters!$1:$1,0)-MATCH("character_id",[4]characters!$1:$1,0)+1,FALSE),"")</f>
        <v>2</v>
      </c>
      <c r="AE204" s="5" t="str">
        <f ca="1">IFERROR(VLOOKUP($AB204,OFFSET([4]characters!$A$1,0,0,COUNTA([4]characters!$A:$A),MATCH(AE$1,[4]characters!$1:$1,0)-MATCH("character_id",[4]characters!$1:$1,0)+1),MATCH(AE$1,[4]characters!$1:$1,0)-MATCH("character_id",[4]characters!$1:$1,0)+1,FALSE),"")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04" s="8">
        <v>1</v>
      </c>
      <c r="AG204" s="27">
        <f t="shared" ref="AG204:AG219" ca="1" si="113">AD204</f>
        <v>2</v>
      </c>
      <c r="AH204" s="9">
        <v>0</v>
      </c>
      <c r="AI204" s="8">
        <v>0</v>
      </c>
      <c r="AJ204" s="8">
        <v>0</v>
      </c>
      <c r="AK204" s="8">
        <v>0</v>
      </c>
      <c r="AL204" s="8">
        <v>0</v>
      </c>
      <c r="AM204" s="8">
        <v>1</v>
      </c>
      <c r="AN204" s="8">
        <v>1</v>
      </c>
    </row>
    <row r="205" spans="1:40" ht="21" customHeight="1" x14ac:dyDescent="0.15">
      <c r="A205" s="17" t="str">
        <f t="shared" ca="1" si="111"/>
        <v>11005_3-1/29&lt;lv42&gt;s2</v>
      </c>
      <c r="B205" s="8">
        <v>11005</v>
      </c>
      <c r="C205" s="25">
        <v>3</v>
      </c>
      <c r="D205" s="2" t="str">
        <f t="shared" si="112"/>
        <v>11005_3</v>
      </c>
      <c r="E205" s="5" t="str">
        <f ca="1">VLOOKUP($B205,OFFSET([2]quests!$A$1,0,0,COUNTA([2]quests!$A:$A),MATCH(E$1,[2]quests!$1:$1,0)-MATCH($B$1,[2]quests!$1:$1,0)+1),MATCH(E$1,[2]quests!$1:$1,0)-MATCH($B$1,[2]quests!$1:$1,0)+1,FALSE)</f>
        <v>【金曜限定】 帽子屋を追え！</v>
      </c>
      <c r="F205" s="5" t="str">
        <f ca="1">VLOOKUP($D205,OFFSET([2]stages!$A$1,0,0,COUNTA([2]stages!$A:$A),MATCH(F$1,[2]stages!$2:$2,0)-MATCH($D$1,[2]stages!$2:$2,0)+1),MATCH(F$1,[2]stages!$2:$2,0)-MATCH($D$1,[2]stages!$2:$2,0)+1,FALSE)</f>
        <v xml:space="preserve">【超級】水の帽子屋 </v>
      </c>
      <c r="G205" s="25">
        <v>1</v>
      </c>
      <c r="H205" s="16" t="str">
        <f t="shared" si="104"/>
        <v>11005_3-1</v>
      </c>
      <c r="I205" s="5">
        <f ca="1">VLOOKUP($H205,OFFSET(floors!$A$1,0,0,COUNTA(floors!$A:$A),MATCH(I$1,floors!$1:$1,0)-MATCH($H$1,floors!$1:$1,0)+1),MATCH(I$1,floors!$1:$1,0)-MATCH($H$1,floors!$1:$1,0)+1,FALSE)</f>
        <v>30</v>
      </c>
      <c r="J205" s="5">
        <f ca="1">VLOOKUP($H205,OFFSET(floors!$A$1,0,0,COUNTA(floors!$A:$A),MATCH(J$1,floors!$1:$1,0)-MATCH($H$1,floors!$1:$1,0)+1),MATCH(J$1,floors!$1:$1,0)-MATCH($H$1,floors!$1:$1,0)+1,FALSE)</f>
        <v>45</v>
      </c>
      <c r="K205" s="24" t="s">
        <v>197</v>
      </c>
      <c r="L205" s="24">
        <v>29</v>
      </c>
      <c r="M205" s="20" t="str">
        <f ca="1">VLOOKUP($L205,OFFSET([3]enemies!$A$1,0,0,COUNTA([3]enemies!$A:$A),MATCH(M$1,[3]enemies!$1:$1,0)-MATCH($L$1,[3]enemies!$1:$1,0)+1),MATCH(M$1,[3]enemies!$1:$1,0)-MATCH($L$1,[3]enemies!$1:$1,0)+1,FALSE)</f>
        <v>スケアクロウ</v>
      </c>
      <c r="N205" s="20" t="str">
        <f ca="1">VLOOKUP($L205,OFFSET([3]enemies!$A$1,0,0,COUNTA([3]enemies!$A:$A),MATCH(N$1,[3]enemies!$1:$1,0)-MATCH($L$1,[3]enemies!$1:$1,0)+1),MATCH(N$1,[3]enemies!$1:$1,0)-MATCH($L$1,[3]enemies!$1:$1,0)+1,FALSE)</f>
        <v>blue</v>
      </c>
      <c r="O205" s="22" t="str">
        <f ca="1">VLOOKUP($L205,OFFSET([4]characters!$A$1,0,0,COUNTA([4]characters!$A:$A),MATCH(O$1,[4]characters!$1:$1,0)-MATCH($L$1,[4]characters!$1:$1,0)+1),MATCH(O$1,[4]characters!$1:$1,0)-MATCH($L$1,[4]characters!$1:$1,0)+1,FALSE)</f>
        <v>Drop1N</v>
      </c>
      <c r="P205" s="20" t="str">
        <f ca="1">VLOOKUP($L205,OFFSET([3]enemies!$A$1,0,0,COUNTA([3]enemies!$A:$A),MATCH(P$1,[3]enemies!$1:$1,0)-MATCH($L$1,[3]enemies!$1:$1,0)+1),MATCH(P$1,[3]enemies!$1:$1,0)-MATCH($L$1,[3]enemies!$1:$1,0)+1,FALSE)</f>
        <v>machine</v>
      </c>
      <c r="Q205" s="20">
        <f ca="1">VLOOKUP($L205,OFFSET([3]enemies!$A$1,0,0,COUNTA([3]enemies!$A:$A),MATCH(Q$1,[3]enemies!$1:$1,0)-MATCH($L$1,[3]enemies!$1:$1,0)+1),MATCH(Q$1,[3]enemies!$1:$1,0)-MATCH($L$1,[3]enemies!$1:$1,0)+1,FALSE)</f>
        <v>15</v>
      </c>
      <c r="R205" s="6">
        <v>42</v>
      </c>
      <c r="S205" s="39">
        <v>1</v>
      </c>
      <c r="T205" s="39">
        <v>1</v>
      </c>
      <c r="U205" s="6">
        <v>0</v>
      </c>
      <c r="V205" s="5" t="str">
        <f ca="1">VLOOKUP($W205,OFFSET([5]enemy_skill_sets!$B$1,0,0,COUNTA([5]enemy_skill_sets!$B:$B),MATCH(M$1,[5]enemy_skill_sets!$1:$1,0)-MATCH($W$1,[5]enemy_skill_sets!$1:$1,0)+2),MATCH(M$1,[5]enemy_skill_sets!$1:$1,0)-MATCH($W$1,[5]enemy_skill_sets!$1:$1,0)+2,FALSE)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5" s="5">
        <f ca="1">VLOOKUP($L205,OFFSET([3]enemies!$A$1,0,0,COUNTA([3]enemies!$A:$A),MATCH(W$1,[3]enemies!$1:$1,0)-MATCH($L$1,[3]enemies!$1:$1,0)+1),MATCH(W$1,[3]enemies!$1:$1,0)-MATCH($L$1,[3]enemies!$1:$1,0)+1,FALSE)</f>
        <v>0</v>
      </c>
      <c r="X205" s="7">
        <v>0</v>
      </c>
      <c r="Y205" s="7">
        <v>100</v>
      </c>
      <c r="Z205" s="7">
        <v>0</v>
      </c>
      <c r="AA205" s="20">
        <f ca="1">VLOOKUP($L205,OFFSET([3]enemies!$A$1,0,0,COUNTA([3]enemies!$A:$A),MATCH(AA$1,[3]enemies!$1:$1,0)-MATCH($L$1,[3]enemies!$1:$1,0)+1),MATCH(AA$1,[3]enemies!$1:$1,0)-MATCH($L$1,[3]enemies!$1:$1,0)+1,FALSE)</f>
        <v>2</v>
      </c>
      <c r="AB205" s="24">
        <v>29</v>
      </c>
      <c r="AC205" s="5" t="str">
        <f ca="1">IFERROR(VLOOKUP($AB205,OFFSET([4]characters!$A$1,0,0,COUNTA([4]characters!$A:$A),MATCH(AC$1,[4]characters!$1:$1,0)-MATCH("character_id",[4]characters!$1:$1,0)+1),MATCH(AC$1,[4]characters!$1:$1,0)-MATCH("character_id",[4]characters!$1:$1,0)+1,FALSE),"")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05" s="5">
        <f ca="1">IFERROR(VLOOKUP($AB205,OFFSET([4]characters!$A$1,0,0,COUNTA([4]characters!$A:$A),MATCH(AD$1,[4]characters!$1:$1,0)-MATCH("character_id",[4]characters!$1:$1,0)+1),MATCH(AD$1,[4]characters!$1:$1,0)-MATCH("character_id",[4]characters!$1:$1,0)+1,FALSE),"")</f>
        <v>1</v>
      </c>
      <c r="AE205" s="5" t="str">
        <f ca="1">IFERROR(VLOOKUP($AB205,OFFSET([4]characters!$A$1,0,0,COUNTA([4]characters!$A:$A),MATCH(AE$1,[4]characters!$1:$1,0)-MATCH("character_id",[4]characters!$1:$1,0)+1),MATCH(AE$1,[4]characters!$1:$1,0)-MATCH("character_id",[4]characters!$1:$1,0)+1,FALSE),"")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05" s="8">
        <v>1</v>
      </c>
      <c r="AG205" s="27">
        <f t="shared" ca="1" si="113"/>
        <v>1</v>
      </c>
      <c r="AH205" s="9">
        <v>0</v>
      </c>
      <c r="AI205" s="8">
        <v>0</v>
      </c>
      <c r="AJ205" s="8">
        <v>0</v>
      </c>
      <c r="AK205" s="8">
        <v>0</v>
      </c>
      <c r="AL205" s="8">
        <v>0</v>
      </c>
      <c r="AM205" s="8">
        <v>1</v>
      </c>
      <c r="AN205" s="8">
        <v>1</v>
      </c>
    </row>
    <row r="206" spans="1:40" ht="21" customHeight="1" x14ac:dyDescent="0.15">
      <c r="A206" s="17" t="str">
        <f t="shared" ref="A206:A211" ca="1" si="114">B206&amp;"_"&amp;C206&amp;"-"&amp;G206&amp;"/"&amp;L206&amp;"&lt;lv"&amp;R206&amp;"&gt;s"&amp;AA206</f>
        <v>11005_3-2/37&lt;lv42&gt;s3</v>
      </c>
      <c r="B206" s="8">
        <v>11005</v>
      </c>
      <c r="C206" s="25">
        <v>3</v>
      </c>
      <c r="D206" s="2" t="str">
        <f t="shared" ref="D206:D211" si="115">B206&amp;"_"&amp;C206</f>
        <v>11005_3</v>
      </c>
      <c r="E206" s="5" t="str">
        <f ca="1">VLOOKUP($B206,OFFSET([2]quests!$A$1,0,0,COUNTA([2]quests!$A:$A),MATCH(E$1,[2]quests!$1:$1,0)-MATCH($B$1,[2]quests!$1:$1,0)+1),MATCH(E$1,[2]quests!$1:$1,0)-MATCH($B$1,[2]quests!$1:$1,0)+1,FALSE)</f>
        <v>【金曜限定】 帽子屋を追え！</v>
      </c>
      <c r="F206" s="5" t="str">
        <f ca="1">VLOOKUP($D206,OFFSET([2]stages!$A$1,0,0,COUNTA([2]stages!$A:$A),MATCH(F$1,[2]stages!$2:$2,0)-MATCH($D$1,[2]stages!$2:$2,0)+1),MATCH(F$1,[2]stages!$2:$2,0)-MATCH($D$1,[2]stages!$2:$2,0)+1,FALSE)</f>
        <v xml:space="preserve">【超級】水の帽子屋 </v>
      </c>
      <c r="G206" s="25">
        <v>2</v>
      </c>
      <c r="H206" s="16" t="str">
        <f t="shared" si="104"/>
        <v>11005_3-2</v>
      </c>
      <c r="I206" s="5">
        <f ca="1">VLOOKUP($H206,OFFSET(floors!$A$1,0,0,COUNTA(floors!$A:$A),MATCH(I$1,floors!$1:$1,0)-MATCH($H$1,floors!$1:$1,0)+1),MATCH(I$1,floors!$1:$1,0)-MATCH($H$1,floors!$1:$1,0)+1,FALSE)</f>
        <v>45</v>
      </c>
      <c r="J206" s="5">
        <f ca="1">VLOOKUP($H206,OFFSET(floors!$A$1,0,0,COUNTA(floors!$A:$A),MATCH(J$1,floors!$1:$1,0)-MATCH($H$1,floors!$1:$1,0)+1),MATCH(J$1,floors!$1:$1,0)-MATCH($H$1,floors!$1:$1,0)+1,FALSE)</f>
        <v>60</v>
      </c>
      <c r="K206" s="24" t="s">
        <v>197</v>
      </c>
      <c r="L206" s="24">
        <v>37</v>
      </c>
      <c r="M206" s="20" t="str">
        <f ca="1">VLOOKUP($L206,OFFSET([3]enemies!$A$1,0,0,COUNTA([3]enemies!$A:$A),MATCH(M$1,[3]enemies!$1:$1,0)-MATCH($L$1,[3]enemies!$1:$1,0)+1),MATCH(M$1,[3]enemies!$1:$1,0)-MATCH($L$1,[3]enemies!$1:$1,0)+1,FALSE)</f>
        <v>ガイル</v>
      </c>
      <c r="N206" s="20" t="str">
        <f ca="1">VLOOKUP($L206,OFFSET([3]enemies!$A$1,0,0,COUNTA([3]enemies!$A:$A),MATCH(N$1,[3]enemies!$1:$1,0)-MATCH($L$1,[3]enemies!$1:$1,0)+1),MATCH(N$1,[3]enemies!$1:$1,0)-MATCH($L$1,[3]enemies!$1:$1,0)+1,FALSE)</f>
        <v>blue</v>
      </c>
      <c r="O206" s="22" t="str">
        <f ca="1">VLOOKUP($L206,OFFSET([4]characters!$A$1,0,0,COUNTA([4]characters!$A:$A),MATCH(O$1,[4]characters!$1:$1,0)-MATCH($L$1,[4]characters!$1:$1,0)+1),MATCH(O$1,[4]characters!$1:$1,0)-MATCH($L$1,[4]characters!$1:$1,0)+1,FALSE)</f>
        <v>Drop1S</v>
      </c>
      <c r="P206" s="20" t="str">
        <f ca="1">VLOOKUP($L206,OFFSET([3]enemies!$A$1,0,0,COUNTA([3]enemies!$A:$A),MATCH(P$1,[3]enemies!$1:$1,0)-MATCH($L$1,[3]enemies!$1:$1,0)+1),MATCH(P$1,[3]enemies!$1:$1,0)-MATCH($L$1,[3]enemies!$1:$1,0)+1,FALSE)</f>
        <v>animal</v>
      </c>
      <c r="Q206" s="20">
        <f ca="1">VLOOKUP($L206,OFFSET([3]enemies!$A$1,0,0,COUNTA([3]enemies!$A:$A),MATCH(Q$1,[3]enemies!$1:$1,0)-MATCH($L$1,[3]enemies!$1:$1,0)+1),MATCH(Q$1,[3]enemies!$1:$1,0)-MATCH($L$1,[3]enemies!$1:$1,0)+1,FALSE)</f>
        <v>15</v>
      </c>
      <c r="R206" s="6">
        <v>42</v>
      </c>
      <c r="S206" s="39">
        <v>1</v>
      </c>
      <c r="T206" s="39">
        <v>1</v>
      </c>
      <c r="U206" s="6">
        <v>0</v>
      </c>
      <c r="V206" s="5" t="str">
        <f ca="1">VLOOKUP($W206,OFFSET([5]enemy_skill_sets!$B$1,0,0,COUNTA([5]enemy_skill_sets!$B:$B),MATCH(M$1,[5]enemy_skill_sets!$1:$1,0)-MATCH($W$1,[5]enemy_skill_sets!$1:$1,0)+2),MATCH(M$1,[5]enemy_skill_sets!$1:$1,0)-MATCH($W$1,[5]enemy_skill_sets!$1:$1,0)+2,FALSE)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06" s="5">
        <f ca="1">VLOOKUP($L206,OFFSET([3]enemies!$A$1,0,0,COUNTA([3]enemies!$A:$A),MATCH(W$1,[3]enemies!$1:$1,0)-MATCH($L$1,[3]enemies!$1:$1,0)+1),MATCH(W$1,[3]enemies!$1:$1,0)-MATCH($L$1,[3]enemies!$1:$1,0)+1,FALSE)</f>
        <v>37</v>
      </c>
      <c r="X206" s="7">
        <v>0</v>
      </c>
      <c r="Y206" s="7">
        <v>100</v>
      </c>
      <c r="Z206" s="7">
        <v>0</v>
      </c>
      <c r="AA206" s="20">
        <f ca="1">VLOOKUP($L206,OFFSET([3]enemies!$A$1,0,0,COUNTA([3]enemies!$A:$A),MATCH(AA$1,[3]enemies!$1:$1,0)-MATCH($L$1,[3]enemies!$1:$1,0)+1),MATCH(AA$1,[3]enemies!$1:$1,0)-MATCH($L$1,[3]enemies!$1:$1,0)+1,FALSE)</f>
        <v>3</v>
      </c>
      <c r="AB206" s="24">
        <v>37</v>
      </c>
      <c r="AC206" s="5" t="str">
        <f ca="1">IFERROR(VLOOKUP($AB206,OFFSET([4]characters!$A$1,0,0,COUNTA([4]characters!$A:$A),MATCH(AC$1,[4]characters!$1:$1,0)-MATCH("character_id",[4]characters!$1:$1,0)+1),MATCH(AC$1,[4]characters!$1:$1,0)-MATCH("character_id",[4]characters!$1:$1,0)+1,FALSE),"")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06" s="5">
        <f ca="1">IFERROR(VLOOKUP($AB206,OFFSET([4]characters!$A$1,0,0,COUNTA([4]characters!$A:$A),MATCH(AD$1,[4]characters!$1:$1,0)-MATCH("character_id",[4]characters!$1:$1,0)+1),MATCH(AD$1,[4]characters!$1:$1,0)-MATCH("character_id",[4]characters!$1:$1,0)+1,FALSE),"")</f>
        <v>2</v>
      </c>
      <c r="AE206" s="5" t="str">
        <f ca="1">IFERROR(VLOOKUP($AB206,OFFSET([4]characters!$A$1,0,0,COUNTA([4]characters!$A:$A),MATCH(AE$1,[4]characters!$1:$1,0)-MATCH("character_id",[4]characters!$1:$1,0)+1),MATCH(AE$1,[4]characters!$1:$1,0)-MATCH("character_id",[4]characters!$1:$1,0)+1,FALSE),"")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06" s="8">
        <v>1</v>
      </c>
      <c r="AG206" s="27">
        <f t="shared" ref="AG206:AG211" ca="1" si="116">AD206</f>
        <v>2</v>
      </c>
      <c r="AH206" s="9">
        <v>0</v>
      </c>
      <c r="AI206" s="8">
        <v>0</v>
      </c>
      <c r="AJ206" s="8">
        <v>0</v>
      </c>
      <c r="AK206" s="8">
        <v>0</v>
      </c>
      <c r="AL206" s="8">
        <v>0</v>
      </c>
      <c r="AM206" s="8">
        <v>1</v>
      </c>
      <c r="AN206" s="8">
        <v>1</v>
      </c>
    </row>
    <row r="207" spans="1:40" ht="21" customHeight="1" x14ac:dyDescent="0.15">
      <c r="A207" s="17" t="str">
        <f t="shared" ca="1" si="114"/>
        <v>11005_3-2/29&lt;lv42&gt;s2</v>
      </c>
      <c r="B207" s="8">
        <v>11005</v>
      </c>
      <c r="C207" s="25">
        <v>3</v>
      </c>
      <c r="D207" s="2" t="str">
        <f t="shared" si="115"/>
        <v>11005_3</v>
      </c>
      <c r="E207" s="5" t="str">
        <f ca="1">VLOOKUP($B207,OFFSET([2]quests!$A$1,0,0,COUNTA([2]quests!$A:$A),MATCH(E$1,[2]quests!$1:$1,0)-MATCH($B$1,[2]quests!$1:$1,0)+1),MATCH(E$1,[2]quests!$1:$1,0)-MATCH($B$1,[2]quests!$1:$1,0)+1,FALSE)</f>
        <v>【金曜限定】 帽子屋を追え！</v>
      </c>
      <c r="F207" s="5" t="str">
        <f ca="1">VLOOKUP($D207,OFFSET([2]stages!$A$1,0,0,COUNTA([2]stages!$A:$A),MATCH(F$1,[2]stages!$2:$2,0)-MATCH($D$1,[2]stages!$2:$2,0)+1),MATCH(F$1,[2]stages!$2:$2,0)-MATCH($D$1,[2]stages!$2:$2,0)+1,FALSE)</f>
        <v xml:space="preserve">【超級】水の帽子屋 </v>
      </c>
      <c r="G207" s="25">
        <v>2</v>
      </c>
      <c r="H207" s="16" t="str">
        <f t="shared" si="104"/>
        <v>11005_3-2</v>
      </c>
      <c r="I207" s="5">
        <f ca="1">VLOOKUP($H207,OFFSET(floors!$A$1,0,0,COUNTA(floors!$A:$A),MATCH(I$1,floors!$1:$1,0)-MATCH($H$1,floors!$1:$1,0)+1),MATCH(I$1,floors!$1:$1,0)-MATCH($H$1,floors!$1:$1,0)+1,FALSE)</f>
        <v>45</v>
      </c>
      <c r="J207" s="5">
        <f ca="1">VLOOKUP($H207,OFFSET(floors!$A$1,0,0,COUNTA(floors!$A:$A),MATCH(J$1,floors!$1:$1,0)-MATCH($H$1,floors!$1:$1,0)+1),MATCH(J$1,floors!$1:$1,0)-MATCH($H$1,floors!$1:$1,0)+1,FALSE)</f>
        <v>60</v>
      </c>
      <c r="K207" s="24" t="s">
        <v>197</v>
      </c>
      <c r="L207" s="24">
        <v>29</v>
      </c>
      <c r="M207" s="20" t="str">
        <f ca="1">VLOOKUP($L207,OFFSET([3]enemies!$A$1,0,0,COUNTA([3]enemies!$A:$A),MATCH(M$1,[3]enemies!$1:$1,0)-MATCH($L$1,[3]enemies!$1:$1,0)+1),MATCH(M$1,[3]enemies!$1:$1,0)-MATCH($L$1,[3]enemies!$1:$1,0)+1,FALSE)</f>
        <v>スケアクロウ</v>
      </c>
      <c r="N207" s="20" t="str">
        <f ca="1">VLOOKUP($L207,OFFSET([3]enemies!$A$1,0,0,COUNTA([3]enemies!$A:$A),MATCH(N$1,[3]enemies!$1:$1,0)-MATCH($L$1,[3]enemies!$1:$1,0)+1),MATCH(N$1,[3]enemies!$1:$1,0)-MATCH($L$1,[3]enemies!$1:$1,0)+1,FALSE)</f>
        <v>blue</v>
      </c>
      <c r="O207" s="22" t="str">
        <f ca="1">VLOOKUP($L207,OFFSET([4]characters!$A$1,0,0,COUNTA([4]characters!$A:$A),MATCH(O$1,[4]characters!$1:$1,0)-MATCH($L$1,[4]characters!$1:$1,0)+1),MATCH(O$1,[4]characters!$1:$1,0)-MATCH($L$1,[4]characters!$1:$1,0)+1,FALSE)</f>
        <v>Drop1N</v>
      </c>
      <c r="P207" s="20" t="str">
        <f ca="1">VLOOKUP($L207,OFFSET([3]enemies!$A$1,0,0,COUNTA([3]enemies!$A:$A),MATCH(P$1,[3]enemies!$1:$1,0)-MATCH($L$1,[3]enemies!$1:$1,0)+1),MATCH(P$1,[3]enemies!$1:$1,0)-MATCH($L$1,[3]enemies!$1:$1,0)+1,FALSE)</f>
        <v>machine</v>
      </c>
      <c r="Q207" s="20">
        <f ca="1">VLOOKUP($L207,OFFSET([3]enemies!$A$1,0,0,COUNTA([3]enemies!$A:$A),MATCH(Q$1,[3]enemies!$1:$1,0)-MATCH($L$1,[3]enemies!$1:$1,0)+1),MATCH(Q$1,[3]enemies!$1:$1,0)-MATCH($L$1,[3]enemies!$1:$1,0)+1,FALSE)</f>
        <v>15</v>
      </c>
      <c r="R207" s="6">
        <v>42</v>
      </c>
      <c r="S207" s="39">
        <v>1</v>
      </c>
      <c r="T207" s="39">
        <v>1</v>
      </c>
      <c r="U207" s="6">
        <v>0</v>
      </c>
      <c r="V207" s="5" t="str">
        <f ca="1">VLOOKUP($W207,OFFSET([5]enemy_skill_sets!$B$1,0,0,COUNTA([5]enemy_skill_sets!$B:$B),MATCH(M$1,[5]enemy_skill_sets!$1:$1,0)-MATCH($W$1,[5]enemy_skill_sets!$1:$1,0)+2),MATCH(M$1,[5]enemy_skill_sets!$1:$1,0)-MATCH($W$1,[5]enemy_skill_sets!$1:$1,0)+2,FALSE)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7" s="5">
        <f ca="1">VLOOKUP($L207,OFFSET([3]enemies!$A$1,0,0,COUNTA([3]enemies!$A:$A),MATCH(W$1,[3]enemies!$1:$1,0)-MATCH($L$1,[3]enemies!$1:$1,0)+1),MATCH(W$1,[3]enemies!$1:$1,0)-MATCH($L$1,[3]enemies!$1:$1,0)+1,FALSE)</f>
        <v>0</v>
      </c>
      <c r="X207" s="7">
        <v>0</v>
      </c>
      <c r="Y207" s="7">
        <v>100</v>
      </c>
      <c r="Z207" s="7">
        <v>0</v>
      </c>
      <c r="AA207" s="20">
        <f ca="1">VLOOKUP($L207,OFFSET([3]enemies!$A$1,0,0,COUNTA([3]enemies!$A:$A),MATCH(AA$1,[3]enemies!$1:$1,0)-MATCH($L$1,[3]enemies!$1:$1,0)+1),MATCH(AA$1,[3]enemies!$1:$1,0)-MATCH($L$1,[3]enemies!$1:$1,0)+1,FALSE)</f>
        <v>2</v>
      </c>
      <c r="AB207" s="24">
        <v>29</v>
      </c>
      <c r="AC207" s="5" t="str">
        <f ca="1">IFERROR(VLOOKUP($AB207,OFFSET([4]characters!$A$1,0,0,COUNTA([4]characters!$A:$A),MATCH(AC$1,[4]characters!$1:$1,0)-MATCH("character_id",[4]characters!$1:$1,0)+1),MATCH(AC$1,[4]characters!$1:$1,0)-MATCH("character_id",[4]characters!$1:$1,0)+1,FALSE),"")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07" s="5">
        <f ca="1">IFERROR(VLOOKUP($AB207,OFFSET([4]characters!$A$1,0,0,COUNTA([4]characters!$A:$A),MATCH(AD$1,[4]characters!$1:$1,0)-MATCH("character_id",[4]characters!$1:$1,0)+1),MATCH(AD$1,[4]characters!$1:$1,0)-MATCH("character_id",[4]characters!$1:$1,0)+1,FALSE),"")</f>
        <v>1</v>
      </c>
      <c r="AE207" s="5" t="str">
        <f ca="1">IFERROR(VLOOKUP($AB207,OFFSET([4]characters!$A$1,0,0,COUNTA([4]characters!$A:$A),MATCH(AE$1,[4]characters!$1:$1,0)-MATCH("character_id",[4]characters!$1:$1,0)+1),MATCH(AE$1,[4]characters!$1:$1,0)-MATCH("character_id",[4]characters!$1:$1,0)+1,FALSE),"")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07" s="8">
        <v>1</v>
      </c>
      <c r="AG207" s="27">
        <f t="shared" ca="1" si="116"/>
        <v>1</v>
      </c>
      <c r="AH207" s="9">
        <v>0</v>
      </c>
      <c r="AI207" s="8">
        <v>0</v>
      </c>
      <c r="AJ207" s="8">
        <v>0</v>
      </c>
      <c r="AK207" s="8">
        <v>0</v>
      </c>
      <c r="AL207" s="8">
        <v>0</v>
      </c>
      <c r="AM207" s="8">
        <v>1</v>
      </c>
      <c r="AN207" s="8">
        <v>1</v>
      </c>
    </row>
    <row r="208" spans="1:40" ht="21" customHeight="1" x14ac:dyDescent="0.15">
      <c r="A208" s="17" t="str">
        <f t="shared" ca="1" si="114"/>
        <v>11005_3-3/139&lt;lv50&gt;s2</v>
      </c>
      <c r="B208" s="8">
        <v>11005</v>
      </c>
      <c r="C208" s="25">
        <v>3</v>
      </c>
      <c r="D208" s="2" t="str">
        <f t="shared" si="115"/>
        <v>11005_3</v>
      </c>
      <c r="E208" s="5" t="str">
        <f ca="1">VLOOKUP($B208,OFFSET([2]quests!$A$1,0,0,COUNTA([2]quests!$A:$A),MATCH(E$1,[2]quests!$1:$1,0)-MATCH($B$1,[2]quests!$1:$1,0)+1),MATCH(E$1,[2]quests!$1:$1,0)-MATCH($B$1,[2]quests!$1:$1,0)+1,FALSE)</f>
        <v>【金曜限定】 帽子屋を追え！</v>
      </c>
      <c r="F208" s="5" t="str">
        <f ca="1">VLOOKUP($D208,OFFSET([2]stages!$A$1,0,0,COUNTA([2]stages!$A:$A),MATCH(F$1,[2]stages!$2:$2,0)-MATCH($D$1,[2]stages!$2:$2,0)+1),MATCH(F$1,[2]stages!$2:$2,0)-MATCH($D$1,[2]stages!$2:$2,0)+1,FALSE)</f>
        <v xml:space="preserve">【超級】水の帽子屋 </v>
      </c>
      <c r="G208" s="25">
        <v>3</v>
      </c>
      <c r="H208" s="16" t="str">
        <f t="shared" si="104"/>
        <v>11005_3-3</v>
      </c>
      <c r="I208" s="5">
        <f ca="1">VLOOKUP($H208,OFFSET(floors!$A$1,0,0,COUNTA(floors!$A:$A),MATCH(I$1,floors!$1:$1,0)-MATCH($H$1,floors!$1:$1,0)+1),MATCH(I$1,floors!$1:$1,0)-MATCH($H$1,floors!$1:$1,0)+1,FALSE)</f>
        <v>50</v>
      </c>
      <c r="J208" s="5">
        <f ca="1">VLOOKUP($H208,OFFSET(floors!$A$1,0,0,COUNTA(floors!$A:$A),MATCH(J$1,floors!$1:$1,0)-MATCH($H$1,floors!$1:$1,0)+1),MATCH(J$1,floors!$1:$1,0)-MATCH($H$1,floors!$1:$1,0)+1,FALSE)</f>
        <v>60</v>
      </c>
      <c r="K208" s="24" t="s">
        <v>197</v>
      </c>
      <c r="L208" s="24">
        <v>139</v>
      </c>
      <c r="M208" s="20" t="str">
        <f ca="1">VLOOKUP($L208,OFFSET([3]enemies!$A$1,0,0,COUNTA([3]enemies!$A:$A),MATCH(M$1,[3]enemies!$1:$1,0)-MATCH($L$1,[3]enemies!$1:$1,0)+1),MATCH(M$1,[3]enemies!$1:$1,0)-MATCH($L$1,[3]enemies!$1:$1,0)+1,FALSE)</f>
        <v>蒼昇刃姫 トモエ</v>
      </c>
      <c r="N208" s="20" t="str">
        <f ca="1">VLOOKUP($L208,OFFSET([3]enemies!$A$1,0,0,COUNTA([3]enemies!$A:$A),MATCH(N$1,[3]enemies!$1:$1,0)-MATCH($L$1,[3]enemies!$1:$1,0)+1),MATCH(N$1,[3]enemies!$1:$1,0)-MATCH($L$1,[3]enemies!$1:$1,0)+1,FALSE)</f>
        <v>blue</v>
      </c>
      <c r="O208" s="22" t="str">
        <f ca="1">VLOOKUP($L208,OFFSET([4]characters!$A$1,0,0,COUNTA([4]characters!$A:$A),MATCH(O$1,[4]characters!$1:$1,0)-MATCH($L$1,[4]characters!$1:$1,0)+1),MATCH(O$1,[4]characters!$1:$1,0)-MATCH($L$1,[4]characters!$1:$1,0)+1,FALSE)</f>
        <v>PremiumW</v>
      </c>
      <c r="P208" s="20" t="str">
        <f ca="1">VLOOKUP($L208,OFFSET([3]enemies!$A$1,0,0,COUNTA([3]enemies!$A:$A),MATCH(P$1,[3]enemies!$1:$1,0)-MATCH($L$1,[3]enemies!$1:$1,0)+1),MATCH(P$1,[3]enemies!$1:$1,0)-MATCH($L$1,[3]enemies!$1:$1,0)+1,FALSE)</f>
        <v>human</v>
      </c>
      <c r="Q208" s="20">
        <f ca="1">VLOOKUP($L208,OFFSET([3]enemies!$A$1,0,0,COUNTA([3]enemies!$A:$A),MATCH(Q$1,[3]enemies!$1:$1,0)-MATCH($L$1,[3]enemies!$1:$1,0)+1),MATCH(Q$1,[3]enemies!$1:$1,0)-MATCH($L$1,[3]enemies!$1:$1,0)+1,FALSE)</f>
        <v>30</v>
      </c>
      <c r="R208" s="6">
        <v>50</v>
      </c>
      <c r="S208" s="39">
        <v>1</v>
      </c>
      <c r="T208" s="39">
        <v>1</v>
      </c>
      <c r="U208" s="6">
        <v>0</v>
      </c>
      <c r="V208" s="5" t="str">
        <f ca="1">VLOOKUP($W208,OFFSET([5]enemy_skill_sets!$B$1,0,0,COUNTA([5]enemy_skill_sets!$B:$B),MATCH(M$1,[5]enemy_skill_sets!$1:$1,0)-MATCH($W$1,[5]enemy_skill_sets!$1:$1,0)+2),MATCH(M$1,[5]enemy_skill_sets!$1:$1,0)-MATCH($W$1,[5]enemy_skill_sets!$1:$1,0)+2,FALSE)</f>
        <v>攻撃力×1.5倍の攻撃</v>
      </c>
      <c r="W208" s="5">
        <f ca="1">VLOOKUP($L208,OFFSET([3]enemies!$A$1,0,0,COUNTA([3]enemies!$A:$A),MATCH(W$1,[3]enemies!$1:$1,0)-MATCH($L$1,[3]enemies!$1:$1,0)+1),MATCH(W$1,[3]enemies!$1:$1,0)-MATCH($L$1,[3]enemies!$1:$1,0)+1,FALSE)</f>
        <v>139</v>
      </c>
      <c r="X208" s="7">
        <v>0</v>
      </c>
      <c r="Y208" s="7">
        <v>80</v>
      </c>
      <c r="Z208" s="7">
        <v>1</v>
      </c>
      <c r="AA208" s="20">
        <f ca="1">VLOOKUP($L208,OFFSET([3]enemies!$A$1,0,0,COUNTA([3]enemies!$A:$A),MATCH(AA$1,[3]enemies!$1:$1,0)-MATCH($L$1,[3]enemies!$1:$1,0)+1),MATCH(AA$1,[3]enemies!$1:$1,0)-MATCH($L$1,[3]enemies!$1:$1,0)+1,FALSE)</f>
        <v>2</v>
      </c>
      <c r="AB208" s="24">
        <v>138</v>
      </c>
      <c r="AC208" s="5" t="str">
        <f ca="1">IFERROR(VLOOKUP($AB208,OFFSET([4]characters!$A$1,0,0,COUNTA([4]characters!$A:$A),MATCH(AC$1,[4]characters!$1:$1,0)-MATCH("character_id",[4]characters!$1:$1,0)+1),MATCH(AC$1,[4]characters!$1:$1,0)-MATCH("character_id",[4]characters!$1:$1,0)+1,FALSE),"")</f>
        <v>蒼薙のトモエ</v>
      </c>
      <c r="AD208" s="5">
        <f ca="1">IFERROR(VLOOKUP($AB208,OFFSET([4]characters!$A$1,0,0,COUNTA([4]characters!$A:$A),MATCH(AD$1,[4]characters!$1:$1,0)-MATCH("character_id",[4]characters!$1:$1,0)+1),MATCH(AD$1,[4]characters!$1:$1,0)-MATCH("character_id",[4]characters!$1:$1,0)+1,FALSE),"")</f>
        <v>3</v>
      </c>
      <c r="AE208" s="5" t="str">
        <f ca="1">IFERROR(VLOOKUP($AB208,OFFSET([4]characters!$A$1,0,0,COUNTA([4]characters!$A:$A),MATCH(AE$1,[4]characters!$1:$1,0)-MATCH("character_id",[4]characters!$1:$1,0)+1),MATCH(AE$1,[4]characters!$1:$1,0)-MATCH("character_id",[4]characters!$1:$1,0)+1,FALSE),"")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08" s="8">
        <v>1</v>
      </c>
      <c r="AG208" s="27">
        <f t="shared" ca="1" si="116"/>
        <v>3</v>
      </c>
      <c r="AH208" s="9">
        <v>0</v>
      </c>
      <c r="AI208" s="8">
        <v>0</v>
      </c>
      <c r="AJ208" s="8">
        <v>0</v>
      </c>
      <c r="AK208" s="8">
        <v>0</v>
      </c>
      <c r="AL208" s="8">
        <v>0</v>
      </c>
      <c r="AM208" s="8">
        <v>1</v>
      </c>
      <c r="AN208" s="8">
        <v>1</v>
      </c>
    </row>
    <row r="209" spans="1:40" ht="21" customHeight="1" x14ac:dyDescent="0.15">
      <c r="A209" s="17" t="str">
        <f t="shared" ca="1" si="114"/>
        <v>11005_3-3/342&lt;lv1&gt;s3</v>
      </c>
      <c r="B209" s="8">
        <v>11005</v>
      </c>
      <c r="C209" s="25">
        <v>3</v>
      </c>
      <c r="D209" s="2" t="str">
        <f t="shared" si="115"/>
        <v>11005_3</v>
      </c>
      <c r="E209" s="5" t="str">
        <f ca="1">VLOOKUP($B209,OFFSET([2]quests!$A$1,0,0,COUNTA([2]quests!$A:$A),MATCH(E$1,[2]quests!$1:$1,0)-MATCH($B$1,[2]quests!$1:$1,0)+1),MATCH(E$1,[2]quests!$1:$1,0)-MATCH($B$1,[2]quests!$1:$1,0)+1,FALSE)</f>
        <v>【金曜限定】 帽子屋を追え！</v>
      </c>
      <c r="F209" s="5" t="str">
        <f ca="1">VLOOKUP($D209,OFFSET([2]stages!$A$1,0,0,COUNTA([2]stages!$A:$A),MATCH(F$1,[2]stages!$2:$2,0)-MATCH($D$1,[2]stages!$2:$2,0)+1),MATCH(F$1,[2]stages!$2:$2,0)-MATCH($D$1,[2]stages!$2:$2,0)+1,FALSE)</f>
        <v xml:space="preserve">【超級】水の帽子屋 </v>
      </c>
      <c r="G209" s="25">
        <v>3</v>
      </c>
      <c r="H209" s="16" t="str">
        <f t="shared" si="104"/>
        <v>11005_3-3</v>
      </c>
      <c r="I209" s="5">
        <f ca="1">VLOOKUP($H209,OFFSET(floors!$A$1,0,0,COUNTA(floors!$A:$A),MATCH(I$1,floors!$1:$1,0)-MATCH($H$1,floors!$1:$1,0)+1),MATCH(I$1,floors!$1:$1,0)-MATCH($H$1,floors!$1:$1,0)+1,FALSE)</f>
        <v>50</v>
      </c>
      <c r="J209" s="5">
        <f ca="1">VLOOKUP($H209,OFFSET(floors!$A$1,0,0,COUNTA(floors!$A:$A),MATCH(J$1,floors!$1:$1,0)-MATCH($H$1,floors!$1:$1,0)+1),MATCH(J$1,floors!$1:$1,0)-MATCH($H$1,floors!$1:$1,0)+1,FALSE)</f>
        <v>60</v>
      </c>
      <c r="K209" s="24" t="s">
        <v>197</v>
      </c>
      <c r="L209" s="24">
        <v>342</v>
      </c>
      <c r="M209" s="20" t="str">
        <f ca="1">VLOOKUP($L209,OFFSET([3]enemies!$A$1,0,0,COUNTA([3]enemies!$A:$A),MATCH(M$1,[3]enemies!$1:$1,0)-MATCH($L$1,[3]enemies!$1:$1,0)+1),MATCH(M$1,[3]enemies!$1:$1,0)-MATCH($L$1,[3]enemies!$1:$1,0)+1,FALSE)</f>
        <v>水のメタルダック</v>
      </c>
      <c r="N209" s="20" t="str">
        <f ca="1">VLOOKUP($L209,OFFSET([3]enemies!$A$1,0,0,COUNTA([3]enemies!$A:$A),MATCH(N$1,[3]enemies!$1:$1,0)-MATCH($L$1,[3]enemies!$1:$1,0)+1),MATCH(N$1,[3]enemies!$1:$1,0)-MATCH($L$1,[3]enemies!$1:$1,0)+1,FALSE)</f>
        <v>blue</v>
      </c>
      <c r="O209" s="22" t="str">
        <f ca="1">VLOOKUP($L209,OFFSET([4]characters!$A$1,0,0,COUNTA([4]characters!$A:$A),MATCH(O$1,[4]characters!$1:$1,0)-MATCH($L$1,[4]characters!$1:$1,0)+1),MATCH(O$1,[4]characters!$1:$1,0)-MATCH($L$1,[4]characters!$1:$1,0)+1,FALSE)</f>
        <v>Material</v>
      </c>
      <c r="P209" s="20" t="str">
        <f ca="1">VLOOKUP($L209,OFFSET([3]enemies!$A$1,0,0,COUNTA([3]enemies!$A:$A),MATCH(P$1,[3]enemies!$1:$1,0)-MATCH($L$1,[3]enemies!$1:$1,0)+1),MATCH(P$1,[3]enemies!$1:$1,0)-MATCH($L$1,[3]enemies!$1:$1,0)+1,FALSE)</f>
        <v>unknown</v>
      </c>
      <c r="Q209" s="20">
        <f ca="1">VLOOKUP($L209,OFFSET([3]enemies!$A$1,0,0,COUNTA([3]enemies!$A:$A),MATCH(Q$1,[3]enemies!$1:$1,0)-MATCH($L$1,[3]enemies!$1:$1,0)+1),MATCH(Q$1,[3]enemies!$1:$1,0)-MATCH($L$1,[3]enemies!$1:$1,0)+1,FALSE)</f>
        <v>20</v>
      </c>
      <c r="R209" s="6">
        <v>1</v>
      </c>
      <c r="S209" s="39">
        <v>1</v>
      </c>
      <c r="T209" s="39">
        <v>1</v>
      </c>
      <c r="U209" s="6">
        <v>0</v>
      </c>
      <c r="V209" s="5" t="str">
        <f ca="1">VLOOKUP($W209,OFFSET([5]enemy_skill_sets!$B$1,0,0,COUNTA([5]enemy_skill_sets!$B:$B),MATCH(M$1,[5]enemy_skill_sets!$1:$1,0)-MATCH($W$1,[5]enemy_skill_sets!$1:$1,0)+2),MATCH(M$1,[5]enemy_skill_sets!$1:$1,0)-MATCH($W$1,[5]enemy_skill_sets!$1:$1,0)+2,FALSE)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9" s="5">
        <f ca="1">VLOOKUP($L209,OFFSET([3]enemies!$A$1,0,0,COUNTA([3]enemies!$A:$A),MATCH(W$1,[3]enemies!$1:$1,0)-MATCH($L$1,[3]enemies!$1:$1,0)+1),MATCH(W$1,[3]enemies!$1:$1,0)-MATCH($L$1,[3]enemies!$1:$1,0)+1,FALSE)</f>
        <v>0</v>
      </c>
      <c r="X209" s="7">
        <v>0</v>
      </c>
      <c r="Y209" s="7">
        <v>20</v>
      </c>
      <c r="Z209" s="7">
        <v>1</v>
      </c>
      <c r="AA209" s="20">
        <f ca="1">VLOOKUP($L209,OFFSET([3]enemies!$A$1,0,0,COUNTA([3]enemies!$A:$A),MATCH(AA$1,[3]enemies!$1:$1,0)-MATCH($L$1,[3]enemies!$1:$1,0)+1),MATCH(AA$1,[3]enemies!$1:$1,0)-MATCH($L$1,[3]enemies!$1:$1,0)+1,FALSE)</f>
        <v>3</v>
      </c>
      <c r="AB209" s="24">
        <v>342</v>
      </c>
      <c r="AC209" s="5" t="str">
        <f ca="1">IFERROR(VLOOKUP($AB209,OFFSET([4]characters!$A$1,0,0,COUNTA([4]characters!$A:$A),MATCH(AC$1,[4]characters!$1:$1,0)-MATCH("character_id",[4]characters!$1:$1,0)+1),MATCH(AC$1,[4]characters!$1:$1,0)-MATCH("character_id",[4]characters!$1:$1,0)+1,FALSE),"")</f>
        <v>水のメタルダック</v>
      </c>
      <c r="AD209" s="5">
        <f ca="1">IFERROR(VLOOKUP($AB209,OFFSET([4]characters!$A$1,0,0,COUNTA([4]characters!$A:$A),MATCH(AD$1,[4]characters!$1:$1,0)-MATCH("character_id",[4]characters!$1:$1,0)+1),MATCH(AD$1,[4]characters!$1:$1,0)-MATCH("character_id",[4]characters!$1:$1,0)+1,FALSE),"")</f>
        <v>5</v>
      </c>
      <c r="AE209" s="5" t="str">
        <f ca="1">IFERROR(VLOOKUP($AB209,OFFSET([4]characters!$A$1,0,0,COUNTA([4]characters!$A:$A),MATCH(AE$1,[4]characters!$1:$1,0)-MATCH("character_id",[4]characters!$1:$1,0)+1),MATCH(AE$1,[4]characters!$1:$1,0)-MATCH("character_id",[4]characters!$1:$1,0)+1,FALSE),"")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9" s="8">
        <v>1</v>
      </c>
      <c r="AG209" s="27">
        <f t="shared" ca="1" si="116"/>
        <v>5</v>
      </c>
      <c r="AH209" s="9">
        <v>5</v>
      </c>
      <c r="AI209" s="8">
        <v>0</v>
      </c>
      <c r="AJ209" s="8">
        <v>0</v>
      </c>
      <c r="AK209" s="8">
        <v>0</v>
      </c>
      <c r="AL209" s="8">
        <v>0</v>
      </c>
      <c r="AM209" s="8">
        <v>1</v>
      </c>
      <c r="AN209" s="8">
        <v>1</v>
      </c>
    </row>
    <row r="210" spans="1:40" ht="21" customHeight="1" x14ac:dyDescent="0.15">
      <c r="A210" s="17" t="str">
        <f t="shared" ca="1" si="114"/>
        <v>11005_3-3/340&lt;lv1&gt;s1</v>
      </c>
      <c r="B210" s="8">
        <v>11005</v>
      </c>
      <c r="C210" s="25">
        <v>3</v>
      </c>
      <c r="D210" s="2" t="str">
        <f t="shared" si="115"/>
        <v>11005_3</v>
      </c>
      <c r="E210" s="5" t="str">
        <f ca="1">VLOOKUP($B210,OFFSET([2]quests!$A$1,0,0,COUNTA([2]quests!$A:$A),MATCH(E$1,[2]quests!$1:$1,0)-MATCH($B$1,[2]quests!$1:$1,0)+1),MATCH(E$1,[2]quests!$1:$1,0)-MATCH($B$1,[2]quests!$1:$1,0)+1,FALSE)</f>
        <v>【金曜限定】 帽子屋を追え！</v>
      </c>
      <c r="F210" s="5" t="str">
        <f ca="1">VLOOKUP($D210,OFFSET([2]stages!$A$1,0,0,COUNTA([2]stages!$A:$A),MATCH(F$1,[2]stages!$2:$2,0)-MATCH($D$1,[2]stages!$2:$2,0)+1),MATCH(F$1,[2]stages!$2:$2,0)-MATCH($D$1,[2]stages!$2:$2,0)+1,FALSE)</f>
        <v xml:space="preserve">【超級】水の帽子屋 </v>
      </c>
      <c r="G210" s="25">
        <v>3</v>
      </c>
      <c r="H210" s="16" t="str">
        <f t="shared" si="104"/>
        <v>11005_3-3</v>
      </c>
      <c r="I210" s="5">
        <f ca="1">VLOOKUP($H210,OFFSET(floors!$A$1,0,0,COUNTA(floors!$A:$A),MATCH(I$1,floors!$1:$1,0)-MATCH($H$1,floors!$1:$1,0)+1),MATCH(I$1,floors!$1:$1,0)-MATCH($H$1,floors!$1:$1,0)+1,FALSE)</f>
        <v>50</v>
      </c>
      <c r="J210" s="5">
        <f ca="1">VLOOKUP($H210,OFFSET(floors!$A$1,0,0,COUNTA(floors!$A:$A),MATCH(J$1,floors!$1:$1,0)-MATCH($H$1,floors!$1:$1,0)+1),MATCH(J$1,floors!$1:$1,0)-MATCH($H$1,floors!$1:$1,0)+1,FALSE)</f>
        <v>60</v>
      </c>
      <c r="K210" s="24" t="s">
        <v>197</v>
      </c>
      <c r="L210" s="24">
        <v>340</v>
      </c>
      <c r="M210" s="20" t="str">
        <f ca="1">VLOOKUP($L210,OFFSET([3]enemies!$A$1,0,0,COUNTA([3]enemies!$A:$A),MATCH(M$1,[3]enemies!$1:$1,0)-MATCH($L$1,[3]enemies!$1:$1,0)+1),MATCH(M$1,[3]enemies!$1:$1,0)-MATCH($L$1,[3]enemies!$1:$1,0)+1,FALSE)</f>
        <v>水のメタルピヨピヨ</v>
      </c>
      <c r="N210" s="20" t="str">
        <f ca="1">VLOOKUP($L210,OFFSET([3]enemies!$A$1,0,0,COUNTA([3]enemies!$A:$A),MATCH(N$1,[3]enemies!$1:$1,0)-MATCH($L$1,[3]enemies!$1:$1,0)+1),MATCH(N$1,[3]enemies!$1:$1,0)-MATCH($L$1,[3]enemies!$1:$1,0)+1,FALSE)</f>
        <v>blue</v>
      </c>
      <c r="O210" s="22" t="str">
        <f ca="1">VLOOKUP($L210,OFFSET([4]characters!$A$1,0,0,COUNTA([4]characters!$A:$A),MATCH(O$1,[4]characters!$1:$1,0)-MATCH($L$1,[4]characters!$1:$1,0)+1),MATCH(O$1,[4]characters!$1:$1,0)-MATCH($L$1,[4]characters!$1:$1,0)+1,FALSE)</f>
        <v>Material</v>
      </c>
      <c r="P210" s="20" t="str">
        <f ca="1">VLOOKUP($L210,OFFSET([3]enemies!$A$1,0,0,COUNTA([3]enemies!$A:$A),MATCH(P$1,[3]enemies!$1:$1,0)-MATCH($L$1,[3]enemies!$1:$1,0)+1),MATCH(P$1,[3]enemies!$1:$1,0)-MATCH($L$1,[3]enemies!$1:$1,0)+1,FALSE)</f>
        <v>unknown</v>
      </c>
      <c r="Q210" s="20">
        <f ca="1">VLOOKUP($L210,OFFSET([3]enemies!$A$1,0,0,COUNTA([3]enemies!$A:$A),MATCH(Q$1,[3]enemies!$1:$1,0)-MATCH($L$1,[3]enemies!$1:$1,0)+1),MATCH(Q$1,[3]enemies!$1:$1,0)-MATCH($L$1,[3]enemies!$1:$1,0)+1,FALSE)</f>
        <v>15</v>
      </c>
      <c r="R210" s="6">
        <v>1</v>
      </c>
      <c r="S210" s="39">
        <v>1</v>
      </c>
      <c r="T210" s="39">
        <v>1</v>
      </c>
      <c r="U210" s="6">
        <v>0</v>
      </c>
      <c r="V210" s="5" t="str">
        <f ca="1">VLOOKUP($W210,OFFSET([5]enemy_skill_sets!$B$1,0,0,COUNTA([5]enemy_skill_sets!$B:$B),MATCH(M$1,[5]enemy_skill_sets!$1:$1,0)-MATCH($W$1,[5]enemy_skill_sets!$1:$1,0)+2),MATCH(M$1,[5]enemy_skill_sets!$1:$1,0)-MATCH($W$1,[5]enemy_skill_sets!$1:$1,0)+2,FALSE)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0" s="5">
        <f ca="1">VLOOKUP($L210,OFFSET([3]enemies!$A$1,0,0,COUNTA([3]enemies!$A:$A),MATCH(W$1,[3]enemies!$1:$1,0)-MATCH($L$1,[3]enemies!$1:$1,0)+1),MATCH(W$1,[3]enemies!$1:$1,0)-MATCH($L$1,[3]enemies!$1:$1,0)+1,FALSE)</f>
        <v>0</v>
      </c>
      <c r="X210" s="7">
        <v>1</v>
      </c>
      <c r="Y210" s="7">
        <v>100</v>
      </c>
      <c r="Z210" s="7">
        <v>0</v>
      </c>
      <c r="AA210" s="20">
        <f ca="1">VLOOKUP($L210,OFFSET([3]enemies!$A$1,0,0,COUNTA([3]enemies!$A:$A),MATCH(AA$1,[3]enemies!$1:$1,0)-MATCH($L$1,[3]enemies!$1:$1,0)+1),MATCH(AA$1,[3]enemies!$1:$1,0)-MATCH($L$1,[3]enemies!$1:$1,0)+1,FALSE)</f>
        <v>1</v>
      </c>
      <c r="AB210" s="24">
        <v>340</v>
      </c>
      <c r="AC210" s="5" t="str">
        <f ca="1">IFERROR(VLOOKUP($AB210,OFFSET([4]characters!$A$1,0,0,COUNTA([4]characters!$A:$A),MATCH(AC$1,[4]characters!$1:$1,0)-MATCH("character_id",[4]characters!$1:$1,0)+1),MATCH(AC$1,[4]characters!$1:$1,0)-MATCH("character_id",[4]characters!$1:$1,0)+1,FALSE),"")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210" s="5">
        <f ca="1">IFERROR(VLOOKUP($AB210,OFFSET([4]characters!$A$1,0,0,COUNTA([4]characters!$A:$A),MATCH(AD$1,[4]characters!$1:$1,0)-MATCH("character_id",[4]characters!$1:$1,0)+1),MATCH(AD$1,[4]characters!$1:$1,0)-MATCH("character_id",[4]characters!$1:$1,0)+1,FALSE),"")</f>
        <v>3</v>
      </c>
      <c r="AE210" s="5" t="str">
        <f ca="1">IFERROR(VLOOKUP($AB210,OFFSET([4]characters!$A$1,0,0,COUNTA([4]characters!$A:$A),MATCH(AE$1,[4]characters!$1:$1,0)-MATCH("character_id",[4]characters!$1:$1,0)+1),MATCH(AE$1,[4]characters!$1:$1,0)-MATCH("character_id",[4]characters!$1:$1,0)+1,FALSE),"")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0" s="8">
        <v>1</v>
      </c>
      <c r="AG210" s="27">
        <f t="shared" ca="1" si="116"/>
        <v>3</v>
      </c>
      <c r="AH210" s="9">
        <v>20</v>
      </c>
      <c r="AI210" s="8">
        <v>0</v>
      </c>
      <c r="AJ210" s="8">
        <v>0</v>
      </c>
      <c r="AK210" s="8">
        <v>0</v>
      </c>
      <c r="AL210" s="8">
        <v>0</v>
      </c>
      <c r="AM210" s="8">
        <v>1</v>
      </c>
      <c r="AN210" s="8">
        <v>1</v>
      </c>
    </row>
    <row r="211" spans="1:40" ht="21" customHeight="1" x14ac:dyDescent="0.15">
      <c r="A211" s="17" t="str">
        <f t="shared" ca="1" si="114"/>
        <v>11005_3-3/341&lt;lv1&gt;s2</v>
      </c>
      <c r="B211" s="8">
        <v>11005</v>
      </c>
      <c r="C211" s="25">
        <v>3</v>
      </c>
      <c r="D211" s="2" t="str">
        <f t="shared" si="115"/>
        <v>11005_3</v>
      </c>
      <c r="E211" s="5" t="str">
        <f ca="1">VLOOKUP($B211,OFFSET([2]quests!$A$1,0,0,COUNTA([2]quests!$A:$A),MATCH(E$1,[2]quests!$1:$1,0)-MATCH($B$1,[2]quests!$1:$1,0)+1),MATCH(E$1,[2]quests!$1:$1,0)-MATCH($B$1,[2]quests!$1:$1,0)+1,FALSE)</f>
        <v>【金曜限定】 帽子屋を追え！</v>
      </c>
      <c r="F211" s="5" t="str">
        <f ca="1">VLOOKUP($D211,OFFSET([2]stages!$A$1,0,0,COUNTA([2]stages!$A:$A),MATCH(F$1,[2]stages!$2:$2,0)-MATCH($D$1,[2]stages!$2:$2,0)+1),MATCH(F$1,[2]stages!$2:$2,0)-MATCH($D$1,[2]stages!$2:$2,0)+1,FALSE)</f>
        <v xml:space="preserve">【超級】水の帽子屋 </v>
      </c>
      <c r="G211" s="25">
        <v>3</v>
      </c>
      <c r="H211" s="16" t="str">
        <f t="shared" si="104"/>
        <v>11005_3-3</v>
      </c>
      <c r="I211" s="5">
        <f ca="1">VLOOKUP($H211,OFFSET(floors!$A$1,0,0,COUNTA(floors!$A:$A),MATCH(I$1,floors!$1:$1,0)-MATCH($H$1,floors!$1:$1,0)+1),MATCH(I$1,floors!$1:$1,0)-MATCH($H$1,floors!$1:$1,0)+1,FALSE)</f>
        <v>50</v>
      </c>
      <c r="J211" s="5">
        <f ca="1">VLOOKUP($H211,OFFSET(floors!$A$1,0,0,COUNTA(floors!$A:$A),MATCH(J$1,floors!$1:$1,0)-MATCH($H$1,floors!$1:$1,0)+1),MATCH(J$1,floors!$1:$1,0)-MATCH($H$1,floors!$1:$1,0)+1,FALSE)</f>
        <v>60</v>
      </c>
      <c r="K211" s="24" t="s">
        <v>197</v>
      </c>
      <c r="L211" s="24">
        <v>341</v>
      </c>
      <c r="M211" s="20" t="str">
        <f ca="1">VLOOKUP($L211,OFFSET([3]enemies!$A$1,0,0,COUNTA([3]enemies!$A:$A),MATCH(M$1,[3]enemies!$1:$1,0)-MATCH($L$1,[3]enemies!$1:$1,0)+1),MATCH(M$1,[3]enemies!$1:$1,0)-MATCH($L$1,[3]enemies!$1:$1,0)+1,FALSE)</f>
        <v>水のメタルチック</v>
      </c>
      <c r="N211" s="20" t="str">
        <f ca="1">VLOOKUP($L211,OFFSET([3]enemies!$A$1,0,0,COUNTA([3]enemies!$A:$A),MATCH(N$1,[3]enemies!$1:$1,0)-MATCH($L$1,[3]enemies!$1:$1,0)+1),MATCH(N$1,[3]enemies!$1:$1,0)-MATCH($L$1,[3]enemies!$1:$1,0)+1,FALSE)</f>
        <v>blue</v>
      </c>
      <c r="O211" s="22" t="str">
        <f ca="1">VLOOKUP($L211,OFFSET([4]characters!$A$1,0,0,COUNTA([4]characters!$A:$A),MATCH(O$1,[4]characters!$1:$1,0)-MATCH($L$1,[4]characters!$1:$1,0)+1),MATCH(O$1,[4]characters!$1:$1,0)-MATCH($L$1,[4]characters!$1:$1,0)+1,FALSE)</f>
        <v>Material</v>
      </c>
      <c r="P211" s="20" t="str">
        <f ca="1">VLOOKUP($L211,OFFSET([3]enemies!$A$1,0,0,COUNTA([3]enemies!$A:$A),MATCH(P$1,[3]enemies!$1:$1,0)-MATCH($L$1,[3]enemies!$1:$1,0)+1),MATCH(P$1,[3]enemies!$1:$1,0)-MATCH($L$1,[3]enemies!$1:$1,0)+1,FALSE)</f>
        <v>unknown</v>
      </c>
      <c r="Q211" s="20">
        <f ca="1">VLOOKUP($L211,OFFSET([3]enemies!$A$1,0,0,COUNTA([3]enemies!$A:$A),MATCH(Q$1,[3]enemies!$1:$1,0)-MATCH($L$1,[3]enemies!$1:$1,0)+1),MATCH(Q$1,[3]enemies!$1:$1,0)-MATCH($L$1,[3]enemies!$1:$1,0)+1,FALSE)</f>
        <v>15</v>
      </c>
      <c r="R211" s="6">
        <v>1</v>
      </c>
      <c r="S211" s="39">
        <v>1</v>
      </c>
      <c r="T211" s="39">
        <v>1</v>
      </c>
      <c r="U211" s="6">
        <v>0</v>
      </c>
      <c r="V211" s="5" t="str">
        <f ca="1">VLOOKUP($W211,OFFSET([5]enemy_skill_sets!$B$1,0,0,COUNTA([5]enemy_skill_sets!$B:$B),MATCH(M$1,[5]enemy_skill_sets!$1:$1,0)-MATCH($W$1,[5]enemy_skill_sets!$1:$1,0)+2),MATCH(M$1,[5]enemy_skill_sets!$1:$1,0)-MATCH($W$1,[5]enemy_skill_sets!$1:$1,0)+2,FALSE)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1" s="5">
        <f ca="1">VLOOKUP($L211,OFFSET([3]enemies!$A$1,0,0,COUNTA([3]enemies!$A:$A),MATCH(W$1,[3]enemies!$1:$1,0)-MATCH($L$1,[3]enemies!$1:$1,0)+1),MATCH(W$1,[3]enemies!$1:$1,0)-MATCH($L$1,[3]enemies!$1:$1,0)+1,FALSE)</f>
        <v>0</v>
      </c>
      <c r="X211" s="7">
        <v>1</v>
      </c>
      <c r="Y211" s="7">
        <v>100</v>
      </c>
      <c r="Z211" s="7">
        <v>0</v>
      </c>
      <c r="AA211" s="20">
        <f ca="1">VLOOKUP($L211,OFFSET([3]enemies!$A$1,0,0,COUNTA([3]enemies!$A:$A),MATCH(AA$1,[3]enemies!$1:$1,0)-MATCH($L$1,[3]enemies!$1:$1,0)+1),MATCH(AA$1,[3]enemies!$1:$1,0)-MATCH($L$1,[3]enemies!$1:$1,0)+1,FALSE)</f>
        <v>2</v>
      </c>
      <c r="AB211" s="24">
        <v>341</v>
      </c>
      <c r="AC211" s="5" t="str">
        <f ca="1">IFERROR(VLOOKUP($AB211,OFFSET([4]characters!$A$1,0,0,COUNTA([4]characters!$A:$A),MATCH(AC$1,[4]characters!$1:$1,0)-MATCH("character_id",[4]characters!$1:$1,0)+1),MATCH(AC$1,[4]characters!$1:$1,0)-MATCH("character_id",[4]characters!$1:$1,0)+1,FALSE),"")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211" s="5">
        <f ca="1">IFERROR(VLOOKUP($AB211,OFFSET([4]characters!$A$1,0,0,COUNTA([4]characters!$A:$A),MATCH(AD$1,[4]characters!$1:$1,0)-MATCH("character_id",[4]characters!$1:$1,0)+1),MATCH(AD$1,[4]characters!$1:$1,0)-MATCH("character_id",[4]characters!$1:$1,0)+1,FALSE),"")</f>
        <v>4</v>
      </c>
      <c r="AE211" s="5" t="str">
        <f ca="1">IFERROR(VLOOKUP($AB211,OFFSET([4]characters!$A$1,0,0,COUNTA([4]characters!$A:$A),MATCH(AE$1,[4]characters!$1:$1,0)-MATCH("character_id",[4]characters!$1:$1,0)+1),MATCH(AE$1,[4]characters!$1:$1,0)-MATCH("character_id",[4]characters!$1:$1,0)+1,FALSE),"")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1" s="8">
        <v>1</v>
      </c>
      <c r="AG211" s="27">
        <f t="shared" ca="1" si="116"/>
        <v>4</v>
      </c>
      <c r="AH211" s="9">
        <v>10</v>
      </c>
      <c r="AI211" s="8">
        <v>0</v>
      </c>
      <c r="AJ211" s="8">
        <v>0</v>
      </c>
      <c r="AK211" s="8">
        <v>0</v>
      </c>
      <c r="AL211" s="8">
        <v>0</v>
      </c>
      <c r="AM211" s="8">
        <v>1</v>
      </c>
      <c r="AN211" s="8">
        <v>1</v>
      </c>
    </row>
    <row r="212" spans="1:40" ht="21" customHeight="1" x14ac:dyDescent="0.15">
      <c r="A212" s="17" t="str">
        <f t="shared" ca="1" si="111"/>
        <v>11005_3-4/37&lt;lv42&gt;s3</v>
      </c>
      <c r="B212" s="8">
        <v>11005</v>
      </c>
      <c r="C212" s="25">
        <v>3</v>
      </c>
      <c r="D212" s="2" t="str">
        <f t="shared" si="112"/>
        <v>11005_3</v>
      </c>
      <c r="E212" s="5" t="str">
        <f ca="1">VLOOKUP($B212,OFFSET([2]quests!$A$1,0,0,COUNTA([2]quests!$A:$A),MATCH(E$1,[2]quests!$1:$1,0)-MATCH($B$1,[2]quests!$1:$1,0)+1),MATCH(E$1,[2]quests!$1:$1,0)-MATCH($B$1,[2]quests!$1:$1,0)+1,FALSE)</f>
        <v>【金曜限定】 帽子屋を追え！</v>
      </c>
      <c r="F212" s="5" t="str">
        <f ca="1">VLOOKUP($D212,OFFSET([2]stages!$A$1,0,0,COUNTA([2]stages!$A:$A),MATCH(F$1,[2]stages!$2:$2,0)-MATCH($D$1,[2]stages!$2:$2,0)+1),MATCH(F$1,[2]stages!$2:$2,0)-MATCH($D$1,[2]stages!$2:$2,0)+1,FALSE)</f>
        <v xml:space="preserve">【超級】水の帽子屋 </v>
      </c>
      <c r="G212" s="25">
        <v>4</v>
      </c>
      <c r="H212" s="16" t="str">
        <f t="shared" si="104"/>
        <v>11005_3-4</v>
      </c>
      <c r="I212" s="5">
        <f ca="1">VLOOKUP($H212,OFFSET(floors!$A$1,0,0,COUNTA(floors!$A:$A),MATCH(I$1,floors!$1:$1,0)-MATCH($H$1,floors!$1:$1,0)+1),MATCH(I$1,floors!$1:$1,0)-MATCH($H$1,floors!$1:$1,0)+1,FALSE)</f>
        <v>45</v>
      </c>
      <c r="J212" s="5">
        <f ca="1">VLOOKUP($H212,OFFSET(floors!$A$1,0,0,COUNTA(floors!$A:$A),MATCH(J$1,floors!$1:$1,0)-MATCH($H$1,floors!$1:$1,0)+1),MATCH(J$1,floors!$1:$1,0)-MATCH($H$1,floors!$1:$1,0)+1,FALSE)</f>
        <v>60</v>
      </c>
      <c r="K212" s="24" t="s">
        <v>197</v>
      </c>
      <c r="L212" s="24">
        <v>37</v>
      </c>
      <c r="M212" s="20" t="str">
        <f ca="1">VLOOKUP($L212,OFFSET([3]enemies!$A$1,0,0,COUNTA([3]enemies!$A:$A),MATCH(M$1,[3]enemies!$1:$1,0)-MATCH($L$1,[3]enemies!$1:$1,0)+1),MATCH(M$1,[3]enemies!$1:$1,0)-MATCH($L$1,[3]enemies!$1:$1,0)+1,FALSE)</f>
        <v>ガイル</v>
      </c>
      <c r="N212" s="20" t="str">
        <f ca="1">VLOOKUP($L212,OFFSET([3]enemies!$A$1,0,0,COUNTA([3]enemies!$A:$A),MATCH(N$1,[3]enemies!$1:$1,0)-MATCH($L$1,[3]enemies!$1:$1,0)+1),MATCH(N$1,[3]enemies!$1:$1,0)-MATCH($L$1,[3]enemies!$1:$1,0)+1,FALSE)</f>
        <v>blue</v>
      </c>
      <c r="O212" s="22" t="str">
        <f ca="1">VLOOKUP($L212,OFFSET([4]characters!$A$1,0,0,COUNTA([4]characters!$A:$A),MATCH(O$1,[4]characters!$1:$1,0)-MATCH($L$1,[4]characters!$1:$1,0)+1),MATCH(O$1,[4]characters!$1:$1,0)-MATCH($L$1,[4]characters!$1:$1,0)+1,FALSE)</f>
        <v>Drop1S</v>
      </c>
      <c r="P212" s="20" t="str">
        <f ca="1">VLOOKUP($L212,OFFSET([3]enemies!$A$1,0,0,COUNTA([3]enemies!$A:$A),MATCH(P$1,[3]enemies!$1:$1,0)-MATCH($L$1,[3]enemies!$1:$1,0)+1),MATCH(P$1,[3]enemies!$1:$1,0)-MATCH($L$1,[3]enemies!$1:$1,0)+1,FALSE)</f>
        <v>animal</v>
      </c>
      <c r="Q212" s="20">
        <f ca="1">VLOOKUP($L212,OFFSET([3]enemies!$A$1,0,0,COUNTA([3]enemies!$A:$A),MATCH(Q$1,[3]enemies!$1:$1,0)-MATCH($L$1,[3]enemies!$1:$1,0)+1),MATCH(Q$1,[3]enemies!$1:$1,0)-MATCH($L$1,[3]enemies!$1:$1,0)+1,FALSE)</f>
        <v>15</v>
      </c>
      <c r="R212" s="6">
        <v>42</v>
      </c>
      <c r="S212" s="39">
        <v>1</v>
      </c>
      <c r="T212" s="39">
        <v>1</v>
      </c>
      <c r="U212" s="6">
        <v>0</v>
      </c>
      <c r="V212" s="5" t="str">
        <f ca="1">VLOOKUP($W212,OFFSET([5]enemy_skill_sets!$B$1,0,0,COUNTA([5]enemy_skill_sets!$B:$B),MATCH(M$1,[5]enemy_skill_sets!$1:$1,0)-MATCH($W$1,[5]enemy_skill_sets!$1:$1,0)+2),MATCH(M$1,[5]enemy_skill_sets!$1:$1,0)-MATCH($W$1,[5]enemy_skill_sets!$1:$1,0)+2,FALSE)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12" s="5">
        <f ca="1">VLOOKUP($L212,OFFSET([3]enemies!$A$1,0,0,COUNTA([3]enemies!$A:$A),MATCH(W$1,[3]enemies!$1:$1,0)-MATCH($L$1,[3]enemies!$1:$1,0)+1),MATCH(W$1,[3]enemies!$1:$1,0)-MATCH($L$1,[3]enemies!$1:$1,0)+1,FALSE)</f>
        <v>37</v>
      </c>
      <c r="X212" s="7">
        <v>0</v>
      </c>
      <c r="Y212" s="7">
        <v>100</v>
      </c>
      <c r="Z212" s="7">
        <v>0</v>
      </c>
      <c r="AA212" s="20">
        <f ca="1">VLOOKUP($L212,OFFSET([3]enemies!$A$1,0,0,COUNTA([3]enemies!$A:$A),MATCH(AA$1,[3]enemies!$1:$1,0)-MATCH($L$1,[3]enemies!$1:$1,0)+1),MATCH(AA$1,[3]enemies!$1:$1,0)-MATCH($L$1,[3]enemies!$1:$1,0)+1,FALSE)</f>
        <v>3</v>
      </c>
      <c r="AB212" s="24">
        <v>37</v>
      </c>
      <c r="AC212" s="5" t="str">
        <f ca="1">IFERROR(VLOOKUP($AB212,OFFSET([4]characters!$A$1,0,0,COUNTA([4]characters!$A:$A),MATCH(AC$1,[4]characters!$1:$1,0)-MATCH("character_id",[4]characters!$1:$1,0)+1),MATCH(AC$1,[4]characters!$1:$1,0)-MATCH("character_id",[4]characters!$1:$1,0)+1,FALSE),"")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12" s="5">
        <f ca="1">IFERROR(VLOOKUP($AB212,OFFSET([4]characters!$A$1,0,0,COUNTA([4]characters!$A:$A),MATCH(AD$1,[4]characters!$1:$1,0)-MATCH("character_id",[4]characters!$1:$1,0)+1),MATCH(AD$1,[4]characters!$1:$1,0)-MATCH("character_id",[4]characters!$1:$1,0)+1,FALSE),"")</f>
        <v>2</v>
      </c>
      <c r="AE212" s="5" t="str">
        <f ca="1">IFERROR(VLOOKUP($AB212,OFFSET([4]characters!$A$1,0,0,COUNTA([4]characters!$A:$A),MATCH(AE$1,[4]characters!$1:$1,0)-MATCH("character_id",[4]characters!$1:$1,0)+1),MATCH(AE$1,[4]characters!$1:$1,0)-MATCH("character_id",[4]characters!$1:$1,0)+1,FALSE),"")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12" s="8">
        <v>1</v>
      </c>
      <c r="AG212" s="27">
        <f t="shared" ca="1" si="113"/>
        <v>2</v>
      </c>
      <c r="AH212" s="9">
        <v>0</v>
      </c>
      <c r="AI212" s="8">
        <v>0</v>
      </c>
      <c r="AJ212" s="8">
        <v>0</v>
      </c>
      <c r="AK212" s="8">
        <v>0</v>
      </c>
      <c r="AL212" s="8">
        <v>0</v>
      </c>
      <c r="AM212" s="8">
        <v>1</v>
      </c>
      <c r="AN212" s="8">
        <v>1</v>
      </c>
    </row>
    <row r="213" spans="1:40" ht="21" customHeight="1" x14ac:dyDescent="0.15">
      <c r="A213" s="17" t="str">
        <f t="shared" ca="1" si="111"/>
        <v>11005_3-4/29&lt;lv42&gt;s2</v>
      </c>
      <c r="B213" s="8">
        <v>11005</v>
      </c>
      <c r="C213" s="25">
        <v>3</v>
      </c>
      <c r="D213" s="2" t="str">
        <f t="shared" si="112"/>
        <v>11005_3</v>
      </c>
      <c r="E213" s="5" t="str">
        <f ca="1">VLOOKUP($B213,OFFSET([2]quests!$A$1,0,0,COUNTA([2]quests!$A:$A),MATCH(E$1,[2]quests!$1:$1,0)-MATCH($B$1,[2]quests!$1:$1,0)+1),MATCH(E$1,[2]quests!$1:$1,0)-MATCH($B$1,[2]quests!$1:$1,0)+1,FALSE)</f>
        <v>【金曜限定】 帽子屋を追え！</v>
      </c>
      <c r="F213" s="5" t="str">
        <f ca="1">VLOOKUP($D213,OFFSET([2]stages!$A$1,0,0,COUNTA([2]stages!$A:$A),MATCH(F$1,[2]stages!$2:$2,0)-MATCH($D$1,[2]stages!$2:$2,0)+1),MATCH(F$1,[2]stages!$2:$2,0)-MATCH($D$1,[2]stages!$2:$2,0)+1,FALSE)</f>
        <v xml:space="preserve">【超級】水の帽子屋 </v>
      </c>
      <c r="G213" s="25">
        <v>4</v>
      </c>
      <c r="H213" s="16" t="str">
        <f t="shared" si="104"/>
        <v>11005_3-4</v>
      </c>
      <c r="I213" s="5">
        <f ca="1">VLOOKUP($H213,OFFSET(floors!$A$1,0,0,COUNTA(floors!$A:$A),MATCH(I$1,floors!$1:$1,0)-MATCH($H$1,floors!$1:$1,0)+1),MATCH(I$1,floors!$1:$1,0)-MATCH($H$1,floors!$1:$1,0)+1,FALSE)</f>
        <v>45</v>
      </c>
      <c r="J213" s="5">
        <f ca="1">VLOOKUP($H213,OFFSET(floors!$A$1,0,0,COUNTA(floors!$A:$A),MATCH(J$1,floors!$1:$1,0)-MATCH($H$1,floors!$1:$1,0)+1),MATCH(J$1,floors!$1:$1,0)-MATCH($H$1,floors!$1:$1,0)+1,FALSE)</f>
        <v>60</v>
      </c>
      <c r="K213" s="24" t="s">
        <v>197</v>
      </c>
      <c r="L213" s="24">
        <v>29</v>
      </c>
      <c r="M213" s="20" t="str">
        <f ca="1">VLOOKUP($L213,OFFSET([3]enemies!$A$1,0,0,COUNTA([3]enemies!$A:$A),MATCH(M$1,[3]enemies!$1:$1,0)-MATCH($L$1,[3]enemies!$1:$1,0)+1),MATCH(M$1,[3]enemies!$1:$1,0)-MATCH($L$1,[3]enemies!$1:$1,0)+1,FALSE)</f>
        <v>スケアクロウ</v>
      </c>
      <c r="N213" s="20" t="str">
        <f ca="1">VLOOKUP($L213,OFFSET([3]enemies!$A$1,0,0,COUNTA([3]enemies!$A:$A),MATCH(N$1,[3]enemies!$1:$1,0)-MATCH($L$1,[3]enemies!$1:$1,0)+1),MATCH(N$1,[3]enemies!$1:$1,0)-MATCH($L$1,[3]enemies!$1:$1,0)+1,FALSE)</f>
        <v>blue</v>
      </c>
      <c r="O213" s="22" t="str">
        <f ca="1">VLOOKUP($L213,OFFSET([4]characters!$A$1,0,0,COUNTA([4]characters!$A:$A),MATCH(O$1,[4]characters!$1:$1,0)-MATCH($L$1,[4]characters!$1:$1,0)+1),MATCH(O$1,[4]characters!$1:$1,0)-MATCH($L$1,[4]characters!$1:$1,0)+1,FALSE)</f>
        <v>Drop1N</v>
      </c>
      <c r="P213" s="20" t="str">
        <f ca="1">VLOOKUP($L213,OFFSET([3]enemies!$A$1,0,0,COUNTA([3]enemies!$A:$A),MATCH(P$1,[3]enemies!$1:$1,0)-MATCH($L$1,[3]enemies!$1:$1,0)+1),MATCH(P$1,[3]enemies!$1:$1,0)-MATCH($L$1,[3]enemies!$1:$1,0)+1,FALSE)</f>
        <v>machine</v>
      </c>
      <c r="Q213" s="20">
        <f ca="1">VLOOKUP($L213,OFFSET([3]enemies!$A$1,0,0,COUNTA([3]enemies!$A:$A),MATCH(Q$1,[3]enemies!$1:$1,0)-MATCH($L$1,[3]enemies!$1:$1,0)+1),MATCH(Q$1,[3]enemies!$1:$1,0)-MATCH($L$1,[3]enemies!$1:$1,0)+1,FALSE)</f>
        <v>15</v>
      </c>
      <c r="R213" s="6">
        <v>42</v>
      </c>
      <c r="S213" s="39">
        <v>1</v>
      </c>
      <c r="T213" s="39">
        <v>1</v>
      </c>
      <c r="U213" s="6">
        <v>0</v>
      </c>
      <c r="V213" s="5" t="str">
        <f ca="1">VLOOKUP($W213,OFFSET([5]enemy_skill_sets!$B$1,0,0,COUNTA([5]enemy_skill_sets!$B:$B),MATCH(M$1,[5]enemy_skill_sets!$1:$1,0)-MATCH($W$1,[5]enemy_skill_sets!$1:$1,0)+2),MATCH(M$1,[5]enemy_skill_sets!$1:$1,0)-MATCH($W$1,[5]enemy_skill_sets!$1:$1,0)+2,FALSE)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3" s="5">
        <f ca="1">VLOOKUP($L213,OFFSET([3]enemies!$A$1,0,0,COUNTA([3]enemies!$A:$A),MATCH(W$1,[3]enemies!$1:$1,0)-MATCH($L$1,[3]enemies!$1:$1,0)+1),MATCH(W$1,[3]enemies!$1:$1,0)-MATCH($L$1,[3]enemies!$1:$1,0)+1,FALSE)</f>
        <v>0</v>
      </c>
      <c r="X213" s="7">
        <v>0</v>
      </c>
      <c r="Y213" s="7">
        <v>100</v>
      </c>
      <c r="Z213" s="7">
        <v>0</v>
      </c>
      <c r="AA213" s="20">
        <f ca="1">VLOOKUP($L213,OFFSET([3]enemies!$A$1,0,0,COUNTA([3]enemies!$A:$A),MATCH(AA$1,[3]enemies!$1:$1,0)-MATCH($L$1,[3]enemies!$1:$1,0)+1),MATCH(AA$1,[3]enemies!$1:$1,0)-MATCH($L$1,[3]enemies!$1:$1,0)+1,FALSE)</f>
        <v>2</v>
      </c>
      <c r="AB213" s="24">
        <v>29</v>
      </c>
      <c r="AC213" s="5" t="str">
        <f ca="1">IFERROR(VLOOKUP($AB213,OFFSET([4]characters!$A$1,0,0,COUNTA([4]characters!$A:$A),MATCH(AC$1,[4]characters!$1:$1,0)-MATCH("character_id",[4]characters!$1:$1,0)+1),MATCH(AC$1,[4]characters!$1:$1,0)-MATCH("character_id",[4]characters!$1:$1,0)+1,FALSE),"")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13" s="5">
        <f ca="1">IFERROR(VLOOKUP($AB213,OFFSET([4]characters!$A$1,0,0,COUNTA([4]characters!$A:$A),MATCH(AD$1,[4]characters!$1:$1,0)-MATCH("character_id",[4]characters!$1:$1,0)+1),MATCH(AD$1,[4]characters!$1:$1,0)-MATCH("character_id",[4]characters!$1:$1,0)+1,FALSE),"")</f>
        <v>1</v>
      </c>
      <c r="AE213" s="5" t="str">
        <f ca="1">IFERROR(VLOOKUP($AB213,OFFSET([4]characters!$A$1,0,0,COUNTA([4]characters!$A:$A),MATCH(AE$1,[4]characters!$1:$1,0)-MATCH("character_id",[4]characters!$1:$1,0)+1),MATCH(AE$1,[4]characters!$1:$1,0)-MATCH("character_id",[4]characters!$1:$1,0)+1,FALSE),"")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13" s="8">
        <v>1</v>
      </c>
      <c r="AG213" s="27">
        <f t="shared" ca="1" si="113"/>
        <v>1</v>
      </c>
      <c r="AH213" s="9">
        <v>0</v>
      </c>
      <c r="AI213" s="8">
        <v>0</v>
      </c>
      <c r="AJ213" s="8">
        <v>0</v>
      </c>
      <c r="AK213" s="8">
        <v>0</v>
      </c>
      <c r="AL213" s="8">
        <v>0</v>
      </c>
      <c r="AM213" s="8">
        <v>1</v>
      </c>
      <c r="AN213" s="8">
        <v>1</v>
      </c>
    </row>
    <row r="214" spans="1:40" ht="21" customHeight="1" x14ac:dyDescent="0.15">
      <c r="A214" s="17" t="str">
        <f t="shared" ref="A214:A215" ca="1" si="117">B214&amp;"_"&amp;C214&amp;"-"&amp;G214&amp;"/"&amp;L214&amp;"&lt;lv"&amp;R214&amp;"&gt;s"&amp;AA214</f>
        <v>11005_3-5/37&lt;lv42&gt;s3</v>
      </c>
      <c r="B214" s="8">
        <v>11005</v>
      </c>
      <c r="C214" s="25">
        <v>3</v>
      </c>
      <c r="D214" s="2" t="str">
        <f t="shared" ref="D214:D215" si="118">B214&amp;"_"&amp;C214</f>
        <v>11005_3</v>
      </c>
      <c r="E214" s="5" t="str">
        <f ca="1">VLOOKUP($B214,OFFSET([2]quests!$A$1,0,0,COUNTA([2]quests!$A:$A),MATCH(E$1,[2]quests!$1:$1,0)-MATCH($B$1,[2]quests!$1:$1,0)+1),MATCH(E$1,[2]quests!$1:$1,0)-MATCH($B$1,[2]quests!$1:$1,0)+1,FALSE)</f>
        <v>【金曜限定】 帽子屋を追え！</v>
      </c>
      <c r="F214" s="5" t="str">
        <f ca="1">VLOOKUP($D214,OFFSET([2]stages!$A$1,0,0,COUNTA([2]stages!$A:$A),MATCH(F$1,[2]stages!$2:$2,0)-MATCH($D$1,[2]stages!$2:$2,0)+1),MATCH(F$1,[2]stages!$2:$2,0)-MATCH($D$1,[2]stages!$2:$2,0)+1,FALSE)</f>
        <v xml:space="preserve">【超級】水の帽子屋 </v>
      </c>
      <c r="G214" s="25">
        <v>5</v>
      </c>
      <c r="H214" s="16" t="str">
        <f t="shared" si="104"/>
        <v>11005_3-5</v>
      </c>
      <c r="I214" s="5">
        <f ca="1">VLOOKUP($H214,OFFSET(floors!$A$1,0,0,COUNTA(floors!$A:$A),MATCH(I$1,floors!$1:$1,0)-MATCH($H$1,floors!$1:$1,0)+1),MATCH(I$1,floors!$1:$1,0)-MATCH($H$1,floors!$1:$1,0)+1,FALSE)</f>
        <v>60</v>
      </c>
      <c r="J214" s="5">
        <f ca="1">VLOOKUP($H214,OFFSET(floors!$A$1,0,0,COUNTA(floors!$A:$A),MATCH(J$1,floors!$1:$1,0)-MATCH($H$1,floors!$1:$1,0)+1),MATCH(J$1,floors!$1:$1,0)-MATCH($H$1,floors!$1:$1,0)+1,FALSE)</f>
        <v>60</v>
      </c>
      <c r="K214" s="24" t="s">
        <v>197</v>
      </c>
      <c r="L214" s="24">
        <v>37</v>
      </c>
      <c r="M214" s="20" t="str">
        <f ca="1">VLOOKUP($L214,OFFSET([3]enemies!$A$1,0,0,COUNTA([3]enemies!$A:$A),MATCH(M$1,[3]enemies!$1:$1,0)-MATCH($L$1,[3]enemies!$1:$1,0)+1),MATCH(M$1,[3]enemies!$1:$1,0)-MATCH($L$1,[3]enemies!$1:$1,0)+1,FALSE)</f>
        <v>ガイル</v>
      </c>
      <c r="N214" s="20" t="str">
        <f ca="1">VLOOKUP($L214,OFFSET([3]enemies!$A$1,0,0,COUNTA([3]enemies!$A:$A),MATCH(N$1,[3]enemies!$1:$1,0)-MATCH($L$1,[3]enemies!$1:$1,0)+1),MATCH(N$1,[3]enemies!$1:$1,0)-MATCH($L$1,[3]enemies!$1:$1,0)+1,FALSE)</f>
        <v>blue</v>
      </c>
      <c r="O214" s="22" t="str">
        <f ca="1">VLOOKUP($L214,OFFSET([4]characters!$A$1,0,0,COUNTA([4]characters!$A:$A),MATCH(O$1,[4]characters!$1:$1,0)-MATCH($L$1,[4]characters!$1:$1,0)+1),MATCH(O$1,[4]characters!$1:$1,0)-MATCH($L$1,[4]characters!$1:$1,0)+1,FALSE)</f>
        <v>Drop1S</v>
      </c>
      <c r="P214" s="20" t="str">
        <f ca="1">VLOOKUP($L214,OFFSET([3]enemies!$A$1,0,0,COUNTA([3]enemies!$A:$A),MATCH(P$1,[3]enemies!$1:$1,0)-MATCH($L$1,[3]enemies!$1:$1,0)+1),MATCH(P$1,[3]enemies!$1:$1,0)-MATCH($L$1,[3]enemies!$1:$1,0)+1,FALSE)</f>
        <v>animal</v>
      </c>
      <c r="Q214" s="20">
        <f ca="1">VLOOKUP($L214,OFFSET([3]enemies!$A$1,0,0,COUNTA([3]enemies!$A:$A),MATCH(Q$1,[3]enemies!$1:$1,0)-MATCH($L$1,[3]enemies!$1:$1,0)+1),MATCH(Q$1,[3]enemies!$1:$1,0)-MATCH($L$1,[3]enemies!$1:$1,0)+1,FALSE)</f>
        <v>15</v>
      </c>
      <c r="R214" s="6">
        <v>42</v>
      </c>
      <c r="S214" s="39">
        <v>1</v>
      </c>
      <c r="T214" s="39">
        <v>1</v>
      </c>
      <c r="U214" s="6">
        <v>0</v>
      </c>
      <c r="V214" s="5" t="str">
        <f ca="1">VLOOKUP($W214,OFFSET([5]enemy_skill_sets!$B$1,0,0,COUNTA([5]enemy_skill_sets!$B:$B),MATCH(M$1,[5]enemy_skill_sets!$1:$1,0)-MATCH($W$1,[5]enemy_skill_sets!$1:$1,0)+2),MATCH(M$1,[5]enemy_skill_sets!$1:$1,0)-MATCH($W$1,[5]enemy_skill_sets!$1:$1,0)+2,FALSE)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14" s="5">
        <f ca="1">VLOOKUP($L214,OFFSET([3]enemies!$A$1,0,0,COUNTA([3]enemies!$A:$A),MATCH(W$1,[3]enemies!$1:$1,0)-MATCH($L$1,[3]enemies!$1:$1,0)+1),MATCH(W$1,[3]enemies!$1:$1,0)-MATCH($L$1,[3]enemies!$1:$1,0)+1,FALSE)</f>
        <v>37</v>
      </c>
      <c r="X214" s="7">
        <v>0</v>
      </c>
      <c r="Y214" s="7">
        <v>100</v>
      </c>
      <c r="Z214" s="7">
        <v>0</v>
      </c>
      <c r="AA214" s="20">
        <f ca="1">VLOOKUP($L214,OFFSET([3]enemies!$A$1,0,0,COUNTA([3]enemies!$A:$A),MATCH(AA$1,[3]enemies!$1:$1,0)-MATCH($L$1,[3]enemies!$1:$1,0)+1),MATCH(AA$1,[3]enemies!$1:$1,0)-MATCH($L$1,[3]enemies!$1:$1,0)+1,FALSE)</f>
        <v>3</v>
      </c>
      <c r="AB214" s="24">
        <v>37</v>
      </c>
      <c r="AC214" s="5" t="str">
        <f ca="1">IFERROR(VLOOKUP($AB214,OFFSET([4]characters!$A$1,0,0,COUNTA([4]characters!$A:$A),MATCH(AC$1,[4]characters!$1:$1,0)-MATCH("character_id",[4]characters!$1:$1,0)+1),MATCH(AC$1,[4]characters!$1:$1,0)-MATCH("character_id",[4]characters!$1:$1,0)+1,FALSE),"")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214" s="5">
        <f ca="1">IFERROR(VLOOKUP($AB214,OFFSET([4]characters!$A$1,0,0,COUNTA([4]characters!$A:$A),MATCH(AD$1,[4]characters!$1:$1,0)-MATCH("character_id",[4]characters!$1:$1,0)+1),MATCH(AD$1,[4]characters!$1:$1,0)-MATCH("character_id",[4]characters!$1:$1,0)+1,FALSE),"")</f>
        <v>2</v>
      </c>
      <c r="AE214" s="5" t="str">
        <f ca="1">IFERROR(VLOOKUP($AB214,OFFSET([4]characters!$A$1,0,0,COUNTA([4]characters!$A:$A),MATCH(AE$1,[4]characters!$1:$1,0)-MATCH("character_id",[4]characters!$1:$1,0)+1),MATCH(AE$1,[4]characters!$1:$1,0)-MATCH("character_id",[4]characters!$1:$1,0)+1,FALSE),"")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14" s="8">
        <v>1</v>
      </c>
      <c r="AG214" s="27">
        <f t="shared" ref="AG214:AG215" ca="1" si="119">AD214</f>
        <v>2</v>
      </c>
      <c r="AH214" s="9">
        <v>0</v>
      </c>
      <c r="AI214" s="8">
        <v>0</v>
      </c>
      <c r="AJ214" s="8">
        <v>0</v>
      </c>
      <c r="AK214" s="8">
        <v>0</v>
      </c>
      <c r="AL214" s="8">
        <v>0</v>
      </c>
      <c r="AM214" s="8">
        <v>1</v>
      </c>
      <c r="AN214" s="8">
        <v>1</v>
      </c>
    </row>
    <row r="215" spans="1:40" ht="21" customHeight="1" x14ac:dyDescent="0.15">
      <c r="A215" s="17" t="str">
        <f t="shared" ca="1" si="117"/>
        <v>11005_3-5/29&lt;lv42&gt;s2</v>
      </c>
      <c r="B215" s="8">
        <v>11005</v>
      </c>
      <c r="C215" s="25">
        <v>3</v>
      </c>
      <c r="D215" s="2" t="str">
        <f t="shared" si="118"/>
        <v>11005_3</v>
      </c>
      <c r="E215" s="5" t="str">
        <f ca="1">VLOOKUP($B215,OFFSET([2]quests!$A$1,0,0,COUNTA([2]quests!$A:$A),MATCH(E$1,[2]quests!$1:$1,0)-MATCH($B$1,[2]quests!$1:$1,0)+1),MATCH(E$1,[2]quests!$1:$1,0)-MATCH($B$1,[2]quests!$1:$1,0)+1,FALSE)</f>
        <v>【金曜限定】 帽子屋を追え！</v>
      </c>
      <c r="F215" s="5" t="str">
        <f ca="1">VLOOKUP($D215,OFFSET([2]stages!$A$1,0,0,COUNTA([2]stages!$A:$A),MATCH(F$1,[2]stages!$2:$2,0)-MATCH($D$1,[2]stages!$2:$2,0)+1),MATCH(F$1,[2]stages!$2:$2,0)-MATCH($D$1,[2]stages!$2:$2,0)+1,FALSE)</f>
        <v xml:space="preserve">【超級】水の帽子屋 </v>
      </c>
      <c r="G215" s="25">
        <v>5</v>
      </c>
      <c r="H215" s="16" t="str">
        <f t="shared" si="104"/>
        <v>11005_3-5</v>
      </c>
      <c r="I215" s="5">
        <f ca="1">VLOOKUP($H215,OFFSET(floors!$A$1,0,0,COUNTA(floors!$A:$A),MATCH(I$1,floors!$1:$1,0)-MATCH($H$1,floors!$1:$1,0)+1),MATCH(I$1,floors!$1:$1,0)-MATCH($H$1,floors!$1:$1,0)+1,FALSE)</f>
        <v>60</v>
      </c>
      <c r="J215" s="5">
        <f ca="1">VLOOKUP($H215,OFFSET(floors!$A$1,0,0,COUNTA(floors!$A:$A),MATCH(J$1,floors!$1:$1,0)-MATCH($H$1,floors!$1:$1,0)+1),MATCH(J$1,floors!$1:$1,0)-MATCH($H$1,floors!$1:$1,0)+1,FALSE)</f>
        <v>60</v>
      </c>
      <c r="K215" s="24" t="s">
        <v>197</v>
      </c>
      <c r="L215" s="24">
        <v>29</v>
      </c>
      <c r="M215" s="20" t="str">
        <f ca="1">VLOOKUP($L215,OFFSET([3]enemies!$A$1,0,0,COUNTA([3]enemies!$A:$A),MATCH(M$1,[3]enemies!$1:$1,0)-MATCH($L$1,[3]enemies!$1:$1,0)+1),MATCH(M$1,[3]enemies!$1:$1,0)-MATCH($L$1,[3]enemies!$1:$1,0)+1,FALSE)</f>
        <v>スケアクロウ</v>
      </c>
      <c r="N215" s="20" t="str">
        <f ca="1">VLOOKUP($L215,OFFSET([3]enemies!$A$1,0,0,COUNTA([3]enemies!$A:$A),MATCH(N$1,[3]enemies!$1:$1,0)-MATCH($L$1,[3]enemies!$1:$1,0)+1),MATCH(N$1,[3]enemies!$1:$1,0)-MATCH($L$1,[3]enemies!$1:$1,0)+1,FALSE)</f>
        <v>blue</v>
      </c>
      <c r="O215" s="22" t="str">
        <f ca="1">VLOOKUP($L215,OFFSET([4]characters!$A$1,0,0,COUNTA([4]characters!$A:$A),MATCH(O$1,[4]characters!$1:$1,0)-MATCH($L$1,[4]characters!$1:$1,0)+1),MATCH(O$1,[4]characters!$1:$1,0)-MATCH($L$1,[4]characters!$1:$1,0)+1,FALSE)</f>
        <v>Drop1N</v>
      </c>
      <c r="P215" s="20" t="str">
        <f ca="1">VLOOKUP($L215,OFFSET([3]enemies!$A$1,0,0,COUNTA([3]enemies!$A:$A),MATCH(P$1,[3]enemies!$1:$1,0)-MATCH($L$1,[3]enemies!$1:$1,0)+1),MATCH(P$1,[3]enemies!$1:$1,0)-MATCH($L$1,[3]enemies!$1:$1,0)+1,FALSE)</f>
        <v>machine</v>
      </c>
      <c r="Q215" s="20">
        <f ca="1">VLOOKUP($L215,OFFSET([3]enemies!$A$1,0,0,COUNTA([3]enemies!$A:$A),MATCH(Q$1,[3]enemies!$1:$1,0)-MATCH($L$1,[3]enemies!$1:$1,0)+1),MATCH(Q$1,[3]enemies!$1:$1,0)-MATCH($L$1,[3]enemies!$1:$1,0)+1,FALSE)</f>
        <v>15</v>
      </c>
      <c r="R215" s="6">
        <v>42</v>
      </c>
      <c r="S215" s="39">
        <v>1</v>
      </c>
      <c r="T215" s="39">
        <v>1</v>
      </c>
      <c r="U215" s="6">
        <v>0</v>
      </c>
      <c r="V215" s="5" t="str">
        <f ca="1">VLOOKUP($W215,OFFSET([5]enemy_skill_sets!$B$1,0,0,COUNTA([5]enemy_skill_sets!$B:$B),MATCH(M$1,[5]enemy_skill_sets!$1:$1,0)-MATCH($W$1,[5]enemy_skill_sets!$1:$1,0)+2),MATCH(M$1,[5]enemy_skill_sets!$1:$1,0)-MATCH($W$1,[5]enemy_skill_sets!$1:$1,0)+2,FALSE)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5" s="5">
        <f ca="1">VLOOKUP($L215,OFFSET([3]enemies!$A$1,0,0,COUNTA([3]enemies!$A:$A),MATCH(W$1,[3]enemies!$1:$1,0)-MATCH($L$1,[3]enemies!$1:$1,0)+1),MATCH(W$1,[3]enemies!$1:$1,0)-MATCH($L$1,[3]enemies!$1:$1,0)+1,FALSE)</f>
        <v>0</v>
      </c>
      <c r="X215" s="7">
        <v>0</v>
      </c>
      <c r="Y215" s="7">
        <v>100</v>
      </c>
      <c r="Z215" s="7">
        <v>0</v>
      </c>
      <c r="AA215" s="20">
        <f ca="1">VLOOKUP($L215,OFFSET([3]enemies!$A$1,0,0,COUNTA([3]enemies!$A:$A),MATCH(AA$1,[3]enemies!$1:$1,0)-MATCH($L$1,[3]enemies!$1:$1,0)+1),MATCH(AA$1,[3]enemies!$1:$1,0)-MATCH($L$1,[3]enemies!$1:$1,0)+1,FALSE)</f>
        <v>2</v>
      </c>
      <c r="AB215" s="24">
        <v>29</v>
      </c>
      <c r="AC215" s="5" t="str">
        <f ca="1">IFERROR(VLOOKUP($AB215,OFFSET([4]characters!$A$1,0,0,COUNTA([4]characters!$A:$A),MATCH(AC$1,[4]characters!$1:$1,0)-MATCH("character_id",[4]characters!$1:$1,0)+1),MATCH(AC$1,[4]characters!$1:$1,0)-MATCH("character_id",[4]characters!$1:$1,0)+1,FALSE),"")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215" s="5">
        <f ca="1">IFERROR(VLOOKUP($AB215,OFFSET([4]characters!$A$1,0,0,COUNTA([4]characters!$A:$A),MATCH(AD$1,[4]characters!$1:$1,0)-MATCH("character_id",[4]characters!$1:$1,0)+1),MATCH(AD$1,[4]characters!$1:$1,0)-MATCH("character_id",[4]characters!$1:$1,0)+1,FALSE),"")</f>
        <v>1</v>
      </c>
      <c r="AE215" s="5" t="str">
        <f ca="1">IFERROR(VLOOKUP($AB215,OFFSET([4]characters!$A$1,0,0,COUNTA([4]characters!$A:$A),MATCH(AE$1,[4]characters!$1:$1,0)-MATCH("character_id",[4]characters!$1:$1,0)+1),MATCH(AE$1,[4]characters!$1:$1,0)-MATCH("character_id",[4]characters!$1:$1,0)+1,FALSE),"")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15" s="8">
        <v>1</v>
      </c>
      <c r="AG215" s="27">
        <f t="shared" ca="1" si="119"/>
        <v>1</v>
      </c>
      <c r="AH215" s="9">
        <v>0</v>
      </c>
      <c r="AI215" s="8">
        <v>0</v>
      </c>
      <c r="AJ215" s="8">
        <v>0</v>
      </c>
      <c r="AK215" s="8">
        <v>0</v>
      </c>
      <c r="AL215" s="8">
        <v>0</v>
      </c>
      <c r="AM215" s="8">
        <v>1</v>
      </c>
      <c r="AN215" s="8">
        <v>1</v>
      </c>
    </row>
    <row r="216" spans="1:40" ht="21" customHeight="1" x14ac:dyDescent="0.15">
      <c r="A216" s="17" t="str">
        <f t="shared" ca="1" si="111"/>
        <v>11005_3-6/112&lt;lv40&gt;s2</v>
      </c>
      <c r="B216" s="8">
        <v>11005</v>
      </c>
      <c r="C216" s="25">
        <v>3</v>
      </c>
      <c r="D216" s="2" t="str">
        <f t="shared" si="112"/>
        <v>11005_3</v>
      </c>
      <c r="E216" s="5" t="str">
        <f ca="1">VLOOKUP($B216,OFFSET([2]quests!$A$1,0,0,COUNTA([2]quests!$A:$A),MATCH(E$1,[2]quests!$1:$1,0)-MATCH($B$1,[2]quests!$1:$1,0)+1),MATCH(E$1,[2]quests!$1:$1,0)-MATCH($B$1,[2]quests!$1:$1,0)+1,FALSE)</f>
        <v>【金曜限定】 帽子屋を追え！</v>
      </c>
      <c r="F216" s="5" t="str">
        <f ca="1">VLOOKUP($D216,OFFSET([2]stages!$A$1,0,0,COUNTA([2]stages!$A:$A),MATCH(F$1,[2]stages!$2:$2,0)-MATCH($D$1,[2]stages!$2:$2,0)+1),MATCH(F$1,[2]stages!$2:$2,0)-MATCH($D$1,[2]stages!$2:$2,0)+1,FALSE)</f>
        <v xml:space="preserve">【超級】水の帽子屋 </v>
      </c>
      <c r="G216" s="25">
        <v>6</v>
      </c>
      <c r="H216" s="16" t="str">
        <f t="shared" si="104"/>
        <v>11005_3-6</v>
      </c>
      <c r="I216" s="5">
        <f ca="1">VLOOKUP($H216,OFFSET(floors!$A$1,0,0,COUNTA(floors!$A:$A),MATCH(I$1,floors!$1:$1,0)-MATCH($H$1,floors!$1:$1,0)+1),MATCH(I$1,floors!$1:$1,0)-MATCH($H$1,floors!$1:$1,0)+1,FALSE)</f>
        <v>60</v>
      </c>
      <c r="J216" s="5">
        <f ca="1">VLOOKUP($H216,OFFSET(floors!$A$1,0,0,COUNTA(floors!$A:$A),MATCH(J$1,floors!$1:$1,0)-MATCH($H$1,floors!$1:$1,0)+1),MATCH(J$1,floors!$1:$1,0)-MATCH($H$1,floors!$1:$1,0)+1,FALSE)</f>
        <v>60</v>
      </c>
      <c r="K216" s="24" t="s">
        <v>197</v>
      </c>
      <c r="L216" s="24">
        <v>112</v>
      </c>
      <c r="M216" s="20" t="str">
        <f ca="1">VLOOKUP($L216,OFFSET([3]enemies!$A$1,0,0,COUNTA([3]enemies!$A:$A),MATCH(M$1,[3]enemies!$1:$1,0)-MATCH($L$1,[3]enemies!$1:$1,0)+1),MATCH(M$1,[3]enemies!$1:$1,0)-MATCH($L$1,[3]enemies!$1:$1,0)+1,FALSE)</f>
        <v>水のマッドハッター</v>
      </c>
      <c r="N216" s="20" t="str">
        <f ca="1">VLOOKUP($L216,OFFSET([3]enemies!$A$1,0,0,COUNTA([3]enemies!$A:$A),MATCH(N$1,[3]enemies!$1:$1,0)-MATCH($L$1,[3]enemies!$1:$1,0)+1),MATCH(N$1,[3]enemies!$1:$1,0)-MATCH($L$1,[3]enemies!$1:$1,0)+1,FALSE)</f>
        <v>blue</v>
      </c>
      <c r="O216" s="22" t="str">
        <f ca="1">VLOOKUP($L216,OFFSET([4]characters!$A$1,0,0,COUNTA([4]characters!$A:$A),MATCH(O$1,[4]characters!$1:$1,0)-MATCH($L$1,[4]characters!$1:$1,0)+1),MATCH(O$1,[4]characters!$1:$1,0)-MATCH($L$1,[4]characters!$1:$1,0)+1,FALSE)</f>
        <v>Material</v>
      </c>
      <c r="P216" s="20" t="str">
        <f ca="1">VLOOKUP($L216,OFFSET([3]enemies!$A$1,0,0,COUNTA([3]enemies!$A:$A),MATCH(P$1,[3]enemies!$1:$1,0)-MATCH($L$1,[3]enemies!$1:$1,0)+1),MATCH(P$1,[3]enemies!$1:$1,0)-MATCH($L$1,[3]enemies!$1:$1,0)+1,FALSE)</f>
        <v>unknown</v>
      </c>
      <c r="Q216" s="20">
        <f ca="1">VLOOKUP($L216,OFFSET([3]enemies!$A$1,0,0,COUNTA([3]enemies!$A:$A),MATCH(Q$1,[3]enemies!$1:$1,0)-MATCH($L$1,[3]enemies!$1:$1,0)+1),MATCH(Q$1,[3]enemies!$1:$1,0)-MATCH($L$1,[3]enemies!$1:$1,0)+1,FALSE)</f>
        <v>20</v>
      </c>
      <c r="R216" s="6">
        <v>40</v>
      </c>
      <c r="S216" s="39">
        <v>1.7</v>
      </c>
      <c r="T216" s="39">
        <v>1</v>
      </c>
      <c r="U216" s="6">
        <v>0</v>
      </c>
      <c r="V216" s="5" t="str">
        <f ca="1">VLOOKUP($W216,OFFSET([5]enemy_skill_sets!$B$1,0,0,COUNTA([5]enemy_skill_sets!$B:$B),MATCH(M$1,[5]enemy_skill_sets!$1:$1,0)-MATCH($W$1,[5]enemy_skill_sets!$1:$1,0)+2),MATCH(M$1,[5]enemy_skill_sets!$1:$1,0)-MATCH($W$1,[5]enemy_skill_sets!$1:$1,0)+2,FALSE)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6" s="5">
        <f ca="1">VLOOKUP($L216,OFFSET([3]enemies!$A$1,0,0,COUNTA([3]enemies!$A:$A),MATCH(W$1,[3]enemies!$1:$1,0)-MATCH($L$1,[3]enemies!$1:$1,0)+1),MATCH(W$1,[3]enemies!$1:$1,0)-MATCH($L$1,[3]enemies!$1:$1,0)+1,FALSE)</f>
        <v>0</v>
      </c>
      <c r="X216" s="7">
        <v>1</v>
      </c>
      <c r="Y216" s="7">
        <v>100</v>
      </c>
      <c r="Z216" s="7">
        <v>1</v>
      </c>
      <c r="AA216" s="20">
        <f ca="1">VLOOKUP($L216,OFFSET([3]enemies!$A$1,0,0,COUNTA([3]enemies!$A:$A),MATCH(AA$1,[3]enemies!$1:$1,0)-MATCH($L$1,[3]enemies!$1:$1,0)+1),MATCH(AA$1,[3]enemies!$1:$1,0)-MATCH($L$1,[3]enemies!$1:$1,0)+1,FALSE)</f>
        <v>2</v>
      </c>
      <c r="AB216" s="24">
        <v>112</v>
      </c>
      <c r="AC216" s="5" t="str">
        <f ca="1">IFERROR(VLOOKUP($AB216,OFFSET([4]characters!$A$1,0,0,COUNTA([4]characters!$A:$A),MATCH(AC$1,[4]characters!$1:$1,0)-MATCH("character_id",[4]characters!$1:$1,0)+1),MATCH(AC$1,[4]characters!$1:$1,0)-MATCH("character_id",[4]characters!$1:$1,0)+1,FALSE),"")</f>
        <v>水のマッドハッター</v>
      </c>
      <c r="AD216" s="5">
        <f ca="1">IFERROR(VLOOKUP($AB216,OFFSET([4]characters!$A$1,0,0,COUNTA([4]characters!$A:$A),MATCH(AD$1,[4]characters!$1:$1,0)-MATCH("character_id",[4]characters!$1:$1,0)+1),MATCH(AD$1,[4]characters!$1:$1,0)-MATCH("character_id",[4]characters!$1:$1,0)+1,FALSE),"")</f>
        <v>5</v>
      </c>
      <c r="AE216" s="5" t="str">
        <f ca="1">IFERROR(VLOOKUP($AB216,OFFSET([4]characters!$A$1,0,0,COUNTA([4]characters!$A:$A),MATCH(AE$1,[4]characters!$1:$1,0)-MATCH("character_id",[4]characters!$1:$1,0)+1),MATCH(AE$1,[4]characters!$1:$1,0)-MATCH("character_id",[4]characters!$1:$1,0)+1,FALSE),"")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6" s="8">
        <v>1</v>
      </c>
      <c r="AG216" s="27">
        <f t="shared" ca="1" si="113"/>
        <v>5</v>
      </c>
      <c r="AH216" s="9">
        <v>100</v>
      </c>
      <c r="AI216" s="8">
        <v>0</v>
      </c>
      <c r="AJ216" s="8">
        <v>0</v>
      </c>
      <c r="AK216" s="8">
        <v>0</v>
      </c>
      <c r="AL216" s="8">
        <v>0</v>
      </c>
      <c r="AM216" s="8">
        <v>1</v>
      </c>
      <c r="AN216" s="8">
        <v>1</v>
      </c>
    </row>
    <row r="217" spans="1:40" ht="21" customHeight="1" x14ac:dyDescent="0.15">
      <c r="A217" s="17" t="str">
        <f t="shared" ca="1" si="111"/>
        <v>11005_3-6/26&lt;lv45&gt;s3</v>
      </c>
      <c r="B217" s="8">
        <v>11005</v>
      </c>
      <c r="C217" s="25">
        <v>3</v>
      </c>
      <c r="D217" s="2" t="str">
        <f t="shared" si="112"/>
        <v>11005_3</v>
      </c>
      <c r="E217" s="5" t="str">
        <f ca="1">VLOOKUP($B217,OFFSET([2]quests!$A$1,0,0,COUNTA([2]quests!$A:$A),MATCH(E$1,[2]quests!$1:$1,0)-MATCH($B$1,[2]quests!$1:$1,0)+1),MATCH(E$1,[2]quests!$1:$1,0)-MATCH($B$1,[2]quests!$1:$1,0)+1,FALSE)</f>
        <v>【金曜限定】 帽子屋を追え！</v>
      </c>
      <c r="F217" s="5" t="str">
        <f ca="1">VLOOKUP($D217,OFFSET([2]stages!$A$1,0,0,COUNTA([2]stages!$A:$A),MATCH(F$1,[2]stages!$2:$2,0)-MATCH($D$1,[2]stages!$2:$2,0)+1),MATCH(F$1,[2]stages!$2:$2,0)-MATCH($D$1,[2]stages!$2:$2,0)+1,FALSE)</f>
        <v xml:space="preserve">【超級】水の帽子屋 </v>
      </c>
      <c r="G217" s="25">
        <v>6</v>
      </c>
      <c r="H217" s="16" t="str">
        <f t="shared" si="104"/>
        <v>11005_3-6</v>
      </c>
      <c r="I217" s="5">
        <f ca="1">VLOOKUP($H217,OFFSET(floors!$A$1,0,0,COUNTA(floors!$A:$A),MATCH(I$1,floors!$1:$1,0)-MATCH($H$1,floors!$1:$1,0)+1),MATCH(I$1,floors!$1:$1,0)-MATCH($H$1,floors!$1:$1,0)+1,FALSE)</f>
        <v>60</v>
      </c>
      <c r="J217" s="5">
        <f ca="1">VLOOKUP($H217,OFFSET(floors!$A$1,0,0,COUNTA(floors!$A:$A),MATCH(J$1,floors!$1:$1,0)-MATCH($H$1,floors!$1:$1,0)+1),MATCH(J$1,floors!$1:$1,0)-MATCH($H$1,floors!$1:$1,0)+1,FALSE)</f>
        <v>60</v>
      </c>
      <c r="K217" s="24" t="s">
        <v>197</v>
      </c>
      <c r="L217" s="24">
        <v>26</v>
      </c>
      <c r="M217" s="20" t="str">
        <f ca="1">VLOOKUP($L217,OFFSET([3]enemies!$A$1,0,0,COUNTA([3]enemies!$A:$A),MATCH(M$1,[3]enemies!$1:$1,0)-MATCH($L$1,[3]enemies!$1:$1,0)+1),MATCH(M$1,[3]enemies!$1:$1,0)-MATCH($L$1,[3]enemies!$1:$1,0)+1,FALSE)</f>
        <v>勇犬 ハチ</v>
      </c>
      <c r="N217" s="20" t="str">
        <f ca="1">VLOOKUP($L217,OFFSET([3]enemies!$A$1,0,0,COUNTA([3]enemies!$A:$A),MATCH(N$1,[3]enemies!$1:$1,0)-MATCH($L$1,[3]enemies!$1:$1,0)+1),MATCH(N$1,[3]enemies!$1:$1,0)-MATCH($L$1,[3]enemies!$1:$1,0)+1,FALSE)</f>
        <v>blue</v>
      </c>
      <c r="O217" s="22" t="str">
        <f ca="1">VLOOKUP($L217,OFFSET([4]characters!$A$1,0,0,COUNTA([4]characters!$A:$A),MATCH(O$1,[4]characters!$1:$1,0)-MATCH($L$1,[4]characters!$1:$1,0)+1),MATCH(O$1,[4]characters!$1:$1,0)-MATCH($L$1,[4]characters!$1:$1,0)+1,FALSE)</f>
        <v>Drop1N</v>
      </c>
      <c r="P217" s="20" t="str">
        <f ca="1">VLOOKUP($L217,OFFSET([3]enemies!$A$1,0,0,COUNTA([3]enemies!$A:$A),MATCH(P$1,[3]enemies!$1:$1,0)-MATCH($L$1,[3]enemies!$1:$1,0)+1),MATCH(P$1,[3]enemies!$1:$1,0)-MATCH($L$1,[3]enemies!$1:$1,0)+1,FALSE)</f>
        <v>animal</v>
      </c>
      <c r="Q217" s="20">
        <f ca="1">VLOOKUP($L217,OFFSET([3]enemies!$A$1,0,0,COUNTA([3]enemies!$A:$A),MATCH(Q$1,[3]enemies!$1:$1,0)-MATCH($L$1,[3]enemies!$1:$1,0)+1),MATCH(Q$1,[3]enemies!$1:$1,0)-MATCH($L$1,[3]enemies!$1:$1,0)+1,FALSE)</f>
        <v>15</v>
      </c>
      <c r="R217" s="6">
        <v>45</v>
      </c>
      <c r="S217" s="39">
        <v>1</v>
      </c>
      <c r="T217" s="39">
        <v>1</v>
      </c>
      <c r="U217" s="6">
        <v>0</v>
      </c>
      <c r="V217" s="5" t="str">
        <f ca="1">VLOOKUP($W217,OFFSET([5]enemy_skill_sets!$B$1,0,0,COUNTA([5]enemy_skill_sets!$B:$B),MATCH(M$1,[5]enemy_skill_sets!$1:$1,0)-MATCH($W$1,[5]enemy_skill_sets!$1:$1,0)+2),MATCH(M$1,[5]enemy_skill_sets!$1:$1,0)-MATCH($W$1,[5]enemy_skill_sets!$1:$1,0)+2,FALSE)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7" s="5">
        <f ca="1">VLOOKUP($L217,OFFSET([3]enemies!$A$1,0,0,COUNTA([3]enemies!$A:$A),MATCH(W$1,[3]enemies!$1:$1,0)-MATCH($L$1,[3]enemies!$1:$1,0)+1),MATCH(W$1,[3]enemies!$1:$1,0)-MATCH($L$1,[3]enemies!$1:$1,0)+1,FALSE)</f>
        <v>0</v>
      </c>
      <c r="X217" s="7">
        <v>2</v>
      </c>
      <c r="Y217" s="7">
        <v>100</v>
      </c>
      <c r="Z217" s="7">
        <v>0</v>
      </c>
      <c r="AA217" s="20">
        <f ca="1">VLOOKUP($L217,OFFSET([3]enemies!$A$1,0,0,COUNTA([3]enemies!$A:$A),MATCH(AA$1,[3]enemies!$1:$1,0)-MATCH($L$1,[3]enemies!$1:$1,0)+1),MATCH(AA$1,[3]enemies!$1:$1,0)-MATCH($L$1,[3]enemies!$1:$1,0)+1,FALSE)</f>
        <v>3</v>
      </c>
      <c r="AB217" s="24">
        <v>25</v>
      </c>
      <c r="AC217" s="5" t="str">
        <f ca="1">IFERROR(VLOOKUP($AB217,OFFSET([4]characters!$A$1,0,0,COUNTA([4]characters!$A:$A),MATCH(AC$1,[4]characters!$1:$1,0)-MATCH("character_id",[4]characters!$1:$1,0)+1),MATCH(AC$1,[4]characters!$1:$1,0)-MATCH("character_id",[4]characters!$1:$1,0)+1,FALSE),"")</f>
        <v>ハチ</v>
      </c>
      <c r="AD217" s="5">
        <f ca="1">IFERROR(VLOOKUP($AB217,OFFSET([4]characters!$A$1,0,0,COUNTA([4]characters!$A:$A),MATCH(AD$1,[4]characters!$1:$1,0)-MATCH("character_id",[4]characters!$1:$1,0)+1),MATCH(AD$1,[4]characters!$1:$1,0)-MATCH("character_id",[4]characters!$1:$1,0)+1,FALSE),"")</f>
        <v>1</v>
      </c>
      <c r="AE217" s="5" t="str">
        <f ca="1">IFERROR(VLOOKUP($AB217,OFFSET([4]characters!$A$1,0,0,COUNTA([4]characters!$A:$A),MATCH(AE$1,[4]characters!$1:$1,0)-MATCH("character_id",[4]characters!$1:$1,0)+1),MATCH(AE$1,[4]characters!$1:$1,0)-MATCH("character_id",[4]characters!$1:$1,0)+1,FALSE),"")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17" s="8">
        <v>1</v>
      </c>
      <c r="AG217" s="27">
        <f t="shared" ca="1" si="113"/>
        <v>1</v>
      </c>
      <c r="AH217" s="9">
        <v>0</v>
      </c>
      <c r="AI217" s="8">
        <v>0</v>
      </c>
      <c r="AJ217" s="8">
        <v>0</v>
      </c>
      <c r="AK217" s="8">
        <v>0</v>
      </c>
      <c r="AL217" s="8">
        <v>0</v>
      </c>
      <c r="AM217" s="8">
        <v>1</v>
      </c>
      <c r="AN217" s="8">
        <v>1</v>
      </c>
    </row>
    <row r="218" spans="1:40" ht="21" customHeight="1" x14ac:dyDescent="0.15">
      <c r="A218" s="17" t="str">
        <f t="shared" ca="1" si="111"/>
        <v>11005_4-1/39&lt;lv42&gt;s3</v>
      </c>
      <c r="B218" s="8">
        <v>11005</v>
      </c>
      <c r="C218" s="25">
        <v>4</v>
      </c>
      <c r="D218" s="2" t="str">
        <f t="shared" si="112"/>
        <v>11005_4</v>
      </c>
      <c r="E218" s="5" t="str">
        <f ca="1">VLOOKUP($B218,OFFSET([2]quests!$A$1,0,0,COUNTA([2]quests!$A:$A),MATCH(E$1,[2]quests!$1:$1,0)-MATCH($B$1,[2]quests!$1:$1,0)+1),MATCH(E$1,[2]quests!$1:$1,0)-MATCH($B$1,[2]quests!$1:$1,0)+1,FALSE)</f>
        <v>【金曜限定】 帽子屋を追え！</v>
      </c>
      <c r="F218" s="5" t="str">
        <f ca="1">VLOOKUP($D218,OFFSET([2]stages!$A$1,0,0,COUNTA([2]stages!$A:$A),MATCH(F$1,[2]stages!$2:$2,0)-MATCH($D$1,[2]stages!$2:$2,0)+1),MATCH(F$1,[2]stages!$2:$2,0)-MATCH($D$1,[2]stages!$2:$2,0)+1,FALSE)</f>
        <v>【超級】雷の帽子屋</v>
      </c>
      <c r="G218" s="25">
        <v>1</v>
      </c>
      <c r="H218" s="16" t="str">
        <f t="shared" si="104"/>
        <v>11005_4-1</v>
      </c>
      <c r="I218" s="5">
        <f ca="1">VLOOKUP($H218,OFFSET(floors!$A$1,0,0,COUNTA(floors!$A:$A),MATCH(I$1,floors!$1:$1,0)-MATCH($H$1,floors!$1:$1,0)+1),MATCH(I$1,floors!$1:$1,0)-MATCH($H$1,floors!$1:$1,0)+1,FALSE)</f>
        <v>30</v>
      </c>
      <c r="J218" s="5">
        <f ca="1">VLOOKUP($H218,OFFSET(floors!$A$1,0,0,COUNTA(floors!$A:$A),MATCH(J$1,floors!$1:$1,0)-MATCH($H$1,floors!$1:$1,0)+1),MATCH(J$1,floors!$1:$1,0)-MATCH($H$1,floors!$1:$1,0)+1,FALSE)</f>
        <v>45</v>
      </c>
      <c r="K218" s="24" t="s">
        <v>197</v>
      </c>
      <c r="L218" s="24">
        <v>39</v>
      </c>
      <c r="M218" s="20" t="str">
        <f ca="1">VLOOKUP($L218,OFFSET([3]enemies!$A$1,0,0,COUNTA([3]enemies!$A:$A),MATCH(M$1,[3]enemies!$1:$1,0)-MATCH($L$1,[3]enemies!$1:$1,0)+1),MATCH(M$1,[3]enemies!$1:$1,0)-MATCH($L$1,[3]enemies!$1:$1,0)+1,FALSE)</f>
        <v>マーロン</v>
      </c>
      <c r="N218" s="20" t="str">
        <f ca="1">VLOOKUP($L218,OFFSET([3]enemies!$A$1,0,0,COUNTA([3]enemies!$A:$A),MATCH(N$1,[3]enemies!$1:$1,0)-MATCH($L$1,[3]enemies!$1:$1,0)+1),MATCH(N$1,[3]enemies!$1:$1,0)-MATCH($L$1,[3]enemies!$1:$1,0)+1,FALSE)</f>
        <v>yellow</v>
      </c>
      <c r="O218" s="22" t="str">
        <f ca="1">VLOOKUP($L218,OFFSET([4]characters!$A$1,0,0,COUNTA([4]characters!$A:$A),MATCH(O$1,[4]characters!$1:$1,0)-MATCH($L$1,[4]characters!$1:$1,0)+1),MATCH(O$1,[4]characters!$1:$1,0)-MATCH($L$1,[4]characters!$1:$1,0)+1,FALSE)</f>
        <v>Drop1S</v>
      </c>
      <c r="P218" s="20" t="str">
        <f ca="1">VLOOKUP($L218,OFFSET([3]enemies!$A$1,0,0,COUNTA([3]enemies!$A:$A),MATCH(P$1,[3]enemies!$1:$1,0)-MATCH($L$1,[3]enemies!$1:$1,0)+1),MATCH(P$1,[3]enemies!$1:$1,0)-MATCH($L$1,[3]enemies!$1:$1,0)+1,FALSE)</f>
        <v>human</v>
      </c>
      <c r="Q218" s="20">
        <f ca="1">VLOOKUP($L218,OFFSET([3]enemies!$A$1,0,0,COUNTA([3]enemies!$A:$A),MATCH(Q$1,[3]enemies!$1:$1,0)-MATCH($L$1,[3]enemies!$1:$1,0)+1),MATCH(Q$1,[3]enemies!$1:$1,0)-MATCH($L$1,[3]enemies!$1:$1,0)+1,FALSE)</f>
        <v>15</v>
      </c>
      <c r="R218" s="6">
        <v>42</v>
      </c>
      <c r="S218" s="39">
        <v>1</v>
      </c>
      <c r="T218" s="39">
        <v>1</v>
      </c>
      <c r="U218" s="6">
        <v>0</v>
      </c>
      <c r="V218" s="5" t="str">
        <f ca="1">VLOOKUP($W218,OFFSET([5]enemy_skill_sets!$B$1,0,0,COUNTA([5]enemy_skill_sets!$B:$B),MATCH(M$1,[5]enemy_skill_sets!$1:$1,0)-MATCH($W$1,[5]enemy_skill_sets!$1:$1,0)+2),MATCH(M$1,[5]enemy_skill_sets!$1:$1,0)-MATCH($W$1,[5]enemy_skill_sets!$1:$1,0)+2,FALSE)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18" s="5">
        <f ca="1">VLOOKUP($L218,OFFSET([3]enemies!$A$1,0,0,COUNTA([3]enemies!$A:$A),MATCH(W$1,[3]enemies!$1:$1,0)-MATCH($L$1,[3]enemies!$1:$1,0)+1),MATCH(W$1,[3]enemies!$1:$1,0)-MATCH($L$1,[3]enemies!$1:$1,0)+1,FALSE)</f>
        <v>39</v>
      </c>
      <c r="X218" s="7">
        <v>0</v>
      </c>
      <c r="Y218" s="7">
        <v>100</v>
      </c>
      <c r="Z218" s="7">
        <v>0</v>
      </c>
      <c r="AA218" s="20">
        <f ca="1">VLOOKUP($L218,OFFSET([3]enemies!$A$1,0,0,COUNTA([3]enemies!$A:$A),MATCH(AA$1,[3]enemies!$1:$1,0)-MATCH($L$1,[3]enemies!$1:$1,0)+1),MATCH(AA$1,[3]enemies!$1:$1,0)-MATCH($L$1,[3]enemies!$1:$1,0)+1,FALSE)</f>
        <v>3</v>
      </c>
      <c r="AB218" s="24">
        <v>39</v>
      </c>
      <c r="AC218" s="5" t="str">
        <f ca="1">IFERROR(VLOOKUP($AB218,OFFSET([4]characters!$A$1,0,0,COUNTA([4]characters!$A:$A),MATCH(AC$1,[4]characters!$1:$1,0)-MATCH("character_id",[4]characters!$1:$1,0)+1),MATCH(AC$1,[4]characters!$1:$1,0)-MATCH("character_id",[4]characters!$1:$1,0)+1,FALSE),"")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18" s="5">
        <f ca="1">IFERROR(VLOOKUP($AB218,OFFSET([4]characters!$A$1,0,0,COUNTA([4]characters!$A:$A),MATCH(AD$1,[4]characters!$1:$1,0)-MATCH("character_id",[4]characters!$1:$1,0)+1),MATCH(AD$1,[4]characters!$1:$1,0)-MATCH("character_id",[4]characters!$1:$1,0)+1,FALSE),"")</f>
        <v>2</v>
      </c>
      <c r="AE218" s="5" t="str">
        <f ca="1">IFERROR(VLOOKUP($AB218,OFFSET([4]characters!$A$1,0,0,COUNTA([4]characters!$A:$A),MATCH(AE$1,[4]characters!$1:$1,0)-MATCH("character_id",[4]characters!$1:$1,0)+1),MATCH(AE$1,[4]characters!$1:$1,0)-MATCH("character_id",[4]characters!$1:$1,0)+1,FALSE),"")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18" s="8">
        <v>1</v>
      </c>
      <c r="AG218" s="27">
        <f t="shared" ca="1" si="113"/>
        <v>2</v>
      </c>
      <c r="AH218" s="9">
        <v>0</v>
      </c>
      <c r="AI218" s="8">
        <v>0</v>
      </c>
      <c r="AJ218" s="8">
        <v>0</v>
      </c>
      <c r="AK218" s="8">
        <v>0</v>
      </c>
      <c r="AL218" s="8">
        <v>0</v>
      </c>
      <c r="AM218" s="8">
        <v>1</v>
      </c>
      <c r="AN218" s="8">
        <v>1</v>
      </c>
    </row>
    <row r="219" spans="1:40" ht="21" customHeight="1" x14ac:dyDescent="0.15">
      <c r="A219" s="17" t="str">
        <f t="shared" ca="1" si="111"/>
        <v>11005_4-1/31&lt;lv42&gt;s2</v>
      </c>
      <c r="B219" s="8">
        <v>11005</v>
      </c>
      <c r="C219" s="25">
        <v>4</v>
      </c>
      <c r="D219" s="2" t="str">
        <f t="shared" si="112"/>
        <v>11005_4</v>
      </c>
      <c r="E219" s="5" t="str">
        <f ca="1">VLOOKUP($B219,OFFSET([2]quests!$A$1,0,0,COUNTA([2]quests!$A:$A),MATCH(E$1,[2]quests!$1:$1,0)-MATCH($B$1,[2]quests!$1:$1,0)+1),MATCH(E$1,[2]quests!$1:$1,0)-MATCH($B$1,[2]quests!$1:$1,0)+1,FALSE)</f>
        <v>【金曜限定】 帽子屋を追え！</v>
      </c>
      <c r="F219" s="5" t="str">
        <f ca="1">VLOOKUP($D219,OFFSET([2]stages!$A$1,0,0,COUNTA([2]stages!$A:$A),MATCH(F$1,[2]stages!$2:$2,0)-MATCH($D$1,[2]stages!$2:$2,0)+1),MATCH(F$1,[2]stages!$2:$2,0)-MATCH($D$1,[2]stages!$2:$2,0)+1,FALSE)</f>
        <v>【超級】雷の帽子屋</v>
      </c>
      <c r="G219" s="25">
        <v>1</v>
      </c>
      <c r="H219" s="16" t="str">
        <f t="shared" si="104"/>
        <v>11005_4-1</v>
      </c>
      <c r="I219" s="5">
        <f ca="1">VLOOKUP($H219,OFFSET(floors!$A$1,0,0,COUNTA(floors!$A:$A),MATCH(I$1,floors!$1:$1,0)-MATCH($H$1,floors!$1:$1,0)+1),MATCH(I$1,floors!$1:$1,0)-MATCH($H$1,floors!$1:$1,0)+1,FALSE)</f>
        <v>30</v>
      </c>
      <c r="J219" s="5">
        <f ca="1">VLOOKUP($H219,OFFSET(floors!$A$1,0,0,COUNTA(floors!$A:$A),MATCH(J$1,floors!$1:$1,0)-MATCH($H$1,floors!$1:$1,0)+1),MATCH(J$1,floors!$1:$1,0)-MATCH($H$1,floors!$1:$1,0)+1,FALSE)</f>
        <v>45</v>
      </c>
      <c r="K219" s="24" t="s">
        <v>197</v>
      </c>
      <c r="L219" s="24">
        <v>31</v>
      </c>
      <c r="M219" s="20" t="str">
        <f ca="1">VLOOKUP($L219,OFFSET([3]enemies!$A$1,0,0,COUNTA([3]enemies!$A:$A),MATCH(M$1,[3]enemies!$1:$1,0)-MATCH($L$1,[3]enemies!$1:$1,0)+1),MATCH(M$1,[3]enemies!$1:$1,0)-MATCH($L$1,[3]enemies!$1:$1,0)+1,FALSE)</f>
        <v>マービー</v>
      </c>
      <c r="N219" s="20" t="str">
        <f ca="1">VLOOKUP($L219,OFFSET([3]enemies!$A$1,0,0,COUNTA([3]enemies!$A:$A),MATCH(N$1,[3]enemies!$1:$1,0)-MATCH($L$1,[3]enemies!$1:$1,0)+1),MATCH(N$1,[3]enemies!$1:$1,0)-MATCH($L$1,[3]enemies!$1:$1,0)+1,FALSE)</f>
        <v>yellow</v>
      </c>
      <c r="O219" s="22" t="str">
        <f ca="1">VLOOKUP($L219,OFFSET([4]characters!$A$1,0,0,COUNTA([4]characters!$A:$A),MATCH(O$1,[4]characters!$1:$1,0)-MATCH($L$1,[4]characters!$1:$1,0)+1),MATCH(O$1,[4]characters!$1:$1,0)-MATCH($L$1,[4]characters!$1:$1,0)+1,FALSE)</f>
        <v>Drop1N</v>
      </c>
      <c r="P219" s="20" t="str">
        <f ca="1">VLOOKUP($L219,OFFSET([3]enemies!$A$1,0,0,COUNTA([3]enemies!$A:$A),MATCH(P$1,[3]enemies!$1:$1,0)-MATCH($L$1,[3]enemies!$1:$1,0)+1),MATCH(P$1,[3]enemies!$1:$1,0)-MATCH($L$1,[3]enemies!$1:$1,0)+1,FALSE)</f>
        <v>machine</v>
      </c>
      <c r="Q219" s="20">
        <f ca="1">VLOOKUP($L219,OFFSET([3]enemies!$A$1,0,0,COUNTA([3]enemies!$A:$A),MATCH(Q$1,[3]enemies!$1:$1,0)-MATCH($L$1,[3]enemies!$1:$1,0)+1),MATCH(Q$1,[3]enemies!$1:$1,0)-MATCH($L$1,[3]enemies!$1:$1,0)+1,FALSE)</f>
        <v>15</v>
      </c>
      <c r="R219" s="6">
        <v>42</v>
      </c>
      <c r="S219" s="39">
        <v>1</v>
      </c>
      <c r="T219" s="39">
        <v>1</v>
      </c>
      <c r="U219" s="6">
        <v>0</v>
      </c>
      <c r="V219" s="5" t="str">
        <f ca="1">VLOOKUP($W219,OFFSET([5]enemy_skill_sets!$B$1,0,0,COUNTA([5]enemy_skill_sets!$B:$B),MATCH(M$1,[5]enemy_skill_sets!$1:$1,0)-MATCH($W$1,[5]enemy_skill_sets!$1:$1,0)+2),MATCH(M$1,[5]enemy_skill_sets!$1:$1,0)-MATCH($W$1,[5]enemy_skill_sets!$1:$1,0)+2,FALSE)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9" s="5">
        <f ca="1">VLOOKUP($L219,OFFSET([3]enemies!$A$1,0,0,COUNTA([3]enemies!$A:$A),MATCH(W$1,[3]enemies!$1:$1,0)-MATCH($L$1,[3]enemies!$1:$1,0)+1),MATCH(W$1,[3]enemies!$1:$1,0)-MATCH($L$1,[3]enemies!$1:$1,0)+1,FALSE)</f>
        <v>0</v>
      </c>
      <c r="X219" s="7">
        <v>0</v>
      </c>
      <c r="Y219" s="7">
        <v>100</v>
      </c>
      <c r="Z219" s="7">
        <v>0</v>
      </c>
      <c r="AA219" s="20">
        <f ca="1">VLOOKUP($L219,OFFSET([3]enemies!$A$1,0,0,COUNTA([3]enemies!$A:$A),MATCH(AA$1,[3]enemies!$1:$1,0)-MATCH($L$1,[3]enemies!$1:$1,0)+1),MATCH(AA$1,[3]enemies!$1:$1,0)-MATCH($L$1,[3]enemies!$1:$1,0)+1,FALSE)</f>
        <v>2</v>
      </c>
      <c r="AB219" s="24">
        <v>31</v>
      </c>
      <c r="AC219" s="5" t="str">
        <f ca="1">IFERROR(VLOOKUP($AB219,OFFSET([4]characters!$A$1,0,0,COUNTA([4]characters!$A:$A),MATCH(AC$1,[4]characters!$1:$1,0)-MATCH("character_id",[4]characters!$1:$1,0)+1),MATCH(AC$1,[4]characters!$1:$1,0)-MATCH("character_id",[4]characters!$1:$1,0)+1,FALSE),"")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19" s="5">
        <f ca="1">IFERROR(VLOOKUP($AB219,OFFSET([4]characters!$A$1,0,0,COUNTA([4]characters!$A:$A),MATCH(AD$1,[4]characters!$1:$1,0)-MATCH("character_id",[4]characters!$1:$1,0)+1),MATCH(AD$1,[4]characters!$1:$1,0)-MATCH("character_id",[4]characters!$1:$1,0)+1,FALSE),"")</f>
        <v>1</v>
      </c>
      <c r="AE219" s="5" t="str">
        <f ca="1">IFERROR(VLOOKUP($AB219,OFFSET([4]characters!$A$1,0,0,COUNTA([4]characters!$A:$A),MATCH(AE$1,[4]characters!$1:$1,0)-MATCH("character_id",[4]characters!$1:$1,0)+1),MATCH(AE$1,[4]characters!$1:$1,0)-MATCH("character_id",[4]characters!$1:$1,0)+1,FALSE),"")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19" s="8">
        <v>1</v>
      </c>
      <c r="AG219" s="27">
        <f t="shared" ca="1" si="113"/>
        <v>1</v>
      </c>
      <c r="AH219" s="9">
        <v>0</v>
      </c>
      <c r="AI219" s="8">
        <v>0</v>
      </c>
      <c r="AJ219" s="8">
        <v>0</v>
      </c>
      <c r="AK219" s="8">
        <v>0</v>
      </c>
      <c r="AL219" s="8">
        <v>0</v>
      </c>
      <c r="AM219" s="8">
        <v>1</v>
      </c>
      <c r="AN219" s="8">
        <v>1</v>
      </c>
    </row>
    <row r="220" spans="1:40" ht="21" customHeight="1" x14ac:dyDescent="0.15">
      <c r="A220" s="17" t="str">
        <f t="shared" ref="A220:A225" ca="1" si="120">B220&amp;"_"&amp;C220&amp;"-"&amp;G220&amp;"/"&amp;L220&amp;"&lt;lv"&amp;R220&amp;"&gt;s"&amp;AA220</f>
        <v>11005_4-2/39&lt;lv42&gt;s3</v>
      </c>
      <c r="B220" s="8">
        <v>11005</v>
      </c>
      <c r="C220" s="25">
        <v>4</v>
      </c>
      <c r="D220" s="2" t="str">
        <f t="shared" ref="D220:D225" si="121">B220&amp;"_"&amp;C220</f>
        <v>11005_4</v>
      </c>
      <c r="E220" s="5" t="str">
        <f ca="1">VLOOKUP($B220,OFFSET([2]quests!$A$1,0,0,COUNTA([2]quests!$A:$A),MATCH(E$1,[2]quests!$1:$1,0)-MATCH($B$1,[2]quests!$1:$1,0)+1),MATCH(E$1,[2]quests!$1:$1,0)-MATCH($B$1,[2]quests!$1:$1,0)+1,FALSE)</f>
        <v>【金曜限定】 帽子屋を追え！</v>
      </c>
      <c r="F220" s="5" t="str">
        <f ca="1">VLOOKUP($D220,OFFSET([2]stages!$A$1,0,0,COUNTA([2]stages!$A:$A),MATCH(F$1,[2]stages!$2:$2,0)-MATCH($D$1,[2]stages!$2:$2,0)+1),MATCH(F$1,[2]stages!$2:$2,0)-MATCH($D$1,[2]stages!$2:$2,0)+1,FALSE)</f>
        <v>【超級】雷の帽子屋</v>
      </c>
      <c r="G220" s="25">
        <v>2</v>
      </c>
      <c r="H220" s="16" t="str">
        <f t="shared" si="104"/>
        <v>11005_4-2</v>
      </c>
      <c r="I220" s="5">
        <f ca="1">VLOOKUP($H220,OFFSET(floors!$A$1,0,0,COUNTA(floors!$A:$A),MATCH(I$1,floors!$1:$1,0)-MATCH($H$1,floors!$1:$1,0)+1),MATCH(I$1,floors!$1:$1,0)-MATCH($H$1,floors!$1:$1,0)+1,FALSE)</f>
        <v>45</v>
      </c>
      <c r="J220" s="5">
        <f ca="1">VLOOKUP($H220,OFFSET(floors!$A$1,0,0,COUNTA(floors!$A:$A),MATCH(J$1,floors!$1:$1,0)-MATCH($H$1,floors!$1:$1,0)+1),MATCH(J$1,floors!$1:$1,0)-MATCH($H$1,floors!$1:$1,0)+1,FALSE)</f>
        <v>60</v>
      </c>
      <c r="K220" s="24" t="s">
        <v>197</v>
      </c>
      <c r="L220" s="24">
        <v>39</v>
      </c>
      <c r="M220" s="20" t="str">
        <f ca="1">VLOOKUP($L220,OFFSET([3]enemies!$A$1,0,0,COUNTA([3]enemies!$A:$A),MATCH(M$1,[3]enemies!$1:$1,0)-MATCH($L$1,[3]enemies!$1:$1,0)+1),MATCH(M$1,[3]enemies!$1:$1,0)-MATCH($L$1,[3]enemies!$1:$1,0)+1,FALSE)</f>
        <v>マーロン</v>
      </c>
      <c r="N220" s="20" t="str">
        <f ca="1">VLOOKUP($L220,OFFSET([3]enemies!$A$1,0,0,COUNTA([3]enemies!$A:$A),MATCH(N$1,[3]enemies!$1:$1,0)-MATCH($L$1,[3]enemies!$1:$1,0)+1),MATCH(N$1,[3]enemies!$1:$1,0)-MATCH($L$1,[3]enemies!$1:$1,0)+1,FALSE)</f>
        <v>yellow</v>
      </c>
      <c r="O220" s="22" t="str">
        <f ca="1">VLOOKUP($L220,OFFSET([4]characters!$A$1,0,0,COUNTA([4]characters!$A:$A),MATCH(O$1,[4]characters!$1:$1,0)-MATCH($L$1,[4]characters!$1:$1,0)+1),MATCH(O$1,[4]characters!$1:$1,0)-MATCH($L$1,[4]characters!$1:$1,0)+1,FALSE)</f>
        <v>Drop1S</v>
      </c>
      <c r="P220" s="20" t="str">
        <f ca="1">VLOOKUP($L220,OFFSET([3]enemies!$A$1,0,0,COUNTA([3]enemies!$A:$A),MATCH(P$1,[3]enemies!$1:$1,0)-MATCH($L$1,[3]enemies!$1:$1,0)+1),MATCH(P$1,[3]enemies!$1:$1,0)-MATCH($L$1,[3]enemies!$1:$1,0)+1,FALSE)</f>
        <v>human</v>
      </c>
      <c r="Q220" s="20">
        <f ca="1">VLOOKUP($L220,OFFSET([3]enemies!$A$1,0,0,COUNTA([3]enemies!$A:$A),MATCH(Q$1,[3]enemies!$1:$1,0)-MATCH($L$1,[3]enemies!$1:$1,0)+1),MATCH(Q$1,[3]enemies!$1:$1,0)-MATCH($L$1,[3]enemies!$1:$1,0)+1,FALSE)</f>
        <v>15</v>
      </c>
      <c r="R220" s="6">
        <v>42</v>
      </c>
      <c r="S220" s="39">
        <v>1</v>
      </c>
      <c r="T220" s="39">
        <v>1</v>
      </c>
      <c r="U220" s="6">
        <v>0</v>
      </c>
      <c r="V220" s="5" t="str">
        <f ca="1">VLOOKUP($W220,OFFSET([5]enemy_skill_sets!$B$1,0,0,COUNTA([5]enemy_skill_sets!$B:$B),MATCH(M$1,[5]enemy_skill_sets!$1:$1,0)-MATCH($W$1,[5]enemy_skill_sets!$1:$1,0)+2),MATCH(M$1,[5]enemy_skill_sets!$1:$1,0)-MATCH($W$1,[5]enemy_skill_sets!$1:$1,0)+2,FALSE)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20" s="5">
        <f ca="1">VLOOKUP($L220,OFFSET([3]enemies!$A$1,0,0,COUNTA([3]enemies!$A:$A),MATCH(W$1,[3]enemies!$1:$1,0)-MATCH($L$1,[3]enemies!$1:$1,0)+1),MATCH(W$1,[3]enemies!$1:$1,0)-MATCH($L$1,[3]enemies!$1:$1,0)+1,FALSE)</f>
        <v>39</v>
      </c>
      <c r="X220" s="7">
        <v>0</v>
      </c>
      <c r="Y220" s="7">
        <v>100</v>
      </c>
      <c r="Z220" s="7">
        <v>0</v>
      </c>
      <c r="AA220" s="20">
        <f ca="1">VLOOKUP($L220,OFFSET([3]enemies!$A$1,0,0,COUNTA([3]enemies!$A:$A),MATCH(AA$1,[3]enemies!$1:$1,0)-MATCH($L$1,[3]enemies!$1:$1,0)+1),MATCH(AA$1,[3]enemies!$1:$1,0)-MATCH($L$1,[3]enemies!$1:$1,0)+1,FALSE)</f>
        <v>3</v>
      </c>
      <c r="AB220" s="24">
        <v>39</v>
      </c>
      <c r="AC220" s="5" t="str">
        <f ca="1">IFERROR(VLOOKUP($AB220,OFFSET([4]characters!$A$1,0,0,COUNTA([4]characters!$A:$A),MATCH(AC$1,[4]characters!$1:$1,0)-MATCH("character_id",[4]characters!$1:$1,0)+1),MATCH(AC$1,[4]characters!$1:$1,0)-MATCH("character_id",[4]characters!$1:$1,0)+1,FALSE),"")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20" s="5">
        <f ca="1">IFERROR(VLOOKUP($AB220,OFFSET([4]characters!$A$1,0,0,COUNTA([4]characters!$A:$A),MATCH(AD$1,[4]characters!$1:$1,0)-MATCH("character_id",[4]characters!$1:$1,0)+1),MATCH(AD$1,[4]characters!$1:$1,0)-MATCH("character_id",[4]characters!$1:$1,0)+1,FALSE),"")</f>
        <v>2</v>
      </c>
      <c r="AE220" s="5" t="str">
        <f ca="1">IFERROR(VLOOKUP($AB220,OFFSET([4]characters!$A$1,0,0,COUNTA([4]characters!$A:$A),MATCH(AE$1,[4]characters!$1:$1,0)-MATCH("character_id",[4]characters!$1:$1,0)+1),MATCH(AE$1,[4]characters!$1:$1,0)-MATCH("character_id",[4]characters!$1:$1,0)+1,FALSE),"")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20" s="8">
        <v>1</v>
      </c>
      <c r="AG220" s="27">
        <f t="shared" ref="AG220:AG225" ca="1" si="122">AD220</f>
        <v>2</v>
      </c>
      <c r="AH220" s="9">
        <v>0</v>
      </c>
      <c r="AI220" s="8">
        <v>0</v>
      </c>
      <c r="AJ220" s="8">
        <v>0</v>
      </c>
      <c r="AK220" s="8">
        <v>0</v>
      </c>
      <c r="AL220" s="8">
        <v>0</v>
      </c>
      <c r="AM220" s="8">
        <v>1</v>
      </c>
      <c r="AN220" s="8">
        <v>1</v>
      </c>
    </row>
    <row r="221" spans="1:40" ht="21" customHeight="1" x14ac:dyDescent="0.15">
      <c r="A221" s="17" t="str">
        <f t="shared" ca="1" si="120"/>
        <v>11005_4-2/31&lt;lv42&gt;s2</v>
      </c>
      <c r="B221" s="8">
        <v>11005</v>
      </c>
      <c r="C221" s="25">
        <v>4</v>
      </c>
      <c r="D221" s="2" t="str">
        <f t="shared" si="121"/>
        <v>11005_4</v>
      </c>
      <c r="E221" s="5" t="str">
        <f ca="1">VLOOKUP($B221,OFFSET([2]quests!$A$1,0,0,COUNTA([2]quests!$A:$A),MATCH(E$1,[2]quests!$1:$1,0)-MATCH($B$1,[2]quests!$1:$1,0)+1),MATCH(E$1,[2]quests!$1:$1,0)-MATCH($B$1,[2]quests!$1:$1,0)+1,FALSE)</f>
        <v>【金曜限定】 帽子屋を追え！</v>
      </c>
      <c r="F221" s="5" t="str">
        <f ca="1">VLOOKUP($D221,OFFSET([2]stages!$A$1,0,0,COUNTA([2]stages!$A:$A),MATCH(F$1,[2]stages!$2:$2,0)-MATCH($D$1,[2]stages!$2:$2,0)+1),MATCH(F$1,[2]stages!$2:$2,0)-MATCH($D$1,[2]stages!$2:$2,0)+1,FALSE)</f>
        <v>【超級】雷の帽子屋</v>
      </c>
      <c r="G221" s="25">
        <v>2</v>
      </c>
      <c r="H221" s="16" t="str">
        <f t="shared" si="104"/>
        <v>11005_4-2</v>
      </c>
      <c r="I221" s="5">
        <f ca="1">VLOOKUP($H221,OFFSET(floors!$A$1,0,0,COUNTA(floors!$A:$A),MATCH(I$1,floors!$1:$1,0)-MATCH($H$1,floors!$1:$1,0)+1),MATCH(I$1,floors!$1:$1,0)-MATCH($H$1,floors!$1:$1,0)+1,FALSE)</f>
        <v>45</v>
      </c>
      <c r="J221" s="5">
        <f ca="1">VLOOKUP($H221,OFFSET(floors!$A$1,0,0,COUNTA(floors!$A:$A),MATCH(J$1,floors!$1:$1,0)-MATCH($H$1,floors!$1:$1,0)+1),MATCH(J$1,floors!$1:$1,0)-MATCH($H$1,floors!$1:$1,0)+1,FALSE)</f>
        <v>60</v>
      </c>
      <c r="K221" s="24" t="s">
        <v>197</v>
      </c>
      <c r="L221" s="24">
        <v>31</v>
      </c>
      <c r="M221" s="20" t="str">
        <f ca="1">VLOOKUP($L221,OFFSET([3]enemies!$A$1,0,0,COUNTA([3]enemies!$A:$A),MATCH(M$1,[3]enemies!$1:$1,0)-MATCH($L$1,[3]enemies!$1:$1,0)+1),MATCH(M$1,[3]enemies!$1:$1,0)-MATCH($L$1,[3]enemies!$1:$1,0)+1,FALSE)</f>
        <v>マービー</v>
      </c>
      <c r="N221" s="20" t="str">
        <f ca="1">VLOOKUP($L221,OFFSET([3]enemies!$A$1,0,0,COUNTA([3]enemies!$A:$A),MATCH(N$1,[3]enemies!$1:$1,0)-MATCH($L$1,[3]enemies!$1:$1,0)+1),MATCH(N$1,[3]enemies!$1:$1,0)-MATCH($L$1,[3]enemies!$1:$1,0)+1,FALSE)</f>
        <v>yellow</v>
      </c>
      <c r="O221" s="22" t="str">
        <f ca="1">VLOOKUP($L221,OFFSET([4]characters!$A$1,0,0,COUNTA([4]characters!$A:$A),MATCH(O$1,[4]characters!$1:$1,0)-MATCH($L$1,[4]characters!$1:$1,0)+1),MATCH(O$1,[4]characters!$1:$1,0)-MATCH($L$1,[4]characters!$1:$1,0)+1,FALSE)</f>
        <v>Drop1N</v>
      </c>
      <c r="P221" s="20" t="str">
        <f ca="1">VLOOKUP($L221,OFFSET([3]enemies!$A$1,0,0,COUNTA([3]enemies!$A:$A),MATCH(P$1,[3]enemies!$1:$1,0)-MATCH($L$1,[3]enemies!$1:$1,0)+1),MATCH(P$1,[3]enemies!$1:$1,0)-MATCH($L$1,[3]enemies!$1:$1,0)+1,FALSE)</f>
        <v>machine</v>
      </c>
      <c r="Q221" s="20">
        <f ca="1">VLOOKUP($L221,OFFSET([3]enemies!$A$1,0,0,COUNTA([3]enemies!$A:$A),MATCH(Q$1,[3]enemies!$1:$1,0)-MATCH($L$1,[3]enemies!$1:$1,0)+1),MATCH(Q$1,[3]enemies!$1:$1,0)-MATCH($L$1,[3]enemies!$1:$1,0)+1,FALSE)</f>
        <v>15</v>
      </c>
      <c r="R221" s="6">
        <v>42</v>
      </c>
      <c r="S221" s="39">
        <v>1</v>
      </c>
      <c r="T221" s="39">
        <v>1</v>
      </c>
      <c r="U221" s="6">
        <v>0</v>
      </c>
      <c r="V221" s="5" t="str">
        <f ca="1">VLOOKUP($W221,OFFSET([5]enemy_skill_sets!$B$1,0,0,COUNTA([5]enemy_skill_sets!$B:$B),MATCH(M$1,[5]enemy_skill_sets!$1:$1,0)-MATCH($W$1,[5]enemy_skill_sets!$1:$1,0)+2),MATCH(M$1,[5]enemy_skill_sets!$1:$1,0)-MATCH($W$1,[5]enemy_skill_sets!$1:$1,0)+2,FALSE)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1" s="5">
        <f ca="1">VLOOKUP($L221,OFFSET([3]enemies!$A$1,0,0,COUNTA([3]enemies!$A:$A),MATCH(W$1,[3]enemies!$1:$1,0)-MATCH($L$1,[3]enemies!$1:$1,0)+1),MATCH(W$1,[3]enemies!$1:$1,0)-MATCH($L$1,[3]enemies!$1:$1,0)+1,FALSE)</f>
        <v>0</v>
      </c>
      <c r="X221" s="7">
        <v>0</v>
      </c>
      <c r="Y221" s="7">
        <v>100</v>
      </c>
      <c r="Z221" s="7">
        <v>0</v>
      </c>
      <c r="AA221" s="20">
        <f ca="1">VLOOKUP($L221,OFFSET([3]enemies!$A$1,0,0,COUNTA([3]enemies!$A:$A),MATCH(AA$1,[3]enemies!$1:$1,0)-MATCH($L$1,[3]enemies!$1:$1,0)+1),MATCH(AA$1,[3]enemies!$1:$1,0)-MATCH($L$1,[3]enemies!$1:$1,0)+1,FALSE)</f>
        <v>2</v>
      </c>
      <c r="AB221" s="24">
        <v>31</v>
      </c>
      <c r="AC221" s="5" t="str">
        <f ca="1">IFERROR(VLOOKUP($AB221,OFFSET([4]characters!$A$1,0,0,COUNTA([4]characters!$A:$A),MATCH(AC$1,[4]characters!$1:$1,0)-MATCH("character_id",[4]characters!$1:$1,0)+1),MATCH(AC$1,[4]characters!$1:$1,0)-MATCH("character_id",[4]characters!$1:$1,0)+1,FALSE),"")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21" s="5">
        <f ca="1">IFERROR(VLOOKUP($AB221,OFFSET([4]characters!$A$1,0,0,COUNTA([4]characters!$A:$A),MATCH(AD$1,[4]characters!$1:$1,0)-MATCH("character_id",[4]characters!$1:$1,0)+1),MATCH(AD$1,[4]characters!$1:$1,0)-MATCH("character_id",[4]characters!$1:$1,0)+1,FALSE),"")</f>
        <v>1</v>
      </c>
      <c r="AE221" s="5" t="str">
        <f ca="1">IFERROR(VLOOKUP($AB221,OFFSET([4]characters!$A$1,0,0,COUNTA([4]characters!$A:$A),MATCH(AE$1,[4]characters!$1:$1,0)-MATCH("character_id",[4]characters!$1:$1,0)+1),MATCH(AE$1,[4]characters!$1:$1,0)-MATCH("character_id",[4]characters!$1:$1,0)+1,FALSE),"")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21" s="8">
        <v>1</v>
      </c>
      <c r="AG221" s="27">
        <f t="shared" ca="1" si="122"/>
        <v>1</v>
      </c>
      <c r="AH221" s="9">
        <v>0</v>
      </c>
      <c r="AI221" s="8">
        <v>0</v>
      </c>
      <c r="AJ221" s="8">
        <v>0</v>
      </c>
      <c r="AK221" s="8">
        <v>0</v>
      </c>
      <c r="AL221" s="8">
        <v>0</v>
      </c>
      <c r="AM221" s="8">
        <v>1</v>
      </c>
      <c r="AN221" s="8">
        <v>1</v>
      </c>
    </row>
    <row r="222" spans="1:40" ht="21" customHeight="1" x14ac:dyDescent="0.15">
      <c r="A222" s="17" t="str">
        <f t="shared" ca="1" si="120"/>
        <v>11005_4-3/141&lt;lv50&gt;s2</v>
      </c>
      <c r="B222" s="8">
        <v>11005</v>
      </c>
      <c r="C222" s="25">
        <v>4</v>
      </c>
      <c r="D222" s="2" t="str">
        <f t="shared" si="121"/>
        <v>11005_4</v>
      </c>
      <c r="E222" s="5" t="str">
        <f ca="1">VLOOKUP($B222,OFFSET([2]quests!$A$1,0,0,COUNTA([2]quests!$A:$A),MATCH(E$1,[2]quests!$1:$1,0)-MATCH($B$1,[2]quests!$1:$1,0)+1),MATCH(E$1,[2]quests!$1:$1,0)-MATCH($B$1,[2]quests!$1:$1,0)+1,FALSE)</f>
        <v>【金曜限定】 帽子屋を追え！</v>
      </c>
      <c r="F222" s="5" t="str">
        <f ca="1">VLOOKUP($D222,OFFSET([2]stages!$A$1,0,0,COUNTA([2]stages!$A:$A),MATCH(F$1,[2]stages!$2:$2,0)-MATCH($D$1,[2]stages!$2:$2,0)+1),MATCH(F$1,[2]stages!$2:$2,0)-MATCH($D$1,[2]stages!$2:$2,0)+1,FALSE)</f>
        <v>【超級】雷の帽子屋</v>
      </c>
      <c r="G222" s="25">
        <v>3</v>
      </c>
      <c r="H222" s="16" t="str">
        <f t="shared" si="104"/>
        <v>11005_4-3</v>
      </c>
      <c r="I222" s="5">
        <f ca="1">VLOOKUP($H222,OFFSET(floors!$A$1,0,0,COUNTA(floors!$A:$A),MATCH(I$1,floors!$1:$1,0)-MATCH($H$1,floors!$1:$1,0)+1),MATCH(I$1,floors!$1:$1,0)-MATCH($H$1,floors!$1:$1,0)+1,FALSE)</f>
        <v>50</v>
      </c>
      <c r="J222" s="5">
        <f ca="1">VLOOKUP($H222,OFFSET(floors!$A$1,0,0,COUNTA(floors!$A:$A),MATCH(J$1,floors!$1:$1,0)-MATCH($H$1,floors!$1:$1,0)+1),MATCH(J$1,floors!$1:$1,0)-MATCH($H$1,floors!$1:$1,0)+1,FALSE)</f>
        <v>60</v>
      </c>
      <c r="K222" s="24" t="s">
        <v>197</v>
      </c>
      <c r="L222" s="24">
        <v>141</v>
      </c>
      <c r="M222" s="20" t="str">
        <f ca="1">VLOOKUP($L222,OFFSET([3]enemies!$A$1,0,0,COUNTA([3]enemies!$A:$A),MATCH(M$1,[3]enemies!$1:$1,0)-MATCH($L$1,[3]enemies!$1:$1,0)+1),MATCH(M$1,[3]enemies!$1:$1,0)-MATCH($L$1,[3]enemies!$1:$1,0)+1,FALSE)</f>
        <v>妖狐演舞 タマモ</v>
      </c>
      <c r="N222" s="20" t="str">
        <f ca="1">VLOOKUP($L222,OFFSET([3]enemies!$A$1,0,0,COUNTA([3]enemies!$A:$A),MATCH(N$1,[3]enemies!$1:$1,0)-MATCH($L$1,[3]enemies!$1:$1,0)+1),MATCH(N$1,[3]enemies!$1:$1,0)-MATCH($L$1,[3]enemies!$1:$1,0)+1,FALSE)</f>
        <v>yellow</v>
      </c>
      <c r="O222" s="22" t="str">
        <f ca="1">VLOOKUP($L222,OFFSET([4]characters!$A$1,0,0,COUNTA([4]characters!$A:$A),MATCH(O$1,[4]characters!$1:$1,0)-MATCH($L$1,[4]characters!$1:$1,0)+1),MATCH(O$1,[4]characters!$1:$1,0)-MATCH($L$1,[4]characters!$1:$1,0)+1,FALSE)</f>
        <v>PremiumW</v>
      </c>
      <c r="P222" s="20" t="str">
        <f ca="1">VLOOKUP($L222,OFFSET([3]enemies!$A$1,0,0,COUNTA([3]enemies!$A:$A),MATCH(P$1,[3]enemies!$1:$1,0)-MATCH($L$1,[3]enemies!$1:$1,0)+1),MATCH(P$1,[3]enemies!$1:$1,0)-MATCH($L$1,[3]enemies!$1:$1,0)+1,FALSE)</f>
        <v>animal</v>
      </c>
      <c r="Q222" s="20">
        <f ca="1">VLOOKUP($L222,OFFSET([3]enemies!$A$1,0,0,COUNTA([3]enemies!$A:$A),MATCH(Q$1,[3]enemies!$1:$1,0)-MATCH($L$1,[3]enemies!$1:$1,0)+1),MATCH(Q$1,[3]enemies!$1:$1,0)-MATCH($L$1,[3]enemies!$1:$1,0)+1,FALSE)</f>
        <v>30</v>
      </c>
      <c r="R222" s="6">
        <v>50</v>
      </c>
      <c r="S222" s="39">
        <v>1</v>
      </c>
      <c r="T222" s="39">
        <v>1</v>
      </c>
      <c r="U222" s="6">
        <v>0</v>
      </c>
      <c r="V222" s="5" t="str">
        <f ca="1">VLOOKUP($W222,OFFSET([5]enemy_skill_sets!$B$1,0,0,COUNTA([5]enemy_skill_sets!$B:$B),MATCH(M$1,[5]enemy_skill_sets!$1:$1,0)-MATCH($W$1,[5]enemy_skill_sets!$1:$1,0)+2),MATCH(M$1,[5]enemy_skill_sets!$1:$1,0)-MATCH($W$1,[5]enemy_skill_sets!$1:$1,0)+2,FALSE)</f>
        <v>2ターン攻撃頻度が1ターンにUP</v>
      </c>
      <c r="W222" s="5">
        <f ca="1">VLOOKUP($L222,OFFSET([3]enemies!$A$1,0,0,COUNTA([3]enemies!$A:$A),MATCH(W$1,[3]enemies!$1:$1,0)-MATCH($L$1,[3]enemies!$1:$1,0)+1),MATCH(W$1,[3]enemies!$1:$1,0)-MATCH($L$1,[3]enemies!$1:$1,0)+1,FALSE)</f>
        <v>141</v>
      </c>
      <c r="X222" s="7">
        <v>0</v>
      </c>
      <c r="Y222" s="7">
        <v>80</v>
      </c>
      <c r="Z222" s="7">
        <v>1</v>
      </c>
      <c r="AA222" s="20">
        <f ca="1">VLOOKUP($L222,OFFSET([3]enemies!$A$1,0,0,COUNTA([3]enemies!$A:$A),MATCH(AA$1,[3]enemies!$1:$1,0)-MATCH($L$1,[3]enemies!$1:$1,0)+1),MATCH(AA$1,[3]enemies!$1:$1,0)-MATCH($L$1,[3]enemies!$1:$1,0)+1,FALSE)</f>
        <v>2</v>
      </c>
      <c r="AB222" s="24">
        <v>141</v>
      </c>
      <c r="AC222" s="5" t="str">
        <f ca="1">IFERROR(VLOOKUP($AB222,OFFSET([4]characters!$A$1,0,0,COUNTA([4]characters!$A:$A),MATCH(AC$1,[4]characters!$1:$1,0)-MATCH("character_id",[4]characters!$1:$1,0)+1),MATCH(AC$1,[4]characters!$1:$1,0)-MATCH("character_id",[4]characters!$1:$1,0)+1,FALSE),"")</f>
        <v>妖狐演舞 タマモ</v>
      </c>
      <c r="AD222" s="5">
        <f ca="1">IFERROR(VLOOKUP($AB222,OFFSET([4]characters!$A$1,0,0,COUNTA([4]characters!$A:$A),MATCH(AD$1,[4]characters!$1:$1,0)-MATCH("character_id",[4]characters!$1:$1,0)+1),MATCH(AD$1,[4]characters!$1:$1,0)-MATCH("character_id",[4]characters!$1:$1,0)+1,FALSE),"")</f>
        <v>4</v>
      </c>
      <c r="AE222" s="5" t="str">
        <f ca="1">IFERROR(VLOOKUP($AB222,OFFSET([4]characters!$A$1,0,0,COUNTA([4]characters!$A:$A),MATCH(AE$1,[4]characters!$1:$1,0)-MATCH("character_id",[4]characters!$1:$1,0)+1),MATCH(AE$1,[4]characters!$1:$1,0)-MATCH("character_id",[4]characters!$1:$1,0)+1,FALSE),"")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222" s="8">
        <v>1</v>
      </c>
      <c r="AG222" s="27">
        <f t="shared" ca="1" si="122"/>
        <v>4</v>
      </c>
      <c r="AH222" s="9">
        <v>0</v>
      </c>
      <c r="AI222" s="8">
        <v>0</v>
      </c>
      <c r="AJ222" s="8">
        <v>0</v>
      </c>
      <c r="AK222" s="8">
        <v>0</v>
      </c>
      <c r="AL222" s="8">
        <v>0</v>
      </c>
      <c r="AM222" s="8">
        <v>1</v>
      </c>
      <c r="AN222" s="8">
        <v>1</v>
      </c>
    </row>
    <row r="223" spans="1:40" ht="21" customHeight="1" x14ac:dyDescent="0.15">
      <c r="A223" s="17" t="str">
        <f t="shared" ca="1" si="120"/>
        <v>11005_4-3/346&lt;lv1&gt;s3</v>
      </c>
      <c r="B223" s="8">
        <v>11005</v>
      </c>
      <c r="C223" s="25">
        <v>4</v>
      </c>
      <c r="D223" s="2" t="str">
        <f t="shared" si="121"/>
        <v>11005_4</v>
      </c>
      <c r="E223" s="5" t="str">
        <f ca="1">VLOOKUP($B223,OFFSET([2]quests!$A$1,0,0,COUNTA([2]quests!$A:$A),MATCH(E$1,[2]quests!$1:$1,0)-MATCH($B$1,[2]quests!$1:$1,0)+1),MATCH(E$1,[2]quests!$1:$1,0)-MATCH($B$1,[2]quests!$1:$1,0)+1,FALSE)</f>
        <v>【金曜限定】 帽子屋を追え！</v>
      </c>
      <c r="F223" s="5" t="str">
        <f ca="1">VLOOKUP($D223,OFFSET([2]stages!$A$1,0,0,COUNTA([2]stages!$A:$A),MATCH(F$1,[2]stages!$2:$2,0)-MATCH($D$1,[2]stages!$2:$2,0)+1),MATCH(F$1,[2]stages!$2:$2,0)-MATCH($D$1,[2]stages!$2:$2,0)+1,FALSE)</f>
        <v>【超級】雷の帽子屋</v>
      </c>
      <c r="G223" s="25">
        <v>3</v>
      </c>
      <c r="H223" s="16" t="str">
        <f t="shared" si="104"/>
        <v>11005_4-3</v>
      </c>
      <c r="I223" s="5">
        <f ca="1">VLOOKUP($H223,OFFSET(floors!$A$1,0,0,COUNTA(floors!$A:$A),MATCH(I$1,floors!$1:$1,0)-MATCH($H$1,floors!$1:$1,0)+1),MATCH(I$1,floors!$1:$1,0)-MATCH($H$1,floors!$1:$1,0)+1,FALSE)</f>
        <v>50</v>
      </c>
      <c r="J223" s="5">
        <f ca="1">VLOOKUP($H223,OFFSET(floors!$A$1,0,0,COUNTA(floors!$A:$A),MATCH(J$1,floors!$1:$1,0)-MATCH($H$1,floors!$1:$1,0)+1),MATCH(J$1,floors!$1:$1,0)-MATCH($H$1,floors!$1:$1,0)+1,FALSE)</f>
        <v>60</v>
      </c>
      <c r="K223" s="24" t="s">
        <v>197</v>
      </c>
      <c r="L223" s="24">
        <v>346</v>
      </c>
      <c r="M223" s="20" t="str">
        <f ca="1">VLOOKUP($L223,OFFSET([3]enemies!$A$1,0,0,COUNTA([3]enemies!$A:$A),MATCH(M$1,[3]enemies!$1:$1,0)-MATCH($L$1,[3]enemies!$1:$1,0)+1),MATCH(M$1,[3]enemies!$1:$1,0)-MATCH($L$1,[3]enemies!$1:$1,0)+1,FALSE)</f>
        <v>雷のメタルダック</v>
      </c>
      <c r="N223" s="20" t="str">
        <f ca="1">VLOOKUP($L223,OFFSET([3]enemies!$A$1,0,0,COUNTA([3]enemies!$A:$A),MATCH(N$1,[3]enemies!$1:$1,0)-MATCH($L$1,[3]enemies!$1:$1,0)+1),MATCH(N$1,[3]enemies!$1:$1,0)-MATCH($L$1,[3]enemies!$1:$1,0)+1,FALSE)</f>
        <v>yellow</v>
      </c>
      <c r="O223" s="22" t="str">
        <f ca="1">VLOOKUP($L223,OFFSET([4]characters!$A$1,0,0,COUNTA([4]characters!$A:$A),MATCH(O$1,[4]characters!$1:$1,0)-MATCH($L$1,[4]characters!$1:$1,0)+1),MATCH(O$1,[4]characters!$1:$1,0)-MATCH($L$1,[4]characters!$1:$1,0)+1,FALSE)</f>
        <v>Material</v>
      </c>
      <c r="P223" s="20" t="str">
        <f ca="1">VLOOKUP($L223,OFFSET([3]enemies!$A$1,0,0,COUNTA([3]enemies!$A:$A),MATCH(P$1,[3]enemies!$1:$1,0)-MATCH($L$1,[3]enemies!$1:$1,0)+1),MATCH(P$1,[3]enemies!$1:$1,0)-MATCH($L$1,[3]enemies!$1:$1,0)+1,FALSE)</f>
        <v>unknown</v>
      </c>
      <c r="Q223" s="20">
        <f ca="1">VLOOKUP($L223,OFFSET([3]enemies!$A$1,0,0,COUNTA([3]enemies!$A:$A),MATCH(Q$1,[3]enemies!$1:$1,0)-MATCH($L$1,[3]enemies!$1:$1,0)+1),MATCH(Q$1,[3]enemies!$1:$1,0)-MATCH($L$1,[3]enemies!$1:$1,0)+1,FALSE)</f>
        <v>20</v>
      </c>
      <c r="R223" s="6">
        <v>1</v>
      </c>
      <c r="S223" s="39">
        <v>1</v>
      </c>
      <c r="T223" s="39">
        <v>1</v>
      </c>
      <c r="U223" s="6">
        <v>0</v>
      </c>
      <c r="V223" s="5" t="str">
        <f ca="1">VLOOKUP($W223,OFFSET([5]enemy_skill_sets!$B$1,0,0,COUNTA([5]enemy_skill_sets!$B:$B),MATCH(M$1,[5]enemy_skill_sets!$1:$1,0)-MATCH($W$1,[5]enemy_skill_sets!$1:$1,0)+2),MATCH(M$1,[5]enemy_skill_sets!$1:$1,0)-MATCH($W$1,[5]enemy_skill_sets!$1:$1,0)+2,FALSE)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3" s="5">
        <f ca="1">VLOOKUP($L223,OFFSET([3]enemies!$A$1,0,0,COUNTA([3]enemies!$A:$A),MATCH(W$1,[3]enemies!$1:$1,0)-MATCH($L$1,[3]enemies!$1:$1,0)+1),MATCH(W$1,[3]enemies!$1:$1,0)-MATCH($L$1,[3]enemies!$1:$1,0)+1,FALSE)</f>
        <v>0</v>
      </c>
      <c r="X223" s="7">
        <v>0</v>
      </c>
      <c r="Y223" s="7">
        <v>20</v>
      </c>
      <c r="Z223" s="7">
        <v>1</v>
      </c>
      <c r="AA223" s="20">
        <f ca="1">VLOOKUP($L223,OFFSET([3]enemies!$A$1,0,0,COUNTA([3]enemies!$A:$A),MATCH(AA$1,[3]enemies!$1:$1,0)-MATCH($L$1,[3]enemies!$1:$1,0)+1),MATCH(AA$1,[3]enemies!$1:$1,0)-MATCH($L$1,[3]enemies!$1:$1,0)+1,FALSE)</f>
        <v>3</v>
      </c>
      <c r="AB223" s="24">
        <v>346</v>
      </c>
      <c r="AC223" s="5" t="str">
        <f ca="1">IFERROR(VLOOKUP($AB223,OFFSET([4]characters!$A$1,0,0,COUNTA([4]characters!$A:$A),MATCH(AC$1,[4]characters!$1:$1,0)-MATCH("character_id",[4]characters!$1:$1,0)+1),MATCH(AC$1,[4]characters!$1:$1,0)-MATCH("character_id",[4]characters!$1:$1,0)+1,FALSE),"")</f>
        <v>雷のメタルダック</v>
      </c>
      <c r="AD223" s="5">
        <f ca="1">IFERROR(VLOOKUP($AB223,OFFSET([4]characters!$A$1,0,0,COUNTA([4]characters!$A:$A),MATCH(AD$1,[4]characters!$1:$1,0)-MATCH("character_id",[4]characters!$1:$1,0)+1),MATCH(AD$1,[4]characters!$1:$1,0)-MATCH("character_id",[4]characters!$1:$1,0)+1,FALSE),"")</f>
        <v>5</v>
      </c>
      <c r="AE223" s="5" t="str">
        <f ca="1">IFERROR(VLOOKUP($AB223,OFFSET([4]characters!$A$1,0,0,COUNTA([4]characters!$A:$A),MATCH(AE$1,[4]characters!$1:$1,0)-MATCH("character_id",[4]characters!$1:$1,0)+1),MATCH(AE$1,[4]characters!$1:$1,0)-MATCH("character_id",[4]characters!$1:$1,0)+1,FALSE),"")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3" s="8">
        <v>1</v>
      </c>
      <c r="AG223" s="27">
        <f t="shared" ca="1" si="122"/>
        <v>5</v>
      </c>
      <c r="AH223" s="9">
        <v>5</v>
      </c>
      <c r="AI223" s="8">
        <v>0</v>
      </c>
      <c r="AJ223" s="8">
        <v>0</v>
      </c>
      <c r="AK223" s="8">
        <v>0</v>
      </c>
      <c r="AL223" s="8">
        <v>0</v>
      </c>
      <c r="AM223" s="8">
        <v>1</v>
      </c>
      <c r="AN223" s="8">
        <v>1</v>
      </c>
    </row>
    <row r="224" spans="1:40" ht="21" customHeight="1" x14ac:dyDescent="0.15">
      <c r="A224" s="17" t="str">
        <f t="shared" ca="1" si="120"/>
        <v>11005_4-3/344&lt;lv1&gt;s1</v>
      </c>
      <c r="B224" s="8">
        <v>11005</v>
      </c>
      <c r="C224" s="25">
        <v>4</v>
      </c>
      <c r="D224" s="2" t="str">
        <f t="shared" si="121"/>
        <v>11005_4</v>
      </c>
      <c r="E224" s="5" t="str">
        <f ca="1">VLOOKUP($B224,OFFSET([2]quests!$A$1,0,0,COUNTA([2]quests!$A:$A),MATCH(E$1,[2]quests!$1:$1,0)-MATCH($B$1,[2]quests!$1:$1,0)+1),MATCH(E$1,[2]quests!$1:$1,0)-MATCH($B$1,[2]quests!$1:$1,0)+1,FALSE)</f>
        <v>【金曜限定】 帽子屋を追え！</v>
      </c>
      <c r="F224" s="5" t="str">
        <f ca="1">VLOOKUP($D224,OFFSET([2]stages!$A$1,0,0,COUNTA([2]stages!$A:$A),MATCH(F$1,[2]stages!$2:$2,0)-MATCH($D$1,[2]stages!$2:$2,0)+1),MATCH(F$1,[2]stages!$2:$2,0)-MATCH($D$1,[2]stages!$2:$2,0)+1,FALSE)</f>
        <v>【超級】雷の帽子屋</v>
      </c>
      <c r="G224" s="25">
        <v>3</v>
      </c>
      <c r="H224" s="16" t="str">
        <f t="shared" si="104"/>
        <v>11005_4-3</v>
      </c>
      <c r="I224" s="5">
        <f ca="1">VLOOKUP($H224,OFFSET(floors!$A$1,0,0,COUNTA(floors!$A:$A),MATCH(I$1,floors!$1:$1,0)-MATCH($H$1,floors!$1:$1,0)+1),MATCH(I$1,floors!$1:$1,0)-MATCH($H$1,floors!$1:$1,0)+1,FALSE)</f>
        <v>50</v>
      </c>
      <c r="J224" s="5">
        <f ca="1">VLOOKUP($H224,OFFSET(floors!$A$1,0,0,COUNTA(floors!$A:$A),MATCH(J$1,floors!$1:$1,0)-MATCH($H$1,floors!$1:$1,0)+1),MATCH(J$1,floors!$1:$1,0)-MATCH($H$1,floors!$1:$1,0)+1,FALSE)</f>
        <v>60</v>
      </c>
      <c r="K224" s="24" t="s">
        <v>197</v>
      </c>
      <c r="L224" s="24">
        <v>344</v>
      </c>
      <c r="M224" s="20" t="str">
        <f ca="1">VLOOKUP($L224,OFFSET([3]enemies!$A$1,0,0,COUNTA([3]enemies!$A:$A),MATCH(M$1,[3]enemies!$1:$1,0)-MATCH($L$1,[3]enemies!$1:$1,0)+1),MATCH(M$1,[3]enemies!$1:$1,0)-MATCH($L$1,[3]enemies!$1:$1,0)+1,FALSE)</f>
        <v>雷のメタルピヨピヨ</v>
      </c>
      <c r="N224" s="20" t="str">
        <f ca="1">VLOOKUP($L224,OFFSET([3]enemies!$A$1,0,0,COUNTA([3]enemies!$A:$A),MATCH(N$1,[3]enemies!$1:$1,0)-MATCH($L$1,[3]enemies!$1:$1,0)+1),MATCH(N$1,[3]enemies!$1:$1,0)-MATCH($L$1,[3]enemies!$1:$1,0)+1,FALSE)</f>
        <v>yellow</v>
      </c>
      <c r="O224" s="22" t="str">
        <f ca="1">VLOOKUP($L224,OFFSET([4]characters!$A$1,0,0,COUNTA([4]characters!$A:$A),MATCH(O$1,[4]characters!$1:$1,0)-MATCH($L$1,[4]characters!$1:$1,0)+1),MATCH(O$1,[4]characters!$1:$1,0)-MATCH($L$1,[4]characters!$1:$1,0)+1,FALSE)</f>
        <v>Material</v>
      </c>
      <c r="P224" s="20" t="str">
        <f ca="1">VLOOKUP($L224,OFFSET([3]enemies!$A$1,0,0,COUNTA([3]enemies!$A:$A),MATCH(P$1,[3]enemies!$1:$1,0)-MATCH($L$1,[3]enemies!$1:$1,0)+1),MATCH(P$1,[3]enemies!$1:$1,0)-MATCH($L$1,[3]enemies!$1:$1,0)+1,FALSE)</f>
        <v>unknown</v>
      </c>
      <c r="Q224" s="20">
        <f ca="1">VLOOKUP($L224,OFFSET([3]enemies!$A$1,0,0,COUNTA([3]enemies!$A:$A),MATCH(Q$1,[3]enemies!$1:$1,0)-MATCH($L$1,[3]enemies!$1:$1,0)+1),MATCH(Q$1,[3]enemies!$1:$1,0)-MATCH($L$1,[3]enemies!$1:$1,0)+1,FALSE)</f>
        <v>15</v>
      </c>
      <c r="R224" s="6">
        <v>1</v>
      </c>
      <c r="S224" s="39">
        <v>1</v>
      </c>
      <c r="T224" s="39">
        <v>1</v>
      </c>
      <c r="U224" s="6">
        <v>0</v>
      </c>
      <c r="V224" s="5" t="str">
        <f ca="1">VLOOKUP($W224,OFFSET([5]enemy_skill_sets!$B$1,0,0,COUNTA([5]enemy_skill_sets!$B:$B),MATCH(M$1,[5]enemy_skill_sets!$1:$1,0)-MATCH($W$1,[5]enemy_skill_sets!$1:$1,0)+2),MATCH(M$1,[5]enemy_skill_sets!$1:$1,0)-MATCH($W$1,[5]enemy_skill_sets!$1:$1,0)+2,FALSE)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4" s="5">
        <f ca="1">VLOOKUP($L224,OFFSET([3]enemies!$A$1,0,0,COUNTA([3]enemies!$A:$A),MATCH(W$1,[3]enemies!$1:$1,0)-MATCH($L$1,[3]enemies!$1:$1,0)+1),MATCH(W$1,[3]enemies!$1:$1,0)-MATCH($L$1,[3]enemies!$1:$1,0)+1,FALSE)</f>
        <v>0</v>
      </c>
      <c r="X224" s="7">
        <v>1</v>
      </c>
      <c r="Y224" s="7">
        <v>100</v>
      </c>
      <c r="Z224" s="7">
        <v>0</v>
      </c>
      <c r="AA224" s="20">
        <f ca="1">VLOOKUP($L224,OFFSET([3]enemies!$A$1,0,0,COUNTA([3]enemies!$A:$A),MATCH(AA$1,[3]enemies!$1:$1,0)-MATCH($L$1,[3]enemies!$1:$1,0)+1),MATCH(AA$1,[3]enemies!$1:$1,0)-MATCH($L$1,[3]enemies!$1:$1,0)+1,FALSE)</f>
        <v>1</v>
      </c>
      <c r="AB224" s="24">
        <v>344</v>
      </c>
      <c r="AC224" s="5" t="str">
        <f ca="1">IFERROR(VLOOKUP($AB224,OFFSET([4]characters!$A$1,0,0,COUNTA([4]characters!$A:$A),MATCH(AC$1,[4]characters!$1:$1,0)-MATCH("character_id",[4]characters!$1:$1,0)+1),MATCH(AC$1,[4]characters!$1:$1,0)-MATCH("character_id",[4]characters!$1:$1,0)+1,FALSE),"")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224" s="5">
        <f ca="1">IFERROR(VLOOKUP($AB224,OFFSET([4]characters!$A$1,0,0,COUNTA([4]characters!$A:$A),MATCH(AD$1,[4]characters!$1:$1,0)-MATCH("character_id",[4]characters!$1:$1,0)+1),MATCH(AD$1,[4]characters!$1:$1,0)-MATCH("character_id",[4]characters!$1:$1,0)+1,FALSE),"")</f>
        <v>3</v>
      </c>
      <c r="AE224" s="5" t="str">
        <f ca="1">IFERROR(VLOOKUP($AB224,OFFSET([4]characters!$A$1,0,0,COUNTA([4]characters!$A:$A),MATCH(AE$1,[4]characters!$1:$1,0)-MATCH("character_id",[4]characters!$1:$1,0)+1),MATCH(AE$1,[4]characters!$1:$1,0)-MATCH("character_id",[4]characters!$1:$1,0)+1,FALSE),"")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4" s="8">
        <v>1</v>
      </c>
      <c r="AG224" s="27">
        <f t="shared" ca="1" si="122"/>
        <v>3</v>
      </c>
      <c r="AH224" s="9">
        <v>20</v>
      </c>
      <c r="AI224" s="8">
        <v>0</v>
      </c>
      <c r="AJ224" s="8">
        <v>0</v>
      </c>
      <c r="AK224" s="8">
        <v>0</v>
      </c>
      <c r="AL224" s="8">
        <v>0</v>
      </c>
      <c r="AM224" s="8">
        <v>1</v>
      </c>
      <c r="AN224" s="8">
        <v>1</v>
      </c>
    </row>
    <row r="225" spans="1:40" ht="21" customHeight="1" x14ac:dyDescent="0.15">
      <c r="A225" s="17" t="str">
        <f t="shared" ca="1" si="120"/>
        <v>11005_4-3/345&lt;lv1&gt;s2</v>
      </c>
      <c r="B225" s="8">
        <v>11005</v>
      </c>
      <c r="C225" s="25">
        <v>4</v>
      </c>
      <c r="D225" s="2" t="str">
        <f t="shared" si="121"/>
        <v>11005_4</v>
      </c>
      <c r="E225" s="5" t="str">
        <f ca="1">VLOOKUP($B225,OFFSET([2]quests!$A$1,0,0,COUNTA([2]quests!$A:$A),MATCH(E$1,[2]quests!$1:$1,0)-MATCH($B$1,[2]quests!$1:$1,0)+1),MATCH(E$1,[2]quests!$1:$1,0)-MATCH($B$1,[2]quests!$1:$1,0)+1,FALSE)</f>
        <v>【金曜限定】 帽子屋を追え！</v>
      </c>
      <c r="F225" s="5" t="str">
        <f ca="1">VLOOKUP($D225,OFFSET([2]stages!$A$1,0,0,COUNTA([2]stages!$A:$A),MATCH(F$1,[2]stages!$2:$2,0)-MATCH($D$1,[2]stages!$2:$2,0)+1),MATCH(F$1,[2]stages!$2:$2,0)-MATCH($D$1,[2]stages!$2:$2,0)+1,FALSE)</f>
        <v>【超級】雷の帽子屋</v>
      </c>
      <c r="G225" s="25">
        <v>3</v>
      </c>
      <c r="H225" s="16" t="str">
        <f t="shared" si="104"/>
        <v>11005_4-3</v>
      </c>
      <c r="I225" s="5">
        <f ca="1">VLOOKUP($H225,OFFSET(floors!$A$1,0,0,COUNTA(floors!$A:$A),MATCH(I$1,floors!$1:$1,0)-MATCH($H$1,floors!$1:$1,0)+1),MATCH(I$1,floors!$1:$1,0)-MATCH($H$1,floors!$1:$1,0)+1,FALSE)</f>
        <v>50</v>
      </c>
      <c r="J225" s="5">
        <f ca="1">VLOOKUP($H225,OFFSET(floors!$A$1,0,0,COUNTA(floors!$A:$A),MATCH(J$1,floors!$1:$1,0)-MATCH($H$1,floors!$1:$1,0)+1),MATCH(J$1,floors!$1:$1,0)-MATCH($H$1,floors!$1:$1,0)+1,FALSE)</f>
        <v>60</v>
      </c>
      <c r="K225" s="24" t="s">
        <v>197</v>
      </c>
      <c r="L225" s="24">
        <v>345</v>
      </c>
      <c r="M225" s="20" t="str">
        <f ca="1">VLOOKUP($L225,OFFSET([3]enemies!$A$1,0,0,COUNTA([3]enemies!$A:$A),MATCH(M$1,[3]enemies!$1:$1,0)-MATCH($L$1,[3]enemies!$1:$1,0)+1),MATCH(M$1,[3]enemies!$1:$1,0)-MATCH($L$1,[3]enemies!$1:$1,0)+1,FALSE)</f>
        <v>雷のメタルチック</v>
      </c>
      <c r="N225" s="20" t="str">
        <f ca="1">VLOOKUP($L225,OFFSET([3]enemies!$A$1,0,0,COUNTA([3]enemies!$A:$A),MATCH(N$1,[3]enemies!$1:$1,0)-MATCH($L$1,[3]enemies!$1:$1,0)+1),MATCH(N$1,[3]enemies!$1:$1,0)-MATCH($L$1,[3]enemies!$1:$1,0)+1,FALSE)</f>
        <v>yellow</v>
      </c>
      <c r="O225" s="22" t="str">
        <f ca="1">VLOOKUP($L225,OFFSET([4]characters!$A$1,0,0,COUNTA([4]characters!$A:$A),MATCH(O$1,[4]characters!$1:$1,0)-MATCH($L$1,[4]characters!$1:$1,0)+1),MATCH(O$1,[4]characters!$1:$1,0)-MATCH($L$1,[4]characters!$1:$1,0)+1,FALSE)</f>
        <v>Material</v>
      </c>
      <c r="P225" s="20" t="str">
        <f ca="1">VLOOKUP($L225,OFFSET([3]enemies!$A$1,0,0,COUNTA([3]enemies!$A:$A),MATCH(P$1,[3]enemies!$1:$1,0)-MATCH($L$1,[3]enemies!$1:$1,0)+1),MATCH(P$1,[3]enemies!$1:$1,0)-MATCH($L$1,[3]enemies!$1:$1,0)+1,FALSE)</f>
        <v>unknown</v>
      </c>
      <c r="Q225" s="20">
        <f ca="1">VLOOKUP($L225,OFFSET([3]enemies!$A$1,0,0,COUNTA([3]enemies!$A:$A),MATCH(Q$1,[3]enemies!$1:$1,0)-MATCH($L$1,[3]enemies!$1:$1,0)+1),MATCH(Q$1,[3]enemies!$1:$1,0)-MATCH($L$1,[3]enemies!$1:$1,0)+1,FALSE)</f>
        <v>15</v>
      </c>
      <c r="R225" s="6">
        <v>1</v>
      </c>
      <c r="S225" s="39">
        <v>1</v>
      </c>
      <c r="T225" s="39">
        <v>1</v>
      </c>
      <c r="U225" s="6">
        <v>0</v>
      </c>
      <c r="V225" s="5" t="str">
        <f ca="1">VLOOKUP($W225,OFFSET([5]enemy_skill_sets!$B$1,0,0,COUNTA([5]enemy_skill_sets!$B:$B),MATCH(M$1,[5]enemy_skill_sets!$1:$1,0)-MATCH($W$1,[5]enemy_skill_sets!$1:$1,0)+2),MATCH(M$1,[5]enemy_skill_sets!$1:$1,0)-MATCH($W$1,[5]enemy_skill_sets!$1:$1,0)+2,FALSE)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5" s="5">
        <f ca="1">VLOOKUP($L225,OFFSET([3]enemies!$A$1,0,0,COUNTA([3]enemies!$A:$A),MATCH(W$1,[3]enemies!$1:$1,0)-MATCH($L$1,[3]enemies!$1:$1,0)+1),MATCH(W$1,[3]enemies!$1:$1,0)-MATCH($L$1,[3]enemies!$1:$1,0)+1,FALSE)</f>
        <v>0</v>
      </c>
      <c r="X225" s="7">
        <v>1</v>
      </c>
      <c r="Y225" s="7">
        <v>100</v>
      </c>
      <c r="Z225" s="7">
        <v>0</v>
      </c>
      <c r="AA225" s="20">
        <f ca="1">VLOOKUP($L225,OFFSET([3]enemies!$A$1,0,0,COUNTA([3]enemies!$A:$A),MATCH(AA$1,[3]enemies!$1:$1,0)-MATCH($L$1,[3]enemies!$1:$1,0)+1),MATCH(AA$1,[3]enemies!$1:$1,0)-MATCH($L$1,[3]enemies!$1:$1,0)+1,FALSE)</f>
        <v>2</v>
      </c>
      <c r="AB225" s="24">
        <v>345</v>
      </c>
      <c r="AC225" s="5" t="str">
        <f ca="1">IFERROR(VLOOKUP($AB225,OFFSET([4]characters!$A$1,0,0,COUNTA([4]characters!$A:$A),MATCH(AC$1,[4]characters!$1:$1,0)-MATCH("character_id",[4]characters!$1:$1,0)+1),MATCH(AC$1,[4]characters!$1:$1,0)-MATCH("character_id",[4]characters!$1:$1,0)+1,FALSE),"")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225" s="5">
        <f ca="1">IFERROR(VLOOKUP($AB225,OFFSET([4]characters!$A$1,0,0,COUNTA([4]characters!$A:$A),MATCH(AD$1,[4]characters!$1:$1,0)-MATCH("character_id",[4]characters!$1:$1,0)+1),MATCH(AD$1,[4]characters!$1:$1,0)-MATCH("character_id",[4]characters!$1:$1,0)+1,FALSE),"")</f>
        <v>4</v>
      </c>
      <c r="AE225" s="5" t="str">
        <f ca="1">IFERROR(VLOOKUP($AB225,OFFSET([4]characters!$A$1,0,0,COUNTA([4]characters!$A:$A),MATCH(AE$1,[4]characters!$1:$1,0)-MATCH("character_id",[4]characters!$1:$1,0)+1),MATCH(AE$1,[4]characters!$1:$1,0)-MATCH("character_id",[4]characters!$1:$1,0)+1,FALSE),"")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5" s="8">
        <v>1</v>
      </c>
      <c r="AG225" s="27">
        <f t="shared" ca="1" si="122"/>
        <v>4</v>
      </c>
      <c r="AH225" s="9">
        <v>10</v>
      </c>
      <c r="AI225" s="8">
        <v>0</v>
      </c>
      <c r="AJ225" s="8">
        <v>0</v>
      </c>
      <c r="AK225" s="8">
        <v>0</v>
      </c>
      <c r="AL225" s="8">
        <v>0</v>
      </c>
      <c r="AM225" s="8">
        <v>1</v>
      </c>
      <c r="AN225" s="8">
        <v>1</v>
      </c>
    </row>
    <row r="226" spans="1:40" ht="21" customHeight="1" x14ac:dyDescent="0.15">
      <c r="A226" s="17" t="str">
        <f t="shared" ref="A226:A233" ca="1" si="123">B226&amp;"_"&amp;C226&amp;"-"&amp;G226&amp;"/"&amp;L226&amp;"&lt;lv"&amp;R226&amp;"&gt;s"&amp;AA226</f>
        <v>11005_4-4/39&lt;lv42&gt;s3</v>
      </c>
      <c r="B226" s="8">
        <v>11005</v>
      </c>
      <c r="C226" s="25">
        <v>4</v>
      </c>
      <c r="D226" s="2" t="str">
        <f t="shared" ref="D226:D233" si="124">B226&amp;"_"&amp;C226</f>
        <v>11005_4</v>
      </c>
      <c r="E226" s="5" t="str">
        <f ca="1">VLOOKUP($B226,OFFSET([2]quests!$A$1,0,0,COUNTA([2]quests!$A:$A),MATCH(E$1,[2]quests!$1:$1,0)-MATCH($B$1,[2]quests!$1:$1,0)+1),MATCH(E$1,[2]quests!$1:$1,0)-MATCH($B$1,[2]quests!$1:$1,0)+1,FALSE)</f>
        <v>【金曜限定】 帽子屋を追え！</v>
      </c>
      <c r="F226" s="5" t="str">
        <f ca="1">VLOOKUP($D226,OFFSET([2]stages!$A$1,0,0,COUNTA([2]stages!$A:$A),MATCH(F$1,[2]stages!$2:$2,0)-MATCH($D$1,[2]stages!$2:$2,0)+1),MATCH(F$1,[2]stages!$2:$2,0)-MATCH($D$1,[2]stages!$2:$2,0)+1,FALSE)</f>
        <v>【超級】雷の帽子屋</v>
      </c>
      <c r="G226" s="25">
        <v>4</v>
      </c>
      <c r="H226" s="16" t="str">
        <f t="shared" si="104"/>
        <v>11005_4-4</v>
      </c>
      <c r="I226" s="5">
        <f ca="1">VLOOKUP($H226,OFFSET(floors!$A$1,0,0,COUNTA(floors!$A:$A),MATCH(I$1,floors!$1:$1,0)-MATCH($H$1,floors!$1:$1,0)+1),MATCH(I$1,floors!$1:$1,0)-MATCH($H$1,floors!$1:$1,0)+1,FALSE)</f>
        <v>45</v>
      </c>
      <c r="J226" s="5">
        <f ca="1">VLOOKUP($H226,OFFSET(floors!$A$1,0,0,COUNTA(floors!$A:$A),MATCH(J$1,floors!$1:$1,0)-MATCH($H$1,floors!$1:$1,0)+1),MATCH(J$1,floors!$1:$1,0)-MATCH($H$1,floors!$1:$1,0)+1,FALSE)</f>
        <v>60</v>
      </c>
      <c r="K226" s="24" t="s">
        <v>197</v>
      </c>
      <c r="L226" s="24">
        <v>39</v>
      </c>
      <c r="M226" s="20" t="str">
        <f ca="1">VLOOKUP($L226,OFFSET([3]enemies!$A$1,0,0,COUNTA([3]enemies!$A:$A),MATCH(M$1,[3]enemies!$1:$1,0)-MATCH($L$1,[3]enemies!$1:$1,0)+1),MATCH(M$1,[3]enemies!$1:$1,0)-MATCH($L$1,[3]enemies!$1:$1,0)+1,FALSE)</f>
        <v>マーロン</v>
      </c>
      <c r="N226" s="20" t="str">
        <f ca="1">VLOOKUP($L226,OFFSET([3]enemies!$A$1,0,0,COUNTA([3]enemies!$A:$A),MATCH(N$1,[3]enemies!$1:$1,0)-MATCH($L$1,[3]enemies!$1:$1,0)+1),MATCH(N$1,[3]enemies!$1:$1,0)-MATCH($L$1,[3]enemies!$1:$1,0)+1,FALSE)</f>
        <v>yellow</v>
      </c>
      <c r="O226" s="22" t="str">
        <f ca="1">VLOOKUP($L226,OFFSET([4]characters!$A$1,0,0,COUNTA([4]characters!$A:$A),MATCH(O$1,[4]characters!$1:$1,0)-MATCH($L$1,[4]characters!$1:$1,0)+1),MATCH(O$1,[4]characters!$1:$1,0)-MATCH($L$1,[4]characters!$1:$1,0)+1,FALSE)</f>
        <v>Drop1S</v>
      </c>
      <c r="P226" s="20" t="str">
        <f ca="1">VLOOKUP($L226,OFFSET([3]enemies!$A$1,0,0,COUNTA([3]enemies!$A:$A),MATCH(P$1,[3]enemies!$1:$1,0)-MATCH($L$1,[3]enemies!$1:$1,0)+1),MATCH(P$1,[3]enemies!$1:$1,0)-MATCH($L$1,[3]enemies!$1:$1,0)+1,FALSE)</f>
        <v>human</v>
      </c>
      <c r="Q226" s="20">
        <f ca="1">VLOOKUP($L226,OFFSET([3]enemies!$A$1,0,0,COUNTA([3]enemies!$A:$A),MATCH(Q$1,[3]enemies!$1:$1,0)-MATCH($L$1,[3]enemies!$1:$1,0)+1),MATCH(Q$1,[3]enemies!$1:$1,0)-MATCH($L$1,[3]enemies!$1:$1,0)+1,FALSE)</f>
        <v>15</v>
      </c>
      <c r="R226" s="6">
        <v>42</v>
      </c>
      <c r="S226" s="39">
        <v>1</v>
      </c>
      <c r="T226" s="39">
        <v>1</v>
      </c>
      <c r="U226" s="6">
        <v>0</v>
      </c>
      <c r="V226" s="5" t="str">
        <f ca="1">VLOOKUP($W226,OFFSET([5]enemy_skill_sets!$B$1,0,0,COUNTA([5]enemy_skill_sets!$B:$B),MATCH(M$1,[5]enemy_skill_sets!$1:$1,0)-MATCH($W$1,[5]enemy_skill_sets!$1:$1,0)+2),MATCH(M$1,[5]enemy_skill_sets!$1:$1,0)-MATCH($W$1,[5]enemy_skill_sets!$1:$1,0)+2,FALSE)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26" s="5">
        <f ca="1">VLOOKUP($L226,OFFSET([3]enemies!$A$1,0,0,COUNTA([3]enemies!$A:$A),MATCH(W$1,[3]enemies!$1:$1,0)-MATCH($L$1,[3]enemies!$1:$1,0)+1),MATCH(W$1,[3]enemies!$1:$1,0)-MATCH($L$1,[3]enemies!$1:$1,0)+1,FALSE)</f>
        <v>39</v>
      </c>
      <c r="X226" s="7">
        <v>0</v>
      </c>
      <c r="Y226" s="7">
        <v>100</v>
      </c>
      <c r="Z226" s="7">
        <v>0</v>
      </c>
      <c r="AA226" s="20">
        <f ca="1">VLOOKUP($L226,OFFSET([3]enemies!$A$1,0,0,COUNTA([3]enemies!$A:$A),MATCH(AA$1,[3]enemies!$1:$1,0)-MATCH($L$1,[3]enemies!$1:$1,0)+1),MATCH(AA$1,[3]enemies!$1:$1,0)-MATCH($L$1,[3]enemies!$1:$1,0)+1,FALSE)</f>
        <v>3</v>
      </c>
      <c r="AB226" s="24">
        <v>39</v>
      </c>
      <c r="AC226" s="5" t="str">
        <f ca="1">IFERROR(VLOOKUP($AB226,OFFSET([4]characters!$A$1,0,0,COUNTA([4]characters!$A:$A),MATCH(AC$1,[4]characters!$1:$1,0)-MATCH("character_id",[4]characters!$1:$1,0)+1),MATCH(AC$1,[4]characters!$1:$1,0)-MATCH("character_id",[4]characters!$1:$1,0)+1,FALSE),"")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26" s="5">
        <f ca="1">IFERROR(VLOOKUP($AB226,OFFSET([4]characters!$A$1,0,0,COUNTA([4]characters!$A:$A),MATCH(AD$1,[4]characters!$1:$1,0)-MATCH("character_id",[4]characters!$1:$1,0)+1),MATCH(AD$1,[4]characters!$1:$1,0)-MATCH("character_id",[4]characters!$1:$1,0)+1,FALSE),"")</f>
        <v>2</v>
      </c>
      <c r="AE226" s="5" t="str">
        <f ca="1">IFERROR(VLOOKUP($AB226,OFFSET([4]characters!$A$1,0,0,COUNTA([4]characters!$A:$A),MATCH(AE$1,[4]characters!$1:$1,0)-MATCH("character_id",[4]characters!$1:$1,0)+1),MATCH(AE$1,[4]characters!$1:$1,0)-MATCH("character_id",[4]characters!$1:$1,0)+1,FALSE),"")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26" s="8">
        <v>1</v>
      </c>
      <c r="AG226" s="27">
        <f t="shared" ref="AG226:AG233" ca="1" si="125">AD226</f>
        <v>2</v>
      </c>
      <c r="AH226" s="9">
        <v>0</v>
      </c>
      <c r="AI226" s="8">
        <v>0</v>
      </c>
      <c r="AJ226" s="8">
        <v>0</v>
      </c>
      <c r="AK226" s="8">
        <v>0</v>
      </c>
      <c r="AL226" s="8">
        <v>0</v>
      </c>
      <c r="AM226" s="8">
        <v>1</v>
      </c>
      <c r="AN226" s="8">
        <v>1</v>
      </c>
    </row>
    <row r="227" spans="1:40" ht="21" customHeight="1" x14ac:dyDescent="0.15">
      <c r="A227" s="17" t="str">
        <f t="shared" ca="1" si="123"/>
        <v>11005_4-4/31&lt;lv42&gt;s2</v>
      </c>
      <c r="B227" s="8">
        <v>11005</v>
      </c>
      <c r="C227" s="25">
        <v>4</v>
      </c>
      <c r="D227" s="2" t="str">
        <f t="shared" si="124"/>
        <v>11005_4</v>
      </c>
      <c r="E227" s="5" t="str">
        <f ca="1">VLOOKUP($B227,OFFSET([2]quests!$A$1,0,0,COUNTA([2]quests!$A:$A),MATCH(E$1,[2]quests!$1:$1,0)-MATCH($B$1,[2]quests!$1:$1,0)+1),MATCH(E$1,[2]quests!$1:$1,0)-MATCH($B$1,[2]quests!$1:$1,0)+1,FALSE)</f>
        <v>【金曜限定】 帽子屋を追え！</v>
      </c>
      <c r="F227" s="5" t="str">
        <f ca="1">VLOOKUP($D227,OFFSET([2]stages!$A$1,0,0,COUNTA([2]stages!$A:$A),MATCH(F$1,[2]stages!$2:$2,0)-MATCH($D$1,[2]stages!$2:$2,0)+1),MATCH(F$1,[2]stages!$2:$2,0)-MATCH($D$1,[2]stages!$2:$2,0)+1,FALSE)</f>
        <v>【超級】雷の帽子屋</v>
      </c>
      <c r="G227" s="25">
        <v>4</v>
      </c>
      <c r="H227" s="16" t="str">
        <f t="shared" si="104"/>
        <v>11005_4-4</v>
      </c>
      <c r="I227" s="5">
        <f ca="1">VLOOKUP($H227,OFFSET(floors!$A$1,0,0,COUNTA(floors!$A:$A),MATCH(I$1,floors!$1:$1,0)-MATCH($H$1,floors!$1:$1,0)+1),MATCH(I$1,floors!$1:$1,0)-MATCH($H$1,floors!$1:$1,0)+1,FALSE)</f>
        <v>45</v>
      </c>
      <c r="J227" s="5">
        <f ca="1">VLOOKUP($H227,OFFSET(floors!$A$1,0,0,COUNTA(floors!$A:$A),MATCH(J$1,floors!$1:$1,0)-MATCH($H$1,floors!$1:$1,0)+1),MATCH(J$1,floors!$1:$1,0)-MATCH($H$1,floors!$1:$1,0)+1,FALSE)</f>
        <v>60</v>
      </c>
      <c r="K227" s="24" t="s">
        <v>197</v>
      </c>
      <c r="L227" s="24">
        <v>31</v>
      </c>
      <c r="M227" s="20" t="str">
        <f ca="1">VLOOKUP($L227,OFFSET([3]enemies!$A$1,0,0,COUNTA([3]enemies!$A:$A),MATCH(M$1,[3]enemies!$1:$1,0)-MATCH($L$1,[3]enemies!$1:$1,0)+1),MATCH(M$1,[3]enemies!$1:$1,0)-MATCH($L$1,[3]enemies!$1:$1,0)+1,FALSE)</f>
        <v>マービー</v>
      </c>
      <c r="N227" s="20" t="str">
        <f ca="1">VLOOKUP($L227,OFFSET([3]enemies!$A$1,0,0,COUNTA([3]enemies!$A:$A),MATCH(N$1,[3]enemies!$1:$1,0)-MATCH($L$1,[3]enemies!$1:$1,0)+1),MATCH(N$1,[3]enemies!$1:$1,0)-MATCH($L$1,[3]enemies!$1:$1,0)+1,FALSE)</f>
        <v>yellow</v>
      </c>
      <c r="O227" s="22" t="str">
        <f ca="1">VLOOKUP($L227,OFFSET([4]characters!$A$1,0,0,COUNTA([4]characters!$A:$A),MATCH(O$1,[4]characters!$1:$1,0)-MATCH($L$1,[4]characters!$1:$1,0)+1),MATCH(O$1,[4]characters!$1:$1,0)-MATCH($L$1,[4]characters!$1:$1,0)+1,FALSE)</f>
        <v>Drop1N</v>
      </c>
      <c r="P227" s="20" t="str">
        <f ca="1">VLOOKUP($L227,OFFSET([3]enemies!$A$1,0,0,COUNTA([3]enemies!$A:$A),MATCH(P$1,[3]enemies!$1:$1,0)-MATCH($L$1,[3]enemies!$1:$1,0)+1),MATCH(P$1,[3]enemies!$1:$1,0)-MATCH($L$1,[3]enemies!$1:$1,0)+1,FALSE)</f>
        <v>machine</v>
      </c>
      <c r="Q227" s="20">
        <f ca="1">VLOOKUP($L227,OFFSET([3]enemies!$A$1,0,0,COUNTA([3]enemies!$A:$A),MATCH(Q$1,[3]enemies!$1:$1,0)-MATCH($L$1,[3]enemies!$1:$1,0)+1),MATCH(Q$1,[3]enemies!$1:$1,0)-MATCH($L$1,[3]enemies!$1:$1,0)+1,FALSE)</f>
        <v>15</v>
      </c>
      <c r="R227" s="6">
        <v>42</v>
      </c>
      <c r="S227" s="39">
        <v>1</v>
      </c>
      <c r="T227" s="39">
        <v>1</v>
      </c>
      <c r="U227" s="6">
        <v>0</v>
      </c>
      <c r="V227" s="5" t="str">
        <f ca="1">VLOOKUP($W227,OFFSET([5]enemy_skill_sets!$B$1,0,0,COUNTA([5]enemy_skill_sets!$B:$B),MATCH(M$1,[5]enemy_skill_sets!$1:$1,0)-MATCH($W$1,[5]enemy_skill_sets!$1:$1,0)+2),MATCH(M$1,[5]enemy_skill_sets!$1:$1,0)-MATCH($W$1,[5]enemy_skill_sets!$1:$1,0)+2,FALSE)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7" s="5">
        <f ca="1">VLOOKUP($L227,OFFSET([3]enemies!$A$1,0,0,COUNTA([3]enemies!$A:$A),MATCH(W$1,[3]enemies!$1:$1,0)-MATCH($L$1,[3]enemies!$1:$1,0)+1),MATCH(W$1,[3]enemies!$1:$1,0)-MATCH($L$1,[3]enemies!$1:$1,0)+1,FALSE)</f>
        <v>0</v>
      </c>
      <c r="X227" s="7">
        <v>0</v>
      </c>
      <c r="Y227" s="7">
        <v>100</v>
      </c>
      <c r="Z227" s="7">
        <v>0</v>
      </c>
      <c r="AA227" s="20">
        <f ca="1">VLOOKUP($L227,OFFSET([3]enemies!$A$1,0,0,COUNTA([3]enemies!$A:$A),MATCH(AA$1,[3]enemies!$1:$1,0)-MATCH($L$1,[3]enemies!$1:$1,0)+1),MATCH(AA$1,[3]enemies!$1:$1,0)-MATCH($L$1,[3]enemies!$1:$1,0)+1,FALSE)</f>
        <v>2</v>
      </c>
      <c r="AB227" s="24">
        <v>31</v>
      </c>
      <c r="AC227" s="5" t="str">
        <f ca="1">IFERROR(VLOOKUP($AB227,OFFSET([4]characters!$A$1,0,0,COUNTA([4]characters!$A:$A),MATCH(AC$1,[4]characters!$1:$1,0)-MATCH("character_id",[4]characters!$1:$1,0)+1),MATCH(AC$1,[4]characters!$1:$1,0)-MATCH("character_id",[4]characters!$1:$1,0)+1,FALSE),"")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27" s="5">
        <f ca="1">IFERROR(VLOOKUP($AB227,OFFSET([4]characters!$A$1,0,0,COUNTA([4]characters!$A:$A),MATCH(AD$1,[4]characters!$1:$1,0)-MATCH("character_id",[4]characters!$1:$1,0)+1),MATCH(AD$1,[4]characters!$1:$1,0)-MATCH("character_id",[4]characters!$1:$1,0)+1,FALSE),"")</f>
        <v>1</v>
      </c>
      <c r="AE227" s="5" t="str">
        <f ca="1">IFERROR(VLOOKUP($AB227,OFFSET([4]characters!$A$1,0,0,COUNTA([4]characters!$A:$A),MATCH(AE$1,[4]characters!$1:$1,0)-MATCH("character_id",[4]characters!$1:$1,0)+1),MATCH(AE$1,[4]characters!$1:$1,0)-MATCH("character_id",[4]characters!$1:$1,0)+1,FALSE),"")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27" s="8">
        <v>1</v>
      </c>
      <c r="AG227" s="27">
        <f t="shared" ca="1" si="125"/>
        <v>1</v>
      </c>
      <c r="AH227" s="9">
        <v>0</v>
      </c>
      <c r="AI227" s="8">
        <v>0</v>
      </c>
      <c r="AJ227" s="8">
        <v>0</v>
      </c>
      <c r="AK227" s="8">
        <v>0</v>
      </c>
      <c r="AL227" s="8">
        <v>0</v>
      </c>
      <c r="AM227" s="8">
        <v>1</v>
      </c>
      <c r="AN227" s="8">
        <v>1</v>
      </c>
    </row>
    <row r="228" spans="1:40" ht="21" customHeight="1" x14ac:dyDescent="0.15">
      <c r="A228" s="17" t="str">
        <f t="shared" ref="A228:A229" ca="1" si="126">B228&amp;"_"&amp;C228&amp;"-"&amp;G228&amp;"/"&amp;L228&amp;"&lt;lv"&amp;R228&amp;"&gt;s"&amp;AA228</f>
        <v>11005_4-5/39&lt;lv42&gt;s3</v>
      </c>
      <c r="B228" s="8">
        <v>11005</v>
      </c>
      <c r="C228" s="25">
        <v>4</v>
      </c>
      <c r="D228" s="2" t="str">
        <f t="shared" ref="D228:D229" si="127">B228&amp;"_"&amp;C228</f>
        <v>11005_4</v>
      </c>
      <c r="E228" s="5" t="str">
        <f ca="1">VLOOKUP($B228,OFFSET([2]quests!$A$1,0,0,COUNTA([2]quests!$A:$A),MATCH(E$1,[2]quests!$1:$1,0)-MATCH($B$1,[2]quests!$1:$1,0)+1),MATCH(E$1,[2]quests!$1:$1,0)-MATCH($B$1,[2]quests!$1:$1,0)+1,FALSE)</f>
        <v>【金曜限定】 帽子屋を追え！</v>
      </c>
      <c r="F228" s="5" t="str">
        <f ca="1">VLOOKUP($D228,OFFSET([2]stages!$A$1,0,0,COUNTA([2]stages!$A:$A),MATCH(F$1,[2]stages!$2:$2,0)-MATCH($D$1,[2]stages!$2:$2,0)+1),MATCH(F$1,[2]stages!$2:$2,0)-MATCH($D$1,[2]stages!$2:$2,0)+1,FALSE)</f>
        <v>【超級】雷の帽子屋</v>
      </c>
      <c r="G228" s="25">
        <v>5</v>
      </c>
      <c r="H228" s="16" t="str">
        <f t="shared" si="104"/>
        <v>11005_4-5</v>
      </c>
      <c r="I228" s="5">
        <f ca="1">VLOOKUP($H228,OFFSET(floors!$A$1,0,0,COUNTA(floors!$A:$A),MATCH(I$1,floors!$1:$1,0)-MATCH($H$1,floors!$1:$1,0)+1),MATCH(I$1,floors!$1:$1,0)-MATCH($H$1,floors!$1:$1,0)+1,FALSE)</f>
        <v>60</v>
      </c>
      <c r="J228" s="5">
        <f ca="1">VLOOKUP($H228,OFFSET(floors!$A$1,0,0,COUNTA(floors!$A:$A),MATCH(J$1,floors!$1:$1,0)-MATCH($H$1,floors!$1:$1,0)+1),MATCH(J$1,floors!$1:$1,0)-MATCH($H$1,floors!$1:$1,0)+1,FALSE)</f>
        <v>60</v>
      </c>
      <c r="K228" s="24" t="s">
        <v>197</v>
      </c>
      <c r="L228" s="24">
        <v>39</v>
      </c>
      <c r="M228" s="20" t="str">
        <f ca="1">VLOOKUP($L228,OFFSET([3]enemies!$A$1,0,0,COUNTA([3]enemies!$A:$A),MATCH(M$1,[3]enemies!$1:$1,0)-MATCH($L$1,[3]enemies!$1:$1,0)+1),MATCH(M$1,[3]enemies!$1:$1,0)-MATCH($L$1,[3]enemies!$1:$1,0)+1,FALSE)</f>
        <v>マーロン</v>
      </c>
      <c r="N228" s="20" t="str">
        <f ca="1">VLOOKUP($L228,OFFSET([3]enemies!$A$1,0,0,COUNTA([3]enemies!$A:$A),MATCH(N$1,[3]enemies!$1:$1,0)-MATCH($L$1,[3]enemies!$1:$1,0)+1),MATCH(N$1,[3]enemies!$1:$1,0)-MATCH($L$1,[3]enemies!$1:$1,0)+1,FALSE)</f>
        <v>yellow</v>
      </c>
      <c r="O228" s="22" t="str">
        <f ca="1">VLOOKUP($L228,OFFSET([4]characters!$A$1,0,0,COUNTA([4]characters!$A:$A),MATCH(O$1,[4]characters!$1:$1,0)-MATCH($L$1,[4]characters!$1:$1,0)+1),MATCH(O$1,[4]characters!$1:$1,0)-MATCH($L$1,[4]characters!$1:$1,0)+1,FALSE)</f>
        <v>Drop1S</v>
      </c>
      <c r="P228" s="20" t="str">
        <f ca="1">VLOOKUP($L228,OFFSET([3]enemies!$A$1,0,0,COUNTA([3]enemies!$A:$A),MATCH(P$1,[3]enemies!$1:$1,0)-MATCH($L$1,[3]enemies!$1:$1,0)+1),MATCH(P$1,[3]enemies!$1:$1,0)-MATCH($L$1,[3]enemies!$1:$1,0)+1,FALSE)</f>
        <v>human</v>
      </c>
      <c r="Q228" s="20">
        <f ca="1">VLOOKUP($L228,OFFSET([3]enemies!$A$1,0,0,COUNTA([3]enemies!$A:$A),MATCH(Q$1,[3]enemies!$1:$1,0)-MATCH($L$1,[3]enemies!$1:$1,0)+1),MATCH(Q$1,[3]enemies!$1:$1,0)-MATCH($L$1,[3]enemies!$1:$1,0)+1,FALSE)</f>
        <v>15</v>
      </c>
      <c r="R228" s="6">
        <v>42</v>
      </c>
      <c r="S228" s="39">
        <v>1</v>
      </c>
      <c r="T228" s="39">
        <v>1</v>
      </c>
      <c r="U228" s="6">
        <v>0</v>
      </c>
      <c r="V228" s="5" t="str">
        <f ca="1">VLOOKUP($W228,OFFSET([5]enemy_skill_sets!$B$1,0,0,COUNTA([5]enemy_skill_sets!$B:$B),MATCH(M$1,[5]enemy_skill_sets!$1:$1,0)-MATCH($W$1,[5]enemy_skill_sets!$1:$1,0)+2),MATCH(M$1,[5]enemy_skill_sets!$1:$1,0)-MATCH($W$1,[5]enemy_skill_sets!$1:$1,0)+2,FALSE)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228" s="5">
        <f ca="1">VLOOKUP($L228,OFFSET([3]enemies!$A$1,0,0,COUNTA([3]enemies!$A:$A),MATCH(W$1,[3]enemies!$1:$1,0)-MATCH($L$1,[3]enemies!$1:$1,0)+1),MATCH(W$1,[3]enemies!$1:$1,0)-MATCH($L$1,[3]enemies!$1:$1,0)+1,FALSE)</f>
        <v>39</v>
      </c>
      <c r="X228" s="7">
        <v>0</v>
      </c>
      <c r="Y228" s="7">
        <v>100</v>
      </c>
      <c r="Z228" s="7">
        <v>0</v>
      </c>
      <c r="AA228" s="20">
        <f ca="1">VLOOKUP($L228,OFFSET([3]enemies!$A$1,0,0,COUNTA([3]enemies!$A:$A),MATCH(AA$1,[3]enemies!$1:$1,0)-MATCH($L$1,[3]enemies!$1:$1,0)+1),MATCH(AA$1,[3]enemies!$1:$1,0)-MATCH($L$1,[3]enemies!$1:$1,0)+1,FALSE)</f>
        <v>3</v>
      </c>
      <c r="AB228" s="24">
        <v>39</v>
      </c>
      <c r="AC228" s="5" t="str">
        <f ca="1">IFERROR(VLOOKUP($AB228,OFFSET([4]characters!$A$1,0,0,COUNTA([4]characters!$A:$A),MATCH(AC$1,[4]characters!$1:$1,0)-MATCH("character_id",[4]characters!$1:$1,0)+1),MATCH(AC$1,[4]characters!$1:$1,0)-MATCH("character_id",[4]characters!$1:$1,0)+1,FALSE),"")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228" s="5">
        <f ca="1">IFERROR(VLOOKUP($AB228,OFFSET([4]characters!$A$1,0,0,COUNTA([4]characters!$A:$A),MATCH(AD$1,[4]characters!$1:$1,0)-MATCH("character_id",[4]characters!$1:$1,0)+1),MATCH(AD$1,[4]characters!$1:$1,0)-MATCH("character_id",[4]characters!$1:$1,0)+1,FALSE),"")</f>
        <v>2</v>
      </c>
      <c r="AE228" s="5" t="str">
        <f ca="1">IFERROR(VLOOKUP($AB228,OFFSET([4]characters!$A$1,0,0,COUNTA([4]characters!$A:$A),MATCH(AE$1,[4]characters!$1:$1,0)-MATCH("character_id",[4]characters!$1:$1,0)+1),MATCH(AE$1,[4]characters!$1:$1,0)-MATCH("character_id",[4]characters!$1:$1,0)+1,FALSE),"")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228" s="8">
        <v>1</v>
      </c>
      <c r="AG228" s="27">
        <f t="shared" ref="AG228:AG229" ca="1" si="128">AD228</f>
        <v>2</v>
      </c>
      <c r="AH228" s="9">
        <v>0</v>
      </c>
      <c r="AI228" s="8">
        <v>0</v>
      </c>
      <c r="AJ228" s="8">
        <v>0</v>
      </c>
      <c r="AK228" s="8">
        <v>0</v>
      </c>
      <c r="AL228" s="8">
        <v>0</v>
      </c>
      <c r="AM228" s="8">
        <v>1</v>
      </c>
      <c r="AN228" s="8">
        <v>1</v>
      </c>
    </row>
    <row r="229" spans="1:40" ht="21" customHeight="1" x14ac:dyDescent="0.15">
      <c r="A229" s="17" t="str">
        <f t="shared" ca="1" si="126"/>
        <v>11005_4-5/31&lt;lv42&gt;s2</v>
      </c>
      <c r="B229" s="8">
        <v>11005</v>
      </c>
      <c r="C229" s="25">
        <v>4</v>
      </c>
      <c r="D229" s="2" t="str">
        <f t="shared" si="127"/>
        <v>11005_4</v>
      </c>
      <c r="E229" s="5" t="str">
        <f ca="1">VLOOKUP($B229,OFFSET([2]quests!$A$1,0,0,COUNTA([2]quests!$A:$A),MATCH(E$1,[2]quests!$1:$1,0)-MATCH($B$1,[2]quests!$1:$1,0)+1),MATCH(E$1,[2]quests!$1:$1,0)-MATCH($B$1,[2]quests!$1:$1,0)+1,FALSE)</f>
        <v>【金曜限定】 帽子屋を追え！</v>
      </c>
      <c r="F229" s="5" t="str">
        <f ca="1">VLOOKUP($D229,OFFSET([2]stages!$A$1,0,0,COUNTA([2]stages!$A:$A),MATCH(F$1,[2]stages!$2:$2,0)-MATCH($D$1,[2]stages!$2:$2,0)+1),MATCH(F$1,[2]stages!$2:$2,0)-MATCH($D$1,[2]stages!$2:$2,0)+1,FALSE)</f>
        <v>【超級】雷の帽子屋</v>
      </c>
      <c r="G229" s="25">
        <v>5</v>
      </c>
      <c r="H229" s="16" t="str">
        <f t="shared" si="104"/>
        <v>11005_4-5</v>
      </c>
      <c r="I229" s="5">
        <f ca="1">VLOOKUP($H229,OFFSET(floors!$A$1,0,0,COUNTA(floors!$A:$A),MATCH(I$1,floors!$1:$1,0)-MATCH($H$1,floors!$1:$1,0)+1),MATCH(I$1,floors!$1:$1,0)-MATCH($H$1,floors!$1:$1,0)+1,FALSE)</f>
        <v>60</v>
      </c>
      <c r="J229" s="5">
        <f ca="1">VLOOKUP($H229,OFFSET(floors!$A$1,0,0,COUNTA(floors!$A:$A),MATCH(J$1,floors!$1:$1,0)-MATCH($H$1,floors!$1:$1,0)+1),MATCH(J$1,floors!$1:$1,0)-MATCH($H$1,floors!$1:$1,0)+1,FALSE)</f>
        <v>60</v>
      </c>
      <c r="K229" s="24" t="s">
        <v>197</v>
      </c>
      <c r="L229" s="24">
        <v>31</v>
      </c>
      <c r="M229" s="20" t="str">
        <f ca="1">VLOOKUP($L229,OFFSET([3]enemies!$A$1,0,0,COUNTA([3]enemies!$A:$A),MATCH(M$1,[3]enemies!$1:$1,0)-MATCH($L$1,[3]enemies!$1:$1,0)+1),MATCH(M$1,[3]enemies!$1:$1,0)-MATCH($L$1,[3]enemies!$1:$1,0)+1,FALSE)</f>
        <v>マービー</v>
      </c>
      <c r="N229" s="20" t="str">
        <f ca="1">VLOOKUP($L229,OFFSET([3]enemies!$A$1,0,0,COUNTA([3]enemies!$A:$A),MATCH(N$1,[3]enemies!$1:$1,0)-MATCH($L$1,[3]enemies!$1:$1,0)+1),MATCH(N$1,[3]enemies!$1:$1,0)-MATCH($L$1,[3]enemies!$1:$1,0)+1,FALSE)</f>
        <v>yellow</v>
      </c>
      <c r="O229" s="22" t="str">
        <f ca="1">VLOOKUP($L229,OFFSET([4]characters!$A$1,0,0,COUNTA([4]characters!$A:$A),MATCH(O$1,[4]characters!$1:$1,0)-MATCH($L$1,[4]characters!$1:$1,0)+1),MATCH(O$1,[4]characters!$1:$1,0)-MATCH($L$1,[4]characters!$1:$1,0)+1,FALSE)</f>
        <v>Drop1N</v>
      </c>
      <c r="P229" s="20" t="str">
        <f ca="1">VLOOKUP($L229,OFFSET([3]enemies!$A$1,0,0,COUNTA([3]enemies!$A:$A),MATCH(P$1,[3]enemies!$1:$1,0)-MATCH($L$1,[3]enemies!$1:$1,0)+1),MATCH(P$1,[3]enemies!$1:$1,0)-MATCH($L$1,[3]enemies!$1:$1,0)+1,FALSE)</f>
        <v>machine</v>
      </c>
      <c r="Q229" s="20">
        <f ca="1">VLOOKUP($L229,OFFSET([3]enemies!$A$1,0,0,COUNTA([3]enemies!$A:$A),MATCH(Q$1,[3]enemies!$1:$1,0)-MATCH($L$1,[3]enemies!$1:$1,0)+1),MATCH(Q$1,[3]enemies!$1:$1,0)-MATCH($L$1,[3]enemies!$1:$1,0)+1,FALSE)</f>
        <v>15</v>
      </c>
      <c r="R229" s="6">
        <v>42</v>
      </c>
      <c r="S229" s="39">
        <v>1</v>
      </c>
      <c r="T229" s="39">
        <v>1</v>
      </c>
      <c r="U229" s="6">
        <v>0</v>
      </c>
      <c r="V229" s="5" t="str">
        <f ca="1">VLOOKUP($W229,OFFSET([5]enemy_skill_sets!$B$1,0,0,COUNTA([5]enemy_skill_sets!$B:$B),MATCH(M$1,[5]enemy_skill_sets!$1:$1,0)-MATCH($W$1,[5]enemy_skill_sets!$1:$1,0)+2),MATCH(M$1,[5]enemy_skill_sets!$1:$1,0)-MATCH($W$1,[5]enemy_skill_sets!$1:$1,0)+2,FALSE)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9" s="5">
        <f ca="1">VLOOKUP($L229,OFFSET([3]enemies!$A$1,0,0,COUNTA([3]enemies!$A:$A),MATCH(W$1,[3]enemies!$1:$1,0)-MATCH($L$1,[3]enemies!$1:$1,0)+1),MATCH(W$1,[3]enemies!$1:$1,0)-MATCH($L$1,[3]enemies!$1:$1,0)+1,FALSE)</f>
        <v>0</v>
      </c>
      <c r="X229" s="7">
        <v>0</v>
      </c>
      <c r="Y229" s="7">
        <v>100</v>
      </c>
      <c r="Z229" s="7">
        <v>0</v>
      </c>
      <c r="AA229" s="20">
        <f ca="1">VLOOKUP($L229,OFFSET([3]enemies!$A$1,0,0,COUNTA([3]enemies!$A:$A),MATCH(AA$1,[3]enemies!$1:$1,0)-MATCH($L$1,[3]enemies!$1:$1,0)+1),MATCH(AA$1,[3]enemies!$1:$1,0)-MATCH($L$1,[3]enemies!$1:$1,0)+1,FALSE)</f>
        <v>2</v>
      </c>
      <c r="AB229" s="24">
        <v>31</v>
      </c>
      <c r="AC229" s="5" t="str">
        <f ca="1">IFERROR(VLOOKUP($AB229,OFFSET([4]characters!$A$1,0,0,COUNTA([4]characters!$A:$A),MATCH(AC$1,[4]characters!$1:$1,0)-MATCH("character_id",[4]characters!$1:$1,0)+1),MATCH(AC$1,[4]characters!$1:$1,0)-MATCH("character_id",[4]characters!$1:$1,0)+1,FALSE),"")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29" s="5">
        <f ca="1">IFERROR(VLOOKUP($AB229,OFFSET([4]characters!$A$1,0,0,COUNTA([4]characters!$A:$A),MATCH(AD$1,[4]characters!$1:$1,0)-MATCH("character_id",[4]characters!$1:$1,0)+1),MATCH(AD$1,[4]characters!$1:$1,0)-MATCH("character_id",[4]characters!$1:$1,0)+1,FALSE),"")</f>
        <v>1</v>
      </c>
      <c r="AE229" s="5" t="str">
        <f ca="1">IFERROR(VLOOKUP($AB229,OFFSET([4]characters!$A$1,0,0,COUNTA([4]characters!$A:$A),MATCH(AE$1,[4]characters!$1:$1,0)-MATCH("character_id",[4]characters!$1:$1,0)+1),MATCH(AE$1,[4]characters!$1:$1,0)-MATCH("character_id",[4]characters!$1:$1,0)+1,FALSE),"")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29" s="8">
        <v>1</v>
      </c>
      <c r="AG229" s="27">
        <f t="shared" ca="1" si="128"/>
        <v>1</v>
      </c>
      <c r="AH229" s="9">
        <v>0</v>
      </c>
      <c r="AI229" s="8">
        <v>0</v>
      </c>
      <c r="AJ229" s="8">
        <v>0</v>
      </c>
      <c r="AK229" s="8">
        <v>0</v>
      </c>
      <c r="AL229" s="8">
        <v>0</v>
      </c>
      <c r="AM229" s="8">
        <v>1</v>
      </c>
      <c r="AN229" s="8">
        <v>1</v>
      </c>
    </row>
    <row r="230" spans="1:40" ht="21" customHeight="1" x14ac:dyDescent="0.15">
      <c r="A230" s="17" t="str">
        <f t="shared" ca="1" si="123"/>
        <v>11005_4-6/116&lt;lv40&gt;s2</v>
      </c>
      <c r="B230" s="8">
        <v>11005</v>
      </c>
      <c r="C230" s="25">
        <v>4</v>
      </c>
      <c r="D230" s="2" t="str">
        <f t="shared" si="124"/>
        <v>11005_4</v>
      </c>
      <c r="E230" s="5" t="str">
        <f ca="1">VLOOKUP($B230,OFFSET([2]quests!$A$1,0,0,COUNTA([2]quests!$A:$A),MATCH(E$1,[2]quests!$1:$1,0)-MATCH($B$1,[2]quests!$1:$1,0)+1),MATCH(E$1,[2]quests!$1:$1,0)-MATCH($B$1,[2]quests!$1:$1,0)+1,FALSE)</f>
        <v>【金曜限定】 帽子屋を追え！</v>
      </c>
      <c r="F230" s="5" t="str">
        <f ca="1">VLOOKUP($D230,OFFSET([2]stages!$A$1,0,0,COUNTA([2]stages!$A:$A),MATCH(F$1,[2]stages!$2:$2,0)-MATCH($D$1,[2]stages!$2:$2,0)+1),MATCH(F$1,[2]stages!$2:$2,0)-MATCH($D$1,[2]stages!$2:$2,0)+1,FALSE)</f>
        <v>【超級】雷の帽子屋</v>
      </c>
      <c r="G230" s="25">
        <v>6</v>
      </c>
      <c r="H230" s="16" t="str">
        <f t="shared" si="104"/>
        <v>11005_4-6</v>
      </c>
      <c r="I230" s="5">
        <f ca="1">VLOOKUP($H230,OFFSET(floors!$A$1,0,0,COUNTA(floors!$A:$A),MATCH(I$1,floors!$1:$1,0)-MATCH($H$1,floors!$1:$1,0)+1),MATCH(I$1,floors!$1:$1,0)-MATCH($H$1,floors!$1:$1,0)+1,FALSE)</f>
        <v>60</v>
      </c>
      <c r="J230" s="5">
        <f ca="1">VLOOKUP($H230,OFFSET(floors!$A$1,0,0,COUNTA(floors!$A:$A),MATCH(J$1,floors!$1:$1,0)-MATCH($H$1,floors!$1:$1,0)+1),MATCH(J$1,floors!$1:$1,0)-MATCH($H$1,floors!$1:$1,0)+1,FALSE)</f>
        <v>60</v>
      </c>
      <c r="K230" s="24" t="s">
        <v>197</v>
      </c>
      <c r="L230" s="24">
        <v>116</v>
      </c>
      <c r="M230" s="20" t="str">
        <f ca="1">VLOOKUP($L230,OFFSET([3]enemies!$A$1,0,0,COUNTA([3]enemies!$A:$A),MATCH(M$1,[3]enemies!$1:$1,0)-MATCH($L$1,[3]enemies!$1:$1,0)+1),MATCH(M$1,[3]enemies!$1:$1,0)-MATCH($L$1,[3]enemies!$1:$1,0)+1,FALSE)</f>
        <v>雷のマッドハッター</v>
      </c>
      <c r="N230" s="20" t="str">
        <f ca="1">VLOOKUP($L230,OFFSET([3]enemies!$A$1,0,0,COUNTA([3]enemies!$A:$A),MATCH(N$1,[3]enemies!$1:$1,0)-MATCH($L$1,[3]enemies!$1:$1,0)+1),MATCH(N$1,[3]enemies!$1:$1,0)-MATCH($L$1,[3]enemies!$1:$1,0)+1,FALSE)</f>
        <v>yellow</v>
      </c>
      <c r="O230" s="22" t="str">
        <f ca="1">VLOOKUP($L230,OFFSET([4]characters!$A$1,0,0,COUNTA([4]characters!$A:$A),MATCH(O$1,[4]characters!$1:$1,0)-MATCH($L$1,[4]characters!$1:$1,0)+1),MATCH(O$1,[4]characters!$1:$1,0)-MATCH($L$1,[4]characters!$1:$1,0)+1,FALSE)</f>
        <v>Material</v>
      </c>
      <c r="P230" s="20" t="str">
        <f ca="1">VLOOKUP($L230,OFFSET([3]enemies!$A$1,0,0,COUNTA([3]enemies!$A:$A),MATCH(P$1,[3]enemies!$1:$1,0)-MATCH($L$1,[3]enemies!$1:$1,0)+1),MATCH(P$1,[3]enemies!$1:$1,0)-MATCH($L$1,[3]enemies!$1:$1,0)+1,FALSE)</f>
        <v>unknown</v>
      </c>
      <c r="Q230" s="20">
        <f ca="1">VLOOKUP($L230,OFFSET([3]enemies!$A$1,0,0,COUNTA([3]enemies!$A:$A),MATCH(Q$1,[3]enemies!$1:$1,0)-MATCH($L$1,[3]enemies!$1:$1,0)+1),MATCH(Q$1,[3]enemies!$1:$1,0)-MATCH($L$1,[3]enemies!$1:$1,0)+1,FALSE)</f>
        <v>20</v>
      </c>
      <c r="R230" s="6">
        <v>40</v>
      </c>
      <c r="S230" s="40">
        <v>1.7</v>
      </c>
      <c r="T230" s="39">
        <v>1</v>
      </c>
      <c r="U230" s="6">
        <v>0</v>
      </c>
      <c r="V230" s="5" t="str">
        <f ca="1">VLOOKUP($W230,OFFSET([5]enemy_skill_sets!$B$1,0,0,COUNTA([5]enemy_skill_sets!$B:$B),MATCH(M$1,[5]enemy_skill_sets!$1:$1,0)-MATCH($W$1,[5]enemy_skill_sets!$1:$1,0)+2),MATCH(M$1,[5]enemy_skill_sets!$1:$1,0)-MATCH($W$1,[5]enemy_skill_sets!$1:$1,0)+2,FALSE)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0" s="5">
        <f ca="1">VLOOKUP($L230,OFFSET([3]enemies!$A$1,0,0,COUNTA([3]enemies!$A:$A),MATCH(W$1,[3]enemies!$1:$1,0)-MATCH($L$1,[3]enemies!$1:$1,0)+1),MATCH(W$1,[3]enemies!$1:$1,0)-MATCH($L$1,[3]enemies!$1:$1,0)+1,FALSE)</f>
        <v>0</v>
      </c>
      <c r="X230" s="7">
        <v>1</v>
      </c>
      <c r="Y230" s="7">
        <v>100</v>
      </c>
      <c r="Z230" s="7">
        <v>1</v>
      </c>
      <c r="AA230" s="20">
        <f ca="1">VLOOKUP($L230,OFFSET([3]enemies!$A$1,0,0,COUNTA([3]enemies!$A:$A),MATCH(AA$1,[3]enemies!$1:$1,0)-MATCH($L$1,[3]enemies!$1:$1,0)+1),MATCH(AA$1,[3]enemies!$1:$1,0)-MATCH($L$1,[3]enemies!$1:$1,0)+1,FALSE)</f>
        <v>2</v>
      </c>
      <c r="AB230" s="24">
        <v>116</v>
      </c>
      <c r="AC230" s="5" t="str">
        <f ca="1">IFERROR(VLOOKUP($AB230,OFFSET([4]characters!$A$1,0,0,COUNTA([4]characters!$A:$A),MATCH(AC$1,[4]characters!$1:$1,0)-MATCH("character_id",[4]characters!$1:$1,0)+1),MATCH(AC$1,[4]characters!$1:$1,0)-MATCH("character_id",[4]characters!$1:$1,0)+1,FALSE),"")</f>
        <v>雷のマッドハッター</v>
      </c>
      <c r="AD230" s="5">
        <f ca="1">IFERROR(VLOOKUP($AB230,OFFSET([4]characters!$A$1,0,0,COUNTA([4]characters!$A:$A),MATCH(AD$1,[4]characters!$1:$1,0)-MATCH("character_id",[4]characters!$1:$1,0)+1),MATCH(AD$1,[4]characters!$1:$1,0)-MATCH("character_id",[4]characters!$1:$1,0)+1,FALSE),"")</f>
        <v>5</v>
      </c>
      <c r="AE230" s="5" t="str">
        <f ca="1">IFERROR(VLOOKUP($AB230,OFFSET([4]characters!$A$1,0,0,COUNTA([4]characters!$A:$A),MATCH(AE$1,[4]characters!$1:$1,0)-MATCH("character_id",[4]characters!$1:$1,0)+1),MATCH(AE$1,[4]characters!$1:$1,0)-MATCH("character_id",[4]characters!$1:$1,0)+1,FALSE),"")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0" s="8">
        <v>1</v>
      </c>
      <c r="AG230" s="27">
        <f t="shared" ca="1" si="125"/>
        <v>5</v>
      </c>
      <c r="AH230" s="9">
        <v>100</v>
      </c>
      <c r="AI230" s="8">
        <v>0</v>
      </c>
      <c r="AJ230" s="8">
        <v>0</v>
      </c>
      <c r="AK230" s="8">
        <v>0</v>
      </c>
      <c r="AL230" s="8">
        <v>0</v>
      </c>
      <c r="AM230" s="8">
        <v>1</v>
      </c>
      <c r="AN230" s="8">
        <v>1</v>
      </c>
    </row>
    <row r="231" spans="1:40" ht="21" customHeight="1" x14ac:dyDescent="0.15">
      <c r="A231" s="17" t="str">
        <f t="shared" si="123"/>
        <v>11005_4-6/32&lt;lv45&gt;s2</v>
      </c>
      <c r="B231" s="8">
        <v>11005</v>
      </c>
      <c r="C231" s="25">
        <v>4</v>
      </c>
      <c r="D231" s="2" t="str">
        <f t="shared" si="124"/>
        <v>11005_4</v>
      </c>
      <c r="E231" s="5" t="str">
        <f ca="1">VLOOKUP($B231,OFFSET([2]quests!$A$1,0,0,COUNTA([2]quests!$A:$A),MATCH(E$1,[2]quests!$1:$1,0)-MATCH($B$1,[2]quests!$1:$1,0)+1),MATCH(E$1,[2]quests!$1:$1,0)-MATCH($B$1,[2]quests!$1:$1,0)+1,FALSE)</f>
        <v>【金曜限定】 帽子屋を追え！</v>
      </c>
      <c r="F231" s="5" t="str">
        <f ca="1">VLOOKUP($D231,OFFSET([2]stages!$A$1,0,0,COUNTA([2]stages!$A:$A),MATCH(F$1,[2]stages!$2:$2,0)-MATCH($D$1,[2]stages!$2:$2,0)+1),MATCH(F$1,[2]stages!$2:$2,0)-MATCH($D$1,[2]stages!$2:$2,0)+1,FALSE)</f>
        <v>【超級】雷の帽子屋</v>
      </c>
      <c r="G231" s="25">
        <v>6</v>
      </c>
      <c r="H231" s="16" t="str">
        <f t="shared" si="104"/>
        <v>11005_4-6</v>
      </c>
      <c r="I231" s="5">
        <f ca="1">VLOOKUP($H231,OFFSET(floors!$A$1,0,0,COUNTA(floors!$A:$A),MATCH(I$1,floors!$1:$1,0)-MATCH($H$1,floors!$1:$1,0)+1),MATCH(I$1,floors!$1:$1,0)-MATCH($H$1,floors!$1:$1,0)+1,FALSE)</f>
        <v>60</v>
      </c>
      <c r="J231" s="5">
        <f ca="1">VLOOKUP($H231,OFFSET(floors!$A$1,0,0,COUNTA(floors!$A:$A),MATCH(J$1,floors!$1:$1,0)-MATCH($H$1,floors!$1:$1,0)+1),MATCH(J$1,floors!$1:$1,0)-MATCH($H$1,floors!$1:$1,0)+1,FALSE)</f>
        <v>60</v>
      </c>
      <c r="K231" s="24" t="s">
        <v>197</v>
      </c>
      <c r="L231" s="24">
        <v>32</v>
      </c>
      <c r="M231" s="20" t="str">
        <f ca="1">VLOOKUP($L231,OFFSET([3]enemies!$A$1,0,0,COUNTA([3]enemies!$A:$A),MATCH(M$1,[3]enemies!$1:$1,0)-MATCH($L$1,[3]enemies!$1:$1,0)+1),MATCH(M$1,[3]enemies!$1:$1,0)-MATCH($L$1,[3]enemies!$1:$1,0)+1,FALSE)</f>
        <v>沈黙のジャミング マービー</v>
      </c>
      <c r="N231" s="20" t="str">
        <f ca="1">VLOOKUP($L231,OFFSET([3]enemies!$A$1,0,0,COUNTA([3]enemies!$A:$A),MATCH(N$1,[3]enemies!$1:$1,0)-MATCH($L$1,[3]enemies!$1:$1,0)+1),MATCH(N$1,[3]enemies!$1:$1,0)-MATCH($L$1,[3]enemies!$1:$1,0)+1,FALSE)</f>
        <v>yellow</v>
      </c>
      <c r="O231" s="22" t="str">
        <f ca="1">VLOOKUP($L231,OFFSET([4]characters!$A$1,0,0,COUNTA([4]characters!$A:$A),MATCH(O$1,[4]characters!$1:$1,0)-MATCH($L$1,[4]characters!$1:$1,0)+1),MATCH(O$1,[4]characters!$1:$1,0)-MATCH($L$1,[4]characters!$1:$1,0)+1,FALSE)</f>
        <v>Drop1N</v>
      </c>
      <c r="P231" s="20" t="str">
        <f ca="1">VLOOKUP($L231,OFFSET([3]enemies!$A$1,0,0,COUNTA([3]enemies!$A:$A),MATCH(P$1,[3]enemies!$1:$1,0)-MATCH($L$1,[3]enemies!$1:$1,0)+1),MATCH(P$1,[3]enemies!$1:$1,0)-MATCH($L$1,[3]enemies!$1:$1,0)+1,FALSE)</f>
        <v>machine</v>
      </c>
      <c r="Q231" s="20">
        <f ca="1">VLOOKUP($L231,OFFSET([3]enemies!$A$1,0,0,COUNTA([3]enemies!$A:$A),MATCH(Q$1,[3]enemies!$1:$1,0)-MATCH($L$1,[3]enemies!$1:$1,0)+1),MATCH(Q$1,[3]enemies!$1:$1,0)-MATCH($L$1,[3]enemies!$1:$1,0)+1,FALSE)</f>
        <v>15</v>
      </c>
      <c r="R231" s="6">
        <v>45</v>
      </c>
      <c r="S231" s="39">
        <v>1</v>
      </c>
      <c r="T231" s="39">
        <v>1</v>
      </c>
      <c r="U231" s="6">
        <v>0</v>
      </c>
      <c r="V231" s="5" t="str">
        <f ca="1">VLOOKUP($W231,OFFSET([5]enemy_skill_sets!$B$1,0,0,COUNTA([5]enemy_skill_sets!$B:$B),MATCH(M$1,[5]enemy_skill_sets!$1:$1,0)-MATCH($W$1,[5]enemy_skill_sets!$1:$1,0)+2),MATCH(M$1,[5]enemy_skill_sets!$1:$1,0)-MATCH($W$1,[5]enemy_skill_sets!$1:$1,0)+2,FALSE)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1" s="5">
        <f ca="1">VLOOKUP($L231,OFFSET([3]enemies!$A$1,0,0,COUNTA([3]enemies!$A:$A),MATCH(W$1,[3]enemies!$1:$1,0)-MATCH($L$1,[3]enemies!$1:$1,0)+1),MATCH(W$1,[3]enemies!$1:$1,0)-MATCH($L$1,[3]enemies!$1:$1,0)+1,FALSE)</f>
        <v>0</v>
      </c>
      <c r="X231" s="7">
        <v>2</v>
      </c>
      <c r="Y231" s="7">
        <v>100</v>
      </c>
      <c r="Z231" s="7">
        <v>0</v>
      </c>
      <c r="AA231" s="37">
        <v>2</v>
      </c>
      <c r="AB231" s="24">
        <v>31</v>
      </c>
      <c r="AC231" s="5" t="str">
        <f ca="1">IFERROR(VLOOKUP($AB231,OFFSET([4]characters!$A$1,0,0,COUNTA([4]characters!$A:$A),MATCH(AC$1,[4]characters!$1:$1,0)-MATCH("character_id",[4]characters!$1:$1,0)+1),MATCH(AC$1,[4]characters!$1:$1,0)-MATCH("character_id",[4]characters!$1:$1,0)+1,FALSE),"")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231" s="5">
        <f ca="1">IFERROR(VLOOKUP($AB231,OFFSET([4]characters!$A$1,0,0,COUNTA([4]characters!$A:$A),MATCH(AD$1,[4]characters!$1:$1,0)-MATCH("character_id",[4]characters!$1:$1,0)+1),MATCH(AD$1,[4]characters!$1:$1,0)-MATCH("character_id",[4]characters!$1:$1,0)+1,FALSE),"")</f>
        <v>1</v>
      </c>
      <c r="AE231" s="5" t="str">
        <f ca="1">IFERROR(VLOOKUP($AB231,OFFSET([4]characters!$A$1,0,0,COUNTA([4]characters!$A:$A),MATCH(AE$1,[4]characters!$1:$1,0)-MATCH("character_id",[4]characters!$1:$1,0)+1),MATCH(AE$1,[4]characters!$1:$1,0)-MATCH("character_id",[4]characters!$1:$1,0)+1,FALSE),"")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31" s="8">
        <v>1</v>
      </c>
      <c r="AG231" s="27">
        <f t="shared" ca="1" si="125"/>
        <v>1</v>
      </c>
      <c r="AH231" s="9">
        <v>0</v>
      </c>
      <c r="AI231" s="8">
        <v>0</v>
      </c>
      <c r="AJ231" s="8">
        <v>0</v>
      </c>
      <c r="AK231" s="8">
        <v>0</v>
      </c>
      <c r="AL231" s="8">
        <v>0</v>
      </c>
      <c r="AM231" s="8">
        <v>1</v>
      </c>
      <c r="AN231" s="8">
        <v>1</v>
      </c>
    </row>
    <row r="232" spans="1:40" ht="21" customHeight="1" x14ac:dyDescent="0.15">
      <c r="A232" s="17" t="str">
        <f t="shared" ca="1" si="123"/>
        <v>11006_1-1/117&lt;lv2&gt;s1</v>
      </c>
      <c r="B232" s="8">
        <v>11006</v>
      </c>
      <c r="C232" s="25">
        <v>1</v>
      </c>
      <c r="D232" s="2" t="str">
        <f t="shared" si="124"/>
        <v>11006_1</v>
      </c>
      <c r="E232" s="5" t="str">
        <f ca="1">VLOOKUP($B232,OFFSET([2]quests!$A$1,0,0,COUNTA([2]quests!$A:$A),MATCH(E$1,[2]quests!$1:$1,0)-MATCH($B$1,[2]quests!$1:$1,0)+1),MATCH(E$1,[2]quests!$1:$1,0)-MATCH($B$1,[2]quests!$1:$1,0)+1,FALSE)</f>
        <v>【土日限定】 ゴールドカジノ</v>
      </c>
      <c r="F232" s="5" t="str">
        <f ca="1">VLOOKUP($D232,OFFSET([2]stages!$A$1,0,0,COUNTA([2]stages!$A:$A),MATCH(F$1,[2]stages!$2:$2,0)-MATCH($D$1,[2]stages!$2:$2,0)+1),MATCH(F$1,[2]stages!$2:$2,0)-MATCH($D$1,[2]stages!$2:$2,0)+1,FALSE)</f>
        <v>【初級】ゴールドカジノ</v>
      </c>
      <c r="G232" s="25">
        <v>1</v>
      </c>
      <c r="H232" s="16" t="str">
        <f t="shared" si="104"/>
        <v>11006_1-1</v>
      </c>
      <c r="I232" s="5">
        <f ca="1">VLOOKUP($H232,OFFSET(floors!$A$1,0,0,COUNTA(floors!$A:$A),MATCH(I$1,floors!$1:$1,0)-MATCH($H$1,floors!$1:$1,0)+1),MATCH(I$1,floors!$1:$1,0)-MATCH($H$1,floors!$1:$1,0)+1,FALSE)</f>
        <v>30</v>
      </c>
      <c r="J232" s="5">
        <f ca="1">VLOOKUP($H232,OFFSET(floors!$A$1,0,0,COUNTA(floors!$A:$A),MATCH(J$1,floors!$1:$1,0)-MATCH($H$1,floors!$1:$1,0)+1),MATCH(J$1,floors!$1:$1,0)-MATCH($H$1,floors!$1:$1,0)+1,FALSE)</f>
        <v>45</v>
      </c>
      <c r="K232" s="24" t="s">
        <v>197</v>
      </c>
      <c r="L232" s="24">
        <v>117</v>
      </c>
      <c r="M232" s="20" t="str">
        <f ca="1">VLOOKUP($L232,OFFSET([3]enemies!$A$1,0,0,COUNTA([3]enemies!$A:$A),MATCH(M$1,[3]enemies!$1:$1,0)-MATCH($L$1,[3]enemies!$1:$1,0)+1),MATCH(M$1,[3]enemies!$1:$1,0)-MATCH($L$1,[3]enemies!$1:$1,0)+1,FALSE)</f>
        <v>ゴールドピヨピヨ</v>
      </c>
      <c r="N232" s="20" t="str">
        <f ca="1">VLOOKUP($L232,OFFSET([3]enemies!$A$1,0,0,COUNTA([3]enemies!$A:$A),MATCH(N$1,[3]enemies!$1:$1,0)-MATCH($L$1,[3]enemies!$1:$1,0)+1),MATCH(N$1,[3]enemies!$1:$1,0)-MATCH($L$1,[3]enemies!$1:$1,0)+1,FALSE)</f>
        <v>yellow</v>
      </c>
      <c r="O232" s="22" t="str">
        <f ca="1">VLOOKUP($L232,OFFSET([4]characters!$A$1,0,0,COUNTA([4]characters!$A:$A),MATCH(O$1,[4]characters!$1:$1,0)-MATCH($L$1,[4]characters!$1:$1,0)+1),MATCH(O$1,[4]characters!$1:$1,0)-MATCH($L$1,[4]characters!$1:$1,0)+1,FALSE)</f>
        <v>Material</v>
      </c>
      <c r="P232" s="20" t="str">
        <f ca="1">VLOOKUP($L232,OFFSET([3]enemies!$A$1,0,0,COUNTA([3]enemies!$A:$A),MATCH(P$1,[3]enemies!$1:$1,0)-MATCH($L$1,[3]enemies!$1:$1,0)+1),MATCH(P$1,[3]enemies!$1:$1,0)-MATCH($L$1,[3]enemies!$1:$1,0)+1,FALSE)</f>
        <v>unknown</v>
      </c>
      <c r="Q232" s="20">
        <f ca="1">VLOOKUP($L232,OFFSET([3]enemies!$A$1,0,0,COUNTA([3]enemies!$A:$A),MATCH(Q$1,[3]enemies!$1:$1,0)-MATCH($L$1,[3]enemies!$1:$1,0)+1),MATCH(Q$1,[3]enemies!$1:$1,0)-MATCH($L$1,[3]enemies!$1:$1,0)+1,FALSE)</f>
        <v>15</v>
      </c>
      <c r="R232" s="6">
        <v>2</v>
      </c>
      <c r="S232" s="40">
        <v>7.5</v>
      </c>
      <c r="T232" s="39">
        <v>11</v>
      </c>
      <c r="U232" s="6">
        <v>0</v>
      </c>
      <c r="V232" s="5" t="str">
        <f ca="1">VLOOKUP($W232,OFFSET([5]enemy_skill_sets!$B$1,0,0,COUNTA([5]enemy_skill_sets!$B:$B),MATCH(M$1,[5]enemy_skill_sets!$1:$1,0)-MATCH($W$1,[5]enemy_skill_sets!$1:$1,0)+2),MATCH(M$1,[5]enemy_skill_sets!$1:$1,0)-MATCH($W$1,[5]enemy_skill_sets!$1:$1,0)+2,FALSE)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2" s="5">
        <f ca="1">VLOOKUP($L232,OFFSET([3]enemies!$A$1,0,0,COUNTA([3]enemies!$A:$A),MATCH(W$1,[3]enemies!$1:$1,0)-MATCH($L$1,[3]enemies!$1:$1,0)+1),MATCH(W$1,[3]enemies!$1:$1,0)-MATCH($L$1,[3]enemies!$1:$1,0)+1,FALSE)</f>
        <v>0</v>
      </c>
      <c r="X232" s="7">
        <v>1</v>
      </c>
      <c r="Y232" s="7">
        <v>0</v>
      </c>
      <c r="Z232" s="7">
        <v>1</v>
      </c>
      <c r="AA232" s="20">
        <f ca="1">VLOOKUP($L232,OFFSET([3]enemies!$A$1,0,0,COUNTA([3]enemies!$A:$A),MATCH(AA$1,[3]enemies!$1:$1,0)-MATCH($L$1,[3]enemies!$1:$1,0)+1),MATCH(AA$1,[3]enemies!$1:$1,0)-MATCH($L$1,[3]enemies!$1:$1,0)+1,FALSE)</f>
        <v>1</v>
      </c>
      <c r="AB232" s="2">
        <f t="shared" ref="AB232:AB293" si="129">L232</f>
        <v>117</v>
      </c>
      <c r="AC232" s="5" t="str">
        <f ca="1">IFERROR(VLOOKUP($AB232,OFFSET([4]characters!$A$1,0,0,COUNTA([4]characters!$A:$A),MATCH(AC$1,[4]characters!$1:$1,0)-MATCH("character_id",[4]characters!$1:$1,0)+1),MATCH(AC$1,[4]characters!$1:$1,0)-MATCH("character_id",[4]characters!$1:$1,0)+1,FALSE),"")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32" s="5">
        <f ca="1">IFERROR(VLOOKUP($AB232,OFFSET([4]characters!$A$1,0,0,COUNTA([4]characters!$A:$A),MATCH(AD$1,[4]characters!$1:$1,0)-MATCH("character_id",[4]characters!$1:$1,0)+1),MATCH(AD$1,[4]characters!$1:$1,0)-MATCH("character_id",[4]characters!$1:$1,0)+1,FALSE),"")</f>
        <v>3</v>
      </c>
      <c r="AE232" s="5" t="str">
        <f ca="1">IFERROR(VLOOKUP($AB232,OFFSET([4]characters!$A$1,0,0,COUNTA([4]characters!$A:$A),MATCH(AE$1,[4]characters!$1:$1,0)-MATCH("character_id",[4]characters!$1:$1,0)+1),MATCH(AE$1,[4]characters!$1:$1,0)-MATCH("character_id",[4]characters!$1:$1,0)+1,FALSE),"")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2" s="8">
        <v>1</v>
      </c>
      <c r="AG232" s="27">
        <f t="shared" ca="1" si="125"/>
        <v>3</v>
      </c>
      <c r="AH232" s="9">
        <v>100</v>
      </c>
      <c r="AI232" s="8">
        <v>0</v>
      </c>
      <c r="AJ232" s="8">
        <v>0</v>
      </c>
      <c r="AK232" s="8">
        <v>0</v>
      </c>
      <c r="AL232" s="8">
        <v>0</v>
      </c>
      <c r="AM232" s="8">
        <v>1</v>
      </c>
      <c r="AN232" s="8">
        <v>1</v>
      </c>
    </row>
    <row r="233" spans="1:40" ht="21" customHeight="1" x14ac:dyDescent="0.15">
      <c r="A233" s="17" t="str">
        <f t="shared" ca="1" si="123"/>
        <v>11006_1-1/117&lt;lv1&gt;s1</v>
      </c>
      <c r="B233" s="8">
        <v>11006</v>
      </c>
      <c r="C233" s="25">
        <v>1</v>
      </c>
      <c r="D233" s="2" t="str">
        <f t="shared" si="124"/>
        <v>11006_1</v>
      </c>
      <c r="E233" s="5" t="str">
        <f ca="1">VLOOKUP($B233,OFFSET([2]quests!$A$1,0,0,COUNTA([2]quests!$A:$A),MATCH(E$1,[2]quests!$1:$1,0)-MATCH($B$1,[2]quests!$1:$1,0)+1),MATCH(E$1,[2]quests!$1:$1,0)-MATCH($B$1,[2]quests!$1:$1,0)+1,FALSE)</f>
        <v>【土日限定】 ゴールドカジノ</v>
      </c>
      <c r="F233" s="5" t="str">
        <f ca="1">VLOOKUP($D233,OFFSET([2]stages!$A$1,0,0,COUNTA([2]stages!$A:$A),MATCH(F$1,[2]stages!$2:$2,0)-MATCH($D$1,[2]stages!$2:$2,0)+1),MATCH(F$1,[2]stages!$2:$2,0)-MATCH($D$1,[2]stages!$2:$2,0)+1,FALSE)</f>
        <v>【初級】ゴールドカジノ</v>
      </c>
      <c r="G233" s="25">
        <v>1</v>
      </c>
      <c r="H233" s="16" t="str">
        <f t="shared" si="104"/>
        <v>11006_1-1</v>
      </c>
      <c r="I233" s="5">
        <f ca="1">VLOOKUP($H233,OFFSET(floors!$A$1,0,0,COUNTA(floors!$A:$A),MATCH(I$1,floors!$1:$1,0)-MATCH($H$1,floors!$1:$1,0)+1),MATCH(I$1,floors!$1:$1,0)-MATCH($H$1,floors!$1:$1,0)+1,FALSE)</f>
        <v>30</v>
      </c>
      <c r="J233" s="5">
        <f ca="1">VLOOKUP($H233,OFFSET(floors!$A$1,0,0,COUNTA(floors!$A:$A),MATCH(J$1,floors!$1:$1,0)-MATCH($H$1,floors!$1:$1,0)+1),MATCH(J$1,floors!$1:$1,0)-MATCH($H$1,floors!$1:$1,0)+1,FALSE)</f>
        <v>45</v>
      </c>
      <c r="K233" s="24" t="s">
        <v>197</v>
      </c>
      <c r="L233" s="24">
        <v>117</v>
      </c>
      <c r="M233" s="20" t="str">
        <f ca="1">VLOOKUP($L233,OFFSET([3]enemies!$A$1,0,0,COUNTA([3]enemies!$A:$A),MATCH(M$1,[3]enemies!$1:$1,0)-MATCH($L$1,[3]enemies!$1:$1,0)+1),MATCH(M$1,[3]enemies!$1:$1,0)-MATCH($L$1,[3]enemies!$1:$1,0)+1,FALSE)</f>
        <v>ゴールドピヨピヨ</v>
      </c>
      <c r="N233" s="20" t="str">
        <f ca="1">VLOOKUP($L233,OFFSET([3]enemies!$A$1,0,0,COUNTA([3]enemies!$A:$A),MATCH(N$1,[3]enemies!$1:$1,0)-MATCH($L$1,[3]enemies!$1:$1,0)+1),MATCH(N$1,[3]enemies!$1:$1,0)-MATCH($L$1,[3]enemies!$1:$1,0)+1,FALSE)</f>
        <v>yellow</v>
      </c>
      <c r="O233" s="22" t="str">
        <f ca="1">VLOOKUP($L233,OFFSET([4]characters!$A$1,0,0,COUNTA([4]characters!$A:$A),MATCH(O$1,[4]characters!$1:$1,0)-MATCH($L$1,[4]characters!$1:$1,0)+1),MATCH(O$1,[4]characters!$1:$1,0)-MATCH($L$1,[4]characters!$1:$1,0)+1,FALSE)</f>
        <v>Material</v>
      </c>
      <c r="P233" s="20" t="str">
        <f ca="1">VLOOKUP($L233,OFFSET([3]enemies!$A$1,0,0,COUNTA([3]enemies!$A:$A),MATCH(P$1,[3]enemies!$1:$1,0)-MATCH($L$1,[3]enemies!$1:$1,0)+1),MATCH(P$1,[3]enemies!$1:$1,0)-MATCH($L$1,[3]enemies!$1:$1,0)+1,FALSE)</f>
        <v>unknown</v>
      </c>
      <c r="Q233" s="20">
        <f ca="1">VLOOKUP($L233,OFFSET([3]enemies!$A$1,0,0,COUNTA([3]enemies!$A:$A),MATCH(Q$1,[3]enemies!$1:$1,0)-MATCH($L$1,[3]enemies!$1:$1,0)+1),MATCH(Q$1,[3]enemies!$1:$1,0)-MATCH($L$1,[3]enemies!$1:$1,0)+1,FALSE)</f>
        <v>15</v>
      </c>
      <c r="R233" s="6">
        <v>1</v>
      </c>
      <c r="S233" s="39">
        <v>10.5</v>
      </c>
      <c r="T233" s="39">
        <v>11</v>
      </c>
      <c r="U233" s="6">
        <v>0</v>
      </c>
      <c r="V233" s="5" t="str">
        <f ca="1">VLOOKUP($W233,OFFSET([5]enemy_skill_sets!$B$1,0,0,COUNTA([5]enemy_skill_sets!$B:$B),MATCH(M$1,[5]enemy_skill_sets!$1:$1,0)-MATCH($W$1,[5]enemy_skill_sets!$1:$1,0)+2),MATCH(M$1,[5]enemy_skill_sets!$1:$1,0)-MATCH($W$1,[5]enemy_skill_sets!$1:$1,0)+2,FALSE)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3" s="5">
        <f ca="1">VLOOKUP($L233,OFFSET([3]enemies!$A$1,0,0,COUNTA([3]enemies!$A:$A),MATCH(W$1,[3]enemies!$1:$1,0)-MATCH($L$1,[3]enemies!$1:$1,0)+1),MATCH(W$1,[3]enemies!$1:$1,0)-MATCH($L$1,[3]enemies!$1:$1,0)+1,FALSE)</f>
        <v>0</v>
      </c>
      <c r="X233" s="29">
        <v>0</v>
      </c>
      <c r="Y233" s="7">
        <v>100</v>
      </c>
      <c r="Z233" s="7">
        <v>0</v>
      </c>
      <c r="AA233" s="20">
        <f ca="1">VLOOKUP($L233,OFFSET([3]enemies!$A$1,0,0,COUNTA([3]enemies!$A:$A),MATCH(AA$1,[3]enemies!$1:$1,0)-MATCH($L$1,[3]enemies!$1:$1,0)+1),MATCH(AA$1,[3]enemies!$1:$1,0)-MATCH($L$1,[3]enemies!$1:$1,0)+1,FALSE)</f>
        <v>1</v>
      </c>
      <c r="AB233" s="2">
        <f t="shared" si="129"/>
        <v>117</v>
      </c>
      <c r="AC233" s="5" t="str">
        <f ca="1">IFERROR(VLOOKUP($AB233,OFFSET([4]characters!$A$1,0,0,COUNTA([4]characters!$A:$A),MATCH(AC$1,[4]characters!$1:$1,0)-MATCH("character_id",[4]characters!$1:$1,0)+1),MATCH(AC$1,[4]characters!$1:$1,0)-MATCH("character_id",[4]characters!$1:$1,0)+1,FALSE),"")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33" s="5">
        <f ca="1">IFERROR(VLOOKUP($AB233,OFFSET([4]characters!$A$1,0,0,COUNTA([4]characters!$A:$A),MATCH(AD$1,[4]characters!$1:$1,0)-MATCH("character_id",[4]characters!$1:$1,0)+1),MATCH(AD$1,[4]characters!$1:$1,0)-MATCH("character_id",[4]characters!$1:$1,0)+1,FALSE),"")</f>
        <v>3</v>
      </c>
      <c r="AE233" s="5" t="str">
        <f ca="1">IFERROR(VLOOKUP($AB233,OFFSET([4]characters!$A$1,0,0,COUNTA([4]characters!$A:$A),MATCH(AE$1,[4]characters!$1:$1,0)-MATCH("character_id",[4]characters!$1:$1,0)+1),MATCH(AE$1,[4]characters!$1:$1,0)-MATCH("character_id",[4]characters!$1:$1,0)+1,FALSE),"")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3" s="8">
        <v>1</v>
      </c>
      <c r="AG233" s="27">
        <f t="shared" ca="1" si="125"/>
        <v>3</v>
      </c>
      <c r="AH233" s="9">
        <v>100</v>
      </c>
      <c r="AI233" s="8">
        <v>0</v>
      </c>
      <c r="AJ233" s="8">
        <v>0</v>
      </c>
      <c r="AK233" s="8">
        <v>0</v>
      </c>
      <c r="AL233" s="8">
        <v>0</v>
      </c>
      <c r="AM233" s="8">
        <v>1</v>
      </c>
      <c r="AN233" s="8">
        <v>1</v>
      </c>
    </row>
    <row r="234" spans="1:40" ht="21" customHeight="1" x14ac:dyDescent="0.15">
      <c r="A234" s="17" t="str">
        <f t="shared" ref="A234" ca="1" si="130">B234&amp;"_"&amp;C234&amp;"-"&amp;G234&amp;"/"&amp;L234&amp;"&lt;lv"&amp;R234&amp;"&gt;s"&amp;AA234</f>
        <v>11006_1-1/1&lt;lv5&gt;s1</v>
      </c>
      <c r="B234" s="8">
        <v>11006</v>
      </c>
      <c r="C234" s="25">
        <v>1</v>
      </c>
      <c r="D234" s="2" t="str">
        <f t="shared" ref="D234" si="131">B234&amp;"_"&amp;C234</f>
        <v>11006_1</v>
      </c>
      <c r="E234" s="5" t="str">
        <f ca="1">VLOOKUP($B234,OFFSET([2]quests!$A$1,0,0,COUNTA([2]quests!$A:$A),MATCH(E$1,[2]quests!$1:$1,0)-MATCH($B$1,[2]quests!$1:$1,0)+1),MATCH(E$1,[2]quests!$1:$1,0)-MATCH($B$1,[2]quests!$1:$1,0)+1,FALSE)</f>
        <v>【土日限定】 ゴールドカジノ</v>
      </c>
      <c r="F234" s="5" t="str">
        <f ca="1">VLOOKUP($D234,OFFSET([2]stages!$A$1,0,0,COUNTA([2]stages!$A:$A),MATCH(F$1,[2]stages!$2:$2,0)-MATCH($D$1,[2]stages!$2:$2,0)+1),MATCH(F$1,[2]stages!$2:$2,0)-MATCH($D$1,[2]stages!$2:$2,0)+1,FALSE)</f>
        <v>【初級】ゴールドカジノ</v>
      </c>
      <c r="G234" s="25">
        <v>1</v>
      </c>
      <c r="H234" s="16" t="str">
        <f t="shared" si="104"/>
        <v>11006_1-1</v>
      </c>
      <c r="I234" s="5">
        <f ca="1">VLOOKUP($H234,OFFSET(floors!$A$1,0,0,COUNTA(floors!$A:$A),MATCH(I$1,floors!$1:$1,0)-MATCH($H$1,floors!$1:$1,0)+1),MATCH(I$1,floors!$1:$1,0)-MATCH($H$1,floors!$1:$1,0)+1,FALSE)</f>
        <v>30</v>
      </c>
      <c r="J234" s="5">
        <f ca="1">VLOOKUP($H234,OFFSET(floors!$A$1,0,0,COUNTA(floors!$A:$A),MATCH(J$1,floors!$1:$1,0)-MATCH($H$1,floors!$1:$1,0)+1),MATCH(J$1,floors!$1:$1,0)-MATCH($H$1,floors!$1:$1,0)+1,FALSE)</f>
        <v>45</v>
      </c>
      <c r="K234" s="24" t="s">
        <v>197</v>
      </c>
      <c r="L234" s="24">
        <v>1</v>
      </c>
      <c r="M234" s="20" t="str">
        <f ca="1">VLOOKUP($L234,OFFSET([3]enemies!$A$1,0,0,COUNTA([3]enemies!$A:$A),MATCH(M$1,[3]enemies!$1:$1,0)-MATCH($L$1,[3]enemies!$1:$1,0)+1),MATCH(M$1,[3]enemies!$1:$1,0)-MATCH($L$1,[3]enemies!$1:$1,0)+1,FALSE)</f>
        <v>ジェリー</v>
      </c>
      <c r="N234" s="20" t="str">
        <f ca="1">VLOOKUP($L234,OFFSET([3]enemies!$A$1,0,0,COUNTA([3]enemies!$A:$A),MATCH(N$1,[3]enemies!$1:$1,0)-MATCH($L$1,[3]enemies!$1:$1,0)+1),MATCH(N$1,[3]enemies!$1:$1,0)-MATCH($L$1,[3]enemies!$1:$1,0)+1,FALSE)</f>
        <v>red</v>
      </c>
      <c r="O234" s="22" t="str">
        <f ca="1">VLOOKUP($L234,OFFSET([4]characters!$A$1,0,0,COUNTA([4]characters!$A:$A),MATCH(O$1,[4]characters!$1:$1,0)-MATCH($L$1,[4]characters!$1:$1,0)+1),MATCH(O$1,[4]characters!$1:$1,0)-MATCH($L$1,[4]characters!$1:$1,0)+1,FALSE)</f>
        <v>Drop1T</v>
      </c>
      <c r="P234" s="20" t="str">
        <f ca="1">VLOOKUP($L234,OFFSET([3]enemies!$A$1,0,0,COUNTA([3]enemies!$A:$A),MATCH(P$1,[3]enemies!$1:$1,0)-MATCH($L$1,[3]enemies!$1:$1,0)+1),MATCH(P$1,[3]enemies!$1:$1,0)-MATCH($L$1,[3]enemies!$1:$1,0)+1,FALSE)</f>
        <v>unknown</v>
      </c>
      <c r="Q234" s="20">
        <f ca="1">VLOOKUP($L234,OFFSET([3]enemies!$A$1,0,0,COUNTA([3]enemies!$A:$A),MATCH(Q$1,[3]enemies!$1:$1,0)-MATCH($L$1,[3]enemies!$1:$1,0)+1),MATCH(Q$1,[3]enemies!$1:$1,0)-MATCH($L$1,[3]enemies!$1:$1,0)+1,FALSE)</f>
        <v>15</v>
      </c>
      <c r="R234" s="6">
        <v>5</v>
      </c>
      <c r="S234" s="39">
        <v>1</v>
      </c>
      <c r="T234" s="39">
        <v>1</v>
      </c>
      <c r="U234" s="6">
        <v>0</v>
      </c>
      <c r="V234" s="5" t="str">
        <f ca="1">VLOOKUP($W234,OFFSET([5]enemy_skill_sets!$B$1,0,0,COUNTA([5]enemy_skill_sets!$B:$B),MATCH(M$1,[5]enemy_skill_sets!$1:$1,0)-MATCH($W$1,[5]enemy_skill_sets!$1:$1,0)+2),MATCH(M$1,[5]enemy_skill_sets!$1:$1,0)-MATCH($W$1,[5]enemy_skill_sets!$1:$1,0)+2,FALSE)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4" s="5">
        <f ca="1">VLOOKUP($L234,OFFSET([3]enemies!$A$1,0,0,COUNTA([3]enemies!$A:$A),MATCH(W$1,[3]enemies!$1:$1,0)-MATCH($L$1,[3]enemies!$1:$1,0)+1),MATCH(W$1,[3]enemies!$1:$1,0)-MATCH($L$1,[3]enemies!$1:$1,0)+1,FALSE)</f>
        <v>0</v>
      </c>
      <c r="X234" s="7">
        <v>0</v>
      </c>
      <c r="Y234" s="7">
        <v>100</v>
      </c>
      <c r="Z234" s="7">
        <v>0</v>
      </c>
      <c r="AA234" s="20">
        <f ca="1">VLOOKUP($L234,OFFSET([3]enemies!$A$1,0,0,COUNTA([3]enemies!$A:$A),MATCH(AA$1,[3]enemies!$1:$1,0)-MATCH($L$1,[3]enemies!$1:$1,0)+1),MATCH(AA$1,[3]enemies!$1:$1,0)-MATCH($L$1,[3]enemies!$1:$1,0)+1,FALSE)</f>
        <v>1</v>
      </c>
      <c r="AB234" s="2">
        <f t="shared" si="129"/>
        <v>1</v>
      </c>
      <c r="AC234" s="5" t="str">
        <f ca="1">IFERROR(VLOOKUP($AB234,OFFSET([4]characters!$A$1,0,0,COUNTA([4]characters!$A:$A),MATCH(AC$1,[4]characters!$1:$1,0)-MATCH("character_id",[4]characters!$1:$1,0)+1),MATCH(AC$1,[4]characters!$1:$1,0)-MATCH("character_id",[4]characters!$1:$1,0)+1,FALSE),"")</f>
        <v>ジェリー</v>
      </c>
      <c r="AD234" s="5">
        <f ca="1">IFERROR(VLOOKUP($AB234,OFFSET([4]characters!$A$1,0,0,COUNTA([4]characters!$A:$A),MATCH(AD$1,[4]characters!$1:$1,0)-MATCH("character_id",[4]characters!$1:$1,0)+1),MATCH(AD$1,[4]characters!$1:$1,0)-MATCH("character_id",[4]characters!$1:$1,0)+1,FALSE),"")</f>
        <v>1</v>
      </c>
      <c r="AE234" s="5" t="str">
        <f ca="1">IFERROR(VLOOKUP($AB234,OFFSET([4]characters!$A$1,0,0,COUNTA([4]characters!$A:$A),MATCH(AE$1,[4]characters!$1:$1,0)-MATCH("character_id",[4]characters!$1:$1,0)+1),MATCH(AE$1,[4]characters!$1:$1,0)-MATCH("character_id",[4]characters!$1:$1,0)+1,FALSE),"")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34" s="8">
        <v>1</v>
      </c>
      <c r="AG234" s="27">
        <f t="shared" ref="AG234" ca="1" si="132">AD234</f>
        <v>1</v>
      </c>
      <c r="AH234" s="9">
        <v>0</v>
      </c>
      <c r="AI234" s="8">
        <v>0</v>
      </c>
      <c r="AJ234" s="8">
        <v>0</v>
      </c>
      <c r="AK234" s="8">
        <v>0</v>
      </c>
      <c r="AL234" s="8">
        <v>0</v>
      </c>
      <c r="AM234" s="8">
        <v>1</v>
      </c>
      <c r="AN234" s="8">
        <v>1</v>
      </c>
    </row>
    <row r="235" spans="1:40" ht="21" customHeight="1" x14ac:dyDescent="0.15">
      <c r="A235" s="17" t="str">
        <f t="shared" ref="A235:A304" ca="1" si="133">B235&amp;"_"&amp;C235&amp;"-"&amp;G235&amp;"/"&amp;L235&amp;"&lt;lv"&amp;R235&amp;"&gt;s"&amp;AA235</f>
        <v>11006_1-2/117&lt;lv2&gt;s1</v>
      </c>
      <c r="B235" s="8">
        <v>11006</v>
      </c>
      <c r="C235" s="25">
        <v>1</v>
      </c>
      <c r="D235" s="2" t="str">
        <f t="shared" ref="D235:D304" si="134">B235&amp;"_"&amp;C235</f>
        <v>11006_1</v>
      </c>
      <c r="E235" s="5" t="str">
        <f ca="1">VLOOKUP($B235,OFFSET([2]quests!$A$1,0,0,COUNTA([2]quests!$A:$A),MATCH(E$1,[2]quests!$1:$1,0)-MATCH($B$1,[2]quests!$1:$1,0)+1),MATCH(E$1,[2]quests!$1:$1,0)-MATCH($B$1,[2]quests!$1:$1,0)+1,FALSE)</f>
        <v>【土日限定】 ゴールドカジノ</v>
      </c>
      <c r="F235" s="5" t="str">
        <f ca="1">VLOOKUP($D235,OFFSET([2]stages!$A$1,0,0,COUNTA([2]stages!$A:$A),MATCH(F$1,[2]stages!$2:$2,0)-MATCH($D$1,[2]stages!$2:$2,0)+1),MATCH(F$1,[2]stages!$2:$2,0)-MATCH($D$1,[2]stages!$2:$2,0)+1,FALSE)</f>
        <v>【初級】ゴールドカジノ</v>
      </c>
      <c r="G235" s="25">
        <v>2</v>
      </c>
      <c r="H235" s="16" t="str">
        <f t="shared" si="104"/>
        <v>11006_1-2</v>
      </c>
      <c r="I235" s="5">
        <f ca="1">VLOOKUP($H235,OFFSET(floors!$A$1,0,0,COUNTA(floors!$A:$A),MATCH(I$1,floors!$1:$1,0)-MATCH($H$1,floors!$1:$1,0)+1),MATCH(I$1,floors!$1:$1,0)-MATCH($H$1,floors!$1:$1,0)+1,FALSE)</f>
        <v>30</v>
      </c>
      <c r="J235" s="5">
        <f ca="1">VLOOKUP($H235,OFFSET(floors!$A$1,0,0,COUNTA(floors!$A:$A),MATCH(J$1,floors!$1:$1,0)-MATCH($H$1,floors!$1:$1,0)+1),MATCH(J$1,floors!$1:$1,0)-MATCH($H$1,floors!$1:$1,0)+1,FALSE)</f>
        <v>45</v>
      </c>
      <c r="K235" s="24" t="s">
        <v>197</v>
      </c>
      <c r="L235" s="24">
        <v>117</v>
      </c>
      <c r="M235" s="20" t="str">
        <f ca="1">VLOOKUP($L235,OFFSET([3]enemies!$A$1,0,0,COUNTA([3]enemies!$A:$A),MATCH(M$1,[3]enemies!$1:$1,0)-MATCH($L$1,[3]enemies!$1:$1,0)+1),MATCH(M$1,[3]enemies!$1:$1,0)-MATCH($L$1,[3]enemies!$1:$1,0)+1,FALSE)</f>
        <v>ゴールドピヨピヨ</v>
      </c>
      <c r="N235" s="20" t="str">
        <f ca="1">VLOOKUP($L235,OFFSET([3]enemies!$A$1,0,0,COUNTA([3]enemies!$A:$A),MATCH(N$1,[3]enemies!$1:$1,0)-MATCH($L$1,[3]enemies!$1:$1,0)+1),MATCH(N$1,[3]enemies!$1:$1,0)-MATCH($L$1,[3]enemies!$1:$1,0)+1,FALSE)</f>
        <v>yellow</v>
      </c>
      <c r="O235" s="22" t="str">
        <f ca="1">VLOOKUP($L235,OFFSET([4]characters!$A$1,0,0,COUNTA([4]characters!$A:$A),MATCH(O$1,[4]characters!$1:$1,0)-MATCH($L$1,[4]characters!$1:$1,0)+1),MATCH(O$1,[4]characters!$1:$1,0)-MATCH($L$1,[4]characters!$1:$1,0)+1,FALSE)</f>
        <v>Material</v>
      </c>
      <c r="P235" s="20" t="str">
        <f ca="1">VLOOKUP($L235,OFFSET([3]enemies!$A$1,0,0,COUNTA([3]enemies!$A:$A),MATCH(P$1,[3]enemies!$1:$1,0)-MATCH($L$1,[3]enemies!$1:$1,0)+1),MATCH(P$1,[3]enemies!$1:$1,0)-MATCH($L$1,[3]enemies!$1:$1,0)+1,FALSE)</f>
        <v>unknown</v>
      </c>
      <c r="Q235" s="20">
        <f ca="1">VLOOKUP($L235,OFFSET([3]enemies!$A$1,0,0,COUNTA([3]enemies!$A:$A),MATCH(Q$1,[3]enemies!$1:$1,0)-MATCH($L$1,[3]enemies!$1:$1,0)+1),MATCH(Q$1,[3]enemies!$1:$1,0)-MATCH($L$1,[3]enemies!$1:$1,0)+1,FALSE)</f>
        <v>15</v>
      </c>
      <c r="R235" s="6">
        <v>2</v>
      </c>
      <c r="S235" s="40">
        <v>7.5</v>
      </c>
      <c r="T235" s="39">
        <v>11</v>
      </c>
      <c r="U235" s="6">
        <v>0</v>
      </c>
      <c r="V235" s="5" t="str">
        <f ca="1">VLOOKUP($W235,OFFSET([5]enemy_skill_sets!$B$1,0,0,COUNTA([5]enemy_skill_sets!$B:$B),MATCH(M$1,[5]enemy_skill_sets!$1:$1,0)-MATCH($W$1,[5]enemy_skill_sets!$1:$1,0)+2),MATCH(M$1,[5]enemy_skill_sets!$1:$1,0)-MATCH($W$1,[5]enemy_skill_sets!$1:$1,0)+2,FALSE)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5" s="5">
        <f ca="1">VLOOKUP($L235,OFFSET([3]enemies!$A$1,0,0,COUNTA([3]enemies!$A:$A),MATCH(W$1,[3]enemies!$1:$1,0)-MATCH($L$1,[3]enemies!$1:$1,0)+1),MATCH(W$1,[3]enemies!$1:$1,0)-MATCH($L$1,[3]enemies!$1:$1,0)+1,FALSE)</f>
        <v>0</v>
      </c>
      <c r="X235" s="7">
        <v>1</v>
      </c>
      <c r="Y235" s="7">
        <v>100</v>
      </c>
      <c r="Z235" s="7">
        <v>0</v>
      </c>
      <c r="AA235" s="20">
        <f ca="1">VLOOKUP($L235,OFFSET([3]enemies!$A$1,0,0,COUNTA([3]enemies!$A:$A),MATCH(AA$1,[3]enemies!$1:$1,0)-MATCH($L$1,[3]enemies!$1:$1,0)+1),MATCH(AA$1,[3]enemies!$1:$1,0)-MATCH($L$1,[3]enemies!$1:$1,0)+1,FALSE)</f>
        <v>1</v>
      </c>
      <c r="AB235" s="2">
        <f t="shared" si="129"/>
        <v>117</v>
      </c>
      <c r="AC235" s="5" t="str">
        <f ca="1">IFERROR(VLOOKUP($AB235,OFFSET([4]characters!$A$1,0,0,COUNTA([4]characters!$A:$A),MATCH(AC$1,[4]characters!$1:$1,0)-MATCH("character_id",[4]characters!$1:$1,0)+1),MATCH(AC$1,[4]characters!$1:$1,0)-MATCH("character_id",[4]characters!$1:$1,0)+1,FALSE),"")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35" s="5">
        <f ca="1">IFERROR(VLOOKUP($AB235,OFFSET([4]characters!$A$1,0,0,COUNTA([4]characters!$A:$A),MATCH(AD$1,[4]characters!$1:$1,0)-MATCH("character_id",[4]characters!$1:$1,0)+1),MATCH(AD$1,[4]characters!$1:$1,0)-MATCH("character_id",[4]characters!$1:$1,0)+1,FALSE),"")</f>
        <v>3</v>
      </c>
      <c r="AE235" s="5" t="str">
        <f ca="1">IFERROR(VLOOKUP($AB235,OFFSET([4]characters!$A$1,0,0,COUNTA([4]characters!$A:$A),MATCH(AE$1,[4]characters!$1:$1,0)-MATCH("character_id",[4]characters!$1:$1,0)+1),MATCH(AE$1,[4]characters!$1:$1,0)-MATCH("character_id",[4]characters!$1:$1,0)+1,FALSE),"")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5" s="8">
        <v>1</v>
      </c>
      <c r="AG235" s="27">
        <f t="shared" ref="AG235:AG292" ca="1" si="135">AD235</f>
        <v>3</v>
      </c>
      <c r="AH235" s="9">
        <v>100</v>
      </c>
      <c r="AI235" s="8">
        <v>0</v>
      </c>
      <c r="AJ235" s="8">
        <v>0</v>
      </c>
      <c r="AK235" s="8">
        <v>0</v>
      </c>
      <c r="AL235" s="8">
        <v>0</v>
      </c>
      <c r="AM235" s="8">
        <v>1</v>
      </c>
      <c r="AN235" s="8">
        <v>1</v>
      </c>
    </row>
    <row r="236" spans="1:40" ht="21" customHeight="1" x14ac:dyDescent="0.15">
      <c r="A236" s="17" t="str">
        <f t="shared" ref="A236:A239" ca="1" si="136">B236&amp;"_"&amp;C236&amp;"-"&amp;G236&amp;"/"&amp;L236&amp;"&lt;lv"&amp;R236&amp;"&gt;s"&amp;AA236</f>
        <v>11006_1-2/117&lt;lv1&gt;s1</v>
      </c>
      <c r="B236" s="8">
        <v>11006</v>
      </c>
      <c r="C236" s="25">
        <v>1</v>
      </c>
      <c r="D236" s="2" t="str">
        <f t="shared" ref="D236:D239" si="137">B236&amp;"_"&amp;C236</f>
        <v>11006_1</v>
      </c>
      <c r="E236" s="5" t="str">
        <f ca="1">VLOOKUP($B236,OFFSET([2]quests!$A$1,0,0,COUNTA([2]quests!$A:$A),MATCH(E$1,[2]quests!$1:$1,0)-MATCH($B$1,[2]quests!$1:$1,0)+1),MATCH(E$1,[2]quests!$1:$1,0)-MATCH($B$1,[2]quests!$1:$1,0)+1,FALSE)</f>
        <v>【土日限定】 ゴールドカジノ</v>
      </c>
      <c r="F236" s="5" t="str">
        <f ca="1">VLOOKUP($D236,OFFSET([2]stages!$A$1,0,0,COUNTA([2]stages!$A:$A),MATCH(F$1,[2]stages!$2:$2,0)-MATCH($D$1,[2]stages!$2:$2,0)+1),MATCH(F$1,[2]stages!$2:$2,0)-MATCH($D$1,[2]stages!$2:$2,0)+1,FALSE)</f>
        <v>【初級】ゴールドカジノ</v>
      </c>
      <c r="G236" s="25">
        <v>2</v>
      </c>
      <c r="H236" s="16" t="str">
        <f t="shared" si="104"/>
        <v>11006_1-2</v>
      </c>
      <c r="I236" s="5">
        <f ca="1">VLOOKUP($H236,OFFSET(floors!$A$1,0,0,COUNTA(floors!$A:$A),MATCH(I$1,floors!$1:$1,0)-MATCH($H$1,floors!$1:$1,0)+1),MATCH(I$1,floors!$1:$1,0)-MATCH($H$1,floors!$1:$1,0)+1,FALSE)</f>
        <v>30</v>
      </c>
      <c r="J236" s="5">
        <f ca="1">VLOOKUP($H236,OFFSET(floors!$A$1,0,0,COUNTA(floors!$A:$A),MATCH(J$1,floors!$1:$1,0)-MATCH($H$1,floors!$1:$1,0)+1),MATCH(J$1,floors!$1:$1,0)-MATCH($H$1,floors!$1:$1,0)+1,FALSE)</f>
        <v>45</v>
      </c>
      <c r="K236" s="24" t="s">
        <v>197</v>
      </c>
      <c r="L236" s="24">
        <v>117</v>
      </c>
      <c r="M236" s="20" t="str">
        <f ca="1">VLOOKUP($L236,OFFSET([3]enemies!$A$1,0,0,COUNTA([3]enemies!$A:$A),MATCH(M$1,[3]enemies!$1:$1,0)-MATCH($L$1,[3]enemies!$1:$1,0)+1),MATCH(M$1,[3]enemies!$1:$1,0)-MATCH($L$1,[3]enemies!$1:$1,0)+1,FALSE)</f>
        <v>ゴールドピヨピヨ</v>
      </c>
      <c r="N236" s="20" t="str">
        <f ca="1">VLOOKUP($L236,OFFSET([3]enemies!$A$1,0,0,COUNTA([3]enemies!$A:$A),MATCH(N$1,[3]enemies!$1:$1,0)-MATCH($L$1,[3]enemies!$1:$1,0)+1),MATCH(N$1,[3]enemies!$1:$1,0)-MATCH($L$1,[3]enemies!$1:$1,0)+1,FALSE)</f>
        <v>yellow</v>
      </c>
      <c r="O236" s="22" t="str">
        <f ca="1">VLOOKUP($L236,OFFSET([4]characters!$A$1,0,0,COUNTA([4]characters!$A:$A),MATCH(O$1,[4]characters!$1:$1,0)-MATCH($L$1,[4]characters!$1:$1,0)+1),MATCH(O$1,[4]characters!$1:$1,0)-MATCH($L$1,[4]characters!$1:$1,0)+1,FALSE)</f>
        <v>Material</v>
      </c>
      <c r="P236" s="20" t="str">
        <f ca="1">VLOOKUP($L236,OFFSET([3]enemies!$A$1,0,0,COUNTA([3]enemies!$A:$A),MATCH(P$1,[3]enemies!$1:$1,0)-MATCH($L$1,[3]enemies!$1:$1,0)+1),MATCH(P$1,[3]enemies!$1:$1,0)-MATCH($L$1,[3]enemies!$1:$1,0)+1,FALSE)</f>
        <v>unknown</v>
      </c>
      <c r="Q236" s="20">
        <f ca="1">VLOOKUP($L236,OFFSET([3]enemies!$A$1,0,0,COUNTA([3]enemies!$A:$A),MATCH(Q$1,[3]enemies!$1:$1,0)-MATCH($L$1,[3]enemies!$1:$1,0)+1),MATCH(Q$1,[3]enemies!$1:$1,0)-MATCH($L$1,[3]enemies!$1:$1,0)+1,FALSE)</f>
        <v>15</v>
      </c>
      <c r="R236" s="6">
        <v>1</v>
      </c>
      <c r="S236" s="40">
        <v>10.5</v>
      </c>
      <c r="T236" s="39">
        <v>11</v>
      </c>
      <c r="U236" s="6">
        <v>0</v>
      </c>
      <c r="V236" s="5" t="str">
        <f ca="1">VLOOKUP($W236,OFFSET([5]enemy_skill_sets!$B$1,0,0,COUNTA([5]enemy_skill_sets!$B:$B),MATCH(M$1,[5]enemy_skill_sets!$1:$1,0)-MATCH($W$1,[5]enemy_skill_sets!$1:$1,0)+2),MATCH(M$1,[5]enemy_skill_sets!$1:$1,0)-MATCH($W$1,[5]enemy_skill_sets!$1:$1,0)+2,FALSE)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6" s="5">
        <f ca="1">VLOOKUP($L236,OFFSET([3]enemies!$A$1,0,0,COUNTA([3]enemies!$A:$A),MATCH(W$1,[3]enemies!$1:$1,0)-MATCH($L$1,[3]enemies!$1:$1,0)+1),MATCH(W$1,[3]enemies!$1:$1,0)-MATCH($L$1,[3]enemies!$1:$1,0)+1,FALSE)</f>
        <v>0</v>
      </c>
      <c r="X236" s="7">
        <v>0</v>
      </c>
      <c r="Y236" s="7">
        <v>100</v>
      </c>
      <c r="Z236" s="7">
        <v>0</v>
      </c>
      <c r="AA236" s="20">
        <f ca="1">VLOOKUP($L236,OFFSET([3]enemies!$A$1,0,0,COUNTA([3]enemies!$A:$A),MATCH(AA$1,[3]enemies!$1:$1,0)-MATCH($L$1,[3]enemies!$1:$1,0)+1),MATCH(AA$1,[3]enemies!$1:$1,0)-MATCH($L$1,[3]enemies!$1:$1,0)+1,FALSE)</f>
        <v>1</v>
      </c>
      <c r="AB236" s="2">
        <f t="shared" si="129"/>
        <v>117</v>
      </c>
      <c r="AC236" s="5" t="str">
        <f ca="1">IFERROR(VLOOKUP($AB236,OFFSET([4]characters!$A$1,0,0,COUNTA([4]characters!$A:$A),MATCH(AC$1,[4]characters!$1:$1,0)-MATCH("character_id",[4]characters!$1:$1,0)+1),MATCH(AC$1,[4]characters!$1:$1,0)-MATCH("character_id",[4]characters!$1:$1,0)+1,FALSE),"")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36" s="5">
        <f ca="1">IFERROR(VLOOKUP($AB236,OFFSET([4]characters!$A$1,0,0,COUNTA([4]characters!$A:$A),MATCH(AD$1,[4]characters!$1:$1,0)-MATCH("character_id",[4]characters!$1:$1,0)+1),MATCH(AD$1,[4]characters!$1:$1,0)-MATCH("character_id",[4]characters!$1:$1,0)+1,FALSE),"")</f>
        <v>3</v>
      </c>
      <c r="AE236" s="5" t="str">
        <f ca="1">IFERROR(VLOOKUP($AB236,OFFSET([4]characters!$A$1,0,0,COUNTA([4]characters!$A:$A),MATCH(AE$1,[4]characters!$1:$1,0)-MATCH("character_id",[4]characters!$1:$1,0)+1),MATCH(AE$1,[4]characters!$1:$1,0)-MATCH("character_id",[4]characters!$1:$1,0)+1,FALSE),"")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6" s="8">
        <v>1</v>
      </c>
      <c r="AG236" s="27">
        <f t="shared" ref="AG236:AG239" ca="1" si="138">AD236</f>
        <v>3</v>
      </c>
      <c r="AH236" s="9">
        <v>100</v>
      </c>
      <c r="AI236" s="8">
        <v>0</v>
      </c>
      <c r="AJ236" s="8">
        <v>0</v>
      </c>
      <c r="AK236" s="8">
        <v>0</v>
      </c>
      <c r="AL236" s="8">
        <v>0</v>
      </c>
      <c r="AM236" s="8">
        <v>1</v>
      </c>
      <c r="AN236" s="8">
        <v>1</v>
      </c>
    </row>
    <row r="237" spans="1:40" ht="21" customHeight="1" x14ac:dyDescent="0.15">
      <c r="A237" s="17" t="str">
        <f t="shared" ca="1" si="136"/>
        <v>11006_1-2/1&lt;lv5&gt;s1</v>
      </c>
      <c r="B237" s="8">
        <v>11006</v>
      </c>
      <c r="C237" s="25">
        <v>1</v>
      </c>
      <c r="D237" s="2" t="str">
        <f t="shared" si="137"/>
        <v>11006_1</v>
      </c>
      <c r="E237" s="5" t="str">
        <f ca="1">VLOOKUP($B237,OFFSET([2]quests!$A$1,0,0,COUNTA([2]quests!$A:$A),MATCH(E$1,[2]quests!$1:$1,0)-MATCH($B$1,[2]quests!$1:$1,0)+1),MATCH(E$1,[2]quests!$1:$1,0)-MATCH($B$1,[2]quests!$1:$1,0)+1,FALSE)</f>
        <v>【土日限定】 ゴールドカジノ</v>
      </c>
      <c r="F237" s="5" t="str">
        <f ca="1">VLOOKUP($D237,OFFSET([2]stages!$A$1,0,0,COUNTA([2]stages!$A:$A),MATCH(F$1,[2]stages!$2:$2,0)-MATCH($D$1,[2]stages!$2:$2,0)+1),MATCH(F$1,[2]stages!$2:$2,0)-MATCH($D$1,[2]stages!$2:$2,0)+1,FALSE)</f>
        <v>【初級】ゴールドカジノ</v>
      </c>
      <c r="G237" s="25">
        <v>2</v>
      </c>
      <c r="H237" s="16" t="str">
        <f t="shared" si="104"/>
        <v>11006_1-2</v>
      </c>
      <c r="I237" s="5">
        <f ca="1">VLOOKUP($H237,OFFSET(floors!$A$1,0,0,COUNTA(floors!$A:$A),MATCH(I$1,floors!$1:$1,0)-MATCH($H$1,floors!$1:$1,0)+1),MATCH(I$1,floors!$1:$1,0)-MATCH($H$1,floors!$1:$1,0)+1,FALSE)</f>
        <v>30</v>
      </c>
      <c r="J237" s="5">
        <f ca="1">VLOOKUP($H237,OFFSET(floors!$A$1,0,0,COUNTA(floors!$A:$A),MATCH(J$1,floors!$1:$1,0)-MATCH($H$1,floors!$1:$1,0)+1),MATCH(J$1,floors!$1:$1,0)-MATCH($H$1,floors!$1:$1,0)+1,FALSE)</f>
        <v>45</v>
      </c>
      <c r="K237" s="24" t="s">
        <v>197</v>
      </c>
      <c r="L237" s="24">
        <v>1</v>
      </c>
      <c r="M237" s="20" t="str">
        <f ca="1">VLOOKUP($L237,OFFSET([3]enemies!$A$1,0,0,COUNTA([3]enemies!$A:$A),MATCH(M$1,[3]enemies!$1:$1,0)-MATCH($L$1,[3]enemies!$1:$1,0)+1),MATCH(M$1,[3]enemies!$1:$1,0)-MATCH($L$1,[3]enemies!$1:$1,0)+1,FALSE)</f>
        <v>ジェリー</v>
      </c>
      <c r="N237" s="20" t="str">
        <f ca="1">VLOOKUP($L237,OFFSET([3]enemies!$A$1,0,0,COUNTA([3]enemies!$A:$A),MATCH(N$1,[3]enemies!$1:$1,0)-MATCH($L$1,[3]enemies!$1:$1,0)+1),MATCH(N$1,[3]enemies!$1:$1,0)-MATCH($L$1,[3]enemies!$1:$1,0)+1,FALSE)</f>
        <v>red</v>
      </c>
      <c r="O237" s="22" t="str">
        <f ca="1">VLOOKUP($L237,OFFSET([4]characters!$A$1,0,0,COUNTA([4]characters!$A:$A),MATCH(O$1,[4]characters!$1:$1,0)-MATCH($L$1,[4]characters!$1:$1,0)+1),MATCH(O$1,[4]characters!$1:$1,0)-MATCH($L$1,[4]characters!$1:$1,0)+1,FALSE)</f>
        <v>Drop1T</v>
      </c>
      <c r="P237" s="20" t="str">
        <f ca="1">VLOOKUP($L237,OFFSET([3]enemies!$A$1,0,0,COUNTA([3]enemies!$A:$A),MATCH(P$1,[3]enemies!$1:$1,0)-MATCH($L$1,[3]enemies!$1:$1,0)+1),MATCH(P$1,[3]enemies!$1:$1,0)-MATCH($L$1,[3]enemies!$1:$1,0)+1,FALSE)</f>
        <v>unknown</v>
      </c>
      <c r="Q237" s="20">
        <f ca="1">VLOOKUP($L237,OFFSET([3]enemies!$A$1,0,0,COUNTA([3]enemies!$A:$A),MATCH(Q$1,[3]enemies!$1:$1,0)-MATCH($L$1,[3]enemies!$1:$1,0)+1),MATCH(Q$1,[3]enemies!$1:$1,0)-MATCH($L$1,[3]enemies!$1:$1,0)+1,FALSE)</f>
        <v>15</v>
      </c>
      <c r="R237" s="6">
        <v>5</v>
      </c>
      <c r="S237" s="39">
        <v>1</v>
      </c>
      <c r="T237" s="39">
        <v>1</v>
      </c>
      <c r="U237" s="6">
        <v>0</v>
      </c>
      <c r="V237" s="5" t="str">
        <f ca="1">VLOOKUP($W237,OFFSET([5]enemy_skill_sets!$B$1,0,0,COUNTA([5]enemy_skill_sets!$B:$B),MATCH(M$1,[5]enemy_skill_sets!$1:$1,0)-MATCH($W$1,[5]enemy_skill_sets!$1:$1,0)+2),MATCH(M$1,[5]enemy_skill_sets!$1:$1,0)-MATCH($W$1,[5]enemy_skill_sets!$1:$1,0)+2,FALSE)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7" s="5">
        <f ca="1">VLOOKUP($L237,OFFSET([3]enemies!$A$1,0,0,COUNTA([3]enemies!$A:$A),MATCH(W$1,[3]enemies!$1:$1,0)-MATCH($L$1,[3]enemies!$1:$1,0)+1),MATCH(W$1,[3]enemies!$1:$1,0)-MATCH($L$1,[3]enemies!$1:$1,0)+1,FALSE)</f>
        <v>0</v>
      </c>
      <c r="X237" s="7">
        <v>0</v>
      </c>
      <c r="Y237" s="7">
        <v>100</v>
      </c>
      <c r="Z237" s="7">
        <v>0</v>
      </c>
      <c r="AA237" s="20">
        <f ca="1">VLOOKUP($L237,OFFSET([3]enemies!$A$1,0,0,COUNTA([3]enemies!$A:$A),MATCH(AA$1,[3]enemies!$1:$1,0)-MATCH($L$1,[3]enemies!$1:$1,0)+1),MATCH(AA$1,[3]enemies!$1:$1,0)-MATCH($L$1,[3]enemies!$1:$1,0)+1,FALSE)</f>
        <v>1</v>
      </c>
      <c r="AB237" s="2">
        <f t="shared" si="129"/>
        <v>1</v>
      </c>
      <c r="AC237" s="5" t="str">
        <f ca="1">IFERROR(VLOOKUP($AB237,OFFSET([4]characters!$A$1,0,0,COUNTA([4]characters!$A:$A),MATCH(AC$1,[4]characters!$1:$1,0)-MATCH("character_id",[4]characters!$1:$1,0)+1),MATCH(AC$1,[4]characters!$1:$1,0)-MATCH("character_id",[4]characters!$1:$1,0)+1,FALSE),"")</f>
        <v>ジェリー</v>
      </c>
      <c r="AD237" s="5">
        <f ca="1">IFERROR(VLOOKUP($AB237,OFFSET([4]characters!$A$1,0,0,COUNTA([4]characters!$A:$A),MATCH(AD$1,[4]characters!$1:$1,0)-MATCH("character_id",[4]characters!$1:$1,0)+1),MATCH(AD$1,[4]characters!$1:$1,0)-MATCH("character_id",[4]characters!$1:$1,0)+1,FALSE),"")</f>
        <v>1</v>
      </c>
      <c r="AE237" s="5" t="str">
        <f ca="1">IFERROR(VLOOKUP($AB237,OFFSET([4]characters!$A$1,0,0,COUNTA([4]characters!$A:$A),MATCH(AE$1,[4]characters!$1:$1,0)-MATCH("character_id",[4]characters!$1:$1,0)+1),MATCH(AE$1,[4]characters!$1:$1,0)-MATCH("character_id",[4]characters!$1:$1,0)+1,FALSE),"")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37" s="8">
        <v>1</v>
      </c>
      <c r="AG237" s="27">
        <f t="shared" ca="1" si="138"/>
        <v>1</v>
      </c>
      <c r="AH237" s="9">
        <v>0</v>
      </c>
      <c r="AI237" s="8">
        <v>0</v>
      </c>
      <c r="AJ237" s="8">
        <v>0</v>
      </c>
      <c r="AK237" s="8">
        <v>0</v>
      </c>
      <c r="AL237" s="8">
        <v>0</v>
      </c>
      <c r="AM237" s="8">
        <v>1</v>
      </c>
      <c r="AN237" s="8">
        <v>1</v>
      </c>
    </row>
    <row r="238" spans="1:40" ht="21" customHeight="1" x14ac:dyDescent="0.15">
      <c r="A238" s="17" t="str">
        <f t="shared" ref="A238" ca="1" si="139">B238&amp;"_"&amp;C238&amp;"-"&amp;G238&amp;"/"&amp;L238&amp;"&lt;lv"&amp;R238&amp;"&gt;s"&amp;AA238</f>
        <v>11006_1-2/3&lt;lv5&gt;s2</v>
      </c>
      <c r="B238" s="8">
        <v>11006</v>
      </c>
      <c r="C238" s="25">
        <v>1</v>
      </c>
      <c r="D238" s="2" t="str">
        <f t="shared" ref="D238" si="140">B238&amp;"_"&amp;C238</f>
        <v>11006_1</v>
      </c>
      <c r="E238" s="5" t="str">
        <f ca="1">VLOOKUP($B238,OFFSET([2]quests!$A$1,0,0,COUNTA([2]quests!$A:$A),MATCH(E$1,[2]quests!$1:$1,0)-MATCH($B$1,[2]quests!$1:$1,0)+1),MATCH(E$1,[2]quests!$1:$1,0)-MATCH($B$1,[2]quests!$1:$1,0)+1,FALSE)</f>
        <v>【土日限定】 ゴールドカジノ</v>
      </c>
      <c r="F238" s="5" t="str">
        <f ca="1">VLOOKUP($D238,OFFSET([2]stages!$A$1,0,0,COUNTA([2]stages!$A:$A),MATCH(F$1,[2]stages!$2:$2,0)-MATCH($D$1,[2]stages!$2:$2,0)+1),MATCH(F$1,[2]stages!$2:$2,0)-MATCH($D$1,[2]stages!$2:$2,0)+1,FALSE)</f>
        <v>【初級】ゴールドカジノ</v>
      </c>
      <c r="G238" s="25">
        <v>2</v>
      </c>
      <c r="H238" s="16" t="str">
        <f t="shared" si="104"/>
        <v>11006_1-2</v>
      </c>
      <c r="I238" s="5">
        <f ca="1">VLOOKUP($H238,OFFSET(floors!$A$1,0,0,COUNTA(floors!$A:$A),MATCH(I$1,floors!$1:$1,0)-MATCH($H$1,floors!$1:$1,0)+1),MATCH(I$1,floors!$1:$1,0)-MATCH($H$1,floors!$1:$1,0)+1,FALSE)</f>
        <v>30</v>
      </c>
      <c r="J238" s="5">
        <f ca="1">VLOOKUP($H238,OFFSET(floors!$A$1,0,0,COUNTA(floors!$A:$A),MATCH(J$1,floors!$1:$1,0)-MATCH($H$1,floors!$1:$1,0)+1),MATCH(J$1,floors!$1:$1,0)-MATCH($H$1,floors!$1:$1,0)+1,FALSE)</f>
        <v>45</v>
      </c>
      <c r="K238" s="24" t="s">
        <v>197</v>
      </c>
      <c r="L238" s="24">
        <v>3</v>
      </c>
      <c r="M238" s="20" t="str">
        <f ca="1">VLOOKUP($L238,OFFSET([3]enemies!$A$1,0,0,COUNTA([3]enemies!$A:$A),MATCH(M$1,[3]enemies!$1:$1,0)-MATCH($L$1,[3]enemies!$1:$1,0)+1),MATCH(M$1,[3]enemies!$1:$1,0)-MATCH($L$1,[3]enemies!$1:$1,0)+1,FALSE)</f>
        <v>エージェント ジョー</v>
      </c>
      <c r="N238" s="20" t="str">
        <f ca="1">VLOOKUP($L238,OFFSET([3]enemies!$A$1,0,0,COUNTA([3]enemies!$A:$A),MATCH(N$1,[3]enemies!$1:$1,0)-MATCH($L$1,[3]enemies!$1:$1,0)+1),MATCH(N$1,[3]enemies!$1:$1,0)-MATCH($L$1,[3]enemies!$1:$1,0)+1,FALSE)</f>
        <v>green</v>
      </c>
      <c r="O238" s="22" t="str">
        <f ca="1">VLOOKUP($L238,OFFSET([4]characters!$A$1,0,0,COUNTA([4]characters!$A:$A),MATCH(O$1,[4]characters!$1:$1,0)-MATCH($L$1,[4]characters!$1:$1,0)+1),MATCH(O$1,[4]characters!$1:$1,0)-MATCH($L$1,[4]characters!$1:$1,0)+1,FALSE)</f>
        <v>Drop1T</v>
      </c>
      <c r="P238" s="20" t="str">
        <f ca="1">VLOOKUP($L238,OFFSET([3]enemies!$A$1,0,0,COUNTA([3]enemies!$A:$A),MATCH(P$1,[3]enemies!$1:$1,0)-MATCH($L$1,[3]enemies!$1:$1,0)+1),MATCH(P$1,[3]enemies!$1:$1,0)-MATCH($L$1,[3]enemies!$1:$1,0)+1,FALSE)</f>
        <v>unknown</v>
      </c>
      <c r="Q238" s="20">
        <f ca="1">VLOOKUP($L238,OFFSET([3]enemies!$A$1,0,0,COUNTA([3]enemies!$A:$A),MATCH(Q$1,[3]enemies!$1:$1,0)-MATCH($L$1,[3]enemies!$1:$1,0)+1),MATCH(Q$1,[3]enemies!$1:$1,0)-MATCH($L$1,[3]enemies!$1:$1,0)+1,FALSE)</f>
        <v>15</v>
      </c>
      <c r="R238" s="6">
        <v>5</v>
      </c>
      <c r="S238" s="39">
        <v>1</v>
      </c>
      <c r="T238" s="39">
        <v>1</v>
      </c>
      <c r="U238" s="6">
        <v>0</v>
      </c>
      <c r="V238" s="5" t="str">
        <f ca="1">VLOOKUP($W238,OFFSET([5]enemy_skill_sets!$B$1,0,0,COUNTA([5]enemy_skill_sets!$B:$B),MATCH(M$1,[5]enemy_skill_sets!$1:$1,0)-MATCH($W$1,[5]enemy_skill_sets!$1:$1,0)+2),MATCH(M$1,[5]enemy_skill_sets!$1:$1,0)-MATCH($W$1,[5]enemy_skill_sets!$1:$1,0)+2,FALSE)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8" s="5">
        <f ca="1">VLOOKUP($L238,OFFSET([3]enemies!$A$1,0,0,COUNTA([3]enemies!$A:$A),MATCH(W$1,[3]enemies!$1:$1,0)-MATCH($L$1,[3]enemies!$1:$1,0)+1),MATCH(W$1,[3]enemies!$1:$1,0)-MATCH($L$1,[3]enemies!$1:$1,0)+1,FALSE)</f>
        <v>0</v>
      </c>
      <c r="X238" s="7">
        <v>0</v>
      </c>
      <c r="Y238" s="7">
        <v>100</v>
      </c>
      <c r="Z238" s="7">
        <v>0</v>
      </c>
      <c r="AA238" s="20">
        <f ca="1">VLOOKUP($L238,OFFSET([3]enemies!$A$1,0,0,COUNTA([3]enemies!$A:$A),MATCH(AA$1,[3]enemies!$1:$1,0)-MATCH($L$1,[3]enemies!$1:$1,0)+1),MATCH(AA$1,[3]enemies!$1:$1,0)-MATCH($L$1,[3]enemies!$1:$1,0)+1,FALSE)</f>
        <v>2</v>
      </c>
      <c r="AB238" s="2">
        <f t="shared" si="129"/>
        <v>3</v>
      </c>
      <c r="AC238" s="5" t="str">
        <f ca="1">IFERROR(VLOOKUP($AB238,OFFSET([4]characters!$A$1,0,0,COUNTA([4]characters!$A:$A),MATCH(AC$1,[4]characters!$1:$1,0)-MATCH("character_id",[4]characters!$1:$1,0)+1),MATCH(AC$1,[4]characters!$1:$1,0)-MATCH("character_id",[4]characters!$1:$1,0)+1,FALSE),"")</f>
        <v>エージェント ジョー</v>
      </c>
      <c r="AD238" s="5">
        <f ca="1">IFERROR(VLOOKUP($AB238,OFFSET([4]characters!$A$1,0,0,COUNTA([4]characters!$A:$A),MATCH(AD$1,[4]characters!$1:$1,0)-MATCH("character_id",[4]characters!$1:$1,0)+1),MATCH(AD$1,[4]characters!$1:$1,0)-MATCH("character_id",[4]characters!$1:$1,0)+1,FALSE),"")</f>
        <v>1</v>
      </c>
      <c r="AE238" s="5" t="str">
        <f ca="1">IFERROR(VLOOKUP($AB238,OFFSET([4]characters!$A$1,0,0,COUNTA([4]characters!$A:$A),MATCH(AE$1,[4]characters!$1:$1,0)-MATCH("character_id",[4]characters!$1:$1,0)+1),MATCH(AE$1,[4]characters!$1:$1,0)-MATCH("character_id",[4]characters!$1:$1,0)+1,FALSE),"")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38" s="8">
        <v>1</v>
      </c>
      <c r="AG238" s="27">
        <f t="shared" ref="AG238" ca="1" si="141">AD238</f>
        <v>1</v>
      </c>
      <c r="AH238" s="9">
        <v>0</v>
      </c>
      <c r="AI238" s="8">
        <v>0</v>
      </c>
      <c r="AJ238" s="8">
        <v>0</v>
      </c>
      <c r="AK238" s="8">
        <v>0</v>
      </c>
      <c r="AL238" s="8">
        <v>0</v>
      </c>
      <c r="AM238" s="8">
        <v>1</v>
      </c>
      <c r="AN238" s="8">
        <v>1</v>
      </c>
    </row>
    <row r="239" spans="1:40" ht="21" customHeight="1" x14ac:dyDescent="0.15">
      <c r="A239" s="17" t="str">
        <f t="shared" ca="1" si="136"/>
        <v>11006_1-2/5&lt;lv5&gt;s3</v>
      </c>
      <c r="B239" s="8">
        <v>11006</v>
      </c>
      <c r="C239" s="25">
        <v>1</v>
      </c>
      <c r="D239" s="2" t="str">
        <f t="shared" si="137"/>
        <v>11006_1</v>
      </c>
      <c r="E239" s="5" t="str">
        <f ca="1">VLOOKUP($B239,OFFSET([2]quests!$A$1,0,0,COUNTA([2]quests!$A:$A),MATCH(E$1,[2]quests!$1:$1,0)-MATCH($B$1,[2]quests!$1:$1,0)+1),MATCH(E$1,[2]quests!$1:$1,0)-MATCH($B$1,[2]quests!$1:$1,0)+1,FALSE)</f>
        <v>【土日限定】 ゴールドカジノ</v>
      </c>
      <c r="F239" s="5" t="str">
        <f ca="1">VLOOKUP($D239,OFFSET([2]stages!$A$1,0,0,COUNTA([2]stages!$A:$A),MATCH(F$1,[2]stages!$2:$2,0)-MATCH($D$1,[2]stages!$2:$2,0)+1),MATCH(F$1,[2]stages!$2:$2,0)-MATCH($D$1,[2]stages!$2:$2,0)+1,FALSE)</f>
        <v>【初級】ゴールドカジノ</v>
      </c>
      <c r="G239" s="25">
        <v>2</v>
      </c>
      <c r="H239" s="16" t="str">
        <f t="shared" si="104"/>
        <v>11006_1-2</v>
      </c>
      <c r="I239" s="5">
        <f ca="1">VLOOKUP($H239,OFFSET(floors!$A$1,0,0,COUNTA(floors!$A:$A),MATCH(I$1,floors!$1:$1,0)-MATCH($H$1,floors!$1:$1,0)+1),MATCH(I$1,floors!$1:$1,0)-MATCH($H$1,floors!$1:$1,0)+1,FALSE)</f>
        <v>30</v>
      </c>
      <c r="J239" s="5">
        <f ca="1">VLOOKUP($H239,OFFSET(floors!$A$1,0,0,COUNTA(floors!$A:$A),MATCH(J$1,floors!$1:$1,0)-MATCH($H$1,floors!$1:$1,0)+1),MATCH(J$1,floors!$1:$1,0)-MATCH($H$1,floors!$1:$1,0)+1,FALSE)</f>
        <v>45</v>
      </c>
      <c r="K239" s="24" t="s">
        <v>197</v>
      </c>
      <c r="L239" s="24">
        <v>5</v>
      </c>
      <c r="M239" s="20" t="str">
        <f ca="1">VLOOKUP($L239,OFFSET([3]enemies!$A$1,0,0,COUNTA([3]enemies!$A:$A),MATCH(M$1,[3]enemies!$1:$1,0)-MATCH($L$1,[3]enemies!$1:$1,0)+1),MATCH(M$1,[3]enemies!$1:$1,0)-MATCH($L$1,[3]enemies!$1:$1,0)+1,FALSE)</f>
        <v>パトドッグ ポチ</v>
      </c>
      <c r="N239" s="20" t="str">
        <f ca="1">VLOOKUP($L239,OFFSET([3]enemies!$A$1,0,0,COUNTA([3]enemies!$A:$A),MATCH(N$1,[3]enemies!$1:$1,0)-MATCH($L$1,[3]enemies!$1:$1,0)+1),MATCH(N$1,[3]enemies!$1:$1,0)-MATCH($L$1,[3]enemies!$1:$1,0)+1,FALSE)</f>
        <v>blue</v>
      </c>
      <c r="O239" s="22" t="str">
        <f ca="1">VLOOKUP($L239,OFFSET([4]characters!$A$1,0,0,COUNTA([4]characters!$A:$A),MATCH(O$1,[4]characters!$1:$1,0)-MATCH($L$1,[4]characters!$1:$1,0)+1),MATCH(O$1,[4]characters!$1:$1,0)-MATCH($L$1,[4]characters!$1:$1,0)+1,FALSE)</f>
        <v>Drop1T</v>
      </c>
      <c r="P239" s="20" t="str">
        <f ca="1">VLOOKUP($L239,OFFSET([3]enemies!$A$1,0,0,COUNTA([3]enemies!$A:$A),MATCH(P$1,[3]enemies!$1:$1,0)-MATCH($L$1,[3]enemies!$1:$1,0)+1),MATCH(P$1,[3]enemies!$1:$1,0)-MATCH($L$1,[3]enemies!$1:$1,0)+1,FALSE)</f>
        <v>unknown</v>
      </c>
      <c r="Q239" s="20">
        <f ca="1">VLOOKUP($L239,OFFSET([3]enemies!$A$1,0,0,COUNTA([3]enemies!$A:$A),MATCH(Q$1,[3]enemies!$1:$1,0)-MATCH($L$1,[3]enemies!$1:$1,0)+1),MATCH(Q$1,[3]enemies!$1:$1,0)-MATCH($L$1,[3]enemies!$1:$1,0)+1,FALSE)</f>
        <v>15</v>
      </c>
      <c r="R239" s="6">
        <v>5</v>
      </c>
      <c r="S239" s="39">
        <v>1</v>
      </c>
      <c r="T239" s="39">
        <v>1</v>
      </c>
      <c r="U239" s="6">
        <v>0</v>
      </c>
      <c r="V239" s="5" t="str">
        <f ca="1">VLOOKUP($W239,OFFSET([5]enemy_skill_sets!$B$1,0,0,COUNTA([5]enemy_skill_sets!$B:$B),MATCH(M$1,[5]enemy_skill_sets!$1:$1,0)-MATCH($W$1,[5]enemy_skill_sets!$1:$1,0)+2),MATCH(M$1,[5]enemy_skill_sets!$1:$1,0)-MATCH($W$1,[5]enemy_skill_sets!$1:$1,0)+2,FALSE)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9" s="5">
        <f ca="1">VLOOKUP($L239,OFFSET([3]enemies!$A$1,0,0,COUNTA([3]enemies!$A:$A),MATCH(W$1,[3]enemies!$1:$1,0)-MATCH($L$1,[3]enemies!$1:$1,0)+1),MATCH(W$1,[3]enemies!$1:$1,0)-MATCH($L$1,[3]enemies!$1:$1,0)+1,FALSE)</f>
        <v>0</v>
      </c>
      <c r="X239" s="7">
        <v>0</v>
      </c>
      <c r="Y239" s="7">
        <v>100</v>
      </c>
      <c r="Z239" s="7">
        <v>0</v>
      </c>
      <c r="AA239" s="20">
        <f ca="1">VLOOKUP($L239,OFFSET([3]enemies!$A$1,0,0,COUNTA([3]enemies!$A:$A),MATCH(AA$1,[3]enemies!$1:$1,0)-MATCH($L$1,[3]enemies!$1:$1,0)+1),MATCH(AA$1,[3]enemies!$1:$1,0)-MATCH($L$1,[3]enemies!$1:$1,0)+1,FALSE)</f>
        <v>3</v>
      </c>
      <c r="AB239" s="2">
        <f t="shared" si="129"/>
        <v>5</v>
      </c>
      <c r="AC239" s="5" t="str">
        <f ca="1">IFERROR(VLOOKUP($AB239,OFFSET([4]characters!$A$1,0,0,COUNTA([4]characters!$A:$A),MATCH(AC$1,[4]characters!$1:$1,0)-MATCH("character_id",[4]characters!$1:$1,0)+1),MATCH(AC$1,[4]characters!$1:$1,0)-MATCH("character_id",[4]characters!$1:$1,0)+1,FALSE),"")</f>
        <v>パトドッグ ポチ</v>
      </c>
      <c r="AD239" s="5">
        <f ca="1">IFERROR(VLOOKUP($AB239,OFFSET([4]characters!$A$1,0,0,COUNTA([4]characters!$A:$A),MATCH(AD$1,[4]characters!$1:$1,0)-MATCH("character_id",[4]characters!$1:$1,0)+1),MATCH(AD$1,[4]characters!$1:$1,0)-MATCH("character_id",[4]characters!$1:$1,0)+1,FALSE),"")</f>
        <v>1</v>
      </c>
      <c r="AE239" s="5" t="str">
        <f ca="1">IFERROR(VLOOKUP($AB239,OFFSET([4]characters!$A$1,0,0,COUNTA([4]characters!$A:$A),MATCH(AE$1,[4]characters!$1:$1,0)-MATCH("character_id",[4]characters!$1:$1,0)+1),MATCH(AE$1,[4]characters!$1:$1,0)-MATCH("character_id",[4]characters!$1:$1,0)+1,FALSE),"")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39" s="8">
        <v>1</v>
      </c>
      <c r="AG239" s="27">
        <f t="shared" ca="1" si="138"/>
        <v>1</v>
      </c>
      <c r="AH239" s="9">
        <v>0</v>
      </c>
      <c r="AI239" s="8">
        <v>0</v>
      </c>
      <c r="AJ239" s="8">
        <v>0</v>
      </c>
      <c r="AK239" s="8">
        <v>0</v>
      </c>
      <c r="AL239" s="8">
        <v>0</v>
      </c>
      <c r="AM239" s="8">
        <v>1</v>
      </c>
      <c r="AN239" s="8">
        <v>1</v>
      </c>
    </row>
    <row r="240" spans="1:40" ht="21" customHeight="1" x14ac:dyDescent="0.15">
      <c r="A240" s="17" t="str">
        <f t="shared" ref="A240" ca="1" si="142">B240&amp;"_"&amp;C240&amp;"-"&amp;G240&amp;"/"&amp;L240&amp;"&lt;lv"&amp;R240&amp;"&gt;s"&amp;AA240</f>
        <v>11006_1-2/7&lt;lv5&gt;s2</v>
      </c>
      <c r="B240" s="8">
        <v>11006</v>
      </c>
      <c r="C240" s="25">
        <v>1</v>
      </c>
      <c r="D240" s="2" t="str">
        <f t="shared" ref="D240" si="143">B240&amp;"_"&amp;C240</f>
        <v>11006_1</v>
      </c>
      <c r="E240" s="5" t="str">
        <f ca="1">VLOOKUP($B240,OFFSET([2]quests!$A$1,0,0,COUNTA([2]quests!$A:$A),MATCH(E$1,[2]quests!$1:$1,0)-MATCH($B$1,[2]quests!$1:$1,0)+1),MATCH(E$1,[2]quests!$1:$1,0)-MATCH($B$1,[2]quests!$1:$1,0)+1,FALSE)</f>
        <v>【土日限定】 ゴールドカジノ</v>
      </c>
      <c r="F240" s="5" t="str">
        <f ca="1">VLOOKUP($D240,OFFSET([2]stages!$A$1,0,0,COUNTA([2]stages!$A:$A),MATCH(F$1,[2]stages!$2:$2,0)-MATCH($D$1,[2]stages!$2:$2,0)+1),MATCH(F$1,[2]stages!$2:$2,0)-MATCH($D$1,[2]stages!$2:$2,0)+1,FALSE)</f>
        <v>【初級】ゴールドカジノ</v>
      </c>
      <c r="G240" s="25">
        <v>2</v>
      </c>
      <c r="H240" s="16" t="str">
        <f t="shared" si="104"/>
        <v>11006_1-2</v>
      </c>
      <c r="I240" s="5">
        <f ca="1">VLOOKUP($H240,OFFSET(floors!$A$1,0,0,COUNTA(floors!$A:$A),MATCH(I$1,floors!$1:$1,0)-MATCH($H$1,floors!$1:$1,0)+1),MATCH(I$1,floors!$1:$1,0)-MATCH($H$1,floors!$1:$1,0)+1,FALSE)</f>
        <v>30</v>
      </c>
      <c r="J240" s="5">
        <f ca="1">VLOOKUP($H240,OFFSET(floors!$A$1,0,0,COUNTA(floors!$A:$A),MATCH(J$1,floors!$1:$1,0)-MATCH($H$1,floors!$1:$1,0)+1),MATCH(J$1,floors!$1:$1,0)-MATCH($H$1,floors!$1:$1,0)+1,FALSE)</f>
        <v>45</v>
      </c>
      <c r="K240" s="24" t="s">
        <v>197</v>
      </c>
      <c r="L240" s="24">
        <v>7</v>
      </c>
      <c r="M240" s="20" t="str">
        <f ca="1">VLOOKUP($L240,OFFSET([3]enemies!$A$1,0,0,COUNTA([3]enemies!$A:$A),MATCH(M$1,[3]enemies!$1:$1,0)-MATCH($L$1,[3]enemies!$1:$1,0)+1),MATCH(M$1,[3]enemies!$1:$1,0)-MATCH($L$1,[3]enemies!$1:$1,0)+1,FALSE)</f>
        <v>エレキポット</v>
      </c>
      <c r="N240" s="20" t="str">
        <f ca="1">VLOOKUP($L240,OFFSET([3]enemies!$A$1,0,0,COUNTA([3]enemies!$A:$A),MATCH(N$1,[3]enemies!$1:$1,0)-MATCH($L$1,[3]enemies!$1:$1,0)+1),MATCH(N$1,[3]enemies!$1:$1,0)-MATCH($L$1,[3]enemies!$1:$1,0)+1,FALSE)</f>
        <v>yellow</v>
      </c>
      <c r="O240" s="22" t="str">
        <f ca="1">VLOOKUP($L240,OFFSET([4]characters!$A$1,0,0,COUNTA([4]characters!$A:$A),MATCH(O$1,[4]characters!$1:$1,0)-MATCH($L$1,[4]characters!$1:$1,0)+1),MATCH(O$1,[4]characters!$1:$1,0)-MATCH($L$1,[4]characters!$1:$1,0)+1,FALSE)</f>
        <v>Drop1T</v>
      </c>
      <c r="P240" s="20" t="str">
        <f ca="1">VLOOKUP($L240,OFFSET([3]enemies!$A$1,0,0,COUNTA([3]enemies!$A:$A),MATCH(P$1,[3]enemies!$1:$1,0)-MATCH($L$1,[3]enemies!$1:$1,0)+1),MATCH(P$1,[3]enemies!$1:$1,0)-MATCH($L$1,[3]enemies!$1:$1,0)+1,FALSE)</f>
        <v>unknown</v>
      </c>
      <c r="Q240" s="20">
        <f ca="1">VLOOKUP($L240,OFFSET([3]enemies!$A$1,0,0,COUNTA([3]enemies!$A:$A),MATCH(Q$1,[3]enemies!$1:$1,0)-MATCH($L$1,[3]enemies!$1:$1,0)+1),MATCH(Q$1,[3]enemies!$1:$1,0)-MATCH($L$1,[3]enemies!$1:$1,0)+1,FALSE)</f>
        <v>15</v>
      </c>
      <c r="R240" s="6">
        <v>5</v>
      </c>
      <c r="S240" s="39">
        <v>1</v>
      </c>
      <c r="T240" s="39">
        <v>1</v>
      </c>
      <c r="U240" s="6">
        <v>0</v>
      </c>
      <c r="V240" s="5" t="str">
        <f ca="1">VLOOKUP($W240,OFFSET([5]enemy_skill_sets!$B$1,0,0,COUNTA([5]enemy_skill_sets!$B:$B),MATCH(M$1,[5]enemy_skill_sets!$1:$1,0)-MATCH($W$1,[5]enemy_skill_sets!$1:$1,0)+2),MATCH(M$1,[5]enemy_skill_sets!$1:$1,0)-MATCH($W$1,[5]enemy_skill_sets!$1:$1,0)+2,FALSE)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0" s="5">
        <f ca="1">VLOOKUP($L240,OFFSET([3]enemies!$A$1,0,0,COUNTA([3]enemies!$A:$A),MATCH(W$1,[3]enemies!$1:$1,0)-MATCH($L$1,[3]enemies!$1:$1,0)+1),MATCH(W$1,[3]enemies!$1:$1,0)-MATCH($L$1,[3]enemies!$1:$1,0)+1,FALSE)</f>
        <v>0</v>
      </c>
      <c r="X240" s="7">
        <v>0</v>
      </c>
      <c r="Y240" s="7">
        <v>100</v>
      </c>
      <c r="Z240" s="7">
        <v>0</v>
      </c>
      <c r="AA240" s="20">
        <f ca="1">VLOOKUP($L240,OFFSET([3]enemies!$A$1,0,0,COUNTA([3]enemies!$A:$A),MATCH(AA$1,[3]enemies!$1:$1,0)-MATCH($L$1,[3]enemies!$1:$1,0)+1),MATCH(AA$1,[3]enemies!$1:$1,0)-MATCH($L$1,[3]enemies!$1:$1,0)+1,FALSE)</f>
        <v>2</v>
      </c>
      <c r="AB240" s="2">
        <f t="shared" si="129"/>
        <v>7</v>
      </c>
      <c r="AC240" s="5" t="str">
        <f ca="1">IFERROR(VLOOKUP($AB240,OFFSET([4]characters!$A$1,0,0,COUNTA([4]characters!$A:$A),MATCH(AC$1,[4]characters!$1:$1,0)-MATCH("character_id",[4]characters!$1:$1,0)+1),MATCH(AC$1,[4]characters!$1:$1,0)-MATCH("character_id",[4]characters!$1:$1,0)+1,FALSE),"")</f>
        <v>エレキポット</v>
      </c>
      <c r="AD240" s="5">
        <f ca="1">IFERROR(VLOOKUP($AB240,OFFSET([4]characters!$A$1,0,0,COUNTA([4]characters!$A:$A),MATCH(AD$1,[4]characters!$1:$1,0)-MATCH("character_id",[4]characters!$1:$1,0)+1),MATCH(AD$1,[4]characters!$1:$1,0)-MATCH("character_id",[4]characters!$1:$1,0)+1,FALSE),"")</f>
        <v>1</v>
      </c>
      <c r="AE240" s="5" t="str">
        <f ca="1">IFERROR(VLOOKUP($AB240,OFFSET([4]characters!$A$1,0,0,COUNTA([4]characters!$A:$A),MATCH(AE$1,[4]characters!$1:$1,0)-MATCH("character_id",[4]characters!$1:$1,0)+1),MATCH(AE$1,[4]characters!$1:$1,0)-MATCH("character_id",[4]characters!$1:$1,0)+1,FALSE),"")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40" s="8">
        <v>1</v>
      </c>
      <c r="AG240" s="27">
        <f t="shared" ref="AG240" ca="1" si="144">AD240</f>
        <v>1</v>
      </c>
      <c r="AH240" s="9">
        <v>0</v>
      </c>
      <c r="AI240" s="8">
        <v>0</v>
      </c>
      <c r="AJ240" s="8">
        <v>0</v>
      </c>
      <c r="AK240" s="8">
        <v>0</v>
      </c>
      <c r="AL240" s="8">
        <v>0</v>
      </c>
      <c r="AM240" s="8">
        <v>1</v>
      </c>
      <c r="AN240" s="8">
        <v>1</v>
      </c>
    </row>
    <row r="241" spans="1:40" ht="21" customHeight="1" x14ac:dyDescent="0.15">
      <c r="A241" s="17" t="str">
        <f ca="1">B241&amp;"_"&amp;C241&amp;"-"&amp;G241&amp;"/"&amp;L241&amp;"&lt;lv"&amp;R241&amp;"&gt;s"&amp;AA241</f>
        <v>11006_1-3/118&lt;lv2&gt;s2</v>
      </c>
      <c r="B241" s="8">
        <v>11006</v>
      </c>
      <c r="C241" s="25">
        <v>1</v>
      </c>
      <c r="D241" s="2" t="str">
        <f>B241&amp;"_"&amp;C241</f>
        <v>11006_1</v>
      </c>
      <c r="E241" s="5" t="str">
        <f ca="1">VLOOKUP($B241,OFFSET([2]quests!$A$1,0,0,COUNTA([2]quests!$A:$A),MATCH(E$1,[2]quests!$1:$1,0)-MATCH($B$1,[2]quests!$1:$1,0)+1),MATCH(E$1,[2]quests!$1:$1,0)-MATCH($B$1,[2]quests!$1:$1,0)+1,FALSE)</f>
        <v>【土日限定】 ゴールドカジノ</v>
      </c>
      <c r="F241" s="5" t="str">
        <f ca="1">VLOOKUP($D241,OFFSET([2]stages!$A$1,0,0,COUNTA([2]stages!$A:$A),MATCH(F$1,[2]stages!$2:$2,0)-MATCH($D$1,[2]stages!$2:$2,0)+1),MATCH(F$1,[2]stages!$2:$2,0)-MATCH($D$1,[2]stages!$2:$2,0)+1,FALSE)</f>
        <v>【初級】ゴールドカジノ</v>
      </c>
      <c r="G241" s="25">
        <v>3</v>
      </c>
      <c r="H241" s="16" t="str">
        <f>B241&amp;"_"&amp;C241&amp;"-"&amp;G241</f>
        <v>11006_1-3</v>
      </c>
      <c r="I241" s="5">
        <f ca="1">VLOOKUP($H241,OFFSET(floors!$A$1,0,0,COUNTA(floors!$A:$A),MATCH(I$1,floors!$1:$1,0)-MATCH($H$1,floors!$1:$1,0)+1),MATCH(I$1,floors!$1:$1,0)-MATCH($H$1,floors!$1:$1,0)+1,FALSE)</f>
        <v>30</v>
      </c>
      <c r="J241" s="5">
        <f ca="1">VLOOKUP($H241,OFFSET(floors!$A$1,0,0,COUNTA(floors!$A:$A),MATCH(J$1,floors!$1:$1,0)-MATCH($H$1,floors!$1:$1,0)+1),MATCH(J$1,floors!$1:$1,0)-MATCH($H$1,floors!$1:$1,0)+1,FALSE)</f>
        <v>55</v>
      </c>
      <c r="K241" s="24" t="s">
        <v>197</v>
      </c>
      <c r="L241" s="24">
        <v>118</v>
      </c>
      <c r="M241" s="20" t="str">
        <f ca="1">VLOOKUP($L241,OFFSET([3]enemies!$A$1,0,0,COUNTA([3]enemies!$A:$A),MATCH(M$1,[3]enemies!$1:$1,0)-MATCH($L$1,[3]enemies!$1:$1,0)+1),MATCH(M$1,[3]enemies!$1:$1,0)-MATCH($L$1,[3]enemies!$1:$1,0)+1,FALSE)</f>
        <v>ゴールドチック</v>
      </c>
      <c r="N241" s="20" t="str">
        <f ca="1">VLOOKUP($L241,OFFSET([3]enemies!$A$1,0,0,COUNTA([3]enemies!$A:$A),MATCH(N$1,[3]enemies!$1:$1,0)-MATCH($L$1,[3]enemies!$1:$1,0)+1),MATCH(N$1,[3]enemies!$1:$1,0)-MATCH($L$1,[3]enemies!$1:$1,0)+1,FALSE)</f>
        <v>yellow</v>
      </c>
      <c r="O241" s="22" t="str">
        <f ca="1">VLOOKUP($L241,OFFSET([4]characters!$A$1,0,0,COUNTA([4]characters!$A:$A),MATCH(O$1,[4]characters!$1:$1,0)-MATCH($L$1,[4]characters!$1:$1,0)+1),MATCH(O$1,[4]characters!$1:$1,0)-MATCH($L$1,[4]characters!$1:$1,0)+1,FALSE)</f>
        <v>Material</v>
      </c>
      <c r="P241" s="20" t="str">
        <f ca="1">VLOOKUP($L241,OFFSET([3]enemies!$A$1,0,0,COUNTA([3]enemies!$A:$A),MATCH(P$1,[3]enemies!$1:$1,0)-MATCH($L$1,[3]enemies!$1:$1,0)+1),MATCH(P$1,[3]enemies!$1:$1,0)-MATCH($L$1,[3]enemies!$1:$1,0)+1,FALSE)</f>
        <v>unknown</v>
      </c>
      <c r="Q241" s="20">
        <f ca="1">VLOOKUP($L241,OFFSET([3]enemies!$A$1,0,0,COUNTA([3]enemies!$A:$A),MATCH(Q$1,[3]enemies!$1:$1,0)-MATCH($L$1,[3]enemies!$1:$1,0)+1),MATCH(Q$1,[3]enemies!$1:$1,0)-MATCH($L$1,[3]enemies!$1:$1,0)+1,FALSE)</f>
        <v>15</v>
      </c>
      <c r="R241" s="6">
        <v>2</v>
      </c>
      <c r="S241" s="40">
        <v>7.5</v>
      </c>
      <c r="T241" s="39">
        <v>10</v>
      </c>
      <c r="U241" s="6">
        <v>0</v>
      </c>
      <c r="V241" s="5" t="str">
        <f ca="1">VLOOKUP($W241,OFFSET([5]enemy_skill_sets!$B$1,0,0,COUNTA([5]enemy_skill_sets!$B:$B),MATCH(M$1,[5]enemy_skill_sets!$1:$1,0)-MATCH($W$1,[5]enemy_skill_sets!$1:$1,0)+2),MATCH(M$1,[5]enemy_skill_sets!$1:$1,0)-MATCH($W$1,[5]enemy_skill_sets!$1:$1,0)+2,FALSE)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1" s="5">
        <f ca="1">VLOOKUP($L241,OFFSET([3]enemies!$A$1,0,0,COUNTA([3]enemies!$A:$A),MATCH(W$1,[3]enemies!$1:$1,0)-MATCH($L$1,[3]enemies!$1:$1,0)+1),MATCH(W$1,[3]enemies!$1:$1,0)-MATCH($L$1,[3]enemies!$1:$1,0)+1,FALSE)</f>
        <v>0</v>
      </c>
      <c r="X241" s="7">
        <v>0</v>
      </c>
      <c r="Y241" s="7">
        <v>50</v>
      </c>
      <c r="Z241" s="7">
        <v>1</v>
      </c>
      <c r="AA241" s="20">
        <f ca="1">VLOOKUP($L241,OFFSET([3]enemies!$A$1,0,0,COUNTA([3]enemies!$A:$A),MATCH(AA$1,[3]enemies!$1:$1,0)-MATCH($L$1,[3]enemies!$1:$1,0)+1),MATCH(AA$1,[3]enemies!$1:$1,0)-MATCH($L$1,[3]enemies!$1:$1,0)+1,FALSE)</f>
        <v>2</v>
      </c>
      <c r="AB241" s="2">
        <f>L241</f>
        <v>118</v>
      </c>
      <c r="AC241" s="5" t="str">
        <f ca="1">IFERROR(VLOOKUP($AB241,OFFSET([4]characters!$A$1,0,0,COUNTA([4]characters!$A:$A),MATCH(AC$1,[4]characters!$1:$1,0)-MATCH("character_id",[4]characters!$1:$1,0)+1),MATCH(AC$1,[4]characters!$1:$1,0)-MATCH("character_id",[4]characters!$1:$1,0)+1,FALSE),"")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41" s="5">
        <f ca="1">IFERROR(VLOOKUP($AB241,OFFSET([4]characters!$A$1,0,0,COUNTA([4]characters!$A:$A),MATCH(AD$1,[4]characters!$1:$1,0)-MATCH("character_id",[4]characters!$1:$1,0)+1),MATCH(AD$1,[4]characters!$1:$1,0)-MATCH("character_id",[4]characters!$1:$1,0)+1,FALSE),"")</f>
        <v>4</v>
      </c>
      <c r="AE241" s="5" t="str">
        <f ca="1">IFERROR(VLOOKUP($AB241,OFFSET([4]characters!$A$1,0,0,COUNTA([4]characters!$A:$A),MATCH(AE$1,[4]characters!$1:$1,0)-MATCH("character_id",[4]characters!$1:$1,0)+1),MATCH(AE$1,[4]characters!$1:$1,0)-MATCH("character_id",[4]characters!$1:$1,0)+1,FALSE),"")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1" s="8">
        <v>1</v>
      </c>
      <c r="AG241" s="27">
        <f ca="1">AD241</f>
        <v>4</v>
      </c>
      <c r="AH241" s="9">
        <v>100</v>
      </c>
      <c r="AI241" s="8">
        <v>0</v>
      </c>
      <c r="AJ241" s="8">
        <v>0</v>
      </c>
      <c r="AK241" s="8">
        <v>0</v>
      </c>
      <c r="AL241" s="8">
        <v>0</v>
      </c>
      <c r="AM241" s="8">
        <v>1</v>
      </c>
      <c r="AN241" s="8">
        <v>1</v>
      </c>
    </row>
    <row r="242" spans="1:40" ht="21" customHeight="1" x14ac:dyDescent="0.15">
      <c r="A242" s="17" t="str">
        <f t="shared" ca="1" si="133"/>
        <v>11006_1-3/117&lt;lv2&gt;s1</v>
      </c>
      <c r="B242" s="8">
        <v>11006</v>
      </c>
      <c r="C242" s="25">
        <v>1</v>
      </c>
      <c r="D242" s="2" t="str">
        <f t="shared" si="134"/>
        <v>11006_1</v>
      </c>
      <c r="E242" s="5" t="str">
        <f ca="1">VLOOKUP($B242,OFFSET([2]quests!$A$1,0,0,COUNTA([2]quests!$A:$A),MATCH(E$1,[2]quests!$1:$1,0)-MATCH($B$1,[2]quests!$1:$1,0)+1),MATCH(E$1,[2]quests!$1:$1,0)-MATCH($B$1,[2]quests!$1:$1,0)+1,FALSE)</f>
        <v>【土日限定】 ゴールドカジノ</v>
      </c>
      <c r="F242" s="5" t="str">
        <f ca="1">VLOOKUP($D242,OFFSET([2]stages!$A$1,0,0,COUNTA([2]stages!$A:$A),MATCH(F$1,[2]stages!$2:$2,0)-MATCH($D$1,[2]stages!$2:$2,0)+1),MATCH(F$1,[2]stages!$2:$2,0)-MATCH($D$1,[2]stages!$2:$2,0)+1,FALSE)</f>
        <v>【初級】ゴールドカジノ</v>
      </c>
      <c r="G242" s="25">
        <v>3</v>
      </c>
      <c r="H242" s="16" t="str">
        <f t="shared" si="104"/>
        <v>11006_1-3</v>
      </c>
      <c r="I242" s="5">
        <f ca="1">VLOOKUP($H242,OFFSET(floors!$A$1,0,0,COUNTA(floors!$A:$A),MATCH(I$1,floors!$1:$1,0)-MATCH($H$1,floors!$1:$1,0)+1),MATCH(I$1,floors!$1:$1,0)-MATCH($H$1,floors!$1:$1,0)+1,FALSE)</f>
        <v>30</v>
      </c>
      <c r="J242" s="5">
        <f ca="1">VLOOKUP($H242,OFFSET(floors!$A$1,0,0,COUNTA(floors!$A:$A),MATCH(J$1,floors!$1:$1,0)-MATCH($H$1,floors!$1:$1,0)+1),MATCH(J$1,floors!$1:$1,0)-MATCH($H$1,floors!$1:$1,0)+1,FALSE)</f>
        <v>55</v>
      </c>
      <c r="K242" s="24" t="s">
        <v>197</v>
      </c>
      <c r="L242" s="24">
        <v>117</v>
      </c>
      <c r="M242" s="20" t="str">
        <f ca="1">VLOOKUP($L242,OFFSET([3]enemies!$A$1,0,0,COUNTA([3]enemies!$A:$A),MATCH(M$1,[3]enemies!$1:$1,0)-MATCH($L$1,[3]enemies!$1:$1,0)+1),MATCH(M$1,[3]enemies!$1:$1,0)-MATCH($L$1,[3]enemies!$1:$1,0)+1,FALSE)</f>
        <v>ゴールドピヨピヨ</v>
      </c>
      <c r="N242" s="20" t="str">
        <f ca="1">VLOOKUP($L242,OFFSET([3]enemies!$A$1,0,0,COUNTA([3]enemies!$A:$A),MATCH(N$1,[3]enemies!$1:$1,0)-MATCH($L$1,[3]enemies!$1:$1,0)+1),MATCH(N$1,[3]enemies!$1:$1,0)-MATCH($L$1,[3]enemies!$1:$1,0)+1,FALSE)</f>
        <v>yellow</v>
      </c>
      <c r="O242" s="22" t="str">
        <f ca="1">VLOOKUP($L242,OFFSET([4]characters!$A$1,0,0,COUNTA([4]characters!$A:$A),MATCH(O$1,[4]characters!$1:$1,0)-MATCH($L$1,[4]characters!$1:$1,0)+1),MATCH(O$1,[4]characters!$1:$1,0)-MATCH($L$1,[4]characters!$1:$1,0)+1,FALSE)</f>
        <v>Material</v>
      </c>
      <c r="P242" s="20" t="str">
        <f ca="1">VLOOKUP($L242,OFFSET([3]enemies!$A$1,0,0,COUNTA([3]enemies!$A:$A),MATCH(P$1,[3]enemies!$1:$1,0)-MATCH($L$1,[3]enemies!$1:$1,0)+1),MATCH(P$1,[3]enemies!$1:$1,0)-MATCH($L$1,[3]enemies!$1:$1,0)+1,FALSE)</f>
        <v>unknown</v>
      </c>
      <c r="Q242" s="20">
        <f ca="1">VLOOKUP($L242,OFFSET([3]enemies!$A$1,0,0,COUNTA([3]enemies!$A:$A),MATCH(Q$1,[3]enemies!$1:$1,0)-MATCH($L$1,[3]enemies!$1:$1,0)+1),MATCH(Q$1,[3]enemies!$1:$1,0)-MATCH($L$1,[3]enemies!$1:$1,0)+1,FALSE)</f>
        <v>15</v>
      </c>
      <c r="R242" s="6">
        <v>2</v>
      </c>
      <c r="S242" s="40">
        <v>7.5</v>
      </c>
      <c r="T242" s="39">
        <v>11</v>
      </c>
      <c r="U242" s="6">
        <v>0</v>
      </c>
      <c r="V242" s="5" t="str">
        <f ca="1">VLOOKUP($W242,OFFSET([5]enemy_skill_sets!$B$1,0,0,COUNTA([5]enemy_skill_sets!$B:$B),MATCH(M$1,[5]enemy_skill_sets!$1:$1,0)-MATCH($W$1,[5]enemy_skill_sets!$1:$1,0)+2),MATCH(M$1,[5]enemy_skill_sets!$1:$1,0)-MATCH($W$1,[5]enemy_skill_sets!$1:$1,0)+2,FALSE)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2" s="5">
        <f ca="1">VLOOKUP($L242,OFFSET([3]enemies!$A$1,0,0,COUNTA([3]enemies!$A:$A),MATCH(W$1,[3]enemies!$1:$1,0)-MATCH($L$1,[3]enemies!$1:$1,0)+1),MATCH(W$1,[3]enemies!$1:$1,0)-MATCH($L$1,[3]enemies!$1:$1,0)+1,FALSE)</f>
        <v>0</v>
      </c>
      <c r="X242" s="7">
        <v>1</v>
      </c>
      <c r="Y242" s="7">
        <v>20</v>
      </c>
      <c r="Z242" s="7">
        <v>0</v>
      </c>
      <c r="AA242" s="20">
        <f ca="1">VLOOKUP($L242,OFFSET([3]enemies!$A$1,0,0,COUNTA([3]enemies!$A:$A),MATCH(AA$1,[3]enemies!$1:$1,0)-MATCH($L$1,[3]enemies!$1:$1,0)+1),MATCH(AA$1,[3]enemies!$1:$1,0)-MATCH($L$1,[3]enemies!$1:$1,0)+1,FALSE)</f>
        <v>1</v>
      </c>
      <c r="AB242" s="2">
        <f t="shared" si="129"/>
        <v>117</v>
      </c>
      <c r="AC242" s="5" t="str">
        <f ca="1">IFERROR(VLOOKUP($AB242,OFFSET([4]characters!$A$1,0,0,COUNTA([4]characters!$A:$A),MATCH(AC$1,[4]characters!$1:$1,0)-MATCH("character_id",[4]characters!$1:$1,0)+1),MATCH(AC$1,[4]characters!$1:$1,0)-MATCH("character_id",[4]characters!$1:$1,0)+1,FALSE),"")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42" s="5">
        <f ca="1">IFERROR(VLOOKUP($AB242,OFFSET([4]characters!$A$1,0,0,COUNTA([4]characters!$A:$A),MATCH(AD$1,[4]characters!$1:$1,0)-MATCH("character_id",[4]characters!$1:$1,0)+1),MATCH(AD$1,[4]characters!$1:$1,0)-MATCH("character_id",[4]characters!$1:$1,0)+1,FALSE),"")</f>
        <v>3</v>
      </c>
      <c r="AE242" s="5" t="str">
        <f ca="1">IFERROR(VLOOKUP($AB242,OFFSET([4]characters!$A$1,0,0,COUNTA([4]characters!$A:$A),MATCH(AE$1,[4]characters!$1:$1,0)-MATCH("character_id",[4]characters!$1:$1,0)+1),MATCH(AE$1,[4]characters!$1:$1,0)-MATCH("character_id",[4]characters!$1:$1,0)+1,FALSE),"")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2" s="8">
        <v>1</v>
      </c>
      <c r="AG242" s="27">
        <f t="shared" ca="1" si="135"/>
        <v>3</v>
      </c>
      <c r="AH242" s="9">
        <v>100</v>
      </c>
      <c r="AI242" s="8">
        <v>0</v>
      </c>
      <c r="AJ242" s="8">
        <v>0</v>
      </c>
      <c r="AK242" s="8">
        <v>0</v>
      </c>
      <c r="AL242" s="8">
        <v>0</v>
      </c>
      <c r="AM242" s="8">
        <v>1</v>
      </c>
      <c r="AN242" s="8">
        <v>1</v>
      </c>
    </row>
    <row r="243" spans="1:40" ht="21" customHeight="1" x14ac:dyDescent="0.15">
      <c r="A243" s="17" t="str">
        <f t="shared" ref="A243:A246" ca="1" si="145">B243&amp;"_"&amp;C243&amp;"-"&amp;G243&amp;"/"&amp;L243&amp;"&lt;lv"&amp;R243&amp;"&gt;s"&amp;AA243</f>
        <v>11006_1-3/1&lt;lv5&gt;s1</v>
      </c>
      <c r="B243" s="8">
        <v>11006</v>
      </c>
      <c r="C243" s="25">
        <v>1</v>
      </c>
      <c r="D243" s="2" t="str">
        <f t="shared" ref="D243:D246" si="146">B243&amp;"_"&amp;C243</f>
        <v>11006_1</v>
      </c>
      <c r="E243" s="5" t="str">
        <f ca="1">VLOOKUP($B243,OFFSET([2]quests!$A$1,0,0,COUNTA([2]quests!$A:$A),MATCH(E$1,[2]quests!$1:$1,0)-MATCH($B$1,[2]quests!$1:$1,0)+1),MATCH(E$1,[2]quests!$1:$1,0)-MATCH($B$1,[2]quests!$1:$1,0)+1,FALSE)</f>
        <v>【土日限定】 ゴールドカジノ</v>
      </c>
      <c r="F243" s="5" t="str">
        <f ca="1">VLOOKUP($D243,OFFSET([2]stages!$A$1,0,0,COUNTA([2]stages!$A:$A),MATCH(F$1,[2]stages!$2:$2,0)-MATCH($D$1,[2]stages!$2:$2,0)+1),MATCH(F$1,[2]stages!$2:$2,0)-MATCH($D$1,[2]stages!$2:$2,0)+1,FALSE)</f>
        <v>【初級】ゴールドカジノ</v>
      </c>
      <c r="G243" s="25">
        <v>3</v>
      </c>
      <c r="H243" s="16" t="str">
        <f t="shared" si="104"/>
        <v>11006_1-3</v>
      </c>
      <c r="I243" s="5">
        <f ca="1">VLOOKUP($H243,OFFSET(floors!$A$1,0,0,COUNTA(floors!$A:$A),MATCH(I$1,floors!$1:$1,0)-MATCH($H$1,floors!$1:$1,0)+1),MATCH(I$1,floors!$1:$1,0)-MATCH($H$1,floors!$1:$1,0)+1,FALSE)</f>
        <v>30</v>
      </c>
      <c r="J243" s="5">
        <f ca="1">VLOOKUP($H243,OFFSET(floors!$A$1,0,0,COUNTA(floors!$A:$A),MATCH(J$1,floors!$1:$1,0)-MATCH($H$1,floors!$1:$1,0)+1),MATCH(J$1,floors!$1:$1,0)-MATCH($H$1,floors!$1:$1,0)+1,FALSE)</f>
        <v>55</v>
      </c>
      <c r="K243" s="24" t="s">
        <v>197</v>
      </c>
      <c r="L243" s="24">
        <v>1</v>
      </c>
      <c r="M243" s="20" t="str">
        <f ca="1">VLOOKUP($L243,OFFSET([3]enemies!$A$1,0,0,COUNTA([3]enemies!$A:$A),MATCH(M$1,[3]enemies!$1:$1,0)-MATCH($L$1,[3]enemies!$1:$1,0)+1),MATCH(M$1,[3]enemies!$1:$1,0)-MATCH($L$1,[3]enemies!$1:$1,0)+1,FALSE)</f>
        <v>ジェリー</v>
      </c>
      <c r="N243" s="20" t="str">
        <f ca="1">VLOOKUP($L243,OFFSET([3]enemies!$A$1,0,0,COUNTA([3]enemies!$A:$A),MATCH(N$1,[3]enemies!$1:$1,0)-MATCH($L$1,[3]enemies!$1:$1,0)+1),MATCH(N$1,[3]enemies!$1:$1,0)-MATCH($L$1,[3]enemies!$1:$1,0)+1,FALSE)</f>
        <v>red</v>
      </c>
      <c r="O243" s="22" t="str">
        <f ca="1">VLOOKUP($L243,OFFSET([4]characters!$A$1,0,0,COUNTA([4]characters!$A:$A),MATCH(O$1,[4]characters!$1:$1,0)-MATCH($L$1,[4]characters!$1:$1,0)+1),MATCH(O$1,[4]characters!$1:$1,0)-MATCH($L$1,[4]characters!$1:$1,0)+1,FALSE)</f>
        <v>Drop1T</v>
      </c>
      <c r="P243" s="20" t="str">
        <f ca="1">VLOOKUP($L243,OFFSET([3]enemies!$A$1,0,0,COUNTA([3]enemies!$A:$A),MATCH(P$1,[3]enemies!$1:$1,0)-MATCH($L$1,[3]enemies!$1:$1,0)+1),MATCH(P$1,[3]enemies!$1:$1,0)-MATCH($L$1,[3]enemies!$1:$1,0)+1,FALSE)</f>
        <v>unknown</v>
      </c>
      <c r="Q243" s="20">
        <f ca="1">VLOOKUP($L243,OFFSET([3]enemies!$A$1,0,0,COUNTA([3]enemies!$A:$A),MATCH(Q$1,[3]enemies!$1:$1,0)-MATCH($L$1,[3]enemies!$1:$1,0)+1),MATCH(Q$1,[3]enemies!$1:$1,0)-MATCH($L$1,[3]enemies!$1:$1,0)+1,FALSE)</f>
        <v>15</v>
      </c>
      <c r="R243" s="6">
        <v>5</v>
      </c>
      <c r="S243" s="39">
        <v>1</v>
      </c>
      <c r="T243" s="39">
        <v>1</v>
      </c>
      <c r="U243" s="6">
        <v>0</v>
      </c>
      <c r="V243" s="5" t="str">
        <f ca="1">VLOOKUP($W243,OFFSET([5]enemy_skill_sets!$B$1,0,0,COUNTA([5]enemy_skill_sets!$B:$B),MATCH(M$1,[5]enemy_skill_sets!$1:$1,0)-MATCH($W$1,[5]enemy_skill_sets!$1:$1,0)+2),MATCH(M$1,[5]enemy_skill_sets!$1:$1,0)-MATCH($W$1,[5]enemy_skill_sets!$1:$1,0)+2,FALSE)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3" s="5">
        <f ca="1">VLOOKUP($L243,OFFSET([3]enemies!$A$1,0,0,COUNTA([3]enemies!$A:$A),MATCH(W$1,[3]enemies!$1:$1,0)-MATCH($L$1,[3]enemies!$1:$1,0)+1),MATCH(W$1,[3]enemies!$1:$1,0)-MATCH($L$1,[3]enemies!$1:$1,0)+1,FALSE)</f>
        <v>0</v>
      </c>
      <c r="X243" s="7">
        <v>0</v>
      </c>
      <c r="Y243" s="7">
        <v>20</v>
      </c>
      <c r="Z243" s="7">
        <v>0</v>
      </c>
      <c r="AA243" s="20">
        <f ca="1">VLOOKUP($L243,OFFSET([3]enemies!$A$1,0,0,COUNTA([3]enemies!$A:$A),MATCH(AA$1,[3]enemies!$1:$1,0)-MATCH($L$1,[3]enemies!$1:$1,0)+1),MATCH(AA$1,[3]enemies!$1:$1,0)-MATCH($L$1,[3]enemies!$1:$1,0)+1,FALSE)</f>
        <v>1</v>
      </c>
      <c r="AB243" s="2">
        <f t="shared" si="129"/>
        <v>1</v>
      </c>
      <c r="AC243" s="5" t="str">
        <f ca="1">IFERROR(VLOOKUP($AB243,OFFSET([4]characters!$A$1,0,0,COUNTA([4]characters!$A:$A),MATCH(AC$1,[4]characters!$1:$1,0)-MATCH("character_id",[4]characters!$1:$1,0)+1),MATCH(AC$1,[4]characters!$1:$1,0)-MATCH("character_id",[4]characters!$1:$1,0)+1,FALSE),"")</f>
        <v>ジェリー</v>
      </c>
      <c r="AD243" s="5">
        <f ca="1">IFERROR(VLOOKUP($AB243,OFFSET([4]characters!$A$1,0,0,COUNTA([4]characters!$A:$A),MATCH(AD$1,[4]characters!$1:$1,0)-MATCH("character_id",[4]characters!$1:$1,0)+1),MATCH(AD$1,[4]characters!$1:$1,0)-MATCH("character_id",[4]characters!$1:$1,0)+1,FALSE),"")</f>
        <v>1</v>
      </c>
      <c r="AE243" s="5" t="str">
        <f ca="1">IFERROR(VLOOKUP($AB243,OFFSET([4]characters!$A$1,0,0,COUNTA([4]characters!$A:$A),MATCH(AE$1,[4]characters!$1:$1,0)-MATCH("character_id",[4]characters!$1:$1,0)+1),MATCH(AE$1,[4]characters!$1:$1,0)-MATCH("character_id",[4]characters!$1:$1,0)+1,FALSE),"")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43" s="8">
        <v>1</v>
      </c>
      <c r="AG243" s="27">
        <f t="shared" ref="AG243:AG246" ca="1" si="147">AD243</f>
        <v>1</v>
      </c>
      <c r="AH243" s="9">
        <v>0</v>
      </c>
      <c r="AI243" s="8">
        <v>0</v>
      </c>
      <c r="AJ243" s="8">
        <v>0</v>
      </c>
      <c r="AK243" s="8">
        <v>0</v>
      </c>
      <c r="AL243" s="8">
        <v>0</v>
      </c>
      <c r="AM243" s="8">
        <v>1</v>
      </c>
      <c r="AN243" s="8">
        <v>1</v>
      </c>
    </row>
    <row r="244" spans="1:40" ht="21" customHeight="1" x14ac:dyDescent="0.15">
      <c r="A244" s="17" t="str">
        <f t="shared" ca="1" si="145"/>
        <v>11006_1-3/3&lt;lv5&gt;s2</v>
      </c>
      <c r="B244" s="8">
        <v>11006</v>
      </c>
      <c r="C244" s="25">
        <v>1</v>
      </c>
      <c r="D244" s="2" t="str">
        <f t="shared" si="146"/>
        <v>11006_1</v>
      </c>
      <c r="E244" s="5" t="str">
        <f ca="1">VLOOKUP($B244,OFFSET([2]quests!$A$1,0,0,COUNTA([2]quests!$A:$A),MATCH(E$1,[2]quests!$1:$1,0)-MATCH($B$1,[2]quests!$1:$1,0)+1),MATCH(E$1,[2]quests!$1:$1,0)-MATCH($B$1,[2]quests!$1:$1,0)+1,FALSE)</f>
        <v>【土日限定】 ゴールドカジノ</v>
      </c>
      <c r="F244" s="5" t="str">
        <f ca="1">VLOOKUP($D244,OFFSET([2]stages!$A$1,0,0,COUNTA([2]stages!$A:$A),MATCH(F$1,[2]stages!$2:$2,0)-MATCH($D$1,[2]stages!$2:$2,0)+1),MATCH(F$1,[2]stages!$2:$2,0)-MATCH($D$1,[2]stages!$2:$2,0)+1,FALSE)</f>
        <v>【初級】ゴールドカジノ</v>
      </c>
      <c r="G244" s="25">
        <v>3</v>
      </c>
      <c r="H244" s="16" t="str">
        <f t="shared" si="104"/>
        <v>11006_1-3</v>
      </c>
      <c r="I244" s="5">
        <f ca="1">VLOOKUP($H244,OFFSET(floors!$A$1,0,0,COUNTA(floors!$A:$A),MATCH(I$1,floors!$1:$1,0)-MATCH($H$1,floors!$1:$1,0)+1),MATCH(I$1,floors!$1:$1,0)-MATCH($H$1,floors!$1:$1,0)+1,FALSE)</f>
        <v>30</v>
      </c>
      <c r="J244" s="5">
        <f ca="1">VLOOKUP($H244,OFFSET(floors!$A$1,0,0,COUNTA(floors!$A:$A),MATCH(J$1,floors!$1:$1,0)-MATCH($H$1,floors!$1:$1,0)+1),MATCH(J$1,floors!$1:$1,0)-MATCH($H$1,floors!$1:$1,0)+1,FALSE)</f>
        <v>55</v>
      </c>
      <c r="K244" s="24" t="s">
        <v>197</v>
      </c>
      <c r="L244" s="24">
        <v>3</v>
      </c>
      <c r="M244" s="20" t="str">
        <f ca="1">VLOOKUP($L244,OFFSET([3]enemies!$A$1,0,0,COUNTA([3]enemies!$A:$A),MATCH(M$1,[3]enemies!$1:$1,0)-MATCH($L$1,[3]enemies!$1:$1,0)+1),MATCH(M$1,[3]enemies!$1:$1,0)-MATCH($L$1,[3]enemies!$1:$1,0)+1,FALSE)</f>
        <v>エージェント ジョー</v>
      </c>
      <c r="N244" s="20" t="str">
        <f ca="1">VLOOKUP($L244,OFFSET([3]enemies!$A$1,0,0,COUNTA([3]enemies!$A:$A),MATCH(N$1,[3]enemies!$1:$1,0)-MATCH($L$1,[3]enemies!$1:$1,0)+1),MATCH(N$1,[3]enemies!$1:$1,0)-MATCH($L$1,[3]enemies!$1:$1,0)+1,FALSE)</f>
        <v>green</v>
      </c>
      <c r="O244" s="22" t="str">
        <f ca="1">VLOOKUP($L244,OFFSET([4]characters!$A$1,0,0,COUNTA([4]characters!$A:$A),MATCH(O$1,[4]characters!$1:$1,0)-MATCH($L$1,[4]characters!$1:$1,0)+1),MATCH(O$1,[4]characters!$1:$1,0)-MATCH($L$1,[4]characters!$1:$1,0)+1,FALSE)</f>
        <v>Drop1T</v>
      </c>
      <c r="P244" s="20" t="str">
        <f ca="1">VLOOKUP($L244,OFFSET([3]enemies!$A$1,0,0,COUNTA([3]enemies!$A:$A),MATCH(P$1,[3]enemies!$1:$1,0)-MATCH($L$1,[3]enemies!$1:$1,0)+1),MATCH(P$1,[3]enemies!$1:$1,0)-MATCH($L$1,[3]enemies!$1:$1,0)+1,FALSE)</f>
        <v>unknown</v>
      </c>
      <c r="Q244" s="20">
        <f ca="1">VLOOKUP($L244,OFFSET([3]enemies!$A$1,0,0,COUNTA([3]enemies!$A:$A),MATCH(Q$1,[3]enemies!$1:$1,0)-MATCH($L$1,[3]enemies!$1:$1,0)+1),MATCH(Q$1,[3]enemies!$1:$1,0)-MATCH($L$1,[3]enemies!$1:$1,0)+1,FALSE)</f>
        <v>15</v>
      </c>
      <c r="R244" s="6">
        <v>5</v>
      </c>
      <c r="S244" s="39">
        <v>1</v>
      </c>
      <c r="T244" s="39">
        <v>1</v>
      </c>
      <c r="U244" s="6">
        <v>0</v>
      </c>
      <c r="V244" s="5" t="str">
        <f ca="1">VLOOKUP($W244,OFFSET([5]enemy_skill_sets!$B$1,0,0,COUNTA([5]enemy_skill_sets!$B:$B),MATCH(M$1,[5]enemy_skill_sets!$1:$1,0)-MATCH($W$1,[5]enemy_skill_sets!$1:$1,0)+2),MATCH(M$1,[5]enemy_skill_sets!$1:$1,0)-MATCH($W$1,[5]enemy_skill_sets!$1:$1,0)+2,FALSE)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4" s="5">
        <f ca="1">VLOOKUP($L244,OFFSET([3]enemies!$A$1,0,0,COUNTA([3]enemies!$A:$A),MATCH(W$1,[3]enemies!$1:$1,0)-MATCH($L$1,[3]enemies!$1:$1,0)+1),MATCH(W$1,[3]enemies!$1:$1,0)-MATCH($L$1,[3]enemies!$1:$1,0)+1,FALSE)</f>
        <v>0</v>
      </c>
      <c r="X244" s="7">
        <v>0</v>
      </c>
      <c r="Y244" s="7">
        <v>20</v>
      </c>
      <c r="Z244" s="7">
        <v>0</v>
      </c>
      <c r="AA244" s="20">
        <f ca="1">VLOOKUP($L244,OFFSET([3]enemies!$A$1,0,0,COUNTA([3]enemies!$A:$A),MATCH(AA$1,[3]enemies!$1:$1,0)-MATCH($L$1,[3]enemies!$1:$1,0)+1),MATCH(AA$1,[3]enemies!$1:$1,0)-MATCH($L$1,[3]enemies!$1:$1,0)+1,FALSE)</f>
        <v>2</v>
      </c>
      <c r="AB244" s="2">
        <f t="shared" si="129"/>
        <v>3</v>
      </c>
      <c r="AC244" s="5" t="str">
        <f ca="1">IFERROR(VLOOKUP($AB244,OFFSET([4]characters!$A$1,0,0,COUNTA([4]characters!$A:$A),MATCH(AC$1,[4]characters!$1:$1,0)-MATCH("character_id",[4]characters!$1:$1,0)+1),MATCH(AC$1,[4]characters!$1:$1,0)-MATCH("character_id",[4]characters!$1:$1,0)+1,FALSE),"")</f>
        <v>エージェント ジョー</v>
      </c>
      <c r="AD244" s="5">
        <f ca="1">IFERROR(VLOOKUP($AB244,OFFSET([4]characters!$A$1,0,0,COUNTA([4]characters!$A:$A),MATCH(AD$1,[4]characters!$1:$1,0)-MATCH("character_id",[4]characters!$1:$1,0)+1),MATCH(AD$1,[4]characters!$1:$1,0)-MATCH("character_id",[4]characters!$1:$1,0)+1,FALSE),"")</f>
        <v>1</v>
      </c>
      <c r="AE244" s="5" t="str">
        <f ca="1">IFERROR(VLOOKUP($AB244,OFFSET([4]characters!$A$1,0,0,COUNTA([4]characters!$A:$A),MATCH(AE$1,[4]characters!$1:$1,0)-MATCH("character_id",[4]characters!$1:$1,0)+1),MATCH(AE$1,[4]characters!$1:$1,0)-MATCH("character_id",[4]characters!$1:$1,0)+1,FALSE),"")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44" s="8">
        <v>1</v>
      </c>
      <c r="AG244" s="27">
        <f t="shared" ca="1" si="147"/>
        <v>1</v>
      </c>
      <c r="AH244" s="9">
        <v>0</v>
      </c>
      <c r="AI244" s="8">
        <v>0</v>
      </c>
      <c r="AJ244" s="8">
        <v>0</v>
      </c>
      <c r="AK244" s="8">
        <v>0</v>
      </c>
      <c r="AL244" s="8">
        <v>0</v>
      </c>
      <c r="AM244" s="8">
        <v>1</v>
      </c>
      <c r="AN244" s="8">
        <v>1</v>
      </c>
    </row>
    <row r="245" spans="1:40" ht="21" customHeight="1" x14ac:dyDescent="0.15">
      <c r="A245" s="17" t="str">
        <f t="shared" ca="1" si="145"/>
        <v>11006_1-3/5&lt;lv5&gt;s3</v>
      </c>
      <c r="B245" s="8">
        <v>11006</v>
      </c>
      <c r="C245" s="25">
        <v>1</v>
      </c>
      <c r="D245" s="2" t="str">
        <f t="shared" si="146"/>
        <v>11006_1</v>
      </c>
      <c r="E245" s="5" t="str">
        <f ca="1">VLOOKUP($B245,OFFSET([2]quests!$A$1,0,0,COUNTA([2]quests!$A:$A),MATCH(E$1,[2]quests!$1:$1,0)-MATCH($B$1,[2]quests!$1:$1,0)+1),MATCH(E$1,[2]quests!$1:$1,0)-MATCH($B$1,[2]quests!$1:$1,0)+1,FALSE)</f>
        <v>【土日限定】 ゴールドカジノ</v>
      </c>
      <c r="F245" s="5" t="str">
        <f ca="1">VLOOKUP($D245,OFFSET([2]stages!$A$1,0,0,COUNTA([2]stages!$A:$A),MATCH(F$1,[2]stages!$2:$2,0)-MATCH($D$1,[2]stages!$2:$2,0)+1),MATCH(F$1,[2]stages!$2:$2,0)-MATCH($D$1,[2]stages!$2:$2,0)+1,FALSE)</f>
        <v>【初級】ゴールドカジノ</v>
      </c>
      <c r="G245" s="25">
        <v>3</v>
      </c>
      <c r="H245" s="16" t="str">
        <f t="shared" si="104"/>
        <v>11006_1-3</v>
      </c>
      <c r="I245" s="5">
        <f ca="1">VLOOKUP($H245,OFFSET(floors!$A$1,0,0,COUNTA(floors!$A:$A),MATCH(I$1,floors!$1:$1,0)-MATCH($H$1,floors!$1:$1,0)+1),MATCH(I$1,floors!$1:$1,0)-MATCH($H$1,floors!$1:$1,0)+1,FALSE)</f>
        <v>30</v>
      </c>
      <c r="J245" s="5">
        <f ca="1">VLOOKUP($H245,OFFSET(floors!$A$1,0,0,COUNTA(floors!$A:$A),MATCH(J$1,floors!$1:$1,0)-MATCH($H$1,floors!$1:$1,0)+1),MATCH(J$1,floors!$1:$1,0)-MATCH($H$1,floors!$1:$1,0)+1,FALSE)</f>
        <v>55</v>
      </c>
      <c r="K245" s="24" t="s">
        <v>197</v>
      </c>
      <c r="L245" s="24">
        <v>5</v>
      </c>
      <c r="M245" s="20" t="str">
        <f ca="1">VLOOKUP($L245,OFFSET([3]enemies!$A$1,0,0,COUNTA([3]enemies!$A:$A),MATCH(M$1,[3]enemies!$1:$1,0)-MATCH($L$1,[3]enemies!$1:$1,0)+1),MATCH(M$1,[3]enemies!$1:$1,0)-MATCH($L$1,[3]enemies!$1:$1,0)+1,FALSE)</f>
        <v>パトドッグ ポチ</v>
      </c>
      <c r="N245" s="20" t="str">
        <f ca="1">VLOOKUP($L245,OFFSET([3]enemies!$A$1,0,0,COUNTA([3]enemies!$A:$A),MATCH(N$1,[3]enemies!$1:$1,0)-MATCH($L$1,[3]enemies!$1:$1,0)+1),MATCH(N$1,[3]enemies!$1:$1,0)-MATCH($L$1,[3]enemies!$1:$1,0)+1,FALSE)</f>
        <v>blue</v>
      </c>
      <c r="O245" s="22" t="str">
        <f ca="1">VLOOKUP($L245,OFFSET([4]characters!$A$1,0,0,COUNTA([4]characters!$A:$A),MATCH(O$1,[4]characters!$1:$1,0)-MATCH($L$1,[4]characters!$1:$1,0)+1),MATCH(O$1,[4]characters!$1:$1,0)-MATCH($L$1,[4]characters!$1:$1,0)+1,FALSE)</f>
        <v>Drop1T</v>
      </c>
      <c r="P245" s="20" t="str">
        <f ca="1">VLOOKUP($L245,OFFSET([3]enemies!$A$1,0,0,COUNTA([3]enemies!$A:$A),MATCH(P$1,[3]enemies!$1:$1,0)-MATCH($L$1,[3]enemies!$1:$1,0)+1),MATCH(P$1,[3]enemies!$1:$1,0)-MATCH($L$1,[3]enemies!$1:$1,0)+1,FALSE)</f>
        <v>unknown</v>
      </c>
      <c r="Q245" s="20">
        <f ca="1">VLOOKUP($L245,OFFSET([3]enemies!$A$1,0,0,COUNTA([3]enemies!$A:$A),MATCH(Q$1,[3]enemies!$1:$1,0)-MATCH($L$1,[3]enemies!$1:$1,0)+1),MATCH(Q$1,[3]enemies!$1:$1,0)-MATCH($L$1,[3]enemies!$1:$1,0)+1,FALSE)</f>
        <v>15</v>
      </c>
      <c r="R245" s="6">
        <v>5</v>
      </c>
      <c r="S245" s="39">
        <v>1</v>
      </c>
      <c r="T245" s="39">
        <v>1</v>
      </c>
      <c r="U245" s="6">
        <v>0</v>
      </c>
      <c r="V245" s="5" t="str">
        <f ca="1">VLOOKUP($W245,OFFSET([5]enemy_skill_sets!$B$1,0,0,COUNTA([5]enemy_skill_sets!$B:$B),MATCH(M$1,[5]enemy_skill_sets!$1:$1,0)-MATCH($W$1,[5]enemy_skill_sets!$1:$1,0)+2),MATCH(M$1,[5]enemy_skill_sets!$1:$1,0)-MATCH($W$1,[5]enemy_skill_sets!$1:$1,0)+2,FALSE)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5" s="5">
        <f ca="1">VLOOKUP($L245,OFFSET([3]enemies!$A$1,0,0,COUNTA([3]enemies!$A:$A),MATCH(W$1,[3]enemies!$1:$1,0)-MATCH($L$1,[3]enemies!$1:$1,0)+1),MATCH(W$1,[3]enemies!$1:$1,0)-MATCH($L$1,[3]enemies!$1:$1,0)+1,FALSE)</f>
        <v>0</v>
      </c>
      <c r="X245" s="7">
        <v>0</v>
      </c>
      <c r="Y245" s="7">
        <v>20</v>
      </c>
      <c r="Z245" s="7">
        <v>0</v>
      </c>
      <c r="AA245" s="20">
        <f ca="1">VLOOKUP($L245,OFFSET([3]enemies!$A$1,0,0,COUNTA([3]enemies!$A:$A),MATCH(AA$1,[3]enemies!$1:$1,0)-MATCH($L$1,[3]enemies!$1:$1,0)+1),MATCH(AA$1,[3]enemies!$1:$1,0)-MATCH($L$1,[3]enemies!$1:$1,0)+1,FALSE)</f>
        <v>3</v>
      </c>
      <c r="AB245" s="2">
        <f t="shared" si="129"/>
        <v>5</v>
      </c>
      <c r="AC245" s="5" t="str">
        <f ca="1">IFERROR(VLOOKUP($AB245,OFFSET([4]characters!$A$1,0,0,COUNTA([4]characters!$A:$A),MATCH(AC$1,[4]characters!$1:$1,0)-MATCH("character_id",[4]characters!$1:$1,0)+1),MATCH(AC$1,[4]characters!$1:$1,0)-MATCH("character_id",[4]characters!$1:$1,0)+1,FALSE),"")</f>
        <v>パトドッグ ポチ</v>
      </c>
      <c r="AD245" s="5">
        <f ca="1">IFERROR(VLOOKUP($AB245,OFFSET([4]characters!$A$1,0,0,COUNTA([4]characters!$A:$A),MATCH(AD$1,[4]characters!$1:$1,0)-MATCH("character_id",[4]characters!$1:$1,0)+1),MATCH(AD$1,[4]characters!$1:$1,0)-MATCH("character_id",[4]characters!$1:$1,0)+1,FALSE),"")</f>
        <v>1</v>
      </c>
      <c r="AE245" s="5" t="str">
        <f ca="1">IFERROR(VLOOKUP($AB245,OFFSET([4]characters!$A$1,0,0,COUNTA([4]characters!$A:$A),MATCH(AE$1,[4]characters!$1:$1,0)-MATCH("character_id",[4]characters!$1:$1,0)+1),MATCH(AE$1,[4]characters!$1:$1,0)-MATCH("character_id",[4]characters!$1:$1,0)+1,FALSE),"")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45" s="8">
        <v>1</v>
      </c>
      <c r="AG245" s="27">
        <f t="shared" ca="1" si="147"/>
        <v>1</v>
      </c>
      <c r="AH245" s="9">
        <v>0</v>
      </c>
      <c r="AI245" s="8">
        <v>0</v>
      </c>
      <c r="AJ245" s="8">
        <v>0</v>
      </c>
      <c r="AK245" s="8">
        <v>0</v>
      </c>
      <c r="AL245" s="8">
        <v>0</v>
      </c>
      <c r="AM245" s="8">
        <v>1</v>
      </c>
      <c r="AN245" s="8">
        <v>1</v>
      </c>
    </row>
    <row r="246" spans="1:40" ht="21" customHeight="1" x14ac:dyDescent="0.15">
      <c r="A246" s="17" t="str">
        <f t="shared" ca="1" si="145"/>
        <v>11006_1-3/7&lt;lv5&gt;s2</v>
      </c>
      <c r="B246" s="8">
        <v>11006</v>
      </c>
      <c r="C246" s="25">
        <v>1</v>
      </c>
      <c r="D246" s="2" t="str">
        <f t="shared" si="146"/>
        <v>11006_1</v>
      </c>
      <c r="E246" s="5" t="str">
        <f ca="1">VLOOKUP($B246,OFFSET([2]quests!$A$1,0,0,COUNTA([2]quests!$A:$A),MATCH(E$1,[2]quests!$1:$1,0)-MATCH($B$1,[2]quests!$1:$1,0)+1),MATCH(E$1,[2]quests!$1:$1,0)-MATCH($B$1,[2]quests!$1:$1,0)+1,FALSE)</f>
        <v>【土日限定】 ゴールドカジノ</v>
      </c>
      <c r="F246" s="5" t="str">
        <f ca="1">VLOOKUP($D246,OFFSET([2]stages!$A$1,0,0,COUNTA([2]stages!$A:$A),MATCH(F$1,[2]stages!$2:$2,0)-MATCH($D$1,[2]stages!$2:$2,0)+1),MATCH(F$1,[2]stages!$2:$2,0)-MATCH($D$1,[2]stages!$2:$2,0)+1,FALSE)</f>
        <v>【初級】ゴールドカジノ</v>
      </c>
      <c r="G246" s="25">
        <v>3</v>
      </c>
      <c r="H246" s="16" t="str">
        <f t="shared" si="104"/>
        <v>11006_1-3</v>
      </c>
      <c r="I246" s="5">
        <f ca="1">VLOOKUP($H246,OFFSET(floors!$A$1,0,0,COUNTA(floors!$A:$A),MATCH(I$1,floors!$1:$1,0)-MATCH($H$1,floors!$1:$1,0)+1),MATCH(I$1,floors!$1:$1,0)-MATCH($H$1,floors!$1:$1,0)+1,FALSE)</f>
        <v>30</v>
      </c>
      <c r="J246" s="5">
        <f ca="1">VLOOKUP($H246,OFFSET(floors!$A$1,0,0,COUNTA(floors!$A:$A),MATCH(J$1,floors!$1:$1,0)-MATCH($H$1,floors!$1:$1,0)+1),MATCH(J$1,floors!$1:$1,0)-MATCH($H$1,floors!$1:$1,0)+1,FALSE)</f>
        <v>55</v>
      </c>
      <c r="K246" s="24" t="s">
        <v>197</v>
      </c>
      <c r="L246" s="24">
        <v>7</v>
      </c>
      <c r="M246" s="20" t="str">
        <f ca="1">VLOOKUP($L246,OFFSET([3]enemies!$A$1,0,0,COUNTA([3]enemies!$A:$A),MATCH(M$1,[3]enemies!$1:$1,0)-MATCH($L$1,[3]enemies!$1:$1,0)+1),MATCH(M$1,[3]enemies!$1:$1,0)-MATCH($L$1,[3]enemies!$1:$1,0)+1,FALSE)</f>
        <v>エレキポット</v>
      </c>
      <c r="N246" s="20" t="str">
        <f ca="1">VLOOKUP($L246,OFFSET([3]enemies!$A$1,0,0,COUNTA([3]enemies!$A:$A),MATCH(N$1,[3]enemies!$1:$1,0)-MATCH($L$1,[3]enemies!$1:$1,0)+1),MATCH(N$1,[3]enemies!$1:$1,0)-MATCH($L$1,[3]enemies!$1:$1,0)+1,FALSE)</f>
        <v>yellow</v>
      </c>
      <c r="O246" s="22" t="str">
        <f ca="1">VLOOKUP($L246,OFFSET([4]characters!$A$1,0,0,COUNTA([4]characters!$A:$A),MATCH(O$1,[4]characters!$1:$1,0)-MATCH($L$1,[4]characters!$1:$1,0)+1),MATCH(O$1,[4]characters!$1:$1,0)-MATCH($L$1,[4]characters!$1:$1,0)+1,FALSE)</f>
        <v>Drop1T</v>
      </c>
      <c r="P246" s="20" t="str">
        <f ca="1">VLOOKUP($L246,OFFSET([3]enemies!$A$1,0,0,COUNTA([3]enemies!$A:$A),MATCH(P$1,[3]enemies!$1:$1,0)-MATCH($L$1,[3]enemies!$1:$1,0)+1),MATCH(P$1,[3]enemies!$1:$1,0)-MATCH($L$1,[3]enemies!$1:$1,0)+1,FALSE)</f>
        <v>unknown</v>
      </c>
      <c r="Q246" s="20">
        <f ca="1">VLOOKUP($L246,OFFSET([3]enemies!$A$1,0,0,COUNTA([3]enemies!$A:$A),MATCH(Q$1,[3]enemies!$1:$1,0)-MATCH($L$1,[3]enemies!$1:$1,0)+1),MATCH(Q$1,[3]enemies!$1:$1,0)-MATCH($L$1,[3]enemies!$1:$1,0)+1,FALSE)</f>
        <v>15</v>
      </c>
      <c r="R246" s="6">
        <v>5</v>
      </c>
      <c r="S246" s="39">
        <v>1</v>
      </c>
      <c r="T246" s="39">
        <v>1</v>
      </c>
      <c r="U246" s="6">
        <v>0</v>
      </c>
      <c r="V246" s="5" t="str">
        <f ca="1">VLOOKUP($W246,OFFSET([5]enemy_skill_sets!$B$1,0,0,COUNTA([5]enemy_skill_sets!$B:$B),MATCH(M$1,[5]enemy_skill_sets!$1:$1,0)-MATCH($W$1,[5]enemy_skill_sets!$1:$1,0)+2),MATCH(M$1,[5]enemy_skill_sets!$1:$1,0)-MATCH($W$1,[5]enemy_skill_sets!$1:$1,0)+2,FALSE)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6" s="5">
        <f ca="1">VLOOKUP($L246,OFFSET([3]enemies!$A$1,0,0,COUNTA([3]enemies!$A:$A),MATCH(W$1,[3]enemies!$1:$1,0)-MATCH($L$1,[3]enemies!$1:$1,0)+1),MATCH(W$1,[3]enemies!$1:$1,0)-MATCH($L$1,[3]enemies!$1:$1,0)+1,FALSE)</f>
        <v>0</v>
      </c>
      <c r="X246" s="7">
        <v>0</v>
      </c>
      <c r="Y246" s="7">
        <v>20</v>
      </c>
      <c r="Z246" s="7">
        <v>0</v>
      </c>
      <c r="AA246" s="20">
        <f ca="1">VLOOKUP($L246,OFFSET([3]enemies!$A$1,0,0,COUNTA([3]enemies!$A:$A),MATCH(AA$1,[3]enemies!$1:$1,0)-MATCH($L$1,[3]enemies!$1:$1,0)+1),MATCH(AA$1,[3]enemies!$1:$1,0)-MATCH($L$1,[3]enemies!$1:$1,0)+1,FALSE)</f>
        <v>2</v>
      </c>
      <c r="AB246" s="2">
        <f t="shared" si="129"/>
        <v>7</v>
      </c>
      <c r="AC246" s="5" t="str">
        <f ca="1">IFERROR(VLOOKUP($AB246,OFFSET([4]characters!$A$1,0,0,COUNTA([4]characters!$A:$A),MATCH(AC$1,[4]characters!$1:$1,0)-MATCH("character_id",[4]characters!$1:$1,0)+1),MATCH(AC$1,[4]characters!$1:$1,0)-MATCH("character_id",[4]characters!$1:$1,0)+1,FALSE),"")</f>
        <v>エレキポット</v>
      </c>
      <c r="AD246" s="5">
        <f ca="1">IFERROR(VLOOKUP($AB246,OFFSET([4]characters!$A$1,0,0,COUNTA([4]characters!$A:$A),MATCH(AD$1,[4]characters!$1:$1,0)-MATCH("character_id",[4]characters!$1:$1,0)+1),MATCH(AD$1,[4]characters!$1:$1,0)-MATCH("character_id",[4]characters!$1:$1,0)+1,FALSE),"")</f>
        <v>1</v>
      </c>
      <c r="AE246" s="5" t="str">
        <f ca="1">IFERROR(VLOOKUP($AB246,OFFSET([4]characters!$A$1,0,0,COUNTA([4]characters!$A:$A),MATCH(AE$1,[4]characters!$1:$1,0)-MATCH("character_id",[4]characters!$1:$1,0)+1),MATCH(AE$1,[4]characters!$1:$1,0)-MATCH("character_id",[4]characters!$1:$1,0)+1,FALSE),"")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46" s="8">
        <v>1</v>
      </c>
      <c r="AG246" s="27">
        <f t="shared" ca="1" si="147"/>
        <v>1</v>
      </c>
      <c r="AH246" s="9">
        <v>0</v>
      </c>
      <c r="AI246" s="8">
        <v>0</v>
      </c>
      <c r="AJ246" s="8">
        <v>0</v>
      </c>
      <c r="AK246" s="8">
        <v>0</v>
      </c>
      <c r="AL246" s="8">
        <v>0</v>
      </c>
      <c r="AM246" s="8">
        <v>1</v>
      </c>
      <c r="AN246" s="8">
        <v>1</v>
      </c>
    </row>
    <row r="247" spans="1:40" ht="21" customHeight="1" x14ac:dyDescent="0.15">
      <c r="A247" s="17" t="str">
        <f ca="1">B247&amp;"_"&amp;C247&amp;"-"&amp;G247&amp;"/"&amp;L247&amp;"&lt;lv"&amp;R247&amp;"&gt;s"&amp;AA247</f>
        <v>11006_1-4/118&lt;lv2&gt;s2</v>
      </c>
      <c r="B247" s="8">
        <v>11006</v>
      </c>
      <c r="C247" s="25">
        <v>1</v>
      </c>
      <c r="D247" s="2" t="str">
        <f>B247&amp;"_"&amp;C247</f>
        <v>11006_1</v>
      </c>
      <c r="E247" s="5" t="str">
        <f ca="1">VLOOKUP($B247,OFFSET([2]quests!$A$1,0,0,COUNTA([2]quests!$A:$A),MATCH(E$1,[2]quests!$1:$1,0)-MATCH($B$1,[2]quests!$1:$1,0)+1),MATCH(E$1,[2]quests!$1:$1,0)-MATCH($B$1,[2]quests!$1:$1,0)+1,FALSE)</f>
        <v>【土日限定】 ゴールドカジノ</v>
      </c>
      <c r="F247" s="5" t="str">
        <f ca="1">VLOOKUP($D247,OFFSET([2]stages!$A$1,0,0,COUNTA([2]stages!$A:$A),MATCH(F$1,[2]stages!$2:$2,0)-MATCH($D$1,[2]stages!$2:$2,0)+1),MATCH(F$1,[2]stages!$2:$2,0)-MATCH($D$1,[2]stages!$2:$2,0)+1,FALSE)</f>
        <v>【初級】ゴールドカジノ</v>
      </c>
      <c r="G247" s="25">
        <v>4</v>
      </c>
      <c r="H247" s="16" t="str">
        <f>B247&amp;"_"&amp;C247&amp;"-"&amp;G247</f>
        <v>11006_1-4</v>
      </c>
      <c r="I247" s="5">
        <f ca="1">VLOOKUP($H247,OFFSET(floors!$A$1,0,0,COUNTA(floors!$A:$A),MATCH(I$1,floors!$1:$1,0)-MATCH($H$1,floors!$1:$1,0)+1),MATCH(I$1,floors!$1:$1,0)-MATCH($H$1,floors!$1:$1,0)+1,FALSE)</f>
        <v>30</v>
      </c>
      <c r="J247" s="5">
        <f ca="1">VLOOKUP($H247,OFFSET(floors!$A$1,0,0,COUNTA(floors!$A:$A),MATCH(J$1,floors!$1:$1,0)-MATCH($H$1,floors!$1:$1,0)+1),MATCH(J$1,floors!$1:$1,0)-MATCH($H$1,floors!$1:$1,0)+1,FALSE)</f>
        <v>55</v>
      </c>
      <c r="K247" s="24" t="s">
        <v>197</v>
      </c>
      <c r="L247" s="24">
        <v>118</v>
      </c>
      <c r="M247" s="20" t="str">
        <f ca="1">VLOOKUP($L247,OFFSET([3]enemies!$A$1,0,0,COUNTA([3]enemies!$A:$A),MATCH(M$1,[3]enemies!$1:$1,0)-MATCH($L$1,[3]enemies!$1:$1,0)+1),MATCH(M$1,[3]enemies!$1:$1,0)-MATCH($L$1,[3]enemies!$1:$1,0)+1,FALSE)</f>
        <v>ゴールドチック</v>
      </c>
      <c r="N247" s="20" t="str">
        <f ca="1">VLOOKUP($L247,OFFSET([3]enemies!$A$1,0,0,COUNTA([3]enemies!$A:$A),MATCH(N$1,[3]enemies!$1:$1,0)-MATCH($L$1,[3]enemies!$1:$1,0)+1),MATCH(N$1,[3]enemies!$1:$1,0)-MATCH($L$1,[3]enemies!$1:$1,0)+1,FALSE)</f>
        <v>yellow</v>
      </c>
      <c r="O247" s="22" t="str">
        <f ca="1">VLOOKUP($L247,OFFSET([4]characters!$A$1,0,0,COUNTA([4]characters!$A:$A),MATCH(O$1,[4]characters!$1:$1,0)-MATCH($L$1,[4]characters!$1:$1,0)+1),MATCH(O$1,[4]characters!$1:$1,0)-MATCH($L$1,[4]characters!$1:$1,0)+1,FALSE)</f>
        <v>Material</v>
      </c>
      <c r="P247" s="20" t="str">
        <f ca="1">VLOOKUP($L247,OFFSET([3]enemies!$A$1,0,0,COUNTA([3]enemies!$A:$A),MATCH(P$1,[3]enemies!$1:$1,0)-MATCH($L$1,[3]enemies!$1:$1,0)+1),MATCH(P$1,[3]enemies!$1:$1,0)-MATCH($L$1,[3]enemies!$1:$1,0)+1,FALSE)</f>
        <v>unknown</v>
      </c>
      <c r="Q247" s="20">
        <f ca="1">VLOOKUP($L247,OFFSET([3]enemies!$A$1,0,0,COUNTA([3]enemies!$A:$A),MATCH(Q$1,[3]enemies!$1:$1,0)-MATCH($L$1,[3]enemies!$1:$1,0)+1),MATCH(Q$1,[3]enemies!$1:$1,0)-MATCH($L$1,[3]enemies!$1:$1,0)+1,FALSE)</f>
        <v>15</v>
      </c>
      <c r="R247" s="6">
        <v>2</v>
      </c>
      <c r="S247" s="40">
        <v>7.5</v>
      </c>
      <c r="T247" s="39">
        <v>10</v>
      </c>
      <c r="U247" s="6">
        <v>0</v>
      </c>
      <c r="V247" s="5" t="str">
        <f ca="1">VLOOKUP($W247,OFFSET([5]enemy_skill_sets!$B$1,0,0,COUNTA([5]enemy_skill_sets!$B:$B),MATCH(M$1,[5]enemy_skill_sets!$1:$1,0)-MATCH($W$1,[5]enemy_skill_sets!$1:$1,0)+2),MATCH(M$1,[5]enemy_skill_sets!$1:$1,0)-MATCH($W$1,[5]enemy_skill_sets!$1:$1,0)+2,FALSE)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7" s="5">
        <f ca="1">VLOOKUP($L247,OFFSET([3]enemies!$A$1,0,0,COUNTA([3]enemies!$A:$A),MATCH(W$1,[3]enemies!$1:$1,0)-MATCH($L$1,[3]enemies!$1:$1,0)+1),MATCH(W$1,[3]enemies!$1:$1,0)-MATCH($L$1,[3]enemies!$1:$1,0)+1,FALSE)</f>
        <v>0</v>
      </c>
      <c r="X247" s="7">
        <v>0</v>
      </c>
      <c r="Y247" s="7">
        <v>50</v>
      </c>
      <c r="Z247" s="7">
        <v>1</v>
      </c>
      <c r="AA247" s="20">
        <f ca="1">VLOOKUP($L247,OFFSET([3]enemies!$A$1,0,0,COUNTA([3]enemies!$A:$A),MATCH(AA$1,[3]enemies!$1:$1,0)-MATCH($L$1,[3]enemies!$1:$1,0)+1),MATCH(AA$1,[3]enemies!$1:$1,0)-MATCH($L$1,[3]enemies!$1:$1,0)+1,FALSE)</f>
        <v>2</v>
      </c>
      <c r="AB247" s="2">
        <f>L247</f>
        <v>118</v>
      </c>
      <c r="AC247" s="5" t="str">
        <f ca="1">IFERROR(VLOOKUP($AB247,OFFSET([4]characters!$A$1,0,0,COUNTA([4]characters!$A:$A),MATCH(AC$1,[4]characters!$1:$1,0)-MATCH("character_id",[4]characters!$1:$1,0)+1),MATCH(AC$1,[4]characters!$1:$1,0)-MATCH("character_id",[4]characters!$1:$1,0)+1,FALSE),"")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47" s="5">
        <f ca="1">IFERROR(VLOOKUP($AB247,OFFSET([4]characters!$A$1,0,0,COUNTA([4]characters!$A:$A),MATCH(AD$1,[4]characters!$1:$1,0)-MATCH("character_id",[4]characters!$1:$1,0)+1),MATCH(AD$1,[4]characters!$1:$1,0)-MATCH("character_id",[4]characters!$1:$1,0)+1,FALSE),"")</f>
        <v>4</v>
      </c>
      <c r="AE247" s="5" t="str">
        <f ca="1">IFERROR(VLOOKUP($AB247,OFFSET([4]characters!$A$1,0,0,COUNTA([4]characters!$A:$A),MATCH(AE$1,[4]characters!$1:$1,0)-MATCH("character_id",[4]characters!$1:$1,0)+1),MATCH(AE$1,[4]characters!$1:$1,0)-MATCH("character_id",[4]characters!$1:$1,0)+1,FALSE),"")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7" s="8">
        <v>1</v>
      </c>
      <c r="AG247" s="27">
        <f ca="1">AD247</f>
        <v>4</v>
      </c>
      <c r="AH247" s="9">
        <v>100</v>
      </c>
      <c r="AI247" s="8">
        <v>0</v>
      </c>
      <c r="AJ247" s="8">
        <v>0</v>
      </c>
      <c r="AK247" s="8">
        <v>0</v>
      </c>
      <c r="AL247" s="8">
        <v>0</v>
      </c>
      <c r="AM247" s="8">
        <v>1</v>
      </c>
      <c r="AN247" s="8">
        <v>1</v>
      </c>
    </row>
    <row r="248" spans="1:40" ht="21" customHeight="1" x14ac:dyDescent="0.15">
      <c r="A248" s="17" t="str">
        <f t="shared" ref="A248:A252" ca="1" si="148">B248&amp;"_"&amp;C248&amp;"-"&amp;G248&amp;"/"&amp;L248&amp;"&lt;lv"&amp;R248&amp;"&gt;s"&amp;AA248</f>
        <v>11006_1-4/117&lt;lv2&gt;s1</v>
      </c>
      <c r="B248" s="8">
        <v>11006</v>
      </c>
      <c r="C248" s="25">
        <v>1</v>
      </c>
      <c r="D248" s="2" t="str">
        <f t="shared" ref="D248:D252" si="149">B248&amp;"_"&amp;C248</f>
        <v>11006_1</v>
      </c>
      <c r="E248" s="5" t="str">
        <f ca="1">VLOOKUP($B248,OFFSET([2]quests!$A$1,0,0,COUNTA([2]quests!$A:$A),MATCH(E$1,[2]quests!$1:$1,0)-MATCH($B$1,[2]quests!$1:$1,0)+1),MATCH(E$1,[2]quests!$1:$1,0)-MATCH($B$1,[2]quests!$1:$1,0)+1,FALSE)</f>
        <v>【土日限定】 ゴールドカジノ</v>
      </c>
      <c r="F248" s="5" t="str">
        <f ca="1">VLOOKUP($D248,OFFSET([2]stages!$A$1,0,0,COUNTA([2]stages!$A:$A),MATCH(F$1,[2]stages!$2:$2,0)-MATCH($D$1,[2]stages!$2:$2,0)+1),MATCH(F$1,[2]stages!$2:$2,0)-MATCH($D$1,[2]stages!$2:$2,0)+1,FALSE)</f>
        <v>【初級】ゴールドカジノ</v>
      </c>
      <c r="G248" s="25">
        <v>4</v>
      </c>
      <c r="H248" s="16" t="str">
        <f t="shared" ref="H248:H252" si="150">B248&amp;"_"&amp;C248&amp;"-"&amp;G248</f>
        <v>11006_1-4</v>
      </c>
      <c r="I248" s="5">
        <f ca="1">VLOOKUP($H248,OFFSET(floors!$A$1,0,0,COUNTA(floors!$A:$A),MATCH(I$1,floors!$1:$1,0)-MATCH($H$1,floors!$1:$1,0)+1),MATCH(I$1,floors!$1:$1,0)-MATCH($H$1,floors!$1:$1,0)+1,FALSE)</f>
        <v>30</v>
      </c>
      <c r="J248" s="5">
        <f ca="1">VLOOKUP($H248,OFFSET(floors!$A$1,0,0,COUNTA(floors!$A:$A),MATCH(J$1,floors!$1:$1,0)-MATCH($H$1,floors!$1:$1,0)+1),MATCH(J$1,floors!$1:$1,0)-MATCH($H$1,floors!$1:$1,0)+1,FALSE)</f>
        <v>55</v>
      </c>
      <c r="K248" s="24" t="s">
        <v>197</v>
      </c>
      <c r="L248" s="24">
        <v>117</v>
      </c>
      <c r="M248" s="20" t="str">
        <f ca="1">VLOOKUP($L248,OFFSET([3]enemies!$A$1,0,0,COUNTA([3]enemies!$A:$A),MATCH(M$1,[3]enemies!$1:$1,0)-MATCH($L$1,[3]enemies!$1:$1,0)+1),MATCH(M$1,[3]enemies!$1:$1,0)-MATCH($L$1,[3]enemies!$1:$1,0)+1,FALSE)</f>
        <v>ゴールドピヨピヨ</v>
      </c>
      <c r="N248" s="20" t="str">
        <f ca="1">VLOOKUP($L248,OFFSET([3]enemies!$A$1,0,0,COUNTA([3]enemies!$A:$A),MATCH(N$1,[3]enemies!$1:$1,0)-MATCH($L$1,[3]enemies!$1:$1,0)+1),MATCH(N$1,[3]enemies!$1:$1,0)-MATCH($L$1,[3]enemies!$1:$1,0)+1,FALSE)</f>
        <v>yellow</v>
      </c>
      <c r="O248" s="22" t="str">
        <f ca="1">VLOOKUP($L248,OFFSET([4]characters!$A$1,0,0,COUNTA([4]characters!$A:$A),MATCH(O$1,[4]characters!$1:$1,0)-MATCH($L$1,[4]characters!$1:$1,0)+1),MATCH(O$1,[4]characters!$1:$1,0)-MATCH($L$1,[4]characters!$1:$1,0)+1,FALSE)</f>
        <v>Material</v>
      </c>
      <c r="P248" s="20" t="str">
        <f ca="1">VLOOKUP($L248,OFFSET([3]enemies!$A$1,0,0,COUNTA([3]enemies!$A:$A),MATCH(P$1,[3]enemies!$1:$1,0)-MATCH($L$1,[3]enemies!$1:$1,0)+1),MATCH(P$1,[3]enemies!$1:$1,0)-MATCH($L$1,[3]enemies!$1:$1,0)+1,FALSE)</f>
        <v>unknown</v>
      </c>
      <c r="Q248" s="20">
        <f ca="1">VLOOKUP($L248,OFFSET([3]enemies!$A$1,0,0,COUNTA([3]enemies!$A:$A),MATCH(Q$1,[3]enemies!$1:$1,0)-MATCH($L$1,[3]enemies!$1:$1,0)+1),MATCH(Q$1,[3]enemies!$1:$1,0)-MATCH($L$1,[3]enemies!$1:$1,0)+1,FALSE)</f>
        <v>15</v>
      </c>
      <c r="R248" s="6">
        <v>2</v>
      </c>
      <c r="S248" s="40">
        <v>7.5</v>
      </c>
      <c r="T248" s="39">
        <v>11</v>
      </c>
      <c r="U248" s="6">
        <v>0</v>
      </c>
      <c r="V248" s="5" t="str">
        <f ca="1">VLOOKUP($W248,OFFSET([5]enemy_skill_sets!$B$1,0,0,COUNTA([5]enemy_skill_sets!$B:$B),MATCH(M$1,[5]enemy_skill_sets!$1:$1,0)-MATCH($W$1,[5]enemy_skill_sets!$1:$1,0)+2),MATCH(M$1,[5]enemy_skill_sets!$1:$1,0)-MATCH($W$1,[5]enemy_skill_sets!$1:$1,0)+2,FALSE)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8" s="5">
        <f ca="1">VLOOKUP($L248,OFFSET([3]enemies!$A$1,0,0,COUNTA([3]enemies!$A:$A),MATCH(W$1,[3]enemies!$1:$1,0)-MATCH($L$1,[3]enemies!$1:$1,0)+1),MATCH(W$1,[3]enemies!$1:$1,0)-MATCH($L$1,[3]enemies!$1:$1,0)+1,FALSE)</f>
        <v>0</v>
      </c>
      <c r="X248" s="7">
        <v>1</v>
      </c>
      <c r="Y248" s="7">
        <v>20</v>
      </c>
      <c r="Z248" s="7">
        <v>0</v>
      </c>
      <c r="AA248" s="20">
        <f ca="1">VLOOKUP($L248,OFFSET([3]enemies!$A$1,0,0,COUNTA([3]enemies!$A:$A),MATCH(AA$1,[3]enemies!$1:$1,0)-MATCH($L$1,[3]enemies!$1:$1,0)+1),MATCH(AA$1,[3]enemies!$1:$1,0)-MATCH($L$1,[3]enemies!$1:$1,0)+1,FALSE)</f>
        <v>1</v>
      </c>
      <c r="AB248" s="2">
        <f t="shared" ref="AB248:AB252" si="151">L248</f>
        <v>117</v>
      </c>
      <c r="AC248" s="5" t="str">
        <f ca="1">IFERROR(VLOOKUP($AB248,OFFSET([4]characters!$A$1,0,0,COUNTA([4]characters!$A:$A),MATCH(AC$1,[4]characters!$1:$1,0)-MATCH("character_id",[4]characters!$1:$1,0)+1),MATCH(AC$1,[4]characters!$1:$1,0)-MATCH("character_id",[4]characters!$1:$1,0)+1,FALSE),"")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48" s="5">
        <f ca="1">IFERROR(VLOOKUP($AB248,OFFSET([4]characters!$A$1,0,0,COUNTA([4]characters!$A:$A),MATCH(AD$1,[4]characters!$1:$1,0)-MATCH("character_id",[4]characters!$1:$1,0)+1),MATCH(AD$1,[4]characters!$1:$1,0)-MATCH("character_id",[4]characters!$1:$1,0)+1,FALSE),"")</f>
        <v>3</v>
      </c>
      <c r="AE248" s="5" t="str">
        <f ca="1">IFERROR(VLOOKUP($AB248,OFFSET([4]characters!$A$1,0,0,COUNTA([4]characters!$A:$A),MATCH(AE$1,[4]characters!$1:$1,0)-MATCH("character_id",[4]characters!$1:$1,0)+1),MATCH(AE$1,[4]characters!$1:$1,0)-MATCH("character_id",[4]characters!$1:$1,0)+1,FALSE),"")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8" s="8">
        <v>1</v>
      </c>
      <c r="AG248" s="27">
        <f t="shared" ref="AG248:AG252" ca="1" si="152">AD248</f>
        <v>3</v>
      </c>
      <c r="AH248" s="9">
        <v>100</v>
      </c>
      <c r="AI248" s="8">
        <v>0</v>
      </c>
      <c r="AJ248" s="8">
        <v>0</v>
      </c>
      <c r="AK248" s="8">
        <v>0</v>
      </c>
      <c r="AL248" s="8">
        <v>0</v>
      </c>
      <c r="AM248" s="8">
        <v>1</v>
      </c>
      <c r="AN248" s="8">
        <v>1</v>
      </c>
    </row>
    <row r="249" spans="1:40" ht="21" customHeight="1" x14ac:dyDescent="0.15">
      <c r="A249" s="17" t="str">
        <f t="shared" ca="1" si="148"/>
        <v>11006_1-4/1&lt;lv5&gt;s1</v>
      </c>
      <c r="B249" s="8">
        <v>11006</v>
      </c>
      <c r="C249" s="25">
        <v>1</v>
      </c>
      <c r="D249" s="2" t="str">
        <f t="shared" si="149"/>
        <v>11006_1</v>
      </c>
      <c r="E249" s="5" t="str">
        <f ca="1">VLOOKUP($B249,OFFSET([2]quests!$A$1,0,0,COUNTA([2]quests!$A:$A),MATCH(E$1,[2]quests!$1:$1,0)-MATCH($B$1,[2]quests!$1:$1,0)+1),MATCH(E$1,[2]quests!$1:$1,0)-MATCH($B$1,[2]quests!$1:$1,0)+1,FALSE)</f>
        <v>【土日限定】 ゴールドカジノ</v>
      </c>
      <c r="F249" s="5" t="str">
        <f ca="1">VLOOKUP($D249,OFFSET([2]stages!$A$1,0,0,COUNTA([2]stages!$A:$A),MATCH(F$1,[2]stages!$2:$2,0)-MATCH($D$1,[2]stages!$2:$2,0)+1),MATCH(F$1,[2]stages!$2:$2,0)-MATCH($D$1,[2]stages!$2:$2,0)+1,FALSE)</f>
        <v>【初級】ゴールドカジノ</v>
      </c>
      <c r="G249" s="25">
        <v>4</v>
      </c>
      <c r="H249" s="16" t="str">
        <f t="shared" si="150"/>
        <v>11006_1-4</v>
      </c>
      <c r="I249" s="5">
        <f ca="1">VLOOKUP($H249,OFFSET(floors!$A$1,0,0,COUNTA(floors!$A:$A),MATCH(I$1,floors!$1:$1,0)-MATCH($H$1,floors!$1:$1,0)+1),MATCH(I$1,floors!$1:$1,0)-MATCH($H$1,floors!$1:$1,0)+1,FALSE)</f>
        <v>30</v>
      </c>
      <c r="J249" s="5">
        <f ca="1">VLOOKUP($H249,OFFSET(floors!$A$1,0,0,COUNTA(floors!$A:$A),MATCH(J$1,floors!$1:$1,0)-MATCH($H$1,floors!$1:$1,0)+1),MATCH(J$1,floors!$1:$1,0)-MATCH($H$1,floors!$1:$1,0)+1,FALSE)</f>
        <v>55</v>
      </c>
      <c r="K249" s="24" t="s">
        <v>197</v>
      </c>
      <c r="L249" s="24">
        <v>1</v>
      </c>
      <c r="M249" s="20" t="str">
        <f ca="1">VLOOKUP($L249,OFFSET([3]enemies!$A$1,0,0,COUNTA([3]enemies!$A:$A),MATCH(M$1,[3]enemies!$1:$1,0)-MATCH($L$1,[3]enemies!$1:$1,0)+1),MATCH(M$1,[3]enemies!$1:$1,0)-MATCH($L$1,[3]enemies!$1:$1,0)+1,FALSE)</f>
        <v>ジェリー</v>
      </c>
      <c r="N249" s="20" t="str">
        <f ca="1">VLOOKUP($L249,OFFSET([3]enemies!$A$1,0,0,COUNTA([3]enemies!$A:$A),MATCH(N$1,[3]enemies!$1:$1,0)-MATCH($L$1,[3]enemies!$1:$1,0)+1),MATCH(N$1,[3]enemies!$1:$1,0)-MATCH($L$1,[3]enemies!$1:$1,0)+1,FALSE)</f>
        <v>red</v>
      </c>
      <c r="O249" s="22" t="str">
        <f ca="1">VLOOKUP($L249,OFFSET([4]characters!$A$1,0,0,COUNTA([4]characters!$A:$A),MATCH(O$1,[4]characters!$1:$1,0)-MATCH($L$1,[4]characters!$1:$1,0)+1),MATCH(O$1,[4]characters!$1:$1,0)-MATCH($L$1,[4]characters!$1:$1,0)+1,FALSE)</f>
        <v>Drop1T</v>
      </c>
      <c r="P249" s="20" t="str">
        <f ca="1">VLOOKUP($L249,OFFSET([3]enemies!$A$1,0,0,COUNTA([3]enemies!$A:$A),MATCH(P$1,[3]enemies!$1:$1,0)-MATCH($L$1,[3]enemies!$1:$1,0)+1),MATCH(P$1,[3]enemies!$1:$1,0)-MATCH($L$1,[3]enemies!$1:$1,0)+1,FALSE)</f>
        <v>unknown</v>
      </c>
      <c r="Q249" s="20">
        <f ca="1">VLOOKUP($L249,OFFSET([3]enemies!$A$1,0,0,COUNTA([3]enemies!$A:$A),MATCH(Q$1,[3]enemies!$1:$1,0)-MATCH($L$1,[3]enemies!$1:$1,0)+1),MATCH(Q$1,[3]enemies!$1:$1,0)-MATCH($L$1,[3]enemies!$1:$1,0)+1,FALSE)</f>
        <v>15</v>
      </c>
      <c r="R249" s="6">
        <v>5</v>
      </c>
      <c r="S249" s="39">
        <v>1</v>
      </c>
      <c r="T249" s="39">
        <v>1</v>
      </c>
      <c r="U249" s="6">
        <v>0</v>
      </c>
      <c r="V249" s="5" t="str">
        <f ca="1">VLOOKUP($W249,OFFSET([5]enemy_skill_sets!$B$1,0,0,COUNTA([5]enemy_skill_sets!$B:$B),MATCH(M$1,[5]enemy_skill_sets!$1:$1,0)-MATCH($W$1,[5]enemy_skill_sets!$1:$1,0)+2),MATCH(M$1,[5]enemy_skill_sets!$1:$1,0)-MATCH($W$1,[5]enemy_skill_sets!$1:$1,0)+2,FALSE)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9" s="5">
        <f ca="1">VLOOKUP($L249,OFFSET([3]enemies!$A$1,0,0,COUNTA([3]enemies!$A:$A),MATCH(W$1,[3]enemies!$1:$1,0)-MATCH($L$1,[3]enemies!$1:$1,0)+1),MATCH(W$1,[3]enemies!$1:$1,0)-MATCH($L$1,[3]enemies!$1:$1,0)+1,FALSE)</f>
        <v>0</v>
      </c>
      <c r="X249" s="7">
        <v>0</v>
      </c>
      <c r="Y249" s="7">
        <v>20</v>
      </c>
      <c r="Z249" s="7">
        <v>0</v>
      </c>
      <c r="AA249" s="20">
        <f ca="1">VLOOKUP($L249,OFFSET([3]enemies!$A$1,0,0,COUNTA([3]enemies!$A:$A),MATCH(AA$1,[3]enemies!$1:$1,0)-MATCH($L$1,[3]enemies!$1:$1,0)+1),MATCH(AA$1,[3]enemies!$1:$1,0)-MATCH($L$1,[3]enemies!$1:$1,0)+1,FALSE)</f>
        <v>1</v>
      </c>
      <c r="AB249" s="2">
        <f t="shared" si="151"/>
        <v>1</v>
      </c>
      <c r="AC249" s="5" t="str">
        <f ca="1">IFERROR(VLOOKUP($AB249,OFFSET([4]characters!$A$1,0,0,COUNTA([4]characters!$A:$A),MATCH(AC$1,[4]characters!$1:$1,0)-MATCH("character_id",[4]characters!$1:$1,0)+1),MATCH(AC$1,[4]characters!$1:$1,0)-MATCH("character_id",[4]characters!$1:$1,0)+1,FALSE),"")</f>
        <v>ジェリー</v>
      </c>
      <c r="AD249" s="5">
        <f ca="1">IFERROR(VLOOKUP($AB249,OFFSET([4]characters!$A$1,0,0,COUNTA([4]characters!$A:$A),MATCH(AD$1,[4]characters!$1:$1,0)-MATCH("character_id",[4]characters!$1:$1,0)+1),MATCH(AD$1,[4]characters!$1:$1,0)-MATCH("character_id",[4]characters!$1:$1,0)+1,FALSE),"")</f>
        <v>1</v>
      </c>
      <c r="AE249" s="5" t="str">
        <f ca="1">IFERROR(VLOOKUP($AB249,OFFSET([4]characters!$A$1,0,0,COUNTA([4]characters!$A:$A),MATCH(AE$1,[4]characters!$1:$1,0)-MATCH("character_id",[4]characters!$1:$1,0)+1),MATCH(AE$1,[4]characters!$1:$1,0)-MATCH("character_id",[4]characters!$1:$1,0)+1,FALSE),"")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49" s="8">
        <v>1</v>
      </c>
      <c r="AG249" s="27">
        <f t="shared" ca="1" si="152"/>
        <v>1</v>
      </c>
      <c r="AH249" s="9">
        <v>0</v>
      </c>
      <c r="AI249" s="8">
        <v>0</v>
      </c>
      <c r="AJ249" s="8">
        <v>0</v>
      </c>
      <c r="AK249" s="8">
        <v>0</v>
      </c>
      <c r="AL249" s="8">
        <v>0</v>
      </c>
      <c r="AM249" s="8">
        <v>1</v>
      </c>
      <c r="AN249" s="8">
        <v>1</v>
      </c>
    </row>
    <row r="250" spans="1:40" ht="21" customHeight="1" x14ac:dyDescent="0.15">
      <c r="A250" s="17" t="str">
        <f t="shared" ca="1" si="148"/>
        <v>11006_1-4/3&lt;lv5&gt;s2</v>
      </c>
      <c r="B250" s="8">
        <v>11006</v>
      </c>
      <c r="C250" s="25">
        <v>1</v>
      </c>
      <c r="D250" s="2" t="str">
        <f t="shared" si="149"/>
        <v>11006_1</v>
      </c>
      <c r="E250" s="5" t="str">
        <f ca="1">VLOOKUP($B250,OFFSET([2]quests!$A$1,0,0,COUNTA([2]quests!$A:$A),MATCH(E$1,[2]quests!$1:$1,0)-MATCH($B$1,[2]quests!$1:$1,0)+1),MATCH(E$1,[2]quests!$1:$1,0)-MATCH($B$1,[2]quests!$1:$1,0)+1,FALSE)</f>
        <v>【土日限定】 ゴールドカジノ</v>
      </c>
      <c r="F250" s="5" t="str">
        <f ca="1">VLOOKUP($D250,OFFSET([2]stages!$A$1,0,0,COUNTA([2]stages!$A:$A),MATCH(F$1,[2]stages!$2:$2,0)-MATCH($D$1,[2]stages!$2:$2,0)+1),MATCH(F$1,[2]stages!$2:$2,0)-MATCH($D$1,[2]stages!$2:$2,0)+1,FALSE)</f>
        <v>【初級】ゴールドカジノ</v>
      </c>
      <c r="G250" s="25">
        <v>4</v>
      </c>
      <c r="H250" s="16" t="str">
        <f t="shared" si="150"/>
        <v>11006_1-4</v>
      </c>
      <c r="I250" s="5">
        <f ca="1">VLOOKUP($H250,OFFSET(floors!$A$1,0,0,COUNTA(floors!$A:$A),MATCH(I$1,floors!$1:$1,0)-MATCH($H$1,floors!$1:$1,0)+1),MATCH(I$1,floors!$1:$1,0)-MATCH($H$1,floors!$1:$1,0)+1,FALSE)</f>
        <v>30</v>
      </c>
      <c r="J250" s="5">
        <f ca="1">VLOOKUP($H250,OFFSET(floors!$A$1,0,0,COUNTA(floors!$A:$A),MATCH(J$1,floors!$1:$1,0)-MATCH($H$1,floors!$1:$1,0)+1),MATCH(J$1,floors!$1:$1,0)-MATCH($H$1,floors!$1:$1,0)+1,FALSE)</f>
        <v>55</v>
      </c>
      <c r="K250" s="24" t="s">
        <v>197</v>
      </c>
      <c r="L250" s="24">
        <v>3</v>
      </c>
      <c r="M250" s="20" t="str">
        <f ca="1">VLOOKUP($L250,OFFSET([3]enemies!$A$1,0,0,COUNTA([3]enemies!$A:$A),MATCH(M$1,[3]enemies!$1:$1,0)-MATCH($L$1,[3]enemies!$1:$1,0)+1),MATCH(M$1,[3]enemies!$1:$1,0)-MATCH($L$1,[3]enemies!$1:$1,0)+1,FALSE)</f>
        <v>エージェント ジョー</v>
      </c>
      <c r="N250" s="20" t="str">
        <f ca="1">VLOOKUP($L250,OFFSET([3]enemies!$A$1,0,0,COUNTA([3]enemies!$A:$A),MATCH(N$1,[3]enemies!$1:$1,0)-MATCH($L$1,[3]enemies!$1:$1,0)+1),MATCH(N$1,[3]enemies!$1:$1,0)-MATCH($L$1,[3]enemies!$1:$1,0)+1,FALSE)</f>
        <v>green</v>
      </c>
      <c r="O250" s="22" t="str">
        <f ca="1">VLOOKUP($L250,OFFSET([4]characters!$A$1,0,0,COUNTA([4]characters!$A:$A),MATCH(O$1,[4]characters!$1:$1,0)-MATCH($L$1,[4]characters!$1:$1,0)+1),MATCH(O$1,[4]characters!$1:$1,0)-MATCH($L$1,[4]characters!$1:$1,0)+1,FALSE)</f>
        <v>Drop1T</v>
      </c>
      <c r="P250" s="20" t="str">
        <f ca="1">VLOOKUP($L250,OFFSET([3]enemies!$A$1,0,0,COUNTA([3]enemies!$A:$A),MATCH(P$1,[3]enemies!$1:$1,0)-MATCH($L$1,[3]enemies!$1:$1,0)+1),MATCH(P$1,[3]enemies!$1:$1,0)-MATCH($L$1,[3]enemies!$1:$1,0)+1,FALSE)</f>
        <v>unknown</v>
      </c>
      <c r="Q250" s="20">
        <f ca="1">VLOOKUP($L250,OFFSET([3]enemies!$A$1,0,0,COUNTA([3]enemies!$A:$A),MATCH(Q$1,[3]enemies!$1:$1,0)-MATCH($L$1,[3]enemies!$1:$1,0)+1),MATCH(Q$1,[3]enemies!$1:$1,0)-MATCH($L$1,[3]enemies!$1:$1,0)+1,FALSE)</f>
        <v>15</v>
      </c>
      <c r="R250" s="6">
        <v>5</v>
      </c>
      <c r="S250" s="39">
        <v>1</v>
      </c>
      <c r="T250" s="39">
        <v>1</v>
      </c>
      <c r="U250" s="6">
        <v>0</v>
      </c>
      <c r="V250" s="5" t="str">
        <f ca="1">VLOOKUP($W250,OFFSET([5]enemy_skill_sets!$B$1,0,0,COUNTA([5]enemy_skill_sets!$B:$B),MATCH(M$1,[5]enemy_skill_sets!$1:$1,0)-MATCH($W$1,[5]enemy_skill_sets!$1:$1,0)+2),MATCH(M$1,[5]enemy_skill_sets!$1:$1,0)-MATCH($W$1,[5]enemy_skill_sets!$1:$1,0)+2,FALSE)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0" s="5">
        <f ca="1">VLOOKUP($L250,OFFSET([3]enemies!$A$1,0,0,COUNTA([3]enemies!$A:$A),MATCH(W$1,[3]enemies!$1:$1,0)-MATCH($L$1,[3]enemies!$1:$1,0)+1),MATCH(W$1,[3]enemies!$1:$1,0)-MATCH($L$1,[3]enemies!$1:$1,0)+1,FALSE)</f>
        <v>0</v>
      </c>
      <c r="X250" s="7">
        <v>0</v>
      </c>
      <c r="Y250" s="7">
        <v>20</v>
      </c>
      <c r="Z250" s="7">
        <v>0</v>
      </c>
      <c r="AA250" s="20">
        <f ca="1">VLOOKUP($L250,OFFSET([3]enemies!$A$1,0,0,COUNTA([3]enemies!$A:$A),MATCH(AA$1,[3]enemies!$1:$1,0)-MATCH($L$1,[3]enemies!$1:$1,0)+1),MATCH(AA$1,[3]enemies!$1:$1,0)-MATCH($L$1,[3]enemies!$1:$1,0)+1,FALSE)</f>
        <v>2</v>
      </c>
      <c r="AB250" s="2">
        <f t="shared" si="151"/>
        <v>3</v>
      </c>
      <c r="AC250" s="5" t="str">
        <f ca="1">IFERROR(VLOOKUP($AB250,OFFSET([4]characters!$A$1,0,0,COUNTA([4]characters!$A:$A),MATCH(AC$1,[4]characters!$1:$1,0)-MATCH("character_id",[4]characters!$1:$1,0)+1),MATCH(AC$1,[4]characters!$1:$1,0)-MATCH("character_id",[4]characters!$1:$1,0)+1,FALSE),"")</f>
        <v>エージェント ジョー</v>
      </c>
      <c r="AD250" s="5">
        <f ca="1">IFERROR(VLOOKUP($AB250,OFFSET([4]characters!$A$1,0,0,COUNTA([4]characters!$A:$A),MATCH(AD$1,[4]characters!$1:$1,0)-MATCH("character_id",[4]characters!$1:$1,0)+1),MATCH(AD$1,[4]characters!$1:$1,0)-MATCH("character_id",[4]characters!$1:$1,0)+1,FALSE),"")</f>
        <v>1</v>
      </c>
      <c r="AE250" s="5" t="str">
        <f ca="1">IFERROR(VLOOKUP($AB250,OFFSET([4]characters!$A$1,0,0,COUNTA([4]characters!$A:$A),MATCH(AE$1,[4]characters!$1:$1,0)-MATCH("character_id",[4]characters!$1:$1,0)+1),MATCH(AE$1,[4]characters!$1:$1,0)-MATCH("character_id",[4]characters!$1:$1,0)+1,FALSE),"")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50" s="8">
        <v>1</v>
      </c>
      <c r="AG250" s="27">
        <f t="shared" ca="1" si="152"/>
        <v>1</v>
      </c>
      <c r="AH250" s="9">
        <v>0</v>
      </c>
      <c r="AI250" s="8">
        <v>0</v>
      </c>
      <c r="AJ250" s="8">
        <v>0</v>
      </c>
      <c r="AK250" s="8">
        <v>0</v>
      </c>
      <c r="AL250" s="8">
        <v>0</v>
      </c>
      <c r="AM250" s="8">
        <v>1</v>
      </c>
      <c r="AN250" s="8">
        <v>1</v>
      </c>
    </row>
    <row r="251" spans="1:40" ht="21" customHeight="1" x14ac:dyDescent="0.15">
      <c r="A251" s="17" t="str">
        <f t="shared" ca="1" si="148"/>
        <v>11006_1-4/5&lt;lv5&gt;s3</v>
      </c>
      <c r="B251" s="8">
        <v>11006</v>
      </c>
      <c r="C251" s="25">
        <v>1</v>
      </c>
      <c r="D251" s="2" t="str">
        <f t="shared" si="149"/>
        <v>11006_1</v>
      </c>
      <c r="E251" s="5" t="str">
        <f ca="1">VLOOKUP($B251,OFFSET([2]quests!$A$1,0,0,COUNTA([2]quests!$A:$A),MATCH(E$1,[2]quests!$1:$1,0)-MATCH($B$1,[2]quests!$1:$1,0)+1),MATCH(E$1,[2]quests!$1:$1,0)-MATCH($B$1,[2]quests!$1:$1,0)+1,FALSE)</f>
        <v>【土日限定】 ゴールドカジノ</v>
      </c>
      <c r="F251" s="5" t="str">
        <f ca="1">VLOOKUP($D251,OFFSET([2]stages!$A$1,0,0,COUNTA([2]stages!$A:$A),MATCH(F$1,[2]stages!$2:$2,0)-MATCH($D$1,[2]stages!$2:$2,0)+1),MATCH(F$1,[2]stages!$2:$2,0)-MATCH($D$1,[2]stages!$2:$2,0)+1,FALSE)</f>
        <v>【初級】ゴールドカジノ</v>
      </c>
      <c r="G251" s="25">
        <v>4</v>
      </c>
      <c r="H251" s="16" t="str">
        <f t="shared" si="150"/>
        <v>11006_1-4</v>
      </c>
      <c r="I251" s="5">
        <f ca="1">VLOOKUP($H251,OFFSET(floors!$A$1,0,0,COUNTA(floors!$A:$A),MATCH(I$1,floors!$1:$1,0)-MATCH($H$1,floors!$1:$1,0)+1),MATCH(I$1,floors!$1:$1,0)-MATCH($H$1,floors!$1:$1,0)+1,FALSE)</f>
        <v>30</v>
      </c>
      <c r="J251" s="5">
        <f ca="1">VLOOKUP($H251,OFFSET(floors!$A$1,0,0,COUNTA(floors!$A:$A),MATCH(J$1,floors!$1:$1,0)-MATCH($H$1,floors!$1:$1,0)+1),MATCH(J$1,floors!$1:$1,0)-MATCH($H$1,floors!$1:$1,0)+1,FALSE)</f>
        <v>55</v>
      </c>
      <c r="K251" s="24" t="s">
        <v>197</v>
      </c>
      <c r="L251" s="24">
        <v>5</v>
      </c>
      <c r="M251" s="20" t="str">
        <f ca="1">VLOOKUP($L251,OFFSET([3]enemies!$A$1,0,0,COUNTA([3]enemies!$A:$A),MATCH(M$1,[3]enemies!$1:$1,0)-MATCH($L$1,[3]enemies!$1:$1,0)+1),MATCH(M$1,[3]enemies!$1:$1,0)-MATCH($L$1,[3]enemies!$1:$1,0)+1,FALSE)</f>
        <v>パトドッグ ポチ</v>
      </c>
      <c r="N251" s="20" t="str">
        <f ca="1">VLOOKUP($L251,OFFSET([3]enemies!$A$1,0,0,COUNTA([3]enemies!$A:$A),MATCH(N$1,[3]enemies!$1:$1,0)-MATCH($L$1,[3]enemies!$1:$1,0)+1),MATCH(N$1,[3]enemies!$1:$1,0)-MATCH($L$1,[3]enemies!$1:$1,0)+1,FALSE)</f>
        <v>blue</v>
      </c>
      <c r="O251" s="22" t="str">
        <f ca="1">VLOOKUP($L251,OFFSET([4]characters!$A$1,0,0,COUNTA([4]characters!$A:$A),MATCH(O$1,[4]characters!$1:$1,0)-MATCH($L$1,[4]characters!$1:$1,0)+1),MATCH(O$1,[4]characters!$1:$1,0)-MATCH($L$1,[4]characters!$1:$1,0)+1,FALSE)</f>
        <v>Drop1T</v>
      </c>
      <c r="P251" s="20" t="str">
        <f ca="1">VLOOKUP($L251,OFFSET([3]enemies!$A$1,0,0,COUNTA([3]enemies!$A:$A),MATCH(P$1,[3]enemies!$1:$1,0)-MATCH($L$1,[3]enemies!$1:$1,0)+1),MATCH(P$1,[3]enemies!$1:$1,0)-MATCH($L$1,[3]enemies!$1:$1,0)+1,FALSE)</f>
        <v>unknown</v>
      </c>
      <c r="Q251" s="20">
        <f ca="1">VLOOKUP($L251,OFFSET([3]enemies!$A$1,0,0,COUNTA([3]enemies!$A:$A),MATCH(Q$1,[3]enemies!$1:$1,0)-MATCH($L$1,[3]enemies!$1:$1,0)+1),MATCH(Q$1,[3]enemies!$1:$1,0)-MATCH($L$1,[3]enemies!$1:$1,0)+1,FALSE)</f>
        <v>15</v>
      </c>
      <c r="R251" s="6">
        <v>5</v>
      </c>
      <c r="S251" s="39">
        <v>1</v>
      </c>
      <c r="T251" s="39">
        <v>1</v>
      </c>
      <c r="U251" s="6">
        <v>0</v>
      </c>
      <c r="V251" s="5" t="str">
        <f ca="1">VLOOKUP($W251,OFFSET([5]enemy_skill_sets!$B$1,0,0,COUNTA([5]enemy_skill_sets!$B:$B),MATCH(M$1,[5]enemy_skill_sets!$1:$1,0)-MATCH($W$1,[5]enemy_skill_sets!$1:$1,0)+2),MATCH(M$1,[5]enemy_skill_sets!$1:$1,0)-MATCH($W$1,[5]enemy_skill_sets!$1:$1,0)+2,FALSE)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1" s="5">
        <f ca="1">VLOOKUP($L251,OFFSET([3]enemies!$A$1,0,0,COUNTA([3]enemies!$A:$A),MATCH(W$1,[3]enemies!$1:$1,0)-MATCH($L$1,[3]enemies!$1:$1,0)+1),MATCH(W$1,[3]enemies!$1:$1,0)-MATCH($L$1,[3]enemies!$1:$1,0)+1,FALSE)</f>
        <v>0</v>
      </c>
      <c r="X251" s="7">
        <v>0</v>
      </c>
      <c r="Y251" s="7">
        <v>20</v>
      </c>
      <c r="Z251" s="7">
        <v>0</v>
      </c>
      <c r="AA251" s="20">
        <f ca="1">VLOOKUP($L251,OFFSET([3]enemies!$A$1,0,0,COUNTA([3]enemies!$A:$A),MATCH(AA$1,[3]enemies!$1:$1,0)-MATCH($L$1,[3]enemies!$1:$1,0)+1),MATCH(AA$1,[3]enemies!$1:$1,0)-MATCH($L$1,[3]enemies!$1:$1,0)+1,FALSE)</f>
        <v>3</v>
      </c>
      <c r="AB251" s="2">
        <f t="shared" si="151"/>
        <v>5</v>
      </c>
      <c r="AC251" s="5" t="str">
        <f ca="1">IFERROR(VLOOKUP($AB251,OFFSET([4]characters!$A$1,0,0,COUNTA([4]characters!$A:$A),MATCH(AC$1,[4]characters!$1:$1,0)-MATCH("character_id",[4]characters!$1:$1,0)+1),MATCH(AC$1,[4]characters!$1:$1,0)-MATCH("character_id",[4]characters!$1:$1,0)+1,FALSE),"")</f>
        <v>パトドッグ ポチ</v>
      </c>
      <c r="AD251" s="5">
        <f ca="1">IFERROR(VLOOKUP($AB251,OFFSET([4]characters!$A$1,0,0,COUNTA([4]characters!$A:$A),MATCH(AD$1,[4]characters!$1:$1,0)-MATCH("character_id",[4]characters!$1:$1,0)+1),MATCH(AD$1,[4]characters!$1:$1,0)-MATCH("character_id",[4]characters!$1:$1,0)+1,FALSE),"")</f>
        <v>1</v>
      </c>
      <c r="AE251" s="5" t="str">
        <f ca="1">IFERROR(VLOOKUP($AB251,OFFSET([4]characters!$A$1,0,0,COUNTA([4]characters!$A:$A),MATCH(AE$1,[4]characters!$1:$1,0)-MATCH("character_id",[4]characters!$1:$1,0)+1),MATCH(AE$1,[4]characters!$1:$1,0)-MATCH("character_id",[4]characters!$1:$1,0)+1,FALSE),"")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51" s="8">
        <v>1</v>
      </c>
      <c r="AG251" s="27">
        <f t="shared" ca="1" si="152"/>
        <v>1</v>
      </c>
      <c r="AH251" s="9">
        <v>0</v>
      </c>
      <c r="AI251" s="8">
        <v>0</v>
      </c>
      <c r="AJ251" s="8">
        <v>0</v>
      </c>
      <c r="AK251" s="8">
        <v>0</v>
      </c>
      <c r="AL251" s="8">
        <v>0</v>
      </c>
      <c r="AM251" s="8">
        <v>1</v>
      </c>
      <c r="AN251" s="8">
        <v>1</v>
      </c>
    </row>
    <row r="252" spans="1:40" ht="21" customHeight="1" x14ac:dyDescent="0.15">
      <c r="A252" s="17" t="str">
        <f t="shared" ca="1" si="148"/>
        <v>11006_1-4/7&lt;lv5&gt;s2</v>
      </c>
      <c r="B252" s="8">
        <v>11006</v>
      </c>
      <c r="C252" s="25">
        <v>1</v>
      </c>
      <c r="D252" s="2" t="str">
        <f t="shared" si="149"/>
        <v>11006_1</v>
      </c>
      <c r="E252" s="5" t="str">
        <f ca="1">VLOOKUP($B252,OFFSET([2]quests!$A$1,0,0,COUNTA([2]quests!$A:$A),MATCH(E$1,[2]quests!$1:$1,0)-MATCH($B$1,[2]quests!$1:$1,0)+1),MATCH(E$1,[2]quests!$1:$1,0)-MATCH($B$1,[2]quests!$1:$1,0)+1,FALSE)</f>
        <v>【土日限定】 ゴールドカジノ</v>
      </c>
      <c r="F252" s="5" t="str">
        <f ca="1">VLOOKUP($D252,OFFSET([2]stages!$A$1,0,0,COUNTA([2]stages!$A:$A),MATCH(F$1,[2]stages!$2:$2,0)-MATCH($D$1,[2]stages!$2:$2,0)+1),MATCH(F$1,[2]stages!$2:$2,0)-MATCH($D$1,[2]stages!$2:$2,0)+1,FALSE)</f>
        <v>【初級】ゴールドカジノ</v>
      </c>
      <c r="G252" s="25">
        <v>4</v>
      </c>
      <c r="H252" s="16" t="str">
        <f t="shared" si="150"/>
        <v>11006_1-4</v>
      </c>
      <c r="I252" s="5">
        <f ca="1">VLOOKUP($H252,OFFSET(floors!$A$1,0,0,COUNTA(floors!$A:$A),MATCH(I$1,floors!$1:$1,0)-MATCH($H$1,floors!$1:$1,0)+1),MATCH(I$1,floors!$1:$1,0)-MATCH($H$1,floors!$1:$1,0)+1,FALSE)</f>
        <v>30</v>
      </c>
      <c r="J252" s="5">
        <f ca="1">VLOOKUP($H252,OFFSET(floors!$A$1,0,0,COUNTA(floors!$A:$A),MATCH(J$1,floors!$1:$1,0)-MATCH($H$1,floors!$1:$1,0)+1),MATCH(J$1,floors!$1:$1,0)-MATCH($H$1,floors!$1:$1,0)+1,FALSE)</f>
        <v>55</v>
      </c>
      <c r="K252" s="24" t="s">
        <v>197</v>
      </c>
      <c r="L252" s="24">
        <v>7</v>
      </c>
      <c r="M252" s="20" t="str">
        <f ca="1">VLOOKUP($L252,OFFSET([3]enemies!$A$1,0,0,COUNTA([3]enemies!$A:$A),MATCH(M$1,[3]enemies!$1:$1,0)-MATCH($L$1,[3]enemies!$1:$1,0)+1),MATCH(M$1,[3]enemies!$1:$1,0)-MATCH($L$1,[3]enemies!$1:$1,0)+1,FALSE)</f>
        <v>エレキポット</v>
      </c>
      <c r="N252" s="20" t="str">
        <f ca="1">VLOOKUP($L252,OFFSET([3]enemies!$A$1,0,0,COUNTA([3]enemies!$A:$A),MATCH(N$1,[3]enemies!$1:$1,0)-MATCH($L$1,[3]enemies!$1:$1,0)+1),MATCH(N$1,[3]enemies!$1:$1,0)-MATCH($L$1,[3]enemies!$1:$1,0)+1,FALSE)</f>
        <v>yellow</v>
      </c>
      <c r="O252" s="22" t="str">
        <f ca="1">VLOOKUP($L252,OFFSET([4]characters!$A$1,0,0,COUNTA([4]characters!$A:$A),MATCH(O$1,[4]characters!$1:$1,0)-MATCH($L$1,[4]characters!$1:$1,0)+1),MATCH(O$1,[4]characters!$1:$1,0)-MATCH($L$1,[4]characters!$1:$1,0)+1,FALSE)</f>
        <v>Drop1T</v>
      </c>
      <c r="P252" s="20" t="str">
        <f ca="1">VLOOKUP($L252,OFFSET([3]enemies!$A$1,0,0,COUNTA([3]enemies!$A:$A),MATCH(P$1,[3]enemies!$1:$1,0)-MATCH($L$1,[3]enemies!$1:$1,0)+1),MATCH(P$1,[3]enemies!$1:$1,0)-MATCH($L$1,[3]enemies!$1:$1,0)+1,FALSE)</f>
        <v>unknown</v>
      </c>
      <c r="Q252" s="20">
        <f ca="1">VLOOKUP($L252,OFFSET([3]enemies!$A$1,0,0,COUNTA([3]enemies!$A:$A),MATCH(Q$1,[3]enemies!$1:$1,0)-MATCH($L$1,[3]enemies!$1:$1,0)+1),MATCH(Q$1,[3]enemies!$1:$1,0)-MATCH($L$1,[3]enemies!$1:$1,0)+1,FALSE)</f>
        <v>15</v>
      </c>
      <c r="R252" s="6">
        <v>5</v>
      </c>
      <c r="S252" s="39">
        <v>1</v>
      </c>
      <c r="T252" s="39">
        <v>1</v>
      </c>
      <c r="U252" s="6">
        <v>0</v>
      </c>
      <c r="V252" s="5" t="str">
        <f ca="1">VLOOKUP($W252,OFFSET([5]enemy_skill_sets!$B$1,0,0,COUNTA([5]enemy_skill_sets!$B:$B),MATCH(M$1,[5]enemy_skill_sets!$1:$1,0)-MATCH($W$1,[5]enemy_skill_sets!$1:$1,0)+2),MATCH(M$1,[5]enemy_skill_sets!$1:$1,0)-MATCH($W$1,[5]enemy_skill_sets!$1:$1,0)+2,FALSE)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2" s="5">
        <f ca="1">VLOOKUP($L252,OFFSET([3]enemies!$A$1,0,0,COUNTA([3]enemies!$A:$A),MATCH(W$1,[3]enemies!$1:$1,0)-MATCH($L$1,[3]enemies!$1:$1,0)+1),MATCH(W$1,[3]enemies!$1:$1,0)-MATCH($L$1,[3]enemies!$1:$1,0)+1,FALSE)</f>
        <v>0</v>
      </c>
      <c r="X252" s="7">
        <v>0</v>
      </c>
      <c r="Y252" s="7">
        <v>20</v>
      </c>
      <c r="Z252" s="7">
        <v>0</v>
      </c>
      <c r="AA252" s="20">
        <f ca="1">VLOOKUP($L252,OFFSET([3]enemies!$A$1,0,0,COUNTA([3]enemies!$A:$A),MATCH(AA$1,[3]enemies!$1:$1,0)-MATCH($L$1,[3]enemies!$1:$1,0)+1),MATCH(AA$1,[3]enemies!$1:$1,0)-MATCH($L$1,[3]enemies!$1:$1,0)+1,FALSE)</f>
        <v>2</v>
      </c>
      <c r="AB252" s="2">
        <f t="shared" si="151"/>
        <v>7</v>
      </c>
      <c r="AC252" s="5" t="str">
        <f ca="1">IFERROR(VLOOKUP($AB252,OFFSET([4]characters!$A$1,0,0,COUNTA([4]characters!$A:$A),MATCH(AC$1,[4]characters!$1:$1,0)-MATCH("character_id",[4]characters!$1:$1,0)+1),MATCH(AC$1,[4]characters!$1:$1,0)-MATCH("character_id",[4]characters!$1:$1,0)+1,FALSE),"")</f>
        <v>エレキポット</v>
      </c>
      <c r="AD252" s="5">
        <f ca="1">IFERROR(VLOOKUP($AB252,OFFSET([4]characters!$A$1,0,0,COUNTA([4]characters!$A:$A),MATCH(AD$1,[4]characters!$1:$1,0)-MATCH("character_id",[4]characters!$1:$1,0)+1),MATCH(AD$1,[4]characters!$1:$1,0)-MATCH("character_id",[4]characters!$1:$1,0)+1,FALSE),"")</f>
        <v>1</v>
      </c>
      <c r="AE252" s="5" t="str">
        <f ca="1">IFERROR(VLOOKUP($AB252,OFFSET([4]characters!$A$1,0,0,COUNTA([4]characters!$A:$A),MATCH(AE$1,[4]characters!$1:$1,0)-MATCH("character_id",[4]characters!$1:$1,0)+1),MATCH(AE$1,[4]characters!$1:$1,0)-MATCH("character_id",[4]characters!$1:$1,0)+1,FALSE),"")</f>
        <v>Drop1T</v>
      </c>
      <c r="AF252" s="8">
        <v>1</v>
      </c>
      <c r="AG252" s="27">
        <f t="shared" ca="1" si="152"/>
        <v>1</v>
      </c>
      <c r="AH252" s="9">
        <v>0</v>
      </c>
      <c r="AI252" s="8">
        <v>0</v>
      </c>
      <c r="AJ252" s="8">
        <v>0</v>
      </c>
      <c r="AK252" s="8">
        <v>0</v>
      </c>
      <c r="AL252" s="8">
        <v>0</v>
      </c>
      <c r="AM252" s="8">
        <v>1</v>
      </c>
      <c r="AN252" s="8">
        <v>1</v>
      </c>
    </row>
    <row r="253" spans="1:40" ht="21" customHeight="1" x14ac:dyDescent="0.15">
      <c r="A253" s="17" t="str">
        <f ca="1">B253&amp;"_"&amp;C253&amp;"-"&amp;G253&amp;"/"&amp;L253&amp;"&lt;lv"&amp;R253&amp;"&gt;s"&amp;AA253</f>
        <v>11006_1-5/118&lt;lv1&gt;s2</v>
      </c>
      <c r="B253" s="8">
        <v>11006</v>
      </c>
      <c r="C253" s="25">
        <v>1</v>
      </c>
      <c r="D253" s="2" t="str">
        <f>B253&amp;"_"&amp;C253</f>
        <v>11006_1</v>
      </c>
      <c r="E253" s="5" t="str">
        <f ca="1">VLOOKUP($B253,OFFSET([2]quests!$A$1,0,0,COUNTA([2]quests!$A:$A),MATCH(E$1,[2]quests!$1:$1,0)-MATCH($B$1,[2]quests!$1:$1,0)+1),MATCH(E$1,[2]quests!$1:$1,0)-MATCH($B$1,[2]quests!$1:$1,0)+1,FALSE)</f>
        <v>【土日限定】 ゴールドカジノ</v>
      </c>
      <c r="F253" s="5" t="str">
        <f ca="1">VLOOKUP($D253,OFFSET([2]stages!$A$1,0,0,COUNTA([2]stages!$A:$A),MATCH(F$1,[2]stages!$2:$2,0)-MATCH($D$1,[2]stages!$2:$2,0)+1),MATCH(F$1,[2]stages!$2:$2,0)-MATCH($D$1,[2]stages!$2:$2,0)+1,FALSE)</f>
        <v>【初級】ゴールドカジノ</v>
      </c>
      <c r="G253" s="25">
        <v>5</v>
      </c>
      <c r="H253" s="16" t="str">
        <f>B253&amp;"_"&amp;C253&amp;"-"&amp;G253</f>
        <v>11006_1-5</v>
      </c>
      <c r="I253" s="5">
        <f ca="1">VLOOKUP($H253,OFFSET(floors!$A$1,0,0,COUNTA(floors!$A:$A),MATCH(I$1,floors!$1:$1,0)-MATCH($H$1,floors!$1:$1,0)+1),MATCH(I$1,floors!$1:$1,0)-MATCH($H$1,floors!$1:$1,0)+1,FALSE)</f>
        <v>45</v>
      </c>
      <c r="J253" s="5">
        <f ca="1">VLOOKUP($H253,OFFSET(floors!$A$1,0,0,COUNTA(floors!$A:$A),MATCH(J$1,floors!$1:$1,0)-MATCH($H$1,floors!$1:$1,0)+1),MATCH(J$1,floors!$1:$1,0)-MATCH($H$1,floors!$1:$1,0)+1,FALSE)</f>
        <v>45</v>
      </c>
      <c r="K253" s="24" t="s">
        <v>197</v>
      </c>
      <c r="L253" s="24">
        <v>118</v>
      </c>
      <c r="M253" s="20" t="str">
        <f ca="1">VLOOKUP($L253,OFFSET([3]enemies!$A$1,0,0,COUNTA([3]enemies!$A:$A),MATCH(M$1,[3]enemies!$1:$1,0)-MATCH($L$1,[3]enemies!$1:$1,0)+1),MATCH(M$1,[3]enemies!$1:$1,0)-MATCH($L$1,[3]enemies!$1:$1,0)+1,FALSE)</f>
        <v>ゴールドチック</v>
      </c>
      <c r="N253" s="20" t="str">
        <f ca="1">VLOOKUP($L253,OFFSET([3]enemies!$A$1,0,0,COUNTA([3]enemies!$A:$A),MATCH(N$1,[3]enemies!$1:$1,0)-MATCH($L$1,[3]enemies!$1:$1,0)+1),MATCH(N$1,[3]enemies!$1:$1,0)-MATCH($L$1,[3]enemies!$1:$1,0)+1,FALSE)</f>
        <v>yellow</v>
      </c>
      <c r="O253" s="22" t="str">
        <f ca="1">VLOOKUP($L253,OFFSET([4]characters!$A$1,0,0,COUNTA([4]characters!$A:$A),MATCH(O$1,[4]characters!$1:$1,0)-MATCH($L$1,[4]characters!$1:$1,0)+1),MATCH(O$1,[4]characters!$1:$1,0)-MATCH($L$1,[4]characters!$1:$1,0)+1,FALSE)</f>
        <v>Material</v>
      </c>
      <c r="P253" s="20" t="str">
        <f ca="1">VLOOKUP($L253,OFFSET([3]enemies!$A$1,0,0,COUNTA([3]enemies!$A:$A),MATCH(P$1,[3]enemies!$1:$1,0)-MATCH($L$1,[3]enemies!$1:$1,0)+1),MATCH(P$1,[3]enemies!$1:$1,0)-MATCH($L$1,[3]enemies!$1:$1,0)+1,FALSE)</f>
        <v>unknown</v>
      </c>
      <c r="Q253" s="20">
        <f ca="1">VLOOKUP($L253,OFFSET([3]enemies!$A$1,0,0,COUNTA([3]enemies!$A:$A),MATCH(Q$1,[3]enemies!$1:$1,0)-MATCH($L$1,[3]enemies!$1:$1,0)+1),MATCH(Q$1,[3]enemies!$1:$1,0)-MATCH($L$1,[3]enemies!$1:$1,0)+1,FALSE)</f>
        <v>15</v>
      </c>
      <c r="R253" s="6">
        <v>1</v>
      </c>
      <c r="S253" s="40">
        <v>10.5</v>
      </c>
      <c r="T253" s="39">
        <v>10</v>
      </c>
      <c r="U253" s="6">
        <v>0</v>
      </c>
      <c r="V253" s="5" t="str">
        <f ca="1">VLOOKUP($W253,OFFSET([5]enemy_skill_sets!$B$1,0,0,COUNTA([5]enemy_skill_sets!$B:$B),MATCH(M$1,[5]enemy_skill_sets!$1:$1,0)-MATCH($W$1,[5]enemy_skill_sets!$1:$1,0)+2),MATCH(M$1,[5]enemy_skill_sets!$1:$1,0)-MATCH($W$1,[5]enemy_skill_sets!$1:$1,0)+2,FALSE)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3" s="35">
        <v>0</v>
      </c>
      <c r="X253" s="7">
        <v>1</v>
      </c>
      <c r="Y253" s="7">
        <v>100</v>
      </c>
      <c r="Z253" s="7">
        <v>1</v>
      </c>
      <c r="AA253" s="20">
        <f ca="1">VLOOKUP($L253,OFFSET([3]enemies!$A$1,0,0,COUNTA([3]enemies!$A:$A),MATCH(AA$1,[3]enemies!$1:$1,0)-MATCH($L$1,[3]enemies!$1:$1,0)+1),MATCH(AA$1,[3]enemies!$1:$1,0)-MATCH($L$1,[3]enemies!$1:$1,0)+1,FALSE)</f>
        <v>2</v>
      </c>
      <c r="AB253" s="2">
        <f>L253</f>
        <v>118</v>
      </c>
      <c r="AC253" s="5" t="str">
        <f ca="1">IFERROR(VLOOKUP($AB253,OFFSET([4]characters!$A$1,0,0,COUNTA([4]characters!$A:$A),MATCH(AC$1,[4]characters!$1:$1,0)-MATCH("character_id",[4]characters!$1:$1,0)+1),MATCH(AC$1,[4]characters!$1:$1,0)-MATCH("character_id",[4]characters!$1:$1,0)+1,FALSE),"")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53" s="5">
        <f ca="1">IFERROR(VLOOKUP($AB253,OFFSET([4]characters!$A$1,0,0,COUNTA([4]characters!$A:$A),MATCH(AD$1,[4]characters!$1:$1,0)-MATCH("character_id",[4]characters!$1:$1,0)+1),MATCH(AD$1,[4]characters!$1:$1,0)-MATCH("character_id",[4]characters!$1:$1,0)+1,FALSE),"")</f>
        <v>4</v>
      </c>
      <c r="AE253" s="5" t="str">
        <f ca="1">IFERROR(VLOOKUP($AB253,OFFSET([4]characters!$A$1,0,0,COUNTA([4]characters!$A:$A),MATCH(AE$1,[4]characters!$1:$1,0)-MATCH("character_id",[4]characters!$1:$1,0)+1),MATCH(AE$1,[4]characters!$1:$1,0)-MATCH("character_id",[4]characters!$1:$1,0)+1,FALSE),"")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3" s="8">
        <v>1</v>
      </c>
      <c r="AG253" s="27">
        <f ca="1">AD253</f>
        <v>4</v>
      </c>
      <c r="AH253" s="9">
        <v>100</v>
      </c>
      <c r="AI253" s="8">
        <v>0</v>
      </c>
      <c r="AJ253" s="8">
        <v>0</v>
      </c>
      <c r="AK253" s="8">
        <v>0</v>
      </c>
      <c r="AL253" s="8">
        <v>0</v>
      </c>
      <c r="AM253" s="8">
        <v>1</v>
      </c>
      <c r="AN253" s="8">
        <v>1</v>
      </c>
    </row>
    <row r="254" spans="1:40" ht="21" customHeight="1" x14ac:dyDescent="0.15">
      <c r="A254" s="17" t="str">
        <f t="shared" ca="1" si="133"/>
        <v>11006_1-5/117&lt;lv1&gt;s1</v>
      </c>
      <c r="B254" s="8">
        <v>11006</v>
      </c>
      <c r="C254" s="25">
        <v>1</v>
      </c>
      <c r="D254" s="2" t="str">
        <f t="shared" si="134"/>
        <v>11006_1</v>
      </c>
      <c r="E254" s="5" t="str">
        <f ca="1">VLOOKUP($B254,OFFSET([2]quests!$A$1,0,0,COUNTA([2]quests!$A:$A),MATCH(E$1,[2]quests!$1:$1,0)-MATCH($B$1,[2]quests!$1:$1,0)+1),MATCH(E$1,[2]quests!$1:$1,0)-MATCH($B$1,[2]quests!$1:$1,0)+1,FALSE)</f>
        <v>【土日限定】 ゴールドカジノ</v>
      </c>
      <c r="F254" s="5" t="str">
        <f ca="1">VLOOKUP($D254,OFFSET([2]stages!$A$1,0,0,COUNTA([2]stages!$A:$A),MATCH(F$1,[2]stages!$2:$2,0)-MATCH($D$1,[2]stages!$2:$2,0)+1),MATCH(F$1,[2]stages!$2:$2,0)-MATCH($D$1,[2]stages!$2:$2,0)+1,FALSE)</f>
        <v>【初級】ゴールドカジノ</v>
      </c>
      <c r="G254" s="25">
        <v>5</v>
      </c>
      <c r="H254" s="16" t="str">
        <f t="shared" si="104"/>
        <v>11006_1-5</v>
      </c>
      <c r="I254" s="5">
        <f ca="1">VLOOKUP($H254,OFFSET(floors!$A$1,0,0,COUNTA(floors!$A:$A),MATCH(I$1,floors!$1:$1,0)-MATCH($H$1,floors!$1:$1,0)+1),MATCH(I$1,floors!$1:$1,0)-MATCH($H$1,floors!$1:$1,0)+1,FALSE)</f>
        <v>45</v>
      </c>
      <c r="J254" s="5">
        <f ca="1">VLOOKUP($H254,OFFSET(floors!$A$1,0,0,COUNTA(floors!$A:$A),MATCH(J$1,floors!$1:$1,0)-MATCH($H$1,floors!$1:$1,0)+1),MATCH(J$1,floors!$1:$1,0)-MATCH($H$1,floors!$1:$1,0)+1,FALSE)</f>
        <v>45</v>
      </c>
      <c r="K254" s="24" t="s">
        <v>197</v>
      </c>
      <c r="L254" s="24">
        <v>117</v>
      </c>
      <c r="M254" s="20" t="str">
        <f ca="1">VLOOKUP($L254,OFFSET([3]enemies!$A$1,0,0,COUNTA([3]enemies!$A:$A),MATCH(M$1,[3]enemies!$1:$1,0)-MATCH($L$1,[3]enemies!$1:$1,0)+1),MATCH(M$1,[3]enemies!$1:$1,0)-MATCH($L$1,[3]enemies!$1:$1,0)+1,FALSE)</f>
        <v>ゴールドピヨピヨ</v>
      </c>
      <c r="N254" s="20" t="str">
        <f ca="1">VLOOKUP($L254,OFFSET([3]enemies!$A$1,0,0,COUNTA([3]enemies!$A:$A),MATCH(N$1,[3]enemies!$1:$1,0)-MATCH($L$1,[3]enemies!$1:$1,0)+1),MATCH(N$1,[3]enemies!$1:$1,0)-MATCH($L$1,[3]enemies!$1:$1,0)+1,FALSE)</f>
        <v>yellow</v>
      </c>
      <c r="O254" s="22" t="str">
        <f ca="1">VLOOKUP($L254,OFFSET([4]characters!$A$1,0,0,COUNTA([4]characters!$A:$A),MATCH(O$1,[4]characters!$1:$1,0)-MATCH($L$1,[4]characters!$1:$1,0)+1),MATCH(O$1,[4]characters!$1:$1,0)-MATCH($L$1,[4]characters!$1:$1,0)+1,FALSE)</f>
        <v>Material</v>
      </c>
      <c r="P254" s="20" t="str">
        <f ca="1">VLOOKUP($L254,OFFSET([3]enemies!$A$1,0,0,COUNTA([3]enemies!$A:$A),MATCH(P$1,[3]enemies!$1:$1,0)-MATCH($L$1,[3]enemies!$1:$1,0)+1),MATCH(P$1,[3]enemies!$1:$1,0)-MATCH($L$1,[3]enemies!$1:$1,0)+1,FALSE)</f>
        <v>unknown</v>
      </c>
      <c r="Q254" s="20">
        <f ca="1">VLOOKUP($L254,OFFSET([3]enemies!$A$1,0,0,COUNTA([3]enemies!$A:$A),MATCH(Q$1,[3]enemies!$1:$1,0)-MATCH($L$1,[3]enemies!$1:$1,0)+1),MATCH(Q$1,[3]enemies!$1:$1,0)-MATCH($L$1,[3]enemies!$1:$1,0)+1,FALSE)</f>
        <v>15</v>
      </c>
      <c r="R254" s="6">
        <v>1</v>
      </c>
      <c r="S254" s="40">
        <v>10.5</v>
      </c>
      <c r="T254" s="39">
        <v>11</v>
      </c>
      <c r="U254" s="6">
        <v>0</v>
      </c>
      <c r="V254" s="5" t="str">
        <f ca="1">VLOOKUP($W254,OFFSET([5]enemy_skill_sets!$B$1,0,0,COUNTA([5]enemy_skill_sets!$B:$B),MATCH(M$1,[5]enemy_skill_sets!$1:$1,0)-MATCH($W$1,[5]enemy_skill_sets!$1:$1,0)+2),MATCH(M$1,[5]enemy_skill_sets!$1:$1,0)-MATCH($W$1,[5]enemy_skill_sets!$1:$1,0)+2,FALSE)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4" s="35">
        <v>0</v>
      </c>
      <c r="X254" s="7">
        <v>2</v>
      </c>
      <c r="Y254" s="7">
        <v>0</v>
      </c>
      <c r="Z254" s="7">
        <v>0</v>
      </c>
      <c r="AA254" s="20">
        <f ca="1">VLOOKUP($L254,OFFSET([3]enemies!$A$1,0,0,COUNTA([3]enemies!$A:$A),MATCH(AA$1,[3]enemies!$1:$1,0)-MATCH($L$1,[3]enemies!$1:$1,0)+1),MATCH(AA$1,[3]enemies!$1:$1,0)-MATCH($L$1,[3]enemies!$1:$1,0)+1,FALSE)</f>
        <v>1</v>
      </c>
      <c r="AB254" s="2">
        <f t="shared" si="129"/>
        <v>117</v>
      </c>
      <c r="AC254" s="5" t="str">
        <f ca="1">IFERROR(VLOOKUP($AB254,OFFSET([4]characters!$A$1,0,0,COUNTA([4]characters!$A:$A),MATCH(AC$1,[4]characters!$1:$1,0)-MATCH("character_id",[4]characters!$1:$1,0)+1),MATCH(AC$1,[4]characters!$1:$1,0)-MATCH("character_id",[4]characters!$1:$1,0)+1,FALSE),"")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54" s="5">
        <f ca="1">IFERROR(VLOOKUP($AB254,OFFSET([4]characters!$A$1,0,0,COUNTA([4]characters!$A:$A),MATCH(AD$1,[4]characters!$1:$1,0)-MATCH("character_id",[4]characters!$1:$1,0)+1),MATCH(AD$1,[4]characters!$1:$1,0)-MATCH("character_id",[4]characters!$1:$1,0)+1,FALSE),"")</f>
        <v>3</v>
      </c>
      <c r="AE254" s="5" t="str">
        <f ca="1">IFERROR(VLOOKUP($AB254,OFFSET([4]characters!$A$1,0,0,COUNTA([4]characters!$A:$A),MATCH(AE$1,[4]characters!$1:$1,0)-MATCH("character_id",[4]characters!$1:$1,0)+1),MATCH(AE$1,[4]characters!$1:$1,0)-MATCH("character_id",[4]characters!$1:$1,0)+1,FALSE),"")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4" s="8">
        <v>1</v>
      </c>
      <c r="AG254" s="27">
        <f t="shared" ca="1" si="135"/>
        <v>3</v>
      </c>
      <c r="AH254" s="9">
        <v>63</v>
      </c>
      <c r="AI254" s="8">
        <v>0</v>
      </c>
      <c r="AJ254" s="8">
        <v>0</v>
      </c>
      <c r="AK254" s="8">
        <v>0</v>
      </c>
      <c r="AL254" s="8">
        <v>0</v>
      </c>
      <c r="AM254" s="8">
        <v>1</v>
      </c>
      <c r="AN254" s="8">
        <v>1</v>
      </c>
    </row>
    <row r="255" spans="1:40" ht="21" customHeight="1" x14ac:dyDescent="0.15">
      <c r="A255" s="17" t="str">
        <f t="shared" ca="1" si="133"/>
        <v>11006_2-1/118&lt;lv1&gt;s2</v>
      </c>
      <c r="B255" s="8">
        <v>11006</v>
      </c>
      <c r="C255" s="25">
        <v>2</v>
      </c>
      <c r="D255" s="2" t="str">
        <f t="shared" si="134"/>
        <v>11006_2</v>
      </c>
      <c r="E255" s="5" t="str">
        <f ca="1">VLOOKUP($B255,OFFSET([2]quests!$A$1,0,0,COUNTA([2]quests!$A:$A),MATCH(E$1,[2]quests!$1:$1,0)-MATCH($B$1,[2]quests!$1:$1,0)+1),MATCH(E$1,[2]quests!$1:$1,0)-MATCH($B$1,[2]quests!$1:$1,0)+1,FALSE)</f>
        <v>【土日限定】 ゴールドカジノ</v>
      </c>
      <c r="F255" s="5" t="str">
        <f ca="1">VLOOKUP($D255,OFFSET([2]stages!$A$1,0,0,COUNTA([2]stages!$A:$A),MATCH(F$1,[2]stages!$2:$2,0)-MATCH($D$1,[2]stages!$2:$2,0)+1),MATCH(F$1,[2]stages!$2:$2,0)-MATCH($D$1,[2]stages!$2:$2,0)+1,FALSE)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55" s="25">
        <v>1</v>
      </c>
      <c r="H255" s="16" t="str">
        <f t="shared" ref="H255:H304" si="153">B255&amp;"_"&amp;C255&amp;"-"&amp;G255</f>
        <v>11006_2-1</v>
      </c>
      <c r="I255" s="5">
        <f ca="1">VLOOKUP($H255,OFFSET(floors!$A$1,0,0,COUNTA(floors!$A:$A),MATCH(I$1,floors!$1:$1,0)-MATCH($H$1,floors!$1:$1,0)+1),MATCH(I$1,floors!$1:$1,0)-MATCH($H$1,floors!$1:$1,0)+1,FALSE)</f>
        <v>30</v>
      </c>
      <c r="J255" s="5">
        <f ca="1">VLOOKUP($H255,OFFSET(floors!$A$1,0,0,COUNTA(floors!$A:$A),MATCH(J$1,floors!$1:$1,0)-MATCH($H$1,floors!$1:$1,0)+1),MATCH(J$1,floors!$1:$1,0)-MATCH($H$1,floors!$1:$1,0)+1,FALSE)</f>
        <v>55</v>
      </c>
      <c r="K255" s="24" t="s">
        <v>197</v>
      </c>
      <c r="L255" s="24">
        <v>118</v>
      </c>
      <c r="M255" s="20" t="str">
        <f ca="1">VLOOKUP($L255,OFFSET([3]enemies!$A$1,0,0,COUNTA([3]enemies!$A:$A),MATCH(M$1,[3]enemies!$1:$1,0)-MATCH($L$1,[3]enemies!$1:$1,0)+1),MATCH(M$1,[3]enemies!$1:$1,0)-MATCH($L$1,[3]enemies!$1:$1,0)+1,FALSE)</f>
        <v>ゴールドチック</v>
      </c>
      <c r="N255" s="20" t="str">
        <f ca="1">VLOOKUP($L255,OFFSET([3]enemies!$A$1,0,0,COUNTA([3]enemies!$A:$A),MATCH(N$1,[3]enemies!$1:$1,0)-MATCH($L$1,[3]enemies!$1:$1,0)+1),MATCH(N$1,[3]enemies!$1:$1,0)-MATCH($L$1,[3]enemies!$1:$1,0)+1,FALSE)</f>
        <v>yellow</v>
      </c>
      <c r="O255" s="22" t="str">
        <f ca="1">VLOOKUP($L255,OFFSET([4]characters!$A$1,0,0,COUNTA([4]characters!$A:$A),MATCH(O$1,[4]characters!$1:$1,0)-MATCH($L$1,[4]characters!$1:$1,0)+1),MATCH(O$1,[4]characters!$1:$1,0)-MATCH($L$1,[4]characters!$1:$1,0)+1,FALSE)</f>
        <v>Material</v>
      </c>
      <c r="P255" s="20" t="str">
        <f ca="1">VLOOKUP($L255,OFFSET([3]enemies!$A$1,0,0,COUNTA([3]enemies!$A:$A),MATCH(P$1,[3]enemies!$1:$1,0)-MATCH($L$1,[3]enemies!$1:$1,0)+1),MATCH(P$1,[3]enemies!$1:$1,0)-MATCH($L$1,[3]enemies!$1:$1,0)+1,FALSE)</f>
        <v>unknown</v>
      </c>
      <c r="Q255" s="20">
        <f ca="1">VLOOKUP($L255,OFFSET([3]enemies!$A$1,0,0,COUNTA([3]enemies!$A:$A),MATCH(Q$1,[3]enemies!$1:$1,0)-MATCH($L$1,[3]enemies!$1:$1,0)+1),MATCH(Q$1,[3]enemies!$1:$1,0)-MATCH($L$1,[3]enemies!$1:$1,0)+1,FALSE)</f>
        <v>15</v>
      </c>
      <c r="R255" s="6">
        <v>1</v>
      </c>
      <c r="S255" s="39">
        <v>11.8</v>
      </c>
      <c r="T255" s="39">
        <v>17</v>
      </c>
      <c r="U255" s="6">
        <v>0</v>
      </c>
      <c r="V255" s="5" t="str">
        <f ca="1">VLOOKUP($W255,OFFSET([5]enemy_skill_sets!$B$1,0,0,COUNTA([5]enemy_skill_sets!$B:$B),MATCH(M$1,[5]enemy_skill_sets!$1:$1,0)-MATCH($W$1,[5]enemy_skill_sets!$1:$1,0)+2),MATCH(M$1,[5]enemy_skill_sets!$1:$1,0)-MATCH($W$1,[5]enemy_skill_sets!$1:$1,0)+2,FALSE)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5" s="35">
        <v>0</v>
      </c>
      <c r="X255" s="7">
        <v>1</v>
      </c>
      <c r="Y255" s="7">
        <v>0</v>
      </c>
      <c r="Z255" s="7">
        <v>1</v>
      </c>
      <c r="AA255" s="20">
        <f ca="1">VLOOKUP($L255,OFFSET([3]enemies!$A$1,0,0,COUNTA([3]enemies!$A:$A),MATCH(AA$1,[3]enemies!$1:$1,0)-MATCH($L$1,[3]enemies!$1:$1,0)+1),MATCH(AA$1,[3]enemies!$1:$1,0)-MATCH($L$1,[3]enemies!$1:$1,0)+1,FALSE)</f>
        <v>2</v>
      </c>
      <c r="AB255" s="2">
        <f t="shared" si="129"/>
        <v>118</v>
      </c>
      <c r="AC255" s="5" t="str">
        <f ca="1">IFERROR(VLOOKUP($AB255,OFFSET([4]characters!$A$1,0,0,COUNTA([4]characters!$A:$A),MATCH(AC$1,[4]characters!$1:$1,0)-MATCH("character_id",[4]characters!$1:$1,0)+1),MATCH(AC$1,[4]characters!$1:$1,0)-MATCH("character_id",[4]characters!$1:$1,0)+1,FALSE),"")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55" s="5">
        <f ca="1">IFERROR(VLOOKUP($AB255,OFFSET([4]characters!$A$1,0,0,COUNTA([4]characters!$A:$A),MATCH(AD$1,[4]characters!$1:$1,0)-MATCH("character_id",[4]characters!$1:$1,0)+1),MATCH(AD$1,[4]characters!$1:$1,0)-MATCH("character_id",[4]characters!$1:$1,0)+1,FALSE),"")</f>
        <v>4</v>
      </c>
      <c r="AE255" s="5" t="str">
        <f ca="1">IFERROR(VLOOKUP($AB255,OFFSET([4]characters!$A$1,0,0,COUNTA([4]characters!$A:$A),MATCH(AE$1,[4]characters!$1:$1,0)-MATCH("character_id",[4]characters!$1:$1,0)+1),MATCH(AE$1,[4]characters!$1:$1,0)-MATCH("character_id",[4]characters!$1:$1,0)+1,FALSE),"")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5" s="8">
        <v>1</v>
      </c>
      <c r="AG255" s="27">
        <f t="shared" ca="1" si="135"/>
        <v>4</v>
      </c>
      <c r="AH255" s="9">
        <v>100</v>
      </c>
      <c r="AI255" s="8">
        <v>0</v>
      </c>
      <c r="AJ255" s="8">
        <v>0</v>
      </c>
      <c r="AK255" s="8">
        <v>0</v>
      </c>
      <c r="AL255" s="8">
        <v>0</v>
      </c>
      <c r="AM255" s="8">
        <v>1</v>
      </c>
      <c r="AN255" s="8">
        <v>1</v>
      </c>
    </row>
    <row r="256" spans="1:40" ht="21" customHeight="1" x14ac:dyDescent="0.15">
      <c r="A256" s="17" t="str">
        <f t="shared" ca="1" si="133"/>
        <v>11006_2-1/117&lt;lv1&gt;s1</v>
      </c>
      <c r="B256" s="8">
        <v>11006</v>
      </c>
      <c r="C256" s="25">
        <v>2</v>
      </c>
      <c r="D256" s="2" t="str">
        <f t="shared" si="134"/>
        <v>11006_2</v>
      </c>
      <c r="E256" s="5" t="str">
        <f ca="1">VLOOKUP($B256,OFFSET([2]quests!$A$1,0,0,COUNTA([2]quests!$A:$A),MATCH(E$1,[2]quests!$1:$1,0)-MATCH($B$1,[2]quests!$1:$1,0)+1),MATCH(E$1,[2]quests!$1:$1,0)-MATCH($B$1,[2]quests!$1:$1,0)+1,FALSE)</f>
        <v>【土日限定】 ゴールドカジノ</v>
      </c>
      <c r="F256" s="5" t="str">
        <f ca="1">VLOOKUP($D256,OFFSET([2]stages!$A$1,0,0,COUNTA([2]stages!$A:$A),MATCH(F$1,[2]stages!$2:$2,0)-MATCH($D$1,[2]stages!$2:$2,0)+1),MATCH(F$1,[2]stages!$2:$2,0)-MATCH($D$1,[2]stages!$2:$2,0)+1,FALSE)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56" s="25">
        <v>1</v>
      </c>
      <c r="H256" s="16" t="str">
        <f t="shared" si="153"/>
        <v>11006_2-1</v>
      </c>
      <c r="I256" s="5">
        <f ca="1">VLOOKUP($H256,OFFSET(floors!$A$1,0,0,COUNTA(floors!$A:$A),MATCH(I$1,floors!$1:$1,0)-MATCH($H$1,floors!$1:$1,0)+1),MATCH(I$1,floors!$1:$1,0)-MATCH($H$1,floors!$1:$1,0)+1,FALSE)</f>
        <v>30</v>
      </c>
      <c r="J256" s="5">
        <f ca="1">VLOOKUP($H256,OFFSET(floors!$A$1,0,0,COUNTA(floors!$A:$A),MATCH(J$1,floors!$1:$1,0)-MATCH($H$1,floors!$1:$1,0)+1),MATCH(J$1,floors!$1:$1,0)-MATCH($H$1,floors!$1:$1,0)+1,FALSE)</f>
        <v>55</v>
      </c>
      <c r="K256" s="24" t="s">
        <v>197</v>
      </c>
      <c r="L256" s="24">
        <v>117</v>
      </c>
      <c r="M256" s="20" t="str">
        <f ca="1">VLOOKUP($L256,OFFSET([3]enemies!$A$1,0,0,COUNTA([3]enemies!$A:$A),MATCH(M$1,[3]enemies!$1:$1,0)-MATCH($L$1,[3]enemies!$1:$1,0)+1),MATCH(M$1,[3]enemies!$1:$1,0)-MATCH($L$1,[3]enemies!$1:$1,0)+1,FALSE)</f>
        <v>ゴールドピヨピヨ</v>
      </c>
      <c r="N256" s="20" t="str">
        <f ca="1">VLOOKUP($L256,OFFSET([3]enemies!$A$1,0,0,COUNTA([3]enemies!$A:$A),MATCH(N$1,[3]enemies!$1:$1,0)-MATCH($L$1,[3]enemies!$1:$1,0)+1),MATCH(N$1,[3]enemies!$1:$1,0)-MATCH($L$1,[3]enemies!$1:$1,0)+1,FALSE)</f>
        <v>yellow</v>
      </c>
      <c r="O256" s="22" t="str">
        <f ca="1">VLOOKUP($L256,OFFSET([4]characters!$A$1,0,0,COUNTA([4]characters!$A:$A),MATCH(O$1,[4]characters!$1:$1,0)-MATCH($L$1,[4]characters!$1:$1,0)+1),MATCH(O$1,[4]characters!$1:$1,0)-MATCH($L$1,[4]characters!$1:$1,0)+1,FALSE)</f>
        <v>Material</v>
      </c>
      <c r="P256" s="20" t="str">
        <f ca="1">VLOOKUP($L256,OFFSET([3]enemies!$A$1,0,0,COUNTA([3]enemies!$A:$A),MATCH(P$1,[3]enemies!$1:$1,0)-MATCH($L$1,[3]enemies!$1:$1,0)+1),MATCH(P$1,[3]enemies!$1:$1,0)-MATCH($L$1,[3]enemies!$1:$1,0)+1,FALSE)</f>
        <v>unknown</v>
      </c>
      <c r="Q256" s="20">
        <f ca="1">VLOOKUP($L256,OFFSET([3]enemies!$A$1,0,0,COUNTA([3]enemies!$A:$A),MATCH(Q$1,[3]enemies!$1:$1,0)-MATCH($L$1,[3]enemies!$1:$1,0)+1),MATCH(Q$1,[3]enemies!$1:$1,0)-MATCH($L$1,[3]enemies!$1:$1,0)+1,FALSE)</f>
        <v>15</v>
      </c>
      <c r="R256" s="6">
        <v>1</v>
      </c>
      <c r="S256" s="39">
        <v>11.8</v>
      </c>
      <c r="T256" s="39">
        <v>15.75</v>
      </c>
      <c r="U256" s="6">
        <v>0</v>
      </c>
      <c r="V256" s="5" t="str">
        <f ca="1">VLOOKUP($W256,OFFSET([5]enemy_skill_sets!$B$1,0,0,COUNTA([5]enemy_skill_sets!$B:$B),MATCH(M$1,[5]enemy_skill_sets!$1:$1,0)-MATCH($W$1,[5]enemy_skill_sets!$1:$1,0)+2),MATCH(M$1,[5]enemy_skill_sets!$1:$1,0)-MATCH($W$1,[5]enemy_skill_sets!$1:$1,0)+2,FALSE)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6" s="35">
        <v>0</v>
      </c>
      <c r="X256" s="7">
        <v>0</v>
      </c>
      <c r="Y256" s="7">
        <v>60</v>
      </c>
      <c r="Z256" s="7">
        <v>0</v>
      </c>
      <c r="AA256" s="20">
        <f ca="1">VLOOKUP($L256,OFFSET([3]enemies!$A$1,0,0,COUNTA([3]enemies!$A:$A),MATCH(AA$1,[3]enemies!$1:$1,0)-MATCH($L$1,[3]enemies!$1:$1,0)+1),MATCH(AA$1,[3]enemies!$1:$1,0)-MATCH($L$1,[3]enemies!$1:$1,0)+1,FALSE)</f>
        <v>1</v>
      </c>
      <c r="AB256" s="2">
        <f t="shared" si="129"/>
        <v>117</v>
      </c>
      <c r="AC256" s="5" t="str">
        <f ca="1">IFERROR(VLOOKUP($AB256,OFFSET([4]characters!$A$1,0,0,COUNTA([4]characters!$A:$A),MATCH(AC$1,[4]characters!$1:$1,0)-MATCH("character_id",[4]characters!$1:$1,0)+1),MATCH(AC$1,[4]characters!$1:$1,0)-MATCH("character_id",[4]characters!$1:$1,0)+1,FALSE),"")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56" s="5">
        <f ca="1">IFERROR(VLOOKUP($AB256,OFFSET([4]characters!$A$1,0,0,COUNTA([4]characters!$A:$A),MATCH(AD$1,[4]characters!$1:$1,0)-MATCH("character_id",[4]characters!$1:$1,0)+1),MATCH(AD$1,[4]characters!$1:$1,0)-MATCH("character_id",[4]characters!$1:$1,0)+1,FALSE),"")</f>
        <v>3</v>
      </c>
      <c r="AE256" s="5" t="str">
        <f ca="1">IFERROR(VLOOKUP($AB256,OFFSET([4]characters!$A$1,0,0,COUNTA([4]characters!$A:$A),MATCH(AE$1,[4]characters!$1:$1,0)-MATCH("character_id",[4]characters!$1:$1,0)+1),MATCH(AE$1,[4]characters!$1:$1,0)-MATCH("character_id",[4]characters!$1:$1,0)+1,FALSE),"")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56" s="8">
        <v>1</v>
      </c>
      <c r="AG256" s="27">
        <f t="shared" ca="1" si="135"/>
        <v>3</v>
      </c>
      <c r="AH256" s="9">
        <v>100</v>
      </c>
      <c r="AI256" s="8">
        <v>0</v>
      </c>
      <c r="AJ256" s="8">
        <v>0</v>
      </c>
      <c r="AK256" s="8">
        <v>0</v>
      </c>
      <c r="AL256" s="8">
        <v>0</v>
      </c>
      <c r="AM256" s="8">
        <v>1</v>
      </c>
      <c r="AN256" s="8">
        <v>1</v>
      </c>
    </row>
    <row r="257" spans="1:40" ht="21" customHeight="1" x14ac:dyDescent="0.15">
      <c r="A257" s="17" t="str">
        <f>B257&amp;"_"&amp;C257&amp;"-"&amp;G257&amp;"/"&amp;L257&amp;"&lt;lv"&amp;R257&amp;"&gt;s"&amp;AA257</f>
        <v>11006_2-1/41&lt;lv16&gt;s1</v>
      </c>
      <c r="B257" s="8">
        <v>11006</v>
      </c>
      <c r="C257" s="25">
        <v>2</v>
      </c>
      <c r="D257" s="16" t="str">
        <f>B257&amp;"_"&amp;C257</f>
        <v>11006_2</v>
      </c>
      <c r="E257" s="5" t="s">
        <v>48</v>
      </c>
      <c r="F257" s="5" t="str">
        <f ca="1">VLOOKUP($D257,OFFSET([2]stages!$A$1,0,0,COUNTA([2]stages!$A:$A),MATCH(F$1,[2]stages!$2:$2,0)-MATCH($D$1,[2]stages!$2:$2,0)+1),MATCH(F$1,[2]stages!$2:$2,0)-MATCH($D$1,[2]stages!$2:$2,0)+1,FALSE)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57" s="25">
        <v>1</v>
      </c>
      <c r="H257" s="16" t="str">
        <f t="shared" si="153"/>
        <v>11006_2-1</v>
      </c>
      <c r="I257" s="5">
        <f ca="1">VLOOKUP($H257,OFFSET(floors!$A$1,0,0,COUNTA(floors!$A:$A),MATCH(I$1,floors!$1:$1,0)-MATCH($H$1,floors!$1:$1,0)+1),MATCH(I$1,floors!$1:$1,0)-MATCH($H$1,floors!$1:$1,0)+1,FALSE)</f>
        <v>30</v>
      </c>
      <c r="J257" s="5">
        <f ca="1">VLOOKUP($H257,OFFSET(floors!$A$1,0,0,COUNTA(floors!$A:$A),MATCH(J$1,floors!$1:$1,0)-MATCH($H$1,floors!$1:$1,0)+1),MATCH(J$1,floors!$1:$1,0)-MATCH($H$1,floors!$1:$1,0)+1,FALSE)</f>
        <v>55</v>
      </c>
      <c r="K257" s="24" t="s">
        <v>197</v>
      </c>
      <c r="L257" s="31">
        <v>41</v>
      </c>
      <c r="M257" s="20" t="str">
        <f ca="1">VLOOKUP($L257,OFFSET([3]enemies!$A$1,0,0,COUNTA([3]enemies!$A:$A),MATCH(M$1,[3]enemies!$1:$1,0)-MATCH($L$1,[3]enemies!$1:$1,0)+1),MATCH(M$1,[3]enemies!$1:$1,0)-MATCH($L$1,[3]enemies!$1:$1,0)+1,FALSE)</f>
        <v>ヒュウガ</v>
      </c>
      <c r="N257" s="20" t="str">
        <f ca="1">VLOOKUP($L257,OFFSET([3]enemies!$A$1,0,0,COUNTA([3]enemies!$A:$A),MATCH(N$1,[3]enemies!$1:$1,0)-MATCH($L$1,[3]enemies!$1:$1,0)+1),MATCH(N$1,[3]enemies!$1:$1,0)-MATCH($L$1,[3]enemies!$1:$1,0)+1,FALSE)</f>
        <v>red</v>
      </c>
      <c r="O257" s="22" t="str">
        <f ca="1">VLOOKUP($L257,OFFSET([4]characters!$A$1,0,0,COUNTA([4]characters!$A:$A),MATCH(O$1,[4]characters!$1:$1,0)-MATCH($L$1,[4]characters!$1:$1,0)+1),MATCH(O$1,[4]characters!$1:$1,0)-MATCH($L$1,[4]characters!$1:$1,0)+1,FALSE)</f>
        <v>Drop1N</v>
      </c>
      <c r="P257" s="20" t="str">
        <f ca="1">VLOOKUP($L257,OFFSET([3]enemies!$A$1,0,0,COUNTA([3]enemies!$A:$A),MATCH(P$1,[3]enemies!$1:$1,0)-MATCH($L$1,[3]enemies!$1:$1,0)+1),MATCH(P$1,[3]enemies!$1:$1,0)-MATCH($L$1,[3]enemies!$1:$1,0)+1,FALSE)</f>
        <v>dragon</v>
      </c>
      <c r="Q257" s="20">
        <f ca="1">VLOOKUP($L257,OFFSET([3]enemies!$A$1,0,0,COUNTA([3]enemies!$A:$A),MATCH(Q$1,[3]enemies!$1:$1,0)-MATCH($L$1,[3]enemies!$1:$1,0)+1),MATCH(Q$1,[3]enemies!$1:$1,0)-MATCH($L$1,[3]enemies!$1:$1,0)+1,FALSE)</f>
        <v>15</v>
      </c>
      <c r="R257" s="6">
        <v>16</v>
      </c>
      <c r="S257" s="39">
        <v>1</v>
      </c>
      <c r="T257" s="39">
        <v>1</v>
      </c>
      <c r="U257" s="6">
        <v>0</v>
      </c>
      <c r="V257" s="5" t="str">
        <f ca="1">VLOOKUP($W257,OFFSET([5]enemy_skill_sets!$B$1,0,0,COUNTA([5]enemy_skill_sets!$B:$B),MATCH(M$1,[5]enemy_skill_sets!$1:$1,0)-MATCH($W$1,[5]enemy_skill_sets!$1:$1,0)+2),MATCH(M$1,[5]enemy_skill_sets!$1:$1,0)-MATCH($W$1,[5]enemy_skill_sets!$1:$1,0)+2,FALSE)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7" s="35">
        <v>0</v>
      </c>
      <c r="X257" s="29">
        <v>0</v>
      </c>
      <c r="Y257" s="29">
        <v>10</v>
      </c>
      <c r="Z257" s="29">
        <v>0</v>
      </c>
      <c r="AA257" s="37">
        <v>1</v>
      </c>
      <c r="AB257" s="2">
        <f t="shared" si="129"/>
        <v>41</v>
      </c>
      <c r="AC257" s="5" t="str">
        <f ca="1">IFERROR(VLOOKUP($AB257,OFFSET([4]characters!$A$1,0,0,COUNTA([4]characters!$A:$A),MATCH(AC$1,[4]characters!$1:$1,0)-MATCH("character_id",[4]characters!$1:$1,0)+1),MATCH(AC$1,[4]characters!$1:$1,0)-MATCH("character_id",[4]characters!$1:$1,0)+1,FALSE),"")</f>
        <v>ヒュウガ</v>
      </c>
      <c r="AD257" s="5">
        <f ca="1">IFERROR(VLOOKUP($AB257,OFFSET([4]characters!$A$1,0,0,COUNTA([4]characters!$A:$A),MATCH(AD$1,[4]characters!$1:$1,0)-MATCH("character_id",[4]characters!$1:$1,0)+1),MATCH(AD$1,[4]characters!$1:$1,0)-MATCH("character_id",[4]characters!$1:$1,0)+1,FALSE),"")</f>
        <v>2</v>
      </c>
      <c r="AE257" s="5" t="str">
        <f ca="1">IFERROR(VLOOKUP($AB257,OFFSET([4]characters!$A$1,0,0,COUNTA([4]characters!$A:$A),MATCH(AE$1,[4]characters!$1:$1,0)-MATCH("character_id",[4]characters!$1:$1,0)+1),MATCH(AE$1,[4]characters!$1:$1,0)-MATCH("character_id",[4]characters!$1:$1,0)+1,FALSE),"")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57" s="30">
        <v>1</v>
      </c>
      <c r="AG257" s="27">
        <f t="shared" ca="1" si="135"/>
        <v>2</v>
      </c>
      <c r="AH257" s="9">
        <v>0</v>
      </c>
      <c r="AI257" s="28">
        <v>0</v>
      </c>
      <c r="AJ257" s="28">
        <v>0</v>
      </c>
      <c r="AK257" s="28">
        <v>0</v>
      </c>
      <c r="AL257" s="28">
        <v>0</v>
      </c>
      <c r="AM257" s="28">
        <v>1</v>
      </c>
      <c r="AN257" s="28">
        <v>1</v>
      </c>
    </row>
    <row r="258" spans="1:40" ht="21" customHeight="1" x14ac:dyDescent="0.15">
      <c r="A258" s="17" t="str">
        <f>B258&amp;"_"&amp;C258&amp;"-"&amp;G258&amp;"/"&amp;L258&amp;"&lt;lv"&amp;R258&amp;"&gt;s"&amp;AA258</f>
        <v>11006_2-1/43&lt;lv16&gt;s2</v>
      </c>
      <c r="B258" s="8">
        <v>11006</v>
      </c>
      <c r="C258" s="25">
        <v>2</v>
      </c>
      <c r="D258" s="16" t="str">
        <f>B258&amp;"_"&amp;C258</f>
        <v>11006_2</v>
      </c>
      <c r="E258" s="5" t="s">
        <v>48</v>
      </c>
      <c r="F258" s="5" t="str">
        <f ca="1">VLOOKUP($D258,OFFSET([2]stages!$A$1,0,0,COUNTA([2]stages!$A:$A),MATCH(F$1,[2]stages!$2:$2,0)-MATCH($D$1,[2]stages!$2:$2,0)+1),MATCH(F$1,[2]stages!$2:$2,0)-MATCH($D$1,[2]stages!$2:$2,0)+1,FALSE)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58" s="25">
        <v>1</v>
      </c>
      <c r="H258" s="16" t="str">
        <f t="shared" si="153"/>
        <v>11006_2-1</v>
      </c>
      <c r="I258" s="5">
        <f ca="1">VLOOKUP($H258,OFFSET(floors!$A$1,0,0,COUNTA(floors!$A:$A),MATCH(I$1,floors!$1:$1,0)-MATCH($H$1,floors!$1:$1,0)+1),MATCH(I$1,floors!$1:$1,0)-MATCH($H$1,floors!$1:$1,0)+1,FALSE)</f>
        <v>30</v>
      </c>
      <c r="J258" s="5">
        <f ca="1">VLOOKUP($H258,OFFSET(floors!$A$1,0,0,COUNTA(floors!$A:$A),MATCH(J$1,floors!$1:$1,0)-MATCH($H$1,floors!$1:$1,0)+1),MATCH(J$1,floors!$1:$1,0)-MATCH($H$1,floors!$1:$1,0)+1,FALSE)</f>
        <v>55</v>
      </c>
      <c r="K258" s="24" t="s">
        <v>197</v>
      </c>
      <c r="L258" s="31">
        <v>43</v>
      </c>
      <c r="M258" s="20" t="str">
        <f ca="1">VLOOKUP($L258,OFFSET([3]enemies!$A$1,0,0,COUNTA([3]enemies!$A:$A),MATCH(M$1,[3]enemies!$1:$1,0)-MATCH($L$1,[3]enemies!$1:$1,0)+1),MATCH(M$1,[3]enemies!$1:$1,0)-MATCH($L$1,[3]enemies!$1:$1,0)+1,FALSE)</f>
        <v>ムゥ</v>
      </c>
      <c r="N258" s="20" t="str">
        <f ca="1">VLOOKUP($L258,OFFSET([3]enemies!$A$1,0,0,COUNTA([3]enemies!$A:$A),MATCH(N$1,[3]enemies!$1:$1,0)-MATCH($L$1,[3]enemies!$1:$1,0)+1),MATCH(N$1,[3]enemies!$1:$1,0)-MATCH($L$1,[3]enemies!$1:$1,0)+1,FALSE)</f>
        <v>green</v>
      </c>
      <c r="O258" s="22" t="str">
        <f ca="1">VLOOKUP($L258,OFFSET([4]characters!$A$1,0,0,COUNTA([4]characters!$A:$A),MATCH(O$1,[4]characters!$1:$1,0)-MATCH($L$1,[4]characters!$1:$1,0)+1),MATCH(O$1,[4]characters!$1:$1,0)-MATCH($L$1,[4]characters!$1:$1,0)+1,FALSE)</f>
        <v>Drop1N</v>
      </c>
      <c r="P258" s="20" t="str">
        <f ca="1">VLOOKUP($L258,OFFSET([3]enemies!$A$1,0,0,COUNTA([3]enemies!$A:$A),MATCH(P$1,[3]enemies!$1:$1,0)-MATCH($L$1,[3]enemies!$1:$1,0)+1),MATCH(P$1,[3]enemies!$1:$1,0)-MATCH($L$1,[3]enemies!$1:$1,0)+1,FALSE)</f>
        <v>dragon</v>
      </c>
      <c r="Q258" s="20">
        <f ca="1">VLOOKUP($L258,OFFSET([3]enemies!$A$1,0,0,COUNTA([3]enemies!$A:$A),MATCH(Q$1,[3]enemies!$1:$1,0)-MATCH($L$1,[3]enemies!$1:$1,0)+1),MATCH(Q$1,[3]enemies!$1:$1,0)-MATCH($L$1,[3]enemies!$1:$1,0)+1,FALSE)</f>
        <v>15</v>
      </c>
      <c r="R258" s="6">
        <v>16</v>
      </c>
      <c r="S258" s="39">
        <v>1</v>
      </c>
      <c r="T258" s="39">
        <v>1</v>
      </c>
      <c r="U258" s="6">
        <v>0</v>
      </c>
      <c r="V258" s="5" t="str">
        <f ca="1">VLOOKUP($W258,OFFSET([5]enemy_skill_sets!$B$1,0,0,COUNTA([5]enemy_skill_sets!$B:$B),MATCH(M$1,[5]enemy_skill_sets!$1:$1,0)-MATCH($W$1,[5]enemy_skill_sets!$1:$1,0)+2),MATCH(M$1,[5]enemy_skill_sets!$1:$1,0)-MATCH($W$1,[5]enemy_skill_sets!$1:$1,0)+2,FALSE)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8" s="35">
        <v>0</v>
      </c>
      <c r="X258" s="29">
        <v>0</v>
      </c>
      <c r="Y258" s="29">
        <v>10</v>
      </c>
      <c r="Z258" s="29">
        <v>0</v>
      </c>
      <c r="AA258" s="37">
        <v>2</v>
      </c>
      <c r="AB258" s="2">
        <f t="shared" si="129"/>
        <v>43</v>
      </c>
      <c r="AC258" s="5" t="str">
        <f ca="1">IFERROR(VLOOKUP($AB258,OFFSET([4]characters!$A$1,0,0,COUNTA([4]characters!$A:$A),MATCH(AC$1,[4]characters!$1:$1,0)-MATCH("character_id",[4]characters!$1:$1,0)+1),MATCH(AC$1,[4]characters!$1:$1,0)-MATCH("character_id",[4]characters!$1:$1,0)+1,FALSE),"")</f>
        <v>ムゥ</v>
      </c>
      <c r="AD258" s="5">
        <f ca="1">IFERROR(VLOOKUP($AB258,OFFSET([4]characters!$A$1,0,0,COUNTA([4]characters!$A:$A),MATCH(AD$1,[4]characters!$1:$1,0)-MATCH("character_id",[4]characters!$1:$1,0)+1),MATCH(AD$1,[4]characters!$1:$1,0)-MATCH("character_id",[4]characters!$1:$1,0)+1,FALSE),"")</f>
        <v>2</v>
      </c>
      <c r="AE258" s="5" t="str">
        <f ca="1">IFERROR(VLOOKUP($AB258,OFFSET([4]characters!$A$1,0,0,COUNTA([4]characters!$A:$A),MATCH(AE$1,[4]characters!$1:$1,0)-MATCH("character_id",[4]characters!$1:$1,0)+1),MATCH(AE$1,[4]characters!$1:$1,0)-MATCH("character_id",[4]characters!$1:$1,0)+1,FALSE),"")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58" s="30">
        <v>1</v>
      </c>
      <c r="AG258" s="27">
        <f t="shared" ca="1" si="135"/>
        <v>2</v>
      </c>
      <c r="AH258" s="9">
        <v>0</v>
      </c>
      <c r="AI258" s="28">
        <v>0</v>
      </c>
      <c r="AJ258" s="28">
        <v>0</v>
      </c>
      <c r="AK258" s="28">
        <v>0</v>
      </c>
      <c r="AL258" s="28">
        <v>0</v>
      </c>
      <c r="AM258" s="28">
        <v>1</v>
      </c>
      <c r="AN258" s="28">
        <v>1</v>
      </c>
    </row>
    <row r="259" spans="1:40" ht="21" customHeight="1" x14ac:dyDescent="0.15">
      <c r="A259" s="17" t="str">
        <f>B259&amp;"_"&amp;C259&amp;"-"&amp;G259&amp;"/"&amp;L259&amp;"&lt;lv"&amp;R259&amp;"&gt;s"&amp;AA259</f>
        <v>11006_2-1/47&lt;lv16&gt;s1</v>
      </c>
      <c r="B259" s="8">
        <v>11006</v>
      </c>
      <c r="C259" s="25">
        <v>2</v>
      </c>
      <c r="D259" s="16" t="str">
        <f>B259&amp;"_"&amp;C259</f>
        <v>11006_2</v>
      </c>
      <c r="E259" s="5" t="s">
        <v>48</v>
      </c>
      <c r="F259" s="5" t="str">
        <f ca="1">VLOOKUP($D259,OFFSET([2]stages!$A$1,0,0,COUNTA([2]stages!$A:$A),MATCH(F$1,[2]stages!$2:$2,0)-MATCH($D$1,[2]stages!$2:$2,0)+1),MATCH(F$1,[2]stages!$2:$2,0)-MATCH($D$1,[2]stages!$2:$2,0)+1,FALSE)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59" s="25">
        <v>1</v>
      </c>
      <c r="H259" s="16" t="str">
        <f t="shared" si="153"/>
        <v>11006_2-1</v>
      </c>
      <c r="I259" s="5">
        <f ca="1">VLOOKUP($H259,OFFSET(floors!$A$1,0,0,COUNTA(floors!$A:$A),MATCH(I$1,floors!$1:$1,0)-MATCH($H$1,floors!$1:$1,0)+1),MATCH(I$1,floors!$1:$1,0)-MATCH($H$1,floors!$1:$1,0)+1,FALSE)</f>
        <v>30</v>
      </c>
      <c r="J259" s="5">
        <f ca="1">VLOOKUP($H259,OFFSET(floors!$A$1,0,0,COUNTA(floors!$A:$A),MATCH(J$1,floors!$1:$1,0)-MATCH($H$1,floors!$1:$1,0)+1),MATCH(J$1,floors!$1:$1,0)-MATCH($H$1,floors!$1:$1,0)+1,FALSE)</f>
        <v>55</v>
      </c>
      <c r="K259" s="24" t="s">
        <v>197</v>
      </c>
      <c r="L259" s="31">
        <v>47</v>
      </c>
      <c r="M259" s="20" t="str">
        <f ca="1">VLOOKUP($L259,OFFSET([3]enemies!$A$1,0,0,COUNTA([3]enemies!$A:$A),MATCH(M$1,[3]enemies!$1:$1,0)-MATCH($L$1,[3]enemies!$1:$1,0)+1),MATCH(M$1,[3]enemies!$1:$1,0)-MATCH($L$1,[3]enemies!$1:$1,0)+1,FALSE)</f>
        <v>ヒロ</v>
      </c>
      <c r="N259" s="20" t="str">
        <f ca="1">VLOOKUP($L259,OFFSET([3]enemies!$A$1,0,0,COUNTA([3]enemies!$A:$A),MATCH(N$1,[3]enemies!$1:$1,0)-MATCH($L$1,[3]enemies!$1:$1,0)+1),MATCH(N$1,[3]enemies!$1:$1,0)-MATCH($L$1,[3]enemies!$1:$1,0)+1,FALSE)</f>
        <v>yellow</v>
      </c>
      <c r="O259" s="22" t="str">
        <f ca="1">VLOOKUP($L259,OFFSET([4]characters!$A$1,0,0,COUNTA([4]characters!$A:$A),MATCH(O$1,[4]characters!$1:$1,0)-MATCH($L$1,[4]characters!$1:$1,0)+1),MATCH(O$1,[4]characters!$1:$1,0)-MATCH($L$1,[4]characters!$1:$1,0)+1,FALSE)</f>
        <v>Drop1N</v>
      </c>
      <c r="P259" s="20" t="str">
        <f ca="1">VLOOKUP($L259,OFFSET([3]enemies!$A$1,0,0,COUNTA([3]enemies!$A:$A),MATCH(P$1,[3]enemies!$1:$1,0)-MATCH($L$1,[3]enemies!$1:$1,0)+1),MATCH(P$1,[3]enemies!$1:$1,0)-MATCH($L$1,[3]enemies!$1:$1,0)+1,FALSE)</f>
        <v>animal</v>
      </c>
      <c r="Q259" s="20">
        <f ca="1">VLOOKUP($L259,OFFSET([3]enemies!$A$1,0,0,COUNTA([3]enemies!$A:$A),MATCH(Q$1,[3]enemies!$1:$1,0)-MATCH($L$1,[3]enemies!$1:$1,0)+1),MATCH(Q$1,[3]enemies!$1:$1,0)-MATCH($L$1,[3]enemies!$1:$1,0)+1,FALSE)</f>
        <v>15</v>
      </c>
      <c r="R259" s="6">
        <v>16</v>
      </c>
      <c r="S259" s="39">
        <v>1</v>
      </c>
      <c r="T259" s="39">
        <v>1</v>
      </c>
      <c r="U259" s="6">
        <v>0</v>
      </c>
      <c r="V259" s="5" t="str">
        <f ca="1">VLOOKUP($W259,OFFSET([5]enemy_skill_sets!$B$1,0,0,COUNTA([5]enemy_skill_sets!$B:$B),MATCH(M$1,[5]enemy_skill_sets!$1:$1,0)-MATCH($W$1,[5]enemy_skill_sets!$1:$1,0)+2),MATCH(M$1,[5]enemy_skill_sets!$1:$1,0)-MATCH($W$1,[5]enemy_skill_sets!$1:$1,0)+2,FALSE)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59" s="35">
        <v>0</v>
      </c>
      <c r="X259" s="29">
        <v>0</v>
      </c>
      <c r="Y259" s="29">
        <v>10</v>
      </c>
      <c r="Z259" s="29">
        <v>0</v>
      </c>
      <c r="AA259" s="37">
        <v>1</v>
      </c>
      <c r="AB259" s="2">
        <f t="shared" si="129"/>
        <v>47</v>
      </c>
      <c r="AC259" s="5" t="str">
        <f ca="1">IFERROR(VLOOKUP($AB259,OFFSET([4]characters!$A$1,0,0,COUNTA([4]characters!$A:$A),MATCH(AC$1,[4]characters!$1:$1,0)-MATCH("character_id",[4]characters!$1:$1,0)+1),MATCH(AC$1,[4]characters!$1:$1,0)-MATCH("character_id",[4]characters!$1:$1,0)+1,FALSE),"")</f>
        <v>ヒロ</v>
      </c>
      <c r="AD259" s="5">
        <f ca="1">IFERROR(VLOOKUP($AB259,OFFSET([4]characters!$A$1,0,0,COUNTA([4]characters!$A:$A),MATCH(AD$1,[4]characters!$1:$1,0)-MATCH("character_id",[4]characters!$1:$1,0)+1),MATCH(AD$1,[4]characters!$1:$1,0)-MATCH("character_id",[4]characters!$1:$1,0)+1,FALSE),"")</f>
        <v>2</v>
      </c>
      <c r="AE259" s="5" t="str">
        <f ca="1">IFERROR(VLOOKUP($AB259,OFFSET([4]characters!$A$1,0,0,COUNTA([4]characters!$A:$A),MATCH(AE$1,[4]characters!$1:$1,0)-MATCH("character_id",[4]characters!$1:$1,0)+1),MATCH(AE$1,[4]characters!$1:$1,0)-MATCH("character_id",[4]characters!$1:$1,0)+1,FALSE),"")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59" s="30">
        <v>1</v>
      </c>
      <c r="AG259" s="27">
        <f t="shared" ca="1" si="135"/>
        <v>2</v>
      </c>
      <c r="AH259" s="9">
        <v>0</v>
      </c>
      <c r="AI259" s="28">
        <v>0</v>
      </c>
      <c r="AJ259" s="28">
        <v>0</v>
      </c>
      <c r="AK259" s="28">
        <v>0</v>
      </c>
      <c r="AL259" s="28">
        <v>0</v>
      </c>
      <c r="AM259" s="28">
        <v>1</v>
      </c>
      <c r="AN259" s="28">
        <v>1</v>
      </c>
    </row>
    <row r="260" spans="1:40" ht="21" customHeight="1" x14ac:dyDescent="0.15">
      <c r="A260" s="17" t="str">
        <f>B260&amp;"_"&amp;C260&amp;"-"&amp;G260&amp;"/"&amp;L260&amp;"&lt;lv"&amp;R260&amp;"&gt;s"&amp;AA260</f>
        <v>11006_2-1/45&lt;lv16&gt;s3</v>
      </c>
      <c r="B260" s="8">
        <v>11006</v>
      </c>
      <c r="C260" s="25">
        <v>2</v>
      </c>
      <c r="D260" s="16" t="str">
        <f>B260&amp;"_"&amp;C260</f>
        <v>11006_2</v>
      </c>
      <c r="E260" s="5" t="s">
        <v>48</v>
      </c>
      <c r="F260" s="5" t="str">
        <f ca="1">VLOOKUP($D260,OFFSET([2]stages!$A$1,0,0,COUNTA([2]stages!$A:$A),MATCH(F$1,[2]stages!$2:$2,0)-MATCH($D$1,[2]stages!$2:$2,0)+1),MATCH(F$1,[2]stages!$2:$2,0)-MATCH($D$1,[2]stages!$2:$2,0)+1,FALSE)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0" s="25">
        <v>1</v>
      </c>
      <c r="H260" s="16" t="str">
        <f t="shared" si="153"/>
        <v>11006_2-1</v>
      </c>
      <c r="I260" s="5">
        <f ca="1">VLOOKUP($H260,OFFSET(floors!$A$1,0,0,COUNTA(floors!$A:$A),MATCH(I$1,floors!$1:$1,0)-MATCH($H$1,floors!$1:$1,0)+1),MATCH(I$1,floors!$1:$1,0)-MATCH($H$1,floors!$1:$1,0)+1,FALSE)</f>
        <v>30</v>
      </c>
      <c r="J260" s="5">
        <f ca="1">VLOOKUP($H260,OFFSET(floors!$A$1,0,0,COUNTA(floors!$A:$A),MATCH(J$1,floors!$1:$1,0)-MATCH($H$1,floors!$1:$1,0)+1),MATCH(J$1,floors!$1:$1,0)-MATCH($H$1,floors!$1:$1,0)+1,FALSE)</f>
        <v>55</v>
      </c>
      <c r="K260" s="24" t="s">
        <v>197</v>
      </c>
      <c r="L260" s="31">
        <v>45</v>
      </c>
      <c r="M260" s="20" t="str">
        <f ca="1">VLOOKUP($L260,OFFSET([3]enemies!$A$1,0,0,COUNTA([3]enemies!$A:$A),MATCH(M$1,[3]enemies!$1:$1,0)-MATCH($L$1,[3]enemies!$1:$1,0)+1),MATCH(M$1,[3]enemies!$1:$1,0)-MATCH($L$1,[3]enemies!$1:$1,0)+1,FALSE)</f>
        <v>ショウイン</v>
      </c>
      <c r="N260" s="20" t="str">
        <f ca="1">VLOOKUP($L260,OFFSET([3]enemies!$A$1,0,0,COUNTA([3]enemies!$A:$A),MATCH(N$1,[3]enemies!$1:$1,0)-MATCH($L$1,[3]enemies!$1:$1,0)+1),MATCH(N$1,[3]enemies!$1:$1,0)-MATCH($L$1,[3]enemies!$1:$1,0)+1,FALSE)</f>
        <v>blue</v>
      </c>
      <c r="O260" s="22" t="str">
        <f ca="1">VLOOKUP($L260,OFFSET([4]characters!$A$1,0,0,COUNTA([4]characters!$A:$A),MATCH(O$1,[4]characters!$1:$1,0)-MATCH($L$1,[4]characters!$1:$1,0)+1),MATCH(O$1,[4]characters!$1:$1,0)-MATCH($L$1,[4]characters!$1:$1,0)+1,FALSE)</f>
        <v>Drop1N</v>
      </c>
      <c r="P260" s="20" t="str">
        <f ca="1">VLOOKUP($L260,OFFSET([3]enemies!$A$1,0,0,COUNTA([3]enemies!$A:$A),MATCH(P$1,[3]enemies!$1:$1,0)-MATCH($L$1,[3]enemies!$1:$1,0)+1),MATCH(P$1,[3]enemies!$1:$1,0)-MATCH($L$1,[3]enemies!$1:$1,0)+1,FALSE)</f>
        <v>animal</v>
      </c>
      <c r="Q260" s="20">
        <f ca="1">VLOOKUP($L260,OFFSET([3]enemies!$A$1,0,0,COUNTA([3]enemies!$A:$A),MATCH(Q$1,[3]enemies!$1:$1,0)-MATCH($L$1,[3]enemies!$1:$1,0)+1),MATCH(Q$1,[3]enemies!$1:$1,0)-MATCH($L$1,[3]enemies!$1:$1,0)+1,FALSE)</f>
        <v>15</v>
      </c>
      <c r="R260" s="6">
        <v>16</v>
      </c>
      <c r="S260" s="39">
        <v>1</v>
      </c>
      <c r="T260" s="39">
        <v>1</v>
      </c>
      <c r="U260" s="6">
        <v>0</v>
      </c>
      <c r="V260" s="5" t="str">
        <f ca="1">VLOOKUP($W260,OFFSET([5]enemy_skill_sets!$B$1,0,0,COUNTA([5]enemy_skill_sets!$B:$B),MATCH(M$1,[5]enemy_skill_sets!$1:$1,0)-MATCH($W$1,[5]enemy_skill_sets!$1:$1,0)+2),MATCH(M$1,[5]enemy_skill_sets!$1:$1,0)-MATCH($W$1,[5]enemy_skill_sets!$1:$1,0)+2,FALSE)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0" s="35">
        <v>0</v>
      </c>
      <c r="X260" s="29">
        <v>0</v>
      </c>
      <c r="Y260" s="29">
        <v>10</v>
      </c>
      <c r="Z260" s="29">
        <v>0</v>
      </c>
      <c r="AA260" s="37">
        <v>3</v>
      </c>
      <c r="AB260" s="2">
        <f t="shared" si="129"/>
        <v>45</v>
      </c>
      <c r="AC260" s="5" t="str">
        <f ca="1">IFERROR(VLOOKUP($AB260,OFFSET([4]characters!$A$1,0,0,COUNTA([4]characters!$A:$A),MATCH(AC$1,[4]characters!$1:$1,0)-MATCH("character_id",[4]characters!$1:$1,0)+1),MATCH(AC$1,[4]characters!$1:$1,0)-MATCH("character_id",[4]characters!$1:$1,0)+1,FALSE),"")</f>
        <v>ショウイン</v>
      </c>
      <c r="AD260" s="5">
        <f ca="1">IFERROR(VLOOKUP($AB260,OFFSET([4]characters!$A$1,0,0,COUNTA([4]characters!$A:$A),MATCH(AD$1,[4]characters!$1:$1,0)-MATCH("character_id",[4]characters!$1:$1,0)+1),MATCH(AD$1,[4]characters!$1:$1,0)-MATCH("character_id",[4]characters!$1:$1,0)+1,FALSE),"")</f>
        <v>2</v>
      </c>
      <c r="AE260" s="5" t="str">
        <f ca="1">IFERROR(VLOOKUP($AB260,OFFSET([4]characters!$A$1,0,0,COUNTA([4]characters!$A:$A),MATCH(AE$1,[4]characters!$1:$1,0)-MATCH("character_id",[4]characters!$1:$1,0)+1),MATCH(AE$1,[4]characters!$1:$1,0)-MATCH("character_id",[4]characters!$1:$1,0)+1,FALSE),"")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60" s="30">
        <v>1</v>
      </c>
      <c r="AG260" s="27">
        <f t="shared" ca="1" si="135"/>
        <v>2</v>
      </c>
      <c r="AH260" s="9">
        <v>0</v>
      </c>
      <c r="AI260" s="28">
        <v>0</v>
      </c>
      <c r="AJ260" s="28">
        <v>0</v>
      </c>
      <c r="AK260" s="28">
        <v>0</v>
      </c>
      <c r="AL260" s="28">
        <v>0</v>
      </c>
      <c r="AM260" s="28">
        <v>1</v>
      </c>
      <c r="AN260" s="28">
        <v>1</v>
      </c>
    </row>
    <row r="261" spans="1:40" ht="21" customHeight="1" x14ac:dyDescent="0.15">
      <c r="A261" s="17" t="str">
        <f t="shared" ca="1" si="133"/>
        <v>11006_2-2/118&lt;lv2&gt;s2</v>
      </c>
      <c r="B261" s="8">
        <v>11006</v>
      </c>
      <c r="C261" s="25">
        <v>2</v>
      </c>
      <c r="D261" s="2" t="str">
        <f t="shared" si="134"/>
        <v>11006_2</v>
      </c>
      <c r="E261" s="5" t="str">
        <f ca="1">VLOOKUP($B261,OFFSET([2]quests!$A$1,0,0,COUNTA([2]quests!$A:$A),MATCH(E$1,[2]quests!$1:$1,0)-MATCH($B$1,[2]quests!$1:$1,0)+1),MATCH(E$1,[2]quests!$1:$1,0)-MATCH($B$1,[2]quests!$1:$1,0)+1,FALSE)</f>
        <v>【土日限定】 ゴールドカジノ</v>
      </c>
      <c r="F261" s="5" t="str">
        <f ca="1">VLOOKUP($D261,OFFSET([2]stages!$A$1,0,0,COUNTA([2]stages!$A:$A),MATCH(F$1,[2]stages!$2:$2,0)-MATCH($D$1,[2]stages!$2:$2,0)+1),MATCH(F$1,[2]stages!$2:$2,0)-MATCH($D$1,[2]stages!$2:$2,0)+1,FALSE)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1" s="25">
        <v>2</v>
      </c>
      <c r="H261" s="16" t="str">
        <f t="shared" si="153"/>
        <v>11006_2-2</v>
      </c>
      <c r="I261" s="5">
        <f ca="1">VLOOKUP($H261,OFFSET(floors!$A$1,0,0,COUNTA(floors!$A:$A),MATCH(I$1,floors!$1:$1,0)-MATCH($H$1,floors!$1:$1,0)+1),MATCH(I$1,floors!$1:$1,0)-MATCH($H$1,floors!$1:$1,0)+1,FALSE)</f>
        <v>30</v>
      </c>
      <c r="J261" s="5">
        <f ca="1">VLOOKUP($H261,OFFSET(floors!$A$1,0,0,COUNTA(floors!$A:$A),MATCH(J$1,floors!$1:$1,0)-MATCH($H$1,floors!$1:$1,0)+1),MATCH(J$1,floors!$1:$1,0)-MATCH($H$1,floors!$1:$1,0)+1,FALSE)</f>
        <v>55</v>
      </c>
      <c r="K261" s="24" t="s">
        <v>197</v>
      </c>
      <c r="L261" s="24">
        <v>118</v>
      </c>
      <c r="M261" s="20" t="str">
        <f ca="1">VLOOKUP($L261,OFFSET([3]enemies!$A$1,0,0,COUNTA([3]enemies!$A:$A),MATCH(M$1,[3]enemies!$1:$1,0)-MATCH($L$1,[3]enemies!$1:$1,0)+1),MATCH(M$1,[3]enemies!$1:$1,0)-MATCH($L$1,[3]enemies!$1:$1,0)+1,FALSE)</f>
        <v>ゴールドチック</v>
      </c>
      <c r="N261" s="20" t="str">
        <f ca="1">VLOOKUP($L261,OFFSET([3]enemies!$A$1,0,0,COUNTA([3]enemies!$A:$A),MATCH(N$1,[3]enemies!$1:$1,0)-MATCH($L$1,[3]enemies!$1:$1,0)+1),MATCH(N$1,[3]enemies!$1:$1,0)-MATCH($L$1,[3]enemies!$1:$1,0)+1,FALSE)</f>
        <v>yellow</v>
      </c>
      <c r="O261" s="22" t="str">
        <f ca="1">VLOOKUP($L261,OFFSET([4]characters!$A$1,0,0,COUNTA([4]characters!$A:$A),MATCH(O$1,[4]characters!$1:$1,0)-MATCH($L$1,[4]characters!$1:$1,0)+1),MATCH(O$1,[4]characters!$1:$1,0)-MATCH($L$1,[4]characters!$1:$1,0)+1,FALSE)</f>
        <v>Material</v>
      </c>
      <c r="P261" s="20" t="str">
        <f ca="1">VLOOKUP($L261,OFFSET([3]enemies!$A$1,0,0,COUNTA([3]enemies!$A:$A),MATCH(P$1,[3]enemies!$1:$1,0)-MATCH($L$1,[3]enemies!$1:$1,0)+1),MATCH(P$1,[3]enemies!$1:$1,0)-MATCH($L$1,[3]enemies!$1:$1,0)+1,FALSE)</f>
        <v>unknown</v>
      </c>
      <c r="Q261" s="20">
        <f ca="1">VLOOKUP($L261,OFFSET([3]enemies!$A$1,0,0,COUNTA([3]enemies!$A:$A),MATCH(Q$1,[3]enemies!$1:$1,0)-MATCH($L$1,[3]enemies!$1:$1,0)+1),MATCH(Q$1,[3]enemies!$1:$1,0)-MATCH($L$1,[3]enemies!$1:$1,0)+1,FALSE)</f>
        <v>15</v>
      </c>
      <c r="R261" s="6">
        <v>2</v>
      </c>
      <c r="S261" s="39">
        <v>11.8</v>
      </c>
      <c r="T261" s="39">
        <v>15.75</v>
      </c>
      <c r="U261" s="6">
        <v>0</v>
      </c>
      <c r="V261" s="5" t="str">
        <f ca="1">VLOOKUP($W261,OFFSET([5]enemy_skill_sets!$B$1,0,0,COUNTA([5]enemy_skill_sets!$B:$B),MATCH(M$1,[5]enemy_skill_sets!$1:$1,0)-MATCH($W$1,[5]enemy_skill_sets!$1:$1,0)+2),MATCH(M$1,[5]enemy_skill_sets!$1:$1,0)-MATCH($W$1,[5]enemy_skill_sets!$1:$1,0)+2,FALSE)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1" s="35">
        <v>0</v>
      </c>
      <c r="X261" s="7">
        <v>1</v>
      </c>
      <c r="Y261" s="7">
        <v>0</v>
      </c>
      <c r="Z261" s="7">
        <v>1</v>
      </c>
      <c r="AA261" s="20">
        <f ca="1">VLOOKUP($L261,OFFSET([3]enemies!$A$1,0,0,COUNTA([3]enemies!$A:$A),MATCH(AA$1,[3]enemies!$1:$1,0)-MATCH($L$1,[3]enemies!$1:$1,0)+1),MATCH(AA$1,[3]enemies!$1:$1,0)-MATCH($L$1,[3]enemies!$1:$1,0)+1,FALSE)</f>
        <v>2</v>
      </c>
      <c r="AB261" s="2">
        <f t="shared" si="129"/>
        <v>118</v>
      </c>
      <c r="AC261" s="5" t="str">
        <f ca="1">IFERROR(VLOOKUP($AB261,OFFSET([4]characters!$A$1,0,0,COUNTA([4]characters!$A:$A),MATCH(AC$1,[4]characters!$1:$1,0)-MATCH("character_id",[4]characters!$1:$1,0)+1),MATCH(AC$1,[4]characters!$1:$1,0)-MATCH("character_id",[4]characters!$1:$1,0)+1,FALSE),"")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61" s="5">
        <f ca="1">IFERROR(VLOOKUP($AB261,OFFSET([4]characters!$A$1,0,0,COUNTA([4]characters!$A:$A),MATCH(AD$1,[4]characters!$1:$1,0)-MATCH("character_id",[4]characters!$1:$1,0)+1),MATCH(AD$1,[4]characters!$1:$1,0)-MATCH("character_id",[4]characters!$1:$1,0)+1,FALSE),"")</f>
        <v>4</v>
      </c>
      <c r="AE261" s="5" t="str">
        <f ca="1">IFERROR(VLOOKUP($AB261,OFFSET([4]characters!$A$1,0,0,COUNTA([4]characters!$A:$A),MATCH(AE$1,[4]characters!$1:$1,0)-MATCH("character_id",[4]characters!$1:$1,0)+1),MATCH(AE$1,[4]characters!$1:$1,0)-MATCH("character_id",[4]characters!$1:$1,0)+1,FALSE),"")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1" s="8">
        <v>1</v>
      </c>
      <c r="AG261" s="27">
        <f t="shared" ca="1" si="135"/>
        <v>4</v>
      </c>
      <c r="AH261" s="9">
        <v>100</v>
      </c>
      <c r="AI261" s="8">
        <v>0</v>
      </c>
      <c r="AJ261" s="8">
        <v>0</v>
      </c>
      <c r="AK261" s="8">
        <v>0</v>
      </c>
      <c r="AL261" s="8">
        <v>0</v>
      </c>
      <c r="AM261" s="8">
        <v>1</v>
      </c>
      <c r="AN261" s="8">
        <v>1</v>
      </c>
    </row>
    <row r="262" spans="1:40" ht="21" customHeight="1" x14ac:dyDescent="0.15">
      <c r="A262" s="17" t="str">
        <f t="shared" ref="A262" ca="1" si="154">B262&amp;"_"&amp;C262&amp;"-"&amp;G262&amp;"/"&amp;L262&amp;"&lt;lv"&amp;R262&amp;"&gt;s"&amp;AA262</f>
        <v>11006_2-2/118&lt;lv1&gt;s2</v>
      </c>
      <c r="B262" s="8">
        <v>11006</v>
      </c>
      <c r="C262" s="25">
        <v>2</v>
      </c>
      <c r="D262" s="2" t="str">
        <f t="shared" ref="D262" si="155">B262&amp;"_"&amp;C262</f>
        <v>11006_2</v>
      </c>
      <c r="E262" s="5" t="str">
        <f ca="1">VLOOKUP($B262,OFFSET([2]quests!$A$1,0,0,COUNTA([2]quests!$A:$A),MATCH(E$1,[2]quests!$1:$1,0)-MATCH($B$1,[2]quests!$1:$1,0)+1),MATCH(E$1,[2]quests!$1:$1,0)-MATCH($B$1,[2]quests!$1:$1,0)+1,FALSE)</f>
        <v>【土日限定】 ゴールドカジノ</v>
      </c>
      <c r="F262" s="5" t="str">
        <f ca="1">VLOOKUP($D262,OFFSET([2]stages!$A$1,0,0,COUNTA([2]stages!$A:$A),MATCH(F$1,[2]stages!$2:$2,0)-MATCH($D$1,[2]stages!$2:$2,0)+1),MATCH(F$1,[2]stages!$2:$2,0)-MATCH($D$1,[2]stages!$2:$2,0)+1,FALSE)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2" s="25">
        <v>2</v>
      </c>
      <c r="H262" s="16" t="str">
        <f t="shared" si="153"/>
        <v>11006_2-2</v>
      </c>
      <c r="I262" s="5">
        <f ca="1">VLOOKUP($H262,OFFSET(floors!$A$1,0,0,COUNTA(floors!$A:$A),MATCH(I$1,floors!$1:$1,0)-MATCH($H$1,floors!$1:$1,0)+1),MATCH(I$1,floors!$1:$1,0)-MATCH($H$1,floors!$1:$1,0)+1,FALSE)</f>
        <v>30</v>
      </c>
      <c r="J262" s="5">
        <f ca="1">VLOOKUP($H262,OFFSET(floors!$A$1,0,0,COUNTA(floors!$A:$A),MATCH(J$1,floors!$1:$1,0)-MATCH($H$1,floors!$1:$1,0)+1),MATCH(J$1,floors!$1:$1,0)-MATCH($H$1,floors!$1:$1,0)+1,FALSE)</f>
        <v>55</v>
      </c>
      <c r="K262" s="24" t="s">
        <v>197</v>
      </c>
      <c r="L262" s="24">
        <v>118</v>
      </c>
      <c r="M262" s="20" t="str">
        <f ca="1">VLOOKUP($L262,OFFSET([3]enemies!$A$1,0,0,COUNTA([3]enemies!$A:$A),MATCH(M$1,[3]enemies!$1:$1,0)-MATCH($L$1,[3]enemies!$1:$1,0)+1),MATCH(M$1,[3]enemies!$1:$1,0)-MATCH($L$1,[3]enemies!$1:$1,0)+1,FALSE)</f>
        <v>ゴールドチック</v>
      </c>
      <c r="N262" s="20" t="str">
        <f ca="1">VLOOKUP($L262,OFFSET([3]enemies!$A$1,0,0,COUNTA([3]enemies!$A:$A),MATCH(N$1,[3]enemies!$1:$1,0)-MATCH($L$1,[3]enemies!$1:$1,0)+1),MATCH(N$1,[3]enemies!$1:$1,0)-MATCH($L$1,[3]enemies!$1:$1,0)+1,FALSE)</f>
        <v>yellow</v>
      </c>
      <c r="O262" s="22" t="str">
        <f ca="1">VLOOKUP($L262,OFFSET([4]characters!$A$1,0,0,COUNTA([4]characters!$A:$A),MATCH(O$1,[4]characters!$1:$1,0)-MATCH($L$1,[4]characters!$1:$1,0)+1),MATCH(O$1,[4]characters!$1:$1,0)-MATCH($L$1,[4]characters!$1:$1,0)+1,FALSE)</f>
        <v>Material</v>
      </c>
      <c r="P262" s="20" t="str">
        <f ca="1">VLOOKUP($L262,OFFSET([3]enemies!$A$1,0,0,COUNTA([3]enemies!$A:$A),MATCH(P$1,[3]enemies!$1:$1,0)-MATCH($L$1,[3]enemies!$1:$1,0)+1),MATCH(P$1,[3]enemies!$1:$1,0)-MATCH($L$1,[3]enemies!$1:$1,0)+1,FALSE)</f>
        <v>unknown</v>
      </c>
      <c r="Q262" s="20">
        <f ca="1">VLOOKUP($L262,OFFSET([3]enemies!$A$1,0,0,COUNTA([3]enemies!$A:$A),MATCH(Q$1,[3]enemies!$1:$1,0)-MATCH($L$1,[3]enemies!$1:$1,0)+1),MATCH(Q$1,[3]enemies!$1:$1,0)-MATCH($L$1,[3]enemies!$1:$1,0)+1,FALSE)</f>
        <v>15</v>
      </c>
      <c r="R262" s="6">
        <v>1</v>
      </c>
      <c r="S262" s="39">
        <v>16.5</v>
      </c>
      <c r="T262" s="39">
        <v>15.75</v>
      </c>
      <c r="U262" s="6">
        <v>0</v>
      </c>
      <c r="V262" s="5" t="str">
        <f ca="1">VLOOKUP($W262,OFFSET([5]enemy_skill_sets!$B$1,0,0,COUNTA([5]enemy_skill_sets!$B:$B),MATCH(M$1,[5]enemy_skill_sets!$1:$1,0)-MATCH($W$1,[5]enemy_skill_sets!$1:$1,0)+2),MATCH(M$1,[5]enemy_skill_sets!$1:$1,0)-MATCH($W$1,[5]enemy_skill_sets!$1:$1,0)+2,FALSE)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2" s="35">
        <v>0</v>
      </c>
      <c r="X262" s="7">
        <v>0</v>
      </c>
      <c r="Y262" s="7">
        <v>60</v>
      </c>
      <c r="Z262" s="7">
        <v>0</v>
      </c>
      <c r="AA262" s="20">
        <f ca="1">VLOOKUP($L262,OFFSET([3]enemies!$A$1,0,0,COUNTA([3]enemies!$A:$A),MATCH(AA$1,[3]enemies!$1:$1,0)-MATCH($L$1,[3]enemies!$1:$1,0)+1),MATCH(AA$1,[3]enemies!$1:$1,0)-MATCH($L$1,[3]enemies!$1:$1,0)+1,FALSE)</f>
        <v>2</v>
      </c>
      <c r="AB262" s="2">
        <f t="shared" si="129"/>
        <v>118</v>
      </c>
      <c r="AC262" s="5" t="str">
        <f ca="1">IFERROR(VLOOKUP($AB262,OFFSET([4]characters!$A$1,0,0,COUNTA([4]characters!$A:$A),MATCH(AC$1,[4]characters!$1:$1,0)-MATCH("character_id",[4]characters!$1:$1,0)+1),MATCH(AC$1,[4]characters!$1:$1,0)-MATCH("character_id",[4]characters!$1:$1,0)+1,FALSE),"")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62" s="5">
        <f ca="1">IFERROR(VLOOKUP($AB262,OFFSET([4]characters!$A$1,0,0,COUNTA([4]characters!$A:$A),MATCH(AD$1,[4]characters!$1:$1,0)-MATCH("character_id",[4]characters!$1:$1,0)+1),MATCH(AD$1,[4]characters!$1:$1,0)-MATCH("character_id",[4]characters!$1:$1,0)+1,FALSE),"")</f>
        <v>4</v>
      </c>
      <c r="AE262" s="5" t="str">
        <f ca="1">IFERROR(VLOOKUP($AB262,OFFSET([4]characters!$A$1,0,0,COUNTA([4]characters!$A:$A),MATCH(AE$1,[4]characters!$1:$1,0)-MATCH("character_id",[4]characters!$1:$1,0)+1),MATCH(AE$1,[4]characters!$1:$1,0)-MATCH("character_id",[4]characters!$1:$1,0)+1,FALSE),"")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2" s="8">
        <v>1</v>
      </c>
      <c r="AG262" s="27">
        <f t="shared" ref="AG262:AG266" ca="1" si="156">AD262</f>
        <v>4</v>
      </c>
      <c r="AH262" s="9">
        <v>100</v>
      </c>
      <c r="AI262" s="8">
        <v>0</v>
      </c>
      <c r="AJ262" s="8">
        <v>0</v>
      </c>
      <c r="AK262" s="8">
        <v>0</v>
      </c>
      <c r="AL262" s="8">
        <v>0</v>
      </c>
      <c r="AM262" s="8">
        <v>1</v>
      </c>
      <c r="AN262" s="8">
        <v>1</v>
      </c>
    </row>
    <row r="263" spans="1:40" ht="21" customHeight="1" x14ac:dyDescent="0.15">
      <c r="A263" s="17" t="str">
        <f>B263&amp;"_"&amp;C263&amp;"-"&amp;G263&amp;"/"&amp;L263&amp;"&lt;lv"&amp;R263&amp;"&gt;s"&amp;AA263</f>
        <v>11006_2-2/41&lt;lv16&gt;s1</v>
      </c>
      <c r="B263" s="8">
        <v>11006</v>
      </c>
      <c r="C263" s="25">
        <v>2</v>
      </c>
      <c r="D263" s="16" t="str">
        <f>B263&amp;"_"&amp;C263</f>
        <v>11006_2</v>
      </c>
      <c r="E263" s="5" t="s">
        <v>48</v>
      </c>
      <c r="F263" s="5" t="str">
        <f ca="1">VLOOKUP($D263,OFFSET([2]stages!$A$1,0,0,COUNTA([2]stages!$A:$A),MATCH(F$1,[2]stages!$2:$2,0)-MATCH($D$1,[2]stages!$2:$2,0)+1),MATCH(F$1,[2]stages!$2:$2,0)-MATCH($D$1,[2]stages!$2:$2,0)+1,FALSE)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3" s="25">
        <v>2</v>
      </c>
      <c r="H263" s="16" t="str">
        <f t="shared" si="153"/>
        <v>11006_2-2</v>
      </c>
      <c r="I263" s="5">
        <f ca="1">VLOOKUP($H263,OFFSET(floors!$A$1,0,0,COUNTA(floors!$A:$A),MATCH(I$1,floors!$1:$1,0)-MATCH($H$1,floors!$1:$1,0)+1),MATCH(I$1,floors!$1:$1,0)-MATCH($H$1,floors!$1:$1,0)+1,FALSE)</f>
        <v>30</v>
      </c>
      <c r="J263" s="5">
        <f ca="1">VLOOKUP($H263,OFFSET(floors!$A$1,0,0,COUNTA(floors!$A:$A),MATCH(J$1,floors!$1:$1,0)-MATCH($H$1,floors!$1:$1,0)+1),MATCH(J$1,floors!$1:$1,0)-MATCH($H$1,floors!$1:$1,0)+1,FALSE)</f>
        <v>55</v>
      </c>
      <c r="K263" s="24" t="s">
        <v>197</v>
      </c>
      <c r="L263" s="31">
        <v>41</v>
      </c>
      <c r="M263" s="20" t="str">
        <f ca="1">VLOOKUP($L263,OFFSET([3]enemies!$A$1,0,0,COUNTA([3]enemies!$A:$A),MATCH(M$1,[3]enemies!$1:$1,0)-MATCH($L$1,[3]enemies!$1:$1,0)+1),MATCH(M$1,[3]enemies!$1:$1,0)-MATCH($L$1,[3]enemies!$1:$1,0)+1,FALSE)</f>
        <v>ヒュウガ</v>
      </c>
      <c r="N263" s="20" t="str">
        <f ca="1">VLOOKUP($L263,OFFSET([3]enemies!$A$1,0,0,COUNTA([3]enemies!$A:$A),MATCH(N$1,[3]enemies!$1:$1,0)-MATCH($L$1,[3]enemies!$1:$1,0)+1),MATCH(N$1,[3]enemies!$1:$1,0)-MATCH($L$1,[3]enemies!$1:$1,0)+1,FALSE)</f>
        <v>red</v>
      </c>
      <c r="O263" s="22" t="str">
        <f ca="1">VLOOKUP($L263,OFFSET([4]characters!$A$1,0,0,COUNTA([4]characters!$A:$A),MATCH(O$1,[4]characters!$1:$1,0)-MATCH($L$1,[4]characters!$1:$1,0)+1),MATCH(O$1,[4]characters!$1:$1,0)-MATCH($L$1,[4]characters!$1:$1,0)+1,FALSE)</f>
        <v>Drop1N</v>
      </c>
      <c r="P263" s="20" t="str">
        <f ca="1">VLOOKUP($L263,OFFSET([3]enemies!$A$1,0,0,COUNTA([3]enemies!$A:$A),MATCH(P$1,[3]enemies!$1:$1,0)-MATCH($L$1,[3]enemies!$1:$1,0)+1),MATCH(P$1,[3]enemies!$1:$1,0)-MATCH($L$1,[3]enemies!$1:$1,0)+1,FALSE)</f>
        <v>dragon</v>
      </c>
      <c r="Q263" s="20">
        <f ca="1">VLOOKUP($L263,OFFSET([3]enemies!$A$1,0,0,COUNTA([3]enemies!$A:$A),MATCH(Q$1,[3]enemies!$1:$1,0)-MATCH($L$1,[3]enemies!$1:$1,0)+1),MATCH(Q$1,[3]enemies!$1:$1,0)-MATCH($L$1,[3]enemies!$1:$1,0)+1,FALSE)</f>
        <v>15</v>
      </c>
      <c r="R263" s="6">
        <v>16</v>
      </c>
      <c r="S263" s="39">
        <v>1</v>
      </c>
      <c r="T263" s="39">
        <v>1</v>
      </c>
      <c r="U263" s="6">
        <v>0</v>
      </c>
      <c r="V263" s="5" t="str">
        <f ca="1">VLOOKUP($W263,OFFSET([5]enemy_skill_sets!$B$1,0,0,COUNTA([5]enemy_skill_sets!$B:$B),MATCH(M$1,[5]enemy_skill_sets!$1:$1,0)-MATCH($W$1,[5]enemy_skill_sets!$1:$1,0)+2),MATCH(M$1,[5]enemy_skill_sets!$1:$1,0)-MATCH($W$1,[5]enemy_skill_sets!$1:$1,0)+2,FALSE)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3" s="35">
        <v>0</v>
      </c>
      <c r="X263" s="29">
        <v>0</v>
      </c>
      <c r="Y263" s="7">
        <v>10</v>
      </c>
      <c r="Z263" s="29">
        <v>0</v>
      </c>
      <c r="AA263" s="37">
        <v>1</v>
      </c>
      <c r="AB263" s="2">
        <f t="shared" si="129"/>
        <v>41</v>
      </c>
      <c r="AC263" s="5" t="str">
        <f ca="1">IFERROR(VLOOKUP($AB263,OFFSET([4]characters!$A$1,0,0,COUNTA([4]characters!$A:$A),MATCH(AC$1,[4]characters!$1:$1,0)-MATCH("character_id",[4]characters!$1:$1,0)+1),MATCH(AC$1,[4]characters!$1:$1,0)-MATCH("character_id",[4]characters!$1:$1,0)+1,FALSE),"")</f>
        <v>ヒュウガ</v>
      </c>
      <c r="AD263" s="5">
        <f ca="1">IFERROR(VLOOKUP($AB263,OFFSET([4]characters!$A$1,0,0,COUNTA([4]characters!$A:$A),MATCH(AD$1,[4]characters!$1:$1,0)-MATCH("character_id",[4]characters!$1:$1,0)+1),MATCH(AD$1,[4]characters!$1:$1,0)-MATCH("character_id",[4]characters!$1:$1,0)+1,FALSE),"")</f>
        <v>2</v>
      </c>
      <c r="AE263" s="5" t="str">
        <f ca="1">IFERROR(VLOOKUP($AB263,OFFSET([4]characters!$A$1,0,0,COUNTA([4]characters!$A:$A),MATCH(AE$1,[4]characters!$1:$1,0)-MATCH("character_id",[4]characters!$1:$1,0)+1),MATCH(AE$1,[4]characters!$1:$1,0)-MATCH("character_id",[4]characters!$1:$1,0)+1,FALSE),"")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63" s="30">
        <v>1</v>
      </c>
      <c r="AG263" s="27">
        <f t="shared" ca="1" si="156"/>
        <v>2</v>
      </c>
      <c r="AH263" s="9">
        <v>0</v>
      </c>
      <c r="AI263" s="28">
        <v>0</v>
      </c>
      <c r="AJ263" s="28">
        <v>0</v>
      </c>
      <c r="AK263" s="28">
        <v>0</v>
      </c>
      <c r="AL263" s="28">
        <v>0</v>
      </c>
      <c r="AM263" s="28">
        <v>1</v>
      </c>
      <c r="AN263" s="28">
        <v>1</v>
      </c>
    </row>
    <row r="264" spans="1:40" ht="21" customHeight="1" x14ac:dyDescent="0.15">
      <c r="A264" s="17" t="str">
        <f>B264&amp;"_"&amp;C264&amp;"-"&amp;G264&amp;"/"&amp;L264&amp;"&lt;lv"&amp;R264&amp;"&gt;s"&amp;AA264</f>
        <v>11006_2-2/43&lt;lv16&gt;s2</v>
      </c>
      <c r="B264" s="8">
        <v>11006</v>
      </c>
      <c r="C264" s="25">
        <v>2</v>
      </c>
      <c r="D264" s="16" t="str">
        <f>B264&amp;"_"&amp;C264</f>
        <v>11006_2</v>
      </c>
      <c r="E264" s="5" t="s">
        <v>48</v>
      </c>
      <c r="F264" s="5" t="str">
        <f ca="1">VLOOKUP($D264,OFFSET([2]stages!$A$1,0,0,COUNTA([2]stages!$A:$A),MATCH(F$1,[2]stages!$2:$2,0)-MATCH($D$1,[2]stages!$2:$2,0)+1),MATCH(F$1,[2]stages!$2:$2,0)-MATCH($D$1,[2]stages!$2:$2,0)+1,FALSE)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4" s="25">
        <v>2</v>
      </c>
      <c r="H264" s="16" t="str">
        <f t="shared" si="153"/>
        <v>11006_2-2</v>
      </c>
      <c r="I264" s="5">
        <f ca="1">VLOOKUP($H264,OFFSET(floors!$A$1,0,0,COUNTA(floors!$A:$A),MATCH(I$1,floors!$1:$1,0)-MATCH($H$1,floors!$1:$1,0)+1),MATCH(I$1,floors!$1:$1,0)-MATCH($H$1,floors!$1:$1,0)+1,FALSE)</f>
        <v>30</v>
      </c>
      <c r="J264" s="5">
        <f ca="1">VLOOKUP($H264,OFFSET(floors!$A$1,0,0,COUNTA(floors!$A:$A),MATCH(J$1,floors!$1:$1,0)-MATCH($H$1,floors!$1:$1,0)+1),MATCH(J$1,floors!$1:$1,0)-MATCH($H$1,floors!$1:$1,0)+1,FALSE)</f>
        <v>55</v>
      </c>
      <c r="K264" s="24" t="s">
        <v>197</v>
      </c>
      <c r="L264" s="31">
        <v>43</v>
      </c>
      <c r="M264" s="20" t="str">
        <f ca="1">VLOOKUP($L264,OFFSET([3]enemies!$A$1,0,0,COUNTA([3]enemies!$A:$A),MATCH(M$1,[3]enemies!$1:$1,0)-MATCH($L$1,[3]enemies!$1:$1,0)+1),MATCH(M$1,[3]enemies!$1:$1,0)-MATCH($L$1,[3]enemies!$1:$1,0)+1,FALSE)</f>
        <v>ムゥ</v>
      </c>
      <c r="N264" s="20" t="str">
        <f ca="1">VLOOKUP($L264,OFFSET([3]enemies!$A$1,0,0,COUNTA([3]enemies!$A:$A),MATCH(N$1,[3]enemies!$1:$1,0)-MATCH($L$1,[3]enemies!$1:$1,0)+1),MATCH(N$1,[3]enemies!$1:$1,0)-MATCH($L$1,[3]enemies!$1:$1,0)+1,FALSE)</f>
        <v>green</v>
      </c>
      <c r="O264" s="22" t="str">
        <f ca="1">VLOOKUP($L264,OFFSET([4]characters!$A$1,0,0,COUNTA([4]characters!$A:$A),MATCH(O$1,[4]characters!$1:$1,0)-MATCH($L$1,[4]characters!$1:$1,0)+1),MATCH(O$1,[4]characters!$1:$1,0)-MATCH($L$1,[4]characters!$1:$1,0)+1,FALSE)</f>
        <v>Drop1N</v>
      </c>
      <c r="P264" s="20" t="str">
        <f ca="1">VLOOKUP($L264,OFFSET([3]enemies!$A$1,0,0,COUNTA([3]enemies!$A:$A),MATCH(P$1,[3]enemies!$1:$1,0)-MATCH($L$1,[3]enemies!$1:$1,0)+1),MATCH(P$1,[3]enemies!$1:$1,0)-MATCH($L$1,[3]enemies!$1:$1,0)+1,FALSE)</f>
        <v>dragon</v>
      </c>
      <c r="Q264" s="20">
        <f ca="1">VLOOKUP($L264,OFFSET([3]enemies!$A$1,0,0,COUNTA([3]enemies!$A:$A),MATCH(Q$1,[3]enemies!$1:$1,0)-MATCH($L$1,[3]enemies!$1:$1,0)+1),MATCH(Q$1,[3]enemies!$1:$1,0)-MATCH($L$1,[3]enemies!$1:$1,0)+1,FALSE)</f>
        <v>15</v>
      </c>
      <c r="R264" s="6">
        <v>16</v>
      </c>
      <c r="S264" s="39">
        <v>1</v>
      </c>
      <c r="T264" s="39">
        <v>1</v>
      </c>
      <c r="U264" s="6">
        <v>0</v>
      </c>
      <c r="V264" s="5" t="str">
        <f ca="1">VLOOKUP($W264,OFFSET([5]enemy_skill_sets!$B$1,0,0,COUNTA([5]enemy_skill_sets!$B:$B),MATCH(M$1,[5]enemy_skill_sets!$1:$1,0)-MATCH($W$1,[5]enemy_skill_sets!$1:$1,0)+2),MATCH(M$1,[5]enemy_skill_sets!$1:$1,0)-MATCH($W$1,[5]enemy_skill_sets!$1:$1,0)+2,FALSE)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4" s="35">
        <v>0</v>
      </c>
      <c r="X264" s="29">
        <v>0</v>
      </c>
      <c r="Y264" s="7">
        <v>10</v>
      </c>
      <c r="Z264" s="29">
        <v>0</v>
      </c>
      <c r="AA264" s="37">
        <v>2</v>
      </c>
      <c r="AB264" s="2">
        <f t="shared" si="129"/>
        <v>43</v>
      </c>
      <c r="AC264" s="5" t="str">
        <f ca="1">IFERROR(VLOOKUP($AB264,OFFSET([4]characters!$A$1,0,0,COUNTA([4]characters!$A:$A),MATCH(AC$1,[4]characters!$1:$1,0)-MATCH("character_id",[4]characters!$1:$1,0)+1),MATCH(AC$1,[4]characters!$1:$1,0)-MATCH("character_id",[4]characters!$1:$1,0)+1,FALSE),"")</f>
        <v>ムゥ</v>
      </c>
      <c r="AD264" s="5">
        <f ca="1">IFERROR(VLOOKUP($AB264,OFFSET([4]characters!$A$1,0,0,COUNTA([4]characters!$A:$A),MATCH(AD$1,[4]characters!$1:$1,0)-MATCH("character_id",[4]characters!$1:$1,0)+1),MATCH(AD$1,[4]characters!$1:$1,0)-MATCH("character_id",[4]characters!$1:$1,0)+1,FALSE),"")</f>
        <v>2</v>
      </c>
      <c r="AE264" s="5" t="str">
        <f ca="1">IFERROR(VLOOKUP($AB264,OFFSET([4]characters!$A$1,0,0,COUNTA([4]characters!$A:$A),MATCH(AE$1,[4]characters!$1:$1,0)-MATCH("character_id",[4]characters!$1:$1,0)+1),MATCH(AE$1,[4]characters!$1:$1,0)-MATCH("character_id",[4]characters!$1:$1,0)+1,FALSE),"")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64" s="30">
        <v>1</v>
      </c>
      <c r="AG264" s="27">
        <f t="shared" ca="1" si="156"/>
        <v>2</v>
      </c>
      <c r="AH264" s="9">
        <v>0</v>
      </c>
      <c r="AI264" s="28">
        <v>0</v>
      </c>
      <c r="AJ264" s="28">
        <v>0</v>
      </c>
      <c r="AK264" s="28">
        <v>0</v>
      </c>
      <c r="AL264" s="28">
        <v>0</v>
      </c>
      <c r="AM264" s="28">
        <v>1</v>
      </c>
      <c r="AN264" s="28">
        <v>1</v>
      </c>
    </row>
    <row r="265" spans="1:40" ht="21" customHeight="1" x14ac:dyDescent="0.15">
      <c r="A265" s="17" t="str">
        <f>B265&amp;"_"&amp;C265&amp;"-"&amp;G265&amp;"/"&amp;L265&amp;"&lt;lv"&amp;R265&amp;"&gt;s"&amp;AA265</f>
        <v>11006_2-2/47&lt;lv16&gt;s1</v>
      </c>
      <c r="B265" s="8">
        <v>11006</v>
      </c>
      <c r="C265" s="25">
        <v>2</v>
      </c>
      <c r="D265" s="16" t="str">
        <f>B265&amp;"_"&amp;C265</f>
        <v>11006_2</v>
      </c>
      <c r="E265" s="5" t="s">
        <v>48</v>
      </c>
      <c r="F265" s="5" t="str">
        <f ca="1">VLOOKUP($D265,OFFSET([2]stages!$A$1,0,0,COUNTA([2]stages!$A:$A),MATCH(F$1,[2]stages!$2:$2,0)-MATCH($D$1,[2]stages!$2:$2,0)+1),MATCH(F$1,[2]stages!$2:$2,0)-MATCH($D$1,[2]stages!$2:$2,0)+1,FALSE)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5" s="25">
        <v>2</v>
      </c>
      <c r="H265" s="16" t="str">
        <f t="shared" si="153"/>
        <v>11006_2-2</v>
      </c>
      <c r="I265" s="5">
        <f ca="1">VLOOKUP($H265,OFFSET(floors!$A$1,0,0,COUNTA(floors!$A:$A),MATCH(I$1,floors!$1:$1,0)-MATCH($H$1,floors!$1:$1,0)+1),MATCH(I$1,floors!$1:$1,0)-MATCH($H$1,floors!$1:$1,0)+1,FALSE)</f>
        <v>30</v>
      </c>
      <c r="J265" s="5">
        <f ca="1">VLOOKUP($H265,OFFSET(floors!$A$1,0,0,COUNTA(floors!$A:$A),MATCH(J$1,floors!$1:$1,0)-MATCH($H$1,floors!$1:$1,0)+1),MATCH(J$1,floors!$1:$1,0)-MATCH($H$1,floors!$1:$1,0)+1,FALSE)</f>
        <v>55</v>
      </c>
      <c r="K265" s="24" t="s">
        <v>197</v>
      </c>
      <c r="L265" s="31">
        <v>47</v>
      </c>
      <c r="M265" s="20" t="str">
        <f ca="1">VLOOKUP($L265,OFFSET([3]enemies!$A$1,0,0,COUNTA([3]enemies!$A:$A),MATCH(M$1,[3]enemies!$1:$1,0)-MATCH($L$1,[3]enemies!$1:$1,0)+1),MATCH(M$1,[3]enemies!$1:$1,0)-MATCH($L$1,[3]enemies!$1:$1,0)+1,FALSE)</f>
        <v>ヒロ</v>
      </c>
      <c r="N265" s="20" t="str">
        <f ca="1">VLOOKUP($L265,OFFSET([3]enemies!$A$1,0,0,COUNTA([3]enemies!$A:$A),MATCH(N$1,[3]enemies!$1:$1,0)-MATCH($L$1,[3]enemies!$1:$1,0)+1),MATCH(N$1,[3]enemies!$1:$1,0)-MATCH($L$1,[3]enemies!$1:$1,0)+1,FALSE)</f>
        <v>yellow</v>
      </c>
      <c r="O265" s="22" t="str">
        <f ca="1">VLOOKUP($L265,OFFSET([4]characters!$A$1,0,0,COUNTA([4]characters!$A:$A),MATCH(O$1,[4]characters!$1:$1,0)-MATCH($L$1,[4]characters!$1:$1,0)+1),MATCH(O$1,[4]characters!$1:$1,0)-MATCH($L$1,[4]characters!$1:$1,0)+1,FALSE)</f>
        <v>Drop1N</v>
      </c>
      <c r="P265" s="20" t="str">
        <f ca="1">VLOOKUP($L265,OFFSET([3]enemies!$A$1,0,0,COUNTA([3]enemies!$A:$A),MATCH(P$1,[3]enemies!$1:$1,0)-MATCH($L$1,[3]enemies!$1:$1,0)+1),MATCH(P$1,[3]enemies!$1:$1,0)-MATCH($L$1,[3]enemies!$1:$1,0)+1,FALSE)</f>
        <v>animal</v>
      </c>
      <c r="Q265" s="20">
        <f ca="1">VLOOKUP($L265,OFFSET([3]enemies!$A$1,0,0,COUNTA([3]enemies!$A:$A),MATCH(Q$1,[3]enemies!$1:$1,0)-MATCH($L$1,[3]enemies!$1:$1,0)+1),MATCH(Q$1,[3]enemies!$1:$1,0)-MATCH($L$1,[3]enemies!$1:$1,0)+1,FALSE)</f>
        <v>15</v>
      </c>
      <c r="R265" s="6">
        <v>16</v>
      </c>
      <c r="S265" s="39">
        <v>1</v>
      </c>
      <c r="T265" s="39">
        <v>1</v>
      </c>
      <c r="U265" s="6">
        <v>0</v>
      </c>
      <c r="V265" s="5" t="str">
        <f ca="1">VLOOKUP($W265,OFFSET([5]enemy_skill_sets!$B$1,0,0,COUNTA([5]enemy_skill_sets!$B:$B),MATCH(M$1,[5]enemy_skill_sets!$1:$1,0)-MATCH($W$1,[5]enemy_skill_sets!$1:$1,0)+2),MATCH(M$1,[5]enemy_skill_sets!$1:$1,0)-MATCH($W$1,[5]enemy_skill_sets!$1:$1,0)+2,FALSE)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5" s="35">
        <v>0</v>
      </c>
      <c r="X265" s="29">
        <v>0</v>
      </c>
      <c r="Y265" s="7">
        <v>10</v>
      </c>
      <c r="Z265" s="29">
        <v>0</v>
      </c>
      <c r="AA265" s="37">
        <v>1</v>
      </c>
      <c r="AB265" s="2">
        <f t="shared" si="129"/>
        <v>47</v>
      </c>
      <c r="AC265" s="5" t="str">
        <f ca="1">IFERROR(VLOOKUP($AB265,OFFSET([4]characters!$A$1,0,0,COUNTA([4]characters!$A:$A),MATCH(AC$1,[4]characters!$1:$1,0)-MATCH("character_id",[4]characters!$1:$1,0)+1),MATCH(AC$1,[4]characters!$1:$1,0)-MATCH("character_id",[4]characters!$1:$1,0)+1,FALSE),"")</f>
        <v>ヒロ</v>
      </c>
      <c r="AD265" s="5">
        <f ca="1">IFERROR(VLOOKUP($AB265,OFFSET([4]characters!$A$1,0,0,COUNTA([4]characters!$A:$A),MATCH(AD$1,[4]characters!$1:$1,0)-MATCH("character_id",[4]characters!$1:$1,0)+1),MATCH(AD$1,[4]characters!$1:$1,0)-MATCH("character_id",[4]characters!$1:$1,0)+1,FALSE),"")</f>
        <v>2</v>
      </c>
      <c r="AE265" s="5" t="str">
        <f ca="1">IFERROR(VLOOKUP($AB265,OFFSET([4]characters!$A$1,0,0,COUNTA([4]characters!$A:$A),MATCH(AE$1,[4]characters!$1:$1,0)-MATCH("character_id",[4]characters!$1:$1,0)+1),MATCH(AE$1,[4]characters!$1:$1,0)-MATCH("character_id",[4]characters!$1:$1,0)+1,FALSE),"")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65" s="30">
        <v>1</v>
      </c>
      <c r="AG265" s="27">
        <f t="shared" ca="1" si="156"/>
        <v>2</v>
      </c>
      <c r="AH265" s="9">
        <v>0</v>
      </c>
      <c r="AI265" s="28">
        <v>0</v>
      </c>
      <c r="AJ265" s="28">
        <v>0</v>
      </c>
      <c r="AK265" s="28">
        <v>0</v>
      </c>
      <c r="AL265" s="28">
        <v>0</v>
      </c>
      <c r="AM265" s="28">
        <v>1</v>
      </c>
      <c r="AN265" s="28">
        <v>1</v>
      </c>
    </row>
    <row r="266" spans="1:40" ht="21" customHeight="1" x14ac:dyDescent="0.15">
      <c r="A266" s="17" t="str">
        <f>B266&amp;"_"&amp;C266&amp;"-"&amp;G266&amp;"/"&amp;L266&amp;"&lt;lv"&amp;R266&amp;"&gt;s"&amp;AA266</f>
        <v>11006_2-2/45&lt;lv16&gt;s3</v>
      </c>
      <c r="B266" s="8">
        <v>11006</v>
      </c>
      <c r="C266" s="25">
        <v>2</v>
      </c>
      <c r="D266" s="16" t="str">
        <f>B266&amp;"_"&amp;C266</f>
        <v>11006_2</v>
      </c>
      <c r="E266" s="5" t="s">
        <v>48</v>
      </c>
      <c r="F266" s="5" t="str">
        <f ca="1">VLOOKUP($D266,OFFSET([2]stages!$A$1,0,0,COUNTA([2]stages!$A:$A),MATCH(F$1,[2]stages!$2:$2,0)-MATCH($D$1,[2]stages!$2:$2,0)+1),MATCH(F$1,[2]stages!$2:$2,0)-MATCH($D$1,[2]stages!$2:$2,0)+1,FALSE)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6" s="25">
        <v>2</v>
      </c>
      <c r="H266" s="16" t="str">
        <f t="shared" si="153"/>
        <v>11006_2-2</v>
      </c>
      <c r="I266" s="5">
        <f ca="1">VLOOKUP($H266,OFFSET(floors!$A$1,0,0,COUNTA(floors!$A:$A),MATCH(I$1,floors!$1:$1,0)-MATCH($H$1,floors!$1:$1,0)+1),MATCH(I$1,floors!$1:$1,0)-MATCH($H$1,floors!$1:$1,0)+1,FALSE)</f>
        <v>30</v>
      </c>
      <c r="J266" s="5">
        <f ca="1">VLOOKUP($H266,OFFSET(floors!$A$1,0,0,COUNTA(floors!$A:$A),MATCH(J$1,floors!$1:$1,0)-MATCH($H$1,floors!$1:$1,0)+1),MATCH(J$1,floors!$1:$1,0)-MATCH($H$1,floors!$1:$1,0)+1,FALSE)</f>
        <v>55</v>
      </c>
      <c r="K266" s="24" t="s">
        <v>197</v>
      </c>
      <c r="L266" s="31">
        <v>45</v>
      </c>
      <c r="M266" s="20" t="str">
        <f ca="1">VLOOKUP($L266,OFFSET([3]enemies!$A$1,0,0,COUNTA([3]enemies!$A:$A),MATCH(M$1,[3]enemies!$1:$1,0)-MATCH($L$1,[3]enemies!$1:$1,0)+1),MATCH(M$1,[3]enemies!$1:$1,0)-MATCH($L$1,[3]enemies!$1:$1,0)+1,FALSE)</f>
        <v>ショウイン</v>
      </c>
      <c r="N266" s="20" t="str">
        <f ca="1">VLOOKUP($L266,OFFSET([3]enemies!$A$1,0,0,COUNTA([3]enemies!$A:$A),MATCH(N$1,[3]enemies!$1:$1,0)-MATCH($L$1,[3]enemies!$1:$1,0)+1),MATCH(N$1,[3]enemies!$1:$1,0)-MATCH($L$1,[3]enemies!$1:$1,0)+1,FALSE)</f>
        <v>blue</v>
      </c>
      <c r="O266" s="22" t="str">
        <f ca="1">VLOOKUP($L266,OFFSET([4]characters!$A$1,0,0,COUNTA([4]characters!$A:$A),MATCH(O$1,[4]characters!$1:$1,0)-MATCH($L$1,[4]characters!$1:$1,0)+1),MATCH(O$1,[4]characters!$1:$1,0)-MATCH($L$1,[4]characters!$1:$1,0)+1,FALSE)</f>
        <v>Drop1N</v>
      </c>
      <c r="P266" s="20" t="str">
        <f ca="1">VLOOKUP($L266,OFFSET([3]enemies!$A$1,0,0,COUNTA([3]enemies!$A:$A),MATCH(P$1,[3]enemies!$1:$1,0)-MATCH($L$1,[3]enemies!$1:$1,0)+1),MATCH(P$1,[3]enemies!$1:$1,0)-MATCH($L$1,[3]enemies!$1:$1,0)+1,FALSE)</f>
        <v>animal</v>
      </c>
      <c r="Q266" s="20">
        <f ca="1">VLOOKUP($L266,OFFSET([3]enemies!$A$1,0,0,COUNTA([3]enemies!$A:$A),MATCH(Q$1,[3]enemies!$1:$1,0)-MATCH($L$1,[3]enemies!$1:$1,0)+1),MATCH(Q$1,[3]enemies!$1:$1,0)-MATCH($L$1,[3]enemies!$1:$1,0)+1,FALSE)</f>
        <v>15</v>
      </c>
      <c r="R266" s="6">
        <v>16</v>
      </c>
      <c r="S266" s="39">
        <v>1</v>
      </c>
      <c r="T266" s="39">
        <v>1</v>
      </c>
      <c r="U266" s="6">
        <v>0</v>
      </c>
      <c r="V266" s="5" t="str">
        <f ca="1">VLOOKUP($W266,OFFSET([5]enemy_skill_sets!$B$1,0,0,COUNTA([5]enemy_skill_sets!$B:$B),MATCH(M$1,[5]enemy_skill_sets!$1:$1,0)-MATCH($W$1,[5]enemy_skill_sets!$1:$1,0)+2),MATCH(M$1,[5]enemy_skill_sets!$1:$1,0)-MATCH($W$1,[5]enemy_skill_sets!$1:$1,0)+2,FALSE)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6" s="35">
        <v>0</v>
      </c>
      <c r="X266" s="29">
        <v>0</v>
      </c>
      <c r="Y266" s="7">
        <v>10</v>
      </c>
      <c r="Z266" s="29">
        <v>0</v>
      </c>
      <c r="AA266" s="37">
        <v>3</v>
      </c>
      <c r="AB266" s="2">
        <f t="shared" si="129"/>
        <v>45</v>
      </c>
      <c r="AC266" s="5" t="str">
        <f ca="1">IFERROR(VLOOKUP($AB266,OFFSET([4]characters!$A$1,0,0,COUNTA([4]characters!$A:$A),MATCH(AC$1,[4]characters!$1:$1,0)-MATCH("character_id",[4]characters!$1:$1,0)+1),MATCH(AC$1,[4]characters!$1:$1,0)-MATCH("character_id",[4]characters!$1:$1,0)+1,FALSE),"")</f>
        <v>ショウイン</v>
      </c>
      <c r="AD266" s="5">
        <f ca="1">IFERROR(VLOOKUP($AB266,OFFSET([4]characters!$A$1,0,0,COUNTA([4]characters!$A:$A),MATCH(AD$1,[4]characters!$1:$1,0)-MATCH("character_id",[4]characters!$1:$1,0)+1),MATCH(AD$1,[4]characters!$1:$1,0)-MATCH("character_id",[4]characters!$1:$1,0)+1,FALSE),"")</f>
        <v>2</v>
      </c>
      <c r="AE266" s="5" t="str">
        <f ca="1">IFERROR(VLOOKUP($AB266,OFFSET([4]characters!$A$1,0,0,COUNTA([4]characters!$A:$A),MATCH(AE$1,[4]characters!$1:$1,0)-MATCH("character_id",[4]characters!$1:$1,0)+1),MATCH(AE$1,[4]characters!$1:$1,0)-MATCH("character_id",[4]characters!$1:$1,0)+1,FALSE),"")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66" s="30">
        <v>1</v>
      </c>
      <c r="AG266" s="27">
        <f t="shared" ca="1" si="156"/>
        <v>2</v>
      </c>
      <c r="AH266" s="9">
        <v>0</v>
      </c>
      <c r="AI266" s="28">
        <v>0</v>
      </c>
      <c r="AJ266" s="28">
        <v>0</v>
      </c>
      <c r="AK266" s="28">
        <v>0</v>
      </c>
      <c r="AL266" s="28">
        <v>0</v>
      </c>
      <c r="AM266" s="28">
        <v>1</v>
      </c>
      <c r="AN266" s="28">
        <v>1</v>
      </c>
    </row>
    <row r="267" spans="1:40" ht="21" customHeight="1" x14ac:dyDescent="0.15">
      <c r="A267" s="17" t="str">
        <f ca="1">B267&amp;"_"&amp;C267&amp;"-"&amp;G267&amp;"/"&amp;L267&amp;"&lt;lv"&amp;R267&amp;"&gt;s"&amp;AA267</f>
        <v>11006_2-3/119&lt;lv1&gt;s3</v>
      </c>
      <c r="B267" s="8">
        <v>11006</v>
      </c>
      <c r="C267" s="25">
        <v>2</v>
      </c>
      <c r="D267" s="2" t="str">
        <f>B267&amp;"_"&amp;C267</f>
        <v>11006_2</v>
      </c>
      <c r="E267" s="5" t="str">
        <f ca="1">VLOOKUP($B267,OFFSET([2]quests!$A$1,0,0,COUNTA([2]quests!$A:$A),MATCH(E$1,[2]quests!$1:$1,0)-MATCH($B$1,[2]quests!$1:$1,0)+1),MATCH(E$1,[2]quests!$1:$1,0)-MATCH($B$1,[2]quests!$1:$1,0)+1,FALSE)</f>
        <v>【土日限定】 ゴールドカジノ</v>
      </c>
      <c r="F267" s="5" t="str">
        <f ca="1">VLOOKUP($D267,OFFSET([2]stages!$A$1,0,0,COUNTA([2]stages!$A:$A),MATCH(F$1,[2]stages!$2:$2,0)-MATCH($D$1,[2]stages!$2:$2,0)+1),MATCH(F$1,[2]stages!$2:$2,0)-MATCH($D$1,[2]stages!$2:$2,0)+1,FALSE)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7" s="25">
        <v>3</v>
      </c>
      <c r="H267" s="16" t="str">
        <f>B267&amp;"_"&amp;C267&amp;"-"&amp;G267</f>
        <v>11006_2-3</v>
      </c>
      <c r="I267" s="5">
        <f ca="1">VLOOKUP($H267,OFFSET(floors!$A$1,0,0,COUNTA(floors!$A:$A),MATCH(I$1,floors!$1:$1,0)-MATCH($H$1,floors!$1:$1,0)+1),MATCH(I$1,floors!$1:$1,0)-MATCH($H$1,floors!$1:$1,0)+1,FALSE)</f>
        <v>20</v>
      </c>
      <c r="J267" s="5">
        <f ca="1">VLOOKUP($H267,OFFSET(floors!$A$1,0,0,COUNTA(floors!$A:$A),MATCH(J$1,floors!$1:$1,0)-MATCH($H$1,floors!$1:$1,0)+1),MATCH(J$1,floors!$1:$1,0)-MATCH($H$1,floors!$1:$1,0)+1,FALSE)</f>
        <v>35</v>
      </c>
      <c r="K267" s="24" t="s">
        <v>197</v>
      </c>
      <c r="L267" s="24">
        <v>119</v>
      </c>
      <c r="M267" s="20" t="str">
        <f ca="1">VLOOKUP($L267,OFFSET([3]enemies!$A$1,0,0,COUNTA([3]enemies!$A:$A),MATCH(M$1,[3]enemies!$1:$1,0)-MATCH($L$1,[3]enemies!$1:$1,0)+1),MATCH(M$1,[3]enemies!$1:$1,0)-MATCH($L$1,[3]enemies!$1:$1,0)+1,FALSE)</f>
        <v>ゴールドダック</v>
      </c>
      <c r="N267" s="20" t="str">
        <f ca="1">VLOOKUP($L267,OFFSET([3]enemies!$A$1,0,0,COUNTA([3]enemies!$A:$A),MATCH(N$1,[3]enemies!$1:$1,0)-MATCH($L$1,[3]enemies!$1:$1,0)+1),MATCH(N$1,[3]enemies!$1:$1,0)-MATCH($L$1,[3]enemies!$1:$1,0)+1,FALSE)</f>
        <v>yellow</v>
      </c>
      <c r="O267" s="22" t="str">
        <f ca="1">VLOOKUP($L267,OFFSET([4]characters!$A$1,0,0,COUNTA([4]characters!$A:$A),MATCH(O$1,[4]characters!$1:$1,0)-MATCH($L$1,[4]characters!$1:$1,0)+1),MATCH(O$1,[4]characters!$1:$1,0)-MATCH($L$1,[4]characters!$1:$1,0)+1,FALSE)</f>
        <v>Material</v>
      </c>
      <c r="P267" s="20" t="str">
        <f ca="1">VLOOKUP($L267,OFFSET([3]enemies!$A$1,0,0,COUNTA([3]enemies!$A:$A),MATCH(P$1,[3]enemies!$1:$1,0)-MATCH($L$1,[3]enemies!$1:$1,0)+1),MATCH(P$1,[3]enemies!$1:$1,0)-MATCH($L$1,[3]enemies!$1:$1,0)+1,FALSE)</f>
        <v>unknown</v>
      </c>
      <c r="Q267" s="20">
        <f ca="1">VLOOKUP($L267,OFFSET([3]enemies!$A$1,0,0,COUNTA([3]enemies!$A:$A),MATCH(Q$1,[3]enemies!$1:$1,0)-MATCH($L$1,[3]enemies!$1:$1,0)+1),MATCH(Q$1,[3]enemies!$1:$1,0)-MATCH($L$1,[3]enemies!$1:$1,0)+1,FALSE)</f>
        <v>20</v>
      </c>
      <c r="R267" s="6">
        <v>1</v>
      </c>
      <c r="S267" s="39">
        <v>16.5</v>
      </c>
      <c r="T267" s="39">
        <v>16.7</v>
      </c>
      <c r="U267" s="6">
        <v>0</v>
      </c>
      <c r="V267" s="5" t="str">
        <f ca="1">VLOOKUP($W267,OFFSET([5]enemy_skill_sets!$B$1,0,0,COUNTA([5]enemy_skill_sets!$B:$B),MATCH(M$1,[5]enemy_skill_sets!$1:$1,0)-MATCH($W$1,[5]enemy_skill_sets!$1:$1,0)+2),MATCH(M$1,[5]enemy_skill_sets!$1:$1,0)-MATCH($W$1,[5]enemy_skill_sets!$1:$1,0)+2,FALSE)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7" s="35">
        <v>0</v>
      </c>
      <c r="X267" s="7">
        <v>0</v>
      </c>
      <c r="Y267" s="7">
        <v>25</v>
      </c>
      <c r="Z267" s="7">
        <v>1</v>
      </c>
      <c r="AA267" s="20">
        <f ca="1">VLOOKUP($L267,OFFSET([3]enemies!$A$1,0,0,COUNTA([3]enemies!$A:$A),MATCH(AA$1,[3]enemies!$1:$1,0)-MATCH($L$1,[3]enemies!$1:$1,0)+1),MATCH(AA$1,[3]enemies!$1:$1,0)-MATCH($L$1,[3]enemies!$1:$1,0)+1,FALSE)</f>
        <v>3</v>
      </c>
      <c r="AB267" s="2">
        <f>L267</f>
        <v>119</v>
      </c>
      <c r="AC267" s="5" t="str">
        <f ca="1">IFERROR(VLOOKUP($AB267,OFFSET([4]characters!$A$1,0,0,COUNTA([4]characters!$A:$A),MATCH(AC$1,[4]characters!$1:$1,0)-MATCH("character_id",[4]characters!$1:$1,0)+1),MATCH(AC$1,[4]characters!$1:$1,0)-MATCH("character_id",[4]characters!$1:$1,0)+1,FALSE),"")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267" s="5">
        <f ca="1">IFERROR(VLOOKUP($AB267,OFFSET([4]characters!$A$1,0,0,COUNTA([4]characters!$A:$A),MATCH(AD$1,[4]characters!$1:$1,0)-MATCH("character_id",[4]characters!$1:$1,0)+1),MATCH(AD$1,[4]characters!$1:$1,0)-MATCH("character_id",[4]characters!$1:$1,0)+1,FALSE),"")</f>
        <v>5</v>
      </c>
      <c r="AE267" s="5" t="str">
        <f ca="1">IFERROR(VLOOKUP($AB267,OFFSET([4]characters!$A$1,0,0,COUNTA([4]characters!$A:$A),MATCH(AE$1,[4]characters!$1:$1,0)-MATCH("character_id",[4]characters!$1:$1,0)+1),MATCH(AE$1,[4]characters!$1:$1,0)-MATCH("character_id",[4]characters!$1:$1,0)+1,FALSE),"")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7" s="8">
        <v>1</v>
      </c>
      <c r="AG267" s="27">
        <f ca="1">AD267</f>
        <v>5</v>
      </c>
      <c r="AH267" s="9">
        <v>100</v>
      </c>
      <c r="AI267" s="8">
        <v>0</v>
      </c>
      <c r="AJ267" s="8">
        <v>0</v>
      </c>
      <c r="AK267" s="8">
        <v>0</v>
      </c>
      <c r="AL267" s="8">
        <v>0</v>
      </c>
      <c r="AM267" s="8">
        <v>1</v>
      </c>
      <c r="AN267" s="8">
        <v>1</v>
      </c>
    </row>
    <row r="268" spans="1:40" ht="21" customHeight="1" x14ac:dyDescent="0.15">
      <c r="A268" s="17" t="str">
        <f t="shared" ca="1" si="133"/>
        <v>11006_2-3/118&lt;lv1&gt;s2</v>
      </c>
      <c r="B268" s="8">
        <v>11006</v>
      </c>
      <c r="C268" s="25">
        <v>2</v>
      </c>
      <c r="D268" s="2" t="str">
        <f t="shared" si="134"/>
        <v>11006_2</v>
      </c>
      <c r="E268" s="5" t="str">
        <f ca="1">VLOOKUP($B268,OFFSET([2]quests!$A$1,0,0,COUNTA([2]quests!$A:$A),MATCH(E$1,[2]quests!$1:$1,0)-MATCH($B$1,[2]quests!$1:$1,0)+1),MATCH(E$1,[2]quests!$1:$1,0)-MATCH($B$1,[2]quests!$1:$1,0)+1,FALSE)</f>
        <v>【土日限定】 ゴールドカジノ</v>
      </c>
      <c r="F268" s="5" t="str">
        <f ca="1">VLOOKUP($D268,OFFSET([2]stages!$A$1,0,0,COUNTA([2]stages!$A:$A),MATCH(F$1,[2]stages!$2:$2,0)-MATCH($D$1,[2]stages!$2:$2,0)+1),MATCH(F$1,[2]stages!$2:$2,0)-MATCH($D$1,[2]stages!$2:$2,0)+1,FALSE)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8" s="25">
        <v>3</v>
      </c>
      <c r="H268" s="16" t="str">
        <f t="shared" si="153"/>
        <v>11006_2-3</v>
      </c>
      <c r="I268" s="5">
        <f ca="1">VLOOKUP($H268,OFFSET(floors!$A$1,0,0,COUNTA(floors!$A:$A),MATCH(I$1,floors!$1:$1,0)-MATCH($H$1,floors!$1:$1,0)+1),MATCH(I$1,floors!$1:$1,0)-MATCH($H$1,floors!$1:$1,0)+1,FALSE)</f>
        <v>20</v>
      </c>
      <c r="J268" s="5">
        <f ca="1">VLOOKUP($H268,OFFSET(floors!$A$1,0,0,COUNTA(floors!$A:$A),MATCH(J$1,floors!$1:$1,0)-MATCH($H$1,floors!$1:$1,0)+1),MATCH(J$1,floors!$1:$1,0)-MATCH($H$1,floors!$1:$1,0)+1,FALSE)</f>
        <v>35</v>
      </c>
      <c r="K268" s="24" t="s">
        <v>197</v>
      </c>
      <c r="L268" s="24">
        <v>118</v>
      </c>
      <c r="M268" s="20" t="str">
        <f ca="1">VLOOKUP($L268,OFFSET([3]enemies!$A$1,0,0,COUNTA([3]enemies!$A:$A),MATCH(M$1,[3]enemies!$1:$1,0)-MATCH($L$1,[3]enemies!$1:$1,0)+1),MATCH(M$1,[3]enemies!$1:$1,0)-MATCH($L$1,[3]enemies!$1:$1,0)+1,FALSE)</f>
        <v>ゴールドチック</v>
      </c>
      <c r="N268" s="20" t="str">
        <f ca="1">VLOOKUP($L268,OFFSET([3]enemies!$A$1,0,0,COUNTA([3]enemies!$A:$A),MATCH(N$1,[3]enemies!$1:$1,0)-MATCH($L$1,[3]enemies!$1:$1,0)+1),MATCH(N$1,[3]enemies!$1:$1,0)-MATCH($L$1,[3]enemies!$1:$1,0)+1,FALSE)</f>
        <v>yellow</v>
      </c>
      <c r="O268" s="22" t="str">
        <f ca="1">VLOOKUP($L268,OFFSET([4]characters!$A$1,0,0,COUNTA([4]characters!$A:$A),MATCH(O$1,[4]characters!$1:$1,0)-MATCH($L$1,[4]characters!$1:$1,0)+1),MATCH(O$1,[4]characters!$1:$1,0)-MATCH($L$1,[4]characters!$1:$1,0)+1,FALSE)</f>
        <v>Material</v>
      </c>
      <c r="P268" s="20" t="str">
        <f ca="1">VLOOKUP($L268,OFFSET([3]enemies!$A$1,0,0,COUNTA([3]enemies!$A:$A),MATCH(P$1,[3]enemies!$1:$1,0)-MATCH($L$1,[3]enemies!$1:$1,0)+1),MATCH(P$1,[3]enemies!$1:$1,0)-MATCH($L$1,[3]enemies!$1:$1,0)+1,FALSE)</f>
        <v>unknown</v>
      </c>
      <c r="Q268" s="20">
        <f ca="1">VLOOKUP($L268,OFFSET([3]enemies!$A$1,0,0,COUNTA([3]enemies!$A:$A),MATCH(Q$1,[3]enemies!$1:$1,0)-MATCH($L$1,[3]enemies!$1:$1,0)+1),MATCH(Q$1,[3]enemies!$1:$1,0)-MATCH($L$1,[3]enemies!$1:$1,0)+1,FALSE)</f>
        <v>15</v>
      </c>
      <c r="R268" s="6">
        <v>1</v>
      </c>
      <c r="S268" s="39">
        <v>16.5</v>
      </c>
      <c r="T268" s="39">
        <v>15.75</v>
      </c>
      <c r="U268" s="6">
        <v>0</v>
      </c>
      <c r="V268" s="5" t="str">
        <f ca="1">VLOOKUP($W268,OFFSET([5]enemy_skill_sets!$B$1,0,0,COUNTA([5]enemy_skill_sets!$B:$B),MATCH(M$1,[5]enemy_skill_sets!$1:$1,0)-MATCH($W$1,[5]enemy_skill_sets!$1:$1,0)+2),MATCH(M$1,[5]enemy_skill_sets!$1:$1,0)-MATCH($W$1,[5]enemy_skill_sets!$1:$1,0)+2,FALSE)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8" s="35">
        <v>0</v>
      </c>
      <c r="X268" s="7">
        <v>0</v>
      </c>
      <c r="Y268" s="7">
        <v>100</v>
      </c>
      <c r="Z268" s="7">
        <v>0</v>
      </c>
      <c r="AA268" s="20">
        <f ca="1">VLOOKUP($L268,OFFSET([3]enemies!$A$1,0,0,COUNTA([3]enemies!$A:$A),MATCH(AA$1,[3]enemies!$1:$1,0)-MATCH($L$1,[3]enemies!$1:$1,0)+1),MATCH(AA$1,[3]enemies!$1:$1,0)-MATCH($L$1,[3]enemies!$1:$1,0)+1,FALSE)</f>
        <v>2</v>
      </c>
      <c r="AB268" s="2">
        <f t="shared" si="129"/>
        <v>118</v>
      </c>
      <c r="AC268" s="5" t="str">
        <f ca="1">IFERROR(VLOOKUP($AB268,OFFSET([4]characters!$A$1,0,0,COUNTA([4]characters!$A:$A),MATCH(AC$1,[4]characters!$1:$1,0)-MATCH("character_id",[4]characters!$1:$1,0)+1),MATCH(AC$1,[4]characters!$1:$1,0)-MATCH("character_id",[4]characters!$1:$1,0)+1,FALSE),"")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68" s="5">
        <f ca="1">IFERROR(VLOOKUP($AB268,OFFSET([4]characters!$A$1,0,0,COUNTA([4]characters!$A:$A),MATCH(AD$1,[4]characters!$1:$1,0)-MATCH("character_id",[4]characters!$1:$1,0)+1),MATCH(AD$1,[4]characters!$1:$1,0)-MATCH("character_id",[4]characters!$1:$1,0)+1,FALSE),"")</f>
        <v>4</v>
      </c>
      <c r="AE268" s="5" t="str">
        <f ca="1">IFERROR(VLOOKUP($AB268,OFFSET([4]characters!$A$1,0,0,COUNTA([4]characters!$A:$A),MATCH(AE$1,[4]characters!$1:$1,0)-MATCH("character_id",[4]characters!$1:$1,0)+1),MATCH(AE$1,[4]characters!$1:$1,0)-MATCH("character_id",[4]characters!$1:$1,0)+1,FALSE),"")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8" s="8">
        <v>1</v>
      </c>
      <c r="AG268" s="27">
        <f t="shared" ca="1" si="135"/>
        <v>4</v>
      </c>
      <c r="AH268" s="9">
        <v>100</v>
      </c>
      <c r="AI268" s="8">
        <v>0</v>
      </c>
      <c r="AJ268" s="8">
        <v>0</v>
      </c>
      <c r="AK268" s="8">
        <v>0</v>
      </c>
      <c r="AL268" s="8">
        <v>0</v>
      </c>
      <c r="AM268" s="8">
        <v>1</v>
      </c>
      <c r="AN268" s="8">
        <v>1</v>
      </c>
    </row>
    <row r="269" spans="1:40" ht="21" customHeight="1" x14ac:dyDescent="0.15">
      <c r="A269" s="17" t="str">
        <f t="shared" ref="A269" ca="1" si="157">B269&amp;"_"&amp;C269&amp;"-"&amp;G269&amp;"/"&amp;L269&amp;"&lt;lv"&amp;R269&amp;"&gt;s"&amp;AA269</f>
        <v>11006_2-4/118&lt;lv1&gt;s2</v>
      </c>
      <c r="B269" s="8">
        <v>11006</v>
      </c>
      <c r="C269" s="25">
        <v>2</v>
      </c>
      <c r="D269" s="2" t="str">
        <f t="shared" ref="D269" si="158">B269&amp;"_"&amp;C269</f>
        <v>11006_2</v>
      </c>
      <c r="E269" s="5" t="str">
        <f ca="1">VLOOKUP($B269,OFFSET([2]quests!$A$1,0,0,COUNTA([2]quests!$A:$A),MATCH(E$1,[2]quests!$1:$1,0)-MATCH($B$1,[2]quests!$1:$1,0)+1),MATCH(E$1,[2]quests!$1:$1,0)-MATCH($B$1,[2]quests!$1:$1,0)+1,FALSE)</f>
        <v>【土日限定】 ゴールドカジノ</v>
      </c>
      <c r="F269" s="5" t="str">
        <f ca="1">VLOOKUP($D269,OFFSET([2]stages!$A$1,0,0,COUNTA([2]stages!$A:$A),MATCH(F$1,[2]stages!$2:$2,0)-MATCH($D$1,[2]stages!$2:$2,0)+1),MATCH(F$1,[2]stages!$2:$2,0)-MATCH($D$1,[2]stages!$2:$2,0)+1,FALSE)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69" s="25">
        <v>4</v>
      </c>
      <c r="H269" s="16" t="str">
        <f>B269&amp;"_"&amp;C269&amp;"-"&amp;G269</f>
        <v>11006_2-4</v>
      </c>
      <c r="I269" s="5">
        <f ca="1">VLOOKUP($H269,OFFSET(floors!$A$1,0,0,COUNTA(floors!$A:$A),MATCH(I$1,floors!$1:$1,0)-MATCH($H$1,floors!$1:$1,0)+1),MATCH(I$1,floors!$1:$1,0)-MATCH($H$1,floors!$1:$1,0)+1,FALSE)</f>
        <v>30</v>
      </c>
      <c r="J269" s="5">
        <f ca="1">VLOOKUP($H269,OFFSET(floors!$A$1,0,0,COUNTA(floors!$A:$A),MATCH(J$1,floors!$1:$1,0)-MATCH($H$1,floors!$1:$1,0)+1),MATCH(J$1,floors!$1:$1,0)-MATCH($H$1,floors!$1:$1,0)+1,FALSE)</f>
        <v>55</v>
      </c>
      <c r="K269" s="24" t="s">
        <v>197</v>
      </c>
      <c r="L269" s="24">
        <v>118</v>
      </c>
      <c r="M269" s="20" t="str">
        <f ca="1">VLOOKUP($L269,OFFSET([3]enemies!$A$1,0,0,COUNTA([3]enemies!$A:$A),MATCH(M$1,[3]enemies!$1:$1,0)-MATCH($L$1,[3]enemies!$1:$1,0)+1),MATCH(M$1,[3]enemies!$1:$1,0)-MATCH($L$1,[3]enemies!$1:$1,0)+1,FALSE)</f>
        <v>ゴールドチック</v>
      </c>
      <c r="N269" s="20" t="str">
        <f ca="1">VLOOKUP($L269,OFFSET([3]enemies!$A$1,0,0,COUNTA([3]enemies!$A:$A),MATCH(N$1,[3]enemies!$1:$1,0)-MATCH($L$1,[3]enemies!$1:$1,0)+1),MATCH(N$1,[3]enemies!$1:$1,0)-MATCH($L$1,[3]enemies!$1:$1,0)+1,FALSE)</f>
        <v>yellow</v>
      </c>
      <c r="O269" s="22" t="str">
        <f ca="1">VLOOKUP($L269,OFFSET([4]characters!$A$1,0,0,COUNTA([4]characters!$A:$A),MATCH(O$1,[4]characters!$1:$1,0)-MATCH($L$1,[4]characters!$1:$1,0)+1),MATCH(O$1,[4]characters!$1:$1,0)-MATCH($L$1,[4]characters!$1:$1,0)+1,FALSE)</f>
        <v>Material</v>
      </c>
      <c r="P269" s="20" t="str">
        <f ca="1">VLOOKUP($L269,OFFSET([3]enemies!$A$1,0,0,COUNTA([3]enemies!$A:$A),MATCH(P$1,[3]enemies!$1:$1,0)-MATCH($L$1,[3]enemies!$1:$1,0)+1),MATCH(P$1,[3]enemies!$1:$1,0)-MATCH($L$1,[3]enemies!$1:$1,0)+1,FALSE)</f>
        <v>unknown</v>
      </c>
      <c r="Q269" s="20">
        <f ca="1">VLOOKUP($L269,OFFSET([3]enemies!$A$1,0,0,COUNTA([3]enemies!$A:$A),MATCH(Q$1,[3]enemies!$1:$1,0)-MATCH($L$1,[3]enemies!$1:$1,0)+1),MATCH(Q$1,[3]enemies!$1:$1,0)-MATCH($L$1,[3]enemies!$1:$1,0)+1,FALSE)</f>
        <v>15</v>
      </c>
      <c r="R269" s="6">
        <v>1</v>
      </c>
      <c r="S269" s="39">
        <v>16.5</v>
      </c>
      <c r="T269" s="39">
        <v>15.75</v>
      </c>
      <c r="U269" s="6">
        <v>0</v>
      </c>
      <c r="V269" s="5" t="str">
        <f ca="1">VLOOKUP($W269,OFFSET([5]enemy_skill_sets!$B$1,0,0,COUNTA([5]enemy_skill_sets!$B:$B),MATCH(M$1,[5]enemy_skill_sets!$1:$1,0)-MATCH($W$1,[5]enemy_skill_sets!$1:$1,0)+2),MATCH(M$1,[5]enemy_skill_sets!$1:$1,0)-MATCH($W$1,[5]enemy_skill_sets!$1:$1,0)+2,FALSE)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9" s="35">
        <v>0</v>
      </c>
      <c r="X269" s="7">
        <v>1</v>
      </c>
      <c r="Y269" s="7">
        <v>0</v>
      </c>
      <c r="Z269" s="7">
        <v>1</v>
      </c>
      <c r="AA269" s="20">
        <f ca="1">VLOOKUP($L269,OFFSET([3]enemies!$A$1,0,0,COUNTA([3]enemies!$A:$A),MATCH(AA$1,[3]enemies!$1:$1,0)-MATCH($L$1,[3]enemies!$1:$1,0)+1),MATCH(AA$1,[3]enemies!$1:$1,0)-MATCH($L$1,[3]enemies!$1:$1,0)+1,FALSE)</f>
        <v>2</v>
      </c>
      <c r="AB269" s="2">
        <f>L269</f>
        <v>118</v>
      </c>
      <c r="AC269" s="5" t="str">
        <f ca="1">IFERROR(VLOOKUP($AB269,OFFSET([4]characters!$A$1,0,0,COUNTA([4]characters!$A:$A),MATCH(AC$1,[4]characters!$1:$1,0)-MATCH("character_id",[4]characters!$1:$1,0)+1),MATCH(AC$1,[4]characters!$1:$1,0)-MATCH("character_id",[4]characters!$1:$1,0)+1,FALSE),"")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69" s="5">
        <f ca="1">IFERROR(VLOOKUP($AB269,OFFSET([4]characters!$A$1,0,0,COUNTA([4]characters!$A:$A),MATCH(AD$1,[4]characters!$1:$1,0)-MATCH("character_id",[4]characters!$1:$1,0)+1),MATCH(AD$1,[4]characters!$1:$1,0)-MATCH("character_id",[4]characters!$1:$1,0)+1,FALSE),"")</f>
        <v>4</v>
      </c>
      <c r="AE269" s="5" t="str">
        <f ca="1">IFERROR(VLOOKUP($AB269,OFFSET([4]characters!$A$1,0,0,COUNTA([4]characters!$A:$A),MATCH(AE$1,[4]characters!$1:$1,0)-MATCH("character_id",[4]characters!$1:$1,0)+1),MATCH(AE$1,[4]characters!$1:$1,0)-MATCH("character_id",[4]characters!$1:$1,0)+1,FALSE),"")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69" s="8">
        <v>1</v>
      </c>
      <c r="AG269" s="27">
        <f t="shared" ref="AG269" ca="1" si="159">AD269</f>
        <v>4</v>
      </c>
      <c r="AH269" s="9">
        <v>100</v>
      </c>
      <c r="AI269" s="8">
        <v>0</v>
      </c>
      <c r="AJ269" s="8">
        <v>0</v>
      </c>
      <c r="AK269" s="8">
        <v>0</v>
      </c>
      <c r="AL269" s="8">
        <v>0</v>
      </c>
      <c r="AM269" s="8">
        <v>1</v>
      </c>
      <c r="AN269" s="8">
        <v>1</v>
      </c>
    </row>
    <row r="270" spans="1:40" ht="21" customHeight="1" x14ac:dyDescent="0.15">
      <c r="A270" s="17" t="str">
        <f t="shared" ca="1" si="133"/>
        <v>11006_2-4/117&lt;lv1&gt;s1</v>
      </c>
      <c r="B270" s="8">
        <v>11006</v>
      </c>
      <c r="C270" s="25">
        <v>2</v>
      </c>
      <c r="D270" s="2" t="str">
        <f t="shared" si="134"/>
        <v>11006_2</v>
      </c>
      <c r="E270" s="5" t="str">
        <f ca="1">VLOOKUP($B270,OFFSET([2]quests!$A$1,0,0,COUNTA([2]quests!$A:$A),MATCH(E$1,[2]quests!$1:$1,0)-MATCH($B$1,[2]quests!$1:$1,0)+1),MATCH(E$1,[2]quests!$1:$1,0)-MATCH($B$1,[2]quests!$1:$1,0)+1,FALSE)</f>
        <v>【土日限定】 ゴールドカジノ</v>
      </c>
      <c r="F270" s="5" t="str">
        <f ca="1">VLOOKUP($D270,OFFSET([2]stages!$A$1,0,0,COUNTA([2]stages!$A:$A),MATCH(F$1,[2]stages!$2:$2,0)-MATCH($D$1,[2]stages!$2:$2,0)+1),MATCH(F$1,[2]stages!$2:$2,0)-MATCH($D$1,[2]stages!$2:$2,0)+1,FALSE)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0" s="25">
        <v>4</v>
      </c>
      <c r="H270" s="16" t="str">
        <f t="shared" si="153"/>
        <v>11006_2-4</v>
      </c>
      <c r="I270" s="5">
        <f ca="1">VLOOKUP($H270,OFFSET(floors!$A$1,0,0,COUNTA(floors!$A:$A),MATCH(I$1,floors!$1:$1,0)-MATCH($H$1,floors!$1:$1,0)+1),MATCH(I$1,floors!$1:$1,0)-MATCH($H$1,floors!$1:$1,0)+1,FALSE)</f>
        <v>30</v>
      </c>
      <c r="J270" s="5">
        <f ca="1">VLOOKUP($H270,OFFSET(floors!$A$1,0,0,COUNTA(floors!$A:$A),MATCH(J$1,floors!$1:$1,0)-MATCH($H$1,floors!$1:$1,0)+1),MATCH(J$1,floors!$1:$1,0)-MATCH($H$1,floors!$1:$1,0)+1,FALSE)</f>
        <v>55</v>
      </c>
      <c r="K270" s="24" t="s">
        <v>197</v>
      </c>
      <c r="L270" s="24">
        <v>117</v>
      </c>
      <c r="M270" s="20" t="str">
        <f ca="1">VLOOKUP($L270,OFFSET([3]enemies!$A$1,0,0,COUNTA([3]enemies!$A:$A),MATCH(M$1,[3]enemies!$1:$1,0)-MATCH($L$1,[3]enemies!$1:$1,0)+1),MATCH(M$1,[3]enemies!$1:$1,0)-MATCH($L$1,[3]enemies!$1:$1,0)+1,FALSE)</f>
        <v>ゴールドピヨピヨ</v>
      </c>
      <c r="N270" s="20" t="str">
        <f ca="1">VLOOKUP($L270,OFFSET([3]enemies!$A$1,0,0,COUNTA([3]enemies!$A:$A),MATCH(N$1,[3]enemies!$1:$1,0)-MATCH($L$1,[3]enemies!$1:$1,0)+1),MATCH(N$1,[3]enemies!$1:$1,0)-MATCH($L$1,[3]enemies!$1:$1,0)+1,FALSE)</f>
        <v>yellow</v>
      </c>
      <c r="O270" s="22" t="str">
        <f ca="1">VLOOKUP($L270,OFFSET([4]characters!$A$1,0,0,COUNTA([4]characters!$A:$A),MATCH(O$1,[4]characters!$1:$1,0)-MATCH($L$1,[4]characters!$1:$1,0)+1),MATCH(O$1,[4]characters!$1:$1,0)-MATCH($L$1,[4]characters!$1:$1,0)+1,FALSE)</f>
        <v>Material</v>
      </c>
      <c r="P270" s="20" t="str">
        <f ca="1">VLOOKUP($L270,OFFSET([3]enemies!$A$1,0,0,COUNTA([3]enemies!$A:$A),MATCH(P$1,[3]enemies!$1:$1,0)-MATCH($L$1,[3]enemies!$1:$1,0)+1),MATCH(P$1,[3]enemies!$1:$1,0)-MATCH($L$1,[3]enemies!$1:$1,0)+1,FALSE)</f>
        <v>unknown</v>
      </c>
      <c r="Q270" s="20">
        <f ca="1">VLOOKUP($L270,OFFSET([3]enemies!$A$1,0,0,COUNTA([3]enemies!$A:$A),MATCH(Q$1,[3]enemies!$1:$1,0)-MATCH($L$1,[3]enemies!$1:$1,0)+1),MATCH(Q$1,[3]enemies!$1:$1,0)-MATCH($L$1,[3]enemies!$1:$1,0)+1,FALSE)</f>
        <v>15</v>
      </c>
      <c r="R270" s="6">
        <v>1</v>
      </c>
      <c r="S270" s="39">
        <v>16.5</v>
      </c>
      <c r="T270" s="39">
        <v>17.75</v>
      </c>
      <c r="U270" s="6">
        <v>0</v>
      </c>
      <c r="V270" s="5" t="str">
        <f ca="1">VLOOKUP($W270,OFFSET([5]enemy_skill_sets!$B$1,0,0,COUNTA([5]enemy_skill_sets!$B:$B),MATCH(M$1,[5]enemy_skill_sets!$1:$1,0)-MATCH($W$1,[5]enemy_skill_sets!$1:$1,0)+2),MATCH(M$1,[5]enemy_skill_sets!$1:$1,0)-MATCH($W$1,[5]enemy_skill_sets!$1:$1,0)+2,FALSE)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0" s="35">
        <v>0</v>
      </c>
      <c r="X270" s="7">
        <v>1</v>
      </c>
      <c r="Y270" s="7">
        <v>0</v>
      </c>
      <c r="Z270" s="7">
        <v>2</v>
      </c>
      <c r="AA270" s="20">
        <f ca="1">VLOOKUP($L270,OFFSET([3]enemies!$A$1,0,0,COUNTA([3]enemies!$A:$A),MATCH(AA$1,[3]enemies!$1:$1,0)-MATCH($L$1,[3]enemies!$1:$1,0)+1),MATCH(AA$1,[3]enemies!$1:$1,0)-MATCH($L$1,[3]enemies!$1:$1,0)+1,FALSE)</f>
        <v>1</v>
      </c>
      <c r="AB270" s="2">
        <f t="shared" si="129"/>
        <v>117</v>
      </c>
      <c r="AC270" s="5" t="str">
        <f ca="1">IFERROR(VLOOKUP($AB270,OFFSET([4]characters!$A$1,0,0,COUNTA([4]characters!$A:$A),MATCH(AC$1,[4]characters!$1:$1,0)-MATCH("character_id",[4]characters!$1:$1,0)+1),MATCH(AC$1,[4]characters!$1:$1,0)-MATCH("character_id",[4]characters!$1:$1,0)+1,FALSE),"")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70" s="5">
        <f ca="1">IFERROR(VLOOKUP($AB270,OFFSET([4]characters!$A$1,0,0,COUNTA([4]characters!$A:$A),MATCH(AD$1,[4]characters!$1:$1,0)-MATCH("character_id",[4]characters!$1:$1,0)+1),MATCH(AD$1,[4]characters!$1:$1,0)-MATCH("character_id",[4]characters!$1:$1,0)+1,FALSE),"")</f>
        <v>3</v>
      </c>
      <c r="AE270" s="5" t="str">
        <f ca="1">IFERROR(VLOOKUP($AB270,OFFSET([4]characters!$A$1,0,0,COUNTA([4]characters!$A:$A),MATCH(AE$1,[4]characters!$1:$1,0)-MATCH("character_id",[4]characters!$1:$1,0)+1),MATCH(AE$1,[4]characters!$1:$1,0)-MATCH("character_id",[4]characters!$1:$1,0)+1,FALSE),"")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0" s="8">
        <v>1</v>
      </c>
      <c r="AG270" s="27">
        <f t="shared" ca="1" si="135"/>
        <v>3</v>
      </c>
      <c r="AH270" s="9">
        <v>0</v>
      </c>
      <c r="AI270" s="8">
        <v>0</v>
      </c>
      <c r="AJ270" s="8">
        <v>0</v>
      </c>
      <c r="AK270" s="8">
        <v>0</v>
      </c>
      <c r="AL270" s="8">
        <v>0</v>
      </c>
      <c r="AM270" s="8">
        <v>1</v>
      </c>
      <c r="AN270" s="8">
        <v>1</v>
      </c>
    </row>
    <row r="271" spans="1:40" ht="21" customHeight="1" x14ac:dyDescent="0.15">
      <c r="A271" s="17" t="str">
        <f t="shared" ref="A271" ca="1" si="160">B271&amp;"_"&amp;C271&amp;"-"&amp;G271&amp;"/"&amp;L271&amp;"&lt;lv"&amp;R271&amp;"&gt;s"&amp;AA271</f>
        <v>11006_2-4/117&lt;lv2&gt;s1</v>
      </c>
      <c r="B271" s="8">
        <v>11006</v>
      </c>
      <c r="C271" s="25">
        <v>2</v>
      </c>
      <c r="D271" s="2" t="str">
        <f t="shared" ref="D271" si="161">B271&amp;"_"&amp;C271</f>
        <v>11006_2</v>
      </c>
      <c r="E271" s="5" t="str">
        <f ca="1">VLOOKUP($B271,OFFSET([2]quests!$A$1,0,0,COUNTA([2]quests!$A:$A),MATCH(E$1,[2]quests!$1:$1,0)-MATCH($B$1,[2]quests!$1:$1,0)+1),MATCH(E$1,[2]quests!$1:$1,0)-MATCH($B$1,[2]quests!$1:$1,0)+1,FALSE)</f>
        <v>【土日限定】 ゴールドカジノ</v>
      </c>
      <c r="F271" s="5" t="str">
        <f ca="1">VLOOKUP($D271,OFFSET([2]stages!$A$1,0,0,COUNTA([2]stages!$A:$A),MATCH(F$1,[2]stages!$2:$2,0)-MATCH($D$1,[2]stages!$2:$2,0)+1),MATCH(F$1,[2]stages!$2:$2,0)-MATCH($D$1,[2]stages!$2:$2,0)+1,FALSE)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1" s="25">
        <v>4</v>
      </c>
      <c r="H271" s="16" t="str">
        <f t="shared" ref="H271" si="162">B271&amp;"_"&amp;C271&amp;"-"&amp;G271</f>
        <v>11006_2-4</v>
      </c>
      <c r="I271" s="5">
        <f ca="1">VLOOKUP($H271,OFFSET(floors!$A$1,0,0,COUNTA(floors!$A:$A),MATCH(I$1,floors!$1:$1,0)-MATCH($H$1,floors!$1:$1,0)+1),MATCH(I$1,floors!$1:$1,0)-MATCH($H$1,floors!$1:$1,0)+1,FALSE)</f>
        <v>30</v>
      </c>
      <c r="J271" s="5">
        <f ca="1">VLOOKUP($H271,OFFSET(floors!$A$1,0,0,COUNTA(floors!$A:$A),MATCH(J$1,floors!$1:$1,0)-MATCH($H$1,floors!$1:$1,0)+1),MATCH(J$1,floors!$1:$1,0)-MATCH($H$1,floors!$1:$1,0)+1,FALSE)</f>
        <v>55</v>
      </c>
      <c r="K271" s="24" t="s">
        <v>197</v>
      </c>
      <c r="L271" s="24">
        <v>117</v>
      </c>
      <c r="M271" s="20" t="str">
        <f ca="1">VLOOKUP($L271,OFFSET([3]enemies!$A$1,0,0,COUNTA([3]enemies!$A:$A),MATCH(M$1,[3]enemies!$1:$1,0)-MATCH($L$1,[3]enemies!$1:$1,0)+1),MATCH(M$1,[3]enemies!$1:$1,0)-MATCH($L$1,[3]enemies!$1:$1,0)+1,FALSE)</f>
        <v>ゴールドピヨピヨ</v>
      </c>
      <c r="N271" s="20" t="str">
        <f ca="1">VLOOKUP($L271,OFFSET([3]enemies!$A$1,0,0,COUNTA([3]enemies!$A:$A),MATCH(N$1,[3]enemies!$1:$1,0)-MATCH($L$1,[3]enemies!$1:$1,0)+1),MATCH(N$1,[3]enemies!$1:$1,0)-MATCH($L$1,[3]enemies!$1:$1,0)+1,FALSE)</f>
        <v>yellow</v>
      </c>
      <c r="O271" s="22" t="str">
        <f ca="1">VLOOKUP($L271,OFFSET([4]characters!$A$1,0,0,COUNTA([4]characters!$A:$A),MATCH(O$1,[4]characters!$1:$1,0)-MATCH($L$1,[4]characters!$1:$1,0)+1),MATCH(O$1,[4]characters!$1:$1,0)-MATCH($L$1,[4]characters!$1:$1,0)+1,FALSE)</f>
        <v>Material</v>
      </c>
      <c r="P271" s="20" t="str">
        <f ca="1">VLOOKUP($L271,OFFSET([3]enemies!$A$1,0,0,COUNTA([3]enemies!$A:$A),MATCH(P$1,[3]enemies!$1:$1,0)-MATCH($L$1,[3]enemies!$1:$1,0)+1),MATCH(P$1,[3]enemies!$1:$1,0)-MATCH($L$1,[3]enemies!$1:$1,0)+1,FALSE)</f>
        <v>unknown</v>
      </c>
      <c r="Q271" s="20">
        <f ca="1">VLOOKUP($L271,OFFSET([3]enemies!$A$1,0,0,COUNTA([3]enemies!$A:$A),MATCH(Q$1,[3]enemies!$1:$1,0)-MATCH($L$1,[3]enemies!$1:$1,0)+1),MATCH(Q$1,[3]enemies!$1:$1,0)-MATCH($L$1,[3]enemies!$1:$1,0)+1,FALSE)</f>
        <v>15</v>
      </c>
      <c r="R271" s="6">
        <v>2</v>
      </c>
      <c r="S271" s="39">
        <v>11.8</v>
      </c>
      <c r="T271" s="39">
        <v>15.75</v>
      </c>
      <c r="U271" s="6">
        <v>0</v>
      </c>
      <c r="V271" s="5" t="str">
        <f ca="1">VLOOKUP($W271,OFFSET([5]enemy_skill_sets!$B$1,0,0,COUNTA([5]enemy_skill_sets!$B:$B),MATCH(M$1,[5]enemy_skill_sets!$1:$1,0)-MATCH($W$1,[5]enemy_skill_sets!$1:$1,0)+2),MATCH(M$1,[5]enemy_skill_sets!$1:$1,0)-MATCH($W$1,[5]enemy_skill_sets!$1:$1,0)+2,FALSE)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1" s="35">
        <v>0</v>
      </c>
      <c r="X271" s="7">
        <v>0</v>
      </c>
      <c r="Y271" s="7">
        <v>60</v>
      </c>
      <c r="Z271" s="7">
        <v>0</v>
      </c>
      <c r="AA271" s="20">
        <f ca="1">VLOOKUP($L271,OFFSET([3]enemies!$A$1,0,0,COUNTA([3]enemies!$A:$A),MATCH(AA$1,[3]enemies!$1:$1,0)-MATCH($L$1,[3]enemies!$1:$1,0)+1),MATCH(AA$1,[3]enemies!$1:$1,0)-MATCH($L$1,[3]enemies!$1:$1,0)+1,FALSE)</f>
        <v>1</v>
      </c>
      <c r="AB271" s="2">
        <f t="shared" ref="AB271" si="163">L271</f>
        <v>117</v>
      </c>
      <c r="AC271" s="5" t="str">
        <f ca="1">IFERROR(VLOOKUP($AB271,OFFSET([4]characters!$A$1,0,0,COUNTA([4]characters!$A:$A),MATCH(AC$1,[4]characters!$1:$1,0)-MATCH("character_id",[4]characters!$1:$1,0)+1),MATCH(AC$1,[4]characters!$1:$1,0)-MATCH("character_id",[4]characters!$1:$1,0)+1,FALSE),"")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71" s="5">
        <f ca="1">IFERROR(VLOOKUP($AB271,OFFSET([4]characters!$A$1,0,0,COUNTA([4]characters!$A:$A),MATCH(AD$1,[4]characters!$1:$1,0)-MATCH("character_id",[4]characters!$1:$1,0)+1),MATCH(AD$1,[4]characters!$1:$1,0)-MATCH("character_id",[4]characters!$1:$1,0)+1,FALSE),"")</f>
        <v>3</v>
      </c>
      <c r="AE271" s="5" t="str">
        <f ca="1">IFERROR(VLOOKUP($AB271,OFFSET([4]characters!$A$1,0,0,COUNTA([4]characters!$A:$A),MATCH(AE$1,[4]characters!$1:$1,0)-MATCH("character_id",[4]characters!$1:$1,0)+1),MATCH(AE$1,[4]characters!$1:$1,0)-MATCH("character_id",[4]characters!$1:$1,0)+1,FALSE),"")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1" s="8">
        <v>1</v>
      </c>
      <c r="AG271" s="27">
        <f t="shared" ref="AG271:AG275" ca="1" si="164">AD271</f>
        <v>3</v>
      </c>
      <c r="AH271" s="9">
        <v>100</v>
      </c>
      <c r="AI271" s="8">
        <v>0</v>
      </c>
      <c r="AJ271" s="8">
        <v>0</v>
      </c>
      <c r="AK271" s="8">
        <v>0</v>
      </c>
      <c r="AL271" s="8">
        <v>0</v>
      </c>
      <c r="AM271" s="8">
        <v>1</v>
      </c>
      <c r="AN271" s="8">
        <v>1</v>
      </c>
    </row>
    <row r="272" spans="1:40" ht="21" customHeight="1" x14ac:dyDescent="0.15">
      <c r="A272" s="17" t="str">
        <f>B272&amp;"_"&amp;C272&amp;"-"&amp;G272&amp;"/"&amp;L272&amp;"&lt;lv"&amp;R272&amp;"&gt;s"&amp;AA272</f>
        <v>11006_2-4/41&lt;lv16&gt;s1</v>
      </c>
      <c r="B272" s="8">
        <v>11006</v>
      </c>
      <c r="C272" s="25">
        <v>2</v>
      </c>
      <c r="D272" s="16" t="str">
        <f>B272&amp;"_"&amp;C272</f>
        <v>11006_2</v>
      </c>
      <c r="E272" s="5" t="s">
        <v>48</v>
      </c>
      <c r="F272" s="5" t="str">
        <f ca="1">VLOOKUP($D272,OFFSET([2]stages!$A$1,0,0,COUNTA([2]stages!$A:$A),MATCH(F$1,[2]stages!$2:$2,0)-MATCH($D$1,[2]stages!$2:$2,0)+1),MATCH(F$1,[2]stages!$2:$2,0)-MATCH($D$1,[2]stages!$2:$2,0)+1,FALSE)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2" s="25">
        <v>4</v>
      </c>
      <c r="H272" s="16" t="str">
        <f t="shared" si="153"/>
        <v>11006_2-4</v>
      </c>
      <c r="I272" s="5">
        <f ca="1">VLOOKUP($H272,OFFSET(floors!$A$1,0,0,COUNTA(floors!$A:$A),MATCH(I$1,floors!$1:$1,0)-MATCH($H$1,floors!$1:$1,0)+1),MATCH(I$1,floors!$1:$1,0)-MATCH($H$1,floors!$1:$1,0)+1,FALSE)</f>
        <v>30</v>
      </c>
      <c r="J272" s="5">
        <f ca="1">VLOOKUP($H272,OFFSET(floors!$A$1,0,0,COUNTA(floors!$A:$A),MATCH(J$1,floors!$1:$1,0)-MATCH($H$1,floors!$1:$1,0)+1),MATCH(J$1,floors!$1:$1,0)-MATCH($H$1,floors!$1:$1,0)+1,FALSE)</f>
        <v>55</v>
      </c>
      <c r="K272" s="24" t="s">
        <v>197</v>
      </c>
      <c r="L272" s="31">
        <v>41</v>
      </c>
      <c r="M272" s="20" t="str">
        <f ca="1">VLOOKUP($L272,OFFSET([3]enemies!$A$1,0,0,COUNTA([3]enemies!$A:$A),MATCH(M$1,[3]enemies!$1:$1,0)-MATCH($L$1,[3]enemies!$1:$1,0)+1),MATCH(M$1,[3]enemies!$1:$1,0)-MATCH($L$1,[3]enemies!$1:$1,0)+1,FALSE)</f>
        <v>ヒュウガ</v>
      </c>
      <c r="N272" s="20" t="str">
        <f ca="1">VLOOKUP($L272,OFFSET([3]enemies!$A$1,0,0,COUNTA([3]enemies!$A:$A),MATCH(N$1,[3]enemies!$1:$1,0)-MATCH($L$1,[3]enemies!$1:$1,0)+1),MATCH(N$1,[3]enemies!$1:$1,0)-MATCH($L$1,[3]enemies!$1:$1,0)+1,FALSE)</f>
        <v>red</v>
      </c>
      <c r="O272" s="22" t="str">
        <f ca="1">VLOOKUP($L272,OFFSET([4]characters!$A$1,0,0,COUNTA([4]characters!$A:$A),MATCH(O$1,[4]characters!$1:$1,0)-MATCH($L$1,[4]characters!$1:$1,0)+1),MATCH(O$1,[4]characters!$1:$1,0)-MATCH($L$1,[4]characters!$1:$1,0)+1,FALSE)</f>
        <v>Drop1N</v>
      </c>
      <c r="P272" s="20" t="str">
        <f ca="1">VLOOKUP($L272,OFFSET([3]enemies!$A$1,0,0,COUNTA([3]enemies!$A:$A),MATCH(P$1,[3]enemies!$1:$1,0)-MATCH($L$1,[3]enemies!$1:$1,0)+1),MATCH(P$1,[3]enemies!$1:$1,0)-MATCH($L$1,[3]enemies!$1:$1,0)+1,FALSE)</f>
        <v>dragon</v>
      </c>
      <c r="Q272" s="20">
        <f ca="1">VLOOKUP($L272,OFFSET([3]enemies!$A$1,0,0,COUNTA([3]enemies!$A:$A),MATCH(Q$1,[3]enemies!$1:$1,0)-MATCH($L$1,[3]enemies!$1:$1,0)+1),MATCH(Q$1,[3]enemies!$1:$1,0)-MATCH($L$1,[3]enemies!$1:$1,0)+1,FALSE)</f>
        <v>15</v>
      </c>
      <c r="R272" s="6">
        <v>16</v>
      </c>
      <c r="S272" s="39">
        <v>1</v>
      </c>
      <c r="T272" s="39">
        <v>1</v>
      </c>
      <c r="U272" s="6">
        <v>0</v>
      </c>
      <c r="V272" s="5" t="str">
        <f ca="1">VLOOKUP($W272,OFFSET([5]enemy_skill_sets!$B$1,0,0,COUNTA([5]enemy_skill_sets!$B:$B),MATCH(M$1,[5]enemy_skill_sets!$1:$1,0)-MATCH($W$1,[5]enemy_skill_sets!$1:$1,0)+2),MATCH(M$1,[5]enemy_skill_sets!$1:$1,0)-MATCH($W$1,[5]enemy_skill_sets!$1:$1,0)+2,FALSE)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2" s="35">
        <v>0</v>
      </c>
      <c r="X272" s="29">
        <v>0</v>
      </c>
      <c r="Y272" s="29">
        <v>10</v>
      </c>
      <c r="Z272" s="29">
        <v>0</v>
      </c>
      <c r="AA272" s="37">
        <v>1</v>
      </c>
      <c r="AB272" s="2">
        <f t="shared" si="129"/>
        <v>41</v>
      </c>
      <c r="AC272" s="5" t="str">
        <f ca="1">IFERROR(VLOOKUP($AB272,OFFSET([4]characters!$A$1,0,0,COUNTA([4]characters!$A:$A),MATCH(AC$1,[4]characters!$1:$1,0)-MATCH("character_id",[4]characters!$1:$1,0)+1),MATCH(AC$1,[4]characters!$1:$1,0)-MATCH("character_id",[4]characters!$1:$1,0)+1,FALSE),"")</f>
        <v>ヒュウガ</v>
      </c>
      <c r="AD272" s="5">
        <f ca="1">IFERROR(VLOOKUP($AB272,OFFSET([4]characters!$A$1,0,0,COUNTA([4]characters!$A:$A),MATCH(AD$1,[4]characters!$1:$1,0)-MATCH("character_id",[4]characters!$1:$1,0)+1),MATCH(AD$1,[4]characters!$1:$1,0)-MATCH("character_id",[4]characters!$1:$1,0)+1,FALSE),"")</f>
        <v>2</v>
      </c>
      <c r="AE272" s="5" t="str">
        <f ca="1">IFERROR(VLOOKUP($AB272,OFFSET([4]characters!$A$1,0,0,COUNTA([4]characters!$A:$A),MATCH(AE$1,[4]characters!$1:$1,0)-MATCH("character_id",[4]characters!$1:$1,0)+1),MATCH(AE$1,[4]characters!$1:$1,0)-MATCH("character_id",[4]characters!$1:$1,0)+1,FALSE),"")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2" s="30">
        <v>1</v>
      </c>
      <c r="AG272" s="27">
        <f t="shared" ca="1" si="164"/>
        <v>2</v>
      </c>
      <c r="AH272" s="9">
        <v>0</v>
      </c>
      <c r="AI272" s="28">
        <v>0</v>
      </c>
      <c r="AJ272" s="28">
        <v>0</v>
      </c>
      <c r="AK272" s="28">
        <v>0</v>
      </c>
      <c r="AL272" s="28">
        <v>0</v>
      </c>
      <c r="AM272" s="28">
        <v>1</v>
      </c>
      <c r="AN272" s="28">
        <v>1</v>
      </c>
    </row>
    <row r="273" spans="1:40" ht="21" customHeight="1" x14ac:dyDescent="0.15">
      <c r="A273" s="17" t="str">
        <f>B273&amp;"_"&amp;C273&amp;"-"&amp;G273&amp;"/"&amp;L273&amp;"&lt;lv"&amp;R273&amp;"&gt;s"&amp;AA273</f>
        <v>11006_2-4/43&lt;lv16&gt;s2</v>
      </c>
      <c r="B273" s="8">
        <v>11006</v>
      </c>
      <c r="C273" s="25">
        <v>2</v>
      </c>
      <c r="D273" s="16" t="str">
        <f>B273&amp;"_"&amp;C273</f>
        <v>11006_2</v>
      </c>
      <c r="E273" s="5" t="s">
        <v>48</v>
      </c>
      <c r="F273" s="5" t="str">
        <f ca="1">VLOOKUP($D273,OFFSET([2]stages!$A$1,0,0,COUNTA([2]stages!$A:$A),MATCH(F$1,[2]stages!$2:$2,0)-MATCH($D$1,[2]stages!$2:$2,0)+1),MATCH(F$1,[2]stages!$2:$2,0)-MATCH($D$1,[2]stages!$2:$2,0)+1,FALSE)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3" s="25">
        <v>4</v>
      </c>
      <c r="H273" s="16" t="str">
        <f t="shared" si="153"/>
        <v>11006_2-4</v>
      </c>
      <c r="I273" s="5">
        <f ca="1">VLOOKUP($H273,OFFSET(floors!$A$1,0,0,COUNTA(floors!$A:$A),MATCH(I$1,floors!$1:$1,0)-MATCH($H$1,floors!$1:$1,0)+1),MATCH(I$1,floors!$1:$1,0)-MATCH($H$1,floors!$1:$1,0)+1,FALSE)</f>
        <v>30</v>
      </c>
      <c r="J273" s="5">
        <f ca="1">VLOOKUP($H273,OFFSET(floors!$A$1,0,0,COUNTA(floors!$A:$A),MATCH(J$1,floors!$1:$1,0)-MATCH($H$1,floors!$1:$1,0)+1),MATCH(J$1,floors!$1:$1,0)-MATCH($H$1,floors!$1:$1,0)+1,FALSE)</f>
        <v>55</v>
      </c>
      <c r="K273" s="24" t="s">
        <v>197</v>
      </c>
      <c r="L273" s="31">
        <v>43</v>
      </c>
      <c r="M273" s="20" t="str">
        <f ca="1">VLOOKUP($L273,OFFSET([3]enemies!$A$1,0,0,COUNTA([3]enemies!$A:$A),MATCH(M$1,[3]enemies!$1:$1,0)-MATCH($L$1,[3]enemies!$1:$1,0)+1),MATCH(M$1,[3]enemies!$1:$1,0)-MATCH($L$1,[3]enemies!$1:$1,0)+1,FALSE)</f>
        <v>ムゥ</v>
      </c>
      <c r="N273" s="20" t="str">
        <f ca="1">VLOOKUP($L273,OFFSET([3]enemies!$A$1,0,0,COUNTA([3]enemies!$A:$A),MATCH(N$1,[3]enemies!$1:$1,0)-MATCH($L$1,[3]enemies!$1:$1,0)+1),MATCH(N$1,[3]enemies!$1:$1,0)-MATCH($L$1,[3]enemies!$1:$1,0)+1,FALSE)</f>
        <v>green</v>
      </c>
      <c r="O273" s="22" t="str">
        <f ca="1">VLOOKUP($L273,OFFSET([4]characters!$A$1,0,0,COUNTA([4]characters!$A:$A),MATCH(O$1,[4]characters!$1:$1,0)-MATCH($L$1,[4]characters!$1:$1,0)+1),MATCH(O$1,[4]characters!$1:$1,0)-MATCH($L$1,[4]characters!$1:$1,0)+1,FALSE)</f>
        <v>Drop1N</v>
      </c>
      <c r="P273" s="20" t="str">
        <f ca="1">VLOOKUP($L273,OFFSET([3]enemies!$A$1,0,0,COUNTA([3]enemies!$A:$A),MATCH(P$1,[3]enemies!$1:$1,0)-MATCH($L$1,[3]enemies!$1:$1,0)+1),MATCH(P$1,[3]enemies!$1:$1,0)-MATCH($L$1,[3]enemies!$1:$1,0)+1,FALSE)</f>
        <v>dragon</v>
      </c>
      <c r="Q273" s="20">
        <f ca="1">VLOOKUP($L273,OFFSET([3]enemies!$A$1,0,0,COUNTA([3]enemies!$A:$A),MATCH(Q$1,[3]enemies!$1:$1,0)-MATCH($L$1,[3]enemies!$1:$1,0)+1),MATCH(Q$1,[3]enemies!$1:$1,0)-MATCH($L$1,[3]enemies!$1:$1,0)+1,FALSE)</f>
        <v>15</v>
      </c>
      <c r="R273" s="6">
        <v>16</v>
      </c>
      <c r="S273" s="39">
        <v>1</v>
      </c>
      <c r="T273" s="39">
        <v>1</v>
      </c>
      <c r="U273" s="6">
        <v>0</v>
      </c>
      <c r="V273" s="5" t="str">
        <f ca="1">VLOOKUP($W273,OFFSET([5]enemy_skill_sets!$B$1,0,0,COUNTA([5]enemy_skill_sets!$B:$B),MATCH(M$1,[5]enemy_skill_sets!$1:$1,0)-MATCH($W$1,[5]enemy_skill_sets!$1:$1,0)+2),MATCH(M$1,[5]enemy_skill_sets!$1:$1,0)-MATCH($W$1,[5]enemy_skill_sets!$1:$1,0)+2,FALSE)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3" s="35">
        <v>0</v>
      </c>
      <c r="X273" s="29">
        <v>0</v>
      </c>
      <c r="Y273" s="29">
        <v>10</v>
      </c>
      <c r="Z273" s="29">
        <v>0</v>
      </c>
      <c r="AA273" s="37">
        <v>2</v>
      </c>
      <c r="AB273" s="2">
        <f t="shared" si="129"/>
        <v>43</v>
      </c>
      <c r="AC273" s="5" t="str">
        <f ca="1">IFERROR(VLOOKUP($AB273,OFFSET([4]characters!$A$1,0,0,COUNTA([4]characters!$A:$A),MATCH(AC$1,[4]characters!$1:$1,0)-MATCH("character_id",[4]characters!$1:$1,0)+1),MATCH(AC$1,[4]characters!$1:$1,0)-MATCH("character_id",[4]characters!$1:$1,0)+1,FALSE),"")</f>
        <v>ムゥ</v>
      </c>
      <c r="AD273" s="5">
        <f ca="1">IFERROR(VLOOKUP($AB273,OFFSET([4]characters!$A$1,0,0,COUNTA([4]characters!$A:$A),MATCH(AD$1,[4]characters!$1:$1,0)-MATCH("character_id",[4]characters!$1:$1,0)+1),MATCH(AD$1,[4]characters!$1:$1,0)-MATCH("character_id",[4]characters!$1:$1,0)+1,FALSE),"")</f>
        <v>2</v>
      </c>
      <c r="AE273" s="5" t="str">
        <f ca="1">IFERROR(VLOOKUP($AB273,OFFSET([4]characters!$A$1,0,0,COUNTA([4]characters!$A:$A),MATCH(AE$1,[4]characters!$1:$1,0)-MATCH("character_id",[4]characters!$1:$1,0)+1),MATCH(AE$1,[4]characters!$1:$1,0)-MATCH("character_id",[4]characters!$1:$1,0)+1,FALSE),"")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3" s="30">
        <v>1</v>
      </c>
      <c r="AG273" s="27">
        <f t="shared" ca="1" si="164"/>
        <v>2</v>
      </c>
      <c r="AH273" s="9">
        <v>0</v>
      </c>
      <c r="AI273" s="28">
        <v>0</v>
      </c>
      <c r="AJ273" s="28">
        <v>0</v>
      </c>
      <c r="AK273" s="28">
        <v>0</v>
      </c>
      <c r="AL273" s="28">
        <v>0</v>
      </c>
      <c r="AM273" s="28">
        <v>1</v>
      </c>
      <c r="AN273" s="28">
        <v>1</v>
      </c>
    </row>
    <row r="274" spans="1:40" ht="21" customHeight="1" x14ac:dyDescent="0.15">
      <c r="A274" s="17" t="str">
        <f>B274&amp;"_"&amp;C274&amp;"-"&amp;G274&amp;"/"&amp;L274&amp;"&lt;lv"&amp;R274&amp;"&gt;s"&amp;AA274</f>
        <v>11006_2-4/47&lt;lv16&gt;s1</v>
      </c>
      <c r="B274" s="8">
        <v>11006</v>
      </c>
      <c r="C274" s="25">
        <v>2</v>
      </c>
      <c r="D274" s="16" t="str">
        <f>B274&amp;"_"&amp;C274</f>
        <v>11006_2</v>
      </c>
      <c r="E274" s="5" t="s">
        <v>48</v>
      </c>
      <c r="F274" s="5" t="str">
        <f ca="1">VLOOKUP($D274,OFFSET([2]stages!$A$1,0,0,COUNTA([2]stages!$A:$A),MATCH(F$1,[2]stages!$2:$2,0)-MATCH($D$1,[2]stages!$2:$2,0)+1),MATCH(F$1,[2]stages!$2:$2,0)-MATCH($D$1,[2]stages!$2:$2,0)+1,FALSE)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4" s="25">
        <v>4</v>
      </c>
      <c r="H274" s="16" t="str">
        <f t="shared" si="153"/>
        <v>11006_2-4</v>
      </c>
      <c r="I274" s="5">
        <f ca="1">VLOOKUP($H274,OFFSET(floors!$A$1,0,0,COUNTA(floors!$A:$A),MATCH(I$1,floors!$1:$1,0)-MATCH($H$1,floors!$1:$1,0)+1),MATCH(I$1,floors!$1:$1,0)-MATCH($H$1,floors!$1:$1,0)+1,FALSE)</f>
        <v>30</v>
      </c>
      <c r="J274" s="5">
        <f ca="1">VLOOKUP($H274,OFFSET(floors!$A$1,0,0,COUNTA(floors!$A:$A),MATCH(J$1,floors!$1:$1,0)-MATCH($H$1,floors!$1:$1,0)+1),MATCH(J$1,floors!$1:$1,0)-MATCH($H$1,floors!$1:$1,0)+1,FALSE)</f>
        <v>55</v>
      </c>
      <c r="K274" s="24" t="s">
        <v>197</v>
      </c>
      <c r="L274" s="31">
        <v>47</v>
      </c>
      <c r="M274" s="20" t="str">
        <f ca="1">VLOOKUP($L274,OFFSET([3]enemies!$A$1,0,0,COUNTA([3]enemies!$A:$A),MATCH(M$1,[3]enemies!$1:$1,0)-MATCH($L$1,[3]enemies!$1:$1,0)+1),MATCH(M$1,[3]enemies!$1:$1,0)-MATCH($L$1,[3]enemies!$1:$1,0)+1,FALSE)</f>
        <v>ヒロ</v>
      </c>
      <c r="N274" s="20" t="str">
        <f ca="1">VLOOKUP($L274,OFFSET([3]enemies!$A$1,0,0,COUNTA([3]enemies!$A:$A),MATCH(N$1,[3]enemies!$1:$1,0)-MATCH($L$1,[3]enemies!$1:$1,0)+1),MATCH(N$1,[3]enemies!$1:$1,0)-MATCH($L$1,[3]enemies!$1:$1,0)+1,FALSE)</f>
        <v>yellow</v>
      </c>
      <c r="O274" s="22" t="str">
        <f ca="1">VLOOKUP($L274,OFFSET([4]characters!$A$1,0,0,COUNTA([4]characters!$A:$A),MATCH(O$1,[4]characters!$1:$1,0)-MATCH($L$1,[4]characters!$1:$1,0)+1),MATCH(O$1,[4]characters!$1:$1,0)-MATCH($L$1,[4]characters!$1:$1,0)+1,FALSE)</f>
        <v>Drop1N</v>
      </c>
      <c r="P274" s="20" t="str">
        <f ca="1">VLOOKUP($L274,OFFSET([3]enemies!$A$1,0,0,COUNTA([3]enemies!$A:$A),MATCH(P$1,[3]enemies!$1:$1,0)-MATCH($L$1,[3]enemies!$1:$1,0)+1),MATCH(P$1,[3]enemies!$1:$1,0)-MATCH($L$1,[3]enemies!$1:$1,0)+1,FALSE)</f>
        <v>animal</v>
      </c>
      <c r="Q274" s="20">
        <f ca="1">VLOOKUP($L274,OFFSET([3]enemies!$A$1,0,0,COUNTA([3]enemies!$A:$A),MATCH(Q$1,[3]enemies!$1:$1,0)-MATCH($L$1,[3]enemies!$1:$1,0)+1),MATCH(Q$1,[3]enemies!$1:$1,0)-MATCH($L$1,[3]enemies!$1:$1,0)+1,FALSE)</f>
        <v>15</v>
      </c>
      <c r="R274" s="6">
        <v>16</v>
      </c>
      <c r="S274" s="39">
        <v>1</v>
      </c>
      <c r="T274" s="39">
        <v>1</v>
      </c>
      <c r="U274" s="6">
        <v>0</v>
      </c>
      <c r="V274" s="5" t="str">
        <f ca="1">VLOOKUP($W274,OFFSET([5]enemy_skill_sets!$B$1,0,0,COUNTA([5]enemy_skill_sets!$B:$B),MATCH(M$1,[5]enemy_skill_sets!$1:$1,0)-MATCH($W$1,[5]enemy_skill_sets!$1:$1,0)+2),MATCH(M$1,[5]enemy_skill_sets!$1:$1,0)-MATCH($W$1,[5]enemy_skill_sets!$1:$1,0)+2,FALSE)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4" s="35">
        <v>0</v>
      </c>
      <c r="X274" s="29">
        <v>0</v>
      </c>
      <c r="Y274" s="29">
        <v>10</v>
      </c>
      <c r="Z274" s="29">
        <v>0</v>
      </c>
      <c r="AA274" s="37">
        <v>1</v>
      </c>
      <c r="AB274" s="2">
        <f t="shared" si="129"/>
        <v>47</v>
      </c>
      <c r="AC274" s="5" t="str">
        <f ca="1">IFERROR(VLOOKUP($AB274,OFFSET([4]characters!$A$1,0,0,COUNTA([4]characters!$A:$A),MATCH(AC$1,[4]characters!$1:$1,0)-MATCH("character_id",[4]characters!$1:$1,0)+1),MATCH(AC$1,[4]characters!$1:$1,0)-MATCH("character_id",[4]characters!$1:$1,0)+1,FALSE),"")</f>
        <v>ヒロ</v>
      </c>
      <c r="AD274" s="5">
        <f ca="1">IFERROR(VLOOKUP($AB274,OFFSET([4]characters!$A$1,0,0,COUNTA([4]characters!$A:$A),MATCH(AD$1,[4]characters!$1:$1,0)-MATCH("character_id",[4]characters!$1:$1,0)+1),MATCH(AD$1,[4]characters!$1:$1,0)-MATCH("character_id",[4]characters!$1:$1,0)+1,FALSE),"")</f>
        <v>2</v>
      </c>
      <c r="AE274" s="5" t="str">
        <f ca="1">IFERROR(VLOOKUP($AB274,OFFSET([4]characters!$A$1,0,0,COUNTA([4]characters!$A:$A),MATCH(AE$1,[4]characters!$1:$1,0)-MATCH("character_id",[4]characters!$1:$1,0)+1),MATCH(AE$1,[4]characters!$1:$1,0)-MATCH("character_id",[4]characters!$1:$1,0)+1,FALSE),"")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4" s="30">
        <v>1</v>
      </c>
      <c r="AG274" s="27">
        <f t="shared" ca="1" si="164"/>
        <v>2</v>
      </c>
      <c r="AH274" s="9">
        <v>0</v>
      </c>
      <c r="AI274" s="28">
        <v>0</v>
      </c>
      <c r="AJ274" s="28">
        <v>0</v>
      </c>
      <c r="AK274" s="28">
        <v>0</v>
      </c>
      <c r="AL274" s="28">
        <v>0</v>
      </c>
      <c r="AM274" s="28">
        <v>1</v>
      </c>
      <c r="AN274" s="28">
        <v>1</v>
      </c>
    </row>
    <row r="275" spans="1:40" ht="21" customHeight="1" x14ac:dyDescent="0.15">
      <c r="A275" s="17" t="str">
        <f>B275&amp;"_"&amp;C275&amp;"-"&amp;G275&amp;"/"&amp;L275&amp;"&lt;lv"&amp;R275&amp;"&gt;s"&amp;AA275</f>
        <v>11006_2-4/45&lt;lv1&gt;s3</v>
      </c>
      <c r="B275" s="8">
        <v>11006</v>
      </c>
      <c r="C275" s="25">
        <v>2</v>
      </c>
      <c r="D275" s="16" t="str">
        <f>B275&amp;"_"&amp;C275</f>
        <v>11006_2</v>
      </c>
      <c r="E275" s="5" t="s">
        <v>48</v>
      </c>
      <c r="F275" s="5" t="str">
        <f ca="1">VLOOKUP($D275,OFFSET([2]stages!$A$1,0,0,COUNTA([2]stages!$A:$A),MATCH(F$1,[2]stages!$2:$2,0)-MATCH($D$1,[2]stages!$2:$2,0)+1),MATCH(F$1,[2]stages!$2:$2,0)-MATCH($D$1,[2]stages!$2:$2,0)+1,FALSE)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5" s="25">
        <v>4</v>
      </c>
      <c r="H275" s="16" t="str">
        <f t="shared" si="153"/>
        <v>11006_2-4</v>
      </c>
      <c r="I275" s="5">
        <f ca="1">VLOOKUP($H275,OFFSET(floors!$A$1,0,0,COUNTA(floors!$A:$A),MATCH(I$1,floors!$1:$1,0)-MATCH($H$1,floors!$1:$1,0)+1),MATCH(I$1,floors!$1:$1,0)-MATCH($H$1,floors!$1:$1,0)+1,FALSE)</f>
        <v>30</v>
      </c>
      <c r="J275" s="5">
        <f ca="1">VLOOKUP($H275,OFFSET(floors!$A$1,0,0,COUNTA(floors!$A:$A),MATCH(J$1,floors!$1:$1,0)-MATCH($H$1,floors!$1:$1,0)+1),MATCH(J$1,floors!$1:$1,0)-MATCH($H$1,floors!$1:$1,0)+1,FALSE)</f>
        <v>55</v>
      </c>
      <c r="K275" s="24" t="s">
        <v>197</v>
      </c>
      <c r="L275" s="31">
        <v>45</v>
      </c>
      <c r="M275" s="20" t="str">
        <f ca="1">VLOOKUP($L275,OFFSET([3]enemies!$A$1,0,0,COUNTA([3]enemies!$A:$A),MATCH(M$1,[3]enemies!$1:$1,0)-MATCH($L$1,[3]enemies!$1:$1,0)+1),MATCH(M$1,[3]enemies!$1:$1,0)-MATCH($L$1,[3]enemies!$1:$1,0)+1,FALSE)</f>
        <v>ショウイン</v>
      </c>
      <c r="N275" s="20" t="str">
        <f ca="1">VLOOKUP($L275,OFFSET([3]enemies!$A$1,0,0,COUNTA([3]enemies!$A:$A),MATCH(N$1,[3]enemies!$1:$1,0)-MATCH($L$1,[3]enemies!$1:$1,0)+1),MATCH(N$1,[3]enemies!$1:$1,0)-MATCH($L$1,[3]enemies!$1:$1,0)+1,FALSE)</f>
        <v>blue</v>
      </c>
      <c r="O275" s="22" t="str">
        <f ca="1">VLOOKUP($L275,OFFSET([4]characters!$A$1,0,0,COUNTA([4]characters!$A:$A),MATCH(O$1,[4]characters!$1:$1,0)-MATCH($L$1,[4]characters!$1:$1,0)+1),MATCH(O$1,[4]characters!$1:$1,0)-MATCH($L$1,[4]characters!$1:$1,0)+1,FALSE)</f>
        <v>Drop1N</v>
      </c>
      <c r="P275" s="20" t="str">
        <f ca="1">VLOOKUP($L275,OFFSET([3]enemies!$A$1,0,0,COUNTA([3]enemies!$A:$A),MATCH(P$1,[3]enemies!$1:$1,0)-MATCH($L$1,[3]enemies!$1:$1,0)+1),MATCH(P$1,[3]enemies!$1:$1,0)-MATCH($L$1,[3]enemies!$1:$1,0)+1,FALSE)</f>
        <v>animal</v>
      </c>
      <c r="Q275" s="20">
        <f ca="1">VLOOKUP($L275,OFFSET([3]enemies!$A$1,0,0,COUNTA([3]enemies!$A:$A),MATCH(Q$1,[3]enemies!$1:$1,0)-MATCH($L$1,[3]enemies!$1:$1,0)+1),MATCH(Q$1,[3]enemies!$1:$1,0)-MATCH($L$1,[3]enemies!$1:$1,0)+1,FALSE)</f>
        <v>15</v>
      </c>
      <c r="R275" s="6">
        <v>1</v>
      </c>
      <c r="S275" s="39">
        <v>1</v>
      </c>
      <c r="T275" s="39">
        <v>1</v>
      </c>
      <c r="U275" s="6">
        <v>0</v>
      </c>
      <c r="V275" s="5" t="str">
        <f ca="1">VLOOKUP($W275,OFFSET([5]enemy_skill_sets!$B$1,0,0,COUNTA([5]enemy_skill_sets!$B:$B),MATCH(M$1,[5]enemy_skill_sets!$1:$1,0)-MATCH($W$1,[5]enemy_skill_sets!$1:$1,0)+2),MATCH(M$1,[5]enemy_skill_sets!$1:$1,0)-MATCH($W$1,[5]enemy_skill_sets!$1:$1,0)+2,FALSE)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5" s="35">
        <v>0</v>
      </c>
      <c r="X275" s="29">
        <v>0</v>
      </c>
      <c r="Y275" s="29">
        <v>10</v>
      </c>
      <c r="Z275" s="29">
        <v>0</v>
      </c>
      <c r="AA275" s="37">
        <v>3</v>
      </c>
      <c r="AB275" s="2">
        <f t="shared" si="129"/>
        <v>45</v>
      </c>
      <c r="AC275" s="5" t="str">
        <f ca="1">IFERROR(VLOOKUP($AB275,OFFSET([4]characters!$A$1,0,0,COUNTA([4]characters!$A:$A),MATCH(AC$1,[4]characters!$1:$1,0)-MATCH("character_id",[4]characters!$1:$1,0)+1),MATCH(AC$1,[4]characters!$1:$1,0)-MATCH("character_id",[4]characters!$1:$1,0)+1,FALSE),"")</f>
        <v>ショウイン</v>
      </c>
      <c r="AD275" s="5">
        <f ca="1">IFERROR(VLOOKUP($AB275,OFFSET([4]characters!$A$1,0,0,COUNTA([4]characters!$A:$A),MATCH(AD$1,[4]characters!$1:$1,0)-MATCH("character_id",[4]characters!$1:$1,0)+1),MATCH(AD$1,[4]characters!$1:$1,0)-MATCH("character_id",[4]characters!$1:$1,0)+1,FALSE),"")</f>
        <v>2</v>
      </c>
      <c r="AE275" s="5" t="str">
        <f ca="1">IFERROR(VLOOKUP($AB275,OFFSET([4]characters!$A$1,0,0,COUNTA([4]characters!$A:$A),MATCH(AE$1,[4]characters!$1:$1,0)-MATCH("character_id",[4]characters!$1:$1,0)+1),MATCH(AE$1,[4]characters!$1:$1,0)-MATCH("character_id",[4]characters!$1:$1,0)+1,FALSE),"")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5" s="30">
        <v>1</v>
      </c>
      <c r="AG275" s="27">
        <f t="shared" ca="1" si="164"/>
        <v>2</v>
      </c>
      <c r="AH275" s="9">
        <v>0</v>
      </c>
      <c r="AI275" s="28">
        <v>0</v>
      </c>
      <c r="AJ275" s="28">
        <v>0</v>
      </c>
      <c r="AK275" s="28">
        <v>0</v>
      </c>
      <c r="AL275" s="28">
        <v>0</v>
      </c>
      <c r="AM275" s="28">
        <v>1</v>
      </c>
      <c r="AN275" s="28">
        <v>1</v>
      </c>
    </row>
    <row r="276" spans="1:40" ht="21" customHeight="1" x14ac:dyDescent="0.15">
      <c r="A276" s="17" t="str">
        <f t="shared" ca="1" si="133"/>
        <v>11006_2-5/118&lt;lv1&gt;s2</v>
      </c>
      <c r="B276" s="8">
        <v>11006</v>
      </c>
      <c r="C276" s="25">
        <v>2</v>
      </c>
      <c r="D276" s="2" t="str">
        <f t="shared" si="134"/>
        <v>11006_2</v>
      </c>
      <c r="E276" s="5" t="str">
        <f ca="1">VLOOKUP($B276,OFFSET([2]quests!$A$1,0,0,COUNTA([2]quests!$A:$A),MATCH(E$1,[2]quests!$1:$1,0)-MATCH($B$1,[2]quests!$1:$1,0)+1),MATCH(E$1,[2]quests!$1:$1,0)-MATCH($B$1,[2]quests!$1:$1,0)+1,FALSE)</f>
        <v>【土日限定】 ゴールドカジノ</v>
      </c>
      <c r="F276" s="5" t="str">
        <f ca="1">VLOOKUP($D276,OFFSET([2]stages!$A$1,0,0,COUNTA([2]stages!$A:$A),MATCH(F$1,[2]stages!$2:$2,0)-MATCH($D$1,[2]stages!$2:$2,0)+1),MATCH(F$1,[2]stages!$2:$2,0)-MATCH($D$1,[2]stages!$2:$2,0)+1,FALSE)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6" s="25">
        <v>5</v>
      </c>
      <c r="H276" s="16" t="str">
        <f t="shared" si="153"/>
        <v>11006_2-5</v>
      </c>
      <c r="I276" s="5">
        <f ca="1">VLOOKUP($H276,OFFSET(floors!$A$1,0,0,COUNTA(floors!$A:$A),MATCH(I$1,floors!$1:$1,0)-MATCH($H$1,floors!$1:$1,0)+1),MATCH(I$1,floors!$1:$1,0)-MATCH($H$1,floors!$1:$1,0)+1,FALSE)</f>
        <v>45</v>
      </c>
      <c r="J276" s="5">
        <f ca="1">VLOOKUP($H276,OFFSET(floors!$A$1,0,0,COUNTA(floors!$A:$A),MATCH(J$1,floors!$1:$1,0)-MATCH($H$1,floors!$1:$1,0)+1),MATCH(J$1,floors!$1:$1,0)-MATCH($H$1,floors!$1:$1,0)+1,FALSE)</f>
        <v>45</v>
      </c>
      <c r="K276" s="24" t="s">
        <v>197</v>
      </c>
      <c r="L276" s="24">
        <v>118</v>
      </c>
      <c r="M276" s="20" t="str">
        <f ca="1">VLOOKUP($L276,OFFSET([3]enemies!$A$1,0,0,COUNTA([3]enemies!$A:$A),MATCH(M$1,[3]enemies!$1:$1,0)-MATCH($L$1,[3]enemies!$1:$1,0)+1),MATCH(M$1,[3]enemies!$1:$1,0)-MATCH($L$1,[3]enemies!$1:$1,0)+1,FALSE)</f>
        <v>ゴールドチック</v>
      </c>
      <c r="N276" s="20" t="str">
        <f ca="1">VLOOKUP($L276,OFFSET([3]enemies!$A$1,0,0,COUNTA([3]enemies!$A:$A),MATCH(N$1,[3]enemies!$1:$1,0)-MATCH($L$1,[3]enemies!$1:$1,0)+1),MATCH(N$1,[3]enemies!$1:$1,0)-MATCH($L$1,[3]enemies!$1:$1,0)+1,FALSE)</f>
        <v>yellow</v>
      </c>
      <c r="O276" s="22" t="str">
        <f ca="1">VLOOKUP($L276,OFFSET([4]characters!$A$1,0,0,COUNTA([4]characters!$A:$A),MATCH(O$1,[4]characters!$1:$1,0)-MATCH($L$1,[4]characters!$1:$1,0)+1),MATCH(O$1,[4]characters!$1:$1,0)-MATCH($L$1,[4]characters!$1:$1,0)+1,FALSE)</f>
        <v>Material</v>
      </c>
      <c r="P276" s="20" t="str">
        <f ca="1">VLOOKUP($L276,OFFSET([3]enemies!$A$1,0,0,COUNTA([3]enemies!$A:$A),MATCH(P$1,[3]enemies!$1:$1,0)-MATCH($L$1,[3]enemies!$1:$1,0)+1),MATCH(P$1,[3]enemies!$1:$1,0)-MATCH($L$1,[3]enemies!$1:$1,0)+1,FALSE)</f>
        <v>unknown</v>
      </c>
      <c r="Q276" s="20">
        <f ca="1">VLOOKUP($L276,OFFSET([3]enemies!$A$1,0,0,COUNTA([3]enemies!$A:$A),MATCH(Q$1,[3]enemies!$1:$1,0)-MATCH($L$1,[3]enemies!$1:$1,0)+1),MATCH(Q$1,[3]enemies!$1:$1,0)-MATCH($L$1,[3]enemies!$1:$1,0)+1,FALSE)</f>
        <v>15</v>
      </c>
      <c r="R276" s="6">
        <v>1</v>
      </c>
      <c r="S276" s="39">
        <v>16.5</v>
      </c>
      <c r="T276" s="39">
        <v>15.75</v>
      </c>
      <c r="U276" s="6">
        <v>0</v>
      </c>
      <c r="V276" s="5" t="str">
        <f ca="1">VLOOKUP($W276,OFFSET([5]enemy_skill_sets!$B$1,0,0,COUNTA([5]enemy_skill_sets!$B:$B),MATCH(M$1,[5]enemy_skill_sets!$1:$1,0)-MATCH($W$1,[5]enemy_skill_sets!$1:$1,0)+2),MATCH(M$1,[5]enemy_skill_sets!$1:$1,0)-MATCH($W$1,[5]enemy_skill_sets!$1:$1,0)+2,FALSE)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6" s="35">
        <v>0</v>
      </c>
      <c r="X276" s="7">
        <v>1</v>
      </c>
      <c r="Y276" s="7">
        <v>0</v>
      </c>
      <c r="Z276" s="7">
        <v>1</v>
      </c>
      <c r="AA276" s="20">
        <f ca="1">VLOOKUP($L276,OFFSET([3]enemies!$A$1,0,0,COUNTA([3]enemies!$A:$A),MATCH(AA$1,[3]enemies!$1:$1,0)-MATCH($L$1,[3]enemies!$1:$1,0)+1),MATCH(AA$1,[3]enemies!$1:$1,0)-MATCH($L$1,[3]enemies!$1:$1,0)+1,FALSE)</f>
        <v>2</v>
      </c>
      <c r="AB276" s="2">
        <f t="shared" si="129"/>
        <v>118</v>
      </c>
      <c r="AC276" s="5" t="str">
        <f ca="1">IFERROR(VLOOKUP($AB276,OFFSET([4]characters!$A$1,0,0,COUNTA([4]characters!$A:$A),MATCH(AC$1,[4]characters!$1:$1,0)-MATCH("character_id",[4]characters!$1:$1,0)+1),MATCH(AC$1,[4]characters!$1:$1,0)-MATCH("character_id",[4]characters!$1:$1,0)+1,FALSE),"")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76" s="5">
        <f ca="1">IFERROR(VLOOKUP($AB276,OFFSET([4]characters!$A$1,0,0,COUNTA([4]characters!$A:$A),MATCH(AD$1,[4]characters!$1:$1,0)-MATCH("character_id",[4]characters!$1:$1,0)+1),MATCH(AD$1,[4]characters!$1:$1,0)-MATCH("character_id",[4]characters!$1:$1,0)+1,FALSE),"")</f>
        <v>4</v>
      </c>
      <c r="AE276" s="5" t="str">
        <f ca="1">IFERROR(VLOOKUP($AB276,OFFSET([4]characters!$A$1,0,0,COUNTA([4]characters!$A:$A),MATCH(AE$1,[4]characters!$1:$1,0)-MATCH("character_id",[4]characters!$1:$1,0)+1),MATCH(AE$1,[4]characters!$1:$1,0)-MATCH("character_id",[4]characters!$1:$1,0)+1,FALSE),"")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6" s="8">
        <v>1</v>
      </c>
      <c r="AG276" s="27">
        <f t="shared" ca="1" si="135"/>
        <v>4</v>
      </c>
      <c r="AH276" s="9">
        <v>100</v>
      </c>
      <c r="AI276" s="8">
        <v>0</v>
      </c>
      <c r="AJ276" s="8">
        <v>0</v>
      </c>
      <c r="AK276" s="8">
        <v>0</v>
      </c>
      <c r="AL276" s="8">
        <v>0</v>
      </c>
      <c r="AM276" s="8">
        <v>1</v>
      </c>
      <c r="AN276" s="8">
        <v>1</v>
      </c>
    </row>
    <row r="277" spans="1:40" ht="21" customHeight="1" x14ac:dyDescent="0.15">
      <c r="A277" s="17" t="str">
        <f t="shared" ref="A277" ca="1" si="165">B277&amp;"_"&amp;C277&amp;"-"&amp;G277&amp;"/"&amp;L277&amp;"&lt;lv"&amp;R277&amp;"&gt;s"&amp;AA277</f>
        <v>11006_2-5/117&lt;lv1&gt;s1</v>
      </c>
      <c r="B277" s="8">
        <v>11006</v>
      </c>
      <c r="C277" s="25">
        <v>2</v>
      </c>
      <c r="D277" s="2" t="str">
        <f t="shared" ref="D277" si="166">B277&amp;"_"&amp;C277</f>
        <v>11006_2</v>
      </c>
      <c r="E277" s="5" t="str">
        <f ca="1">VLOOKUP($B277,OFFSET([2]quests!$A$1,0,0,COUNTA([2]quests!$A:$A),MATCH(E$1,[2]quests!$1:$1,0)-MATCH($B$1,[2]quests!$1:$1,0)+1),MATCH(E$1,[2]quests!$1:$1,0)-MATCH($B$1,[2]quests!$1:$1,0)+1,FALSE)</f>
        <v>【土日限定】 ゴールドカジノ</v>
      </c>
      <c r="F277" s="5" t="str">
        <f ca="1">VLOOKUP($D277,OFFSET([2]stages!$A$1,0,0,COUNTA([2]stages!$A:$A),MATCH(F$1,[2]stages!$2:$2,0)-MATCH($D$1,[2]stages!$2:$2,0)+1),MATCH(F$1,[2]stages!$2:$2,0)-MATCH($D$1,[2]stages!$2:$2,0)+1,FALSE)</f>
        <v xml:space="preserve">【中級】ゴールドカジノ </v>
      </c>
      <c r="G277" s="25">
        <v>5</v>
      </c>
      <c r="H277" s="16" t="str">
        <f t="shared" ref="H277" si="167">B277&amp;"_"&amp;C277&amp;"-"&amp;G277</f>
        <v>11006_2-5</v>
      </c>
      <c r="I277" s="5">
        <f ca="1">VLOOKUP($H277,OFFSET(floors!$A$1,0,0,COUNTA(floors!$A:$A),MATCH(I$1,floors!$1:$1,0)-MATCH($H$1,floors!$1:$1,0)+1),MATCH(I$1,floors!$1:$1,0)-MATCH($H$1,floors!$1:$1,0)+1,FALSE)</f>
        <v>45</v>
      </c>
      <c r="J277" s="5">
        <f ca="1">VLOOKUP($H277,OFFSET(floors!$A$1,0,0,COUNTA(floors!$A:$A),MATCH(J$1,floors!$1:$1,0)-MATCH($H$1,floors!$1:$1,0)+1),MATCH(J$1,floors!$1:$1,0)-MATCH($H$1,floors!$1:$1,0)+1,FALSE)</f>
        <v>45</v>
      </c>
      <c r="K277" s="24" t="s">
        <v>197</v>
      </c>
      <c r="L277" s="24">
        <v>117</v>
      </c>
      <c r="M277" s="20" t="str">
        <f ca="1">VLOOKUP($L277,OFFSET([3]enemies!$A$1,0,0,COUNTA([3]enemies!$A:$A),MATCH(M$1,[3]enemies!$1:$1,0)-MATCH($L$1,[3]enemies!$1:$1,0)+1),MATCH(M$1,[3]enemies!$1:$1,0)-MATCH($L$1,[3]enemies!$1:$1,0)+1,FALSE)</f>
        <v>ゴールドピヨピヨ</v>
      </c>
      <c r="N277" s="20" t="str">
        <f ca="1">VLOOKUP($L277,OFFSET([3]enemies!$A$1,0,0,COUNTA([3]enemies!$A:$A),MATCH(N$1,[3]enemies!$1:$1,0)-MATCH($L$1,[3]enemies!$1:$1,0)+1),MATCH(N$1,[3]enemies!$1:$1,0)-MATCH($L$1,[3]enemies!$1:$1,0)+1,FALSE)</f>
        <v>yellow</v>
      </c>
      <c r="O277" s="22" t="str">
        <f ca="1">VLOOKUP($L277,OFFSET([4]characters!$A$1,0,0,COUNTA([4]characters!$A:$A),MATCH(O$1,[4]characters!$1:$1,0)-MATCH($L$1,[4]characters!$1:$1,0)+1),MATCH(O$1,[4]characters!$1:$1,0)-MATCH($L$1,[4]characters!$1:$1,0)+1,FALSE)</f>
        <v>Material</v>
      </c>
      <c r="P277" s="20" t="str">
        <f ca="1">VLOOKUP($L277,OFFSET([3]enemies!$A$1,0,0,COUNTA([3]enemies!$A:$A),MATCH(P$1,[3]enemies!$1:$1,0)-MATCH($L$1,[3]enemies!$1:$1,0)+1),MATCH(P$1,[3]enemies!$1:$1,0)-MATCH($L$1,[3]enemies!$1:$1,0)+1,FALSE)</f>
        <v>unknown</v>
      </c>
      <c r="Q277" s="20">
        <f ca="1">VLOOKUP($L277,OFFSET([3]enemies!$A$1,0,0,COUNTA([3]enemies!$A:$A),MATCH(Q$1,[3]enemies!$1:$1,0)-MATCH($L$1,[3]enemies!$1:$1,0)+1),MATCH(Q$1,[3]enemies!$1:$1,0)-MATCH($L$1,[3]enemies!$1:$1,0)+1,FALSE)</f>
        <v>15</v>
      </c>
      <c r="R277" s="6">
        <v>1</v>
      </c>
      <c r="S277" s="39">
        <v>16.5</v>
      </c>
      <c r="T277" s="39">
        <v>17.75</v>
      </c>
      <c r="U277" s="6">
        <v>0</v>
      </c>
      <c r="V277" s="5" t="str">
        <f ca="1">VLOOKUP($W277,OFFSET([5]enemy_skill_sets!$B$1,0,0,COUNTA([5]enemy_skill_sets!$B:$B),MATCH(M$1,[5]enemy_skill_sets!$1:$1,0)-MATCH($W$1,[5]enemy_skill_sets!$1:$1,0)+2),MATCH(M$1,[5]enemy_skill_sets!$1:$1,0)-MATCH($W$1,[5]enemy_skill_sets!$1:$1,0)+2,FALSE)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7" s="35">
        <v>0</v>
      </c>
      <c r="X277" s="7">
        <v>2</v>
      </c>
      <c r="Y277" s="7">
        <v>0</v>
      </c>
      <c r="Z277" s="7">
        <v>0</v>
      </c>
      <c r="AA277" s="20">
        <f ca="1">VLOOKUP($L277,OFFSET([3]enemies!$A$1,0,0,COUNTA([3]enemies!$A:$A),MATCH(AA$1,[3]enemies!$1:$1,0)-MATCH($L$1,[3]enemies!$1:$1,0)+1),MATCH(AA$1,[3]enemies!$1:$1,0)-MATCH($L$1,[3]enemies!$1:$1,0)+1,FALSE)</f>
        <v>1</v>
      </c>
      <c r="AB277" s="2">
        <f t="shared" ref="AB277" si="168">L277</f>
        <v>117</v>
      </c>
      <c r="AC277" s="5" t="str">
        <f ca="1">IFERROR(VLOOKUP($AB277,OFFSET([4]characters!$A$1,0,0,COUNTA([4]characters!$A:$A),MATCH(AC$1,[4]characters!$1:$1,0)-MATCH("character_id",[4]characters!$1:$1,0)+1),MATCH(AC$1,[4]characters!$1:$1,0)-MATCH("character_id",[4]characters!$1:$1,0)+1,FALSE),"")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77" s="5">
        <f ca="1">IFERROR(VLOOKUP($AB277,OFFSET([4]characters!$A$1,0,0,COUNTA([4]characters!$A:$A),MATCH(AD$1,[4]characters!$1:$1,0)-MATCH("character_id",[4]characters!$1:$1,0)+1),MATCH(AD$1,[4]characters!$1:$1,0)-MATCH("character_id",[4]characters!$1:$1,0)+1,FALSE),"")</f>
        <v>3</v>
      </c>
      <c r="AE277" s="5" t="str">
        <f ca="1">IFERROR(VLOOKUP($AB277,OFFSET([4]characters!$A$1,0,0,COUNTA([4]characters!$A:$A),MATCH(AE$1,[4]characters!$1:$1,0)-MATCH("character_id",[4]characters!$1:$1,0)+1),MATCH(AE$1,[4]characters!$1:$1,0)-MATCH("character_id",[4]characters!$1:$1,0)+1,FALSE),"")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7" s="8">
        <v>1</v>
      </c>
      <c r="AG277" s="27">
        <f t="shared" ref="AG277" ca="1" si="169">AD277</f>
        <v>3</v>
      </c>
      <c r="AH277" s="9">
        <v>0</v>
      </c>
      <c r="AI277" s="8">
        <v>0</v>
      </c>
      <c r="AJ277" s="8">
        <v>0</v>
      </c>
      <c r="AK277" s="8">
        <v>0</v>
      </c>
      <c r="AL277" s="8">
        <v>0</v>
      </c>
      <c r="AM277" s="8">
        <v>1</v>
      </c>
      <c r="AN277" s="8">
        <v>1</v>
      </c>
    </row>
    <row r="278" spans="1:40" ht="21" customHeight="1" x14ac:dyDescent="0.15">
      <c r="A278" s="17" t="str">
        <f t="shared" ca="1" si="133"/>
        <v>11006_3-1/118&lt;lv1&gt;s2</v>
      </c>
      <c r="B278" s="8">
        <v>11006</v>
      </c>
      <c r="C278" s="25">
        <v>3</v>
      </c>
      <c r="D278" s="2" t="str">
        <f t="shared" si="134"/>
        <v>11006_3</v>
      </c>
      <c r="E278" s="5" t="str">
        <f ca="1">VLOOKUP($B278,OFFSET([2]quests!$A$1,0,0,COUNTA([2]quests!$A:$A),MATCH(E$1,[2]quests!$1:$1,0)-MATCH($B$1,[2]quests!$1:$1,0)+1),MATCH(E$1,[2]quests!$1:$1,0)-MATCH($B$1,[2]quests!$1:$1,0)+1,FALSE)</f>
        <v>【土日限定】 ゴールドカジノ</v>
      </c>
      <c r="F278" s="5" t="str">
        <f ca="1">VLOOKUP($D278,OFFSET([2]stages!$A$1,0,0,COUNTA([2]stages!$A:$A),MATCH(F$1,[2]stages!$2:$2,0)-MATCH($D$1,[2]stages!$2:$2,0)+1),MATCH(F$1,[2]stages!$2:$2,0)-MATCH($D$1,[2]stages!$2:$2,0)+1,FALSE)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78" s="25">
        <v>1</v>
      </c>
      <c r="H278" s="16" t="str">
        <f t="shared" si="153"/>
        <v>11006_3-1</v>
      </c>
      <c r="I278" s="5">
        <f ca="1">VLOOKUP($H278,OFFSET(floors!$A$1,0,0,COUNTA(floors!$A:$A),MATCH(I$1,floors!$1:$1,0)-MATCH($H$1,floors!$1:$1,0)+1),MATCH(I$1,floors!$1:$1,0)-MATCH($H$1,floors!$1:$1,0)+1,FALSE)</f>
        <v>30</v>
      </c>
      <c r="J278" s="5">
        <f ca="1">VLOOKUP($H278,OFFSET(floors!$A$1,0,0,COUNTA(floors!$A:$A),MATCH(J$1,floors!$1:$1,0)-MATCH($H$1,floors!$1:$1,0)+1),MATCH(J$1,floors!$1:$1,0)-MATCH($H$1,floors!$1:$1,0)+1,FALSE)</f>
        <v>55</v>
      </c>
      <c r="K278" s="24" t="s">
        <v>197</v>
      </c>
      <c r="L278" s="24">
        <v>118</v>
      </c>
      <c r="M278" s="20" t="str">
        <f ca="1">VLOOKUP($L278,OFFSET([3]enemies!$A$1,0,0,COUNTA([3]enemies!$A:$A),MATCH(M$1,[3]enemies!$1:$1,0)-MATCH($L$1,[3]enemies!$1:$1,0)+1),MATCH(M$1,[3]enemies!$1:$1,0)-MATCH($L$1,[3]enemies!$1:$1,0)+1,FALSE)</f>
        <v>ゴールドチック</v>
      </c>
      <c r="N278" s="20" t="str">
        <f ca="1">VLOOKUP($L278,OFFSET([3]enemies!$A$1,0,0,COUNTA([3]enemies!$A:$A),MATCH(N$1,[3]enemies!$1:$1,0)-MATCH($L$1,[3]enemies!$1:$1,0)+1),MATCH(N$1,[3]enemies!$1:$1,0)-MATCH($L$1,[3]enemies!$1:$1,0)+1,FALSE)</f>
        <v>yellow</v>
      </c>
      <c r="O278" s="22" t="str">
        <f ca="1">VLOOKUP($L278,OFFSET([4]characters!$A$1,0,0,COUNTA([4]characters!$A:$A),MATCH(O$1,[4]characters!$1:$1,0)-MATCH($L$1,[4]characters!$1:$1,0)+1),MATCH(O$1,[4]characters!$1:$1,0)-MATCH($L$1,[4]characters!$1:$1,0)+1,FALSE)</f>
        <v>Material</v>
      </c>
      <c r="P278" s="20" t="str">
        <f ca="1">VLOOKUP($L278,OFFSET([3]enemies!$A$1,0,0,COUNTA([3]enemies!$A:$A),MATCH(P$1,[3]enemies!$1:$1,0)-MATCH($L$1,[3]enemies!$1:$1,0)+1),MATCH(P$1,[3]enemies!$1:$1,0)-MATCH($L$1,[3]enemies!$1:$1,0)+1,FALSE)</f>
        <v>unknown</v>
      </c>
      <c r="Q278" s="20">
        <f ca="1">VLOOKUP($L278,OFFSET([3]enemies!$A$1,0,0,COUNTA([3]enemies!$A:$A),MATCH(Q$1,[3]enemies!$1:$1,0)-MATCH($L$1,[3]enemies!$1:$1,0)+1),MATCH(Q$1,[3]enemies!$1:$1,0)-MATCH($L$1,[3]enemies!$1:$1,0)+1,FALSE)</f>
        <v>15</v>
      </c>
      <c r="R278" s="6">
        <v>1</v>
      </c>
      <c r="S278" s="39">
        <v>16.5</v>
      </c>
      <c r="T278" s="39">
        <v>15.75</v>
      </c>
      <c r="U278" s="6">
        <v>0</v>
      </c>
      <c r="V278" s="5" t="str">
        <f ca="1">VLOOKUP($W278,OFFSET([5]enemy_skill_sets!$B$1,0,0,COUNTA([5]enemy_skill_sets!$B:$B),MATCH(M$1,[5]enemy_skill_sets!$1:$1,0)-MATCH($W$1,[5]enemy_skill_sets!$1:$1,0)+2),MATCH(M$1,[5]enemy_skill_sets!$1:$1,0)-MATCH($W$1,[5]enemy_skill_sets!$1:$1,0)+2,FALSE)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8" s="5">
        <f ca="1">VLOOKUP($L278,OFFSET([3]enemies!$A$1,0,0,COUNTA([3]enemies!$A:$A),MATCH(W$1,[3]enemies!$1:$1,0)-MATCH($L$1,[3]enemies!$1:$1,0)+1),MATCH(W$1,[3]enemies!$1:$1,0)-MATCH($L$1,[3]enemies!$1:$1,0)+1,FALSE)</f>
        <v>0</v>
      </c>
      <c r="X278" s="7">
        <v>1</v>
      </c>
      <c r="Y278" s="7">
        <v>0</v>
      </c>
      <c r="Z278" s="7">
        <v>1</v>
      </c>
      <c r="AA278" s="20">
        <f ca="1">VLOOKUP($L278,OFFSET([3]enemies!$A$1,0,0,COUNTA([3]enemies!$A:$A),MATCH(AA$1,[3]enemies!$1:$1,0)-MATCH($L$1,[3]enemies!$1:$1,0)+1),MATCH(AA$1,[3]enemies!$1:$1,0)-MATCH($L$1,[3]enemies!$1:$1,0)+1,FALSE)</f>
        <v>2</v>
      </c>
      <c r="AB278" s="2">
        <f t="shared" si="129"/>
        <v>118</v>
      </c>
      <c r="AC278" s="5" t="str">
        <f ca="1">IFERROR(VLOOKUP($AB278,OFFSET([4]characters!$A$1,0,0,COUNTA([4]characters!$A:$A),MATCH(AC$1,[4]characters!$1:$1,0)-MATCH("character_id",[4]characters!$1:$1,0)+1),MATCH(AC$1,[4]characters!$1:$1,0)-MATCH("character_id",[4]characters!$1:$1,0)+1,FALSE),"")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78" s="5">
        <f ca="1">IFERROR(VLOOKUP($AB278,OFFSET([4]characters!$A$1,0,0,COUNTA([4]characters!$A:$A),MATCH(AD$1,[4]characters!$1:$1,0)-MATCH("character_id",[4]characters!$1:$1,0)+1),MATCH(AD$1,[4]characters!$1:$1,0)-MATCH("character_id",[4]characters!$1:$1,0)+1,FALSE),"")</f>
        <v>4</v>
      </c>
      <c r="AE278" s="5" t="str">
        <f ca="1">IFERROR(VLOOKUP($AB278,OFFSET([4]characters!$A$1,0,0,COUNTA([4]characters!$A:$A),MATCH(AE$1,[4]characters!$1:$1,0)-MATCH("character_id",[4]characters!$1:$1,0)+1),MATCH(AE$1,[4]characters!$1:$1,0)-MATCH("character_id",[4]characters!$1:$1,0)+1,FALSE),"")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8" s="8">
        <v>1</v>
      </c>
      <c r="AG278" s="27">
        <f t="shared" ca="1" si="135"/>
        <v>4</v>
      </c>
      <c r="AH278" s="9">
        <v>100</v>
      </c>
      <c r="AI278" s="8">
        <v>0</v>
      </c>
      <c r="AJ278" s="8">
        <v>0</v>
      </c>
      <c r="AK278" s="8">
        <v>0</v>
      </c>
      <c r="AL278" s="8">
        <v>0</v>
      </c>
      <c r="AM278" s="8">
        <v>1</v>
      </c>
      <c r="AN278" s="8">
        <v>1</v>
      </c>
    </row>
    <row r="279" spans="1:40" ht="21" customHeight="1" x14ac:dyDescent="0.15">
      <c r="A279" s="17" t="str">
        <f t="shared" ref="A279" ca="1" si="170">B279&amp;"_"&amp;C279&amp;"-"&amp;G279&amp;"/"&amp;L279&amp;"&lt;lv"&amp;R279&amp;"&gt;s"&amp;AA279</f>
        <v>11006_3-1/117&lt;lv1&gt;s1</v>
      </c>
      <c r="B279" s="8">
        <v>11006</v>
      </c>
      <c r="C279" s="25">
        <v>3</v>
      </c>
      <c r="D279" s="2" t="str">
        <f t="shared" ref="D279" si="171">B279&amp;"_"&amp;C279</f>
        <v>11006_3</v>
      </c>
      <c r="E279" s="5" t="str">
        <f ca="1">VLOOKUP($B279,OFFSET([2]quests!$A$1,0,0,COUNTA([2]quests!$A:$A),MATCH(E$1,[2]quests!$1:$1,0)-MATCH($B$1,[2]quests!$1:$1,0)+1),MATCH(E$1,[2]quests!$1:$1,0)-MATCH($B$1,[2]quests!$1:$1,0)+1,FALSE)</f>
        <v>【土日限定】 ゴールドカジノ</v>
      </c>
      <c r="F279" s="5" t="str">
        <f ca="1">VLOOKUP($D279,OFFSET([2]stages!$A$1,0,0,COUNTA([2]stages!$A:$A),MATCH(F$1,[2]stages!$2:$2,0)-MATCH($D$1,[2]stages!$2:$2,0)+1),MATCH(F$1,[2]stages!$2:$2,0)-MATCH($D$1,[2]stages!$2:$2,0)+1,FALSE)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79" s="25">
        <v>1</v>
      </c>
      <c r="H279" s="16" t="str">
        <f t="shared" si="153"/>
        <v>11006_3-1</v>
      </c>
      <c r="I279" s="5">
        <f ca="1">VLOOKUP($H279,OFFSET(floors!$A$1,0,0,COUNTA(floors!$A:$A),MATCH(I$1,floors!$1:$1,0)-MATCH($H$1,floors!$1:$1,0)+1),MATCH(I$1,floors!$1:$1,0)-MATCH($H$1,floors!$1:$1,0)+1,FALSE)</f>
        <v>30</v>
      </c>
      <c r="J279" s="5">
        <f ca="1">VLOOKUP($H279,OFFSET(floors!$A$1,0,0,COUNTA(floors!$A:$A),MATCH(J$1,floors!$1:$1,0)-MATCH($H$1,floors!$1:$1,0)+1),MATCH(J$1,floors!$1:$1,0)-MATCH($H$1,floors!$1:$1,0)+1,FALSE)</f>
        <v>55</v>
      </c>
      <c r="K279" s="24" t="s">
        <v>197</v>
      </c>
      <c r="L279" s="24">
        <v>117</v>
      </c>
      <c r="M279" s="20" t="str">
        <f ca="1">VLOOKUP($L279,OFFSET([3]enemies!$A$1,0,0,COUNTA([3]enemies!$A:$A),MATCH(M$1,[3]enemies!$1:$1,0)-MATCH($L$1,[3]enemies!$1:$1,0)+1),MATCH(M$1,[3]enemies!$1:$1,0)-MATCH($L$1,[3]enemies!$1:$1,0)+1,FALSE)</f>
        <v>ゴールドピヨピヨ</v>
      </c>
      <c r="N279" s="20" t="str">
        <f ca="1">VLOOKUP($L279,OFFSET([3]enemies!$A$1,0,0,COUNTA([3]enemies!$A:$A),MATCH(N$1,[3]enemies!$1:$1,0)-MATCH($L$1,[3]enemies!$1:$1,0)+1),MATCH(N$1,[3]enemies!$1:$1,0)-MATCH($L$1,[3]enemies!$1:$1,0)+1,FALSE)</f>
        <v>yellow</v>
      </c>
      <c r="O279" s="22" t="str">
        <f ca="1">VLOOKUP($L279,OFFSET([4]characters!$A$1,0,0,COUNTA([4]characters!$A:$A),MATCH(O$1,[4]characters!$1:$1,0)-MATCH($L$1,[4]characters!$1:$1,0)+1),MATCH(O$1,[4]characters!$1:$1,0)-MATCH($L$1,[4]characters!$1:$1,0)+1,FALSE)</f>
        <v>Material</v>
      </c>
      <c r="P279" s="20" t="str">
        <f ca="1">VLOOKUP($L279,OFFSET([3]enemies!$A$1,0,0,COUNTA([3]enemies!$A:$A),MATCH(P$1,[3]enemies!$1:$1,0)-MATCH($L$1,[3]enemies!$1:$1,0)+1),MATCH(P$1,[3]enemies!$1:$1,0)-MATCH($L$1,[3]enemies!$1:$1,0)+1,FALSE)</f>
        <v>unknown</v>
      </c>
      <c r="Q279" s="20">
        <f ca="1">VLOOKUP($L279,OFFSET([3]enemies!$A$1,0,0,COUNTA([3]enemies!$A:$A),MATCH(Q$1,[3]enemies!$1:$1,0)-MATCH($L$1,[3]enemies!$1:$1,0)+1),MATCH(Q$1,[3]enemies!$1:$1,0)-MATCH($L$1,[3]enemies!$1:$1,0)+1,FALSE)</f>
        <v>15</v>
      </c>
      <c r="R279" s="6">
        <v>1</v>
      </c>
      <c r="S279" s="39">
        <v>40.5</v>
      </c>
      <c r="T279" s="39">
        <v>42.25</v>
      </c>
      <c r="U279" s="6">
        <v>0</v>
      </c>
      <c r="V279" s="5" t="str">
        <f ca="1">VLOOKUP($W279,OFFSET([5]enemy_skill_sets!$B$1,0,0,COUNTA([5]enemy_skill_sets!$B:$B),MATCH(M$1,[5]enemy_skill_sets!$1:$1,0)-MATCH($W$1,[5]enemy_skill_sets!$1:$1,0)+2),MATCH(M$1,[5]enemy_skill_sets!$1:$1,0)-MATCH($W$1,[5]enemy_skill_sets!$1:$1,0)+2,FALSE)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9" s="5">
        <f ca="1">VLOOKUP($L279,OFFSET([3]enemies!$A$1,0,0,COUNTA([3]enemies!$A:$A),MATCH(W$1,[3]enemies!$1:$1,0)-MATCH($L$1,[3]enemies!$1:$1,0)+1),MATCH(W$1,[3]enemies!$1:$1,0)-MATCH($L$1,[3]enemies!$1:$1,0)+1,FALSE)</f>
        <v>0</v>
      </c>
      <c r="X279" s="7">
        <v>1</v>
      </c>
      <c r="Y279" s="7">
        <v>20</v>
      </c>
      <c r="Z279" s="7">
        <v>2</v>
      </c>
      <c r="AA279" s="20">
        <f ca="1">VLOOKUP($L279,OFFSET([3]enemies!$A$1,0,0,COUNTA([3]enemies!$A:$A),MATCH(AA$1,[3]enemies!$1:$1,0)-MATCH($L$1,[3]enemies!$1:$1,0)+1),MATCH(AA$1,[3]enemies!$1:$1,0)-MATCH($L$1,[3]enemies!$1:$1,0)+1,FALSE)</f>
        <v>1</v>
      </c>
      <c r="AB279" s="2">
        <f t="shared" si="129"/>
        <v>117</v>
      </c>
      <c r="AC279" s="5" t="str">
        <f ca="1">IFERROR(VLOOKUP($AB279,OFFSET([4]characters!$A$1,0,0,COUNTA([4]characters!$A:$A),MATCH(AC$1,[4]characters!$1:$1,0)-MATCH("character_id",[4]characters!$1:$1,0)+1),MATCH(AC$1,[4]characters!$1:$1,0)-MATCH("character_id",[4]characters!$1:$1,0)+1,FALSE),"")</f>
        <v>ゴールドピヨピヨ</v>
      </c>
      <c r="AD279" s="5">
        <f ca="1">IFERROR(VLOOKUP($AB279,OFFSET([4]characters!$A$1,0,0,COUNTA([4]characters!$A:$A),MATCH(AD$1,[4]characters!$1:$1,0)-MATCH("character_id",[4]characters!$1:$1,0)+1),MATCH(AD$1,[4]characters!$1:$1,0)-MATCH("character_id",[4]characters!$1:$1,0)+1,FALSE),"")</f>
        <v>3</v>
      </c>
      <c r="AE279" s="5" t="str">
        <f ca="1">IFERROR(VLOOKUP($AB279,OFFSET([4]characters!$A$1,0,0,COUNTA([4]characters!$A:$A),MATCH(AE$1,[4]characters!$1:$1,0)-MATCH("character_id",[4]characters!$1:$1,0)+1),MATCH(AE$1,[4]characters!$1:$1,0)-MATCH("character_id",[4]characters!$1:$1,0)+1,FALSE),"")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79" s="8">
        <v>1</v>
      </c>
      <c r="AG279" s="27">
        <f t="shared" ref="AG279" ca="1" si="172">AD279</f>
        <v>3</v>
      </c>
      <c r="AH279" s="9">
        <v>0</v>
      </c>
      <c r="AI279" s="8">
        <v>0</v>
      </c>
      <c r="AJ279" s="8">
        <v>0</v>
      </c>
      <c r="AK279" s="8">
        <v>0</v>
      </c>
      <c r="AL279" s="8">
        <v>0</v>
      </c>
      <c r="AM279" s="8">
        <v>1</v>
      </c>
      <c r="AN279" s="8">
        <v>1</v>
      </c>
    </row>
    <row r="280" spans="1:40" ht="21" customHeight="1" x14ac:dyDescent="0.15">
      <c r="A280" s="17" t="str">
        <f t="shared" ca="1" si="133"/>
        <v>11006_3-1/63&lt;lv32&gt;s2</v>
      </c>
      <c r="B280" s="8">
        <v>11006</v>
      </c>
      <c r="C280" s="25">
        <v>3</v>
      </c>
      <c r="D280" s="16" t="str">
        <f t="shared" si="134"/>
        <v>11006_3</v>
      </c>
      <c r="E280" s="5" t="str">
        <f ca="1">VLOOKUP($B280,OFFSET([2]quests!$A$1,0,0,COUNTA([2]quests!$A:$A),MATCH(E$1,[2]quests!$1:$1,0)-MATCH($B$1,[2]quests!$1:$1,0)+1),MATCH(E$1,[2]quests!$1:$1,0)-MATCH($B$1,[2]quests!$1:$1,0)+1,FALSE)</f>
        <v>【土日限定】 ゴールドカジノ</v>
      </c>
      <c r="F280" s="5" t="str">
        <f ca="1">VLOOKUP($D280,OFFSET([2]stages!$A$1,0,0,COUNTA([2]stages!$A:$A),MATCH(F$1,[2]stages!$2:$2,0)-MATCH($D$1,[2]stages!$2:$2,0)+1),MATCH(F$1,[2]stages!$2:$2,0)-MATCH($D$1,[2]stages!$2:$2,0)+1,FALSE)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0" s="32">
        <v>1</v>
      </c>
      <c r="H280" s="16" t="str">
        <f t="shared" si="153"/>
        <v>11006_3-1</v>
      </c>
      <c r="I280" s="5">
        <f ca="1">VLOOKUP($H280,OFFSET(floors!$A$1,0,0,COUNTA(floors!$A:$A),MATCH(I$1,floors!$1:$1,0)-MATCH($H$1,floors!$1:$1,0)+1),MATCH(I$1,floors!$1:$1,0)-MATCH($H$1,floors!$1:$1,0)+1,FALSE)</f>
        <v>30</v>
      </c>
      <c r="J280" s="5">
        <f ca="1">VLOOKUP($H280,OFFSET(floors!$A$1,0,0,COUNTA(floors!$A:$A),MATCH(J$1,floors!$1:$1,0)-MATCH($H$1,floors!$1:$1,0)+1),MATCH(J$1,floors!$1:$1,0)-MATCH($H$1,floors!$1:$1,0)+1,FALSE)</f>
        <v>55</v>
      </c>
      <c r="K280" s="24" t="s">
        <v>197</v>
      </c>
      <c r="L280" s="34">
        <v>63</v>
      </c>
      <c r="M280" s="20" t="str">
        <f ca="1">VLOOKUP($L280,OFFSET([3]enemies!$A$1,0,0,COUNTA([3]enemies!$A:$A),MATCH(M$1,[3]enemies!$1:$1,0)-MATCH($L$1,[3]enemies!$1:$1,0)+1),MATCH(M$1,[3]enemies!$1:$1,0)-MATCH($L$1,[3]enemies!$1:$1,0)+1,FALSE)</f>
        <v>トニー</v>
      </c>
      <c r="N280" s="20" t="str">
        <f ca="1">VLOOKUP($L280,OFFSET([3]enemies!$A$1,0,0,COUNTA([3]enemies!$A:$A),MATCH(N$1,[3]enemies!$1:$1,0)-MATCH($L$1,[3]enemies!$1:$1,0)+1),MATCH(N$1,[3]enemies!$1:$1,0)-MATCH($L$1,[3]enemies!$1:$1,0)+1,FALSE)</f>
        <v>yellow</v>
      </c>
      <c r="O280" s="22" t="str">
        <f ca="1">VLOOKUP($L280,OFFSET([4]characters!$A$1,0,0,COUNTA([4]characters!$A:$A),MATCH(O$1,[4]characters!$1:$1,0)-MATCH($L$1,[4]characters!$1:$1,0)+1),MATCH(O$1,[4]characters!$1:$1,0)-MATCH($L$1,[4]characters!$1:$1,0)+1,FALSE)</f>
        <v>Drop1N</v>
      </c>
      <c r="P280" s="20" t="str">
        <f ca="1">VLOOKUP($L280,OFFSET([3]enemies!$A$1,0,0,COUNTA([3]enemies!$A:$A),MATCH(P$1,[3]enemies!$1:$1,0)-MATCH($L$1,[3]enemies!$1:$1,0)+1),MATCH(P$1,[3]enemies!$1:$1,0)-MATCH($L$1,[3]enemies!$1:$1,0)+1,FALSE)</f>
        <v>animal</v>
      </c>
      <c r="Q280" s="20">
        <f ca="1">VLOOKUP($L280,OFFSET([3]enemies!$A$1,0,0,COUNTA([3]enemies!$A:$A),MATCH(Q$1,[3]enemies!$1:$1,0)-MATCH($L$1,[3]enemies!$1:$1,0)+1),MATCH(Q$1,[3]enemies!$1:$1,0)-MATCH($L$1,[3]enemies!$1:$1,0)+1,FALSE)</f>
        <v>15</v>
      </c>
      <c r="R280" s="6">
        <v>32</v>
      </c>
      <c r="S280" s="39">
        <v>1</v>
      </c>
      <c r="T280" s="39">
        <v>1</v>
      </c>
      <c r="U280" s="6">
        <v>0</v>
      </c>
      <c r="V280" s="5" t="str">
        <f ca="1">VLOOKUP($W280,OFFSET([5]enemy_skill_sets!$B$1,0,0,COUNTA([5]enemy_skill_sets!$B:$B),MATCH(M$1,[5]enemy_skill_sets!$1:$1,0)-MATCH($W$1,[5]enemy_skill_sets!$1:$1,0)+2),MATCH(M$1,[5]enemy_skill_sets!$1:$1,0)-MATCH($W$1,[5]enemy_skill_sets!$1:$1,0)+2,FALSE)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280" s="5">
        <f ca="1">VLOOKUP($L280,OFFSET([3]enemies!$A$1,0,0,COUNTA([3]enemies!$A:$A),MATCH(W$1,[3]enemies!$1:$1,0)-MATCH($L$1,[3]enemies!$1:$1,0)+1),MATCH(W$1,[3]enemies!$1:$1,0)-MATCH($L$1,[3]enemies!$1:$1,0)+1,FALSE)</f>
        <v>63</v>
      </c>
      <c r="X280" s="33">
        <v>0</v>
      </c>
      <c r="Y280" s="7">
        <v>20</v>
      </c>
      <c r="Z280" s="33">
        <v>0</v>
      </c>
      <c r="AA280" s="20">
        <f ca="1">VLOOKUP($L280,OFFSET([3]enemies!$A$1,0,0,COUNTA([3]enemies!$A:$A),MATCH(AA$1,[3]enemies!$1:$1,0)-MATCH($L$1,[3]enemies!$1:$1,0)+1),MATCH(AA$1,[3]enemies!$1:$1,0)-MATCH($L$1,[3]enemies!$1:$1,0)+1,FALSE)</f>
        <v>2</v>
      </c>
      <c r="AB280" s="2">
        <f t="shared" si="129"/>
        <v>63</v>
      </c>
      <c r="AC280" s="5" t="str">
        <f ca="1">IFERROR(VLOOKUP($AB280,OFFSET([4]characters!$A$1,0,0,COUNTA([4]characters!$A:$A),MATCH(AC$1,[4]characters!$1:$1,0)-MATCH("character_id",[4]characters!$1:$1,0)+1),MATCH(AC$1,[4]characters!$1:$1,0)-MATCH("character_id",[4]characters!$1:$1,0)+1,FALSE),"")</f>
        <v>トニー</v>
      </c>
      <c r="AD280" s="5">
        <f ca="1">IFERROR(VLOOKUP($AB280,OFFSET([4]characters!$A$1,0,0,COUNTA([4]characters!$A:$A),MATCH(AD$1,[4]characters!$1:$1,0)-MATCH("character_id",[4]characters!$1:$1,0)+1),MATCH(AD$1,[4]characters!$1:$1,0)-MATCH("character_id",[4]characters!$1:$1,0)+1,FALSE),"")</f>
        <v>2</v>
      </c>
      <c r="AE280" s="5" t="str">
        <f ca="1">IFERROR(VLOOKUP($AB280,OFFSET([4]characters!$A$1,0,0,COUNTA([4]characters!$A:$A),MATCH(AE$1,[4]characters!$1:$1,0)-MATCH("character_id",[4]characters!$1:$1,0)+1),MATCH(AE$1,[4]characters!$1:$1,0)-MATCH("character_id",[4]characters!$1:$1,0)+1,FALSE),"")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80" s="28">
        <v>1</v>
      </c>
      <c r="AG280" s="27">
        <f t="shared" ref="AG280:AG283" ca="1" si="173">AD280</f>
        <v>2</v>
      </c>
      <c r="AH280" s="9">
        <v>0</v>
      </c>
      <c r="AI280" s="28">
        <v>0</v>
      </c>
      <c r="AJ280" s="28">
        <v>0</v>
      </c>
      <c r="AK280" s="28">
        <v>0</v>
      </c>
      <c r="AL280" s="28">
        <v>0</v>
      </c>
      <c r="AM280" s="28">
        <v>1</v>
      </c>
      <c r="AN280" s="28">
        <v>1</v>
      </c>
    </row>
    <row r="281" spans="1:40" ht="21" customHeight="1" x14ac:dyDescent="0.15">
      <c r="A281" s="17" t="str">
        <f t="shared" ca="1" si="133"/>
        <v>11006_3-1/61&lt;lv32&gt;s2</v>
      </c>
      <c r="B281" s="8">
        <v>11006</v>
      </c>
      <c r="C281" s="25">
        <v>3</v>
      </c>
      <c r="D281" s="16" t="str">
        <f t="shared" si="134"/>
        <v>11006_3</v>
      </c>
      <c r="E281" s="5" t="str">
        <f ca="1">VLOOKUP($B281,OFFSET([2]quests!$A$1,0,0,COUNTA([2]quests!$A:$A),MATCH(E$1,[2]quests!$1:$1,0)-MATCH($B$1,[2]quests!$1:$1,0)+1),MATCH(E$1,[2]quests!$1:$1,0)-MATCH($B$1,[2]quests!$1:$1,0)+1,FALSE)</f>
        <v>【土日限定】 ゴールドカジノ</v>
      </c>
      <c r="F281" s="5" t="str">
        <f ca="1">VLOOKUP($D281,OFFSET([2]stages!$A$1,0,0,COUNTA([2]stages!$A:$A),MATCH(F$1,[2]stages!$2:$2,0)-MATCH($D$1,[2]stages!$2:$2,0)+1),MATCH(F$1,[2]stages!$2:$2,0)-MATCH($D$1,[2]stages!$2:$2,0)+1,FALSE)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1" s="32">
        <v>1</v>
      </c>
      <c r="H281" s="16" t="str">
        <f t="shared" si="153"/>
        <v>11006_3-1</v>
      </c>
      <c r="I281" s="5">
        <f ca="1">VLOOKUP($H281,OFFSET(floors!$A$1,0,0,COUNTA(floors!$A:$A),MATCH(I$1,floors!$1:$1,0)-MATCH($H$1,floors!$1:$1,0)+1),MATCH(I$1,floors!$1:$1,0)-MATCH($H$1,floors!$1:$1,0)+1,FALSE)</f>
        <v>30</v>
      </c>
      <c r="J281" s="5">
        <f ca="1">VLOOKUP($H281,OFFSET(floors!$A$1,0,0,COUNTA(floors!$A:$A),MATCH(J$1,floors!$1:$1,0)-MATCH($H$1,floors!$1:$1,0)+1),MATCH(J$1,floors!$1:$1,0)-MATCH($H$1,floors!$1:$1,0)+1,FALSE)</f>
        <v>55</v>
      </c>
      <c r="K281" s="24" t="s">
        <v>197</v>
      </c>
      <c r="L281" s="34">
        <v>61</v>
      </c>
      <c r="M281" s="20" t="str">
        <f ca="1">VLOOKUP($L281,OFFSET([3]enemies!$A$1,0,0,COUNTA([3]enemies!$A:$A),MATCH(M$1,[3]enemies!$1:$1,0)-MATCH($L$1,[3]enemies!$1:$1,0)+1),MATCH(M$1,[3]enemies!$1:$1,0)-MATCH($L$1,[3]enemies!$1:$1,0)+1,FALSE)</f>
        <v>クロウ</v>
      </c>
      <c r="N281" s="20" t="str">
        <f ca="1">VLOOKUP($L281,OFFSET([3]enemies!$A$1,0,0,COUNTA([3]enemies!$A:$A),MATCH(N$1,[3]enemies!$1:$1,0)-MATCH($L$1,[3]enemies!$1:$1,0)+1),MATCH(N$1,[3]enemies!$1:$1,0)-MATCH($L$1,[3]enemies!$1:$1,0)+1,FALSE)</f>
        <v>blue</v>
      </c>
      <c r="O281" s="22" t="str">
        <f ca="1">VLOOKUP($L281,OFFSET([4]characters!$A$1,0,0,COUNTA([4]characters!$A:$A),MATCH(O$1,[4]characters!$1:$1,0)-MATCH($L$1,[4]characters!$1:$1,0)+1),MATCH(O$1,[4]characters!$1:$1,0)-MATCH($L$1,[4]characters!$1:$1,0)+1,FALSE)</f>
        <v>Drop1N</v>
      </c>
      <c r="P281" s="20" t="str">
        <f ca="1">VLOOKUP($L281,OFFSET([3]enemies!$A$1,0,0,COUNTA([3]enemies!$A:$A),MATCH(P$1,[3]enemies!$1:$1,0)-MATCH($L$1,[3]enemies!$1:$1,0)+1),MATCH(P$1,[3]enemies!$1:$1,0)-MATCH($L$1,[3]enemies!$1:$1,0)+1,FALSE)</f>
        <v>animal</v>
      </c>
      <c r="Q281" s="20">
        <f ca="1">VLOOKUP($L281,OFFSET([3]enemies!$A$1,0,0,COUNTA([3]enemies!$A:$A),MATCH(Q$1,[3]enemies!$1:$1,0)-MATCH($L$1,[3]enemies!$1:$1,0)+1),MATCH(Q$1,[3]enemies!$1:$1,0)-MATCH($L$1,[3]enemies!$1:$1,0)+1,FALSE)</f>
        <v>15</v>
      </c>
      <c r="R281" s="6">
        <v>32</v>
      </c>
      <c r="S281" s="39">
        <v>1</v>
      </c>
      <c r="T281" s="39">
        <v>1</v>
      </c>
      <c r="U281" s="6">
        <v>0</v>
      </c>
      <c r="V281" s="5" t="str">
        <f ca="1">VLOOKUP($W281,OFFSET([5]enemy_skill_sets!$B$1,0,0,COUNTA([5]enemy_skill_sets!$B:$B),MATCH(M$1,[5]enemy_skill_sets!$1:$1,0)-MATCH($W$1,[5]enemy_skill_sets!$1:$1,0)+2),MATCH(M$1,[5]enemy_skill_sets!$1:$1,0)-MATCH($W$1,[5]enemy_skill_sets!$1:$1,0)+2,FALSE)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81" s="5">
        <f ca="1">VLOOKUP($L281,OFFSET([3]enemies!$A$1,0,0,COUNTA([3]enemies!$A:$A),MATCH(W$1,[3]enemies!$1:$1,0)-MATCH($L$1,[3]enemies!$1:$1,0)+1),MATCH(W$1,[3]enemies!$1:$1,0)-MATCH($L$1,[3]enemies!$1:$1,0)+1,FALSE)</f>
        <v>61</v>
      </c>
      <c r="X281" s="33">
        <v>0</v>
      </c>
      <c r="Y281" s="7">
        <v>20</v>
      </c>
      <c r="Z281" s="33">
        <v>0</v>
      </c>
      <c r="AA281" s="20">
        <f ca="1">VLOOKUP($L281,OFFSET([3]enemies!$A$1,0,0,COUNTA([3]enemies!$A:$A),MATCH(AA$1,[3]enemies!$1:$1,0)-MATCH($L$1,[3]enemies!$1:$1,0)+1),MATCH(AA$1,[3]enemies!$1:$1,0)-MATCH($L$1,[3]enemies!$1:$1,0)+1,FALSE)</f>
        <v>2</v>
      </c>
      <c r="AB281" s="2">
        <f t="shared" si="129"/>
        <v>61</v>
      </c>
      <c r="AC281" s="5" t="str">
        <f ca="1">IFERROR(VLOOKUP($AB281,OFFSET([4]characters!$A$1,0,0,COUNTA([4]characters!$A:$A),MATCH(AC$1,[4]characters!$1:$1,0)-MATCH("character_id",[4]characters!$1:$1,0)+1),MATCH(AC$1,[4]characters!$1:$1,0)-MATCH("character_id",[4]characters!$1:$1,0)+1,FALSE),"")</f>
        <v>クロウ</v>
      </c>
      <c r="AD281" s="5">
        <f ca="1">IFERROR(VLOOKUP($AB281,OFFSET([4]characters!$A$1,0,0,COUNTA([4]characters!$A:$A),MATCH(AD$1,[4]characters!$1:$1,0)-MATCH("character_id",[4]characters!$1:$1,0)+1),MATCH(AD$1,[4]characters!$1:$1,0)-MATCH("character_id",[4]characters!$1:$1,0)+1,FALSE),"")</f>
        <v>2</v>
      </c>
      <c r="AE281" s="5" t="str">
        <f ca="1">IFERROR(VLOOKUP($AB281,OFFSET([4]characters!$A$1,0,0,COUNTA([4]characters!$A:$A),MATCH(AE$1,[4]characters!$1:$1,0)-MATCH("character_id",[4]characters!$1:$1,0)+1),MATCH(AE$1,[4]characters!$1:$1,0)-MATCH("character_id",[4]characters!$1:$1,0)+1,FALSE),"")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81" s="28">
        <v>1</v>
      </c>
      <c r="AG281" s="27">
        <f t="shared" ca="1" si="173"/>
        <v>2</v>
      </c>
      <c r="AH281" s="9">
        <v>0</v>
      </c>
      <c r="AI281" s="28">
        <v>0</v>
      </c>
      <c r="AJ281" s="28">
        <v>0</v>
      </c>
      <c r="AK281" s="28">
        <v>0</v>
      </c>
      <c r="AL281" s="28">
        <v>0</v>
      </c>
      <c r="AM281" s="28">
        <v>1</v>
      </c>
      <c r="AN281" s="28">
        <v>1</v>
      </c>
    </row>
    <row r="282" spans="1:40" ht="21" customHeight="1" x14ac:dyDescent="0.15">
      <c r="A282" s="17" t="str">
        <f t="shared" ca="1" si="133"/>
        <v>11006_3-1/57&lt;lv32&gt;s2</v>
      </c>
      <c r="B282" s="8">
        <v>11006</v>
      </c>
      <c r="C282" s="25">
        <v>3</v>
      </c>
      <c r="D282" s="16" t="str">
        <f t="shared" si="134"/>
        <v>11006_3</v>
      </c>
      <c r="E282" s="5" t="str">
        <f ca="1">VLOOKUP($B282,OFFSET([2]quests!$A$1,0,0,COUNTA([2]quests!$A:$A),MATCH(E$1,[2]quests!$1:$1,0)-MATCH($B$1,[2]quests!$1:$1,0)+1),MATCH(E$1,[2]quests!$1:$1,0)-MATCH($B$1,[2]quests!$1:$1,0)+1,FALSE)</f>
        <v>【土日限定】 ゴールドカジノ</v>
      </c>
      <c r="F282" s="5" t="str">
        <f ca="1">VLOOKUP($D282,OFFSET([2]stages!$A$1,0,0,COUNTA([2]stages!$A:$A),MATCH(F$1,[2]stages!$2:$2,0)-MATCH($D$1,[2]stages!$2:$2,0)+1),MATCH(F$1,[2]stages!$2:$2,0)-MATCH($D$1,[2]stages!$2:$2,0)+1,FALSE)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2" s="32">
        <v>1</v>
      </c>
      <c r="H282" s="16" t="str">
        <f t="shared" si="153"/>
        <v>11006_3-1</v>
      </c>
      <c r="I282" s="5">
        <f ca="1">VLOOKUP($H282,OFFSET(floors!$A$1,0,0,COUNTA(floors!$A:$A),MATCH(I$1,floors!$1:$1,0)-MATCH($H$1,floors!$1:$1,0)+1),MATCH(I$1,floors!$1:$1,0)-MATCH($H$1,floors!$1:$1,0)+1,FALSE)</f>
        <v>30</v>
      </c>
      <c r="J282" s="5">
        <f ca="1">VLOOKUP($H282,OFFSET(floors!$A$1,0,0,COUNTA(floors!$A:$A),MATCH(J$1,floors!$1:$1,0)-MATCH($H$1,floors!$1:$1,0)+1),MATCH(J$1,floors!$1:$1,0)-MATCH($H$1,floors!$1:$1,0)+1,FALSE)</f>
        <v>55</v>
      </c>
      <c r="K282" s="24" t="s">
        <v>197</v>
      </c>
      <c r="L282" s="34">
        <v>57</v>
      </c>
      <c r="M282" s="20" t="str">
        <f ca="1">VLOOKUP($L282,OFFSET([3]enemies!$A$1,0,0,COUNTA([3]enemies!$A:$A),MATCH(M$1,[3]enemies!$1:$1,0)-MATCH($L$1,[3]enemies!$1:$1,0)+1),MATCH(M$1,[3]enemies!$1:$1,0)-MATCH($L$1,[3]enemies!$1:$1,0)+1,FALSE)</f>
        <v>チェン・リー</v>
      </c>
      <c r="N282" s="20" t="str">
        <f ca="1">VLOOKUP($L282,OFFSET([3]enemies!$A$1,0,0,COUNTA([3]enemies!$A:$A),MATCH(N$1,[3]enemies!$1:$1,0)-MATCH($L$1,[3]enemies!$1:$1,0)+1),MATCH(N$1,[3]enemies!$1:$1,0)-MATCH($L$1,[3]enemies!$1:$1,0)+1,FALSE)</f>
        <v>red</v>
      </c>
      <c r="O282" s="22" t="str">
        <f ca="1">VLOOKUP($L282,OFFSET([4]characters!$A$1,0,0,COUNTA([4]characters!$A:$A),MATCH(O$1,[4]characters!$1:$1,0)-MATCH($L$1,[4]characters!$1:$1,0)+1),MATCH(O$1,[4]characters!$1:$1,0)-MATCH($L$1,[4]characters!$1:$1,0)+1,FALSE)</f>
        <v>Drop1N</v>
      </c>
      <c r="P282" s="20" t="str">
        <f ca="1">VLOOKUP($L282,OFFSET([3]enemies!$A$1,0,0,COUNTA([3]enemies!$A:$A),MATCH(P$1,[3]enemies!$1:$1,0)-MATCH($L$1,[3]enemies!$1:$1,0)+1),MATCH(P$1,[3]enemies!$1:$1,0)-MATCH($L$1,[3]enemies!$1:$1,0)+1,FALSE)</f>
        <v>animal</v>
      </c>
      <c r="Q282" s="20">
        <f ca="1">VLOOKUP($L282,OFFSET([3]enemies!$A$1,0,0,COUNTA([3]enemies!$A:$A),MATCH(Q$1,[3]enemies!$1:$1,0)-MATCH($L$1,[3]enemies!$1:$1,0)+1),MATCH(Q$1,[3]enemies!$1:$1,0)-MATCH($L$1,[3]enemies!$1:$1,0)+1,FALSE)</f>
        <v>15</v>
      </c>
      <c r="R282" s="6">
        <v>32</v>
      </c>
      <c r="S282" s="39">
        <v>1</v>
      </c>
      <c r="T282" s="39">
        <v>1</v>
      </c>
      <c r="U282" s="6">
        <v>0</v>
      </c>
      <c r="V282" s="5" t="str">
        <f ca="1">VLOOKUP($W282,OFFSET([5]enemy_skill_sets!$B$1,0,0,COUNTA([5]enemy_skill_sets!$B:$B),MATCH(M$1,[5]enemy_skill_sets!$1:$1,0)-MATCH($W$1,[5]enemy_skill_sets!$1:$1,0)+2),MATCH(M$1,[5]enemy_skill_sets!$1:$1,0)-MATCH($W$1,[5]enemy_skill_sets!$1:$1,0)+2,FALSE)</f>
        <v>3ターン攻撃力小UP</v>
      </c>
      <c r="W282" s="5">
        <f ca="1">VLOOKUP($L282,OFFSET([3]enemies!$A$1,0,0,COUNTA([3]enemies!$A:$A),MATCH(W$1,[3]enemies!$1:$1,0)-MATCH($L$1,[3]enemies!$1:$1,0)+1),MATCH(W$1,[3]enemies!$1:$1,0)-MATCH($L$1,[3]enemies!$1:$1,0)+1,FALSE)</f>
        <v>57</v>
      </c>
      <c r="X282" s="33">
        <v>0</v>
      </c>
      <c r="Y282" s="7">
        <v>20</v>
      </c>
      <c r="Z282" s="33">
        <v>0</v>
      </c>
      <c r="AA282" s="20">
        <f ca="1">VLOOKUP($L282,OFFSET([3]enemies!$A$1,0,0,COUNTA([3]enemies!$A:$A),MATCH(AA$1,[3]enemies!$1:$1,0)-MATCH($L$1,[3]enemies!$1:$1,0)+1),MATCH(AA$1,[3]enemies!$1:$1,0)-MATCH($L$1,[3]enemies!$1:$1,0)+1,FALSE)</f>
        <v>2</v>
      </c>
      <c r="AB282" s="2">
        <f t="shared" si="129"/>
        <v>57</v>
      </c>
      <c r="AC282" s="5" t="str">
        <f ca="1">IFERROR(VLOOKUP($AB282,OFFSET([4]characters!$A$1,0,0,COUNTA([4]characters!$A:$A),MATCH(AC$1,[4]characters!$1:$1,0)-MATCH("character_id",[4]characters!$1:$1,0)+1),MATCH(AC$1,[4]characters!$1:$1,0)-MATCH("character_id",[4]characters!$1:$1,0)+1,FALSE),"")</f>
        <v>チェン・リー</v>
      </c>
      <c r="AD282" s="5">
        <f ca="1">IFERROR(VLOOKUP($AB282,OFFSET([4]characters!$A$1,0,0,COUNTA([4]characters!$A:$A),MATCH(AD$1,[4]characters!$1:$1,0)-MATCH("character_id",[4]characters!$1:$1,0)+1),MATCH(AD$1,[4]characters!$1:$1,0)-MATCH("character_id",[4]characters!$1:$1,0)+1,FALSE),"")</f>
        <v>2</v>
      </c>
      <c r="AE282" s="5" t="str">
        <f ca="1">IFERROR(VLOOKUP($AB282,OFFSET([4]characters!$A$1,0,0,COUNTA([4]characters!$A:$A),MATCH(AE$1,[4]characters!$1:$1,0)-MATCH("character_id",[4]characters!$1:$1,0)+1),MATCH(AE$1,[4]characters!$1:$1,0)-MATCH("character_id",[4]characters!$1:$1,0)+1,FALSE),"")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82" s="28">
        <v>1</v>
      </c>
      <c r="AG282" s="27">
        <f t="shared" ca="1" si="173"/>
        <v>2</v>
      </c>
      <c r="AH282" s="9">
        <v>0</v>
      </c>
      <c r="AI282" s="28">
        <v>0</v>
      </c>
      <c r="AJ282" s="28">
        <v>0</v>
      </c>
      <c r="AK282" s="28">
        <v>0</v>
      </c>
      <c r="AL282" s="28">
        <v>0</v>
      </c>
      <c r="AM282" s="28">
        <v>1</v>
      </c>
      <c r="AN282" s="28">
        <v>1</v>
      </c>
    </row>
    <row r="283" spans="1:40" ht="21" customHeight="1" x14ac:dyDescent="0.15">
      <c r="A283" s="17" t="str">
        <f t="shared" ca="1" si="133"/>
        <v>11006_3-1/59&lt;lv32&gt;s2</v>
      </c>
      <c r="B283" s="8">
        <v>11006</v>
      </c>
      <c r="C283" s="25">
        <v>3</v>
      </c>
      <c r="D283" s="16" t="str">
        <f t="shared" si="134"/>
        <v>11006_3</v>
      </c>
      <c r="E283" s="5" t="str">
        <f ca="1">VLOOKUP($B283,OFFSET([2]quests!$A$1,0,0,COUNTA([2]quests!$A:$A),MATCH(E$1,[2]quests!$1:$1,0)-MATCH($B$1,[2]quests!$1:$1,0)+1),MATCH(E$1,[2]quests!$1:$1,0)-MATCH($B$1,[2]quests!$1:$1,0)+1,FALSE)</f>
        <v>【土日限定】 ゴールドカジノ</v>
      </c>
      <c r="F283" s="5" t="str">
        <f ca="1">VLOOKUP($D283,OFFSET([2]stages!$A$1,0,0,COUNTA([2]stages!$A:$A),MATCH(F$1,[2]stages!$2:$2,0)-MATCH($D$1,[2]stages!$2:$2,0)+1),MATCH(F$1,[2]stages!$2:$2,0)-MATCH($D$1,[2]stages!$2:$2,0)+1,FALSE)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3" s="32">
        <v>1</v>
      </c>
      <c r="H283" s="16" t="str">
        <f t="shared" si="153"/>
        <v>11006_3-1</v>
      </c>
      <c r="I283" s="5">
        <f ca="1">VLOOKUP($H283,OFFSET(floors!$A$1,0,0,COUNTA(floors!$A:$A),MATCH(I$1,floors!$1:$1,0)-MATCH($H$1,floors!$1:$1,0)+1),MATCH(I$1,floors!$1:$1,0)-MATCH($H$1,floors!$1:$1,0)+1,FALSE)</f>
        <v>30</v>
      </c>
      <c r="J283" s="5">
        <f ca="1">VLOOKUP($H283,OFFSET(floors!$A$1,0,0,COUNTA(floors!$A:$A),MATCH(J$1,floors!$1:$1,0)-MATCH($H$1,floors!$1:$1,0)+1),MATCH(J$1,floors!$1:$1,0)-MATCH($H$1,floors!$1:$1,0)+1,FALSE)</f>
        <v>55</v>
      </c>
      <c r="K283" s="24" t="s">
        <v>197</v>
      </c>
      <c r="L283" s="34">
        <v>59</v>
      </c>
      <c r="M283" s="20" t="str">
        <f ca="1">VLOOKUP($L283,OFFSET([3]enemies!$A$1,0,0,COUNTA([3]enemies!$A:$A),MATCH(M$1,[3]enemies!$1:$1,0)-MATCH($L$1,[3]enemies!$1:$1,0)+1),MATCH(M$1,[3]enemies!$1:$1,0)-MATCH($L$1,[3]enemies!$1:$1,0)+1,FALSE)</f>
        <v>マーチ</v>
      </c>
      <c r="N283" s="20" t="str">
        <f ca="1">VLOOKUP($L283,OFFSET([3]enemies!$A$1,0,0,COUNTA([3]enemies!$A:$A),MATCH(N$1,[3]enemies!$1:$1,0)-MATCH($L$1,[3]enemies!$1:$1,0)+1),MATCH(N$1,[3]enemies!$1:$1,0)-MATCH($L$1,[3]enemies!$1:$1,0)+1,FALSE)</f>
        <v>green</v>
      </c>
      <c r="O283" s="22" t="str">
        <f ca="1">VLOOKUP($L283,OFFSET([4]characters!$A$1,0,0,COUNTA([4]characters!$A:$A),MATCH(O$1,[4]characters!$1:$1,0)-MATCH($L$1,[4]characters!$1:$1,0)+1),MATCH(O$1,[4]characters!$1:$1,0)-MATCH($L$1,[4]characters!$1:$1,0)+1,FALSE)</f>
        <v>Drop1N</v>
      </c>
      <c r="P283" s="20" t="str">
        <f ca="1">VLOOKUP($L283,OFFSET([3]enemies!$A$1,0,0,COUNTA([3]enemies!$A:$A),MATCH(P$1,[3]enemies!$1:$1,0)-MATCH($L$1,[3]enemies!$1:$1,0)+1),MATCH(P$1,[3]enemies!$1:$1,0)-MATCH($L$1,[3]enemies!$1:$1,0)+1,FALSE)</f>
        <v>animal</v>
      </c>
      <c r="Q283" s="20">
        <f ca="1">VLOOKUP($L283,OFFSET([3]enemies!$A$1,0,0,COUNTA([3]enemies!$A:$A),MATCH(Q$1,[3]enemies!$1:$1,0)-MATCH($L$1,[3]enemies!$1:$1,0)+1),MATCH(Q$1,[3]enemies!$1:$1,0)-MATCH($L$1,[3]enemies!$1:$1,0)+1,FALSE)</f>
        <v>15</v>
      </c>
      <c r="R283" s="6">
        <v>32</v>
      </c>
      <c r="S283" s="39">
        <v>1</v>
      </c>
      <c r="T283" s="39">
        <v>1</v>
      </c>
      <c r="U283" s="6">
        <v>0</v>
      </c>
      <c r="V283" s="5" t="str">
        <f ca="1">VLOOKUP($W283,OFFSET([5]enemy_skill_sets!$B$1,0,0,COUNTA([5]enemy_skill_sets!$B:$B),MATCH(M$1,[5]enemy_skill_sets!$1:$1,0)-MATCH($W$1,[5]enemy_skill_sets!$1:$1,0)+2),MATCH(M$1,[5]enemy_skill_sets!$1:$1,0)-MATCH($W$1,[5]enemy_skill_sets!$1:$1,0)+2,FALSE)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83" s="5">
        <f ca="1">VLOOKUP($L283,OFFSET([3]enemies!$A$1,0,0,COUNTA([3]enemies!$A:$A),MATCH(W$1,[3]enemies!$1:$1,0)-MATCH($L$1,[3]enemies!$1:$1,0)+1),MATCH(W$1,[3]enemies!$1:$1,0)-MATCH($L$1,[3]enemies!$1:$1,0)+1,FALSE)</f>
        <v>59</v>
      </c>
      <c r="X283" s="33">
        <v>0</v>
      </c>
      <c r="Y283" s="7">
        <v>20</v>
      </c>
      <c r="Z283" s="33">
        <v>0</v>
      </c>
      <c r="AA283" s="20">
        <f ca="1">VLOOKUP($L283,OFFSET([3]enemies!$A$1,0,0,COUNTA([3]enemies!$A:$A),MATCH(AA$1,[3]enemies!$1:$1,0)-MATCH($L$1,[3]enemies!$1:$1,0)+1),MATCH(AA$1,[3]enemies!$1:$1,0)-MATCH($L$1,[3]enemies!$1:$1,0)+1,FALSE)</f>
        <v>2</v>
      </c>
      <c r="AB283" s="2">
        <f t="shared" si="129"/>
        <v>59</v>
      </c>
      <c r="AC283" s="5" t="str">
        <f ca="1">IFERROR(VLOOKUP($AB283,OFFSET([4]characters!$A$1,0,0,COUNTA([4]characters!$A:$A),MATCH(AC$1,[4]characters!$1:$1,0)-MATCH("character_id",[4]characters!$1:$1,0)+1),MATCH(AC$1,[4]characters!$1:$1,0)-MATCH("character_id",[4]characters!$1:$1,0)+1,FALSE),"")</f>
        <v>マーチ</v>
      </c>
      <c r="AD283" s="5">
        <f ca="1">IFERROR(VLOOKUP($AB283,OFFSET([4]characters!$A$1,0,0,COUNTA([4]characters!$A:$A),MATCH(AD$1,[4]characters!$1:$1,0)-MATCH("character_id",[4]characters!$1:$1,0)+1),MATCH(AD$1,[4]characters!$1:$1,0)-MATCH("character_id",[4]characters!$1:$1,0)+1,FALSE),"")</f>
        <v>2</v>
      </c>
      <c r="AE283" s="5" t="str">
        <f ca="1">IFERROR(VLOOKUP($AB283,OFFSET([4]characters!$A$1,0,0,COUNTA([4]characters!$A:$A),MATCH(AE$1,[4]characters!$1:$1,0)-MATCH("character_id",[4]characters!$1:$1,0)+1),MATCH(AE$1,[4]characters!$1:$1,0)-MATCH("character_id",[4]characters!$1:$1,0)+1,FALSE),"")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83" s="28">
        <v>1</v>
      </c>
      <c r="AG283" s="27">
        <f t="shared" ca="1" si="173"/>
        <v>2</v>
      </c>
      <c r="AH283" s="9">
        <v>0</v>
      </c>
      <c r="AI283" s="28">
        <v>0</v>
      </c>
      <c r="AJ283" s="28">
        <v>0</v>
      </c>
      <c r="AK283" s="28">
        <v>0</v>
      </c>
      <c r="AL283" s="28">
        <v>0</v>
      </c>
      <c r="AM283" s="28">
        <v>1</v>
      </c>
      <c r="AN283" s="28">
        <v>1</v>
      </c>
    </row>
    <row r="284" spans="1:40" ht="21" customHeight="1" x14ac:dyDescent="0.15">
      <c r="A284" s="17" t="str">
        <f t="shared" ref="A284:A285" ca="1" si="174">B284&amp;"_"&amp;C284&amp;"-"&amp;G284&amp;"/"&amp;L284&amp;"&lt;lv"&amp;R284&amp;"&gt;s"&amp;AA284</f>
        <v>11006_3-2/118&lt;lv3&gt;s2</v>
      </c>
      <c r="B284" s="8">
        <v>11006</v>
      </c>
      <c r="C284" s="25">
        <v>3</v>
      </c>
      <c r="D284" s="2" t="str">
        <f t="shared" ref="D284:D285" si="175">B284&amp;"_"&amp;C284</f>
        <v>11006_3</v>
      </c>
      <c r="E284" s="5" t="str">
        <f ca="1">VLOOKUP($B284,OFFSET([2]quests!$A$1,0,0,COUNTA([2]quests!$A:$A),MATCH(E$1,[2]quests!$1:$1,0)-MATCH($B$1,[2]quests!$1:$1,0)+1),MATCH(E$1,[2]quests!$1:$1,0)-MATCH($B$1,[2]quests!$1:$1,0)+1,FALSE)</f>
        <v>【土日限定】 ゴールドカジノ</v>
      </c>
      <c r="F284" s="5" t="str">
        <f ca="1">VLOOKUP($D284,OFFSET([2]stages!$A$1,0,0,COUNTA([2]stages!$A:$A),MATCH(F$1,[2]stages!$2:$2,0)-MATCH($D$1,[2]stages!$2:$2,0)+1),MATCH(F$1,[2]stages!$2:$2,0)-MATCH($D$1,[2]stages!$2:$2,0)+1,FALSE)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4" s="25">
        <v>2</v>
      </c>
      <c r="H284" s="16" t="str">
        <f t="shared" ref="H284:H285" si="176">B284&amp;"_"&amp;C284&amp;"-"&amp;G284</f>
        <v>11006_3-2</v>
      </c>
      <c r="I284" s="5">
        <f ca="1">VLOOKUP($H284,OFFSET(floors!$A$1,0,0,COUNTA(floors!$A:$A),MATCH(I$1,floors!$1:$1,0)-MATCH($H$1,floors!$1:$1,0)+1),MATCH(I$1,floors!$1:$1,0)-MATCH($H$1,floors!$1:$1,0)+1,FALSE)</f>
        <v>35</v>
      </c>
      <c r="J284" s="5">
        <f ca="1">VLOOKUP($H284,OFFSET(floors!$A$1,0,0,COUNTA(floors!$A:$A),MATCH(J$1,floors!$1:$1,0)-MATCH($H$1,floors!$1:$1,0)+1),MATCH(J$1,floors!$1:$1,0)-MATCH($H$1,floors!$1:$1,0)+1,FALSE)</f>
        <v>50</v>
      </c>
      <c r="K284" s="24" t="s">
        <v>197</v>
      </c>
      <c r="L284" s="24">
        <v>118</v>
      </c>
      <c r="M284" s="20" t="str">
        <f ca="1">VLOOKUP($L284,OFFSET([3]enemies!$A$1,0,0,COUNTA([3]enemies!$A:$A),MATCH(M$1,[3]enemies!$1:$1,0)-MATCH($L$1,[3]enemies!$1:$1,0)+1),MATCH(M$1,[3]enemies!$1:$1,0)-MATCH($L$1,[3]enemies!$1:$1,0)+1,FALSE)</f>
        <v>ゴールドチック</v>
      </c>
      <c r="N284" s="20" t="str">
        <f ca="1">VLOOKUP($L284,OFFSET([3]enemies!$A$1,0,0,COUNTA([3]enemies!$A:$A),MATCH(N$1,[3]enemies!$1:$1,0)-MATCH($L$1,[3]enemies!$1:$1,0)+1),MATCH(N$1,[3]enemies!$1:$1,0)-MATCH($L$1,[3]enemies!$1:$1,0)+1,FALSE)</f>
        <v>yellow</v>
      </c>
      <c r="O284" s="22" t="str">
        <f ca="1">VLOOKUP($L284,OFFSET([4]characters!$A$1,0,0,COUNTA([4]characters!$A:$A),MATCH(O$1,[4]characters!$1:$1,0)-MATCH($L$1,[4]characters!$1:$1,0)+1),MATCH(O$1,[4]characters!$1:$1,0)-MATCH($L$1,[4]characters!$1:$1,0)+1,FALSE)</f>
        <v>Material</v>
      </c>
      <c r="P284" s="20" t="str">
        <f ca="1">VLOOKUP($L284,OFFSET([3]enemies!$A$1,0,0,COUNTA([3]enemies!$A:$A),MATCH(P$1,[3]enemies!$1:$1,0)-MATCH($L$1,[3]enemies!$1:$1,0)+1),MATCH(P$1,[3]enemies!$1:$1,0)-MATCH($L$1,[3]enemies!$1:$1,0)+1,FALSE)</f>
        <v>unknown</v>
      </c>
      <c r="Q284" s="20">
        <f ca="1">VLOOKUP($L284,OFFSET([3]enemies!$A$1,0,0,COUNTA([3]enemies!$A:$A),MATCH(Q$1,[3]enemies!$1:$1,0)-MATCH($L$1,[3]enemies!$1:$1,0)+1),MATCH(Q$1,[3]enemies!$1:$1,0)-MATCH($L$1,[3]enemies!$1:$1,0)+1,FALSE)</f>
        <v>15</v>
      </c>
      <c r="R284" s="6">
        <v>3</v>
      </c>
      <c r="S284" s="39">
        <v>28.8</v>
      </c>
      <c r="T284" s="39">
        <v>38.5</v>
      </c>
      <c r="U284" s="6">
        <v>0</v>
      </c>
      <c r="V284" s="5" t="str">
        <f ca="1">VLOOKUP($W284,OFFSET([5]enemy_skill_sets!$B$1,0,0,COUNTA([5]enemy_skill_sets!$B:$B),MATCH(M$1,[5]enemy_skill_sets!$1:$1,0)-MATCH($W$1,[5]enemy_skill_sets!$1:$1,0)+2),MATCH(M$1,[5]enemy_skill_sets!$1:$1,0)-MATCH($W$1,[5]enemy_skill_sets!$1:$1,0)+2,FALSE)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4" s="5">
        <f ca="1">VLOOKUP($L284,OFFSET([3]enemies!$A$1,0,0,COUNTA([3]enemies!$A:$A),MATCH(W$1,[3]enemies!$1:$1,0)-MATCH($L$1,[3]enemies!$1:$1,0)+1),MATCH(W$1,[3]enemies!$1:$1,0)-MATCH($L$1,[3]enemies!$1:$1,0)+1,FALSE)</f>
        <v>0</v>
      </c>
      <c r="X284" s="7">
        <v>0</v>
      </c>
      <c r="Y284" s="7">
        <v>50</v>
      </c>
      <c r="Z284" s="7">
        <v>1</v>
      </c>
      <c r="AA284" s="20">
        <f ca="1">VLOOKUP($L284,OFFSET([3]enemies!$A$1,0,0,COUNTA([3]enemies!$A:$A),MATCH(AA$1,[3]enemies!$1:$1,0)-MATCH($L$1,[3]enemies!$1:$1,0)+1),MATCH(AA$1,[3]enemies!$1:$1,0)-MATCH($L$1,[3]enemies!$1:$1,0)+1,FALSE)</f>
        <v>2</v>
      </c>
      <c r="AB284" s="2">
        <f t="shared" ref="AB284:AB285" si="177">L284</f>
        <v>118</v>
      </c>
      <c r="AC284" s="5" t="str">
        <f ca="1">IFERROR(VLOOKUP($AB284,OFFSET([4]characters!$A$1,0,0,COUNTA([4]characters!$A:$A),MATCH(AC$1,[4]characters!$1:$1,0)-MATCH("character_id",[4]characters!$1:$1,0)+1),MATCH(AC$1,[4]characters!$1:$1,0)-MATCH("character_id",[4]characters!$1:$1,0)+1,FALSE),"")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84" s="5">
        <f ca="1">IFERROR(VLOOKUP($AB284,OFFSET([4]characters!$A$1,0,0,COUNTA([4]characters!$A:$A),MATCH(AD$1,[4]characters!$1:$1,0)-MATCH("character_id",[4]characters!$1:$1,0)+1),MATCH(AD$1,[4]characters!$1:$1,0)-MATCH("character_id",[4]characters!$1:$1,0)+1,FALSE),"")</f>
        <v>4</v>
      </c>
      <c r="AE284" s="5" t="str">
        <f ca="1">IFERROR(VLOOKUP($AB284,OFFSET([4]characters!$A$1,0,0,COUNTA([4]characters!$A:$A),MATCH(AE$1,[4]characters!$1:$1,0)-MATCH("character_id",[4]characters!$1:$1,0)+1),MATCH(AE$1,[4]characters!$1:$1,0)-MATCH("character_id",[4]characters!$1:$1,0)+1,FALSE),"")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4" s="8">
        <v>1</v>
      </c>
      <c r="AG284" s="27">
        <f t="shared" ref="AG284:AG285" ca="1" si="178">AD284</f>
        <v>4</v>
      </c>
      <c r="AH284" s="9">
        <v>100</v>
      </c>
      <c r="AI284" s="8">
        <v>0</v>
      </c>
      <c r="AJ284" s="8">
        <v>0</v>
      </c>
      <c r="AK284" s="8">
        <v>0</v>
      </c>
      <c r="AL284" s="8">
        <v>0</v>
      </c>
      <c r="AM284" s="8">
        <v>1</v>
      </c>
      <c r="AN284" s="8">
        <v>1</v>
      </c>
    </row>
    <row r="285" spans="1:40" ht="21" customHeight="1" x14ac:dyDescent="0.15">
      <c r="A285" s="17" t="str">
        <f t="shared" si="174"/>
        <v>11006_3-2/121&lt;lv32&gt;s3</v>
      </c>
      <c r="B285" s="8">
        <v>11006</v>
      </c>
      <c r="C285" s="25">
        <v>3</v>
      </c>
      <c r="D285" s="2" t="str">
        <f t="shared" si="175"/>
        <v>11006_3</v>
      </c>
      <c r="E285" s="5" t="str">
        <f ca="1">VLOOKUP($B285,OFFSET([2]quests!$A$1,0,0,COUNTA([2]quests!$A:$A),MATCH(E$1,[2]quests!$1:$1,0)-MATCH($B$1,[2]quests!$1:$1,0)+1),MATCH(E$1,[2]quests!$1:$1,0)-MATCH($B$1,[2]quests!$1:$1,0)+1,FALSE)</f>
        <v>【土日限定】 ゴールドカジノ</v>
      </c>
      <c r="F285" s="5" t="str">
        <f ca="1">VLOOKUP($D285,OFFSET([2]stages!$A$1,0,0,COUNTA([2]stages!$A:$A),MATCH(F$1,[2]stages!$2:$2,0)-MATCH($D$1,[2]stages!$2:$2,0)+1),MATCH(F$1,[2]stages!$2:$2,0)-MATCH($D$1,[2]stages!$2:$2,0)+1,FALSE)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5" s="25">
        <v>2</v>
      </c>
      <c r="H285" s="16" t="str">
        <f t="shared" si="176"/>
        <v>11006_3-2</v>
      </c>
      <c r="I285" s="5">
        <f ca="1">VLOOKUP($H285,OFFSET(floors!$A$1,0,0,COUNTA(floors!$A:$A),MATCH(I$1,floors!$1:$1,0)-MATCH($H$1,floors!$1:$1,0)+1),MATCH(I$1,floors!$1:$1,0)-MATCH($H$1,floors!$1:$1,0)+1,FALSE)</f>
        <v>35</v>
      </c>
      <c r="J285" s="5">
        <f ca="1">VLOOKUP($H285,OFFSET(floors!$A$1,0,0,COUNTA(floors!$A:$A),MATCH(J$1,floors!$1:$1,0)-MATCH($H$1,floors!$1:$1,0)+1),MATCH(J$1,floors!$1:$1,0)-MATCH($H$1,floors!$1:$1,0)+1,FALSE)</f>
        <v>50</v>
      </c>
      <c r="K285" s="24" t="s">
        <v>197</v>
      </c>
      <c r="L285" s="24">
        <v>121</v>
      </c>
      <c r="M285" s="20" t="str">
        <f ca="1">VLOOKUP($L285,OFFSET([3]enemies!$A$1,0,0,COUNTA([3]enemies!$A:$A),MATCH(M$1,[3]enemies!$1:$1,0)-MATCH($L$1,[3]enemies!$1:$1,0)+1),MATCH(M$1,[3]enemies!$1:$1,0)-MATCH($L$1,[3]enemies!$1:$1,0)+1,FALSE)</f>
        <v>攻めの果実</v>
      </c>
      <c r="N285" s="20" t="str">
        <f ca="1">VLOOKUP($L285,OFFSET([3]enemies!$A$1,0,0,COUNTA([3]enemies!$A:$A),MATCH(N$1,[3]enemies!$1:$1,0)-MATCH($L$1,[3]enemies!$1:$1,0)+1),MATCH(N$1,[3]enemies!$1:$1,0)-MATCH($L$1,[3]enemies!$1:$1,0)+1,FALSE)</f>
        <v>red</v>
      </c>
      <c r="O285" s="22" t="str">
        <f ca="1">VLOOKUP($L285,OFFSET([4]characters!$A$1,0,0,COUNTA([4]characters!$A:$A),MATCH(O$1,[4]characters!$1:$1,0)-MATCH($L$1,[4]characters!$1:$1,0)+1),MATCH(O$1,[4]characters!$1:$1,0)-MATCH($L$1,[4]characters!$1:$1,0)+1,FALSE)</f>
        <v>Material</v>
      </c>
      <c r="P285" s="20" t="str">
        <f ca="1">VLOOKUP($L285,OFFSET([3]enemies!$A$1,0,0,COUNTA([3]enemies!$A:$A),MATCH(P$1,[3]enemies!$1:$1,0)-MATCH($L$1,[3]enemies!$1:$1,0)+1),MATCH(P$1,[3]enemies!$1:$1,0)-MATCH($L$1,[3]enemies!$1:$1,0)+1,FALSE)</f>
        <v>unknown</v>
      </c>
      <c r="Q285" s="20">
        <f ca="1">VLOOKUP($L285,OFFSET([3]enemies!$A$1,0,0,COUNTA([3]enemies!$A:$A),MATCH(Q$1,[3]enemies!$1:$1,0)-MATCH($L$1,[3]enemies!$1:$1,0)+1),MATCH(Q$1,[3]enemies!$1:$1,0)-MATCH($L$1,[3]enemies!$1:$1,0)+1,FALSE)</f>
        <v>20</v>
      </c>
      <c r="R285" s="6">
        <v>32</v>
      </c>
      <c r="S285" s="39">
        <v>0.4</v>
      </c>
      <c r="T285" s="39">
        <v>1</v>
      </c>
      <c r="U285" s="6">
        <v>0</v>
      </c>
      <c r="V285" s="5" t="str">
        <f ca="1">VLOOKUP($W285,OFFSET(enemy_skill_sets!$B$1,0,0,COUNTA(enemy_skill_sets!$B:$B),MATCH(M$1,enemy_skill_sets!$1:$1,0)-MATCH($W$1,enemy_skill_sets!$1:$1,0)+2),MATCH(M$1,enemy_skill_sets!$1:$1,0)-MATCH($W$1,enemy_skill_sets!$1:$1,0)+2,FALSE)</f>
        <v>この果実は ターン0で自爆する！_x000D_ターゲットして 早めに倒そう！</v>
      </c>
      <c r="W285" s="36">
        <v>11006010</v>
      </c>
      <c r="X285" s="7">
        <v>0</v>
      </c>
      <c r="Y285" s="7">
        <v>10</v>
      </c>
      <c r="Z285" s="7">
        <v>1</v>
      </c>
      <c r="AA285" s="37">
        <v>3</v>
      </c>
      <c r="AB285" s="2">
        <f t="shared" si="177"/>
        <v>121</v>
      </c>
      <c r="AC285" s="5" t="str">
        <f ca="1">IFERROR(VLOOKUP($AB285,OFFSET([4]characters!$A$1,0,0,COUNTA([4]characters!$A:$A),MATCH(AC$1,[4]characters!$1:$1,0)-MATCH("character_id",[4]characters!$1:$1,0)+1),MATCH(AC$1,[4]characters!$1:$1,0)-MATCH("character_id",[4]characters!$1:$1,0)+1,FALSE),"")</f>
        <v>攻めの果実</v>
      </c>
      <c r="AD285" s="5">
        <f ca="1">IFERROR(VLOOKUP($AB285,OFFSET([4]characters!$A$1,0,0,COUNTA([4]characters!$A:$A),MATCH(AD$1,[4]characters!$1:$1,0)-MATCH("character_id",[4]characters!$1:$1,0)+1),MATCH(AD$1,[4]characters!$1:$1,0)-MATCH("character_id",[4]characters!$1:$1,0)+1,FALSE),"")</f>
        <v>3</v>
      </c>
      <c r="AE285" s="5" t="str">
        <f ca="1">IFERROR(VLOOKUP($AB285,OFFSET([4]characters!$A$1,0,0,COUNTA([4]characters!$A:$A),MATCH(AE$1,[4]characters!$1:$1,0)-MATCH("character_id",[4]characters!$1:$1,0)+1),MATCH(AE$1,[4]characters!$1:$1,0)-MATCH("character_id",[4]characters!$1:$1,0)+1,FALSE),"")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5" s="8">
        <v>1</v>
      </c>
      <c r="AG285" s="27">
        <f t="shared" ca="1" si="178"/>
        <v>3</v>
      </c>
      <c r="AH285" s="9">
        <v>100</v>
      </c>
      <c r="AI285" s="8">
        <v>0</v>
      </c>
      <c r="AJ285" s="8">
        <v>0</v>
      </c>
      <c r="AK285" s="8">
        <v>0</v>
      </c>
      <c r="AL285" s="8">
        <v>0</v>
      </c>
      <c r="AM285" s="8">
        <v>1</v>
      </c>
      <c r="AN285" s="8">
        <v>1</v>
      </c>
    </row>
    <row r="286" spans="1:40" ht="21" customHeight="1" x14ac:dyDescent="0.15">
      <c r="A286" s="17" t="str">
        <f t="shared" ref="A286:A287" si="179">B286&amp;"_"&amp;C286&amp;"-"&amp;G286&amp;"/"&amp;L286&amp;"&lt;lv"&amp;R286&amp;"&gt;s"&amp;AA286</f>
        <v>11006_3-2/122&lt;lv32&gt;s3</v>
      </c>
      <c r="B286" s="8">
        <v>11006</v>
      </c>
      <c r="C286" s="25">
        <v>3</v>
      </c>
      <c r="D286" s="2" t="str">
        <f t="shared" ref="D286:D287" si="180">B286&amp;"_"&amp;C286</f>
        <v>11006_3</v>
      </c>
      <c r="E286" s="5" t="str">
        <f ca="1">VLOOKUP($B286,OFFSET([2]quests!$A$1,0,0,COUNTA([2]quests!$A:$A),MATCH(E$1,[2]quests!$1:$1,0)-MATCH($B$1,[2]quests!$1:$1,0)+1),MATCH(E$1,[2]quests!$1:$1,0)-MATCH($B$1,[2]quests!$1:$1,0)+1,FALSE)</f>
        <v>【土日限定】 ゴールドカジノ</v>
      </c>
      <c r="F286" s="5" t="str">
        <f ca="1">VLOOKUP($D286,OFFSET([2]stages!$A$1,0,0,COUNTA([2]stages!$A:$A),MATCH(F$1,[2]stages!$2:$2,0)-MATCH($D$1,[2]stages!$2:$2,0)+1),MATCH(F$1,[2]stages!$2:$2,0)-MATCH($D$1,[2]stages!$2:$2,0)+1,FALSE)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6" s="25">
        <v>2</v>
      </c>
      <c r="H286" s="16" t="str">
        <f t="shared" ref="H286:H287" si="181">B286&amp;"_"&amp;C286&amp;"-"&amp;G286</f>
        <v>11006_3-2</v>
      </c>
      <c r="I286" s="5">
        <f ca="1">VLOOKUP($H286,OFFSET(floors!$A$1,0,0,COUNTA(floors!$A:$A),MATCH(I$1,floors!$1:$1,0)-MATCH($H$1,floors!$1:$1,0)+1),MATCH(I$1,floors!$1:$1,0)-MATCH($H$1,floors!$1:$1,0)+1,FALSE)</f>
        <v>35</v>
      </c>
      <c r="J286" s="5">
        <f ca="1">VLOOKUP($H286,OFFSET(floors!$A$1,0,0,COUNTA(floors!$A:$A),MATCH(J$1,floors!$1:$1,0)-MATCH($H$1,floors!$1:$1,0)+1),MATCH(J$1,floors!$1:$1,0)-MATCH($H$1,floors!$1:$1,0)+1,FALSE)</f>
        <v>50</v>
      </c>
      <c r="K286" s="24" t="s">
        <v>197</v>
      </c>
      <c r="L286" s="24">
        <v>122</v>
      </c>
      <c r="M286" s="20" t="str">
        <f ca="1">VLOOKUP($L286,OFFSET([3]enemies!$A$1,0,0,COUNTA([3]enemies!$A:$A),MATCH(M$1,[3]enemies!$1:$1,0)-MATCH($L$1,[3]enemies!$1:$1,0)+1),MATCH(M$1,[3]enemies!$1:$1,0)-MATCH($L$1,[3]enemies!$1:$1,0)+1,FALSE)</f>
        <v>生命の果実</v>
      </c>
      <c r="N286" s="20" t="str">
        <f ca="1">VLOOKUP($L286,OFFSET([3]enemies!$A$1,0,0,COUNTA([3]enemies!$A:$A),MATCH(N$1,[3]enemies!$1:$1,0)-MATCH($L$1,[3]enemies!$1:$1,0)+1),MATCH(N$1,[3]enemies!$1:$1,0)-MATCH($L$1,[3]enemies!$1:$1,0)+1,FALSE)</f>
        <v>green</v>
      </c>
      <c r="O286" s="22" t="str">
        <f ca="1">VLOOKUP($L286,OFFSET([4]characters!$A$1,0,0,COUNTA([4]characters!$A:$A),MATCH(O$1,[4]characters!$1:$1,0)-MATCH($L$1,[4]characters!$1:$1,0)+1),MATCH(O$1,[4]characters!$1:$1,0)-MATCH($L$1,[4]characters!$1:$1,0)+1,FALSE)</f>
        <v>Material</v>
      </c>
      <c r="P286" s="20" t="str">
        <f ca="1">VLOOKUP($L286,OFFSET([3]enemies!$A$1,0,0,COUNTA([3]enemies!$A:$A),MATCH(P$1,[3]enemies!$1:$1,0)-MATCH($L$1,[3]enemies!$1:$1,0)+1),MATCH(P$1,[3]enemies!$1:$1,0)-MATCH($L$1,[3]enemies!$1:$1,0)+1,FALSE)</f>
        <v>unknown</v>
      </c>
      <c r="Q286" s="20">
        <f ca="1">VLOOKUP($L286,OFFSET([3]enemies!$A$1,0,0,COUNTA([3]enemies!$A:$A),MATCH(Q$1,[3]enemies!$1:$1,0)-MATCH($L$1,[3]enemies!$1:$1,0)+1),MATCH(Q$1,[3]enemies!$1:$1,0)-MATCH($L$1,[3]enemies!$1:$1,0)+1,FALSE)</f>
        <v>20</v>
      </c>
      <c r="R286" s="6">
        <v>32</v>
      </c>
      <c r="S286" s="39">
        <v>0.4</v>
      </c>
      <c r="T286" s="39">
        <v>1</v>
      </c>
      <c r="U286" s="6">
        <v>0</v>
      </c>
      <c r="V286" s="5" t="str">
        <f ca="1">VLOOKUP($W286,OFFSET(enemy_skill_sets!$B$1,0,0,COUNTA(enemy_skill_sets!$B:$B),MATCH(M$1,enemy_skill_sets!$1:$1,0)-MATCH($W$1,enemy_skill_sets!$1:$1,0)+2),MATCH(M$1,enemy_skill_sets!$1:$1,0)-MATCH($W$1,enemy_skill_sets!$1:$1,0)+2,FALSE)</f>
        <v>この果実は ターン0で自爆する！_x000D_ターゲットして 早めに倒そう！</v>
      </c>
      <c r="W286" s="36">
        <v>11006020</v>
      </c>
      <c r="X286" s="7">
        <v>0</v>
      </c>
      <c r="Y286" s="7">
        <v>20</v>
      </c>
      <c r="Z286" s="7">
        <v>1</v>
      </c>
      <c r="AA286" s="37">
        <v>3</v>
      </c>
      <c r="AB286" s="2">
        <f t="shared" ref="AB286:AB287" si="182">L286</f>
        <v>122</v>
      </c>
      <c r="AC286" s="5" t="str">
        <f ca="1">IFERROR(VLOOKUP($AB286,OFFSET([4]characters!$A$1,0,0,COUNTA([4]characters!$A:$A),MATCH(AC$1,[4]characters!$1:$1,0)-MATCH("character_id",[4]characters!$1:$1,0)+1),MATCH(AC$1,[4]characters!$1:$1,0)-MATCH("character_id",[4]characters!$1:$1,0)+1,FALSE),"")</f>
        <v>生命の果実</v>
      </c>
      <c r="AD286" s="5">
        <f ca="1">IFERROR(VLOOKUP($AB286,OFFSET([4]characters!$A$1,0,0,COUNTA([4]characters!$A:$A),MATCH(AD$1,[4]characters!$1:$1,0)-MATCH("character_id",[4]characters!$1:$1,0)+1),MATCH(AD$1,[4]characters!$1:$1,0)-MATCH("character_id",[4]characters!$1:$1,0)+1,FALSE),"")</f>
        <v>3</v>
      </c>
      <c r="AE286" s="5" t="str">
        <f ca="1">IFERROR(VLOOKUP($AB286,OFFSET([4]characters!$A$1,0,0,COUNTA([4]characters!$A:$A),MATCH(AE$1,[4]characters!$1:$1,0)-MATCH("character_id",[4]characters!$1:$1,0)+1),MATCH(AE$1,[4]characters!$1:$1,0)-MATCH("character_id",[4]characters!$1:$1,0)+1,FALSE),"")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6" s="8">
        <v>1</v>
      </c>
      <c r="AG286" s="27">
        <f t="shared" ref="AG286:AG287" ca="1" si="183">AD286</f>
        <v>3</v>
      </c>
      <c r="AH286" s="9">
        <v>100</v>
      </c>
      <c r="AI286" s="8">
        <v>0</v>
      </c>
      <c r="AJ286" s="8">
        <v>0</v>
      </c>
      <c r="AK286" s="8">
        <v>0</v>
      </c>
      <c r="AL286" s="8">
        <v>0</v>
      </c>
      <c r="AM286" s="8">
        <v>1</v>
      </c>
      <c r="AN286" s="8">
        <v>1</v>
      </c>
    </row>
    <row r="287" spans="1:40" ht="21" customHeight="1" x14ac:dyDescent="0.15">
      <c r="A287" s="17" t="str">
        <f t="shared" si="179"/>
        <v>11006_3-2/123&lt;lv32&gt;s3</v>
      </c>
      <c r="B287" s="8">
        <v>11006</v>
      </c>
      <c r="C287" s="25">
        <v>3</v>
      </c>
      <c r="D287" s="2" t="str">
        <f t="shared" si="180"/>
        <v>11006_3</v>
      </c>
      <c r="E287" s="5" t="str">
        <f ca="1">VLOOKUP($B287,OFFSET([2]quests!$A$1,0,0,COUNTA([2]quests!$A:$A),MATCH(E$1,[2]quests!$1:$1,0)-MATCH($B$1,[2]quests!$1:$1,0)+1),MATCH(E$1,[2]quests!$1:$1,0)-MATCH($B$1,[2]quests!$1:$1,0)+1,FALSE)</f>
        <v>【土日限定】 ゴールドカジノ</v>
      </c>
      <c r="F287" s="5" t="str">
        <f ca="1">VLOOKUP($D287,OFFSET([2]stages!$A$1,0,0,COUNTA([2]stages!$A:$A),MATCH(F$1,[2]stages!$2:$2,0)-MATCH($D$1,[2]stages!$2:$2,0)+1),MATCH(F$1,[2]stages!$2:$2,0)-MATCH($D$1,[2]stages!$2:$2,0)+1,FALSE)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7" s="25">
        <v>2</v>
      </c>
      <c r="H287" s="16" t="str">
        <f t="shared" si="181"/>
        <v>11006_3-2</v>
      </c>
      <c r="I287" s="5">
        <f ca="1">VLOOKUP($H287,OFFSET(floors!$A$1,0,0,COUNTA(floors!$A:$A),MATCH(I$1,floors!$1:$1,0)-MATCH($H$1,floors!$1:$1,0)+1),MATCH(I$1,floors!$1:$1,0)-MATCH($H$1,floors!$1:$1,0)+1,FALSE)</f>
        <v>35</v>
      </c>
      <c r="J287" s="5">
        <f ca="1">VLOOKUP($H287,OFFSET(floors!$A$1,0,0,COUNTA(floors!$A:$A),MATCH(J$1,floors!$1:$1,0)-MATCH($H$1,floors!$1:$1,0)+1),MATCH(J$1,floors!$1:$1,0)-MATCH($H$1,floors!$1:$1,0)+1,FALSE)</f>
        <v>50</v>
      </c>
      <c r="K287" s="24" t="s">
        <v>197</v>
      </c>
      <c r="L287" s="24">
        <v>123</v>
      </c>
      <c r="M287" s="20" t="str">
        <f ca="1">VLOOKUP($L287,OFFSET([3]enemies!$A$1,0,0,COUNTA([3]enemies!$A:$A),MATCH(M$1,[3]enemies!$1:$1,0)-MATCH($L$1,[3]enemies!$1:$1,0)+1),MATCH(M$1,[3]enemies!$1:$1,0)-MATCH($L$1,[3]enemies!$1:$1,0)+1,FALSE)</f>
        <v>癒しの果実</v>
      </c>
      <c r="N287" s="20" t="str">
        <f ca="1">VLOOKUP($L287,OFFSET([3]enemies!$A$1,0,0,COUNTA([3]enemies!$A:$A),MATCH(N$1,[3]enemies!$1:$1,0)-MATCH($L$1,[3]enemies!$1:$1,0)+1),MATCH(N$1,[3]enemies!$1:$1,0)-MATCH($L$1,[3]enemies!$1:$1,0)+1,FALSE)</f>
        <v>blue</v>
      </c>
      <c r="O287" s="22" t="str">
        <f ca="1">VLOOKUP($L287,OFFSET([4]characters!$A$1,0,0,COUNTA([4]characters!$A:$A),MATCH(O$1,[4]characters!$1:$1,0)-MATCH($L$1,[4]characters!$1:$1,0)+1),MATCH(O$1,[4]characters!$1:$1,0)-MATCH($L$1,[4]characters!$1:$1,0)+1,FALSE)</f>
        <v>Material</v>
      </c>
      <c r="P287" s="20" t="str">
        <f ca="1">VLOOKUP($L287,OFFSET([3]enemies!$A$1,0,0,COUNTA([3]enemies!$A:$A),MATCH(P$1,[3]enemies!$1:$1,0)-MATCH($L$1,[3]enemies!$1:$1,0)+1),MATCH(P$1,[3]enemies!$1:$1,0)-MATCH($L$1,[3]enemies!$1:$1,0)+1,FALSE)</f>
        <v>unknown</v>
      </c>
      <c r="Q287" s="20">
        <f ca="1">VLOOKUP($L287,OFFSET([3]enemies!$A$1,0,0,COUNTA([3]enemies!$A:$A),MATCH(Q$1,[3]enemies!$1:$1,0)-MATCH($L$1,[3]enemies!$1:$1,0)+1),MATCH(Q$1,[3]enemies!$1:$1,0)-MATCH($L$1,[3]enemies!$1:$1,0)+1,FALSE)</f>
        <v>20</v>
      </c>
      <c r="R287" s="6">
        <v>32</v>
      </c>
      <c r="S287" s="39">
        <v>0.4</v>
      </c>
      <c r="T287" s="39">
        <v>1</v>
      </c>
      <c r="U287" s="6">
        <v>0</v>
      </c>
      <c r="V287" s="5" t="str">
        <f ca="1">VLOOKUP($W287,OFFSET(enemy_skill_sets!$B$1,0,0,COUNTA(enemy_skill_sets!$B:$B),MATCH(M$1,enemy_skill_sets!$1:$1,0)-MATCH($W$1,enemy_skill_sets!$1:$1,0)+2),MATCH(M$1,enemy_skill_sets!$1:$1,0)-MATCH($W$1,enemy_skill_sets!$1:$1,0)+2,FALSE)</f>
        <v>この果実は ターン0で自爆する！_x000D_ターゲットして 早めに倒そう！</v>
      </c>
      <c r="W287" s="36">
        <v>11006030</v>
      </c>
      <c r="X287" s="7">
        <v>0</v>
      </c>
      <c r="Y287" s="7">
        <v>20</v>
      </c>
      <c r="Z287" s="7">
        <v>1</v>
      </c>
      <c r="AA287" s="37">
        <v>3</v>
      </c>
      <c r="AB287" s="2">
        <f t="shared" si="182"/>
        <v>123</v>
      </c>
      <c r="AC287" s="5" t="str">
        <f ca="1">IFERROR(VLOOKUP($AB287,OFFSET([4]characters!$A$1,0,0,COUNTA([4]characters!$A:$A),MATCH(AC$1,[4]characters!$1:$1,0)-MATCH("character_id",[4]characters!$1:$1,0)+1),MATCH(AC$1,[4]characters!$1:$1,0)-MATCH("character_id",[4]characters!$1:$1,0)+1,FALSE),"")</f>
        <v>癒しの果実</v>
      </c>
      <c r="AD287" s="5">
        <f ca="1">IFERROR(VLOOKUP($AB287,OFFSET([4]characters!$A$1,0,0,COUNTA([4]characters!$A:$A),MATCH(AD$1,[4]characters!$1:$1,0)-MATCH("character_id",[4]characters!$1:$1,0)+1),MATCH(AD$1,[4]characters!$1:$1,0)-MATCH("character_id",[4]characters!$1:$1,0)+1,FALSE),"")</f>
        <v>3</v>
      </c>
      <c r="AE287" s="5" t="str">
        <f ca="1">IFERROR(VLOOKUP($AB287,OFFSET([4]characters!$A$1,0,0,COUNTA([4]characters!$A:$A),MATCH(AE$1,[4]characters!$1:$1,0)-MATCH("character_id",[4]characters!$1:$1,0)+1),MATCH(AE$1,[4]characters!$1:$1,0)-MATCH("character_id",[4]characters!$1:$1,0)+1,FALSE),"")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7" s="8">
        <v>1</v>
      </c>
      <c r="AG287" s="27">
        <f t="shared" ca="1" si="183"/>
        <v>3</v>
      </c>
      <c r="AH287" s="9">
        <v>100</v>
      </c>
      <c r="AI287" s="8">
        <v>0</v>
      </c>
      <c r="AJ287" s="8">
        <v>0</v>
      </c>
      <c r="AK287" s="8">
        <v>0</v>
      </c>
      <c r="AL287" s="8">
        <v>0</v>
      </c>
      <c r="AM287" s="8">
        <v>1</v>
      </c>
      <c r="AN287" s="8">
        <v>1</v>
      </c>
    </row>
    <row r="288" spans="1:40" ht="21" customHeight="1" x14ac:dyDescent="0.15">
      <c r="A288" s="17" t="str">
        <f t="shared" ca="1" si="133"/>
        <v>11006_3-2/118&lt;lv1&gt;s2</v>
      </c>
      <c r="B288" s="8">
        <v>11006</v>
      </c>
      <c r="C288" s="25">
        <v>3</v>
      </c>
      <c r="D288" s="2" t="str">
        <f t="shared" si="134"/>
        <v>11006_3</v>
      </c>
      <c r="E288" s="5" t="str">
        <f ca="1">VLOOKUP($B288,OFFSET([2]quests!$A$1,0,0,COUNTA([2]quests!$A:$A),MATCH(E$1,[2]quests!$1:$1,0)-MATCH($B$1,[2]quests!$1:$1,0)+1),MATCH(E$1,[2]quests!$1:$1,0)-MATCH($B$1,[2]quests!$1:$1,0)+1,FALSE)</f>
        <v>【土日限定】 ゴールドカジノ</v>
      </c>
      <c r="F288" s="5" t="str">
        <f ca="1">VLOOKUP($D288,OFFSET([2]stages!$A$1,0,0,COUNTA([2]stages!$A:$A),MATCH(F$1,[2]stages!$2:$2,0)-MATCH($D$1,[2]stages!$2:$2,0)+1),MATCH(F$1,[2]stages!$2:$2,0)-MATCH($D$1,[2]stages!$2:$2,0)+1,FALSE)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8" s="25">
        <v>2</v>
      </c>
      <c r="H288" s="16" t="str">
        <f t="shared" si="153"/>
        <v>11006_3-2</v>
      </c>
      <c r="I288" s="5">
        <f ca="1">VLOOKUP($H288,OFFSET(floors!$A$1,0,0,COUNTA(floors!$A:$A),MATCH(I$1,floors!$1:$1,0)-MATCH($H$1,floors!$1:$1,0)+1),MATCH(I$1,floors!$1:$1,0)-MATCH($H$1,floors!$1:$1,0)+1,FALSE)</f>
        <v>35</v>
      </c>
      <c r="J288" s="5">
        <f ca="1">VLOOKUP($H288,OFFSET(floors!$A$1,0,0,COUNTA(floors!$A:$A),MATCH(J$1,floors!$1:$1,0)-MATCH($H$1,floors!$1:$1,0)+1),MATCH(J$1,floors!$1:$1,0)-MATCH($H$1,floors!$1:$1,0)+1,FALSE)</f>
        <v>50</v>
      </c>
      <c r="K288" s="24" t="s">
        <v>197</v>
      </c>
      <c r="L288" s="24">
        <v>118</v>
      </c>
      <c r="M288" s="20" t="str">
        <f ca="1">VLOOKUP($L288,OFFSET([3]enemies!$A$1,0,0,COUNTA([3]enemies!$A:$A),MATCH(M$1,[3]enemies!$1:$1,0)-MATCH($L$1,[3]enemies!$1:$1,0)+1),MATCH(M$1,[3]enemies!$1:$1,0)-MATCH($L$1,[3]enemies!$1:$1,0)+1,FALSE)</f>
        <v>ゴールドチック</v>
      </c>
      <c r="N288" s="20" t="str">
        <f ca="1">VLOOKUP($L288,OFFSET([3]enemies!$A$1,0,0,COUNTA([3]enemies!$A:$A),MATCH(N$1,[3]enemies!$1:$1,0)-MATCH($L$1,[3]enemies!$1:$1,0)+1),MATCH(N$1,[3]enemies!$1:$1,0)-MATCH($L$1,[3]enemies!$1:$1,0)+1,FALSE)</f>
        <v>yellow</v>
      </c>
      <c r="O288" s="22" t="str">
        <f ca="1">VLOOKUP($L288,OFFSET([4]characters!$A$1,0,0,COUNTA([4]characters!$A:$A),MATCH(O$1,[4]characters!$1:$1,0)-MATCH($L$1,[4]characters!$1:$1,0)+1),MATCH(O$1,[4]characters!$1:$1,0)-MATCH($L$1,[4]characters!$1:$1,0)+1,FALSE)</f>
        <v>Material</v>
      </c>
      <c r="P288" s="20" t="str">
        <f ca="1">VLOOKUP($L288,OFFSET([3]enemies!$A$1,0,0,COUNTA([3]enemies!$A:$A),MATCH(P$1,[3]enemies!$1:$1,0)-MATCH($L$1,[3]enemies!$1:$1,0)+1),MATCH(P$1,[3]enemies!$1:$1,0)-MATCH($L$1,[3]enemies!$1:$1,0)+1,FALSE)</f>
        <v>unknown</v>
      </c>
      <c r="Q288" s="20">
        <f ca="1">VLOOKUP($L288,OFFSET([3]enemies!$A$1,0,0,COUNTA([3]enemies!$A:$A),MATCH(Q$1,[3]enemies!$1:$1,0)-MATCH($L$1,[3]enemies!$1:$1,0)+1),MATCH(Q$1,[3]enemies!$1:$1,0)-MATCH($L$1,[3]enemies!$1:$1,0)+1,FALSE)</f>
        <v>15</v>
      </c>
      <c r="R288" s="6">
        <v>1</v>
      </c>
      <c r="S288" s="39">
        <v>28.8</v>
      </c>
      <c r="T288" s="39">
        <v>38.5</v>
      </c>
      <c r="U288" s="6">
        <v>0</v>
      </c>
      <c r="V288" s="5" t="str">
        <f ca="1">VLOOKUP($W288,OFFSET([5]enemy_skill_sets!$B$1,0,0,COUNTA([5]enemy_skill_sets!$B:$B),MATCH(M$1,[5]enemy_skill_sets!$1:$1,0)-MATCH($W$1,[5]enemy_skill_sets!$1:$1,0)+2),MATCH(M$1,[5]enemy_skill_sets!$1:$1,0)-MATCH($W$1,[5]enemy_skill_sets!$1:$1,0)+2,FALSE)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8" s="5">
        <f ca="1">VLOOKUP($L288,OFFSET([3]enemies!$A$1,0,0,COUNTA([3]enemies!$A:$A),MATCH(W$1,[3]enemies!$1:$1,0)-MATCH($L$1,[3]enemies!$1:$1,0)+1),MATCH(W$1,[3]enemies!$1:$1,0)-MATCH($L$1,[3]enemies!$1:$1,0)+1,FALSE)</f>
        <v>0</v>
      </c>
      <c r="X288" s="7">
        <v>1</v>
      </c>
      <c r="Y288" s="7">
        <v>0</v>
      </c>
      <c r="Z288" s="7">
        <v>2</v>
      </c>
      <c r="AA288" s="20">
        <f ca="1">VLOOKUP($L288,OFFSET([3]enemies!$A$1,0,0,COUNTA([3]enemies!$A:$A),MATCH(AA$1,[3]enemies!$1:$1,0)-MATCH($L$1,[3]enemies!$1:$1,0)+1),MATCH(AA$1,[3]enemies!$1:$1,0)-MATCH($L$1,[3]enemies!$1:$1,0)+1,FALSE)</f>
        <v>2</v>
      </c>
      <c r="AB288" s="2">
        <f t="shared" si="129"/>
        <v>118</v>
      </c>
      <c r="AC288" s="5" t="str">
        <f ca="1">IFERROR(VLOOKUP($AB288,OFFSET([4]characters!$A$1,0,0,COUNTA([4]characters!$A:$A),MATCH(AC$1,[4]characters!$1:$1,0)-MATCH("character_id",[4]characters!$1:$1,0)+1),MATCH(AC$1,[4]characters!$1:$1,0)-MATCH("character_id",[4]characters!$1:$1,0)+1,FALSE),"")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88" s="5">
        <f ca="1">IFERROR(VLOOKUP($AB288,OFFSET([4]characters!$A$1,0,0,COUNTA([4]characters!$A:$A),MATCH(AD$1,[4]characters!$1:$1,0)-MATCH("character_id",[4]characters!$1:$1,0)+1),MATCH(AD$1,[4]characters!$1:$1,0)-MATCH("character_id",[4]characters!$1:$1,0)+1,FALSE),"")</f>
        <v>4</v>
      </c>
      <c r="AE288" s="5" t="str">
        <f ca="1">IFERROR(VLOOKUP($AB288,OFFSET([4]characters!$A$1,0,0,COUNTA([4]characters!$A:$A),MATCH(AE$1,[4]characters!$1:$1,0)-MATCH("character_id",[4]characters!$1:$1,0)+1),MATCH(AE$1,[4]characters!$1:$1,0)-MATCH("character_id",[4]characters!$1:$1,0)+1,FALSE),"")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8" s="8">
        <v>1</v>
      </c>
      <c r="AG288" s="27">
        <f t="shared" ca="1" si="135"/>
        <v>4</v>
      </c>
      <c r="AH288" s="9">
        <v>100</v>
      </c>
      <c r="AI288" s="8">
        <v>0</v>
      </c>
      <c r="AJ288" s="8">
        <v>0</v>
      </c>
      <c r="AK288" s="8">
        <v>0</v>
      </c>
      <c r="AL288" s="8">
        <v>0</v>
      </c>
      <c r="AM288" s="8">
        <v>1</v>
      </c>
      <c r="AN288" s="8">
        <v>1</v>
      </c>
    </row>
    <row r="289" spans="1:40" ht="21" customHeight="1" x14ac:dyDescent="0.15">
      <c r="A289" s="17" t="str">
        <f t="shared" ref="A289" ca="1" si="184">B289&amp;"_"&amp;C289&amp;"-"&amp;G289&amp;"/"&amp;L289&amp;"&lt;lv"&amp;R289&amp;"&gt;s"&amp;AA289</f>
        <v>11006_3-2/118&lt;lv2&gt;s2</v>
      </c>
      <c r="B289" s="8">
        <v>11006</v>
      </c>
      <c r="C289" s="25">
        <v>3</v>
      </c>
      <c r="D289" s="2" t="str">
        <f t="shared" ref="D289" si="185">B289&amp;"_"&amp;C289</f>
        <v>11006_3</v>
      </c>
      <c r="E289" s="5" t="str">
        <f ca="1">VLOOKUP($B289,OFFSET([2]quests!$A$1,0,0,COUNTA([2]quests!$A:$A),MATCH(E$1,[2]quests!$1:$1,0)-MATCH($B$1,[2]quests!$1:$1,0)+1),MATCH(E$1,[2]quests!$1:$1,0)-MATCH($B$1,[2]quests!$1:$1,0)+1,FALSE)</f>
        <v>【土日限定】 ゴールドカジノ</v>
      </c>
      <c r="F289" s="5" t="str">
        <f ca="1">VLOOKUP($D289,OFFSET([2]stages!$A$1,0,0,COUNTA([2]stages!$A:$A),MATCH(F$1,[2]stages!$2:$2,0)-MATCH($D$1,[2]stages!$2:$2,0)+1),MATCH(F$1,[2]stages!$2:$2,0)-MATCH($D$1,[2]stages!$2:$2,0)+1,FALSE)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89" s="25">
        <v>2</v>
      </c>
      <c r="H289" s="16" t="str">
        <f t="shared" ref="H289" si="186">B289&amp;"_"&amp;C289&amp;"-"&amp;G289</f>
        <v>11006_3-2</v>
      </c>
      <c r="I289" s="5">
        <f ca="1">VLOOKUP($H289,OFFSET(floors!$A$1,0,0,COUNTA(floors!$A:$A),MATCH(I$1,floors!$1:$1,0)-MATCH($H$1,floors!$1:$1,0)+1),MATCH(I$1,floors!$1:$1,0)-MATCH($H$1,floors!$1:$1,0)+1,FALSE)</f>
        <v>35</v>
      </c>
      <c r="J289" s="5">
        <f ca="1">VLOOKUP($H289,OFFSET(floors!$A$1,0,0,COUNTA(floors!$A:$A),MATCH(J$1,floors!$1:$1,0)-MATCH($H$1,floors!$1:$1,0)+1),MATCH(J$1,floors!$1:$1,0)-MATCH($H$1,floors!$1:$1,0)+1,FALSE)</f>
        <v>50</v>
      </c>
      <c r="K289" s="24" t="s">
        <v>197</v>
      </c>
      <c r="L289" s="24">
        <v>118</v>
      </c>
      <c r="M289" s="20" t="str">
        <f ca="1">VLOOKUP($L289,OFFSET([3]enemies!$A$1,0,0,COUNTA([3]enemies!$A:$A),MATCH(M$1,[3]enemies!$1:$1,0)-MATCH($L$1,[3]enemies!$1:$1,0)+1),MATCH(M$1,[3]enemies!$1:$1,0)-MATCH($L$1,[3]enemies!$1:$1,0)+1,FALSE)</f>
        <v>ゴールドチック</v>
      </c>
      <c r="N289" s="20" t="str">
        <f ca="1">VLOOKUP($L289,OFFSET([3]enemies!$A$1,0,0,COUNTA([3]enemies!$A:$A),MATCH(N$1,[3]enemies!$1:$1,0)-MATCH($L$1,[3]enemies!$1:$1,0)+1),MATCH(N$1,[3]enemies!$1:$1,0)-MATCH($L$1,[3]enemies!$1:$1,0)+1,FALSE)</f>
        <v>yellow</v>
      </c>
      <c r="O289" s="22" t="str">
        <f ca="1">VLOOKUP($L289,OFFSET([4]characters!$A$1,0,0,COUNTA([4]characters!$A:$A),MATCH(O$1,[4]characters!$1:$1,0)-MATCH($L$1,[4]characters!$1:$1,0)+1),MATCH(O$1,[4]characters!$1:$1,0)-MATCH($L$1,[4]characters!$1:$1,0)+1,FALSE)</f>
        <v>Material</v>
      </c>
      <c r="P289" s="20" t="str">
        <f ca="1">VLOOKUP($L289,OFFSET([3]enemies!$A$1,0,0,COUNTA([3]enemies!$A:$A),MATCH(P$1,[3]enemies!$1:$1,0)-MATCH($L$1,[3]enemies!$1:$1,0)+1),MATCH(P$1,[3]enemies!$1:$1,0)-MATCH($L$1,[3]enemies!$1:$1,0)+1,FALSE)</f>
        <v>unknown</v>
      </c>
      <c r="Q289" s="20">
        <f ca="1">VLOOKUP($L289,OFFSET([3]enemies!$A$1,0,0,COUNTA([3]enemies!$A:$A),MATCH(Q$1,[3]enemies!$1:$1,0)-MATCH($L$1,[3]enemies!$1:$1,0)+1),MATCH(Q$1,[3]enemies!$1:$1,0)-MATCH($L$1,[3]enemies!$1:$1,0)+1,FALSE)</f>
        <v>15</v>
      </c>
      <c r="R289" s="6">
        <v>2</v>
      </c>
      <c r="S289" s="39">
        <v>28.8</v>
      </c>
      <c r="T289" s="39">
        <v>38.5</v>
      </c>
      <c r="U289" s="6">
        <v>0</v>
      </c>
      <c r="V289" s="5" t="str">
        <f ca="1">VLOOKUP($W289,OFFSET([5]enemy_skill_sets!$B$1,0,0,COUNTA([5]enemy_skill_sets!$B:$B),MATCH(M$1,[5]enemy_skill_sets!$1:$1,0)-MATCH($W$1,[5]enemy_skill_sets!$1:$1,0)+2),MATCH(M$1,[5]enemy_skill_sets!$1:$1,0)-MATCH($W$1,[5]enemy_skill_sets!$1:$1,0)+2,FALSE)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9" s="5">
        <f ca="1">VLOOKUP($L289,OFFSET([3]enemies!$A$1,0,0,COUNTA([3]enemies!$A:$A),MATCH(W$1,[3]enemies!$1:$1,0)-MATCH($L$1,[3]enemies!$1:$1,0)+1),MATCH(W$1,[3]enemies!$1:$1,0)-MATCH($L$1,[3]enemies!$1:$1,0)+1,FALSE)</f>
        <v>0</v>
      </c>
      <c r="X289" s="7">
        <v>0</v>
      </c>
      <c r="Y289" s="7">
        <v>10</v>
      </c>
      <c r="Z289" s="7">
        <v>0</v>
      </c>
      <c r="AA289" s="20">
        <f ca="1">VLOOKUP($L289,OFFSET([3]enemies!$A$1,0,0,COUNTA([3]enemies!$A:$A),MATCH(AA$1,[3]enemies!$1:$1,0)-MATCH($L$1,[3]enemies!$1:$1,0)+1),MATCH(AA$1,[3]enemies!$1:$1,0)-MATCH($L$1,[3]enemies!$1:$1,0)+1,FALSE)</f>
        <v>2</v>
      </c>
      <c r="AB289" s="2">
        <f t="shared" ref="AB289" si="187">L289</f>
        <v>118</v>
      </c>
      <c r="AC289" s="5" t="str">
        <f ca="1">IFERROR(VLOOKUP($AB289,OFFSET([4]characters!$A$1,0,0,COUNTA([4]characters!$A:$A),MATCH(AC$1,[4]characters!$1:$1,0)-MATCH("character_id",[4]characters!$1:$1,0)+1),MATCH(AC$1,[4]characters!$1:$1,0)-MATCH("character_id",[4]characters!$1:$1,0)+1,FALSE),"")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89" s="5">
        <f ca="1">IFERROR(VLOOKUP($AB289,OFFSET([4]characters!$A$1,0,0,COUNTA([4]characters!$A:$A),MATCH(AD$1,[4]characters!$1:$1,0)-MATCH("character_id",[4]characters!$1:$1,0)+1),MATCH(AD$1,[4]characters!$1:$1,0)-MATCH("character_id",[4]characters!$1:$1,0)+1,FALSE),"")</f>
        <v>4</v>
      </c>
      <c r="AE289" s="5" t="str">
        <f ca="1">IFERROR(VLOOKUP($AB289,OFFSET([4]characters!$A$1,0,0,COUNTA([4]characters!$A:$A),MATCH(AE$1,[4]characters!$1:$1,0)-MATCH("character_id",[4]characters!$1:$1,0)+1),MATCH(AE$1,[4]characters!$1:$1,0)-MATCH("character_id",[4]characters!$1:$1,0)+1,FALSE),"")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9" s="8">
        <v>1</v>
      </c>
      <c r="AG289" s="27">
        <f t="shared" ref="AG289" ca="1" si="188">AD289</f>
        <v>4</v>
      </c>
      <c r="AH289" s="9">
        <v>0</v>
      </c>
      <c r="AI289" s="8">
        <v>0</v>
      </c>
      <c r="AJ289" s="8">
        <v>0</v>
      </c>
      <c r="AK289" s="8">
        <v>0</v>
      </c>
      <c r="AL289" s="8">
        <v>0</v>
      </c>
      <c r="AM289" s="8">
        <v>1</v>
      </c>
      <c r="AN289" s="8">
        <v>1</v>
      </c>
    </row>
    <row r="290" spans="1:40" ht="21" customHeight="1" x14ac:dyDescent="0.15">
      <c r="A290" s="17" t="str">
        <f t="shared" ref="A290:A293" ca="1" si="189">B290&amp;"_"&amp;C290&amp;"-"&amp;G290&amp;"/"&amp;L290&amp;"&lt;lv"&amp;R290&amp;"&gt;s"&amp;AA290</f>
        <v>11006_3-2/63&lt;lv32&gt;s2</v>
      </c>
      <c r="B290" s="8">
        <v>11006</v>
      </c>
      <c r="C290" s="25">
        <v>3</v>
      </c>
      <c r="D290" s="16" t="str">
        <f t="shared" ref="D290:D293" si="190">B290&amp;"_"&amp;C290</f>
        <v>11006_3</v>
      </c>
      <c r="E290" s="5" t="str">
        <f ca="1">VLOOKUP($B290,OFFSET([2]quests!$A$1,0,0,COUNTA([2]quests!$A:$A),MATCH(E$1,[2]quests!$1:$1,0)-MATCH($B$1,[2]quests!$1:$1,0)+1),MATCH(E$1,[2]quests!$1:$1,0)-MATCH($B$1,[2]quests!$1:$1,0)+1,FALSE)</f>
        <v>【土日限定】 ゴールドカジノ</v>
      </c>
      <c r="F290" s="5" t="str">
        <f ca="1">VLOOKUP($D290,OFFSET([2]stages!$A$1,0,0,COUNTA([2]stages!$A:$A),MATCH(F$1,[2]stages!$2:$2,0)-MATCH($D$1,[2]stages!$2:$2,0)+1),MATCH(F$1,[2]stages!$2:$2,0)-MATCH($D$1,[2]stages!$2:$2,0)+1,FALSE)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0" s="25">
        <v>2</v>
      </c>
      <c r="H290" s="16" t="str">
        <f t="shared" si="153"/>
        <v>11006_3-2</v>
      </c>
      <c r="I290" s="5">
        <f ca="1">VLOOKUP($H290,OFFSET(floors!$A$1,0,0,COUNTA(floors!$A:$A),MATCH(I$1,floors!$1:$1,0)-MATCH($H$1,floors!$1:$1,0)+1),MATCH(I$1,floors!$1:$1,0)-MATCH($H$1,floors!$1:$1,0)+1,FALSE)</f>
        <v>35</v>
      </c>
      <c r="J290" s="5">
        <f ca="1">VLOOKUP($H290,OFFSET(floors!$A$1,0,0,COUNTA(floors!$A:$A),MATCH(J$1,floors!$1:$1,0)-MATCH($H$1,floors!$1:$1,0)+1),MATCH(J$1,floors!$1:$1,0)-MATCH($H$1,floors!$1:$1,0)+1,FALSE)</f>
        <v>50</v>
      </c>
      <c r="K290" s="24" t="s">
        <v>197</v>
      </c>
      <c r="L290" s="34">
        <v>63</v>
      </c>
      <c r="M290" s="20" t="str">
        <f ca="1">VLOOKUP($L290,OFFSET([3]enemies!$A$1,0,0,COUNTA([3]enemies!$A:$A),MATCH(M$1,[3]enemies!$1:$1,0)-MATCH($L$1,[3]enemies!$1:$1,0)+1),MATCH(M$1,[3]enemies!$1:$1,0)-MATCH($L$1,[3]enemies!$1:$1,0)+1,FALSE)</f>
        <v>トニー</v>
      </c>
      <c r="N290" s="20" t="str">
        <f ca="1">VLOOKUP($L290,OFFSET([3]enemies!$A$1,0,0,COUNTA([3]enemies!$A:$A),MATCH(N$1,[3]enemies!$1:$1,0)-MATCH($L$1,[3]enemies!$1:$1,0)+1),MATCH(N$1,[3]enemies!$1:$1,0)-MATCH($L$1,[3]enemies!$1:$1,0)+1,FALSE)</f>
        <v>yellow</v>
      </c>
      <c r="O290" s="22" t="str">
        <f ca="1">VLOOKUP($L290,OFFSET([4]characters!$A$1,0,0,COUNTA([4]characters!$A:$A),MATCH(O$1,[4]characters!$1:$1,0)-MATCH($L$1,[4]characters!$1:$1,0)+1),MATCH(O$1,[4]characters!$1:$1,0)-MATCH($L$1,[4]characters!$1:$1,0)+1,FALSE)</f>
        <v>Drop1N</v>
      </c>
      <c r="P290" s="20" t="str">
        <f ca="1">VLOOKUP($L290,OFFSET([3]enemies!$A$1,0,0,COUNTA([3]enemies!$A:$A),MATCH(P$1,[3]enemies!$1:$1,0)-MATCH($L$1,[3]enemies!$1:$1,0)+1),MATCH(P$1,[3]enemies!$1:$1,0)-MATCH($L$1,[3]enemies!$1:$1,0)+1,FALSE)</f>
        <v>animal</v>
      </c>
      <c r="Q290" s="20">
        <f ca="1">VLOOKUP($L290,OFFSET([3]enemies!$A$1,0,0,COUNTA([3]enemies!$A:$A),MATCH(Q$1,[3]enemies!$1:$1,0)-MATCH($L$1,[3]enemies!$1:$1,0)+1),MATCH(Q$1,[3]enemies!$1:$1,0)-MATCH($L$1,[3]enemies!$1:$1,0)+1,FALSE)</f>
        <v>15</v>
      </c>
      <c r="R290" s="6">
        <v>32</v>
      </c>
      <c r="S290" s="39">
        <v>1</v>
      </c>
      <c r="T290" s="39">
        <v>1</v>
      </c>
      <c r="U290" s="6">
        <v>0</v>
      </c>
      <c r="V290" s="5" t="str">
        <f ca="1">VLOOKUP($W290,OFFSET([5]enemy_skill_sets!$B$1,0,0,COUNTA([5]enemy_skill_sets!$B:$B),MATCH(M$1,[5]enemy_skill_sets!$1:$1,0)-MATCH($W$1,[5]enemy_skill_sets!$1:$1,0)+2),MATCH(M$1,[5]enemy_skill_sets!$1:$1,0)-MATCH($W$1,[5]enemy_skill_sets!$1:$1,0)+2,FALSE)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290" s="5">
        <f ca="1">VLOOKUP($L290,OFFSET([3]enemies!$A$1,0,0,COUNTA([3]enemies!$A:$A),MATCH(W$1,[3]enemies!$1:$1,0)-MATCH($L$1,[3]enemies!$1:$1,0)+1),MATCH(W$1,[3]enemies!$1:$1,0)-MATCH($L$1,[3]enemies!$1:$1,0)+1,FALSE)</f>
        <v>63</v>
      </c>
      <c r="X290" s="33">
        <v>0</v>
      </c>
      <c r="Y290" s="7">
        <v>10</v>
      </c>
      <c r="Z290" s="33">
        <v>0</v>
      </c>
      <c r="AA290" s="20">
        <f ca="1">VLOOKUP($L290,OFFSET([3]enemies!$A$1,0,0,COUNTA([3]enemies!$A:$A),MATCH(AA$1,[3]enemies!$1:$1,0)-MATCH($L$1,[3]enemies!$1:$1,0)+1),MATCH(AA$1,[3]enemies!$1:$1,0)-MATCH($L$1,[3]enemies!$1:$1,0)+1,FALSE)</f>
        <v>2</v>
      </c>
      <c r="AB290" s="2">
        <f t="shared" si="129"/>
        <v>63</v>
      </c>
      <c r="AC290" s="5" t="str">
        <f ca="1">IFERROR(VLOOKUP($AB290,OFFSET([4]characters!$A$1,0,0,COUNTA([4]characters!$A:$A),MATCH(AC$1,[4]characters!$1:$1,0)-MATCH("character_id",[4]characters!$1:$1,0)+1),MATCH(AC$1,[4]characters!$1:$1,0)-MATCH("character_id",[4]characters!$1:$1,0)+1,FALSE),"")</f>
        <v>トニー</v>
      </c>
      <c r="AD290" s="5">
        <f ca="1">IFERROR(VLOOKUP($AB290,OFFSET([4]characters!$A$1,0,0,COUNTA([4]characters!$A:$A),MATCH(AD$1,[4]characters!$1:$1,0)-MATCH("character_id",[4]characters!$1:$1,0)+1),MATCH(AD$1,[4]characters!$1:$1,0)-MATCH("character_id",[4]characters!$1:$1,0)+1,FALSE),"")</f>
        <v>2</v>
      </c>
      <c r="AE290" s="5" t="str">
        <f ca="1">IFERROR(VLOOKUP($AB290,OFFSET([4]characters!$A$1,0,0,COUNTA([4]characters!$A:$A),MATCH(AE$1,[4]characters!$1:$1,0)-MATCH("character_id",[4]characters!$1:$1,0)+1),MATCH(AE$1,[4]characters!$1:$1,0)-MATCH("character_id",[4]characters!$1:$1,0)+1,FALSE),"")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90" s="28">
        <v>1</v>
      </c>
      <c r="AG290" s="27">
        <f t="shared" ca="1" si="135"/>
        <v>2</v>
      </c>
      <c r="AH290" s="9">
        <v>0</v>
      </c>
      <c r="AI290" s="28">
        <v>0</v>
      </c>
      <c r="AJ290" s="28">
        <v>0</v>
      </c>
      <c r="AK290" s="28">
        <v>0</v>
      </c>
      <c r="AL290" s="28">
        <v>0</v>
      </c>
      <c r="AM290" s="28">
        <v>1</v>
      </c>
      <c r="AN290" s="28">
        <v>1</v>
      </c>
    </row>
    <row r="291" spans="1:40" ht="21" customHeight="1" x14ac:dyDescent="0.15">
      <c r="A291" s="17" t="str">
        <f t="shared" ca="1" si="189"/>
        <v>11006_3-2/61&lt;lv32&gt;s2</v>
      </c>
      <c r="B291" s="8">
        <v>11006</v>
      </c>
      <c r="C291" s="25">
        <v>3</v>
      </c>
      <c r="D291" s="16" t="str">
        <f t="shared" si="190"/>
        <v>11006_3</v>
      </c>
      <c r="E291" s="5" t="str">
        <f ca="1">VLOOKUP($B291,OFFSET([2]quests!$A$1,0,0,COUNTA([2]quests!$A:$A),MATCH(E$1,[2]quests!$1:$1,0)-MATCH($B$1,[2]quests!$1:$1,0)+1),MATCH(E$1,[2]quests!$1:$1,0)-MATCH($B$1,[2]quests!$1:$1,0)+1,FALSE)</f>
        <v>【土日限定】 ゴールドカジノ</v>
      </c>
      <c r="F291" s="5" t="str">
        <f ca="1">VLOOKUP($D291,OFFSET([2]stages!$A$1,0,0,COUNTA([2]stages!$A:$A),MATCH(F$1,[2]stages!$2:$2,0)-MATCH($D$1,[2]stages!$2:$2,0)+1),MATCH(F$1,[2]stages!$2:$2,0)-MATCH($D$1,[2]stages!$2:$2,0)+1,FALSE)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1" s="25">
        <v>2</v>
      </c>
      <c r="H291" s="16" t="str">
        <f t="shared" si="153"/>
        <v>11006_3-2</v>
      </c>
      <c r="I291" s="5">
        <f ca="1">VLOOKUP($H291,OFFSET(floors!$A$1,0,0,COUNTA(floors!$A:$A),MATCH(I$1,floors!$1:$1,0)-MATCH($H$1,floors!$1:$1,0)+1),MATCH(I$1,floors!$1:$1,0)-MATCH($H$1,floors!$1:$1,0)+1,FALSE)</f>
        <v>35</v>
      </c>
      <c r="J291" s="5">
        <f ca="1">VLOOKUP($H291,OFFSET(floors!$A$1,0,0,COUNTA(floors!$A:$A),MATCH(J$1,floors!$1:$1,0)-MATCH($H$1,floors!$1:$1,0)+1),MATCH(J$1,floors!$1:$1,0)-MATCH($H$1,floors!$1:$1,0)+1,FALSE)</f>
        <v>50</v>
      </c>
      <c r="K291" s="24" t="s">
        <v>197</v>
      </c>
      <c r="L291" s="34">
        <v>61</v>
      </c>
      <c r="M291" s="20" t="str">
        <f ca="1">VLOOKUP($L291,OFFSET([3]enemies!$A$1,0,0,COUNTA([3]enemies!$A:$A),MATCH(M$1,[3]enemies!$1:$1,0)-MATCH($L$1,[3]enemies!$1:$1,0)+1),MATCH(M$1,[3]enemies!$1:$1,0)-MATCH($L$1,[3]enemies!$1:$1,0)+1,FALSE)</f>
        <v>クロウ</v>
      </c>
      <c r="N291" s="20" t="str">
        <f ca="1">VLOOKUP($L291,OFFSET([3]enemies!$A$1,0,0,COUNTA([3]enemies!$A:$A),MATCH(N$1,[3]enemies!$1:$1,0)-MATCH($L$1,[3]enemies!$1:$1,0)+1),MATCH(N$1,[3]enemies!$1:$1,0)-MATCH($L$1,[3]enemies!$1:$1,0)+1,FALSE)</f>
        <v>blue</v>
      </c>
      <c r="O291" s="22" t="str">
        <f ca="1">VLOOKUP($L291,OFFSET([4]characters!$A$1,0,0,COUNTA([4]characters!$A:$A),MATCH(O$1,[4]characters!$1:$1,0)-MATCH($L$1,[4]characters!$1:$1,0)+1),MATCH(O$1,[4]characters!$1:$1,0)-MATCH($L$1,[4]characters!$1:$1,0)+1,FALSE)</f>
        <v>Drop1N</v>
      </c>
      <c r="P291" s="20" t="str">
        <f ca="1">VLOOKUP($L291,OFFSET([3]enemies!$A$1,0,0,COUNTA([3]enemies!$A:$A),MATCH(P$1,[3]enemies!$1:$1,0)-MATCH($L$1,[3]enemies!$1:$1,0)+1),MATCH(P$1,[3]enemies!$1:$1,0)-MATCH($L$1,[3]enemies!$1:$1,0)+1,FALSE)</f>
        <v>animal</v>
      </c>
      <c r="Q291" s="20">
        <f ca="1">VLOOKUP($L291,OFFSET([3]enemies!$A$1,0,0,COUNTA([3]enemies!$A:$A),MATCH(Q$1,[3]enemies!$1:$1,0)-MATCH($L$1,[3]enemies!$1:$1,0)+1),MATCH(Q$1,[3]enemies!$1:$1,0)-MATCH($L$1,[3]enemies!$1:$1,0)+1,FALSE)</f>
        <v>15</v>
      </c>
      <c r="R291" s="6">
        <v>32</v>
      </c>
      <c r="S291" s="39">
        <v>1</v>
      </c>
      <c r="T291" s="39">
        <v>1</v>
      </c>
      <c r="U291" s="6">
        <v>0</v>
      </c>
      <c r="V291" s="5" t="str">
        <f ca="1">VLOOKUP($W291,OFFSET([5]enemy_skill_sets!$B$1,0,0,COUNTA([5]enemy_skill_sets!$B:$B),MATCH(M$1,[5]enemy_skill_sets!$1:$1,0)-MATCH($W$1,[5]enemy_skill_sets!$1:$1,0)+2),MATCH(M$1,[5]enemy_skill_sets!$1:$1,0)-MATCH($W$1,[5]enemy_skill_sets!$1:$1,0)+2,FALSE)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91" s="5">
        <f ca="1">VLOOKUP($L291,OFFSET([3]enemies!$A$1,0,0,COUNTA([3]enemies!$A:$A),MATCH(W$1,[3]enemies!$1:$1,0)-MATCH($L$1,[3]enemies!$1:$1,0)+1),MATCH(W$1,[3]enemies!$1:$1,0)-MATCH($L$1,[3]enemies!$1:$1,0)+1,FALSE)</f>
        <v>61</v>
      </c>
      <c r="X291" s="33">
        <v>0</v>
      </c>
      <c r="Y291" s="7">
        <v>10</v>
      </c>
      <c r="Z291" s="33">
        <v>0</v>
      </c>
      <c r="AA291" s="20">
        <f ca="1">VLOOKUP($L291,OFFSET([3]enemies!$A$1,0,0,COUNTA([3]enemies!$A:$A),MATCH(AA$1,[3]enemies!$1:$1,0)-MATCH($L$1,[3]enemies!$1:$1,0)+1),MATCH(AA$1,[3]enemies!$1:$1,0)-MATCH($L$1,[3]enemies!$1:$1,0)+1,FALSE)</f>
        <v>2</v>
      </c>
      <c r="AB291" s="2">
        <f t="shared" si="129"/>
        <v>61</v>
      </c>
      <c r="AC291" s="5" t="str">
        <f ca="1">IFERROR(VLOOKUP($AB291,OFFSET([4]characters!$A$1,0,0,COUNTA([4]characters!$A:$A),MATCH(AC$1,[4]characters!$1:$1,0)-MATCH("character_id",[4]characters!$1:$1,0)+1),MATCH(AC$1,[4]characters!$1:$1,0)-MATCH("character_id",[4]characters!$1:$1,0)+1,FALSE),"")</f>
        <v>クロウ</v>
      </c>
      <c r="AD291" s="5">
        <f ca="1">IFERROR(VLOOKUP($AB291,OFFSET([4]characters!$A$1,0,0,COUNTA([4]characters!$A:$A),MATCH(AD$1,[4]characters!$1:$1,0)-MATCH("character_id",[4]characters!$1:$1,0)+1),MATCH(AD$1,[4]characters!$1:$1,0)-MATCH("character_id",[4]characters!$1:$1,0)+1,FALSE),"")</f>
        <v>2</v>
      </c>
      <c r="AE291" s="5" t="str">
        <f ca="1">IFERROR(VLOOKUP($AB291,OFFSET([4]characters!$A$1,0,0,COUNTA([4]characters!$A:$A),MATCH(AE$1,[4]characters!$1:$1,0)-MATCH("character_id",[4]characters!$1:$1,0)+1),MATCH(AE$1,[4]characters!$1:$1,0)-MATCH("character_id",[4]characters!$1:$1,0)+1,FALSE),"")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91" s="28">
        <v>1</v>
      </c>
      <c r="AG291" s="27">
        <f t="shared" ca="1" si="135"/>
        <v>2</v>
      </c>
      <c r="AH291" s="9">
        <v>0</v>
      </c>
      <c r="AI291" s="28">
        <v>0</v>
      </c>
      <c r="AJ291" s="28">
        <v>0</v>
      </c>
      <c r="AK291" s="28">
        <v>0</v>
      </c>
      <c r="AL291" s="28">
        <v>0</v>
      </c>
      <c r="AM291" s="28">
        <v>1</v>
      </c>
      <c r="AN291" s="28">
        <v>1</v>
      </c>
    </row>
    <row r="292" spans="1:40" ht="21" customHeight="1" x14ac:dyDescent="0.15">
      <c r="A292" s="17" t="str">
        <f t="shared" ca="1" si="189"/>
        <v>11006_3-2/57&lt;lv32&gt;s2</v>
      </c>
      <c r="B292" s="8">
        <v>11006</v>
      </c>
      <c r="C292" s="25">
        <v>3</v>
      </c>
      <c r="D292" s="16" t="str">
        <f t="shared" si="190"/>
        <v>11006_3</v>
      </c>
      <c r="E292" s="5" t="str">
        <f ca="1">VLOOKUP($B292,OFFSET([2]quests!$A$1,0,0,COUNTA([2]quests!$A:$A),MATCH(E$1,[2]quests!$1:$1,0)-MATCH($B$1,[2]quests!$1:$1,0)+1),MATCH(E$1,[2]quests!$1:$1,0)-MATCH($B$1,[2]quests!$1:$1,0)+1,FALSE)</f>
        <v>【土日限定】 ゴールドカジノ</v>
      </c>
      <c r="F292" s="5" t="str">
        <f ca="1">VLOOKUP($D292,OFFSET([2]stages!$A$1,0,0,COUNTA([2]stages!$A:$A),MATCH(F$1,[2]stages!$2:$2,0)-MATCH($D$1,[2]stages!$2:$2,0)+1),MATCH(F$1,[2]stages!$2:$2,0)-MATCH($D$1,[2]stages!$2:$2,0)+1,FALSE)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2" s="25">
        <v>2</v>
      </c>
      <c r="H292" s="16" t="str">
        <f t="shared" si="153"/>
        <v>11006_3-2</v>
      </c>
      <c r="I292" s="5">
        <f ca="1">VLOOKUP($H292,OFFSET(floors!$A$1,0,0,COUNTA(floors!$A:$A),MATCH(I$1,floors!$1:$1,0)-MATCH($H$1,floors!$1:$1,0)+1),MATCH(I$1,floors!$1:$1,0)-MATCH($H$1,floors!$1:$1,0)+1,FALSE)</f>
        <v>35</v>
      </c>
      <c r="J292" s="5">
        <f ca="1">VLOOKUP($H292,OFFSET(floors!$A$1,0,0,COUNTA(floors!$A:$A),MATCH(J$1,floors!$1:$1,0)-MATCH($H$1,floors!$1:$1,0)+1),MATCH(J$1,floors!$1:$1,0)-MATCH($H$1,floors!$1:$1,0)+1,FALSE)</f>
        <v>50</v>
      </c>
      <c r="K292" s="24" t="s">
        <v>197</v>
      </c>
      <c r="L292" s="34">
        <v>57</v>
      </c>
      <c r="M292" s="20" t="str">
        <f ca="1">VLOOKUP($L292,OFFSET([3]enemies!$A$1,0,0,COUNTA([3]enemies!$A:$A),MATCH(M$1,[3]enemies!$1:$1,0)-MATCH($L$1,[3]enemies!$1:$1,0)+1),MATCH(M$1,[3]enemies!$1:$1,0)-MATCH($L$1,[3]enemies!$1:$1,0)+1,FALSE)</f>
        <v>チェン・リー</v>
      </c>
      <c r="N292" s="20" t="str">
        <f ca="1">VLOOKUP($L292,OFFSET([3]enemies!$A$1,0,0,COUNTA([3]enemies!$A:$A),MATCH(N$1,[3]enemies!$1:$1,0)-MATCH($L$1,[3]enemies!$1:$1,0)+1),MATCH(N$1,[3]enemies!$1:$1,0)-MATCH($L$1,[3]enemies!$1:$1,0)+1,FALSE)</f>
        <v>red</v>
      </c>
      <c r="O292" s="22" t="str">
        <f ca="1">VLOOKUP($L292,OFFSET([4]characters!$A$1,0,0,COUNTA([4]characters!$A:$A),MATCH(O$1,[4]characters!$1:$1,0)-MATCH($L$1,[4]characters!$1:$1,0)+1),MATCH(O$1,[4]characters!$1:$1,0)-MATCH($L$1,[4]characters!$1:$1,0)+1,FALSE)</f>
        <v>Drop1N</v>
      </c>
      <c r="P292" s="20" t="str">
        <f ca="1">VLOOKUP($L292,OFFSET([3]enemies!$A$1,0,0,COUNTA([3]enemies!$A:$A),MATCH(P$1,[3]enemies!$1:$1,0)-MATCH($L$1,[3]enemies!$1:$1,0)+1),MATCH(P$1,[3]enemies!$1:$1,0)-MATCH($L$1,[3]enemies!$1:$1,0)+1,FALSE)</f>
        <v>animal</v>
      </c>
      <c r="Q292" s="20">
        <f ca="1">VLOOKUP($L292,OFFSET([3]enemies!$A$1,0,0,COUNTA([3]enemies!$A:$A),MATCH(Q$1,[3]enemies!$1:$1,0)-MATCH($L$1,[3]enemies!$1:$1,0)+1),MATCH(Q$1,[3]enemies!$1:$1,0)-MATCH($L$1,[3]enemies!$1:$1,0)+1,FALSE)</f>
        <v>15</v>
      </c>
      <c r="R292" s="6">
        <v>32</v>
      </c>
      <c r="S292" s="39">
        <v>1</v>
      </c>
      <c r="T292" s="39">
        <v>1</v>
      </c>
      <c r="U292" s="6">
        <v>0</v>
      </c>
      <c r="V292" s="5" t="str">
        <f ca="1">VLOOKUP($W292,OFFSET([5]enemy_skill_sets!$B$1,0,0,COUNTA([5]enemy_skill_sets!$B:$B),MATCH(M$1,[5]enemy_skill_sets!$1:$1,0)-MATCH($W$1,[5]enemy_skill_sets!$1:$1,0)+2),MATCH(M$1,[5]enemy_skill_sets!$1:$1,0)-MATCH($W$1,[5]enemy_skill_sets!$1:$1,0)+2,FALSE)</f>
        <v>3ターン攻撃力小UP</v>
      </c>
      <c r="W292" s="5">
        <f ca="1">VLOOKUP($L292,OFFSET([3]enemies!$A$1,0,0,COUNTA([3]enemies!$A:$A),MATCH(W$1,[3]enemies!$1:$1,0)-MATCH($L$1,[3]enemies!$1:$1,0)+1),MATCH(W$1,[3]enemies!$1:$1,0)-MATCH($L$1,[3]enemies!$1:$1,0)+1,FALSE)</f>
        <v>57</v>
      </c>
      <c r="X292" s="33">
        <v>0</v>
      </c>
      <c r="Y292" s="7">
        <v>10</v>
      </c>
      <c r="Z292" s="33">
        <v>0</v>
      </c>
      <c r="AA292" s="20">
        <f ca="1">VLOOKUP($L292,OFFSET([3]enemies!$A$1,0,0,COUNTA([3]enemies!$A:$A),MATCH(AA$1,[3]enemies!$1:$1,0)-MATCH($L$1,[3]enemies!$1:$1,0)+1),MATCH(AA$1,[3]enemies!$1:$1,0)-MATCH($L$1,[3]enemies!$1:$1,0)+1,FALSE)</f>
        <v>2</v>
      </c>
      <c r="AB292" s="2">
        <f t="shared" si="129"/>
        <v>57</v>
      </c>
      <c r="AC292" s="5" t="str">
        <f ca="1">IFERROR(VLOOKUP($AB292,OFFSET([4]characters!$A$1,0,0,COUNTA([4]characters!$A:$A),MATCH(AC$1,[4]characters!$1:$1,0)-MATCH("character_id",[4]characters!$1:$1,0)+1),MATCH(AC$1,[4]characters!$1:$1,0)-MATCH("character_id",[4]characters!$1:$1,0)+1,FALSE),"")</f>
        <v>チェン・リー</v>
      </c>
      <c r="AD292" s="5">
        <f ca="1">IFERROR(VLOOKUP($AB292,OFFSET([4]characters!$A$1,0,0,COUNTA([4]characters!$A:$A),MATCH(AD$1,[4]characters!$1:$1,0)-MATCH("character_id",[4]characters!$1:$1,0)+1),MATCH(AD$1,[4]characters!$1:$1,0)-MATCH("character_id",[4]characters!$1:$1,0)+1,FALSE),"")</f>
        <v>2</v>
      </c>
      <c r="AE292" s="5" t="str">
        <f ca="1">IFERROR(VLOOKUP($AB292,OFFSET([4]characters!$A$1,0,0,COUNTA([4]characters!$A:$A),MATCH(AE$1,[4]characters!$1:$1,0)-MATCH("character_id",[4]characters!$1:$1,0)+1),MATCH(AE$1,[4]characters!$1:$1,0)-MATCH("character_id",[4]characters!$1:$1,0)+1,FALSE),"")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92" s="28">
        <v>1</v>
      </c>
      <c r="AG292" s="27">
        <f t="shared" ca="1" si="135"/>
        <v>2</v>
      </c>
      <c r="AH292" s="9">
        <v>0</v>
      </c>
      <c r="AI292" s="28">
        <v>0</v>
      </c>
      <c r="AJ292" s="28">
        <v>0</v>
      </c>
      <c r="AK292" s="28">
        <v>0</v>
      </c>
      <c r="AL292" s="28">
        <v>0</v>
      </c>
      <c r="AM292" s="28">
        <v>1</v>
      </c>
      <c r="AN292" s="28">
        <v>1</v>
      </c>
    </row>
    <row r="293" spans="1:40" ht="21" customHeight="1" x14ac:dyDescent="0.15">
      <c r="A293" s="17" t="str">
        <f t="shared" ca="1" si="189"/>
        <v>11006_3-2/59&lt;lv32&gt;s2</v>
      </c>
      <c r="B293" s="8">
        <v>11006</v>
      </c>
      <c r="C293" s="25">
        <v>3</v>
      </c>
      <c r="D293" s="16" t="str">
        <f t="shared" si="190"/>
        <v>11006_3</v>
      </c>
      <c r="E293" s="5" t="str">
        <f ca="1">VLOOKUP($B293,OFFSET([2]quests!$A$1,0,0,COUNTA([2]quests!$A:$A),MATCH(E$1,[2]quests!$1:$1,0)-MATCH($B$1,[2]quests!$1:$1,0)+1),MATCH(E$1,[2]quests!$1:$1,0)-MATCH($B$1,[2]quests!$1:$1,0)+1,FALSE)</f>
        <v>【土日限定】 ゴールドカジノ</v>
      </c>
      <c r="F293" s="5" t="str">
        <f ca="1">VLOOKUP($D293,OFFSET([2]stages!$A$1,0,0,COUNTA([2]stages!$A:$A),MATCH(F$1,[2]stages!$2:$2,0)-MATCH($D$1,[2]stages!$2:$2,0)+1),MATCH(F$1,[2]stages!$2:$2,0)-MATCH($D$1,[2]stages!$2:$2,0)+1,FALSE)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3" s="25">
        <v>2</v>
      </c>
      <c r="H293" s="16" t="str">
        <f t="shared" si="153"/>
        <v>11006_3-2</v>
      </c>
      <c r="I293" s="5">
        <f ca="1">VLOOKUP($H293,OFFSET(floors!$A$1,0,0,COUNTA(floors!$A:$A),MATCH(I$1,floors!$1:$1,0)-MATCH($H$1,floors!$1:$1,0)+1),MATCH(I$1,floors!$1:$1,0)-MATCH($H$1,floors!$1:$1,0)+1,FALSE)</f>
        <v>35</v>
      </c>
      <c r="J293" s="5">
        <f ca="1">VLOOKUP($H293,OFFSET(floors!$A$1,0,0,COUNTA(floors!$A:$A),MATCH(J$1,floors!$1:$1,0)-MATCH($H$1,floors!$1:$1,0)+1),MATCH(J$1,floors!$1:$1,0)-MATCH($H$1,floors!$1:$1,0)+1,FALSE)</f>
        <v>50</v>
      </c>
      <c r="K293" s="24" t="s">
        <v>197</v>
      </c>
      <c r="L293" s="34">
        <v>59</v>
      </c>
      <c r="M293" s="20" t="str">
        <f ca="1">VLOOKUP($L293,OFFSET([3]enemies!$A$1,0,0,COUNTA([3]enemies!$A:$A),MATCH(M$1,[3]enemies!$1:$1,0)-MATCH($L$1,[3]enemies!$1:$1,0)+1),MATCH(M$1,[3]enemies!$1:$1,0)-MATCH($L$1,[3]enemies!$1:$1,0)+1,FALSE)</f>
        <v>マーチ</v>
      </c>
      <c r="N293" s="20" t="str">
        <f ca="1">VLOOKUP($L293,OFFSET([3]enemies!$A$1,0,0,COUNTA([3]enemies!$A:$A),MATCH(N$1,[3]enemies!$1:$1,0)-MATCH($L$1,[3]enemies!$1:$1,0)+1),MATCH(N$1,[3]enemies!$1:$1,0)-MATCH($L$1,[3]enemies!$1:$1,0)+1,FALSE)</f>
        <v>green</v>
      </c>
      <c r="O293" s="22" t="str">
        <f ca="1">VLOOKUP($L293,OFFSET([4]characters!$A$1,0,0,COUNTA([4]characters!$A:$A),MATCH(O$1,[4]characters!$1:$1,0)-MATCH($L$1,[4]characters!$1:$1,0)+1),MATCH(O$1,[4]characters!$1:$1,0)-MATCH($L$1,[4]characters!$1:$1,0)+1,FALSE)</f>
        <v>Drop1N</v>
      </c>
      <c r="P293" s="20" t="str">
        <f ca="1">VLOOKUP($L293,OFFSET([3]enemies!$A$1,0,0,COUNTA([3]enemies!$A:$A),MATCH(P$1,[3]enemies!$1:$1,0)-MATCH($L$1,[3]enemies!$1:$1,0)+1),MATCH(P$1,[3]enemies!$1:$1,0)-MATCH($L$1,[3]enemies!$1:$1,0)+1,FALSE)</f>
        <v>animal</v>
      </c>
      <c r="Q293" s="20">
        <f ca="1">VLOOKUP($L293,OFFSET([3]enemies!$A$1,0,0,COUNTA([3]enemies!$A:$A),MATCH(Q$1,[3]enemies!$1:$1,0)-MATCH($L$1,[3]enemies!$1:$1,0)+1),MATCH(Q$1,[3]enemies!$1:$1,0)-MATCH($L$1,[3]enemies!$1:$1,0)+1,FALSE)</f>
        <v>15</v>
      </c>
      <c r="R293" s="6">
        <v>32</v>
      </c>
      <c r="S293" s="39">
        <v>1</v>
      </c>
      <c r="T293" s="39">
        <v>1</v>
      </c>
      <c r="U293" s="6">
        <v>0</v>
      </c>
      <c r="V293" s="5" t="str">
        <f ca="1">VLOOKUP($W293,OFFSET([5]enemy_skill_sets!$B$1,0,0,COUNTA([5]enemy_skill_sets!$B:$B),MATCH(M$1,[5]enemy_skill_sets!$1:$1,0)-MATCH($W$1,[5]enemy_skill_sets!$1:$1,0)+2),MATCH(M$1,[5]enemy_skill_sets!$1:$1,0)-MATCH($W$1,[5]enemy_skill_sets!$1:$1,0)+2,FALSE)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293" s="5">
        <f ca="1">VLOOKUP($L293,OFFSET([3]enemies!$A$1,0,0,COUNTA([3]enemies!$A:$A),MATCH(W$1,[3]enemies!$1:$1,0)-MATCH($L$1,[3]enemies!$1:$1,0)+1),MATCH(W$1,[3]enemies!$1:$1,0)-MATCH($L$1,[3]enemies!$1:$1,0)+1,FALSE)</f>
        <v>59</v>
      </c>
      <c r="X293" s="33">
        <v>0</v>
      </c>
      <c r="Y293" s="7">
        <v>10</v>
      </c>
      <c r="Z293" s="33">
        <v>0</v>
      </c>
      <c r="AA293" s="20">
        <f ca="1">VLOOKUP($L293,OFFSET([3]enemies!$A$1,0,0,COUNTA([3]enemies!$A:$A),MATCH(AA$1,[3]enemies!$1:$1,0)-MATCH($L$1,[3]enemies!$1:$1,0)+1),MATCH(AA$1,[3]enemies!$1:$1,0)-MATCH($L$1,[3]enemies!$1:$1,0)+1,FALSE)</f>
        <v>2</v>
      </c>
      <c r="AB293" s="2">
        <f t="shared" si="129"/>
        <v>59</v>
      </c>
      <c r="AC293" s="5" t="str">
        <f ca="1">IFERROR(VLOOKUP($AB293,OFFSET([4]characters!$A$1,0,0,COUNTA([4]characters!$A:$A),MATCH(AC$1,[4]characters!$1:$1,0)-MATCH("character_id",[4]characters!$1:$1,0)+1),MATCH(AC$1,[4]characters!$1:$1,0)-MATCH("character_id",[4]characters!$1:$1,0)+1,FALSE),"")</f>
        <v>マーチ</v>
      </c>
      <c r="AD293" s="5">
        <f ca="1">IFERROR(VLOOKUP($AB293,OFFSET([4]characters!$A$1,0,0,COUNTA([4]characters!$A:$A),MATCH(AD$1,[4]characters!$1:$1,0)-MATCH("character_id",[4]characters!$1:$1,0)+1),MATCH(AD$1,[4]characters!$1:$1,0)-MATCH("character_id",[4]characters!$1:$1,0)+1,FALSE),"")</f>
        <v>2</v>
      </c>
      <c r="AE293" s="5" t="str">
        <f ca="1">IFERROR(VLOOKUP($AB293,OFFSET([4]characters!$A$1,0,0,COUNTA([4]characters!$A:$A),MATCH(AE$1,[4]characters!$1:$1,0)-MATCH("character_id",[4]characters!$1:$1,0)+1),MATCH(AE$1,[4]characters!$1:$1,0)-MATCH("character_id",[4]characters!$1:$1,0)+1,FALSE),"")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93" s="28">
        <v>1</v>
      </c>
      <c r="AG293" s="27">
        <f ca="1">AD293</f>
        <v>2</v>
      </c>
      <c r="AH293" s="9">
        <v>0</v>
      </c>
      <c r="AI293" s="28">
        <v>0</v>
      </c>
      <c r="AJ293" s="28">
        <v>0</v>
      </c>
      <c r="AK293" s="28">
        <v>0</v>
      </c>
      <c r="AL293" s="28">
        <v>0</v>
      </c>
      <c r="AM293" s="28">
        <v>1</v>
      </c>
      <c r="AN293" s="28">
        <v>1</v>
      </c>
    </row>
    <row r="294" spans="1:40" ht="21" customHeight="1" x14ac:dyDescent="0.15">
      <c r="A294" s="17" t="str">
        <f ca="1">B294&amp;"_"&amp;C294&amp;"-"&amp;G294&amp;"/"&amp;L294&amp;"&lt;lv"&amp;R294&amp;"&gt;s"&amp;AA294</f>
        <v>11006_3-3/119&lt;lv1&gt;s3</v>
      </c>
      <c r="B294" s="8">
        <v>11006</v>
      </c>
      <c r="C294" s="25">
        <v>3</v>
      </c>
      <c r="D294" s="2" t="str">
        <f>B294&amp;"_"&amp;C294</f>
        <v>11006_3</v>
      </c>
      <c r="E294" s="5" t="str">
        <f ca="1">VLOOKUP($B294,OFFSET([2]quests!$A$1,0,0,COUNTA([2]quests!$A:$A),MATCH(E$1,[2]quests!$1:$1,0)-MATCH($B$1,[2]quests!$1:$1,0)+1),MATCH(E$1,[2]quests!$1:$1,0)-MATCH($B$1,[2]quests!$1:$1,0)+1,FALSE)</f>
        <v>【土日限定】 ゴールドカジノ</v>
      </c>
      <c r="F294" s="5" t="str">
        <f ca="1">VLOOKUP($D294,OFFSET([2]stages!$A$1,0,0,COUNTA([2]stages!$A:$A),MATCH(F$1,[2]stages!$2:$2,0)-MATCH($D$1,[2]stages!$2:$2,0)+1),MATCH(F$1,[2]stages!$2:$2,0)-MATCH($D$1,[2]stages!$2:$2,0)+1,FALSE)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4" s="25">
        <v>3</v>
      </c>
      <c r="H294" s="16" t="str">
        <f>B294&amp;"_"&amp;C294&amp;"-"&amp;G294</f>
        <v>11006_3-3</v>
      </c>
      <c r="I294" s="5">
        <f ca="1">VLOOKUP($H294,OFFSET(floors!$A$1,0,0,COUNTA(floors!$A:$A),MATCH(I$1,floors!$1:$1,0)-MATCH($H$1,floors!$1:$1,0)+1),MATCH(I$1,floors!$1:$1,0)-MATCH($H$1,floors!$1:$1,0)+1,FALSE)</f>
        <v>20</v>
      </c>
      <c r="J294" s="5">
        <f ca="1">VLOOKUP($H294,OFFSET(floors!$A$1,0,0,COUNTA(floors!$A:$A),MATCH(J$1,floors!$1:$1,0)-MATCH($H$1,floors!$1:$1,0)+1),MATCH(J$1,floors!$1:$1,0)-MATCH($H$1,floors!$1:$1,0)+1,FALSE)</f>
        <v>20</v>
      </c>
      <c r="K294" s="24" t="s">
        <v>197</v>
      </c>
      <c r="L294" s="24">
        <v>119</v>
      </c>
      <c r="M294" s="20" t="str">
        <f ca="1">VLOOKUP($L294,OFFSET([3]enemies!$A$1,0,0,COUNTA([3]enemies!$A:$A),MATCH(M$1,[3]enemies!$1:$1,0)-MATCH($L$1,[3]enemies!$1:$1,0)+1),MATCH(M$1,[3]enemies!$1:$1,0)-MATCH($L$1,[3]enemies!$1:$1,0)+1,FALSE)</f>
        <v>ゴールドダック</v>
      </c>
      <c r="N294" s="20" t="str">
        <f ca="1">VLOOKUP($L294,OFFSET([3]enemies!$A$1,0,0,COUNTA([3]enemies!$A:$A),MATCH(N$1,[3]enemies!$1:$1,0)-MATCH($L$1,[3]enemies!$1:$1,0)+1),MATCH(N$1,[3]enemies!$1:$1,0)-MATCH($L$1,[3]enemies!$1:$1,0)+1,FALSE)</f>
        <v>yellow</v>
      </c>
      <c r="O294" s="22" t="str">
        <f ca="1">VLOOKUP($L294,OFFSET([4]characters!$A$1,0,0,COUNTA([4]characters!$A:$A),MATCH(O$1,[4]characters!$1:$1,0)-MATCH($L$1,[4]characters!$1:$1,0)+1),MATCH(O$1,[4]characters!$1:$1,0)-MATCH($L$1,[4]characters!$1:$1,0)+1,FALSE)</f>
        <v>Material</v>
      </c>
      <c r="P294" s="20" t="str">
        <f ca="1">VLOOKUP($L294,OFFSET([3]enemies!$A$1,0,0,COUNTA([3]enemies!$A:$A),MATCH(P$1,[3]enemies!$1:$1,0)-MATCH($L$1,[3]enemies!$1:$1,0)+1),MATCH(P$1,[3]enemies!$1:$1,0)-MATCH($L$1,[3]enemies!$1:$1,0)+1,FALSE)</f>
        <v>unknown</v>
      </c>
      <c r="Q294" s="20">
        <f ca="1">VLOOKUP($L294,OFFSET([3]enemies!$A$1,0,0,COUNTA([3]enemies!$A:$A),MATCH(Q$1,[3]enemies!$1:$1,0)-MATCH($L$1,[3]enemies!$1:$1,0)+1),MATCH(Q$1,[3]enemies!$1:$1,0)-MATCH($L$1,[3]enemies!$1:$1,0)+1,FALSE)</f>
        <v>20</v>
      </c>
      <c r="R294" s="6">
        <v>1</v>
      </c>
      <c r="S294" s="39">
        <v>93.3</v>
      </c>
      <c r="T294" s="39">
        <v>41</v>
      </c>
      <c r="U294" s="6">
        <v>0</v>
      </c>
      <c r="V294" s="5" t="str">
        <f ca="1">VLOOKUP($W294,OFFSET([5]enemy_skill_sets!$B$1,0,0,COUNTA([5]enemy_skill_sets!$B:$B),MATCH(M$1,[5]enemy_skill_sets!$1:$1,0)-MATCH($W$1,[5]enemy_skill_sets!$1:$1,0)+2),MATCH(M$1,[5]enemy_skill_sets!$1:$1,0)-MATCH($W$1,[5]enemy_skill_sets!$1:$1,0)+2,FALSE)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4" s="5">
        <f ca="1">VLOOKUP($L294,OFFSET([3]enemies!$A$1,0,0,COUNTA([3]enemies!$A:$A),MATCH(W$1,[3]enemies!$1:$1,0)-MATCH($L$1,[3]enemies!$1:$1,0)+1),MATCH(W$1,[3]enemies!$1:$1,0)-MATCH($L$1,[3]enemies!$1:$1,0)+1,FALSE)</f>
        <v>0</v>
      </c>
      <c r="X294" s="7">
        <v>1</v>
      </c>
      <c r="Y294" s="7">
        <v>0</v>
      </c>
      <c r="Z294" s="7">
        <v>0</v>
      </c>
      <c r="AA294" s="20">
        <f ca="1">VLOOKUP($L294,OFFSET([3]enemies!$A$1,0,0,COUNTA([3]enemies!$A:$A),MATCH(AA$1,[3]enemies!$1:$1,0)-MATCH($L$1,[3]enemies!$1:$1,0)+1),MATCH(AA$1,[3]enemies!$1:$1,0)-MATCH($L$1,[3]enemies!$1:$1,0)+1,FALSE)</f>
        <v>3</v>
      </c>
      <c r="AB294" s="2">
        <f>L294</f>
        <v>119</v>
      </c>
      <c r="AC294" s="5" t="str">
        <f ca="1">IFERROR(VLOOKUP($AB294,OFFSET([4]characters!$A$1,0,0,COUNTA([4]characters!$A:$A),MATCH(AC$1,[4]characters!$1:$1,0)-MATCH("character_id",[4]characters!$1:$1,0)+1),MATCH(AC$1,[4]characters!$1:$1,0)-MATCH("character_id",[4]characters!$1:$1,0)+1,FALSE),"")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294" s="5">
        <f ca="1">IFERROR(VLOOKUP($AB294,OFFSET([4]characters!$A$1,0,0,COUNTA([4]characters!$A:$A),MATCH(AD$1,[4]characters!$1:$1,0)-MATCH("character_id",[4]characters!$1:$1,0)+1),MATCH(AD$1,[4]characters!$1:$1,0)-MATCH("character_id",[4]characters!$1:$1,0)+1,FALSE),"")</f>
        <v>5</v>
      </c>
      <c r="AE294" s="5" t="str">
        <f ca="1">IFERROR(VLOOKUP($AB294,OFFSET([4]characters!$A$1,0,0,COUNTA([4]characters!$A:$A),MATCH(AE$1,[4]characters!$1:$1,0)-MATCH("character_id",[4]characters!$1:$1,0)+1),MATCH(AE$1,[4]characters!$1:$1,0)-MATCH("character_id",[4]characters!$1:$1,0)+1,FALSE),"")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4" s="8">
        <v>1</v>
      </c>
      <c r="AG294" s="27">
        <f ca="1">AD294</f>
        <v>5</v>
      </c>
      <c r="AH294" s="9">
        <v>100</v>
      </c>
      <c r="AI294" s="8">
        <v>0</v>
      </c>
      <c r="AJ294" s="8">
        <v>0</v>
      </c>
      <c r="AK294" s="8">
        <v>0</v>
      </c>
      <c r="AL294" s="8">
        <v>0</v>
      </c>
      <c r="AM294" s="8">
        <v>1</v>
      </c>
      <c r="AN294" s="8">
        <v>1</v>
      </c>
    </row>
    <row r="295" spans="1:40" ht="21" customHeight="1" x14ac:dyDescent="0.15">
      <c r="A295" s="17" t="str">
        <f ca="1">B295&amp;"_"&amp;C295&amp;"-"&amp;G295&amp;"/"&amp;L295&amp;"&lt;lv"&amp;R295&amp;"&gt;s"&amp;AA295</f>
        <v>11006_3-4/119&lt;lv1&gt;s3</v>
      </c>
      <c r="B295" s="8">
        <v>11006</v>
      </c>
      <c r="C295" s="25">
        <v>3</v>
      </c>
      <c r="D295" s="2" t="str">
        <f>B295&amp;"_"&amp;C295</f>
        <v>11006_3</v>
      </c>
      <c r="E295" s="5" t="str">
        <f ca="1">VLOOKUP($B295,OFFSET([2]quests!$A$1,0,0,COUNTA([2]quests!$A:$A),MATCH(E$1,[2]quests!$1:$1,0)-MATCH($B$1,[2]quests!$1:$1,0)+1),MATCH(E$1,[2]quests!$1:$1,0)-MATCH($B$1,[2]quests!$1:$1,0)+1,FALSE)</f>
        <v>【土日限定】 ゴールドカジノ</v>
      </c>
      <c r="F295" s="5" t="str">
        <f ca="1">VLOOKUP($D295,OFFSET([2]stages!$A$1,0,0,COUNTA([2]stages!$A:$A),MATCH(F$1,[2]stages!$2:$2,0)-MATCH($D$1,[2]stages!$2:$2,0)+1),MATCH(F$1,[2]stages!$2:$2,0)-MATCH($D$1,[2]stages!$2:$2,0)+1,FALSE)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5" s="25">
        <v>4</v>
      </c>
      <c r="H295" s="16" t="str">
        <f>B295&amp;"_"&amp;C295&amp;"-"&amp;G295</f>
        <v>11006_3-4</v>
      </c>
      <c r="I295" s="5">
        <f ca="1">VLOOKUP($H295,OFFSET(floors!$A$1,0,0,COUNTA(floors!$A:$A),MATCH(I$1,floors!$1:$1,0)-MATCH($H$1,floors!$1:$1,0)+1),MATCH(I$1,floors!$1:$1,0)-MATCH($H$1,floors!$1:$1,0)+1,FALSE)</f>
        <v>35</v>
      </c>
      <c r="J295" s="5">
        <f ca="1">VLOOKUP($H295,OFFSET(floors!$A$1,0,0,COUNTA(floors!$A:$A),MATCH(J$1,floors!$1:$1,0)-MATCH($H$1,floors!$1:$1,0)+1),MATCH(J$1,floors!$1:$1,0)-MATCH($H$1,floors!$1:$1,0)+1,FALSE)</f>
        <v>60</v>
      </c>
      <c r="K295" s="24" t="s">
        <v>197</v>
      </c>
      <c r="L295" s="24">
        <v>119</v>
      </c>
      <c r="M295" s="20" t="str">
        <f ca="1">VLOOKUP($L295,OFFSET([3]enemies!$A$1,0,0,COUNTA([3]enemies!$A:$A),MATCH(M$1,[3]enemies!$1:$1,0)-MATCH($L$1,[3]enemies!$1:$1,0)+1),MATCH(M$1,[3]enemies!$1:$1,0)-MATCH($L$1,[3]enemies!$1:$1,0)+1,FALSE)</f>
        <v>ゴールドダック</v>
      </c>
      <c r="N295" s="20" t="str">
        <f ca="1">VLOOKUP($L295,OFFSET([3]enemies!$A$1,0,0,COUNTA([3]enemies!$A:$A),MATCH(N$1,[3]enemies!$1:$1,0)-MATCH($L$1,[3]enemies!$1:$1,0)+1),MATCH(N$1,[3]enemies!$1:$1,0)-MATCH($L$1,[3]enemies!$1:$1,0)+1,FALSE)</f>
        <v>yellow</v>
      </c>
      <c r="O295" s="22" t="str">
        <f ca="1">VLOOKUP($L295,OFFSET([4]characters!$A$1,0,0,COUNTA([4]characters!$A:$A),MATCH(O$1,[4]characters!$1:$1,0)-MATCH($L$1,[4]characters!$1:$1,0)+1),MATCH(O$1,[4]characters!$1:$1,0)-MATCH($L$1,[4]characters!$1:$1,0)+1,FALSE)</f>
        <v>Material</v>
      </c>
      <c r="P295" s="20" t="str">
        <f ca="1">VLOOKUP($L295,OFFSET([3]enemies!$A$1,0,0,COUNTA([3]enemies!$A:$A),MATCH(P$1,[3]enemies!$1:$1,0)-MATCH($L$1,[3]enemies!$1:$1,0)+1),MATCH(P$1,[3]enemies!$1:$1,0)-MATCH($L$1,[3]enemies!$1:$1,0)+1,FALSE)</f>
        <v>unknown</v>
      </c>
      <c r="Q295" s="20">
        <f ca="1">VLOOKUP($L295,OFFSET([3]enemies!$A$1,0,0,COUNTA([3]enemies!$A:$A),MATCH(Q$1,[3]enemies!$1:$1,0)-MATCH($L$1,[3]enemies!$1:$1,0)+1),MATCH(Q$1,[3]enemies!$1:$1,0)-MATCH($L$1,[3]enemies!$1:$1,0)+1,FALSE)</f>
        <v>20</v>
      </c>
      <c r="R295" s="6">
        <v>1</v>
      </c>
      <c r="S295" s="39">
        <v>93.3</v>
      </c>
      <c r="T295" s="39">
        <v>41</v>
      </c>
      <c r="U295" s="6">
        <v>0</v>
      </c>
      <c r="V295" s="5" t="str">
        <f ca="1">VLOOKUP($W295,OFFSET([5]enemy_skill_sets!$B$1,0,0,COUNTA([5]enemy_skill_sets!$B:$B),MATCH(M$1,[5]enemy_skill_sets!$1:$1,0)-MATCH($W$1,[5]enemy_skill_sets!$1:$1,0)+2),MATCH(M$1,[5]enemy_skill_sets!$1:$1,0)-MATCH($W$1,[5]enemy_skill_sets!$1:$1,0)+2,FALSE)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5" s="5">
        <f ca="1">VLOOKUP($L295,OFFSET([3]enemies!$A$1,0,0,COUNTA([3]enemies!$A:$A),MATCH(W$1,[3]enemies!$1:$1,0)-MATCH($L$1,[3]enemies!$1:$1,0)+1),MATCH(W$1,[3]enemies!$1:$1,0)-MATCH($L$1,[3]enemies!$1:$1,0)+1,FALSE)</f>
        <v>0</v>
      </c>
      <c r="X295" s="7">
        <v>0</v>
      </c>
      <c r="Y295" s="7">
        <v>50</v>
      </c>
      <c r="Z295" s="7">
        <v>1</v>
      </c>
      <c r="AA295" s="20">
        <f ca="1">VLOOKUP($L295,OFFSET([3]enemies!$A$1,0,0,COUNTA([3]enemies!$A:$A),MATCH(AA$1,[3]enemies!$1:$1,0)-MATCH($L$1,[3]enemies!$1:$1,0)+1),MATCH(AA$1,[3]enemies!$1:$1,0)-MATCH($L$1,[3]enemies!$1:$1,0)+1,FALSE)</f>
        <v>3</v>
      </c>
      <c r="AB295" s="2">
        <f>L295</f>
        <v>119</v>
      </c>
      <c r="AC295" s="5" t="str">
        <f ca="1">IFERROR(VLOOKUP($AB295,OFFSET([4]characters!$A$1,0,0,COUNTA([4]characters!$A:$A),MATCH(AC$1,[4]characters!$1:$1,0)-MATCH("character_id",[4]characters!$1:$1,0)+1),MATCH(AC$1,[4]characters!$1:$1,0)-MATCH("character_id",[4]characters!$1:$1,0)+1,FALSE),"")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295" s="5">
        <f ca="1">IFERROR(VLOOKUP($AB295,OFFSET([4]characters!$A$1,0,0,COUNTA([4]characters!$A:$A),MATCH(AD$1,[4]characters!$1:$1,0)-MATCH("character_id",[4]characters!$1:$1,0)+1),MATCH(AD$1,[4]characters!$1:$1,0)-MATCH("character_id",[4]characters!$1:$1,0)+1,FALSE),"")</f>
        <v>5</v>
      </c>
      <c r="AE295" s="5" t="str">
        <f ca="1">IFERROR(VLOOKUP($AB295,OFFSET([4]characters!$A$1,0,0,COUNTA([4]characters!$A:$A),MATCH(AE$1,[4]characters!$1:$1,0)-MATCH("character_id",[4]characters!$1:$1,0)+1),MATCH(AE$1,[4]characters!$1:$1,0)-MATCH("character_id",[4]characters!$1:$1,0)+1,FALSE),"")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5" s="8">
        <v>1</v>
      </c>
      <c r="AG295" s="27">
        <f ca="1">AD295</f>
        <v>5</v>
      </c>
      <c r="AH295" s="9">
        <v>100</v>
      </c>
      <c r="AI295" s="8">
        <v>0</v>
      </c>
      <c r="AJ295" s="8">
        <v>0</v>
      </c>
      <c r="AK295" s="8">
        <v>0</v>
      </c>
      <c r="AL295" s="8">
        <v>0</v>
      </c>
      <c r="AM295" s="8">
        <v>1</v>
      </c>
      <c r="AN295" s="8">
        <v>1</v>
      </c>
    </row>
    <row r="296" spans="1:40" ht="21" customHeight="1" x14ac:dyDescent="0.15">
      <c r="A296" s="17" t="str">
        <f>B296&amp;"_"&amp;C296&amp;"-"&amp;G296&amp;"/"&amp;L296&amp;"&lt;lv"&amp;R296&amp;"&gt;s"&amp;AA296</f>
        <v>11006_3-4/125&lt;lv32&gt;s3</v>
      </c>
      <c r="B296" s="8">
        <v>11006</v>
      </c>
      <c r="C296" s="25">
        <v>3</v>
      </c>
      <c r="D296" s="2" t="str">
        <f>B296&amp;"_"&amp;C296</f>
        <v>11006_3</v>
      </c>
      <c r="E296" s="5" t="str">
        <f ca="1">VLOOKUP($B296,OFFSET([2]quests!$A$1,0,0,COUNTA([2]quests!$A:$A),MATCH(E$1,[2]quests!$1:$1,0)-MATCH($B$1,[2]quests!$1:$1,0)+1),MATCH(E$1,[2]quests!$1:$1,0)-MATCH($B$1,[2]quests!$1:$1,0)+1,FALSE)</f>
        <v>【土日限定】 ゴールドカジノ</v>
      </c>
      <c r="F296" s="5" t="str">
        <f ca="1">VLOOKUP($D296,OFFSET([2]stages!$A$1,0,0,COUNTA([2]stages!$A:$A),MATCH(F$1,[2]stages!$2:$2,0)-MATCH($D$1,[2]stages!$2:$2,0)+1),MATCH(F$1,[2]stages!$2:$2,0)-MATCH($D$1,[2]stages!$2:$2,0)+1,FALSE)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6" s="25">
        <v>4</v>
      </c>
      <c r="H296" s="16" t="str">
        <f>B296&amp;"_"&amp;C296&amp;"-"&amp;G296</f>
        <v>11006_3-4</v>
      </c>
      <c r="I296" s="5">
        <f ca="1">VLOOKUP($H296,OFFSET(floors!$A$1,0,0,COUNTA(floors!$A:$A),MATCH(I$1,floors!$1:$1,0)-MATCH($H$1,floors!$1:$1,0)+1),MATCH(I$1,floors!$1:$1,0)-MATCH($H$1,floors!$1:$1,0)+1,FALSE)</f>
        <v>35</v>
      </c>
      <c r="J296" s="5">
        <f ca="1">VLOOKUP($H296,OFFSET(floors!$A$1,0,0,COUNTA(floors!$A:$A),MATCH(J$1,floors!$1:$1,0)-MATCH($H$1,floors!$1:$1,0)+1),MATCH(J$1,floors!$1:$1,0)-MATCH($H$1,floors!$1:$1,0)+1,FALSE)</f>
        <v>60</v>
      </c>
      <c r="K296" s="24" t="s">
        <v>197</v>
      </c>
      <c r="L296" s="24">
        <v>125</v>
      </c>
      <c r="M296" s="20" t="str">
        <f ca="1">VLOOKUP($L296,OFFSET([3]enemies!$A$1,0,0,COUNTA([3]enemies!$A:$A),MATCH(M$1,[3]enemies!$1:$1,0)-MATCH($L$1,[3]enemies!$1:$1,0)+1),MATCH(M$1,[3]enemies!$1:$1,0)-MATCH($L$1,[3]enemies!$1:$1,0)+1,FALSE)</f>
        <v>秘術の果実</v>
      </c>
      <c r="N296" s="20" t="str">
        <f ca="1">VLOOKUP($L296,OFFSET([3]enemies!$A$1,0,0,COUNTA([3]enemies!$A:$A),MATCH(N$1,[3]enemies!$1:$1,0)-MATCH($L$1,[3]enemies!$1:$1,0)+1),MATCH(N$1,[3]enemies!$1:$1,0)-MATCH($L$1,[3]enemies!$1:$1,0)+1,FALSE)</f>
        <v>blue</v>
      </c>
      <c r="O296" s="22" t="str">
        <f ca="1">VLOOKUP($L296,OFFSET([4]characters!$A$1,0,0,COUNTA([4]characters!$A:$A),MATCH(O$1,[4]characters!$1:$1,0)-MATCH($L$1,[4]characters!$1:$1,0)+1),MATCH(O$1,[4]characters!$1:$1,0)-MATCH($L$1,[4]characters!$1:$1,0)+1,FALSE)</f>
        <v>Material</v>
      </c>
      <c r="P296" s="20" t="str">
        <f ca="1">VLOOKUP($L296,OFFSET([3]enemies!$A$1,0,0,COUNTA([3]enemies!$A:$A),MATCH(P$1,[3]enemies!$1:$1,0)-MATCH($L$1,[3]enemies!$1:$1,0)+1),MATCH(P$1,[3]enemies!$1:$1,0)-MATCH($L$1,[3]enemies!$1:$1,0)+1,FALSE)</f>
        <v>unknown</v>
      </c>
      <c r="Q296" s="20">
        <f ca="1">VLOOKUP($L296,OFFSET([3]enemies!$A$1,0,0,COUNTA([3]enemies!$A:$A),MATCH(Q$1,[3]enemies!$1:$1,0)-MATCH($L$1,[3]enemies!$1:$1,0)+1),MATCH(Q$1,[3]enemies!$1:$1,0)-MATCH($L$1,[3]enemies!$1:$1,0)+1,FALSE)</f>
        <v>20</v>
      </c>
      <c r="R296" s="6">
        <v>32</v>
      </c>
      <c r="S296" s="39">
        <v>0.4</v>
      </c>
      <c r="T296" s="39">
        <v>1</v>
      </c>
      <c r="U296" s="6">
        <v>0</v>
      </c>
      <c r="V296" s="5" t="str">
        <f ca="1">VLOOKUP($W296,OFFSET(enemy_skill_sets!$B$1,0,0,COUNTA(enemy_skill_sets!$B:$B),MATCH(M$1,enemy_skill_sets!$1:$1,0)-MATCH($W$1,enemy_skill_sets!$1:$1,0)+2),MATCH(M$1,enemy_skill_sets!$1:$1,0)-MATCH($W$1,enemy_skill_sets!$1:$1,0)+2,FALSE)</f>
        <v>この果実は ターン0で自爆する！_x000D_ターゲットして 早めに倒そう！</v>
      </c>
      <c r="W296" s="36">
        <v>11006040</v>
      </c>
      <c r="X296" s="7">
        <v>0</v>
      </c>
      <c r="Y296" s="7">
        <v>10</v>
      </c>
      <c r="Z296" s="7">
        <v>1</v>
      </c>
      <c r="AA296" s="37">
        <v>3</v>
      </c>
      <c r="AB296" s="2">
        <f>L296</f>
        <v>125</v>
      </c>
      <c r="AC296" s="5" t="str">
        <f ca="1">IFERROR(VLOOKUP($AB296,OFFSET([4]characters!$A$1,0,0,COUNTA([4]characters!$A:$A),MATCH(AC$1,[4]characters!$1:$1,0)-MATCH("character_id",[4]characters!$1:$1,0)+1),MATCH(AC$1,[4]characters!$1:$1,0)-MATCH("character_id",[4]characters!$1:$1,0)+1,FALSE),"")</f>
        <v>秘術の果実</v>
      </c>
      <c r="AD296" s="5">
        <f ca="1">IFERROR(VLOOKUP($AB296,OFFSET([4]characters!$A$1,0,0,COUNTA([4]characters!$A:$A),MATCH(AD$1,[4]characters!$1:$1,0)-MATCH("character_id",[4]characters!$1:$1,0)+1),MATCH(AD$1,[4]characters!$1:$1,0)-MATCH("character_id",[4]characters!$1:$1,0)+1,FALSE),"")</f>
        <v>3</v>
      </c>
      <c r="AE296" s="5" t="str">
        <f ca="1">IFERROR(VLOOKUP($AB296,OFFSET([4]characters!$A$1,0,0,COUNTA([4]characters!$A:$A),MATCH(AE$1,[4]characters!$1:$1,0)-MATCH("character_id",[4]characters!$1:$1,0)+1),MATCH(AE$1,[4]characters!$1:$1,0)-MATCH("character_id",[4]characters!$1:$1,0)+1,FALSE),"")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6" s="8">
        <v>1</v>
      </c>
      <c r="AG296" s="27">
        <f t="shared" ref="AG296:AG304" ca="1" si="191">AD296</f>
        <v>3</v>
      </c>
      <c r="AH296" s="9">
        <v>100</v>
      </c>
      <c r="AI296" s="8">
        <v>0</v>
      </c>
      <c r="AJ296" s="8">
        <v>0</v>
      </c>
      <c r="AK296" s="8">
        <v>0</v>
      </c>
      <c r="AL296" s="8">
        <v>0</v>
      </c>
      <c r="AM296" s="8">
        <v>1</v>
      </c>
      <c r="AN296" s="8">
        <v>1</v>
      </c>
    </row>
    <row r="297" spans="1:40" ht="21" customHeight="1" x14ac:dyDescent="0.15">
      <c r="A297" s="17" t="str">
        <f t="shared" ref="A297:A299" ca="1" si="192">B297&amp;"_"&amp;C297&amp;"-"&amp;G297&amp;"/"&amp;L297&amp;"&lt;lv"&amp;R297&amp;"&gt;s"&amp;AA297</f>
        <v>11006_3-4/118&lt;lv3&gt;s2</v>
      </c>
      <c r="B297" s="8">
        <v>11006</v>
      </c>
      <c r="C297" s="25">
        <v>3</v>
      </c>
      <c r="D297" s="2" t="str">
        <f t="shared" ref="D297:D299" si="193">B297&amp;"_"&amp;C297</f>
        <v>11006_3</v>
      </c>
      <c r="E297" s="5" t="str">
        <f ca="1">VLOOKUP($B297,OFFSET([2]quests!$A$1,0,0,COUNTA([2]quests!$A:$A),MATCH(E$1,[2]quests!$1:$1,0)-MATCH($B$1,[2]quests!$1:$1,0)+1),MATCH(E$1,[2]quests!$1:$1,0)-MATCH($B$1,[2]quests!$1:$1,0)+1,FALSE)</f>
        <v>【土日限定】 ゴールドカジノ</v>
      </c>
      <c r="F297" s="5" t="str">
        <f ca="1">VLOOKUP($D297,OFFSET([2]stages!$A$1,0,0,COUNTA([2]stages!$A:$A),MATCH(F$1,[2]stages!$2:$2,0)-MATCH($D$1,[2]stages!$2:$2,0)+1),MATCH(F$1,[2]stages!$2:$2,0)-MATCH($D$1,[2]stages!$2:$2,0)+1,FALSE)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7" s="25">
        <v>4</v>
      </c>
      <c r="H297" s="16" t="str">
        <f t="shared" ref="H297:H299" si="194">B297&amp;"_"&amp;C297&amp;"-"&amp;G297</f>
        <v>11006_3-4</v>
      </c>
      <c r="I297" s="5">
        <f ca="1">VLOOKUP($H297,OFFSET(floors!$A$1,0,0,COUNTA(floors!$A:$A),MATCH(I$1,floors!$1:$1,0)-MATCH($H$1,floors!$1:$1,0)+1),MATCH(I$1,floors!$1:$1,0)-MATCH($H$1,floors!$1:$1,0)+1,FALSE)</f>
        <v>35</v>
      </c>
      <c r="J297" s="5">
        <f ca="1">VLOOKUP($H297,OFFSET(floors!$A$1,0,0,COUNTA(floors!$A:$A),MATCH(J$1,floors!$1:$1,0)-MATCH($H$1,floors!$1:$1,0)+1),MATCH(J$1,floors!$1:$1,0)-MATCH($H$1,floors!$1:$1,0)+1,FALSE)</f>
        <v>60</v>
      </c>
      <c r="K297" s="24" t="s">
        <v>197</v>
      </c>
      <c r="L297" s="24">
        <v>118</v>
      </c>
      <c r="M297" s="20" t="str">
        <f ca="1">VLOOKUP($L297,OFFSET([3]enemies!$A$1,0,0,COUNTA([3]enemies!$A:$A),MATCH(M$1,[3]enemies!$1:$1,0)-MATCH($L$1,[3]enemies!$1:$1,0)+1),MATCH(M$1,[3]enemies!$1:$1,0)-MATCH($L$1,[3]enemies!$1:$1,0)+1,FALSE)</f>
        <v>ゴールドチック</v>
      </c>
      <c r="N297" s="20" t="str">
        <f ca="1">VLOOKUP($L297,OFFSET([3]enemies!$A$1,0,0,COUNTA([3]enemies!$A:$A),MATCH(N$1,[3]enemies!$1:$1,0)-MATCH($L$1,[3]enemies!$1:$1,0)+1),MATCH(N$1,[3]enemies!$1:$1,0)-MATCH($L$1,[3]enemies!$1:$1,0)+1,FALSE)</f>
        <v>yellow</v>
      </c>
      <c r="O297" s="22" t="str">
        <f ca="1">VLOOKUP($L297,OFFSET([4]characters!$A$1,0,0,COUNTA([4]characters!$A:$A),MATCH(O$1,[4]characters!$1:$1,0)-MATCH($L$1,[4]characters!$1:$1,0)+1),MATCH(O$1,[4]characters!$1:$1,0)-MATCH($L$1,[4]characters!$1:$1,0)+1,FALSE)</f>
        <v>Material</v>
      </c>
      <c r="P297" s="20" t="str">
        <f ca="1">VLOOKUP($L297,OFFSET([3]enemies!$A$1,0,0,COUNTA([3]enemies!$A:$A),MATCH(P$1,[3]enemies!$1:$1,0)-MATCH($L$1,[3]enemies!$1:$1,0)+1),MATCH(P$1,[3]enemies!$1:$1,0)-MATCH($L$1,[3]enemies!$1:$1,0)+1,FALSE)</f>
        <v>unknown</v>
      </c>
      <c r="Q297" s="20">
        <f ca="1">VLOOKUP($L297,OFFSET([3]enemies!$A$1,0,0,COUNTA([3]enemies!$A:$A),MATCH(Q$1,[3]enemies!$1:$1,0)-MATCH($L$1,[3]enemies!$1:$1,0)+1),MATCH(Q$1,[3]enemies!$1:$1,0)-MATCH($L$1,[3]enemies!$1:$1,0)+1,FALSE)</f>
        <v>15</v>
      </c>
      <c r="R297" s="6">
        <v>3</v>
      </c>
      <c r="S297" s="39">
        <v>28.8</v>
      </c>
      <c r="T297" s="39">
        <v>38.5</v>
      </c>
      <c r="U297" s="6">
        <v>0</v>
      </c>
      <c r="V297" s="5" t="str">
        <f ca="1">VLOOKUP($W297,OFFSET([5]enemy_skill_sets!$B$1,0,0,COUNTA([5]enemy_skill_sets!$B:$B),MATCH(M$1,[5]enemy_skill_sets!$1:$1,0)-MATCH($W$1,[5]enemy_skill_sets!$1:$1,0)+2),MATCH(M$1,[5]enemy_skill_sets!$1:$1,0)-MATCH($W$1,[5]enemy_skill_sets!$1:$1,0)+2,FALSE)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7" s="5">
        <f ca="1">VLOOKUP($L297,OFFSET([3]enemies!$A$1,0,0,COUNTA([3]enemies!$A:$A),MATCH(W$1,[3]enemies!$1:$1,0)-MATCH($L$1,[3]enemies!$1:$1,0)+1),MATCH(W$1,[3]enemies!$1:$1,0)-MATCH($L$1,[3]enemies!$1:$1,0)+1,FALSE)</f>
        <v>0</v>
      </c>
      <c r="X297" s="7">
        <v>0</v>
      </c>
      <c r="Y297" s="7">
        <v>40</v>
      </c>
      <c r="Z297" s="7">
        <v>1</v>
      </c>
      <c r="AA297" s="20">
        <f ca="1">VLOOKUP($L297,OFFSET([3]enemies!$A$1,0,0,COUNTA([3]enemies!$A:$A),MATCH(AA$1,[3]enemies!$1:$1,0)-MATCH($L$1,[3]enemies!$1:$1,0)+1),MATCH(AA$1,[3]enemies!$1:$1,0)-MATCH($L$1,[3]enemies!$1:$1,0)+1,FALSE)</f>
        <v>2</v>
      </c>
      <c r="AB297" s="2">
        <f t="shared" ref="AB297:AB299" si="195">L297</f>
        <v>118</v>
      </c>
      <c r="AC297" s="5" t="str">
        <f ca="1">IFERROR(VLOOKUP($AB297,OFFSET([4]characters!$A$1,0,0,COUNTA([4]characters!$A:$A),MATCH(AC$1,[4]characters!$1:$1,0)-MATCH("character_id",[4]characters!$1:$1,0)+1),MATCH(AC$1,[4]characters!$1:$1,0)-MATCH("character_id",[4]characters!$1:$1,0)+1,FALSE),"")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97" s="5">
        <f ca="1">IFERROR(VLOOKUP($AB297,OFFSET([4]characters!$A$1,0,0,COUNTA([4]characters!$A:$A),MATCH(AD$1,[4]characters!$1:$1,0)-MATCH("character_id",[4]characters!$1:$1,0)+1),MATCH(AD$1,[4]characters!$1:$1,0)-MATCH("character_id",[4]characters!$1:$1,0)+1,FALSE),"")</f>
        <v>4</v>
      </c>
      <c r="AE297" s="5" t="str">
        <f ca="1">IFERROR(VLOOKUP($AB297,OFFSET([4]characters!$A$1,0,0,COUNTA([4]characters!$A:$A),MATCH(AE$1,[4]characters!$1:$1,0)-MATCH("character_id",[4]characters!$1:$1,0)+1),MATCH(AE$1,[4]characters!$1:$1,0)-MATCH("character_id",[4]characters!$1:$1,0)+1,FALSE),"")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7" s="8">
        <v>1</v>
      </c>
      <c r="AG297" s="27">
        <f t="shared" ca="1" si="191"/>
        <v>4</v>
      </c>
      <c r="AH297" s="9">
        <v>100</v>
      </c>
      <c r="AI297" s="8">
        <v>0</v>
      </c>
      <c r="AJ297" s="8">
        <v>0</v>
      </c>
      <c r="AK297" s="8">
        <v>0</v>
      </c>
      <c r="AL297" s="8">
        <v>0</v>
      </c>
      <c r="AM297" s="8">
        <v>1</v>
      </c>
      <c r="AN297" s="8">
        <v>1</v>
      </c>
    </row>
    <row r="298" spans="1:40" ht="21" customHeight="1" x14ac:dyDescent="0.15">
      <c r="A298" s="17" t="str">
        <f ca="1">B298&amp;"_"&amp;C298&amp;"-"&amp;G298&amp;"/"&amp;L298&amp;"&lt;lv"&amp;R298&amp;"&gt;s"&amp;AA298</f>
        <v>11006_3-4/118&lt;lv1&gt;s2</v>
      </c>
      <c r="B298" s="8">
        <v>11006</v>
      </c>
      <c r="C298" s="25">
        <v>3</v>
      </c>
      <c r="D298" s="16" t="str">
        <f>B298&amp;"_"&amp;C298</f>
        <v>11006_3</v>
      </c>
      <c r="E298" s="5" t="str">
        <f ca="1">VLOOKUP($B298,OFFSET([2]quests!$A$1,0,0,COUNTA([2]quests!$A:$A),MATCH(E$1,[2]quests!$1:$1,0)-MATCH($B$1,[2]quests!$1:$1,0)+1),MATCH(E$1,[2]quests!$1:$1,0)-MATCH($B$1,[2]quests!$1:$1,0)+1,FALSE)</f>
        <v>【土日限定】 ゴールドカジノ</v>
      </c>
      <c r="F298" s="5" t="str">
        <f ca="1">VLOOKUP($D298,OFFSET([2]stages!$A$1,0,0,COUNTA([2]stages!$A:$A),MATCH(F$1,[2]stages!$2:$2,0)-MATCH($D$1,[2]stages!$2:$2,0)+1),MATCH(F$1,[2]stages!$2:$2,0)-MATCH($D$1,[2]stages!$2:$2,0)+1,FALSE)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8" s="25">
        <v>4</v>
      </c>
      <c r="H298" s="16" t="str">
        <f>B298&amp;"_"&amp;C298&amp;"-"&amp;G298</f>
        <v>11006_3-4</v>
      </c>
      <c r="I298" s="5">
        <f ca="1">VLOOKUP($H298,OFFSET(floors!$A$1,0,0,COUNTA(floors!$A:$A),MATCH(I$1,floors!$1:$1,0)-MATCH($H$1,floors!$1:$1,0)+1),MATCH(I$1,floors!$1:$1,0)-MATCH($H$1,floors!$1:$1,0)+1,FALSE)</f>
        <v>35</v>
      </c>
      <c r="J298" s="5">
        <f ca="1">VLOOKUP($H298,OFFSET(floors!$A$1,0,0,COUNTA(floors!$A:$A),MATCH(J$1,floors!$1:$1,0)-MATCH($H$1,floors!$1:$1,0)+1),MATCH(J$1,floors!$1:$1,0)-MATCH($H$1,floors!$1:$1,0)+1,FALSE)</f>
        <v>60</v>
      </c>
      <c r="K298" s="24" t="s">
        <v>197</v>
      </c>
      <c r="L298" s="34">
        <v>118</v>
      </c>
      <c r="M298" s="20" t="str">
        <f ca="1">VLOOKUP($L298,OFFSET([3]enemies!$A$1,0,0,COUNTA([3]enemies!$A:$A),MATCH(M$1,[3]enemies!$1:$1,0)-MATCH($L$1,[3]enemies!$1:$1,0)+1),MATCH(M$1,[3]enemies!$1:$1,0)-MATCH($L$1,[3]enemies!$1:$1,0)+1,FALSE)</f>
        <v>ゴールドチック</v>
      </c>
      <c r="N298" s="20" t="str">
        <f ca="1">VLOOKUP($L298,OFFSET([3]enemies!$A$1,0,0,COUNTA([3]enemies!$A:$A),MATCH(N$1,[3]enemies!$1:$1,0)-MATCH($L$1,[3]enemies!$1:$1,0)+1),MATCH(N$1,[3]enemies!$1:$1,0)-MATCH($L$1,[3]enemies!$1:$1,0)+1,FALSE)</f>
        <v>yellow</v>
      </c>
      <c r="O298" s="22" t="str">
        <f ca="1">VLOOKUP($L298,OFFSET([4]characters!$A$1,0,0,COUNTA([4]characters!$A:$A),MATCH(O$1,[4]characters!$1:$1,0)-MATCH($L$1,[4]characters!$1:$1,0)+1),MATCH(O$1,[4]characters!$1:$1,0)-MATCH($L$1,[4]characters!$1:$1,0)+1,FALSE)</f>
        <v>Material</v>
      </c>
      <c r="P298" s="20" t="str">
        <f ca="1">VLOOKUP($L298,OFFSET([3]enemies!$A$1,0,0,COUNTA([3]enemies!$A:$A),MATCH(P$1,[3]enemies!$1:$1,0)-MATCH($L$1,[3]enemies!$1:$1,0)+1),MATCH(P$1,[3]enemies!$1:$1,0)-MATCH($L$1,[3]enemies!$1:$1,0)+1,FALSE)</f>
        <v>unknown</v>
      </c>
      <c r="Q298" s="20">
        <f ca="1">VLOOKUP($L298,OFFSET([3]enemies!$A$1,0,0,COUNTA([3]enemies!$A:$A),MATCH(Q$1,[3]enemies!$1:$1,0)-MATCH($L$1,[3]enemies!$1:$1,0)+1),MATCH(Q$1,[3]enemies!$1:$1,0)-MATCH($L$1,[3]enemies!$1:$1,0)+1,FALSE)</f>
        <v>15</v>
      </c>
      <c r="R298" s="6">
        <v>1</v>
      </c>
      <c r="S298" s="39">
        <v>40.5</v>
      </c>
      <c r="T298" s="39">
        <v>38.5</v>
      </c>
      <c r="U298" s="6">
        <v>0</v>
      </c>
      <c r="V298" s="5" t="str">
        <f ca="1">VLOOKUP($W298,OFFSET([5]enemy_skill_sets!$B$1,0,0,COUNTA([5]enemy_skill_sets!$B:$B),MATCH(M$1,[5]enemy_skill_sets!$1:$1,0)-MATCH($W$1,[5]enemy_skill_sets!$1:$1,0)+2),MATCH(M$1,[5]enemy_skill_sets!$1:$1,0)-MATCH($W$1,[5]enemy_skill_sets!$1:$1,0)+2,FALSE)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8" s="5">
        <f ca="1">VLOOKUP($L298,OFFSET([3]enemies!$A$1,0,0,COUNTA([3]enemies!$A:$A),MATCH(W$1,[3]enemies!$1:$1,0)-MATCH($L$1,[3]enemies!$1:$1,0)+1),MATCH(W$1,[3]enemies!$1:$1,0)-MATCH($L$1,[3]enemies!$1:$1,0)+1,FALSE)</f>
        <v>0</v>
      </c>
      <c r="X298" s="7">
        <v>1</v>
      </c>
      <c r="Y298" s="7">
        <v>0</v>
      </c>
      <c r="Z298" s="7">
        <v>2</v>
      </c>
      <c r="AA298" s="20">
        <f ca="1">VLOOKUP($L298,OFFSET([3]enemies!$A$1,0,0,COUNTA([3]enemies!$A:$A),MATCH(AA$1,[3]enemies!$1:$1,0)-MATCH($L$1,[3]enemies!$1:$1,0)+1),MATCH(AA$1,[3]enemies!$1:$1,0)-MATCH($L$1,[3]enemies!$1:$1,0)+1,FALSE)</f>
        <v>2</v>
      </c>
      <c r="AB298" s="2">
        <f>L298</f>
        <v>118</v>
      </c>
      <c r="AC298" s="5" t="str">
        <f ca="1">IFERROR(VLOOKUP($AB298,OFFSET([4]characters!$A$1,0,0,COUNTA([4]characters!$A:$A),MATCH(AC$1,[4]characters!$1:$1,0)-MATCH("character_id",[4]characters!$1:$1,0)+1),MATCH(AC$1,[4]characters!$1:$1,0)-MATCH("character_id",[4]characters!$1:$1,0)+1,FALSE),"")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98" s="5">
        <f ca="1">IFERROR(VLOOKUP($AB298,OFFSET([4]characters!$A$1,0,0,COUNTA([4]characters!$A:$A),MATCH(AD$1,[4]characters!$1:$1,0)-MATCH("character_id",[4]characters!$1:$1,0)+1),MATCH(AD$1,[4]characters!$1:$1,0)-MATCH("character_id",[4]characters!$1:$1,0)+1,FALSE),"")</f>
        <v>4</v>
      </c>
      <c r="AE298" s="5" t="str">
        <f ca="1">IFERROR(VLOOKUP($AB298,OFFSET([4]characters!$A$1,0,0,COUNTA([4]characters!$A:$A),MATCH(AE$1,[4]characters!$1:$1,0)-MATCH("character_id",[4]characters!$1:$1,0)+1),MATCH(AE$1,[4]characters!$1:$1,0)-MATCH("character_id",[4]characters!$1:$1,0)+1,FALSE),"")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8" s="28">
        <v>1</v>
      </c>
      <c r="AG298" s="27">
        <f ca="1">AD298</f>
        <v>4</v>
      </c>
      <c r="AH298" s="9">
        <v>100</v>
      </c>
      <c r="AI298" s="28">
        <v>0</v>
      </c>
      <c r="AJ298" s="28">
        <v>0</v>
      </c>
      <c r="AK298" s="28">
        <v>0</v>
      </c>
      <c r="AL298" s="28">
        <v>0</v>
      </c>
      <c r="AM298" s="28">
        <v>1</v>
      </c>
      <c r="AN298" s="28">
        <v>1</v>
      </c>
    </row>
    <row r="299" spans="1:40" ht="21" customHeight="1" x14ac:dyDescent="0.15">
      <c r="A299" s="17" t="str">
        <f t="shared" ca="1" si="192"/>
        <v>11006_3-4/118&lt;lv2&gt;s2</v>
      </c>
      <c r="B299" s="8">
        <v>11006</v>
      </c>
      <c r="C299" s="25">
        <v>3</v>
      </c>
      <c r="D299" s="16" t="str">
        <f t="shared" si="193"/>
        <v>11006_3</v>
      </c>
      <c r="E299" s="5" t="str">
        <f ca="1">VLOOKUP($B299,OFFSET([2]quests!$A$1,0,0,COUNTA([2]quests!$A:$A),MATCH(E$1,[2]quests!$1:$1,0)-MATCH($B$1,[2]quests!$1:$1,0)+1),MATCH(E$1,[2]quests!$1:$1,0)-MATCH($B$1,[2]quests!$1:$1,0)+1,FALSE)</f>
        <v>【土日限定】 ゴールドカジノ</v>
      </c>
      <c r="F299" s="5" t="str">
        <f ca="1">VLOOKUP($D299,OFFSET([2]stages!$A$1,0,0,COUNTA([2]stages!$A:$A),MATCH(F$1,[2]stages!$2:$2,0)-MATCH($D$1,[2]stages!$2:$2,0)+1),MATCH(F$1,[2]stages!$2:$2,0)-MATCH($D$1,[2]stages!$2:$2,0)+1,FALSE)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299" s="25">
        <v>4</v>
      </c>
      <c r="H299" s="16" t="str">
        <f t="shared" si="194"/>
        <v>11006_3-4</v>
      </c>
      <c r="I299" s="5">
        <f ca="1">VLOOKUP($H299,OFFSET(floors!$A$1,0,0,COUNTA(floors!$A:$A),MATCH(I$1,floors!$1:$1,0)-MATCH($H$1,floors!$1:$1,0)+1),MATCH(I$1,floors!$1:$1,0)-MATCH($H$1,floors!$1:$1,0)+1,FALSE)</f>
        <v>35</v>
      </c>
      <c r="J299" s="5">
        <f ca="1">VLOOKUP($H299,OFFSET(floors!$A$1,0,0,COUNTA(floors!$A:$A),MATCH(J$1,floors!$1:$1,0)-MATCH($H$1,floors!$1:$1,0)+1),MATCH(J$1,floors!$1:$1,0)-MATCH($H$1,floors!$1:$1,0)+1,FALSE)</f>
        <v>60</v>
      </c>
      <c r="K299" s="24" t="s">
        <v>197</v>
      </c>
      <c r="L299" s="34">
        <v>118</v>
      </c>
      <c r="M299" s="20" t="str">
        <f ca="1">VLOOKUP($L299,OFFSET([3]enemies!$A$1,0,0,COUNTA([3]enemies!$A:$A),MATCH(M$1,[3]enemies!$1:$1,0)-MATCH($L$1,[3]enemies!$1:$1,0)+1),MATCH(M$1,[3]enemies!$1:$1,0)-MATCH($L$1,[3]enemies!$1:$1,0)+1,FALSE)</f>
        <v>ゴールドチック</v>
      </c>
      <c r="N299" s="20" t="str">
        <f ca="1">VLOOKUP($L299,OFFSET([3]enemies!$A$1,0,0,COUNTA([3]enemies!$A:$A),MATCH(N$1,[3]enemies!$1:$1,0)-MATCH($L$1,[3]enemies!$1:$1,0)+1),MATCH(N$1,[3]enemies!$1:$1,0)-MATCH($L$1,[3]enemies!$1:$1,0)+1,FALSE)</f>
        <v>yellow</v>
      </c>
      <c r="O299" s="22" t="str">
        <f ca="1">VLOOKUP($L299,OFFSET([4]characters!$A$1,0,0,COUNTA([4]characters!$A:$A),MATCH(O$1,[4]characters!$1:$1,0)-MATCH($L$1,[4]characters!$1:$1,0)+1),MATCH(O$1,[4]characters!$1:$1,0)-MATCH($L$1,[4]characters!$1:$1,0)+1,FALSE)</f>
        <v>Material</v>
      </c>
      <c r="P299" s="20" t="str">
        <f ca="1">VLOOKUP($L299,OFFSET([3]enemies!$A$1,0,0,COUNTA([3]enemies!$A:$A),MATCH(P$1,[3]enemies!$1:$1,0)-MATCH($L$1,[3]enemies!$1:$1,0)+1),MATCH(P$1,[3]enemies!$1:$1,0)-MATCH($L$1,[3]enemies!$1:$1,0)+1,FALSE)</f>
        <v>unknown</v>
      </c>
      <c r="Q299" s="20">
        <f ca="1">VLOOKUP($L299,OFFSET([3]enemies!$A$1,0,0,COUNTA([3]enemies!$A:$A),MATCH(Q$1,[3]enemies!$1:$1,0)-MATCH($L$1,[3]enemies!$1:$1,0)+1),MATCH(Q$1,[3]enemies!$1:$1,0)-MATCH($L$1,[3]enemies!$1:$1,0)+1,FALSE)</f>
        <v>15</v>
      </c>
      <c r="R299" s="6">
        <v>2</v>
      </c>
      <c r="S299" s="39">
        <v>28.8</v>
      </c>
      <c r="T299" s="39">
        <v>38.5</v>
      </c>
      <c r="U299" s="6">
        <v>0</v>
      </c>
      <c r="V299" s="5" t="str">
        <f ca="1">VLOOKUP($W299,OFFSET([5]enemy_skill_sets!$B$1,0,0,COUNTA([5]enemy_skill_sets!$B:$B),MATCH(M$1,[5]enemy_skill_sets!$1:$1,0)-MATCH($W$1,[5]enemy_skill_sets!$1:$1,0)+2),MATCH(M$1,[5]enemy_skill_sets!$1:$1,0)-MATCH($W$1,[5]enemy_skill_sets!$1:$1,0)+2,FALSE)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9" s="5">
        <f ca="1">VLOOKUP($L299,OFFSET([3]enemies!$A$1,0,0,COUNTA([3]enemies!$A:$A),MATCH(W$1,[3]enemies!$1:$1,0)-MATCH($L$1,[3]enemies!$1:$1,0)+1),MATCH(W$1,[3]enemies!$1:$1,0)-MATCH($L$1,[3]enemies!$1:$1,0)+1,FALSE)</f>
        <v>0</v>
      </c>
      <c r="X299" s="7">
        <v>0</v>
      </c>
      <c r="Y299" s="7">
        <v>10</v>
      </c>
      <c r="Z299" s="7">
        <v>0</v>
      </c>
      <c r="AA299" s="20">
        <f ca="1">VLOOKUP($L299,OFFSET([3]enemies!$A$1,0,0,COUNTA([3]enemies!$A:$A),MATCH(AA$1,[3]enemies!$1:$1,0)-MATCH($L$1,[3]enemies!$1:$1,0)+1),MATCH(AA$1,[3]enemies!$1:$1,0)-MATCH($L$1,[3]enemies!$1:$1,0)+1,FALSE)</f>
        <v>2</v>
      </c>
      <c r="AB299" s="2">
        <f t="shared" si="195"/>
        <v>118</v>
      </c>
      <c r="AC299" s="5" t="str">
        <f ca="1">IFERROR(VLOOKUP($AB299,OFFSET([4]characters!$A$1,0,0,COUNTA([4]characters!$A:$A),MATCH(AC$1,[4]characters!$1:$1,0)-MATCH("character_id",[4]characters!$1:$1,0)+1),MATCH(AC$1,[4]characters!$1:$1,0)-MATCH("character_id",[4]characters!$1:$1,0)+1,FALSE),"")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299" s="5">
        <f ca="1">IFERROR(VLOOKUP($AB299,OFFSET([4]characters!$A$1,0,0,COUNTA([4]characters!$A:$A),MATCH(AD$1,[4]characters!$1:$1,0)-MATCH("character_id",[4]characters!$1:$1,0)+1),MATCH(AD$1,[4]characters!$1:$1,0)-MATCH("character_id",[4]characters!$1:$1,0)+1,FALSE),"")</f>
        <v>4</v>
      </c>
      <c r="AE299" s="5" t="str">
        <f ca="1">IFERROR(VLOOKUP($AB299,OFFSET([4]characters!$A$1,0,0,COUNTA([4]characters!$A:$A),MATCH(AE$1,[4]characters!$1:$1,0)-MATCH("character_id",[4]characters!$1:$1,0)+1),MATCH(AE$1,[4]characters!$1:$1,0)-MATCH("character_id",[4]characters!$1:$1,0)+1,FALSE),"")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9" s="28">
        <v>1</v>
      </c>
      <c r="AG299" s="27">
        <f t="shared" ref="AG299" ca="1" si="196">AD299</f>
        <v>4</v>
      </c>
      <c r="AH299" s="9">
        <v>0</v>
      </c>
      <c r="AI299" s="28">
        <v>0</v>
      </c>
      <c r="AJ299" s="28">
        <v>0</v>
      </c>
      <c r="AK299" s="28">
        <v>0</v>
      </c>
      <c r="AL299" s="28">
        <v>0</v>
      </c>
      <c r="AM299" s="28">
        <v>1</v>
      </c>
      <c r="AN299" s="28">
        <v>1</v>
      </c>
    </row>
    <row r="300" spans="1:40" ht="21" customHeight="1" x14ac:dyDescent="0.15">
      <c r="A300" s="17" t="str">
        <f t="shared" ref="A300" ca="1" si="197">B300&amp;"_"&amp;C300&amp;"-"&amp;G300&amp;"/"&amp;L300&amp;"&lt;lv"&amp;R300&amp;"&gt;s"&amp;AA300</f>
        <v>11006_3-4/63&lt;lv32&gt;s2</v>
      </c>
      <c r="B300" s="8">
        <v>11006</v>
      </c>
      <c r="C300" s="25">
        <v>3</v>
      </c>
      <c r="D300" s="2" t="str">
        <f t="shared" ref="D300" si="198">B300&amp;"_"&amp;C300</f>
        <v>11006_3</v>
      </c>
      <c r="E300" s="5" t="str">
        <f ca="1">VLOOKUP($B300,OFFSET([2]quests!$A$1,0,0,COUNTA([2]quests!$A:$A),MATCH(E$1,[2]quests!$1:$1,0)-MATCH($B$1,[2]quests!$1:$1,0)+1),MATCH(E$1,[2]quests!$1:$1,0)-MATCH($B$1,[2]quests!$1:$1,0)+1,FALSE)</f>
        <v>【土日限定】 ゴールドカジノ</v>
      </c>
      <c r="F300" s="5" t="str">
        <f ca="1">VLOOKUP($D300,OFFSET([2]stages!$A$1,0,0,COUNTA([2]stages!$A:$A),MATCH(F$1,[2]stages!$2:$2,0)-MATCH($D$1,[2]stages!$2:$2,0)+1),MATCH(F$1,[2]stages!$2:$2,0)-MATCH($D$1,[2]stages!$2:$2,0)+1,FALSE)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00" s="25">
        <v>4</v>
      </c>
      <c r="H300" s="16" t="str">
        <f t="shared" ref="H300" si="199">B300&amp;"_"&amp;C300&amp;"-"&amp;G300</f>
        <v>11006_3-4</v>
      </c>
      <c r="I300" s="5">
        <f ca="1">VLOOKUP($H300,OFFSET(floors!$A$1,0,0,COUNTA(floors!$A:$A),MATCH(I$1,floors!$1:$1,0)-MATCH($H$1,floors!$1:$1,0)+1),MATCH(I$1,floors!$1:$1,0)-MATCH($H$1,floors!$1:$1,0)+1,FALSE)</f>
        <v>35</v>
      </c>
      <c r="J300" s="5">
        <f ca="1">VLOOKUP($H300,OFFSET(floors!$A$1,0,0,COUNTA(floors!$A:$A),MATCH(J$1,floors!$1:$1,0)-MATCH($H$1,floors!$1:$1,0)+1),MATCH(J$1,floors!$1:$1,0)-MATCH($H$1,floors!$1:$1,0)+1,FALSE)</f>
        <v>60</v>
      </c>
      <c r="K300" s="24" t="s">
        <v>197</v>
      </c>
      <c r="L300" s="24">
        <v>63</v>
      </c>
      <c r="M300" s="20" t="str">
        <f ca="1">VLOOKUP($L300,OFFSET([3]enemies!$A$1,0,0,COUNTA([3]enemies!$A:$A),MATCH(M$1,[3]enemies!$1:$1,0)-MATCH($L$1,[3]enemies!$1:$1,0)+1),MATCH(M$1,[3]enemies!$1:$1,0)-MATCH($L$1,[3]enemies!$1:$1,0)+1,FALSE)</f>
        <v>トニー</v>
      </c>
      <c r="N300" s="20" t="str">
        <f ca="1">VLOOKUP($L300,OFFSET([3]enemies!$A$1,0,0,COUNTA([3]enemies!$A:$A),MATCH(N$1,[3]enemies!$1:$1,0)-MATCH($L$1,[3]enemies!$1:$1,0)+1),MATCH(N$1,[3]enemies!$1:$1,0)-MATCH($L$1,[3]enemies!$1:$1,0)+1,FALSE)</f>
        <v>yellow</v>
      </c>
      <c r="O300" s="22" t="str">
        <f ca="1">VLOOKUP($L300,OFFSET([4]characters!$A$1,0,0,COUNTA([4]characters!$A:$A),MATCH(O$1,[4]characters!$1:$1,0)-MATCH($L$1,[4]characters!$1:$1,0)+1),MATCH(O$1,[4]characters!$1:$1,0)-MATCH($L$1,[4]characters!$1:$1,0)+1,FALSE)</f>
        <v>Drop1N</v>
      </c>
      <c r="P300" s="20" t="str">
        <f ca="1">VLOOKUP($L300,OFFSET([3]enemies!$A$1,0,0,COUNTA([3]enemies!$A:$A),MATCH(P$1,[3]enemies!$1:$1,0)-MATCH($L$1,[3]enemies!$1:$1,0)+1),MATCH(P$1,[3]enemies!$1:$1,0)-MATCH($L$1,[3]enemies!$1:$1,0)+1,FALSE)</f>
        <v>animal</v>
      </c>
      <c r="Q300" s="20">
        <f ca="1">VLOOKUP($L300,OFFSET([3]enemies!$A$1,0,0,COUNTA([3]enemies!$A:$A),MATCH(Q$1,[3]enemies!$1:$1,0)-MATCH($L$1,[3]enemies!$1:$1,0)+1),MATCH(Q$1,[3]enemies!$1:$1,0)-MATCH($L$1,[3]enemies!$1:$1,0)+1,FALSE)</f>
        <v>15</v>
      </c>
      <c r="R300" s="6">
        <v>32</v>
      </c>
      <c r="S300" s="39">
        <v>1</v>
      </c>
      <c r="T300" s="39">
        <v>1</v>
      </c>
      <c r="U300" s="6">
        <v>0</v>
      </c>
      <c r="V300" s="5" t="str">
        <f ca="1">VLOOKUP($W300,OFFSET([5]enemy_skill_sets!$B$1,0,0,COUNTA([5]enemy_skill_sets!$B:$B),MATCH(M$1,[5]enemy_skill_sets!$1:$1,0)-MATCH($W$1,[5]enemy_skill_sets!$1:$1,0)+2),MATCH(M$1,[5]enemy_skill_sets!$1:$1,0)-MATCH($W$1,[5]enemy_skill_sets!$1:$1,0)+2,FALSE)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300" s="5">
        <f ca="1">VLOOKUP($L300,OFFSET([3]enemies!$A$1,0,0,COUNTA([3]enemies!$A:$A),MATCH(W$1,[3]enemies!$1:$1,0)-MATCH($L$1,[3]enemies!$1:$1,0)+1),MATCH(W$1,[3]enemies!$1:$1,0)-MATCH($L$1,[3]enemies!$1:$1,0)+1,FALSE)</f>
        <v>63</v>
      </c>
      <c r="X300" s="7">
        <v>0</v>
      </c>
      <c r="Y300" s="7">
        <v>10</v>
      </c>
      <c r="Z300" s="7">
        <v>0</v>
      </c>
      <c r="AA300" s="20">
        <f ca="1">VLOOKUP($L300,OFFSET([3]enemies!$A$1,0,0,COUNTA([3]enemies!$A:$A),MATCH(AA$1,[3]enemies!$1:$1,0)-MATCH($L$1,[3]enemies!$1:$1,0)+1),MATCH(AA$1,[3]enemies!$1:$1,0)-MATCH($L$1,[3]enemies!$1:$1,0)+1,FALSE)</f>
        <v>2</v>
      </c>
      <c r="AB300" s="2">
        <f t="shared" ref="AB300" si="200">L300</f>
        <v>63</v>
      </c>
      <c r="AC300" s="5" t="str">
        <f ca="1">IFERROR(VLOOKUP($AB300,OFFSET([4]characters!$A$1,0,0,COUNTA([4]characters!$A:$A),MATCH(AC$1,[4]characters!$1:$1,0)-MATCH("character_id",[4]characters!$1:$1,0)+1),MATCH(AC$1,[4]characters!$1:$1,0)-MATCH("character_id",[4]characters!$1:$1,0)+1,FALSE),"")</f>
        <v>トニー</v>
      </c>
      <c r="AD300" s="5">
        <f ca="1">IFERROR(VLOOKUP($AB300,OFFSET([4]characters!$A$1,0,0,COUNTA([4]characters!$A:$A),MATCH(AD$1,[4]characters!$1:$1,0)-MATCH("character_id",[4]characters!$1:$1,0)+1),MATCH(AD$1,[4]characters!$1:$1,0)-MATCH("character_id",[4]characters!$1:$1,0)+1,FALSE),"")</f>
        <v>2</v>
      </c>
      <c r="AE300" s="5" t="str">
        <f ca="1">IFERROR(VLOOKUP($AB300,OFFSET([4]characters!$A$1,0,0,COUNTA([4]characters!$A:$A),MATCH(AE$1,[4]characters!$1:$1,0)-MATCH("character_id",[4]characters!$1:$1,0)+1),MATCH(AE$1,[4]characters!$1:$1,0)-MATCH("character_id",[4]characters!$1:$1,0)+1,FALSE),"")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00" s="8">
        <v>1</v>
      </c>
      <c r="AG300" s="27">
        <f t="shared" ca="1" si="191"/>
        <v>2</v>
      </c>
      <c r="AH300" s="9">
        <v>0</v>
      </c>
      <c r="AI300" s="8">
        <v>0</v>
      </c>
      <c r="AJ300" s="8">
        <v>0</v>
      </c>
      <c r="AK300" s="8">
        <v>0</v>
      </c>
      <c r="AL300" s="8">
        <v>0</v>
      </c>
      <c r="AM300" s="8">
        <v>1</v>
      </c>
      <c r="AN300" s="8">
        <v>1</v>
      </c>
    </row>
    <row r="301" spans="1:40" ht="21" customHeight="1" x14ac:dyDescent="0.15">
      <c r="A301" s="17" t="str">
        <f t="shared" ref="A301:A303" ca="1" si="201">B301&amp;"_"&amp;C301&amp;"-"&amp;G301&amp;"/"&amp;L301&amp;"&lt;lv"&amp;R301&amp;"&gt;s"&amp;AA301</f>
        <v>11006_3-4/61&lt;lv32&gt;s2</v>
      </c>
      <c r="B301" s="8">
        <v>11006</v>
      </c>
      <c r="C301" s="25">
        <v>3</v>
      </c>
      <c r="D301" s="16" t="str">
        <f t="shared" ref="D301:D303" si="202">B301&amp;"_"&amp;C301</f>
        <v>11006_3</v>
      </c>
      <c r="E301" s="5" t="str">
        <f ca="1">VLOOKUP($B301,OFFSET([2]quests!$A$1,0,0,COUNTA([2]quests!$A:$A),MATCH(E$1,[2]quests!$1:$1,0)-MATCH($B$1,[2]quests!$1:$1,0)+1),MATCH(E$1,[2]quests!$1:$1,0)-MATCH($B$1,[2]quests!$1:$1,0)+1,FALSE)</f>
        <v>【土日限定】 ゴールドカジノ</v>
      </c>
      <c r="F301" s="5" t="str">
        <f ca="1">VLOOKUP($D301,OFFSET([2]stages!$A$1,0,0,COUNTA([2]stages!$A:$A),MATCH(F$1,[2]stages!$2:$2,0)-MATCH($D$1,[2]stages!$2:$2,0)+1),MATCH(F$1,[2]stages!$2:$2,0)-MATCH($D$1,[2]stages!$2:$2,0)+1,FALSE)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01" s="25">
        <v>4</v>
      </c>
      <c r="H301" s="16" t="str">
        <f t="shared" si="153"/>
        <v>11006_3-4</v>
      </c>
      <c r="I301" s="5">
        <f ca="1">VLOOKUP($H301,OFFSET(floors!$A$1,0,0,COUNTA(floors!$A:$A),MATCH(I$1,floors!$1:$1,0)-MATCH($H$1,floors!$1:$1,0)+1),MATCH(I$1,floors!$1:$1,0)-MATCH($H$1,floors!$1:$1,0)+1,FALSE)</f>
        <v>35</v>
      </c>
      <c r="J301" s="5">
        <f ca="1">VLOOKUP($H301,OFFSET(floors!$A$1,0,0,COUNTA(floors!$A:$A),MATCH(J$1,floors!$1:$1,0)-MATCH($H$1,floors!$1:$1,0)+1),MATCH(J$1,floors!$1:$1,0)-MATCH($H$1,floors!$1:$1,0)+1,FALSE)</f>
        <v>60</v>
      </c>
      <c r="K301" s="24" t="s">
        <v>197</v>
      </c>
      <c r="L301" s="34">
        <v>61</v>
      </c>
      <c r="M301" s="20" t="str">
        <f ca="1">VLOOKUP($L301,OFFSET([3]enemies!$A$1,0,0,COUNTA([3]enemies!$A:$A),MATCH(M$1,[3]enemies!$1:$1,0)-MATCH($L$1,[3]enemies!$1:$1,0)+1),MATCH(M$1,[3]enemies!$1:$1,0)-MATCH($L$1,[3]enemies!$1:$1,0)+1,FALSE)</f>
        <v>クロウ</v>
      </c>
      <c r="N301" s="20" t="str">
        <f ca="1">VLOOKUP($L301,OFFSET([3]enemies!$A$1,0,0,COUNTA([3]enemies!$A:$A),MATCH(N$1,[3]enemies!$1:$1,0)-MATCH($L$1,[3]enemies!$1:$1,0)+1),MATCH(N$1,[3]enemies!$1:$1,0)-MATCH($L$1,[3]enemies!$1:$1,0)+1,FALSE)</f>
        <v>blue</v>
      </c>
      <c r="O301" s="22" t="str">
        <f ca="1">VLOOKUP($L301,OFFSET([4]characters!$A$1,0,0,COUNTA([4]characters!$A:$A),MATCH(O$1,[4]characters!$1:$1,0)-MATCH($L$1,[4]characters!$1:$1,0)+1),MATCH(O$1,[4]characters!$1:$1,0)-MATCH($L$1,[4]characters!$1:$1,0)+1,FALSE)</f>
        <v>Drop1N</v>
      </c>
      <c r="P301" s="20" t="str">
        <f ca="1">VLOOKUP($L301,OFFSET([3]enemies!$A$1,0,0,COUNTA([3]enemies!$A:$A),MATCH(P$1,[3]enemies!$1:$1,0)-MATCH($L$1,[3]enemies!$1:$1,0)+1),MATCH(P$1,[3]enemies!$1:$1,0)-MATCH($L$1,[3]enemies!$1:$1,0)+1,FALSE)</f>
        <v>animal</v>
      </c>
      <c r="Q301" s="20">
        <f ca="1">VLOOKUP($L301,OFFSET([3]enemies!$A$1,0,0,COUNTA([3]enemies!$A:$A),MATCH(Q$1,[3]enemies!$1:$1,0)-MATCH($L$1,[3]enemies!$1:$1,0)+1),MATCH(Q$1,[3]enemies!$1:$1,0)-MATCH($L$1,[3]enemies!$1:$1,0)+1,FALSE)</f>
        <v>15</v>
      </c>
      <c r="R301" s="6">
        <v>32</v>
      </c>
      <c r="S301" s="39">
        <v>1</v>
      </c>
      <c r="T301" s="39">
        <v>1</v>
      </c>
      <c r="U301" s="6">
        <v>0</v>
      </c>
      <c r="V301" s="5" t="str">
        <f ca="1">VLOOKUP($W301,OFFSET([5]enemy_skill_sets!$B$1,0,0,COUNTA([5]enemy_skill_sets!$B:$B),MATCH(M$1,[5]enemy_skill_sets!$1:$1,0)-MATCH($W$1,[5]enemy_skill_sets!$1:$1,0)+2),MATCH(M$1,[5]enemy_skill_sets!$1:$1,0)-MATCH($W$1,[5]enemy_skill_sets!$1:$1,0)+2,FALSE)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301" s="5">
        <f ca="1">VLOOKUP($L301,OFFSET([3]enemies!$A$1,0,0,COUNTA([3]enemies!$A:$A),MATCH(W$1,[3]enemies!$1:$1,0)-MATCH($L$1,[3]enemies!$1:$1,0)+1),MATCH(W$1,[3]enemies!$1:$1,0)-MATCH($L$1,[3]enemies!$1:$1,0)+1,FALSE)</f>
        <v>61</v>
      </c>
      <c r="X301" s="7">
        <v>0</v>
      </c>
      <c r="Y301" s="7">
        <v>10</v>
      </c>
      <c r="Z301" s="7">
        <v>0</v>
      </c>
      <c r="AA301" s="20">
        <f ca="1">VLOOKUP($L301,OFFSET([3]enemies!$A$1,0,0,COUNTA([3]enemies!$A:$A),MATCH(AA$1,[3]enemies!$1:$1,0)-MATCH($L$1,[3]enemies!$1:$1,0)+1),MATCH(AA$1,[3]enemies!$1:$1,0)-MATCH($L$1,[3]enemies!$1:$1,0)+1,FALSE)</f>
        <v>2</v>
      </c>
      <c r="AB301" s="2">
        <f t="shared" ref="AB301:AB303" si="203">L301</f>
        <v>61</v>
      </c>
      <c r="AC301" s="5" t="str">
        <f ca="1">IFERROR(VLOOKUP($AB301,OFFSET([4]characters!$A$1,0,0,COUNTA([4]characters!$A:$A),MATCH(AC$1,[4]characters!$1:$1,0)-MATCH("character_id",[4]characters!$1:$1,0)+1),MATCH(AC$1,[4]characters!$1:$1,0)-MATCH("character_id",[4]characters!$1:$1,0)+1,FALSE),"")</f>
        <v>クロウ</v>
      </c>
      <c r="AD301" s="5">
        <f ca="1">IFERROR(VLOOKUP($AB301,OFFSET([4]characters!$A$1,0,0,COUNTA([4]characters!$A:$A),MATCH(AD$1,[4]characters!$1:$1,0)-MATCH("character_id",[4]characters!$1:$1,0)+1),MATCH(AD$1,[4]characters!$1:$1,0)-MATCH("character_id",[4]characters!$1:$1,0)+1,FALSE),"")</f>
        <v>2</v>
      </c>
      <c r="AE301" s="5" t="str">
        <f ca="1">IFERROR(VLOOKUP($AB301,OFFSET([4]characters!$A$1,0,0,COUNTA([4]characters!$A:$A),MATCH(AE$1,[4]characters!$1:$1,0)-MATCH("character_id",[4]characters!$1:$1,0)+1),MATCH(AE$1,[4]characters!$1:$1,0)-MATCH("character_id",[4]characters!$1:$1,0)+1,FALSE),"")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01" s="28">
        <v>1</v>
      </c>
      <c r="AG301" s="27">
        <f t="shared" ca="1" si="191"/>
        <v>2</v>
      </c>
      <c r="AH301" s="9">
        <v>0</v>
      </c>
      <c r="AI301" s="28">
        <v>0</v>
      </c>
      <c r="AJ301" s="28">
        <v>0</v>
      </c>
      <c r="AK301" s="28">
        <v>0</v>
      </c>
      <c r="AL301" s="28">
        <v>0</v>
      </c>
      <c r="AM301" s="28">
        <v>1</v>
      </c>
      <c r="AN301" s="28">
        <v>1</v>
      </c>
    </row>
    <row r="302" spans="1:40" ht="21" customHeight="1" x14ac:dyDescent="0.15">
      <c r="A302" s="17" t="str">
        <f t="shared" ca="1" si="201"/>
        <v>11006_3-4/57&lt;lv32&gt;s2</v>
      </c>
      <c r="B302" s="8">
        <v>11006</v>
      </c>
      <c r="C302" s="25">
        <v>3</v>
      </c>
      <c r="D302" s="16" t="str">
        <f t="shared" si="202"/>
        <v>11006_3</v>
      </c>
      <c r="E302" s="5" t="str">
        <f ca="1">VLOOKUP($B302,OFFSET([2]quests!$A$1,0,0,COUNTA([2]quests!$A:$A),MATCH(E$1,[2]quests!$1:$1,0)-MATCH($B$1,[2]quests!$1:$1,0)+1),MATCH(E$1,[2]quests!$1:$1,0)-MATCH($B$1,[2]quests!$1:$1,0)+1,FALSE)</f>
        <v>【土日限定】 ゴールドカジノ</v>
      </c>
      <c r="F302" s="5" t="str">
        <f ca="1">VLOOKUP($D302,OFFSET([2]stages!$A$1,0,0,COUNTA([2]stages!$A:$A),MATCH(F$1,[2]stages!$2:$2,0)-MATCH($D$1,[2]stages!$2:$2,0)+1),MATCH(F$1,[2]stages!$2:$2,0)-MATCH($D$1,[2]stages!$2:$2,0)+1,FALSE)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02" s="25">
        <v>4</v>
      </c>
      <c r="H302" s="16" t="str">
        <f t="shared" si="153"/>
        <v>11006_3-4</v>
      </c>
      <c r="I302" s="5">
        <f ca="1">VLOOKUP($H302,OFFSET(floors!$A$1,0,0,COUNTA(floors!$A:$A),MATCH(I$1,floors!$1:$1,0)-MATCH($H$1,floors!$1:$1,0)+1),MATCH(I$1,floors!$1:$1,0)-MATCH($H$1,floors!$1:$1,0)+1,FALSE)</f>
        <v>35</v>
      </c>
      <c r="J302" s="5">
        <f ca="1">VLOOKUP($H302,OFFSET(floors!$A$1,0,0,COUNTA(floors!$A:$A),MATCH(J$1,floors!$1:$1,0)-MATCH($H$1,floors!$1:$1,0)+1),MATCH(J$1,floors!$1:$1,0)-MATCH($H$1,floors!$1:$1,0)+1,FALSE)</f>
        <v>60</v>
      </c>
      <c r="K302" s="24" t="s">
        <v>197</v>
      </c>
      <c r="L302" s="34">
        <v>57</v>
      </c>
      <c r="M302" s="20" t="str">
        <f ca="1">VLOOKUP($L302,OFFSET([3]enemies!$A$1,0,0,COUNTA([3]enemies!$A:$A),MATCH(M$1,[3]enemies!$1:$1,0)-MATCH($L$1,[3]enemies!$1:$1,0)+1),MATCH(M$1,[3]enemies!$1:$1,0)-MATCH($L$1,[3]enemies!$1:$1,0)+1,FALSE)</f>
        <v>チェン・リー</v>
      </c>
      <c r="N302" s="20" t="str">
        <f ca="1">VLOOKUP($L302,OFFSET([3]enemies!$A$1,0,0,COUNTA([3]enemies!$A:$A),MATCH(N$1,[3]enemies!$1:$1,0)-MATCH($L$1,[3]enemies!$1:$1,0)+1),MATCH(N$1,[3]enemies!$1:$1,0)-MATCH($L$1,[3]enemies!$1:$1,0)+1,FALSE)</f>
        <v>red</v>
      </c>
      <c r="O302" s="22" t="str">
        <f ca="1">VLOOKUP($L302,OFFSET([4]characters!$A$1,0,0,COUNTA([4]characters!$A:$A),MATCH(O$1,[4]characters!$1:$1,0)-MATCH($L$1,[4]characters!$1:$1,0)+1),MATCH(O$1,[4]characters!$1:$1,0)-MATCH($L$1,[4]characters!$1:$1,0)+1,FALSE)</f>
        <v>Drop1N</v>
      </c>
      <c r="P302" s="20" t="str">
        <f ca="1">VLOOKUP($L302,OFFSET([3]enemies!$A$1,0,0,COUNTA([3]enemies!$A:$A),MATCH(P$1,[3]enemies!$1:$1,0)-MATCH($L$1,[3]enemies!$1:$1,0)+1),MATCH(P$1,[3]enemies!$1:$1,0)-MATCH($L$1,[3]enemies!$1:$1,0)+1,FALSE)</f>
        <v>animal</v>
      </c>
      <c r="Q302" s="20">
        <f ca="1">VLOOKUP($L302,OFFSET([3]enemies!$A$1,0,0,COUNTA([3]enemies!$A:$A),MATCH(Q$1,[3]enemies!$1:$1,0)-MATCH($L$1,[3]enemies!$1:$1,0)+1),MATCH(Q$1,[3]enemies!$1:$1,0)-MATCH($L$1,[3]enemies!$1:$1,0)+1,FALSE)</f>
        <v>15</v>
      </c>
      <c r="R302" s="6">
        <v>32</v>
      </c>
      <c r="S302" s="39">
        <v>1</v>
      </c>
      <c r="T302" s="39">
        <v>1</v>
      </c>
      <c r="U302" s="6">
        <v>0</v>
      </c>
      <c r="V302" s="5" t="str">
        <f ca="1">VLOOKUP($W302,OFFSET([5]enemy_skill_sets!$B$1,0,0,COUNTA([5]enemy_skill_sets!$B:$B),MATCH(M$1,[5]enemy_skill_sets!$1:$1,0)-MATCH($W$1,[5]enemy_skill_sets!$1:$1,0)+2),MATCH(M$1,[5]enemy_skill_sets!$1:$1,0)-MATCH($W$1,[5]enemy_skill_sets!$1:$1,0)+2,FALSE)</f>
        <v>3ターン攻撃力小UP</v>
      </c>
      <c r="W302" s="5">
        <f ca="1">VLOOKUP($L302,OFFSET([3]enemies!$A$1,0,0,COUNTA([3]enemies!$A:$A),MATCH(W$1,[3]enemies!$1:$1,0)-MATCH($L$1,[3]enemies!$1:$1,0)+1),MATCH(W$1,[3]enemies!$1:$1,0)-MATCH($L$1,[3]enemies!$1:$1,0)+1,FALSE)</f>
        <v>57</v>
      </c>
      <c r="X302" s="7">
        <v>0</v>
      </c>
      <c r="Y302" s="7">
        <v>10</v>
      </c>
      <c r="Z302" s="7">
        <v>0</v>
      </c>
      <c r="AA302" s="20">
        <f ca="1">VLOOKUP($L302,OFFSET([3]enemies!$A$1,0,0,COUNTA([3]enemies!$A:$A),MATCH(AA$1,[3]enemies!$1:$1,0)-MATCH($L$1,[3]enemies!$1:$1,0)+1),MATCH(AA$1,[3]enemies!$1:$1,0)-MATCH($L$1,[3]enemies!$1:$1,0)+1,FALSE)</f>
        <v>2</v>
      </c>
      <c r="AB302" s="2">
        <f t="shared" si="203"/>
        <v>57</v>
      </c>
      <c r="AC302" s="5" t="str">
        <f ca="1">IFERROR(VLOOKUP($AB302,OFFSET([4]characters!$A$1,0,0,COUNTA([4]characters!$A:$A),MATCH(AC$1,[4]characters!$1:$1,0)-MATCH("character_id",[4]characters!$1:$1,0)+1),MATCH(AC$1,[4]characters!$1:$1,0)-MATCH("character_id",[4]characters!$1:$1,0)+1,FALSE),"")</f>
        <v>チェン・リー</v>
      </c>
      <c r="AD302" s="5">
        <f ca="1">IFERROR(VLOOKUP($AB302,OFFSET([4]characters!$A$1,0,0,COUNTA([4]characters!$A:$A),MATCH(AD$1,[4]characters!$1:$1,0)-MATCH("character_id",[4]characters!$1:$1,0)+1),MATCH(AD$1,[4]characters!$1:$1,0)-MATCH("character_id",[4]characters!$1:$1,0)+1,FALSE),"")</f>
        <v>2</v>
      </c>
      <c r="AE302" s="5" t="str">
        <f ca="1">IFERROR(VLOOKUP($AB302,OFFSET([4]characters!$A$1,0,0,COUNTA([4]characters!$A:$A),MATCH(AE$1,[4]characters!$1:$1,0)-MATCH("character_id",[4]characters!$1:$1,0)+1),MATCH(AE$1,[4]characters!$1:$1,0)-MATCH("character_id",[4]characters!$1:$1,0)+1,FALSE),"")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02" s="28">
        <v>1</v>
      </c>
      <c r="AG302" s="27">
        <f t="shared" ca="1" si="191"/>
        <v>2</v>
      </c>
      <c r="AH302" s="9">
        <v>0</v>
      </c>
      <c r="AI302" s="28">
        <v>0</v>
      </c>
      <c r="AJ302" s="28">
        <v>0</v>
      </c>
      <c r="AK302" s="28">
        <v>0</v>
      </c>
      <c r="AL302" s="28">
        <v>0</v>
      </c>
      <c r="AM302" s="28">
        <v>1</v>
      </c>
      <c r="AN302" s="28">
        <v>1</v>
      </c>
    </row>
    <row r="303" spans="1:40" ht="21" customHeight="1" x14ac:dyDescent="0.15">
      <c r="A303" s="17" t="str">
        <f t="shared" ca="1" si="201"/>
        <v>11006_3-4/59&lt;lv32&gt;s2</v>
      </c>
      <c r="B303" s="8">
        <v>11006</v>
      </c>
      <c r="C303" s="25">
        <v>3</v>
      </c>
      <c r="D303" s="16" t="str">
        <f t="shared" si="202"/>
        <v>11006_3</v>
      </c>
      <c r="E303" s="5" t="str">
        <f ca="1">VLOOKUP($B303,OFFSET([2]quests!$A$1,0,0,COUNTA([2]quests!$A:$A),MATCH(E$1,[2]quests!$1:$1,0)-MATCH($B$1,[2]quests!$1:$1,0)+1),MATCH(E$1,[2]quests!$1:$1,0)-MATCH($B$1,[2]quests!$1:$1,0)+1,FALSE)</f>
        <v>【土日限定】 ゴールドカジノ</v>
      </c>
      <c r="F303" s="5" t="str">
        <f ca="1">VLOOKUP($D303,OFFSET([2]stages!$A$1,0,0,COUNTA([2]stages!$A:$A),MATCH(F$1,[2]stages!$2:$2,0)-MATCH($D$1,[2]stages!$2:$2,0)+1),MATCH(F$1,[2]stages!$2:$2,0)-MATCH($D$1,[2]stages!$2:$2,0)+1,FALSE)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03" s="25">
        <v>4</v>
      </c>
      <c r="H303" s="16" t="str">
        <f t="shared" si="153"/>
        <v>11006_3-4</v>
      </c>
      <c r="I303" s="5">
        <f ca="1">VLOOKUP($H303,OFFSET(floors!$A$1,0,0,COUNTA(floors!$A:$A),MATCH(I$1,floors!$1:$1,0)-MATCH($H$1,floors!$1:$1,0)+1),MATCH(I$1,floors!$1:$1,0)-MATCH($H$1,floors!$1:$1,0)+1,FALSE)</f>
        <v>35</v>
      </c>
      <c r="J303" s="5">
        <f ca="1">VLOOKUP($H303,OFFSET(floors!$A$1,0,0,COUNTA(floors!$A:$A),MATCH(J$1,floors!$1:$1,0)-MATCH($H$1,floors!$1:$1,0)+1),MATCH(J$1,floors!$1:$1,0)-MATCH($H$1,floors!$1:$1,0)+1,FALSE)</f>
        <v>60</v>
      </c>
      <c r="K303" s="24" t="s">
        <v>197</v>
      </c>
      <c r="L303" s="34">
        <v>59</v>
      </c>
      <c r="M303" s="20" t="str">
        <f ca="1">VLOOKUP($L303,OFFSET([3]enemies!$A$1,0,0,COUNTA([3]enemies!$A:$A),MATCH(M$1,[3]enemies!$1:$1,0)-MATCH($L$1,[3]enemies!$1:$1,0)+1),MATCH(M$1,[3]enemies!$1:$1,0)-MATCH($L$1,[3]enemies!$1:$1,0)+1,FALSE)</f>
        <v>マーチ</v>
      </c>
      <c r="N303" s="20" t="str">
        <f ca="1">VLOOKUP($L303,OFFSET([3]enemies!$A$1,0,0,COUNTA([3]enemies!$A:$A),MATCH(N$1,[3]enemies!$1:$1,0)-MATCH($L$1,[3]enemies!$1:$1,0)+1),MATCH(N$1,[3]enemies!$1:$1,0)-MATCH($L$1,[3]enemies!$1:$1,0)+1,FALSE)</f>
        <v>green</v>
      </c>
      <c r="O303" s="22" t="str">
        <f ca="1">VLOOKUP($L303,OFFSET([4]characters!$A$1,0,0,COUNTA([4]characters!$A:$A),MATCH(O$1,[4]characters!$1:$1,0)-MATCH($L$1,[4]characters!$1:$1,0)+1),MATCH(O$1,[4]characters!$1:$1,0)-MATCH($L$1,[4]characters!$1:$1,0)+1,FALSE)</f>
        <v>Drop1N</v>
      </c>
      <c r="P303" s="20" t="str">
        <f ca="1">VLOOKUP($L303,OFFSET([3]enemies!$A$1,0,0,COUNTA([3]enemies!$A:$A),MATCH(P$1,[3]enemies!$1:$1,0)-MATCH($L$1,[3]enemies!$1:$1,0)+1),MATCH(P$1,[3]enemies!$1:$1,0)-MATCH($L$1,[3]enemies!$1:$1,0)+1,FALSE)</f>
        <v>animal</v>
      </c>
      <c r="Q303" s="20">
        <f ca="1">VLOOKUP($L303,OFFSET([3]enemies!$A$1,0,0,COUNTA([3]enemies!$A:$A),MATCH(Q$1,[3]enemies!$1:$1,0)-MATCH($L$1,[3]enemies!$1:$1,0)+1),MATCH(Q$1,[3]enemies!$1:$1,0)-MATCH($L$1,[3]enemies!$1:$1,0)+1,FALSE)</f>
        <v>15</v>
      </c>
      <c r="R303" s="6">
        <v>32</v>
      </c>
      <c r="S303" s="39">
        <v>1</v>
      </c>
      <c r="T303" s="39">
        <v>1</v>
      </c>
      <c r="U303" s="6">
        <v>0</v>
      </c>
      <c r="V303" s="5" t="str">
        <f ca="1">VLOOKUP($W303,OFFSET([5]enemy_skill_sets!$B$1,0,0,COUNTA([5]enemy_skill_sets!$B:$B),MATCH(M$1,[5]enemy_skill_sets!$1:$1,0)-MATCH($W$1,[5]enemy_skill_sets!$1:$1,0)+2),MATCH(M$1,[5]enemy_skill_sets!$1:$1,0)-MATCH($W$1,[5]enemy_skill_sets!$1:$1,0)+2,FALSE)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303" s="5">
        <f ca="1">VLOOKUP($L303,OFFSET([3]enemies!$A$1,0,0,COUNTA([3]enemies!$A:$A),MATCH(W$1,[3]enemies!$1:$1,0)-MATCH($L$1,[3]enemies!$1:$1,0)+1),MATCH(W$1,[3]enemies!$1:$1,0)-MATCH($L$1,[3]enemies!$1:$1,0)+1,FALSE)</f>
        <v>59</v>
      </c>
      <c r="X303" s="7">
        <v>0</v>
      </c>
      <c r="Y303" s="7">
        <v>10</v>
      </c>
      <c r="Z303" s="7">
        <v>0</v>
      </c>
      <c r="AA303" s="20">
        <f ca="1">VLOOKUP($L303,OFFSET([3]enemies!$A$1,0,0,COUNTA([3]enemies!$A:$A),MATCH(AA$1,[3]enemies!$1:$1,0)-MATCH($L$1,[3]enemies!$1:$1,0)+1),MATCH(AA$1,[3]enemies!$1:$1,0)-MATCH($L$1,[3]enemies!$1:$1,0)+1,FALSE)</f>
        <v>2</v>
      </c>
      <c r="AB303" s="2">
        <f t="shared" si="203"/>
        <v>59</v>
      </c>
      <c r="AC303" s="5" t="str">
        <f ca="1">IFERROR(VLOOKUP($AB303,OFFSET([4]characters!$A$1,0,0,COUNTA([4]characters!$A:$A),MATCH(AC$1,[4]characters!$1:$1,0)-MATCH("character_id",[4]characters!$1:$1,0)+1),MATCH(AC$1,[4]characters!$1:$1,0)-MATCH("character_id",[4]characters!$1:$1,0)+1,FALSE),"")</f>
        <v>マーチ</v>
      </c>
      <c r="AD303" s="5">
        <f ca="1">IFERROR(VLOOKUP($AB303,OFFSET([4]characters!$A$1,0,0,COUNTA([4]characters!$A:$A),MATCH(AD$1,[4]characters!$1:$1,0)-MATCH("character_id",[4]characters!$1:$1,0)+1),MATCH(AD$1,[4]characters!$1:$1,0)-MATCH("character_id",[4]characters!$1:$1,0)+1,FALSE),"")</f>
        <v>2</v>
      </c>
      <c r="AE303" s="5" t="str">
        <f ca="1">IFERROR(VLOOKUP($AB303,OFFSET([4]characters!$A$1,0,0,COUNTA([4]characters!$A:$A),MATCH(AE$1,[4]characters!$1:$1,0)-MATCH("character_id",[4]characters!$1:$1,0)+1),MATCH(AE$1,[4]characters!$1:$1,0)-MATCH("character_id",[4]characters!$1:$1,0)+1,FALSE),"")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03" s="28">
        <v>1</v>
      </c>
      <c r="AG303" s="27">
        <f t="shared" ca="1" si="191"/>
        <v>2</v>
      </c>
      <c r="AH303" s="9">
        <v>0</v>
      </c>
      <c r="AI303" s="28">
        <v>0</v>
      </c>
      <c r="AJ303" s="28">
        <v>0</v>
      </c>
      <c r="AK303" s="28">
        <v>0</v>
      </c>
      <c r="AL303" s="28">
        <v>0</v>
      </c>
      <c r="AM303" s="28">
        <v>1</v>
      </c>
      <c r="AN303" s="28">
        <v>1</v>
      </c>
    </row>
    <row r="304" spans="1:40" ht="21" customHeight="1" x14ac:dyDescent="0.15">
      <c r="A304" s="17" t="str">
        <f t="shared" ca="1" si="133"/>
        <v>11006_3-5/119&lt;lv2&gt;s3</v>
      </c>
      <c r="B304" s="8">
        <v>11006</v>
      </c>
      <c r="C304" s="25">
        <v>3</v>
      </c>
      <c r="D304" s="2" t="str">
        <f t="shared" si="134"/>
        <v>11006_3</v>
      </c>
      <c r="E304" s="5" t="str">
        <f ca="1">VLOOKUP($B304,OFFSET([2]quests!$A$1,0,0,COUNTA([2]quests!$A:$A),MATCH(E$1,[2]quests!$1:$1,0)-MATCH($B$1,[2]quests!$1:$1,0)+1),MATCH(E$1,[2]quests!$1:$1,0)-MATCH($B$1,[2]quests!$1:$1,0)+1,FALSE)</f>
        <v>【土日限定】 ゴールドカジノ</v>
      </c>
      <c r="F304" s="5" t="str">
        <f ca="1">VLOOKUP($D304,OFFSET([2]stages!$A$1,0,0,COUNTA([2]stages!$A:$A),MATCH(F$1,[2]stages!$2:$2,0)-MATCH($D$1,[2]stages!$2:$2,0)+1),MATCH(F$1,[2]stages!$2:$2,0)-MATCH($D$1,[2]stages!$2:$2,0)+1,FALSE)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04" s="25">
        <v>5</v>
      </c>
      <c r="H304" s="16" t="str">
        <f t="shared" si="153"/>
        <v>11006_3-5</v>
      </c>
      <c r="I304" s="5">
        <f ca="1">VLOOKUP($H304,OFFSET(floors!$A$1,0,0,COUNTA(floors!$A:$A),MATCH(I$1,floors!$1:$1,0)-MATCH($H$1,floors!$1:$1,0)+1),MATCH(I$1,floors!$1:$1,0)-MATCH($H$1,floors!$1:$1,0)+1,FALSE)</f>
        <v>50</v>
      </c>
      <c r="J304" s="5">
        <f ca="1">VLOOKUP($H304,OFFSET(floors!$A$1,0,0,COUNTA(floors!$A:$A),MATCH(J$1,floors!$1:$1,0)-MATCH($H$1,floors!$1:$1,0)+1),MATCH(J$1,floors!$1:$1,0)-MATCH($H$1,floors!$1:$1,0)+1,FALSE)</f>
        <v>50</v>
      </c>
      <c r="K304" s="24" t="s">
        <v>197</v>
      </c>
      <c r="L304" s="24">
        <v>119</v>
      </c>
      <c r="M304" s="20" t="str">
        <f ca="1">VLOOKUP($L304,OFFSET([3]enemies!$A$1,0,0,COUNTA([3]enemies!$A:$A),MATCH(M$1,[3]enemies!$1:$1,0)-MATCH($L$1,[3]enemies!$1:$1,0)+1),MATCH(M$1,[3]enemies!$1:$1,0)-MATCH($L$1,[3]enemies!$1:$1,0)+1,FALSE)</f>
        <v>ゴールドダック</v>
      </c>
      <c r="N304" s="20" t="str">
        <f ca="1">VLOOKUP($L304,OFFSET([3]enemies!$A$1,0,0,COUNTA([3]enemies!$A:$A),MATCH(N$1,[3]enemies!$1:$1,0)-MATCH($L$1,[3]enemies!$1:$1,0)+1),MATCH(N$1,[3]enemies!$1:$1,0)-MATCH($L$1,[3]enemies!$1:$1,0)+1,FALSE)</f>
        <v>yellow</v>
      </c>
      <c r="O304" s="22" t="str">
        <f ca="1">VLOOKUP($L304,OFFSET([4]characters!$A$1,0,0,COUNTA([4]characters!$A:$A),MATCH(O$1,[4]characters!$1:$1,0)-MATCH($L$1,[4]characters!$1:$1,0)+1),MATCH(O$1,[4]characters!$1:$1,0)-MATCH($L$1,[4]characters!$1:$1,0)+1,FALSE)</f>
        <v>Material</v>
      </c>
      <c r="P304" s="20" t="str">
        <f ca="1">VLOOKUP($L304,OFFSET([3]enemies!$A$1,0,0,COUNTA([3]enemies!$A:$A),MATCH(P$1,[3]enemies!$1:$1,0)-MATCH($L$1,[3]enemies!$1:$1,0)+1),MATCH(P$1,[3]enemies!$1:$1,0)-MATCH($L$1,[3]enemies!$1:$1,0)+1,FALSE)</f>
        <v>unknown</v>
      </c>
      <c r="Q304" s="20">
        <f ca="1">VLOOKUP($L304,OFFSET([3]enemies!$A$1,0,0,COUNTA([3]enemies!$A:$A),MATCH(Q$1,[3]enemies!$1:$1,0)-MATCH($L$1,[3]enemies!$1:$1,0)+1),MATCH(Q$1,[3]enemies!$1:$1,0)-MATCH($L$1,[3]enemies!$1:$1,0)+1,FALSE)</f>
        <v>20</v>
      </c>
      <c r="R304" s="6">
        <v>2</v>
      </c>
      <c r="S304" s="39">
        <v>93.3</v>
      </c>
      <c r="T304" s="39">
        <v>41</v>
      </c>
      <c r="U304" s="6">
        <v>0</v>
      </c>
      <c r="V304" s="5" t="str">
        <f ca="1">VLOOKUP($W304,OFFSET([5]enemy_skill_sets!$B$1,0,0,COUNTA([5]enemy_skill_sets!$B:$B),MATCH(M$1,[5]enemy_skill_sets!$1:$1,0)-MATCH($W$1,[5]enemy_skill_sets!$1:$1,0)+2),MATCH(M$1,[5]enemy_skill_sets!$1:$1,0)-MATCH($W$1,[5]enemy_skill_sets!$1:$1,0)+2,FALSE)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4" s="5">
        <f ca="1">VLOOKUP($L304,OFFSET([3]enemies!$A$1,0,0,COUNTA([3]enemies!$A:$A),MATCH(W$1,[3]enemies!$1:$1,0)-MATCH($L$1,[3]enemies!$1:$1,0)+1),MATCH(W$1,[3]enemies!$1:$1,0)-MATCH($L$1,[3]enemies!$1:$1,0)+1,FALSE)</f>
        <v>0</v>
      </c>
      <c r="X304" s="7">
        <v>1</v>
      </c>
      <c r="Y304" s="7">
        <v>0</v>
      </c>
      <c r="Z304" s="7">
        <v>1</v>
      </c>
      <c r="AA304" s="20">
        <f ca="1">VLOOKUP($L304,OFFSET([3]enemies!$A$1,0,0,COUNTA([3]enemies!$A:$A),MATCH(AA$1,[3]enemies!$1:$1,0)-MATCH($L$1,[3]enemies!$1:$1,0)+1),MATCH(AA$1,[3]enemies!$1:$1,0)-MATCH($L$1,[3]enemies!$1:$1,0)+1,FALSE)</f>
        <v>3</v>
      </c>
      <c r="AB304" s="2">
        <f>L304</f>
        <v>119</v>
      </c>
      <c r="AC304" s="5" t="str">
        <f ca="1">IFERROR(VLOOKUP($AB304,OFFSET([4]characters!$A$1,0,0,COUNTA([4]characters!$A:$A),MATCH(AC$1,[4]characters!$1:$1,0)-MATCH("character_id",[4]characters!$1:$1,0)+1),MATCH(AC$1,[4]characters!$1:$1,0)-MATCH("character_id",[4]characters!$1:$1,0)+1,FALSE),"")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304" s="5">
        <f ca="1">IFERROR(VLOOKUP($AB304,OFFSET([4]characters!$A$1,0,0,COUNTA([4]characters!$A:$A),MATCH(AD$1,[4]characters!$1:$1,0)-MATCH("character_id",[4]characters!$1:$1,0)+1),MATCH(AD$1,[4]characters!$1:$1,0)-MATCH("character_id",[4]characters!$1:$1,0)+1,FALSE),"")</f>
        <v>5</v>
      </c>
      <c r="AE304" s="5" t="str">
        <f ca="1">IFERROR(VLOOKUP($AB304,OFFSET([4]characters!$A$1,0,0,COUNTA([4]characters!$A:$A),MATCH(AE$1,[4]characters!$1:$1,0)-MATCH("character_id",[4]characters!$1:$1,0)+1),MATCH(AE$1,[4]characters!$1:$1,0)-MATCH("character_id",[4]characters!$1:$1,0)+1,FALSE),"")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4" s="8">
        <v>1</v>
      </c>
      <c r="AG304" s="27">
        <f t="shared" ca="1" si="191"/>
        <v>5</v>
      </c>
      <c r="AH304" s="9">
        <v>100</v>
      </c>
      <c r="AI304" s="8">
        <v>0</v>
      </c>
      <c r="AJ304" s="8">
        <v>0</v>
      </c>
      <c r="AK304" s="8">
        <v>0</v>
      </c>
      <c r="AL304" s="8">
        <v>0</v>
      </c>
      <c r="AM304" s="8">
        <v>1</v>
      </c>
      <c r="AN304" s="8">
        <v>1</v>
      </c>
    </row>
    <row r="305" spans="1:40" s="96" customFormat="1" ht="21" customHeight="1" thickBot="1" x14ac:dyDescent="0.2">
      <c r="A305" s="82" t="str">
        <f t="shared" ref="A305:A306" ca="1" si="204">B305&amp;"_"&amp;C305&amp;"-"&amp;G305&amp;"/"&amp;L305&amp;"&lt;lv"&amp;R305&amp;"&gt;s"&amp;AA305</f>
        <v>11006_3-5/118&lt;lv2&gt;s2</v>
      </c>
      <c r="B305" s="83">
        <v>11006</v>
      </c>
      <c r="C305" s="84">
        <v>3</v>
      </c>
      <c r="D305" s="85" t="str">
        <f t="shared" ref="D305:D306" si="205">B305&amp;"_"&amp;C305</f>
        <v>11006_3</v>
      </c>
      <c r="E305" s="86" t="str">
        <f ca="1">VLOOKUP($B305,OFFSET([2]quests!$A$1,0,0,COUNTA([2]quests!$A:$A),MATCH(E$1,[2]quests!$1:$1,0)-MATCH($B$1,[2]quests!$1:$1,0)+1),MATCH(E$1,[2]quests!$1:$1,0)-MATCH($B$1,[2]quests!$1:$1,0)+1,FALSE)</f>
        <v>【土日限定】 ゴールドカジノ</v>
      </c>
      <c r="F305" s="86" t="str">
        <f ca="1">VLOOKUP($D305,OFFSET([2]stages!$A$1,0,0,COUNTA([2]stages!$A:$A),MATCH(F$1,[2]stages!$2:$2,0)-MATCH($D$1,[2]stages!$2:$2,0)+1),MATCH(F$1,[2]stages!$2:$2,0)-MATCH($D$1,[2]stages!$2:$2,0)+1,FALSE)</f>
        <v xml:space="preserve">【上級】ゴールドカジノ </v>
      </c>
      <c r="G305" s="84">
        <v>5</v>
      </c>
      <c r="H305" s="85" t="str">
        <f t="shared" ref="H305:H306" si="206">B305&amp;"_"&amp;C305&amp;"-"&amp;G305</f>
        <v>11006_3-5</v>
      </c>
      <c r="I305" s="86">
        <f ca="1">VLOOKUP($H305,OFFSET(floors!$A$1,0,0,COUNTA(floors!$A:$A),MATCH(I$1,floors!$1:$1,0)-MATCH($H$1,floors!$1:$1,0)+1),MATCH(I$1,floors!$1:$1,0)-MATCH($H$1,floors!$1:$1,0)+1,FALSE)</f>
        <v>50</v>
      </c>
      <c r="J305" s="86">
        <f ca="1">VLOOKUP($H305,OFFSET(floors!$A$1,0,0,COUNTA(floors!$A:$A),MATCH(J$1,floors!$1:$1,0)-MATCH($H$1,floors!$1:$1,0)+1),MATCH(J$1,floors!$1:$1,0)-MATCH($H$1,floors!$1:$1,0)+1,FALSE)</f>
        <v>50</v>
      </c>
      <c r="K305" s="87" t="s">
        <v>197</v>
      </c>
      <c r="L305" s="88">
        <v>118</v>
      </c>
      <c r="M305" s="89" t="str">
        <f ca="1">VLOOKUP($L305,OFFSET([3]enemies!$A$1,0,0,COUNTA([3]enemies!$A:$A),MATCH(M$1,[3]enemies!$1:$1,0)-MATCH($L$1,[3]enemies!$1:$1,0)+1),MATCH(M$1,[3]enemies!$1:$1,0)-MATCH($L$1,[3]enemies!$1:$1,0)+1,FALSE)</f>
        <v>ゴールドチック</v>
      </c>
      <c r="N305" s="89" t="str">
        <f ca="1">VLOOKUP($L305,OFFSET([3]enemies!$A$1,0,0,COUNTA([3]enemies!$A:$A),MATCH(N$1,[3]enemies!$1:$1,0)-MATCH($L$1,[3]enemies!$1:$1,0)+1),MATCH(N$1,[3]enemies!$1:$1,0)-MATCH($L$1,[3]enemies!$1:$1,0)+1,FALSE)</f>
        <v>yellow</v>
      </c>
      <c r="O305" s="90" t="str">
        <f ca="1">VLOOKUP($L305,OFFSET([4]characters!$A$1,0,0,COUNTA([4]characters!$A:$A),MATCH(O$1,[4]characters!$1:$1,0)-MATCH($L$1,[4]characters!$1:$1,0)+1),MATCH(O$1,[4]characters!$1:$1,0)-MATCH($L$1,[4]characters!$1:$1,0)+1,FALSE)</f>
        <v>Material</v>
      </c>
      <c r="P305" s="89" t="str">
        <f ca="1">VLOOKUP($L305,OFFSET([3]enemies!$A$1,0,0,COUNTA([3]enemies!$A:$A),MATCH(P$1,[3]enemies!$1:$1,0)-MATCH($L$1,[3]enemies!$1:$1,0)+1),MATCH(P$1,[3]enemies!$1:$1,0)-MATCH($L$1,[3]enemies!$1:$1,0)+1,FALSE)</f>
        <v>unknown</v>
      </c>
      <c r="Q305" s="89">
        <f ca="1">VLOOKUP($L305,OFFSET([3]enemies!$A$1,0,0,COUNTA([3]enemies!$A:$A),MATCH(Q$1,[3]enemies!$1:$1,0)-MATCH($L$1,[3]enemies!$1:$1,0)+1),MATCH(Q$1,[3]enemies!$1:$1,0)-MATCH($L$1,[3]enemies!$1:$1,0)+1,FALSE)</f>
        <v>15</v>
      </c>
      <c r="R305" s="91">
        <v>2</v>
      </c>
      <c r="S305" s="92">
        <v>28.8</v>
      </c>
      <c r="T305" s="92">
        <v>38.5</v>
      </c>
      <c r="U305" s="91">
        <v>0</v>
      </c>
      <c r="V305" s="86" t="str">
        <f ca="1">VLOOKUP($W305,OFFSET([5]enemy_skill_sets!$B$1,0,0,COUNTA([5]enemy_skill_sets!$B:$B),MATCH(M$1,[5]enemy_skill_sets!$1:$1,0)-MATCH($W$1,[5]enemy_skill_sets!$1:$1,0)+2),MATCH(M$1,[5]enemy_skill_sets!$1:$1,0)-MATCH($W$1,[5]enemy_skill_sets!$1:$1,0)+2,FALSE)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5" s="86">
        <f ca="1">VLOOKUP($L305,OFFSET([3]enemies!$A$1,0,0,COUNTA([3]enemies!$A:$A),MATCH(W$1,[3]enemies!$1:$1,0)-MATCH($L$1,[3]enemies!$1:$1,0)+1),MATCH(W$1,[3]enemies!$1:$1,0)-MATCH($L$1,[3]enemies!$1:$1,0)+1,FALSE)</f>
        <v>0</v>
      </c>
      <c r="X305" s="93">
        <v>2</v>
      </c>
      <c r="Y305" s="93">
        <v>0</v>
      </c>
      <c r="Z305" s="93">
        <v>0</v>
      </c>
      <c r="AA305" s="89">
        <f ca="1">VLOOKUP($L305,OFFSET([3]enemies!$A$1,0,0,COUNTA([3]enemies!$A:$A),MATCH(AA$1,[3]enemies!$1:$1,0)-MATCH($L$1,[3]enemies!$1:$1,0)+1),MATCH(AA$1,[3]enemies!$1:$1,0)-MATCH($L$1,[3]enemies!$1:$1,0)+1,FALSE)</f>
        <v>2</v>
      </c>
      <c r="AB305" s="85">
        <f t="shared" ref="AB305:AB306" si="207">L305</f>
        <v>118</v>
      </c>
      <c r="AC305" s="86" t="str">
        <f ca="1">IFERROR(VLOOKUP($AB305,OFFSET([4]characters!$A$1,0,0,COUNTA([4]characters!$A:$A),MATCH(AC$1,[4]characters!$1:$1,0)-MATCH("character_id",[4]characters!$1:$1,0)+1),MATCH(AC$1,[4]characters!$1:$1,0)-MATCH("character_id",[4]characters!$1:$1,0)+1,FALSE),"")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305" s="86">
        <f ca="1">IFERROR(VLOOKUP($AB305,OFFSET([4]characters!$A$1,0,0,COUNTA([4]characters!$A:$A),MATCH(AD$1,[4]characters!$1:$1,0)-MATCH("character_id",[4]characters!$1:$1,0)+1),MATCH(AD$1,[4]characters!$1:$1,0)-MATCH("character_id",[4]characters!$1:$1,0)+1,FALSE),"")</f>
        <v>4</v>
      </c>
      <c r="AE305" s="86" t="str">
        <f ca="1">IFERROR(VLOOKUP($AB305,OFFSET([4]characters!$A$1,0,0,COUNTA([4]characters!$A:$A),MATCH(AE$1,[4]characters!$1:$1,0)-MATCH("character_id",[4]characters!$1:$1,0)+1),MATCH(AE$1,[4]characters!$1:$1,0)-MATCH("character_id",[4]characters!$1:$1,0)+1,FALSE),"")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5" s="83">
        <v>1</v>
      </c>
      <c r="AG305" s="94">
        <f t="shared" ref="AG305:AG306" ca="1" si="208">AD305</f>
        <v>4</v>
      </c>
      <c r="AH305" s="95">
        <v>0</v>
      </c>
      <c r="AI305" s="83">
        <v>0</v>
      </c>
      <c r="AJ305" s="83">
        <v>0</v>
      </c>
      <c r="AK305" s="83">
        <v>0</v>
      </c>
      <c r="AL305" s="83">
        <v>0</v>
      </c>
      <c r="AM305" s="83">
        <v>1</v>
      </c>
      <c r="AN305" s="83">
        <v>1</v>
      </c>
    </row>
    <row r="306" spans="1:40" s="110" customFormat="1" ht="21" customHeight="1" x14ac:dyDescent="0.15">
      <c r="A306" s="97" t="str">
        <f t="shared" ca="1" si="204"/>
        <v>11006_4-1/118&lt;lv10&gt;s2</v>
      </c>
      <c r="B306" s="98">
        <v>11006</v>
      </c>
      <c r="C306" s="99">
        <v>4</v>
      </c>
      <c r="D306" s="100" t="str">
        <f t="shared" si="205"/>
        <v>11006_4</v>
      </c>
      <c r="E306" s="101" t="str">
        <f ca="1">VLOOKUP($B306,OFFSET([2]quests!$A$1,0,0,COUNTA([2]quests!$A:$A),MATCH(E$1,[2]quests!$1:$1,0)-MATCH($B$1,[2]quests!$1:$1,0)+1),MATCH(E$1,[2]quests!$1:$1,0)-MATCH($B$1,[2]quests!$1:$1,0)+1,FALSE)</f>
        <v>【土日限定】 ゴールドカジノ</v>
      </c>
      <c r="F306" s="101" t="str">
        <f ca="1">VLOOKUP($D306,OFFSET([2]stages!$A$1,0,0,COUNTA([2]stages!$A:$A),MATCH(F$1,[2]stages!$2:$2,0)-MATCH($D$1,[2]stages!$2:$2,0)+1),MATCH(F$1,[2]stages!$2:$2,0)-MATCH($D$1,[2]stages!$2:$2,0)+1,FALSE)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06" s="99">
        <v>1</v>
      </c>
      <c r="H306" s="100" t="str">
        <f t="shared" si="206"/>
        <v>11006_4-1</v>
      </c>
      <c r="I306" s="101">
        <f ca="1">VLOOKUP($H306,OFFSET(floors!$A$1,0,0,COUNTA(floors!$A:$A),MATCH(I$1,floors!$1:$1,0)-MATCH($H$1,floors!$1:$1,0)+1),MATCH(I$1,floors!$1:$1,0)-MATCH($H$1,floors!$1:$1,0)+1,FALSE)</f>
        <v>40</v>
      </c>
      <c r="J306" s="101">
        <f ca="1">VLOOKUP($H306,OFFSET(floors!$A$1,0,0,COUNTA(floors!$A:$A),MATCH(J$1,floors!$1:$1,0)-MATCH($H$1,floors!$1:$1,0)+1),MATCH(J$1,floors!$1:$1,0)-MATCH($H$1,floors!$1:$1,0)+1,FALSE)</f>
        <v>40</v>
      </c>
      <c r="K306" s="102" t="s">
        <v>197</v>
      </c>
      <c r="L306" s="102">
        <v>118</v>
      </c>
      <c r="M306" s="103" t="str">
        <f ca="1">VLOOKUP($L306,OFFSET([3]enemies!$A$1,0,0,COUNTA([3]enemies!$A:$A),MATCH(M$1,[3]enemies!$1:$1,0)-MATCH($L$1,[3]enemies!$1:$1,0)+1),MATCH(M$1,[3]enemies!$1:$1,0)-MATCH($L$1,[3]enemies!$1:$1,0)+1,FALSE)</f>
        <v>ゴールドチック</v>
      </c>
      <c r="N306" s="103" t="str">
        <f ca="1">VLOOKUP($L306,OFFSET([3]enemies!$A$1,0,0,COUNTA([3]enemies!$A:$A),MATCH(N$1,[3]enemies!$1:$1,0)-MATCH($L$1,[3]enemies!$1:$1,0)+1),MATCH(N$1,[3]enemies!$1:$1,0)-MATCH($L$1,[3]enemies!$1:$1,0)+1,FALSE)</f>
        <v>yellow</v>
      </c>
      <c r="O306" s="104" t="str">
        <f ca="1">VLOOKUP($L306,OFFSET([4]characters!$A$1,0,0,COUNTA([4]characters!$A:$A),MATCH(O$1,[4]characters!$1:$1,0)-MATCH($L$1,[4]characters!$1:$1,0)+1),MATCH(O$1,[4]characters!$1:$1,0)-MATCH($L$1,[4]characters!$1:$1,0)+1,FALSE)</f>
        <v>Material</v>
      </c>
      <c r="P306" s="103" t="str">
        <f ca="1">VLOOKUP($L306,OFFSET([3]enemies!$A$1,0,0,COUNTA([3]enemies!$A:$A),MATCH(P$1,[3]enemies!$1:$1,0)-MATCH($L$1,[3]enemies!$1:$1,0)+1),MATCH(P$1,[3]enemies!$1:$1,0)-MATCH($L$1,[3]enemies!$1:$1,0)+1,FALSE)</f>
        <v>unknown</v>
      </c>
      <c r="Q306" s="103">
        <f ca="1">VLOOKUP($L306,OFFSET([3]enemies!$A$1,0,0,COUNTA([3]enemies!$A:$A),MATCH(Q$1,[3]enemies!$1:$1,0)-MATCH($L$1,[3]enemies!$1:$1,0)+1),MATCH(Q$1,[3]enemies!$1:$1,0)-MATCH($L$1,[3]enemies!$1:$1,0)+1,FALSE)</f>
        <v>15</v>
      </c>
      <c r="R306" s="105">
        <v>10</v>
      </c>
      <c r="S306" s="106">
        <v>42</v>
      </c>
      <c r="T306" s="106">
        <v>60</v>
      </c>
      <c r="U306" s="105">
        <v>0</v>
      </c>
      <c r="V306" s="101" t="str">
        <f ca="1">VLOOKUP($W306,OFFSET([5]enemy_skill_sets!$B$1,0,0,COUNTA([5]enemy_skill_sets!$B:$B),MATCH(M$1,[5]enemy_skill_sets!$1:$1,0)-MATCH($W$1,[5]enemy_skill_sets!$1:$1,0)+2),MATCH(M$1,[5]enemy_skill_sets!$1:$1,0)-MATCH($W$1,[5]enemy_skill_sets!$1:$1,0)+2,FALSE)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6" s="101">
        <f ca="1">VLOOKUP($L306,OFFSET([3]enemies!$A$1,0,0,COUNTA([3]enemies!$A:$A),MATCH(W$1,[3]enemies!$1:$1,0)-MATCH($L$1,[3]enemies!$1:$1,0)+1),MATCH(W$1,[3]enemies!$1:$1,0)-MATCH($L$1,[3]enemies!$1:$1,0)+1,FALSE)</f>
        <v>0</v>
      </c>
      <c r="X306" s="107">
        <v>0</v>
      </c>
      <c r="Y306" s="107">
        <v>100</v>
      </c>
      <c r="Z306" s="107">
        <v>1</v>
      </c>
      <c r="AA306" s="103">
        <f ca="1">VLOOKUP($L306,OFFSET([3]enemies!$A$1,0,0,COUNTA([3]enemies!$A:$A),MATCH(AA$1,[3]enemies!$1:$1,0)-MATCH($L$1,[3]enemies!$1:$1,0)+1),MATCH(AA$1,[3]enemies!$1:$1,0)-MATCH($L$1,[3]enemies!$1:$1,0)+1,FALSE)</f>
        <v>2</v>
      </c>
      <c r="AB306" s="100">
        <f t="shared" si="207"/>
        <v>118</v>
      </c>
      <c r="AC306" s="101" t="str">
        <f ca="1">IFERROR(VLOOKUP($AB306,OFFSET([4]characters!$A$1,0,0,COUNTA([4]characters!$A:$A),MATCH(AC$1,[4]characters!$1:$1,0)-MATCH("character_id",[4]characters!$1:$1,0)+1),MATCH(AC$1,[4]characters!$1:$1,0)-MATCH("character_id",[4]characters!$1:$1,0)+1,FALSE),"")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306" s="101">
        <f ca="1">IFERROR(VLOOKUP($AB306,OFFSET([4]characters!$A$1,0,0,COUNTA([4]characters!$A:$A),MATCH(AD$1,[4]characters!$1:$1,0)-MATCH("character_id",[4]characters!$1:$1,0)+1),MATCH(AD$1,[4]characters!$1:$1,0)-MATCH("character_id",[4]characters!$1:$1,0)+1,FALSE),"")</f>
        <v>4</v>
      </c>
      <c r="AE306" s="101" t="str">
        <f ca="1">IFERROR(VLOOKUP($AB306,OFFSET([4]characters!$A$1,0,0,COUNTA([4]characters!$A:$A),MATCH(AE$1,[4]characters!$1:$1,0)-MATCH("character_id",[4]characters!$1:$1,0)+1),MATCH(AE$1,[4]characters!$1:$1,0)-MATCH("character_id",[4]characters!$1:$1,0)+1,FALSE),"")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6" s="98">
        <v>1</v>
      </c>
      <c r="AG306" s="108">
        <f t="shared" ca="1" si="208"/>
        <v>4</v>
      </c>
      <c r="AH306" s="109">
        <v>0</v>
      </c>
      <c r="AI306" s="98">
        <v>0</v>
      </c>
      <c r="AJ306" s="98">
        <v>0</v>
      </c>
      <c r="AK306" s="98">
        <v>0</v>
      </c>
      <c r="AL306" s="98">
        <v>0</v>
      </c>
      <c r="AM306" s="98">
        <v>1</v>
      </c>
      <c r="AN306" s="98">
        <v>1</v>
      </c>
    </row>
    <row r="307" spans="1:40" ht="21" customHeight="1" x14ac:dyDescent="0.15">
      <c r="A307" s="17" t="str">
        <f t="shared" ref="A307" ca="1" si="209">B307&amp;"_"&amp;C307&amp;"-"&amp;G307&amp;"/"&amp;L307&amp;"&lt;lv"&amp;R307&amp;"&gt;s"&amp;AA307</f>
        <v>11006_4-1/118&lt;lv11&gt;s2</v>
      </c>
      <c r="B307" s="8">
        <v>11006</v>
      </c>
      <c r="C307" s="25">
        <v>4</v>
      </c>
      <c r="D307" s="2" t="str">
        <f t="shared" ref="D307" si="210">B307&amp;"_"&amp;C307</f>
        <v>11006_4</v>
      </c>
      <c r="E307" s="5" t="str">
        <f ca="1">VLOOKUP($B307,OFFSET([2]quests!$A$1,0,0,COUNTA([2]quests!$A:$A),MATCH(E$1,[2]quests!$1:$1,0)-MATCH($B$1,[2]quests!$1:$1,0)+1),MATCH(E$1,[2]quests!$1:$1,0)-MATCH($B$1,[2]quests!$1:$1,0)+1,FALSE)</f>
        <v>【土日限定】 ゴールドカジノ</v>
      </c>
      <c r="F307" s="5" t="str">
        <f ca="1">VLOOKUP($D307,OFFSET([2]stages!$A$1,0,0,COUNTA([2]stages!$A:$A),MATCH(F$1,[2]stages!$2:$2,0)-MATCH($D$1,[2]stages!$2:$2,0)+1),MATCH(F$1,[2]stages!$2:$2,0)-MATCH($D$1,[2]stages!$2:$2,0)+1,FALSE)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07" s="25">
        <v>1</v>
      </c>
      <c r="H307" s="16" t="str">
        <f t="shared" ref="H307" si="211">B307&amp;"_"&amp;C307&amp;"-"&amp;G307</f>
        <v>11006_4-1</v>
      </c>
      <c r="I307" s="5">
        <f ca="1">VLOOKUP($H307,OFFSET(floors!$A$1,0,0,COUNTA(floors!$A:$A),MATCH(I$1,floors!$1:$1,0)-MATCH($H$1,floors!$1:$1,0)+1),MATCH(I$1,floors!$1:$1,0)-MATCH($H$1,floors!$1:$1,0)+1,FALSE)</f>
        <v>40</v>
      </c>
      <c r="J307" s="5">
        <f ca="1">VLOOKUP($H307,OFFSET(floors!$A$1,0,0,COUNTA(floors!$A:$A),MATCH(J$1,floors!$1:$1,0)-MATCH($H$1,floors!$1:$1,0)+1),MATCH(J$1,floors!$1:$1,0)-MATCH($H$1,floors!$1:$1,0)+1,FALSE)</f>
        <v>40</v>
      </c>
      <c r="K307" s="24" t="s">
        <v>197</v>
      </c>
      <c r="L307" s="24">
        <v>118</v>
      </c>
      <c r="M307" s="20" t="str">
        <f ca="1">VLOOKUP($L307,OFFSET([3]enemies!$A$1,0,0,COUNTA([3]enemies!$A:$A),MATCH(M$1,[3]enemies!$1:$1,0)-MATCH($L$1,[3]enemies!$1:$1,0)+1),MATCH(M$1,[3]enemies!$1:$1,0)-MATCH($L$1,[3]enemies!$1:$1,0)+1,FALSE)</f>
        <v>ゴールドチック</v>
      </c>
      <c r="N307" s="20" t="str">
        <f ca="1">VLOOKUP($L307,OFFSET([3]enemies!$A$1,0,0,COUNTA([3]enemies!$A:$A),MATCH(N$1,[3]enemies!$1:$1,0)-MATCH($L$1,[3]enemies!$1:$1,0)+1),MATCH(N$1,[3]enemies!$1:$1,0)-MATCH($L$1,[3]enemies!$1:$1,0)+1,FALSE)</f>
        <v>yellow</v>
      </c>
      <c r="O307" s="22" t="str">
        <f ca="1">VLOOKUP($L307,OFFSET([4]characters!$A$1,0,0,COUNTA([4]characters!$A:$A),MATCH(O$1,[4]characters!$1:$1,0)-MATCH($L$1,[4]characters!$1:$1,0)+1),MATCH(O$1,[4]characters!$1:$1,0)-MATCH($L$1,[4]characters!$1:$1,0)+1,FALSE)</f>
        <v>Material</v>
      </c>
      <c r="P307" s="20" t="str">
        <f ca="1">VLOOKUP($L307,OFFSET([3]enemies!$A$1,0,0,COUNTA([3]enemies!$A:$A),MATCH(P$1,[3]enemies!$1:$1,0)-MATCH($L$1,[3]enemies!$1:$1,0)+1),MATCH(P$1,[3]enemies!$1:$1,0)-MATCH($L$1,[3]enemies!$1:$1,0)+1,FALSE)</f>
        <v>unknown</v>
      </c>
      <c r="Q307" s="20">
        <f ca="1">VLOOKUP($L307,OFFSET([3]enemies!$A$1,0,0,COUNTA([3]enemies!$A:$A),MATCH(Q$1,[3]enemies!$1:$1,0)-MATCH($L$1,[3]enemies!$1:$1,0)+1),MATCH(Q$1,[3]enemies!$1:$1,0)-MATCH($L$1,[3]enemies!$1:$1,0)+1,FALSE)</f>
        <v>15</v>
      </c>
      <c r="R307" s="6">
        <v>11</v>
      </c>
      <c r="S307" s="39">
        <v>42</v>
      </c>
      <c r="T307" s="39">
        <v>60</v>
      </c>
      <c r="U307" s="6">
        <v>0</v>
      </c>
      <c r="V307" s="5" t="str">
        <f ca="1">VLOOKUP($W307,OFFSET([5]enemy_skill_sets!$B$1,0,0,COUNTA([5]enemy_skill_sets!$B:$B),MATCH(M$1,[5]enemy_skill_sets!$1:$1,0)-MATCH($W$1,[5]enemy_skill_sets!$1:$1,0)+2),MATCH(M$1,[5]enemy_skill_sets!$1:$1,0)-MATCH($W$1,[5]enemy_skill_sets!$1:$1,0)+2,FALSE)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7" s="5">
        <f ca="1">VLOOKUP($L307,OFFSET([3]enemies!$A$1,0,0,COUNTA([3]enemies!$A:$A),MATCH(W$1,[3]enemies!$1:$1,0)-MATCH($L$1,[3]enemies!$1:$1,0)+1),MATCH(W$1,[3]enemies!$1:$1,0)-MATCH($L$1,[3]enemies!$1:$1,0)+1,FALSE)</f>
        <v>0</v>
      </c>
      <c r="X307" s="7">
        <v>0</v>
      </c>
      <c r="Y307" s="7">
        <v>60</v>
      </c>
      <c r="Z307" s="7">
        <v>2</v>
      </c>
      <c r="AA307" s="20">
        <f ca="1">VLOOKUP($L307,OFFSET([3]enemies!$A$1,0,0,COUNTA([3]enemies!$A:$A),MATCH(AA$1,[3]enemies!$1:$1,0)-MATCH($L$1,[3]enemies!$1:$1,0)+1),MATCH(AA$1,[3]enemies!$1:$1,0)-MATCH($L$1,[3]enemies!$1:$1,0)+1,FALSE)</f>
        <v>2</v>
      </c>
      <c r="AB307" s="2">
        <f t="shared" ref="AB307" si="212">L307</f>
        <v>118</v>
      </c>
      <c r="AC307" s="5" t="str">
        <f ca="1">IFERROR(VLOOKUP($AB307,OFFSET([4]characters!$A$1,0,0,COUNTA([4]characters!$A:$A),MATCH(AC$1,[4]characters!$1:$1,0)-MATCH("character_id",[4]characters!$1:$1,0)+1),MATCH(AC$1,[4]characters!$1:$1,0)-MATCH("character_id",[4]characters!$1:$1,0)+1,FALSE),"")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307" s="5">
        <f ca="1">IFERROR(VLOOKUP($AB307,OFFSET([4]characters!$A$1,0,0,COUNTA([4]characters!$A:$A),MATCH(AD$1,[4]characters!$1:$1,0)-MATCH("character_id",[4]characters!$1:$1,0)+1),MATCH(AD$1,[4]characters!$1:$1,0)-MATCH("character_id",[4]characters!$1:$1,0)+1,FALSE),"")</f>
        <v>4</v>
      </c>
      <c r="AE307" s="5" t="str">
        <f ca="1">IFERROR(VLOOKUP($AB307,OFFSET([4]characters!$A$1,0,0,COUNTA([4]characters!$A:$A),MATCH(AE$1,[4]characters!$1:$1,0)-MATCH("character_id",[4]characters!$1:$1,0)+1),MATCH(AE$1,[4]characters!$1:$1,0)-MATCH("character_id",[4]characters!$1:$1,0)+1,FALSE),"")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7" s="8">
        <v>1</v>
      </c>
      <c r="AG307" s="27">
        <f t="shared" ref="AG307" ca="1" si="213">AD307</f>
        <v>4</v>
      </c>
      <c r="AH307" s="9">
        <v>100</v>
      </c>
      <c r="AI307" s="8">
        <v>0</v>
      </c>
      <c r="AJ307" s="8">
        <v>0</v>
      </c>
      <c r="AK307" s="8">
        <v>0</v>
      </c>
      <c r="AL307" s="8">
        <v>0</v>
      </c>
      <c r="AM307" s="8">
        <v>1</v>
      </c>
      <c r="AN307" s="8">
        <v>1</v>
      </c>
    </row>
    <row r="308" spans="1:40" ht="21" customHeight="1" x14ac:dyDescent="0.15">
      <c r="A308" s="17" t="str">
        <f t="shared" ref="A308:A310" ca="1" si="214">B308&amp;"_"&amp;C308&amp;"-"&amp;G308&amp;"/"&amp;L308&amp;"&lt;lv"&amp;R308&amp;"&gt;s"&amp;AA308</f>
        <v>11006_4-1/119&lt;lv10&gt;s3</v>
      </c>
      <c r="B308" s="8">
        <v>11006</v>
      </c>
      <c r="C308" s="25">
        <v>4</v>
      </c>
      <c r="D308" s="2" t="str">
        <f t="shared" ref="D308:D310" si="215">B308&amp;"_"&amp;C308</f>
        <v>11006_4</v>
      </c>
      <c r="E308" s="5" t="str">
        <f ca="1">VLOOKUP($B308,OFFSET([2]quests!$A$1,0,0,COUNTA([2]quests!$A:$A),MATCH(E$1,[2]quests!$1:$1,0)-MATCH($B$1,[2]quests!$1:$1,0)+1),MATCH(E$1,[2]quests!$1:$1,0)-MATCH($B$1,[2]quests!$1:$1,0)+1,FALSE)</f>
        <v>【土日限定】 ゴールドカジノ</v>
      </c>
      <c r="F308" s="5" t="str">
        <f ca="1">VLOOKUP($D308,OFFSET([2]stages!$A$1,0,0,COUNTA([2]stages!$A:$A),MATCH(F$1,[2]stages!$2:$2,0)-MATCH($D$1,[2]stages!$2:$2,0)+1),MATCH(F$1,[2]stages!$2:$2,0)-MATCH($D$1,[2]stages!$2:$2,0)+1,FALSE)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08" s="25">
        <v>1</v>
      </c>
      <c r="H308" s="16" t="str">
        <f t="shared" ref="H308:H310" si="216">B308&amp;"_"&amp;C308&amp;"-"&amp;G308</f>
        <v>11006_4-1</v>
      </c>
      <c r="I308" s="5">
        <f ca="1">VLOOKUP($H308,OFFSET(floors!$A$1,0,0,COUNTA(floors!$A:$A),MATCH(I$1,floors!$1:$1,0)-MATCH($H$1,floors!$1:$1,0)+1),MATCH(I$1,floors!$1:$1,0)-MATCH($H$1,floors!$1:$1,0)+1,FALSE)</f>
        <v>40</v>
      </c>
      <c r="J308" s="5">
        <f ca="1">VLOOKUP($H308,OFFSET(floors!$A$1,0,0,COUNTA(floors!$A:$A),MATCH(J$1,floors!$1:$1,0)-MATCH($H$1,floors!$1:$1,0)+1),MATCH(J$1,floors!$1:$1,0)-MATCH($H$1,floors!$1:$1,0)+1,FALSE)</f>
        <v>40</v>
      </c>
      <c r="K308" s="24" t="s">
        <v>197</v>
      </c>
      <c r="L308" s="24">
        <v>119</v>
      </c>
      <c r="M308" s="20" t="str">
        <f ca="1">VLOOKUP($L308,OFFSET([3]enemies!$A$1,0,0,COUNTA([3]enemies!$A:$A),MATCH(M$1,[3]enemies!$1:$1,0)-MATCH($L$1,[3]enemies!$1:$1,0)+1),MATCH(M$1,[3]enemies!$1:$1,0)-MATCH($L$1,[3]enemies!$1:$1,0)+1,FALSE)</f>
        <v>ゴールドダック</v>
      </c>
      <c r="N308" s="20" t="str">
        <f ca="1">VLOOKUP($L308,OFFSET([3]enemies!$A$1,0,0,COUNTA([3]enemies!$A:$A),MATCH(N$1,[3]enemies!$1:$1,0)-MATCH($L$1,[3]enemies!$1:$1,0)+1),MATCH(N$1,[3]enemies!$1:$1,0)-MATCH($L$1,[3]enemies!$1:$1,0)+1,FALSE)</f>
        <v>yellow</v>
      </c>
      <c r="O308" s="22" t="str">
        <f ca="1">VLOOKUP($L308,OFFSET([4]characters!$A$1,0,0,COUNTA([4]characters!$A:$A),MATCH(O$1,[4]characters!$1:$1,0)-MATCH($L$1,[4]characters!$1:$1,0)+1),MATCH(O$1,[4]characters!$1:$1,0)-MATCH($L$1,[4]characters!$1:$1,0)+1,FALSE)</f>
        <v>Material</v>
      </c>
      <c r="P308" s="20" t="str">
        <f ca="1">VLOOKUP($L308,OFFSET([3]enemies!$A$1,0,0,COUNTA([3]enemies!$A:$A),MATCH(P$1,[3]enemies!$1:$1,0)-MATCH($L$1,[3]enemies!$1:$1,0)+1),MATCH(P$1,[3]enemies!$1:$1,0)-MATCH($L$1,[3]enemies!$1:$1,0)+1,FALSE)</f>
        <v>unknown</v>
      </c>
      <c r="Q308" s="20">
        <f ca="1">VLOOKUP($L308,OFFSET([3]enemies!$A$1,0,0,COUNTA([3]enemies!$A:$A),MATCH(Q$1,[3]enemies!$1:$1,0)-MATCH($L$1,[3]enemies!$1:$1,0)+1),MATCH(Q$1,[3]enemies!$1:$1,0)-MATCH($L$1,[3]enemies!$1:$1,0)+1,FALSE)</f>
        <v>20</v>
      </c>
      <c r="R308" s="6">
        <v>10</v>
      </c>
      <c r="S308" s="39">
        <v>73</v>
      </c>
      <c r="T308" s="39">
        <v>75</v>
      </c>
      <c r="U308" s="6">
        <v>0</v>
      </c>
      <c r="V308" s="5" t="str">
        <f ca="1">VLOOKUP($W308,OFFSET([5]enemy_skill_sets!$B$1,0,0,COUNTA([5]enemy_skill_sets!$B:$B),MATCH(M$1,[5]enemy_skill_sets!$1:$1,0)-MATCH($W$1,[5]enemy_skill_sets!$1:$1,0)+2),MATCH(M$1,[5]enemy_skill_sets!$1:$1,0)-MATCH($W$1,[5]enemy_skill_sets!$1:$1,0)+2,FALSE)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8" s="5">
        <f ca="1">VLOOKUP($L308,OFFSET([3]enemies!$A$1,0,0,COUNTA([3]enemies!$A:$A),MATCH(W$1,[3]enemies!$1:$1,0)-MATCH($L$1,[3]enemies!$1:$1,0)+1),MATCH(W$1,[3]enemies!$1:$1,0)-MATCH($L$1,[3]enemies!$1:$1,0)+1,FALSE)</f>
        <v>0</v>
      </c>
      <c r="X308" s="7">
        <v>0</v>
      </c>
      <c r="Y308" s="7">
        <v>100</v>
      </c>
      <c r="Z308" s="7">
        <v>0</v>
      </c>
      <c r="AA308" s="20">
        <f ca="1">VLOOKUP($L308,OFFSET([3]enemies!$A$1,0,0,COUNTA([3]enemies!$A:$A),MATCH(AA$1,[3]enemies!$1:$1,0)-MATCH($L$1,[3]enemies!$1:$1,0)+1),MATCH(AA$1,[3]enemies!$1:$1,0)-MATCH($L$1,[3]enemies!$1:$1,0)+1,FALSE)</f>
        <v>3</v>
      </c>
      <c r="AB308" s="2">
        <f t="shared" ref="AB308:AB310" si="217">L308</f>
        <v>119</v>
      </c>
      <c r="AC308" s="5" t="str">
        <f ca="1">IFERROR(VLOOKUP($AB308,OFFSET([4]characters!$A$1,0,0,COUNTA([4]characters!$A:$A),MATCH(AC$1,[4]characters!$1:$1,0)-MATCH("character_id",[4]characters!$1:$1,0)+1),MATCH(AC$1,[4]characters!$1:$1,0)-MATCH("character_id",[4]characters!$1:$1,0)+1,FALSE),"")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308" s="5">
        <f ca="1">IFERROR(VLOOKUP($AB308,OFFSET([4]characters!$A$1,0,0,COUNTA([4]characters!$A:$A),MATCH(AD$1,[4]characters!$1:$1,0)-MATCH("character_id",[4]characters!$1:$1,0)+1),MATCH(AD$1,[4]characters!$1:$1,0)-MATCH("character_id",[4]characters!$1:$1,0)+1,FALSE),"")</f>
        <v>5</v>
      </c>
      <c r="AE308" s="5" t="str">
        <f ca="1">IFERROR(VLOOKUP($AB308,OFFSET([4]characters!$A$1,0,0,COUNTA([4]characters!$A:$A),MATCH(AE$1,[4]characters!$1:$1,0)-MATCH("character_id",[4]characters!$1:$1,0)+1),MATCH(AE$1,[4]characters!$1:$1,0)-MATCH("character_id",[4]characters!$1:$1,0)+1,FALSE),"")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8" s="8">
        <v>1</v>
      </c>
      <c r="AG308" s="27">
        <f t="shared" ref="AG308:AG310" ca="1" si="218">AD308</f>
        <v>5</v>
      </c>
      <c r="AH308" s="9">
        <v>100</v>
      </c>
      <c r="AI308" s="8">
        <v>0</v>
      </c>
      <c r="AJ308" s="8">
        <v>0</v>
      </c>
      <c r="AK308" s="8">
        <v>0</v>
      </c>
      <c r="AL308" s="8">
        <v>0</v>
      </c>
      <c r="AM308" s="8">
        <v>1</v>
      </c>
      <c r="AN308" s="8">
        <v>1</v>
      </c>
    </row>
    <row r="309" spans="1:40" ht="21" customHeight="1" x14ac:dyDescent="0.15">
      <c r="A309" s="17" t="str">
        <f t="shared" ca="1" si="214"/>
        <v>11006_4-2/118&lt;lv10&gt;s2</v>
      </c>
      <c r="B309" s="8">
        <v>11006</v>
      </c>
      <c r="C309" s="25">
        <v>4</v>
      </c>
      <c r="D309" s="2" t="str">
        <f t="shared" si="215"/>
        <v>11006_4</v>
      </c>
      <c r="E309" s="5" t="str">
        <f ca="1">VLOOKUP($B309,OFFSET([2]quests!$A$1,0,0,COUNTA([2]quests!$A:$A),MATCH(E$1,[2]quests!$1:$1,0)-MATCH($B$1,[2]quests!$1:$1,0)+1),MATCH(E$1,[2]quests!$1:$1,0)-MATCH($B$1,[2]quests!$1:$1,0)+1,FALSE)</f>
        <v>【土日限定】 ゴールドカジノ</v>
      </c>
      <c r="F309" s="5" t="str">
        <f ca="1">VLOOKUP($D309,OFFSET([2]stages!$A$1,0,0,COUNTA([2]stages!$A:$A),MATCH(F$1,[2]stages!$2:$2,0)-MATCH($D$1,[2]stages!$2:$2,0)+1),MATCH(F$1,[2]stages!$2:$2,0)-MATCH($D$1,[2]stages!$2:$2,0)+1,FALSE)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09" s="25">
        <v>2</v>
      </c>
      <c r="H309" s="16" t="str">
        <f t="shared" si="216"/>
        <v>11006_4-2</v>
      </c>
      <c r="I309" s="5">
        <f ca="1">VLOOKUP($H309,OFFSET(floors!$A$1,0,0,COUNTA(floors!$A:$A),MATCH(I$1,floors!$1:$1,0)-MATCH($H$1,floors!$1:$1,0)+1),MATCH(I$1,floors!$1:$1,0)-MATCH($H$1,floors!$1:$1,0)+1,FALSE)</f>
        <v>35</v>
      </c>
      <c r="J309" s="5">
        <f ca="1">VLOOKUP($H309,OFFSET(floors!$A$1,0,0,COUNTA(floors!$A:$A),MATCH(J$1,floors!$1:$1,0)-MATCH($H$1,floors!$1:$1,0)+1),MATCH(J$1,floors!$1:$1,0)-MATCH($H$1,floors!$1:$1,0)+1,FALSE)</f>
        <v>35</v>
      </c>
      <c r="K309" s="24" t="s">
        <v>197</v>
      </c>
      <c r="L309" s="24">
        <v>118</v>
      </c>
      <c r="M309" s="20" t="str">
        <f ca="1">VLOOKUP($L309,OFFSET([3]enemies!$A$1,0,0,COUNTA([3]enemies!$A:$A),MATCH(M$1,[3]enemies!$1:$1,0)-MATCH($L$1,[3]enemies!$1:$1,0)+1),MATCH(M$1,[3]enemies!$1:$1,0)-MATCH($L$1,[3]enemies!$1:$1,0)+1,FALSE)</f>
        <v>ゴールドチック</v>
      </c>
      <c r="N309" s="20" t="str">
        <f ca="1">VLOOKUP($L309,OFFSET([3]enemies!$A$1,0,0,COUNTA([3]enemies!$A:$A),MATCH(N$1,[3]enemies!$1:$1,0)-MATCH($L$1,[3]enemies!$1:$1,0)+1),MATCH(N$1,[3]enemies!$1:$1,0)-MATCH($L$1,[3]enemies!$1:$1,0)+1,FALSE)</f>
        <v>yellow</v>
      </c>
      <c r="O309" s="22" t="str">
        <f ca="1">VLOOKUP($L309,OFFSET([4]characters!$A$1,0,0,COUNTA([4]characters!$A:$A),MATCH(O$1,[4]characters!$1:$1,0)-MATCH($L$1,[4]characters!$1:$1,0)+1),MATCH(O$1,[4]characters!$1:$1,0)-MATCH($L$1,[4]characters!$1:$1,0)+1,FALSE)</f>
        <v>Material</v>
      </c>
      <c r="P309" s="20" t="str">
        <f ca="1">VLOOKUP($L309,OFFSET([3]enemies!$A$1,0,0,COUNTA([3]enemies!$A:$A),MATCH(P$1,[3]enemies!$1:$1,0)-MATCH($L$1,[3]enemies!$1:$1,0)+1),MATCH(P$1,[3]enemies!$1:$1,0)-MATCH($L$1,[3]enemies!$1:$1,0)+1,FALSE)</f>
        <v>unknown</v>
      </c>
      <c r="Q309" s="20">
        <f ca="1">VLOOKUP($L309,OFFSET([3]enemies!$A$1,0,0,COUNTA([3]enemies!$A:$A),MATCH(Q$1,[3]enemies!$1:$1,0)-MATCH($L$1,[3]enemies!$1:$1,0)+1),MATCH(Q$1,[3]enemies!$1:$1,0)-MATCH($L$1,[3]enemies!$1:$1,0)+1,FALSE)</f>
        <v>15</v>
      </c>
      <c r="R309" s="6">
        <v>10</v>
      </c>
      <c r="S309" s="39">
        <v>42</v>
      </c>
      <c r="T309" s="39">
        <v>60</v>
      </c>
      <c r="U309" s="6">
        <v>0</v>
      </c>
      <c r="V309" s="5" t="str">
        <f ca="1">VLOOKUP($W309,OFFSET([5]enemy_skill_sets!$B$1,0,0,COUNTA([5]enemy_skill_sets!$B:$B),MATCH(M$1,[5]enemy_skill_sets!$1:$1,0)-MATCH($W$1,[5]enemy_skill_sets!$1:$1,0)+2),MATCH(M$1,[5]enemy_skill_sets!$1:$1,0)-MATCH($W$1,[5]enemy_skill_sets!$1:$1,0)+2,FALSE)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9" s="5">
        <f ca="1">VLOOKUP($L309,OFFSET([3]enemies!$A$1,0,0,COUNTA([3]enemies!$A:$A),MATCH(W$1,[3]enemies!$1:$1,0)-MATCH($L$1,[3]enemies!$1:$1,0)+1),MATCH(W$1,[3]enemies!$1:$1,0)-MATCH($L$1,[3]enemies!$1:$1,0)+1,FALSE)</f>
        <v>0</v>
      </c>
      <c r="X309" s="7">
        <v>1</v>
      </c>
      <c r="Y309" s="7">
        <v>100</v>
      </c>
      <c r="Z309" s="7">
        <v>0</v>
      </c>
      <c r="AA309" s="20">
        <f ca="1">VLOOKUP($L309,OFFSET([3]enemies!$A$1,0,0,COUNTA([3]enemies!$A:$A),MATCH(AA$1,[3]enemies!$1:$1,0)-MATCH($L$1,[3]enemies!$1:$1,0)+1),MATCH(AA$1,[3]enemies!$1:$1,0)-MATCH($L$1,[3]enemies!$1:$1,0)+1,FALSE)</f>
        <v>2</v>
      </c>
      <c r="AB309" s="2">
        <f t="shared" si="217"/>
        <v>118</v>
      </c>
      <c r="AC309" s="5" t="str">
        <f ca="1">IFERROR(VLOOKUP($AB309,OFFSET([4]characters!$A$1,0,0,COUNTA([4]characters!$A:$A),MATCH(AC$1,[4]characters!$1:$1,0)-MATCH("character_id",[4]characters!$1:$1,0)+1),MATCH(AC$1,[4]characters!$1:$1,0)-MATCH("character_id",[4]characters!$1:$1,0)+1,FALSE),"")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309" s="5">
        <f ca="1">IFERROR(VLOOKUP($AB309,OFFSET([4]characters!$A$1,0,0,COUNTA([4]characters!$A:$A),MATCH(AD$1,[4]characters!$1:$1,0)-MATCH("character_id",[4]characters!$1:$1,0)+1),MATCH(AD$1,[4]characters!$1:$1,0)-MATCH("character_id",[4]characters!$1:$1,0)+1,FALSE),"")</f>
        <v>4</v>
      </c>
      <c r="AE309" s="5" t="str">
        <f ca="1">IFERROR(VLOOKUP($AB309,OFFSET([4]characters!$A$1,0,0,COUNTA([4]characters!$A:$A),MATCH(AE$1,[4]characters!$1:$1,0)-MATCH("character_id",[4]characters!$1:$1,0)+1),MATCH(AE$1,[4]characters!$1:$1,0)-MATCH("character_id",[4]characters!$1:$1,0)+1,FALSE),"")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9" s="8">
        <v>1</v>
      </c>
      <c r="AG309" s="27">
        <f t="shared" ca="1" si="218"/>
        <v>4</v>
      </c>
      <c r="AH309" s="9">
        <v>0</v>
      </c>
      <c r="AI309" s="8">
        <v>0</v>
      </c>
      <c r="AJ309" s="8">
        <v>0</v>
      </c>
      <c r="AK309" s="8">
        <v>0</v>
      </c>
      <c r="AL309" s="8">
        <v>0</v>
      </c>
      <c r="AM309" s="8">
        <v>1</v>
      </c>
      <c r="AN309" s="8">
        <v>1</v>
      </c>
    </row>
    <row r="310" spans="1:40" ht="21" customHeight="1" x14ac:dyDescent="0.15">
      <c r="A310" s="17" t="str">
        <f t="shared" ca="1" si="214"/>
        <v>11006_4-2/119&lt;lv10&gt;s3</v>
      </c>
      <c r="B310" s="8">
        <v>11006</v>
      </c>
      <c r="C310" s="25">
        <v>4</v>
      </c>
      <c r="D310" s="2" t="str">
        <f t="shared" si="215"/>
        <v>11006_4</v>
      </c>
      <c r="E310" s="5" t="str">
        <f ca="1">VLOOKUP($B310,OFFSET([2]quests!$A$1,0,0,COUNTA([2]quests!$A:$A),MATCH(E$1,[2]quests!$1:$1,0)-MATCH($B$1,[2]quests!$1:$1,0)+1),MATCH(E$1,[2]quests!$1:$1,0)-MATCH($B$1,[2]quests!$1:$1,0)+1,FALSE)</f>
        <v>【土日限定】 ゴールドカジノ</v>
      </c>
      <c r="F310" s="5" t="str">
        <f ca="1">VLOOKUP($D310,OFFSET([2]stages!$A$1,0,0,COUNTA([2]stages!$A:$A),MATCH(F$1,[2]stages!$2:$2,0)-MATCH($D$1,[2]stages!$2:$2,0)+1),MATCH(F$1,[2]stages!$2:$2,0)-MATCH($D$1,[2]stages!$2:$2,0)+1,FALSE)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0" s="25">
        <v>2</v>
      </c>
      <c r="H310" s="16" t="str">
        <f t="shared" si="216"/>
        <v>11006_4-2</v>
      </c>
      <c r="I310" s="5">
        <f ca="1">VLOOKUP($H310,OFFSET(floors!$A$1,0,0,COUNTA(floors!$A:$A),MATCH(I$1,floors!$1:$1,0)-MATCH($H$1,floors!$1:$1,0)+1),MATCH(I$1,floors!$1:$1,0)-MATCH($H$1,floors!$1:$1,0)+1,FALSE)</f>
        <v>35</v>
      </c>
      <c r="J310" s="5">
        <f ca="1">VLOOKUP($H310,OFFSET(floors!$A$1,0,0,COUNTA(floors!$A:$A),MATCH(J$1,floors!$1:$1,0)-MATCH($H$1,floors!$1:$1,0)+1),MATCH(J$1,floors!$1:$1,0)-MATCH($H$1,floors!$1:$1,0)+1,FALSE)</f>
        <v>35</v>
      </c>
      <c r="K310" s="24" t="s">
        <v>197</v>
      </c>
      <c r="L310" s="24">
        <v>119</v>
      </c>
      <c r="M310" s="20" t="str">
        <f ca="1">VLOOKUP($L310,OFFSET([3]enemies!$A$1,0,0,COUNTA([3]enemies!$A:$A),MATCH(M$1,[3]enemies!$1:$1,0)-MATCH($L$1,[3]enemies!$1:$1,0)+1),MATCH(M$1,[3]enemies!$1:$1,0)-MATCH($L$1,[3]enemies!$1:$1,0)+1,FALSE)</f>
        <v>ゴールドダック</v>
      </c>
      <c r="N310" s="20" t="str">
        <f ca="1">VLOOKUP($L310,OFFSET([3]enemies!$A$1,0,0,COUNTA([3]enemies!$A:$A),MATCH(N$1,[3]enemies!$1:$1,0)-MATCH($L$1,[3]enemies!$1:$1,0)+1),MATCH(N$1,[3]enemies!$1:$1,0)-MATCH($L$1,[3]enemies!$1:$1,0)+1,FALSE)</f>
        <v>yellow</v>
      </c>
      <c r="O310" s="22" t="str">
        <f ca="1">VLOOKUP($L310,OFFSET([4]characters!$A$1,0,0,COUNTA([4]characters!$A:$A),MATCH(O$1,[4]characters!$1:$1,0)-MATCH($L$1,[4]characters!$1:$1,0)+1),MATCH(O$1,[4]characters!$1:$1,0)-MATCH($L$1,[4]characters!$1:$1,0)+1,FALSE)</f>
        <v>Material</v>
      </c>
      <c r="P310" s="20" t="str">
        <f ca="1">VLOOKUP($L310,OFFSET([3]enemies!$A$1,0,0,COUNTA([3]enemies!$A:$A),MATCH(P$1,[3]enemies!$1:$1,0)-MATCH($L$1,[3]enemies!$1:$1,0)+1),MATCH(P$1,[3]enemies!$1:$1,0)-MATCH($L$1,[3]enemies!$1:$1,0)+1,FALSE)</f>
        <v>unknown</v>
      </c>
      <c r="Q310" s="20">
        <f ca="1">VLOOKUP($L310,OFFSET([3]enemies!$A$1,0,0,COUNTA([3]enemies!$A:$A),MATCH(Q$1,[3]enemies!$1:$1,0)-MATCH($L$1,[3]enemies!$1:$1,0)+1),MATCH(Q$1,[3]enemies!$1:$1,0)-MATCH($L$1,[3]enemies!$1:$1,0)+1,FALSE)</f>
        <v>20</v>
      </c>
      <c r="R310" s="6">
        <v>10</v>
      </c>
      <c r="S310" s="39">
        <v>73</v>
      </c>
      <c r="T310" s="39">
        <v>75</v>
      </c>
      <c r="U310" s="6">
        <v>0</v>
      </c>
      <c r="V310" s="5" t="str">
        <f ca="1">VLOOKUP($W310,OFFSET([5]enemy_skill_sets!$B$1,0,0,COUNTA([5]enemy_skill_sets!$B:$B),MATCH(M$1,[5]enemy_skill_sets!$1:$1,0)-MATCH($W$1,[5]enemy_skill_sets!$1:$1,0)+2),MATCH(M$1,[5]enemy_skill_sets!$1:$1,0)-MATCH($W$1,[5]enemy_skill_sets!$1:$1,0)+2,FALSE)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0" s="5">
        <f ca="1">VLOOKUP($L310,OFFSET([3]enemies!$A$1,0,0,COUNTA([3]enemies!$A:$A),MATCH(W$1,[3]enemies!$1:$1,0)-MATCH($L$1,[3]enemies!$1:$1,0)+1),MATCH(W$1,[3]enemies!$1:$1,0)-MATCH($L$1,[3]enemies!$1:$1,0)+1,FALSE)</f>
        <v>0</v>
      </c>
      <c r="X310" s="7">
        <v>1</v>
      </c>
      <c r="Y310" s="7">
        <v>100</v>
      </c>
      <c r="Z310" s="7">
        <v>0</v>
      </c>
      <c r="AA310" s="20">
        <f ca="1">VLOOKUP($L310,OFFSET([3]enemies!$A$1,0,0,COUNTA([3]enemies!$A:$A),MATCH(AA$1,[3]enemies!$1:$1,0)-MATCH($L$1,[3]enemies!$1:$1,0)+1),MATCH(AA$1,[3]enemies!$1:$1,0)-MATCH($L$1,[3]enemies!$1:$1,0)+1,FALSE)</f>
        <v>3</v>
      </c>
      <c r="AB310" s="2">
        <f t="shared" si="217"/>
        <v>119</v>
      </c>
      <c r="AC310" s="5" t="str">
        <f ca="1">IFERROR(VLOOKUP($AB310,OFFSET([4]characters!$A$1,0,0,COUNTA([4]characters!$A:$A),MATCH(AC$1,[4]characters!$1:$1,0)-MATCH("character_id",[4]characters!$1:$1,0)+1),MATCH(AC$1,[4]characters!$1:$1,0)-MATCH("character_id",[4]characters!$1:$1,0)+1,FALSE),"")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310" s="5">
        <f ca="1">IFERROR(VLOOKUP($AB310,OFFSET([4]characters!$A$1,0,0,COUNTA([4]characters!$A:$A),MATCH(AD$1,[4]characters!$1:$1,0)-MATCH("character_id",[4]characters!$1:$1,0)+1),MATCH(AD$1,[4]characters!$1:$1,0)-MATCH("character_id",[4]characters!$1:$1,0)+1,FALSE),"")</f>
        <v>5</v>
      </c>
      <c r="AE310" s="5" t="str">
        <f ca="1">IFERROR(VLOOKUP($AB310,OFFSET([4]characters!$A$1,0,0,COUNTA([4]characters!$A:$A),MATCH(AE$1,[4]characters!$1:$1,0)-MATCH("character_id",[4]characters!$1:$1,0)+1),MATCH(AE$1,[4]characters!$1:$1,0)-MATCH("character_id",[4]characters!$1:$1,0)+1,FALSE),"")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0" s="8">
        <v>1</v>
      </c>
      <c r="AG310" s="27">
        <f t="shared" ca="1" si="218"/>
        <v>5</v>
      </c>
      <c r="AH310" s="9">
        <v>100</v>
      </c>
      <c r="AI310" s="8">
        <v>0</v>
      </c>
      <c r="AJ310" s="8">
        <v>0</v>
      </c>
      <c r="AK310" s="8">
        <v>0</v>
      </c>
      <c r="AL310" s="8">
        <v>0</v>
      </c>
      <c r="AM310" s="8">
        <v>1</v>
      </c>
      <c r="AN310" s="8">
        <v>1</v>
      </c>
    </row>
    <row r="311" spans="1:40" ht="21" customHeight="1" x14ac:dyDescent="0.15">
      <c r="A311" s="17" t="str">
        <f t="shared" ref="A311" ca="1" si="219">B311&amp;"_"&amp;C311&amp;"-"&amp;G311&amp;"/"&amp;L311&amp;"&lt;lv"&amp;R311&amp;"&gt;s"&amp;AA311</f>
        <v>11006_4-3/119&lt;lv10&gt;s3</v>
      </c>
      <c r="B311" s="8">
        <v>11006</v>
      </c>
      <c r="C311" s="25">
        <v>4</v>
      </c>
      <c r="D311" s="2" t="str">
        <f t="shared" ref="D311" si="220">B311&amp;"_"&amp;C311</f>
        <v>11006_4</v>
      </c>
      <c r="E311" s="5" t="str">
        <f ca="1">VLOOKUP($B311,OFFSET([2]quests!$A$1,0,0,COUNTA([2]quests!$A:$A),MATCH(E$1,[2]quests!$1:$1,0)-MATCH($B$1,[2]quests!$1:$1,0)+1),MATCH(E$1,[2]quests!$1:$1,0)-MATCH($B$1,[2]quests!$1:$1,0)+1,FALSE)</f>
        <v>【土日限定】 ゴールドカジノ</v>
      </c>
      <c r="F311" s="5" t="str">
        <f ca="1">VLOOKUP($D311,OFFSET([2]stages!$A$1,0,0,COUNTA([2]stages!$A:$A),MATCH(F$1,[2]stages!$2:$2,0)-MATCH($D$1,[2]stages!$2:$2,0)+1),MATCH(F$1,[2]stages!$2:$2,0)-MATCH($D$1,[2]stages!$2:$2,0)+1,FALSE)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1" s="25">
        <v>3</v>
      </c>
      <c r="H311" s="16" t="str">
        <f t="shared" ref="H311" si="221">B311&amp;"_"&amp;C311&amp;"-"&amp;G311</f>
        <v>11006_4-3</v>
      </c>
      <c r="I311" s="5">
        <f ca="1">VLOOKUP($H311,OFFSET(floors!$A$1,0,0,COUNTA(floors!$A:$A),MATCH(I$1,floors!$1:$1,0)-MATCH($H$1,floors!$1:$1,0)+1),MATCH(I$1,floors!$1:$1,0)-MATCH($H$1,floors!$1:$1,0)+1,FALSE)</f>
        <v>50</v>
      </c>
      <c r="J311" s="5">
        <f ca="1">VLOOKUP($H311,OFFSET(floors!$A$1,0,0,COUNTA(floors!$A:$A),MATCH(J$1,floors!$1:$1,0)-MATCH($H$1,floors!$1:$1,0)+1),MATCH(J$1,floors!$1:$1,0)-MATCH($H$1,floors!$1:$1,0)+1,FALSE)</f>
        <v>50</v>
      </c>
      <c r="K311" s="24" t="s">
        <v>197</v>
      </c>
      <c r="L311" s="24">
        <v>119</v>
      </c>
      <c r="M311" s="20" t="str">
        <f ca="1">VLOOKUP($L311,OFFSET([3]enemies!$A$1,0,0,COUNTA([3]enemies!$A:$A),MATCH(M$1,[3]enemies!$1:$1,0)-MATCH($L$1,[3]enemies!$1:$1,0)+1),MATCH(M$1,[3]enemies!$1:$1,0)-MATCH($L$1,[3]enemies!$1:$1,0)+1,FALSE)</f>
        <v>ゴールドダック</v>
      </c>
      <c r="N311" s="20" t="str">
        <f ca="1">VLOOKUP($L311,OFFSET([3]enemies!$A$1,0,0,COUNTA([3]enemies!$A:$A),MATCH(N$1,[3]enemies!$1:$1,0)-MATCH($L$1,[3]enemies!$1:$1,0)+1),MATCH(N$1,[3]enemies!$1:$1,0)-MATCH($L$1,[3]enemies!$1:$1,0)+1,FALSE)</f>
        <v>yellow</v>
      </c>
      <c r="O311" s="22" t="str">
        <f ca="1">VLOOKUP($L311,OFFSET([4]characters!$A$1,0,0,COUNTA([4]characters!$A:$A),MATCH(O$1,[4]characters!$1:$1,0)-MATCH($L$1,[4]characters!$1:$1,0)+1),MATCH(O$1,[4]characters!$1:$1,0)-MATCH($L$1,[4]characters!$1:$1,0)+1,FALSE)</f>
        <v>Material</v>
      </c>
      <c r="P311" s="20" t="str">
        <f ca="1">VLOOKUP($L311,OFFSET([3]enemies!$A$1,0,0,COUNTA([3]enemies!$A:$A),MATCH(P$1,[3]enemies!$1:$1,0)-MATCH($L$1,[3]enemies!$1:$1,0)+1),MATCH(P$1,[3]enemies!$1:$1,0)-MATCH($L$1,[3]enemies!$1:$1,0)+1,FALSE)</f>
        <v>unknown</v>
      </c>
      <c r="Q311" s="20">
        <f ca="1">VLOOKUP($L311,OFFSET([3]enemies!$A$1,0,0,COUNTA([3]enemies!$A:$A),MATCH(Q$1,[3]enemies!$1:$1,0)-MATCH($L$1,[3]enemies!$1:$1,0)+1),MATCH(Q$1,[3]enemies!$1:$1,0)-MATCH($L$1,[3]enemies!$1:$1,0)+1,FALSE)</f>
        <v>20</v>
      </c>
      <c r="R311" s="6">
        <v>10</v>
      </c>
      <c r="S311" s="39">
        <v>73</v>
      </c>
      <c r="T311" s="39">
        <v>75</v>
      </c>
      <c r="U311" s="6">
        <v>0</v>
      </c>
      <c r="V311" s="5" t="str">
        <f ca="1">VLOOKUP($W311,OFFSET([5]enemy_skill_sets!$B$1,0,0,COUNTA([5]enemy_skill_sets!$B:$B),MATCH(M$1,[5]enemy_skill_sets!$1:$1,0)-MATCH($W$1,[5]enemy_skill_sets!$1:$1,0)+2),MATCH(M$1,[5]enemy_skill_sets!$1:$1,0)-MATCH($W$1,[5]enemy_skill_sets!$1:$1,0)+2,FALSE)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1" s="5">
        <f ca="1">VLOOKUP($L311,OFFSET([3]enemies!$A$1,0,0,COUNTA([3]enemies!$A:$A),MATCH(W$1,[3]enemies!$1:$1,0)-MATCH($L$1,[3]enemies!$1:$1,0)+1),MATCH(W$1,[3]enemies!$1:$1,0)-MATCH($L$1,[3]enemies!$1:$1,0)+1,FALSE)</f>
        <v>0</v>
      </c>
      <c r="X311" s="7">
        <v>0</v>
      </c>
      <c r="Y311" s="7">
        <v>100</v>
      </c>
      <c r="Z311" s="7">
        <v>1</v>
      </c>
      <c r="AA311" s="20">
        <f ca="1">VLOOKUP($L311,OFFSET([3]enemies!$A$1,0,0,COUNTA([3]enemies!$A:$A),MATCH(AA$1,[3]enemies!$1:$1,0)-MATCH($L$1,[3]enemies!$1:$1,0)+1),MATCH(AA$1,[3]enemies!$1:$1,0)-MATCH($L$1,[3]enemies!$1:$1,0)+1,FALSE)</f>
        <v>3</v>
      </c>
      <c r="AB311" s="2">
        <f t="shared" ref="AB311" si="222">L311</f>
        <v>119</v>
      </c>
      <c r="AC311" s="5" t="str">
        <f ca="1">IFERROR(VLOOKUP($AB311,OFFSET([4]characters!$A$1,0,0,COUNTA([4]characters!$A:$A),MATCH(AC$1,[4]characters!$1:$1,0)-MATCH("character_id",[4]characters!$1:$1,0)+1),MATCH(AC$1,[4]characters!$1:$1,0)-MATCH("character_id",[4]characters!$1:$1,0)+1,FALSE),"")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311" s="5">
        <f ca="1">IFERROR(VLOOKUP($AB311,OFFSET([4]characters!$A$1,0,0,COUNTA([4]characters!$A:$A),MATCH(AD$1,[4]characters!$1:$1,0)-MATCH("character_id",[4]characters!$1:$1,0)+1),MATCH(AD$1,[4]characters!$1:$1,0)-MATCH("character_id",[4]characters!$1:$1,0)+1,FALSE),"")</f>
        <v>5</v>
      </c>
      <c r="AE311" s="5" t="str">
        <f ca="1">IFERROR(VLOOKUP($AB311,OFFSET([4]characters!$A$1,0,0,COUNTA([4]characters!$A:$A),MATCH(AE$1,[4]characters!$1:$1,0)-MATCH("character_id",[4]characters!$1:$1,0)+1),MATCH(AE$1,[4]characters!$1:$1,0)-MATCH("character_id",[4]characters!$1:$1,0)+1,FALSE),"")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1" s="8">
        <v>1</v>
      </c>
      <c r="AG311" s="27">
        <f t="shared" ref="AG311" ca="1" si="223">AD311</f>
        <v>5</v>
      </c>
      <c r="AH311" s="9">
        <v>100</v>
      </c>
      <c r="AI311" s="8">
        <v>0</v>
      </c>
      <c r="AJ311" s="8">
        <v>0</v>
      </c>
      <c r="AK311" s="8">
        <v>0</v>
      </c>
      <c r="AL311" s="8">
        <v>0</v>
      </c>
      <c r="AM311" s="8">
        <v>1</v>
      </c>
      <c r="AN311" s="8">
        <v>1</v>
      </c>
    </row>
    <row r="312" spans="1:40" ht="21" customHeight="1" x14ac:dyDescent="0.15">
      <c r="A312" s="17" t="str">
        <f t="shared" ref="A312" ca="1" si="224">B312&amp;"_"&amp;C312&amp;"-"&amp;G312&amp;"/"&amp;L312&amp;"&lt;lv"&amp;R312&amp;"&gt;s"&amp;AA312</f>
        <v>11006_4-3/124&lt;lv32&gt;s2</v>
      </c>
      <c r="B312" s="8">
        <v>11006</v>
      </c>
      <c r="C312" s="25">
        <v>4</v>
      </c>
      <c r="D312" s="2" t="str">
        <f t="shared" ref="D312" si="225">B312&amp;"_"&amp;C312</f>
        <v>11006_4</v>
      </c>
      <c r="E312" s="5" t="str">
        <f ca="1">VLOOKUP($B312,OFFSET([2]quests!$A$1,0,0,COUNTA([2]quests!$A:$A),MATCH(E$1,[2]quests!$1:$1,0)-MATCH($B$1,[2]quests!$1:$1,0)+1),MATCH(E$1,[2]quests!$1:$1,0)-MATCH($B$1,[2]quests!$1:$1,0)+1,FALSE)</f>
        <v>【土日限定】 ゴールドカジノ</v>
      </c>
      <c r="F312" s="5" t="str">
        <f ca="1">VLOOKUP($D312,OFFSET([2]stages!$A$1,0,0,COUNTA([2]stages!$A:$A),MATCH(F$1,[2]stages!$2:$2,0)-MATCH($D$1,[2]stages!$2:$2,0)+1),MATCH(F$1,[2]stages!$2:$2,0)-MATCH($D$1,[2]stages!$2:$2,0)+1,FALSE)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2" s="25">
        <v>3</v>
      </c>
      <c r="H312" s="16" t="str">
        <f t="shared" ref="H312" si="226">B312&amp;"_"&amp;C312&amp;"-"&amp;G312</f>
        <v>11006_4-3</v>
      </c>
      <c r="I312" s="5">
        <f ca="1">VLOOKUP($H312,OFFSET(floors!$A$1,0,0,COUNTA(floors!$A:$A),MATCH(I$1,floors!$1:$1,0)-MATCH($H$1,floors!$1:$1,0)+1),MATCH(I$1,floors!$1:$1,0)-MATCH($H$1,floors!$1:$1,0)+1,FALSE)</f>
        <v>50</v>
      </c>
      <c r="J312" s="5">
        <f ca="1">VLOOKUP($H312,OFFSET(floors!$A$1,0,0,COUNTA(floors!$A:$A),MATCH(J$1,floors!$1:$1,0)-MATCH($H$1,floors!$1:$1,0)+1),MATCH(J$1,floors!$1:$1,0)-MATCH($H$1,floors!$1:$1,0)+1,FALSE)</f>
        <v>50</v>
      </c>
      <c r="K312" s="24" t="s">
        <v>197</v>
      </c>
      <c r="L312" s="24">
        <v>124</v>
      </c>
      <c r="M312" s="20" t="str">
        <f ca="1">VLOOKUP($L312,OFFSET([3]enemies!$A$1,0,0,COUNTA([3]enemies!$A:$A),MATCH(M$1,[3]enemies!$1:$1,0)-MATCH($L$1,[3]enemies!$1:$1,0)+1),MATCH(M$1,[3]enemies!$1:$1,0)-MATCH($L$1,[3]enemies!$1:$1,0)+1,FALSE)</f>
        <v>黄金の果実</v>
      </c>
      <c r="N312" s="20" t="str">
        <f ca="1">VLOOKUP($L312,OFFSET([3]enemies!$A$1,0,0,COUNTA([3]enemies!$A:$A),MATCH(N$1,[3]enemies!$1:$1,0)-MATCH($L$1,[3]enemies!$1:$1,0)+1),MATCH(N$1,[3]enemies!$1:$1,0)-MATCH($L$1,[3]enemies!$1:$1,0)+1,FALSE)</f>
        <v>yellow</v>
      </c>
      <c r="O312" s="22" t="str">
        <f ca="1">VLOOKUP($L312,OFFSET([4]characters!$A$1,0,0,COUNTA([4]characters!$A:$A),MATCH(O$1,[4]characters!$1:$1,0)-MATCH($L$1,[4]characters!$1:$1,0)+1),MATCH(O$1,[4]characters!$1:$1,0)-MATCH($L$1,[4]characters!$1:$1,0)+1,FALSE)</f>
        <v>Material</v>
      </c>
      <c r="P312" s="20" t="str">
        <f ca="1">VLOOKUP($L312,OFFSET([3]enemies!$A$1,0,0,COUNTA([3]enemies!$A:$A),MATCH(P$1,[3]enemies!$1:$1,0)-MATCH($L$1,[3]enemies!$1:$1,0)+1),MATCH(P$1,[3]enemies!$1:$1,0)-MATCH($L$1,[3]enemies!$1:$1,0)+1,FALSE)</f>
        <v>unknown</v>
      </c>
      <c r="Q312" s="20">
        <f ca="1">VLOOKUP($L312,OFFSET([3]enemies!$A$1,0,0,COUNTA([3]enemies!$A:$A),MATCH(Q$1,[3]enemies!$1:$1,0)-MATCH($L$1,[3]enemies!$1:$1,0)+1),MATCH(Q$1,[3]enemies!$1:$1,0)-MATCH($L$1,[3]enemies!$1:$1,0)+1,FALSE)</f>
        <v>20</v>
      </c>
      <c r="R312" s="6">
        <v>32</v>
      </c>
      <c r="S312" s="39">
        <v>5.5</v>
      </c>
      <c r="T312" s="39">
        <v>2</v>
      </c>
      <c r="U312" s="6">
        <v>0</v>
      </c>
      <c r="V312" s="5" t="str">
        <f ca="1">VLOOKUP($W312,OFFSET(enemy_skill_sets!$B$1,0,0,COUNTA(enemy_skill_sets!$B:$B),MATCH(M$1,enemy_skill_sets!$1:$1,0)-MATCH($W$1,enemy_skill_sets!$1:$1,0)+2),MATCH(M$1,enemy_skill_sets!$1:$1,0)-MATCH($W$1,enemy_skill_sets!$1:$1,0)+2,FALSE)</f>
        <v>ランダムで黄のボムパネル(大)に5個変換</v>
      </c>
      <c r="W312" s="35">
        <v>11006401</v>
      </c>
      <c r="X312" s="7">
        <v>0</v>
      </c>
      <c r="Y312" s="7">
        <v>10</v>
      </c>
      <c r="Z312" s="7">
        <v>2</v>
      </c>
      <c r="AA312" s="20">
        <f ca="1">VLOOKUP($L312,OFFSET([3]enemies!$A$1,0,0,COUNTA([3]enemies!$A:$A),MATCH(AA$1,[3]enemies!$1:$1,0)-MATCH($L$1,[3]enemies!$1:$1,0)+1),MATCH(AA$1,[3]enemies!$1:$1,0)-MATCH($L$1,[3]enemies!$1:$1,0)+1,FALSE)</f>
        <v>2</v>
      </c>
      <c r="AB312" s="2">
        <f t="shared" ref="AB312" si="227">L312</f>
        <v>124</v>
      </c>
      <c r="AC312" s="5" t="str">
        <f ca="1">IFERROR(VLOOKUP($AB312,OFFSET([4]characters!$A$1,0,0,COUNTA([4]characters!$A:$A),MATCH(AC$1,[4]characters!$1:$1,0)-MATCH("character_id",[4]characters!$1:$1,0)+1),MATCH(AC$1,[4]characters!$1:$1,0)-MATCH("character_id",[4]characters!$1:$1,0)+1,FALSE),"")</f>
        <v>黄金の果実</v>
      </c>
      <c r="AD312" s="5">
        <f ca="1">IFERROR(VLOOKUP($AB312,OFFSET([4]characters!$A$1,0,0,COUNTA([4]characters!$A:$A),MATCH(AD$1,[4]characters!$1:$1,0)-MATCH("character_id",[4]characters!$1:$1,0)+1),MATCH(AD$1,[4]characters!$1:$1,0)-MATCH("character_id",[4]characters!$1:$1,0)+1,FALSE),"")</f>
        <v>3</v>
      </c>
      <c r="AE312" s="5" t="str">
        <f ca="1">IFERROR(VLOOKUP($AB312,OFFSET([4]characters!$A$1,0,0,COUNTA([4]characters!$A:$A),MATCH(AE$1,[4]characters!$1:$1,0)-MATCH("character_id",[4]characters!$1:$1,0)+1),MATCH(AE$1,[4]characters!$1:$1,0)-MATCH("character_id",[4]characters!$1:$1,0)+1,FALSE),"")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2" s="8">
        <v>1</v>
      </c>
      <c r="AG312" s="27">
        <f t="shared" ref="AG312" ca="1" si="228">AD312</f>
        <v>3</v>
      </c>
      <c r="AH312" s="9">
        <v>0</v>
      </c>
      <c r="AI312" s="8">
        <v>0</v>
      </c>
      <c r="AJ312" s="8">
        <v>0</v>
      </c>
      <c r="AK312" s="8">
        <v>0</v>
      </c>
      <c r="AL312" s="8">
        <v>0</v>
      </c>
      <c r="AM312" s="8">
        <v>1</v>
      </c>
      <c r="AN312" s="8">
        <v>1</v>
      </c>
    </row>
    <row r="313" spans="1:40" ht="21" customHeight="1" x14ac:dyDescent="0.15">
      <c r="A313" s="17" t="str">
        <f t="shared" ref="A313" ca="1" si="229">B313&amp;"_"&amp;C313&amp;"-"&amp;G313&amp;"/"&amp;L313&amp;"&lt;lv"&amp;R313&amp;"&gt;s"&amp;AA313</f>
        <v>11006_4-3/118&lt;lv10&gt;s2</v>
      </c>
      <c r="B313" s="8">
        <v>11006</v>
      </c>
      <c r="C313" s="25">
        <v>4</v>
      </c>
      <c r="D313" s="2" t="str">
        <f t="shared" ref="D313" si="230">B313&amp;"_"&amp;C313</f>
        <v>11006_4</v>
      </c>
      <c r="E313" s="5" t="str">
        <f ca="1">VLOOKUP($B313,OFFSET([2]quests!$A$1,0,0,COUNTA([2]quests!$A:$A),MATCH(E$1,[2]quests!$1:$1,0)-MATCH($B$1,[2]quests!$1:$1,0)+1),MATCH(E$1,[2]quests!$1:$1,0)-MATCH($B$1,[2]quests!$1:$1,0)+1,FALSE)</f>
        <v>【土日限定】 ゴールドカジノ</v>
      </c>
      <c r="F313" s="5" t="str">
        <f ca="1">VLOOKUP($D313,OFFSET([2]stages!$A$1,0,0,COUNTA([2]stages!$A:$A),MATCH(F$1,[2]stages!$2:$2,0)-MATCH($D$1,[2]stages!$2:$2,0)+1),MATCH(F$1,[2]stages!$2:$2,0)-MATCH($D$1,[2]stages!$2:$2,0)+1,FALSE)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3" s="25">
        <v>3</v>
      </c>
      <c r="H313" s="16" t="str">
        <f t="shared" ref="H313" si="231">B313&amp;"_"&amp;C313&amp;"-"&amp;G313</f>
        <v>11006_4-3</v>
      </c>
      <c r="I313" s="5">
        <f ca="1">VLOOKUP($H313,OFFSET(floors!$A$1,0,0,COUNTA(floors!$A:$A),MATCH(I$1,floors!$1:$1,0)-MATCH($H$1,floors!$1:$1,0)+1),MATCH(I$1,floors!$1:$1,0)-MATCH($H$1,floors!$1:$1,0)+1,FALSE)</f>
        <v>50</v>
      </c>
      <c r="J313" s="5">
        <f ca="1">VLOOKUP($H313,OFFSET(floors!$A$1,0,0,COUNTA(floors!$A:$A),MATCH(J$1,floors!$1:$1,0)-MATCH($H$1,floors!$1:$1,0)+1),MATCH(J$1,floors!$1:$1,0)-MATCH($H$1,floors!$1:$1,0)+1,FALSE)</f>
        <v>50</v>
      </c>
      <c r="K313" s="24" t="s">
        <v>197</v>
      </c>
      <c r="L313" s="24">
        <v>118</v>
      </c>
      <c r="M313" s="20" t="str">
        <f ca="1">VLOOKUP($L313,OFFSET([3]enemies!$A$1,0,0,COUNTA([3]enemies!$A:$A),MATCH(M$1,[3]enemies!$1:$1,0)-MATCH($L$1,[3]enemies!$1:$1,0)+1),MATCH(M$1,[3]enemies!$1:$1,0)-MATCH($L$1,[3]enemies!$1:$1,0)+1,FALSE)</f>
        <v>ゴールドチック</v>
      </c>
      <c r="N313" s="20" t="str">
        <f ca="1">VLOOKUP($L313,OFFSET([3]enemies!$A$1,0,0,COUNTA([3]enemies!$A:$A),MATCH(N$1,[3]enemies!$1:$1,0)-MATCH($L$1,[3]enemies!$1:$1,0)+1),MATCH(N$1,[3]enemies!$1:$1,0)-MATCH($L$1,[3]enemies!$1:$1,0)+1,FALSE)</f>
        <v>yellow</v>
      </c>
      <c r="O313" s="22" t="str">
        <f ca="1">VLOOKUP($L313,OFFSET([4]characters!$A$1,0,0,COUNTA([4]characters!$A:$A),MATCH(O$1,[4]characters!$1:$1,0)-MATCH($L$1,[4]characters!$1:$1,0)+1),MATCH(O$1,[4]characters!$1:$1,0)-MATCH($L$1,[4]characters!$1:$1,0)+1,FALSE)</f>
        <v>Material</v>
      </c>
      <c r="P313" s="20" t="str">
        <f ca="1">VLOOKUP($L313,OFFSET([3]enemies!$A$1,0,0,COUNTA([3]enemies!$A:$A),MATCH(P$1,[3]enemies!$1:$1,0)-MATCH($L$1,[3]enemies!$1:$1,0)+1),MATCH(P$1,[3]enemies!$1:$1,0)-MATCH($L$1,[3]enemies!$1:$1,0)+1,FALSE)</f>
        <v>unknown</v>
      </c>
      <c r="Q313" s="20">
        <f ca="1">VLOOKUP($L313,OFFSET([3]enemies!$A$1,0,0,COUNTA([3]enemies!$A:$A),MATCH(Q$1,[3]enemies!$1:$1,0)-MATCH($L$1,[3]enemies!$1:$1,0)+1),MATCH(Q$1,[3]enemies!$1:$1,0)-MATCH($L$1,[3]enemies!$1:$1,0)+1,FALSE)</f>
        <v>15</v>
      </c>
      <c r="R313" s="6">
        <v>10</v>
      </c>
      <c r="S313" s="39">
        <v>42</v>
      </c>
      <c r="T313" s="39">
        <v>60</v>
      </c>
      <c r="U313" s="6">
        <v>0</v>
      </c>
      <c r="V313" s="5" t="str">
        <f ca="1">VLOOKUP($W313,OFFSET([5]enemy_skill_sets!$B$1,0,0,COUNTA([5]enemy_skill_sets!$B:$B),MATCH(M$1,[5]enemy_skill_sets!$1:$1,0)-MATCH($W$1,[5]enemy_skill_sets!$1:$1,0)+2),MATCH(M$1,[5]enemy_skill_sets!$1:$1,0)-MATCH($W$1,[5]enemy_skill_sets!$1:$1,0)+2,FALSE)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3" s="5">
        <f ca="1">VLOOKUP($L313,OFFSET([3]enemies!$A$1,0,0,COUNTA([3]enemies!$A:$A),MATCH(W$1,[3]enemies!$1:$1,0)-MATCH($L$1,[3]enemies!$1:$1,0)+1),MATCH(W$1,[3]enemies!$1:$1,0)-MATCH($L$1,[3]enemies!$1:$1,0)+1,FALSE)</f>
        <v>0</v>
      </c>
      <c r="X313" s="7">
        <v>0</v>
      </c>
      <c r="Y313" s="7">
        <v>100</v>
      </c>
      <c r="Z313" s="7">
        <v>0</v>
      </c>
      <c r="AA313" s="20">
        <f ca="1">VLOOKUP($L313,OFFSET([3]enemies!$A$1,0,0,COUNTA([3]enemies!$A:$A),MATCH(AA$1,[3]enemies!$1:$1,0)-MATCH($L$1,[3]enemies!$1:$1,0)+1),MATCH(AA$1,[3]enemies!$1:$1,0)-MATCH($L$1,[3]enemies!$1:$1,0)+1,FALSE)</f>
        <v>2</v>
      </c>
      <c r="AB313" s="2">
        <f t="shared" ref="AB313" si="232">L313</f>
        <v>118</v>
      </c>
      <c r="AC313" s="5" t="str">
        <f ca="1">IFERROR(VLOOKUP($AB313,OFFSET([4]characters!$A$1,0,0,COUNTA([4]characters!$A:$A),MATCH(AC$1,[4]characters!$1:$1,0)-MATCH("character_id",[4]characters!$1:$1,0)+1),MATCH(AC$1,[4]characters!$1:$1,0)-MATCH("character_id",[4]characters!$1:$1,0)+1,FALSE),"")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313" s="5">
        <f ca="1">IFERROR(VLOOKUP($AB313,OFFSET([4]characters!$A$1,0,0,COUNTA([4]characters!$A:$A),MATCH(AD$1,[4]characters!$1:$1,0)-MATCH("character_id",[4]characters!$1:$1,0)+1),MATCH(AD$1,[4]characters!$1:$1,0)-MATCH("character_id",[4]characters!$1:$1,0)+1,FALSE),"")</f>
        <v>4</v>
      </c>
      <c r="AE313" s="5" t="str">
        <f ca="1">IFERROR(VLOOKUP($AB313,OFFSET([4]characters!$A$1,0,0,COUNTA([4]characters!$A:$A),MATCH(AE$1,[4]characters!$1:$1,0)-MATCH("character_id",[4]characters!$1:$1,0)+1),MATCH(AE$1,[4]characters!$1:$1,0)-MATCH("character_id",[4]characters!$1:$1,0)+1,FALSE),"")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3" s="8">
        <v>1</v>
      </c>
      <c r="AG313" s="27">
        <f t="shared" ref="AG313" ca="1" si="233">AD313</f>
        <v>4</v>
      </c>
      <c r="AH313" s="9">
        <v>0</v>
      </c>
      <c r="AI313" s="8">
        <v>0</v>
      </c>
      <c r="AJ313" s="8">
        <v>0</v>
      </c>
      <c r="AK313" s="8">
        <v>0</v>
      </c>
      <c r="AL313" s="8">
        <v>0</v>
      </c>
      <c r="AM313" s="8">
        <v>1</v>
      </c>
      <c r="AN313" s="8">
        <v>1</v>
      </c>
    </row>
    <row r="314" spans="1:40" ht="21" customHeight="1" x14ac:dyDescent="0.15">
      <c r="A314" s="17" t="str">
        <f t="shared" ref="A314:A315" ca="1" si="234">B314&amp;"_"&amp;C314&amp;"-"&amp;G314&amp;"/"&amp;L314&amp;"&lt;lv"&amp;R314&amp;"&gt;s"&amp;AA314</f>
        <v>11006_4-4/118&lt;lv10&gt;s2</v>
      </c>
      <c r="B314" s="8">
        <v>11006</v>
      </c>
      <c r="C314" s="25">
        <v>4</v>
      </c>
      <c r="D314" s="2" t="str">
        <f t="shared" ref="D314:D315" si="235">B314&amp;"_"&amp;C314</f>
        <v>11006_4</v>
      </c>
      <c r="E314" s="5" t="str">
        <f ca="1">VLOOKUP($B314,OFFSET([2]quests!$A$1,0,0,COUNTA([2]quests!$A:$A),MATCH(E$1,[2]quests!$1:$1,0)-MATCH($B$1,[2]quests!$1:$1,0)+1),MATCH(E$1,[2]quests!$1:$1,0)-MATCH($B$1,[2]quests!$1:$1,0)+1,FALSE)</f>
        <v>【土日限定】 ゴールドカジノ</v>
      </c>
      <c r="F314" s="5" t="str">
        <f ca="1">VLOOKUP($D314,OFFSET([2]stages!$A$1,0,0,COUNTA([2]stages!$A:$A),MATCH(F$1,[2]stages!$2:$2,0)-MATCH($D$1,[2]stages!$2:$2,0)+1),MATCH(F$1,[2]stages!$2:$2,0)-MATCH($D$1,[2]stages!$2:$2,0)+1,FALSE)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4" s="25">
        <v>4</v>
      </c>
      <c r="H314" s="16" t="str">
        <f t="shared" ref="H314:H315" si="236">B314&amp;"_"&amp;C314&amp;"-"&amp;G314</f>
        <v>11006_4-4</v>
      </c>
      <c r="I314" s="5">
        <f ca="1">VLOOKUP($H314,OFFSET(floors!$A$1,0,0,COUNTA(floors!$A:$A),MATCH(I$1,floors!$1:$1,0)-MATCH($H$1,floors!$1:$1,0)+1),MATCH(I$1,floors!$1:$1,0)-MATCH($H$1,floors!$1:$1,0)+1,FALSE)</f>
        <v>35</v>
      </c>
      <c r="J314" s="5">
        <f ca="1">VLOOKUP($H314,OFFSET(floors!$A$1,0,0,COUNTA(floors!$A:$A),MATCH(J$1,floors!$1:$1,0)-MATCH($H$1,floors!$1:$1,0)+1),MATCH(J$1,floors!$1:$1,0)-MATCH($H$1,floors!$1:$1,0)+1,FALSE)</f>
        <v>35</v>
      </c>
      <c r="K314" s="24" t="s">
        <v>197</v>
      </c>
      <c r="L314" s="24">
        <v>118</v>
      </c>
      <c r="M314" s="20" t="str">
        <f ca="1">VLOOKUP($L314,OFFSET([3]enemies!$A$1,0,0,COUNTA([3]enemies!$A:$A),MATCH(M$1,[3]enemies!$1:$1,0)-MATCH($L$1,[3]enemies!$1:$1,0)+1),MATCH(M$1,[3]enemies!$1:$1,0)-MATCH($L$1,[3]enemies!$1:$1,0)+1,FALSE)</f>
        <v>ゴールドチック</v>
      </c>
      <c r="N314" s="20" t="str">
        <f ca="1">VLOOKUP($L314,OFFSET([3]enemies!$A$1,0,0,COUNTA([3]enemies!$A:$A),MATCH(N$1,[3]enemies!$1:$1,0)-MATCH($L$1,[3]enemies!$1:$1,0)+1),MATCH(N$1,[3]enemies!$1:$1,0)-MATCH($L$1,[3]enemies!$1:$1,0)+1,FALSE)</f>
        <v>yellow</v>
      </c>
      <c r="O314" s="22" t="str">
        <f ca="1">VLOOKUP($L314,OFFSET([4]characters!$A$1,0,0,COUNTA([4]characters!$A:$A),MATCH(O$1,[4]characters!$1:$1,0)-MATCH($L$1,[4]characters!$1:$1,0)+1),MATCH(O$1,[4]characters!$1:$1,0)-MATCH($L$1,[4]characters!$1:$1,0)+1,FALSE)</f>
        <v>Material</v>
      </c>
      <c r="P314" s="20" t="str">
        <f ca="1">VLOOKUP($L314,OFFSET([3]enemies!$A$1,0,0,COUNTA([3]enemies!$A:$A),MATCH(P$1,[3]enemies!$1:$1,0)-MATCH($L$1,[3]enemies!$1:$1,0)+1),MATCH(P$1,[3]enemies!$1:$1,0)-MATCH($L$1,[3]enemies!$1:$1,0)+1,FALSE)</f>
        <v>unknown</v>
      </c>
      <c r="Q314" s="20">
        <f ca="1">VLOOKUP($L314,OFFSET([3]enemies!$A$1,0,0,COUNTA([3]enemies!$A:$A),MATCH(Q$1,[3]enemies!$1:$1,0)-MATCH($L$1,[3]enemies!$1:$1,0)+1),MATCH(Q$1,[3]enemies!$1:$1,0)-MATCH($L$1,[3]enemies!$1:$1,0)+1,FALSE)</f>
        <v>15</v>
      </c>
      <c r="R314" s="6">
        <v>10</v>
      </c>
      <c r="S314" s="39">
        <v>42</v>
      </c>
      <c r="T314" s="39">
        <v>60</v>
      </c>
      <c r="U314" s="6">
        <v>0</v>
      </c>
      <c r="V314" s="5" t="str">
        <f ca="1">VLOOKUP($W314,OFFSET([5]enemy_skill_sets!$B$1,0,0,COUNTA([5]enemy_skill_sets!$B:$B),MATCH(M$1,[5]enemy_skill_sets!$1:$1,0)-MATCH($W$1,[5]enemy_skill_sets!$1:$1,0)+2),MATCH(M$1,[5]enemy_skill_sets!$1:$1,0)-MATCH($W$1,[5]enemy_skill_sets!$1:$1,0)+2,FALSE)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4" s="5">
        <f ca="1">VLOOKUP($L314,OFFSET([3]enemies!$A$1,0,0,COUNTA([3]enemies!$A:$A),MATCH(W$1,[3]enemies!$1:$1,0)-MATCH($L$1,[3]enemies!$1:$1,0)+1),MATCH(W$1,[3]enemies!$1:$1,0)-MATCH($L$1,[3]enemies!$1:$1,0)+1,FALSE)</f>
        <v>0</v>
      </c>
      <c r="X314" s="7">
        <v>1</v>
      </c>
      <c r="Y314" s="7">
        <v>100</v>
      </c>
      <c r="Z314" s="7">
        <v>0</v>
      </c>
      <c r="AA314" s="20">
        <f ca="1">VLOOKUP($L314,OFFSET([3]enemies!$A$1,0,0,COUNTA([3]enemies!$A:$A),MATCH(AA$1,[3]enemies!$1:$1,0)-MATCH($L$1,[3]enemies!$1:$1,0)+1),MATCH(AA$1,[3]enemies!$1:$1,0)-MATCH($L$1,[3]enemies!$1:$1,0)+1,FALSE)</f>
        <v>2</v>
      </c>
      <c r="AB314" s="2">
        <f t="shared" ref="AB314:AB315" si="237">L314</f>
        <v>118</v>
      </c>
      <c r="AC314" s="5" t="str">
        <f ca="1">IFERROR(VLOOKUP($AB314,OFFSET([4]characters!$A$1,0,0,COUNTA([4]characters!$A:$A),MATCH(AC$1,[4]characters!$1:$1,0)-MATCH("character_id",[4]characters!$1:$1,0)+1),MATCH(AC$1,[4]characters!$1:$1,0)-MATCH("character_id",[4]characters!$1:$1,0)+1,FALSE),"")</f>
        <v>ゴールドチック</v>
      </c>
      <c r="AD314" s="5">
        <f ca="1">IFERROR(VLOOKUP($AB314,OFFSET([4]characters!$A$1,0,0,COUNTA([4]characters!$A:$A),MATCH(AD$1,[4]characters!$1:$1,0)-MATCH("character_id",[4]characters!$1:$1,0)+1),MATCH(AD$1,[4]characters!$1:$1,0)-MATCH("character_id",[4]characters!$1:$1,0)+1,FALSE),"")</f>
        <v>4</v>
      </c>
      <c r="AE314" s="5" t="str">
        <f ca="1">IFERROR(VLOOKUP($AB314,OFFSET([4]characters!$A$1,0,0,COUNTA([4]characters!$A:$A),MATCH(AE$1,[4]characters!$1:$1,0)-MATCH("character_id",[4]characters!$1:$1,0)+1),MATCH(AE$1,[4]characters!$1:$1,0)-MATCH("character_id",[4]characters!$1:$1,0)+1,FALSE),"")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4" s="8">
        <v>1</v>
      </c>
      <c r="AG314" s="27">
        <f t="shared" ref="AG314:AG315" ca="1" si="238">AD314</f>
        <v>4</v>
      </c>
      <c r="AH314" s="9">
        <v>0</v>
      </c>
      <c r="AI314" s="8">
        <v>0</v>
      </c>
      <c r="AJ314" s="8">
        <v>0</v>
      </c>
      <c r="AK314" s="8">
        <v>0</v>
      </c>
      <c r="AL314" s="8">
        <v>0</v>
      </c>
      <c r="AM314" s="8">
        <v>1</v>
      </c>
      <c r="AN314" s="8">
        <v>1</v>
      </c>
    </row>
    <row r="315" spans="1:40" ht="21" customHeight="1" x14ac:dyDescent="0.15">
      <c r="A315" s="17" t="str">
        <f t="shared" ca="1" si="234"/>
        <v>11006_4-4/119&lt;lv10&gt;s3</v>
      </c>
      <c r="B315" s="8">
        <v>11006</v>
      </c>
      <c r="C315" s="25">
        <v>4</v>
      </c>
      <c r="D315" s="2" t="str">
        <f t="shared" si="235"/>
        <v>11006_4</v>
      </c>
      <c r="E315" s="5" t="str">
        <f ca="1">VLOOKUP($B315,OFFSET([2]quests!$A$1,0,0,COUNTA([2]quests!$A:$A),MATCH(E$1,[2]quests!$1:$1,0)-MATCH($B$1,[2]quests!$1:$1,0)+1),MATCH(E$1,[2]quests!$1:$1,0)-MATCH($B$1,[2]quests!$1:$1,0)+1,FALSE)</f>
        <v>【土日限定】 ゴールドカジノ</v>
      </c>
      <c r="F315" s="5" t="str">
        <f ca="1">VLOOKUP($D315,OFFSET([2]stages!$A$1,0,0,COUNTA([2]stages!$A:$A),MATCH(F$1,[2]stages!$2:$2,0)-MATCH($D$1,[2]stages!$2:$2,0)+1),MATCH(F$1,[2]stages!$2:$2,0)-MATCH($D$1,[2]stages!$2:$2,0)+1,FALSE)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5" s="25">
        <v>4</v>
      </c>
      <c r="H315" s="16" t="str">
        <f t="shared" si="236"/>
        <v>11006_4-4</v>
      </c>
      <c r="I315" s="5">
        <f ca="1">VLOOKUP($H315,OFFSET(floors!$A$1,0,0,COUNTA(floors!$A:$A),MATCH(I$1,floors!$1:$1,0)-MATCH($H$1,floors!$1:$1,0)+1),MATCH(I$1,floors!$1:$1,0)-MATCH($H$1,floors!$1:$1,0)+1,FALSE)</f>
        <v>35</v>
      </c>
      <c r="J315" s="5">
        <f ca="1">VLOOKUP($H315,OFFSET(floors!$A$1,0,0,COUNTA(floors!$A:$A),MATCH(J$1,floors!$1:$1,0)-MATCH($H$1,floors!$1:$1,0)+1),MATCH(J$1,floors!$1:$1,0)-MATCH($H$1,floors!$1:$1,0)+1,FALSE)</f>
        <v>35</v>
      </c>
      <c r="K315" s="24" t="s">
        <v>197</v>
      </c>
      <c r="L315" s="24">
        <v>119</v>
      </c>
      <c r="M315" s="20" t="str">
        <f ca="1">VLOOKUP($L315,OFFSET([3]enemies!$A$1,0,0,COUNTA([3]enemies!$A:$A),MATCH(M$1,[3]enemies!$1:$1,0)-MATCH($L$1,[3]enemies!$1:$1,0)+1),MATCH(M$1,[3]enemies!$1:$1,0)-MATCH($L$1,[3]enemies!$1:$1,0)+1,FALSE)</f>
        <v>ゴールドダック</v>
      </c>
      <c r="N315" s="20" t="str">
        <f ca="1">VLOOKUP($L315,OFFSET([3]enemies!$A$1,0,0,COUNTA([3]enemies!$A:$A),MATCH(N$1,[3]enemies!$1:$1,0)-MATCH($L$1,[3]enemies!$1:$1,0)+1),MATCH(N$1,[3]enemies!$1:$1,0)-MATCH($L$1,[3]enemies!$1:$1,0)+1,FALSE)</f>
        <v>yellow</v>
      </c>
      <c r="O315" s="22" t="str">
        <f ca="1">VLOOKUP($L315,OFFSET([4]characters!$A$1,0,0,COUNTA([4]characters!$A:$A),MATCH(O$1,[4]characters!$1:$1,0)-MATCH($L$1,[4]characters!$1:$1,0)+1),MATCH(O$1,[4]characters!$1:$1,0)-MATCH($L$1,[4]characters!$1:$1,0)+1,FALSE)</f>
        <v>Material</v>
      </c>
      <c r="P315" s="20" t="str">
        <f ca="1">VLOOKUP($L315,OFFSET([3]enemies!$A$1,0,0,COUNTA([3]enemies!$A:$A),MATCH(P$1,[3]enemies!$1:$1,0)-MATCH($L$1,[3]enemies!$1:$1,0)+1),MATCH(P$1,[3]enemies!$1:$1,0)-MATCH($L$1,[3]enemies!$1:$1,0)+1,FALSE)</f>
        <v>unknown</v>
      </c>
      <c r="Q315" s="20">
        <f ca="1">VLOOKUP($L315,OFFSET([3]enemies!$A$1,0,0,COUNTA([3]enemies!$A:$A),MATCH(Q$1,[3]enemies!$1:$1,0)-MATCH($L$1,[3]enemies!$1:$1,0)+1),MATCH(Q$1,[3]enemies!$1:$1,0)-MATCH($L$1,[3]enemies!$1:$1,0)+1,FALSE)</f>
        <v>20</v>
      </c>
      <c r="R315" s="6">
        <v>10</v>
      </c>
      <c r="S315" s="39">
        <v>73</v>
      </c>
      <c r="T315" s="39">
        <v>75</v>
      </c>
      <c r="U315" s="6">
        <v>0</v>
      </c>
      <c r="V315" s="5" t="str">
        <f ca="1">VLOOKUP($W315,OFFSET([5]enemy_skill_sets!$B$1,0,0,COUNTA([5]enemy_skill_sets!$B:$B),MATCH(M$1,[5]enemy_skill_sets!$1:$1,0)-MATCH($W$1,[5]enemy_skill_sets!$1:$1,0)+2),MATCH(M$1,[5]enemy_skill_sets!$1:$1,0)-MATCH($W$1,[5]enemy_skill_sets!$1:$1,0)+2,FALSE)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5" s="5">
        <f ca="1">VLOOKUP($L315,OFFSET([3]enemies!$A$1,0,0,COUNTA([3]enemies!$A:$A),MATCH(W$1,[3]enemies!$1:$1,0)-MATCH($L$1,[3]enemies!$1:$1,0)+1),MATCH(W$1,[3]enemies!$1:$1,0)-MATCH($L$1,[3]enemies!$1:$1,0)+1,FALSE)</f>
        <v>0</v>
      </c>
      <c r="X315" s="7">
        <v>1</v>
      </c>
      <c r="Y315" s="7">
        <v>100</v>
      </c>
      <c r="Z315" s="7">
        <v>0</v>
      </c>
      <c r="AA315" s="20">
        <f ca="1">VLOOKUP($L315,OFFSET([3]enemies!$A$1,0,0,COUNTA([3]enemies!$A:$A),MATCH(AA$1,[3]enemies!$1:$1,0)-MATCH($L$1,[3]enemies!$1:$1,0)+1),MATCH(AA$1,[3]enemies!$1:$1,0)-MATCH($L$1,[3]enemies!$1:$1,0)+1,FALSE)</f>
        <v>3</v>
      </c>
      <c r="AB315" s="2">
        <f t="shared" si="237"/>
        <v>119</v>
      </c>
      <c r="AC315" s="5" t="str">
        <f ca="1">IFERROR(VLOOKUP($AB315,OFFSET([4]characters!$A$1,0,0,COUNTA([4]characters!$A:$A),MATCH(AC$1,[4]characters!$1:$1,0)-MATCH("character_id",[4]characters!$1:$1,0)+1),MATCH(AC$1,[4]characters!$1:$1,0)-MATCH("character_id",[4]characters!$1:$1,0)+1,FALSE),"")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315" s="5">
        <f ca="1">IFERROR(VLOOKUP($AB315,OFFSET([4]characters!$A$1,0,0,COUNTA([4]characters!$A:$A),MATCH(AD$1,[4]characters!$1:$1,0)-MATCH("character_id",[4]characters!$1:$1,0)+1),MATCH(AD$1,[4]characters!$1:$1,0)-MATCH("character_id",[4]characters!$1:$1,0)+1,FALSE),"")</f>
        <v>5</v>
      </c>
      <c r="AE315" s="5" t="str">
        <f ca="1">IFERROR(VLOOKUP($AB315,OFFSET([4]characters!$A$1,0,0,COUNTA([4]characters!$A:$A),MATCH(AE$1,[4]characters!$1:$1,0)-MATCH("character_id",[4]characters!$1:$1,0)+1),MATCH(AE$1,[4]characters!$1:$1,0)-MATCH("character_id",[4]characters!$1:$1,0)+1,FALSE),"")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5" s="8">
        <v>1</v>
      </c>
      <c r="AG315" s="27">
        <f t="shared" ca="1" si="238"/>
        <v>5</v>
      </c>
      <c r="AH315" s="9">
        <v>100</v>
      </c>
      <c r="AI315" s="8">
        <v>0</v>
      </c>
      <c r="AJ315" s="8">
        <v>0</v>
      </c>
      <c r="AK315" s="8">
        <v>0</v>
      </c>
      <c r="AL315" s="8">
        <v>0</v>
      </c>
      <c r="AM315" s="8">
        <v>1</v>
      </c>
      <c r="AN315" s="8">
        <v>1</v>
      </c>
    </row>
    <row r="316" spans="1:40" ht="21" customHeight="1" x14ac:dyDescent="0.15">
      <c r="A316" s="17" t="str">
        <f t="shared" ref="A316" ca="1" si="239">B316&amp;"_"&amp;C316&amp;"-"&amp;G316&amp;"/"&amp;L316&amp;"&lt;lv"&amp;R316&amp;"&gt;s"&amp;AA316</f>
        <v>11006_4-5/119&lt;lv10&gt;s3</v>
      </c>
      <c r="B316" s="8">
        <v>11006</v>
      </c>
      <c r="C316" s="25">
        <v>4</v>
      </c>
      <c r="D316" s="2" t="str">
        <f t="shared" ref="D316" si="240">B316&amp;"_"&amp;C316</f>
        <v>11006_4</v>
      </c>
      <c r="E316" s="5" t="str">
        <f ca="1">VLOOKUP($B316,OFFSET([2]quests!$A$1,0,0,COUNTA([2]quests!$A:$A),MATCH(E$1,[2]quests!$1:$1,0)-MATCH($B$1,[2]quests!$1:$1,0)+1),MATCH(E$1,[2]quests!$1:$1,0)-MATCH($B$1,[2]quests!$1:$1,0)+1,FALSE)</f>
        <v>【土日限定】 ゴールドカジノ</v>
      </c>
      <c r="F316" s="5" t="str">
        <f ca="1">VLOOKUP($D316,OFFSET([2]stages!$A$1,0,0,COUNTA([2]stages!$A:$A),MATCH(F$1,[2]stages!$2:$2,0)-MATCH($D$1,[2]stages!$2:$2,0)+1),MATCH(F$1,[2]stages!$2:$2,0)-MATCH($D$1,[2]stages!$2:$2,0)+1,FALSE)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6" s="25">
        <v>5</v>
      </c>
      <c r="H316" s="16" t="str">
        <f t="shared" ref="H316" si="241">B316&amp;"_"&amp;C316&amp;"-"&amp;G316</f>
        <v>11006_4-5</v>
      </c>
      <c r="I316" s="5">
        <f ca="1">VLOOKUP($H316,OFFSET(floors!$A$1,0,0,COUNTA(floors!$A:$A),MATCH(I$1,floors!$1:$1,0)-MATCH($H$1,floors!$1:$1,0)+1),MATCH(I$1,floors!$1:$1,0)-MATCH($H$1,floors!$1:$1,0)+1,FALSE)</f>
        <v>40</v>
      </c>
      <c r="J316" s="5">
        <f ca="1">VLOOKUP($H316,OFFSET(floors!$A$1,0,0,COUNTA(floors!$A:$A),MATCH(J$1,floors!$1:$1,0)-MATCH($H$1,floors!$1:$1,0)+1),MATCH(J$1,floors!$1:$1,0)-MATCH($H$1,floors!$1:$1,0)+1,FALSE)</f>
        <v>40</v>
      </c>
      <c r="K316" s="24" t="s">
        <v>197</v>
      </c>
      <c r="L316" s="24">
        <v>119</v>
      </c>
      <c r="M316" s="20" t="str">
        <f ca="1">VLOOKUP($L316,OFFSET([3]enemies!$A$1,0,0,COUNTA([3]enemies!$A:$A),MATCH(M$1,[3]enemies!$1:$1,0)-MATCH($L$1,[3]enemies!$1:$1,0)+1),MATCH(M$1,[3]enemies!$1:$1,0)-MATCH($L$1,[3]enemies!$1:$1,0)+1,FALSE)</f>
        <v>ゴールドダック</v>
      </c>
      <c r="N316" s="20" t="str">
        <f ca="1">VLOOKUP($L316,OFFSET([3]enemies!$A$1,0,0,COUNTA([3]enemies!$A:$A),MATCH(N$1,[3]enemies!$1:$1,0)-MATCH($L$1,[3]enemies!$1:$1,0)+1),MATCH(N$1,[3]enemies!$1:$1,0)-MATCH($L$1,[3]enemies!$1:$1,0)+1,FALSE)</f>
        <v>yellow</v>
      </c>
      <c r="O316" s="22" t="str">
        <f ca="1">VLOOKUP($L316,OFFSET([4]characters!$A$1,0,0,COUNTA([4]characters!$A:$A),MATCH(O$1,[4]characters!$1:$1,0)-MATCH($L$1,[4]characters!$1:$1,0)+1),MATCH(O$1,[4]characters!$1:$1,0)-MATCH($L$1,[4]characters!$1:$1,0)+1,FALSE)</f>
        <v>Material</v>
      </c>
      <c r="P316" s="20" t="str">
        <f ca="1">VLOOKUP($L316,OFFSET([3]enemies!$A$1,0,0,COUNTA([3]enemies!$A:$A),MATCH(P$1,[3]enemies!$1:$1,0)-MATCH($L$1,[3]enemies!$1:$1,0)+1),MATCH(P$1,[3]enemies!$1:$1,0)-MATCH($L$1,[3]enemies!$1:$1,0)+1,FALSE)</f>
        <v>unknown</v>
      </c>
      <c r="Q316" s="20">
        <f ca="1">VLOOKUP($L316,OFFSET([3]enemies!$A$1,0,0,COUNTA([3]enemies!$A:$A),MATCH(Q$1,[3]enemies!$1:$1,0)-MATCH($L$1,[3]enemies!$1:$1,0)+1),MATCH(Q$1,[3]enemies!$1:$1,0)-MATCH($L$1,[3]enemies!$1:$1,0)+1,FALSE)</f>
        <v>20</v>
      </c>
      <c r="R316" s="6">
        <v>10</v>
      </c>
      <c r="S316" s="39">
        <v>73</v>
      </c>
      <c r="T316" s="39">
        <v>75</v>
      </c>
      <c r="U316" s="6">
        <v>0</v>
      </c>
      <c r="V316" s="5" t="str">
        <f ca="1">VLOOKUP($W316,OFFSET([5]enemy_skill_sets!$B$1,0,0,COUNTA([5]enemy_skill_sets!$B:$B),MATCH(M$1,[5]enemy_skill_sets!$1:$1,0)-MATCH($W$1,[5]enemy_skill_sets!$1:$1,0)+2),MATCH(M$1,[5]enemy_skill_sets!$1:$1,0)-MATCH($W$1,[5]enemy_skill_sets!$1:$1,0)+2,FALSE)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6" s="5">
        <f ca="1">VLOOKUP($L316,OFFSET([3]enemies!$A$1,0,0,COUNTA([3]enemies!$A:$A),MATCH(W$1,[3]enemies!$1:$1,0)-MATCH($L$1,[3]enemies!$1:$1,0)+1),MATCH(W$1,[3]enemies!$1:$1,0)-MATCH($L$1,[3]enemies!$1:$1,0)+1,FALSE)</f>
        <v>0</v>
      </c>
      <c r="X316" s="7">
        <v>0</v>
      </c>
      <c r="Y316" s="7">
        <v>100</v>
      </c>
      <c r="Z316" s="7">
        <v>1</v>
      </c>
      <c r="AA316" s="20">
        <f ca="1">VLOOKUP($L316,OFFSET([3]enemies!$A$1,0,0,COUNTA([3]enemies!$A:$A),MATCH(AA$1,[3]enemies!$1:$1,0)-MATCH($L$1,[3]enemies!$1:$1,0)+1),MATCH(AA$1,[3]enemies!$1:$1,0)-MATCH($L$1,[3]enemies!$1:$1,0)+1,FALSE)</f>
        <v>3</v>
      </c>
      <c r="AB316" s="2">
        <f t="shared" ref="AB316" si="242">L316</f>
        <v>119</v>
      </c>
      <c r="AC316" s="5" t="str">
        <f ca="1">IFERROR(VLOOKUP($AB316,OFFSET([4]characters!$A$1,0,0,COUNTA([4]characters!$A:$A),MATCH(AC$1,[4]characters!$1:$1,0)-MATCH("character_id",[4]characters!$1:$1,0)+1),MATCH(AC$1,[4]characters!$1:$1,0)-MATCH("character_id",[4]characters!$1:$1,0)+1,FALSE),"")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316" s="5">
        <f ca="1">IFERROR(VLOOKUP($AB316,OFFSET([4]characters!$A$1,0,0,COUNTA([4]characters!$A:$A),MATCH(AD$1,[4]characters!$1:$1,0)-MATCH("character_id",[4]characters!$1:$1,0)+1),MATCH(AD$1,[4]characters!$1:$1,0)-MATCH("character_id",[4]characters!$1:$1,0)+1,FALSE),"")</f>
        <v>5</v>
      </c>
      <c r="AE316" s="5" t="str">
        <f ca="1">IFERROR(VLOOKUP($AB316,OFFSET([4]characters!$A$1,0,0,COUNTA([4]characters!$A:$A),MATCH(AE$1,[4]characters!$1:$1,0)-MATCH("character_id",[4]characters!$1:$1,0)+1),MATCH(AE$1,[4]characters!$1:$1,0)-MATCH("character_id",[4]characters!$1:$1,0)+1,FALSE),"")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6" s="8">
        <v>1</v>
      </c>
      <c r="AG316" s="27">
        <f t="shared" ref="AG316" ca="1" si="243">AD316</f>
        <v>5</v>
      </c>
      <c r="AH316" s="9">
        <v>0</v>
      </c>
      <c r="AI316" s="8">
        <v>0</v>
      </c>
      <c r="AJ316" s="8">
        <v>0</v>
      </c>
      <c r="AK316" s="8">
        <v>0</v>
      </c>
      <c r="AL316" s="8">
        <v>0</v>
      </c>
      <c r="AM316" s="8">
        <v>1</v>
      </c>
      <c r="AN316" s="8">
        <v>1</v>
      </c>
    </row>
    <row r="317" spans="1:40" ht="21" customHeight="1" x14ac:dyDescent="0.15">
      <c r="A317" s="17" t="str">
        <f t="shared" ref="A317:A318" ca="1" si="244">B317&amp;"_"&amp;C317&amp;"-"&amp;G317&amp;"/"&amp;L317&amp;"&lt;lv"&amp;R317&amp;"&gt;s"&amp;AA317</f>
        <v>11006_4-5/119&lt;lv9&gt;s3</v>
      </c>
      <c r="B317" s="8">
        <v>11006</v>
      </c>
      <c r="C317" s="25">
        <v>4</v>
      </c>
      <c r="D317" s="2" t="str">
        <f t="shared" ref="D317:D318" si="245">B317&amp;"_"&amp;C317</f>
        <v>11006_4</v>
      </c>
      <c r="E317" s="5" t="str">
        <f ca="1">VLOOKUP($B317,OFFSET([2]quests!$A$1,0,0,COUNTA([2]quests!$A:$A),MATCH(E$1,[2]quests!$1:$1,0)-MATCH($B$1,[2]quests!$1:$1,0)+1),MATCH(E$1,[2]quests!$1:$1,0)-MATCH($B$1,[2]quests!$1:$1,0)+1,FALSE)</f>
        <v>【土日限定】 ゴールドカジノ</v>
      </c>
      <c r="F317" s="5" t="str">
        <f ca="1">VLOOKUP($D317,OFFSET([2]stages!$A$1,0,0,COUNTA([2]stages!$A:$A),MATCH(F$1,[2]stages!$2:$2,0)-MATCH($D$1,[2]stages!$2:$2,0)+1),MATCH(F$1,[2]stages!$2:$2,0)-MATCH($D$1,[2]stages!$2:$2,0)+1,FALSE)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7" s="25">
        <v>5</v>
      </c>
      <c r="H317" s="16" t="str">
        <f t="shared" ref="H317:H318" si="246">B317&amp;"_"&amp;C317&amp;"-"&amp;G317</f>
        <v>11006_4-5</v>
      </c>
      <c r="I317" s="5">
        <f ca="1">VLOOKUP($H317,OFFSET(floors!$A$1,0,0,COUNTA(floors!$A:$A),MATCH(I$1,floors!$1:$1,0)-MATCH($H$1,floors!$1:$1,0)+1),MATCH(I$1,floors!$1:$1,0)-MATCH($H$1,floors!$1:$1,0)+1,FALSE)</f>
        <v>40</v>
      </c>
      <c r="J317" s="5">
        <f ca="1">VLOOKUP($H317,OFFSET(floors!$A$1,0,0,COUNTA(floors!$A:$A),MATCH(J$1,floors!$1:$1,0)-MATCH($H$1,floors!$1:$1,0)+1),MATCH(J$1,floors!$1:$1,0)-MATCH($H$1,floors!$1:$1,0)+1,FALSE)</f>
        <v>40</v>
      </c>
      <c r="K317" s="24" t="s">
        <v>197</v>
      </c>
      <c r="L317" s="24">
        <v>119</v>
      </c>
      <c r="M317" s="20" t="str">
        <f ca="1">VLOOKUP($L317,OFFSET([3]enemies!$A$1,0,0,COUNTA([3]enemies!$A:$A),MATCH(M$1,[3]enemies!$1:$1,0)-MATCH($L$1,[3]enemies!$1:$1,0)+1),MATCH(M$1,[3]enemies!$1:$1,0)-MATCH($L$1,[3]enemies!$1:$1,0)+1,FALSE)</f>
        <v>ゴールドダック</v>
      </c>
      <c r="N317" s="20" t="str">
        <f ca="1">VLOOKUP($L317,OFFSET([3]enemies!$A$1,0,0,COUNTA([3]enemies!$A:$A),MATCH(N$1,[3]enemies!$1:$1,0)-MATCH($L$1,[3]enemies!$1:$1,0)+1),MATCH(N$1,[3]enemies!$1:$1,0)-MATCH($L$1,[3]enemies!$1:$1,0)+1,FALSE)</f>
        <v>yellow</v>
      </c>
      <c r="O317" s="22" t="str">
        <f ca="1">VLOOKUP($L317,OFFSET([4]characters!$A$1,0,0,COUNTA([4]characters!$A:$A),MATCH(O$1,[4]characters!$1:$1,0)-MATCH($L$1,[4]characters!$1:$1,0)+1),MATCH(O$1,[4]characters!$1:$1,0)-MATCH($L$1,[4]characters!$1:$1,0)+1,FALSE)</f>
        <v>Material</v>
      </c>
      <c r="P317" s="20" t="str">
        <f ca="1">VLOOKUP($L317,OFFSET([3]enemies!$A$1,0,0,COUNTA([3]enemies!$A:$A),MATCH(P$1,[3]enemies!$1:$1,0)-MATCH($L$1,[3]enemies!$1:$1,0)+1),MATCH(P$1,[3]enemies!$1:$1,0)-MATCH($L$1,[3]enemies!$1:$1,0)+1,FALSE)</f>
        <v>unknown</v>
      </c>
      <c r="Q317" s="20">
        <f ca="1">VLOOKUP($L317,OFFSET([3]enemies!$A$1,0,0,COUNTA([3]enemies!$A:$A),MATCH(Q$1,[3]enemies!$1:$1,0)-MATCH($L$1,[3]enemies!$1:$1,0)+1),MATCH(Q$1,[3]enemies!$1:$1,0)-MATCH($L$1,[3]enemies!$1:$1,0)+1,FALSE)</f>
        <v>20</v>
      </c>
      <c r="R317" s="6">
        <v>9</v>
      </c>
      <c r="S317" s="39">
        <v>73</v>
      </c>
      <c r="T317" s="39">
        <v>75</v>
      </c>
      <c r="U317" s="6">
        <v>0</v>
      </c>
      <c r="V317" s="5" t="str">
        <f ca="1">VLOOKUP($W317,OFFSET([5]enemy_skill_sets!$B$1,0,0,COUNTA([5]enemy_skill_sets!$B:$B),MATCH(M$1,[5]enemy_skill_sets!$1:$1,0)-MATCH($W$1,[5]enemy_skill_sets!$1:$1,0)+2),MATCH(M$1,[5]enemy_skill_sets!$1:$1,0)-MATCH($W$1,[5]enemy_skill_sets!$1:$1,0)+2,FALSE)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7" s="5">
        <f ca="1">VLOOKUP($L317,OFFSET([3]enemies!$A$1,0,0,COUNTA([3]enemies!$A:$A),MATCH(W$1,[3]enemies!$1:$1,0)-MATCH($L$1,[3]enemies!$1:$1,0)+1),MATCH(W$1,[3]enemies!$1:$1,0)-MATCH($L$1,[3]enemies!$1:$1,0)+1,FALSE)</f>
        <v>0</v>
      </c>
      <c r="X317" s="7">
        <v>0</v>
      </c>
      <c r="Y317" s="7">
        <v>80</v>
      </c>
      <c r="Z317" s="7">
        <v>2</v>
      </c>
      <c r="AA317" s="20">
        <f ca="1">VLOOKUP($L317,OFFSET([3]enemies!$A$1,0,0,COUNTA([3]enemies!$A:$A),MATCH(AA$1,[3]enemies!$1:$1,0)-MATCH($L$1,[3]enemies!$1:$1,0)+1),MATCH(AA$1,[3]enemies!$1:$1,0)-MATCH($L$1,[3]enemies!$1:$1,0)+1,FALSE)</f>
        <v>3</v>
      </c>
      <c r="AB317" s="2">
        <f t="shared" ref="AB317:AB318" si="247">L317</f>
        <v>119</v>
      </c>
      <c r="AC317" s="5" t="str">
        <f ca="1">IFERROR(VLOOKUP($AB317,OFFSET([4]characters!$A$1,0,0,COUNTA([4]characters!$A:$A),MATCH(AC$1,[4]characters!$1:$1,0)-MATCH("character_id",[4]characters!$1:$1,0)+1),MATCH(AC$1,[4]characters!$1:$1,0)-MATCH("character_id",[4]characters!$1:$1,0)+1,FALSE),"")</f>
        <v>ゴールドダック</v>
      </c>
      <c r="AD317" s="5">
        <f ca="1">IFERROR(VLOOKUP($AB317,OFFSET([4]characters!$A$1,0,0,COUNTA([4]characters!$A:$A),MATCH(AD$1,[4]characters!$1:$1,0)-MATCH("character_id",[4]characters!$1:$1,0)+1),MATCH(AD$1,[4]characters!$1:$1,0)-MATCH("character_id",[4]characters!$1:$1,0)+1,FALSE),"")</f>
        <v>5</v>
      </c>
      <c r="AE317" s="5" t="str">
        <f ca="1">IFERROR(VLOOKUP($AB317,OFFSET([4]characters!$A$1,0,0,COUNTA([4]characters!$A:$A),MATCH(AE$1,[4]characters!$1:$1,0)-MATCH("character_id",[4]characters!$1:$1,0)+1),MATCH(AE$1,[4]characters!$1:$1,0)-MATCH("character_id",[4]characters!$1:$1,0)+1,FALSE),"")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7" s="8">
        <v>1</v>
      </c>
      <c r="AG317" s="27">
        <f t="shared" ref="AG317:AG318" ca="1" si="248">AD317</f>
        <v>5</v>
      </c>
      <c r="AH317" s="9">
        <v>100</v>
      </c>
      <c r="AI317" s="8">
        <v>0</v>
      </c>
      <c r="AJ317" s="8">
        <v>0</v>
      </c>
      <c r="AK317" s="8">
        <v>0</v>
      </c>
      <c r="AL317" s="8">
        <v>0</v>
      </c>
      <c r="AM317" s="8">
        <v>1</v>
      </c>
      <c r="AN317" s="8">
        <v>1</v>
      </c>
    </row>
    <row r="318" spans="1:40" ht="21" customHeight="1" x14ac:dyDescent="0.15">
      <c r="A318" s="17" t="str">
        <f t="shared" ca="1" si="244"/>
        <v>11006_4-5/120&lt;lv50&gt;s4</v>
      </c>
      <c r="B318" s="8">
        <v>11006</v>
      </c>
      <c r="C318" s="25">
        <v>4</v>
      </c>
      <c r="D318" s="2" t="str">
        <f t="shared" si="245"/>
        <v>11006_4</v>
      </c>
      <c r="E318" s="5" t="str">
        <f ca="1">VLOOKUP($B318,OFFSET([2]quests!$A$1,0,0,COUNTA([2]quests!$A:$A),MATCH(E$1,[2]quests!$1:$1,0)-MATCH($B$1,[2]quests!$1:$1,0)+1),MATCH(E$1,[2]quests!$1:$1,0)-MATCH($B$1,[2]quests!$1:$1,0)+1,FALSE)</f>
        <v>【土日限定】 ゴールドカジノ</v>
      </c>
      <c r="F318" s="5" t="str">
        <f ca="1">VLOOKUP($D318,OFFSET([2]stages!$A$1,0,0,COUNTA([2]stages!$A:$A),MATCH(F$1,[2]stages!$2:$2,0)-MATCH($D$1,[2]stages!$2:$2,0)+1),MATCH(F$1,[2]stages!$2:$2,0)-MATCH($D$1,[2]stages!$2:$2,0)+1,FALSE)</f>
        <v xml:space="preserve">【超級】ゴールドカジノ </v>
      </c>
      <c r="G318" s="25">
        <v>5</v>
      </c>
      <c r="H318" s="16" t="str">
        <f t="shared" si="246"/>
        <v>11006_4-5</v>
      </c>
      <c r="I318" s="5">
        <f ca="1">VLOOKUP($H318,OFFSET(floors!$A$1,0,0,COUNTA(floors!$A:$A),MATCH(I$1,floors!$1:$1,0)-MATCH($H$1,floors!$1:$1,0)+1),MATCH(I$1,floors!$1:$1,0)-MATCH($H$1,floors!$1:$1,0)+1,FALSE)</f>
        <v>40</v>
      </c>
      <c r="J318" s="5">
        <f ca="1">VLOOKUP($H318,OFFSET(floors!$A$1,0,0,COUNTA(floors!$A:$A),MATCH(J$1,floors!$1:$1,0)-MATCH($H$1,floors!$1:$1,0)+1),MATCH(J$1,floors!$1:$1,0)-MATCH($H$1,floors!$1:$1,0)+1,FALSE)</f>
        <v>40</v>
      </c>
      <c r="K318" s="24" t="s">
        <v>197</v>
      </c>
      <c r="L318" s="24">
        <v>120</v>
      </c>
      <c r="M318" s="20" t="str">
        <f ca="1">VLOOKUP($L318,OFFSET([3]enemies!$A$1,0,0,COUNTA([3]enemies!$A:$A),MATCH(M$1,[3]enemies!$1:$1,0)-MATCH($L$1,[3]enemies!$1:$1,0)+1),MATCH(M$1,[3]enemies!$1:$1,0)-MATCH($L$1,[3]enemies!$1:$1,0)+1,FALSE)</f>
        <v>ゴールドキング</v>
      </c>
      <c r="N318" s="20" t="str">
        <f ca="1">VLOOKUP($L318,OFFSET([3]enemies!$A$1,0,0,COUNTA([3]enemies!$A:$A),MATCH(N$1,[3]enemies!$1:$1,0)-MATCH($L$1,[3]enemies!$1:$1,0)+1),MATCH(N$1,[3]enemies!$1:$1,0)-MATCH($L$1,[3]enemies!$1:$1,0)+1,FALSE)</f>
        <v>yellow</v>
      </c>
      <c r="O318" s="22" t="str">
        <f ca="1">VLOOKUP($L318,OFFSET([4]characters!$A$1,0,0,COUNTA([4]characters!$A:$A),MATCH(O$1,[4]characters!$1:$1,0)-MATCH($L$1,[4]characters!$1:$1,0)+1),MATCH(O$1,[4]characters!$1:$1,0)-MATCH($L$1,[4]characters!$1:$1,0)+1,FALSE)</f>
        <v>Material</v>
      </c>
      <c r="P318" s="20" t="str">
        <f ca="1">VLOOKUP($L318,OFFSET([3]enemies!$A$1,0,0,COUNTA([3]enemies!$A:$A),MATCH(P$1,[3]enemies!$1:$1,0)-MATCH($L$1,[3]enemies!$1:$1,0)+1),MATCH(P$1,[3]enemies!$1:$1,0)-MATCH($L$1,[3]enemies!$1:$1,0)+1,FALSE)</f>
        <v>unknown</v>
      </c>
      <c r="Q318" s="20">
        <f ca="1">VLOOKUP($L318,OFFSET([3]enemies!$A$1,0,0,COUNTA([3]enemies!$A:$A),MATCH(Q$1,[3]enemies!$1:$1,0)-MATCH($L$1,[3]enemies!$1:$1,0)+1),MATCH(Q$1,[3]enemies!$1:$1,0)-MATCH($L$1,[3]enemies!$1:$1,0)+1,FALSE)</f>
        <v>20</v>
      </c>
      <c r="R318" s="6">
        <v>50</v>
      </c>
      <c r="S318" s="39">
        <v>99.9</v>
      </c>
      <c r="T318" s="39">
        <v>40</v>
      </c>
      <c r="U318" s="6">
        <v>0</v>
      </c>
      <c r="V318" s="5" t="str">
        <f ca="1">VLOOKUP($W318,OFFSET(enemy_skill_sets!$B$1,0,0,COUNTA(enemy_skill_sets!$B:$B),MATCH(M$1,enemy_skill_sets!$1:$1,0)-MATCH($W$1,enemy_skill_sets!$1:$1,0)+2),MATCH(M$1,enemy_skill_sets!$1:$1,0)-MATCH($W$1,enemy_skill_sets!$1:$1,0)+2,FALSE)</f>
        <v>フィーバーゲージ増加！</v>
      </c>
      <c r="W318" s="35">
        <v>11006402</v>
      </c>
      <c r="X318" s="7">
        <v>0</v>
      </c>
      <c r="Y318" s="7">
        <v>100</v>
      </c>
      <c r="Z318" s="7">
        <v>0</v>
      </c>
      <c r="AA318" s="20">
        <f ca="1">VLOOKUP($L318,OFFSET([3]enemies!$A$1,0,0,COUNTA([3]enemies!$A:$A),MATCH(AA$1,[3]enemies!$1:$1,0)-MATCH($L$1,[3]enemies!$1:$1,0)+1),MATCH(AA$1,[3]enemies!$1:$1,0)-MATCH($L$1,[3]enemies!$1:$1,0)+1,FALSE)</f>
        <v>4</v>
      </c>
      <c r="AB318" s="2">
        <f t="shared" si="247"/>
        <v>120</v>
      </c>
      <c r="AC318" s="5" t="str">
        <f ca="1">IFERROR(VLOOKUP($AB318,OFFSET([4]characters!$A$1,0,0,COUNTA([4]characters!$A:$A),MATCH(AC$1,[4]characters!$1:$1,0)-MATCH("character_id",[4]characters!$1:$1,0)+1),MATCH(AC$1,[4]characters!$1:$1,0)-MATCH("character_id",[4]characters!$1:$1,0)+1,FALSE),"")</f>
        <v>ゴールドキング</v>
      </c>
      <c r="AD318" s="5">
        <f ca="1">IFERROR(VLOOKUP($AB318,OFFSET([4]characters!$A$1,0,0,COUNTA([4]characters!$A:$A),MATCH(AD$1,[4]characters!$1:$1,0)-MATCH("character_id",[4]characters!$1:$1,0)+1),MATCH(AD$1,[4]characters!$1:$1,0)-MATCH("character_id",[4]characters!$1:$1,0)+1,FALSE),"")</f>
        <v>6</v>
      </c>
      <c r="AE318" s="5" t="str">
        <f ca="1">IFERROR(VLOOKUP($AB318,OFFSET([4]characters!$A$1,0,0,COUNTA([4]characters!$A:$A),MATCH(AE$1,[4]characters!$1:$1,0)-MATCH("character_id",[4]characters!$1:$1,0)+1),MATCH(AE$1,[4]characters!$1:$1,0)-MATCH("character_id",[4]characters!$1:$1,0)+1,FALSE),"")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8" s="8">
        <v>1</v>
      </c>
      <c r="AG318" s="27">
        <f t="shared" ca="1" si="248"/>
        <v>6</v>
      </c>
      <c r="AH318" s="9">
        <v>100</v>
      </c>
      <c r="AI318" s="8">
        <v>0</v>
      </c>
      <c r="AJ318" s="8">
        <v>0</v>
      </c>
      <c r="AK318" s="8">
        <v>0</v>
      </c>
      <c r="AL318" s="8">
        <v>0</v>
      </c>
      <c r="AM318" s="8">
        <v>1</v>
      </c>
      <c r="AN318" s="8">
        <v>1</v>
      </c>
    </row>
  </sheetData>
  <sheetProtection selectLockedCells="1" selectUnlockedCells="1"/>
  <autoFilter ref="B1:AH304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AN127"/>
  <sheetViews>
    <sheetView showGridLines="0" zoomScale="75" zoomScaleNormal="75" zoomScalePageLayoutView="75" workbookViewId="0">
      <pane xSplit="17" ySplit="1" topLeftCell="U2" activePane="bottomRight" state="frozen"/>
      <selection pane="topRight" activeCell="N1" sqref="N1"/>
      <selection pane="bottomLeft" activeCell="A2" sqref="A2"/>
      <selection pane="bottomRight" activeCell="A128" sqref="A128:XFD128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/>
    <col min="4" max="4" width="14.6640625" style="15" customWidth="1" outlineLevel="1"/>
    <col min="5" max="5" width="15.6640625" style="4" customWidth="1" outlineLevel="1"/>
    <col min="6" max="6" width="27.5" style="4" customWidth="1" outlineLevel="1"/>
    <col min="7" max="7" width="11.83203125" style="4" bestFit="1" customWidth="1" collapsed="1"/>
    <col min="8" max="10" width="11.83203125" style="4" hidden="1" customWidth="1" outlineLevel="1"/>
    <col min="11" max="12" width="15.33203125" style="10" bestFit="1" customWidth="1"/>
    <col min="13" max="13" width="17.6640625" style="4" customWidth="1" outlineLevel="1"/>
    <col min="14" max="14" width="10.33203125" style="4" customWidth="1" outlineLevel="1"/>
    <col min="15" max="15" width="13.6640625" style="4" customWidth="1" outlineLevel="1"/>
    <col min="16" max="16" width="22.83203125" style="4" customWidth="1" outlineLevel="1"/>
    <col min="17" max="17" width="11.6640625" style="4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40" ht="21" customHeight="1" x14ac:dyDescent="0.15">
      <c r="A1" s="17" t="s">
        <v>29</v>
      </c>
      <c r="B1" s="1" t="s">
        <v>0</v>
      </c>
      <c r="C1" s="1" t="s">
        <v>1</v>
      </c>
      <c r="D1" s="16" t="s">
        <v>28</v>
      </c>
      <c r="E1" s="2" t="s">
        <v>16</v>
      </c>
      <c r="F1" s="2" t="s">
        <v>16</v>
      </c>
      <c r="G1" s="1" t="s">
        <v>19</v>
      </c>
      <c r="H1" s="16" t="s">
        <v>30</v>
      </c>
      <c r="I1" s="41" t="s">
        <v>14</v>
      </c>
      <c r="J1" s="41" t="s">
        <v>15</v>
      </c>
      <c r="K1" s="1" t="s">
        <v>71</v>
      </c>
      <c r="L1" s="1" t="s">
        <v>2</v>
      </c>
      <c r="M1" s="19" t="s">
        <v>16</v>
      </c>
      <c r="N1" s="16" t="s">
        <v>24</v>
      </c>
      <c r="O1" s="16" t="s">
        <v>23</v>
      </c>
      <c r="P1" s="21" t="s">
        <v>26</v>
      </c>
      <c r="Q1" s="2" t="s">
        <v>25</v>
      </c>
      <c r="R1" s="1" t="s">
        <v>3</v>
      </c>
      <c r="S1" s="38" t="s">
        <v>49</v>
      </c>
      <c r="T1" s="38" t="s">
        <v>50</v>
      </c>
      <c r="U1" s="38" t="s">
        <v>51</v>
      </c>
      <c r="V1" s="16" t="s">
        <v>31</v>
      </c>
      <c r="W1" s="1" t="s">
        <v>4</v>
      </c>
      <c r="X1" s="1" t="s">
        <v>5</v>
      </c>
      <c r="Y1" s="1" t="s">
        <v>47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27</v>
      </c>
      <c r="AF1" s="3" t="s">
        <v>10</v>
      </c>
      <c r="AG1" s="1" t="s">
        <v>11</v>
      </c>
      <c r="AH1" s="1" t="s">
        <v>12</v>
      </c>
      <c r="AI1" s="1" t="s">
        <v>38</v>
      </c>
      <c r="AJ1" s="1" t="s">
        <v>40</v>
      </c>
      <c r="AK1" s="1" t="s">
        <v>42</v>
      </c>
      <c r="AL1" s="1" t="s">
        <v>44</v>
      </c>
      <c r="AM1" s="1" t="s">
        <v>46</v>
      </c>
      <c r="AN1" s="1" t="s">
        <v>72</v>
      </c>
    </row>
    <row r="2" spans="1:40" ht="21" customHeight="1" x14ac:dyDescent="0.15">
      <c r="A2" s="17" t="str">
        <f t="shared" ref="A2:A27" ca="1" si="0">B2&amp;"_"&amp;C2&amp;"-"&amp;G2&amp;"/"&amp;L2&amp;"&lt;lv"&amp;R2&amp;"&gt;s"&amp;AA2</f>
        <v>11007_1-1/101&lt;lv3&gt;s1</v>
      </c>
      <c r="B2" s="8">
        <v>11007</v>
      </c>
      <c r="C2" s="25">
        <v>1</v>
      </c>
      <c r="D2" s="2" t="str">
        <f t="shared" ref="D2:D64" si="1">B2&amp;"_"&amp;C2</f>
        <v>11007_1</v>
      </c>
      <c r="E2" s="5" t="str">
        <f ca="1">VLOOKUP($B2,OFFSET([2]quests!$A$1,0,0,COUNTA([2]quests!$A:$A),MATCH(E$1,[2]quests!$1:$1,0)-MATCH($B$1,[2]quests!$1:$1,0)+1),MATCH(E$1,[2]quests!$1:$1,0)-MATCH($B$1,[2]quests!$1:$1,0)+1,FALSE)</f>
        <v>【土曜限定】 赤と緑の素材</v>
      </c>
      <c r="F2" s="5" t="str">
        <f ca="1">VLOOKUP($D2,OFFSET([2]stages!$A$1,0,0,COUNTA([2]stages!$A:$A),MATCH(F$1,[2]stages!$2:$2,0)-MATCH($D$1,[2]stages!$2:$2,0)+1),MATCH(F$1,[2]stages!$2:$2,0)-MATCH($D$1,[2]stages!$2:$2,0)+1,FALSE)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2" s="25">
        <v>1</v>
      </c>
      <c r="H2" s="16" t="str">
        <f t="shared" ref="H2:H64" si="2">B2&amp;"_"&amp;C2&amp;"-"&amp;G2</f>
        <v>11007_1-1</v>
      </c>
      <c r="I2" s="5">
        <f ca="1">VLOOKUP($H2,OFFSET(floors!$A$1,0,0,COUNTA(floors!$A:$A),MATCH(I$1,floors!$1:$1,0)-MATCH($H$1,floors!$1:$1,0)+1),MATCH(I$1,floors!$1:$1,0)-MATCH($H$1,floors!$1:$1,0)+1,FALSE)</f>
        <v>30</v>
      </c>
      <c r="J2" s="5">
        <f ca="1">VLOOKUP($H2,OFFSET(floors!$A$1,0,0,COUNTA(floors!$A:$A),MATCH(J$1,floors!$1:$1,0)-MATCH($H$1,floors!$1:$1,0)+1),MATCH(J$1,floors!$1:$1,0)-MATCH($H$1,floors!$1:$1,0)+1,FALSE)</f>
        <v>45</v>
      </c>
      <c r="K2" s="24" t="s">
        <v>197</v>
      </c>
      <c r="L2" s="24">
        <v>101</v>
      </c>
      <c r="M2" s="20" t="str">
        <f ca="1">VLOOKUP($L2,OFFSET([3]enemies!$A$1,0,0,COUNTA([3]enemies!$A:$A),MATCH(M$1,[3]enemies!$1:$1,0)-MATCH($L$1,[3]enemies!$1:$1,0)+1),MATCH(M$1,[3]enemies!$1:$1,0)-MATCH($L$1,[3]enemies!$1:$1,0)+1,FALSE)</f>
        <v>レッドチェシャ</v>
      </c>
      <c r="N2" s="20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22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15</v>
      </c>
      <c r="R2" s="6">
        <v>3</v>
      </c>
      <c r="S2" s="39">
        <v>1</v>
      </c>
      <c r="T2" s="39">
        <v>1</v>
      </c>
      <c r="U2" s="6">
        <v>0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0</v>
      </c>
      <c r="Y2" s="7">
        <v>100</v>
      </c>
      <c r="Z2" s="7">
        <v>0</v>
      </c>
      <c r="AA2" s="20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v>101</v>
      </c>
      <c r="AC2" s="5" t="str">
        <f ca="1">IFERROR(VLOOKUP($AB2,OFFSET([4]characters!$A$1,0,0,COUNTA([4]characters!$A:$A),MATCH(AC$1,[4]characters!$1:$1,0)-MATCH("character_id",[4]characters!$1:$1,0)+1),MATCH(AC$1,[4]characters!$1:$1,0)-MATCH("character_id",[4]characters!$1:$1,0)+1,FALSE),"")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2" s="5">
        <f ca="1">IFERROR(VLOOKUP($AB2,OFFSET([4]characters!$A$1,0,0,COUNTA([4]characters!$A:$A),MATCH(AD$1,[4]characters!$1:$1,0)-MATCH("character_id",[4]characters!$1:$1,0)+1),MATCH(AD$1,[4]characters!$1:$1,0)-MATCH("character_id",[4]characters!$1:$1,0)+1,FALSE),"")</f>
        <v>2</v>
      </c>
      <c r="AE2" s="5" t="str">
        <f ca="1">IFERROR(VLOOKUP($AB2,OFFSET([4]characters!$A$1,0,0,COUNTA([4]characters!$A:$A),MATCH(AE$1,[4]characters!$1:$1,0)-MATCH("character_id",[4]characters!$1:$1,0)+1),MATCH(AE$1,[4]characters!$1:$1,0)-MATCH("character_id",[4]characters!$1:$1,0)+1,FALSE),"")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" s="8">
        <v>1</v>
      </c>
      <c r="AG2" s="27">
        <f t="shared" ref="AG2:AG64" ca="1" si="3">AD2</f>
        <v>2</v>
      </c>
      <c r="AH2" s="9">
        <v>40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  <c r="AN2" s="8">
        <v>1</v>
      </c>
    </row>
    <row r="3" spans="1:40" ht="21" customHeight="1" x14ac:dyDescent="0.15">
      <c r="A3" s="17" t="str">
        <f t="shared" ca="1" si="0"/>
        <v>11007_1-2/101&lt;lv3&gt;s1</v>
      </c>
      <c r="B3" s="8">
        <v>11007</v>
      </c>
      <c r="C3" s="25">
        <v>1</v>
      </c>
      <c r="D3" s="2" t="str">
        <f t="shared" si="1"/>
        <v>11007_1</v>
      </c>
      <c r="E3" s="5" t="str">
        <f ca="1">VLOOKUP($B3,OFFSET([2]quests!$A$1,0,0,COUNTA([2]quests!$A:$A),MATCH(E$1,[2]quests!$1:$1,0)-MATCH($B$1,[2]quests!$1:$1,0)+1),MATCH(E$1,[2]quests!$1:$1,0)-MATCH($B$1,[2]quests!$1:$1,0)+1,FALSE)</f>
        <v>【土曜限定】 赤と緑の素材</v>
      </c>
      <c r="F3" s="5" t="str">
        <f ca="1">VLOOKUP($D3,OFFSET([2]stages!$A$1,0,0,COUNTA([2]stages!$A:$A),MATCH(F$1,[2]stages!$2:$2,0)-MATCH($D$1,[2]stages!$2:$2,0)+1),MATCH(F$1,[2]stages!$2:$2,0)-MATCH($D$1,[2]stages!$2:$2,0)+1,FALSE)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3" s="25">
        <v>2</v>
      </c>
      <c r="H3" s="16" t="str">
        <f t="shared" si="2"/>
        <v>11007_1-2</v>
      </c>
      <c r="I3" s="5">
        <f ca="1">VLOOKUP($H3,OFFSET(floors!$A$1,0,0,COUNTA(floors!$A:$A),MATCH(I$1,floors!$1:$1,0)-MATCH($H$1,floors!$1:$1,0)+1),MATCH(I$1,floors!$1:$1,0)-MATCH($H$1,floors!$1:$1,0)+1,FALSE)</f>
        <v>30</v>
      </c>
      <c r="J3" s="5">
        <f ca="1">VLOOKUP($H3,OFFSET(floors!$A$1,0,0,COUNTA(floors!$A:$A),MATCH(J$1,floors!$1:$1,0)-MATCH($H$1,floors!$1:$1,0)+1),MATCH(J$1,floors!$1:$1,0)-MATCH($H$1,floors!$1:$1,0)+1,FALSE)</f>
        <v>45</v>
      </c>
      <c r="K3" s="24" t="s">
        <v>197</v>
      </c>
      <c r="L3" s="24">
        <v>101</v>
      </c>
      <c r="M3" s="20" t="str">
        <f ca="1">VLOOKUP($L3,OFFSET([3]enemies!$A$1,0,0,COUNTA([3]enemies!$A:$A),MATCH(M$1,[3]enemies!$1:$1,0)-MATCH($L$1,[3]enemies!$1:$1,0)+1),MATCH(M$1,[3]enemies!$1:$1,0)-MATCH($L$1,[3]enemies!$1:$1,0)+1,FALSE)</f>
        <v>レッドチェシャ</v>
      </c>
      <c r="N3" s="20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22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2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20">
        <f ca="1">VLOOKUP($L3,OFFSET([3]enemies!$A$1,0,0,COUNTA([3]enemies!$A:$A),MATCH(Q$1,[3]enemies!$1:$1,0)-MATCH($L$1,[3]enemies!$1:$1,0)+1),MATCH(Q$1,[3]enemies!$1:$1,0)-MATCH($L$1,[3]enemies!$1:$1,0)+1,FALSE)</f>
        <v>15</v>
      </c>
      <c r="R3" s="6">
        <v>3</v>
      </c>
      <c r="S3" s="39">
        <v>1</v>
      </c>
      <c r="T3" s="39">
        <v>1</v>
      </c>
      <c r="U3" s="6">
        <v>0</v>
      </c>
      <c r="V3" s="5" t="str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" s="5">
        <f ca="1">VLOOKUP($L3,OFFSET([3]enemies!$A$1,0,0,COUNTA([3]enemies!$A:$A),MATCH(W$1,[3]enemies!$1:$1,0)-MATCH($L$1,[3]enemies!$1:$1,0)+1),MATCH(W$1,[3]enemies!$1:$1,0)-MATCH($L$1,[3]enemies!$1:$1,0)+1,FALSE)</f>
        <v>0</v>
      </c>
      <c r="X3" s="7">
        <v>0</v>
      </c>
      <c r="Y3" s="7">
        <v>100</v>
      </c>
      <c r="Z3" s="7">
        <v>0</v>
      </c>
      <c r="AA3" s="20">
        <f ca="1">VLOOKUP($L3,OFFSET([3]enemies!$A$1,0,0,COUNTA([3]enemies!$A:$A),MATCH(AA$1,[3]enemies!$1:$1,0)-MATCH($L$1,[3]enemies!$1:$1,0)+1),MATCH(AA$1,[3]enemies!$1:$1,0)-MATCH($L$1,[3]enemies!$1:$1,0)+1,FALSE)</f>
        <v>1</v>
      </c>
      <c r="AB3" s="24">
        <v>101</v>
      </c>
      <c r="AC3" s="5" t="str">
        <f ca="1">IFERROR(VLOOKUP($AB3,OFFSET([4]characters!$A$1,0,0,COUNTA([4]characters!$A:$A),MATCH(AC$1,[4]characters!$1:$1,0)-MATCH("character_id",[4]characters!$1:$1,0)+1),MATCH(AC$1,[4]characters!$1:$1,0)-MATCH("character_id",[4]characters!$1:$1,0)+1,FALSE),"")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3" s="5">
        <f ca="1">IFERROR(VLOOKUP($AB3,OFFSET([4]characters!$A$1,0,0,COUNTA([4]characters!$A:$A),MATCH(AD$1,[4]characters!$1:$1,0)-MATCH("character_id",[4]characters!$1:$1,0)+1),MATCH(AD$1,[4]characters!$1:$1,0)-MATCH("character_id",[4]characters!$1:$1,0)+1,FALSE),"")</f>
        <v>2</v>
      </c>
      <c r="AE3" s="5" t="str">
        <f ca="1">IFERROR(VLOOKUP($AB3,OFFSET([4]characters!$A$1,0,0,COUNTA([4]characters!$A:$A),MATCH(AE$1,[4]characters!$1:$1,0)-MATCH("character_id",[4]characters!$1:$1,0)+1),MATCH(AE$1,[4]characters!$1:$1,0)-MATCH("character_id",[4]characters!$1:$1,0)+1,FALSE),"")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" s="8">
        <v>1</v>
      </c>
      <c r="AG3" s="27">
        <f t="shared" ca="1" si="3"/>
        <v>2</v>
      </c>
      <c r="AH3" s="9">
        <v>40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  <c r="AN3" s="8">
        <v>1</v>
      </c>
    </row>
    <row r="4" spans="1:40" ht="21" customHeight="1" x14ac:dyDescent="0.15">
      <c r="A4" s="17" t="str">
        <f t="shared" ca="1" si="0"/>
        <v>11007_1-3/101&lt;lv3&gt;s1</v>
      </c>
      <c r="B4" s="8">
        <v>11007</v>
      </c>
      <c r="C4" s="25">
        <v>1</v>
      </c>
      <c r="D4" s="2" t="str">
        <f t="shared" si="1"/>
        <v>11007_1</v>
      </c>
      <c r="E4" s="5" t="str">
        <f ca="1">VLOOKUP($B4,OFFSET([2]quests!$A$1,0,0,COUNTA([2]quests!$A:$A),MATCH(E$1,[2]quests!$1:$1,0)-MATCH($B$1,[2]quests!$1:$1,0)+1),MATCH(E$1,[2]quests!$1:$1,0)-MATCH($B$1,[2]quests!$1:$1,0)+1,FALSE)</f>
        <v>【土曜限定】 赤と緑の素材</v>
      </c>
      <c r="F4" s="5" t="str">
        <f ca="1">VLOOKUP($D4,OFFSET([2]stages!$A$1,0,0,COUNTA([2]stages!$A:$A),MATCH(F$1,[2]stages!$2:$2,0)-MATCH($D$1,[2]stages!$2:$2,0)+1),MATCH(F$1,[2]stages!$2:$2,0)-MATCH($D$1,[2]stages!$2:$2,0)+1,FALSE)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4" s="25">
        <v>3</v>
      </c>
      <c r="H4" s="16" t="str">
        <f t="shared" si="2"/>
        <v>11007_1-3</v>
      </c>
      <c r="I4" s="5">
        <f ca="1">VLOOKUP($H4,OFFSET(floors!$A$1,0,0,COUNTA(floors!$A:$A),MATCH(I$1,floors!$1:$1,0)-MATCH($H$1,floors!$1:$1,0)+1),MATCH(I$1,floors!$1:$1,0)-MATCH($H$1,floors!$1:$1,0)+1,FALSE)</f>
        <v>45</v>
      </c>
      <c r="J4" s="5">
        <f ca="1">VLOOKUP($H4,OFFSET(floors!$A$1,0,0,COUNTA(floors!$A:$A),MATCH(J$1,floors!$1:$1,0)-MATCH($H$1,floors!$1:$1,0)+1),MATCH(J$1,floors!$1:$1,0)-MATCH($H$1,floors!$1:$1,0)+1,FALSE)</f>
        <v>45</v>
      </c>
      <c r="K4" s="24" t="s">
        <v>197</v>
      </c>
      <c r="L4" s="24">
        <v>101</v>
      </c>
      <c r="M4" s="20" t="str">
        <f ca="1">VLOOKUP($L4,OFFSET([3]enemies!$A$1,0,0,COUNTA([3]enemies!$A:$A),MATCH(M$1,[3]enemies!$1:$1,0)-MATCH($L$1,[3]enemies!$1:$1,0)+1),MATCH(M$1,[3]enemies!$1:$1,0)-MATCH($L$1,[3]enemies!$1:$1,0)+1,FALSE)</f>
        <v>レッドチェシャ</v>
      </c>
      <c r="N4" s="20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22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20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20">
        <f ca="1">VLOOKUP($L4,OFFSET([3]enemies!$A$1,0,0,COUNTA([3]enemies!$A:$A),MATCH(Q$1,[3]enemies!$1:$1,0)-MATCH($L$1,[3]enemies!$1:$1,0)+1),MATCH(Q$1,[3]enemies!$1:$1,0)-MATCH($L$1,[3]enemies!$1:$1,0)+1,FALSE)</f>
        <v>15</v>
      </c>
      <c r="R4" s="6">
        <v>3</v>
      </c>
      <c r="S4" s="39">
        <v>1</v>
      </c>
      <c r="T4" s="39">
        <v>1</v>
      </c>
      <c r="U4" s="6">
        <v>0</v>
      </c>
      <c r="V4" s="5" t="str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" s="5">
        <f ca="1">VLOOKUP($L4,OFFSET([3]enemies!$A$1,0,0,COUNTA([3]enemies!$A:$A),MATCH(W$1,[3]enemies!$1:$1,0)-MATCH($L$1,[3]enemies!$1:$1,0)+1),MATCH(W$1,[3]enemies!$1:$1,0)-MATCH($L$1,[3]enemies!$1:$1,0)+1,FALSE)</f>
        <v>0</v>
      </c>
      <c r="X4" s="7">
        <v>0</v>
      </c>
      <c r="Y4" s="7">
        <v>100</v>
      </c>
      <c r="Z4" s="7">
        <v>0</v>
      </c>
      <c r="AA4" s="20">
        <f ca="1">VLOOKUP($L4,OFFSET([3]enemies!$A$1,0,0,COUNTA([3]enemies!$A:$A),MATCH(AA$1,[3]enemies!$1:$1,0)-MATCH($L$1,[3]enemies!$1:$1,0)+1),MATCH(AA$1,[3]enemies!$1:$1,0)-MATCH($L$1,[3]enemies!$1:$1,0)+1,FALSE)</f>
        <v>1</v>
      </c>
      <c r="AB4" s="24">
        <v>101</v>
      </c>
      <c r="AC4" s="5" t="str">
        <f ca="1">IFERROR(VLOOKUP($AB4,OFFSET([4]characters!$A$1,0,0,COUNTA([4]characters!$A:$A),MATCH(AC$1,[4]characters!$1:$1,0)-MATCH("character_id",[4]characters!$1:$1,0)+1),MATCH(AC$1,[4]characters!$1:$1,0)-MATCH("character_id",[4]characters!$1:$1,0)+1,FALSE),"")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4" s="5">
        <f ca="1">IFERROR(VLOOKUP($AB4,OFFSET([4]characters!$A$1,0,0,COUNTA([4]characters!$A:$A),MATCH(AD$1,[4]characters!$1:$1,0)-MATCH("character_id",[4]characters!$1:$1,0)+1),MATCH(AD$1,[4]characters!$1:$1,0)-MATCH("character_id",[4]characters!$1:$1,0)+1,FALSE),"")</f>
        <v>2</v>
      </c>
      <c r="AE4" s="5" t="str">
        <f ca="1">IFERROR(VLOOKUP($AB4,OFFSET([4]characters!$A$1,0,0,COUNTA([4]characters!$A:$A),MATCH(AE$1,[4]characters!$1:$1,0)-MATCH("character_id",[4]characters!$1:$1,0)+1),MATCH(AE$1,[4]characters!$1:$1,0)-MATCH("character_id",[4]characters!$1:$1,0)+1,FALSE),"")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" s="8">
        <v>1</v>
      </c>
      <c r="AG4" s="27">
        <f t="shared" ca="1" si="3"/>
        <v>2</v>
      </c>
      <c r="AH4" s="9">
        <v>40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  <c r="AN4" s="8">
        <v>1</v>
      </c>
    </row>
    <row r="5" spans="1:40" ht="21" customHeight="1" x14ac:dyDescent="0.15">
      <c r="A5" s="17" t="str">
        <f t="shared" ca="1" si="0"/>
        <v>11007_1-3/102&lt;lv3&gt;s2</v>
      </c>
      <c r="B5" s="8">
        <v>11007</v>
      </c>
      <c r="C5" s="25">
        <v>1</v>
      </c>
      <c r="D5" s="2" t="str">
        <f t="shared" si="1"/>
        <v>11007_1</v>
      </c>
      <c r="E5" s="5" t="str">
        <f ca="1">VLOOKUP($B5,OFFSET([2]quests!$A$1,0,0,COUNTA([2]quests!$A:$A),MATCH(E$1,[2]quests!$1:$1,0)-MATCH($B$1,[2]quests!$1:$1,0)+1),MATCH(E$1,[2]quests!$1:$1,0)-MATCH($B$1,[2]quests!$1:$1,0)+1,FALSE)</f>
        <v>【土曜限定】 赤と緑の素材</v>
      </c>
      <c r="F5" s="5" t="str">
        <f ca="1">VLOOKUP($D5,OFFSET([2]stages!$A$1,0,0,COUNTA([2]stages!$A:$A),MATCH(F$1,[2]stages!$2:$2,0)-MATCH($D$1,[2]stages!$2:$2,0)+1),MATCH(F$1,[2]stages!$2:$2,0)-MATCH($D$1,[2]stages!$2:$2,0)+1,FALSE)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5" s="25">
        <v>3</v>
      </c>
      <c r="H5" s="16" t="str">
        <f t="shared" si="2"/>
        <v>11007_1-3</v>
      </c>
      <c r="I5" s="5">
        <f ca="1">VLOOKUP($H5,OFFSET(floors!$A$1,0,0,COUNTA(floors!$A:$A),MATCH(I$1,floors!$1:$1,0)-MATCH($H$1,floors!$1:$1,0)+1),MATCH(I$1,floors!$1:$1,0)-MATCH($H$1,floors!$1:$1,0)+1,FALSE)</f>
        <v>45</v>
      </c>
      <c r="J5" s="5">
        <f ca="1">VLOOKUP($H5,OFFSET(floors!$A$1,0,0,COUNTA(floors!$A:$A),MATCH(J$1,floors!$1:$1,0)-MATCH($H$1,floors!$1:$1,0)+1),MATCH(J$1,floors!$1:$1,0)-MATCH($H$1,floors!$1:$1,0)+1,FALSE)</f>
        <v>45</v>
      </c>
      <c r="K5" s="24" t="s">
        <v>197</v>
      </c>
      <c r="L5" s="24">
        <v>102</v>
      </c>
      <c r="M5" s="20" t="str">
        <f ca="1">VLOOKUP($L5,OFFSET([3]enemies!$A$1,0,0,COUNTA([3]enemies!$A:$A),MATCH(M$1,[3]enemies!$1:$1,0)-MATCH($L$1,[3]enemies!$1:$1,0)+1),MATCH(M$1,[3]enemies!$1:$1,0)-MATCH($L$1,[3]enemies!$1:$1,0)+1,FALSE)</f>
        <v>レッドラビット</v>
      </c>
      <c r="N5" s="20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22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15</v>
      </c>
      <c r="R5" s="6">
        <v>3</v>
      </c>
      <c r="S5" s="40">
        <v>1.8</v>
      </c>
      <c r="T5" s="39">
        <v>1</v>
      </c>
      <c r="U5" s="6">
        <v>0</v>
      </c>
      <c r="V5" s="5" t="str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" s="5">
        <f ca="1">VLOOKUP($L5,OFFSET([3]enemies!$A$1,0,0,COUNTA([3]enemies!$A:$A),MATCH(W$1,[3]enemies!$1:$1,0)-MATCH($L$1,[3]enemies!$1:$1,0)+1),MATCH(W$1,[3]enemies!$1:$1,0)-MATCH($L$1,[3]enemies!$1:$1,0)+1,FALSE)</f>
        <v>0</v>
      </c>
      <c r="X5" s="7">
        <v>0</v>
      </c>
      <c r="Y5" s="7">
        <v>40</v>
      </c>
      <c r="Z5" s="7">
        <v>0</v>
      </c>
      <c r="AA5" s="20">
        <f ca="1">VLOOKUP($L5,OFFSET([3]enemies!$A$1,0,0,COUNTA([3]enemies!$A:$A),MATCH(AA$1,[3]enemies!$1:$1,0)-MATCH($L$1,[3]enemies!$1:$1,0)+1),MATCH(AA$1,[3]enemies!$1:$1,0)-MATCH($L$1,[3]enemies!$1:$1,0)+1,FALSE)</f>
        <v>2</v>
      </c>
      <c r="AB5" s="24">
        <v>102</v>
      </c>
      <c r="AC5" s="5" t="str">
        <f ca="1">IFERROR(VLOOKUP($AB5,OFFSET([4]characters!$A$1,0,0,COUNTA([4]characters!$A:$A),MATCH(AC$1,[4]characters!$1:$1,0)-MATCH("character_id",[4]characters!$1:$1,0)+1),MATCH(AC$1,[4]characters!$1:$1,0)-MATCH("character_id",[4]characters!$1:$1,0)+1,FALSE),"")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5" s="5">
        <f ca="1">IFERROR(VLOOKUP($AB5,OFFSET([4]characters!$A$1,0,0,COUNTA([4]characters!$A:$A),MATCH(AD$1,[4]characters!$1:$1,0)-MATCH("character_id",[4]characters!$1:$1,0)+1),MATCH(AD$1,[4]characters!$1:$1,0)-MATCH("character_id",[4]characters!$1:$1,0)+1,FALSE),"")</f>
        <v>3</v>
      </c>
      <c r="AE5" s="5" t="str">
        <f ca="1">IFERROR(VLOOKUP($AB5,OFFSET([4]characters!$A$1,0,0,COUNTA([4]characters!$A:$A),MATCH(AE$1,[4]characters!$1:$1,0)-MATCH("character_id",[4]characters!$1:$1,0)+1),MATCH(AE$1,[4]characters!$1:$1,0)-MATCH("character_id",[4]characters!$1:$1,0)+1,FALSE),"")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" s="8">
        <v>1</v>
      </c>
      <c r="AG5" s="27">
        <f t="shared" ca="1" si="3"/>
        <v>3</v>
      </c>
      <c r="AH5" s="9">
        <v>10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  <c r="AN5" s="8">
        <v>1</v>
      </c>
    </row>
    <row r="6" spans="1:40" ht="21" customHeight="1" x14ac:dyDescent="0.15">
      <c r="A6" s="17" t="str">
        <f t="shared" ca="1" si="0"/>
        <v>11007_1-4/101&lt;lv3&gt;s1</v>
      </c>
      <c r="B6" s="8">
        <v>11007</v>
      </c>
      <c r="C6" s="25">
        <v>1</v>
      </c>
      <c r="D6" s="2" t="str">
        <f t="shared" si="1"/>
        <v>11007_1</v>
      </c>
      <c r="E6" s="5" t="str">
        <f ca="1">VLOOKUP($B6,OFFSET([2]quests!$A$1,0,0,COUNTA([2]quests!$A:$A),MATCH(E$1,[2]quests!$1:$1,0)-MATCH($B$1,[2]quests!$1:$1,0)+1),MATCH(E$1,[2]quests!$1:$1,0)-MATCH($B$1,[2]quests!$1:$1,0)+1,FALSE)</f>
        <v>【土曜限定】 赤と緑の素材</v>
      </c>
      <c r="F6" s="5" t="str">
        <f ca="1">VLOOKUP($D6,OFFSET([2]stages!$A$1,0,0,COUNTA([2]stages!$A:$A),MATCH(F$1,[2]stages!$2:$2,0)-MATCH($D$1,[2]stages!$2:$2,0)+1),MATCH(F$1,[2]stages!$2:$2,0)-MATCH($D$1,[2]stages!$2:$2,0)+1,FALSE)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6" s="25">
        <v>4</v>
      </c>
      <c r="H6" s="16" t="str">
        <f t="shared" si="2"/>
        <v>11007_1-4</v>
      </c>
      <c r="I6" s="5">
        <f ca="1">VLOOKUP($H6,OFFSET(floors!$A$1,0,0,COUNTA(floors!$A:$A),MATCH(I$1,floors!$1:$1,0)-MATCH($H$1,floors!$1:$1,0)+1),MATCH(I$1,floors!$1:$1,0)-MATCH($H$1,floors!$1:$1,0)+1,FALSE)</f>
        <v>45</v>
      </c>
      <c r="J6" s="5">
        <f ca="1">VLOOKUP($H6,OFFSET(floors!$A$1,0,0,COUNTA(floors!$A:$A),MATCH(J$1,floors!$1:$1,0)-MATCH($H$1,floors!$1:$1,0)+1),MATCH(J$1,floors!$1:$1,0)-MATCH($H$1,floors!$1:$1,0)+1,FALSE)</f>
        <v>60</v>
      </c>
      <c r="K6" s="24" t="s">
        <v>197</v>
      </c>
      <c r="L6" s="24">
        <v>101</v>
      </c>
      <c r="M6" s="20" t="str">
        <f ca="1">VLOOKUP($L6,OFFSET([3]enemies!$A$1,0,0,COUNTA([3]enemies!$A:$A),MATCH(M$1,[3]enemies!$1:$1,0)-MATCH($L$1,[3]enemies!$1:$1,0)+1),MATCH(M$1,[3]enemies!$1:$1,0)-MATCH($L$1,[3]enemies!$1:$1,0)+1,FALSE)</f>
        <v>レッドチェシャ</v>
      </c>
      <c r="N6" s="20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22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15</v>
      </c>
      <c r="R6" s="6">
        <v>3</v>
      </c>
      <c r="S6" s="39">
        <v>1</v>
      </c>
      <c r="T6" s="39">
        <v>1</v>
      </c>
      <c r="U6" s="6">
        <v>0</v>
      </c>
      <c r="V6" s="5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5">
        <f ca="1">VLOOKUP($L6,OFFSET([3]enemies!$A$1,0,0,COUNTA([3]enemies!$A:$A),MATCH(W$1,[3]enemies!$1:$1,0)-MATCH($L$1,[3]enemies!$1:$1,0)+1),MATCH(W$1,[3]enemies!$1:$1,0)-MATCH($L$1,[3]enemies!$1:$1,0)+1,FALSE)</f>
        <v>0</v>
      </c>
      <c r="X6" s="7">
        <v>0</v>
      </c>
      <c r="Y6" s="7">
        <v>100</v>
      </c>
      <c r="Z6" s="7">
        <v>0</v>
      </c>
      <c r="AA6" s="20">
        <f ca="1">VLOOKUP($L6,OFFSET([3]enemies!$A$1,0,0,COUNTA([3]enemies!$A:$A),MATCH(AA$1,[3]enemies!$1:$1,0)-MATCH($L$1,[3]enemies!$1:$1,0)+1),MATCH(AA$1,[3]enemies!$1:$1,0)-MATCH($L$1,[3]enemies!$1:$1,0)+1,FALSE)</f>
        <v>1</v>
      </c>
      <c r="AB6" s="24">
        <v>101</v>
      </c>
      <c r="AC6" s="5" t="str">
        <f ca="1">IFERROR(VLOOKUP($AB6,OFFSET([4]characters!$A$1,0,0,COUNTA([4]characters!$A:$A),MATCH(AC$1,[4]characters!$1:$1,0)-MATCH("character_id",[4]characters!$1:$1,0)+1),MATCH(AC$1,[4]characters!$1:$1,0)-MATCH("character_id",[4]characters!$1:$1,0)+1,FALSE),"")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6" s="5">
        <f ca="1">IFERROR(VLOOKUP($AB6,OFFSET([4]characters!$A$1,0,0,COUNTA([4]characters!$A:$A),MATCH(AD$1,[4]characters!$1:$1,0)-MATCH("character_id",[4]characters!$1:$1,0)+1),MATCH(AD$1,[4]characters!$1:$1,0)-MATCH("character_id",[4]characters!$1:$1,0)+1,FALSE),"")</f>
        <v>2</v>
      </c>
      <c r="AE6" s="5" t="str">
        <f ca="1">IFERROR(VLOOKUP($AB6,OFFSET([4]characters!$A$1,0,0,COUNTA([4]characters!$A:$A),MATCH(AE$1,[4]characters!$1:$1,0)-MATCH("character_id",[4]characters!$1:$1,0)+1),MATCH(AE$1,[4]characters!$1:$1,0)-MATCH("character_id",[4]characters!$1:$1,0)+1,FALSE),"")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" s="8">
        <v>1</v>
      </c>
      <c r="AG6" s="27">
        <f t="shared" ca="1" si="3"/>
        <v>2</v>
      </c>
      <c r="AH6" s="9">
        <v>40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  <c r="AN6" s="8">
        <v>1</v>
      </c>
    </row>
    <row r="7" spans="1:40" ht="21" customHeight="1" x14ac:dyDescent="0.15">
      <c r="A7" s="17" t="str">
        <f t="shared" ca="1" si="0"/>
        <v>11007_1-4/102&lt;lv3&gt;s2</v>
      </c>
      <c r="B7" s="8">
        <v>11007</v>
      </c>
      <c r="C7" s="25">
        <v>1</v>
      </c>
      <c r="D7" s="2" t="str">
        <f t="shared" si="1"/>
        <v>11007_1</v>
      </c>
      <c r="E7" s="5" t="str">
        <f ca="1">VLOOKUP($B7,OFFSET([2]quests!$A$1,0,0,COUNTA([2]quests!$A:$A),MATCH(E$1,[2]quests!$1:$1,0)-MATCH($B$1,[2]quests!$1:$1,0)+1),MATCH(E$1,[2]quests!$1:$1,0)-MATCH($B$1,[2]quests!$1:$1,0)+1,FALSE)</f>
        <v>【土曜限定】 赤と緑の素材</v>
      </c>
      <c r="F7" s="5" t="str">
        <f ca="1">VLOOKUP($D7,OFFSET([2]stages!$A$1,0,0,COUNTA([2]stages!$A:$A),MATCH(F$1,[2]stages!$2:$2,0)-MATCH($D$1,[2]stages!$2:$2,0)+1),MATCH(F$1,[2]stages!$2:$2,0)-MATCH($D$1,[2]stages!$2:$2,0)+1,FALSE)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7" s="25">
        <v>4</v>
      </c>
      <c r="H7" s="16" t="str">
        <f t="shared" si="2"/>
        <v>11007_1-4</v>
      </c>
      <c r="I7" s="5">
        <f ca="1">VLOOKUP($H7,OFFSET(floors!$A$1,0,0,COUNTA(floors!$A:$A),MATCH(I$1,floors!$1:$1,0)-MATCH($H$1,floors!$1:$1,0)+1),MATCH(I$1,floors!$1:$1,0)-MATCH($H$1,floors!$1:$1,0)+1,FALSE)</f>
        <v>45</v>
      </c>
      <c r="J7" s="5">
        <f ca="1">VLOOKUP($H7,OFFSET(floors!$A$1,0,0,COUNTA(floors!$A:$A),MATCH(J$1,floors!$1:$1,0)-MATCH($H$1,floors!$1:$1,0)+1),MATCH(J$1,floors!$1:$1,0)-MATCH($H$1,floors!$1:$1,0)+1,FALSE)</f>
        <v>60</v>
      </c>
      <c r="K7" s="24" t="s">
        <v>197</v>
      </c>
      <c r="L7" s="24">
        <v>102</v>
      </c>
      <c r="M7" s="20" t="str">
        <f ca="1">VLOOKUP($L7,OFFSET([3]enemies!$A$1,0,0,COUNTA([3]enemies!$A:$A),MATCH(M$1,[3]enemies!$1:$1,0)-MATCH($L$1,[3]enemies!$1:$1,0)+1),MATCH(M$1,[3]enemies!$1:$1,0)-MATCH($L$1,[3]enemies!$1:$1,0)+1,FALSE)</f>
        <v>レッドラビット</v>
      </c>
      <c r="N7" s="20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22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15</v>
      </c>
      <c r="R7" s="6">
        <v>3</v>
      </c>
      <c r="S7" s="40">
        <v>1.8</v>
      </c>
      <c r="T7" s="39">
        <v>1</v>
      </c>
      <c r="U7" s="6">
        <v>0</v>
      </c>
      <c r="V7" s="5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5">
        <f ca="1">VLOOKUP($L7,OFFSET([3]enemies!$A$1,0,0,COUNTA([3]enemies!$A:$A),MATCH(W$1,[3]enemies!$1:$1,0)-MATCH($L$1,[3]enemies!$1:$1,0)+1),MATCH(W$1,[3]enemies!$1:$1,0)-MATCH($L$1,[3]enemies!$1:$1,0)+1,FALSE)</f>
        <v>0</v>
      </c>
      <c r="X7" s="7">
        <v>0</v>
      </c>
      <c r="Y7" s="7">
        <v>40</v>
      </c>
      <c r="Z7" s="7">
        <v>0</v>
      </c>
      <c r="AA7" s="20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v>102</v>
      </c>
      <c r="AC7" s="5" t="str">
        <f ca="1">IFERROR(VLOOKUP($AB7,OFFSET([4]characters!$A$1,0,0,COUNTA([4]characters!$A:$A),MATCH(AC$1,[4]characters!$1:$1,0)-MATCH("character_id",[4]characters!$1:$1,0)+1),MATCH(AC$1,[4]characters!$1:$1,0)-MATCH("character_id",[4]characters!$1:$1,0)+1,FALSE),"")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7" s="5">
        <f ca="1">IFERROR(VLOOKUP($AB7,OFFSET([4]characters!$A$1,0,0,COUNTA([4]characters!$A:$A),MATCH(AD$1,[4]characters!$1:$1,0)-MATCH("character_id",[4]characters!$1:$1,0)+1),MATCH(AD$1,[4]characters!$1:$1,0)-MATCH("character_id",[4]characters!$1:$1,0)+1,FALSE),"")</f>
        <v>3</v>
      </c>
      <c r="AE7" s="5" t="str">
        <f ca="1">IFERROR(VLOOKUP($AB7,OFFSET([4]characters!$A$1,0,0,COUNTA([4]characters!$A:$A),MATCH(AE$1,[4]characters!$1:$1,0)-MATCH("character_id",[4]characters!$1:$1,0)+1),MATCH(AE$1,[4]characters!$1:$1,0)-MATCH("character_id",[4]characters!$1:$1,0)+1,FALSE),"")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" s="8">
        <v>1</v>
      </c>
      <c r="AG7" s="27">
        <f t="shared" ca="1" si="3"/>
        <v>3</v>
      </c>
      <c r="AH7" s="9">
        <v>20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  <c r="AN7" s="8">
        <v>1</v>
      </c>
    </row>
    <row r="8" spans="1:40" ht="21" customHeight="1" x14ac:dyDescent="0.15">
      <c r="A8" s="17" t="str">
        <f t="shared" ca="1" si="0"/>
        <v>11007_1-5/101&lt;lv3&gt;s1</v>
      </c>
      <c r="B8" s="8">
        <v>11007</v>
      </c>
      <c r="C8" s="25">
        <v>1</v>
      </c>
      <c r="D8" s="2" t="str">
        <f t="shared" si="1"/>
        <v>11007_1</v>
      </c>
      <c r="E8" s="5" t="str">
        <f ca="1">VLOOKUP($B8,OFFSET([2]quests!$A$1,0,0,COUNTA([2]quests!$A:$A),MATCH(E$1,[2]quests!$1:$1,0)-MATCH($B$1,[2]quests!$1:$1,0)+1),MATCH(E$1,[2]quests!$1:$1,0)-MATCH($B$1,[2]quests!$1:$1,0)+1,FALSE)</f>
        <v>【土曜限定】 赤と緑の素材</v>
      </c>
      <c r="F8" s="5" t="str">
        <f ca="1">VLOOKUP($D8,OFFSET([2]stages!$A$1,0,0,COUNTA([2]stages!$A:$A),MATCH(F$1,[2]stages!$2:$2,0)-MATCH($D$1,[2]stages!$2:$2,0)+1),MATCH(F$1,[2]stages!$2:$2,0)-MATCH($D$1,[2]stages!$2:$2,0)+1,FALSE)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8" s="25">
        <v>5</v>
      </c>
      <c r="H8" s="16" t="str">
        <f t="shared" si="2"/>
        <v>11007_1-5</v>
      </c>
      <c r="I8" s="5">
        <f ca="1">VLOOKUP($H8,OFFSET(floors!$A$1,0,0,COUNTA(floors!$A:$A),MATCH(I$1,floors!$1:$1,0)-MATCH($H$1,floors!$1:$1,0)+1),MATCH(I$1,floors!$1:$1,0)-MATCH($H$1,floors!$1:$1,0)+1,FALSE)</f>
        <v>45</v>
      </c>
      <c r="J8" s="5">
        <f ca="1">VLOOKUP($H8,OFFSET(floors!$A$1,0,0,COUNTA(floors!$A:$A),MATCH(J$1,floors!$1:$1,0)-MATCH($H$1,floors!$1:$1,0)+1),MATCH(J$1,floors!$1:$1,0)-MATCH($H$1,floors!$1:$1,0)+1,FALSE)</f>
        <v>45</v>
      </c>
      <c r="K8" s="24" t="s">
        <v>197</v>
      </c>
      <c r="L8" s="24">
        <v>101</v>
      </c>
      <c r="M8" s="20" t="str">
        <f ca="1">VLOOKUP($L8,OFFSET([3]enemies!$A$1,0,0,COUNTA([3]enemies!$A:$A),MATCH(M$1,[3]enemies!$1:$1,0)-MATCH($L$1,[3]enemies!$1:$1,0)+1),MATCH(M$1,[3]enemies!$1:$1,0)-MATCH($L$1,[3]enemies!$1:$1,0)+1,FALSE)</f>
        <v>レッドチェシャ</v>
      </c>
      <c r="N8" s="20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22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2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20">
        <f ca="1">VLOOKUP($L8,OFFSET([3]enemies!$A$1,0,0,COUNTA([3]enemies!$A:$A),MATCH(Q$1,[3]enemies!$1:$1,0)-MATCH($L$1,[3]enemies!$1:$1,0)+1),MATCH(Q$1,[3]enemies!$1:$1,0)-MATCH($L$1,[3]enemies!$1:$1,0)+1,FALSE)</f>
        <v>15</v>
      </c>
      <c r="R8" s="6">
        <v>3</v>
      </c>
      <c r="S8" s="39">
        <v>1</v>
      </c>
      <c r="T8" s="39">
        <v>1</v>
      </c>
      <c r="U8" s="6">
        <v>0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5">
        <f ca="1">VLOOKUP($L8,OFFSET([3]enemies!$A$1,0,0,COUNTA([3]enemies!$A:$A),MATCH(W$1,[3]enemies!$1:$1,0)-MATCH($L$1,[3]enemies!$1:$1,0)+1),MATCH(W$1,[3]enemies!$1:$1,0)-MATCH($L$1,[3]enemies!$1:$1,0)+1,FALSE)</f>
        <v>0</v>
      </c>
      <c r="X8" s="7">
        <v>1</v>
      </c>
      <c r="Y8" s="7">
        <v>100</v>
      </c>
      <c r="Z8" s="7">
        <v>0</v>
      </c>
      <c r="AA8" s="20">
        <f ca="1">VLOOKUP($L8,OFFSET([3]enemies!$A$1,0,0,COUNTA([3]enemies!$A:$A),MATCH(AA$1,[3]enemies!$1:$1,0)-MATCH($L$1,[3]enemies!$1:$1,0)+1),MATCH(AA$1,[3]enemies!$1:$1,0)-MATCH($L$1,[3]enemies!$1:$1,0)+1,FALSE)</f>
        <v>1</v>
      </c>
      <c r="AB8" s="24">
        <v>101</v>
      </c>
      <c r="AC8" s="5" t="str">
        <f ca="1">IFERROR(VLOOKUP($AB8,OFFSET([4]characters!$A$1,0,0,COUNTA([4]characters!$A:$A),MATCH(AC$1,[4]characters!$1:$1,0)-MATCH("character_id",[4]characters!$1:$1,0)+1),MATCH(AC$1,[4]characters!$1:$1,0)-MATCH("character_id",[4]characters!$1:$1,0)+1,FALSE),"")</f>
        <v>レッドチェシャ</v>
      </c>
      <c r="AD8" s="5">
        <f ca="1">IFERROR(VLOOKUP($AB8,OFFSET([4]characters!$A$1,0,0,COUNTA([4]characters!$A:$A),MATCH(AD$1,[4]characters!$1:$1,0)-MATCH("character_id",[4]characters!$1:$1,0)+1),MATCH(AD$1,[4]characters!$1:$1,0)-MATCH("character_id",[4]characters!$1:$1,0)+1,FALSE),"")</f>
        <v>2</v>
      </c>
      <c r="AE8" s="5" t="str">
        <f ca="1">IFERROR(VLOOKUP($AB8,OFFSET([4]characters!$A$1,0,0,COUNTA([4]characters!$A:$A),MATCH(AE$1,[4]characters!$1:$1,0)-MATCH("character_id",[4]characters!$1:$1,0)+1),MATCH(AE$1,[4]characters!$1:$1,0)-MATCH("character_id",[4]characters!$1:$1,0)+1,FALSE),"")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" s="8">
        <v>1</v>
      </c>
      <c r="AG8" s="27">
        <f t="shared" ca="1" si="3"/>
        <v>2</v>
      </c>
      <c r="AH8" s="9">
        <v>100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  <c r="AN8" s="8">
        <v>1</v>
      </c>
    </row>
    <row r="9" spans="1:40" ht="21" customHeight="1" x14ac:dyDescent="0.15">
      <c r="A9" s="17" t="str">
        <f t="shared" ca="1" si="0"/>
        <v>11007_1-5/102&lt;lv5&gt;s2</v>
      </c>
      <c r="B9" s="8">
        <v>11007</v>
      </c>
      <c r="C9" s="25">
        <v>1</v>
      </c>
      <c r="D9" s="2" t="str">
        <f t="shared" si="1"/>
        <v>11007_1</v>
      </c>
      <c r="E9" s="5" t="str">
        <f ca="1">VLOOKUP($B9,OFFSET([2]quests!$A$1,0,0,COUNTA([2]quests!$A:$A),MATCH(E$1,[2]quests!$1:$1,0)-MATCH($B$1,[2]quests!$1:$1,0)+1),MATCH(E$1,[2]quests!$1:$1,0)-MATCH($B$1,[2]quests!$1:$1,0)+1,FALSE)</f>
        <v>【土曜限定】 赤と緑の素材</v>
      </c>
      <c r="F9" s="5" t="str">
        <f ca="1">VLOOKUP($D9,OFFSET([2]stages!$A$1,0,0,COUNTA([2]stages!$A:$A),MATCH(F$1,[2]stages!$2:$2,0)-MATCH($D$1,[2]stages!$2:$2,0)+1),MATCH(F$1,[2]stages!$2:$2,0)-MATCH($D$1,[2]stages!$2:$2,0)+1,FALSE)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9" s="25">
        <v>5</v>
      </c>
      <c r="H9" s="16" t="str">
        <f t="shared" si="2"/>
        <v>11007_1-5</v>
      </c>
      <c r="I9" s="5">
        <f ca="1">VLOOKUP($H9,OFFSET(floors!$A$1,0,0,COUNTA(floors!$A:$A),MATCH(I$1,floors!$1:$1,0)-MATCH($H$1,floors!$1:$1,0)+1),MATCH(I$1,floors!$1:$1,0)-MATCH($H$1,floors!$1:$1,0)+1,FALSE)</f>
        <v>45</v>
      </c>
      <c r="J9" s="5">
        <f ca="1">VLOOKUP($H9,OFFSET(floors!$A$1,0,0,COUNTA(floors!$A:$A),MATCH(J$1,floors!$1:$1,0)-MATCH($H$1,floors!$1:$1,0)+1),MATCH(J$1,floors!$1:$1,0)-MATCH($H$1,floors!$1:$1,0)+1,FALSE)</f>
        <v>45</v>
      </c>
      <c r="K9" s="24" t="s">
        <v>197</v>
      </c>
      <c r="L9" s="24">
        <v>102</v>
      </c>
      <c r="M9" s="20" t="str">
        <f ca="1">VLOOKUP($L9,OFFSET([3]enemies!$A$1,0,0,COUNTA([3]enemies!$A:$A),MATCH(M$1,[3]enemies!$1:$1,0)-MATCH($L$1,[3]enemies!$1:$1,0)+1),MATCH(M$1,[3]enemies!$1:$1,0)-MATCH($L$1,[3]enemies!$1:$1,0)+1,FALSE)</f>
        <v>レッドラビット</v>
      </c>
      <c r="N9" s="20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22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20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20">
        <f ca="1">VLOOKUP($L9,OFFSET([3]enemies!$A$1,0,0,COUNTA([3]enemies!$A:$A),MATCH(Q$1,[3]enemies!$1:$1,0)-MATCH($L$1,[3]enemies!$1:$1,0)+1),MATCH(Q$1,[3]enemies!$1:$1,0)-MATCH($L$1,[3]enemies!$1:$1,0)+1,FALSE)</f>
        <v>15</v>
      </c>
      <c r="R9" s="6">
        <v>5</v>
      </c>
      <c r="S9" s="40">
        <v>1.8</v>
      </c>
      <c r="T9" s="39">
        <v>1</v>
      </c>
      <c r="U9" s="6">
        <v>0</v>
      </c>
      <c r="V9" s="5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5">
        <f ca="1">VLOOKUP($L9,OFFSET([3]enemies!$A$1,0,0,COUNTA([3]enemies!$A:$A),MATCH(W$1,[3]enemies!$1:$1,0)-MATCH($L$1,[3]enemies!$1:$1,0)+1),MATCH(W$1,[3]enemies!$1:$1,0)-MATCH($L$1,[3]enemies!$1:$1,0)+1,FALSE)</f>
        <v>0</v>
      </c>
      <c r="X9" s="7">
        <v>0</v>
      </c>
      <c r="Y9" s="7">
        <v>50</v>
      </c>
      <c r="Z9" s="7">
        <v>1</v>
      </c>
      <c r="AA9" s="20">
        <f ca="1">VLOOKUP($L9,OFFSET([3]enemies!$A$1,0,0,COUNTA([3]enemies!$A:$A),MATCH(AA$1,[3]enemies!$1:$1,0)-MATCH($L$1,[3]enemies!$1:$1,0)+1),MATCH(AA$1,[3]enemies!$1:$1,0)-MATCH($L$1,[3]enemies!$1:$1,0)+1,FALSE)</f>
        <v>2</v>
      </c>
      <c r="AB9" s="24">
        <v>102</v>
      </c>
      <c r="AC9" s="5" t="str">
        <f ca="1">IFERROR(VLOOKUP($AB9,OFFSET([4]characters!$A$1,0,0,COUNTA([4]characters!$A:$A),MATCH(AC$1,[4]characters!$1:$1,0)-MATCH("character_id",[4]characters!$1:$1,0)+1),MATCH(AC$1,[4]characters!$1:$1,0)-MATCH("character_id",[4]characters!$1:$1,0)+1,FALSE),"")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9" s="5">
        <f ca="1">IFERROR(VLOOKUP($AB9,OFFSET([4]characters!$A$1,0,0,COUNTA([4]characters!$A:$A),MATCH(AD$1,[4]characters!$1:$1,0)-MATCH("character_id",[4]characters!$1:$1,0)+1),MATCH(AD$1,[4]characters!$1:$1,0)-MATCH("character_id",[4]characters!$1:$1,0)+1,FALSE),"")</f>
        <v>3</v>
      </c>
      <c r="AE9" s="5" t="str">
        <f ca="1">IFERROR(VLOOKUP($AB9,OFFSET([4]characters!$A$1,0,0,COUNTA([4]characters!$A:$A),MATCH(AE$1,[4]characters!$1:$1,0)-MATCH("character_id",[4]characters!$1:$1,0)+1),MATCH(AE$1,[4]characters!$1:$1,0)-MATCH("character_id",[4]characters!$1:$1,0)+1,FALSE),"")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" s="8">
        <v>1</v>
      </c>
      <c r="AG9" s="27">
        <f t="shared" ca="1" si="3"/>
        <v>3</v>
      </c>
      <c r="AH9" s="9">
        <v>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  <c r="AN9" s="8">
        <v>1</v>
      </c>
    </row>
    <row r="10" spans="1:40" ht="21" customHeight="1" x14ac:dyDescent="0.15">
      <c r="A10" s="17" t="str">
        <f t="shared" ca="1" si="0"/>
        <v>11007_1-1/105&lt;lv3&gt;s1</v>
      </c>
      <c r="B10" s="8">
        <v>11007</v>
      </c>
      <c r="C10" s="25">
        <v>1</v>
      </c>
      <c r="D10" s="2" t="str">
        <f t="shared" si="1"/>
        <v>11007_1</v>
      </c>
      <c r="E10" s="5" t="str">
        <f ca="1">VLOOKUP($B10,OFFSET([2]quests!$A$1,0,0,COUNTA([2]quests!$A:$A),MATCH(E$1,[2]quests!$1:$1,0)-MATCH($B$1,[2]quests!$1:$1,0)+1),MATCH(E$1,[2]quests!$1:$1,0)-MATCH($B$1,[2]quests!$1:$1,0)+1,FALSE)</f>
        <v>【土曜限定】 赤と緑の素材</v>
      </c>
      <c r="F10" s="5" t="str">
        <f ca="1">VLOOKUP($D10,OFFSET([2]stages!$A$1,0,0,COUNTA([2]stages!$A:$A),MATCH(F$1,[2]stages!$2:$2,0)-MATCH($D$1,[2]stages!$2:$2,0)+1),MATCH(F$1,[2]stages!$2:$2,0)-MATCH($D$1,[2]stages!$2:$2,0)+1,FALSE)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0" s="25">
        <v>1</v>
      </c>
      <c r="H10" s="16" t="str">
        <f t="shared" si="2"/>
        <v>11007_1-1</v>
      </c>
      <c r="I10" s="5">
        <f ca="1">VLOOKUP($H10,OFFSET(floors!$A$1,0,0,COUNTA(floors!$A:$A),MATCH(I$1,floors!$1:$1,0)-MATCH($H$1,floors!$1:$1,0)+1),MATCH(I$1,floors!$1:$1,0)-MATCH($H$1,floors!$1:$1,0)+1,FALSE)</f>
        <v>30</v>
      </c>
      <c r="J10" s="5">
        <f ca="1">VLOOKUP($H10,OFFSET(floors!$A$1,0,0,COUNTA(floors!$A:$A),MATCH(J$1,floors!$1:$1,0)-MATCH($H$1,floors!$1:$1,0)+1),MATCH(J$1,floors!$1:$1,0)-MATCH($H$1,floors!$1:$1,0)+1,FALSE)</f>
        <v>45</v>
      </c>
      <c r="K10" s="24" t="s">
        <v>197</v>
      </c>
      <c r="L10" s="24">
        <v>105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グリーンチェシャ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22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15</v>
      </c>
      <c r="R10" s="6">
        <v>3</v>
      </c>
      <c r="S10" s="39">
        <v>1</v>
      </c>
      <c r="T10" s="39">
        <v>1</v>
      </c>
      <c r="U10" s="6">
        <v>0</v>
      </c>
      <c r="V10" s="5" t="str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" s="5">
        <f ca="1">VLOOKUP($L10,OFFSET([3]enemies!$A$1,0,0,COUNTA([3]enemies!$A:$A),MATCH(W$1,[3]enemies!$1:$1,0)-MATCH($L$1,[3]enemies!$1:$1,0)+1),MATCH(W$1,[3]enemies!$1:$1,0)-MATCH($L$1,[3]enemies!$1:$1,0)+1,FALSE)</f>
        <v>0</v>
      </c>
      <c r="X10" s="7">
        <v>0</v>
      </c>
      <c r="Y10" s="7">
        <v>100</v>
      </c>
      <c r="Z10" s="7">
        <v>0</v>
      </c>
      <c r="AA10" s="20">
        <f ca="1">VLOOKUP($L10,OFFSET([3]enemies!$A$1,0,0,COUNTA([3]enemies!$A:$A),MATCH(AA$1,[3]enemies!$1:$1,0)-MATCH($L$1,[3]enemies!$1:$1,0)+1),MATCH(AA$1,[3]enemies!$1:$1,0)-MATCH($L$1,[3]enemies!$1:$1,0)+1,FALSE)</f>
        <v>1</v>
      </c>
      <c r="AB10" s="24">
        <v>105</v>
      </c>
      <c r="AC10" s="5" t="str">
        <f ca="1">IFERROR(VLOOKUP($AB10,OFFSET([4]characters!$A$1,0,0,COUNTA([4]characters!$A:$A),MATCH(AC$1,[4]characters!$1:$1,0)-MATCH("character_id",[4]characters!$1:$1,0)+1),MATCH(AC$1,[4]characters!$1:$1,0)-MATCH("character_id",[4]characters!$1:$1,0)+1,FALSE),"")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0" s="5">
        <f ca="1">IFERROR(VLOOKUP($AB10,OFFSET([4]characters!$A$1,0,0,COUNTA([4]characters!$A:$A),MATCH(AD$1,[4]characters!$1:$1,0)-MATCH("character_id",[4]characters!$1:$1,0)+1),MATCH(AD$1,[4]characters!$1:$1,0)-MATCH("character_id",[4]characters!$1:$1,0)+1,FALSE),"")</f>
        <v>2</v>
      </c>
      <c r="AE10" s="5" t="str">
        <f ca="1">IFERROR(VLOOKUP($AB10,OFFSET([4]characters!$A$1,0,0,COUNTA([4]characters!$A:$A),MATCH(AE$1,[4]characters!$1:$1,0)-MATCH("character_id",[4]characters!$1:$1,0)+1),MATCH(AE$1,[4]characters!$1:$1,0)-MATCH("character_id",[4]characters!$1:$1,0)+1,FALSE),"")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" s="8">
        <v>1</v>
      </c>
      <c r="AG10" s="27">
        <f t="shared" ca="1" si="3"/>
        <v>2</v>
      </c>
      <c r="AH10" s="9">
        <v>40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  <c r="AN10" s="8">
        <v>1</v>
      </c>
    </row>
    <row r="11" spans="1:40" ht="21" customHeight="1" x14ac:dyDescent="0.15">
      <c r="A11" s="17" t="str">
        <f t="shared" ca="1" si="0"/>
        <v>11007_1-2/105&lt;lv3&gt;s1</v>
      </c>
      <c r="B11" s="8">
        <v>11007</v>
      </c>
      <c r="C11" s="25">
        <v>1</v>
      </c>
      <c r="D11" s="2" t="str">
        <f t="shared" si="1"/>
        <v>11007_1</v>
      </c>
      <c r="E11" s="5" t="str">
        <f ca="1">VLOOKUP($B11,OFFSET([2]quests!$A$1,0,0,COUNTA([2]quests!$A:$A),MATCH(E$1,[2]quests!$1:$1,0)-MATCH($B$1,[2]quests!$1:$1,0)+1),MATCH(E$1,[2]quests!$1:$1,0)-MATCH($B$1,[2]quests!$1:$1,0)+1,FALSE)</f>
        <v>【土曜限定】 赤と緑の素材</v>
      </c>
      <c r="F11" s="5" t="str">
        <f ca="1">VLOOKUP($D11,OFFSET([2]stages!$A$1,0,0,COUNTA([2]stages!$A:$A),MATCH(F$1,[2]stages!$2:$2,0)-MATCH($D$1,[2]stages!$2:$2,0)+1),MATCH(F$1,[2]stages!$2:$2,0)-MATCH($D$1,[2]stages!$2:$2,0)+1,FALSE)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1" s="25">
        <v>2</v>
      </c>
      <c r="H11" s="16" t="str">
        <f t="shared" si="2"/>
        <v>11007_1-2</v>
      </c>
      <c r="I11" s="5">
        <f ca="1">VLOOKUP($H11,OFFSET(floors!$A$1,0,0,COUNTA(floors!$A:$A),MATCH(I$1,floors!$1:$1,0)-MATCH($H$1,floors!$1:$1,0)+1),MATCH(I$1,floors!$1:$1,0)-MATCH($H$1,floors!$1:$1,0)+1,FALSE)</f>
        <v>30</v>
      </c>
      <c r="J11" s="5">
        <f ca="1">VLOOKUP($H11,OFFSET(floors!$A$1,0,0,COUNTA(floors!$A:$A),MATCH(J$1,floors!$1:$1,0)-MATCH($H$1,floors!$1:$1,0)+1),MATCH(J$1,floors!$1:$1,0)-MATCH($H$1,floors!$1:$1,0)+1,FALSE)</f>
        <v>45</v>
      </c>
      <c r="K11" s="24" t="s">
        <v>197</v>
      </c>
      <c r="L11" s="24">
        <v>105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グリーンチェシャ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22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15</v>
      </c>
      <c r="R11" s="6">
        <v>3</v>
      </c>
      <c r="S11" s="39">
        <v>1</v>
      </c>
      <c r="T11" s="39">
        <v>1</v>
      </c>
      <c r="U11" s="6">
        <v>0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100</v>
      </c>
      <c r="Z11" s="7">
        <v>0</v>
      </c>
      <c r="AA11" s="20">
        <f ca="1">VLOOKUP($L11,OFFSET([3]enemies!$A$1,0,0,COUNTA([3]enemies!$A:$A),MATCH(AA$1,[3]enemies!$1:$1,0)-MATCH($L$1,[3]enemies!$1:$1,0)+1),MATCH(AA$1,[3]enemies!$1:$1,0)-MATCH($L$1,[3]enemies!$1:$1,0)+1,FALSE)</f>
        <v>1</v>
      </c>
      <c r="AB11" s="24">
        <v>105</v>
      </c>
      <c r="AC11" s="5" t="str">
        <f ca="1">IFERROR(VLOOKUP($AB11,OFFSET([4]characters!$A$1,0,0,COUNTA([4]characters!$A:$A),MATCH(AC$1,[4]characters!$1:$1,0)-MATCH("character_id",[4]characters!$1:$1,0)+1),MATCH(AC$1,[4]characters!$1:$1,0)-MATCH("character_id",[4]characters!$1:$1,0)+1,FALSE),"")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1" s="5">
        <f ca="1">IFERROR(VLOOKUP($AB11,OFFSET([4]characters!$A$1,0,0,COUNTA([4]characters!$A:$A),MATCH(AD$1,[4]characters!$1:$1,0)-MATCH("character_id",[4]characters!$1:$1,0)+1),MATCH(AD$1,[4]characters!$1:$1,0)-MATCH("character_id",[4]characters!$1:$1,0)+1,FALSE),"")</f>
        <v>2</v>
      </c>
      <c r="AE11" s="5" t="str">
        <f ca="1">IFERROR(VLOOKUP($AB11,OFFSET([4]characters!$A$1,0,0,COUNTA([4]characters!$A:$A),MATCH(AE$1,[4]characters!$1:$1,0)-MATCH("character_id",[4]characters!$1:$1,0)+1),MATCH(AE$1,[4]characters!$1:$1,0)-MATCH("character_id",[4]characters!$1:$1,0)+1,FALSE),"")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" s="8">
        <v>1</v>
      </c>
      <c r="AG11" s="27">
        <f t="shared" ca="1" si="3"/>
        <v>2</v>
      </c>
      <c r="AH11" s="9">
        <v>40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  <c r="AN11" s="8">
        <v>1</v>
      </c>
    </row>
    <row r="12" spans="1:40" ht="21" customHeight="1" x14ac:dyDescent="0.15">
      <c r="A12" s="17" t="str">
        <f t="shared" ca="1" si="0"/>
        <v>11007_1-3/105&lt;lv3&gt;s1</v>
      </c>
      <c r="B12" s="8">
        <v>11007</v>
      </c>
      <c r="C12" s="25">
        <v>1</v>
      </c>
      <c r="D12" s="2" t="str">
        <f t="shared" si="1"/>
        <v>11007_1</v>
      </c>
      <c r="E12" s="5" t="str">
        <f ca="1">VLOOKUP($B12,OFFSET([2]quests!$A$1,0,0,COUNTA([2]quests!$A:$A),MATCH(E$1,[2]quests!$1:$1,0)-MATCH($B$1,[2]quests!$1:$1,0)+1),MATCH(E$1,[2]quests!$1:$1,0)-MATCH($B$1,[2]quests!$1:$1,0)+1,FALSE)</f>
        <v>【土曜限定】 赤と緑の素材</v>
      </c>
      <c r="F12" s="5" t="str">
        <f ca="1">VLOOKUP($D12,OFFSET([2]stages!$A$1,0,0,COUNTA([2]stages!$A:$A),MATCH(F$1,[2]stages!$2:$2,0)-MATCH($D$1,[2]stages!$2:$2,0)+1),MATCH(F$1,[2]stages!$2:$2,0)-MATCH($D$1,[2]stages!$2:$2,0)+1,FALSE)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2" s="25">
        <v>3</v>
      </c>
      <c r="H12" s="16" t="str">
        <f t="shared" si="2"/>
        <v>11007_1-3</v>
      </c>
      <c r="I12" s="5">
        <f ca="1">VLOOKUP($H12,OFFSET(floors!$A$1,0,0,COUNTA(floors!$A:$A),MATCH(I$1,floors!$1:$1,0)-MATCH($H$1,floors!$1:$1,0)+1),MATCH(I$1,floors!$1:$1,0)-MATCH($H$1,floors!$1:$1,0)+1,FALSE)</f>
        <v>45</v>
      </c>
      <c r="J12" s="5">
        <f ca="1">VLOOKUP($H12,OFFSET(floors!$A$1,0,0,COUNTA(floors!$A:$A),MATCH(J$1,floors!$1:$1,0)-MATCH($H$1,floors!$1:$1,0)+1),MATCH(J$1,floors!$1:$1,0)-MATCH($H$1,floors!$1:$1,0)+1,FALSE)</f>
        <v>45</v>
      </c>
      <c r="K12" s="24" t="s">
        <v>197</v>
      </c>
      <c r="L12" s="24">
        <v>105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グリーンチェシャ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22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15</v>
      </c>
      <c r="R12" s="6">
        <v>3</v>
      </c>
      <c r="S12" s="39">
        <v>1</v>
      </c>
      <c r="T12" s="39">
        <v>1</v>
      </c>
      <c r="U12" s="6">
        <v>0</v>
      </c>
      <c r="V12" s="5" t="str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" s="5">
        <f ca="1">VLOOKUP($L12,OFFSET([3]enemies!$A$1,0,0,COUNTA([3]enemies!$A:$A),MATCH(W$1,[3]enemies!$1:$1,0)-MATCH($L$1,[3]enemies!$1:$1,0)+1),MATCH(W$1,[3]enemies!$1:$1,0)-MATCH($L$1,[3]enemies!$1:$1,0)+1,FALSE)</f>
        <v>0</v>
      </c>
      <c r="X12" s="7">
        <v>0</v>
      </c>
      <c r="Y12" s="7">
        <v>100</v>
      </c>
      <c r="Z12" s="7">
        <v>0</v>
      </c>
      <c r="AA12" s="20">
        <f ca="1">VLOOKUP($L12,OFFSET([3]enemies!$A$1,0,0,COUNTA([3]enemies!$A:$A),MATCH(AA$1,[3]enemies!$1:$1,0)-MATCH($L$1,[3]enemies!$1:$1,0)+1),MATCH(AA$1,[3]enemies!$1:$1,0)-MATCH($L$1,[3]enemies!$1:$1,0)+1,FALSE)</f>
        <v>1</v>
      </c>
      <c r="AB12" s="24">
        <v>105</v>
      </c>
      <c r="AC12" s="5" t="str">
        <f ca="1">IFERROR(VLOOKUP($AB12,OFFSET([4]characters!$A$1,0,0,COUNTA([4]characters!$A:$A),MATCH(AC$1,[4]characters!$1:$1,0)-MATCH("character_id",[4]characters!$1:$1,0)+1),MATCH(AC$1,[4]characters!$1:$1,0)-MATCH("character_id",[4]characters!$1:$1,0)+1,FALSE),"")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2" s="5">
        <f ca="1">IFERROR(VLOOKUP($AB12,OFFSET([4]characters!$A$1,0,0,COUNTA([4]characters!$A:$A),MATCH(AD$1,[4]characters!$1:$1,0)-MATCH("character_id",[4]characters!$1:$1,0)+1),MATCH(AD$1,[4]characters!$1:$1,0)-MATCH("character_id",[4]characters!$1:$1,0)+1,FALSE),"")</f>
        <v>2</v>
      </c>
      <c r="AE12" s="5" t="str">
        <f ca="1">IFERROR(VLOOKUP($AB12,OFFSET([4]characters!$A$1,0,0,COUNTA([4]characters!$A:$A),MATCH(AE$1,[4]characters!$1:$1,0)-MATCH("character_id",[4]characters!$1:$1,0)+1),MATCH(AE$1,[4]characters!$1:$1,0)-MATCH("character_id",[4]characters!$1:$1,0)+1,FALSE),"")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" s="8">
        <v>1</v>
      </c>
      <c r="AG12" s="27">
        <f t="shared" ca="1" si="3"/>
        <v>2</v>
      </c>
      <c r="AH12" s="9">
        <v>40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  <c r="AN12" s="8">
        <v>1</v>
      </c>
    </row>
    <row r="13" spans="1:40" ht="21" customHeight="1" x14ac:dyDescent="0.15">
      <c r="A13" s="17" t="str">
        <f t="shared" ca="1" si="0"/>
        <v>11007_1-3/106&lt;lv3&gt;s2</v>
      </c>
      <c r="B13" s="8">
        <v>11007</v>
      </c>
      <c r="C13" s="25">
        <v>1</v>
      </c>
      <c r="D13" s="2" t="str">
        <f t="shared" si="1"/>
        <v>11007_1</v>
      </c>
      <c r="E13" s="5" t="str">
        <f ca="1">VLOOKUP($B13,OFFSET([2]quests!$A$1,0,0,COUNTA([2]quests!$A:$A),MATCH(E$1,[2]quests!$1:$1,0)-MATCH($B$1,[2]quests!$1:$1,0)+1),MATCH(E$1,[2]quests!$1:$1,0)-MATCH($B$1,[2]quests!$1:$1,0)+1,FALSE)</f>
        <v>【土曜限定】 赤と緑の素材</v>
      </c>
      <c r="F13" s="5" t="str">
        <f ca="1">VLOOKUP($D13,OFFSET([2]stages!$A$1,0,0,COUNTA([2]stages!$A:$A),MATCH(F$1,[2]stages!$2:$2,0)-MATCH($D$1,[2]stages!$2:$2,0)+1),MATCH(F$1,[2]stages!$2:$2,0)-MATCH($D$1,[2]stages!$2:$2,0)+1,FALSE)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3" s="25">
        <v>3</v>
      </c>
      <c r="H13" s="16" t="str">
        <f t="shared" si="2"/>
        <v>11007_1-3</v>
      </c>
      <c r="I13" s="5">
        <f ca="1">VLOOKUP($H13,OFFSET(floors!$A$1,0,0,COUNTA(floors!$A:$A),MATCH(I$1,floors!$1:$1,0)-MATCH($H$1,floors!$1:$1,0)+1),MATCH(I$1,floors!$1:$1,0)-MATCH($H$1,floors!$1:$1,0)+1,FALSE)</f>
        <v>45</v>
      </c>
      <c r="J13" s="5">
        <f ca="1">VLOOKUP($H13,OFFSET(floors!$A$1,0,0,COUNTA(floors!$A:$A),MATCH(J$1,floors!$1:$1,0)-MATCH($H$1,floors!$1:$1,0)+1),MATCH(J$1,floors!$1:$1,0)-MATCH($H$1,floors!$1:$1,0)+1,FALSE)</f>
        <v>45</v>
      </c>
      <c r="K13" s="24" t="s">
        <v>197</v>
      </c>
      <c r="L13" s="24">
        <v>106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グリーンラビット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22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20">
        <f ca="1">VLOOKUP($L13,OFFSET([3]enemies!$A$1,0,0,COUNTA([3]enemies!$A:$A),MATCH(Q$1,[3]enemies!$1:$1,0)-MATCH($L$1,[3]enemies!$1:$1,0)+1),MATCH(Q$1,[3]enemies!$1:$1,0)-MATCH($L$1,[3]enemies!$1:$1,0)+1,FALSE)</f>
        <v>15</v>
      </c>
      <c r="R13" s="6">
        <v>3</v>
      </c>
      <c r="S13" s="40">
        <v>1.8</v>
      </c>
      <c r="T13" s="39">
        <v>1</v>
      </c>
      <c r="U13" s="6">
        <v>0</v>
      </c>
      <c r="V13" s="5" t="str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3" s="5">
        <f ca="1">VLOOKUP($L13,OFFSET([3]enemies!$A$1,0,0,COUNTA([3]enemies!$A:$A),MATCH(W$1,[3]enemies!$1:$1,0)-MATCH($L$1,[3]enemies!$1:$1,0)+1),MATCH(W$1,[3]enemies!$1:$1,0)-MATCH($L$1,[3]enemies!$1:$1,0)+1,FALSE)</f>
        <v>0</v>
      </c>
      <c r="X13" s="7">
        <v>0</v>
      </c>
      <c r="Y13" s="7">
        <v>40</v>
      </c>
      <c r="Z13" s="7">
        <v>0</v>
      </c>
      <c r="AA13" s="20">
        <f ca="1">VLOOKUP($L13,OFFSET([3]enemies!$A$1,0,0,COUNTA([3]enemies!$A:$A),MATCH(AA$1,[3]enemies!$1:$1,0)-MATCH($L$1,[3]enemies!$1:$1,0)+1),MATCH(AA$1,[3]enemies!$1:$1,0)-MATCH($L$1,[3]enemies!$1:$1,0)+1,FALSE)</f>
        <v>2</v>
      </c>
      <c r="AB13" s="24">
        <v>106</v>
      </c>
      <c r="AC13" s="5" t="str">
        <f ca="1">IFERROR(VLOOKUP($AB13,OFFSET([4]characters!$A$1,0,0,COUNTA([4]characters!$A:$A),MATCH(AC$1,[4]characters!$1:$1,0)-MATCH("character_id",[4]characters!$1:$1,0)+1),MATCH(AC$1,[4]characters!$1:$1,0)-MATCH("character_id",[4]characters!$1:$1,0)+1,FALSE),"")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3" s="5">
        <f ca="1">IFERROR(VLOOKUP($AB13,OFFSET([4]characters!$A$1,0,0,COUNTA([4]characters!$A:$A),MATCH(AD$1,[4]characters!$1:$1,0)-MATCH("character_id",[4]characters!$1:$1,0)+1),MATCH(AD$1,[4]characters!$1:$1,0)-MATCH("character_id",[4]characters!$1:$1,0)+1,FALSE),"")</f>
        <v>3</v>
      </c>
      <c r="AE13" s="5" t="str">
        <f ca="1">IFERROR(VLOOKUP($AB13,OFFSET([4]characters!$A$1,0,0,COUNTA([4]characters!$A:$A),MATCH(AE$1,[4]characters!$1:$1,0)-MATCH("character_id",[4]characters!$1:$1,0)+1),MATCH(AE$1,[4]characters!$1:$1,0)-MATCH("character_id",[4]characters!$1:$1,0)+1,FALSE),"")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3" s="8">
        <v>1</v>
      </c>
      <c r="AG13" s="27">
        <f t="shared" ca="1" si="3"/>
        <v>3</v>
      </c>
      <c r="AH13" s="9">
        <v>10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  <c r="AN13" s="8">
        <v>1</v>
      </c>
    </row>
    <row r="14" spans="1:40" ht="21" customHeight="1" x14ac:dyDescent="0.15">
      <c r="A14" s="17" t="str">
        <f t="shared" ca="1" si="0"/>
        <v>11007_1-4/105&lt;lv3&gt;s1</v>
      </c>
      <c r="B14" s="8">
        <v>11007</v>
      </c>
      <c r="C14" s="25">
        <v>1</v>
      </c>
      <c r="D14" s="2" t="str">
        <f t="shared" si="1"/>
        <v>11007_1</v>
      </c>
      <c r="E14" s="5" t="str">
        <f ca="1">VLOOKUP($B14,OFFSET([2]quests!$A$1,0,0,COUNTA([2]quests!$A:$A),MATCH(E$1,[2]quests!$1:$1,0)-MATCH($B$1,[2]quests!$1:$1,0)+1),MATCH(E$1,[2]quests!$1:$1,0)-MATCH($B$1,[2]quests!$1:$1,0)+1,FALSE)</f>
        <v>【土曜限定】 赤と緑の素材</v>
      </c>
      <c r="F14" s="5" t="str">
        <f ca="1">VLOOKUP($D14,OFFSET([2]stages!$A$1,0,0,COUNTA([2]stages!$A:$A),MATCH(F$1,[2]stages!$2:$2,0)-MATCH($D$1,[2]stages!$2:$2,0)+1),MATCH(F$1,[2]stages!$2:$2,0)-MATCH($D$1,[2]stages!$2:$2,0)+1,FALSE)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4" s="25">
        <v>4</v>
      </c>
      <c r="H14" s="16" t="str">
        <f t="shared" si="2"/>
        <v>11007_1-4</v>
      </c>
      <c r="I14" s="5">
        <f ca="1">VLOOKUP($H14,OFFSET(floors!$A$1,0,0,COUNTA(floors!$A:$A),MATCH(I$1,floors!$1:$1,0)-MATCH($H$1,floors!$1:$1,0)+1),MATCH(I$1,floors!$1:$1,0)-MATCH($H$1,floors!$1:$1,0)+1,FALSE)</f>
        <v>45</v>
      </c>
      <c r="J14" s="5">
        <f ca="1">VLOOKUP($H14,OFFSET(floors!$A$1,0,0,COUNTA(floors!$A:$A),MATCH(J$1,floors!$1:$1,0)-MATCH($H$1,floors!$1:$1,0)+1),MATCH(J$1,floors!$1:$1,0)-MATCH($H$1,floors!$1:$1,0)+1,FALSE)</f>
        <v>60</v>
      </c>
      <c r="K14" s="24" t="s">
        <v>197</v>
      </c>
      <c r="L14" s="24">
        <v>105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グリーンチェシャ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22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20">
        <f ca="1">VLOOKUP($L14,OFFSET([3]enemies!$A$1,0,0,COUNTA([3]enemies!$A:$A),MATCH(Q$1,[3]enemies!$1:$1,0)-MATCH($L$1,[3]enemies!$1:$1,0)+1),MATCH(Q$1,[3]enemies!$1:$1,0)-MATCH($L$1,[3]enemies!$1:$1,0)+1,FALSE)</f>
        <v>15</v>
      </c>
      <c r="R14" s="6">
        <v>3</v>
      </c>
      <c r="S14" s="39">
        <v>1</v>
      </c>
      <c r="T14" s="39">
        <v>1</v>
      </c>
      <c r="U14" s="6">
        <v>0</v>
      </c>
      <c r="V14" s="5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5">
        <f ca="1">VLOOKUP($L14,OFFSET([3]enemies!$A$1,0,0,COUNTA([3]enemies!$A:$A),MATCH(W$1,[3]enemies!$1:$1,0)-MATCH($L$1,[3]enemies!$1:$1,0)+1),MATCH(W$1,[3]enemies!$1:$1,0)-MATCH($L$1,[3]enemies!$1:$1,0)+1,FALSE)</f>
        <v>0</v>
      </c>
      <c r="X14" s="7">
        <v>0</v>
      </c>
      <c r="Y14" s="7">
        <v>100</v>
      </c>
      <c r="Z14" s="7">
        <v>0</v>
      </c>
      <c r="AA14" s="20">
        <f ca="1">VLOOKUP($L14,OFFSET([3]enemies!$A$1,0,0,COUNTA([3]enemies!$A:$A),MATCH(AA$1,[3]enemies!$1:$1,0)-MATCH($L$1,[3]enemies!$1:$1,0)+1),MATCH(AA$1,[3]enemies!$1:$1,0)-MATCH($L$1,[3]enemies!$1:$1,0)+1,FALSE)</f>
        <v>1</v>
      </c>
      <c r="AB14" s="24">
        <v>105</v>
      </c>
      <c r="AC14" s="5" t="str">
        <f ca="1">IFERROR(VLOOKUP($AB14,OFFSET([4]characters!$A$1,0,0,COUNTA([4]characters!$A:$A),MATCH(AC$1,[4]characters!$1:$1,0)-MATCH("character_id",[4]characters!$1:$1,0)+1),MATCH(AC$1,[4]characters!$1:$1,0)-MATCH("character_id",[4]characters!$1:$1,0)+1,FALSE),"")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4" s="5">
        <f ca="1">IFERROR(VLOOKUP($AB14,OFFSET([4]characters!$A$1,0,0,COUNTA([4]characters!$A:$A),MATCH(AD$1,[4]characters!$1:$1,0)-MATCH("character_id",[4]characters!$1:$1,0)+1),MATCH(AD$1,[4]characters!$1:$1,0)-MATCH("character_id",[4]characters!$1:$1,0)+1,FALSE),"")</f>
        <v>2</v>
      </c>
      <c r="AE14" s="5" t="str">
        <f ca="1">IFERROR(VLOOKUP($AB14,OFFSET([4]characters!$A$1,0,0,COUNTA([4]characters!$A:$A),MATCH(AE$1,[4]characters!$1:$1,0)-MATCH("character_id",[4]characters!$1:$1,0)+1),MATCH(AE$1,[4]characters!$1:$1,0)-MATCH("character_id",[4]characters!$1:$1,0)+1,FALSE),"")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4" s="8">
        <v>1</v>
      </c>
      <c r="AG14" s="27">
        <f t="shared" ca="1" si="3"/>
        <v>2</v>
      </c>
      <c r="AH14" s="9">
        <v>40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  <c r="AN14" s="8">
        <v>1</v>
      </c>
    </row>
    <row r="15" spans="1:40" ht="21" customHeight="1" x14ac:dyDescent="0.15">
      <c r="A15" s="17" t="str">
        <f t="shared" ca="1" si="0"/>
        <v>11007_1-4/106&lt;lv3&gt;s2</v>
      </c>
      <c r="B15" s="8">
        <v>11007</v>
      </c>
      <c r="C15" s="25">
        <v>1</v>
      </c>
      <c r="D15" s="2" t="str">
        <f t="shared" si="1"/>
        <v>11007_1</v>
      </c>
      <c r="E15" s="5" t="str">
        <f ca="1">VLOOKUP($B15,OFFSET([2]quests!$A$1,0,0,COUNTA([2]quests!$A:$A),MATCH(E$1,[2]quests!$1:$1,0)-MATCH($B$1,[2]quests!$1:$1,0)+1),MATCH(E$1,[2]quests!$1:$1,0)-MATCH($B$1,[2]quests!$1:$1,0)+1,FALSE)</f>
        <v>【土曜限定】 赤と緑の素材</v>
      </c>
      <c r="F15" s="5" t="str">
        <f ca="1">VLOOKUP($D15,OFFSET([2]stages!$A$1,0,0,COUNTA([2]stages!$A:$A),MATCH(F$1,[2]stages!$2:$2,0)-MATCH($D$1,[2]stages!$2:$2,0)+1),MATCH(F$1,[2]stages!$2:$2,0)-MATCH($D$1,[2]stages!$2:$2,0)+1,FALSE)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5" s="25">
        <v>4</v>
      </c>
      <c r="H15" s="16" t="str">
        <f t="shared" si="2"/>
        <v>11007_1-4</v>
      </c>
      <c r="I15" s="5">
        <f ca="1">VLOOKUP($H15,OFFSET(floors!$A$1,0,0,COUNTA(floors!$A:$A),MATCH(I$1,floors!$1:$1,0)-MATCH($H$1,floors!$1:$1,0)+1),MATCH(I$1,floors!$1:$1,0)-MATCH($H$1,floors!$1:$1,0)+1,FALSE)</f>
        <v>45</v>
      </c>
      <c r="J15" s="5">
        <f ca="1">VLOOKUP($H15,OFFSET(floors!$A$1,0,0,COUNTA(floors!$A:$A),MATCH(J$1,floors!$1:$1,0)-MATCH($H$1,floors!$1:$1,0)+1),MATCH(J$1,floors!$1:$1,0)-MATCH($H$1,floors!$1:$1,0)+1,FALSE)</f>
        <v>60</v>
      </c>
      <c r="K15" s="24" t="s">
        <v>197</v>
      </c>
      <c r="L15" s="24">
        <v>106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グリーンラビット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22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15</v>
      </c>
      <c r="R15" s="6">
        <v>3</v>
      </c>
      <c r="S15" s="40">
        <v>1.8</v>
      </c>
      <c r="T15" s="39">
        <v>1</v>
      </c>
      <c r="U15" s="6">
        <v>0</v>
      </c>
      <c r="V15" s="5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5">
        <f ca="1">VLOOKUP($L15,OFFSET([3]enemies!$A$1,0,0,COUNTA([3]enemies!$A:$A),MATCH(W$1,[3]enemies!$1:$1,0)-MATCH($L$1,[3]enemies!$1:$1,0)+1),MATCH(W$1,[3]enemies!$1:$1,0)-MATCH($L$1,[3]enemies!$1:$1,0)+1,FALSE)</f>
        <v>0</v>
      </c>
      <c r="X15" s="7">
        <v>0</v>
      </c>
      <c r="Y15" s="7">
        <v>40</v>
      </c>
      <c r="Z15" s="7">
        <v>0</v>
      </c>
      <c r="AA15" s="20">
        <f ca="1">VLOOKUP($L15,OFFSET([3]enemies!$A$1,0,0,COUNTA([3]enemies!$A:$A),MATCH(AA$1,[3]enemies!$1:$1,0)-MATCH($L$1,[3]enemies!$1:$1,0)+1),MATCH(AA$1,[3]enemies!$1:$1,0)-MATCH($L$1,[3]enemies!$1:$1,0)+1,FALSE)</f>
        <v>2</v>
      </c>
      <c r="AB15" s="24">
        <v>106</v>
      </c>
      <c r="AC15" s="5" t="str">
        <f ca="1">IFERROR(VLOOKUP($AB15,OFFSET([4]characters!$A$1,0,0,COUNTA([4]characters!$A:$A),MATCH(AC$1,[4]characters!$1:$1,0)-MATCH("character_id",[4]characters!$1:$1,0)+1),MATCH(AC$1,[4]characters!$1:$1,0)-MATCH("character_id",[4]characters!$1:$1,0)+1,FALSE),"")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5" s="5">
        <f ca="1">IFERROR(VLOOKUP($AB15,OFFSET([4]characters!$A$1,0,0,COUNTA([4]characters!$A:$A),MATCH(AD$1,[4]characters!$1:$1,0)-MATCH("character_id",[4]characters!$1:$1,0)+1),MATCH(AD$1,[4]characters!$1:$1,0)-MATCH("character_id",[4]characters!$1:$1,0)+1,FALSE),"")</f>
        <v>3</v>
      </c>
      <c r="AE15" s="5" t="str">
        <f ca="1">IFERROR(VLOOKUP($AB15,OFFSET([4]characters!$A$1,0,0,COUNTA([4]characters!$A:$A),MATCH(AE$1,[4]characters!$1:$1,0)-MATCH("character_id",[4]characters!$1:$1,0)+1),MATCH(AE$1,[4]characters!$1:$1,0)-MATCH("character_id",[4]characters!$1:$1,0)+1,FALSE),"")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5" s="8">
        <v>1</v>
      </c>
      <c r="AG15" s="27">
        <f t="shared" ca="1" si="3"/>
        <v>3</v>
      </c>
      <c r="AH15" s="9">
        <v>20</v>
      </c>
      <c r="AI15" s="8">
        <v>0</v>
      </c>
      <c r="AJ15" s="8">
        <v>0</v>
      </c>
      <c r="AK15" s="8">
        <v>0</v>
      </c>
      <c r="AL15" s="8">
        <v>0</v>
      </c>
      <c r="AM15" s="8">
        <v>1</v>
      </c>
      <c r="AN15" s="8">
        <v>1</v>
      </c>
    </row>
    <row r="16" spans="1:40" ht="21" customHeight="1" x14ac:dyDescent="0.15">
      <c r="A16" s="17" t="str">
        <f t="shared" ca="1" si="0"/>
        <v>11007_1-5/105&lt;lv3&gt;s1</v>
      </c>
      <c r="B16" s="8">
        <v>11007</v>
      </c>
      <c r="C16" s="25">
        <v>1</v>
      </c>
      <c r="D16" s="2" t="str">
        <f t="shared" si="1"/>
        <v>11007_1</v>
      </c>
      <c r="E16" s="5" t="str">
        <f ca="1">VLOOKUP($B16,OFFSET([2]quests!$A$1,0,0,COUNTA([2]quests!$A:$A),MATCH(E$1,[2]quests!$1:$1,0)-MATCH($B$1,[2]quests!$1:$1,0)+1),MATCH(E$1,[2]quests!$1:$1,0)-MATCH($B$1,[2]quests!$1:$1,0)+1,FALSE)</f>
        <v>【土曜限定】 赤と緑の素材</v>
      </c>
      <c r="F16" s="5" t="str">
        <f ca="1">VLOOKUP($D16,OFFSET([2]stages!$A$1,0,0,COUNTA([2]stages!$A:$A),MATCH(F$1,[2]stages!$2:$2,0)-MATCH($D$1,[2]stages!$2:$2,0)+1),MATCH(F$1,[2]stages!$2:$2,0)-MATCH($D$1,[2]stages!$2:$2,0)+1,FALSE)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6" s="25">
        <v>5</v>
      </c>
      <c r="H16" s="16" t="str">
        <f t="shared" si="2"/>
        <v>11007_1-5</v>
      </c>
      <c r="I16" s="5">
        <f ca="1">VLOOKUP($H16,OFFSET(floors!$A$1,0,0,COUNTA(floors!$A:$A),MATCH(I$1,floors!$1:$1,0)-MATCH($H$1,floors!$1:$1,0)+1),MATCH(I$1,floors!$1:$1,0)-MATCH($H$1,floors!$1:$1,0)+1,FALSE)</f>
        <v>45</v>
      </c>
      <c r="J16" s="5">
        <f ca="1">VLOOKUP($H16,OFFSET(floors!$A$1,0,0,COUNTA(floors!$A:$A),MATCH(J$1,floors!$1:$1,0)-MATCH($H$1,floors!$1:$1,0)+1),MATCH(J$1,floors!$1:$1,0)-MATCH($H$1,floors!$1:$1,0)+1,FALSE)</f>
        <v>45</v>
      </c>
      <c r="K16" s="24" t="s">
        <v>197</v>
      </c>
      <c r="L16" s="24">
        <v>105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グリーンチェシャ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22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15</v>
      </c>
      <c r="R16" s="6">
        <v>3</v>
      </c>
      <c r="S16" s="39">
        <v>1</v>
      </c>
      <c r="T16" s="39">
        <v>1</v>
      </c>
      <c r="U16" s="6">
        <v>0</v>
      </c>
      <c r="V16" s="5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5">
        <f ca="1">VLOOKUP($L16,OFFSET([3]enemies!$A$1,0,0,COUNTA([3]enemies!$A:$A),MATCH(W$1,[3]enemies!$1:$1,0)-MATCH($L$1,[3]enemies!$1:$1,0)+1),MATCH(W$1,[3]enemies!$1:$1,0)-MATCH($L$1,[3]enemies!$1:$1,0)+1,FALSE)</f>
        <v>0</v>
      </c>
      <c r="X16" s="7">
        <v>1</v>
      </c>
      <c r="Y16" s="7">
        <v>100</v>
      </c>
      <c r="Z16" s="7">
        <v>0</v>
      </c>
      <c r="AA16" s="20">
        <f ca="1">VLOOKUP($L16,OFFSET([3]enemies!$A$1,0,0,COUNTA([3]enemies!$A:$A),MATCH(AA$1,[3]enemies!$1:$1,0)-MATCH($L$1,[3]enemies!$1:$1,0)+1),MATCH(AA$1,[3]enemies!$1:$1,0)-MATCH($L$1,[3]enemies!$1:$1,0)+1,FALSE)</f>
        <v>1</v>
      </c>
      <c r="AB16" s="24">
        <v>105</v>
      </c>
      <c r="AC16" s="5" t="str">
        <f ca="1">IFERROR(VLOOKUP($AB16,OFFSET([4]characters!$A$1,0,0,COUNTA([4]characters!$A:$A),MATCH(AC$1,[4]characters!$1:$1,0)-MATCH("character_id",[4]characters!$1:$1,0)+1),MATCH(AC$1,[4]characters!$1:$1,0)-MATCH("character_id",[4]characters!$1:$1,0)+1,FALSE),"")</f>
        <v>グリーンチェシャ</v>
      </c>
      <c r="AD16" s="5">
        <f ca="1">IFERROR(VLOOKUP($AB16,OFFSET([4]characters!$A$1,0,0,COUNTA([4]characters!$A:$A),MATCH(AD$1,[4]characters!$1:$1,0)-MATCH("character_id",[4]characters!$1:$1,0)+1),MATCH(AD$1,[4]characters!$1:$1,0)-MATCH("character_id",[4]characters!$1:$1,0)+1,FALSE),"")</f>
        <v>2</v>
      </c>
      <c r="AE16" s="5" t="str">
        <f ca="1">IFERROR(VLOOKUP($AB16,OFFSET([4]characters!$A$1,0,0,COUNTA([4]characters!$A:$A),MATCH(AE$1,[4]characters!$1:$1,0)-MATCH("character_id",[4]characters!$1:$1,0)+1),MATCH(AE$1,[4]characters!$1:$1,0)-MATCH("character_id",[4]characters!$1:$1,0)+1,FALSE),"")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6" s="8">
        <v>1</v>
      </c>
      <c r="AG16" s="27">
        <f t="shared" ca="1" si="3"/>
        <v>2</v>
      </c>
      <c r="AH16" s="9">
        <v>100</v>
      </c>
      <c r="AI16" s="8">
        <v>0</v>
      </c>
      <c r="AJ16" s="8">
        <v>0</v>
      </c>
      <c r="AK16" s="8">
        <v>0</v>
      </c>
      <c r="AL16" s="8">
        <v>0</v>
      </c>
      <c r="AM16" s="8">
        <v>1</v>
      </c>
      <c r="AN16" s="8">
        <v>1</v>
      </c>
    </row>
    <row r="17" spans="1:40" ht="21" customHeight="1" x14ac:dyDescent="0.15">
      <c r="A17" s="17" t="str">
        <f t="shared" ca="1" si="0"/>
        <v>11007_1-5/106&lt;lv5&gt;s2</v>
      </c>
      <c r="B17" s="8">
        <v>11007</v>
      </c>
      <c r="C17" s="25">
        <v>1</v>
      </c>
      <c r="D17" s="2" t="str">
        <f t="shared" si="1"/>
        <v>11007_1</v>
      </c>
      <c r="E17" s="5" t="str">
        <f ca="1">VLOOKUP($B17,OFFSET([2]quests!$A$1,0,0,COUNTA([2]quests!$A:$A),MATCH(E$1,[2]quests!$1:$1,0)-MATCH($B$1,[2]quests!$1:$1,0)+1),MATCH(E$1,[2]quests!$1:$1,0)-MATCH($B$1,[2]quests!$1:$1,0)+1,FALSE)</f>
        <v>【土曜限定】 赤と緑の素材</v>
      </c>
      <c r="F17" s="5" t="str">
        <f ca="1">VLOOKUP($D17,OFFSET([2]stages!$A$1,0,0,COUNTA([2]stages!$A:$A),MATCH(F$1,[2]stages!$2:$2,0)-MATCH($D$1,[2]stages!$2:$2,0)+1),MATCH(F$1,[2]stages!$2:$2,0)-MATCH($D$1,[2]stages!$2:$2,0)+1,FALSE)</f>
        <v xml:space="preserve">【初級】火と樹のチェシャ猫 </v>
      </c>
      <c r="G17" s="25">
        <v>5</v>
      </c>
      <c r="H17" s="16" t="str">
        <f t="shared" si="2"/>
        <v>11007_1-5</v>
      </c>
      <c r="I17" s="5">
        <f ca="1">VLOOKUP($H17,OFFSET(floors!$A$1,0,0,COUNTA(floors!$A:$A),MATCH(I$1,floors!$1:$1,0)-MATCH($H$1,floors!$1:$1,0)+1),MATCH(I$1,floors!$1:$1,0)-MATCH($H$1,floors!$1:$1,0)+1,FALSE)</f>
        <v>45</v>
      </c>
      <c r="J17" s="5">
        <f ca="1">VLOOKUP($H17,OFFSET(floors!$A$1,0,0,COUNTA(floors!$A:$A),MATCH(J$1,floors!$1:$1,0)-MATCH($H$1,floors!$1:$1,0)+1),MATCH(J$1,floors!$1:$1,0)-MATCH($H$1,floors!$1:$1,0)+1,FALSE)</f>
        <v>45</v>
      </c>
      <c r="K17" s="24" t="s">
        <v>197</v>
      </c>
      <c r="L17" s="24">
        <v>106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グリーンラビット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22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20">
        <f ca="1">VLOOKUP($L17,OFFSET([3]enemies!$A$1,0,0,COUNTA([3]enemies!$A:$A),MATCH(Q$1,[3]enemies!$1:$1,0)-MATCH($L$1,[3]enemies!$1:$1,0)+1),MATCH(Q$1,[3]enemies!$1:$1,0)-MATCH($L$1,[3]enemies!$1:$1,0)+1,FALSE)</f>
        <v>15</v>
      </c>
      <c r="R17" s="6">
        <v>5</v>
      </c>
      <c r="S17" s="40">
        <v>1.8</v>
      </c>
      <c r="T17" s="39">
        <v>1</v>
      </c>
      <c r="U17" s="6">
        <v>0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5">
        <f ca="1">VLOOKUP($L17,OFFSET([3]enemies!$A$1,0,0,COUNTA([3]enemies!$A:$A),MATCH(W$1,[3]enemies!$1:$1,0)-MATCH($L$1,[3]enemies!$1:$1,0)+1),MATCH(W$1,[3]enemies!$1:$1,0)-MATCH($L$1,[3]enemies!$1:$1,0)+1,FALSE)</f>
        <v>0</v>
      </c>
      <c r="X17" s="7">
        <v>0</v>
      </c>
      <c r="Y17" s="7">
        <v>50</v>
      </c>
      <c r="Z17" s="7">
        <v>1</v>
      </c>
      <c r="AA17" s="20">
        <f ca="1">VLOOKUP($L17,OFFSET([3]enemies!$A$1,0,0,COUNTA([3]enemies!$A:$A),MATCH(AA$1,[3]enemies!$1:$1,0)-MATCH($L$1,[3]enemies!$1:$1,0)+1),MATCH(AA$1,[3]enemies!$1:$1,0)-MATCH($L$1,[3]enemies!$1:$1,0)+1,FALSE)</f>
        <v>2</v>
      </c>
      <c r="AB17" s="24">
        <v>106</v>
      </c>
      <c r="AC17" s="5" t="str">
        <f ca="1">IFERROR(VLOOKUP($AB17,OFFSET([4]characters!$A$1,0,0,COUNTA([4]characters!$A:$A),MATCH(AC$1,[4]characters!$1:$1,0)-MATCH("character_id",[4]characters!$1:$1,0)+1),MATCH(AC$1,[4]characters!$1:$1,0)-MATCH("character_id",[4]characters!$1:$1,0)+1,FALSE),"")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17" s="5">
        <f ca="1">IFERROR(VLOOKUP($AB17,OFFSET([4]characters!$A$1,0,0,COUNTA([4]characters!$A:$A),MATCH(AD$1,[4]characters!$1:$1,0)-MATCH("character_id",[4]characters!$1:$1,0)+1),MATCH(AD$1,[4]characters!$1:$1,0)-MATCH("character_id",[4]characters!$1:$1,0)+1,FALSE),"")</f>
        <v>3</v>
      </c>
      <c r="AE17" s="5" t="str">
        <f ca="1">IFERROR(VLOOKUP($AB17,OFFSET([4]characters!$A$1,0,0,COUNTA([4]characters!$A:$A),MATCH(AE$1,[4]characters!$1:$1,0)-MATCH("character_id",[4]characters!$1:$1,0)+1),MATCH(AE$1,[4]characters!$1:$1,0)-MATCH("character_id",[4]characters!$1:$1,0)+1,FALSE),"")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7" s="8">
        <v>1</v>
      </c>
      <c r="AG17" s="27">
        <f t="shared" ca="1" si="3"/>
        <v>3</v>
      </c>
      <c r="AH17" s="9">
        <v>0</v>
      </c>
      <c r="AI17" s="8">
        <v>0</v>
      </c>
      <c r="AJ17" s="8">
        <v>0</v>
      </c>
      <c r="AK17" s="8">
        <v>0</v>
      </c>
      <c r="AL17" s="8">
        <v>0</v>
      </c>
      <c r="AM17" s="8">
        <v>1</v>
      </c>
      <c r="AN17" s="8">
        <v>1</v>
      </c>
    </row>
    <row r="18" spans="1:40" ht="21" customHeight="1" x14ac:dyDescent="0.15">
      <c r="A18" s="17" t="str">
        <f t="shared" ca="1" si="0"/>
        <v>11007_2-1/102&lt;lv15&gt;s2</v>
      </c>
      <c r="B18" s="8">
        <v>11007</v>
      </c>
      <c r="C18" s="25">
        <v>2</v>
      </c>
      <c r="D18" s="2" t="str">
        <f t="shared" si="1"/>
        <v>11007_2</v>
      </c>
      <c r="E18" s="5" t="str">
        <f ca="1">VLOOKUP($B18,OFFSET([2]quests!$A$1,0,0,COUNTA([2]quests!$A:$A),MATCH(E$1,[2]quests!$1:$1,0)-MATCH($B$1,[2]quests!$1:$1,0)+1),MATCH(E$1,[2]quests!$1:$1,0)-MATCH($B$1,[2]quests!$1:$1,0)+1,FALSE)</f>
        <v>【土曜限定】 赤と緑の素材</v>
      </c>
      <c r="F18" s="5" t="str">
        <f ca="1">VLOOKUP($D18,OFFSET([2]stages!$A$1,0,0,COUNTA([2]stages!$A:$A),MATCH(F$1,[2]stages!$2:$2,0)-MATCH($D$1,[2]stages!$2:$2,0)+1),MATCH(F$1,[2]stages!$2:$2,0)-MATCH($D$1,[2]stages!$2:$2,0)+1,FALSE)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18" s="25">
        <v>1</v>
      </c>
      <c r="H18" s="16" t="str">
        <f t="shared" si="2"/>
        <v>11007_2-1</v>
      </c>
      <c r="I18" s="5">
        <f ca="1">VLOOKUP($H18,OFFSET(floors!$A$1,0,0,COUNTA(floors!$A:$A),MATCH(I$1,floors!$1:$1,0)-MATCH($H$1,floors!$1:$1,0)+1),MATCH(I$1,floors!$1:$1,0)-MATCH($H$1,floors!$1:$1,0)+1,FALSE)</f>
        <v>30</v>
      </c>
      <c r="J18" s="5">
        <f ca="1">VLOOKUP($H18,OFFSET(floors!$A$1,0,0,COUNTA(floors!$A:$A),MATCH(J$1,floors!$1:$1,0)-MATCH($H$1,floors!$1:$1,0)+1),MATCH(J$1,floors!$1:$1,0)-MATCH($H$1,floors!$1:$1,0)+1,FALSE)</f>
        <v>30</v>
      </c>
      <c r="K18" s="24" t="s">
        <v>197</v>
      </c>
      <c r="L18" s="24">
        <v>102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レッドラビット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22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20">
        <f ca="1">VLOOKUP($L18,OFFSET([3]enemies!$A$1,0,0,COUNTA([3]enemies!$A:$A),MATCH(Q$1,[3]enemies!$1:$1,0)-MATCH($L$1,[3]enemies!$1:$1,0)+1),MATCH(Q$1,[3]enemies!$1:$1,0)-MATCH($L$1,[3]enemies!$1:$1,0)+1,FALSE)</f>
        <v>15</v>
      </c>
      <c r="R18" s="6">
        <v>15</v>
      </c>
      <c r="S18" s="40">
        <v>1.8</v>
      </c>
      <c r="T18" s="39">
        <v>1</v>
      </c>
      <c r="U18" s="6">
        <v>0</v>
      </c>
      <c r="V18" s="5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5">
        <f ca="1">VLOOKUP($L18,OFFSET([3]enemies!$A$1,0,0,COUNTA([3]enemies!$A:$A),MATCH(W$1,[3]enemies!$1:$1,0)-MATCH($L$1,[3]enemies!$1:$1,0)+1),MATCH(W$1,[3]enemies!$1:$1,0)-MATCH($L$1,[3]enemies!$1:$1,0)+1,FALSE)</f>
        <v>0</v>
      </c>
      <c r="X18" s="7">
        <v>0</v>
      </c>
      <c r="Y18" s="7">
        <v>100</v>
      </c>
      <c r="Z18" s="7">
        <v>0</v>
      </c>
      <c r="AA18" s="20">
        <f ca="1">VLOOKUP($L18,OFFSET([3]enemies!$A$1,0,0,COUNTA([3]enemies!$A:$A),MATCH(AA$1,[3]enemies!$1:$1,0)-MATCH($L$1,[3]enemies!$1:$1,0)+1),MATCH(AA$1,[3]enemies!$1:$1,0)-MATCH($L$1,[3]enemies!$1:$1,0)+1,FALSE)</f>
        <v>2</v>
      </c>
      <c r="AB18" s="24">
        <v>102</v>
      </c>
      <c r="AC18" s="5" t="str">
        <f ca="1">IFERROR(VLOOKUP($AB18,OFFSET([4]characters!$A$1,0,0,COUNTA([4]characters!$A:$A),MATCH(AC$1,[4]characters!$1:$1,0)-MATCH("character_id",[4]characters!$1:$1,0)+1),MATCH(AC$1,[4]characters!$1:$1,0)-MATCH("character_id",[4]characters!$1:$1,0)+1,FALSE),"")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18" s="5">
        <f ca="1">IFERROR(VLOOKUP($AB18,OFFSET([4]characters!$A$1,0,0,COUNTA([4]characters!$A:$A),MATCH(AD$1,[4]characters!$1:$1,0)-MATCH("character_id",[4]characters!$1:$1,0)+1),MATCH(AD$1,[4]characters!$1:$1,0)-MATCH("character_id",[4]characters!$1:$1,0)+1,FALSE),"")</f>
        <v>3</v>
      </c>
      <c r="AE18" s="5" t="str">
        <f ca="1">IFERROR(VLOOKUP($AB18,OFFSET([4]characters!$A$1,0,0,COUNTA([4]characters!$A:$A),MATCH(AE$1,[4]characters!$1:$1,0)-MATCH("character_id",[4]characters!$1:$1,0)+1),MATCH(AE$1,[4]characters!$1:$1,0)-MATCH("character_id",[4]characters!$1:$1,0)+1,FALSE),"")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8" s="8">
        <v>1</v>
      </c>
      <c r="AG18" s="27">
        <f t="shared" ca="1" si="3"/>
        <v>3</v>
      </c>
      <c r="AH18" s="80">
        <v>20</v>
      </c>
      <c r="AI18" s="8">
        <v>0</v>
      </c>
      <c r="AJ18" s="8">
        <v>0</v>
      </c>
      <c r="AK18" s="8">
        <v>0</v>
      </c>
      <c r="AL18" s="8">
        <v>0</v>
      </c>
      <c r="AM18" s="8">
        <v>1</v>
      </c>
      <c r="AN18" s="8">
        <v>1</v>
      </c>
    </row>
    <row r="19" spans="1:40" ht="21" customHeight="1" x14ac:dyDescent="0.15">
      <c r="A19" s="17" t="str">
        <f t="shared" ca="1" si="0"/>
        <v>11007_2-2/102&lt;lv15&gt;s2</v>
      </c>
      <c r="B19" s="8">
        <v>11007</v>
      </c>
      <c r="C19" s="25">
        <v>2</v>
      </c>
      <c r="D19" s="2" t="str">
        <f t="shared" si="1"/>
        <v>11007_2</v>
      </c>
      <c r="E19" s="5" t="str">
        <f ca="1">VLOOKUP($B19,OFFSET([2]quests!$A$1,0,0,COUNTA([2]quests!$A:$A),MATCH(E$1,[2]quests!$1:$1,0)-MATCH($B$1,[2]quests!$1:$1,0)+1),MATCH(E$1,[2]quests!$1:$1,0)-MATCH($B$1,[2]quests!$1:$1,0)+1,FALSE)</f>
        <v>【土曜限定】 赤と緑の素材</v>
      </c>
      <c r="F19" s="5" t="str">
        <f ca="1">VLOOKUP($D19,OFFSET([2]stages!$A$1,0,0,COUNTA([2]stages!$A:$A),MATCH(F$1,[2]stages!$2:$2,0)-MATCH($D$1,[2]stages!$2:$2,0)+1),MATCH(F$1,[2]stages!$2:$2,0)-MATCH($D$1,[2]stages!$2:$2,0)+1,FALSE)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19" s="25">
        <v>2</v>
      </c>
      <c r="H19" s="16" t="str">
        <f t="shared" si="2"/>
        <v>11007_2-2</v>
      </c>
      <c r="I19" s="5">
        <f ca="1">VLOOKUP($H19,OFFSET(floors!$A$1,0,0,COUNTA(floors!$A:$A),MATCH(I$1,floors!$1:$1,0)-MATCH($H$1,floors!$1:$1,0)+1),MATCH(I$1,floors!$1:$1,0)-MATCH($H$1,floors!$1:$1,0)+1,FALSE)</f>
        <v>30</v>
      </c>
      <c r="J19" s="5">
        <f ca="1">VLOOKUP($H19,OFFSET(floors!$A$1,0,0,COUNTA(floors!$A:$A),MATCH(J$1,floors!$1:$1,0)-MATCH($H$1,floors!$1:$1,0)+1),MATCH(J$1,floors!$1:$1,0)-MATCH($H$1,floors!$1:$1,0)+1,FALSE)</f>
        <v>30</v>
      </c>
      <c r="K19" s="24" t="s">
        <v>197</v>
      </c>
      <c r="L19" s="24">
        <v>102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レッドラビット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22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20">
        <f ca="1">VLOOKUP($L19,OFFSET([3]enemies!$A$1,0,0,COUNTA([3]enemies!$A:$A),MATCH(Q$1,[3]enemies!$1:$1,0)-MATCH($L$1,[3]enemies!$1:$1,0)+1),MATCH(Q$1,[3]enemies!$1:$1,0)-MATCH($L$1,[3]enemies!$1:$1,0)+1,FALSE)</f>
        <v>15</v>
      </c>
      <c r="R19" s="6">
        <v>15</v>
      </c>
      <c r="S19" s="40">
        <v>1.8</v>
      </c>
      <c r="T19" s="39">
        <v>1</v>
      </c>
      <c r="U19" s="6">
        <v>0</v>
      </c>
      <c r="V19" s="5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9" s="5">
        <f ca="1">VLOOKUP($L19,OFFSET([3]enemies!$A$1,0,0,COUNTA([3]enemies!$A:$A),MATCH(W$1,[3]enemies!$1:$1,0)-MATCH($L$1,[3]enemies!$1:$1,0)+1),MATCH(W$1,[3]enemies!$1:$1,0)-MATCH($L$1,[3]enemies!$1:$1,0)+1,FALSE)</f>
        <v>0</v>
      </c>
      <c r="X19" s="7">
        <v>0</v>
      </c>
      <c r="Y19" s="7">
        <v>100</v>
      </c>
      <c r="Z19" s="7">
        <v>0</v>
      </c>
      <c r="AA19" s="20">
        <f ca="1">VLOOKUP($L19,OFFSET([3]enemies!$A$1,0,0,COUNTA([3]enemies!$A:$A),MATCH(AA$1,[3]enemies!$1:$1,0)-MATCH($L$1,[3]enemies!$1:$1,0)+1),MATCH(AA$1,[3]enemies!$1:$1,0)-MATCH($L$1,[3]enemies!$1:$1,0)+1,FALSE)</f>
        <v>2</v>
      </c>
      <c r="AB19" s="24">
        <v>102</v>
      </c>
      <c r="AC19" s="5" t="str">
        <f ca="1">IFERROR(VLOOKUP($AB19,OFFSET([4]characters!$A$1,0,0,COUNTA([4]characters!$A:$A),MATCH(AC$1,[4]characters!$1:$1,0)-MATCH("character_id",[4]characters!$1:$1,0)+1),MATCH(AC$1,[4]characters!$1:$1,0)-MATCH("character_id",[4]characters!$1:$1,0)+1,FALSE),"")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19" s="5">
        <f ca="1">IFERROR(VLOOKUP($AB19,OFFSET([4]characters!$A$1,0,0,COUNTA([4]characters!$A:$A),MATCH(AD$1,[4]characters!$1:$1,0)-MATCH("character_id",[4]characters!$1:$1,0)+1),MATCH(AD$1,[4]characters!$1:$1,0)-MATCH("character_id",[4]characters!$1:$1,0)+1,FALSE),"")</f>
        <v>3</v>
      </c>
      <c r="AE19" s="5" t="str">
        <f ca="1">IFERROR(VLOOKUP($AB19,OFFSET([4]characters!$A$1,0,0,COUNTA([4]characters!$A:$A),MATCH(AE$1,[4]characters!$1:$1,0)-MATCH("character_id",[4]characters!$1:$1,0)+1),MATCH(AE$1,[4]characters!$1:$1,0)-MATCH("character_id",[4]characters!$1:$1,0)+1,FALSE),"")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9" s="8">
        <v>1</v>
      </c>
      <c r="AG19" s="27">
        <f t="shared" ca="1" si="3"/>
        <v>3</v>
      </c>
      <c r="AH19" s="80">
        <v>20</v>
      </c>
      <c r="AI19" s="8">
        <v>0</v>
      </c>
      <c r="AJ19" s="8">
        <v>0</v>
      </c>
      <c r="AK19" s="8">
        <v>0</v>
      </c>
      <c r="AL19" s="8">
        <v>0</v>
      </c>
      <c r="AM19" s="8">
        <v>1</v>
      </c>
      <c r="AN19" s="8">
        <v>1</v>
      </c>
    </row>
    <row r="20" spans="1:40" ht="21" customHeight="1" x14ac:dyDescent="0.15">
      <c r="A20" s="17" t="str">
        <f t="shared" ca="1" si="0"/>
        <v>11007_2-3/102&lt;lv15&gt;s2</v>
      </c>
      <c r="B20" s="8">
        <v>11007</v>
      </c>
      <c r="C20" s="25">
        <v>2</v>
      </c>
      <c r="D20" s="2" t="str">
        <f t="shared" si="1"/>
        <v>11007_2</v>
      </c>
      <c r="E20" s="5" t="str">
        <f ca="1">VLOOKUP($B20,OFFSET([2]quests!$A$1,0,0,COUNTA([2]quests!$A:$A),MATCH(E$1,[2]quests!$1:$1,0)-MATCH($B$1,[2]quests!$1:$1,0)+1),MATCH(E$1,[2]quests!$1:$1,0)-MATCH($B$1,[2]quests!$1:$1,0)+1,FALSE)</f>
        <v>【土曜限定】 赤と緑の素材</v>
      </c>
      <c r="F20" s="5" t="str">
        <f ca="1">VLOOKUP($D20,OFFSET([2]stages!$A$1,0,0,COUNTA([2]stages!$A:$A),MATCH(F$1,[2]stages!$2:$2,0)-MATCH($D$1,[2]stages!$2:$2,0)+1),MATCH(F$1,[2]stages!$2:$2,0)-MATCH($D$1,[2]stages!$2:$2,0)+1,FALSE)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0" s="25">
        <v>3</v>
      </c>
      <c r="H20" s="16" t="str">
        <f t="shared" si="2"/>
        <v>11007_2-3</v>
      </c>
      <c r="I20" s="5">
        <f ca="1">VLOOKUP($H20,OFFSET(floors!$A$1,0,0,COUNTA(floors!$A:$A),MATCH(I$1,floors!$1:$1,0)-MATCH($H$1,floors!$1:$1,0)+1),MATCH(I$1,floors!$1:$1,0)-MATCH($H$1,floors!$1:$1,0)+1,FALSE)</f>
        <v>45</v>
      </c>
      <c r="J20" s="5">
        <f ca="1">VLOOKUP($H20,OFFSET(floors!$A$1,0,0,COUNTA(floors!$A:$A),MATCH(J$1,floors!$1:$1,0)-MATCH($H$1,floors!$1:$1,0)+1),MATCH(J$1,floors!$1:$1,0)-MATCH($H$1,floors!$1:$1,0)+1,FALSE)</f>
        <v>45</v>
      </c>
      <c r="K20" s="24" t="s">
        <v>197</v>
      </c>
      <c r="L20" s="24">
        <v>102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レッドラビット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22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15</v>
      </c>
      <c r="R20" s="6">
        <v>15</v>
      </c>
      <c r="S20" s="40">
        <v>1.8</v>
      </c>
      <c r="T20" s="39">
        <v>1</v>
      </c>
      <c r="U20" s="6">
        <v>0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5">
        <f ca="1">VLOOKUP($L20,OFFSET([3]enemies!$A$1,0,0,COUNTA([3]enemies!$A:$A),MATCH(W$1,[3]enemies!$1:$1,0)-MATCH($L$1,[3]enemies!$1:$1,0)+1),MATCH(W$1,[3]enemies!$1:$1,0)-MATCH($L$1,[3]enemies!$1:$1,0)+1,FALSE)</f>
        <v>0</v>
      </c>
      <c r="X20" s="7">
        <v>0</v>
      </c>
      <c r="Y20" s="7">
        <v>100</v>
      </c>
      <c r="Z20" s="7">
        <v>0</v>
      </c>
      <c r="AA20" s="20">
        <f ca="1">VLOOKUP($L20,OFFSET([3]enemies!$A$1,0,0,COUNTA([3]enemies!$A:$A),MATCH(AA$1,[3]enemies!$1:$1,0)-MATCH($L$1,[3]enemies!$1:$1,0)+1),MATCH(AA$1,[3]enemies!$1:$1,0)-MATCH($L$1,[3]enemies!$1:$1,0)+1,FALSE)</f>
        <v>2</v>
      </c>
      <c r="AB20" s="24">
        <v>102</v>
      </c>
      <c r="AC20" s="5" t="str">
        <f ca="1">IFERROR(VLOOKUP($AB20,OFFSET([4]characters!$A$1,0,0,COUNTA([4]characters!$A:$A),MATCH(AC$1,[4]characters!$1:$1,0)-MATCH("character_id",[4]characters!$1:$1,0)+1),MATCH(AC$1,[4]characters!$1:$1,0)-MATCH("character_id",[4]characters!$1:$1,0)+1,FALSE),"")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20" s="5">
        <f ca="1">IFERROR(VLOOKUP($AB20,OFFSET([4]characters!$A$1,0,0,COUNTA([4]characters!$A:$A),MATCH(AD$1,[4]characters!$1:$1,0)-MATCH("character_id",[4]characters!$1:$1,0)+1),MATCH(AD$1,[4]characters!$1:$1,0)-MATCH("character_id",[4]characters!$1:$1,0)+1,FALSE),"")</f>
        <v>3</v>
      </c>
      <c r="AE20" s="5" t="str">
        <f ca="1">IFERROR(VLOOKUP($AB20,OFFSET([4]characters!$A$1,0,0,COUNTA([4]characters!$A:$A),MATCH(AE$1,[4]characters!$1:$1,0)-MATCH("character_id",[4]characters!$1:$1,0)+1),MATCH(AE$1,[4]characters!$1:$1,0)-MATCH("character_id",[4]characters!$1:$1,0)+1,FALSE),"")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0" s="8">
        <v>1</v>
      </c>
      <c r="AG20" s="27">
        <f t="shared" ca="1" si="3"/>
        <v>3</v>
      </c>
      <c r="AH20" s="80">
        <v>20</v>
      </c>
      <c r="AI20" s="8">
        <v>0</v>
      </c>
      <c r="AJ20" s="8">
        <v>0</v>
      </c>
      <c r="AK20" s="8">
        <v>0</v>
      </c>
      <c r="AL20" s="8">
        <v>0</v>
      </c>
      <c r="AM20" s="8">
        <v>1</v>
      </c>
      <c r="AN20" s="8">
        <v>1</v>
      </c>
    </row>
    <row r="21" spans="1:40" ht="21" customHeight="1" x14ac:dyDescent="0.15">
      <c r="A21" s="17" t="str">
        <f t="shared" ca="1" si="0"/>
        <v>11007_2-3/103&lt;lv15&gt;s3</v>
      </c>
      <c r="B21" s="8">
        <v>11007</v>
      </c>
      <c r="C21" s="25">
        <v>2</v>
      </c>
      <c r="D21" s="2" t="str">
        <f t="shared" si="1"/>
        <v>11007_2</v>
      </c>
      <c r="E21" s="5" t="str">
        <f ca="1">VLOOKUP($B21,OFFSET([2]quests!$A$1,0,0,COUNTA([2]quests!$A:$A),MATCH(E$1,[2]quests!$1:$1,0)-MATCH($B$1,[2]quests!$1:$1,0)+1),MATCH(E$1,[2]quests!$1:$1,0)-MATCH($B$1,[2]quests!$1:$1,0)+1,FALSE)</f>
        <v>【土曜限定】 赤と緑の素材</v>
      </c>
      <c r="F21" s="5" t="str">
        <f ca="1">VLOOKUP($D21,OFFSET([2]stages!$A$1,0,0,COUNTA([2]stages!$A:$A),MATCH(F$1,[2]stages!$2:$2,0)-MATCH($D$1,[2]stages!$2:$2,0)+1),MATCH(F$1,[2]stages!$2:$2,0)-MATCH($D$1,[2]stages!$2:$2,0)+1,FALSE)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1" s="25">
        <v>3</v>
      </c>
      <c r="H21" s="16" t="str">
        <f t="shared" si="2"/>
        <v>11007_2-3</v>
      </c>
      <c r="I21" s="5">
        <f ca="1">VLOOKUP($H21,OFFSET(floors!$A$1,0,0,COUNTA(floors!$A:$A),MATCH(I$1,floors!$1:$1,0)-MATCH($H$1,floors!$1:$1,0)+1),MATCH(I$1,floors!$1:$1,0)-MATCH($H$1,floors!$1:$1,0)+1,FALSE)</f>
        <v>45</v>
      </c>
      <c r="J21" s="5">
        <f ca="1">VLOOKUP($H21,OFFSET(floors!$A$1,0,0,COUNTA(floors!$A:$A),MATCH(J$1,floors!$1:$1,0)-MATCH($H$1,floors!$1:$1,0)+1),MATCH(J$1,floors!$1:$1,0)-MATCH($H$1,floors!$1:$1,0)+1,FALSE)</f>
        <v>45</v>
      </c>
      <c r="K21" s="24" t="s">
        <v>197</v>
      </c>
      <c r="L21" s="24">
        <v>103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レッドキャタップ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22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20">
        <f ca="1">VLOOKUP($L21,OFFSET([3]enemies!$A$1,0,0,COUNTA([3]enemies!$A:$A),MATCH(Q$1,[3]enemies!$1:$1,0)-MATCH($L$1,[3]enemies!$1:$1,0)+1),MATCH(Q$1,[3]enemies!$1:$1,0)-MATCH($L$1,[3]enemies!$1:$1,0)+1,FALSE)</f>
        <v>15</v>
      </c>
      <c r="R21" s="6">
        <v>15</v>
      </c>
      <c r="S21" s="39">
        <v>2</v>
      </c>
      <c r="T21" s="39">
        <v>1</v>
      </c>
      <c r="U21" s="6">
        <v>0</v>
      </c>
      <c r="V21" s="5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5">
        <f ca="1">VLOOKUP($L21,OFFSET([3]enemies!$A$1,0,0,COUNTA([3]enemies!$A:$A),MATCH(W$1,[3]enemies!$1:$1,0)-MATCH($L$1,[3]enemies!$1:$1,0)+1),MATCH(W$1,[3]enemies!$1:$1,0)-MATCH($L$1,[3]enemies!$1:$1,0)+1,FALSE)</f>
        <v>0</v>
      </c>
      <c r="X21" s="7">
        <v>0</v>
      </c>
      <c r="Y21" s="7">
        <v>25</v>
      </c>
      <c r="Z21" s="7">
        <v>0</v>
      </c>
      <c r="AA21" s="20">
        <f ca="1">VLOOKUP($L21,OFFSET([3]enemies!$A$1,0,0,COUNTA([3]enemies!$A:$A),MATCH(AA$1,[3]enemies!$1:$1,0)-MATCH($L$1,[3]enemies!$1:$1,0)+1),MATCH(AA$1,[3]enemies!$1:$1,0)-MATCH($L$1,[3]enemies!$1:$1,0)+1,FALSE)</f>
        <v>3</v>
      </c>
      <c r="AB21" s="24">
        <v>103</v>
      </c>
      <c r="AC21" s="5" t="str">
        <f ca="1">IFERROR(VLOOKUP($AB21,OFFSET([4]characters!$A$1,0,0,COUNTA([4]characters!$A:$A),MATCH(AC$1,[4]characters!$1:$1,0)-MATCH("character_id",[4]characters!$1:$1,0)+1),MATCH(AC$1,[4]characters!$1:$1,0)-MATCH("character_id",[4]characters!$1:$1,0)+1,FALSE),"")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1" s="5">
        <f ca="1">IFERROR(VLOOKUP($AB21,OFFSET([4]characters!$A$1,0,0,COUNTA([4]characters!$A:$A),MATCH(AD$1,[4]characters!$1:$1,0)-MATCH("character_id",[4]characters!$1:$1,0)+1),MATCH(AD$1,[4]characters!$1:$1,0)-MATCH("character_id",[4]characters!$1:$1,0)+1,FALSE),"")</f>
        <v>4</v>
      </c>
      <c r="AE21" s="5" t="str">
        <f ca="1">IFERROR(VLOOKUP($AB21,OFFSET([4]characters!$A$1,0,0,COUNTA([4]characters!$A:$A),MATCH(AE$1,[4]characters!$1:$1,0)-MATCH("character_id",[4]characters!$1:$1,0)+1),MATCH(AE$1,[4]characters!$1:$1,0)-MATCH("character_id",[4]characters!$1:$1,0)+1,FALSE),"")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1" s="8">
        <v>1</v>
      </c>
      <c r="AG21" s="27">
        <f t="shared" ca="1" si="3"/>
        <v>4</v>
      </c>
      <c r="AH21" s="80">
        <v>5</v>
      </c>
      <c r="AI21" s="8">
        <v>0</v>
      </c>
      <c r="AJ21" s="8">
        <v>0</v>
      </c>
      <c r="AK21" s="8">
        <v>0</v>
      </c>
      <c r="AL21" s="8">
        <v>0</v>
      </c>
      <c r="AM21" s="8">
        <v>1</v>
      </c>
      <c r="AN21" s="8">
        <v>1</v>
      </c>
    </row>
    <row r="22" spans="1:40" ht="21" customHeight="1" x14ac:dyDescent="0.15">
      <c r="A22" s="17" t="str">
        <f t="shared" ca="1" si="0"/>
        <v>11007_2-4/102&lt;lv15&gt;s2</v>
      </c>
      <c r="B22" s="8">
        <v>11007</v>
      </c>
      <c r="C22" s="25">
        <v>2</v>
      </c>
      <c r="D22" s="2" t="str">
        <f t="shared" si="1"/>
        <v>11007_2</v>
      </c>
      <c r="E22" s="5" t="str">
        <f ca="1">VLOOKUP($B22,OFFSET([2]quests!$A$1,0,0,COUNTA([2]quests!$A:$A),MATCH(E$1,[2]quests!$1:$1,0)-MATCH($B$1,[2]quests!$1:$1,0)+1),MATCH(E$1,[2]quests!$1:$1,0)-MATCH($B$1,[2]quests!$1:$1,0)+1,FALSE)</f>
        <v>【土曜限定】 赤と緑の素材</v>
      </c>
      <c r="F22" s="5" t="str">
        <f ca="1">VLOOKUP($D22,OFFSET([2]stages!$A$1,0,0,COUNTA([2]stages!$A:$A),MATCH(F$1,[2]stages!$2:$2,0)-MATCH($D$1,[2]stages!$2:$2,0)+1),MATCH(F$1,[2]stages!$2:$2,0)-MATCH($D$1,[2]stages!$2:$2,0)+1,FALSE)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2" s="25">
        <v>4</v>
      </c>
      <c r="H22" s="16" t="str">
        <f t="shared" si="2"/>
        <v>11007_2-4</v>
      </c>
      <c r="I22" s="5">
        <f ca="1">VLOOKUP($H22,OFFSET(floors!$A$1,0,0,COUNTA(floors!$A:$A),MATCH(I$1,floors!$1:$1,0)-MATCH($H$1,floors!$1:$1,0)+1),MATCH(I$1,floors!$1:$1,0)-MATCH($H$1,floors!$1:$1,0)+1,FALSE)</f>
        <v>45</v>
      </c>
      <c r="J22" s="5">
        <f ca="1">VLOOKUP($H22,OFFSET(floors!$A$1,0,0,COUNTA(floors!$A:$A),MATCH(J$1,floors!$1:$1,0)-MATCH($H$1,floors!$1:$1,0)+1),MATCH(J$1,floors!$1:$1,0)-MATCH($H$1,floors!$1:$1,0)+1,FALSE)</f>
        <v>45</v>
      </c>
      <c r="K22" s="24" t="s">
        <v>197</v>
      </c>
      <c r="L22" s="24">
        <v>102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レッドラビット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22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20">
        <f ca="1">VLOOKUP($L22,OFFSET([3]enemies!$A$1,0,0,COUNTA([3]enemies!$A:$A),MATCH(Q$1,[3]enemies!$1:$1,0)-MATCH($L$1,[3]enemies!$1:$1,0)+1),MATCH(Q$1,[3]enemies!$1:$1,0)-MATCH($L$1,[3]enemies!$1:$1,0)+1,FALSE)</f>
        <v>15</v>
      </c>
      <c r="R22" s="6">
        <v>15</v>
      </c>
      <c r="S22" s="40">
        <v>1.8</v>
      </c>
      <c r="T22" s="39">
        <v>1</v>
      </c>
      <c r="U22" s="6">
        <v>0</v>
      </c>
      <c r="V22" s="5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2" s="5">
        <f ca="1">VLOOKUP($L22,OFFSET([3]enemies!$A$1,0,0,COUNTA([3]enemies!$A:$A),MATCH(W$1,[3]enemies!$1:$1,0)-MATCH($L$1,[3]enemies!$1:$1,0)+1),MATCH(W$1,[3]enemies!$1:$1,0)-MATCH($L$1,[3]enemies!$1:$1,0)+1,FALSE)</f>
        <v>0</v>
      </c>
      <c r="X22" s="7">
        <v>0</v>
      </c>
      <c r="Y22" s="7">
        <v>100</v>
      </c>
      <c r="Z22" s="7">
        <v>0</v>
      </c>
      <c r="AA22" s="20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v>102</v>
      </c>
      <c r="AC22" s="5" t="str">
        <f ca="1">IFERROR(VLOOKUP($AB22,OFFSET([4]characters!$A$1,0,0,COUNTA([4]characters!$A:$A),MATCH(AC$1,[4]characters!$1:$1,0)-MATCH("character_id",[4]characters!$1:$1,0)+1),MATCH(AC$1,[4]characters!$1:$1,0)-MATCH("character_id",[4]characters!$1:$1,0)+1,FALSE),"")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22" s="5">
        <f ca="1">IFERROR(VLOOKUP($AB22,OFFSET([4]characters!$A$1,0,0,COUNTA([4]characters!$A:$A),MATCH(AD$1,[4]characters!$1:$1,0)-MATCH("character_id",[4]characters!$1:$1,0)+1),MATCH(AD$1,[4]characters!$1:$1,0)-MATCH("character_id",[4]characters!$1:$1,0)+1,FALSE),"")</f>
        <v>3</v>
      </c>
      <c r="AE22" s="5" t="str">
        <f ca="1">IFERROR(VLOOKUP($AB22,OFFSET([4]characters!$A$1,0,0,COUNTA([4]characters!$A:$A),MATCH(AE$1,[4]characters!$1:$1,0)-MATCH("character_id",[4]characters!$1:$1,0)+1),MATCH(AE$1,[4]characters!$1:$1,0)-MATCH("character_id",[4]characters!$1:$1,0)+1,FALSE),"")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2" s="8">
        <v>1</v>
      </c>
      <c r="AG22" s="27">
        <f t="shared" ca="1" si="3"/>
        <v>3</v>
      </c>
      <c r="AH22" s="80">
        <v>20</v>
      </c>
      <c r="AI22" s="8">
        <v>0</v>
      </c>
      <c r="AJ22" s="8">
        <v>0</v>
      </c>
      <c r="AK22" s="8">
        <v>0</v>
      </c>
      <c r="AL22" s="8">
        <v>0</v>
      </c>
      <c r="AM22" s="8">
        <v>1</v>
      </c>
      <c r="AN22" s="8">
        <v>1</v>
      </c>
    </row>
    <row r="23" spans="1:40" ht="21" customHeight="1" x14ac:dyDescent="0.15">
      <c r="A23" s="17" t="str">
        <f t="shared" ca="1" si="0"/>
        <v>11007_2-4/103&lt;lv15&gt;s3</v>
      </c>
      <c r="B23" s="8">
        <v>11007</v>
      </c>
      <c r="C23" s="25">
        <v>2</v>
      </c>
      <c r="D23" s="2" t="str">
        <f t="shared" si="1"/>
        <v>11007_2</v>
      </c>
      <c r="E23" s="5" t="str">
        <f ca="1">VLOOKUP($B23,OFFSET([2]quests!$A$1,0,0,COUNTA([2]quests!$A:$A),MATCH(E$1,[2]quests!$1:$1,0)-MATCH($B$1,[2]quests!$1:$1,0)+1),MATCH(E$1,[2]quests!$1:$1,0)-MATCH($B$1,[2]quests!$1:$1,0)+1,FALSE)</f>
        <v>【土曜限定】 赤と緑の素材</v>
      </c>
      <c r="F23" s="5" t="str">
        <f ca="1">VLOOKUP($D23,OFFSET([2]stages!$A$1,0,0,COUNTA([2]stages!$A:$A),MATCH(F$1,[2]stages!$2:$2,0)-MATCH($D$1,[2]stages!$2:$2,0)+1),MATCH(F$1,[2]stages!$2:$2,0)-MATCH($D$1,[2]stages!$2:$2,0)+1,FALSE)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3" s="25">
        <v>4</v>
      </c>
      <c r="H23" s="16" t="str">
        <f t="shared" si="2"/>
        <v>11007_2-4</v>
      </c>
      <c r="I23" s="5">
        <f ca="1">VLOOKUP($H23,OFFSET(floors!$A$1,0,0,COUNTA(floors!$A:$A),MATCH(I$1,floors!$1:$1,0)-MATCH($H$1,floors!$1:$1,0)+1),MATCH(I$1,floors!$1:$1,0)-MATCH($H$1,floors!$1:$1,0)+1,FALSE)</f>
        <v>45</v>
      </c>
      <c r="J23" s="5">
        <f ca="1">VLOOKUP($H23,OFFSET(floors!$A$1,0,0,COUNTA(floors!$A:$A),MATCH(J$1,floors!$1:$1,0)-MATCH($H$1,floors!$1:$1,0)+1),MATCH(J$1,floors!$1:$1,0)-MATCH($H$1,floors!$1:$1,0)+1,FALSE)</f>
        <v>45</v>
      </c>
      <c r="K23" s="24" t="s">
        <v>197</v>
      </c>
      <c r="L23" s="24">
        <v>103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レッドキャタップ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22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20">
        <f ca="1">VLOOKUP($L23,OFFSET([3]enemies!$A$1,0,0,COUNTA([3]enemies!$A:$A),MATCH(Q$1,[3]enemies!$1:$1,0)-MATCH($L$1,[3]enemies!$1:$1,0)+1),MATCH(Q$1,[3]enemies!$1:$1,0)-MATCH($L$1,[3]enemies!$1:$1,0)+1,FALSE)</f>
        <v>15</v>
      </c>
      <c r="R23" s="6">
        <v>15</v>
      </c>
      <c r="S23" s="39">
        <v>2</v>
      </c>
      <c r="T23" s="39">
        <v>1</v>
      </c>
      <c r="U23" s="6">
        <v>0</v>
      </c>
      <c r="V23" s="5" t="str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3" s="5">
        <f ca="1">VLOOKUP($L23,OFFSET([3]enemies!$A$1,0,0,COUNTA([3]enemies!$A:$A),MATCH(W$1,[3]enemies!$1:$1,0)-MATCH($L$1,[3]enemies!$1:$1,0)+1),MATCH(W$1,[3]enemies!$1:$1,0)-MATCH($L$1,[3]enemies!$1:$1,0)+1,FALSE)</f>
        <v>0</v>
      </c>
      <c r="X23" s="7">
        <v>0</v>
      </c>
      <c r="Y23" s="7">
        <v>25</v>
      </c>
      <c r="Z23" s="7">
        <v>0</v>
      </c>
      <c r="AA23" s="20">
        <f ca="1">VLOOKUP($L23,OFFSET([3]enemies!$A$1,0,0,COUNTA([3]enemies!$A:$A),MATCH(AA$1,[3]enemies!$1:$1,0)-MATCH($L$1,[3]enemies!$1:$1,0)+1),MATCH(AA$1,[3]enemies!$1:$1,0)-MATCH($L$1,[3]enemies!$1:$1,0)+1,FALSE)</f>
        <v>3</v>
      </c>
      <c r="AB23" s="24">
        <v>103</v>
      </c>
      <c r="AC23" s="5" t="str">
        <f ca="1">IFERROR(VLOOKUP($AB23,OFFSET([4]characters!$A$1,0,0,COUNTA([4]characters!$A:$A),MATCH(AC$1,[4]characters!$1:$1,0)-MATCH("character_id",[4]characters!$1:$1,0)+1),MATCH(AC$1,[4]characters!$1:$1,0)-MATCH("character_id",[4]characters!$1:$1,0)+1,FALSE),"")</f>
        <v>レッドキャタップ</v>
      </c>
      <c r="AD23" s="5">
        <f ca="1">IFERROR(VLOOKUP($AB23,OFFSET([4]characters!$A$1,0,0,COUNTA([4]characters!$A:$A),MATCH(AD$1,[4]characters!$1:$1,0)-MATCH("character_id",[4]characters!$1:$1,0)+1),MATCH(AD$1,[4]characters!$1:$1,0)-MATCH("character_id",[4]characters!$1:$1,0)+1,FALSE),"")</f>
        <v>4</v>
      </c>
      <c r="AE23" s="5" t="str">
        <f ca="1">IFERROR(VLOOKUP($AB23,OFFSET([4]characters!$A$1,0,0,COUNTA([4]characters!$A:$A),MATCH(AE$1,[4]characters!$1:$1,0)-MATCH("character_id",[4]characters!$1:$1,0)+1),MATCH(AE$1,[4]characters!$1:$1,0)-MATCH("character_id",[4]characters!$1:$1,0)+1,FALSE),"")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3" s="8">
        <v>1</v>
      </c>
      <c r="AG23" s="27">
        <f t="shared" ca="1" si="3"/>
        <v>4</v>
      </c>
      <c r="AH23" s="80">
        <v>5</v>
      </c>
      <c r="AI23" s="8">
        <v>0</v>
      </c>
      <c r="AJ23" s="8">
        <v>0</v>
      </c>
      <c r="AK23" s="8">
        <v>0</v>
      </c>
      <c r="AL23" s="8">
        <v>0</v>
      </c>
      <c r="AM23" s="8">
        <v>1</v>
      </c>
      <c r="AN23" s="8">
        <v>1</v>
      </c>
    </row>
    <row r="24" spans="1:40" ht="21" customHeight="1" x14ac:dyDescent="0.15">
      <c r="A24" s="17" t="str">
        <f t="shared" ca="1" si="0"/>
        <v>11007_2-5/102&lt;lv15&gt;s2</v>
      </c>
      <c r="B24" s="8">
        <v>11007</v>
      </c>
      <c r="C24" s="25">
        <v>2</v>
      </c>
      <c r="D24" s="2" t="str">
        <f t="shared" si="1"/>
        <v>11007_2</v>
      </c>
      <c r="E24" s="5" t="str">
        <f ca="1">VLOOKUP($B24,OFFSET([2]quests!$A$1,0,0,COUNTA([2]quests!$A:$A),MATCH(E$1,[2]quests!$1:$1,0)-MATCH($B$1,[2]quests!$1:$1,0)+1),MATCH(E$1,[2]quests!$1:$1,0)-MATCH($B$1,[2]quests!$1:$1,0)+1,FALSE)</f>
        <v>【土曜限定】 赤と緑の素材</v>
      </c>
      <c r="F24" s="5" t="str">
        <f ca="1">VLOOKUP($D24,OFFSET([2]stages!$A$1,0,0,COUNTA([2]stages!$A:$A),MATCH(F$1,[2]stages!$2:$2,0)-MATCH($D$1,[2]stages!$2:$2,0)+1),MATCH(F$1,[2]stages!$2:$2,0)-MATCH($D$1,[2]stages!$2:$2,0)+1,FALSE)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4" s="25">
        <v>5</v>
      </c>
      <c r="H24" s="16" t="str">
        <f t="shared" si="2"/>
        <v>11007_2-5</v>
      </c>
      <c r="I24" s="5">
        <f ca="1">VLOOKUP($H24,OFFSET(floors!$A$1,0,0,COUNTA(floors!$A:$A),MATCH(I$1,floors!$1:$1,0)-MATCH($H$1,floors!$1:$1,0)+1),MATCH(I$1,floors!$1:$1,0)-MATCH($H$1,floors!$1:$1,0)+1,FALSE)</f>
        <v>50</v>
      </c>
      <c r="J24" s="5">
        <f ca="1">VLOOKUP($H24,OFFSET(floors!$A$1,0,0,COUNTA(floors!$A:$A),MATCH(J$1,floors!$1:$1,0)-MATCH($H$1,floors!$1:$1,0)+1),MATCH(J$1,floors!$1:$1,0)-MATCH($H$1,floors!$1:$1,0)+1,FALSE)</f>
        <v>50</v>
      </c>
      <c r="K24" s="24" t="s">
        <v>197</v>
      </c>
      <c r="L24" s="24">
        <v>102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レッドラビット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red</v>
      </c>
      <c r="O24" s="22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20">
        <f ca="1">VLOOKUP($L24,OFFSET([3]enemies!$A$1,0,0,COUNTA([3]enemies!$A:$A),MATCH(Q$1,[3]enemies!$1:$1,0)-MATCH($L$1,[3]enemies!$1:$1,0)+1),MATCH(Q$1,[3]enemies!$1:$1,0)-MATCH($L$1,[3]enemies!$1:$1,0)+1,FALSE)</f>
        <v>15</v>
      </c>
      <c r="R24" s="6">
        <v>15</v>
      </c>
      <c r="S24" s="40">
        <v>1.8</v>
      </c>
      <c r="T24" s="39">
        <v>1</v>
      </c>
      <c r="U24" s="6">
        <v>0</v>
      </c>
      <c r="V24" s="5" t="str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4" s="5">
        <f ca="1">VLOOKUP($L24,OFFSET([3]enemies!$A$1,0,0,COUNTA([3]enemies!$A:$A),MATCH(W$1,[3]enemies!$1:$1,0)-MATCH($L$1,[3]enemies!$1:$1,0)+1),MATCH(W$1,[3]enemies!$1:$1,0)-MATCH($L$1,[3]enemies!$1:$1,0)+1,FALSE)</f>
        <v>0</v>
      </c>
      <c r="X24" s="7">
        <v>1</v>
      </c>
      <c r="Y24" s="7">
        <v>100</v>
      </c>
      <c r="Z24" s="7">
        <v>0</v>
      </c>
      <c r="AA24" s="20">
        <f ca="1">VLOOKUP($L24,OFFSET([3]enemies!$A$1,0,0,COUNTA([3]enemies!$A:$A),MATCH(AA$1,[3]enemies!$1:$1,0)-MATCH($L$1,[3]enemies!$1:$1,0)+1),MATCH(AA$1,[3]enemies!$1:$1,0)-MATCH($L$1,[3]enemies!$1:$1,0)+1,FALSE)</f>
        <v>2</v>
      </c>
      <c r="AB24" s="24">
        <v>102</v>
      </c>
      <c r="AC24" s="5" t="str">
        <f ca="1">IFERROR(VLOOKUP($AB24,OFFSET([4]characters!$A$1,0,0,COUNTA([4]characters!$A:$A),MATCH(AC$1,[4]characters!$1:$1,0)-MATCH("character_id",[4]characters!$1:$1,0)+1),MATCH(AC$1,[4]characters!$1:$1,0)-MATCH("character_id",[4]characters!$1:$1,0)+1,FALSE),"")</f>
        <v>レッドラビット</v>
      </c>
      <c r="AD24" s="5">
        <f ca="1">IFERROR(VLOOKUP($AB24,OFFSET([4]characters!$A$1,0,0,COUNTA([4]characters!$A:$A),MATCH(AD$1,[4]characters!$1:$1,0)-MATCH("character_id",[4]characters!$1:$1,0)+1),MATCH(AD$1,[4]characters!$1:$1,0)-MATCH("character_id",[4]characters!$1:$1,0)+1,FALSE),"")</f>
        <v>3</v>
      </c>
      <c r="AE24" s="5" t="str">
        <f ca="1">IFERROR(VLOOKUP($AB24,OFFSET([4]characters!$A$1,0,0,COUNTA([4]characters!$A:$A),MATCH(AE$1,[4]characters!$1:$1,0)-MATCH("character_id",[4]characters!$1:$1,0)+1),MATCH(AE$1,[4]characters!$1:$1,0)-MATCH("character_id",[4]characters!$1:$1,0)+1,FALSE),"")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4" s="8">
        <v>1</v>
      </c>
      <c r="AG24" s="27">
        <f t="shared" ca="1" si="3"/>
        <v>3</v>
      </c>
      <c r="AH24" s="80">
        <v>100</v>
      </c>
      <c r="AI24" s="8">
        <v>0</v>
      </c>
      <c r="AJ24" s="8">
        <v>0</v>
      </c>
      <c r="AK24" s="8">
        <v>0</v>
      </c>
      <c r="AL24" s="8">
        <v>0</v>
      </c>
      <c r="AM24" s="8">
        <v>1</v>
      </c>
      <c r="AN24" s="8">
        <v>1</v>
      </c>
    </row>
    <row r="25" spans="1:40" ht="21" customHeight="1" x14ac:dyDescent="0.15">
      <c r="A25" s="17" t="str">
        <f t="shared" ca="1" si="0"/>
        <v>11007_2-5/50&lt;lv18&gt;s2</v>
      </c>
      <c r="B25" s="8">
        <v>11007</v>
      </c>
      <c r="C25" s="25">
        <v>2</v>
      </c>
      <c r="D25" s="2" t="str">
        <f t="shared" si="1"/>
        <v>11007_2</v>
      </c>
      <c r="E25" s="5" t="str">
        <f ca="1">VLOOKUP($B25,OFFSET([2]quests!$A$1,0,0,COUNTA([2]quests!$A:$A),MATCH(E$1,[2]quests!$1:$1,0)-MATCH($B$1,[2]quests!$1:$1,0)+1),MATCH(E$1,[2]quests!$1:$1,0)-MATCH($B$1,[2]quests!$1:$1,0)+1,FALSE)</f>
        <v>【土曜限定】 赤と緑の素材</v>
      </c>
      <c r="F25" s="5" t="str">
        <f ca="1">VLOOKUP($D25,OFFSET([2]stages!$A$1,0,0,COUNTA([2]stages!$A:$A),MATCH(F$1,[2]stages!$2:$2,0)-MATCH($D$1,[2]stages!$2:$2,0)+1),MATCH(F$1,[2]stages!$2:$2,0)-MATCH($D$1,[2]stages!$2:$2,0)+1,FALSE)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5" s="25">
        <v>5</v>
      </c>
      <c r="H25" s="16" t="str">
        <f t="shared" si="2"/>
        <v>11007_2-5</v>
      </c>
      <c r="I25" s="5">
        <f ca="1">VLOOKUP($H25,OFFSET(floors!$A$1,0,0,COUNTA(floors!$A:$A),MATCH(I$1,floors!$1:$1,0)-MATCH($H$1,floors!$1:$1,0)+1),MATCH(I$1,floors!$1:$1,0)-MATCH($H$1,floors!$1:$1,0)+1,FALSE)</f>
        <v>50</v>
      </c>
      <c r="J25" s="5">
        <f ca="1">VLOOKUP($H25,OFFSET(floors!$A$1,0,0,COUNTA(floors!$A:$A),MATCH(J$1,floors!$1:$1,0)-MATCH($H$1,floors!$1:$1,0)+1),MATCH(J$1,floors!$1:$1,0)-MATCH($H$1,floors!$1:$1,0)+1,FALSE)</f>
        <v>50</v>
      </c>
      <c r="K25" s="24" t="s">
        <v>197</v>
      </c>
      <c r="L25" s="24">
        <v>50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炎銃のレジスタンス ヨシタカ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red</v>
      </c>
      <c r="O25" s="22" t="str">
        <f ca="1">VLOOKUP($L25,OFFSET([4]characters!$A$1,0,0,COUNTA([4]characters!$A:$A),MATCH(O$1,[4]characters!$1:$1,0)-MATCH($L$1,[4]characters!$1:$1,0)+1),MATCH(O$1,[4]characters!$1:$1,0)-MATCH($L$1,[4]characters!$1:$1,0)+1,FALSE)</f>
        <v>Drop1N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human</v>
      </c>
      <c r="Q25" s="20">
        <f ca="1">VLOOKUP($L25,OFFSET([3]enemies!$A$1,0,0,COUNTA([3]enemies!$A:$A),MATCH(Q$1,[3]enemies!$1:$1,0)-MATCH($L$1,[3]enemies!$1:$1,0)+1),MATCH(Q$1,[3]enemies!$1:$1,0)-MATCH($L$1,[3]enemies!$1:$1,0)+1,FALSE)</f>
        <v>20</v>
      </c>
      <c r="R25" s="6">
        <v>18</v>
      </c>
      <c r="S25" s="39">
        <v>1</v>
      </c>
      <c r="T25" s="39">
        <v>1</v>
      </c>
      <c r="U25" s="6">
        <v>0</v>
      </c>
      <c r="V25" s="5" t="str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5ターンの間ダメージを受ける</v>
      </c>
      <c r="W25" s="5">
        <f ca="1">VLOOKUP($L25,OFFSET([3]enemies!$A$1,0,0,COUNTA([3]enemies!$A:$A),MATCH(W$1,[3]enemies!$1:$1,0)-MATCH($L$1,[3]enemies!$1:$1,0)+1),MATCH(W$1,[3]enemies!$1:$1,0)-MATCH($L$1,[3]enemies!$1:$1,0)+1,FALSE)</f>
        <v>50</v>
      </c>
      <c r="X25" s="7">
        <v>0</v>
      </c>
      <c r="Y25" s="7">
        <v>100</v>
      </c>
      <c r="Z25" s="7">
        <v>1</v>
      </c>
      <c r="AA25" s="20">
        <f ca="1">VLOOKUP($L25,OFFSET([3]enemies!$A$1,0,0,COUNTA([3]enemies!$A:$A),MATCH(AA$1,[3]enemies!$1:$1,0)-MATCH($L$1,[3]enemies!$1:$1,0)+1),MATCH(AA$1,[3]enemies!$1:$1,0)-MATCH($L$1,[3]enemies!$1:$1,0)+1,FALSE)</f>
        <v>2</v>
      </c>
      <c r="AB25" s="24">
        <v>49</v>
      </c>
      <c r="AC25" s="5" t="str">
        <f ca="1">IFERROR(VLOOKUP($AB25,OFFSET([4]characters!$A$1,0,0,COUNTA([4]characters!$A:$A),MATCH(AC$1,[4]characters!$1:$1,0)-MATCH("character_id",[4]characters!$1:$1,0)+1),MATCH(AC$1,[4]characters!$1:$1,0)-MATCH("character_id",[4]characters!$1:$1,0)+1,FALSE),"")</f>
        <v>ヨシタカ</v>
      </c>
      <c r="AD25" s="5">
        <f ca="1">IFERROR(VLOOKUP($AB25,OFFSET([4]characters!$A$1,0,0,COUNTA([4]characters!$A:$A),MATCH(AD$1,[4]characters!$1:$1,0)-MATCH("character_id",[4]characters!$1:$1,0)+1),MATCH(AD$1,[4]characters!$1:$1,0)-MATCH("character_id",[4]characters!$1:$1,0)+1,FALSE),"")</f>
        <v>2</v>
      </c>
      <c r="AE25" s="5" t="str">
        <f ca="1">IFERROR(VLOOKUP($AB25,OFFSET([4]characters!$A$1,0,0,COUNTA([4]characters!$A:$A),MATCH(AE$1,[4]characters!$1:$1,0)-MATCH("character_id",[4]characters!$1:$1,0)+1),MATCH(AE$1,[4]characters!$1:$1,0)-MATCH("character_id",[4]characters!$1:$1,0)+1,FALSE),"")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5" s="8">
        <v>1</v>
      </c>
      <c r="AG25" s="27">
        <f t="shared" ca="1" si="3"/>
        <v>2</v>
      </c>
      <c r="AH25" s="9">
        <v>0</v>
      </c>
      <c r="AI25" s="8">
        <v>0</v>
      </c>
      <c r="AJ25" s="8">
        <v>0</v>
      </c>
      <c r="AK25" s="8">
        <v>0</v>
      </c>
      <c r="AL25" s="8">
        <v>0</v>
      </c>
      <c r="AM25" s="8">
        <v>1</v>
      </c>
      <c r="AN25" s="8">
        <v>1</v>
      </c>
    </row>
    <row r="26" spans="1:40" ht="21" customHeight="1" x14ac:dyDescent="0.15">
      <c r="A26" s="17" t="str">
        <f t="shared" ca="1" si="0"/>
        <v>11007_2-5/42&lt;lv18&gt;s1</v>
      </c>
      <c r="B26" s="8">
        <v>11007</v>
      </c>
      <c r="C26" s="25">
        <v>2</v>
      </c>
      <c r="D26" s="2" t="str">
        <f t="shared" si="1"/>
        <v>11007_2</v>
      </c>
      <c r="E26" s="5" t="str">
        <f ca="1">VLOOKUP($B26,OFFSET([2]quests!$A$1,0,0,COUNTA([2]quests!$A:$A),MATCH(E$1,[2]quests!$1:$1,0)-MATCH($B$1,[2]quests!$1:$1,0)+1),MATCH(E$1,[2]quests!$1:$1,0)-MATCH($B$1,[2]quests!$1:$1,0)+1,FALSE)</f>
        <v>【土曜限定】 赤と緑の素材</v>
      </c>
      <c r="F26" s="5" t="str">
        <f ca="1">VLOOKUP($D26,OFFSET([2]stages!$A$1,0,0,COUNTA([2]stages!$A:$A),MATCH(F$1,[2]stages!$2:$2,0)-MATCH($D$1,[2]stages!$2:$2,0)+1),MATCH(F$1,[2]stages!$2:$2,0)-MATCH($D$1,[2]stages!$2:$2,0)+1,FALSE)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6" s="25">
        <v>5</v>
      </c>
      <c r="H26" s="16" t="str">
        <f t="shared" si="2"/>
        <v>11007_2-5</v>
      </c>
      <c r="I26" s="5">
        <f ca="1">VLOOKUP($H26,OFFSET(floors!$A$1,0,0,COUNTA(floors!$A:$A),MATCH(I$1,floors!$1:$1,0)-MATCH($H$1,floors!$1:$1,0)+1),MATCH(I$1,floors!$1:$1,0)-MATCH($H$1,floors!$1:$1,0)+1,FALSE)</f>
        <v>50</v>
      </c>
      <c r="J26" s="5">
        <f ca="1">VLOOKUP($H26,OFFSET(floors!$A$1,0,0,COUNTA(floors!$A:$A),MATCH(J$1,floors!$1:$1,0)-MATCH($H$1,floors!$1:$1,0)+1),MATCH(J$1,floors!$1:$1,0)-MATCH($H$1,floors!$1:$1,0)+1,FALSE)</f>
        <v>50</v>
      </c>
      <c r="K26" s="24" t="s">
        <v>197</v>
      </c>
      <c r="L26" s="24">
        <v>42</v>
      </c>
      <c r="M26" s="20" t="str">
        <f ca="1">VLOOKUP($L26,OFFSET([3]enemies!$A$1,0,0,COUNTA([3]enemies!$A:$A),MATCH(M$1,[3]enemies!$1:$1,0)-MATCH($L$1,[3]enemies!$1:$1,0)+1),MATCH(M$1,[3]enemies!$1:$1,0)-MATCH($L$1,[3]enemies!$1:$1,0)+1,FALSE)</f>
        <v>燃えゆる吐息 ヒュウガ</v>
      </c>
      <c r="N26" s="20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22" t="str">
        <f ca="1">VLOOKUP($L26,OFFSET([4]characters!$A$1,0,0,COUNTA([4]characters!$A:$A),MATCH(O$1,[4]characters!$1:$1,0)-MATCH($L$1,[4]characters!$1:$1,0)+1),MATCH(O$1,[4]characters!$1:$1,0)-MATCH($L$1,[4]characters!$1:$1,0)+1,FALSE)</f>
        <v>Drop1N</v>
      </c>
      <c r="P26" s="20" t="str">
        <f ca="1">VLOOKUP($L26,OFFSET([3]enemies!$A$1,0,0,COUNTA([3]enemies!$A:$A),MATCH(P$1,[3]enemies!$1:$1,0)-MATCH($L$1,[3]enemies!$1:$1,0)+1),MATCH(P$1,[3]enemies!$1:$1,0)-MATCH($L$1,[3]enemies!$1:$1,0)+1,FALSE)</f>
        <v>dragon</v>
      </c>
      <c r="Q26" s="20">
        <f ca="1">VLOOKUP($L26,OFFSET([3]enemies!$A$1,0,0,COUNTA([3]enemies!$A:$A),MATCH(Q$1,[3]enemies!$1:$1,0)-MATCH($L$1,[3]enemies!$1:$1,0)+1),MATCH(Q$1,[3]enemies!$1:$1,0)-MATCH($L$1,[3]enemies!$1:$1,0)+1,FALSE)</f>
        <v>20</v>
      </c>
      <c r="R26" s="6">
        <v>18</v>
      </c>
      <c r="S26" s="39">
        <v>1</v>
      </c>
      <c r="T26" s="39">
        <v>1</v>
      </c>
      <c r="U26" s="6">
        <v>0</v>
      </c>
      <c r="V26" s="5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5">
        <f ca="1">VLOOKUP($L26,OFFSET([3]enemies!$A$1,0,0,COUNTA([3]enemies!$A:$A),MATCH(W$1,[3]enemies!$1:$1,0)-MATCH($L$1,[3]enemies!$1:$1,0)+1),MATCH(W$1,[3]enemies!$1:$1,0)-MATCH($L$1,[3]enemies!$1:$1,0)+1,FALSE)</f>
        <v>0</v>
      </c>
      <c r="X26" s="7">
        <v>0</v>
      </c>
      <c r="Y26" s="7">
        <v>100</v>
      </c>
      <c r="Z26" s="7">
        <v>1</v>
      </c>
      <c r="AA26" s="20">
        <f ca="1">VLOOKUP($L26,OFFSET([3]enemies!$A$1,0,0,COUNTA([3]enemies!$A:$A),MATCH(AA$1,[3]enemies!$1:$1,0)-MATCH($L$1,[3]enemies!$1:$1,0)+1),MATCH(AA$1,[3]enemies!$1:$1,0)-MATCH($L$1,[3]enemies!$1:$1,0)+1,FALSE)</f>
        <v>1</v>
      </c>
      <c r="AB26" s="24">
        <v>41</v>
      </c>
      <c r="AC26" s="5" t="str">
        <f ca="1">IFERROR(VLOOKUP($AB26,OFFSET([4]characters!$A$1,0,0,COUNTA([4]characters!$A:$A),MATCH(AC$1,[4]characters!$1:$1,0)-MATCH("character_id",[4]characters!$1:$1,0)+1),MATCH(AC$1,[4]characters!$1:$1,0)-MATCH("character_id",[4]characters!$1:$1,0)+1,FALSE),"")</f>
        <v>ヒュウガ</v>
      </c>
      <c r="AD26" s="5">
        <f ca="1">IFERROR(VLOOKUP($AB26,OFFSET([4]characters!$A$1,0,0,COUNTA([4]characters!$A:$A),MATCH(AD$1,[4]characters!$1:$1,0)-MATCH("character_id",[4]characters!$1:$1,0)+1),MATCH(AD$1,[4]characters!$1:$1,0)-MATCH("character_id",[4]characters!$1:$1,0)+1,FALSE),"")</f>
        <v>2</v>
      </c>
      <c r="AE26" s="5" t="str">
        <f ca="1">IFERROR(VLOOKUP($AB26,OFFSET([4]characters!$A$1,0,0,COUNTA([4]characters!$A:$A),MATCH(AE$1,[4]characters!$1:$1,0)-MATCH("character_id",[4]characters!$1:$1,0)+1),MATCH(AE$1,[4]characters!$1:$1,0)-MATCH("character_id",[4]characters!$1:$1,0)+1,FALSE),"")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6" s="8">
        <v>1</v>
      </c>
      <c r="AG26" s="27">
        <f t="shared" ca="1" si="3"/>
        <v>2</v>
      </c>
      <c r="AH26" s="9">
        <v>0</v>
      </c>
      <c r="AI26" s="8">
        <v>0</v>
      </c>
      <c r="AJ26" s="8">
        <v>0</v>
      </c>
      <c r="AK26" s="8">
        <v>0</v>
      </c>
      <c r="AL26" s="8">
        <v>0</v>
      </c>
      <c r="AM26" s="8">
        <v>1</v>
      </c>
      <c r="AN26" s="8">
        <v>1</v>
      </c>
    </row>
    <row r="27" spans="1:40" ht="21" customHeight="1" x14ac:dyDescent="0.15">
      <c r="A27" s="17" t="str">
        <f t="shared" ca="1" si="0"/>
        <v>11007_2-5/58&lt;lv18&gt;s2</v>
      </c>
      <c r="B27" s="8">
        <v>11007</v>
      </c>
      <c r="C27" s="25">
        <v>2</v>
      </c>
      <c r="D27" s="2" t="str">
        <f t="shared" si="1"/>
        <v>11007_2</v>
      </c>
      <c r="E27" s="5" t="str">
        <f ca="1">VLOOKUP($B27,OFFSET([2]quests!$A$1,0,0,COUNTA([2]quests!$A:$A),MATCH(E$1,[2]quests!$1:$1,0)-MATCH($B$1,[2]quests!$1:$1,0)+1),MATCH(E$1,[2]quests!$1:$1,0)-MATCH($B$1,[2]quests!$1:$1,0)+1,FALSE)</f>
        <v>【土曜限定】 赤と緑の素材</v>
      </c>
      <c r="F27" s="5" t="str">
        <f ca="1">VLOOKUP($D27,OFFSET([2]stages!$A$1,0,0,COUNTA([2]stages!$A:$A),MATCH(F$1,[2]stages!$2:$2,0)-MATCH($D$1,[2]stages!$2:$2,0)+1),MATCH(F$1,[2]stages!$2:$2,0)-MATCH($D$1,[2]stages!$2:$2,0)+1,FALSE)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7" s="25">
        <v>5</v>
      </c>
      <c r="H27" s="16" t="str">
        <f t="shared" si="2"/>
        <v>11007_2-5</v>
      </c>
      <c r="I27" s="5">
        <f ca="1">VLOOKUP($H27,OFFSET(floors!$A$1,0,0,COUNTA(floors!$A:$A),MATCH(I$1,floors!$1:$1,0)-MATCH($H$1,floors!$1:$1,0)+1),MATCH(I$1,floors!$1:$1,0)-MATCH($H$1,floors!$1:$1,0)+1,FALSE)</f>
        <v>50</v>
      </c>
      <c r="J27" s="5">
        <f ca="1">VLOOKUP($H27,OFFSET(floors!$A$1,0,0,COUNTA(floors!$A:$A),MATCH(J$1,floors!$1:$1,0)-MATCH($H$1,floors!$1:$1,0)+1),MATCH(J$1,floors!$1:$1,0)-MATCH($H$1,floors!$1:$1,0)+1,FALSE)</f>
        <v>50</v>
      </c>
      <c r="K27" s="24" t="s">
        <v>197</v>
      </c>
      <c r="L27" s="24">
        <v>58</v>
      </c>
      <c r="M27" s="20" t="str">
        <f ca="1">VLOOKUP($L27,OFFSET([3]enemies!$A$1,0,0,COUNTA([3]enemies!$A:$A),MATCH(M$1,[3]enemies!$1:$1,0)-MATCH($L$1,[3]enemies!$1:$1,0)+1),MATCH(M$1,[3]enemies!$1:$1,0)-MATCH($L$1,[3]enemies!$1:$1,0)+1,FALSE)</f>
        <v>ドランクマスター チェン・リー</v>
      </c>
      <c r="N27" s="20" t="str">
        <f ca="1">VLOOKUP($L27,OFFSET([3]enemies!$A$1,0,0,COUNTA([3]enemies!$A:$A),MATCH(N$1,[3]enemies!$1:$1,0)-MATCH($L$1,[3]enemies!$1:$1,0)+1),MATCH(N$1,[3]enemies!$1:$1,0)-MATCH($L$1,[3]enemies!$1:$1,0)+1,FALSE)</f>
        <v>red</v>
      </c>
      <c r="O27" s="22" t="str">
        <f ca="1">VLOOKUP($L27,OFFSET([4]characters!$A$1,0,0,COUNTA([4]characters!$A:$A),MATCH(O$1,[4]characters!$1:$1,0)-MATCH($L$1,[4]characters!$1:$1,0)+1),MATCH(O$1,[4]characters!$1:$1,0)-MATCH($L$1,[4]characters!$1:$1,0)+1,FALSE)</f>
        <v>Drop1N</v>
      </c>
      <c r="P27" s="20" t="str">
        <f ca="1">VLOOKUP($L27,OFFSET([3]enemies!$A$1,0,0,COUNTA([3]enemies!$A:$A),MATCH(P$1,[3]enemies!$1:$1,0)-MATCH($L$1,[3]enemies!$1:$1,0)+1),MATCH(P$1,[3]enemies!$1:$1,0)-MATCH($L$1,[3]enemies!$1:$1,0)+1,FALSE)</f>
        <v>animal</v>
      </c>
      <c r="Q27" s="20">
        <f ca="1">VLOOKUP($L27,OFFSET([3]enemies!$A$1,0,0,COUNTA([3]enemies!$A:$A),MATCH(Q$1,[3]enemies!$1:$1,0)-MATCH($L$1,[3]enemies!$1:$1,0)+1),MATCH(Q$1,[3]enemies!$1:$1,0)-MATCH($L$1,[3]enemies!$1:$1,0)+1,FALSE)</f>
        <v>20</v>
      </c>
      <c r="R27" s="6">
        <v>18</v>
      </c>
      <c r="S27" s="39">
        <v>1</v>
      </c>
      <c r="T27" s="39">
        <v>1</v>
      </c>
      <c r="U27" s="6">
        <v>0</v>
      </c>
      <c r="V27" s="5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5">
        <f ca="1">VLOOKUP($L27,OFFSET([3]enemies!$A$1,0,0,COUNTA([3]enemies!$A:$A),MATCH(W$1,[3]enemies!$1:$1,0)-MATCH($L$1,[3]enemies!$1:$1,0)+1),MATCH(W$1,[3]enemies!$1:$1,0)-MATCH($L$1,[3]enemies!$1:$1,0)+1,FALSE)</f>
        <v>0</v>
      </c>
      <c r="X27" s="7">
        <v>0</v>
      </c>
      <c r="Y27" s="7">
        <v>100</v>
      </c>
      <c r="Z27" s="7">
        <v>1</v>
      </c>
      <c r="AA27" s="20">
        <f ca="1">VLOOKUP($L27,OFFSET([3]enemies!$A$1,0,0,COUNTA([3]enemies!$A:$A),MATCH(AA$1,[3]enemies!$1:$1,0)-MATCH($L$1,[3]enemies!$1:$1,0)+1),MATCH(AA$1,[3]enemies!$1:$1,0)-MATCH($L$1,[3]enemies!$1:$1,0)+1,FALSE)</f>
        <v>2</v>
      </c>
      <c r="AB27" s="24">
        <v>57</v>
      </c>
      <c r="AC27" s="5" t="str">
        <f ca="1">IFERROR(VLOOKUP($AB27,OFFSET([4]characters!$A$1,0,0,COUNTA([4]characters!$A:$A),MATCH(AC$1,[4]characters!$1:$1,0)-MATCH("character_id",[4]characters!$1:$1,0)+1),MATCH(AC$1,[4]characters!$1:$1,0)-MATCH("character_id",[4]characters!$1:$1,0)+1,FALSE),"")</f>
        <v>チェン・リー</v>
      </c>
      <c r="AD27" s="5">
        <f ca="1">IFERROR(VLOOKUP($AB27,OFFSET([4]characters!$A$1,0,0,COUNTA([4]characters!$A:$A),MATCH(AD$1,[4]characters!$1:$1,0)-MATCH("character_id",[4]characters!$1:$1,0)+1),MATCH(AD$1,[4]characters!$1:$1,0)-MATCH("character_id",[4]characters!$1:$1,0)+1,FALSE),"")</f>
        <v>2</v>
      </c>
      <c r="AE27" s="5" t="str">
        <f ca="1">IFERROR(VLOOKUP($AB27,OFFSET([4]characters!$A$1,0,0,COUNTA([4]characters!$A:$A),MATCH(AE$1,[4]characters!$1:$1,0)-MATCH("character_id",[4]characters!$1:$1,0)+1),MATCH(AE$1,[4]characters!$1:$1,0)-MATCH("character_id",[4]characters!$1:$1,0)+1,FALSE),"")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27" s="8">
        <v>1</v>
      </c>
      <c r="AG27" s="27">
        <f t="shared" ca="1" si="3"/>
        <v>2</v>
      </c>
      <c r="AH27" s="9">
        <v>0</v>
      </c>
      <c r="AI27" s="8">
        <v>0</v>
      </c>
      <c r="AJ27" s="8">
        <v>0</v>
      </c>
      <c r="AK27" s="8">
        <v>0</v>
      </c>
      <c r="AL27" s="8">
        <v>0</v>
      </c>
      <c r="AM27" s="8">
        <v>1</v>
      </c>
      <c r="AN27" s="8">
        <v>1</v>
      </c>
    </row>
    <row r="28" spans="1:40" ht="21" customHeight="1" x14ac:dyDescent="0.15">
      <c r="A28" s="17" t="str">
        <f t="shared" ref="A28:A107" ca="1" si="4">B28&amp;"_"&amp;C28&amp;"-"&amp;G28&amp;"/"&amp;L28&amp;"&lt;lv"&amp;R28&amp;"&gt;s"&amp;AA28</f>
        <v>11007_2-1/106&lt;lv15&gt;s2</v>
      </c>
      <c r="B28" s="8">
        <v>11007</v>
      </c>
      <c r="C28" s="25">
        <v>2</v>
      </c>
      <c r="D28" s="2" t="str">
        <f t="shared" si="1"/>
        <v>11007_2</v>
      </c>
      <c r="E28" s="5" t="str">
        <f ca="1">VLOOKUP($B28,OFFSET([2]quests!$A$1,0,0,COUNTA([2]quests!$A:$A),MATCH(E$1,[2]quests!$1:$1,0)-MATCH($B$1,[2]quests!$1:$1,0)+1),MATCH(E$1,[2]quests!$1:$1,0)-MATCH($B$1,[2]quests!$1:$1,0)+1,FALSE)</f>
        <v>【土曜限定】 赤と緑の素材</v>
      </c>
      <c r="F28" s="5" t="str">
        <f ca="1">VLOOKUP($D28,OFFSET([2]stages!$A$1,0,0,COUNTA([2]stages!$A:$A),MATCH(F$1,[2]stages!$2:$2,0)-MATCH($D$1,[2]stages!$2:$2,0)+1),MATCH(F$1,[2]stages!$2:$2,0)-MATCH($D$1,[2]stages!$2:$2,0)+1,FALSE)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8" s="25">
        <v>1</v>
      </c>
      <c r="H28" s="16" t="str">
        <f t="shared" si="2"/>
        <v>11007_2-1</v>
      </c>
      <c r="I28" s="5">
        <f ca="1">VLOOKUP($H28,OFFSET(floors!$A$1,0,0,COUNTA(floors!$A:$A),MATCH(I$1,floors!$1:$1,0)-MATCH($H$1,floors!$1:$1,0)+1),MATCH(I$1,floors!$1:$1,0)-MATCH($H$1,floors!$1:$1,0)+1,FALSE)</f>
        <v>30</v>
      </c>
      <c r="J28" s="5">
        <f ca="1">VLOOKUP($H28,OFFSET(floors!$A$1,0,0,COUNTA(floors!$A:$A),MATCH(J$1,floors!$1:$1,0)-MATCH($H$1,floors!$1:$1,0)+1),MATCH(J$1,floors!$1:$1,0)-MATCH($H$1,floors!$1:$1,0)+1,FALSE)</f>
        <v>30</v>
      </c>
      <c r="K28" s="24" t="s">
        <v>197</v>
      </c>
      <c r="L28" s="24">
        <v>106</v>
      </c>
      <c r="M28" s="20" t="str">
        <f ca="1">VLOOKUP($L28,OFFSET([3]enemies!$A$1,0,0,COUNTA([3]enemies!$A:$A),MATCH(M$1,[3]enemies!$1:$1,0)-MATCH($L$1,[3]enemies!$1:$1,0)+1),MATCH(M$1,[3]enemies!$1:$1,0)-MATCH($L$1,[3]enemies!$1:$1,0)+1,FALSE)</f>
        <v>グリーンラビット</v>
      </c>
      <c r="N28" s="20" t="str">
        <f ca="1">VLOOKUP($L28,OFFSET([3]enemies!$A$1,0,0,COUNTA([3]enemies!$A:$A),MATCH(N$1,[3]enemies!$1:$1,0)-MATCH($L$1,[3]enemies!$1:$1,0)+1),MATCH(N$1,[3]enemies!$1:$1,0)-MATCH($L$1,[3]enemies!$1:$1,0)+1,FALSE)</f>
        <v>green</v>
      </c>
      <c r="O28" s="22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20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20">
        <f ca="1">VLOOKUP($L28,OFFSET([3]enemies!$A$1,0,0,COUNTA([3]enemies!$A:$A),MATCH(Q$1,[3]enemies!$1:$1,0)-MATCH($L$1,[3]enemies!$1:$1,0)+1),MATCH(Q$1,[3]enemies!$1:$1,0)-MATCH($L$1,[3]enemies!$1:$1,0)+1,FALSE)</f>
        <v>15</v>
      </c>
      <c r="R28" s="6">
        <v>15</v>
      </c>
      <c r="S28" s="40">
        <v>1.8</v>
      </c>
      <c r="T28" s="39">
        <v>1</v>
      </c>
      <c r="U28" s="6">
        <v>0</v>
      </c>
      <c r="V28" s="5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5">
        <f ca="1">VLOOKUP($L28,OFFSET([3]enemies!$A$1,0,0,COUNTA([3]enemies!$A:$A),MATCH(W$1,[3]enemies!$1:$1,0)-MATCH($L$1,[3]enemies!$1:$1,0)+1),MATCH(W$1,[3]enemies!$1:$1,0)-MATCH($L$1,[3]enemies!$1:$1,0)+1,FALSE)</f>
        <v>0</v>
      </c>
      <c r="X28" s="7">
        <v>0</v>
      </c>
      <c r="Y28" s="7">
        <v>100</v>
      </c>
      <c r="Z28" s="7">
        <v>0</v>
      </c>
      <c r="AA28" s="20">
        <f ca="1">VLOOKUP($L28,OFFSET([3]enemies!$A$1,0,0,COUNTA([3]enemies!$A:$A),MATCH(AA$1,[3]enemies!$1:$1,0)-MATCH($L$1,[3]enemies!$1:$1,0)+1),MATCH(AA$1,[3]enemies!$1:$1,0)-MATCH($L$1,[3]enemies!$1:$1,0)+1,FALSE)</f>
        <v>2</v>
      </c>
      <c r="AB28" s="24">
        <v>106</v>
      </c>
      <c r="AC28" s="5" t="str">
        <f ca="1">IFERROR(VLOOKUP($AB28,OFFSET([4]characters!$A$1,0,0,COUNTA([4]characters!$A:$A),MATCH(AC$1,[4]characters!$1:$1,0)-MATCH("character_id",[4]characters!$1:$1,0)+1),MATCH(AC$1,[4]characters!$1:$1,0)-MATCH("character_id",[4]characters!$1:$1,0)+1,FALSE),"")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28" s="5">
        <f ca="1">IFERROR(VLOOKUP($AB28,OFFSET([4]characters!$A$1,0,0,COUNTA([4]characters!$A:$A),MATCH(AD$1,[4]characters!$1:$1,0)-MATCH("character_id",[4]characters!$1:$1,0)+1),MATCH(AD$1,[4]characters!$1:$1,0)-MATCH("character_id",[4]characters!$1:$1,0)+1,FALSE),"")</f>
        <v>3</v>
      </c>
      <c r="AE28" s="5" t="str">
        <f ca="1">IFERROR(VLOOKUP($AB28,OFFSET([4]characters!$A$1,0,0,COUNTA([4]characters!$A:$A),MATCH(AE$1,[4]characters!$1:$1,0)-MATCH("character_id",[4]characters!$1:$1,0)+1),MATCH(AE$1,[4]characters!$1:$1,0)-MATCH("character_id",[4]characters!$1:$1,0)+1,FALSE),"")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8" s="8">
        <v>1</v>
      </c>
      <c r="AG28" s="27">
        <f t="shared" ca="1" si="3"/>
        <v>3</v>
      </c>
      <c r="AH28" s="80">
        <v>20</v>
      </c>
      <c r="AI28" s="8">
        <v>0</v>
      </c>
      <c r="AJ28" s="8">
        <v>0</v>
      </c>
      <c r="AK28" s="8">
        <v>0</v>
      </c>
      <c r="AL28" s="8">
        <v>0</v>
      </c>
      <c r="AM28" s="8">
        <v>1</v>
      </c>
      <c r="AN28" s="8">
        <v>1</v>
      </c>
    </row>
    <row r="29" spans="1:40" ht="21" customHeight="1" x14ac:dyDescent="0.15">
      <c r="A29" s="17" t="str">
        <f t="shared" ca="1" si="4"/>
        <v>11007_2-2/106&lt;lv15&gt;s2</v>
      </c>
      <c r="B29" s="8">
        <v>11007</v>
      </c>
      <c r="C29" s="25">
        <v>2</v>
      </c>
      <c r="D29" s="2" t="str">
        <f t="shared" si="1"/>
        <v>11007_2</v>
      </c>
      <c r="E29" s="5" t="str">
        <f ca="1">VLOOKUP($B29,OFFSET([2]quests!$A$1,0,0,COUNTA([2]quests!$A:$A),MATCH(E$1,[2]quests!$1:$1,0)-MATCH($B$1,[2]quests!$1:$1,0)+1),MATCH(E$1,[2]quests!$1:$1,0)-MATCH($B$1,[2]quests!$1:$1,0)+1,FALSE)</f>
        <v>【土曜限定】 赤と緑の素材</v>
      </c>
      <c r="F29" s="5" t="str">
        <f ca="1">VLOOKUP($D29,OFFSET([2]stages!$A$1,0,0,COUNTA([2]stages!$A:$A),MATCH(F$1,[2]stages!$2:$2,0)-MATCH($D$1,[2]stages!$2:$2,0)+1),MATCH(F$1,[2]stages!$2:$2,0)-MATCH($D$1,[2]stages!$2:$2,0)+1,FALSE)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29" s="25">
        <v>2</v>
      </c>
      <c r="H29" s="16" t="str">
        <f t="shared" si="2"/>
        <v>11007_2-2</v>
      </c>
      <c r="I29" s="5">
        <f ca="1">VLOOKUP($H29,OFFSET(floors!$A$1,0,0,COUNTA(floors!$A:$A),MATCH(I$1,floors!$1:$1,0)-MATCH($H$1,floors!$1:$1,0)+1),MATCH(I$1,floors!$1:$1,0)-MATCH($H$1,floors!$1:$1,0)+1,FALSE)</f>
        <v>30</v>
      </c>
      <c r="J29" s="5">
        <f ca="1">VLOOKUP($H29,OFFSET(floors!$A$1,0,0,COUNTA(floors!$A:$A),MATCH(J$1,floors!$1:$1,0)-MATCH($H$1,floors!$1:$1,0)+1),MATCH(J$1,floors!$1:$1,0)-MATCH($H$1,floors!$1:$1,0)+1,FALSE)</f>
        <v>30</v>
      </c>
      <c r="K29" s="24" t="s">
        <v>197</v>
      </c>
      <c r="L29" s="24">
        <v>106</v>
      </c>
      <c r="M29" s="20" t="str">
        <f ca="1">VLOOKUP($L29,OFFSET([3]enemies!$A$1,0,0,COUNTA([3]enemies!$A:$A),MATCH(M$1,[3]enemies!$1:$1,0)-MATCH($L$1,[3]enemies!$1:$1,0)+1),MATCH(M$1,[3]enemies!$1:$1,0)-MATCH($L$1,[3]enemies!$1:$1,0)+1,FALSE)</f>
        <v>グリーンラビット</v>
      </c>
      <c r="N29" s="20" t="str">
        <f ca="1">VLOOKUP($L29,OFFSET([3]enemies!$A$1,0,0,COUNTA([3]enemies!$A:$A),MATCH(N$1,[3]enemies!$1:$1,0)-MATCH($L$1,[3]enemies!$1:$1,0)+1),MATCH(N$1,[3]enemies!$1:$1,0)-MATCH($L$1,[3]enemies!$1:$1,0)+1,FALSE)</f>
        <v>green</v>
      </c>
      <c r="O29" s="22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0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0">
        <f ca="1">VLOOKUP($L29,OFFSET([3]enemies!$A$1,0,0,COUNTA([3]enemies!$A:$A),MATCH(Q$1,[3]enemies!$1:$1,0)-MATCH($L$1,[3]enemies!$1:$1,0)+1),MATCH(Q$1,[3]enemies!$1:$1,0)-MATCH($L$1,[3]enemies!$1:$1,0)+1,FALSE)</f>
        <v>15</v>
      </c>
      <c r="R29" s="6">
        <v>15</v>
      </c>
      <c r="S29" s="40">
        <v>1.8</v>
      </c>
      <c r="T29" s="39">
        <v>1</v>
      </c>
      <c r="U29" s="6">
        <v>0</v>
      </c>
      <c r="V29" s="5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5">
        <f ca="1">VLOOKUP($L29,OFFSET([3]enemies!$A$1,0,0,COUNTA([3]enemies!$A:$A),MATCH(W$1,[3]enemies!$1:$1,0)-MATCH($L$1,[3]enemies!$1:$1,0)+1),MATCH(W$1,[3]enemies!$1:$1,0)-MATCH($L$1,[3]enemies!$1:$1,0)+1,FALSE)</f>
        <v>0</v>
      </c>
      <c r="X29" s="7">
        <v>0</v>
      </c>
      <c r="Y29" s="7">
        <v>100</v>
      </c>
      <c r="Z29" s="7">
        <v>0</v>
      </c>
      <c r="AA29" s="20">
        <f ca="1">VLOOKUP($L29,OFFSET([3]enemies!$A$1,0,0,COUNTA([3]enemies!$A:$A),MATCH(AA$1,[3]enemies!$1:$1,0)-MATCH($L$1,[3]enemies!$1:$1,0)+1),MATCH(AA$1,[3]enemies!$1:$1,0)-MATCH($L$1,[3]enemies!$1:$1,0)+1,FALSE)</f>
        <v>2</v>
      </c>
      <c r="AB29" s="24">
        <v>106</v>
      </c>
      <c r="AC29" s="5" t="str">
        <f ca="1">IFERROR(VLOOKUP($AB29,OFFSET([4]characters!$A$1,0,0,COUNTA([4]characters!$A:$A),MATCH(AC$1,[4]characters!$1:$1,0)-MATCH("character_id",[4]characters!$1:$1,0)+1),MATCH(AC$1,[4]characters!$1:$1,0)-MATCH("character_id",[4]characters!$1:$1,0)+1,FALSE),"")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29" s="5">
        <f ca="1">IFERROR(VLOOKUP($AB29,OFFSET([4]characters!$A$1,0,0,COUNTA([4]characters!$A:$A),MATCH(AD$1,[4]characters!$1:$1,0)-MATCH("character_id",[4]characters!$1:$1,0)+1),MATCH(AD$1,[4]characters!$1:$1,0)-MATCH("character_id",[4]characters!$1:$1,0)+1,FALSE),"")</f>
        <v>3</v>
      </c>
      <c r="AE29" s="5" t="str">
        <f ca="1">IFERROR(VLOOKUP($AB29,OFFSET([4]characters!$A$1,0,0,COUNTA([4]characters!$A:$A),MATCH(AE$1,[4]characters!$1:$1,0)-MATCH("character_id",[4]characters!$1:$1,0)+1),MATCH(AE$1,[4]characters!$1:$1,0)-MATCH("character_id",[4]characters!$1:$1,0)+1,FALSE),"")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29" s="8">
        <v>1</v>
      </c>
      <c r="AG29" s="27">
        <f t="shared" ca="1" si="3"/>
        <v>3</v>
      </c>
      <c r="AH29" s="80">
        <v>20</v>
      </c>
      <c r="AI29" s="8">
        <v>0</v>
      </c>
      <c r="AJ29" s="8">
        <v>0</v>
      </c>
      <c r="AK29" s="8">
        <v>0</v>
      </c>
      <c r="AL29" s="8">
        <v>0</v>
      </c>
      <c r="AM29" s="8">
        <v>1</v>
      </c>
      <c r="AN29" s="8">
        <v>1</v>
      </c>
    </row>
    <row r="30" spans="1:40" ht="21" customHeight="1" x14ac:dyDescent="0.15">
      <c r="A30" s="17" t="str">
        <f t="shared" ca="1" si="4"/>
        <v>11007_2-3/106&lt;lv15&gt;s2</v>
      </c>
      <c r="B30" s="8">
        <v>11007</v>
      </c>
      <c r="C30" s="25">
        <v>2</v>
      </c>
      <c r="D30" s="2" t="str">
        <f t="shared" si="1"/>
        <v>11007_2</v>
      </c>
      <c r="E30" s="5" t="str">
        <f ca="1">VLOOKUP($B30,OFFSET([2]quests!$A$1,0,0,COUNTA([2]quests!$A:$A),MATCH(E$1,[2]quests!$1:$1,0)-MATCH($B$1,[2]quests!$1:$1,0)+1),MATCH(E$1,[2]quests!$1:$1,0)-MATCH($B$1,[2]quests!$1:$1,0)+1,FALSE)</f>
        <v>【土曜限定】 赤と緑の素材</v>
      </c>
      <c r="F30" s="5" t="str">
        <f ca="1">VLOOKUP($D30,OFFSET([2]stages!$A$1,0,0,COUNTA([2]stages!$A:$A),MATCH(F$1,[2]stages!$2:$2,0)-MATCH($D$1,[2]stages!$2:$2,0)+1),MATCH(F$1,[2]stages!$2:$2,0)-MATCH($D$1,[2]stages!$2:$2,0)+1,FALSE)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0" s="25">
        <v>3</v>
      </c>
      <c r="H30" s="16" t="str">
        <f t="shared" si="2"/>
        <v>11007_2-3</v>
      </c>
      <c r="I30" s="5">
        <f ca="1">VLOOKUP($H30,OFFSET(floors!$A$1,0,0,COUNTA(floors!$A:$A),MATCH(I$1,floors!$1:$1,0)-MATCH($H$1,floors!$1:$1,0)+1),MATCH(I$1,floors!$1:$1,0)-MATCH($H$1,floors!$1:$1,0)+1,FALSE)</f>
        <v>45</v>
      </c>
      <c r="J30" s="5">
        <f ca="1">VLOOKUP($H30,OFFSET(floors!$A$1,0,0,COUNTA(floors!$A:$A),MATCH(J$1,floors!$1:$1,0)-MATCH($H$1,floors!$1:$1,0)+1),MATCH(J$1,floors!$1:$1,0)-MATCH($H$1,floors!$1:$1,0)+1,FALSE)</f>
        <v>45</v>
      </c>
      <c r="K30" s="24" t="s">
        <v>197</v>
      </c>
      <c r="L30" s="24">
        <v>106</v>
      </c>
      <c r="M30" s="20" t="str">
        <f ca="1">VLOOKUP($L30,OFFSET([3]enemies!$A$1,0,0,COUNTA([3]enemies!$A:$A),MATCH(M$1,[3]enemies!$1:$1,0)-MATCH($L$1,[3]enemies!$1:$1,0)+1),MATCH(M$1,[3]enemies!$1:$1,0)-MATCH($L$1,[3]enemies!$1:$1,0)+1,FALSE)</f>
        <v>グリーンラビット</v>
      </c>
      <c r="N30" s="20" t="str">
        <f ca="1">VLOOKUP($L30,OFFSET([3]enemies!$A$1,0,0,COUNTA([3]enemies!$A:$A),MATCH(N$1,[3]enemies!$1:$1,0)-MATCH($L$1,[3]enemies!$1:$1,0)+1),MATCH(N$1,[3]enemies!$1:$1,0)-MATCH($L$1,[3]enemies!$1:$1,0)+1,FALSE)</f>
        <v>green</v>
      </c>
      <c r="O30" s="22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20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20">
        <f ca="1">VLOOKUP($L30,OFFSET([3]enemies!$A$1,0,0,COUNTA([3]enemies!$A:$A),MATCH(Q$1,[3]enemies!$1:$1,0)-MATCH($L$1,[3]enemies!$1:$1,0)+1),MATCH(Q$1,[3]enemies!$1:$1,0)-MATCH($L$1,[3]enemies!$1:$1,0)+1,FALSE)</f>
        <v>15</v>
      </c>
      <c r="R30" s="6">
        <v>15</v>
      </c>
      <c r="S30" s="40">
        <v>1.8</v>
      </c>
      <c r="T30" s="39">
        <v>1</v>
      </c>
      <c r="U30" s="6">
        <v>0</v>
      </c>
      <c r="V30" s="5" t="str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0" s="5">
        <f ca="1">VLOOKUP($L30,OFFSET([3]enemies!$A$1,0,0,COUNTA([3]enemies!$A:$A),MATCH(W$1,[3]enemies!$1:$1,0)-MATCH($L$1,[3]enemies!$1:$1,0)+1),MATCH(W$1,[3]enemies!$1:$1,0)-MATCH($L$1,[3]enemies!$1:$1,0)+1,FALSE)</f>
        <v>0</v>
      </c>
      <c r="X30" s="7">
        <v>0</v>
      </c>
      <c r="Y30" s="7">
        <v>100</v>
      </c>
      <c r="Z30" s="7">
        <v>0</v>
      </c>
      <c r="AA30" s="20">
        <f ca="1">VLOOKUP($L30,OFFSET([3]enemies!$A$1,0,0,COUNTA([3]enemies!$A:$A),MATCH(AA$1,[3]enemies!$1:$1,0)-MATCH($L$1,[3]enemies!$1:$1,0)+1),MATCH(AA$1,[3]enemies!$1:$1,0)-MATCH($L$1,[3]enemies!$1:$1,0)+1,FALSE)</f>
        <v>2</v>
      </c>
      <c r="AB30" s="24">
        <v>106</v>
      </c>
      <c r="AC30" s="5" t="str">
        <f ca="1">IFERROR(VLOOKUP($AB30,OFFSET([4]characters!$A$1,0,0,COUNTA([4]characters!$A:$A),MATCH(AC$1,[4]characters!$1:$1,0)-MATCH("character_id",[4]characters!$1:$1,0)+1),MATCH(AC$1,[4]characters!$1:$1,0)-MATCH("character_id",[4]characters!$1:$1,0)+1,FALSE),"")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30" s="5">
        <f ca="1">IFERROR(VLOOKUP($AB30,OFFSET([4]characters!$A$1,0,0,COUNTA([4]characters!$A:$A),MATCH(AD$1,[4]characters!$1:$1,0)-MATCH("character_id",[4]characters!$1:$1,0)+1),MATCH(AD$1,[4]characters!$1:$1,0)-MATCH("character_id",[4]characters!$1:$1,0)+1,FALSE),"")</f>
        <v>3</v>
      </c>
      <c r="AE30" s="5" t="str">
        <f ca="1">IFERROR(VLOOKUP($AB30,OFFSET([4]characters!$A$1,0,0,COUNTA([4]characters!$A:$A),MATCH(AE$1,[4]characters!$1:$1,0)-MATCH("character_id",[4]characters!$1:$1,0)+1),MATCH(AE$1,[4]characters!$1:$1,0)-MATCH("character_id",[4]characters!$1:$1,0)+1,FALSE),"")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0" s="8">
        <v>1</v>
      </c>
      <c r="AG30" s="27">
        <f t="shared" ca="1" si="3"/>
        <v>3</v>
      </c>
      <c r="AH30" s="80">
        <v>20</v>
      </c>
      <c r="AI30" s="8">
        <v>0</v>
      </c>
      <c r="AJ30" s="8">
        <v>0</v>
      </c>
      <c r="AK30" s="8">
        <v>0</v>
      </c>
      <c r="AL30" s="8">
        <v>0</v>
      </c>
      <c r="AM30" s="8">
        <v>1</v>
      </c>
      <c r="AN30" s="8">
        <v>1</v>
      </c>
    </row>
    <row r="31" spans="1:40" ht="21" customHeight="1" x14ac:dyDescent="0.15">
      <c r="A31" s="17" t="str">
        <f t="shared" ca="1" si="4"/>
        <v>11007_2-3/107&lt;lv15&gt;s1</v>
      </c>
      <c r="B31" s="8">
        <v>11007</v>
      </c>
      <c r="C31" s="25">
        <v>2</v>
      </c>
      <c r="D31" s="2" t="str">
        <f t="shared" si="1"/>
        <v>11007_2</v>
      </c>
      <c r="E31" s="5" t="str">
        <f ca="1">VLOOKUP($B31,OFFSET([2]quests!$A$1,0,0,COUNTA([2]quests!$A:$A),MATCH(E$1,[2]quests!$1:$1,0)-MATCH($B$1,[2]quests!$1:$1,0)+1),MATCH(E$1,[2]quests!$1:$1,0)-MATCH($B$1,[2]quests!$1:$1,0)+1,FALSE)</f>
        <v>【土曜限定】 赤と緑の素材</v>
      </c>
      <c r="F31" s="5" t="str">
        <f ca="1">VLOOKUP($D31,OFFSET([2]stages!$A$1,0,0,COUNTA([2]stages!$A:$A),MATCH(F$1,[2]stages!$2:$2,0)-MATCH($D$1,[2]stages!$2:$2,0)+1),MATCH(F$1,[2]stages!$2:$2,0)-MATCH($D$1,[2]stages!$2:$2,0)+1,FALSE)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1" s="25">
        <v>3</v>
      </c>
      <c r="H31" s="16" t="str">
        <f t="shared" si="2"/>
        <v>11007_2-3</v>
      </c>
      <c r="I31" s="5">
        <f ca="1">VLOOKUP($H31,OFFSET(floors!$A$1,0,0,COUNTA(floors!$A:$A),MATCH(I$1,floors!$1:$1,0)-MATCH($H$1,floors!$1:$1,0)+1),MATCH(I$1,floors!$1:$1,0)-MATCH($H$1,floors!$1:$1,0)+1,FALSE)</f>
        <v>45</v>
      </c>
      <c r="J31" s="5">
        <f ca="1">VLOOKUP($H31,OFFSET(floors!$A$1,0,0,COUNTA(floors!$A:$A),MATCH(J$1,floors!$1:$1,0)-MATCH($H$1,floors!$1:$1,0)+1),MATCH(J$1,floors!$1:$1,0)-MATCH($H$1,floors!$1:$1,0)+1,FALSE)</f>
        <v>45</v>
      </c>
      <c r="K31" s="24" t="s">
        <v>197</v>
      </c>
      <c r="L31" s="24">
        <v>107</v>
      </c>
      <c r="M31" s="20" t="str">
        <f ca="1">VLOOKUP($L31,OFFSET([3]enemies!$A$1,0,0,COUNTA([3]enemies!$A:$A),MATCH(M$1,[3]enemies!$1:$1,0)-MATCH($L$1,[3]enemies!$1:$1,0)+1),MATCH(M$1,[3]enemies!$1:$1,0)-MATCH($L$1,[3]enemies!$1:$1,0)+1,FALSE)</f>
        <v>グリーンキャタップ</v>
      </c>
      <c r="N31" s="20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22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20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20">
        <f ca="1">VLOOKUP($L31,OFFSET([3]enemies!$A$1,0,0,COUNTA([3]enemies!$A:$A),MATCH(Q$1,[3]enemies!$1:$1,0)-MATCH($L$1,[3]enemies!$1:$1,0)+1),MATCH(Q$1,[3]enemies!$1:$1,0)-MATCH($L$1,[3]enemies!$1:$1,0)+1,FALSE)</f>
        <v>15</v>
      </c>
      <c r="R31" s="6">
        <v>15</v>
      </c>
      <c r="S31" s="39">
        <v>2</v>
      </c>
      <c r="T31" s="39">
        <v>1</v>
      </c>
      <c r="U31" s="6">
        <v>0</v>
      </c>
      <c r="V31" s="5" t="str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1" s="5">
        <f ca="1">VLOOKUP($L31,OFFSET([3]enemies!$A$1,0,0,COUNTA([3]enemies!$A:$A),MATCH(W$1,[3]enemies!$1:$1,0)-MATCH($L$1,[3]enemies!$1:$1,0)+1),MATCH(W$1,[3]enemies!$1:$1,0)-MATCH($L$1,[3]enemies!$1:$1,0)+1,FALSE)</f>
        <v>0</v>
      </c>
      <c r="X31" s="7">
        <v>0</v>
      </c>
      <c r="Y31" s="7">
        <v>25</v>
      </c>
      <c r="Z31" s="7">
        <v>0</v>
      </c>
      <c r="AA31" s="20">
        <f ca="1">VLOOKUP($L31,OFFSET([3]enemies!$A$1,0,0,COUNTA([3]enemies!$A:$A),MATCH(AA$1,[3]enemies!$1:$1,0)-MATCH($L$1,[3]enemies!$1:$1,0)+1),MATCH(AA$1,[3]enemies!$1:$1,0)-MATCH($L$1,[3]enemies!$1:$1,0)+1,FALSE)</f>
        <v>1</v>
      </c>
      <c r="AB31" s="24">
        <v>107</v>
      </c>
      <c r="AC31" s="5" t="str">
        <f ca="1">IFERROR(VLOOKUP($AB31,OFFSET([4]characters!$A$1,0,0,COUNTA([4]characters!$A:$A),MATCH(AC$1,[4]characters!$1:$1,0)-MATCH("character_id",[4]characters!$1:$1,0)+1),MATCH(AC$1,[4]characters!$1:$1,0)-MATCH("character_id",[4]characters!$1:$1,0)+1,FALSE),"")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31" s="5">
        <f ca="1">IFERROR(VLOOKUP($AB31,OFFSET([4]characters!$A$1,0,0,COUNTA([4]characters!$A:$A),MATCH(AD$1,[4]characters!$1:$1,0)-MATCH("character_id",[4]characters!$1:$1,0)+1),MATCH(AD$1,[4]characters!$1:$1,0)-MATCH("character_id",[4]characters!$1:$1,0)+1,FALSE),"")</f>
        <v>4</v>
      </c>
      <c r="AE31" s="5" t="str">
        <f ca="1">IFERROR(VLOOKUP($AB31,OFFSET([4]characters!$A$1,0,0,COUNTA([4]characters!$A:$A),MATCH(AE$1,[4]characters!$1:$1,0)-MATCH("character_id",[4]characters!$1:$1,0)+1),MATCH(AE$1,[4]characters!$1:$1,0)-MATCH("character_id",[4]characters!$1:$1,0)+1,FALSE),"")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1" s="8">
        <v>1</v>
      </c>
      <c r="AG31" s="27">
        <f t="shared" ca="1" si="3"/>
        <v>4</v>
      </c>
      <c r="AH31" s="80">
        <v>5</v>
      </c>
      <c r="AI31" s="8">
        <v>0</v>
      </c>
      <c r="AJ31" s="8">
        <v>0</v>
      </c>
      <c r="AK31" s="8">
        <v>0</v>
      </c>
      <c r="AL31" s="8">
        <v>0</v>
      </c>
      <c r="AM31" s="8">
        <v>1</v>
      </c>
      <c r="AN31" s="8">
        <v>1</v>
      </c>
    </row>
    <row r="32" spans="1:40" ht="21" customHeight="1" x14ac:dyDescent="0.15">
      <c r="A32" s="17" t="str">
        <f t="shared" ca="1" si="4"/>
        <v>11007_2-4/106&lt;lv15&gt;s2</v>
      </c>
      <c r="B32" s="8">
        <v>11007</v>
      </c>
      <c r="C32" s="25">
        <v>2</v>
      </c>
      <c r="D32" s="2" t="str">
        <f t="shared" si="1"/>
        <v>11007_2</v>
      </c>
      <c r="E32" s="5" t="str">
        <f ca="1">VLOOKUP($B32,OFFSET([2]quests!$A$1,0,0,COUNTA([2]quests!$A:$A),MATCH(E$1,[2]quests!$1:$1,0)-MATCH($B$1,[2]quests!$1:$1,0)+1),MATCH(E$1,[2]quests!$1:$1,0)-MATCH($B$1,[2]quests!$1:$1,0)+1,FALSE)</f>
        <v>【土曜限定】 赤と緑の素材</v>
      </c>
      <c r="F32" s="5" t="str">
        <f ca="1">VLOOKUP($D32,OFFSET([2]stages!$A$1,0,0,COUNTA([2]stages!$A:$A),MATCH(F$1,[2]stages!$2:$2,0)-MATCH($D$1,[2]stages!$2:$2,0)+1),MATCH(F$1,[2]stages!$2:$2,0)-MATCH($D$1,[2]stages!$2:$2,0)+1,FALSE)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2" s="25">
        <v>4</v>
      </c>
      <c r="H32" s="16" t="str">
        <f t="shared" si="2"/>
        <v>11007_2-4</v>
      </c>
      <c r="I32" s="5">
        <f ca="1">VLOOKUP($H32,OFFSET(floors!$A$1,0,0,COUNTA(floors!$A:$A),MATCH(I$1,floors!$1:$1,0)-MATCH($H$1,floors!$1:$1,0)+1),MATCH(I$1,floors!$1:$1,0)-MATCH($H$1,floors!$1:$1,0)+1,FALSE)</f>
        <v>45</v>
      </c>
      <c r="J32" s="5">
        <f ca="1">VLOOKUP($H32,OFFSET(floors!$A$1,0,0,COUNTA(floors!$A:$A),MATCH(J$1,floors!$1:$1,0)-MATCH($H$1,floors!$1:$1,0)+1),MATCH(J$1,floors!$1:$1,0)-MATCH($H$1,floors!$1:$1,0)+1,FALSE)</f>
        <v>45</v>
      </c>
      <c r="K32" s="24" t="s">
        <v>197</v>
      </c>
      <c r="L32" s="24">
        <v>106</v>
      </c>
      <c r="M32" s="20" t="str">
        <f ca="1">VLOOKUP($L32,OFFSET([3]enemies!$A$1,0,0,COUNTA([3]enemies!$A:$A),MATCH(M$1,[3]enemies!$1:$1,0)-MATCH($L$1,[3]enemies!$1:$1,0)+1),MATCH(M$1,[3]enemies!$1:$1,0)-MATCH($L$1,[3]enemies!$1:$1,0)+1,FALSE)</f>
        <v>グリーンラビット</v>
      </c>
      <c r="N32" s="20" t="str">
        <f ca="1">VLOOKUP($L32,OFFSET([3]enemies!$A$1,0,0,COUNTA([3]enemies!$A:$A),MATCH(N$1,[3]enemies!$1:$1,0)-MATCH($L$1,[3]enemies!$1:$1,0)+1),MATCH(N$1,[3]enemies!$1:$1,0)-MATCH($L$1,[3]enemies!$1:$1,0)+1,FALSE)</f>
        <v>green</v>
      </c>
      <c r="O32" s="22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20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20">
        <f ca="1">VLOOKUP($L32,OFFSET([3]enemies!$A$1,0,0,COUNTA([3]enemies!$A:$A),MATCH(Q$1,[3]enemies!$1:$1,0)-MATCH($L$1,[3]enemies!$1:$1,0)+1),MATCH(Q$1,[3]enemies!$1:$1,0)-MATCH($L$1,[3]enemies!$1:$1,0)+1,FALSE)</f>
        <v>15</v>
      </c>
      <c r="R32" s="6">
        <v>15</v>
      </c>
      <c r="S32" s="40">
        <v>1.8</v>
      </c>
      <c r="T32" s="39">
        <v>1</v>
      </c>
      <c r="U32" s="6">
        <v>0</v>
      </c>
      <c r="V32" s="5" t="str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2" s="5">
        <f ca="1">VLOOKUP($L32,OFFSET([3]enemies!$A$1,0,0,COUNTA([3]enemies!$A:$A),MATCH(W$1,[3]enemies!$1:$1,0)-MATCH($L$1,[3]enemies!$1:$1,0)+1),MATCH(W$1,[3]enemies!$1:$1,0)-MATCH($L$1,[3]enemies!$1:$1,0)+1,FALSE)</f>
        <v>0</v>
      </c>
      <c r="X32" s="7">
        <v>0</v>
      </c>
      <c r="Y32" s="7">
        <v>100</v>
      </c>
      <c r="Z32" s="7">
        <v>0</v>
      </c>
      <c r="AA32" s="20">
        <f ca="1">VLOOKUP($L32,OFFSET([3]enemies!$A$1,0,0,COUNTA([3]enemies!$A:$A),MATCH(AA$1,[3]enemies!$1:$1,0)-MATCH($L$1,[3]enemies!$1:$1,0)+1),MATCH(AA$1,[3]enemies!$1:$1,0)-MATCH($L$1,[3]enemies!$1:$1,0)+1,FALSE)</f>
        <v>2</v>
      </c>
      <c r="AB32" s="24">
        <v>106</v>
      </c>
      <c r="AC32" s="5" t="str">
        <f ca="1">IFERROR(VLOOKUP($AB32,OFFSET([4]characters!$A$1,0,0,COUNTA([4]characters!$A:$A),MATCH(AC$1,[4]characters!$1:$1,0)-MATCH("character_id",[4]characters!$1:$1,0)+1),MATCH(AC$1,[4]characters!$1:$1,0)-MATCH("character_id",[4]characters!$1:$1,0)+1,FALSE),"")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32" s="5">
        <f ca="1">IFERROR(VLOOKUP($AB32,OFFSET([4]characters!$A$1,0,0,COUNTA([4]characters!$A:$A),MATCH(AD$1,[4]characters!$1:$1,0)-MATCH("character_id",[4]characters!$1:$1,0)+1),MATCH(AD$1,[4]characters!$1:$1,0)-MATCH("character_id",[4]characters!$1:$1,0)+1,FALSE),"")</f>
        <v>3</v>
      </c>
      <c r="AE32" s="5" t="str">
        <f ca="1">IFERROR(VLOOKUP($AB32,OFFSET([4]characters!$A$1,0,0,COUNTA([4]characters!$A:$A),MATCH(AE$1,[4]characters!$1:$1,0)-MATCH("character_id",[4]characters!$1:$1,0)+1),MATCH(AE$1,[4]characters!$1:$1,0)-MATCH("character_id",[4]characters!$1:$1,0)+1,FALSE),"")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2" s="8">
        <v>1</v>
      </c>
      <c r="AG32" s="27">
        <f t="shared" ca="1" si="3"/>
        <v>3</v>
      </c>
      <c r="AH32" s="80">
        <v>20</v>
      </c>
      <c r="AI32" s="8">
        <v>0</v>
      </c>
      <c r="AJ32" s="8">
        <v>0</v>
      </c>
      <c r="AK32" s="8">
        <v>0</v>
      </c>
      <c r="AL32" s="8">
        <v>0</v>
      </c>
      <c r="AM32" s="8">
        <v>1</v>
      </c>
      <c r="AN32" s="8">
        <v>1</v>
      </c>
    </row>
    <row r="33" spans="1:40" ht="21" customHeight="1" x14ac:dyDescent="0.15">
      <c r="A33" s="17" t="str">
        <f t="shared" ca="1" si="4"/>
        <v>11007_2-4/107&lt;lv15&gt;s1</v>
      </c>
      <c r="B33" s="8">
        <v>11007</v>
      </c>
      <c r="C33" s="25">
        <v>2</v>
      </c>
      <c r="D33" s="2" t="str">
        <f t="shared" si="1"/>
        <v>11007_2</v>
      </c>
      <c r="E33" s="5" t="str">
        <f ca="1">VLOOKUP($B33,OFFSET([2]quests!$A$1,0,0,COUNTA([2]quests!$A:$A),MATCH(E$1,[2]quests!$1:$1,0)-MATCH($B$1,[2]quests!$1:$1,0)+1),MATCH(E$1,[2]quests!$1:$1,0)-MATCH($B$1,[2]quests!$1:$1,0)+1,FALSE)</f>
        <v>【土曜限定】 赤と緑の素材</v>
      </c>
      <c r="F33" s="5" t="str">
        <f ca="1">VLOOKUP($D33,OFFSET([2]stages!$A$1,0,0,COUNTA([2]stages!$A:$A),MATCH(F$1,[2]stages!$2:$2,0)-MATCH($D$1,[2]stages!$2:$2,0)+1),MATCH(F$1,[2]stages!$2:$2,0)-MATCH($D$1,[2]stages!$2:$2,0)+1,FALSE)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3" s="25">
        <v>4</v>
      </c>
      <c r="H33" s="16" t="str">
        <f t="shared" si="2"/>
        <v>11007_2-4</v>
      </c>
      <c r="I33" s="5">
        <f ca="1">VLOOKUP($H33,OFFSET(floors!$A$1,0,0,COUNTA(floors!$A:$A),MATCH(I$1,floors!$1:$1,0)-MATCH($H$1,floors!$1:$1,0)+1),MATCH(I$1,floors!$1:$1,0)-MATCH($H$1,floors!$1:$1,0)+1,FALSE)</f>
        <v>45</v>
      </c>
      <c r="J33" s="5">
        <f ca="1">VLOOKUP($H33,OFFSET(floors!$A$1,0,0,COUNTA(floors!$A:$A),MATCH(J$1,floors!$1:$1,0)-MATCH($H$1,floors!$1:$1,0)+1),MATCH(J$1,floors!$1:$1,0)-MATCH($H$1,floors!$1:$1,0)+1,FALSE)</f>
        <v>45</v>
      </c>
      <c r="K33" s="24" t="s">
        <v>197</v>
      </c>
      <c r="L33" s="24">
        <v>107</v>
      </c>
      <c r="M33" s="20" t="str">
        <f ca="1">VLOOKUP($L33,OFFSET([3]enemies!$A$1,0,0,COUNTA([3]enemies!$A:$A),MATCH(M$1,[3]enemies!$1:$1,0)-MATCH($L$1,[3]enemies!$1:$1,0)+1),MATCH(M$1,[3]enemies!$1:$1,0)-MATCH($L$1,[3]enemies!$1:$1,0)+1,FALSE)</f>
        <v>グリーンキャタップ</v>
      </c>
      <c r="N33" s="20" t="str">
        <f ca="1">VLOOKUP($L33,OFFSET([3]enemies!$A$1,0,0,COUNTA([3]enemies!$A:$A),MATCH(N$1,[3]enemies!$1:$1,0)-MATCH($L$1,[3]enemies!$1:$1,0)+1),MATCH(N$1,[3]enemies!$1:$1,0)-MATCH($L$1,[3]enemies!$1:$1,0)+1,FALSE)</f>
        <v>green</v>
      </c>
      <c r="O33" s="22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20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20">
        <f ca="1">VLOOKUP($L33,OFFSET([3]enemies!$A$1,0,0,COUNTA([3]enemies!$A:$A),MATCH(Q$1,[3]enemies!$1:$1,0)-MATCH($L$1,[3]enemies!$1:$1,0)+1),MATCH(Q$1,[3]enemies!$1:$1,0)-MATCH($L$1,[3]enemies!$1:$1,0)+1,FALSE)</f>
        <v>15</v>
      </c>
      <c r="R33" s="6">
        <v>15</v>
      </c>
      <c r="S33" s="39">
        <v>2</v>
      </c>
      <c r="T33" s="39">
        <v>1</v>
      </c>
      <c r="U33" s="6">
        <v>0</v>
      </c>
      <c r="V33" s="5" t="str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3" s="5">
        <f ca="1">VLOOKUP($L33,OFFSET([3]enemies!$A$1,0,0,COUNTA([3]enemies!$A:$A),MATCH(W$1,[3]enemies!$1:$1,0)-MATCH($L$1,[3]enemies!$1:$1,0)+1),MATCH(W$1,[3]enemies!$1:$1,0)-MATCH($L$1,[3]enemies!$1:$1,0)+1,FALSE)</f>
        <v>0</v>
      </c>
      <c r="X33" s="7">
        <v>0</v>
      </c>
      <c r="Y33" s="7">
        <v>25</v>
      </c>
      <c r="Z33" s="7">
        <v>0</v>
      </c>
      <c r="AA33" s="20">
        <f ca="1">VLOOKUP($L33,OFFSET([3]enemies!$A$1,0,0,COUNTA([3]enemies!$A:$A),MATCH(AA$1,[3]enemies!$1:$1,0)-MATCH($L$1,[3]enemies!$1:$1,0)+1),MATCH(AA$1,[3]enemies!$1:$1,0)-MATCH($L$1,[3]enemies!$1:$1,0)+1,FALSE)</f>
        <v>1</v>
      </c>
      <c r="AB33" s="24">
        <v>107</v>
      </c>
      <c r="AC33" s="5" t="str">
        <f ca="1">IFERROR(VLOOKUP($AB33,OFFSET([4]characters!$A$1,0,0,COUNTA([4]characters!$A:$A),MATCH(AC$1,[4]characters!$1:$1,0)-MATCH("character_id",[4]characters!$1:$1,0)+1),MATCH(AC$1,[4]characters!$1:$1,0)-MATCH("character_id",[4]characters!$1:$1,0)+1,FALSE),"")</f>
        <v>グリーンキャタップ</v>
      </c>
      <c r="AD33" s="5">
        <f ca="1">IFERROR(VLOOKUP($AB33,OFFSET([4]characters!$A$1,0,0,COUNTA([4]characters!$A:$A),MATCH(AD$1,[4]characters!$1:$1,0)-MATCH("character_id",[4]characters!$1:$1,0)+1),MATCH(AD$1,[4]characters!$1:$1,0)-MATCH("character_id",[4]characters!$1:$1,0)+1,FALSE),"")</f>
        <v>4</v>
      </c>
      <c r="AE33" s="5" t="str">
        <f ca="1">IFERROR(VLOOKUP($AB33,OFFSET([4]characters!$A$1,0,0,COUNTA([4]characters!$A:$A),MATCH(AE$1,[4]characters!$1:$1,0)-MATCH("character_id",[4]characters!$1:$1,0)+1),MATCH(AE$1,[4]characters!$1:$1,0)-MATCH("character_id",[4]characters!$1:$1,0)+1,FALSE),"")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3" s="8">
        <v>1</v>
      </c>
      <c r="AG33" s="27">
        <f t="shared" ca="1" si="3"/>
        <v>4</v>
      </c>
      <c r="AH33" s="80">
        <v>5</v>
      </c>
      <c r="AI33" s="8">
        <v>0</v>
      </c>
      <c r="AJ33" s="8">
        <v>0</v>
      </c>
      <c r="AK33" s="8">
        <v>0</v>
      </c>
      <c r="AL33" s="8">
        <v>0</v>
      </c>
      <c r="AM33" s="8">
        <v>1</v>
      </c>
      <c r="AN33" s="8">
        <v>1</v>
      </c>
    </row>
    <row r="34" spans="1:40" ht="21" customHeight="1" x14ac:dyDescent="0.15">
      <c r="A34" s="17" t="str">
        <f t="shared" ca="1" si="4"/>
        <v>11007_2-5/106&lt;lv15&gt;s2</v>
      </c>
      <c r="B34" s="8">
        <v>11007</v>
      </c>
      <c r="C34" s="25">
        <v>2</v>
      </c>
      <c r="D34" s="2" t="str">
        <f t="shared" si="1"/>
        <v>11007_2</v>
      </c>
      <c r="E34" s="5" t="str">
        <f ca="1">VLOOKUP($B34,OFFSET([2]quests!$A$1,0,0,COUNTA([2]quests!$A:$A),MATCH(E$1,[2]quests!$1:$1,0)-MATCH($B$1,[2]quests!$1:$1,0)+1),MATCH(E$1,[2]quests!$1:$1,0)-MATCH($B$1,[2]quests!$1:$1,0)+1,FALSE)</f>
        <v>【土曜限定】 赤と緑の素材</v>
      </c>
      <c r="F34" s="5" t="str">
        <f ca="1">VLOOKUP($D34,OFFSET([2]stages!$A$1,0,0,COUNTA([2]stages!$A:$A),MATCH(F$1,[2]stages!$2:$2,0)-MATCH($D$1,[2]stages!$2:$2,0)+1),MATCH(F$1,[2]stages!$2:$2,0)-MATCH($D$1,[2]stages!$2:$2,0)+1,FALSE)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4" s="25">
        <v>5</v>
      </c>
      <c r="H34" s="16" t="str">
        <f t="shared" si="2"/>
        <v>11007_2-5</v>
      </c>
      <c r="I34" s="5">
        <f ca="1">VLOOKUP($H34,OFFSET(floors!$A$1,0,0,COUNTA(floors!$A:$A),MATCH(I$1,floors!$1:$1,0)-MATCH($H$1,floors!$1:$1,0)+1),MATCH(I$1,floors!$1:$1,0)-MATCH($H$1,floors!$1:$1,0)+1,FALSE)</f>
        <v>50</v>
      </c>
      <c r="J34" s="5">
        <f ca="1">VLOOKUP($H34,OFFSET(floors!$A$1,0,0,COUNTA(floors!$A:$A),MATCH(J$1,floors!$1:$1,0)-MATCH($H$1,floors!$1:$1,0)+1),MATCH(J$1,floors!$1:$1,0)-MATCH($H$1,floors!$1:$1,0)+1,FALSE)</f>
        <v>50</v>
      </c>
      <c r="K34" s="24" t="s">
        <v>197</v>
      </c>
      <c r="L34" s="24">
        <v>106</v>
      </c>
      <c r="M34" s="20" t="str">
        <f ca="1">VLOOKUP($L34,OFFSET([3]enemies!$A$1,0,0,COUNTA([3]enemies!$A:$A),MATCH(M$1,[3]enemies!$1:$1,0)-MATCH($L$1,[3]enemies!$1:$1,0)+1),MATCH(M$1,[3]enemies!$1:$1,0)-MATCH($L$1,[3]enemies!$1:$1,0)+1,FALSE)</f>
        <v>グリーンラビット</v>
      </c>
      <c r="N34" s="20" t="str">
        <f ca="1">VLOOKUP($L34,OFFSET([3]enemies!$A$1,0,0,COUNTA([3]enemies!$A:$A),MATCH(N$1,[3]enemies!$1:$1,0)-MATCH($L$1,[3]enemies!$1:$1,0)+1),MATCH(N$1,[3]enemies!$1:$1,0)-MATCH($L$1,[3]enemies!$1:$1,0)+1,FALSE)</f>
        <v>green</v>
      </c>
      <c r="O34" s="22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20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20">
        <f ca="1">VLOOKUP($L34,OFFSET([3]enemies!$A$1,0,0,COUNTA([3]enemies!$A:$A),MATCH(Q$1,[3]enemies!$1:$1,0)-MATCH($L$1,[3]enemies!$1:$1,0)+1),MATCH(Q$1,[3]enemies!$1:$1,0)-MATCH($L$1,[3]enemies!$1:$1,0)+1,FALSE)</f>
        <v>15</v>
      </c>
      <c r="R34" s="6">
        <v>15</v>
      </c>
      <c r="S34" s="40">
        <v>1.8</v>
      </c>
      <c r="T34" s="39">
        <v>1</v>
      </c>
      <c r="U34" s="6">
        <v>0</v>
      </c>
      <c r="V34" s="5" t="str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4" s="5">
        <f ca="1">VLOOKUP($L34,OFFSET([3]enemies!$A$1,0,0,COUNTA([3]enemies!$A:$A),MATCH(W$1,[3]enemies!$1:$1,0)-MATCH($L$1,[3]enemies!$1:$1,0)+1),MATCH(W$1,[3]enemies!$1:$1,0)-MATCH($L$1,[3]enemies!$1:$1,0)+1,FALSE)</f>
        <v>0</v>
      </c>
      <c r="X34" s="7">
        <v>1</v>
      </c>
      <c r="Y34" s="7">
        <v>100</v>
      </c>
      <c r="Z34" s="7">
        <v>0</v>
      </c>
      <c r="AA34" s="20">
        <f ca="1">VLOOKUP($L34,OFFSET([3]enemies!$A$1,0,0,COUNTA([3]enemies!$A:$A),MATCH(AA$1,[3]enemies!$1:$1,0)-MATCH($L$1,[3]enemies!$1:$1,0)+1),MATCH(AA$1,[3]enemies!$1:$1,0)-MATCH($L$1,[3]enemies!$1:$1,0)+1,FALSE)</f>
        <v>2</v>
      </c>
      <c r="AB34" s="24">
        <v>106</v>
      </c>
      <c r="AC34" s="5" t="str">
        <f ca="1">IFERROR(VLOOKUP($AB34,OFFSET([4]characters!$A$1,0,0,COUNTA([4]characters!$A:$A),MATCH(AC$1,[4]characters!$1:$1,0)-MATCH("character_id",[4]characters!$1:$1,0)+1),MATCH(AC$1,[4]characters!$1:$1,0)-MATCH("character_id",[4]characters!$1:$1,0)+1,FALSE),"")</f>
        <v>グリーンラビット</v>
      </c>
      <c r="AD34" s="5">
        <f ca="1">IFERROR(VLOOKUP($AB34,OFFSET([4]characters!$A$1,0,0,COUNTA([4]characters!$A:$A),MATCH(AD$1,[4]characters!$1:$1,0)-MATCH("character_id",[4]characters!$1:$1,0)+1),MATCH(AD$1,[4]characters!$1:$1,0)-MATCH("character_id",[4]characters!$1:$1,0)+1,FALSE),"")</f>
        <v>3</v>
      </c>
      <c r="AE34" s="5" t="str">
        <f ca="1">IFERROR(VLOOKUP($AB34,OFFSET([4]characters!$A$1,0,0,COUNTA([4]characters!$A:$A),MATCH(AE$1,[4]characters!$1:$1,0)-MATCH("character_id",[4]characters!$1:$1,0)+1),MATCH(AE$1,[4]characters!$1:$1,0)-MATCH("character_id",[4]characters!$1:$1,0)+1,FALSE),"")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34" s="8">
        <v>1</v>
      </c>
      <c r="AG34" s="27">
        <f t="shared" ca="1" si="3"/>
        <v>3</v>
      </c>
      <c r="AH34" s="80">
        <v>100</v>
      </c>
      <c r="AI34" s="8">
        <v>0</v>
      </c>
      <c r="AJ34" s="8">
        <v>0</v>
      </c>
      <c r="AK34" s="8">
        <v>0</v>
      </c>
      <c r="AL34" s="8">
        <v>0</v>
      </c>
      <c r="AM34" s="8">
        <v>1</v>
      </c>
      <c r="AN34" s="8">
        <v>1</v>
      </c>
    </row>
    <row r="35" spans="1:40" ht="21" customHeight="1" x14ac:dyDescent="0.15">
      <c r="A35" s="17" t="str">
        <f t="shared" ca="1" si="4"/>
        <v>11007_2-5/52&lt;lv18&gt;s2</v>
      </c>
      <c r="B35" s="8">
        <v>11007</v>
      </c>
      <c r="C35" s="25">
        <v>2</v>
      </c>
      <c r="D35" s="2" t="str">
        <f t="shared" si="1"/>
        <v>11007_2</v>
      </c>
      <c r="E35" s="5" t="str">
        <f ca="1">VLOOKUP($B35,OFFSET([2]quests!$A$1,0,0,COUNTA([2]quests!$A:$A),MATCH(E$1,[2]quests!$1:$1,0)-MATCH($B$1,[2]quests!$1:$1,0)+1),MATCH(E$1,[2]quests!$1:$1,0)-MATCH($B$1,[2]quests!$1:$1,0)+1,FALSE)</f>
        <v>【土曜限定】 赤と緑の素材</v>
      </c>
      <c r="F35" s="5" t="str">
        <f ca="1">VLOOKUP($D35,OFFSET([2]stages!$A$1,0,0,COUNTA([2]stages!$A:$A),MATCH(F$1,[2]stages!$2:$2,0)-MATCH($D$1,[2]stages!$2:$2,0)+1),MATCH(F$1,[2]stages!$2:$2,0)-MATCH($D$1,[2]stages!$2:$2,0)+1,FALSE)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5" s="25">
        <v>5</v>
      </c>
      <c r="H35" s="16" t="str">
        <f t="shared" si="2"/>
        <v>11007_2-5</v>
      </c>
      <c r="I35" s="5">
        <f ca="1">VLOOKUP($H35,OFFSET(floors!$A$1,0,0,COUNTA(floors!$A:$A),MATCH(I$1,floors!$1:$1,0)-MATCH($H$1,floors!$1:$1,0)+1),MATCH(I$1,floors!$1:$1,0)-MATCH($H$1,floors!$1:$1,0)+1,FALSE)</f>
        <v>50</v>
      </c>
      <c r="J35" s="5">
        <f ca="1">VLOOKUP($H35,OFFSET(floors!$A$1,0,0,COUNTA(floors!$A:$A),MATCH(J$1,floors!$1:$1,0)-MATCH($H$1,floors!$1:$1,0)+1),MATCH(J$1,floors!$1:$1,0)-MATCH($H$1,floors!$1:$1,0)+1,FALSE)</f>
        <v>50</v>
      </c>
      <c r="K35" s="24" t="s">
        <v>197</v>
      </c>
      <c r="L35" s="24">
        <v>52</v>
      </c>
      <c r="M35" s="20" t="str">
        <f ca="1">VLOOKUP($L35,OFFSET([3]enemies!$A$1,0,0,COUNTA([3]enemies!$A:$A),MATCH(M$1,[3]enemies!$1:$1,0)-MATCH($L$1,[3]enemies!$1:$1,0)+1),MATCH(M$1,[3]enemies!$1:$1,0)-MATCH($L$1,[3]enemies!$1:$1,0)+1,FALSE)</f>
        <v>翠槍のレジスタンス マイ</v>
      </c>
      <c r="N35" s="20" t="str">
        <f ca="1">VLOOKUP($L35,OFFSET([3]enemies!$A$1,0,0,COUNTA([3]enemies!$A:$A),MATCH(N$1,[3]enemies!$1:$1,0)-MATCH($L$1,[3]enemies!$1:$1,0)+1),MATCH(N$1,[3]enemies!$1:$1,0)-MATCH($L$1,[3]enemies!$1:$1,0)+1,FALSE)</f>
        <v>green</v>
      </c>
      <c r="O35" s="22" t="str">
        <f ca="1">VLOOKUP($L35,OFFSET([4]characters!$A$1,0,0,COUNTA([4]characters!$A:$A),MATCH(O$1,[4]characters!$1:$1,0)-MATCH($L$1,[4]characters!$1:$1,0)+1),MATCH(O$1,[4]characters!$1:$1,0)-MATCH($L$1,[4]characters!$1:$1,0)+1,FALSE)</f>
        <v>Drop1N</v>
      </c>
      <c r="P35" s="20" t="str">
        <f ca="1">VLOOKUP($L35,OFFSET([3]enemies!$A$1,0,0,COUNTA([3]enemies!$A:$A),MATCH(P$1,[3]enemies!$1:$1,0)-MATCH($L$1,[3]enemies!$1:$1,0)+1),MATCH(P$1,[3]enemies!$1:$1,0)-MATCH($L$1,[3]enemies!$1:$1,0)+1,FALSE)</f>
        <v>human</v>
      </c>
      <c r="Q35" s="20">
        <f ca="1">VLOOKUP($L35,OFFSET([3]enemies!$A$1,0,0,COUNTA([3]enemies!$A:$A),MATCH(Q$1,[3]enemies!$1:$1,0)-MATCH($L$1,[3]enemies!$1:$1,0)+1),MATCH(Q$1,[3]enemies!$1:$1,0)-MATCH($L$1,[3]enemies!$1:$1,0)+1,FALSE)</f>
        <v>20</v>
      </c>
      <c r="R35" s="6">
        <v>18</v>
      </c>
      <c r="S35" s="39">
        <v>1</v>
      </c>
      <c r="T35" s="39">
        <v>1</v>
      </c>
      <c r="U35" s="6">
        <v>0</v>
      </c>
      <c r="V35" s="5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35" s="5">
        <f ca="1">VLOOKUP($L35,OFFSET([3]enemies!$A$1,0,0,COUNTA([3]enemies!$A:$A),MATCH(W$1,[3]enemies!$1:$1,0)-MATCH($L$1,[3]enemies!$1:$1,0)+1),MATCH(W$1,[3]enemies!$1:$1,0)-MATCH($L$1,[3]enemies!$1:$1,0)+1,FALSE)</f>
        <v>51</v>
      </c>
      <c r="X35" s="7">
        <v>0</v>
      </c>
      <c r="Y35" s="7">
        <v>100</v>
      </c>
      <c r="Z35" s="7">
        <v>1</v>
      </c>
      <c r="AA35" s="20">
        <f ca="1">VLOOKUP($L35,OFFSET([3]enemies!$A$1,0,0,COUNTA([3]enemies!$A:$A),MATCH(AA$1,[3]enemies!$1:$1,0)-MATCH($L$1,[3]enemies!$1:$1,0)+1),MATCH(AA$1,[3]enemies!$1:$1,0)-MATCH($L$1,[3]enemies!$1:$1,0)+1,FALSE)</f>
        <v>2</v>
      </c>
      <c r="AB35" s="24">
        <v>51</v>
      </c>
      <c r="AC35" s="5" t="str">
        <f ca="1">IFERROR(VLOOKUP($AB35,OFFSET([4]characters!$A$1,0,0,COUNTA([4]characters!$A:$A),MATCH(AC$1,[4]characters!$1:$1,0)-MATCH("character_id",[4]characters!$1:$1,0)+1),MATCH(AC$1,[4]characters!$1:$1,0)-MATCH("character_id",[4]characters!$1:$1,0)+1,FALSE),"")</f>
        <v>マイ</v>
      </c>
      <c r="AD35" s="5">
        <f ca="1">IFERROR(VLOOKUP($AB35,OFFSET([4]characters!$A$1,0,0,COUNTA([4]characters!$A:$A),MATCH(AD$1,[4]characters!$1:$1,0)-MATCH("character_id",[4]characters!$1:$1,0)+1),MATCH(AD$1,[4]characters!$1:$1,0)-MATCH("character_id",[4]characters!$1:$1,0)+1,FALSE),"")</f>
        <v>2</v>
      </c>
      <c r="AE35" s="5" t="str">
        <f ca="1">IFERROR(VLOOKUP($AB35,OFFSET([4]characters!$A$1,0,0,COUNTA([4]characters!$A:$A),MATCH(AE$1,[4]characters!$1:$1,0)-MATCH("character_id",[4]characters!$1:$1,0)+1),MATCH(AE$1,[4]characters!$1:$1,0)-MATCH("character_id",[4]characters!$1:$1,0)+1,FALSE),"")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5" s="8">
        <v>1</v>
      </c>
      <c r="AG35" s="27">
        <f t="shared" ca="1" si="3"/>
        <v>2</v>
      </c>
      <c r="AH35" s="9">
        <v>0</v>
      </c>
      <c r="AI35" s="8">
        <v>0</v>
      </c>
      <c r="AJ35" s="8">
        <v>0</v>
      </c>
      <c r="AK35" s="8">
        <v>0</v>
      </c>
      <c r="AL35" s="8">
        <v>0</v>
      </c>
      <c r="AM35" s="8">
        <v>1</v>
      </c>
      <c r="AN35" s="8">
        <v>1</v>
      </c>
    </row>
    <row r="36" spans="1:40" ht="21" customHeight="1" x14ac:dyDescent="0.15">
      <c r="A36" s="17" t="str">
        <f t="shared" ca="1" si="4"/>
        <v>11007_2-5/44&lt;lv18&gt;s2</v>
      </c>
      <c r="B36" s="8">
        <v>11007</v>
      </c>
      <c r="C36" s="25">
        <v>2</v>
      </c>
      <c r="D36" s="2" t="str">
        <f t="shared" si="1"/>
        <v>11007_2</v>
      </c>
      <c r="E36" s="5" t="str">
        <f ca="1">VLOOKUP($B36,OFFSET([2]quests!$A$1,0,0,COUNTA([2]quests!$A:$A),MATCH(E$1,[2]quests!$1:$1,0)-MATCH($B$1,[2]quests!$1:$1,0)+1),MATCH(E$1,[2]quests!$1:$1,0)-MATCH($B$1,[2]quests!$1:$1,0)+1,FALSE)</f>
        <v>【土曜限定】 赤と緑の素材</v>
      </c>
      <c r="F36" s="5" t="str">
        <f ca="1">VLOOKUP($D36,OFFSET([2]stages!$A$1,0,0,COUNTA([2]stages!$A:$A),MATCH(F$1,[2]stages!$2:$2,0)-MATCH($D$1,[2]stages!$2:$2,0)+1),MATCH(F$1,[2]stages!$2:$2,0)-MATCH($D$1,[2]stages!$2:$2,0)+1,FALSE)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6" s="25">
        <v>5</v>
      </c>
      <c r="H36" s="16" t="str">
        <f t="shared" si="2"/>
        <v>11007_2-5</v>
      </c>
      <c r="I36" s="5">
        <f ca="1">VLOOKUP($H36,OFFSET(floors!$A$1,0,0,COUNTA(floors!$A:$A),MATCH(I$1,floors!$1:$1,0)-MATCH($H$1,floors!$1:$1,0)+1),MATCH(I$1,floors!$1:$1,0)-MATCH($H$1,floors!$1:$1,0)+1,FALSE)</f>
        <v>50</v>
      </c>
      <c r="J36" s="5">
        <f ca="1">VLOOKUP($H36,OFFSET(floors!$A$1,0,0,COUNTA(floors!$A:$A),MATCH(J$1,floors!$1:$1,0)-MATCH($H$1,floors!$1:$1,0)+1),MATCH(J$1,floors!$1:$1,0)-MATCH($H$1,floors!$1:$1,0)+1,FALSE)</f>
        <v>50</v>
      </c>
      <c r="K36" s="24" t="s">
        <v>197</v>
      </c>
      <c r="L36" s="24">
        <v>44</v>
      </c>
      <c r="M36" s="20" t="str">
        <f ca="1">VLOOKUP($L36,OFFSET([3]enemies!$A$1,0,0,COUNTA([3]enemies!$A:$A),MATCH(M$1,[3]enemies!$1:$1,0)-MATCH($L$1,[3]enemies!$1:$1,0)+1),MATCH(M$1,[3]enemies!$1:$1,0)-MATCH($L$1,[3]enemies!$1:$1,0)+1,FALSE)</f>
        <v>遠い星からやってきたムゥ</v>
      </c>
      <c r="N36" s="20" t="str">
        <f ca="1">VLOOKUP($L36,OFFSET([3]enemies!$A$1,0,0,COUNTA([3]enemies!$A:$A),MATCH(N$1,[3]enemies!$1:$1,0)-MATCH($L$1,[3]enemies!$1:$1,0)+1),MATCH(N$1,[3]enemies!$1:$1,0)-MATCH($L$1,[3]enemies!$1:$1,0)+1,FALSE)</f>
        <v>green</v>
      </c>
      <c r="O36" s="22" t="str">
        <f ca="1">VLOOKUP($L36,OFFSET([4]characters!$A$1,0,0,COUNTA([4]characters!$A:$A),MATCH(O$1,[4]characters!$1:$1,0)-MATCH($L$1,[4]characters!$1:$1,0)+1),MATCH(O$1,[4]characters!$1:$1,0)-MATCH($L$1,[4]characters!$1:$1,0)+1,FALSE)</f>
        <v>Drop1N</v>
      </c>
      <c r="P36" s="20" t="str">
        <f ca="1">VLOOKUP($L36,OFFSET([3]enemies!$A$1,0,0,COUNTA([3]enemies!$A:$A),MATCH(P$1,[3]enemies!$1:$1,0)-MATCH($L$1,[3]enemies!$1:$1,0)+1),MATCH(P$1,[3]enemies!$1:$1,0)-MATCH($L$1,[3]enemies!$1:$1,0)+1,FALSE)</f>
        <v>dragon</v>
      </c>
      <c r="Q36" s="20">
        <f ca="1">VLOOKUP($L36,OFFSET([3]enemies!$A$1,0,0,COUNTA([3]enemies!$A:$A),MATCH(Q$1,[3]enemies!$1:$1,0)-MATCH($L$1,[3]enemies!$1:$1,0)+1),MATCH(Q$1,[3]enemies!$1:$1,0)-MATCH($L$1,[3]enemies!$1:$1,0)+1,FALSE)</f>
        <v>20</v>
      </c>
      <c r="R36" s="6">
        <v>18</v>
      </c>
      <c r="S36" s="39">
        <v>1</v>
      </c>
      <c r="T36" s="39">
        <v>1</v>
      </c>
      <c r="U36" s="6">
        <v>0</v>
      </c>
      <c r="V36" s="5" t="str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6" s="5">
        <f ca="1">VLOOKUP($L36,OFFSET([3]enemies!$A$1,0,0,COUNTA([3]enemies!$A:$A),MATCH(W$1,[3]enemies!$1:$1,0)-MATCH($L$1,[3]enemies!$1:$1,0)+1),MATCH(W$1,[3]enemies!$1:$1,0)-MATCH($L$1,[3]enemies!$1:$1,0)+1,FALSE)</f>
        <v>0</v>
      </c>
      <c r="X36" s="7">
        <v>0</v>
      </c>
      <c r="Y36" s="7">
        <v>100</v>
      </c>
      <c r="Z36" s="7">
        <v>1</v>
      </c>
      <c r="AA36" s="20">
        <f ca="1">VLOOKUP($L36,OFFSET([3]enemies!$A$1,0,0,COUNTA([3]enemies!$A:$A),MATCH(AA$1,[3]enemies!$1:$1,0)-MATCH($L$1,[3]enemies!$1:$1,0)+1),MATCH(AA$1,[3]enemies!$1:$1,0)-MATCH($L$1,[3]enemies!$1:$1,0)+1,FALSE)</f>
        <v>2</v>
      </c>
      <c r="AB36" s="24">
        <v>43</v>
      </c>
      <c r="AC36" s="5" t="str">
        <f ca="1">IFERROR(VLOOKUP($AB36,OFFSET([4]characters!$A$1,0,0,COUNTA([4]characters!$A:$A),MATCH(AC$1,[4]characters!$1:$1,0)-MATCH("character_id",[4]characters!$1:$1,0)+1),MATCH(AC$1,[4]characters!$1:$1,0)-MATCH("character_id",[4]characters!$1:$1,0)+1,FALSE),"")</f>
        <v>ムゥ</v>
      </c>
      <c r="AD36" s="5">
        <f ca="1">IFERROR(VLOOKUP($AB36,OFFSET([4]characters!$A$1,0,0,COUNTA([4]characters!$A:$A),MATCH(AD$1,[4]characters!$1:$1,0)-MATCH("character_id",[4]characters!$1:$1,0)+1),MATCH(AD$1,[4]characters!$1:$1,0)-MATCH("character_id",[4]characters!$1:$1,0)+1,FALSE),"")</f>
        <v>2</v>
      </c>
      <c r="AE36" s="5" t="str">
        <f ca="1">IFERROR(VLOOKUP($AB36,OFFSET([4]characters!$A$1,0,0,COUNTA([4]characters!$A:$A),MATCH(AE$1,[4]characters!$1:$1,0)-MATCH("character_id",[4]characters!$1:$1,0)+1),MATCH(AE$1,[4]characters!$1:$1,0)-MATCH("character_id",[4]characters!$1:$1,0)+1,FALSE),"")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6" s="8">
        <v>1</v>
      </c>
      <c r="AG36" s="27">
        <f t="shared" ca="1" si="3"/>
        <v>2</v>
      </c>
      <c r="AH36" s="9">
        <v>0</v>
      </c>
      <c r="AI36" s="8">
        <v>0</v>
      </c>
      <c r="AJ36" s="8">
        <v>0</v>
      </c>
      <c r="AK36" s="8">
        <v>0</v>
      </c>
      <c r="AL36" s="8">
        <v>0</v>
      </c>
      <c r="AM36" s="8">
        <v>1</v>
      </c>
      <c r="AN36" s="8">
        <v>1</v>
      </c>
    </row>
    <row r="37" spans="1:40" ht="21" customHeight="1" x14ac:dyDescent="0.15">
      <c r="A37" s="17" t="str">
        <f t="shared" ca="1" si="4"/>
        <v>11007_2-5/60&lt;lv18&gt;s2</v>
      </c>
      <c r="B37" s="8">
        <v>11007</v>
      </c>
      <c r="C37" s="25">
        <v>2</v>
      </c>
      <c r="D37" s="2" t="str">
        <f t="shared" si="1"/>
        <v>11007_2</v>
      </c>
      <c r="E37" s="5" t="str">
        <f ca="1">VLOOKUP($B37,OFFSET([2]quests!$A$1,0,0,COUNTA([2]quests!$A:$A),MATCH(E$1,[2]quests!$1:$1,0)-MATCH($B$1,[2]quests!$1:$1,0)+1),MATCH(E$1,[2]quests!$1:$1,0)-MATCH($B$1,[2]quests!$1:$1,0)+1,FALSE)</f>
        <v>【土曜限定】 赤と緑の素材</v>
      </c>
      <c r="F37" s="5" t="str">
        <f ca="1">VLOOKUP($D37,OFFSET([2]stages!$A$1,0,0,COUNTA([2]stages!$A:$A),MATCH(F$1,[2]stages!$2:$2,0)-MATCH($D$1,[2]stages!$2:$2,0)+1),MATCH(F$1,[2]stages!$2:$2,0)-MATCH($D$1,[2]stages!$2:$2,0)+1,FALSE)</f>
        <v xml:space="preserve">【中級】火と樹のウサギ </v>
      </c>
      <c r="G37" s="25">
        <v>5</v>
      </c>
      <c r="H37" s="16" t="str">
        <f t="shared" si="2"/>
        <v>11007_2-5</v>
      </c>
      <c r="I37" s="5">
        <f ca="1">VLOOKUP($H37,OFFSET(floors!$A$1,0,0,COUNTA(floors!$A:$A),MATCH(I$1,floors!$1:$1,0)-MATCH($H$1,floors!$1:$1,0)+1),MATCH(I$1,floors!$1:$1,0)-MATCH($H$1,floors!$1:$1,0)+1,FALSE)</f>
        <v>50</v>
      </c>
      <c r="J37" s="5">
        <f ca="1">VLOOKUP($H37,OFFSET(floors!$A$1,0,0,COUNTA(floors!$A:$A),MATCH(J$1,floors!$1:$1,0)-MATCH($H$1,floors!$1:$1,0)+1),MATCH(J$1,floors!$1:$1,0)-MATCH($H$1,floors!$1:$1,0)+1,FALSE)</f>
        <v>50</v>
      </c>
      <c r="K37" s="24" t="s">
        <v>197</v>
      </c>
      <c r="L37" s="24">
        <v>60</v>
      </c>
      <c r="M37" s="20" t="str">
        <f ca="1">VLOOKUP($L37,OFFSET([3]enemies!$A$1,0,0,COUNTA([3]enemies!$A:$A),MATCH(M$1,[3]enemies!$1:$1,0)-MATCH($L$1,[3]enemies!$1:$1,0)+1),MATCH(M$1,[3]enemies!$1:$1,0)-MATCH($L$1,[3]enemies!$1:$1,0)+1,FALSE)</f>
        <v>おでかけマーチ</v>
      </c>
      <c r="N37" s="20" t="str">
        <f ca="1">VLOOKUP($L37,OFFSET([3]enemies!$A$1,0,0,COUNTA([3]enemies!$A:$A),MATCH(N$1,[3]enemies!$1:$1,0)-MATCH($L$1,[3]enemies!$1:$1,0)+1),MATCH(N$1,[3]enemies!$1:$1,0)-MATCH($L$1,[3]enemies!$1:$1,0)+1,FALSE)</f>
        <v>green</v>
      </c>
      <c r="O37" s="22" t="str">
        <f ca="1">VLOOKUP($L37,OFFSET([4]characters!$A$1,0,0,COUNTA([4]characters!$A:$A),MATCH(O$1,[4]characters!$1:$1,0)-MATCH($L$1,[4]characters!$1:$1,0)+1),MATCH(O$1,[4]characters!$1:$1,0)-MATCH($L$1,[4]characters!$1:$1,0)+1,FALSE)</f>
        <v>Drop1N</v>
      </c>
      <c r="P37" s="20" t="str">
        <f ca="1">VLOOKUP($L37,OFFSET([3]enemies!$A$1,0,0,COUNTA([3]enemies!$A:$A),MATCH(P$1,[3]enemies!$1:$1,0)-MATCH($L$1,[3]enemies!$1:$1,0)+1),MATCH(P$1,[3]enemies!$1:$1,0)-MATCH($L$1,[3]enemies!$1:$1,0)+1,FALSE)</f>
        <v>animal</v>
      </c>
      <c r="Q37" s="20">
        <f ca="1">VLOOKUP($L37,OFFSET([3]enemies!$A$1,0,0,COUNTA([3]enemies!$A:$A),MATCH(Q$1,[3]enemies!$1:$1,0)-MATCH($L$1,[3]enemies!$1:$1,0)+1),MATCH(Q$1,[3]enemies!$1:$1,0)-MATCH($L$1,[3]enemies!$1:$1,0)+1,FALSE)</f>
        <v>20</v>
      </c>
      <c r="R37" s="6">
        <v>18</v>
      </c>
      <c r="S37" s="39">
        <v>1</v>
      </c>
      <c r="T37" s="39">
        <v>1</v>
      </c>
      <c r="U37" s="6">
        <v>0</v>
      </c>
      <c r="V37" s="5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7" s="5">
        <f ca="1">VLOOKUP($L37,OFFSET([3]enemies!$A$1,0,0,COUNTA([3]enemies!$A:$A),MATCH(W$1,[3]enemies!$1:$1,0)-MATCH($L$1,[3]enemies!$1:$1,0)+1),MATCH(W$1,[3]enemies!$1:$1,0)-MATCH($L$1,[3]enemies!$1:$1,0)+1,FALSE)</f>
        <v>0</v>
      </c>
      <c r="X37" s="7">
        <v>0</v>
      </c>
      <c r="Y37" s="7">
        <v>100</v>
      </c>
      <c r="Z37" s="7">
        <v>1</v>
      </c>
      <c r="AA37" s="20">
        <f ca="1">VLOOKUP($L37,OFFSET([3]enemies!$A$1,0,0,COUNTA([3]enemies!$A:$A),MATCH(AA$1,[3]enemies!$1:$1,0)-MATCH($L$1,[3]enemies!$1:$1,0)+1),MATCH(AA$1,[3]enemies!$1:$1,0)-MATCH($L$1,[3]enemies!$1:$1,0)+1,FALSE)</f>
        <v>2</v>
      </c>
      <c r="AB37" s="24">
        <v>59</v>
      </c>
      <c r="AC37" s="5" t="str">
        <f ca="1">IFERROR(VLOOKUP($AB37,OFFSET([4]characters!$A$1,0,0,COUNTA([4]characters!$A:$A),MATCH(AC$1,[4]characters!$1:$1,0)-MATCH("character_id",[4]characters!$1:$1,0)+1),MATCH(AC$1,[4]characters!$1:$1,0)-MATCH("character_id",[4]characters!$1:$1,0)+1,FALSE),"")</f>
        <v>マーチ</v>
      </c>
      <c r="AD37" s="5">
        <f ca="1">IFERROR(VLOOKUP($AB37,OFFSET([4]characters!$A$1,0,0,COUNTA([4]characters!$A:$A),MATCH(AD$1,[4]characters!$1:$1,0)-MATCH("character_id",[4]characters!$1:$1,0)+1),MATCH(AD$1,[4]characters!$1:$1,0)-MATCH("character_id",[4]characters!$1:$1,0)+1,FALSE),"")</f>
        <v>2</v>
      </c>
      <c r="AE37" s="5" t="str">
        <f ca="1">IFERROR(VLOOKUP($AB37,OFFSET([4]characters!$A$1,0,0,COUNTA([4]characters!$A:$A),MATCH(AE$1,[4]characters!$1:$1,0)-MATCH("character_id",[4]characters!$1:$1,0)+1),MATCH(AE$1,[4]characters!$1:$1,0)-MATCH("character_id",[4]characters!$1:$1,0)+1,FALSE),"")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7" s="8">
        <v>1</v>
      </c>
      <c r="AG37" s="27">
        <f t="shared" ca="1" si="3"/>
        <v>2</v>
      </c>
      <c r="AH37" s="9">
        <v>0</v>
      </c>
      <c r="AI37" s="8">
        <v>0</v>
      </c>
      <c r="AJ37" s="8">
        <v>0</v>
      </c>
      <c r="AK37" s="8">
        <v>0</v>
      </c>
      <c r="AL37" s="8">
        <v>0</v>
      </c>
      <c r="AM37" s="8">
        <v>1</v>
      </c>
      <c r="AN37" s="8">
        <v>1</v>
      </c>
    </row>
    <row r="38" spans="1:40" ht="21" customHeight="1" x14ac:dyDescent="0.15">
      <c r="A38" s="17" t="str">
        <f t="shared" ca="1" si="4"/>
        <v>11007_4-1/33&lt;lv42&gt;s2</v>
      </c>
      <c r="B38" s="8">
        <v>11007</v>
      </c>
      <c r="C38" s="25">
        <v>4</v>
      </c>
      <c r="D38" s="2" t="str">
        <f t="shared" si="1"/>
        <v>11007_4</v>
      </c>
      <c r="E38" s="5" t="str">
        <f ca="1">VLOOKUP($B38,OFFSET([2]quests!$A$1,0,0,COUNTA([2]quests!$A:$A),MATCH(E$1,[2]quests!$1:$1,0)-MATCH($B$1,[2]quests!$1:$1,0)+1),MATCH(E$1,[2]quests!$1:$1,0)-MATCH($B$1,[2]quests!$1:$1,0)+1,FALSE)</f>
        <v>【土曜限定】 赤と緑の素材</v>
      </c>
      <c r="F38" s="5" t="str">
        <f ca="1">VLOOKUP($D38,OFFSET([2]stages!$A$1,0,0,COUNTA([2]stages!$A:$A),MATCH(F$1,[2]stages!$2:$2,0)-MATCH($D$1,[2]stages!$2:$2,0)+1),MATCH(F$1,[2]stages!$2:$2,0)-MATCH($D$1,[2]stages!$2:$2,0)+1,FALSE)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38" s="25">
        <v>1</v>
      </c>
      <c r="H38" s="16" t="str">
        <f t="shared" si="2"/>
        <v>11007_4-1</v>
      </c>
      <c r="I38" s="5">
        <f ca="1">VLOOKUP($H38,OFFSET(floors!$A$1,0,0,COUNTA(floors!$A:$A),MATCH(I$1,floors!$1:$1,0)-MATCH($H$1,floors!$1:$1,0)+1),MATCH(I$1,floors!$1:$1,0)-MATCH($H$1,floors!$1:$1,0)+1,FALSE)</f>
        <v>30</v>
      </c>
      <c r="J38" s="5">
        <f ca="1">VLOOKUP($H38,OFFSET(floors!$A$1,0,0,COUNTA(floors!$A:$A),MATCH(J$1,floors!$1:$1,0)-MATCH($H$1,floors!$1:$1,0)+1),MATCH(J$1,floors!$1:$1,0)-MATCH($H$1,floors!$1:$1,0)+1,FALSE)</f>
        <v>45</v>
      </c>
      <c r="K38" s="24" t="s">
        <v>197</v>
      </c>
      <c r="L38" s="24">
        <v>33</v>
      </c>
      <c r="M38" s="20" t="str">
        <f ca="1">VLOOKUP($L38,OFFSET([3]enemies!$A$1,0,0,COUNTA([3]enemies!$A:$A),MATCH(M$1,[3]enemies!$1:$1,0)-MATCH($L$1,[3]enemies!$1:$1,0)+1),MATCH(M$1,[3]enemies!$1:$1,0)-MATCH($L$1,[3]enemies!$1:$1,0)+1,FALSE)</f>
        <v>ゴクウ</v>
      </c>
      <c r="N38" s="20" t="str">
        <f ca="1">VLOOKUP($L38,OFFSET([3]enemies!$A$1,0,0,COUNTA([3]enemies!$A:$A),MATCH(N$1,[3]enemies!$1:$1,0)-MATCH($L$1,[3]enemies!$1:$1,0)+1),MATCH(N$1,[3]enemies!$1:$1,0)-MATCH($L$1,[3]enemies!$1:$1,0)+1,FALSE)</f>
        <v>red</v>
      </c>
      <c r="O38" s="22" t="str">
        <f ca="1">VLOOKUP($L38,OFFSET([4]characters!$A$1,0,0,COUNTA([4]characters!$A:$A),MATCH(O$1,[4]characters!$1:$1,0)-MATCH($L$1,[4]characters!$1:$1,0)+1),MATCH(O$1,[4]characters!$1:$1,0)-MATCH($L$1,[4]characters!$1:$1,0)+1,FALSE)</f>
        <v>Drop1S</v>
      </c>
      <c r="P38" s="20" t="str">
        <f ca="1">VLOOKUP($L38,OFFSET([3]enemies!$A$1,0,0,COUNTA([3]enemies!$A:$A),MATCH(P$1,[3]enemies!$1:$1,0)-MATCH($L$1,[3]enemies!$1:$1,0)+1),MATCH(P$1,[3]enemies!$1:$1,0)-MATCH($L$1,[3]enemies!$1:$1,0)+1,FALSE)</f>
        <v>animal</v>
      </c>
      <c r="Q38" s="20">
        <f ca="1">VLOOKUP($L38,OFFSET([3]enemies!$A$1,0,0,COUNTA([3]enemies!$A:$A),MATCH(Q$1,[3]enemies!$1:$1,0)-MATCH($L$1,[3]enemies!$1:$1,0)+1),MATCH(Q$1,[3]enemies!$1:$1,0)-MATCH($L$1,[3]enemies!$1:$1,0)+1,FALSE)</f>
        <v>15</v>
      </c>
      <c r="R38" s="6">
        <v>42</v>
      </c>
      <c r="S38" s="39">
        <v>1</v>
      </c>
      <c r="T38" s="39">
        <v>1</v>
      </c>
      <c r="U38" s="6">
        <v>0</v>
      </c>
      <c r="V38" s="5" t="str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38" s="5">
        <f ca="1">VLOOKUP($L38,OFFSET([3]enemies!$A$1,0,0,COUNTA([3]enemies!$A:$A),MATCH(W$1,[3]enemies!$1:$1,0)-MATCH($L$1,[3]enemies!$1:$1,0)+1),MATCH(W$1,[3]enemies!$1:$1,0)-MATCH($L$1,[3]enemies!$1:$1,0)+1,FALSE)</f>
        <v>33</v>
      </c>
      <c r="X38" s="7">
        <v>0</v>
      </c>
      <c r="Y38" s="7">
        <v>100</v>
      </c>
      <c r="Z38" s="7">
        <v>0</v>
      </c>
      <c r="AA38" s="20">
        <f ca="1">VLOOKUP($L38,OFFSET([3]enemies!$A$1,0,0,COUNTA([3]enemies!$A:$A),MATCH(AA$1,[3]enemies!$1:$1,0)-MATCH($L$1,[3]enemies!$1:$1,0)+1),MATCH(AA$1,[3]enemies!$1:$1,0)-MATCH($L$1,[3]enemies!$1:$1,0)+1,FALSE)</f>
        <v>2</v>
      </c>
      <c r="AB38" s="24">
        <v>33</v>
      </c>
      <c r="AC38" s="5" t="str">
        <f ca="1">IFERROR(VLOOKUP($AB38,OFFSET([4]characters!$A$1,0,0,COUNTA([4]characters!$A:$A),MATCH(AC$1,[4]characters!$1:$1,0)-MATCH("character_id",[4]characters!$1:$1,0)+1),MATCH(AC$1,[4]characters!$1:$1,0)-MATCH("character_id",[4]characters!$1:$1,0)+1,FALSE),"")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38" s="5">
        <f ca="1">IFERROR(VLOOKUP($AB38,OFFSET([4]characters!$A$1,0,0,COUNTA([4]characters!$A:$A),MATCH(AD$1,[4]characters!$1:$1,0)-MATCH("character_id",[4]characters!$1:$1,0)+1),MATCH(AD$1,[4]characters!$1:$1,0)-MATCH("character_id",[4]characters!$1:$1,0)+1,FALSE),"")</f>
        <v>2</v>
      </c>
      <c r="AE38" s="5" t="str">
        <f ca="1">IFERROR(VLOOKUP($AB38,OFFSET([4]characters!$A$1,0,0,COUNTA([4]characters!$A:$A),MATCH(AE$1,[4]characters!$1:$1,0)-MATCH("character_id",[4]characters!$1:$1,0)+1),MATCH(AE$1,[4]characters!$1:$1,0)-MATCH("character_id",[4]characters!$1:$1,0)+1,FALSE),"")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38" s="8">
        <v>1</v>
      </c>
      <c r="AG38" s="27">
        <f t="shared" ca="1" si="3"/>
        <v>2</v>
      </c>
      <c r="AH38" s="9">
        <v>0</v>
      </c>
      <c r="AI38" s="8">
        <v>0</v>
      </c>
      <c r="AJ38" s="8">
        <v>0</v>
      </c>
      <c r="AK38" s="8">
        <v>0</v>
      </c>
      <c r="AL38" s="8">
        <v>0</v>
      </c>
      <c r="AM38" s="8">
        <v>1</v>
      </c>
      <c r="AN38" s="8">
        <v>1</v>
      </c>
    </row>
    <row r="39" spans="1:40" ht="21" customHeight="1" x14ac:dyDescent="0.15">
      <c r="A39" s="17" t="str">
        <f t="shared" ca="1" si="4"/>
        <v>11007_4-1/21&lt;lv42&gt;s2</v>
      </c>
      <c r="B39" s="8">
        <v>11007</v>
      </c>
      <c r="C39" s="25">
        <v>4</v>
      </c>
      <c r="D39" s="2" t="str">
        <f t="shared" si="1"/>
        <v>11007_4</v>
      </c>
      <c r="E39" s="5" t="str">
        <f ca="1">VLOOKUP($B39,OFFSET([2]quests!$A$1,0,0,COUNTA([2]quests!$A:$A),MATCH(E$1,[2]quests!$1:$1,0)-MATCH($B$1,[2]quests!$1:$1,0)+1),MATCH(E$1,[2]quests!$1:$1,0)-MATCH($B$1,[2]quests!$1:$1,0)+1,FALSE)</f>
        <v>【土曜限定】 赤と緑の素材</v>
      </c>
      <c r="F39" s="5" t="str">
        <f ca="1">VLOOKUP($D39,OFFSET([2]stages!$A$1,0,0,COUNTA([2]stages!$A:$A),MATCH(F$1,[2]stages!$2:$2,0)-MATCH($D$1,[2]stages!$2:$2,0)+1),MATCH(F$1,[2]stages!$2:$2,0)-MATCH($D$1,[2]stages!$2:$2,0)+1,FALSE)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39" s="25">
        <v>1</v>
      </c>
      <c r="H39" s="16" t="str">
        <f t="shared" si="2"/>
        <v>11007_4-1</v>
      </c>
      <c r="I39" s="5">
        <f ca="1">VLOOKUP($H39,OFFSET(floors!$A$1,0,0,COUNTA(floors!$A:$A),MATCH(I$1,floors!$1:$1,0)-MATCH($H$1,floors!$1:$1,0)+1),MATCH(I$1,floors!$1:$1,0)-MATCH($H$1,floors!$1:$1,0)+1,FALSE)</f>
        <v>30</v>
      </c>
      <c r="J39" s="5">
        <f ca="1">VLOOKUP($H39,OFFSET(floors!$A$1,0,0,COUNTA(floors!$A:$A),MATCH(J$1,floors!$1:$1,0)-MATCH($H$1,floors!$1:$1,0)+1),MATCH(J$1,floors!$1:$1,0)-MATCH($H$1,floors!$1:$1,0)+1,FALSE)</f>
        <v>45</v>
      </c>
      <c r="K39" s="24" t="s">
        <v>197</v>
      </c>
      <c r="L39" s="24">
        <v>21</v>
      </c>
      <c r="M39" s="20" t="str">
        <f ca="1">VLOOKUP($L39,OFFSET([3]enemies!$A$1,0,0,COUNTA([3]enemies!$A:$A),MATCH(M$1,[3]enemies!$1:$1,0)-MATCH($L$1,[3]enemies!$1:$1,0)+1),MATCH(M$1,[3]enemies!$1:$1,0)-MATCH($L$1,[3]enemies!$1:$1,0)+1,FALSE)</f>
        <v>ヴェロキー</v>
      </c>
      <c r="N39" s="20" t="str">
        <f ca="1">VLOOKUP($L39,OFFSET([3]enemies!$A$1,0,0,COUNTA([3]enemies!$A:$A),MATCH(N$1,[3]enemies!$1:$1,0)-MATCH($L$1,[3]enemies!$1:$1,0)+1),MATCH(N$1,[3]enemies!$1:$1,0)-MATCH($L$1,[3]enemies!$1:$1,0)+1,FALSE)</f>
        <v>red</v>
      </c>
      <c r="O39" s="22" t="str">
        <f ca="1">VLOOKUP($L39,OFFSET([4]characters!$A$1,0,0,COUNTA([4]characters!$A:$A),MATCH(O$1,[4]characters!$1:$1,0)-MATCH($L$1,[4]characters!$1:$1,0)+1),MATCH(O$1,[4]characters!$1:$1,0)-MATCH($L$1,[4]characters!$1:$1,0)+1,FALSE)</f>
        <v>Drop1N</v>
      </c>
      <c r="P39" s="20" t="str">
        <f ca="1">VLOOKUP($L39,OFFSET([3]enemies!$A$1,0,0,COUNTA([3]enemies!$A:$A),MATCH(P$1,[3]enemies!$1:$1,0)-MATCH($L$1,[3]enemies!$1:$1,0)+1),MATCH(P$1,[3]enemies!$1:$1,0)-MATCH($L$1,[3]enemies!$1:$1,0)+1,FALSE)</f>
        <v>dragon</v>
      </c>
      <c r="Q39" s="20">
        <f ca="1">VLOOKUP($L39,OFFSET([3]enemies!$A$1,0,0,COUNTA([3]enemies!$A:$A),MATCH(Q$1,[3]enemies!$1:$1,0)-MATCH($L$1,[3]enemies!$1:$1,0)+1),MATCH(Q$1,[3]enemies!$1:$1,0)-MATCH($L$1,[3]enemies!$1:$1,0)+1,FALSE)</f>
        <v>15</v>
      </c>
      <c r="R39" s="6">
        <v>42</v>
      </c>
      <c r="S39" s="39">
        <v>1</v>
      </c>
      <c r="T39" s="39">
        <v>1</v>
      </c>
      <c r="U39" s="6">
        <v>0</v>
      </c>
      <c r="V39" s="5" t="str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9" s="5">
        <f ca="1">VLOOKUP($L39,OFFSET([3]enemies!$A$1,0,0,COUNTA([3]enemies!$A:$A),MATCH(W$1,[3]enemies!$1:$1,0)-MATCH($L$1,[3]enemies!$1:$1,0)+1),MATCH(W$1,[3]enemies!$1:$1,0)-MATCH($L$1,[3]enemies!$1:$1,0)+1,FALSE)</f>
        <v>0</v>
      </c>
      <c r="X39" s="7">
        <v>0</v>
      </c>
      <c r="Y39" s="7">
        <v>100</v>
      </c>
      <c r="Z39" s="7">
        <v>0</v>
      </c>
      <c r="AA39" s="20">
        <f ca="1">VLOOKUP($L39,OFFSET([3]enemies!$A$1,0,0,COUNTA([3]enemies!$A:$A),MATCH(AA$1,[3]enemies!$1:$1,0)-MATCH($L$1,[3]enemies!$1:$1,0)+1),MATCH(AA$1,[3]enemies!$1:$1,0)-MATCH($L$1,[3]enemies!$1:$1,0)+1,FALSE)</f>
        <v>2</v>
      </c>
      <c r="AB39" s="24">
        <v>21</v>
      </c>
      <c r="AC39" s="5" t="str">
        <f ca="1">IFERROR(VLOOKUP($AB39,OFFSET([4]characters!$A$1,0,0,COUNTA([4]characters!$A:$A),MATCH(AC$1,[4]characters!$1:$1,0)-MATCH("character_id",[4]characters!$1:$1,0)+1),MATCH(AC$1,[4]characters!$1:$1,0)-MATCH("character_id",[4]characters!$1:$1,0)+1,FALSE),"")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39" s="5">
        <f ca="1">IFERROR(VLOOKUP($AB39,OFFSET([4]characters!$A$1,0,0,COUNTA([4]characters!$A:$A),MATCH(AD$1,[4]characters!$1:$1,0)-MATCH("character_id",[4]characters!$1:$1,0)+1),MATCH(AD$1,[4]characters!$1:$1,0)-MATCH("character_id",[4]characters!$1:$1,0)+1,FALSE),"")</f>
        <v>1</v>
      </c>
      <c r="AE39" s="5" t="str">
        <f ca="1">IFERROR(VLOOKUP($AB39,OFFSET([4]characters!$A$1,0,0,COUNTA([4]characters!$A:$A),MATCH(AE$1,[4]characters!$1:$1,0)-MATCH("character_id",[4]characters!$1:$1,0)+1),MATCH(AE$1,[4]characters!$1:$1,0)-MATCH("character_id",[4]characters!$1:$1,0)+1,FALSE),"")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39" s="8">
        <v>1</v>
      </c>
      <c r="AG39" s="27">
        <f t="shared" ca="1" si="3"/>
        <v>1</v>
      </c>
      <c r="AH39" s="9">
        <v>0</v>
      </c>
      <c r="AI39" s="8">
        <v>0</v>
      </c>
      <c r="AJ39" s="8">
        <v>0</v>
      </c>
      <c r="AK39" s="8">
        <v>0</v>
      </c>
      <c r="AL39" s="8">
        <v>0</v>
      </c>
      <c r="AM39" s="8">
        <v>1</v>
      </c>
      <c r="AN39" s="8">
        <v>1</v>
      </c>
    </row>
    <row r="40" spans="1:40" ht="21" customHeight="1" x14ac:dyDescent="0.15">
      <c r="A40" s="17" t="str">
        <f t="shared" ca="1" si="4"/>
        <v>11007_4-2/33&lt;lv42&gt;s2</v>
      </c>
      <c r="B40" s="8">
        <v>11007</v>
      </c>
      <c r="C40" s="25">
        <v>4</v>
      </c>
      <c r="D40" s="2" t="str">
        <f t="shared" si="1"/>
        <v>11007_4</v>
      </c>
      <c r="E40" s="5" t="str">
        <f ca="1">VLOOKUP($B40,OFFSET([2]quests!$A$1,0,0,COUNTA([2]quests!$A:$A),MATCH(E$1,[2]quests!$1:$1,0)-MATCH($B$1,[2]quests!$1:$1,0)+1),MATCH(E$1,[2]quests!$1:$1,0)-MATCH($B$1,[2]quests!$1:$1,0)+1,FALSE)</f>
        <v>【土曜限定】 赤と緑の素材</v>
      </c>
      <c r="F40" s="5" t="str">
        <f ca="1">VLOOKUP($D40,OFFSET([2]stages!$A$1,0,0,COUNTA([2]stages!$A:$A),MATCH(F$1,[2]stages!$2:$2,0)-MATCH($D$1,[2]stages!$2:$2,0)+1),MATCH(F$1,[2]stages!$2:$2,0)-MATCH($D$1,[2]stages!$2:$2,0)+1,FALSE)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0" s="25">
        <v>2</v>
      </c>
      <c r="H40" s="16" t="str">
        <f t="shared" si="2"/>
        <v>11007_4-2</v>
      </c>
      <c r="I40" s="5">
        <f ca="1">VLOOKUP($H40,OFFSET(floors!$A$1,0,0,COUNTA(floors!$A:$A),MATCH(I$1,floors!$1:$1,0)-MATCH($H$1,floors!$1:$1,0)+1),MATCH(I$1,floors!$1:$1,0)-MATCH($H$1,floors!$1:$1,0)+1,FALSE)</f>
        <v>45</v>
      </c>
      <c r="J40" s="5">
        <f ca="1">VLOOKUP($H40,OFFSET(floors!$A$1,0,0,COUNTA(floors!$A:$A),MATCH(J$1,floors!$1:$1,0)-MATCH($H$1,floors!$1:$1,0)+1),MATCH(J$1,floors!$1:$1,0)-MATCH($H$1,floors!$1:$1,0)+1,FALSE)</f>
        <v>60</v>
      </c>
      <c r="K40" s="24" t="s">
        <v>197</v>
      </c>
      <c r="L40" s="24">
        <v>33</v>
      </c>
      <c r="M40" s="20" t="str">
        <f ca="1">VLOOKUP($L40,OFFSET([3]enemies!$A$1,0,0,COUNTA([3]enemies!$A:$A),MATCH(M$1,[3]enemies!$1:$1,0)-MATCH($L$1,[3]enemies!$1:$1,0)+1),MATCH(M$1,[3]enemies!$1:$1,0)-MATCH($L$1,[3]enemies!$1:$1,0)+1,FALSE)</f>
        <v>ゴクウ</v>
      </c>
      <c r="N40" s="20" t="str">
        <f ca="1">VLOOKUP($L40,OFFSET([3]enemies!$A$1,0,0,COUNTA([3]enemies!$A:$A),MATCH(N$1,[3]enemies!$1:$1,0)-MATCH($L$1,[3]enemies!$1:$1,0)+1),MATCH(N$1,[3]enemies!$1:$1,0)-MATCH($L$1,[3]enemies!$1:$1,0)+1,FALSE)</f>
        <v>red</v>
      </c>
      <c r="O40" s="22" t="str">
        <f ca="1">VLOOKUP($L40,OFFSET([4]characters!$A$1,0,0,COUNTA([4]characters!$A:$A),MATCH(O$1,[4]characters!$1:$1,0)-MATCH($L$1,[4]characters!$1:$1,0)+1),MATCH(O$1,[4]characters!$1:$1,0)-MATCH($L$1,[4]characters!$1:$1,0)+1,FALSE)</f>
        <v>Drop1S</v>
      </c>
      <c r="P40" s="20" t="str">
        <f ca="1">VLOOKUP($L40,OFFSET([3]enemies!$A$1,0,0,COUNTA([3]enemies!$A:$A),MATCH(P$1,[3]enemies!$1:$1,0)-MATCH($L$1,[3]enemies!$1:$1,0)+1),MATCH(P$1,[3]enemies!$1:$1,0)-MATCH($L$1,[3]enemies!$1:$1,0)+1,FALSE)</f>
        <v>animal</v>
      </c>
      <c r="Q40" s="20">
        <f ca="1">VLOOKUP($L40,OFFSET([3]enemies!$A$1,0,0,COUNTA([3]enemies!$A:$A),MATCH(Q$1,[3]enemies!$1:$1,0)-MATCH($L$1,[3]enemies!$1:$1,0)+1),MATCH(Q$1,[3]enemies!$1:$1,0)-MATCH($L$1,[3]enemies!$1:$1,0)+1,FALSE)</f>
        <v>15</v>
      </c>
      <c r="R40" s="6">
        <v>42</v>
      </c>
      <c r="S40" s="39">
        <v>1</v>
      </c>
      <c r="T40" s="39">
        <v>1</v>
      </c>
      <c r="U40" s="6">
        <v>0</v>
      </c>
      <c r="V40" s="5" t="str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40" s="5">
        <f ca="1">VLOOKUP($L40,OFFSET([3]enemies!$A$1,0,0,COUNTA([3]enemies!$A:$A),MATCH(W$1,[3]enemies!$1:$1,0)-MATCH($L$1,[3]enemies!$1:$1,0)+1),MATCH(W$1,[3]enemies!$1:$1,0)-MATCH($L$1,[3]enemies!$1:$1,0)+1,FALSE)</f>
        <v>33</v>
      </c>
      <c r="X40" s="7">
        <v>0</v>
      </c>
      <c r="Y40" s="7">
        <v>100</v>
      </c>
      <c r="Z40" s="7">
        <v>0</v>
      </c>
      <c r="AA40" s="20">
        <f ca="1">VLOOKUP($L40,OFFSET([3]enemies!$A$1,0,0,COUNTA([3]enemies!$A:$A),MATCH(AA$1,[3]enemies!$1:$1,0)-MATCH($L$1,[3]enemies!$1:$1,0)+1),MATCH(AA$1,[3]enemies!$1:$1,0)-MATCH($L$1,[3]enemies!$1:$1,0)+1,FALSE)</f>
        <v>2</v>
      </c>
      <c r="AB40" s="24">
        <v>33</v>
      </c>
      <c r="AC40" s="5" t="str">
        <f ca="1">IFERROR(VLOOKUP($AB40,OFFSET([4]characters!$A$1,0,0,COUNTA([4]characters!$A:$A),MATCH(AC$1,[4]characters!$1:$1,0)-MATCH("character_id",[4]characters!$1:$1,0)+1),MATCH(AC$1,[4]characters!$1:$1,0)-MATCH("character_id",[4]characters!$1:$1,0)+1,FALSE),"")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40" s="5">
        <f ca="1">IFERROR(VLOOKUP($AB40,OFFSET([4]characters!$A$1,0,0,COUNTA([4]characters!$A:$A),MATCH(AD$1,[4]characters!$1:$1,0)-MATCH("character_id",[4]characters!$1:$1,0)+1),MATCH(AD$1,[4]characters!$1:$1,0)-MATCH("character_id",[4]characters!$1:$1,0)+1,FALSE),"")</f>
        <v>2</v>
      </c>
      <c r="AE40" s="5" t="str">
        <f ca="1">IFERROR(VLOOKUP($AB40,OFFSET([4]characters!$A$1,0,0,COUNTA([4]characters!$A:$A),MATCH(AE$1,[4]characters!$1:$1,0)-MATCH("character_id",[4]characters!$1:$1,0)+1),MATCH(AE$1,[4]characters!$1:$1,0)-MATCH("character_id",[4]characters!$1:$1,0)+1,FALSE),"")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40" s="8">
        <v>1</v>
      </c>
      <c r="AG40" s="27">
        <f t="shared" ca="1" si="3"/>
        <v>2</v>
      </c>
      <c r="AH40" s="9">
        <v>0</v>
      </c>
      <c r="AI40" s="8">
        <v>0</v>
      </c>
      <c r="AJ40" s="8">
        <v>0</v>
      </c>
      <c r="AK40" s="8">
        <v>0</v>
      </c>
      <c r="AL40" s="8">
        <v>0</v>
      </c>
      <c r="AM40" s="8">
        <v>1</v>
      </c>
      <c r="AN40" s="8">
        <v>1</v>
      </c>
    </row>
    <row r="41" spans="1:40" ht="21" customHeight="1" x14ac:dyDescent="0.15">
      <c r="A41" s="17" t="str">
        <f t="shared" ca="1" si="4"/>
        <v>11007_4-2/21&lt;lv42&gt;s2</v>
      </c>
      <c r="B41" s="8">
        <v>11007</v>
      </c>
      <c r="C41" s="25">
        <v>4</v>
      </c>
      <c r="D41" s="2" t="str">
        <f t="shared" si="1"/>
        <v>11007_4</v>
      </c>
      <c r="E41" s="5" t="str">
        <f ca="1">VLOOKUP($B41,OFFSET([2]quests!$A$1,0,0,COUNTA([2]quests!$A:$A),MATCH(E$1,[2]quests!$1:$1,0)-MATCH($B$1,[2]quests!$1:$1,0)+1),MATCH(E$1,[2]quests!$1:$1,0)-MATCH($B$1,[2]quests!$1:$1,0)+1,FALSE)</f>
        <v>【土曜限定】 赤と緑の素材</v>
      </c>
      <c r="F41" s="5" t="str">
        <f ca="1">VLOOKUP($D41,OFFSET([2]stages!$A$1,0,0,COUNTA([2]stages!$A:$A),MATCH(F$1,[2]stages!$2:$2,0)-MATCH($D$1,[2]stages!$2:$2,0)+1),MATCH(F$1,[2]stages!$2:$2,0)-MATCH($D$1,[2]stages!$2:$2,0)+1,FALSE)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1" s="25">
        <v>2</v>
      </c>
      <c r="H41" s="16" t="str">
        <f t="shared" si="2"/>
        <v>11007_4-2</v>
      </c>
      <c r="I41" s="5">
        <f ca="1">VLOOKUP($H41,OFFSET(floors!$A$1,0,0,COUNTA(floors!$A:$A),MATCH(I$1,floors!$1:$1,0)-MATCH($H$1,floors!$1:$1,0)+1),MATCH(I$1,floors!$1:$1,0)-MATCH($H$1,floors!$1:$1,0)+1,FALSE)</f>
        <v>45</v>
      </c>
      <c r="J41" s="5">
        <f ca="1">VLOOKUP($H41,OFFSET(floors!$A$1,0,0,COUNTA(floors!$A:$A),MATCH(J$1,floors!$1:$1,0)-MATCH($H$1,floors!$1:$1,0)+1),MATCH(J$1,floors!$1:$1,0)-MATCH($H$1,floors!$1:$1,0)+1,FALSE)</f>
        <v>60</v>
      </c>
      <c r="K41" s="24" t="s">
        <v>197</v>
      </c>
      <c r="L41" s="24">
        <v>21</v>
      </c>
      <c r="M41" s="20" t="str">
        <f ca="1">VLOOKUP($L41,OFFSET([3]enemies!$A$1,0,0,COUNTA([3]enemies!$A:$A),MATCH(M$1,[3]enemies!$1:$1,0)-MATCH($L$1,[3]enemies!$1:$1,0)+1),MATCH(M$1,[3]enemies!$1:$1,0)-MATCH($L$1,[3]enemies!$1:$1,0)+1,FALSE)</f>
        <v>ヴェロキー</v>
      </c>
      <c r="N41" s="20" t="str">
        <f ca="1">VLOOKUP($L41,OFFSET([3]enemies!$A$1,0,0,COUNTA([3]enemies!$A:$A),MATCH(N$1,[3]enemies!$1:$1,0)-MATCH($L$1,[3]enemies!$1:$1,0)+1),MATCH(N$1,[3]enemies!$1:$1,0)-MATCH($L$1,[3]enemies!$1:$1,0)+1,FALSE)</f>
        <v>red</v>
      </c>
      <c r="O41" s="22" t="str">
        <f ca="1">VLOOKUP($L41,OFFSET([4]characters!$A$1,0,0,COUNTA([4]characters!$A:$A),MATCH(O$1,[4]characters!$1:$1,0)-MATCH($L$1,[4]characters!$1:$1,0)+1),MATCH(O$1,[4]characters!$1:$1,0)-MATCH($L$1,[4]characters!$1:$1,0)+1,FALSE)</f>
        <v>Drop1N</v>
      </c>
      <c r="P41" s="20" t="str">
        <f ca="1">VLOOKUP($L41,OFFSET([3]enemies!$A$1,0,0,COUNTA([3]enemies!$A:$A),MATCH(P$1,[3]enemies!$1:$1,0)-MATCH($L$1,[3]enemies!$1:$1,0)+1),MATCH(P$1,[3]enemies!$1:$1,0)-MATCH($L$1,[3]enemies!$1:$1,0)+1,FALSE)</f>
        <v>dragon</v>
      </c>
      <c r="Q41" s="20">
        <f ca="1">VLOOKUP($L41,OFFSET([3]enemies!$A$1,0,0,COUNTA([3]enemies!$A:$A),MATCH(Q$1,[3]enemies!$1:$1,0)-MATCH($L$1,[3]enemies!$1:$1,0)+1),MATCH(Q$1,[3]enemies!$1:$1,0)-MATCH($L$1,[3]enemies!$1:$1,0)+1,FALSE)</f>
        <v>15</v>
      </c>
      <c r="R41" s="6">
        <v>42</v>
      </c>
      <c r="S41" s="39">
        <v>1</v>
      </c>
      <c r="T41" s="39">
        <v>1</v>
      </c>
      <c r="U41" s="6">
        <v>0</v>
      </c>
      <c r="V41" s="5" t="str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1" s="5">
        <f ca="1">VLOOKUP($L41,OFFSET([3]enemies!$A$1,0,0,COUNTA([3]enemies!$A:$A),MATCH(W$1,[3]enemies!$1:$1,0)-MATCH($L$1,[3]enemies!$1:$1,0)+1),MATCH(W$1,[3]enemies!$1:$1,0)-MATCH($L$1,[3]enemies!$1:$1,0)+1,FALSE)</f>
        <v>0</v>
      </c>
      <c r="X41" s="7">
        <v>0</v>
      </c>
      <c r="Y41" s="7">
        <v>100</v>
      </c>
      <c r="Z41" s="7">
        <v>0</v>
      </c>
      <c r="AA41" s="20">
        <f ca="1">VLOOKUP($L41,OFFSET([3]enemies!$A$1,0,0,COUNTA([3]enemies!$A:$A),MATCH(AA$1,[3]enemies!$1:$1,0)-MATCH($L$1,[3]enemies!$1:$1,0)+1),MATCH(AA$1,[3]enemies!$1:$1,0)-MATCH($L$1,[3]enemies!$1:$1,0)+1,FALSE)</f>
        <v>2</v>
      </c>
      <c r="AB41" s="24">
        <v>21</v>
      </c>
      <c r="AC41" s="5" t="str">
        <f ca="1">IFERROR(VLOOKUP($AB41,OFFSET([4]characters!$A$1,0,0,COUNTA([4]characters!$A:$A),MATCH(AC$1,[4]characters!$1:$1,0)-MATCH("character_id",[4]characters!$1:$1,0)+1),MATCH(AC$1,[4]characters!$1:$1,0)-MATCH("character_id",[4]characters!$1:$1,0)+1,FALSE),"")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41" s="5">
        <f ca="1">IFERROR(VLOOKUP($AB41,OFFSET([4]characters!$A$1,0,0,COUNTA([4]characters!$A:$A),MATCH(AD$1,[4]characters!$1:$1,0)-MATCH("character_id",[4]characters!$1:$1,0)+1),MATCH(AD$1,[4]characters!$1:$1,0)-MATCH("character_id",[4]characters!$1:$1,0)+1,FALSE),"")</f>
        <v>1</v>
      </c>
      <c r="AE41" s="5" t="str">
        <f ca="1">IFERROR(VLOOKUP($AB41,OFFSET([4]characters!$A$1,0,0,COUNTA([4]characters!$A:$A),MATCH(AE$1,[4]characters!$1:$1,0)-MATCH("character_id",[4]characters!$1:$1,0)+1),MATCH(AE$1,[4]characters!$1:$1,0)-MATCH("character_id",[4]characters!$1:$1,0)+1,FALSE),"")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41" s="8">
        <v>1</v>
      </c>
      <c r="AG41" s="27">
        <f t="shared" ca="1" si="3"/>
        <v>1</v>
      </c>
      <c r="AH41" s="9">
        <v>0</v>
      </c>
      <c r="AI41" s="8">
        <v>0</v>
      </c>
      <c r="AJ41" s="8">
        <v>0</v>
      </c>
      <c r="AK41" s="8">
        <v>0</v>
      </c>
      <c r="AL41" s="8">
        <v>0</v>
      </c>
      <c r="AM41" s="8">
        <v>1</v>
      </c>
      <c r="AN41" s="8">
        <v>1</v>
      </c>
    </row>
    <row r="42" spans="1:40" ht="21" customHeight="1" x14ac:dyDescent="0.15">
      <c r="A42" s="17" t="str">
        <f t="shared" ca="1" si="4"/>
        <v>11007_4-2/332&lt;lv1&gt;s1</v>
      </c>
      <c r="B42" s="8">
        <v>11007</v>
      </c>
      <c r="C42" s="25">
        <v>4</v>
      </c>
      <c r="D42" s="2" t="str">
        <f t="shared" si="1"/>
        <v>11007_4</v>
      </c>
      <c r="E42" s="5" t="str">
        <f ca="1">VLOOKUP($B42,OFFSET([2]quests!$A$1,0,0,COUNTA([2]quests!$A:$A),MATCH(E$1,[2]quests!$1:$1,0)-MATCH($B$1,[2]quests!$1:$1,0)+1),MATCH(E$1,[2]quests!$1:$1,0)-MATCH($B$1,[2]quests!$1:$1,0)+1,FALSE)</f>
        <v>【土曜限定】 赤と緑の素材</v>
      </c>
      <c r="F42" s="5" t="str">
        <f ca="1">VLOOKUP($D42,OFFSET([2]stages!$A$1,0,0,COUNTA([2]stages!$A:$A),MATCH(F$1,[2]stages!$2:$2,0)-MATCH($D$1,[2]stages!$2:$2,0)+1),MATCH(F$1,[2]stages!$2:$2,0)-MATCH($D$1,[2]stages!$2:$2,0)+1,FALSE)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2" s="25">
        <v>2</v>
      </c>
      <c r="H42" s="16" t="str">
        <f t="shared" si="2"/>
        <v>11007_4-2</v>
      </c>
      <c r="I42" s="5">
        <f ca="1">VLOOKUP($H42,OFFSET(floors!$A$1,0,0,COUNTA(floors!$A:$A),MATCH(I$1,floors!$1:$1,0)-MATCH($H$1,floors!$1:$1,0)+1),MATCH(I$1,floors!$1:$1,0)-MATCH($H$1,floors!$1:$1,0)+1,FALSE)</f>
        <v>45</v>
      </c>
      <c r="J42" s="5">
        <f ca="1">VLOOKUP($H42,OFFSET(floors!$A$1,0,0,COUNTA(floors!$A:$A),MATCH(J$1,floors!$1:$1,0)-MATCH($H$1,floors!$1:$1,0)+1),MATCH(J$1,floors!$1:$1,0)-MATCH($H$1,floors!$1:$1,0)+1,FALSE)</f>
        <v>60</v>
      </c>
      <c r="K42" s="24" t="s">
        <v>197</v>
      </c>
      <c r="L42" s="24">
        <v>332</v>
      </c>
      <c r="M42" s="20" t="str">
        <f ca="1">VLOOKUP($L42,OFFSET([3]enemies!$A$1,0,0,COUNTA([3]enemies!$A:$A),MATCH(M$1,[3]enemies!$1:$1,0)-MATCH($L$1,[3]enemies!$1:$1,0)+1),MATCH(M$1,[3]enemies!$1:$1,0)-MATCH($L$1,[3]enemies!$1:$1,0)+1,FALSE)</f>
        <v>炎のメタルピヨピヨ</v>
      </c>
      <c r="N42" s="20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22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20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20">
        <f ca="1">VLOOKUP($L42,OFFSET([3]enemies!$A$1,0,0,COUNTA([3]enemies!$A:$A),MATCH(Q$1,[3]enemies!$1:$1,0)-MATCH($L$1,[3]enemies!$1:$1,0)+1),MATCH(Q$1,[3]enemies!$1:$1,0)-MATCH($L$1,[3]enemies!$1:$1,0)+1,FALSE)</f>
        <v>15</v>
      </c>
      <c r="R42" s="6">
        <v>1</v>
      </c>
      <c r="S42" s="39">
        <v>1</v>
      </c>
      <c r="T42" s="39">
        <v>1</v>
      </c>
      <c r="U42" s="6">
        <v>0</v>
      </c>
      <c r="V42" s="5" t="str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2" s="5">
        <f ca="1">VLOOKUP($L42,OFFSET([3]enemies!$A$1,0,0,COUNTA([3]enemies!$A:$A),MATCH(W$1,[3]enemies!$1:$1,0)-MATCH($L$1,[3]enemies!$1:$1,0)+1),MATCH(W$1,[3]enemies!$1:$1,0)-MATCH($L$1,[3]enemies!$1:$1,0)+1,FALSE)</f>
        <v>0</v>
      </c>
      <c r="X42" s="7">
        <v>0</v>
      </c>
      <c r="Y42" s="7">
        <v>20</v>
      </c>
      <c r="Z42" s="7">
        <v>0</v>
      </c>
      <c r="AA42" s="20">
        <f ca="1">VLOOKUP($L42,OFFSET([3]enemies!$A$1,0,0,COUNTA([3]enemies!$A:$A),MATCH(AA$1,[3]enemies!$1:$1,0)-MATCH($L$1,[3]enemies!$1:$1,0)+1),MATCH(AA$1,[3]enemies!$1:$1,0)-MATCH($L$1,[3]enemies!$1:$1,0)+1,FALSE)</f>
        <v>1</v>
      </c>
      <c r="AB42" s="24">
        <v>332</v>
      </c>
      <c r="AC42" s="5" t="str">
        <f ca="1">IFERROR(VLOOKUP($AB42,OFFSET([4]characters!$A$1,0,0,COUNTA([4]characters!$A:$A),MATCH(AC$1,[4]characters!$1:$1,0)-MATCH("character_id",[4]characters!$1:$1,0)+1),MATCH(AC$1,[4]characters!$1:$1,0)-MATCH("character_id",[4]characters!$1:$1,0)+1,FALSE),"")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42" s="5">
        <f ca="1">IFERROR(VLOOKUP($AB42,OFFSET([4]characters!$A$1,0,0,COUNTA([4]characters!$A:$A),MATCH(AD$1,[4]characters!$1:$1,0)-MATCH("character_id",[4]characters!$1:$1,0)+1),MATCH(AD$1,[4]characters!$1:$1,0)-MATCH("character_id",[4]characters!$1:$1,0)+1,FALSE),"")</f>
        <v>3</v>
      </c>
      <c r="AE42" s="5" t="str">
        <f ca="1">IFERROR(VLOOKUP($AB42,OFFSET([4]characters!$A$1,0,0,COUNTA([4]characters!$A:$A),MATCH(AE$1,[4]characters!$1:$1,0)-MATCH("character_id",[4]characters!$1:$1,0)+1),MATCH(AE$1,[4]characters!$1:$1,0)-MATCH("character_id",[4]characters!$1:$1,0)+1,FALSE),"")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2" s="8">
        <v>1</v>
      </c>
      <c r="AG42" s="27">
        <f t="shared" ca="1" si="3"/>
        <v>3</v>
      </c>
      <c r="AH42" s="9">
        <v>10</v>
      </c>
      <c r="AI42" s="8">
        <v>0</v>
      </c>
      <c r="AJ42" s="8">
        <v>0</v>
      </c>
      <c r="AK42" s="8">
        <v>0</v>
      </c>
      <c r="AL42" s="8">
        <v>0</v>
      </c>
      <c r="AM42" s="8">
        <v>1</v>
      </c>
      <c r="AN42" s="8">
        <v>1</v>
      </c>
    </row>
    <row r="43" spans="1:40" ht="21" customHeight="1" x14ac:dyDescent="0.15">
      <c r="A43" s="17" t="str">
        <f t="shared" ca="1" si="4"/>
        <v>11007_4-2/333&lt;lv1&gt;s2</v>
      </c>
      <c r="B43" s="8">
        <v>11007</v>
      </c>
      <c r="C43" s="25">
        <v>4</v>
      </c>
      <c r="D43" s="2" t="str">
        <f t="shared" si="1"/>
        <v>11007_4</v>
      </c>
      <c r="E43" s="5" t="str">
        <f ca="1">VLOOKUP($B43,OFFSET([2]quests!$A$1,0,0,COUNTA([2]quests!$A:$A),MATCH(E$1,[2]quests!$1:$1,0)-MATCH($B$1,[2]quests!$1:$1,0)+1),MATCH(E$1,[2]quests!$1:$1,0)-MATCH($B$1,[2]quests!$1:$1,0)+1,FALSE)</f>
        <v>【土曜限定】 赤と緑の素材</v>
      </c>
      <c r="F43" s="5" t="str">
        <f ca="1">VLOOKUP($D43,OFFSET([2]stages!$A$1,0,0,COUNTA([2]stages!$A:$A),MATCH(F$1,[2]stages!$2:$2,0)-MATCH($D$1,[2]stages!$2:$2,0)+1),MATCH(F$1,[2]stages!$2:$2,0)-MATCH($D$1,[2]stages!$2:$2,0)+1,FALSE)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3" s="25">
        <v>2</v>
      </c>
      <c r="H43" s="16" t="str">
        <f t="shared" si="2"/>
        <v>11007_4-2</v>
      </c>
      <c r="I43" s="5">
        <f ca="1">VLOOKUP($H43,OFFSET(floors!$A$1,0,0,COUNTA(floors!$A:$A),MATCH(I$1,floors!$1:$1,0)-MATCH($H$1,floors!$1:$1,0)+1),MATCH(I$1,floors!$1:$1,0)-MATCH($H$1,floors!$1:$1,0)+1,FALSE)</f>
        <v>45</v>
      </c>
      <c r="J43" s="5">
        <f ca="1">VLOOKUP($H43,OFFSET(floors!$A$1,0,0,COUNTA(floors!$A:$A),MATCH(J$1,floors!$1:$1,0)-MATCH($H$1,floors!$1:$1,0)+1),MATCH(J$1,floors!$1:$1,0)-MATCH($H$1,floors!$1:$1,0)+1,FALSE)</f>
        <v>60</v>
      </c>
      <c r="K43" s="24" t="s">
        <v>197</v>
      </c>
      <c r="L43" s="24">
        <v>333</v>
      </c>
      <c r="M43" s="20" t="str">
        <f ca="1">VLOOKUP($L43,OFFSET([3]enemies!$A$1,0,0,COUNTA([3]enemies!$A:$A),MATCH(M$1,[3]enemies!$1:$1,0)-MATCH($L$1,[3]enemies!$1:$1,0)+1),MATCH(M$1,[3]enemies!$1:$1,0)-MATCH($L$1,[3]enemies!$1:$1,0)+1,FALSE)</f>
        <v>炎のメタルチック</v>
      </c>
      <c r="N43" s="20" t="str">
        <f ca="1">VLOOKUP($L43,OFFSET([3]enemies!$A$1,0,0,COUNTA([3]enemies!$A:$A),MATCH(N$1,[3]enemies!$1:$1,0)-MATCH($L$1,[3]enemies!$1:$1,0)+1),MATCH(N$1,[3]enemies!$1:$1,0)-MATCH($L$1,[3]enemies!$1:$1,0)+1,FALSE)</f>
        <v>red</v>
      </c>
      <c r="O43" s="22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20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20">
        <f ca="1">VLOOKUP($L43,OFFSET([3]enemies!$A$1,0,0,COUNTA([3]enemies!$A:$A),MATCH(Q$1,[3]enemies!$1:$1,0)-MATCH($L$1,[3]enemies!$1:$1,0)+1),MATCH(Q$1,[3]enemies!$1:$1,0)-MATCH($L$1,[3]enemies!$1:$1,0)+1,FALSE)</f>
        <v>15</v>
      </c>
      <c r="R43" s="6">
        <v>1</v>
      </c>
      <c r="S43" s="39">
        <v>1</v>
      </c>
      <c r="T43" s="39">
        <v>1</v>
      </c>
      <c r="U43" s="6">
        <v>0</v>
      </c>
      <c r="V43" s="5" t="str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3" s="5">
        <f ca="1">VLOOKUP($L43,OFFSET([3]enemies!$A$1,0,0,COUNTA([3]enemies!$A:$A),MATCH(W$1,[3]enemies!$1:$1,0)-MATCH($L$1,[3]enemies!$1:$1,0)+1),MATCH(W$1,[3]enemies!$1:$1,0)-MATCH($L$1,[3]enemies!$1:$1,0)+1,FALSE)</f>
        <v>0</v>
      </c>
      <c r="X43" s="7">
        <v>0</v>
      </c>
      <c r="Y43" s="7">
        <v>10</v>
      </c>
      <c r="Z43" s="7">
        <v>0</v>
      </c>
      <c r="AA43" s="20">
        <f ca="1">VLOOKUP($L43,OFFSET([3]enemies!$A$1,0,0,COUNTA([3]enemies!$A:$A),MATCH(AA$1,[3]enemies!$1:$1,0)-MATCH($L$1,[3]enemies!$1:$1,0)+1),MATCH(AA$1,[3]enemies!$1:$1,0)-MATCH($L$1,[3]enemies!$1:$1,0)+1,FALSE)</f>
        <v>2</v>
      </c>
      <c r="AB43" s="24">
        <v>333</v>
      </c>
      <c r="AC43" s="5" t="str">
        <f ca="1">IFERROR(VLOOKUP($AB43,OFFSET([4]characters!$A$1,0,0,COUNTA([4]characters!$A:$A),MATCH(AC$1,[4]characters!$1:$1,0)-MATCH("character_id",[4]characters!$1:$1,0)+1),MATCH(AC$1,[4]characters!$1:$1,0)-MATCH("character_id",[4]characters!$1:$1,0)+1,FALSE),"")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43" s="5">
        <f ca="1">IFERROR(VLOOKUP($AB43,OFFSET([4]characters!$A$1,0,0,COUNTA([4]characters!$A:$A),MATCH(AD$1,[4]characters!$1:$1,0)-MATCH("character_id",[4]characters!$1:$1,0)+1),MATCH(AD$1,[4]characters!$1:$1,0)-MATCH("character_id",[4]characters!$1:$1,0)+1,FALSE),"")</f>
        <v>4</v>
      </c>
      <c r="AE43" s="5" t="str">
        <f ca="1">IFERROR(VLOOKUP($AB43,OFFSET([4]characters!$A$1,0,0,COUNTA([4]characters!$A:$A),MATCH(AE$1,[4]characters!$1:$1,0)-MATCH("character_id",[4]characters!$1:$1,0)+1),MATCH(AE$1,[4]characters!$1:$1,0)-MATCH("character_id",[4]characters!$1:$1,0)+1,FALSE),"")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3" s="8">
        <v>1</v>
      </c>
      <c r="AG43" s="27">
        <f t="shared" ca="1" si="3"/>
        <v>4</v>
      </c>
      <c r="AH43" s="9">
        <v>5</v>
      </c>
      <c r="AI43" s="8">
        <v>0</v>
      </c>
      <c r="AJ43" s="8">
        <v>0</v>
      </c>
      <c r="AK43" s="8">
        <v>0</v>
      </c>
      <c r="AL43" s="8">
        <v>0</v>
      </c>
      <c r="AM43" s="8">
        <v>1</v>
      </c>
      <c r="AN43" s="8">
        <v>1</v>
      </c>
    </row>
    <row r="44" spans="1:40" ht="21" customHeight="1" x14ac:dyDescent="0.15">
      <c r="A44" s="17" t="str">
        <f t="shared" ca="1" si="4"/>
        <v>11007_4-3/135&lt;lv50&gt;s3</v>
      </c>
      <c r="B44" s="8">
        <v>11007</v>
      </c>
      <c r="C44" s="25">
        <v>4</v>
      </c>
      <c r="D44" s="2" t="str">
        <f t="shared" si="1"/>
        <v>11007_4</v>
      </c>
      <c r="E44" s="5" t="str">
        <f ca="1">VLOOKUP($B44,OFFSET([2]quests!$A$1,0,0,COUNTA([2]quests!$A:$A),MATCH(E$1,[2]quests!$1:$1,0)-MATCH($B$1,[2]quests!$1:$1,0)+1),MATCH(E$1,[2]quests!$1:$1,0)-MATCH($B$1,[2]quests!$1:$1,0)+1,FALSE)</f>
        <v>【土曜限定】 赤と緑の素材</v>
      </c>
      <c r="F44" s="5" t="str">
        <f ca="1">VLOOKUP($D44,OFFSET([2]stages!$A$1,0,0,COUNTA([2]stages!$A:$A),MATCH(F$1,[2]stages!$2:$2,0)-MATCH($D$1,[2]stages!$2:$2,0)+1),MATCH(F$1,[2]stages!$2:$2,0)-MATCH($D$1,[2]stages!$2:$2,0)+1,FALSE)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4" s="25">
        <v>3</v>
      </c>
      <c r="H44" s="16" t="str">
        <f t="shared" si="2"/>
        <v>11007_4-3</v>
      </c>
      <c r="I44" s="5">
        <f ca="1">VLOOKUP($H44,OFFSET(floors!$A$1,0,0,COUNTA(floors!$A:$A),MATCH(I$1,floors!$1:$1,0)-MATCH($H$1,floors!$1:$1,0)+1),MATCH(I$1,floors!$1:$1,0)-MATCH($H$1,floors!$1:$1,0)+1,FALSE)</f>
        <v>50</v>
      </c>
      <c r="J44" s="5">
        <f ca="1">VLOOKUP($H44,OFFSET(floors!$A$1,0,0,COUNTA(floors!$A:$A),MATCH(J$1,floors!$1:$1,0)-MATCH($H$1,floors!$1:$1,0)+1),MATCH(J$1,floors!$1:$1,0)-MATCH($H$1,floors!$1:$1,0)+1,FALSE)</f>
        <v>60</v>
      </c>
      <c r="K44" s="24" t="s">
        <v>197</v>
      </c>
      <c r="L44" s="24">
        <v>135</v>
      </c>
      <c r="M44" s="20" t="str">
        <f ca="1">VLOOKUP($L44,OFFSET([3]enemies!$A$1,0,0,COUNTA([3]enemies!$A:$A),MATCH(M$1,[3]enemies!$1:$1,0)-MATCH($L$1,[3]enemies!$1:$1,0)+1),MATCH(M$1,[3]enemies!$1:$1,0)-MATCH($L$1,[3]enemies!$1:$1,0)+1,FALSE)</f>
        <v>京の炎華夕霧</v>
      </c>
      <c r="N44" s="20" t="str">
        <f ca="1">VLOOKUP($L44,OFFSET([3]enemies!$A$1,0,0,COUNTA([3]enemies!$A:$A),MATCH(N$1,[3]enemies!$1:$1,0)-MATCH($L$1,[3]enemies!$1:$1,0)+1),MATCH(N$1,[3]enemies!$1:$1,0)-MATCH($L$1,[3]enemies!$1:$1,0)+1,FALSE)</f>
        <v>red</v>
      </c>
      <c r="O44" s="22" t="str">
        <f ca="1">VLOOKUP($L44,OFFSET([4]characters!$A$1,0,0,COUNTA([4]characters!$A:$A),MATCH(O$1,[4]characters!$1:$1,0)-MATCH($L$1,[4]characters!$1:$1,0)+1),MATCH(O$1,[4]characters!$1:$1,0)-MATCH($L$1,[4]characters!$1:$1,0)+1,FALSE)</f>
        <v>PremiumW</v>
      </c>
      <c r="P44" s="20" t="str">
        <f ca="1">VLOOKUP($L44,OFFSET([3]enemies!$A$1,0,0,COUNTA([3]enemies!$A:$A),MATCH(P$1,[3]enemies!$1:$1,0)-MATCH($L$1,[3]enemies!$1:$1,0)+1),MATCH(P$1,[3]enemies!$1:$1,0)-MATCH($L$1,[3]enemies!$1:$1,0)+1,FALSE)</f>
        <v>human</v>
      </c>
      <c r="Q44" s="20">
        <f ca="1">VLOOKUP($L44,OFFSET([3]enemies!$A$1,0,0,COUNTA([3]enemies!$A:$A),MATCH(Q$1,[3]enemies!$1:$1,0)-MATCH($L$1,[3]enemies!$1:$1,0)+1),MATCH(Q$1,[3]enemies!$1:$1,0)-MATCH($L$1,[3]enemies!$1:$1,0)+1,FALSE)</f>
        <v>30</v>
      </c>
      <c r="R44" s="6">
        <v>50</v>
      </c>
      <c r="S44" s="39">
        <v>1</v>
      </c>
      <c r="T44" s="39">
        <v>1</v>
      </c>
      <c r="U44" s="6">
        <v>0</v>
      </c>
      <c r="V44" s="5" t="str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3ターンの間ダメージを受ける</v>
      </c>
      <c r="W44" s="5">
        <f ca="1">VLOOKUP($L44,OFFSET([3]enemies!$A$1,0,0,COUNTA([3]enemies!$A:$A),MATCH(W$1,[3]enemies!$1:$1,0)-MATCH($L$1,[3]enemies!$1:$1,0)+1),MATCH(W$1,[3]enemies!$1:$1,0)-MATCH($L$1,[3]enemies!$1:$1,0)+1,FALSE)</f>
        <v>134</v>
      </c>
      <c r="X44" s="7">
        <v>0</v>
      </c>
      <c r="Y44" s="7">
        <v>80</v>
      </c>
      <c r="Z44" s="7">
        <v>1</v>
      </c>
      <c r="AA44" s="20">
        <f ca="1">VLOOKUP($L44,OFFSET([3]enemies!$A$1,0,0,COUNTA([3]enemies!$A:$A),MATCH(AA$1,[3]enemies!$1:$1,0)-MATCH($L$1,[3]enemies!$1:$1,0)+1),MATCH(AA$1,[3]enemies!$1:$1,0)-MATCH($L$1,[3]enemies!$1:$1,0)+1,FALSE)</f>
        <v>3</v>
      </c>
      <c r="AB44" s="24">
        <v>134</v>
      </c>
      <c r="AC44" s="5" t="str">
        <f ca="1">IFERROR(VLOOKUP($AB44,OFFSET([4]characters!$A$1,0,0,COUNTA([4]characters!$A:$A),MATCH(AC$1,[4]characters!$1:$1,0)-MATCH("character_id",[4]characters!$1:$1,0)+1),MATCH(AC$1,[4]characters!$1:$1,0)-MATCH("character_id",[4]characters!$1:$1,0)+1,FALSE),"")</f>
        <v>妖炎の夕霧</v>
      </c>
      <c r="AD44" s="5">
        <f ca="1">IFERROR(VLOOKUP($AB44,OFFSET([4]characters!$A$1,0,0,COUNTA([4]characters!$A:$A),MATCH(AD$1,[4]characters!$1:$1,0)-MATCH("character_id",[4]characters!$1:$1,0)+1),MATCH(AD$1,[4]characters!$1:$1,0)-MATCH("character_id",[4]characters!$1:$1,0)+1,FALSE),"")</f>
        <v>3</v>
      </c>
      <c r="AE44" s="5" t="str">
        <f ca="1">IFERROR(VLOOKUP($AB44,OFFSET([4]characters!$A$1,0,0,COUNTA([4]characters!$A:$A),MATCH(AE$1,[4]characters!$1:$1,0)-MATCH("character_id",[4]characters!$1:$1,0)+1),MATCH(AE$1,[4]characters!$1:$1,0)-MATCH("character_id",[4]characters!$1:$1,0)+1,FALSE),"")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44" s="8">
        <v>1</v>
      </c>
      <c r="AG44" s="27">
        <f t="shared" ca="1" si="3"/>
        <v>3</v>
      </c>
      <c r="AH44" s="9">
        <v>0</v>
      </c>
      <c r="AI44" s="8">
        <v>0</v>
      </c>
      <c r="AJ44" s="8">
        <v>0</v>
      </c>
      <c r="AK44" s="8">
        <v>0</v>
      </c>
      <c r="AL44" s="8">
        <v>0</v>
      </c>
      <c r="AM44" s="8">
        <v>1</v>
      </c>
      <c r="AN44" s="8">
        <v>1</v>
      </c>
    </row>
    <row r="45" spans="1:40" ht="21" customHeight="1" x14ac:dyDescent="0.15">
      <c r="A45" s="17" t="str">
        <f t="shared" ca="1" si="4"/>
        <v>11007_4-3/334&lt;lv1&gt;s3</v>
      </c>
      <c r="B45" s="8">
        <v>11007</v>
      </c>
      <c r="C45" s="25">
        <v>4</v>
      </c>
      <c r="D45" s="2" t="str">
        <f t="shared" si="1"/>
        <v>11007_4</v>
      </c>
      <c r="E45" s="5" t="str">
        <f ca="1">VLOOKUP($B45,OFFSET([2]quests!$A$1,0,0,COUNTA([2]quests!$A:$A),MATCH(E$1,[2]quests!$1:$1,0)-MATCH($B$1,[2]quests!$1:$1,0)+1),MATCH(E$1,[2]quests!$1:$1,0)-MATCH($B$1,[2]quests!$1:$1,0)+1,FALSE)</f>
        <v>【土曜限定】 赤と緑の素材</v>
      </c>
      <c r="F45" s="5" t="str">
        <f ca="1">VLOOKUP($D45,OFFSET([2]stages!$A$1,0,0,COUNTA([2]stages!$A:$A),MATCH(F$1,[2]stages!$2:$2,0)-MATCH($D$1,[2]stages!$2:$2,0)+1),MATCH(F$1,[2]stages!$2:$2,0)-MATCH($D$1,[2]stages!$2:$2,0)+1,FALSE)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5" s="25">
        <v>3</v>
      </c>
      <c r="H45" s="16" t="str">
        <f t="shared" si="2"/>
        <v>11007_4-3</v>
      </c>
      <c r="I45" s="5">
        <f ca="1">VLOOKUP($H45,OFFSET(floors!$A$1,0,0,COUNTA(floors!$A:$A),MATCH(I$1,floors!$1:$1,0)-MATCH($H$1,floors!$1:$1,0)+1),MATCH(I$1,floors!$1:$1,0)-MATCH($H$1,floors!$1:$1,0)+1,FALSE)</f>
        <v>50</v>
      </c>
      <c r="J45" s="5">
        <f ca="1">VLOOKUP($H45,OFFSET(floors!$A$1,0,0,COUNTA(floors!$A:$A),MATCH(J$1,floors!$1:$1,0)-MATCH($H$1,floors!$1:$1,0)+1),MATCH(J$1,floors!$1:$1,0)-MATCH($H$1,floors!$1:$1,0)+1,FALSE)</f>
        <v>60</v>
      </c>
      <c r="K45" s="24" t="s">
        <v>197</v>
      </c>
      <c r="L45" s="24">
        <v>334</v>
      </c>
      <c r="M45" s="20" t="str">
        <f ca="1">VLOOKUP($L45,OFFSET([3]enemies!$A$1,0,0,COUNTA([3]enemies!$A:$A),MATCH(M$1,[3]enemies!$1:$1,0)-MATCH($L$1,[3]enemies!$1:$1,0)+1),MATCH(M$1,[3]enemies!$1:$1,0)-MATCH($L$1,[3]enemies!$1:$1,0)+1,FALSE)</f>
        <v>炎のメタルダック</v>
      </c>
      <c r="N45" s="20" t="str">
        <f ca="1">VLOOKUP($L45,OFFSET([3]enemies!$A$1,0,0,COUNTA([3]enemies!$A:$A),MATCH(N$1,[3]enemies!$1:$1,0)-MATCH($L$1,[3]enemies!$1:$1,0)+1),MATCH(N$1,[3]enemies!$1:$1,0)-MATCH($L$1,[3]enemies!$1:$1,0)+1,FALSE)</f>
        <v>red</v>
      </c>
      <c r="O45" s="22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20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20">
        <f ca="1">VLOOKUP($L45,OFFSET([3]enemies!$A$1,0,0,COUNTA([3]enemies!$A:$A),MATCH(Q$1,[3]enemies!$1:$1,0)-MATCH($L$1,[3]enemies!$1:$1,0)+1),MATCH(Q$1,[3]enemies!$1:$1,0)-MATCH($L$1,[3]enemies!$1:$1,0)+1,FALSE)</f>
        <v>20</v>
      </c>
      <c r="R45" s="6">
        <v>1</v>
      </c>
      <c r="S45" s="39">
        <v>1</v>
      </c>
      <c r="T45" s="39">
        <v>1</v>
      </c>
      <c r="U45" s="6">
        <v>0</v>
      </c>
      <c r="V45" s="5" t="str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5" s="5">
        <f ca="1">VLOOKUP($L45,OFFSET([3]enemies!$A$1,0,0,COUNTA([3]enemies!$A:$A),MATCH(W$1,[3]enemies!$1:$1,0)-MATCH($L$1,[3]enemies!$1:$1,0)+1),MATCH(W$1,[3]enemies!$1:$1,0)-MATCH($L$1,[3]enemies!$1:$1,0)+1,FALSE)</f>
        <v>0</v>
      </c>
      <c r="X45" s="7">
        <v>0</v>
      </c>
      <c r="Y45" s="7">
        <v>20</v>
      </c>
      <c r="Z45" s="7">
        <v>1</v>
      </c>
      <c r="AA45" s="20">
        <f ca="1">VLOOKUP($L45,OFFSET([3]enemies!$A$1,0,0,COUNTA([3]enemies!$A:$A),MATCH(AA$1,[3]enemies!$1:$1,0)-MATCH($L$1,[3]enemies!$1:$1,0)+1),MATCH(AA$1,[3]enemies!$1:$1,0)-MATCH($L$1,[3]enemies!$1:$1,0)+1,FALSE)</f>
        <v>3</v>
      </c>
      <c r="AB45" s="24">
        <v>334</v>
      </c>
      <c r="AC45" s="5" t="str">
        <f ca="1">IFERROR(VLOOKUP($AB45,OFFSET([4]characters!$A$1,0,0,COUNTA([4]characters!$A:$A),MATCH(AC$1,[4]characters!$1:$1,0)-MATCH("character_id",[4]characters!$1:$1,0)+1),MATCH(AC$1,[4]characters!$1:$1,0)-MATCH("character_id",[4]characters!$1:$1,0)+1,FALSE),"")</f>
        <v>炎のメタルダック</v>
      </c>
      <c r="AD45" s="5">
        <f ca="1">IFERROR(VLOOKUP($AB45,OFFSET([4]characters!$A$1,0,0,COUNTA([4]characters!$A:$A),MATCH(AD$1,[4]characters!$1:$1,0)-MATCH("character_id",[4]characters!$1:$1,0)+1),MATCH(AD$1,[4]characters!$1:$1,0)-MATCH("character_id",[4]characters!$1:$1,0)+1,FALSE),"")</f>
        <v>5</v>
      </c>
      <c r="AE45" s="5" t="str">
        <f ca="1">IFERROR(VLOOKUP($AB45,OFFSET([4]characters!$A$1,0,0,COUNTA([4]characters!$A:$A),MATCH(AE$1,[4]characters!$1:$1,0)-MATCH("character_id",[4]characters!$1:$1,0)+1),MATCH(AE$1,[4]characters!$1:$1,0)-MATCH("character_id",[4]characters!$1:$1,0)+1,FALSE),"")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5" s="8">
        <v>1</v>
      </c>
      <c r="AG45" s="27">
        <f t="shared" ca="1" si="3"/>
        <v>5</v>
      </c>
      <c r="AH45" s="9">
        <v>5</v>
      </c>
      <c r="AI45" s="8">
        <v>0</v>
      </c>
      <c r="AJ45" s="8">
        <v>0</v>
      </c>
      <c r="AK45" s="8">
        <v>0</v>
      </c>
      <c r="AL45" s="8">
        <v>0</v>
      </c>
      <c r="AM45" s="8">
        <v>1</v>
      </c>
      <c r="AN45" s="8">
        <v>1</v>
      </c>
    </row>
    <row r="46" spans="1:40" ht="21" customHeight="1" x14ac:dyDescent="0.15">
      <c r="A46" s="17" t="str">
        <f t="shared" ca="1" si="4"/>
        <v>11007_4-3/332&lt;lv1&gt;s1</v>
      </c>
      <c r="B46" s="8">
        <v>11007</v>
      </c>
      <c r="C46" s="25">
        <v>4</v>
      </c>
      <c r="D46" s="2" t="str">
        <f t="shared" si="1"/>
        <v>11007_4</v>
      </c>
      <c r="E46" s="5" t="str">
        <f ca="1">VLOOKUP($B46,OFFSET([2]quests!$A$1,0,0,COUNTA([2]quests!$A:$A),MATCH(E$1,[2]quests!$1:$1,0)-MATCH($B$1,[2]quests!$1:$1,0)+1),MATCH(E$1,[2]quests!$1:$1,0)-MATCH($B$1,[2]quests!$1:$1,0)+1,FALSE)</f>
        <v>【土曜限定】 赤と緑の素材</v>
      </c>
      <c r="F46" s="5" t="str">
        <f ca="1">VLOOKUP($D46,OFFSET([2]stages!$A$1,0,0,COUNTA([2]stages!$A:$A),MATCH(F$1,[2]stages!$2:$2,0)-MATCH($D$1,[2]stages!$2:$2,0)+1),MATCH(F$1,[2]stages!$2:$2,0)-MATCH($D$1,[2]stages!$2:$2,0)+1,FALSE)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6" s="25">
        <v>3</v>
      </c>
      <c r="H46" s="16" t="str">
        <f t="shared" si="2"/>
        <v>11007_4-3</v>
      </c>
      <c r="I46" s="5">
        <f ca="1">VLOOKUP($H46,OFFSET(floors!$A$1,0,0,COUNTA(floors!$A:$A),MATCH(I$1,floors!$1:$1,0)-MATCH($H$1,floors!$1:$1,0)+1),MATCH(I$1,floors!$1:$1,0)-MATCH($H$1,floors!$1:$1,0)+1,FALSE)</f>
        <v>50</v>
      </c>
      <c r="J46" s="5">
        <f ca="1">VLOOKUP($H46,OFFSET(floors!$A$1,0,0,COUNTA(floors!$A:$A),MATCH(J$1,floors!$1:$1,0)-MATCH($H$1,floors!$1:$1,0)+1),MATCH(J$1,floors!$1:$1,0)-MATCH($H$1,floors!$1:$1,0)+1,FALSE)</f>
        <v>60</v>
      </c>
      <c r="K46" s="24" t="s">
        <v>197</v>
      </c>
      <c r="L46" s="24">
        <v>332</v>
      </c>
      <c r="M46" s="20" t="str">
        <f ca="1">VLOOKUP($L46,OFFSET([3]enemies!$A$1,0,0,COUNTA([3]enemies!$A:$A),MATCH(M$1,[3]enemies!$1:$1,0)-MATCH($L$1,[3]enemies!$1:$1,0)+1),MATCH(M$1,[3]enemies!$1:$1,0)-MATCH($L$1,[3]enemies!$1:$1,0)+1,FALSE)</f>
        <v>炎のメタルピヨピヨ</v>
      </c>
      <c r="N46" s="20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22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20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20">
        <f ca="1">VLOOKUP($L46,OFFSET([3]enemies!$A$1,0,0,COUNTA([3]enemies!$A:$A),MATCH(Q$1,[3]enemies!$1:$1,0)-MATCH($L$1,[3]enemies!$1:$1,0)+1),MATCH(Q$1,[3]enemies!$1:$1,0)-MATCH($L$1,[3]enemies!$1:$1,0)+1,FALSE)</f>
        <v>15</v>
      </c>
      <c r="R46" s="6">
        <v>1</v>
      </c>
      <c r="S46" s="39">
        <v>1</v>
      </c>
      <c r="T46" s="39">
        <v>1</v>
      </c>
      <c r="U46" s="6">
        <v>0</v>
      </c>
      <c r="V46" s="5" t="str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6" s="5">
        <f ca="1">VLOOKUP($L46,OFFSET([3]enemies!$A$1,0,0,COUNTA([3]enemies!$A:$A),MATCH(W$1,[3]enemies!$1:$1,0)-MATCH($L$1,[3]enemies!$1:$1,0)+1),MATCH(W$1,[3]enemies!$1:$1,0)-MATCH($L$1,[3]enemies!$1:$1,0)+1,FALSE)</f>
        <v>0</v>
      </c>
      <c r="X46" s="7">
        <v>0</v>
      </c>
      <c r="Y46" s="7">
        <v>50</v>
      </c>
      <c r="Z46" s="7">
        <v>2</v>
      </c>
      <c r="AA46" s="20">
        <f ca="1">VLOOKUP($L46,OFFSET([3]enemies!$A$1,0,0,COUNTA([3]enemies!$A:$A),MATCH(AA$1,[3]enemies!$1:$1,0)-MATCH($L$1,[3]enemies!$1:$1,0)+1),MATCH(AA$1,[3]enemies!$1:$1,0)-MATCH($L$1,[3]enemies!$1:$1,0)+1,FALSE)</f>
        <v>1</v>
      </c>
      <c r="AB46" s="24">
        <v>332</v>
      </c>
      <c r="AC46" s="5" t="str">
        <f ca="1">IFERROR(VLOOKUP($AB46,OFFSET([4]characters!$A$1,0,0,COUNTA([4]characters!$A:$A),MATCH(AC$1,[4]characters!$1:$1,0)-MATCH("character_id",[4]characters!$1:$1,0)+1),MATCH(AC$1,[4]characters!$1:$1,0)-MATCH("character_id",[4]characters!$1:$1,0)+1,FALSE),"")</f>
        <v>炎のメタルピヨピヨ</v>
      </c>
      <c r="AD46" s="5">
        <f ca="1">IFERROR(VLOOKUP($AB46,OFFSET([4]characters!$A$1,0,0,COUNTA([4]characters!$A:$A),MATCH(AD$1,[4]characters!$1:$1,0)-MATCH("character_id",[4]characters!$1:$1,0)+1),MATCH(AD$1,[4]characters!$1:$1,0)-MATCH("character_id",[4]characters!$1:$1,0)+1,FALSE),"")</f>
        <v>3</v>
      </c>
      <c r="AE46" s="5" t="str">
        <f ca="1">IFERROR(VLOOKUP($AB46,OFFSET([4]characters!$A$1,0,0,COUNTA([4]characters!$A:$A),MATCH(AE$1,[4]characters!$1:$1,0)-MATCH("character_id",[4]characters!$1:$1,0)+1),MATCH(AE$1,[4]characters!$1:$1,0)-MATCH("character_id",[4]characters!$1:$1,0)+1,FALSE),"")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6" s="8">
        <v>1</v>
      </c>
      <c r="AG46" s="27">
        <f t="shared" ca="1" si="3"/>
        <v>3</v>
      </c>
      <c r="AH46" s="9">
        <v>20</v>
      </c>
      <c r="AI46" s="8">
        <v>0</v>
      </c>
      <c r="AJ46" s="8">
        <v>0</v>
      </c>
      <c r="AK46" s="8">
        <v>0</v>
      </c>
      <c r="AL46" s="8">
        <v>0</v>
      </c>
      <c r="AM46" s="8">
        <v>1</v>
      </c>
      <c r="AN46" s="8">
        <v>1</v>
      </c>
    </row>
    <row r="47" spans="1:40" ht="21" customHeight="1" x14ac:dyDescent="0.15">
      <c r="A47" s="17" t="str">
        <f t="shared" ca="1" si="4"/>
        <v>11007_4-3/333&lt;lv1&gt;s2</v>
      </c>
      <c r="B47" s="8">
        <v>11007</v>
      </c>
      <c r="C47" s="25">
        <v>4</v>
      </c>
      <c r="D47" s="2" t="str">
        <f t="shared" si="1"/>
        <v>11007_4</v>
      </c>
      <c r="E47" s="5" t="str">
        <f ca="1">VLOOKUP($B47,OFFSET([2]quests!$A$1,0,0,COUNTA([2]quests!$A:$A),MATCH(E$1,[2]quests!$1:$1,0)-MATCH($B$1,[2]quests!$1:$1,0)+1),MATCH(E$1,[2]quests!$1:$1,0)-MATCH($B$1,[2]quests!$1:$1,0)+1,FALSE)</f>
        <v>【土曜限定】 赤と緑の素材</v>
      </c>
      <c r="F47" s="5" t="str">
        <f ca="1">VLOOKUP($D47,OFFSET([2]stages!$A$1,0,0,COUNTA([2]stages!$A:$A),MATCH(F$1,[2]stages!$2:$2,0)-MATCH($D$1,[2]stages!$2:$2,0)+1),MATCH(F$1,[2]stages!$2:$2,0)-MATCH($D$1,[2]stages!$2:$2,0)+1,FALSE)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7" s="25">
        <v>3</v>
      </c>
      <c r="H47" s="16" t="str">
        <f t="shared" si="2"/>
        <v>11007_4-3</v>
      </c>
      <c r="I47" s="5">
        <f ca="1">VLOOKUP($H47,OFFSET(floors!$A$1,0,0,COUNTA(floors!$A:$A),MATCH(I$1,floors!$1:$1,0)-MATCH($H$1,floors!$1:$1,0)+1),MATCH(I$1,floors!$1:$1,0)-MATCH($H$1,floors!$1:$1,0)+1,FALSE)</f>
        <v>50</v>
      </c>
      <c r="J47" s="5">
        <f ca="1">VLOOKUP($H47,OFFSET(floors!$A$1,0,0,COUNTA(floors!$A:$A),MATCH(J$1,floors!$1:$1,0)-MATCH($H$1,floors!$1:$1,0)+1),MATCH(J$1,floors!$1:$1,0)-MATCH($H$1,floors!$1:$1,0)+1,FALSE)</f>
        <v>60</v>
      </c>
      <c r="K47" s="24" t="s">
        <v>197</v>
      </c>
      <c r="L47" s="24">
        <v>333</v>
      </c>
      <c r="M47" s="20" t="str">
        <f ca="1">VLOOKUP($L47,OFFSET([3]enemies!$A$1,0,0,COUNTA([3]enemies!$A:$A),MATCH(M$1,[3]enemies!$1:$1,0)-MATCH($L$1,[3]enemies!$1:$1,0)+1),MATCH(M$1,[3]enemies!$1:$1,0)-MATCH($L$1,[3]enemies!$1:$1,0)+1,FALSE)</f>
        <v>炎のメタルチック</v>
      </c>
      <c r="N47" s="20" t="str">
        <f ca="1">VLOOKUP($L47,OFFSET([3]enemies!$A$1,0,0,COUNTA([3]enemies!$A:$A),MATCH(N$1,[3]enemies!$1:$1,0)-MATCH($L$1,[3]enemies!$1:$1,0)+1),MATCH(N$1,[3]enemies!$1:$1,0)-MATCH($L$1,[3]enemies!$1:$1,0)+1,FALSE)</f>
        <v>red</v>
      </c>
      <c r="O47" s="22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20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20">
        <f ca="1">VLOOKUP($L47,OFFSET([3]enemies!$A$1,0,0,COUNTA([3]enemies!$A:$A),MATCH(Q$1,[3]enemies!$1:$1,0)-MATCH($L$1,[3]enemies!$1:$1,0)+1),MATCH(Q$1,[3]enemies!$1:$1,0)-MATCH($L$1,[3]enemies!$1:$1,0)+1,FALSE)</f>
        <v>15</v>
      </c>
      <c r="R47" s="6">
        <v>1</v>
      </c>
      <c r="S47" s="39">
        <v>1</v>
      </c>
      <c r="T47" s="39">
        <v>1</v>
      </c>
      <c r="U47" s="6">
        <v>0</v>
      </c>
      <c r="V47" s="5" t="str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7" s="5">
        <f ca="1">VLOOKUP($L47,OFFSET([3]enemies!$A$1,0,0,COUNTA([3]enemies!$A:$A),MATCH(W$1,[3]enemies!$1:$1,0)-MATCH($L$1,[3]enemies!$1:$1,0)+1),MATCH(W$1,[3]enemies!$1:$1,0)-MATCH($L$1,[3]enemies!$1:$1,0)+1,FALSE)</f>
        <v>0</v>
      </c>
      <c r="X47" s="7">
        <v>0</v>
      </c>
      <c r="Y47" s="7">
        <v>100</v>
      </c>
      <c r="Z47" s="7">
        <v>0</v>
      </c>
      <c r="AA47" s="20">
        <f ca="1">VLOOKUP($L47,OFFSET([3]enemies!$A$1,0,0,COUNTA([3]enemies!$A:$A),MATCH(AA$1,[3]enemies!$1:$1,0)-MATCH($L$1,[3]enemies!$1:$1,0)+1),MATCH(AA$1,[3]enemies!$1:$1,0)-MATCH($L$1,[3]enemies!$1:$1,0)+1,FALSE)</f>
        <v>2</v>
      </c>
      <c r="AB47" s="24">
        <v>333</v>
      </c>
      <c r="AC47" s="5" t="str">
        <f ca="1">IFERROR(VLOOKUP($AB47,OFFSET([4]characters!$A$1,0,0,COUNTA([4]characters!$A:$A),MATCH(AC$1,[4]characters!$1:$1,0)-MATCH("character_id",[4]characters!$1:$1,0)+1),MATCH(AC$1,[4]characters!$1:$1,0)-MATCH("character_id",[4]characters!$1:$1,0)+1,FALSE),"")</f>
        <v>炎のメタルチック</v>
      </c>
      <c r="AD47" s="5">
        <f ca="1">IFERROR(VLOOKUP($AB47,OFFSET([4]characters!$A$1,0,0,COUNTA([4]characters!$A:$A),MATCH(AD$1,[4]characters!$1:$1,0)-MATCH("character_id",[4]characters!$1:$1,0)+1),MATCH(AD$1,[4]characters!$1:$1,0)-MATCH("character_id",[4]characters!$1:$1,0)+1,FALSE),"")</f>
        <v>4</v>
      </c>
      <c r="AE47" s="5" t="str">
        <f ca="1">IFERROR(VLOOKUP($AB47,OFFSET([4]characters!$A$1,0,0,COUNTA([4]characters!$A:$A),MATCH(AE$1,[4]characters!$1:$1,0)-MATCH("character_id",[4]characters!$1:$1,0)+1),MATCH(AE$1,[4]characters!$1:$1,0)-MATCH("character_id",[4]characters!$1:$1,0)+1,FALSE),"")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47" s="8">
        <v>1</v>
      </c>
      <c r="AG47" s="27">
        <f t="shared" ca="1" si="3"/>
        <v>4</v>
      </c>
      <c r="AH47" s="9">
        <v>10</v>
      </c>
      <c r="AI47" s="8">
        <v>0</v>
      </c>
      <c r="AJ47" s="8">
        <v>0</v>
      </c>
      <c r="AK47" s="8">
        <v>0</v>
      </c>
      <c r="AL47" s="8">
        <v>0</v>
      </c>
      <c r="AM47" s="8">
        <v>1</v>
      </c>
      <c r="AN47" s="8">
        <v>1</v>
      </c>
    </row>
    <row r="48" spans="1:40" ht="21" customHeight="1" x14ac:dyDescent="0.15">
      <c r="A48" s="17" t="str">
        <f t="shared" ca="1" si="4"/>
        <v>11007_4-4/33&lt;lv42&gt;s2</v>
      </c>
      <c r="B48" s="8">
        <v>11007</v>
      </c>
      <c r="C48" s="25">
        <v>4</v>
      </c>
      <c r="D48" s="2" t="str">
        <f t="shared" si="1"/>
        <v>11007_4</v>
      </c>
      <c r="E48" s="5" t="str">
        <f ca="1">VLOOKUP($B48,OFFSET([2]quests!$A$1,0,0,COUNTA([2]quests!$A:$A),MATCH(E$1,[2]quests!$1:$1,0)-MATCH($B$1,[2]quests!$1:$1,0)+1),MATCH(E$1,[2]quests!$1:$1,0)-MATCH($B$1,[2]quests!$1:$1,0)+1,FALSE)</f>
        <v>【土曜限定】 赤と緑の素材</v>
      </c>
      <c r="F48" s="5" t="str">
        <f ca="1">VLOOKUP($D48,OFFSET([2]stages!$A$1,0,0,COUNTA([2]stages!$A:$A),MATCH(F$1,[2]stages!$2:$2,0)-MATCH($D$1,[2]stages!$2:$2,0)+1),MATCH(F$1,[2]stages!$2:$2,0)-MATCH($D$1,[2]stages!$2:$2,0)+1,FALSE)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8" s="25">
        <v>4</v>
      </c>
      <c r="H48" s="16" t="str">
        <f t="shared" si="2"/>
        <v>11007_4-4</v>
      </c>
      <c r="I48" s="5">
        <f ca="1">VLOOKUP($H48,OFFSET(floors!$A$1,0,0,COUNTA(floors!$A:$A),MATCH(I$1,floors!$1:$1,0)-MATCH($H$1,floors!$1:$1,0)+1),MATCH(I$1,floors!$1:$1,0)-MATCH($H$1,floors!$1:$1,0)+1,FALSE)</f>
        <v>45</v>
      </c>
      <c r="J48" s="5">
        <f ca="1">VLOOKUP($H48,OFFSET(floors!$A$1,0,0,COUNTA(floors!$A:$A),MATCH(J$1,floors!$1:$1,0)-MATCH($H$1,floors!$1:$1,0)+1),MATCH(J$1,floors!$1:$1,0)-MATCH($H$1,floors!$1:$1,0)+1,FALSE)</f>
        <v>60</v>
      </c>
      <c r="K48" s="24" t="s">
        <v>197</v>
      </c>
      <c r="L48" s="24">
        <v>33</v>
      </c>
      <c r="M48" s="20" t="str">
        <f ca="1">VLOOKUP($L48,OFFSET([3]enemies!$A$1,0,0,COUNTA([3]enemies!$A:$A),MATCH(M$1,[3]enemies!$1:$1,0)-MATCH($L$1,[3]enemies!$1:$1,0)+1),MATCH(M$1,[3]enemies!$1:$1,0)-MATCH($L$1,[3]enemies!$1:$1,0)+1,FALSE)</f>
        <v>ゴクウ</v>
      </c>
      <c r="N48" s="20" t="str">
        <f ca="1">VLOOKUP($L48,OFFSET([3]enemies!$A$1,0,0,COUNTA([3]enemies!$A:$A),MATCH(N$1,[3]enemies!$1:$1,0)-MATCH($L$1,[3]enemies!$1:$1,0)+1),MATCH(N$1,[3]enemies!$1:$1,0)-MATCH($L$1,[3]enemies!$1:$1,0)+1,FALSE)</f>
        <v>red</v>
      </c>
      <c r="O48" s="22" t="str">
        <f ca="1">VLOOKUP($L48,OFFSET([4]characters!$A$1,0,0,COUNTA([4]characters!$A:$A),MATCH(O$1,[4]characters!$1:$1,0)-MATCH($L$1,[4]characters!$1:$1,0)+1),MATCH(O$1,[4]characters!$1:$1,0)-MATCH($L$1,[4]characters!$1:$1,0)+1,FALSE)</f>
        <v>Drop1S</v>
      </c>
      <c r="P48" s="20" t="str">
        <f ca="1">VLOOKUP($L48,OFFSET([3]enemies!$A$1,0,0,COUNTA([3]enemies!$A:$A),MATCH(P$1,[3]enemies!$1:$1,0)-MATCH($L$1,[3]enemies!$1:$1,0)+1),MATCH(P$1,[3]enemies!$1:$1,0)-MATCH($L$1,[3]enemies!$1:$1,0)+1,FALSE)</f>
        <v>animal</v>
      </c>
      <c r="Q48" s="20">
        <f ca="1">VLOOKUP($L48,OFFSET([3]enemies!$A$1,0,0,COUNTA([3]enemies!$A:$A),MATCH(Q$1,[3]enemies!$1:$1,0)-MATCH($L$1,[3]enemies!$1:$1,0)+1),MATCH(Q$1,[3]enemies!$1:$1,0)-MATCH($L$1,[3]enemies!$1:$1,0)+1,FALSE)</f>
        <v>15</v>
      </c>
      <c r="R48" s="6">
        <v>42</v>
      </c>
      <c r="S48" s="39">
        <v>1</v>
      </c>
      <c r="T48" s="39">
        <v>1</v>
      </c>
      <c r="U48" s="6">
        <v>0</v>
      </c>
      <c r="V48" s="5" t="str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48" s="5">
        <f ca="1">VLOOKUP($L48,OFFSET([3]enemies!$A$1,0,0,COUNTA([3]enemies!$A:$A),MATCH(W$1,[3]enemies!$1:$1,0)-MATCH($L$1,[3]enemies!$1:$1,0)+1),MATCH(W$1,[3]enemies!$1:$1,0)-MATCH($L$1,[3]enemies!$1:$1,0)+1,FALSE)</f>
        <v>33</v>
      </c>
      <c r="X48" s="7">
        <v>0</v>
      </c>
      <c r="Y48" s="7">
        <v>100</v>
      </c>
      <c r="Z48" s="7">
        <v>0</v>
      </c>
      <c r="AA48" s="20">
        <f ca="1">VLOOKUP($L48,OFFSET([3]enemies!$A$1,0,0,COUNTA([3]enemies!$A:$A),MATCH(AA$1,[3]enemies!$1:$1,0)-MATCH($L$1,[3]enemies!$1:$1,0)+1),MATCH(AA$1,[3]enemies!$1:$1,0)-MATCH($L$1,[3]enemies!$1:$1,0)+1,FALSE)</f>
        <v>2</v>
      </c>
      <c r="AB48" s="24">
        <v>33</v>
      </c>
      <c r="AC48" s="5" t="str">
        <f ca="1">IFERROR(VLOOKUP($AB48,OFFSET([4]characters!$A$1,0,0,COUNTA([4]characters!$A:$A),MATCH(AC$1,[4]characters!$1:$1,0)-MATCH("character_id",[4]characters!$1:$1,0)+1),MATCH(AC$1,[4]characters!$1:$1,0)-MATCH("character_id",[4]characters!$1:$1,0)+1,FALSE),"")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48" s="5">
        <f ca="1">IFERROR(VLOOKUP($AB48,OFFSET([4]characters!$A$1,0,0,COUNTA([4]characters!$A:$A),MATCH(AD$1,[4]characters!$1:$1,0)-MATCH("character_id",[4]characters!$1:$1,0)+1),MATCH(AD$1,[4]characters!$1:$1,0)-MATCH("character_id",[4]characters!$1:$1,0)+1,FALSE),"")</f>
        <v>2</v>
      </c>
      <c r="AE48" s="5" t="str">
        <f ca="1">IFERROR(VLOOKUP($AB48,OFFSET([4]characters!$A$1,0,0,COUNTA([4]characters!$A:$A),MATCH(AE$1,[4]characters!$1:$1,0)-MATCH("character_id",[4]characters!$1:$1,0)+1),MATCH(AE$1,[4]characters!$1:$1,0)-MATCH("character_id",[4]characters!$1:$1,0)+1,FALSE),"")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48" s="8">
        <v>1</v>
      </c>
      <c r="AG48" s="27">
        <f t="shared" ca="1" si="3"/>
        <v>2</v>
      </c>
      <c r="AH48" s="9">
        <v>0</v>
      </c>
      <c r="AI48" s="8">
        <v>0</v>
      </c>
      <c r="AJ48" s="8">
        <v>0</v>
      </c>
      <c r="AK48" s="8">
        <v>0</v>
      </c>
      <c r="AL48" s="8">
        <v>0</v>
      </c>
      <c r="AM48" s="8">
        <v>1</v>
      </c>
      <c r="AN48" s="8">
        <v>1</v>
      </c>
    </row>
    <row r="49" spans="1:40" ht="21" customHeight="1" x14ac:dyDescent="0.15">
      <c r="A49" s="17" t="str">
        <f t="shared" ca="1" si="4"/>
        <v>11007_4-4/21&lt;lv42&gt;s2</v>
      </c>
      <c r="B49" s="8">
        <v>11007</v>
      </c>
      <c r="C49" s="25">
        <v>4</v>
      </c>
      <c r="D49" s="2" t="str">
        <f t="shared" si="1"/>
        <v>11007_4</v>
      </c>
      <c r="E49" s="5" t="str">
        <f ca="1">VLOOKUP($B49,OFFSET([2]quests!$A$1,0,0,COUNTA([2]quests!$A:$A),MATCH(E$1,[2]quests!$1:$1,0)-MATCH($B$1,[2]quests!$1:$1,0)+1),MATCH(E$1,[2]quests!$1:$1,0)-MATCH($B$1,[2]quests!$1:$1,0)+1,FALSE)</f>
        <v>【土曜限定】 赤と緑の素材</v>
      </c>
      <c r="F49" s="5" t="str">
        <f ca="1">VLOOKUP($D49,OFFSET([2]stages!$A$1,0,0,COUNTA([2]stages!$A:$A),MATCH(F$1,[2]stages!$2:$2,0)-MATCH($D$1,[2]stages!$2:$2,0)+1),MATCH(F$1,[2]stages!$2:$2,0)-MATCH($D$1,[2]stages!$2:$2,0)+1,FALSE)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49" s="25">
        <v>4</v>
      </c>
      <c r="H49" s="16" t="str">
        <f t="shared" si="2"/>
        <v>11007_4-4</v>
      </c>
      <c r="I49" s="5">
        <f ca="1">VLOOKUP($H49,OFFSET(floors!$A$1,0,0,COUNTA(floors!$A:$A),MATCH(I$1,floors!$1:$1,0)-MATCH($H$1,floors!$1:$1,0)+1),MATCH(I$1,floors!$1:$1,0)-MATCH($H$1,floors!$1:$1,0)+1,FALSE)</f>
        <v>45</v>
      </c>
      <c r="J49" s="5">
        <f ca="1">VLOOKUP($H49,OFFSET(floors!$A$1,0,0,COUNTA(floors!$A:$A),MATCH(J$1,floors!$1:$1,0)-MATCH($H$1,floors!$1:$1,0)+1),MATCH(J$1,floors!$1:$1,0)-MATCH($H$1,floors!$1:$1,0)+1,FALSE)</f>
        <v>60</v>
      </c>
      <c r="K49" s="24" t="s">
        <v>197</v>
      </c>
      <c r="L49" s="24">
        <v>21</v>
      </c>
      <c r="M49" s="20" t="str">
        <f ca="1">VLOOKUP($L49,OFFSET([3]enemies!$A$1,0,0,COUNTA([3]enemies!$A:$A),MATCH(M$1,[3]enemies!$1:$1,0)-MATCH($L$1,[3]enemies!$1:$1,0)+1),MATCH(M$1,[3]enemies!$1:$1,0)-MATCH($L$1,[3]enemies!$1:$1,0)+1,FALSE)</f>
        <v>ヴェロキー</v>
      </c>
      <c r="N49" s="20" t="str">
        <f ca="1">VLOOKUP($L49,OFFSET([3]enemies!$A$1,0,0,COUNTA([3]enemies!$A:$A),MATCH(N$1,[3]enemies!$1:$1,0)-MATCH($L$1,[3]enemies!$1:$1,0)+1),MATCH(N$1,[3]enemies!$1:$1,0)-MATCH($L$1,[3]enemies!$1:$1,0)+1,FALSE)</f>
        <v>red</v>
      </c>
      <c r="O49" s="22" t="str">
        <f ca="1">VLOOKUP($L49,OFFSET([4]characters!$A$1,0,0,COUNTA([4]characters!$A:$A),MATCH(O$1,[4]characters!$1:$1,0)-MATCH($L$1,[4]characters!$1:$1,0)+1),MATCH(O$1,[4]characters!$1:$1,0)-MATCH($L$1,[4]characters!$1:$1,0)+1,FALSE)</f>
        <v>Drop1N</v>
      </c>
      <c r="P49" s="20" t="str">
        <f ca="1">VLOOKUP($L49,OFFSET([3]enemies!$A$1,0,0,COUNTA([3]enemies!$A:$A),MATCH(P$1,[3]enemies!$1:$1,0)-MATCH($L$1,[3]enemies!$1:$1,0)+1),MATCH(P$1,[3]enemies!$1:$1,0)-MATCH($L$1,[3]enemies!$1:$1,0)+1,FALSE)</f>
        <v>dragon</v>
      </c>
      <c r="Q49" s="20">
        <f ca="1">VLOOKUP($L49,OFFSET([3]enemies!$A$1,0,0,COUNTA([3]enemies!$A:$A),MATCH(Q$1,[3]enemies!$1:$1,0)-MATCH($L$1,[3]enemies!$1:$1,0)+1),MATCH(Q$1,[3]enemies!$1:$1,0)-MATCH($L$1,[3]enemies!$1:$1,0)+1,FALSE)</f>
        <v>15</v>
      </c>
      <c r="R49" s="6">
        <v>42</v>
      </c>
      <c r="S49" s="39">
        <v>1</v>
      </c>
      <c r="T49" s="39">
        <v>1</v>
      </c>
      <c r="U49" s="6">
        <v>0</v>
      </c>
      <c r="V49" s="5" t="str">
        <f ca="1">VLOOKUP($W49,OFFSET([5]enemy_skill_sets!$B$1,0,0,COUNTA([5]enemy_skill_sets!$B:$B),MATCH(M$1,[5]enemy_skill_sets!$1:$1,0)-MATCH($W$1,[5]enemy_skill_sets!$1:$1,0)+2),MATCH(M$1,[5]enemy_skill_sets!$1:$1,0)-MATCH($W$1,[5]enemy_skill_sets!$1:$1,0)+2,FALSE)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49" s="5">
        <f ca="1">VLOOKUP($L49,OFFSET([3]enemies!$A$1,0,0,COUNTA([3]enemies!$A:$A),MATCH(W$1,[3]enemies!$1:$1,0)-MATCH($L$1,[3]enemies!$1:$1,0)+1),MATCH(W$1,[3]enemies!$1:$1,0)-MATCH($L$1,[3]enemies!$1:$1,0)+1,FALSE)</f>
        <v>0</v>
      </c>
      <c r="X49" s="7">
        <v>0</v>
      </c>
      <c r="Y49" s="7">
        <v>100</v>
      </c>
      <c r="Z49" s="7">
        <v>0</v>
      </c>
      <c r="AA49" s="20">
        <f ca="1">VLOOKUP($L49,OFFSET([3]enemies!$A$1,0,0,COUNTA([3]enemies!$A:$A),MATCH(AA$1,[3]enemies!$1:$1,0)-MATCH($L$1,[3]enemies!$1:$1,0)+1),MATCH(AA$1,[3]enemies!$1:$1,0)-MATCH($L$1,[3]enemies!$1:$1,0)+1,FALSE)</f>
        <v>2</v>
      </c>
      <c r="AB49" s="24">
        <v>21</v>
      </c>
      <c r="AC49" s="5" t="str">
        <f ca="1">IFERROR(VLOOKUP($AB49,OFFSET([4]characters!$A$1,0,0,COUNTA([4]characters!$A:$A),MATCH(AC$1,[4]characters!$1:$1,0)-MATCH("character_id",[4]characters!$1:$1,0)+1),MATCH(AC$1,[4]characters!$1:$1,0)-MATCH("character_id",[4]characters!$1:$1,0)+1,FALSE),"")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49" s="5">
        <f ca="1">IFERROR(VLOOKUP($AB49,OFFSET([4]characters!$A$1,0,0,COUNTA([4]characters!$A:$A),MATCH(AD$1,[4]characters!$1:$1,0)-MATCH("character_id",[4]characters!$1:$1,0)+1),MATCH(AD$1,[4]characters!$1:$1,0)-MATCH("character_id",[4]characters!$1:$1,0)+1,FALSE),"")</f>
        <v>1</v>
      </c>
      <c r="AE49" s="5" t="str">
        <f ca="1">IFERROR(VLOOKUP($AB49,OFFSET([4]characters!$A$1,0,0,COUNTA([4]characters!$A:$A),MATCH(AE$1,[4]characters!$1:$1,0)-MATCH("character_id",[4]characters!$1:$1,0)+1),MATCH(AE$1,[4]characters!$1:$1,0)-MATCH("character_id",[4]characters!$1:$1,0)+1,FALSE),"")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49" s="8">
        <v>1</v>
      </c>
      <c r="AG49" s="27">
        <f t="shared" ca="1" si="3"/>
        <v>1</v>
      </c>
      <c r="AH49" s="9">
        <v>0</v>
      </c>
      <c r="AI49" s="8">
        <v>0</v>
      </c>
      <c r="AJ49" s="8">
        <v>0</v>
      </c>
      <c r="AK49" s="8">
        <v>0</v>
      </c>
      <c r="AL49" s="8">
        <v>0</v>
      </c>
      <c r="AM49" s="8">
        <v>1</v>
      </c>
      <c r="AN49" s="8">
        <v>1</v>
      </c>
    </row>
    <row r="50" spans="1:40" ht="21" customHeight="1" x14ac:dyDescent="0.15">
      <c r="A50" s="17" t="str">
        <f t="shared" ca="1" si="4"/>
        <v>11007_4-5/33&lt;lv42&gt;s2</v>
      </c>
      <c r="B50" s="8">
        <v>11007</v>
      </c>
      <c r="C50" s="25">
        <v>4</v>
      </c>
      <c r="D50" s="2" t="str">
        <f t="shared" si="1"/>
        <v>11007_4</v>
      </c>
      <c r="E50" s="5" t="str">
        <f ca="1">VLOOKUP($B50,OFFSET([2]quests!$A$1,0,0,COUNTA([2]quests!$A:$A),MATCH(E$1,[2]quests!$1:$1,0)-MATCH($B$1,[2]quests!$1:$1,0)+1),MATCH(E$1,[2]quests!$1:$1,0)-MATCH($B$1,[2]quests!$1:$1,0)+1,FALSE)</f>
        <v>【土曜限定】 赤と緑の素材</v>
      </c>
      <c r="F50" s="5" t="str">
        <f ca="1">VLOOKUP($D50,OFFSET([2]stages!$A$1,0,0,COUNTA([2]stages!$A:$A),MATCH(F$1,[2]stages!$2:$2,0)-MATCH($D$1,[2]stages!$2:$2,0)+1),MATCH(F$1,[2]stages!$2:$2,0)-MATCH($D$1,[2]stages!$2:$2,0)+1,FALSE)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0" s="25">
        <v>5</v>
      </c>
      <c r="H50" s="16" t="str">
        <f t="shared" si="2"/>
        <v>11007_4-5</v>
      </c>
      <c r="I50" s="5">
        <f ca="1">VLOOKUP($H50,OFFSET(floors!$A$1,0,0,COUNTA(floors!$A:$A),MATCH(I$1,floors!$1:$1,0)-MATCH($H$1,floors!$1:$1,0)+1),MATCH(I$1,floors!$1:$1,0)-MATCH($H$1,floors!$1:$1,0)+1,FALSE)</f>
        <v>60</v>
      </c>
      <c r="J50" s="5">
        <f ca="1">VLOOKUP($H50,OFFSET(floors!$A$1,0,0,COUNTA(floors!$A:$A),MATCH(J$1,floors!$1:$1,0)-MATCH($H$1,floors!$1:$1,0)+1),MATCH(J$1,floors!$1:$1,0)-MATCH($H$1,floors!$1:$1,0)+1,FALSE)</f>
        <v>60</v>
      </c>
      <c r="K50" s="24" t="s">
        <v>197</v>
      </c>
      <c r="L50" s="24">
        <v>33</v>
      </c>
      <c r="M50" s="20" t="str">
        <f ca="1">VLOOKUP($L50,OFFSET([3]enemies!$A$1,0,0,COUNTA([3]enemies!$A:$A),MATCH(M$1,[3]enemies!$1:$1,0)-MATCH($L$1,[3]enemies!$1:$1,0)+1),MATCH(M$1,[3]enemies!$1:$1,0)-MATCH($L$1,[3]enemies!$1:$1,0)+1,FALSE)</f>
        <v>ゴクウ</v>
      </c>
      <c r="N50" s="20" t="str">
        <f ca="1">VLOOKUP($L50,OFFSET([3]enemies!$A$1,0,0,COUNTA([3]enemies!$A:$A),MATCH(N$1,[3]enemies!$1:$1,0)-MATCH($L$1,[3]enemies!$1:$1,0)+1),MATCH(N$1,[3]enemies!$1:$1,0)-MATCH($L$1,[3]enemies!$1:$1,0)+1,FALSE)</f>
        <v>red</v>
      </c>
      <c r="O50" s="22" t="str">
        <f ca="1">VLOOKUP($L50,OFFSET([4]characters!$A$1,0,0,COUNTA([4]characters!$A:$A),MATCH(O$1,[4]characters!$1:$1,0)-MATCH($L$1,[4]characters!$1:$1,0)+1),MATCH(O$1,[4]characters!$1:$1,0)-MATCH($L$1,[4]characters!$1:$1,0)+1,FALSE)</f>
        <v>Drop1S</v>
      </c>
      <c r="P50" s="20" t="str">
        <f ca="1">VLOOKUP($L50,OFFSET([3]enemies!$A$1,0,0,COUNTA([3]enemies!$A:$A),MATCH(P$1,[3]enemies!$1:$1,0)-MATCH($L$1,[3]enemies!$1:$1,0)+1),MATCH(P$1,[3]enemies!$1:$1,0)-MATCH($L$1,[3]enemies!$1:$1,0)+1,FALSE)</f>
        <v>animal</v>
      </c>
      <c r="Q50" s="20">
        <f ca="1">VLOOKUP($L50,OFFSET([3]enemies!$A$1,0,0,COUNTA([3]enemies!$A:$A),MATCH(Q$1,[3]enemies!$1:$1,0)-MATCH($L$1,[3]enemies!$1:$1,0)+1),MATCH(Q$1,[3]enemies!$1:$1,0)-MATCH($L$1,[3]enemies!$1:$1,0)+1,FALSE)</f>
        <v>15</v>
      </c>
      <c r="R50" s="6">
        <v>42</v>
      </c>
      <c r="S50" s="39">
        <v>1</v>
      </c>
      <c r="T50" s="39">
        <v>1</v>
      </c>
      <c r="U50" s="6">
        <v>0</v>
      </c>
      <c r="V50" s="5" t="str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50" s="5">
        <f ca="1">VLOOKUP($L50,OFFSET([3]enemies!$A$1,0,0,COUNTA([3]enemies!$A:$A),MATCH(W$1,[3]enemies!$1:$1,0)-MATCH($L$1,[3]enemies!$1:$1,0)+1),MATCH(W$1,[3]enemies!$1:$1,0)-MATCH($L$1,[3]enemies!$1:$1,0)+1,FALSE)</f>
        <v>33</v>
      </c>
      <c r="X50" s="7">
        <v>0</v>
      </c>
      <c r="Y50" s="7">
        <v>100</v>
      </c>
      <c r="Z50" s="7">
        <v>0</v>
      </c>
      <c r="AA50" s="20">
        <f ca="1">VLOOKUP($L50,OFFSET([3]enemies!$A$1,0,0,COUNTA([3]enemies!$A:$A),MATCH(AA$1,[3]enemies!$1:$1,0)-MATCH($L$1,[3]enemies!$1:$1,0)+1),MATCH(AA$1,[3]enemies!$1:$1,0)-MATCH($L$1,[3]enemies!$1:$1,0)+1,FALSE)</f>
        <v>2</v>
      </c>
      <c r="AB50" s="24">
        <v>33</v>
      </c>
      <c r="AC50" s="5" t="str">
        <f ca="1">IFERROR(VLOOKUP($AB50,OFFSET([4]characters!$A$1,0,0,COUNTA([4]characters!$A:$A),MATCH(AC$1,[4]characters!$1:$1,0)-MATCH("character_id",[4]characters!$1:$1,0)+1),MATCH(AC$1,[4]characters!$1:$1,0)-MATCH("character_id",[4]characters!$1:$1,0)+1,FALSE),"")</f>
        <v>ゴクウ</v>
      </c>
      <c r="AD50" s="5">
        <f ca="1">IFERROR(VLOOKUP($AB50,OFFSET([4]characters!$A$1,0,0,COUNTA([4]characters!$A:$A),MATCH(AD$1,[4]characters!$1:$1,0)-MATCH("character_id",[4]characters!$1:$1,0)+1),MATCH(AD$1,[4]characters!$1:$1,0)-MATCH("character_id",[4]characters!$1:$1,0)+1,FALSE),"")</f>
        <v>2</v>
      </c>
      <c r="AE50" s="5" t="str">
        <f ca="1">IFERROR(VLOOKUP($AB50,OFFSET([4]characters!$A$1,0,0,COUNTA([4]characters!$A:$A),MATCH(AE$1,[4]characters!$1:$1,0)-MATCH("character_id",[4]characters!$1:$1,0)+1),MATCH(AE$1,[4]characters!$1:$1,0)-MATCH("character_id",[4]characters!$1:$1,0)+1,FALSE),"")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50" s="8">
        <v>1</v>
      </c>
      <c r="AG50" s="27">
        <f t="shared" ca="1" si="3"/>
        <v>2</v>
      </c>
      <c r="AH50" s="9">
        <v>0</v>
      </c>
      <c r="AI50" s="8">
        <v>0</v>
      </c>
      <c r="AJ50" s="8">
        <v>0</v>
      </c>
      <c r="AK50" s="8">
        <v>0</v>
      </c>
      <c r="AL50" s="8">
        <v>0</v>
      </c>
      <c r="AM50" s="8">
        <v>1</v>
      </c>
      <c r="AN50" s="8">
        <v>1</v>
      </c>
    </row>
    <row r="51" spans="1:40" ht="21" customHeight="1" x14ac:dyDescent="0.15">
      <c r="A51" s="17" t="str">
        <f t="shared" ca="1" si="4"/>
        <v>11007_4-5/21&lt;lv42&gt;s2</v>
      </c>
      <c r="B51" s="8">
        <v>11007</v>
      </c>
      <c r="C51" s="25">
        <v>4</v>
      </c>
      <c r="D51" s="2" t="str">
        <f t="shared" si="1"/>
        <v>11007_4</v>
      </c>
      <c r="E51" s="5" t="str">
        <f ca="1">VLOOKUP($B51,OFFSET([2]quests!$A$1,0,0,COUNTA([2]quests!$A:$A),MATCH(E$1,[2]quests!$1:$1,0)-MATCH($B$1,[2]quests!$1:$1,0)+1),MATCH(E$1,[2]quests!$1:$1,0)-MATCH($B$1,[2]quests!$1:$1,0)+1,FALSE)</f>
        <v>【土曜限定】 赤と緑の素材</v>
      </c>
      <c r="F51" s="5" t="str">
        <f ca="1">VLOOKUP($D51,OFFSET([2]stages!$A$1,0,0,COUNTA([2]stages!$A:$A),MATCH(F$1,[2]stages!$2:$2,0)-MATCH($D$1,[2]stages!$2:$2,0)+1),MATCH(F$1,[2]stages!$2:$2,0)-MATCH($D$1,[2]stages!$2:$2,0)+1,FALSE)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1" s="25">
        <v>5</v>
      </c>
      <c r="H51" s="16" t="str">
        <f t="shared" si="2"/>
        <v>11007_4-5</v>
      </c>
      <c r="I51" s="5">
        <f ca="1">VLOOKUP($H51,OFFSET(floors!$A$1,0,0,COUNTA(floors!$A:$A),MATCH(I$1,floors!$1:$1,0)-MATCH($H$1,floors!$1:$1,0)+1),MATCH(I$1,floors!$1:$1,0)-MATCH($H$1,floors!$1:$1,0)+1,FALSE)</f>
        <v>60</v>
      </c>
      <c r="J51" s="5">
        <f ca="1">VLOOKUP($H51,OFFSET(floors!$A$1,0,0,COUNTA(floors!$A:$A),MATCH(J$1,floors!$1:$1,0)-MATCH($H$1,floors!$1:$1,0)+1),MATCH(J$1,floors!$1:$1,0)-MATCH($H$1,floors!$1:$1,0)+1,FALSE)</f>
        <v>60</v>
      </c>
      <c r="K51" s="24" t="s">
        <v>197</v>
      </c>
      <c r="L51" s="24">
        <v>21</v>
      </c>
      <c r="M51" s="20" t="str">
        <f ca="1">VLOOKUP($L51,OFFSET([3]enemies!$A$1,0,0,COUNTA([3]enemies!$A:$A),MATCH(M$1,[3]enemies!$1:$1,0)-MATCH($L$1,[3]enemies!$1:$1,0)+1),MATCH(M$1,[3]enemies!$1:$1,0)-MATCH($L$1,[3]enemies!$1:$1,0)+1,FALSE)</f>
        <v>ヴェロキー</v>
      </c>
      <c r="N51" s="20" t="str">
        <f ca="1">VLOOKUP($L51,OFFSET([3]enemies!$A$1,0,0,COUNTA([3]enemies!$A:$A),MATCH(N$1,[3]enemies!$1:$1,0)-MATCH($L$1,[3]enemies!$1:$1,0)+1),MATCH(N$1,[3]enemies!$1:$1,0)-MATCH($L$1,[3]enemies!$1:$1,0)+1,FALSE)</f>
        <v>red</v>
      </c>
      <c r="O51" s="22" t="str">
        <f ca="1">VLOOKUP($L51,OFFSET([4]characters!$A$1,0,0,COUNTA([4]characters!$A:$A),MATCH(O$1,[4]characters!$1:$1,0)-MATCH($L$1,[4]characters!$1:$1,0)+1),MATCH(O$1,[4]characters!$1:$1,0)-MATCH($L$1,[4]characters!$1:$1,0)+1,FALSE)</f>
        <v>Drop1N</v>
      </c>
      <c r="P51" s="20" t="str">
        <f ca="1">VLOOKUP($L51,OFFSET([3]enemies!$A$1,0,0,COUNTA([3]enemies!$A:$A),MATCH(P$1,[3]enemies!$1:$1,0)-MATCH($L$1,[3]enemies!$1:$1,0)+1),MATCH(P$1,[3]enemies!$1:$1,0)-MATCH($L$1,[3]enemies!$1:$1,0)+1,FALSE)</f>
        <v>dragon</v>
      </c>
      <c r="Q51" s="20">
        <f ca="1">VLOOKUP($L51,OFFSET([3]enemies!$A$1,0,0,COUNTA([3]enemies!$A:$A),MATCH(Q$1,[3]enemies!$1:$1,0)-MATCH($L$1,[3]enemies!$1:$1,0)+1),MATCH(Q$1,[3]enemies!$1:$1,0)-MATCH($L$1,[3]enemies!$1:$1,0)+1,FALSE)</f>
        <v>15</v>
      </c>
      <c r="R51" s="6">
        <v>42</v>
      </c>
      <c r="S51" s="39">
        <v>1</v>
      </c>
      <c r="T51" s="39">
        <v>1</v>
      </c>
      <c r="U51" s="6">
        <v>0</v>
      </c>
      <c r="V51" s="5" t="str">
        <f ca="1">VLOOKUP($W51,OFFSET([5]enemy_skill_sets!$B$1,0,0,COUNTA([5]enemy_skill_sets!$B:$B),MATCH(M$1,[5]enemy_skill_sets!$1:$1,0)-MATCH($W$1,[5]enemy_skill_sets!$1:$1,0)+2),MATCH(M$1,[5]enemy_skill_sets!$1:$1,0)-MATCH($W$1,[5]enemy_skill_sets!$1:$1,0)+2,FALSE)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1" s="5">
        <f ca="1">VLOOKUP($L51,OFFSET([3]enemies!$A$1,0,0,COUNTA([3]enemies!$A:$A),MATCH(W$1,[3]enemies!$1:$1,0)-MATCH($L$1,[3]enemies!$1:$1,0)+1),MATCH(W$1,[3]enemies!$1:$1,0)-MATCH($L$1,[3]enemies!$1:$1,0)+1,FALSE)</f>
        <v>0</v>
      </c>
      <c r="X51" s="7">
        <v>0</v>
      </c>
      <c r="Y51" s="7">
        <v>100</v>
      </c>
      <c r="Z51" s="7">
        <v>0</v>
      </c>
      <c r="AA51" s="20">
        <f ca="1">VLOOKUP($L51,OFFSET([3]enemies!$A$1,0,0,COUNTA([3]enemies!$A:$A),MATCH(AA$1,[3]enemies!$1:$1,0)-MATCH($L$1,[3]enemies!$1:$1,0)+1),MATCH(AA$1,[3]enemies!$1:$1,0)-MATCH($L$1,[3]enemies!$1:$1,0)+1,FALSE)</f>
        <v>2</v>
      </c>
      <c r="AB51" s="24">
        <v>21</v>
      </c>
      <c r="AC51" s="5" t="str">
        <f ca="1">IFERROR(VLOOKUP($AB51,OFFSET([4]characters!$A$1,0,0,COUNTA([4]characters!$A:$A),MATCH(AC$1,[4]characters!$1:$1,0)-MATCH("character_id",[4]characters!$1:$1,0)+1),MATCH(AC$1,[4]characters!$1:$1,0)-MATCH("character_id",[4]characters!$1:$1,0)+1,FALSE),"")</f>
        <v>ヴェロキー</v>
      </c>
      <c r="AD51" s="5">
        <f ca="1">IFERROR(VLOOKUP($AB51,OFFSET([4]characters!$A$1,0,0,COUNTA([4]characters!$A:$A),MATCH(AD$1,[4]characters!$1:$1,0)-MATCH("character_id",[4]characters!$1:$1,0)+1),MATCH(AD$1,[4]characters!$1:$1,0)-MATCH("character_id",[4]characters!$1:$1,0)+1,FALSE),"")</f>
        <v>1</v>
      </c>
      <c r="AE51" s="5" t="str">
        <f ca="1">IFERROR(VLOOKUP($AB51,OFFSET([4]characters!$A$1,0,0,COUNTA([4]characters!$A:$A),MATCH(AE$1,[4]characters!$1:$1,0)-MATCH("character_id",[4]characters!$1:$1,0)+1),MATCH(AE$1,[4]characters!$1:$1,0)-MATCH("character_id",[4]characters!$1:$1,0)+1,FALSE),"")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51" s="8">
        <v>1</v>
      </c>
      <c r="AG51" s="27">
        <f t="shared" ca="1" si="3"/>
        <v>1</v>
      </c>
      <c r="AH51" s="9">
        <v>0</v>
      </c>
      <c r="AI51" s="8">
        <v>0</v>
      </c>
      <c r="AJ51" s="8">
        <v>0</v>
      </c>
      <c r="AK51" s="8">
        <v>0</v>
      </c>
      <c r="AL51" s="8">
        <v>0</v>
      </c>
      <c r="AM51" s="8">
        <v>1</v>
      </c>
      <c r="AN51" s="8">
        <v>1</v>
      </c>
    </row>
    <row r="52" spans="1:40" ht="21" customHeight="1" x14ac:dyDescent="0.15">
      <c r="A52" s="17" t="str">
        <f t="shared" ca="1" si="4"/>
        <v>11007_4-6/104&lt;lv40&gt;s2</v>
      </c>
      <c r="B52" s="8">
        <v>11007</v>
      </c>
      <c r="C52" s="25">
        <v>4</v>
      </c>
      <c r="D52" s="2" t="str">
        <f t="shared" si="1"/>
        <v>11007_4</v>
      </c>
      <c r="E52" s="5" t="str">
        <f ca="1">VLOOKUP($B52,OFFSET([2]quests!$A$1,0,0,COUNTA([2]quests!$A:$A),MATCH(E$1,[2]quests!$1:$1,0)-MATCH($B$1,[2]quests!$1:$1,0)+1),MATCH(E$1,[2]quests!$1:$1,0)-MATCH($B$1,[2]quests!$1:$1,0)+1,FALSE)</f>
        <v>【土曜限定】 赤と緑の素材</v>
      </c>
      <c r="F52" s="5" t="str">
        <f ca="1">VLOOKUP($D52,OFFSET([2]stages!$A$1,0,0,COUNTA([2]stages!$A:$A),MATCH(F$1,[2]stages!$2:$2,0)-MATCH($D$1,[2]stages!$2:$2,0)+1),MATCH(F$1,[2]stages!$2:$2,0)-MATCH($D$1,[2]stages!$2:$2,0)+1,FALSE)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2" s="25">
        <v>6</v>
      </c>
      <c r="H52" s="16" t="str">
        <f t="shared" si="2"/>
        <v>11007_4-6</v>
      </c>
      <c r="I52" s="5">
        <f ca="1">VLOOKUP($H52,OFFSET(floors!$A$1,0,0,COUNTA(floors!$A:$A),MATCH(I$1,floors!$1:$1,0)-MATCH($H$1,floors!$1:$1,0)+1),MATCH(I$1,floors!$1:$1,0)-MATCH($H$1,floors!$1:$1,0)+1,FALSE)</f>
        <v>60</v>
      </c>
      <c r="J52" s="5">
        <f ca="1">VLOOKUP($H52,OFFSET(floors!$A$1,0,0,COUNTA(floors!$A:$A),MATCH(J$1,floors!$1:$1,0)-MATCH($H$1,floors!$1:$1,0)+1),MATCH(J$1,floors!$1:$1,0)-MATCH($H$1,floors!$1:$1,0)+1,FALSE)</f>
        <v>60</v>
      </c>
      <c r="K52" s="24" t="s">
        <v>197</v>
      </c>
      <c r="L52" s="24">
        <v>104</v>
      </c>
      <c r="M52" s="20" t="str">
        <f ca="1">VLOOKUP($L52,OFFSET([3]enemies!$A$1,0,0,COUNTA([3]enemies!$A:$A),MATCH(M$1,[3]enemies!$1:$1,0)-MATCH($L$1,[3]enemies!$1:$1,0)+1),MATCH(M$1,[3]enemies!$1:$1,0)-MATCH($L$1,[3]enemies!$1:$1,0)+1,FALSE)</f>
        <v>炎のマッドハッター</v>
      </c>
      <c r="N52" s="20" t="str">
        <f ca="1">VLOOKUP($L52,OFFSET([3]enemies!$A$1,0,0,COUNTA([3]enemies!$A:$A),MATCH(N$1,[3]enemies!$1:$1,0)-MATCH($L$1,[3]enemies!$1:$1,0)+1),MATCH(N$1,[3]enemies!$1:$1,0)-MATCH($L$1,[3]enemies!$1:$1,0)+1,FALSE)</f>
        <v>red</v>
      </c>
      <c r="O52" s="22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20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20">
        <f ca="1">VLOOKUP($L52,OFFSET([3]enemies!$A$1,0,0,COUNTA([3]enemies!$A:$A),MATCH(Q$1,[3]enemies!$1:$1,0)-MATCH($L$1,[3]enemies!$1:$1,0)+1),MATCH(Q$1,[3]enemies!$1:$1,0)-MATCH($L$1,[3]enemies!$1:$1,0)+1,FALSE)</f>
        <v>20</v>
      </c>
      <c r="R52" s="6">
        <v>40</v>
      </c>
      <c r="S52" s="39">
        <v>1.7</v>
      </c>
      <c r="T52" s="39">
        <v>1</v>
      </c>
      <c r="U52" s="6">
        <v>0</v>
      </c>
      <c r="V52" s="5" t="str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2" s="5">
        <f ca="1">VLOOKUP($L52,OFFSET([3]enemies!$A$1,0,0,COUNTA([3]enemies!$A:$A),MATCH(W$1,[3]enemies!$1:$1,0)-MATCH($L$1,[3]enemies!$1:$1,0)+1),MATCH(W$1,[3]enemies!$1:$1,0)-MATCH($L$1,[3]enemies!$1:$1,0)+1,FALSE)</f>
        <v>0</v>
      </c>
      <c r="X52" s="7">
        <v>1</v>
      </c>
      <c r="Y52" s="7">
        <v>0</v>
      </c>
      <c r="Z52" s="7">
        <v>2</v>
      </c>
      <c r="AA52" s="20">
        <f ca="1">VLOOKUP($L52,OFFSET([3]enemies!$A$1,0,0,COUNTA([3]enemies!$A:$A),MATCH(AA$1,[3]enemies!$1:$1,0)-MATCH($L$1,[3]enemies!$1:$1,0)+1),MATCH(AA$1,[3]enemies!$1:$1,0)-MATCH($L$1,[3]enemies!$1:$1,0)+1,FALSE)</f>
        <v>2</v>
      </c>
      <c r="AB52" s="24">
        <v>104</v>
      </c>
      <c r="AC52" s="5" t="str">
        <f ca="1">IFERROR(VLOOKUP($AB52,OFFSET([4]characters!$A$1,0,0,COUNTA([4]characters!$A:$A),MATCH(AC$1,[4]characters!$1:$1,0)-MATCH("character_id",[4]characters!$1:$1,0)+1),MATCH(AC$1,[4]characters!$1:$1,0)-MATCH("character_id",[4]characters!$1:$1,0)+1,FALSE),"")</f>
        <v>炎のマッドハッター</v>
      </c>
      <c r="AD52" s="5">
        <f ca="1">IFERROR(VLOOKUP($AB52,OFFSET([4]characters!$A$1,0,0,COUNTA([4]characters!$A:$A),MATCH(AD$1,[4]characters!$1:$1,0)-MATCH("character_id",[4]characters!$1:$1,0)+1),MATCH(AD$1,[4]characters!$1:$1,0)-MATCH("character_id",[4]characters!$1:$1,0)+1,FALSE),"")</f>
        <v>5</v>
      </c>
      <c r="AE52" s="5" t="str">
        <f ca="1">IFERROR(VLOOKUP($AB52,OFFSET([4]characters!$A$1,0,0,COUNTA([4]characters!$A:$A),MATCH(AE$1,[4]characters!$1:$1,0)-MATCH("character_id",[4]characters!$1:$1,0)+1),MATCH(AE$1,[4]characters!$1:$1,0)-MATCH("character_id",[4]characters!$1:$1,0)+1,FALSE),"")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2" s="8">
        <v>1</v>
      </c>
      <c r="AG52" s="27">
        <f t="shared" ca="1" si="3"/>
        <v>5</v>
      </c>
      <c r="AH52" s="9">
        <v>100</v>
      </c>
      <c r="AI52" s="8">
        <v>0</v>
      </c>
      <c r="AJ52" s="8">
        <v>0</v>
      </c>
      <c r="AK52" s="8">
        <v>0</v>
      </c>
      <c r="AL52" s="8">
        <v>0</v>
      </c>
      <c r="AM52" s="8">
        <v>1</v>
      </c>
      <c r="AN52" s="8">
        <v>1</v>
      </c>
    </row>
    <row r="53" spans="1:40" ht="21" customHeight="1" x14ac:dyDescent="0.15">
      <c r="A53" s="17" t="str">
        <f t="shared" ca="1" si="4"/>
        <v>11007_4-1/35&lt;lv40&gt;s4</v>
      </c>
      <c r="B53" s="8">
        <v>11007</v>
      </c>
      <c r="C53" s="25">
        <v>4</v>
      </c>
      <c r="D53" s="2" t="str">
        <f t="shared" si="1"/>
        <v>11007_4</v>
      </c>
      <c r="E53" s="5" t="str">
        <f ca="1">VLOOKUP($B53,OFFSET([2]quests!$A$1,0,0,COUNTA([2]quests!$A:$A),MATCH(E$1,[2]quests!$1:$1,0)-MATCH($B$1,[2]quests!$1:$1,0)+1),MATCH(E$1,[2]quests!$1:$1,0)-MATCH($B$1,[2]quests!$1:$1,0)+1,FALSE)</f>
        <v>【土曜限定】 赤と緑の素材</v>
      </c>
      <c r="F53" s="5" t="str">
        <f ca="1">VLOOKUP($D53,OFFSET([2]stages!$A$1,0,0,COUNTA([2]stages!$A:$A),MATCH(F$1,[2]stages!$2:$2,0)-MATCH($D$1,[2]stages!$2:$2,0)+1),MATCH(F$1,[2]stages!$2:$2,0)-MATCH($D$1,[2]stages!$2:$2,0)+1,FALSE)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3" s="25">
        <v>1</v>
      </c>
      <c r="H53" s="16" t="str">
        <f t="shared" si="2"/>
        <v>11007_4-1</v>
      </c>
      <c r="I53" s="5">
        <f ca="1">VLOOKUP($H53,OFFSET(floors!$A$1,0,0,COUNTA(floors!$A:$A),MATCH(I$1,floors!$1:$1,0)-MATCH($H$1,floors!$1:$1,0)+1),MATCH(I$1,floors!$1:$1,0)-MATCH($H$1,floors!$1:$1,0)+1,FALSE)</f>
        <v>30</v>
      </c>
      <c r="J53" s="5">
        <f ca="1">VLOOKUP($H53,OFFSET(floors!$A$1,0,0,COUNTA(floors!$A:$A),MATCH(J$1,floors!$1:$1,0)-MATCH($H$1,floors!$1:$1,0)+1),MATCH(J$1,floors!$1:$1,0)-MATCH($H$1,floors!$1:$1,0)+1,FALSE)</f>
        <v>45</v>
      </c>
      <c r="K53" s="24" t="s">
        <v>197</v>
      </c>
      <c r="L53" s="24">
        <v>35</v>
      </c>
      <c r="M53" s="20" t="str">
        <f ca="1">VLOOKUP($L53,OFFSET([3]enemies!$A$1,0,0,COUNTA([3]enemies!$A:$A),MATCH(M$1,[3]enemies!$1:$1,0)-MATCH($L$1,[3]enemies!$1:$1,0)+1),MATCH(M$1,[3]enemies!$1:$1,0)-MATCH($L$1,[3]enemies!$1:$1,0)+1,FALSE)</f>
        <v>F2</v>
      </c>
      <c r="N53" s="20" t="str">
        <f ca="1">VLOOKUP($L53,OFFSET([3]enemies!$A$1,0,0,COUNTA([3]enemies!$A:$A),MATCH(N$1,[3]enemies!$1:$1,0)-MATCH($L$1,[3]enemies!$1:$1,0)+1),MATCH(N$1,[3]enemies!$1:$1,0)-MATCH($L$1,[3]enemies!$1:$1,0)+1,FALSE)</f>
        <v>green</v>
      </c>
      <c r="O53" s="22" t="str">
        <f ca="1">VLOOKUP($L53,OFFSET([4]characters!$A$1,0,0,COUNTA([4]characters!$A:$A),MATCH(O$1,[4]characters!$1:$1,0)-MATCH($L$1,[4]characters!$1:$1,0)+1),MATCH(O$1,[4]characters!$1:$1,0)-MATCH($L$1,[4]characters!$1:$1,0)+1,FALSE)</f>
        <v>Drop1S</v>
      </c>
      <c r="P53" s="20" t="str">
        <f ca="1">VLOOKUP($L53,OFFSET([3]enemies!$A$1,0,0,COUNTA([3]enemies!$A:$A),MATCH(P$1,[3]enemies!$1:$1,0)-MATCH($L$1,[3]enemies!$1:$1,0)+1),MATCH(P$1,[3]enemies!$1:$1,0)-MATCH($L$1,[3]enemies!$1:$1,0)+1,FALSE)</f>
        <v>machine</v>
      </c>
      <c r="Q53" s="20">
        <f ca="1">VLOOKUP($L53,OFFSET([3]enemies!$A$1,0,0,COUNTA([3]enemies!$A:$A),MATCH(Q$1,[3]enemies!$1:$1,0)-MATCH($L$1,[3]enemies!$1:$1,0)+1),MATCH(Q$1,[3]enemies!$1:$1,0)-MATCH($L$1,[3]enemies!$1:$1,0)+1,FALSE)</f>
        <v>15</v>
      </c>
      <c r="R53" s="6">
        <v>40</v>
      </c>
      <c r="S53" s="39">
        <v>1.3</v>
      </c>
      <c r="T53" s="39">
        <v>0.8</v>
      </c>
      <c r="U53" s="6">
        <v>0</v>
      </c>
      <c r="V53" s="5" t="str">
        <f ca="1">VLOOKUP($W53,OFFSET([5]enemy_skill_sets!$B$1,0,0,COUNTA([5]enemy_skill_sets!$B:$B),MATCH(M$1,[5]enemy_skill_sets!$1:$1,0)-MATCH($W$1,[5]enemy_skill_sets!$1:$1,0)+2),MATCH(M$1,[5]enemy_skill_sets!$1:$1,0)-MATCH($W$1,[5]enemy_skill_sets!$1:$1,0)+2,FALSE)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53" s="5">
        <f ca="1">VLOOKUP($L53,OFFSET([3]enemies!$A$1,0,0,COUNTA([3]enemies!$A:$A),MATCH(W$1,[3]enemies!$1:$1,0)-MATCH($L$1,[3]enemies!$1:$1,0)+1),MATCH(W$1,[3]enemies!$1:$1,0)-MATCH($L$1,[3]enemies!$1:$1,0)+1,FALSE)</f>
        <v>35</v>
      </c>
      <c r="X53" s="7">
        <v>0</v>
      </c>
      <c r="Y53" s="7">
        <v>100</v>
      </c>
      <c r="Z53" s="7">
        <v>0</v>
      </c>
      <c r="AA53" s="20">
        <f ca="1">VLOOKUP($L53,OFFSET([3]enemies!$A$1,0,0,COUNTA([3]enemies!$A:$A),MATCH(AA$1,[3]enemies!$1:$1,0)-MATCH($L$1,[3]enemies!$1:$1,0)+1),MATCH(AA$1,[3]enemies!$1:$1,0)-MATCH($L$1,[3]enemies!$1:$1,0)+1,FALSE)</f>
        <v>4</v>
      </c>
      <c r="AB53" s="24">
        <v>35</v>
      </c>
      <c r="AC53" s="5" t="str">
        <f ca="1">IFERROR(VLOOKUP($AB53,OFFSET([4]characters!$A$1,0,0,COUNTA([4]characters!$A:$A),MATCH(AC$1,[4]characters!$1:$1,0)-MATCH("character_id",[4]characters!$1:$1,0)+1),MATCH(AC$1,[4]characters!$1:$1,0)-MATCH("character_id",[4]characters!$1:$1,0)+1,FALSE),"")</f>
        <v>F2</v>
      </c>
      <c r="AD53" s="5">
        <f ca="1">IFERROR(VLOOKUP($AB53,OFFSET([4]characters!$A$1,0,0,COUNTA([4]characters!$A:$A),MATCH(AD$1,[4]characters!$1:$1,0)-MATCH("character_id",[4]characters!$1:$1,0)+1),MATCH(AD$1,[4]characters!$1:$1,0)-MATCH("character_id",[4]characters!$1:$1,0)+1,FALSE),"")</f>
        <v>2</v>
      </c>
      <c r="AE53" s="5" t="str">
        <f ca="1">IFERROR(VLOOKUP($AB53,OFFSET([4]characters!$A$1,0,0,COUNTA([4]characters!$A:$A),MATCH(AE$1,[4]characters!$1:$1,0)-MATCH("character_id",[4]characters!$1:$1,0)+1),MATCH(AE$1,[4]characters!$1:$1,0)-MATCH("character_id",[4]characters!$1:$1,0)+1,FALSE),"")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53" s="8">
        <v>1</v>
      </c>
      <c r="AG53" s="27">
        <f t="shared" ca="1" si="3"/>
        <v>2</v>
      </c>
      <c r="AH53" s="9">
        <v>0</v>
      </c>
      <c r="AI53" s="8">
        <v>0</v>
      </c>
      <c r="AJ53" s="8">
        <v>0</v>
      </c>
      <c r="AK53" s="8">
        <v>0</v>
      </c>
      <c r="AL53" s="8">
        <v>0</v>
      </c>
      <c r="AM53" s="8">
        <v>1</v>
      </c>
      <c r="AN53" s="8">
        <v>1</v>
      </c>
    </row>
    <row r="54" spans="1:40" ht="21" customHeight="1" x14ac:dyDescent="0.15">
      <c r="A54" s="17" t="str">
        <f t="shared" ca="1" si="4"/>
        <v>11007_4-1/27&lt;lv42&gt;s1</v>
      </c>
      <c r="B54" s="8">
        <v>11007</v>
      </c>
      <c r="C54" s="25">
        <v>4</v>
      </c>
      <c r="D54" s="2" t="str">
        <f t="shared" si="1"/>
        <v>11007_4</v>
      </c>
      <c r="E54" s="5" t="str">
        <f ca="1">VLOOKUP($B54,OFFSET([2]quests!$A$1,0,0,COUNTA([2]quests!$A:$A),MATCH(E$1,[2]quests!$1:$1,0)-MATCH($B$1,[2]quests!$1:$1,0)+1),MATCH(E$1,[2]quests!$1:$1,0)-MATCH($B$1,[2]quests!$1:$1,0)+1,FALSE)</f>
        <v>【土曜限定】 赤と緑の素材</v>
      </c>
      <c r="F54" s="5" t="str">
        <f ca="1">VLOOKUP($D54,OFFSET([2]stages!$A$1,0,0,COUNTA([2]stages!$A:$A),MATCH(F$1,[2]stages!$2:$2,0)-MATCH($D$1,[2]stages!$2:$2,0)+1),MATCH(F$1,[2]stages!$2:$2,0)-MATCH($D$1,[2]stages!$2:$2,0)+1,FALSE)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4" s="25">
        <v>1</v>
      </c>
      <c r="H54" s="16" t="str">
        <f t="shared" si="2"/>
        <v>11007_4-1</v>
      </c>
      <c r="I54" s="5">
        <f ca="1">VLOOKUP($H54,OFFSET(floors!$A$1,0,0,COUNTA(floors!$A:$A),MATCH(I$1,floors!$1:$1,0)-MATCH($H$1,floors!$1:$1,0)+1),MATCH(I$1,floors!$1:$1,0)-MATCH($H$1,floors!$1:$1,0)+1,FALSE)</f>
        <v>30</v>
      </c>
      <c r="J54" s="5">
        <f ca="1">VLOOKUP($H54,OFFSET(floors!$A$1,0,0,COUNTA(floors!$A:$A),MATCH(J$1,floors!$1:$1,0)-MATCH($H$1,floors!$1:$1,0)+1),MATCH(J$1,floors!$1:$1,0)-MATCH($H$1,floors!$1:$1,0)+1,FALSE)</f>
        <v>45</v>
      </c>
      <c r="K54" s="24" t="s">
        <v>197</v>
      </c>
      <c r="L54" s="24">
        <v>27</v>
      </c>
      <c r="M54" s="20" t="str">
        <f ca="1">VLOOKUP($L54,OFFSET([3]enemies!$A$1,0,0,COUNTA([3]enemies!$A:$A),MATCH(M$1,[3]enemies!$1:$1,0)-MATCH($L$1,[3]enemies!$1:$1,0)+1),MATCH(M$1,[3]enemies!$1:$1,0)-MATCH($L$1,[3]enemies!$1:$1,0)+1,FALSE)</f>
        <v>パトライン</v>
      </c>
      <c r="N54" s="20" t="str">
        <f ca="1">VLOOKUP($L54,OFFSET([3]enemies!$A$1,0,0,COUNTA([3]enemies!$A:$A),MATCH(N$1,[3]enemies!$1:$1,0)-MATCH($L$1,[3]enemies!$1:$1,0)+1),MATCH(N$1,[3]enemies!$1:$1,0)-MATCH($L$1,[3]enemies!$1:$1,0)+1,FALSE)</f>
        <v>green</v>
      </c>
      <c r="O54" s="22" t="str">
        <f ca="1">VLOOKUP($L54,OFFSET([4]characters!$A$1,0,0,COUNTA([4]characters!$A:$A),MATCH(O$1,[4]characters!$1:$1,0)-MATCH($L$1,[4]characters!$1:$1,0)+1),MATCH(O$1,[4]characters!$1:$1,0)-MATCH($L$1,[4]characters!$1:$1,0)+1,FALSE)</f>
        <v>Drop1N</v>
      </c>
      <c r="P54" s="20" t="str">
        <f ca="1">VLOOKUP($L54,OFFSET([3]enemies!$A$1,0,0,COUNTA([3]enemies!$A:$A),MATCH(P$1,[3]enemies!$1:$1,0)-MATCH($L$1,[3]enemies!$1:$1,0)+1),MATCH(P$1,[3]enemies!$1:$1,0)-MATCH($L$1,[3]enemies!$1:$1,0)+1,FALSE)</f>
        <v>machine</v>
      </c>
      <c r="Q54" s="20">
        <f ca="1">VLOOKUP($L54,OFFSET([3]enemies!$A$1,0,0,COUNTA([3]enemies!$A:$A),MATCH(Q$1,[3]enemies!$1:$1,0)-MATCH($L$1,[3]enemies!$1:$1,0)+1),MATCH(Q$1,[3]enemies!$1:$1,0)-MATCH($L$1,[3]enemies!$1:$1,0)+1,FALSE)</f>
        <v>15</v>
      </c>
      <c r="R54" s="6">
        <v>42</v>
      </c>
      <c r="S54" s="39">
        <v>1.2</v>
      </c>
      <c r="T54" s="39">
        <v>1</v>
      </c>
      <c r="U54" s="6">
        <v>0</v>
      </c>
      <c r="V54" s="5" t="str">
        <f ca="1">VLOOKUP($W54,OFFSET([5]enemy_skill_sets!$B$1,0,0,COUNTA([5]enemy_skill_sets!$B:$B),MATCH(M$1,[5]enemy_skill_sets!$1:$1,0)-MATCH($W$1,[5]enemy_skill_sets!$1:$1,0)+2),MATCH(M$1,[5]enemy_skill_sets!$1:$1,0)-MATCH($W$1,[5]enemy_skill_sets!$1:$1,0)+2,FALSE)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4" s="5">
        <f ca="1">VLOOKUP($L54,OFFSET([3]enemies!$A$1,0,0,COUNTA([3]enemies!$A:$A),MATCH(W$1,[3]enemies!$1:$1,0)-MATCH($L$1,[3]enemies!$1:$1,0)+1),MATCH(W$1,[3]enemies!$1:$1,0)-MATCH($L$1,[3]enemies!$1:$1,0)+1,FALSE)</f>
        <v>0</v>
      </c>
      <c r="X54" s="7">
        <v>0</v>
      </c>
      <c r="Y54" s="7">
        <v>100</v>
      </c>
      <c r="Z54" s="7">
        <v>0</v>
      </c>
      <c r="AA54" s="20">
        <f ca="1">VLOOKUP($L54,OFFSET([3]enemies!$A$1,0,0,COUNTA([3]enemies!$A:$A),MATCH(AA$1,[3]enemies!$1:$1,0)-MATCH($L$1,[3]enemies!$1:$1,0)+1),MATCH(AA$1,[3]enemies!$1:$1,0)-MATCH($L$1,[3]enemies!$1:$1,0)+1,FALSE)</f>
        <v>1</v>
      </c>
      <c r="AB54" s="24">
        <v>27</v>
      </c>
      <c r="AC54" s="5" t="str">
        <f ca="1">IFERROR(VLOOKUP($AB54,OFFSET([4]characters!$A$1,0,0,COUNTA([4]characters!$A:$A),MATCH(AC$1,[4]characters!$1:$1,0)-MATCH("character_id",[4]characters!$1:$1,0)+1),MATCH(AC$1,[4]characters!$1:$1,0)-MATCH("character_id",[4]characters!$1:$1,0)+1,FALSE),"")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54" s="5">
        <f ca="1">IFERROR(VLOOKUP($AB54,OFFSET([4]characters!$A$1,0,0,COUNTA([4]characters!$A:$A),MATCH(AD$1,[4]characters!$1:$1,0)-MATCH("character_id",[4]characters!$1:$1,0)+1),MATCH(AD$1,[4]characters!$1:$1,0)-MATCH("character_id",[4]characters!$1:$1,0)+1,FALSE),"")</f>
        <v>1</v>
      </c>
      <c r="AE54" s="5" t="str">
        <f ca="1">IFERROR(VLOOKUP($AB54,OFFSET([4]characters!$A$1,0,0,COUNTA([4]characters!$A:$A),MATCH(AE$1,[4]characters!$1:$1,0)-MATCH("character_id",[4]characters!$1:$1,0)+1),MATCH(AE$1,[4]characters!$1:$1,0)-MATCH("character_id",[4]characters!$1:$1,0)+1,FALSE),"")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54" s="8">
        <v>1</v>
      </c>
      <c r="AG54" s="27">
        <f t="shared" ca="1" si="3"/>
        <v>1</v>
      </c>
      <c r="AH54" s="9">
        <v>0</v>
      </c>
      <c r="AI54" s="8">
        <v>0</v>
      </c>
      <c r="AJ54" s="8">
        <v>0</v>
      </c>
      <c r="AK54" s="8">
        <v>0</v>
      </c>
      <c r="AL54" s="8">
        <v>0</v>
      </c>
      <c r="AM54" s="8">
        <v>1</v>
      </c>
      <c r="AN54" s="8">
        <v>1</v>
      </c>
    </row>
    <row r="55" spans="1:40" ht="21" customHeight="1" x14ac:dyDescent="0.15">
      <c r="A55" s="17" t="str">
        <f t="shared" ca="1" si="4"/>
        <v>11007_4-2/35&lt;lv40&gt;s4</v>
      </c>
      <c r="B55" s="8">
        <v>11007</v>
      </c>
      <c r="C55" s="25">
        <v>4</v>
      </c>
      <c r="D55" s="2" t="str">
        <f t="shared" si="1"/>
        <v>11007_4</v>
      </c>
      <c r="E55" s="5" t="str">
        <f ca="1">VLOOKUP($B55,OFFSET([2]quests!$A$1,0,0,COUNTA([2]quests!$A:$A),MATCH(E$1,[2]quests!$1:$1,0)-MATCH($B$1,[2]quests!$1:$1,0)+1),MATCH(E$1,[2]quests!$1:$1,0)-MATCH($B$1,[2]quests!$1:$1,0)+1,FALSE)</f>
        <v>【土曜限定】 赤と緑の素材</v>
      </c>
      <c r="F55" s="5" t="str">
        <f ca="1">VLOOKUP($D55,OFFSET([2]stages!$A$1,0,0,COUNTA([2]stages!$A:$A),MATCH(F$1,[2]stages!$2:$2,0)-MATCH($D$1,[2]stages!$2:$2,0)+1),MATCH(F$1,[2]stages!$2:$2,0)-MATCH($D$1,[2]stages!$2:$2,0)+1,FALSE)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5" s="25">
        <v>2</v>
      </c>
      <c r="H55" s="16" t="str">
        <f t="shared" si="2"/>
        <v>11007_4-2</v>
      </c>
      <c r="I55" s="5">
        <f ca="1">VLOOKUP($H55,OFFSET(floors!$A$1,0,0,COUNTA(floors!$A:$A),MATCH(I$1,floors!$1:$1,0)-MATCH($H$1,floors!$1:$1,0)+1),MATCH(I$1,floors!$1:$1,0)-MATCH($H$1,floors!$1:$1,0)+1,FALSE)</f>
        <v>45</v>
      </c>
      <c r="J55" s="5">
        <f ca="1">VLOOKUP($H55,OFFSET(floors!$A$1,0,0,COUNTA(floors!$A:$A),MATCH(J$1,floors!$1:$1,0)-MATCH($H$1,floors!$1:$1,0)+1),MATCH(J$1,floors!$1:$1,0)-MATCH($H$1,floors!$1:$1,0)+1,FALSE)</f>
        <v>60</v>
      </c>
      <c r="K55" s="24" t="s">
        <v>197</v>
      </c>
      <c r="L55" s="24">
        <v>35</v>
      </c>
      <c r="M55" s="20" t="str">
        <f ca="1">VLOOKUP($L55,OFFSET([3]enemies!$A$1,0,0,COUNTA([3]enemies!$A:$A),MATCH(M$1,[3]enemies!$1:$1,0)-MATCH($L$1,[3]enemies!$1:$1,0)+1),MATCH(M$1,[3]enemies!$1:$1,0)-MATCH($L$1,[3]enemies!$1:$1,0)+1,FALSE)</f>
        <v>F2</v>
      </c>
      <c r="N55" s="20" t="str">
        <f ca="1">VLOOKUP($L55,OFFSET([3]enemies!$A$1,0,0,COUNTA([3]enemies!$A:$A),MATCH(N$1,[3]enemies!$1:$1,0)-MATCH($L$1,[3]enemies!$1:$1,0)+1),MATCH(N$1,[3]enemies!$1:$1,0)-MATCH($L$1,[3]enemies!$1:$1,0)+1,FALSE)</f>
        <v>green</v>
      </c>
      <c r="O55" s="22" t="str">
        <f ca="1">VLOOKUP($L55,OFFSET([4]characters!$A$1,0,0,COUNTA([4]characters!$A:$A),MATCH(O$1,[4]characters!$1:$1,0)-MATCH($L$1,[4]characters!$1:$1,0)+1),MATCH(O$1,[4]characters!$1:$1,0)-MATCH($L$1,[4]characters!$1:$1,0)+1,FALSE)</f>
        <v>Drop1S</v>
      </c>
      <c r="P55" s="20" t="str">
        <f ca="1">VLOOKUP($L55,OFFSET([3]enemies!$A$1,0,0,COUNTA([3]enemies!$A:$A),MATCH(P$1,[3]enemies!$1:$1,0)-MATCH($L$1,[3]enemies!$1:$1,0)+1),MATCH(P$1,[3]enemies!$1:$1,0)-MATCH($L$1,[3]enemies!$1:$1,0)+1,FALSE)</f>
        <v>machine</v>
      </c>
      <c r="Q55" s="20">
        <f ca="1">VLOOKUP($L55,OFFSET([3]enemies!$A$1,0,0,COUNTA([3]enemies!$A:$A),MATCH(Q$1,[3]enemies!$1:$1,0)-MATCH($L$1,[3]enemies!$1:$1,0)+1),MATCH(Q$1,[3]enemies!$1:$1,0)-MATCH($L$1,[3]enemies!$1:$1,0)+1,FALSE)</f>
        <v>15</v>
      </c>
      <c r="R55" s="6">
        <v>40</v>
      </c>
      <c r="S55" s="39">
        <v>1.3</v>
      </c>
      <c r="T55" s="39">
        <v>0.8</v>
      </c>
      <c r="U55" s="6">
        <v>0</v>
      </c>
      <c r="V55" s="5" t="str">
        <f ca="1">VLOOKUP($W55,OFFSET([5]enemy_skill_sets!$B$1,0,0,COUNTA([5]enemy_skill_sets!$B:$B),MATCH(M$1,[5]enemy_skill_sets!$1:$1,0)-MATCH($W$1,[5]enemy_skill_sets!$1:$1,0)+2),MATCH(M$1,[5]enemy_skill_sets!$1:$1,0)-MATCH($W$1,[5]enemy_skill_sets!$1:$1,0)+2,FALSE)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55" s="5">
        <f ca="1">VLOOKUP($L55,OFFSET([3]enemies!$A$1,0,0,COUNTA([3]enemies!$A:$A),MATCH(W$1,[3]enemies!$1:$1,0)-MATCH($L$1,[3]enemies!$1:$1,0)+1),MATCH(W$1,[3]enemies!$1:$1,0)-MATCH($L$1,[3]enemies!$1:$1,0)+1,FALSE)</f>
        <v>35</v>
      </c>
      <c r="X55" s="7">
        <v>0</v>
      </c>
      <c r="Y55" s="7">
        <v>100</v>
      </c>
      <c r="Z55" s="7">
        <v>0</v>
      </c>
      <c r="AA55" s="20">
        <f ca="1">VLOOKUP($L55,OFFSET([3]enemies!$A$1,0,0,COUNTA([3]enemies!$A:$A),MATCH(AA$1,[3]enemies!$1:$1,0)-MATCH($L$1,[3]enemies!$1:$1,0)+1),MATCH(AA$1,[3]enemies!$1:$1,0)-MATCH($L$1,[3]enemies!$1:$1,0)+1,FALSE)</f>
        <v>4</v>
      </c>
      <c r="AB55" s="24">
        <v>35</v>
      </c>
      <c r="AC55" s="5" t="str">
        <f ca="1">IFERROR(VLOOKUP($AB55,OFFSET([4]characters!$A$1,0,0,COUNTA([4]characters!$A:$A),MATCH(AC$1,[4]characters!$1:$1,0)-MATCH("character_id",[4]characters!$1:$1,0)+1),MATCH(AC$1,[4]characters!$1:$1,0)-MATCH("character_id",[4]characters!$1:$1,0)+1,FALSE),"")</f>
        <v>F2</v>
      </c>
      <c r="AD55" s="5">
        <f ca="1">IFERROR(VLOOKUP($AB55,OFFSET([4]characters!$A$1,0,0,COUNTA([4]characters!$A:$A),MATCH(AD$1,[4]characters!$1:$1,0)-MATCH("character_id",[4]characters!$1:$1,0)+1),MATCH(AD$1,[4]characters!$1:$1,0)-MATCH("character_id",[4]characters!$1:$1,0)+1,FALSE),"")</f>
        <v>2</v>
      </c>
      <c r="AE55" s="5" t="str">
        <f ca="1">IFERROR(VLOOKUP($AB55,OFFSET([4]characters!$A$1,0,0,COUNTA([4]characters!$A:$A),MATCH(AE$1,[4]characters!$1:$1,0)-MATCH("character_id",[4]characters!$1:$1,0)+1),MATCH(AE$1,[4]characters!$1:$1,0)-MATCH("character_id",[4]characters!$1:$1,0)+1,FALSE),"")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55" s="8">
        <v>1</v>
      </c>
      <c r="AG55" s="27">
        <f t="shared" ca="1" si="3"/>
        <v>2</v>
      </c>
      <c r="AH55" s="9">
        <v>0</v>
      </c>
      <c r="AI55" s="8">
        <v>0</v>
      </c>
      <c r="AJ55" s="8">
        <v>0</v>
      </c>
      <c r="AK55" s="8">
        <v>0</v>
      </c>
      <c r="AL55" s="8">
        <v>0</v>
      </c>
      <c r="AM55" s="8">
        <v>1</v>
      </c>
      <c r="AN55" s="8">
        <v>1</v>
      </c>
    </row>
    <row r="56" spans="1:40" ht="21" customHeight="1" x14ac:dyDescent="0.15">
      <c r="A56" s="17" t="str">
        <f t="shared" ca="1" si="4"/>
        <v>11007_4-2/27&lt;lv42&gt;s1</v>
      </c>
      <c r="B56" s="8">
        <v>11007</v>
      </c>
      <c r="C56" s="25">
        <v>4</v>
      </c>
      <c r="D56" s="2" t="str">
        <f t="shared" si="1"/>
        <v>11007_4</v>
      </c>
      <c r="E56" s="5" t="str">
        <f ca="1">VLOOKUP($B56,OFFSET([2]quests!$A$1,0,0,COUNTA([2]quests!$A:$A),MATCH(E$1,[2]quests!$1:$1,0)-MATCH($B$1,[2]quests!$1:$1,0)+1),MATCH(E$1,[2]quests!$1:$1,0)-MATCH($B$1,[2]quests!$1:$1,0)+1,FALSE)</f>
        <v>【土曜限定】 赤と緑の素材</v>
      </c>
      <c r="F56" s="5" t="str">
        <f ca="1">VLOOKUP($D56,OFFSET([2]stages!$A$1,0,0,COUNTA([2]stages!$A:$A),MATCH(F$1,[2]stages!$2:$2,0)-MATCH($D$1,[2]stages!$2:$2,0)+1),MATCH(F$1,[2]stages!$2:$2,0)-MATCH($D$1,[2]stages!$2:$2,0)+1,FALSE)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6" s="25">
        <v>2</v>
      </c>
      <c r="H56" s="16" t="str">
        <f t="shared" si="2"/>
        <v>11007_4-2</v>
      </c>
      <c r="I56" s="5">
        <f ca="1">VLOOKUP($H56,OFFSET(floors!$A$1,0,0,COUNTA(floors!$A:$A),MATCH(I$1,floors!$1:$1,0)-MATCH($H$1,floors!$1:$1,0)+1),MATCH(I$1,floors!$1:$1,0)-MATCH($H$1,floors!$1:$1,0)+1,FALSE)</f>
        <v>45</v>
      </c>
      <c r="J56" s="5">
        <f ca="1">VLOOKUP($H56,OFFSET(floors!$A$1,0,0,COUNTA(floors!$A:$A),MATCH(J$1,floors!$1:$1,0)-MATCH($H$1,floors!$1:$1,0)+1),MATCH(J$1,floors!$1:$1,0)-MATCH($H$1,floors!$1:$1,0)+1,FALSE)</f>
        <v>60</v>
      </c>
      <c r="K56" s="24" t="s">
        <v>197</v>
      </c>
      <c r="L56" s="24">
        <v>27</v>
      </c>
      <c r="M56" s="20" t="str">
        <f ca="1">VLOOKUP($L56,OFFSET([3]enemies!$A$1,0,0,COUNTA([3]enemies!$A:$A),MATCH(M$1,[3]enemies!$1:$1,0)-MATCH($L$1,[3]enemies!$1:$1,0)+1),MATCH(M$1,[3]enemies!$1:$1,0)-MATCH($L$1,[3]enemies!$1:$1,0)+1,FALSE)</f>
        <v>パトライン</v>
      </c>
      <c r="N56" s="20" t="str">
        <f ca="1">VLOOKUP($L56,OFFSET([3]enemies!$A$1,0,0,COUNTA([3]enemies!$A:$A),MATCH(N$1,[3]enemies!$1:$1,0)-MATCH($L$1,[3]enemies!$1:$1,0)+1),MATCH(N$1,[3]enemies!$1:$1,0)-MATCH($L$1,[3]enemies!$1:$1,0)+1,FALSE)</f>
        <v>green</v>
      </c>
      <c r="O56" s="22" t="str">
        <f ca="1">VLOOKUP($L56,OFFSET([4]characters!$A$1,0,0,COUNTA([4]characters!$A:$A),MATCH(O$1,[4]characters!$1:$1,0)-MATCH($L$1,[4]characters!$1:$1,0)+1),MATCH(O$1,[4]characters!$1:$1,0)-MATCH($L$1,[4]characters!$1:$1,0)+1,FALSE)</f>
        <v>Drop1N</v>
      </c>
      <c r="P56" s="20" t="str">
        <f ca="1">VLOOKUP($L56,OFFSET([3]enemies!$A$1,0,0,COUNTA([3]enemies!$A:$A),MATCH(P$1,[3]enemies!$1:$1,0)-MATCH($L$1,[3]enemies!$1:$1,0)+1),MATCH(P$1,[3]enemies!$1:$1,0)-MATCH($L$1,[3]enemies!$1:$1,0)+1,FALSE)</f>
        <v>machine</v>
      </c>
      <c r="Q56" s="20">
        <f ca="1">VLOOKUP($L56,OFFSET([3]enemies!$A$1,0,0,COUNTA([3]enemies!$A:$A),MATCH(Q$1,[3]enemies!$1:$1,0)-MATCH($L$1,[3]enemies!$1:$1,0)+1),MATCH(Q$1,[3]enemies!$1:$1,0)-MATCH($L$1,[3]enemies!$1:$1,0)+1,FALSE)</f>
        <v>15</v>
      </c>
      <c r="R56" s="6">
        <v>42</v>
      </c>
      <c r="S56" s="39">
        <v>1.2</v>
      </c>
      <c r="T56" s="39">
        <v>1</v>
      </c>
      <c r="U56" s="6">
        <v>0</v>
      </c>
      <c r="V56" s="5" t="str">
        <f ca="1">VLOOKUP($W56,OFFSET([5]enemy_skill_sets!$B$1,0,0,COUNTA([5]enemy_skill_sets!$B:$B),MATCH(M$1,[5]enemy_skill_sets!$1:$1,0)-MATCH($W$1,[5]enemy_skill_sets!$1:$1,0)+2),MATCH(M$1,[5]enemy_skill_sets!$1:$1,0)-MATCH($W$1,[5]enemy_skill_sets!$1:$1,0)+2,FALSE)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6" s="5">
        <f ca="1">VLOOKUP($L56,OFFSET([3]enemies!$A$1,0,0,COUNTA([3]enemies!$A:$A),MATCH(W$1,[3]enemies!$1:$1,0)-MATCH($L$1,[3]enemies!$1:$1,0)+1),MATCH(W$1,[3]enemies!$1:$1,0)-MATCH($L$1,[3]enemies!$1:$1,0)+1,FALSE)</f>
        <v>0</v>
      </c>
      <c r="X56" s="7">
        <v>0</v>
      </c>
      <c r="Y56" s="7">
        <v>100</v>
      </c>
      <c r="Z56" s="7">
        <v>0</v>
      </c>
      <c r="AA56" s="20">
        <f ca="1">VLOOKUP($L56,OFFSET([3]enemies!$A$1,0,0,COUNTA([3]enemies!$A:$A),MATCH(AA$1,[3]enemies!$1:$1,0)-MATCH($L$1,[3]enemies!$1:$1,0)+1),MATCH(AA$1,[3]enemies!$1:$1,0)-MATCH($L$1,[3]enemies!$1:$1,0)+1,FALSE)</f>
        <v>1</v>
      </c>
      <c r="AB56" s="24">
        <v>27</v>
      </c>
      <c r="AC56" s="5" t="str">
        <f ca="1">IFERROR(VLOOKUP($AB56,OFFSET([4]characters!$A$1,0,0,COUNTA([4]characters!$A:$A),MATCH(AC$1,[4]characters!$1:$1,0)-MATCH("character_id",[4]characters!$1:$1,0)+1),MATCH(AC$1,[4]characters!$1:$1,0)-MATCH("character_id",[4]characters!$1:$1,0)+1,FALSE),"")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56" s="5">
        <f ca="1">IFERROR(VLOOKUP($AB56,OFFSET([4]characters!$A$1,0,0,COUNTA([4]characters!$A:$A),MATCH(AD$1,[4]characters!$1:$1,0)-MATCH("character_id",[4]characters!$1:$1,0)+1),MATCH(AD$1,[4]characters!$1:$1,0)-MATCH("character_id",[4]characters!$1:$1,0)+1,FALSE),"")</f>
        <v>1</v>
      </c>
      <c r="AE56" s="5" t="str">
        <f ca="1">IFERROR(VLOOKUP($AB56,OFFSET([4]characters!$A$1,0,0,COUNTA([4]characters!$A:$A),MATCH(AE$1,[4]characters!$1:$1,0)-MATCH("character_id",[4]characters!$1:$1,0)+1),MATCH(AE$1,[4]characters!$1:$1,0)-MATCH("character_id",[4]characters!$1:$1,0)+1,FALSE),"")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56" s="8">
        <v>1</v>
      </c>
      <c r="AG56" s="27">
        <f t="shared" ca="1" si="3"/>
        <v>1</v>
      </c>
      <c r="AH56" s="9">
        <v>0</v>
      </c>
      <c r="AI56" s="8">
        <v>0</v>
      </c>
      <c r="AJ56" s="8">
        <v>0</v>
      </c>
      <c r="AK56" s="8">
        <v>0</v>
      </c>
      <c r="AL56" s="8">
        <v>0</v>
      </c>
      <c r="AM56" s="8">
        <v>1</v>
      </c>
      <c r="AN56" s="8">
        <v>1</v>
      </c>
    </row>
    <row r="57" spans="1:40" ht="21" customHeight="1" x14ac:dyDescent="0.15">
      <c r="A57" s="17" t="str">
        <f t="shared" ca="1" si="4"/>
        <v>11007_4-3/137&lt;lv50&gt;s4</v>
      </c>
      <c r="B57" s="8">
        <v>11007</v>
      </c>
      <c r="C57" s="25">
        <v>4</v>
      </c>
      <c r="D57" s="2" t="str">
        <f t="shared" si="1"/>
        <v>11007_4</v>
      </c>
      <c r="E57" s="5" t="str">
        <f ca="1">VLOOKUP($B57,OFFSET([2]quests!$A$1,0,0,COUNTA([2]quests!$A:$A),MATCH(E$1,[2]quests!$1:$1,0)-MATCH($B$1,[2]quests!$1:$1,0)+1),MATCH(E$1,[2]quests!$1:$1,0)-MATCH($B$1,[2]quests!$1:$1,0)+1,FALSE)</f>
        <v>【土曜限定】 赤と緑の素材</v>
      </c>
      <c r="F57" s="5" t="str">
        <f ca="1">VLOOKUP($D57,OFFSET([2]stages!$A$1,0,0,COUNTA([2]stages!$A:$A),MATCH(F$1,[2]stages!$2:$2,0)-MATCH($D$1,[2]stages!$2:$2,0)+1),MATCH(F$1,[2]stages!$2:$2,0)-MATCH($D$1,[2]stages!$2:$2,0)+1,FALSE)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7" s="25">
        <v>3</v>
      </c>
      <c r="H57" s="16" t="str">
        <f t="shared" si="2"/>
        <v>11007_4-3</v>
      </c>
      <c r="I57" s="5">
        <f ca="1">VLOOKUP($H57,OFFSET(floors!$A$1,0,0,COUNTA(floors!$A:$A),MATCH(I$1,floors!$1:$1,0)-MATCH($H$1,floors!$1:$1,0)+1),MATCH(I$1,floors!$1:$1,0)-MATCH($H$1,floors!$1:$1,0)+1,FALSE)</f>
        <v>50</v>
      </c>
      <c r="J57" s="5">
        <f ca="1">VLOOKUP($H57,OFFSET(floors!$A$1,0,0,COUNTA(floors!$A:$A),MATCH(J$1,floors!$1:$1,0)-MATCH($H$1,floors!$1:$1,0)+1),MATCH(J$1,floors!$1:$1,0)-MATCH($H$1,floors!$1:$1,0)+1,FALSE)</f>
        <v>60</v>
      </c>
      <c r="K57" s="24" t="s">
        <v>197</v>
      </c>
      <c r="L57" s="24">
        <v>137</v>
      </c>
      <c r="M57" s="20" t="str">
        <f ca="1">VLOOKUP($L57,OFFSET([3]enemies!$A$1,0,0,COUNTA([3]enemies!$A:$A),MATCH(M$1,[3]enemies!$1:$1,0)-MATCH($L$1,[3]enemies!$1:$1,0)+1),MATCH(M$1,[3]enemies!$1:$1,0)-MATCH($L$1,[3]enemies!$1:$1,0)+1,FALSE)</f>
        <v>清福の仕立屋 チハヤ</v>
      </c>
      <c r="N57" s="20" t="str">
        <f ca="1">VLOOKUP($L57,OFFSET([3]enemies!$A$1,0,0,COUNTA([3]enemies!$A:$A),MATCH(N$1,[3]enemies!$1:$1,0)-MATCH($L$1,[3]enemies!$1:$1,0)+1),MATCH(N$1,[3]enemies!$1:$1,0)-MATCH($L$1,[3]enemies!$1:$1,0)+1,FALSE)</f>
        <v>green</v>
      </c>
      <c r="O57" s="22" t="str">
        <f ca="1">VLOOKUP($L57,OFFSET([4]characters!$A$1,0,0,COUNTA([4]characters!$A:$A),MATCH(O$1,[4]characters!$1:$1,0)-MATCH($L$1,[4]characters!$1:$1,0)+1),MATCH(O$1,[4]characters!$1:$1,0)-MATCH($L$1,[4]characters!$1:$1,0)+1,FALSE)</f>
        <v>PremiumW</v>
      </c>
      <c r="P57" s="20" t="str">
        <f ca="1">VLOOKUP($L57,OFFSET([3]enemies!$A$1,0,0,COUNTA([3]enemies!$A:$A),MATCH(P$1,[3]enemies!$1:$1,0)-MATCH($L$1,[3]enemies!$1:$1,0)+1),MATCH(P$1,[3]enemies!$1:$1,0)-MATCH($L$1,[3]enemies!$1:$1,0)+1,FALSE)</f>
        <v>human</v>
      </c>
      <c r="Q57" s="20">
        <f ca="1">VLOOKUP($L57,OFFSET([3]enemies!$A$1,0,0,COUNTA([3]enemies!$A:$A),MATCH(Q$1,[3]enemies!$1:$1,0)-MATCH($L$1,[3]enemies!$1:$1,0)+1),MATCH(Q$1,[3]enemies!$1:$1,0)-MATCH($L$1,[3]enemies!$1:$1,0)+1,FALSE)</f>
        <v>30</v>
      </c>
      <c r="R57" s="6">
        <v>50</v>
      </c>
      <c r="S57" s="39">
        <v>1.2</v>
      </c>
      <c r="T57" s="39">
        <v>1</v>
      </c>
      <c r="U57" s="6">
        <v>0</v>
      </c>
      <c r="V57" s="5" t="str">
        <f ca="1">VLOOKUP($W57,OFFSET([5]enemy_skill_sets!$B$1,0,0,COUNTA([5]enemy_skill_sets!$B:$B),MATCH(M$1,[5]enemy_skill_sets!$1:$1,0)-MATCH($W$1,[5]enemy_skill_sets!$1:$1,0)+2),MATCH(M$1,[5]enemy_skill_sets!$1:$1,0)-MATCH($W$1,[5]enemy_skill_sets!$1:$1,0)+2,FALSE)</f>
        <v>回復</v>
      </c>
      <c r="W57" s="5">
        <f ca="1">VLOOKUP($L57,OFFSET([3]enemies!$A$1,0,0,COUNTA([3]enemies!$A:$A),MATCH(W$1,[3]enemies!$1:$1,0)-MATCH($L$1,[3]enemies!$1:$1,0)+1),MATCH(W$1,[3]enemies!$1:$1,0)-MATCH($L$1,[3]enemies!$1:$1,0)+1,FALSE)</f>
        <v>136</v>
      </c>
      <c r="X57" s="7">
        <v>0</v>
      </c>
      <c r="Y57" s="7">
        <v>80</v>
      </c>
      <c r="Z57" s="7">
        <v>1</v>
      </c>
      <c r="AA57" s="20">
        <f ca="1">VLOOKUP($L57,OFFSET([3]enemies!$A$1,0,0,COUNTA([3]enemies!$A:$A),MATCH(AA$1,[3]enemies!$1:$1,0)-MATCH($L$1,[3]enemies!$1:$1,0)+1),MATCH(AA$1,[3]enemies!$1:$1,0)-MATCH($L$1,[3]enemies!$1:$1,0)+1,FALSE)</f>
        <v>4</v>
      </c>
      <c r="AB57" s="24">
        <v>136</v>
      </c>
      <c r="AC57" s="5" t="str">
        <f ca="1">IFERROR(VLOOKUP($AB57,OFFSET([4]characters!$A$1,0,0,COUNTA([4]characters!$A:$A),MATCH(AC$1,[4]characters!$1:$1,0)-MATCH("character_id",[4]characters!$1:$1,0)+1),MATCH(AC$1,[4]characters!$1:$1,0)-MATCH("character_id",[4]characters!$1:$1,0)+1,FALSE),"")</f>
        <v>お針子チハヤ</v>
      </c>
      <c r="AD57" s="5">
        <f ca="1">IFERROR(VLOOKUP($AB57,OFFSET([4]characters!$A$1,0,0,COUNTA([4]characters!$A:$A),MATCH(AD$1,[4]characters!$1:$1,0)-MATCH("character_id",[4]characters!$1:$1,0)+1),MATCH(AD$1,[4]characters!$1:$1,0)-MATCH("character_id",[4]characters!$1:$1,0)+1,FALSE),"")</f>
        <v>3</v>
      </c>
      <c r="AE57" s="5" t="str">
        <f ca="1">IFERROR(VLOOKUP($AB57,OFFSET([4]characters!$A$1,0,0,COUNTA([4]characters!$A:$A),MATCH(AE$1,[4]characters!$1:$1,0)-MATCH("character_id",[4]characters!$1:$1,0)+1),MATCH(AE$1,[4]characters!$1:$1,0)-MATCH("character_id",[4]characters!$1:$1,0)+1,FALSE),"")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57" s="8">
        <v>1</v>
      </c>
      <c r="AG57" s="27">
        <f t="shared" ca="1" si="3"/>
        <v>3</v>
      </c>
      <c r="AH57" s="9">
        <v>0</v>
      </c>
      <c r="AI57" s="8">
        <v>0</v>
      </c>
      <c r="AJ57" s="8">
        <v>0</v>
      </c>
      <c r="AK57" s="8">
        <v>0</v>
      </c>
      <c r="AL57" s="8">
        <v>0</v>
      </c>
      <c r="AM57" s="8">
        <v>1</v>
      </c>
      <c r="AN57" s="8">
        <v>1</v>
      </c>
    </row>
    <row r="58" spans="1:40" ht="21" customHeight="1" x14ac:dyDescent="0.15">
      <c r="A58" s="17" t="str">
        <f t="shared" ca="1" si="4"/>
        <v>11007_4-3/338&lt;lv1&gt;s3</v>
      </c>
      <c r="B58" s="8">
        <v>11007</v>
      </c>
      <c r="C58" s="25">
        <v>4</v>
      </c>
      <c r="D58" s="2" t="str">
        <f t="shared" si="1"/>
        <v>11007_4</v>
      </c>
      <c r="E58" s="5" t="str">
        <f ca="1">VLOOKUP($B58,OFFSET([2]quests!$A$1,0,0,COUNTA([2]quests!$A:$A),MATCH(E$1,[2]quests!$1:$1,0)-MATCH($B$1,[2]quests!$1:$1,0)+1),MATCH(E$1,[2]quests!$1:$1,0)-MATCH($B$1,[2]quests!$1:$1,0)+1,FALSE)</f>
        <v>【土曜限定】 赤と緑の素材</v>
      </c>
      <c r="F58" s="5" t="str">
        <f ca="1">VLOOKUP($D58,OFFSET([2]stages!$A$1,0,0,COUNTA([2]stages!$A:$A),MATCH(F$1,[2]stages!$2:$2,0)-MATCH($D$1,[2]stages!$2:$2,0)+1),MATCH(F$1,[2]stages!$2:$2,0)-MATCH($D$1,[2]stages!$2:$2,0)+1,FALSE)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8" s="25">
        <v>3</v>
      </c>
      <c r="H58" s="16" t="str">
        <f t="shared" si="2"/>
        <v>11007_4-3</v>
      </c>
      <c r="I58" s="5">
        <f ca="1">VLOOKUP($H58,OFFSET(floors!$A$1,0,0,COUNTA(floors!$A:$A),MATCH(I$1,floors!$1:$1,0)-MATCH($H$1,floors!$1:$1,0)+1),MATCH(I$1,floors!$1:$1,0)-MATCH($H$1,floors!$1:$1,0)+1,FALSE)</f>
        <v>50</v>
      </c>
      <c r="J58" s="5">
        <f ca="1">VLOOKUP($H58,OFFSET(floors!$A$1,0,0,COUNTA(floors!$A:$A),MATCH(J$1,floors!$1:$1,0)-MATCH($H$1,floors!$1:$1,0)+1),MATCH(J$1,floors!$1:$1,0)-MATCH($H$1,floors!$1:$1,0)+1,FALSE)</f>
        <v>60</v>
      </c>
      <c r="K58" s="24" t="s">
        <v>197</v>
      </c>
      <c r="L58" s="24">
        <v>338</v>
      </c>
      <c r="M58" s="20" t="str">
        <f ca="1">VLOOKUP($L58,OFFSET([3]enemies!$A$1,0,0,COUNTA([3]enemies!$A:$A),MATCH(M$1,[3]enemies!$1:$1,0)-MATCH($L$1,[3]enemies!$1:$1,0)+1),MATCH(M$1,[3]enemies!$1:$1,0)-MATCH($L$1,[3]enemies!$1:$1,0)+1,FALSE)</f>
        <v>森のメタルダック</v>
      </c>
      <c r="N58" s="20" t="str">
        <f ca="1">VLOOKUP($L58,OFFSET([3]enemies!$A$1,0,0,COUNTA([3]enemies!$A:$A),MATCH(N$1,[3]enemies!$1:$1,0)-MATCH($L$1,[3]enemies!$1:$1,0)+1),MATCH(N$1,[3]enemies!$1:$1,0)-MATCH($L$1,[3]enemies!$1:$1,0)+1,FALSE)</f>
        <v>green</v>
      </c>
      <c r="O58" s="22" t="str">
        <f ca="1">VLOOKUP($L58,OFFSET([4]characters!$A$1,0,0,COUNTA([4]characters!$A:$A),MATCH(O$1,[4]characters!$1:$1,0)-MATCH($L$1,[4]characters!$1:$1,0)+1),MATCH(O$1,[4]characters!$1:$1,0)-MATCH($L$1,[4]characters!$1:$1,0)+1,FALSE)</f>
        <v>Material</v>
      </c>
      <c r="P58" s="20" t="str">
        <f ca="1">VLOOKUP($L58,OFFSET([3]enemies!$A$1,0,0,COUNTA([3]enemies!$A:$A),MATCH(P$1,[3]enemies!$1:$1,0)-MATCH($L$1,[3]enemies!$1:$1,0)+1),MATCH(P$1,[3]enemies!$1:$1,0)-MATCH($L$1,[3]enemies!$1:$1,0)+1,FALSE)</f>
        <v>unknown</v>
      </c>
      <c r="Q58" s="20">
        <f ca="1">VLOOKUP($L58,OFFSET([3]enemies!$A$1,0,0,COUNTA([3]enemies!$A:$A),MATCH(Q$1,[3]enemies!$1:$1,0)-MATCH($L$1,[3]enemies!$1:$1,0)+1),MATCH(Q$1,[3]enemies!$1:$1,0)-MATCH($L$1,[3]enemies!$1:$1,0)+1,FALSE)</f>
        <v>20</v>
      </c>
      <c r="R58" s="6">
        <v>1</v>
      </c>
      <c r="S58" s="39">
        <v>1</v>
      </c>
      <c r="T58" s="39">
        <v>1</v>
      </c>
      <c r="U58" s="6">
        <v>0</v>
      </c>
      <c r="V58" s="5" t="str">
        <f ca="1">VLOOKUP($W58,OFFSET([5]enemy_skill_sets!$B$1,0,0,COUNTA([5]enemy_skill_sets!$B:$B),MATCH(M$1,[5]enemy_skill_sets!$1:$1,0)-MATCH($W$1,[5]enemy_skill_sets!$1:$1,0)+2),MATCH(M$1,[5]enemy_skill_sets!$1:$1,0)-MATCH($W$1,[5]enemy_skill_sets!$1:$1,0)+2,FALSE)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8" s="5">
        <f ca="1">VLOOKUP($L58,OFFSET([3]enemies!$A$1,0,0,COUNTA([3]enemies!$A:$A),MATCH(W$1,[3]enemies!$1:$1,0)-MATCH($L$1,[3]enemies!$1:$1,0)+1),MATCH(W$1,[3]enemies!$1:$1,0)-MATCH($L$1,[3]enemies!$1:$1,0)+1,FALSE)</f>
        <v>0</v>
      </c>
      <c r="X58" s="7">
        <v>0</v>
      </c>
      <c r="Y58" s="7">
        <v>20</v>
      </c>
      <c r="Z58" s="7">
        <v>1</v>
      </c>
      <c r="AA58" s="20">
        <f ca="1">VLOOKUP($L58,OFFSET([3]enemies!$A$1,0,0,COUNTA([3]enemies!$A:$A),MATCH(AA$1,[3]enemies!$1:$1,0)-MATCH($L$1,[3]enemies!$1:$1,0)+1),MATCH(AA$1,[3]enemies!$1:$1,0)-MATCH($L$1,[3]enemies!$1:$1,0)+1,FALSE)</f>
        <v>3</v>
      </c>
      <c r="AB58" s="24">
        <v>338</v>
      </c>
      <c r="AC58" s="5" t="str">
        <f ca="1">IFERROR(VLOOKUP($AB58,OFFSET([4]characters!$A$1,0,0,COUNTA([4]characters!$A:$A),MATCH(AC$1,[4]characters!$1:$1,0)-MATCH("character_id",[4]characters!$1:$1,0)+1),MATCH(AC$1,[4]characters!$1:$1,0)-MATCH("character_id",[4]characters!$1:$1,0)+1,FALSE),"")</f>
        <v>森のメタルダック</v>
      </c>
      <c r="AD58" s="5">
        <f ca="1">IFERROR(VLOOKUP($AB58,OFFSET([4]characters!$A$1,0,0,COUNTA([4]characters!$A:$A),MATCH(AD$1,[4]characters!$1:$1,0)-MATCH("character_id",[4]characters!$1:$1,0)+1),MATCH(AD$1,[4]characters!$1:$1,0)-MATCH("character_id",[4]characters!$1:$1,0)+1,FALSE),"")</f>
        <v>5</v>
      </c>
      <c r="AE58" s="5" t="str">
        <f ca="1">IFERROR(VLOOKUP($AB58,OFFSET([4]characters!$A$1,0,0,COUNTA([4]characters!$A:$A),MATCH(AE$1,[4]characters!$1:$1,0)-MATCH("character_id",[4]characters!$1:$1,0)+1),MATCH(AE$1,[4]characters!$1:$1,0)-MATCH("character_id",[4]characters!$1:$1,0)+1,FALSE),"")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8" s="8">
        <v>1</v>
      </c>
      <c r="AG58" s="27">
        <f t="shared" ca="1" si="3"/>
        <v>5</v>
      </c>
      <c r="AH58" s="9">
        <v>5</v>
      </c>
      <c r="AI58" s="8">
        <v>0</v>
      </c>
      <c r="AJ58" s="8">
        <v>0</v>
      </c>
      <c r="AK58" s="8">
        <v>0</v>
      </c>
      <c r="AL58" s="8">
        <v>0</v>
      </c>
      <c r="AM58" s="8">
        <v>1</v>
      </c>
      <c r="AN58" s="8">
        <v>1</v>
      </c>
    </row>
    <row r="59" spans="1:40" ht="21" customHeight="1" x14ac:dyDescent="0.15">
      <c r="A59" s="17" t="str">
        <f t="shared" ca="1" si="4"/>
        <v>11007_4-3/336&lt;lv1&gt;s1</v>
      </c>
      <c r="B59" s="8">
        <v>11007</v>
      </c>
      <c r="C59" s="25">
        <v>4</v>
      </c>
      <c r="D59" s="2" t="str">
        <f t="shared" si="1"/>
        <v>11007_4</v>
      </c>
      <c r="E59" s="5" t="str">
        <f ca="1">VLOOKUP($B59,OFFSET([2]quests!$A$1,0,0,COUNTA([2]quests!$A:$A),MATCH(E$1,[2]quests!$1:$1,0)-MATCH($B$1,[2]quests!$1:$1,0)+1),MATCH(E$1,[2]quests!$1:$1,0)-MATCH($B$1,[2]quests!$1:$1,0)+1,FALSE)</f>
        <v>【土曜限定】 赤と緑の素材</v>
      </c>
      <c r="F59" s="5" t="str">
        <f ca="1">VLOOKUP($D59,OFFSET([2]stages!$A$1,0,0,COUNTA([2]stages!$A:$A),MATCH(F$1,[2]stages!$2:$2,0)-MATCH($D$1,[2]stages!$2:$2,0)+1),MATCH(F$1,[2]stages!$2:$2,0)-MATCH($D$1,[2]stages!$2:$2,0)+1,FALSE)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59" s="25">
        <v>3</v>
      </c>
      <c r="H59" s="16" t="str">
        <f t="shared" si="2"/>
        <v>11007_4-3</v>
      </c>
      <c r="I59" s="5">
        <f ca="1">VLOOKUP($H59,OFFSET(floors!$A$1,0,0,COUNTA(floors!$A:$A),MATCH(I$1,floors!$1:$1,0)-MATCH($H$1,floors!$1:$1,0)+1),MATCH(I$1,floors!$1:$1,0)-MATCH($H$1,floors!$1:$1,0)+1,FALSE)</f>
        <v>50</v>
      </c>
      <c r="J59" s="5">
        <f ca="1">VLOOKUP($H59,OFFSET(floors!$A$1,0,0,COUNTA(floors!$A:$A),MATCH(J$1,floors!$1:$1,0)-MATCH($H$1,floors!$1:$1,0)+1),MATCH(J$1,floors!$1:$1,0)-MATCH($H$1,floors!$1:$1,0)+1,FALSE)</f>
        <v>60</v>
      </c>
      <c r="K59" s="24" t="s">
        <v>197</v>
      </c>
      <c r="L59" s="24">
        <v>336</v>
      </c>
      <c r="M59" s="20" t="str">
        <f ca="1">VLOOKUP($L59,OFFSET([3]enemies!$A$1,0,0,COUNTA([3]enemies!$A:$A),MATCH(M$1,[3]enemies!$1:$1,0)-MATCH($L$1,[3]enemies!$1:$1,0)+1),MATCH(M$1,[3]enemies!$1:$1,0)-MATCH($L$1,[3]enemies!$1:$1,0)+1,FALSE)</f>
        <v>森のメタルピヨピヨ</v>
      </c>
      <c r="N59" s="20" t="str">
        <f ca="1">VLOOKUP($L59,OFFSET([3]enemies!$A$1,0,0,COUNTA([3]enemies!$A:$A),MATCH(N$1,[3]enemies!$1:$1,0)-MATCH($L$1,[3]enemies!$1:$1,0)+1),MATCH(N$1,[3]enemies!$1:$1,0)-MATCH($L$1,[3]enemies!$1:$1,0)+1,FALSE)</f>
        <v>green</v>
      </c>
      <c r="O59" s="22" t="str">
        <f ca="1">VLOOKUP($L59,OFFSET([4]characters!$A$1,0,0,COUNTA([4]characters!$A:$A),MATCH(O$1,[4]characters!$1:$1,0)-MATCH($L$1,[4]characters!$1:$1,0)+1),MATCH(O$1,[4]characters!$1:$1,0)-MATCH($L$1,[4]characters!$1:$1,0)+1,FALSE)</f>
        <v>Material</v>
      </c>
      <c r="P59" s="20" t="str">
        <f ca="1">VLOOKUP($L59,OFFSET([3]enemies!$A$1,0,0,COUNTA([3]enemies!$A:$A),MATCH(P$1,[3]enemies!$1:$1,0)-MATCH($L$1,[3]enemies!$1:$1,0)+1),MATCH(P$1,[3]enemies!$1:$1,0)-MATCH($L$1,[3]enemies!$1:$1,0)+1,FALSE)</f>
        <v>unknown</v>
      </c>
      <c r="Q59" s="20">
        <f ca="1">VLOOKUP($L59,OFFSET([3]enemies!$A$1,0,0,COUNTA([3]enemies!$A:$A),MATCH(Q$1,[3]enemies!$1:$1,0)-MATCH($L$1,[3]enemies!$1:$1,0)+1),MATCH(Q$1,[3]enemies!$1:$1,0)-MATCH($L$1,[3]enemies!$1:$1,0)+1,FALSE)</f>
        <v>15</v>
      </c>
      <c r="R59" s="6">
        <v>1</v>
      </c>
      <c r="S59" s="39">
        <v>1</v>
      </c>
      <c r="T59" s="39">
        <v>1</v>
      </c>
      <c r="U59" s="6">
        <v>0</v>
      </c>
      <c r="V59" s="5" t="str">
        <f ca="1">VLOOKUP($W59,OFFSET([5]enemy_skill_sets!$B$1,0,0,COUNTA([5]enemy_skill_sets!$B:$B),MATCH(M$1,[5]enemy_skill_sets!$1:$1,0)-MATCH($W$1,[5]enemy_skill_sets!$1:$1,0)+2),MATCH(M$1,[5]enemy_skill_sets!$1:$1,0)-MATCH($W$1,[5]enemy_skill_sets!$1:$1,0)+2,FALSE)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59" s="5">
        <f ca="1">VLOOKUP($L59,OFFSET([3]enemies!$A$1,0,0,COUNTA([3]enemies!$A:$A),MATCH(W$1,[3]enemies!$1:$1,0)-MATCH($L$1,[3]enemies!$1:$1,0)+1),MATCH(W$1,[3]enemies!$1:$1,0)-MATCH($L$1,[3]enemies!$1:$1,0)+1,FALSE)</f>
        <v>0</v>
      </c>
      <c r="X59" s="7">
        <v>0</v>
      </c>
      <c r="Y59" s="7">
        <v>50</v>
      </c>
      <c r="Z59" s="7">
        <v>2</v>
      </c>
      <c r="AA59" s="20">
        <f ca="1">VLOOKUP($L59,OFFSET([3]enemies!$A$1,0,0,COUNTA([3]enemies!$A:$A),MATCH(AA$1,[3]enemies!$1:$1,0)-MATCH($L$1,[3]enemies!$1:$1,0)+1),MATCH(AA$1,[3]enemies!$1:$1,0)-MATCH($L$1,[3]enemies!$1:$1,0)+1,FALSE)</f>
        <v>1</v>
      </c>
      <c r="AB59" s="24">
        <v>336</v>
      </c>
      <c r="AC59" s="5" t="str">
        <f ca="1">IFERROR(VLOOKUP($AB59,OFFSET([4]characters!$A$1,0,0,COUNTA([4]characters!$A:$A),MATCH(AC$1,[4]characters!$1:$1,0)-MATCH("character_id",[4]characters!$1:$1,0)+1),MATCH(AC$1,[4]characters!$1:$1,0)-MATCH("character_id",[4]characters!$1:$1,0)+1,FALSE),"")</f>
        <v>森のメタルピヨピヨ</v>
      </c>
      <c r="AD59" s="5">
        <f ca="1">IFERROR(VLOOKUP($AB59,OFFSET([4]characters!$A$1,0,0,COUNTA([4]characters!$A:$A),MATCH(AD$1,[4]characters!$1:$1,0)-MATCH("character_id",[4]characters!$1:$1,0)+1),MATCH(AD$1,[4]characters!$1:$1,0)-MATCH("character_id",[4]characters!$1:$1,0)+1,FALSE),"")</f>
        <v>3</v>
      </c>
      <c r="AE59" s="5" t="str">
        <f ca="1">IFERROR(VLOOKUP($AB59,OFFSET([4]characters!$A$1,0,0,COUNTA([4]characters!$A:$A),MATCH(AE$1,[4]characters!$1:$1,0)-MATCH("character_id",[4]characters!$1:$1,0)+1),MATCH(AE$1,[4]characters!$1:$1,0)-MATCH("character_id",[4]characters!$1:$1,0)+1,FALSE),"")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59" s="8">
        <v>1</v>
      </c>
      <c r="AG59" s="27">
        <f t="shared" ca="1" si="3"/>
        <v>3</v>
      </c>
      <c r="AH59" s="9">
        <v>20</v>
      </c>
      <c r="AI59" s="8">
        <v>0</v>
      </c>
      <c r="AJ59" s="8">
        <v>0</v>
      </c>
      <c r="AK59" s="8">
        <v>0</v>
      </c>
      <c r="AL59" s="8">
        <v>0</v>
      </c>
      <c r="AM59" s="8">
        <v>1</v>
      </c>
      <c r="AN59" s="8">
        <v>1</v>
      </c>
    </row>
    <row r="60" spans="1:40" ht="21" customHeight="1" x14ac:dyDescent="0.15">
      <c r="A60" s="17" t="str">
        <f t="shared" ca="1" si="4"/>
        <v>11007_4-3/337&lt;lv1&gt;s2</v>
      </c>
      <c r="B60" s="8">
        <v>11007</v>
      </c>
      <c r="C60" s="25">
        <v>4</v>
      </c>
      <c r="D60" s="2" t="str">
        <f t="shared" si="1"/>
        <v>11007_4</v>
      </c>
      <c r="E60" s="5" t="str">
        <f ca="1">VLOOKUP($B60,OFFSET([2]quests!$A$1,0,0,COUNTA([2]quests!$A:$A),MATCH(E$1,[2]quests!$1:$1,0)-MATCH($B$1,[2]quests!$1:$1,0)+1),MATCH(E$1,[2]quests!$1:$1,0)-MATCH($B$1,[2]quests!$1:$1,0)+1,FALSE)</f>
        <v>【土曜限定】 赤と緑の素材</v>
      </c>
      <c r="F60" s="5" t="str">
        <f ca="1">VLOOKUP($D60,OFFSET([2]stages!$A$1,0,0,COUNTA([2]stages!$A:$A),MATCH(F$1,[2]stages!$2:$2,0)-MATCH($D$1,[2]stages!$2:$2,0)+1),MATCH(F$1,[2]stages!$2:$2,0)-MATCH($D$1,[2]stages!$2:$2,0)+1,FALSE)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60" s="25">
        <v>3</v>
      </c>
      <c r="H60" s="16" t="str">
        <f t="shared" si="2"/>
        <v>11007_4-3</v>
      </c>
      <c r="I60" s="5">
        <f ca="1">VLOOKUP($H60,OFFSET(floors!$A$1,0,0,COUNTA(floors!$A:$A),MATCH(I$1,floors!$1:$1,0)-MATCH($H$1,floors!$1:$1,0)+1),MATCH(I$1,floors!$1:$1,0)-MATCH($H$1,floors!$1:$1,0)+1,FALSE)</f>
        <v>50</v>
      </c>
      <c r="J60" s="5">
        <f ca="1">VLOOKUP($H60,OFFSET(floors!$A$1,0,0,COUNTA(floors!$A:$A),MATCH(J$1,floors!$1:$1,0)-MATCH($H$1,floors!$1:$1,0)+1),MATCH(J$1,floors!$1:$1,0)-MATCH($H$1,floors!$1:$1,0)+1,FALSE)</f>
        <v>60</v>
      </c>
      <c r="K60" s="24" t="s">
        <v>197</v>
      </c>
      <c r="L60" s="24">
        <v>337</v>
      </c>
      <c r="M60" s="20" t="str">
        <f ca="1">VLOOKUP($L60,OFFSET([3]enemies!$A$1,0,0,COUNTA([3]enemies!$A:$A),MATCH(M$1,[3]enemies!$1:$1,0)-MATCH($L$1,[3]enemies!$1:$1,0)+1),MATCH(M$1,[3]enemies!$1:$1,0)-MATCH($L$1,[3]enemies!$1:$1,0)+1,FALSE)</f>
        <v>森のメタルチック</v>
      </c>
      <c r="N60" s="20" t="str">
        <f ca="1">VLOOKUP($L60,OFFSET([3]enemies!$A$1,0,0,COUNTA([3]enemies!$A:$A),MATCH(N$1,[3]enemies!$1:$1,0)-MATCH($L$1,[3]enemies!$1:$1,0)+1),MATCH(N$1,[3]enemies!$1:$1,0)-MATCH($L$1,[3]enemies!$1:$1,0)+1,FALSE)</f>
        <v>green</v>
      </c>
      <c r="O60" s="22" t="str">
        <f ca="1">VLOOKUP($L60,OFFSET([4]characters!$A$1,0,0,COUNTA([4]characters!$A:$A),MATCH(O$1,[4]characters!$1:$1,0)-MATCH($L$1,[4]characters!$1:$1,0)+1),MATCH(O$1,[4]characters!$1:$1,0)-MATCH($L$1,[4]characters!$1:$1,0)+1,FALSE)</f>
        <v>Material</v>
      </c>
      <c r="P60" s="20" t="str">
        <f ca="1">VLOOKUP($L60,OFFSET([3]enemies!$A$1,0,0,COUNTA([3]enemies!$A:$A),MATCH(P$1,[3]enemies!$1:$1,0)-MATCH($L$1,[3]enemies!$1:$1,0)+1),MATCH(P$1,[3]enemies!$1:$1,0)-MATCH($L$1,[3]enemies!$1:$1,0)+1,FALSE)</f>
        <v>unknown</v>
      </c>
      <c r="Q60" s="20">
        <f ca="1">VLOOKUP($L60,OFFSET([3]enemies!$A$1,0,0,COUNTA([3]enemies!$A:$A),MATCH(Q$1,[3]enemies!$1:$1,0)-MATCH($L$1,[3]enemies!$1:$1,0)+1),MATCH(Q$1,[3]enemies!$1:$1,0)-MATCH($L$1,[3]enemies!$1:$1,0)+1,FALSE)</f>
        <v>15</v>
      </c>
      <c r="R60" s="6">
        <v>1</v>
      </c>
      <c r="S60" s="39">
        <v>1</v>
      </c>
      <c r="T60" s="39">
        <v>1</v>
      </c>
      <c r="U60" s="6">
        <v>0</v>
      </c>
      <c r="V60" s="5" t="str">
        <f ca="1">VLOOKUP($W60,OFFSET([5]enemy_skill_sets!$B$1,0,0,COUNTA([5]enemy_skill_sets!$B:$B),MATCH(M$1,[5]enemy_skill_sets!$1:$1,0)-MATCH($W$1,[5]enemy_skill_sets!$1:$1,0)+2),MATCH(M$1,[5]enemy_skill_sets!$1:$1,0)-MATCH($W$1,[5]enemy_skill_sets!$1:$1,0)+2,FALSE)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0" s="5">
        <f ca="1">VLOOKUP($L60,OFFSET([3]enemies!$A$1,0,0,COUNTA([3]enemies!$A:$A),MATCH(W$1,[3]enemies!$1:$1,0)-MATCH($L$1,[3]enemies!$1:$1,0)+1),MATCH(W$1,[3]enemies!$1:$1,0)-MATCH($L$1,[3]enemies!$1:$1,0)+1,FALSE)</f>
        <v>0</v>
      </c>
      <c r="X60" s="7">
        <v>0</v>
      </c>
      <c r="Y60" s="7">
        <v>100</v>
      </c>
      <c r="Z60" s="7">
        <v>0</v>
      </c>
      <c r="AA60" s="20">
        <f ca="1">VLOOKUP($L60,OFFSET([3]enemies!$A$1,0,0,COUNTA([3]enemies!$A:$A),MATCH(AA$1,[3]enemies!$1:$1,0)-MATCH($L$1,[3]enemies!$1:$1,0)+1),MATCH(AA$1,[3]enemies!$1:$1,0)-MATCH($L$1,[3]enemies!$1:$1,0)+1,FALSE)</f>
        <v>2</v>
      </c>
      <c r="AB60" s="24">
        <v>337</v>
      </c>
      <c r="AC60" s="5" t="str">
        <f ca="1">IFERROR(VLOOKUP($AB60,OFFSET([4]characters!$A$1,0,0,COUNTA([4]characters!$A:$A),MATCH(AC$1,[4]characters!$1:$1,0)-MATCH("character_id",[4]characters!$1:$1,0)+1),MATCH(AC$1,[4]characters!$1:$1,0)-MATCH("character_id",[4]characters!$1:$1,0)+1,FALSE),"")</f>
        <v>森のメタルチック</v>
      </c>
      <c r="AD60" s="5">
        <f ca="1">IFERROR(VLOOKUP($AB60,OFFSET([4]characters!$A$1,0,0,COUNTA([4]characters!$A:$A),MATCH(AD$1,[4]characters!$1:$1,0)-MATCH("character_id",[4]characters!$1:$1,0)+1),MATCH(AD$1,[4]characters!$1:$1,0)-MATCH("character_id",[4]characters!$1:$1,0)+1,FALSE),"")</f>
        <v>4</v>
      </c>
      <c r="AE60" s="5" t="str">
        <f ca="1">IFERROR(VLOOKUP($AB60,OFFSET([4]characters!$A$1,0,0,COUNTA([4]characters!$A:$A),MATCH(AE$1,[4]characters!$1:$1,0)-MATCH("character_id",[4]characters!$1:$1,0)+1),MATCH(AE$1,[4]characters!$1:$1,0)-MATCH("character_id",[4]characters!$1:$1,0)+1,FALSE),"")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0" s="8">
        <v>1</v>
      </c>
      <c r="AG60" s="27">
        <f t="shared" ca="1" si="3"/>
        <v>4</v>
      </c>
      <c r="AH60" s="9">
        <v>10</v>
      </c>
      <c r="AI60" s="8">
        <v>0</v>
      </c>
      <c r="AJ60" s="8">
        <v>0</v>
      </c>
      <c r="AK60" s="8">
        <v>0</v>
      </c>
      <c r="AL60" s="8">
        <v>0</v>
      </c>
      <c r="AM60" s="8">
        <v>1</v>
      </c>
      <c r="AN60" s="8">
        <v>1</v>
      </c>
    </row>
    <row r="61" spans="1:40" ht="21" customHeight="1" x14ac:dyDescent="0.15">
      <c r="A61" s="17" t="str">
        <f t="shared" ca="1" si="4"/>
        <v>11007_4-4/35&lt;lv40&gt;s4</v>
      </c>
      <c r="B61" s="8">
        <v>11007</v>
      </c>
      <c r="C61" s="25">
        <v>4</v>
      </c>
      <c r="D61" s="2" t="str">
        <f t="shared" si="1"/>
        <v>11007_4</v>
      </c>
      <c r="E61" s="5" t="str">
        <f ca="1">VLOOKUP($B61,OFFSET([2]quests!$A$1,0,0,COUNTA([2]quests!$A:$A),MATCH(E$1,[2]quests!$1:$1,0)-MATCH($B$1,[2]quests!$1:$1,0)+1),MATCH(E$1,[2]quests!$1:$1,0)-MATCH($B$1,[2]quests!$1:$1,0)+1,FALSE)</f>
        <v>【土曜限定】 赤と緑の素材</v>
      </c>
      <c r="F61" s="5" t="str">
        <f ca="1">VLOOKUP($D61,OFFSET([2]stages!$A$1,0,0,COUNTA([2]stages!$A:$A),MATCH(F$1,[2]stages!$2:$2,0)-MATCH($D$1,[2]stages!$2:$2,0)+1),MATCH(F$1,[2]stages!$2:$2,0)-MATCH($D$1,[2]stages!$2:$2,0)+1,FALSE)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61" s="25">
        <v>4</v>
      </c>
      <c r="H61" s="16" t="str">
        <f t="shared" si="2"/>
        <v>11007_4-4</v>
      </c>
      <c r="I61" s="5">
        <f ca="1">VLOOKUP($H61,OFFSET(floors!$A$1,0,0,COUNTA(floors!$A:$A),MATCH(I$1,floors!$1:$1,0)-MATCH($H$1,floors!$1:$1,0)+1),MATCH(I$1,floors!$1:$1,0)-MATCH($H$1,floors!$1:$1,0)+1,FALSE)</f>
        <v>45</v>
      </c>
      <c r="J61" s="5">
        <f ca="1">VLOOKUP($H61,OFFSET(floors!$A$1,0,0,COUNTA(floors!$A:$A),MATCH(J$1,floors!$1:$1,0)-MATCH($H$1,floors!$1:$1,0)+1),MATCH(J$1,floors!$1:$1,0)-MATCH($H$1,floors!$1:$1,0)+1,FALSE)</f>
        <v>60</v>
      </c>
      <c r="K61" s="24" t="s">
        <v>197</v>
      </c>
      <c r="L61" s="24">
        <v>35</v>
      </c>
      <c r="M61" s="20" t="str">
        <f ca="1">VLOOKUP($L61,OFFSET([3]enemies!$A$1,0,0,COUNTA([3]enemies!$A:$A),MATCH(M$1,[3]enemies!$1:$1,0)-MATCH($L$1,[3]enemies!$1:$1,0)+1),MATCH(M$1,[3]enemies!$1:$1,0)-MATCH($L$1,[3]enemies!$1:$1,0)+1,FALSE)</f>
        <v>F2</v>
      </c>
      <c r="N61" s="20" t="str">
        <f ca="1">VLOOKUP($L61,OFFSET([3]enemies!$A$1,0,0,COUNTA([3]enemies!$A:$A),MATCH(N$1,[3]enemies!$1:$1,0)-MATCH($L$1,[3]enemies!$1:$1,0)+1),MATCH(N$1,[3]enemies!$1:$1,0)-MATCH($L$1,[3]enemies!$1:$1,0)+1,FALSE)</f>
        <v>green</v>
      </c>
      <c r="O61" s="22" t="str">
        <f ca="1">VLOOKUP($L61,OFFSET([4]characters!$A$1,0,0,COUNTA([4]characters!$A:$A),MATCH(O$1,[4]characters!$1:$1,0)-MATCH($L$1,[4]characters!$1:$1,0)+1),MATCH(O$1,[4]characters!$1:$1,0)-MATCH($L$1,[4]characters!$1:$1,0)+1,FALSE)</f>
        <v>Drop1S</v>
      </c>
      <c r="P61" s="20" t="str">
        <f ca="1">VLOOKUP($L61,OFFSET([3]enemies!$A$1,0,0,COUNTA([3]enemies!$A:$A),MATCH(P$1,[3]enemies!$1:$1,0)-MATCH($L$1,[3]enemies!$1:$1,0)+1),MATCH(P$1,[3]enemies!$1:$1,0)-MATCH($L$1,[3]enemies!$1:$1,0)+1,FALSE)</f>
        <v>machine</v>
      </c>
      <c r="Q61" s="20">
        <f ca="1">VLOOKUP($L61,OFFSET([3]enemies!$A$1,0,0,COUNTA([3]enemies!$A:$A),MATCH(Q$1,[3]enemies!$1:$1,0)-MATCH($L$1,[3]enemies!$1:$1,0)+1),MATCH(Q$1,[3]enemies!$1:$1,0)-MATCH($L$1,[3]enemies!$1:$1,0)+1,FALSE)</f>
        <v>15</v>
      </c>
      <c r="R61" s="6">
        <v>40</v>
      </c>
      <c r="S61" s="39">
        <v>1.3</v>
      </c>
      <c r="T61" s="39">
        <v>0.8</v>
      </c>
      <c r="U61" s="6">
        <v>0</v>
      </c>
      <c r="V61" s="5" t="str">
        <f ca="1">VLOOKUP($W61,OFFSET([5]enemy_skill_sets!$B$1,0,0,COUNTA([5]enemy_skill_sets!$B:$B),MATCH(M$1,[5]enemy_skill_sets!$1:$1,0)-MATCH($W$1,[5]enemy_skill_sets!$1:$1,0)+2),MATCH(M$1,[5]enemy_skill_sets!$1:$1,0)-MATCH($W$1,[5]enemy_skill_sets!$1:$1,0)+2,FALSE)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61" s="5">
        <f ca="1">VLOOKUP($L61,OFFSET([3]enemies!$A$1,0,0,COUNTA([3]enemies!$A:$A),MATCH(W$1,[3]enemies!$1:$1,0)-MATCH($L$1,[3]enemies!$1:$1,0)+1),MATCH(W$1,[3]enemies!$1:$1,0)-MATCH($L$1,[3]enemies!$1:$1,0)+1,FALSE)</f>
        <v>35</v>
      </c>
      <c r="X61" s="7">
        <v>0</v>
      </c>
      <c r="Y61" s="7">
        <v>100</v>
      </c>
      <c r="Z61" s="7">
        <v>0</v>
      </c>
      <c r="AA61" s="20">
        <f ca="1">VLOOKUP($L61,OFFSET([3]enemies!$A$1,0,0,COUNTA([3]enemies!$A:$A),MATCH(AA$1,[3]enemies!$1:$1,0)-MATCH($L$1,[3]enemies!$1:$1,0)+1),MATCH(AA$1,[3]enemies!$1:$1,0)-MATCH($L$1,[3]enemies!$1:$1,0)+1,FALSE)</f>
        <v>4</v>
      </c>
      <c r="AB61" s="24">
        <v>35</v>
      </c>
      <c r="AC61" s="5" t="str">
        <f ca="1">IFERROR(VLOOKUP($AB61,OFFSET([4]characters!$A$1,0,0,COUNTA([4]characters!$A:$A),MATCH(AC$1,[4]characters!$1:$1,0)-MATCH("character_id",[4]characters!$1:$1,0)+1),MATCH(AC$1,[4]characters!$1:$1,0)-MATCH("character_id",[4]characters!$1:$1,0)+1,FALSE),"")</f>
        <v>F2</v>
      </c>
      <c r="AD61" s="5">
        <f ca="1">IFERROR(VLOOKUP($AB61,OFFSET([4]characters!$A$1,0,0,COUNTA([4]characters!$A:$A),MATCH(AD$1,[4]characters!$1:$1,0)-MATCH("character_id",[4]characters!$1:$1,0)+1),MATCH(AD$1,[4]characters!$1:$1,0)-MATCH("character_id",[4]characters!$1:$1,0)+1,FALSE),"")</f>
        <v>2</v>
      </c>
      <c r="AE61" s="5" t="str">
        <f ca="1">IFERROR(VLOOKUP($AB61,OFFSET([4]characters!$A$1,0,0,COUNTA([4]characters!$A:$A),MATCH(AE$1,[4]characters!$1:$1,0)-MATCH("character_id",[4]characters!$1:$1,0)+1),MATCH(AE$1,[4]characters!$1:$1,0)-MATCH("character_id",[4]characters!$1:$1,0)+1,FALSE),"")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61" s="8">
        <v>1</v>
      </c>
      <c r="AG61" s="27">
        <f t="shared" ca="1" si="3"/>
        <v>2</v>
      </c>
      <c r="AH61" s="9">
        <v>0</v>
      </c>
      <c r="AI61" s="8">
        <v>0</v>
      </c>
      <c r="AJ61" s="8">
        <v>0</v>
      </c>
      <c r="AK61" s="8">
        <v>0</v>
      </c>
      <c r="AL61" s="8">
        <v>0</v>
      </c>
      <c r="AM61" s="8">
        <v>1</v>
      </c>
      <c r="AN61" s="8">
        <v>1</v>
      </c>
    </row>
    <row r="62" spans="1:40" ht="21" customHeight="1" x14ac:dyDescent="0.15">
      <c r="A62" s="17" t="str">
        <f t="shared" ca="1" si="4"/>
        <v>11007_4-4/27&lt;lv42&gt;s1</v>
      </c>
      <c r="B62" s="8">
        <v>11007</v>
      </c>
      <c r="C62" s="25">
        <v>4</v>
      </c>
      <c r="D62" s="2" t="str">
        <f t="shared" si="1"/>
        <v>11007_4</v>
      </c>
      <c r="E62" s="5" t="str">
        <f ca="1">VLOOKUP($B62,OFFSET([2]quests!$A$1,0,0,COUNTA([2]quests!$A:$A),MATCH(E$1,[2]quests!$1:$1,0)-MATCH($B$1,[2]quests!$1:$1,0)+1),MATCH(E$1,[2]quests!$1:$1,0)-MATCH($B$1,[2]quests!$1:$1,0)+1,FALSE)</f>
        <v>【土曜限定】 赤と緑の素材</v>
      </c>
      <c r="F62" s="5" t="str">
        <f ca="1">VLOOKUP($D62,OFFSET([2]stages!$A$1,0,0,COUNTA([2]stages!$A:$A),MATCH(F$1,[2]stages!$2:$2,0)-MATCH($D$1,[2]stages!$2:$2,0)+1),MATCH(F$1,[2]stages!$2:$2,0)-MATCH($D$1,[2]stages!$2:$2,0)+1,FALSE)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62" s="25">
        <v>4</v>
      </c>
      <c r="H62" s="16" t="str">
        <f t="shared" si="2"/>
        <v>11007_4-4</v>
      </c>
      <c r="I62" s="5">
        <f ca="1">VLOOKUP($H62,OFFSET(floors!$A$1,0,0,COUNTA(floors!$A:$A),MATCH(I$1,floors!$1:$1,0)-MATCH($H$1,floors!$1:$1,0)+1),MATCH(I$1,floors!$1:$1,0)-MATCH($H$1,floors!$1:$1,0)+1,FALSE)</f>
        <v>45</v>
      </c>
      <c r="J62" s="5">
        <f ca="1">VLOOKUP($H62,OFFSET(floors!$A$1,0,0,COUNTA(floors!$A:$A),MATCH(J$1,floors!$1:$1,0)-MATCH($H$1,floors!$1:$1,0)+1),MATCH(J$1,floors!$1:$1,0)-MATCH($H$1,floors!$1:$1,0)+1,FALSE)</f>
        <v>60</v>
      </c>
      <c r="K62" s="24" t="s">
        <v>197</v>
      </c>
      <c r="L62" s="24">
        <v>27</v>
      </c>
      <c r="M62" s="20" t="str">
        <f ca="1">VLOOKUP($L62,OFFSET([3]enemies!$A$1,0,0,COUNTA([3]enemies!$A:$A),MATCH(M$1,[3]enemies!$1:$1,0)-MATCH($L$1,[3]enemies!$1:$1,0)+1),MATCH(M$1,[3]enemies!$1:$1,0)-MATCH($L$1,[3]enemies!$1:$1,0)+1,FALSE)</f>
        <v>パトライン</v>
      </c>
      <c r="N62" s="20" t="str">
        <f ca="1">VLOOKUP($L62,OFFSET([3]enemies!$A$1,0,0,COUNTA([3]enemies!$A:$A),MATCH(N$1,[3]enemies!$1:$1,0)-MATCH($L$1,[3]enemies!$1:$1,0)+1),MATCH(N$1,[3]enemies!$1:$1,0)-MATCH($L$1,[3]enemies!$1:$1,0)+1,FALSE)</f>
        <v>green</v>
      </c>
      <c r="O62" s="22" t="str">
        <f ca="1">VLOOKUP($L62,OFFSET([4]characters!$A$1,0,0,COUNTA([4]characters!$A:$A),MATCH(O$1,[4]characters!$1:$1,0)-MATCH($L$1,[4]characters!$1:$1,0)+1),MATCH(O$1,[4]characters!$1:$1,0)-MATCH($L$1,[4]characters!$1:$1,0)+1,FALSE)</f>
        <v>Drop1N</v>
      </c>
      <c r="P62" s="20" t="str">
        <f ca="1">VLOOKUP($L62,OFFSET([3]enemies!$A$1,0,0,COUNTA([3]enemies!$A:$A),MATCH(P$1,[3]enemies!$1:$1,0)-MATCH($L$1,[3]enemies!$1:$1,0)+1),MATCH(P$1,[3]enemies!$1:$1,0)-MATCH($L$1,[3]enemies!$1:$1,0)+1,FALSE)</f>
        <v>machine</v>
      </c>
      <c r="Q62" s="20">
        <f ca="1">VLOOKUP($L62,OFFSET([3]enemies!$A$1,0,0,COUNTA([3]enemies!$A:$A),MATCH(Q$1,[3]enemies!$1:$1,0)-MATCH($L$1,[3]enemies!$1:$1,0)+1),MATCH(Q$1,[3]enemies!$1:$1,0)-MATCH($L$1,[3]enemies!$1:$1,0)+1,FALSE)</f>
        <v>15</v>
      </c>
      <c r="R62" s="6">
        <v>42</v>
      </c>
      <c r="S62" s="39">
        <v>1.2</v>
      </c>
      <c r="T62" s="39">
        <v>1</v>
      </c>
      <c r="U62" s="6">
        <v>0</v>
      </c>
      <c r="V62" s="5" t="str">
        <f ca="1">VLOOKUP($W62,OFFSET([5]enemy_skill_sets!$B$1,0,0,COUNTA([5]enemy_skill_sets!$B:$B),MATCH(M$1,[5]enemy_skill_sets!$1:$1,0)-MATCH($W$1,[5]enemy_skill_sets!$1:$1,0)+2),MATCH(M$1,[5]enemy_skill_sets!$1:$1,0)-MATCH($W$1,[5]enemy_skill_sets!$1:$1,0)+2,FALSE)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2" s="5">
        <f ca="1">VLOOKUP($L62,OFFSET([3]enemies!$A$1,0,0,COUNTA([3]enemies!$A:$A),MATCH(W$1,[3]enemies!$1:$1,0)-MATCH($L$1,[3]enemies!$1:$1,0)+1),MATCH(W$1,[3]enemies!$1:$1,0)-MATCH($L$1,[3]enemies!$1:$1,0)+1,FALSE)</f>
        <v>0</v>
      </c>
      <c r="X62" s="7">
        <v>0</v>
      </c>
      <c r="Y62" s="7">
        <v>100</v>
      </c>
      <c r="Z62" s="7">
        <v>0</v>
      </c>
      <c r="AA62" s="20">
        <f ca="1">VLOOKUP($L62,OFFSET([3]enemies!$A$1,0,0,COUNTA([3]enemies!$A:$A),MATCH(AA$1,[3]enemies!$1:$1,0)-MATCH($L$1,[3]enemies!$1:$1,0)+1),MATCH(AA$1,[3]enemies!$1:$1,0)-MATCH($L$1,[3]enemies!$1:$1,0)+1,FALSE)</f>
        <v>1</v>
      </c>
      <c r="AB62" s="24">
        <v>27</v>
      </c>
      <c r="AC62" s="5" t="str">
        <f ca="1">IFERROR(VLOOKUP($AB62,OFFSET([4]characters!$A$1,0,0,COUNTA([4]characters!$A:$A),MATCH(AC$1,[4]characters!$1:$1,0)-MATCH("character_id",[4]characters!$1:$1,0)+1),MATCH(AC$1,[4]characters!$1:$1,0)-MATCH("character_id",[4]characters!$1:$1,0)+1,FALSE),"")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62" s="5">
        <f ca="1">IFERROR(VLOOKUP($AB62,OFFSET([4]characters!$A$1,0,0,COUNTA([4]characters!$A:$A),MATCH(AD$1,[4]characters!$1:$1,0)-MATCH("character_id",[4]characters!$1:$1,0)+1),MATCH(AD$1,[4]characters!$1:$1,0)-MATCH("character_id",[4]characters!$1:$1,0)+1,FALSE),"")</f>
        <v>1</v>
      </c>
      <c r="AE62" s="5" t="str">
        <f ca="1">IFERROR(VLOOKUP($AB62,OFFSET([4]characters!$A$1,0,0,COUNTA([4]characters!$A:$A),MATCH(AE$1,[4]characters!$1:$1,0)-MATCH("character_id",[4]characters!$1:$1,0)+1),MATCH(AE$1,[4]characters!$1:$1,0)-MATCH("character_id",[4]characters!$1:$1,0)+1,FALSE),"")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2" s="8">
        <v>1</v>
      </c>
      <c r="AG62" s="27">
        <f t="shared" ca="1" si="3"/>
        <v>1</v>
      </c>
      <c r="AH62" s="9">
        <v>0</v>
      </c>
      <c r="AI62" s="8">
        <v>0</v>
      </c>
      <c r="AJ62" s="8">
        <v>0</v>
      </c>
      <c r="AK62" s="8">
        <v>0</v>
      </c>
      <c r="AL62" s="8">
        <v>0</v>
      </c>
      <c r="AM62" s="8">
        <v>1</v>
      </c>
      <c r="AN62" s="8">
        <v>1</v>
      </c>
    </row>
    <row r="63" spans="1:40" ht="21" customHeight="1" x14ac:dyDescent="0.15">
      <c r="A63" s="17" t="str">
        <f t="shared" ca="1" si="4"/>
        <v>11007_4-5/35&lt;lv40&gt;s4</v>
      </c>
      <c r="B63" s="8">
        <v>11007</v>
      </c>
      <c r="C63" s="25">
        <v>4</v>
      </c>
      <c r="D63" s="2" t="str">
        <f t="shared" si="1"/>
        <v>11007_4</v>
      </c>
      <c r="E63" s="5" t="str">
        <f ca="1">VLOOKUP($B63,OFFSET([2]quests!$A$1,0,0,COUNTA([2]quests!$A:$A),MATCH(E$1,[2]quests!$1:$1,0)-MATCH($B$1,[2]quests!$1:$1,0)+1),MATCH(E$1,[2]quests!$1:$1,0)-MATCH($B$1,[2]quests!$1:$1,0)+1,FALSE)</f>
        <v>【土曜限定】 赤と緑の素材</v>
      </c>
      <c r="F63" s="5" t="str">
        <f ca="1">VLOOKUP($D63,OFFSET([2]stages!$A$1,0,0,COUNTA([2]stages!$A:$A),MATCH(F$1,[2]stages!$2:$2,0)-MATCH($D$1,[2]stages!$2:$2,0)+1),MATCH(F$1,[2]stages!$2:$2,0)-MATCH($D$1,[2]stages!$2:$2,0)+1,FALSE)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63" s="25">
        <v>5</v>
      </c>
      <c r="H63" s="16" t="str">
        <f t="shared" si="2"/>
        <v>11007_4-5</v>
      </c>
      <c r="I63" s="5">
        <f ca="1">VLOOKUP($H63,OFFSET(floors!$A$1,0,0,COUNTA(floors!$A:$A),MATCH(I$1,floors!$1:$1,0)-MATCH($H$1,floors!$1:$1,0)+1),MATCH(I$1,floors!$1:$1,0)-MATCH($H$1,floors!$1:$1,0)+1,FALSE)</f>
        <v>60</v>
      </c>
      <c r="J63" s="5">
        <f ca="1">VLOOKUP($H63,OFFSET(floors!$A$1,0,0,COUNTA(floors!$A:$A),MATCH(J$1,floors!$1:$1,0)-MATCH($H$1,floors!$1:$1,0)+1),MATCH(J$1,floors!$1:$1,0)-MATCH($H$1,floors!$1:$1,0)+1,FALSE)</f>
        <v>60</v>
      </c>
      <c r="K63" s="24" t="s">
        <v>197</v>
      </c>
      <c r="L63" s="24">
        <v>35</v>
      </c>
      <c r="M63" s="20" t="str">
        <f ca="1">VLOOKUP($L63,OFFSET([3]enemies!$A$1,0,0,COUNTA([3]enemies!$A:$A),MATCH(M$1,[3]enemies!$1:$1,0)-MATCH($L$1,[3]enemies!$1:$1,0)+1),MATCH(M$1,[3]enemies!$1:$1,0)-MATCH($L$1,[3]enemies!$1:$1,0)+1,FALSE)</f>
        <v>F2</v>
      </c>
      <c r="N63" s="20" t="str">
        <f ca="1">VLOOKUP($L63,OFFSET([3]enemies!$A$1,0,0,COUNTA([3]enemies!$A:$A),MATCH(N$1,[3]enemies!$1:$1,0)-MATCH($L$1,[3]enemies!$1:$1,0)+1),MATCH(N$1,[3]enemies!$1:$1,0)-MATCH($L$1,[3]enemies!$1:$1,0)+1,FALSE)</f>
        <v>green</v>
      </c>
      <c r="O63" s="22" t="str">
        <f ca="1">VLOOKUP($L63,OFFSET([4]characters!$A$1,0,0,COUNTA([4]characters!$A:$A),MATCH(O$1,[4]characters!$1:$1,0)-MATCH($L$1,[4]characters!$1:$1,0)+1),MATCH(O$1,[4]characters!$1:$1,0)-MATCH($L$1,[4]characters!$1:$1,0)+1,FALSE)</f>
        <v>Drop1S</v>
      </c>
      <c r="P63" s="20" t="str">
        <f ca="1">VLOOKUP($L63,OFFSET([3]enemies!$A$1,0,0,COUNTA([3]enemies!$A:$A),MATCH(P$1,[3]enemies!$1:$1,0)-MATCH($L$1,[3]enemies!$1:$1,0)+1),MATCH(P$1,[3]enemies!$1:$1,0)-MATCH($L$1,[3]enemies!$1:$1,0)+1,FALSE)</f>
        <v>machine</v>
      </c>
      <c r="Q63" s="20">
        <f ca="1">VLOOKUP($L63,OFFSET([3]enemies!$A$1,0,0,COUNTA([3]enemies!$A:$A),MATCH(Q$1,[3]enemies!$1:$1,0)-MATCH($L$1,[3]enemies!$1:$1,0)+1),MATCH(Q$1,[3]enemies!$1:$1,0)-MATCH($L$1,[3]enemies!$1:$1,0)+1,FALSE)</f>
        <v>15</v>
      </c>
      <c r="R63" s="6">
        <v>40</v>
      </c>
      <c r="S63" s="39">
        <v>1.3</v>
      </c>
      <c r="T63" s="39">
        <v>0.8</v>
      </c>
      <c r="U63" s="6">
        <v>0</v>
      </c>
      <c r="V63" s="5" t="str">
        <f ca="1">VLOOKUP($W63,OFFSET([5]enemy_skill_sets!$B$1,0,0,COUNTA([5]enemy_skill_sets!$B:$B),MATCH(M$1,[5]enemy_skill_sets!$1:$1,0)-MATCH($W$1,[5]enemy_skill_sets!$1:$1,0)+2),MATCH(M$1,[5]enemy_skill_sets!$1:$1,0)-MATCH($W$1,[5]enemy_skill_sets!$1:$1,0)+2,FALSE)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63" s="5">
        <f ca="1">VLOOKUP($L63,OFFSET([3]enemies!$A$1,0,0,COUNTA([3]enemies!$A:$A),MATCH(W$1,[3]enemies!$1:$1,0)-MATCH($L$1,[3]enemies!$1:$1,0)+1),MATCH(W$1,[3]enemies!$1:$1,0)-MATCH($L$1,[3]enemies!$1:$1,0)+1,FALSE)</f>
        <v>35</v>
      </c>
      <c r="X63" s="7">
        <v>0</v>
      </c>
      <c r="Y63" s="7">
        <v>100</v>
      </c>
      <c r="Z63" s="7">
        <v>0</v>
      </c>
      <c r="AA63" s="20">
        <f ca="1">VLOOKUP($L63,OFFSET([3]enemies!$A$1,0,0,COUNTA([3]enemies!$A:$A),MATCH(AA$1,[3]enemies!$1:$1,0)-MATCH($L$1,[3]enemies!$1:$1,0)+1),MATCH(AA$1,[3]enemies!$1:$1,0)-MATCH($L$1,[3]enemies!$1:$1,0)+1,FALSE)</f>
        <v>4</v>
      </c>
      <c r="AB63" s="24">
        <v>35</v>
      </c>
      <c r="AC63" s="5" t="str">
        <f ca="1">IFERROR(VLOOKUP($AB63,OFFSET([4]characters!$A$1,0,0,COUNTA([4]characters!$A:$A),MATCH(AC$1,[4]characters!$1:$1,0)-MATCH("character_id",[4]characters!$1:$1,0)+1),MATCH(AC$1,[4]characters!$1:$1,0)-MATCH("character_id",[4]characters!$1:$1,0)+1,FALSE),"")</f>
        <v>F2</v>
      </c>
      <c r="AD63" s="5">
        <f ca="1">IFERROR(VLOOKUP($AB63,OFFSET([4]characters!$A$1,0,0,COUNTA([4]characters!$A:$A),MATCH(AD$1,[4]characters!$1:$1,0)-MATCH("character_id",[4]characters!$1:$1,0)+1),MATCH(AD$1,[4]characters!$1:$1,0)-MATCH("character_id",[4]characters!$1:$1,0)+1,FALSE),"")</f>
        <v>2</v>
      </c>
      <c r="AE63" s="5" t="str">
        <f ca="1">IFERROR(VLOOKUP($AB63,OFFSET([4]characters!$A$1,0,0,COUNTA([4]characters!$A:$A),MATCH(AE$1,[4]characters!$1:$1,0)-MATCH("character_id",[4]characters!$1:$1,0)+1),MATCH(AE$1,[4]characters!$1:$1,0)-MATCH("character_id",[4]characters!$1:$1,0)+1,FALSE),"")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63" s="8">
        <v>1</v>
      </c>
      <c r="AG63" s="27">
        <f t="shared" ca="1" si="3"/>
        <v>2</v>
      </c>
      <c r="AH63" s="9">
        <v>0</v>
      </c>
      <c r="AI63" s="8">
        <v>0</v>
      </c>
      <c r="AJ63" s="8">
        <v>0</v>
      </c>
      <c r="AK63" s="8">
        <v>0</v>
      </c>
      <c r="AL63" s="8">
        <v>0</v>
      </c>
      <c r="AM63" s="8">
        <v>1</v>
      </c>
      <c r="AN63" s="8">
        <v>1</v>
      </c>
    </row>
    <row r="64" spans="1:40" ht="21" customHeight="1" x14ac:dyDescent="0.15">
      <c r="A64" s="17" t="str">
        <f t="shared" ca="1" si="4"/>
        <v>11007_4-5/27&lt;lv42&gt;s1</v>
      </c>
      <c r="B64" s="8">
        <v>11007</v>
      </c>
      <c r="C64" s="25">
        <v>4</v>
      </c>
      <c r="D64" s="2" t="str">
        <f t="shared" si="1"/>
        <v>11007_4</v>
      </c>
      <c r="E64" s="5" t="str">
        <f ca="1">VLOOKUP($B64,OFFSET([2]quests!$A$1,0,0,COUNTA([2]quests!$A:$A),MATCH(E$1,[2]quests!$1:$1,0)-MATCH($B$1,[2]quests!$1:$1,0)+1),MATCH(E$1,[2]quests!$1:$1,0)-MATCH($B$1,[2]quests!$1:$1,0)+1,FALSE)</f>
        <v>【土曜限定】 赤と緑の素材</v>
      </c>
      <c r="F64" s="5" t="str">
        <f ca="1">VLOOKUP($D64,OFFSET([2]stages!$A$1,0,0,COUNTA([2]stages!$A:$A),MATCH(F$1,[2]stages!$2:$2,0)-MATCH($D$1,[2]stages!$2:$2,0)+1),MATCH(F$1,[2]stages!$2:$2,0)-MATCH($D$1,[2]stages!$2:$2,0)+1,FALSE)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64" s="25">
        <v>5</v>
      </c>
      <c r="H64" s="16" t="str">
        <f t="shared" si="2"/>
        <v>11007_4-5</v>
      </c>
      <c r="I64" s="5">
        <f ca="1">VLOOKUP($H64,OFFSET(floors!$A$1,0,0,COUNTA(floors!$A:$A),MATCH(I$1,floors!$1:$1,0)-MATCH($H$1,floors!$1:$1,0)+1),MATCH(I$1,floors!$1:$1,0)-MATCH($H$1,floors!$1:$1,0)+1,FALSE)</f>
        <v>60</v>
      </c>
      <c r="J64" s="5">
        <f ca="1">VLOOKUP($H64,OFFSET(floors!$A$1,0,0,COUNTA(floors!$A:$A),MATCH(J$1,floors!$1:$1,0)-MATCH($H$1,floors!$1:$1,0)+1),MATCH(J$1,floors!$1:$1,0)-MATCH($H$1,floors!$1:$1,0)+1,FALSE)</f>
        <v>60</v>
      </c>
      <c r="K64" s="24" t="s">
        <v>197</v>
      </c>
      <c r="L64" s="24">
        <v>27</v>
      </c>
      <c r="M64" s="20" t="str">
        <f ca="1">VLOOKUP($L64,OFFSET([3]enemies!$A$1,0,0,COUNTA([3]enemies!$A:$A),MATCH(M$1,[3]enemies!$1:$1,0)-MATCH($L$1,[3]enemies!$1:$1,0)+1),MATCH(M$1,[3]enemies!$1:$1,0)-MATCH($L$1,[3]enemies!$1:$1,0)+1,FALSE)</f>
        <v>パトライン</v>
      </c>
      <c r="N64" s="20" t="str">
        <f ca="1">VLOOKUP($L64,OFFSET([3]enemies!$A$1,0,0,COUNTA([3]enemies!$A:$A),MATCH(N$1,[3]enemies!$1:$1,0)-MATCH($L$1,[3]enemies!$1:$1,0)+1),MATCH(N$1,[3]enemies!$1:$1,0)-MATCH($L$1,[3]enemies!$1:$1,0)+1,FALSE)</f>
        <v>green</v>
      </c>
      <c r="O64" s="22" t="str">
        <f ca="1">VLOOKUP($L64,OFFSET([4]characters!$A$1,0,0,COUNTA([4]characters!$A:$A),MATCH(O$1,[4]characters!$1:$1,0)-MATCH($L$1,[4]characters!$1:$1,0)+1),MATCH(O$1,[4]characters!$1:$1,0)-MATCH($L$1,[4]characters!$1:$1,0)+1,FALSE)</f>
        <v>Drop1N</v>
      </c>
      <c r="P64" s="20" t="str">
        <f ca="1">VLOOKUP($L64,OFFSET([3]enemies!$A$1,0,0,COUNTA([3]enemies!$A:$A),MATCH(P$1,[3]enemies!$1:$1,0)-MATCH($L$1,[3]enemies!$1:$1,0)+1),MATCH(P$1,[3]enemies!$1:$1,0)-MATCH($L$1,[3]enemies!$1:$1,0)+1,FALSE)</f>
        <v>machine</v>
      </c>
      <c r="Q64" s="20">
        <f ca="1">VLOOKUP($L64,OFFSET([3]enemies!$A$1,0,0,COUNTA([3]enemies!$A:$A),MATCH(Q$1,[3]enemies!$1:$1,0)-MATCH($L$1,[3]enemies!$1:$1,0)+1),MATCH(Q$1,[3]enemies!$1:$1,0)-MATCH($L$1,[3]enemies!$1:$1,0)+1,FALSE)</f>
        <v>15</v>
      </c>
      <c r="R64" s="6">
        <v>42</v>
      </c>
      <c r="S64" s="39">
        <v>1.2</v>
      </c>
      <c r="T64" s="39">
        <v>1</v>
      </c>
      <c r="U64" s="6">
        <v>0</v>
      </c>
      <c r="V64" s="5" t="str">
        <f ca="1">VLOOKUP($W64,OFFSET([5]enemy_skill_sets!$B$1,0,0,COUNTA([5]enemy_skill_sets!$B:$B),MATCH(M$1,[5]enemy_skill_sets!$1:$1,0)-MATCH($W$1,[5]enemy_skill_sets!$1:$1,0)+2),MATCH(M$1,[5]enemy_skill_sets!$1:$1,0)-MATCH($W$1,[5]enemy_skill_sets!$1:$1,0)+2,FALSE)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4" s="5">
        <f ca="1">VLOOKUP($L64,OFFSET([3]enemies!$A$1,0,0,COUNTA([3]enemies!$A:$A),MATCH(W$1,[3]enemies!$1:$1,0)-MATCH($L$1,[3]enemies!$1:$1,0)+1),MATCH(W$1,[3]enemies!$1:$1,0)-MATCH($L$1,[3]enemies!$1:$1,0)+1,FALSE)</f>
        <v>0</v>
      </c>
      <c r="X64" s="7">
        <v>0</v>
      </c>
      <c r="Y64" s="7">
        <v>100</v>
      </c>
      <c r="Z64" s="7">
        <v>0</v>
      </c>
      <c r="AA64" s="20">
        <f ca="1">VLOOKUP($L64,OFFSET([3]enemies!$A$1,0,0,COUNTA([3]enemies!$A:$A),MATCH(AA$1,[3]enemies!$1:$1,0)-MATCH($L$1,[3]enemies!$1:$1,0)+1),MATCH(AA$1,[3]enemies!$1:$1,0)-MATCH($L$1,[3]enemies!$1:$1,0)+1,FALSE)</f>
        <v>1</v>
      </c>
      <c r="AB64" s="24">
        <v>27</v>
      </c>
      <c r="AC64" s="5" t="str">
        <f ca="1">IFERROR(VLOOKUP($AB64,OFFSET([4]characters!$A$1,0,0,COUNTA([4]characters!$A:$A),MATCH(AC$1,[4]characters!$1:$1,0)-MATCH("character_id",[4]characters!$1:$1,0)+1),MATCH(AC$1,[4]characters!$1:$1,0)-MATCH("character_id",[4]characters!$1:$1,0)+1,FALSE),"")</f>
        <v>パトライン</v>
      </c>
      <c r="AD64" s="5">
        <f ca="1">IFERROR(VLOOKUP($AB64,OFFSET([4]characters!$A$1,0,0,COUNTA([4]characters!$A:$A),MATCH(AD$1,[4]characters!$1:$1,0)-MATCH("character_id",[4]characters!$1:$1,0)+1),MATCH(AD$1,[4]characters!$1:$1,0)-MATCH("character_id",[4]characters!$1:$1,0)+1,FALSE),"")</f>
        <v>1</v>
      </c>
      <c r="AE64" s="5" t="str">
        <f ca="1">IFERROR(VLOOKUP($AB64,OFFSET([4]characters!$A$1,0,0,COUNTA([4]characters!$A:$A),MATCH(AE$1,[4]characters!$1:$1,0)-MATCH("character_id",[4]characters!$1:$1,0)+1),MATCH(AE$1,[4]characters!$1:$1,0)-MATCH("character_id",[4]characters!$1:$1,0)+1,FALSE),"")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64" s="8">
        <v>1</v>
      </c>
      <c r="AG64" s="27">
        <f t="shared" ca="1" si="3"/>
        <v>1</v>
      </c>
      <c r="AH64" s="9">
        <v>0</v>
      </c>
      <c r="AI64" s="8">
        <v>0</v>
      </c>
      <c r="AJ64" s="8">
        <v>0</v>
      </c>
      <c r="AK64" s="8">
        <v>0</v>
      </c>
      <c r="AL64" s="8">
        <v>0</v>
      </c>
      <c r="AM64" s="8">
        <v>1</v>
      </c>
      <c r="AN64" s="8">
        <v>1</v>
      </c>
    </row>
    <row r="65" spans="1:40" ht="21" customHeight="1" x14ac:dyDescent="0.15">
      <c r="A65" s="17" t="str">
        <f t="shared" ca="1" si="4"/>
        <v>11007_4-6/108&lt;lv40&gt;s2</v>
      </c>
      <c r="B65" s="8">
        <v>11007</v>
      </c>
      <c r="C65" s="25">
        <v>4</v>
      </c>
      <c r="D65" s="2" t="str">
        <f t="shared" ref="D65:D127" si="5">B65&amp;"_"&amp;C65</f>
        <v>11007_4</v>
      </c>
      <c r="E65" s="5" t="str">
        <f ca="1">VLOOKUP($B65,OFFSET([2]quests!$A$1,0,0,COUNTA([2]quests!$A:$A),MATCH(E$1,[2]quests!$1:$1,0)-MATCH($B$1,[2]quests!$1:$1,0)+1),MATCH(E$1,[2]quests!$1:$1,0)-MATCH($B$1,[2]quests!$1:$1,0)+1,FALSE)</f>
        <v>【土曜限定】 赤と緑の素材</v>
      </c>
      <c r="F65" s="5" t="str">
        <f ca="1">VLOOKUP($D65,OFFSET([2]stages!$A$1,0,0,COUNTA([2]stages!$A:$A),MATCH(F$1,[2]stages!$2:$2,0)-MATCH($D$1,[2]stages!$2:$2,0)+1),MATCH(F$1,[2]stages!$2:$2,0)-MATCH($D$1,[2]stages!$2:$2,0)+1,FALSE)</f>
        <v xml:space="preserve">【超級】火と樹の帽子屋 </v>
      </c>
      <c r="G65" s="25">
        <v>6</v>
      </c>
      <c r="H65" s="16" t="str">
        <f t="shared" ref="H65:H127" si="6">B65&amp;"_"&amp;C65&amp;"-"&amp;G65</f>
        <v>11007_4-6</v>
      </c>
      <c r="I65" s="5">
        <f ca="1">VLOOKUP($H65,OFFSET(floors!$A$1,0,0,COUNTA(floors!$A:$A),MATCH(I$1,floors!$1:$1,0)-MATCH($H$1,floors!$1:$1,0)+1),MATCH(I$1,floors!$1:$1,0)-MATCH($H$1,floors!$1:$1,0)+1,FALSE)</f>
        <v>60</v>
      </c>
      <c r="J65" s="5">
        <f ca="1">VLOOKUP($H65,OFFSET(floors!$A$1,0,0,COUNTA(floors!$A:$A),MATCH(J$1,floors!$1:$1,0)-MATCH($H$1,floors!$1:$1,0)+1),MATCH(J$1,floors!$1:$1,0)-MATCH($H$1,floors!$1:$1,0)+1,FALSE)</f>
        <v>60</v>
      </c>
      <c r="K65" s="24" t="s">
        <v>197</v>
      </c>
      <c r="L65" s="24">
        <v>108</v>
      </c>
      <c r="M65" s="20" t="str">
        <f ca="1">VLOOKUP($L65,OFFSET([3]enemies!$A$1,0,0,COUNTA([3]enemies!$A:$A),MATCH(M$1,[3]enemies!$1:$1,0)-MATCH($L$1,[3]enemies!$1:$1,0)+1),MATCH(M$1,[3]enemies!$1:$1,0)-MATCH($L$1,[3]enemies!$1:$1,0)+1,FALSE)</f>
        <v>森のマッドハッター</v>
      </c>
      <c r="N65" s="20" t="str">
        <f ca="1">VLOOKUP($L65,OFFSET([3]enemies!$A$1,0,0,COUNTA([3]enemies!$A:$A),MATCH(N$1,[3]enemies!$1:$1,0)-MATCH($L$1,[3]enemies!$1:$1,0)+1),MATCH(N$1,[3]enemies!$1:$1,0)-MATCH($L$1,[3]enemies!$1:$1,0)+1,FALSE)</f>
        <v>green</v>
      </c>
      <c r="O65" s="22" t="str">
        <f ca="1">VLOOKUP($L65,OFFSET([4]characters!$A$1,0,0,COUNTA([4]characters!$A:$A),MATCH(O$1,[4]characters!$1:$1,0)-MATCH($L$1,[4]characters!$1:$1,0)+1),MATCH(O$1,[4]characters!$1:$1,0)-MATCH($L$1,[4]characters!$1:$1,0)+1,FALSE)</f>
        <v>Material</v>
      </c>
      <c r="P65" s="20" t="str">
        <f ca="1">VLOOKUP($L65,OFFSET([3]enemies!$A$1,0,0,COUNTA([3]enemies!$A:$A),MATCH(P$1,[3]enemies!$1:$1,0)-MATCH($L$1,[3]enemies!$1:$1,0)+1),MATCH(P$1,[3]enemies!$1:$1,0)-MATCH($L$1,[3]enemies!$1:$1,0)+1,FALSE)</f>
        <v>unknown</v>
      </c>
      <c r="Q65" s="20">
        <f ca="1">VLOOKUP($L65,OFFSET([3]enemies!$A$1,0,0,COUNTA([3]enemies!$A:$A),MATCH(Q$1,[3]enemies!$1:$1,0)-MATCH($L$1,[3]enemies!$1:$1,0)+1),MATCH(Q$1,[3]enemies!$1:$1,0)-MATCH($L$1,[3]enemies!$1:$1,0)+1,FALSE)</f>
        <v>20</v>
      </c>
      <c r="R65" s="6">
        <v>40</v>
      </c>
      <c r="S65" s="39">
        <v>2</v>
      </c>
      <c r="T65" s="39">
        <v>1</v>
      </c>
      <c r="U65" s="6">
        <v>0</v>
      </c>
      <c r="V65" s="5" t="str">
        <f ca="1">VLOOKUP($W65,OFFSET([5]enemy_skill_sets!$B$1,0,0,COUNTA([5]enemy_skill_sets!$B:$B),MATCH(M$1,[5]enemy_skill_sets!$1:$1,0)-MATCH($W$1,[5]enemy_skill_sets!$1:$1,0)+2),MATCH(M$1,[5]enemy_skill_sets!$1:$1,0)-MATCH($W$1,[5]enemy_skill_sets!$1:$1,0)+2,FALSE)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5" s="5">
        <f ca="1">VLOOKUP($L65,OFFSET([3]enemies!$A$1,0,0,COUNTA([3]enemies!$A:$A),MATCH(W$1,[3]enemies!$1:$1,0)-MATCH($L$1,[3]enemies!$1:$1,0)+1),MATCH(W$1,[3]enemies!$1:$1,0)-MATCH($L$1,[3]enemies!$1:$1,0)+1,FALSE)</f>
        <v>0</v>
      </c>
      <c r="X65" s="7">
        <v>1</v>
      </c>
      <c r="Y65" s="7">
        <v>0</v>
      </c>
      <c r="Z65" s="7">
        <v>2</v>
      </c>
      <c r="AA65" s="20">
        <f ca="1">VLOOKUP($L65,OFFSET([3]enemies!$A$1,0,0,COUNTA([3]enemies!$A:$A),MATCH(AA$1,[3]enemies!$1:$1,0)-MATCH($L$1,[3]enemies!$1:$1,0)+1),MATCH(AA$1,[3]enemies!$1:$1,0)-MATCH($L$1,[3]enemies!$1:$1,0)+1,FALSE)</f>
        <v>2</v>
      </c>
      <c r="AB65" s="24">
        <v>108</v>
      </c>
      <c r="AC65" s="5" t="str">
        <f ca="1">IFERROR(VLOOKUP($AB65,OFFSET([4]characters!$A$1,0,0,COUNTA([4]characters!$A:$A),MATCH(AC$1,[4]characters!$1:$1,0)-MATCH("character_id",[4]characters!$1:$1,0)+1),MATCH(AC$1,[4]characters!$1:$1,0)-MATCH("character_id",[4]characters!$1:$1,0)+1,FALSE),"")</f>
        <v>森のマッドハッター</v>
      </c>
      <c r="AD65" s="5">
        <f ca="1">IFERROR(VLOOKUP($AB65,OFFSET([4]characters!$A$1,0,0,COUNTA([4]characters!$A:$A),MATCH(AD$1,[4]characters!$1:$1,0)-MATCH("character_id",[4]characters!$1:$1,0)+1),MATCH(AD$1,[4]characters!$1:$1,0)-MATCH("character_id",[4]characters!$1:$1,0)+1,FALSE),"")</f>
        <v>5</v>
      </c>
      <c r="AE65" s="5" t="str">
        <f ca="1">IFERROR(VLOOKUP($AB65,OFFSET([4]characters!$A$1,0,0,COUNTA([4]characters!$A:$A),MATCH(AE$1,[4]characters!$1:$1,0)-MATCH("character_id",[4]characters!$1:$1,0)+1),MATCH(AE$1,[4]characters!$1:$1,0)-MATCH("character_id",[4]characters!$1:$1,0)+1,FALSE),"")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5" s="8">
        <v>1</v>
      </c>
      <c r="AG65" s="27">
        <f t="shared" ref="AG65:AG127" ca="1" si="7">AD65</f>
        <v>5</v>
      </c>
      <c r="AH65" s="9">
        <v>100</v>
      </c>
      <c r="AI65" s="8">
        <v>0</v>
      </c>
      <c r="AJ65" s="8">
        <v>0</v>
      </c>
      <c r="AK65" s="8">
        <v>0</v>
      </c>
      <c r="AL65" s="8">
        <v>0</v>
      </c>
      <c r="AM65" s="8">
        <v>1</v>
      </c>
      <c r="AN65" s="8">
        <v>1</v>
      </c>
    </row>
    <row r="66" spans="1:40" ht="21" customHeight="1" x14ac:dyDescent="0.15">
      <c r="A66" s="17" t="str">
        <f t="shared" ca="1" si="4"/>
        <v>11008_1-1/109&lt;lv3&gt;s2</v>
      </c>
      <c r="B66" s="8">
        <v>11008</v>
      </c>
      <c r="C66" s="25">
        <v>1</v>
      </c>
      <c r="D66" s="2" t="str">
        <f t="shared" si="5"/>
        <v>11008_1</v>
      </c>
      <c r="E66" s="5" t="str">
        <f ca="1">VLOOKUP($B66,OFFSET([2]quests!$A$1,0,0,COUNTA([2]quests!$A:$A),MATCH(E$1,[2]quests!$1:$1,0)-MATCH($B$1,[2]quests!$1:$1,0)+1),MATCH(E$1,[2]quests!$1:$1,0)-MATCH($B$1,[2]quests!$1:$1,0)+1,FALSE)</f>
        <v>【日曜限定】 青と黄の素材</v>
      </c>
      <c r="F66" s="5" t="str">
        <f ca="1">VLOOKUP($D66,OFFSET([2]stages!$A$1,0,0,COUNTA([2]stages!$A:$A),MATCH(F$1,[2]stages!$2:$2,0)-MATCH($D$1,[2]stages!$2:$2,0)+1),MATCH(F$1,[2]stages!$2:$2,0)-MATCH($D$1,[2]stages!$2:$2,0)+1,FALSE)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66" s="25">
        <v>1</v>
      </c>
      <c r="H66" s="16" t="str">
        <f t="shared" si="6"/>
        <v>11008_1-1</v>
      </c>
      <c r="I66" s="5">
        <f ca="1">VLOOKUP($H66,OFFSET(floors!$A$1,0,0,COUNTA(floors!$A:$A),MATCH(I$1,floors!$1:$1,0)-MATCH($H$1,floors!$1:$1,0)+1),MATCH(I$1,floors!$1:$1,0)-MATCH($H$1,floors!$1:$1,0)+1,FALSE)</f>
        <v>30</v>
      </c>
      <c r="J66" s="5">
        <f ca="1">VLOOKUP($H66,OFFSET(floors!$A$1,0,0,COUNTA(floors!$A:$A),MATCH(J$1,floors!$1:$1,0)-MATCH($H$1,floors!$1:$1,0)+1),MATCH(J$1,floors!$1:$1,0)-MATCH($H$1,floors!$1:$1,0)+1,FALSE)</f>
        <v>45</v>
      </c>
      <c r="K66" s="24" t="s">
        <v>197</v>
      </c>
      <c r="L66" s="24">
        <v>109</v>
      </c>
      <c r="M66" s="20" t="str">
        <f ca="1">VLOOKUP($L66,OFFSET([3]enemies!$A$1,0,0,COUNTA([3]enemies!$A:$A),MATCH(M$1,[3]enemies!$1:$1,0)-MATCH($L$1,[3]enemies!$1:$1,0)+1),MATCH(M$1,[3]enemies!$1:$1,0)-MATCH($L$1,[3]enemies!$1:$1,0)+1,FALSE)</f>
        <v>ブルーチェシャ</v>
      </c>
      <c r="N66" s="20" t="str">
        <f ca="1">VLOOKUP($L66,OFFSET([3]enemies!$A$1,0,0,COUNTA([3]enemies!$A:$A),MATCH(N$1,[3]enemies!$1:$1,0)-MATCH($L$1,[3]enemies!$1:$1,0)+1),MATCH(N$1,[3]enemies!$1:$1,0)-MATCH($L$1,[3]enemies!$1:$1,0)+1,FALSE)</f>
        <v>blue</v>
      </c>
      <c r="O66" s="22" t="str">
        <f ca="1">VLOOKUP($L66,OFFSET([4]characters!$A$1,0,0,COUNTA([4]characters!$A:$A),MATCH(O$1,[4]characters!$1:$1,0)-MATCH($L$1,[4]characters!$1:$1,0)+1),MATCH(O$1,[4]characters!$1:$1,0)-MATCH($L$1,[4]characters!$1:$1,0)+1,FALSE)</f>
        <v>Material</v>
      </c>
      <c r="P66" s="20" t="str">
        <f ca="1">VLOOKUP($L66,OFFSET([3]enemies!$A$1,0,0,COUNTA([3]enemies!$A:$A),MATCH(P$1,[3]enemies!$1:$1,0)-MATCH($L$1,[3]enemies!$1:$1,0)+1),MATCH(P$1,[3]enemies!$1:$1,0)-MATCH($L$1,[3]enemies!$1:$1,0)+1,FALSE)</f>
        <v>unknown</v>
      </c>
      <c r="Q66" s="20">
        <f ca="1">VLOOKUP($L66,OFFSET([3]enemies!$A$1,0,0,COUNTA([3]enemies!$A:$A),MATCH(Q$1,[3]enemies!$1:$1,0)-MATCH($L$1,[3]enemies!$1:$1,0)+1),MATCH(Q$1,[3]enemies!$1:$1,0)-MATCH($L$1,[3]enemies!$1:$1,0)+1,FALSE)</f>
        <v>15</v>
      </c>
      <c r="R66" s="6">
        <v>3</v>
      </c>
      <c r="S66" s="39">
        <v>1</v>
      </c>
      <c r="T66" s="39">
        <v>1</v>
      </c>
      <c r="U66" s="6">
        <v>0</v>
      </c>
      <c r="V66" s="5" t="str">
        <f ca="1">VLOOKUP($W66,OFFSET([5]enemy_skill_sets!$B$1,0,0,COUNTA([5]enemy_skill_sets!$B:$B),MATCH(M$1,[5]enemy_skill_sets!$1:$1,0)-MATCH($W$1,[5]enemy_skill_sets!$1:$1,0)+2),MATCH(M$1,[5]enemy_skill_sets!$1:$1,0)-MATCH($W$1,[5]enemy_skill_sets!$1:$1,0)+2,FALSE)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6" s="5">
        <f ca="1">VLOOKUP($L66,OFFSET([3]enemies!$A$1,0,0,COUNTA([3]enemies!$A:$A),MATCH(W$1,[3]enemies!$1:$1,0)-MATCH($L$1,[3]enemies!$1:$1,0)+1),MATCH(W$1,[3]enemies!$1:$1,0)-MATCH($L$1,[3]enemies!$1:$1,0)+1,FALSE)</f>
        <v>0</v>
      </c>
      <c r="X66" s="7">
        <v>0</v>
      </c>
      <c r="Y66" s="7">
        <v>100</v>
      </c>
      <c r="Z66" s="7">
        <v>0</v>
      </c>
      <c r="AA66" s="20">
        <f ca="1">VLOOKUP($L66,OFFSET([3]enemies!$A$1,0,0,COUNTA([3]enemies!$A:$A),MATCH(AA$1,[3]enemies!$1:$1,0)-MATCH($L$1,[3]enemies!$1:$1,0)+1),MATCH(AA$1,[3]enemies!$1:$1,0)-MATCH($L$1,[3]enemies!$1:$1,0)+1,FALSE)</f>
        <v>2</v>
      </c>
      <c r="AB66" s="24">
        <v>109</v>
      </c>
      <c r="AC66" s="5" t="str">
        <f ca="1">IFERROR(VLOOKUP($AB66,OFFSET([4]characters!$A$1,0,0,COUNTA([4]characters!$A:$A),MATCH(AC$1,[4]characters!$1:$1,0)-MATCH("character_id",[4]characters!$1:$1,0)+1),MATCH(AC$1,[4]characters!$1:$1,0)-MATCH("character_id",[4]characters!$1:$1,0)+1,FALSE),"")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66" s="5">
        <f ca="1">IFERROR(VLOOKUP($AB66,OFFSET([4]characters!$A$1,0,0,COUNTA([4]characters!$A:$A),MATCH(AD$1,[4]characters!$1:$1,0)-MATCH("character_id",[4]characters!$1:$1,0)+1),MATCH(AD$1,[4]characters!$1:$1,0)-MATCH("character_id",[4]characters!$1:$1,0)+1,FALSE),"")</f>
        <v>2</v>
      </c>
      <c r="AE66" s="5" t="str">
        <f ca="1">IFERROR(VLOOKUP($AB66,OFFSET([4]characters!$A$1,0,0,COUNTA([4]characters!$A:$A),MATCH(AE$1,[4]characters!$1:$1,0)-MATCH("character_id",[4]characters!$1:$1,0)+1),MATCH(AE$1,[4]characters!$1:$1,0)-MATCH("character_id",[4]characters!$1:$1,0)+1,FALSE),"")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6" s="8">
        <v>1</v>
      </c>
      <c r="AG66" s="27">
        <f t="shared" ca="1" si="7"/>
        <v>2</v>
      </c>
      <c r="AH66" s="9">
        <v>40</v>
      </c>
      <c r="AI66" s="8">
        <v>0</v>
      </c>
      <c r="AJ66" s="8">
        <v>0</v>
      </c>
      <c r="AK66" s="8">
        <v>0</v>
      </c>
      <c r="AL66" s="8">
        <v>0</v>
      </c>
      <c r="AM66" s="8">
        <v>1</v>
      </c>
      <c r="AN66" s="8">
        <v>1</v>
      </c>
    </row>
    <row r="67" spans="1:40" ht="21" customHeight="1" x14ac:dyDescent="0.15">
      <c r="A67" s="17" t="str">
        <f t="shared" ca="1" si="4"/>
        <v>11008_1-2/109&lt;lv3&gt;s2</v>
      </c>
      <c r="B67" s="8">
        <v>11008</v>
      </c>
      <c r="C67" s="25">
        <v>1</v>
      </c>
      <c r="D67" s="2" t="str">
        <f t="shared" si="5"/>
        <v>11008_1</v>
      </c>
      <c r="E67" s="5" t="str">
        <f ca="1">VLOOKUP($B67,OFFSET([2]quests!$A$1,0,0,COUNTA([2]quests!$A:$A),MATCH(E$1,[2]quests!$1:$1,0)-MATCH($B$1,[2]quests!$1:$1,0)+1),MATCH(E$1,[2]quests!$1:$1,0)-MATCH($B$1,[2]quests!$1:$1,0)+1,FALSE)</f>
        <v>【日曜限定】 青と黄の素材</v>
      </c>
      <c r="F67" s="5" t="str">
        <f ca="1">VLOOKUP($D67,OFFSET([2]stages!$A$1,0,0,COUNTA([2]stages!$A:$A),MATCH(F$1,[2]stages!$2:$2,0)-MATCH($D$1,[2]stages!$2:$2,0)+1),MATCH(F$1,[2]stages!$2:$2,0)-MATCH($D$1,[2]stages!$2:$2,0)+1,FALSE)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67" s="25">
        <v>2</v>
      </c>
      <c r="H67" s="16" t="str">
        <f t="shared" si="6"/>
        <v>11008_1-2</v>
      </c>
      <c r="I67" s="5">
        <f ca="1">VLOOKUP($H67,OFFSET(floors!$A$1,0,0,COUNTA(floors!$A:$A),MATCH(I$1,floors!$1:$1,0)-MATCH($H$1,floors!$1:$1,0)+1),MATCH(I$1,floors!$1:$1,0)-MATCH($H$1,floors!$1:$1,0)+1,FALSE)</f>
        <v>30</v>
      </c>
      <c r="J67" s="5">
        <f ca="1">VLOOKUP($H67,OFFSET(floors!$A$1,0,0,COUNTA(floors!$A:$A),MATCH(J$1,floors!$1:$1,0)-MATCH($H$1,floors!$1:$1,0)+1),MATCH(J$1,floors!$1:$1,0)-MATCH($H$1,floors!$1:$1,0)+1,FALSE)</f>
        <v>45</v>
      </c>
      <c r="K67" s="24" t="s">
        <v>197</v>
      </c>
      <c r="L67" s="24">
        <v>109</v>
      </c>
      <c r="M67" s="20" t="str">
        <f ca="1">VLOOKUP($L67,OFFSET([3]enemies!$A$1,0,0,COUNTA([3]enemies!$A:$A),MATCH(M$1,[3]enemies!$1:$1,0)-MATCH($L$1,[3]enemies!$1:$1,0)+1),MATCH(M$1,[3]enemies!$1:$1,0)-MATCH($L$1,[3]enemies!$1:$1,0)+1,FALSE)</f>
        <v>ブルーチェシャ</v>
      </c>
      <c r="N67" s="20" t="str">
        <f ca="1">VLOOKUP($L67,OFFSET([3]enemies!$A$1,0,0,COUNTA([3]enemies!$A:$A),MATCH(N$1,[3]enemies!$1:$1,0)-MATCH($L$1,[3]enemies!$1:$1,0)+1),MATCH(N$1,[3]enemies!$1:$1,0)-MATCH($L$1,[3]enemies!$1:$1,0)+1,FALSE)</f>
        <v>blue</v>
      </c>
      <c r="O67" s="22" t="str">
        <f ca="1">VLOOKUP($L67,OFFSET([4]characters!$A$1,0,0,COUNTA([4]characters!$A:$A),MATCH(O$1,[4]characters!$1:$1,0)-MATCH($L$1,[4]characters!$1:$1,0)+1),MATCH(O$1,[4]characters!$1:$1,0)-MATCH($L$1,[4]characters!$1:$1,0)+1,FALSE)</f>
        <v>Material</v>
      </c>
      <c r="P67" s="20" t="str">
        <f ca="1">VLOOKUP($L67,OFFSET([3]enemies!$A$1,0,0,COUNTA([3]enemies!$A:$A),MATCH(P$1,[3]enemies!$1:$1,0)-MATCH($L$1,[3]enemies!$1:$1,0)+1),MATCH(P$1,[3]enemies!$1:$1,0)-MATCH($L$1,[3]enemies!$1:$1,0)+1,FALSE)</f>
        <v>unknown</v>
      </c>
      <c r="Q67" s="20">
        <f ca="1">VLOOKUP($L67,OFFSET([3]enemies!$A$1,0,0,COUNTA([3]enemies!$A:$A),MATCH(Q$1,[3]enemies!$1:$1,0)-MATCH($L$1,[3]enemies!$1:$1,0)+1),MATCH(Q$1,[3]enemies!$1:$1,0)-MATCH($L$1,[3]enemies!$1:$1,0)+1,FALSE)</f>
        <v>15</v>
      </c>
      <c r="R67" s="6">
        <v>3</v>
      </c>
      <c r="S67" s="39">
        <v>1</v>
      </c>
      <c r="T67" s="39">
        <v>1</v>
      </c>
      <c r="U67" s="6">
        <v>0</v>
      </c>
      <c r="V67" s="5" t="str">
        <f ca="1">VLOOKUP($W67,OFFSET([5]enemy_skill_sets!$B$1,0,0,COUNTA([5]enemy_skill_sets!$B:$B),MATCH(M$1,[5]enemy_skill_sets!$1:$1,0)-MATCH($W$1,[5]enemy_skill_sets!$1:$1,0)+2),MATCH(M$1,[5]enemy_skill_sets!$1:$1,0)-MATCH($W$1,[5]enemy_skill_sets!$1:$1,0)+2,FALSE)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7" s="5">
        <f ca="1">VLOOKUP($L67,OFFSET([3]enemies!$A$1,0,0,COUNTA([3]enemies!$A:$A),MATCH(W$1,[3]enemies!$1:$1,0)-MATCH($L$1,[3]enemies!$1:$1,0)+1),MATCH(W$1,[3]enemies!$1:$1,0)-MATCH($L$1,[3]enemies!$1:$1,0)+1,FALSE)</f>
        <v>0</v>
      </c>
      <c r="X67" s="7">
        <v>0</v>
      </c>
      <c r="Y67" s="7">
        <v>100</v>
      </c>
      <c r="Z67" s="7">
        <v>0</v>
      </c>
      <c r="AA67" s="20">
        <f ca="1">VLOOKUP($L67,OFFSET([3]enemies!$A$1,0,0,COUNTA([3]enemies!$A:$A),MATCH(AA$1,[3]enemies!$1:$1,0)-MATCH($L$1,[3]enemies!$1:$1,0)+1),MATCH(AA$1,[3]enemies!$1:$1,0)-MATCH($L$1,[3]enemies!$1:$1,0)+1,FALSE)</f>
        <v>2</v>
      </c>
      <c r="AB67" s="24">
        <v>109</v>
      </c>
      <c r="AC67" s="5" t="str">
        <f ca="1">IFERROR(VLOOKUP($AB67,OFFSET([4]characters!$A$1,0,0,COUNTA([4]characters!$A:$A),MATCH(AC$1,[4]characters!$1:$1,0)-MATCH("character_id",[4]characters!$1:$1,0)+1),MATCH(AC$1,[4]characters!$1:$1,0)-MATCH("character_id",[4]characters!$1:$1,0)+1,FALSE),"")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67" s="5">
        <f ca="1">IFERROR(VLOOKUP($AB67,OFFSET([4]characters!$A$1,0,0,COUNTA([4]characters!$A:$A),MATCH(AD$1,[4]characters!$1:$1,0)-MATCH("character_id",[4]characters!$1:$1,0)+1),MATCH(AD$1,[4]characters!$1:$1,0)-MATCH("character_id",[4]characters!$1:$1,0)+1,FALSE),"")</f>
        <v>2</v>
      </c>
      <c r="AE67" s="5" t="str">
        <f ca="1">IFERROR(VLOOKUP($AB67,OFFSET([4]characters!$A$1,0,0,COUNTA([4]characters!$A:$A),MATCH(AE$1,[4]characters!$1:$1,0)-MATCH("character_id",[4]characters!$1:$1,0)+1),MATCH(AE$1,[4]characters!$1:$1,0)-MATCH("character_id",[4]characters!$1:$1,0)+1,FALSE),"")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7" s="8">
        <v>1</v>
      </c>
      <c r="AG67" s="27">
        <f t="shared" ca="1" si="7"/>
        <v>2</v>
      </c>
      <c r="AH67" s="9">
        <v>40</v>
      </c>
      <c r="AI67" s="8">
        <v>0</v>
      </c>
      <c r="AJ67" s="8">
        <v>0</v>
      </c>
      <c r="AK67" s="8">
        <v>0</v>
      </c>
      <c r="AL67" s="8">
        <v>0</v>
      </c>
      <c r="AM67" s="8">
        <v>1</v>
      </c>
      <c r="AN67" s="8">
        <v>1</v>
      </c>
    </row>
    <row r="68" spans="1:40" ht="21" customHeight="1" x14ac:dyDescent="0.15">
      <c r="A68" s="17" t="str">
        <f t="shared" ca="1" si="4"/>
        <v>11008_1-3/109&lt;lv3&gt;s2</v>
      </c>
      <c r="B68" s="8">
        <v>11008</v>
      </c>
      <c r="C68" s="25">
        <v>1</v>
      </c>
      <c r="D68" s="2" t="str">
        <f t="shared" si="5"/>
        <v>11008_1</v>
      </c>
      <c r="E68" s="5" t="str">
        <f ca="1">VLOOKUP($B68,OFFSET([2]quests!$A$1,0,0,COUNTA([2]quests!$A:$A),MATCH(E$1,[2]quests!$1:$1,0)-MATCH($B$1,[2]quests!$1:$1,0)+1),MATCH(E$1,[2]quests!$1:$1,0)-MATCH($B$1,[2]quests!$1:$1,0)+1,FALSE)</f>
        <v>【日曜限定】 青と黄の素材</v>
      </c>
      <c r="F68" s="5" t="str">
        <f ca="1">VLOOKUP($D68,OFFSET([2]stages!$A$1,0,0,COUNTA([2]stages!$A:$A),MATCH(F$1,[2]stages!$2:$2,0)-MATCH($D$1,[2]stages!$2:$2,0)+1),MATCH(F$1,[2]stages!$2:$2,0)-MATCH($D$1,[2]stages!$2:$2,0)+1,FALSE)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68" s="25">
        <v>3</v>
      </c>
      <c r="H68" s="16" t="str">
        <f t="shared" si="6"/>
        <v>11008_1-3</v>
      </c>
      <c r="I68" s="5">
        <f ca="1">VLOOKUP($H68,OFFSET(floors!$A$1,0,0,COUNTA(floors!$A:$A),MATCH(I$1,floors!$1:$1,0)-MATCH($H$1,floors!$1:$1,0)+1),MATCH(I$1,floors!$1:$1,0)-MATCH($H$1,floors!$1:$1,0)+1,FALSE)</f>
        <v>45</v>
      </c>
      <c r="J68" s="5">
        <f ca="1">VLOOKUP($H68,OFFSET(floors!$A$1,0,0,COUNTA(floors!$A:$A),MATCH(J$1,floors!$1:$1,0)-MATCH($H$1,floors!$1:$1,0)+1),MATCH(J$1,floors!$1:$1,0)-MATCH($H$1,floors!$1:$1,0)+1,FALSE)</f>
        <v>45</v>
      </c>
      <c r="K68" s="24" t="s">
        <v>197</v>
      </c>
      <c r="L68" s="24">
        <v>109</v>
      </c>
      <c r="M68" s="20" t="str">
        <f ca="1">VLOOKUP($L68,OFFSET([3]enemies!$A$1,0,0,COUNTA([3]enemies!$A:$A),MATCH(M$1,[3]enemies!$1:$1,0)-MATCH($L$1,[3]enemies!$1:$1,0)+1),MATCH(M$1,[3]enemies!$1:$1,0)-MATCH($L$1,[3]enemies!$1:$1,0)+1,FALSE)</f>
        <v>ブルーチェシャ</v>
      </c>
      <c r="N68" s="20" t="str">
        <f ca="1">VLOOKUP($L68,OFFSET([3]enemies!$A$1,0,0,COUNTA([3]enemies!$A:$A),MATCH(N$1,[3]enemies!$1:$1,0)-MATCH($L$1,[3]enemies!$1:$1,0)+1),MATCH(N$1,[3]enemies!$1:$1,0)-MATCH($L$1,[3]enemies!$1:$1,0)+1,FALSE)</f>
        <v>blue</v>
      </c>
      <c r="O68" s="22" t="str">
        <f ca="1">VLOOKUP($L68,OFFSET([4]characters!$A$1,0,0,COUNTA([4]characters!$A:$A),MATCH(O$1,[4]characters!$1:$1,0)-MATCH($L$1,[4]characters!$1:$1,0)+1),MATCH(O$1,[4]characters!$1:$1,0)-MATCH($L$1,[4]characters!$1:$1,0)+1,FALSE)</f>
        <v>Material</v>
      </c>
      <c r="P68" s="20" t="str">
        <f ca="1">VLOOKUP($L68,OFFSET([3]enemies!$A$1,0,0,COUNTA([3]enemies!$A:$A),MATCH(P$1,[3]enemies!$1:$1,0)-MATCH($L$1,[3]enemies!$1:$1,0)+1),MATCH(P$1,[3]enemies!$1:$1,0)-MATCH($L$1,[3]enemies!$1:$1,0)+1,FALSE)</f>
        <v>unknown</v>
      </c>
      <c r="Q68" s="20">
        <f ca="1">VLOOKUP($L68,OFFSET([3]enemies!$A$1,0,0,COUNTA([3]enemies!$A:$A),MATCH(Q$1,[3]enemies!$1:$1,0)-MATCH($L$1,[3]enemies!$1:$1,0)+1),MATCH(Q$1,[3]enemies!$1:$1,0)-MATCH($L$1,[3]enemies!$1:$1,0)+1,FALSE)</f>
        <v>15</v>
      </c>
      <c r="R68" s="6">
        <v>3</v>
      </c>
      <c r="S68" s="39">
        <v>1</v>
      </c>
      <c r="T68" s="39">
        <v>1</v>
      </c>
      <c r="U68" s="6">
        <v>0</v>
      </c>
      <c r="V68" s="5" t="str">
        <f ca="1">VLOOKUP($W68,OFFSET([5]enemy_skill_sets!$B$1,0,0,COUNTA([5]enemy_skill_sets!$B:$B),MATCH(M$1,[5]enemy_skill_sets!$1:$1,0)-MATCH($W$1,[5]enemy_skill_sets!$1:$1,0)+2),MATCH(M$1,[5]enemy_skill_sets!$1:$1,0)-MATCH($W$1,[5]enemy_skill_sets!$1:$1,0)+2,FALSE)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8" s="5">
        <f ca="1">VLOOKUP($L68,OFFSET([3]enemies!$A$1,0,0,COUNTA([3]enemies!$A:$A),MATCH(W$1,[3]enemies!$1:$1,0)-MATCH($L$1,[3]enemies!$1:$1,0)+1),MATCH(W$1,[3]enemies!$1:$1,0)-MATCH($L$1,[3]enemies!$1:$1,0)+1,FALSE)</f>
        <v>0</v>
      </c>
      <c r="X68" s="7">
        <v>0</v>
      </c>
      <c r="Y68" s="7">
        <v>100</v>
      </c>
      <c r="Z68" s="7">
        <v>0</v>
      </c>
      <c r="AA68" s="20">
        <f ca="1">VLOOKUP($L68,OFFSET([3]enemies!$A$1,0,0,COUNTA([3]enemies!$A:$A),MATCH(AA$1,[3]enemies!$1:$1,0)-MATCH($L$1,[3]enemies!$1:$1,0)+1),MATCH(AA$1,[3]enemies!$1:$1,0)-MATCH($L$1,[3]enemies!$1:$1,0)+1,FALSE)</f>
        <v>2</v>
      </c>
      <c r="AB68" s="24">
        <v>109</v>
      </c>
      <c r="AC68" s="5" t="str">
        <f ca="1">IFERROR(VLOOKUP($AB68,OFFSET([4]characters!$A$1,0,0,COUNTA([4]characters!$A:$A),MATCH(AC$1,[4]characters!$1:$1,0)-MATCH("character_id",[4]characters!$1:$1,0)+1),MATCH(AC$1,[4]characters!$1:$1,0)-MATCH("character_id",[4]characters!$1:$1,0)+1,FALSE),"")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68" s="5">
        <f ca="1">IFERROR(VLOOKUP($AB68,OFFSET([4]characters!$A$1,0,0,COUNTA([4]characters!$A:$A),MATCH(AD$1,[4]characters!$1:$1,0)-MATCH("character_id",[4]characters!$1:$1,0)+1),MATCH(AD$1,[4]characters!$1:$1,0)-MATCH("character_id",[4]characters!$1:$1,0)+1,FALSE),"")</f>
        <v>2</v>
      </c>
      <c r="AE68" s="5" t="str">
        <f ca="1">IFERROR(VLOOKUP($AB68,OFFSET([4]characters!$A$1,0,0,COUNTA([4]characters!$A:$A),MATCH(AE$1,[4]characters!$1:$1,0)-MATCH("character_id",[4]characters!$1:$1,0)+1),MATCH(AE$1,[4]characters!$1:$1,0)-MATCH("character_id",[4]characters!$1:$1,0)+1,FALSE),"")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8" s="8">
        <v>1</v>
      </c>
      <c r="AG68" s="27">
        <f t="shared" ca="1" si="7"/>
        <v>2</v>
      </c>
      <c r="AH68" s="9">
        <v>40</v>
      </c>
      <c r="AI68" s="8">
        <v>0</v>
      </c>
      <c r="AJ68" s="8">
        <v>0</v>
      </c>
      <c r="AK68" s="8">
        <v>0</v>
      </c>
      <c r="AL68" s="8">
        <v>0</v>
      </c>
      <c r="AM68" s="8">
        <v>1</v>
      </c>
      <c r="AN68" s="8">
        <v>1</v>
      </c>
    </row>
    <row r="69" spans="1:40" ht="21" customHeight="1" x14ac:dyDescent="0.15">
      <c r="A69" s="17" t="str">
        <f t="shared" ca="1" si="4"/>
        <v>11008_1-3/110&lt;lv3&gt;s4</v>
      </c>
      <c r="B69" s="8">
        <v>11008</v>
      </c>
      <c r="C69" s="25">
        <v>1</v>
      </c>
      <c r="D69" s="2" t="str">
        <f t="shared" si="5"/>
        <v>11008_1</v>
      </c>
      <c r="E69" s="5" t="str">
        <f ca="1">VLOOKUP($B69,OFFSET([2]quests!$A$1,0,0,COUNTA([2]quests!$A:$A),MATCH(E$1,[2]quests!$1:$1,0)-MATCH($B$1,[2]quests!$1:$1,0)+1),MATCH(E$1,[2]quests!$1:$1,0)-MATCH($B$1,[2]quests!$1:$1,0)+1,FALSE)</f>
        <v>【日曜限定】 青と黄の素材</v>
      </c>
      <c r="F69" s="5" t="str">
        <f ca="1">VLOOKUP($D69,OFFSET([2]stages!$A$1,0,0,COUNTA([2]stages!$A:$A),MATCH(F$1,[2]stages!$2:$2,0)-MATCH($D$1,[2]stages!$2:$2,0)+1),MATCH(F$1,[2]stages!$2:$2,0)-MATCH($D$1,[2]stages!$2:$2,0)+1,FALSE)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69" s="25">
        <v>3</v>
      </c>
      <c r="H69" s="16" t="str">
        <f t="shared" si="6"/>
        <v>11008_1-3</v>
      </c>
      <c r="I69" s="5">
        <f ca="1">VLOOKUP($H69,OFFSET(floors!$A$1,0,0,COUNTA(floors!$A:$A),MATCH(I$1,floors!$1:$1,0)-MATCH($H$1,floors!$1:$1,0)+1),MATCH(I$1,floors!$1:$1,0)-MATCH($H$1,floors!$1:$1,0)+1,FALSE)</f>
        <v>45</v>
      </c>
      <c r="J69" s="5">
        <f ca="1">VLOOKUP($H69,OFFSET(floors!$A$1,0,0,COUNTA(floors!$A:$A),MATCH(J$1,floors!$1:$1,0)-MATCH($H$1,floors!$1:$1,0)+1),MATCH(J$1,floors!$1:$1,0)-MATCH($H$1,floors!$1:$1,0)+1,FALSE)</f>
        <v>45</v>
      </c>
      <c r="K69" s="24" t="s">
        <v>197</v>
      </c>
      <c r="L69" s="24">
        <v>110</v>
      </c>
      <c r="M69" s="20" t="str">
        <f ca="1">VLOOKUP($L69,OFFSET([3]enemies!$A$1,0,0,COUNTA([3]enemies!$A:$A),MATCH(M$1,[3]enemies!$1:$1,0)-MATCH($L$1,[3]enemies!$1:$1,0)+1),MATCH(M$1,[3]enemies!$1:$1,0)-MATCH($L$1,[3]enemies!$1:$1,0)+1,FALSE)</f>
        <v>ブルーラビット</v>
      </c>
      <c r="N69" s="20" t="str">
        <f ca="1">VLOOKUP($L69,OFFSET([3]enemies!$A$1,0,0,COUNTA([3]enemies!$A:$A),MATCH(N$1,[3]enemies!$1:$1,0)-MATCH($L$1,[3]enemies!$1:$1,0)+1),MATCH(N$1,[3]enemies!$1:$1,0)-MATCH($L$1,[3]enemies!$1:$1,0)+1,FALSE)</f>
        <v>blue</v>
      </c>
      <c r="O69" s="22" t="str">
        <f ca="1">VLOOKUP($L69,OFFSET([4]characters!$A$1,0,0,COUNTA([4]characters!$A:$A),MATCH(O$1,[4]characters!$1:$1,0)-MATCH($L$1,[4]characters!$1:$1,0)+1),MATCH(O$1,[4]characters!$1:$1,0)-MATCH($L$1,[4]characters!$1:$1,0)+1,FALSE)</f>
        <v>Material</v>
      </c>
      <c r="P69" s="20" t="str">
        <f ca="1">VLOOKUP($L69,OFFSET([3]enemies!$A$1,0,0,COUNTA([3]enemies!$A:$A),MATCH(P$1,[3]enemies!$1:$1,0)-MATCH($L$1,[3]enemies!$1:$1,0)+1),MATCH(P$1,[3]enemies!$1:$1,0)-MATCH($L$1,[3]enemies!$1:$1,0)+1,FALSE)</f>
        <v>unknown</v>
      </c>
      <c r="Q69" s="20">
        <f ca="1">VLOOKUP($L69,OFFSET([3]enemies!$A$1,0,0,COUNTA([3]enemies!$A:$A),MATCH(Q$1,[3]enemies!$1:$1,0)-MATCH($L$1,[3]enemies!$1:$1,0)+1),MATCH(Q$1,[3]enemies!$1:$1,0)-MATCH($L$1,[3]enemies!$1:$1,0)+1,FALSE)</f>
        <v>15</v>
      </c>
      <c r="R69" s="6">
        <v>3</v>
      </c>
      <c r="S69" s="40">
        <v>1.8</v>
      </c>
      <c r="T69" s="39">
        <v>1</v>
      </c>
      <c r="U69" s="6">
        <v>0</v>
      </c>
      <c r="V69" s="5" t="str">
        <f ca="1">VLOOKUP($W69,OFFSET([5]enemy_skill_sets!$B$1,0,0,COUNTA([5]enemy_skill_sets!$B:$B),MATCH(M$1,[5]enemy_skill_sets!$1:$1,0)-MATCH($W$1,[5]enemy_skill_sets!$1:$1,0)+2),MATCH(M$1,[5]enemy_skill_sets!$1:$1,0)-MATCH($W$1,[5]enemy_skill_sets!$1:$1,0)+2,FALSE)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9" s="5">
        <f ca="1">VLOOKUP($L69,OFFSET([3]enemies!$A$1,0,0,COUNTA([3]enemies!$A:$A),MATCH(W$1,[3]enemies!$1:$1,0)-MATCH($L$1,[3]enemies!$1:$1,0)+1),MATCH(W$1,[3]enemies!$1:$1,0)-MATCH($L$1,[3]enemies!$1:$1,0)+1,FALSE)</f>
        <v>0</v>
      </c>
      <c r="X69" s="7">
        <v>0</v>
      </c>
      <c r="Y69" s="7">
        <v>40</v>
      </c>
      <c r="Z69" s="7">
        <v>0</v>
      </c>
      <c r="AA69" s="20">
        <f ca="1">VLOOKUP($L69,OFFSET([3]enemies!$A$1,0,0,COUNTA([3]enemies!$A:$A),MATCH(AA$1,[3]enemies!$1:$1,0)-MATCH($L$1,[3]enemies!$1:$1,0)+1),MATCH(AA$1,[3]enemies!$1:$1,0)-MATCH($L$1,[3]enemies!$1:$1,0)+1,FALSE)</f>
        <v>4</v>
      </c>
      <c r="AB69" s="24">
        <v>110</v>
      </c>
      <c r="AC69" s="5" t="str">
        <f ca="1">IFERROR(VLOOKUP($AB69,OFFSET([4]characters!$A$1,0,0,COUNTA([4]characters!$A:$A),MATCH(AC$1,[4]characters!$1:$1,0)-MATCH("character_id",[4]characters!$1:$1,0)+1),MATCH(AC$1,[4]characters!$1:$1,0)-MATCH("character_id",[4]characters!$1:$1,0)+1,FALSE),"")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69" s="5">
        <f ca="1">IFERROR(VLOOKUP($AB69,OFFSET([4]characters!$A$1,0,0,COUNTA([4]characters!$A:$A),MATCH(AD$1,[4]characters!$1:$1,0)-MATCH("character_id",[4]characters!$1:$1,0)+1),MATCH(AD$1,[4]characters!$1:$1,0)-MATCH("character_id",[4]characters!$1:$1,0)+1,FALSE),"")</f>
        <v>3</v>
      </c>
      <c r="AE69" s="5" t="str">
        <f ca="1">IFERROR(VLOOKUP($AB69,OFFSET([4]characters!$A$1,0,0,COUNTA([4]characters!$A:$A),MATCH(AE$1,[4]characters!$1:$1,0)-MATCH("character_id",[4]characters!$1:$1,0)+1),MATCH(AE$1,[4]characters!$1:$1,0)-MATCH("character_id",[4]characters!$1:$1,0)+1,FALSE),"")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69" s="8">
        <v>1</v>
      </c>
      <c r="AG69" s="27">
        <f t="shared" ca="1" si="7"/>
        <v>3</v>
      </c>
      <c r="AH69" s="9">
        <v>10</v>
      </c>
      <c r="AI69" s="8">
        <v>0</v>
      </c>
      <c r="AJ69" s="8">
        <v>0</v>
      </c>
      <c r="AK69" s="8">
        <v>0</v>
      </c>
      <c r="AL69" s="8">
        <v>0</v>
      </c>
      <c r="AM69" s="8">
        <v>1</v>
      </c>
      <c r="AN69" s="8">
        <v>1</v>
      </c>
    </row>
    <row r="70" spans="1:40" ht="21" customHeight="1" x14ac:dyDescent="0.15">
      <c r="A70" s="17" t="str">
        <f t="shared" ca="1" si="4"/>
        <v>11008_1-4/109&lt;lv3&gt;s2</v>
      </c>
      <c r="B70" s="8">
        <v>11008</v>
      </c>
      <c r="C70" s="25">
        <v>1</v>
      </c>
      <c r="D70" s="2" t="str">
        <f t="shared" si="5"/>
        <v>11008_1</v>
      </c>
      <c r="E70" s="5" t="str">
        <f ca="1">VLOOKUP($B70,OFFSET([2]quests!$A$1,0,0,COUNTA([2]quests!$A:$A),MATCH(E$1,[2]quests!$1:$1,0)-MATCH($B$1,[2]quests!$1:$1,0)+1),MATCH(E$1,[2]quests!$1:$1,0)-MATCH($B$1,[2]quests!$1:$1,0)+1,FALSE)</f>
        <v>【日曜限定】 青と黄の素材</v>
      </c>
      <c r="F70" s="5" t="str">
        <f ca="1">VLOOKUP($D70,OFFSET([2]stages!$A$1,0,0,COUNTA([2]stages!$A:$A),MATCH(F$1,[2]stages!$2:$2,0)-MATCH($D$1,[2]stages!$2:$2,0)+1),MATCH(F$1,[2]stages!$2:$2,0)-MATCH($D$1,[2]stages!$2:$2,0)+1,FALSE)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0" s="25">
        <v>4</v>
      </c>
      <c r="H70" s="16" t="str">
        <f t="shared" si="6"/>
        <v>11008_1-4</v>
      </c>
      <c r="I70" s="5">
        <f ca="1">VLOOKUP($H70,OFFSET(floors!$A$1,0,0,COUNTA(floors!$A:$A),MATCH(I$1,floors!$1:$1,0)-MATCH($H$1,floors!$1:$1,0)+1),MATCH(I$1,floors!$1:$1,0)-MATCH($H$1,floors!$1:$1,0)+1,FALSE)</f>
        <v>45</v>
      </c>
      <c r="J70" s="5">
        <f ca="1">VLOOKUP($H70,OFFSET(floors!$A$1,0,0,COUNTA(floors!$A:$A),MATCH(J$1,floors!$1:$1,0)-MATCH($H$1,floors!$1:$1,0)+1),MATCH(J$1,floors!$1:$1,0)-MATCH($H$1,floors!$1:$1,0)+1,FALSE)</f>
        <v>60</v>
      </c>
      <c r="K70" s="24" t="s">
        <v>197</v>
      </c>
      <c r="L70" s="24">
        <v>109</v>
      </c>
      <c r="M70" s="20" t="str">
        <f ca="1">VLOOKUP($L70,OFFSET([3]enemies!$A$1,0,0,COUNTA([3]enemies!$A:$A),MATCH(M$1,[3]enemies!$1:$1,0)-MATCH($L$1,[3]enemies!$1:$1,0)+1),MATCH(M$1,[3]enemies!$1:$1,0)-MATCH($L$1,[3]enemies!$1:$1,0)+1,FALSE)</f>
        <v>ブルーチェシャ</v>
      </c>
      <c r="N70" s="20" t="str">
        <f ca="1">VLOOKUP($L70,OFFSET([3]enemies!$A$1,0,0,COUNTA([3]enemies!$A:$A),MATCH(N$1,[3]enemies!$1:$1,0)-MATCH($L$1,[3]enemies!$1:$1,0)+1),MATCH(N$1,[3]enemies!$1:$1,0)-MATCH($L$1,[3]enemies!$1:$1,0)+1,FALSE)</f>
        <v>blue</v>
      </c>
      <c r="O70" s="22" t="str">
        <f ca="1">VLOOKUP($L70,OFFSET([4]characters!$A$1,0,0,COUNTA([4]characters!$A:$A),MATCH(O$1,[4]characters!$1:$1,0)-MATCH($L$1,[4]characters!$1:$1,0)+1),MATCH(O$1,[4]characters!$1:$1,0)-MATCH($L$1,[4]characters!$1:$1,0)+1,FALSE)</f>
        <v>Material</v>
      </c>
      <c r="P70" s="20" t="str">
        <f ca="1">VLOOKUP($L70,OFFSET([3]enemies!$A$1,0,0,COUNTA([3]enemies!$A:$A),MATCH(P$1,[3]enemies!$1:$1,0)-MATCH($L$1,[3]enemies!$1:$1,0)+1),MATCH(P$1,[3]enemies!$1:$1,0)-MATCH($L$1,[3]enemies!$1:$1,0)+1,FALSE)</f>
        <v>unknown</v>
      </c>
      <c r="Q70" s="20">
        <f ca="1">VLOOKUP($L70,OFFSET([3]enemies!$A$1,0,0,COUNTA([3]enemies!$A:$A),MATCH(Q$1,[3]enemies!$1:$1,0)-MATCH($L$1,[3]enemies!$1:$1,0)+1),MATCH(Q$1,[3]enemies!$1:$1,0)-MATCH($L$1,[3]enemies!$1:$1,0)+1,FALSE)</f>
        <v>15</v>
      </c>
      <c r="R70" s="6">
        <v>3</v>
      </c>
      <c r="S70" s="39">
        <v>1</v>
      </c>
      <c r="T70" s="39">
        <v>1</v>
      </c>
      <c r="U70" s="6">
        <v>0</v>
      </c>
      <c r="V70" s="5" t="str">
        <f ca="1">VLOOKUP($W70,OFFSET([5]enemy_skill_sets!$B$1,0,0,COUNTA([5]enemy_skill_sets!$B:$B),MATCH(M$1,[5]enemy_skill_sets!$1:$1,0)-MATCH($W$1,[5]enemy_skill_sets!$1:$1,0)+2),MATCH(M$1,[5]enemy_skill_sets!$1:$1,0)-MATCH($W$1,[5]enemy_skill_sets!$1:$1,0)+2,FALSE)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0" s="5">
        <f ca="1">VLOOKUP($L70,OFFSET([3]enemies!$A$1,0,0,COUNTA([3]enemies!$A:$A),MATCH(W$1,[3]enemies!$1:$1,0)-MATCH($L$1,[3]enemies!$1:$1,0)+1),MATCH(W$1,[3]enemies!$1:$1,0)-MATCH($L$1,[3]enemies!$1:$1,0)+1,FALSE)</f>
        <v>0</v>
      </c>
      <c r="X70" s="7">
        <v>0</v>
      </c>
      <c r="Y70" s="7">
        <v>100</v>
      </c>
      <c r="Z70" s="7">
        <v>0</v>
      </c>
      <c r="AA70" s="20">
        <f ca="1">VLOOKUP($L70,OFFSET([3]enemies!$A$1,0,0,COUNTA([3]enemies!$A:$A),MATCH(AA$1,[3]enemies!$1:$1,0)-MATCH($L$1,[3]enemies!$1:$1,0)+1),MATCH(AA$1,[3]enemies!$1:$1,0)-MATCH($L$1,[3]enemies!$1:$1,0)+1,FALSE)</f>
        <v>2</v>
      </c>
      <c r="AB70" s="24">
        <v>109</v>
      </c>
      <c r="AC70" s="5" t="str">
        <f ca="1">IFERROR(VLOOKUP($AB70,OFFSET([4]characters!$A$1,0,0,COUNTA([4]characters!$A:$A),MATCH(AC$1,[4]characters!$1:$1,0)-MATCH("character_id",[4]characters!$1:$1,0)+1),MATCH(AC$1,[4]characters!$1:$1,0)-MATCH("character_id",[4]characters!$1:$1,0)+1,FALSE),"")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70" s="5">
        <f ca="1">IFERROR(VLOOKUP($AB70,OFFSET([4]characters!$A$1,0,0,COUNTA([4]characters!$A:$A),MATCH(AD$1,[4]characters!$1:$1,0)-MATCH("character_id",[4]characters!$1:$1,0)+1),MATCH(AD$1,[4]characters!$1:$1,0)-MATCH("character_id",[4]characters!$1:$1,0)+1,FALSE),"")</f>
        <v>2</v>
      </c>
      <c r="AE70" s="5" t="str">
        <f ca="1">IFERROR(VLOOKUP($AB70,OFFSET([4]characters!$A$1,0,0,COUNTA([4]characters!$A:$A),MATCH(AE$1,[4]characters!$1:$1,0)-MATCH("character_id",[4]characters!$1:$1,0)+1),MATCH(AE$1,[4]characters!$1:$1,0)-MATCH("character_id",[4]characters!$1:$1,0)+1,FALSE),"")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0" s="8">
        <v>1</v>
      </c>
      <c r="AG70" s="27">
        <f t="shared" ca="1" si="7"/>
        <v>2</v>
      </c>
      <c r="AH70" s="9">
        <v>40</v>
      </c>
      <c r="AI70" s="8">
        <v>0</v>
      </c>
      <c r="AJ70" s="8">
        <v>0</v>
      </c>
      <c r="AK70" s="8">
        <v>0</v>
      </c>
      <c r="AL70" s="8">
        <v>0</v>
      </c>
      <c r="AM70" s="8">
        <v>1</v>
      </c>
      <c r="AN70" s="8">
        <v>1</v>
      </c>
    </row>
    <row r="71" spans="1:40" ht="21" customHeight="1" x14ac:dyDescent="0.15">
      <c r="A71" s="17" t="str">
        <f t="shared" ca="1" si="4"/>
        <v>11008_1-4/110&lt;lv3&gt;s4</v>
      </c>
      <c r="B71" s="8">
        <v>11008</v>
      </c>
      <c r="C71" s="25">
        <v>1</v>
      </c>
      <c r="D71" s="2" t="str">
        <f t="shared" si="5"/>
        <v>11008_1</v>
      </c>
      <c r="E71" s="5" t="str">
        <f ca="1">VLOOKUP($B71,OFFSET([2]quests!$A$1,0,0,COUNTA([2]quests!$A:$A),MATCH(E$1,[2]quests!$1:$1,0)-MATCH($B$1,[2]quests!$1:$1,0)+1),MATCH(E$1,[2]quests!$1:$1,0)-MATCH($B$1,[2]quests!$1:$1,0)+1,FALSE)</f>
        <v>【日曜限定】 青と黄の素材</v>
      </c>
      <c r="F71" s="5" t="str">
        <f ca="1">VLOOKUP($D71,OFFSET([2]stages!$A$1,0,0,COUNTA([2]stages!$A:$A),MATCH(F$1,[2]stages!$2:$2,0)-MATCH($D$1,[2]stages!$2:$2,0)+1),MATCH(F$1,[2]stages!$2:$2,0)-MATCH($D$1,[2]stages!$2:$2,0)+1,FALSE)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1" s="25">
        <v>4</v>
      </c>
      <c r="H71" s="16" t="str">
        <f t="shared" si="6"/>
        <v>11008_1-4</v>
      </c>
      <c r="I71" s="5">
        <f ca="1">VLOOKUP($H71,OFFSET(floors!$A$1,0,0,COUNTA(floors!$A:$A),MATCH(I$1,floors!$1:$1,0)-MATCH($H$1,floors!$1:$1,0)+1),MATCH(I$1,floors!$1:$1,0)-MATCH($H$1,floors!$1:$1,0)+1,FALSE)</f>
        <v>45</v>
      </c>
      <c r="J71" s="5">
        <f ca="1">VLOOKUP($H71,OFFSET(floors!$A$1,0,0,COUNTA(floors!$A:$A),MATCH(J$1,floors!$1:$1,0)-MATCH($H$1,floors!$1:$1,0)+1),MATCH(J$1,floors!$1:$1,0)-MATCH($H$1,floors!$1:$1,0)+1,FALSE)</f>
        <v>60</v>
      </c>
      <c r="K71" s="24" t="s">
        <v>197</v>
      </c>
      <c r="L71" s="24">
        <v>110</v>
      </c>
      <c r="M71" s="20" t="str">
        <f ca="1">VLOOKUP($L71,OFFSET([3]enemies!$A$1,0,0,COUNTA([3]enemies!$A:$A),MATCH(M$1,[3]enemies!$1:$1,0)-MATCH($L$1,[3]enemies!$1:$1,0)+1),MATCH(M$1,[3]enemies!$1:$1,0)-MATCH($L$1,[3]enemies!$1:$1,0)+1,FALSE)</f>
        <v>ブルーラビット</v>
      </c>
      <c r="N71" s="20" t="str">
        <f ca="1">VLOOKUP($L71,OFFSET([3]enemies!$A$1,0,0,COUNTA([3]enemies!$A:$A),MATCH(N$1,[3]enemies!$1:$1,0)-MATCH($L$1,[3]enemies!$1:$1,0)+1),MATCH(N$1,[3]enemies!$1:$1,0)-MATCH($L$1,[3]enemies!$1:$1,0)+1,FALSE)</f>
        <v>blue</v>
      </c>
      <c r="O71" s="22" t="str">
        <f ca="1">VLOOKUP($L71,OFFSET([4]characters!$A$1,0,0,COUNTA([4]characters!$A:$A),MATCH(O$1,[4]characters!$1:$1,0)-MATCH($L$1,[4]characters!$1:$1,0)+1),MATCH(O$1,[4]characters!$1:$1,0)-MATCH($L$1,[4]characters!$1:$1,0)+1,FALSE)</f>
        <v>Material</v>
      </c>
      <c r="P71" s="20" t="str">
        <f ca="1">VLOOKUP($L71,OFFSET([3]enemies!$A$1,0,0,COUNTA([3]enemies!$A:$A),MATCH(P$1,[3]enemies!$1:$1,0)-MATCH($L$1,[3]enemies!$1:$1,0)+1),MATCH(P$1,[3]enemies!$1:$1,0)-MATCH($L$1,[3]enemies!$1:$1,0)+1,FALSE)</f>
        <v>unknown</v>
      </c>
      <c r="Q71" s="20">
        <f ca="1">VLOOKUP($L71,OFFSET([3]enemies!$A$1,0,0,COUNTA([3]enemies!$A:$A),MATCH(Q$1,[3]enemies!$1:$1,0)-MATCH($L$1,[3]enemies!$1:$1,0)+1),MATCH(Q$1,[3]enemies!$1:$1,0)-MATCH($L$1,[3]enemies!$1:$1,0)+1,FALSE)</f>
        <v>15</v>
      </c>
      <c r="R71" s="6">
        <v>3</v>
      </c>
      <c r="S71" s="40">
        <v>1.8</v>
      </c>
      <c r="T71" s="39">
        <v>1</v>
      </c>
      <c r="U71" s="6">
        <v>0</v>
      </c>
      <c r="V71" s="5" t="str">
        <f ca="1">VLOOKUP($W71,OFFSET([5]enemy_skill_sets!$B$1,0,0,COUNTA([5]enemy_skill_sets!$B:$B),MATCH(M$1,[5]enemy_skill_sets!$1:$1,0)-MATCH($W$1,[5]enemy_skill_sets!$1:$1,0)+2),MATCH(M$1,[5]enemy_skill_sets!$1:$1,0)-MATCH($W$1,[5]enemy_skill_sets!$1:$1,0)+2,FALSE)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1" s="5">
        <f ca="1">VLOOKUP($L71,OFFSET([3]enemies!$A$1,0,0,COUNTA([3]enemies!$A:$A),MATCH(W$1,[3]enemies!$1:$1,0)-MATCH($L$1,[3]enemies!$1:$1,0)+1),MATCH(W$1,[3]enemies!$1:$1,0)-MATCH($L$1,[3]enemies!$1:$1,0)+1,FALSE)</f>
        <v>0</v>
      </c>
      <c r="X71" s="7">
        <v>0</v>
      </c>
      <c r="Y71" s="7">
        <v>40</v>
      </c>
      <c r="Z71" s="7">
        <v>0</v>
      </c>
      <c r="AA71" s="20">
        <f ca="1">VLOOKUP($L71,OFFSET([3]enemies!$A$1,0,0,COUNTA([3]enemies!$A:$A),MATCH(AA$1,[3]enemies!$1:$1,0)-MATCH($L$1,[3]enemies!$1:$1,0)+1),MATCH(AA$1,[3]enemies!$1:$1,0)-MATCH($L$1,[3]enemies!$1:$1,0)+1,FALSE)</f>
        <v>4</v>
      </c>
      <c r="AB71" s="24">
        <v>110</v>
      </c>
      <c r="AC71" s="5" t="str">
        <f ca="1">IFERROR(VLOOKUP($AB71,OFFSET([4]characters!$A$1,0,0,COUNTA([4]characters!$A:$A),MATCH(AC$1,[4]characters!$1:$1,0)-MATCH("character_id",[4]characters!$1:$1,0)+1),MATCH(AC$1,[4]characters!$1:$1,0)-MATCH("character_id",[4]characters!$1:$1,0)+1,FALSE),"")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71" s="5">
        <f ca="1">IFERROR(VLOOKUP($AB71,OFFSET([4]characters!$A$1,0,0,COUNTA([4]characters!$A:$A),MATCH(AD$1,[4]characters!$1:$1,0)-MATCH("character_id",[4]characters!$1:$1,0)+1),MATCH(AD$1,[4]characters!$1:$1,0)-MATCH("character_id",[4]characters!$1:$1,0)+1,FALSE),"")</f>
        <v>3</v>
      </c>
      <c r="AE71" s="5" t="str">
        <f ca="1">IFERROR(VLOOKUP($AB71,OFFSET([4]characters!$A$1,0,0,COUNTA([4]characters!$A:$A),MATCH(AE$1,[4]characters!$1:$1,0)-MATCH("character_id",[4]characters!$1:$1,0)+1),MATCH(AE$1,[4]characters!$1:$1,0)-MATCH("character_id",[4]characters!$1:$1,0)+1,FALSE),"")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1" s="8">
        <v>1</v>
      </c>
      <c r="AG71" s="27">
        <f t="shared" ca="1" si="7"/>
        <v>3</v>
      </c>
      <c r="AH71" s="9">
        <v>20</v>
      </c>
      <c r="AI71" s="8">
        <v>0</v>
      </c>
      <c r="AJ71" s="8">
        <v>0</v>
      </c>
      <c r="AK71" s="8">
        <v>0</v>
      </c>
      <c r="AL71" s="8">
        <v>0</v>
      </c>
      <c r="AM71" s="8">
        <v>1</v>
      </c>
      <c r="AN71" s="8">
        <v>1</v>
      </c>
    </row>
    <row r="72" spans="1:40" ht="21" customHeight="1" x14ac:dyDescent="0.15">
      <c r="A72" s="17" t="str">
        <f t="shared" ca="1" si="4"/>
        <v>11008_1-5/109&lt;lv3&gt;s2</v>
      </c>
      <c r="B72" s="8">
        <v>11008</v>
      </c>
      <c r="C72" s="25">
        <v>1</v>
      </c>
      <c r="D72" s="2" t="str">
        <f t="shared" si="5"/>
        <v>11008_1</v>
      </c>
      <c r="E72" s="5" t="str">
        <f ca="1">VLOOKUP($B72,OFFSET([2]quests!$A$1,0,0,COUNTA([2]quests!$A:$A),MATCH(E$1,[2]quests!$1:$1,0)-MATCH($B$1,[2]quests!$1:$1,0)+1),MATCH(E$1,[2]quests!$1:$1,0)-MATCH($B$1,[2]quests!$1:$1,0)+1,FALSE)</f>
        <v>【日曜限定】 青と黄の素材</v>
      </c>
      <c r="F72" s="5" t="str">
        <f ca="1">VLOOKUP($D72,OFFSET([2]stages!$A$1,0,0,COUNTA([2]stages!$A:$A),MATCH(F$1,[2]stages!$2:$2,0)-MATCH($D$1,[2]stages!$2:$2,0)+1),MATCH(F$1,[2]stages!$2:$2,0)-MATCH($D$1,[2]stages!$2:$2,0)+1,FALSE)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2" s="25">
        <v>5</v>
      </c>
      <c r="H72" s="16" t="str">
        <f t="shared" si="6"/>
        <v>11008_1-5</v>
      </c>
      <c r="I72" s="5">
        <f ca="1">VLOOKUP($H72,OFFSET(floors!$A$1,0,0,COUNTA(floors!$A:$A),MATCH(I$1,floors!$1:$1,0)-MATCH($H$1,floors!$1:$1,0)+1),MATCH(I$1,floors!$1:$1,0)-MATCH($H$1,floors!$1:$1,0)+1,FALSE)</f>
        <v>45</v>
      </c>
      <c r="J72" s="5">
        <f ca="1">VLOOKUP($H72,OFFSET(floors!$A$1,0,0,COUNTA(floors!$A:$A),MATCH(J$1,floors!$1:$1,0)-MATCH($H$1,floors!$1:$1,0)+1),MATCH(J$1,floors!$1:$1,0)-MATCH($H$1,floors!$1:$1,0)+1,FALSE)</f>
        <v>45</v>
      </c>
      <c r="K72" s="24" t="s">
        <v>197</v>
      </c>
      <c r="L72" s="24">
        <v>109</v>
      </c>
      <c r="M72" s="20" t="str">
        <f ca="1">VLOOKUP($L72,OFFSET([3]enemies!$A$1,0,0,COUNTA([3]enemies!$A:$A),MATCH(M$1,[3]enemies!$1:$1,0)-MATCH($L$1,[3]enemies!$1:$1,0)+1),MATCH(M$1,[3]enemies!$1:$1,0)-MATCH($L$1,[3]enemies!$1:$1,0)+1,FALSE)</f>
        <v>ブルーチェシャ</v>
      </c>
      <c r="N72" s="20" t="str">
        <f ca="1">VLOOKUP($L72,OFFSET([3]enemies!$A$1,0,0,COUNTA([3]enemies!$A:$A),MATCH(N$1,[3]enemies!$1:$1,0)-MATCH($L$1,[3]enemies!$1:$1,0)+1),MATCH(N$1,[3]enemies!$1:$1,0)-MATCH($L$1,[3]enemies!$1:$1,0)+1,FALSE)</f>
        <v>blue</v>
      </c>
      <c r="O72" s="22" t="str">
        <f ca="1">VLOOKUP($L72,OFFSET([4]characters!$A$1,0,0,COUNTA([4]characters!$A:$A),MATCH(O$1,[4]characters!$1:$1,0)-MATCH($L$1,[4]characters!$1:$1,0)+1),MATCH(O$1,[4]characters!$1:$1,0)-MATCH($L$1,[4]characters!$1:$1,0)+1,FALSE)</f>
        <v>Material</v>
      </c>
      <c r="P72" s="20" t="str">
        <f ca="1">VLOOKUP($L72,OFFSET([3]enemies!$A$1,0,0,COUNTA([3]enemies!$A:$A),MATCH(P$1,[3]enemies!$1:$1,0)-MATCH($L$1,[3]enemies!$1:$1,0)+1),MATCH(P$1,[3]enemies!$1:$1,0)-MATCH($L$1,[3]enemies!$1:$1,0)+1,FALSE)</f>
        <v>unknown</v>
      </c>
      <c r="Q72" s="20">
        <f ca="1">VLOOKUP($L72,OFFSET([3]enemies!$A$1,0,0,COUNTA([3]enemies!$A:$A),MATCH(Q$1,[3]enemies!$1:$1,0)-MATCH($L$1,[3]enemies!$1:$1,0)+1),MATCH(Q$1,[3]enemies!$1:$1,0)-MATCH($L$1,[3]enemies!$1:$1,0)+1,FALSE)</f>
        <v>15</v>
      </c>
      <c r="R72" s="6">
        <v>3</v>
      </c>
      <c r="S72" s="39">
        <v>1</v>
      </c>
      <c r="T72" s="39">
        <v>1</v>
      </c>
      <c r="U72" s="6">
        <v>0</v>
      </c>
      <c r="V72" s="5" t="str">
        <f ca="1">VLOOKUP($W72,OFFSET([5]enemy_skill_sets!$B$1,0,0,COUNTA([5]enemy_skill_sets!$B:$B),MATCH(M$1,[5]enemy_skill_sets!$1:$1,0)-MATCH($W$1,[5]enemy_skill_sets!$1:$1,0)+2),MATCH(M$1,[5]enemy_skill_sets!$1:$1,0)-MATCH($W$1,[5]enemy_skill_sets!$1:$1,0)+2,FALSE)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2" s="5">
        <f ca="1">VLOOKUP($L72,OFFSET([3]enemies!$A$1,0,0,COUNTA([3]enemies!$A:$A),MATCH(W$1,[3]enemies!$1:$1,0)-MATCH($L$1,[3]enemies!$1:$1,0)+1),MATCH(W$1,[3]enemies!$1:$1,0)-MATCH($L$1,[3]enemies!$1:$1,0)+1,FALSE)</f>
        <v>0</v>
      </c>
      <c r="X72" s="7">
        <v>1</v>
      </c>
      <c r="Y72" s="7">
        <v>100</v>
      </c>
      <c r="Z72" s="7">
        <v>0</v>
      </c>
      <c r="AA72" s="20">
        <f ca="1">VLOOKUP($L72,OFFSET([3]enemies!$A$1,0,0,COUNTA([3]enemies!$A:$A),MATCH(AA$1,[3]enemies!$1:$1,0)-MATCH($L$1,[3]enemies!$1:$1,0)+1),MATCH(AA$1,[3]enemies!$1:$1,0)-MATCH($L$1,[3]enemies!$1:$1,0)+1,FALSE)</f>
        <v>2</v>
      </c>
      <c r="AB72" s="24">
        <v>109</v>
      </c>
      <c r="AC72" s="5" t="str">
        <f ca="1">IFERROR(VLOOKUP($AB72,OFFSET([4]characters!$A$1,0,0,COUNTA([4]characters!$A:$A),MATCH(AC$1,[4]characters!$1:$1,0)-MATCH("character_id",[4]characters!$1:$1,0)+1),MATCH(AC$1,[4]characters!$1:$1,0)-MATCH("character_id",[4]characters!$1:$1,0)+1,FALSE),"")</f>
        <v>ブルーチェシャ</v>
      </c>
      <c r="AD72" s="5">
        <f ca="1">IFERROR(VLOOKUP($AB72,OFFSET([4]characters!$A$1,0,0,COUNTA([4]characters!$A:$A),MATCH(AD$1,[4]characters!$1:$1,0)-MATCH("character_id",[4]characters!$1:$1,0)+1),MATCH(AD$1,[4]characters!$1:$1,0)-MATCH("character_id",[4]characters!$1:$1,0)+1,FALSE),"")</f>
        <v>2</v>
      </c>
      <c r="AE72" s="5" t="str">
        <f ca="1">IFERROR(VLOOKUP($AB72,OFFSET([4]characters!$A$1,0,0,COUNTA([4]characters!$A:$A),MATCH(AE$1,[4]characters!$1:$1,0)-MATCH("character_id",[4]characters!$1:$1,0)+1),MATCH(AE$1,[4]characters!$1:$1,0)-MATCH("character_id",[4]characters!$1:$1,0)+1,FALSE),"")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2" s="8">
        <v>1</v>
      </c>
      <c r="AG72" s="27">
        <f t="shared" ca="1" si="7"/>
        <v>2</v>
      </c>
      <c r="AH72" s="9">
        <v>100</v>
      </c>
      <c r="AI72" s="8">
        <v>0</v>
      </c>
      <c r="AJ72" s="8">
        <v>0</v>
      </c>
      <c r="AK72" s="8">
        <v>0</v>
      </c>
      <c r="AL72" s="8">
        <v>0</v>
      </c>
      <c r="AM72" s="8">
        <v>1</v>
      </c>
      <c r="AN72" s="8">
        <v>1</v>
      </c>
    </row>
    <row r="73" spans="1:40" ht="21" customHeight="1" x14ac:dyDescent="0.15">
      <c r="A73" s="17" t="str">
        <f t="shared" ca="1" si="4"/>
        <v>11008_1-5/110&lt;lv5&gt;s4</v>
      </c>
      <c r="B73" s="8">
        <v>11008</v>
      </c>
      <c r="C73" s="25">
        <v>1</v>
      </c>
      <c r="D73" s="2" t="str">
        <f t="shared" si="5"/>
        <v>11008_1</v>
      </c>
      <c r="E73" s="5" t="str">
        <f ca="1">VLOOKUP($B73,OFFSET([2]quests!$A$1,0,0,COUNTA([2]quests!$A:$A),MATCH(E$1,[2]quests!$1:$1,0)-MATCH($B$1,[2]quests!$1:$1,0)+1),MATCH(E$1,[2]quests!$1:$1,0)-MATCH($B$1,[2]quests!$1:$1,0)+1,FALSE)</f>
        <v>【日曜限定】 青と黄の素材</v>
      </c>
      <c r="F73" s="5" t="str">
        <f ca="1">VLOOKUP($D73,OFFSET([2]stages!$A$1,0,0,COUNTA([2]stages!$A:$A),MATCH(F$1,[2]stages!$2:$2,0)-MATCH($D$1,[2]stages!$2:$2,0)+1),MATCH(F$1,[2]stages!$2:$2,0)-MATCH($D$1,[2]stages!$2:$2,0)+1,FALSE)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3" s="25">
        <v>5</v>
      </c>
      <c r="H73" s="16" t="str">
        <f t="shared" si="6"/>
        <v>11008_1-5</v>
      </c>
      <c r="I73" s="5">
        <f ca="1">VLOOKUP($H73,OFFSET(floors!$A$1,0,0,COUNTA(floors!$A:$A),MATCH(I$1,floors!$1:$1,0)-MATCH($H$1,floors!$1:$1,0)+1),MATCH(I$1,floors!$1:$1,0)-MATCH($H$1,floors!$1:$1,0)+1,FALSE)</f>
        <v>45</v>
      </c>
      <c r="J73" s="5">
        <f ca="1">VLOOKUP($H73,OFFSET(floors!$A$1,0,0,COUNTA(floors!$A:$A),MATCH(J$1,floors!$1:$1,0)-MATCH($H$1,floors!$1:$1,0)+1),MATCH(J$1,floors!$1:$1,0)-MATCH($H$1,floors!$1:$1,0)+1,FALSE)</f>
        <v>45</v>
      </c>
      <c r="K73" s="24" t="s">
        <v>197</v>
      </c>
      <c r="L73" s="24">
        <v>110</v>
      </c>
      <c r="M73" s="20" t="str">
        <f ca="1">VLOOKUP($L73,OFFSET([3]enemies!$A$1,0,0,COUNTA([3]enemies!$A:$A),MATCH(M$1,[3]enemies!$1:$1,0)-MATCH($L$1,[3]enemies!$1:$1,0)+1),MATCH(M$1,[3]enemies!$1:$1,0)-MATCH($L$1,[3]enemies!$1:$1,0)+1,FALSE)</f>
        <v>ブルーラビット</v>
      </c>
      <c r="N73" s="20" t="str">
        <f ca="1">VLOOKUP($L73,OFFSET([3]enemies!$A$1,0,0,COUNTA([3]enemies!$A:$A),MATCH(N$1,[3]enemies!$1:$1,0)-MATCH($L$1,[3]enemies!$1:$1,0)+1),MATCH(N$1,[3]enemies!$1:$1,0)-MATCH($L$1,[3]enemies!$1:$1,0)+1,FALSE)</f>
        <v>blue</v>
      </c>
      <c r="O73" s="22" t="str">
        <f ca="1">VLOOKUP($L73,OFFSET([4]characters!$A$1,0,0,COUNTA([4]characters!$A:$A),MATCH(O$1,[4]characters!$1:$1,0)-MATCH($L$1,[4]characters!$1:$1,0)+1),MATCH(O$1,[4]characters!$1:$1,0)-MATCH($L$1,[4]characters!$1:$1,0)+1,FALSE)</f>
        <v>Material</v>
      </c>
      <c r="P73" s="20" t="str">
        <f ca="1">VLOOKUP($L73,OFFSET([3]enemies!$A$1,0,0,COUNTA([3]enemies!$A:$A),MATCH(P$1,[3]enemies!$1:$1,0)-MATCH($L$1,[3]enemies!$1:$1,0)+1),MATCH(P$1,[3]enemies!$1:$1,0)-MATCH($L$1,[3]enemies!$1:$1,0)+1,FALSE)</f>
        <v>unknown</v>
      </c>
      <c r="Q73" s="20">
        <f ca="1">VLOOKUP($L73,OFFSET([3]enemies!$A$1,0,0,COUNTA([3]enemies!$A:$A),MATCH(Q$1,[3]enemies!$1:$1,0)-MATCH($L$1,[3]enemies!$1:$1,0)+1),MATCH(Q$1,[3]enemies!$1:$1,0)-MATCH($L$1,[3]enemies!$1:$1,0)+1,FALSE)</f>
        <v>15</v>
      </c>
      <c r="R73" s="6">
        <v>5</v>
      </c>
      <c r="S73" s="40">
        <v>1.8</v>
      </c>
      <c r="T73" s="39">
        <v>1</v>
      </c>
      <c r="U73" s="6">
        <v>0</v>
      </c>
      <c r="V73" s="5" t="str">
        <f ca="1">VLOOKUP($W73,OFFSET([5]enemy_skill_sets!$B$1,0,0,COUNTA([5]enemy_skill_sets!$B:$B),MATCH(M$1,[5]enemy_skill_sets!$1:$1,0)-MATCH($W$1,[5]enemy_skill_sets!$1:$1,0)+2),MATCH(M$1,[5]enemy_skill_sets!$1:$1,0)-MATCH($W$1,[5]enemy_skill_sets!$1:$1,0)+2,FALSE)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3" s="5">
        <f ca="1">VLOOKUP($L73,OFFSET([3]enemies!$A$1,0,0,COUNTA([3]enemies!$A:$A),MATCH(W$1,[3]enemies!$1:$1,0)-MATCH($L$1,[3]enemies!$1:$1,0)+1),MATCH(W$1,[3]enemies!$1:$1,0)-MATCH($L$1,[3]enemies!$1:$1,0)+1,FALSE)</f>
        <v>0</v>
      </c>
      <c r="X73" s="7">
        <v>0</v>
      </c>
      <c r="Y73" s="7">
        <v>50</v>
      </c>
      <c r="Z73" s="7">
        <v>1</v>
      </c>
      <c r="AA73" s="20">
        <f ca="1">VLOOKUP($L73,OFFSET([3]enemies!$A$1,0,0,COUNTA([3]enemies!$A:$A),MATCH(AA$1,[3]enemies!$1:$1,0)-MATCH($L$1,[3]enemies!$1:$1,0)+1),MATCH(AA$1,[3]enemies!$1:$1,0)-MATCH($L$1,[3]enemies!$1:$1,0)+1,FALSE)</f>
        <v>4</v>
      </c>
      <c r="AB73" s="24">
        <v>110</v>
      </c>
      <c r="AC73" s="5" t="str">
        <f ca="1">IFERROR(VLOOKUP($AB73,OFFSET([4]characters!$A$1,0,0,COUNTA([4]characters!$A:$A),MATCH(AC$1,[4]characters!$1:$1,0)-MATCH("character_id",[4]characters!$1:$1,0)+1),MATCH(AC$1,[4]characters!$1:$1,0)-MATCH("character_id",[4]characters!$1:$1,0)+1,FALSE),"")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73" s="5">
        <f ca="1">IFERROR(VLOOKUP($AB73,OFFSET([4]characters!$A$1,0,0,COUNTA([4]characters!$A:$A),MATCH(AD$1,[4]characters!$1:$1,0)-MATCH("character_id",[4]characters!$1:$1,0)+1),MATCH(AD$1,[4]characters!$1:$1,0)-MATCH("character_id",[4]characters!$1:$1,0)+1,FALSE),"")</f>
        <v>3</v>
      </c>
      <c r="AE73" s="5" t="str">
        <f ca="1">IFERROR(VLOOKUP($AB73,OFFSET([4]characters!$A$1,0,0,COUNTA([4]characters!$A:$A),MATCH(AE$1,[4]characters!$1:$1,0)-MATCH("character_id",[4]characters!$1:$1,0)+1),MATCH(AE$1,[4]characters!$1:$1,0)-MATCH("character_id",[4]characters!$1:$1,0)+1,FALSE),"")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3" s="8">
        <v>1</v>
      </c>
      <c r="AG73" s="27">
        <f t="shared" ca="1" si="7"/>
        <v>3</v>
      </c>
      <c r="AH73" s="9">
        <v>0</v>
      </c>
      <c r="AI73" s="8">
        <v>0</v>
      </c>
      <c r="AJ73" s="8">
        <v>0</v>
      </c>
      <c r="AK73" s="8">
        <v>0</v>
      </c>
      <c r="AL73" s="8">
        <v>0</v>
      </c>
      <c r="AM73" s="8">
        <v>1</v>
      </c>
      <c r="AN73" s="8">
        <v>1</v>
      </c>
    </row>
    <row r="74" spans="1:40" ht="21" customHeight="1" x14ac:dyDescent="0.15">
      <c r="A74" s="17" t="str">
        <f t="shared" ca="1" si="4"/>
        <v>11008_1-1/113&lt;lv3&gt;s1</v>
      </c>
      <c r="B74" s="8">
        <v>11008</v>
      </c>
      <c r="C74" s="25">
        <v>1</v>
      </c>
      <c r="D74" s="2" t="str">
        <f t="shared" si="5"/>
        <v>11008_1</v>
      </c>
      <c r="E74" s="5" t="str">
        <f ca="1">VLOOKUP($B74,OFFSET([2]quests!$A$1,0,0,COUNTA([2]quests!$A:$A),MATCH(E$1,[2]quests!$1:$1,0)-MATCH($B$1,[2]quests!$1:$1,0)+1),MATCH(E$1,[2]quests!$1:$1,0)-MATCH($B$1,[2]quests!$1:$1,0)+1,FALSE)</f>
        <v>【日曜限定】 青と黄の素材</v>
      </c>
      <c r="F74" s="5" t="str">
        <f ca="1">VLOOKUP($D74,OFFSET([2]stages!$A$1,0,0,COUNTA([2]stages!$A:$A),MATCH(F$1,[2]stages!$2:$2,0)-MATCH($D$1,[2]stages!$2:$2,0)+1),MATCH(F$1,[2]stages!$2:$2,0)-MATCH($D$1,[2]stages!$2:$2,0)+1,FALSE)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4" s="25">
        <v>1</v>
      </c>
      <c r="H74" s="16" t="str">
        <f t="shared" si="6"/>
        <v>11008_1-1</v>
      </c>
      <c r="I74" s="5">
        <f ca="1">VLOOKUP($H74,OFFSET(floors!$A$1,0,0,COUNTA(floors!$A:$A),MATCH(I$1,floors!$1:$1,0)-MATCH($H$1,floors!$1:$1,0)+1),MATCH(I$1,floors!$1:$1,0)-MATCH($H$1,floors!$1:$1,0)+1,FALSE)</f>
        <v>30</v>
      </c>
      <c r="J74" s="5">
        <f ca="1">VLOOKUP($H74,OFFSET(floors!$A$1,0,0,COUNTA(floors!$A:$A),MATCH(J$1,floors!$1:$1,0)-MATCH($H$1,floors!$1:$1,0)+1),MATCH(J$1,floors!$1:$1,0)-MATCH($H$1,floors!$1:$1,0)+1,FALSE)</f>
        <v>45</v>
      </c>
      <c r="K74" s="24" t="s">
        <v>197</v>
      </c>
      <c r="L74" s="24">
        <v>113</v>
      </c>
      <c r="M74" s="20" t="str">
        <f ca="1">VLOOKUP($L74,OFFSET([3]enemies!$A$1,0,0,COUNTA([3]enemies!$A:$A),MATCH(M$1,[3]enemies!$1:$1,0)-MATCH($L$1,[3]enemies!$1:$1,0)+1),MATCH(M$1,[3]enemies!$1:$1,0)-MATCH($L$1,[3]enemies!$1:$1,0)+1,FALSE)</f>
        <v>イエローチェシャ</v>
      </c>
      <c r="N74" s="20" t="str">
        <f ca="1">VLOOKUP($L74,OFFSET([3]enemies!$A$1,0,0,COUNTA([3]enemies!$A:$A),MATCH(N$1,[3]enemies!$1:$1,0)-MATCH($L$1,[3]enemies!$1:$1,0)+1),MATCH(N$1,[3]enemies!$1:$1,0)-MATCH($L$1,[3]enemies!$1:$1,0)+1,FALSE)</f>
        <v>yellow</v>
      </c>
      <c r="O74" s="22" t="str">
        <f ca="1">VLOOKUP($L74,OFFSET([4]characters!$A$1,0,0,COUNTA([4]characters!$A:$A),MATCH(O$1,[4]characters!$1:$1,0)-MATCH($L$1,[4]characters!$1:$1,0)+1),MATCH(O$1,[4]characters!$1:$1,0)-MATCH($L$1,[4]characters!$1:$1,0)+1,FALSE)</f>
        <v>Material</v>
      </c>
      <c r="P74" s="20" t="str">
        <f ca="1">VLOOKUP($L74,OFFSET([3]enemies!$A$1,0,0,COUNTA([3]enemies!$A:$A),MATCH(P$1,[3]enemies!$1:$1,0)-MATCH($L$1,[3]enemies!$1:$1,0)+1),MATCH(P$1,[3]enemies!$1:$1,0)-MATCH($L$1,[3]enemies!$1:$1,0)+1,FALSE)</f>
        <v>unknown</v>
      </c>
      <c r="Q74" s="20">
        <f ca="1">VLOOKUP($L74,OFFSET([3]enemies!$A$1,0,0,COUNTA([3]enemies!$A:$A),MATCH(Q$1,[3]enemies!$1:$1,0)-MATCH($L$1,[3]enemies!$1:$1,0)+1),MATCH(Q$1,[3]enemies!$1:$1,0)-MATCH($L$1,[3]enemies!$1:$1,0)+1,FALSE)</f>
        <v>15</v>
      </c>
      <c r="R74" s="6">
        <v>3</v>
      </c>
      <c r="S74" s="39">
        <v>1</v>
      </c>
      <c r="T74" s="39">
        <v>1</v>
      </c>
      <c r="U74" s="6">
        <v>0</v>
      </c>
      <c r="V74" s="5" t="str">
        <f ca="1">VLOOKUP($W74,OFFSET([5]enemy_skill_sets!$B$1,0,0,COUNTA([5]enemy_skill_sets!$B:$B),MATCH(M$1,[5]enemy_skill_sets!$1:$1,0)-MATCH($W$1,[5]enemy_skill_sets!$1:$1,0)+2),MATCH(M$1,[5]enemy_skill_sets!$1:$1,0)-MATCH($W$1,[5]enemy_skill_sets!$1:$1,0)+2,FALSE)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4" s="5">
        <f ca="1">VLOOKUP($L74,OFFSET([3]enemies!$A$1,0,0,COUNTA([3]enemies!$A:$A),MATCH(W$1,[3]enemies!$1:$1,0)-MATCH($L$1,[3]enemies!$1:$1,0)+1),MATCH(W$1,[3]enemies!$1:$1,0)-MATCH($L$1,[3]enemies!$1:$1,0)+1,FALSE)</f>
        <v>0</v>
      </c>
      <c r="X74" s="7">
        <v>0</v>
      </c>
      <c r="Y74" s="7">
        <v>100</v>
      </c>
      <c r="Z74" s="7">
        <v>0</v>
      </c>
      <c r="AA74" s="20">
        <f ca="1">VLOOKUP($L74,OFFSET([3]enemies!$A$1,0,0,COUNTA([3]enemies!$A:$A),MATCH(AA$1,[3]enemies!$1:$1,0)-MATCH($L$1,[3]enemies!$1:$1,0)+1),MATCH(AA$1,[3]enemies!$1:$1,0)-MATCH($L$1,[3]enemies!$1:$1,0)+1,FALSE)</f>
        <v>1</v>
      </c>
      <c r="AB74" s="24">
        <v>113</v>
      </c>
      <c r="AC74" s="5" t="str">
        <f ca="1">IFERROR(VLOOKUP($AB74,OFFSET([4]characters!$A$1,0,0,COUNTA([4]characters!$A:$A),MATCH(AC$1,[4]characters!$1:$1,0)-MATCH("character_id",[4]characters!$1:$1,0)+1),MATCH(AC$1,[4]characters!$1:$1,0)-MATCH("character_id",[4]characters!$1:$1,0)+1,FALSE),"")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74" s="5">
        <f ca="1">IFERROR(VLOOKUP($AB74,OFFSET([4]characters!$A$1,0,0,COUNTA([4]characters!$A:$A),MATCH(AD$1,[4]characters!$1:$1,0)-MATCH("character_id",[4]characters!$1:$1,0)+1),MATCH(AD$1,[4]characters!$1:$1,0)-MATCH("character_id",[4]characters!$1:$1,0)+1,FALSE),"")</f>
        <v>2</v>
      </c>
      <c r="AE74" s="5" t="str">
        <f ca="1">IFERROR(VLOOKUP($AB74,OFFSET([4]characters!$A$1,0,0,COUNTA([4]characters!$A:$A),MATCH(AE$1,[4]characters!$1:$1,0)-MATCH("character_id",[4]characters!$1:$1,0)+1),MATCH(AE$1,[4]characters!$1:$1,0)-MATCH("character_id",[4]characters!$1:$1,0)+1,FALSE),"")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4" s="8">
        <v>1</v>
      </c>
      <c r="AG74" s="27">
        <f t="shared" ca="1" si="7"/>
        <v>2</v>
      </c>
      <c r="AH74" s="9">
        <v>40</v>
      </c>
      <c r="AI74" s="8">
        <v>0</v>
      </c>
      <c r="AJ74" s="8">
        <v>0</v>
      </c>
      <c r="AK74" s="8">
        <v>0</v>
      </c>
      <c r="AL74" s="8">
        <v>0</v>
      </c>
      <c r="AM74" s="8">
        <v>1</v>
      </c>
      <c r="AN74" s="8">
        <v>1</v>
      </c>
    </row>
    <row r="75" spans="1:40" ht="21" customHeight="1" x14ac:dyDescent="0.15">
      <c r="A75" s="17" t="str">
        <f t="shared" ca="1" si="4"/>
        <v>11008_1-2/113&lt;lv3&gt;s1</v>
      </c>
      <c r="B75" s="8">
        <v>11008</v>
      </c>
      <c r="C75" s="25">
        <v>1</v>
      </c>
      <c r="D75" s="2" t="str">
        <f t="shared" si="5"/>
        <v>11008_1</v>
      </c>
      <c r="E75" s="5" t="str">
        <f ca="1">VLOOKUP($B75,OFFSET([2]quests!$A$1,0,0,COUNTA([2]quests!$A:$A),MATCH(E$1,[2]quests!$1:$1,0)-MATCH($B$1,[2]quests!$1:$1,0)+1),MATCH(E$1,[2]quests!$1:$1,0)-MATCH($B$1,[2]quests!$1:$1,0)+1,FALSE)</f>
        <v>【日曜限定】 青と黄の素材</v>
      </c>
      <c r="F75" s="5" t="str">
        <f ca="1">VLOOKUP($D75,OFFSET([2]stages!$A$1,0,0,COUNTA([2]stages!$A:$A),MATCH(F$1,[2]stages!$2:$2,0)-MATCH($D$1,[2]stages!$2:$2,0)+1),MATCH(F$1,[2]stages!$2:$2,0)-MATCH($D$1,[2]stages!$2:$2,0)+1,FALSE)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5" s="25">
        <v>2</v>
      </c>
      <c r="H75" s="16" t="str">
        <f t="shared" si="6"/>
        <v>11008_1-2</v>
      </c>
      <c r="I75" s="5">
        <f ca="1">VLOOKUP($H75,OFFSET(floors!$A$1,0,0,COUNTA(floors!$A:$A),MATCH(I$1,floors!$1:$1,0)-MATCH($H$1,floors!$1:$1,0)+1),MATCH(I$1,floors!$1:$1,0)-MATCH($H$1,floors!$1:$1,0)+1,FALSE)</f>
        <v>30</v>
      </c>
      <c r="J75" s="5">
        <f ca="1">VLOOKUP($H75,OFFSET(floors!$A$1,0,0,COUNTA(floors!$A:$A),MATCH(J$1,floors!$1:$1,0)-MATCH($H$1,floors!$1:$1,0)+1),MATCH(J$1,floors!$1:$1,0)-MATCH($H$1,floors!$1:$1,0)+1,FALSE)</f>
        <v>45</v>
      </c>
      <c r="K75" s="24" t="s">
        <v>197</v>
      </c>
      <c r="L75" s="24">
        <v>113</v>
      </c>
      <c r="M75" s="20" t="str">
        <f ca="1">VLOOKUP($L75,OFFSET([3]enemies!$A$1,0,0,COUNTA([3]enemies!$A:$A),MATCH(M$1,[3]enemies!$1:$1,0)-MATCH($L$1,[3]enemies!$1:$1,0)+1),MATCH(M$1,[3]enemies!$1:$1,0)-MATCH($L$1,[3]enemies!$1:$1,0)+1,FALSE)</f>
        <v>イエローチェシャ</v>
      </c>
      <c r="N75" s="20" t="str">
        <f ca="1">VLOOKUP($L75,OFFSET([3]enemies!$A$1,0,0,COUNTA([3]enemies!$A:$A),MATCH(N$1,[3]enemies!$1:$1,0)-MATCH($L$1,[3]enemies!$1:$1,0)+1),MATCH(N$1,[3]enemies!$1:$1,0)-MATCH($L$1,[3]enemies!$1:$1,0)+1,FALSE)</f>
        <v>yellow</v>
      </c>
      <c r="O75" s="22" t="str">
        <f ca="1">VLOOKUP($L75,OFFSET([4]characters!$A$1,0,0,COUNTA([4]characters!$A:$A),MATCH(O$1,[4]characters!$1:$1,0)-MATCH($L$1,[4]characters!$1:$1,0)+1),MATCH(O$1,[4]characters!$1:$1,0)-MATCH($L$1,[4]characters!$1:$1,0)+1,FALSE)</f>
        <v>Material</v>
      </c>
      <c r="P75" s="20" t="str">
        <f ca="1">VLOOKUP($L75,OFFSET([3]enemies!$A$1,0,0,COUNTA([3]enemies!$A:$A),MATCH(P$1,[3]enemies!$1:$1,0)-MATCH($L$1,[3]enemies!$1:$1,0)+1),MATCH(P$1,[3]enemies!$1:$1,0)-MATCH($L$1,[3]enemies!$1:$1,0)+1,FALSE)</f>
        <v>unknown</v>
      </c>
      <c r="Q75" s="20">
        <f ca="1">VLOOKUP($L75,OFFSET([3]enemies!$A$1,0,0,COUNTA([3]enemies!$A:$A),MATCH(Q$1,[3]enemies!$1:$1,0)-MATCH($L$1,[3]enemies!$1:$1,0)+1),MATCH(Q$1,[3]enemies!$1:$1,0)-MATCH($L$1,[3]enemies!$1:$1,0)+1,FALSE)</f>
        <v>15</v>
      </c>
      <c r="R75" s="6">
        <v>3</v>
      </c>
      <c r="S75" s="39">
        <v>1</v>
      </c>
      <c r="T75" s="39">
        <v>1</v>
      </c>
      <c r="U75" s="6">
        <v>0</v>
      </c>
      <c r="V75" s="5" t="str">
        <f ca="1">VLOOKUP($W75,OFFSET([5]enemy_skill_sets!$B$1,0,0,COUNTA([5]enemy_skill_sets!$B:$B),MATCH(M$1,[5]enemy_skill_sets!$1:$1,0)-MATCH($W$1,[5]enemy_skill_sets!$1:$1,0)+2),MATCH(M$1,[5]enemy_skill_sets!$1:$1,0)-MATCH($W$1,[5]enemy_skill_sets!$1:$1,0)+2,FALSE)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5" s="5">
        <f ca="1">VLOOKUP($L75,OFFSET([3]enemies!$A$1,0,0,COUNTA([3]enemies!$A:$A),MATCH(W$1,[3]enemies!$1:$1,0)-MATCH($L$1,[3]enemies!$1:$1,0)+1),MATCH(W$1,[3]enemies!$1:$1,0)-MATCH($L$1,[3]enemies!$1:$1,0)+1,FALSE)</f>
        <v>0</v>
      </c>
      <c r="X75" s="7">
        <v>0</v>
      </c>
      <c r="Y75" s="7">
        <v>100</v>
      </c>
      <c r="Z75" s="7">
        <v>0</v>
      </c>
      <c r="AA75" s="20">
        <f ca="1">VLOOKUP($L75,OFFSET([3]enemies!$A$1,0,0,COUNTA([3]enemies!$A:$A),MATCH(AA$1,[3]enemies!$1:$1,0)-MATCH($L$1,[3]enemies!$1:$1,0)+1),MATCH(AA$1,[3]enemies!$1:$1,0)-MATCH($L$1,[3]enemies!$1:$1,0)+1,FALSE)</f>
        <v>1</v>
      </c>
      <c r="AB75" s="24">
        <v>113</v>
      </c>
      <c r="AC75" s="5" t="str">
        <f ca="1">IFERROR(VLOOKUP($AB75,OFFSET([4]characters!$A$1,0,0,COUNTA([4]characters!$A:$A),MATCH(AC$1,[4]characters!$1:$1,0)-MATCH("character_id",[4]characters!$1:$1,0)+1),MATCH(AC$1,[4]characters!$1:$1,0)-MATCH("character_id",[4]characters!$1:$1,0)+1,FALSE),"")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75" s="5">
        <f ca="1">IFERROR(VLOOKUP($AB75,OFFSET([4]characters!$A$1,0,0,COUNTA([4]characters!$A:$A),MATCH(AD$1,[4]characters!$1:$1,0)-MATCH("character_id",[4]characters!$1:$1,0)+1),MATCH(AD$1,[4]characters!$1:$1,0)-MATCH("character_id",[4]characters!$1:$1,0)+1,FALSE),"")</f>
        <v>2</v>
      </c>
      <c r="AE75" s="5" t="str">
        <f ca="1">IFERROR(VLOOKUP($AB75,OFFSET([4]characters!$A$1,0,0,COUNTA([4]characters!$A:$A),MATCH(AE$1,[4]characters!$1:$1,0)-MATCH("character_id",[4]characters!$1:$1,0)+1),MATCH(AE$1,[4]characters!$1:$1,0)-MATCH("character_id",[4]characters!$1:$1,0)+1,FALSE),"")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5" s="8">
        <v>1</v>
      </c>
      <c r="AG75" s="27">
        <f t="shared" ca="1" si="7"/>
        <v>2</v>
      </c>
      <c r="AH75" s="9">
        <v>40</v>
      </c>
      <c r="AI75" s="8">
        <v>0</v>
      </c>
      <c r="AJ75" s="8">
        <v>0</v>
      </c>
      <c r="AK75" s="8">
        <v>0</v>
      </c>
      <c r="AL75" s="8">
        <v>0</v>
      </c>
      <c r="AM75" s="8">
        <v>1</v>
      </c>
      <c r="AN75" s="8">
        <v>1</v>
      </c>
    </row>
    <row r="76" spans="1:40" ht="21" customHeight="1" x14ac:dyDescent="0.15">
      <c r="A76" s="17" t="str">
        <f t="shared" ca="1" si="4"/>
        <v>11008_1-3/113&lt;lv3&gt;s1</v>
      </c>
      <c r="B76" s="8">
        <v>11008</v>
      </c>
      <c r="C76" s="25">
        <v>1</v>
      </c>
      <c r="D76" s="2" t="str">
        <f t="shared" si="5"/>
        <v>11008_1</v>
      </c>
      <c r="E76" s="5" t="str">
        <f ca="1">VLOOKUP($B76,OFFSET([2]quests!$A$1,0,0,COUNTA([2]quests!$A:$A),MATCH(E$1,[2]quests!$1:$1,0)-MATCH($B$1,[2]quests!$1:$1,0)+1),MATCH(E$1,[2]quests!$1:$1,0)-MATCH($B$1,[2]quests!$1:$1,0)+1,FALSE)</f>
        <v>【日曜限定】 青と黄の素材</v>
      </c>
      <c r="F76" s="5" t="str">
        <f ca="1">VLOOKUP($D76,OFFSET([2]stages!$A$1,0,0,COUNTA([2]stages!$A:$A),MATCH(F$1,[2]stages!$2:$2,0)-MATCH($D$1,[2]stages!$2:$2,0)+1),MATCH(F$1,[2]stages!$2:$2,0)-MATCH($D$1,[2]stages!$2:$2,0)+1,FALSE)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6" s="25">
        <v>3</v>
      </c>
      <c r="H76" s="16" t="str">
        <f t="shared" si="6"/>
        <v>11008_1-3</v>
      </c>
      <c r="I76" s="5">
        <f ca="1">VLOOKUP($H76,OFFSET(floors!$A$1,0,0,COUNTA(floors!$A:$A),MATCH(I$1,floors!$1:$1,0)-MATCH($H$1,floors!$1:$1,0)+1),MATCH(I$1,floors!$1:$1,0)-MATCH($H$1,floors!$1:$1,0)+1,FALSE)</f>
        <v>45</v>
      </c>
      <c r="J76" s="5">
        <f ca="1">VLOOKUP($H76,OFFSET(floors!$A$1,0,0,COUNTA(floors!$A:$A),MATCH(J$1,floors!$1:$1,0)-MATCH($H$1,floors!$1:$1,0)+1),MATCH(J$1,floors!$1:$1,0)-MATCH($H$1,floors!$1:$1,0)+1,FALSE)</f>
        <v>45</v>
      </c>
      <c r="K76" s="24" t="s">
        <v>197</v>
      </c>
      <c r="L76" s="24">
        <v>113</v>
      </c>
      <c r="M76" s="20" t="str">
        <f ca="1">VLOOKUP($L76,OFFSET([3]enemies!$A$1,0,0,COUNTA([3]enemies!$A:$A),MATCH(M$1,[3]enemies!$1:$1,0)-MATCH($L$1,[3]enemies!$1:$1,0)+1),MATCH(M$1,[3]enemies!$1:$1,0)-MATCH($L$1,[3]enemies!$1:$1,0)+1,FALSE)</f>
        <v>イエローチェシャ</v>
      </c>
      <c r="N76" s="20" t="str">
        <f ca="1">VLOOKUP($L76,OFFSET([3]enemies!$A$1,0,0,COUNTA([3]enemies!$A:$A),MATCH(N$1,[3]enemies!$1:$1,0)-MATCH($L$1,[3]enemies!$1:$1,0)+1),MATCH(N$1,[3]enemies!$1:$1,0)-MATCH($L$1,[3]enemies!$1:$1,0)+1,FALSE)</f>
        <v>yellow</v>
      </c>
      <c r="O76" s="22" t="str">
        <f ca="1">VLOOKUP($L76,OFFSET([4]characters!$A$1,0,0,COUNTA([4]characters!$A:$A),MATCH(O$1,[4]characters!$1:$1,0)-MATCH($L$1,[4]characters!$1:$1,0)+1),MATCH(O$1,[4]characters!$1:$1,0)-MATCH($L$1,[4]characters!$1:$1,0)+1,FALSE)</f>
        <v>Material</v>
      </c>
      <c r="P76" s="20" t="str">
        <f ca="1">VLOOKUP($L76,OFFSET([3]enemies!$A$1,0,0,COUNTA([3]enemies!$A:$A),MATCH(P$1,[3]enemies!$1:$1,0)-MATCH($L$1,[3]enemies!$1:$1,0)+1),MATCH(P$1,[3]enemies!$1:$1,0)-MATCH($L$1,[3]enemies!$1:$1,0)+1,FALSE)</f>
        <v>unknown</v>
      </c>
      <c r="Q76" s="20">
        <f ca="1">VLOOKUP($L76,OFFSET([3]enemies!$A$1,0,0,COUNTA([3]enemies!$A:$A),MATCH(Q$1,[3]enemies!$1:$1,0)-MATCH($L$1,[3]enemies!$1:$1,0)+1),MATCH(Q$1,[3]enemies!$1:$1,0)-MATCH($L$1,[3]enemies!$1:$1,0)+1,FALSE)</f>
        <v>15</v>
      </c>
      <c r="R76" s="6">
        <v>3</v>
      </c>
      <c r="S76" s="39">
        <v>1</v>
      </c>
      <c r="T76" s="39">
        <v>1</v>
      </c>
      <c r="U76" s="6">
        <v>0</v>
      </c>
      <c r="V76" s="5" t="str">
        <f ca="1">VLOOKUP($W76,OFFSET([5]enemy_skill_sets!$B$1,0,0,COUNTA([5]enemy_skill_sets!$B:$B),MATCH(M$1,[5]enemy_skill_sets!$1:$1,0)-MATCH($W$1,[5]enemy_skill_sets!$1:$1,0)+2),MATCH(M$1,[5]enemy_skill_sets!$1:$1,0)-MATCH($W$1,[5]enemy_skill_sets!$1:$1,0)+2,FALSE)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6" s="5">
        <f ca="1">VLOOKUP($L76,OFFSET([3]enemies!$A$1,0,0,COUNTA([3]enemies!$A:$A),MATCH(W$1,[3]enemies!$1:$1,0)-MATCH($L$1,[3]enemies!$1:$1,0)+1),MATCH(W$1,[3]enemies!$1:$1,0)-MATCH($L$1,[3]enemies!$1:$1,0)+1,FALSE)</f>
        <v>0</v>
      </c>
      <c r="X76" s="7">
        <v>0</v>
      </c>
      <c r="Y76" s="7">
        <v>100</v>
      </c>
      <c r="Z76" s="7">
        <v>0</v>
      </c>
      <c r="AA76" s="20">
        <f ca="1">VLOOKUP($L76,OFFSET([3]enemies!$A$1,0,0,COUNTA([3]enemies!$A:$A),MATCH(AA$1,[3]enemies!$1:$1,0)-MATCH($L$1,[3]enemies!$1:$1,0)+1),MATCH(AA$1,[3]enemies!$1:$1,0)-MATCH($L$1,[3]enemies!$1:$1,0)+1,FALSE)</f>
        <v>1</v>
      </c>
      <c r="AB76" s="24">
        <v>113</v>
      </c>
      <c r="AC76" s="5" t="str">
        <f ca="1">IFERROR(VLOOKUP($AB76,OFFSET([4]characters!$A$1,0,0,COUNTA([4]characters!$A:$A),MATCH(AC$1,[4]characters!$1:$1,0)-MATCH("character_id",[4]characters!$1:$1,0)+1),MATCH(AC$1,[4]characters!$1:$1,0)-MATCH("character_id",[4]characters!$1:$1,0)+1,FALSE),"")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76" s="5">
        <f ca="1">IFERROR(VLOOKUP($AB76,OFFSET([4]characters!$A$1,0,0,COUNTA([4]characters!$A:$A),MATCH(AD$1,[4]characters!$1:$1,0)-MATCH("character_id",[4]characters!$1:$1,0)+1),MATCH(AD$1,[4]characters!$1:$1,0)-MATCH("character_id",[4]characters!$1:$1,0)+1,FALSE),"")</f>
        <v>2</v>
      </c>
      <c r="AE76" s="5" t="str">
        <f ca="1">IFERROR(VLOOKUP($AB76,OFFSET([4]characters!$A$1,0,0,COUNTA([4]characters!$A:$A),MATCH(AE$1,[4]characters!$1:$1,0)-MATCH("character_id",[4]characters!$1:$1,0)+1),MATCH(AE$1,[4]characters!$1:$1,0)-MATCH("character_id",[4]characters!$1:$1,0)+1,FALSE),"")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6" s="8">
        <v>1</v>
      </c>
      <c r="AG76" s="27">
        <f t="shared" ca="1" si="7"/>
        <v>2</v>
      </c>
      <c r="AH76" s="9">
        <v>40</v>
      </c>
      <c r="AI76" s="8">
        <v>0</v>
      </c>
      <c r="AJ76" s="8">
        <v>0</v>
      </c>
      <c r="AK76" s="8">
        <v>0</v>
      </c>
      <c r="AL76" s="8">
        <v>0</v>
      </c>
      <c r="AM76" s="8">
        <v>1</v>
      </c>
      <c r="AN76" s="8">
        <v>1</v>
      </c>
    </row>
    <row r="77" spans="1:40" ht="21" customHeight="1" x14ac:dyDescent="0.15">
      <c r="A77" s="17" t="str">
        <f t="shared" ca="1" si="4"/>
        <v>11008_1-3/114&lt;lv3&gt;s2</v>
      </c>
      <c r="B77" s="8">
        <v>11008</v>
      </c>
      <c r="C77" s="25">
        <v>1</v>
      </c>
      <c r="D77" s="2" t="str">
        <f t="shared" si="5"/>
        <v>11008_1</v>
      </c>
      <c r="E77" s="5" t="str">
        <f ca="1">VLOOKUP($B77,OFFSET([2]quests!$A$1,0,0,COUNTA([2]quests!$A:$A),MATCH(E$1,[2]quests!$1:$1,0)-MATCH($B$1,[2]quests!$1:$1,0)+1),MATCH(E$1,[2]quests!$1:$1,0)-MATCH($B$1,[2]quests!$1:$1,0)+1,FALSE)</f>
        <v>【日曜限定】 青と黄の素材</v>
      </c>
      <c r="F77" s="5" t="str">
        <f ca="1">VLOOKUP($D77,OFFSET([2]stages!$A$1,0,0,COUNTA([2]stages!$A:$A),MATCH(F$1,[2]stages!$2:$2,0)-MATCH($D$1,[2]stages!$2:$2,0)+1),MATCH(F$1,[2]stages!$2:$2,0)-MATCH($D$1,[2]stages!$2:$2,0)+1,FALSE)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7" s="25">
        <v>3</v>
      </c>
      <c r="H77" s="16" t="str">
        <f t="shared" si="6"/>
        <v>11008_1-3</v>
      </c>
      <c r="I77" s="5">
        <f ca="1">VLOOKUP($H77,OFFSET(floors!$A$1,0,0,COUNTA(floors!$A:$A),MATCH(I$1,floors!$1:$1,0)-MATCH($H$1,floors!$1:$1,0)+1),MATCH(I$1,floors!$1:$1,0)-MATCH($H$1,floors!$1:$1,0)+1,FALSE)</f>
        <v>45</v>
      </c>
      <c r="J77" s="5">
        <f ca="1">VLOOKUP($H77,OFFSET(floors!$A$1,0,0,COUNTA(floors!$A:$A),MATCH(J$1,floors!$1:$1,0)-MATCH($H$1,floors!$1:$1,0)+1),MATCH(J$1,floors!$1:$1,0)-MATCH($H$1,floors!$1:$1,0)+1,FALSE)</f>
        <v>45</v>
      </c>
      <c r="K77" s="24" t="s">
        <v>197</v>
      </c>
      <c r="L77" s="24">
        <v>114</v>
      </c>
      <c r="M77" s="20" t="str">
        <f ca="1">VLOOKUP($L77,OFFSET([3]enemies!$A$1,0,0,COUNTA([3]enemies!$A:$A),MATCH(M$1,[3]enemies!$1:$1,0)-MATCH($L$1,[3]enemies!$1:$1,0)+1),MATCH(M$1,[3]enemies!$1:$1,0)-MATCH($L$1,[3]enemies!$1:$1,0)+1,FALSE)</f>
        <v>イエローラビット</v>
      </c>
      <c r="N77" s="20" t="str">
        <f ca="1">VLOOKUP($L77,OFFSET([3]enemies!$A$1,0,0,COUNTA([3]enemies!$A:$A),MATCH(N$1,[3]enemies!$1:$1,0)-MATCH($L$1,[3]enemies!$1:$1,0)+1),MATCH(N$1,[3]enemies!$1:$1,0)-MATCH($L$1,[3]enemies!$1:$1,0)+1,FALSE)</f>
        <v>yellow</v>
      </c>
      <c r="O77" s="22" t="str">
        <f ca="1">VLOOKUP($L77,OFFSET([4]characters!$A$1,0,0,COUNTA([4]characters!$A:$A),MATCH(O$1,[4]characters!$1:$1,0)-MATCH($L$1,[4]characters!$1:$1,0)+1),MATCH(O$1,[4]characters!$1:$1,0)-MATCH($L$1,[4]characters!$1:$1,0)+1,FALSE)</f>
        <v>Material</v>
      </c>
      <c r="P77" s="20" t="str">
        <f ca="1">VLOOKUP($L77,OFFSET([3]enemies!$A$1,0,0,COUNTA([3]enemies!$A:$A),MATCH(P$1,[3]enemies!$1:$1,0)-MATCH($L$1,[3]enemies!$1:$1,0)+1),MATCH(P$1,[3]enemies!$1:$1,0)-MATCH($L$1,[3]enemies!$1:$1,0)+1,FALSE)</f>
        <v>unknown</v>
      </c>
      <c r="Q77" s="20">
        <f ca="1">VLOOKUP($L77,OFFSET([3]enemies!$A$1,0,0,COUNTA([3]enemies!$A:$A),MATCH(Q$1,[3]enemies!$1:$1,0)-MATCH($L$1,[3]enemies!$1:$1,0)+1),MATCH(Q$1,[3]enemies!$1:$1,0)-MATCH($L$1,[3]enemies!$1:$1,0)+1,FALSE)</f>
        <v>15</v>
      </c>
      <c r="R77" s="6">
        <v>3</v>
      </c>
      <c r="S77" s="39">
        <v>1.8</v>
      </c>
      <c r="T77" s="39">
        <v>1</v>
      </c>
      <c r="U77" s="6">
        <v>0</v>
      </c>
      <c r="V77" s="5" t="str">
        <f ca="1">VLOOKUP($W77,OFFSET([5]enemy_skill_sets!$B$1,0,0,COUNTA([5]enemy_skill_sets!$B:$B),MATCH(M$1,[5]enemy_skill_sets!$1:$1,0)-MATCH($W$1,[5]enemy_skill_sets!$1:$1,0)+2),MATCH(M$1,[5]enemy_skill_sets!$1:$1,0)-MATCH($W$1,[5]enemy_skill_sets!$1:$1,0)+2,FALSE)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7" s="5">
        <f ca="1">VLOOKUP($L77,OFFSET([3]enemies!$A$1,0,0,COUNTA([3]enemies!$A:$A),MATCH(W$1,[3]enemies!$1:$1,0)-MATCH($L$1,[3]enemies!$1:$1,0)+1),MATCH(W$1,[3]enemies!$1:$1,0)-MATCH($L$1,[3]enemies!$1:$1,0)+1,FALSE)</f>
        <v>0</v>
      </c>
      <c r="X77" s="7">
        <v>0</v>
      </c>
      <c r="Y77" s="7">
        <v>40</v>
      </c>
      <c r="Z77" s="7">
        <v>0</v>
      </c>
      <c r="AA77" s="20">
        <f ca="1">VLOOKUP($L77,OFFSET([3]enemies!$A$1,0,0,COUNTA([3]enemies!$A:$A),MATCH(AA$1,[3]enemies!$1:$1,0)-MATCH($L$1,[3]enemies!$1:$1,0)+1),MATCH(AA$1,[3]enemies!$1:$1,0)-MATCH($L$1,[3]enemies!$1:$1,0)+1,FALSE)</f>
        <v>2</v>
      </c>
      <c r="AB77" s="24">
        <v>114</v>
      </c>
      <c r="AC77" s="5" t="str">
        <f ca="1">IFERROR(VLOOKUP($AB77,OFFSET([4]characters!$A$1,0,0,COUNTA([4]characters!$A:$A),MATCH(AC$1,[4]characters!$1:$1,0)-MATCH("character_id",[4]characters!$1:$1,0)+1),MATCH(AC$1,[4]characters!$1:$1,0)-MATCH("character_id",[4]characters!$1:$1,0)+1,FALSE),"")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77" s="5">
        <f ca="1">IFERROR(VLOOKUP($AB77,OFFSET([4]characters!$A$1,0,0,COUNTA([4]characters!$A:$A),MATCH(AD$1,[4]characters!$1:$1,0)-MATCH("character_id",[4]characters!$1:$1,0)+1),MATCH(AD$1,[4]characters!$1:$1,0)-MATCH("character_id",[4]characters!$1:$1,0)+1,FALSE),"")</f>
        <v>3</v>
      </c>
      <c r="AE77" s="5" t="str">
        <f ca="1">IFERROR(VLOOKUP($AB77,OFFSET([4]characters!$A$1,0,0,COUNTA([4]characters!$A:$A),MATCH(AE$1,[4]characters!$1:$1,0)-MATCH("character_id",[4]characters!$1:$1,0)+1),MATCH(AE$1,[4]characters!$1:$1,0)-MATCH("character_id",[4]characters!$1:$1,0)+1,FALSE),"")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7" s="8">
        <v>1</v>
      </c>
      <c r="AG77" s="27">
        <f t="shared" ca="1" si="7"/>
        <v>3</v>
      </c>
      <c r="AH77" s="9">
        <v>10</v>
      </c>
      <c r="AI77" s="8">
        <v>0</v>
      </c>
      <c r="AJ77" s="8">
        <v>0</v>
      </c>
      <c r="AK77" s="8">
        <v>0</v>
      </c>
      <c r="AL77" s="8">
        <v>0</v>
      </c>
      <c r="AM77" s="8">
        <v>1</v>
      </c>
      <c r="AN77" s="8">
        <v>1</v>
      </c>
    </row>
    <row r="78" spans="1:40" ht="21" customHeight="1" x14ac:dyDescent="0.15">
      <c r="A78" s="17" t="str">
        <f t="shared" ca="1" si="4"/>
        <v>11008_1-4/113&lt;lv3&gt;s1</v>
      </c>
      <c r="B78" s="8">
        <v>11008</v>
      </c>
      <c r="C78" s="25">
        <v>1</v>
      </c>
      <c r="D78" s="2" t="str">
        <f t="shared" si="5"/>
        <v>11008_1</v>
      </c>
      <c r="E78" s="5" t="str">
        <f ca="1">VLOOKUP($B78,OFFSET([2]quests!$A$1,0,0,COUNTA([2]quests!$A:$A),MATCH(E$1,[2]quests!$1:$1,0)-MATCH($B$1,[2]quests!$1:$1,0)+1),MATCH(E$1,[2]quests!$1:$1,0)-MATCH($B$1,[2]quests!$1:$1,0)+1,FALSE)</f>
        <v>【日曜限定】 青と黄の素材</v>
      </c>
      <c r="F78" s="5" t="str">
        <f ca="1">VLOOKUP($D78,OFFSET([2]stages!$A$1,0,0,COUNTA([2]stages!$A:$A),MATCH(F$1,[2]stages!$2:$2,0)-MATCH($D$1,[2]stages!$2:$2,0)+1),MATCH(F$1,[2]stages!$2:$2,0)-MATCH($D$1,[2]stages!$2:$2,0)+1,FALSE)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8" s="25">
        <v>4</v>
      </c>
      <c r="H78" s="16" t="str">
        <f t="shared" si="6"/>
        <v>11008_1-4</v>
      </c>
      <c r="I78" s="5">
        <f ca="1">VLOOKUP($H78,OFFSET(floors!$A$1,0,0,COUNTA(floors!$A:$A),MATCH(I$1,floors!$1:$1,0)-MATCH($H$1,floors!$1:$1,0)+1),MATCH(I$1,floors!$1:$1,0)-MATCH($H$1,floors!$1:$1,0)+1,FALSE)</f>
        <v>45</v>
      </c>
      <c r="J78" s="5">
        <f ca="1">VLOOKUP($H78,OFFSET(floors!$A$1,0,0,COUNTA(floors!$A:$A),MATCH(J$1,floors!$1:$1,0)-MATCH($H$1,floors!$1:$1,0)+1),MATCH(J$1,floors!$1:$1,0)-MATCH($H$1,floors!$1:$1,0)+1,FALSE)</f>
        <v>60</v>
      </c>
      <c r="K78" s="24" t="s">
        <v>197</v>
      </c>
      <c r="L78" s="24">
        <v>113</v>
      </c>
      <c r="M78" s="20" t="str">
        <f ca="1">VLOOKUP($L78,OFFSET([3]enemies!$A$1,0,0,COUNTA([3]enemies!$A:$A),MATCH(M$1,[3]enemies!$1:$1,0)-MATCH($L$1,[3]enemies!$1:$1,0)+1),MATCH(M$1,[3]enemies!$1:$1,0)-MATCH($L$1,[3]enemies!$1:$1,0)+1,FALSE)</f>
        <v>イエローチェシャ</v>
      </c>
      <c r="N78" s="20" t="str">
        <f ca="1">VLOOKUP($L78,OFFSET([3]enemies!$A$1,0,0,COUNTA([3]enemies!$A:$A),MATCH(N$1,[3]enemies!$1:$1,0)-MATCH($L$1,[3]enemies!$1:$1,0)+1),MATCH(N$1,[3]enemies!$1:$1,0)-MATCH($L$1,[3]enemies!$1:$1,0)+1,FALSE)</f>
        <v>yellow</v>
      </c>
      <c r="O78" s="22" t="str">
        <f ca="1">VLOOKUP($L78,OFFSET([4]characters!$A$1,0,0,COUNTA([4]characters!$A:$A),MATCH(O$1,[4]characters!$1:$1,0)-MATCH($L$1,[4]characters!$1:$1,0)+1),MATCH(O$1,[4]characters!$1:$1,0)-MATCH($L$1,[4]characters!$1:$1,0)+1,FALSE)</f>
        <v>Material</v>
      </c>
      <c r="P78" s="20" t="str">
        <f ca="1">VLOOKUP($L78,OFFSET([3]enemies!$A$1,0,0,COUNTA([3]enemies!$A:$A),MATCH(P$1,[3]enemies!$1:$1,0)-MATCH($L$1,[3]enemies!$1:$1,0)+1),MATCH(P$1,[3]enemies!$1:$1,0)-MATCH($L$1,[3]enemies!$1:$1,0)+1,FALSE)</f>
        <v>unknown</v>
      </c>
      <c r="Q78" s="20">
        <f ca="1">VLOOKUP($L78,OFFSET([3]enemies!$A$1,0,0,COUNTA([3]enemies!$A:$A),MATCH(Q$1,[3]enemies!$1:$1,0)-MATCH($L$1,[3]enemies!$1:$1,0)+1),MATCH(Q$1,[3]enemies!$1:$1,0)-MATCH($L$1,[3]enemies!$1:$1,0)+1,FALSE)</f>
        <v>15</v>
      </c>
      <c r="R78" s="6">
        <v>3</v>
      </c>
      <c r="S78" s="39">
        <v>1</v>
      </c>
      <c r="T78" s="39">
        <v>1</v>
      </c>
      <c r="U78" s="6">
        <v>0</v>
      </c>
      <c r="V78" s="5" t="str">
        <f ca="1">VLOOKUP($W78,OFFSET([5]enemy_skill_sets!$B$1,0,0,COUNTA([5]enemy_skill_sets!$B:$B),MATCH(M$1,[5]enemy_skill_sets!$1:$1,0)-MATCH($W$1,[5]enemy_skill_sets!$1:$1,0)+2),MATCH(M$1,[5]enemy_skill_sets!$1:$1,0)-MATCH($W$1,[5]enemy_skill_sets!$1:$1,0)+2,FALSE)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8" s="5">
        <f ca="1">VLOOKUP($L78,OFFSET([3]enemies!$A$1,0,0,COUNTA([3]enemies!$A:$A),MATCH(W$1,[3]enemies!$1:$1,0)-MATCH($L$1,[3]enemies!$1:$1,0)+1),MATCH(W$1,[3]enemies!$1:$1,0)-MATCH($L$1,[3]enemies!$1:$1,0)+1,FALSE)</f>
        <v>0</v>
      </c>
      <c r="X78" s="7">
        <v>0</v>
      </c>
      <c r="Y78" s="7">
        <v>100</v>
      </c>
      <c r="Z78" s="7">
        <v>0</v>
      </c>
      <c r="AA78" s="20">
        <f ca="1">VLOOKUP($L78,OFFSET([3]enemies!$A$1,0,0,COUNTA([3]enemies!$A:$A),MATCH(AA$1,[3]enemies!$1:$1,0)-MATCH($L$1,[3]enemies!$1:$1,0)+1),MATCH(AA$1,[3]enemies!$1:$1,0)-MATCH($L$1,[3]enemies!$1:$1,0)+1,FALSE)</f>
        <v>1</v>
      </c>
      <c r="AB78" s="24">
        <v>113</v>
      </c>
      <c r="AC78" s="5" t="str">
        <f ca="1">IFERROR(VLOOKUP($AB78,OFFSET([4]characters!$A$1,0,0,COUNTA([4]characters!$A:$A),MATCH(AC$1,[4]characters!$1:$1,0)-MATCH("character_id",[4]characters!$1:$1,0)+1),MATCH(AC$1,[4]characters!$1:$1,0)-MATCH("character_id",[4]characters!$1:$1,0)+1,FALSE),"")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78" s="5">
        <f ca="1">IFERROR(VLOOKUP($AB78,OFFSET([4]characters!$A$1,0,0,COUNTA([4]characters!$A:$A),MATCH(AD$1,[4]characters!$1:$1,0)-MATCH("character_id",[4]characters!$1:$1,0)+1),MATCH(AD$1,[4]characters!$1:$1,0)-MATCH("character_id",[4]characters!$1:$1,0)+1,FALSE),"")</f>
        <v>2</v>
      </c>
      <c r="AE78" s="5" t="str">
        <f ca="1">IFERROR(VLOOKUP($AB78,OFFSET([4]characters!$A$1,0,0,COUNTA([4]characters!$A:$A),MATCH(AE$1,[4]characters!$1:$1,0)-MATCH("character_id",[4]characters!$1:$1,0)+1),MATCH(AE$1,[4]characters!$1:$1,0)-MATCH("character_id",[4]characters!$1:$1,0)+1,FALSE),"")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8" s="8">
        <v>1</v>
      </c>
      <c r="AG78" s="27">
        <f t="shared" ca="1" si="7"/>
        <v>2</v>
      </c>
      <c r="AH78" s="9">
        <v>40</v>
      </c>
      <c r="AI78" s="8">
        <v>0</v>
      </c>
      <c r="AJ78" s="8">
        <v>0</v>
      </c>
      <c r="AK78" s="8">
        <v>0</v>
      </c>
      <c r="AL78" s="8">
        <v>0</v>
      </c>
      <c r="AM78" s="8">
        <v>1</v>
      </c>
      <c r="AN78" s="8">
        <v>1</v>
      </c>
    </row>
    <row r="79" spans="1:40" ht="21" customHeight="1" x14ac:dyDescent="0.15">
      <c r="A79" s="17" t="str">
        <f t="shared" ca="1" si="4"/>
        <v>11008_1-4/114&lt;lv3&gt;s2</v>
      </c>
      <c r="B79" s="8">
        <v>11008</v>
      </c>
      <c r="C79" s="25">
        <v>1</v>
      </c>
      <c r="D79" s="2" t="str">
        <f t="shared" si="5"/>
        <v>11008_1</v>
      </c>
      <c r="E79" s="5" t="str">
        <f ca="1">VLOOKUP($B79,OFFSET([2]quests!$A$1,0,0,COUNTA([2]quests!$A:$A),MATCH(E$1,[2]quests!$1:$1,0)-MATCH($B$1,[2]quests!$1:$1,0)+1),MATCH(E$1,[2]quests!$1:$1,0)-MATCH($B$1,[2]quests!$1:$1,0)+1,FALSE)</f>
        <v>【日曜限定】 青と黄の素材</v>
      </c>
      <c r="F79" s="5" t="str">
        <f ca="1">VLOOKUP($D79,OFFSET([2]stages!$A$1,0,0,COUNTA([2]stages!$A:$A),MATCH(F$1,[2]stages!$2:$2,0)-MATCH($D$1,[2]stages!$2:$2,0)+1),MATCH(F$1,[2]stages!$2:$2,0)-MATCH($D$1,[2]stages!$2:$2,0)+1,FALSE)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79" s="25">
        <v>4</v>
      </c>
      <c r="H79" s="16" t="str">
        <f t="shared" si="6"/>
        <v>11008_1-4</v>
      </c>
      <c r="I79" s="5">
        <f ca="1">VLOOKUP($H79,OFFSET(floors!$A$1,0,0,COUNTA(floors!$A:$A),MATCH(I$1,floors!$1:$1,0)-MATCH($H$1,floors!$1:$1,0)+1),MATCH(I$1,floors!$1:$1,0)-MATCH($H$1,floors!$1:$1,0)+1,FALSE)</f>
        <v>45</v>
      </c>
      <c r="J79" s="5">
        <f ca="1">VLOOKUP($H79,OFFSET(floors!$A$1,0,0,COUNTA(floors!$A:$A),MATCH(J$1,floors!$1:$1,0)-MATCH($H$1,floors!$1:$1,0)+1),MATCH(J$1,floors!$1:$1,0)-MATCH($H$1,floors!$1:$1,0)+1,FALSE)</f>
        <v>60</v>
      </c>
      <c r="K79" s="24" t="s">
        <v>197</v>
      </c>
      <c r="L79" s="24">
        <v>114</v>
      </c>
      <c r="M79" s="20" t="str">
        <f ca="1">VLOOKUP($L79,OFFSET([3]enemies!$A$1,0,0,COUNTA([3]enemies!$A:$A),MATCH(M$1,[3]enemies!$1:$1,0)-MATCH($L$1,[3]enemies!$1:$1,0)+1),MATCH(M$1,[3]enemies!$1:$1,0)-MATCH($L$1,[3]enemies!$1:$1,0)+1,FALSE)</f>
        <v>イエローラビット</v>
      </c>
      <c r="N79" s="20" t="str">
        <f ca="1">VLOOKUP($L79,OFFSET([3]enemies!$A$1,0,0,COUNTA([3]enemies!$A:$A),MATCH(N$1,[3]enemies!$1:$1,0)-MATCH($L$1,[3]enemies!$1:$1,0)+1),MATCH(N$1,[3]enemies!$1:$1,0)-MATCH($L$1,[3]enemies!$1:$1,0)+1,FALSE)</f>
        <v>yellow</v>
      </c>
      <c r="O79" s="22" t="str">
        <f ca="1">VLOOKUP($L79,OFFSET([4]characters!$A$1,0,0,COUNTA([4]characters!$A:$A),MATCH(O$1,[4]characters!$1:$1,0)-MATCH($L$1,[4]characters!$1:$1,0)+1),MATCH(O$1,[4]characters!$1:$1,0)-MATCH($L$1,[4]characters!$1:$1,0)+1,FALSE)</f>
        <v>Material</v>
      </c>
      <c r="P79" s="20" t="str">
        <f ca="1">VLOOKUP($L79,OFFSET([3]enemies!$A$1,0,0,COUNTA([3]enemies!$A:$A),MATCH(P$1,[3]enemies!$1:$1,0)-MATCH($L$1,[3]enemies!$1:$1,0)+1),MATCH(P$1,[3]enemies!$1:$1,0)-MATCH($L$1,[3]enemies!$1:$1,0)+1,FALSE)</f>
        <v>unknown</v>
      </c>
      <c r="Q79" s="20">
        <f ca="1">VLOOKUP($L79,OFFSET([3]enemies!$A$1,0,0,COUNTA([3]enemies!$A:$A),MATCH(Q$1,[3]enemies!$1:$1,0)-MATCH($L$1,[3]enemies!$1:$1,0)+1),MATCH(Q$1,[3]enemies!$1:$1,0)-MATCH($L$1,[3]enemies!$1:$1,0)+1,FALSE)</f>
        <v>15</v>
      </c>
      <c r="R79" s="6">
        <v>3</v>
      </c>
      <c r="S79" s="40">
        <v>1.8</v>
      </c>
      <c r="T79" s="39">
        <v>1</v>
      </c>
      <c r="U79" s="6">
        <v>0</v>
      </c>
      <c r="V79" s="5" t="str">
        <f ca="1">VLOOKUP($W79,OFFSET([5]enemy_skill_sets!$B$1,0,0,COUNTA([5]enemy_skill_sets!$B:$B),MATCH(M$1,[5]enemy_skill_sets!$1:$1,0)-MATCH($W$1,[5]enemy_skill_sets!$1:$1,0)+2),MATCH(M$1,[5]enemy_skill_sets!$1:$1,0)-MATCH($W$1,[5]enemy_skill_sets!$1:$1,0)+2,FALSE)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9" s="5">
        <f ca="1">VLOOKUP($L79,OFFSET([3]enemies!$A$1,0,0,COUNTA([3]enemies!$A:$A),MATCH(W$1,[3]enemies!$1:$1,0)-MATCH($L$1,[3]enemies!$1:$1,0)+1),MATCH(W$1,[3]enemies!$1:$1,0)-MATCH($L$1,[3]enemies!$1:$1,0)+1,FALSE)</f>
        <v>0</v>
      </c>
      <c r="X79" s="7">
        <v>0</v>
      </c>
      <c r="Y79" s="7">
        <v>40</v>
      </c>
      <c r="Z79" s="7">
        <v>0</v>
      </c>
      <c r="AA79" s="20">
        <f ca="1">VLOOKUP($L79,OFFSET([3]enemies!$A$1,0,0,COUNTA([3]enemies!$A:$A),MATCH(AA$1,[3]enemies!$1:$1,0)-MATCH($L$1,[3]enemies!$1:$1,0)+1),MATCH(AA$1,[3]enemies!$1:$1,0)-MATCH($L$1,[3]enemies!$1:$1,0)+1,FALSE)</f>
        <v>2</v>
      </c>
      <c r="AB79" s="24">
        <v>114</v>
      </c>
      <c r="AC79" s="5" t="str">
        <f ca="1">IFERROR(VLOOKUP($AB79,OFFSET([4]characters!$A$1,0,0,COUNTA([4]characters!$A:$A),MATCH(AC$1,[4]characters!$1:$1,0)-MATCH("character_id",[4]characters!$1:$1,0)+1),MATCH(AC$1,[4]characters!$1:$1,0)-MATCH("character_id",[4]characters!$1:$1,0)+1,FALSE),"")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79" s="5">
        <f ca="1">IFERROR(VLOOKUP($AB79,OFFSET([4]characters!$A$1,0,0,COUNTA([4]characters!$A:$A),MATCH(AD$1,[4]characters!$1:$1,0)-MATCH("character_id",[4]characters!$1:$1,0)+1),MATCH(AD$1,[4]characters!$1:$1,0)-MATCH("character_id",[4]characters!$1:$1,0)+1,FALSE),"")</f>
        <v>3</v>
      </c>
      <c r="AE79" s="5" t="str">
        <f ca="1">IFERROR(VLOOKUP($AB79,OFFSET([4]characters!$A$1,0,0,COUNTA([4]characters!$A:$A),MATCH(AE$1,[4]characters!$1:$1,0)-MATCH("character_id",[4]characters!$1:$1,0)+1),MATCH(AE$1,[4]characters!$1:$1,0)-MATCH("character_id",[4]characters!$1:$1,0)+1,FALSE),"")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79" s="8">
        <v>1</v>
      </c>
      <c r="AG79" s="27">
        <f t="shared" ca="1" si="7"/>
        <v>3</v>
      </c>
      <c r="AH79" s="9">
        <v>20</v>
      </c>
      <c r="AI79" s="8">
        <v>0</v>
      </c>
      <c r="AJ79" s="8">
        <v>0</v>
      </c>
      <c r="AK79" s="8">
        <v>0</v>
      </c>
      <c r="AL79" s="8">
        <v>0</v>
      </c>
      <c r="AM79" s="8">
        <v>1</v>
      </c>
      <c r="AN79" s="8">
        <v>1</v>
      </c>
    </row>
    <row r="80" spans="1:40" ht="21" customHeight="1" x14ac:dyDescent="0.15">
      <c r="A80" s="17" t="str">
        <f t="shared" ca="1" si="4"/>
        <v>11008_1-5/113&lt;lv3&gt;s1</v>
      </c>
      <c r="B80" s="8">
        <v>11008</v>
      </c>
      <c r="C80" s="25">
        <v>1</v>
      </c>
      <c r="D80" s="2" t="str">
        <f t="shared" si="5"/>
        <v>11008_1</v>
      </c>
      <c r="E80" s="5" t="str">
        <f ca="1">VLOOKUP($B80,OFFSET([2]quests!$A$1,0,0,COUNTA([2]quests!$A:$A),MATCH(E$1,[2]quests!$1:$1,0)-MATCH($B$1,[2]quests!$1:$1,0)+1),MATCH(E$1,[2]quests!$1:$1,0)-MATCH($B$1,[2]quests!$1:$1,0)+1,FALSE)</f>
        <v>【日曜限定】 青と黄の素材</v>
      </c>
      <c r="F80" s="5" t="str">
        <f ca="1">VLOOKUP($D80,OFFSET([2]stages!$A$1,0,0,COUNTA([2]stages!$A:$A),MATCH(F$1,[2]stages!$2:$2,0)-MATCH($D$1,[2]stages!$2:$2,0)+1),MATCH(F$1,[2]stages!$2:$2,0)-MATCH($D$1,[2]stages!$2:$2,0)+1,FALSE)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80" s="25">
        <v>5</v>
      </c>
      <c r="H80" s="16" t="str">
        <f t="shared" si="6"/>
        <v>11008_1-5</v>
      </c>
      <c r="I80" s="5">
        <f ca="1">VLOOKUP($H80,OFFSET(floors!$A$1,0,0,COUNTA(floors!$A:$A),MATCH(I$1,floors!$1:$1,0)-MATCH($H$1,floors!$1:$1,0)+1),MATCH(I$1,floors!$1:$1,0)-MATCH($H$1,floors!$1:$1,0)+1,FALSE)</f>
        <v>45</v>
      </c>
      <c r="J80" s="5">
        <f ca="1">VLOOKUP($H80,OFFSET(floors!$A$1,0,0,COUNTA(floors!$A:$A),MATCH(J$1,floors!$1:$1,0)-MATCH($H$1,floors!$1:$1,0)+1),MATCH(J$1,floors!$1:$1,0)-MATCH($H$1,floors!$1:$1,0)+1,FALSE)</f>
        <v>45</v>
      </c>
      <c r="K80" s="24" t="s">
        <v>197</v>
      </c>
      <c r="L80" s="24">
        <v>113</v>
      </c>
      <c r="M80" s="20" t="str">
        <f ca="1">VLOOKUP($L80,OFFSET([3]enemies!$A$1,0,0,COUNTA([3]enemies!$A:$A),MATCH(M$1,[3]enemies!$1:$1,0)-MATCH($L$1,[3]enemies!$1:$1,0)+1),MATCH(M$1,[3]enemies!$1:$1,0)-MATCH($L$1,[3]enemies!$1:$1,0)+1,FALSE)</f>
        <v>イエローチェシャ</v>
      </c>
      <c r="N80" s="20" t="str">
        <f ca="1">VLOOKUP($L80,OFFSET([3]enemies!$A$1,0,0,COUNTA([3]enemies!$A:$A),MATCH(N$1,[3]enemies!$1:$1,0)-MATCH($L$1,[3]enemies!$1:$1,0)+1),MATCH(N$1,[3]enemies!$1:$1,0)-MATCH($L$1,[3]enemies!$1:$1,0)+1,FALSE)</f>
        <v>yellow</v>
      </c>
      <c r="O80" s="22" t="str">
        <f ca="1">VLOOKUP($L80,OFFSET([4]characters!$A$1,0,0,COUNTA([4]characters!$A:$A),MATCH(O$1,[4]characters!$1:$1,0)-MATCH($L$1,[4]characters!$1:$1,0)+1),MATCH(O$1,[4]characters!$1:$1,0)-MATCH($L$1,[4]characters!$1:$1,0)+1,FALSE)</f>
        <v>Material</v>
      </c>
      <c r="P80" s="20" t="str">
        <f ca="1">VLOOKUP($L80,OFFSET([3]enemies!$A$1,0,0,COUNTA([3]enemies!$A:$A),MATCH(P$1,[3]enemies!$1:$1,0)-MATCH($L$1,[3]enemies!$1:$1,0)+1),MATCH(P$1,[3]enemies!$1:$1,0)-MATCH($L$1,[3]enemies!$1:$1,0)+1,FALSE)</f>
        <v>unknown</v>
      </c>
      <c r="Q80" s="20">
        <f ca="1">VLOOKUP($L80,OFFSET([3]enemies!$A$1,0,0,COUNTA([3]enemies!$A:$A),MATCH(Q$1,[3]enemies!$1:$1,0)-MATCH($L$1,[3]enemies!$1:$1,0)+1),MATCH(Q$1,[3]enemies!$1:$1,0)-MATCH($L$1,[3]enemies!$1:$1,0)+1,FALSE)</f>
        <v>15</v>
      </c>
      <c r="R80" s="6">
        <v>3</v>
      </c>
      <c r="S80" s="39">
        <v>1</v>
      </c>
      <c r="T80" s="39">
        <v>1</v>
      </c>
      <c r="U80" s="6">
        <v>0</v>
      </c>
      <c r="V80" s="5" t="str">
        <f ca="1">VLOOKUP($W80,OFFSET([5]enemy_skill_sets!$B$1,0,0,COUNTA([5]enemy_skill_sets!$B:$B),MATCH(M$1,[5]enemy_skill_sets!$1:$1,0)-MATCH($W$1,[5]enemy_skill_sets!$1:$1,0)+2),MATCH(M$1,[5]enemy_skill_sets!$1:$1,0)-MATCH($W$1,[5]enemy_skill_sets!$1:$1,0)+2,FALSE)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0" s="5">
        <f ca="1">VLOOKUP($L80,OFFSET([3]enemies!$A$1,0,0,COUNTA([3]enemies!$A:$A),MATCH(W$1,[3]enemies!$1:$1,0)-MATCH($L$1,[3]enemies!$1:$1,0)+1),MATCH(W$1,[3]enemies!$1:$1,0)-MATCH($L$1,[3]enemies!$1:$1,0)+1,FALSE)</f>
        <v>0</v>
      </c>
      <c r="X80" s="7">
        <v>1</v>
      </c>
      <c r="Y80" s="7">
        <v>100</v>
      </c>
      <c r="Z80" s="7">
        <v>0</v>
      </c>
      <c r="AA80" s="20">
        <f ca="1">VLOOKUP($L80,OFFSET([3]enemies!$A$1,0,0,COUNTA([3]enemies!$A:$A),MATCH(AA$1,[3]enemies!$1:$1,0)-MATCH($L$1,[3]enemies!$1:$1,0)+1),MATCH(AA$1,[3]enemies!$1:$1,0)-MATCH($L$1,[3]enemies!$1:$1,0)+1,FALSE)</f>
        <v>1</v>
      </c>
      <c r="AB80" s="24">
        <v>113</v>
      </c>
      <c r="AC80" s="5" t="str">
        <f ca="1">IFERROR(VLOOKUP($AB80,OFFSET([4]characters!$A$1,0,0,COUNTA([4]characters!$A:$A),MATCH(AC$1,[4]characters!$1:$1,0)-MATCH("character_id",[4]characters!$1:$1,0)+1),MATCH(AC$1,[4]characters!$1:$1,0)-MATCH("character_id",[4]characters!$1:$1,0)+1,FALSE),"")</f>
        <v>イエローチェシャ</v>
      </c>
      <c r="AD80" s="5">
        <f ca="1">IFERROR(VLOOKUP($AB80,OFFSET([4]characters!$A$1,0,0,COUNTA([4]characters!$A:$A),MATCH(AD$1,[4]characters!$1:$1,0)-MATCH("character_id",[4]characters!$1:$1,0)+1),MATCH(AD$1,[4]characters!$1:$1,0)-MATCH("character_id",[4]characters!$1:$1,0)+1,FALSE),"")</f>
        <v>2</v>
      </c>
      <c r="AE80" s="5" t="str">
        <f ca="1">IFERROR(VLOOKUP($AB80,OFFSET([4]characters!$A$1,0,0,COUNTA([4]characters!$A:$A),MATCH(AE$1,[4]characters!$1:$1,0)-MATCH("character_id",[4]characters!$1:$1,0)+1),MATCH(AE$1,[4]characters!$1:$1,0)-MATCH("character_id",[4]characters!$1:$1,0)+1,FALSE),"")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0" s="8">
        <v>1</v>
      </c>
      <c r="AG80" s="27">
        <f t="shared" ca="1" si="7"/>
        <v>2</v>
      </c>
      <c r="AH80" s="9">
        <v>100</v>
      </c>
      <c r="AI80" s="8">
        <v>0</v>
      </c>
      <c r="AJ80" s="8">
        <v>0</v>
      </c>
      <c r="AK80" s="8">
        <v>0</v>
      </c>
      <c r="AL80" s="8">
        <v>0</v>
      </c>
      <c r="AM80" s="8">
        <v>1</v>
      </c>
      <c r="AN80" s="8">
        <v>1</v>
      </c>
    </row>
    <row r="81" spans="1:40" ht="23" customHeight="1" x14ac:dyDescent="0.15">
      <c r="A81" s="17" t="str">
        <f t="shared" ca="1" si="4"/>
        <v>11008_1-5/114&lt;lv5&gt;s2</v>
      </c>
      <c r="B81" s="8">
        <v>11008</v>
      </c>
      <c r="C81" s="25">
        <v>1</v>
      </c>
      <c r="D81" s="2" t="str">
        <f t="shared" si="5"/>
        <v>11008_1</v>
      </c>
      <c r="E81" s="5" t="str">
        <f ca="1">VLOOKUP($B81,OFFSET([2]quests!$A$1,0,0,COUNTA([2]quests!$A:$A),MATCH(E$1,[2]quests!$1:$1,0)-MATCH($B$1,[2]quests!$1:$1,0)+1),MATCH(E$1,[2]quests!$1:$1,0)-MATCH($B$1,[2]quests!$1:$1,0)+1,FALSE)</f>
        <v>【日曜限定】 青と黄の素材</v>
      </c>
      <c r="F81" s="5" t="str">
        <f ca="1">VLOOKUP($D81,OFFSET([2]stages!$A$1,0,0,COUNTA([2]stages!$A:$A),MATCH(F$1,[2]stages!$2:$2,0)-MATCH($D$1,[2]stages!$2:$2,0)+1),MATCH(F$1,[2]stages!$2:$2,0)-MATCH($D$1,[2]stages!$2:$2,0)+1,FALSE)</f>
        <v xml:space="preserve">【初級】水と雷のチェシャ猫 </v>
      </c>
      <c r="G81" s="25">
        <v>5</v>
      </c>
      <c r="H81" s="16" t="str">
        <f t="shared" si="6"/>
        <v>11008_1-5</v>
      </c>
      <c r="I81" s="5">
        <f ca="1">VLOOKUP($H81,OFFSET(floors!$A$1,0,0,COUNTA(floors!$A:$A),MATCH(I$1,floors!$1:$1,0)-MATCH($H$1,floors!$1:$1,0)+1),MATCH(I$1,floors!$1:$1,0)-MATCH($H$1,floors!$1:$1,0)+1,FALSE)</f>
        <v>45</v>
      </c>
      <c r="J81" s="5">
        <f ca="1">VLOOKUP($H81,OFFSET(floors!$A$1,0,0,COUNTA(floors!$A:$A),MATCH(J$1,floors!$1:$1,0)-MATCH($H$1,floors!$1:$1,0)+1),MATCH(J$1,floors!$1:$1,0)-MATCH($H$1,floors!$1:$1,0)+1,FALSE)</f>
        <v>45</v>
      </c>
      <c r="K81" s="24" t="s">
        <v>197</v>
      </c>
      <c r="L81" s="24">
        <v>114</v>
      </c>
      <c r="M81" s="20" t="str">
        <f ca="1">VLOOKUP($L81,OFFSET([3]enemies!$A$1,0,0,COUNTA([3]enemies!$A:$A),MATCH(M$1,[3]enemies!$1:$1,0)-MATCH($L$1,[3]enemies!$1:$1,0)+1),MATCH(M$1,[3]enemies!$1:$1,0)-MATCH($L$1,[3]enemies!$1:$1,0)+1,FALSE)</f>
        <v>イエローラビット</v>
      </c>
      <c r="N81" s="20" t="str">
        <f ca="1">VLOOKUP($L81,OFFSET([3]enemies!$A$1,0,0,COUNTA([3]enemies!$A:$A),MATCH(N$1,[3]enemies!$1:$1,0)-MATCH($L$1,[3]enemies!$1:$1,0)+1),MATCH(N$1,[3]enemies!$1:$1,0)-MATCH($L$1,[3]enemies!$1:$1,0)+1,FALSE)</f>
        <v>yellow</v>
      </c>
      <c r="O81" s="22" t="str">
        <f ca="1">VLOOKUP($L81,OFFSET([4]characters!$A$1,0,0,COUNTA([4]characters!$A:$A),MATCH(O$1,[4]characters!$1:$1,0)-MATCH($L$1,[4]characters!$1:$1,0)+1),MATCH(O$1,[4]characters!$1:$1,0)-MATCH($L$1,[4]characters!$1:$1,0)+1,FALSE)</f>
        <v>Material</v>
      </c>
      <c r="P81" s="20" t="str">
        <f ca="1">VLOOKUP($L81,OFFSET([3]enemies!$A$1,0,0,COUNTA([3]enemies!$A:$A),MATCH(P$1,[3]enemies!$1:$1,0)-MATCH($L$1,[3]enemies!$1:$1,0)+1),MATCH(P$1,[3]enemies!$1:$1,0)-MATCH($L$1,[3]enemies!$1:$1,0)+1,FALSE)</f>
        <v>unknown</v>
      </c>
      <c r="Q81" s="20">
        <f ca="1">VLOOKUP($L81,OFFSET([3]enemies!$A$1,0,0,COUNTA([3]enemies!$A:$A),MATCH(Q$1,[3]enemies!$1:$1,0)-MATCH($L$1,[3]enemies!$1:$1,0)+1),MATCH(Q$1,[3]enemies!$1:$1,0)-MATCH($L$1,[3]enemies!$1:$1,0)+1,FALSE)</f>
        <v>15</v>
      </c>
      <c r="R81" s="6">
        <v>5</v>
      </c>
      <c r="S81" s="40">
        <v>1.8</v>
      </c>
      <c r="T81" s="39">
        <v>1</v>
      </c>
      <c r="U81" s="6">
        <v>0</v>
      </c>
      <c r="V81" s="5" t="str">
        <f ca="1">VLOOKUP($W81,OFFSET([5]enemy_skill_sets!$B$1,0,0,COUNTA([5]enemy_skill_sets!$B:$B),MATCH(M$1,[5]enemy_skill_sets!$1:$1,0)-MATCH($W$1,[5]enemy_skill_sets!$1:$1,0)+2),MATCH(M$1,[5]enemy_skill_sets!$1:$1,0)-MATCH($W$1,[5]enemy_skill_sets!$1:$1,0)+2,FALSE)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1" s="5">
        <f ca="1">VLOOKUP($L81,OFFSET([3]enemies!$A$1,0,0,COUNTA([3]enemies!$A:$A),MATCH(W$1,[3]enemies!$1:$1,0)-MATCH($L$1,[3]enemies!$1:$1,0)+1),MATCH(W$1,[3]enemies!$1:$1,0)-MATCH($L$1,[3]enemies!$1:$1,0)+1,FALSE)</f>
        <v>0</v>
      </c>
      <c r="X81" s="7">
        <v>0</v>
      </c>
      <c r="Y81" s="7">
        <v>50</v>
      </c>
      <c r="Z81" s="7">
        <v>1</v>
      </c>
      <c r="AA81" s="20">
        <f ca="1">VLOOKUP($L81,OFFSET([3]enemies!$A$1,0,0,COUNTA([3]enemies!$A:$A),MATCH(AA$1,[3]enemies!$1:$1,0)-MATCH($L$1,[3]enemies!$1:$1,0)+1),MATCH(AA$1,[3]enemies!$1:$1,0)-MATCH($L$1,[3]enemies!$1:$1,0)+1,FALSE)</f>
        <v>2</v>
      </c>
      <c r="AB81" s="24">
        <v>114</v>
      </c>
      <c r="AC81" s="5" t="str">
        <f ca="1">IFERROR(VLOOKUP($AB81,OFFSET([4]characters!$A$1,0,0,COUNTA([4]characters!$A:$A),MATCH(AC$1,[4]characters!$1:$1,0)-MATCH("character_id",[4]characters!$1:$1,0)+1),MATCH(AC$1,[4]characters!$1:$1,0)-MATCH("character_id",[4]characters!$1:$1,0)+1,FALSE),"")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81" s="5">
        <f ca="1">IFERROR(VLOOKUP($AB81,OFFSET([4]characters!$A$1,0,0,COUNTA([4]characters!$A:$A),MATCH(AD$1,[4]characters!$1:$1,0)-MATCH("character_id",[4]characters!$1:$1,0)+1),MATCH(AD$1,[4]characters!$1:$1,0)-MATCH("character_id",[4]characters!$1:$1,0)+1,FALSE),"")</f>
        <v>3</v>
      </c>
      <c r="AE81" s="5" t="str">
        <f ca="1">IFERROR(VLOOKUP($AB81,OFFSET([4]characters!$A$1,0,0,COUNTA([4]characters!$A:$A),MATCH(AE$1,[4]characters!$1:$1,0)-MATCH("character_id",[4]characters!$1:$1,0)+1),MATCH(AE$1,[4]characters!$1:$1,0)-MATCH("character_id",[4]characters!$1:$1,0)+1,FALSE),"")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1" s="8">
        <v>1</v>
      </c>
      <c r="AG81" s="27">
        <f t="shared" ca="1" si="7"/>
        <v>3</v>
      </c>
      <c r="AH81" s="9">
        <v>0</v>
      </c>
      <c r="AI81" s="8">
        <v>0</v>
      </c>
      <c r="AJ81" s="8">
        <v>0</v>
      </c>
      <c r="AK81" s="8">
        <v>0</v>
      </c>
      <c r="AL81" s="8">
        <v>0</v>
      </c>
      <c r="AM81" s="8">
        <v>1</v>
      </c>
      <c r="AN81" s="8">
        <v>1</v>
      </c>
    </row>
    <row r="82" spans="1:40" ht="21" customHeight="1" x14ac:dyDescent="0.15">
      <c r="A82" s="17" t="str">
        <f t="shared" ca="1" si="4"/>
        <v>11008_2-1/110&lt;lv15&gt;s4</v>
      </c>
      <c r="B82" s="8">
        <v>11008</v>
      </c>
      <c r="C82" s="25">
        <v>2</v>
      </c>
      <c r="D82" s="2" t="str">
        <f t="shared" si="5"/>
        <v>11008_2</v>
      </c>
      <c r="E82" s="5" t="str">
        <f ca="1">VLOOKUP($B82,OFFSET([2]quests!$A$1,0,0,COUNTA([2]quests!$A:$A),MATCH(E$1,[2]quests!$1:$1,0)-MATCH($B$1,[2]quests!$1:$1,0)+1),MATCH(E$1,[2]quests!$1:$1,0)-MATCH($B$1,[2]quests!$1:$1,0)+1,FALSE)</f>
        <v>【日曜限定】 青と黄の素材</v>
      </c>
      <c r="F82" s="5" t="str">
        <f ca="1">VLOOKUP($D82,OFFSET([2]stages!$A$1,0,0,COUNTA([2]stages!$A:$A),MATCH(F$1,[2]stages!$2:$2,0)-MATCH($D$1,[2]stages!$2:$2,0)+1),MATCH(F$1,[2]stages!$2:$2,0)-MATCH($D$1,[2]stages!$2:$2,0)+1,FALSE)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2" s="25">
        <v>1</v>
      </c>
      <c r="H82" s="16" t="str">
        <f t="shared" si="6"/>
        <v>11008_2-1</v>
      </c>
      <c r="I82" s="5">
        <f ca="1">VLOOKUP($H82,OFFSET(floors!$A$1,0,0,COUNTA(floors!$A:$A),MATCH(I$1,floors!$1:$1,0)-MATCH($H$1,floors!$1:$1,0)+1),MATCH(I$1,floors!$1:$1,0)-MATCH($H$1,floors!$1:$1,0)+1,FALSE)</f>
        <v>30</v>
      </c>
      <c r="J82" s="5">
        <f ca="1">VLOOKUP($H82,OFFSET(floors!$A$1,0,0,COUNTA(floors!$A:$A),MATCH(J$1,floors!$1:$1,0)-MATCH($H$1,floors!$1:$1,0)+1),MATCH(J$1,floors!$1:$1,0)-MATCH($H$1,floors!$1:$1,0)+1,FALSE)</f>
        <v>30</v>
      </c>
      <c r="K82" s="24" t="s">
        <v>197</v>
      </c>
      <c r="L82" s="24">
        <v>110</v>
      </c>
      <c r="M82" s="20" t="str">
        <f ca="1">VLOOKUP($L82,OFFSET([3]enemies!$A$1,0,0,COUNTA([3]enemies!$A:$A),MATCH(M$1,[3]enemies!$1:$1,0)-MATCH($L$1,[3]enemies!$1:$1,0)+1),MATCH(M$1,[3]enemies!$1:$1,0)-MATCH($L$1,[3]enemies!$1:$1,0)+1,FALSE)</f>
        <v>ブルーラビット</v>
      </c>
      <c r="N82" s="20" t="str">
        <f ca="1">VLOOKUP($L82,OFFSET([3]enemies!$A$1,0,0,COUNTA([3]enemies!$A:$A),MATCH(N$1,[3]enemies!$1:$1,0)-MATCH($L$1,[3]enemies!$1:$1,0)+1),MATCH(N$1,[3]enemies!$1:$1,0)-MATCH($L$1,[3]enemies!$1:$1,0)+1,FALSE)</f>
        <v>blue</v>
      </c>
      <c r="O82" s="22" t="str">
        <f ca="1">VLOOKUP($L82,OFFSET([4]characters!$A$1,0,0,COUNTA([4]characters!$A:$A),MATCH(O$1,[4]characters!$1:$1,0)-MATCH($L$1,[4]characters!$1:$1,0)+1),MATCH(O$1,[4]characters!$1:$1,0)-MATCH($L$1,[4]characters!$1:$1,0)+1,FALSE)</f>
        <v>Material</v>
      </c>
      <c r="P82" s="20" t="str">
        <f ca="1">VLOOKUP($L82,OFFSET([3]enemies!$A$1,0,0,COUNTA([3]enemies!$A:$A),MATCH(P$1,[3]enemies!$1:$1,0)-MATCH($L$1,[3]enemies!$1:$1,0)+1),MATCH(P$1,[3]enemies!$1:$1,0)-MATCH($L$1,[3]enemies!$1:$1,0)+1,FALSE)</f>
        <v>unknown</v>
      </c>
      <c r="Q82" s="20">
        <f ca="1">VLOOKUP($L82,OFFSET([3]enemies!$A$1,0,0,COUNTA([3]enemies!$A:$A),MATCH(Q$1,[3]enemies!$1:$1,0)-MATCH($L$1,[3]enemies!$1:$1,0)+1),MATCH(Q$1,[3]enemies!$1:$1,0)-MATCH($L$1,[3]enemies!$1:$1,0)+1,FALSE)</f>
        <v>15</v>
      </c>
      <c r="R82" s="6">
        <v>15</v>
      </c>
      <c r="S82" s="40">
        <v>1.8</v>
      </c>
      <c r="T82" s="39">
        <v>1</v>
      </c>
      <c r="U82" s="6">
        <v>0</v>
      </c>
      <c r="V82" s="5" t="str">
        <f ca="1">VLOOKUP($W82,OFFSET([5]enemy_skill_sets!$B$1,0,0,COUNTA([5]enemy_skill_sets!$B:$B),MATCH(M$1,[5]enemy_skill_sets!$1:$1,0)-MATCH($W$1,[5]enemy_skill_sets!$1:$1,0)+2),MATCH(M$1,[5]enemy_skill_sets!$1:$1,0)-MATCH($W$1,[5]enemy_skill_sets!$1:$1,0)+2,FALSE)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2" s="5">
        <f ca="1">VLOOKUP($L82,OFFSET([3]enemies!$A$1,0,0,COUNTA([3]enemies!$A:$A),MATCH(W$1,[3]enemies!$1:$1,0)-MATCH($L$1,[3]enemies!$1:$1,0)+1),MATCH(W$1,[3]enemies!$1:$1,0)-MATCH($L$1,[3]enemies!$1:$1,0)+1,FALSE)</f>
        <v>0</v>
      </c>
      <c r="X82" s="7">
        <v>0</v>
      </c>
      <c r="Y82" s="7">
        <v>100</v>
      </c>
      <c r="Z82" s="7">
        <v>0</v>
      </c>
      <c r="AA82" s="20">
        <f ca="1">VLOOKUP($L82,OFFSET([3]enemies!$A$1,0,0,COUNTA([3]enemies!$A:$A),MATCH(AA$1,[3]enemies!$1:$1,0)-MATCH($L$1,[3]enemies!$1:$1,0)+1),MATCH(AA$1,[3]enemies!$1:$1,0)-MATCH($L$1,[3]enemies!$1:$1,0)+1,FALSE)</f>
        <v>4</v>
      </c>
      <c r="AB82" s="24">
        <v>110</v>
      </c>
      <c r="AC82" s="5" t="str">
        <f ca="1">IFERROR(VLOOKUP($AB82,OFFSET([4]characters!$A$1,0,0,COUNTA([4]characters!$A:$A),MATCH(AC$1,[4]characters!$1:$1,0)-MATCH("character_id",[4]characters!$1:$1,0)+1),MATCH(AC$1,[4]characters!$1:$1,0)-MATCH("character_id",[4]characters!$1:$1,0)+1,FALSE),"")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82" s="5">
        <f ca="1">IFERROR(VLOOKUP($AB82,OFFSET([4]characters!$A$1,0,0,COUNTA([4]characters!$A:$A),MATCH(AD$1,[4]characters!$1:$1,0)-MATCH("character_id",[4]characters!$1:$1,0)+1),MATCH(AD$1,[4]characters!$1:$1,0)-MATCH("character_id",[4]characters!$1:$1,0)+1,FALSE),"")</f>
        <v>3</v>
      </c>
      <c r="AE82" s="5" t="str">
        <f ca="1">IFERROR(VLOOKUP($AB82,OFFSET([4]characters!$A$1,0,0,COUNTA([4]characters!$A:$A),MATCH(AE$1,[4]characters!$1:$1,0)-MATCH("character_id",[4]characters!$1:$1,0)+1),MATCH(AE$1,[4]characters!$1:$1,0)-MATCH("character_id",[4]characters!$1:$1,0)+1,FALSE),"")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2" s="8">
        <v>1</v>
      </c>
      <c r="AG82" s="27">
        <f t="shared" ca="1" si="7"/>
        <v>3</v>
      </c>
      <c r="AH82" s="80">
        <v>20</v>
      </c>
      <c r="AI82" s="8">
        <v>0</v>
      </c>
      <c r="AJ82" s="8">
        <v>0</v>
      </c>
      <c r="AK82" s="8">
        <v>0</v>
      </c>
      <c r="AL82" s="8">
        <v>0</v>
      </c>
      <c r="AM82" s="8">
        <v>1</v>
      </c>
      <c r="AN82" s="8">
        <v>1</v>
      </c>
    </row>
    <row r="83" spans="1:40" ht="21" customHeight="1" x14ac:dyDescent="0.15">
      <c r="A83" s="17" t="str">
        <f t="shared" ca="1" si="4"/>
        <v>11008_2-2/110&lt;lv15&gt;s4</v>
      </c>
      <c r="B83" s="8">
        <v>11008</v>
      </c>
      <c r="C83" s="25">
        <v>2</v>
      </c>
      <c r="D83" s="2" t="str">
        <f t="shared" si="5"/>
        <v>11008_2</v>
      </c>
      <c r="E83" s="5" t="str">
        <f ca="1">VLOOKUP($B83,OFFSET([2]quests!$A$1,0,0,COUNTA([2]quests!$A:$A),MATCH(E$1,[2]quests!$1:$1,0)-MATCH($B$1,[2]quests!$1:$1,0)+1),MATCH(E$1,[2]quests!$1:$1,0)-MATCH($B$1,[2]quests!$1:$1,0)+1,FALSE)</f>
        <v>【日曜限定】 青と黄の素材</v>
      </c>
      <c r="F83" s="5" t="str">
        <f ca="1">VLOOKUP($D83,OFFSET([2]stages!$A$1,0,0,COUNTA([2]stages!$A:$A),MATCH(F$1,[2]stages!$2:$2,0)-MATCH($D$1,[2]stages!$2:$2,0)+1),MATCH(F$1,[2]stages!$2:$2,0)-MATCH($D$1,[2]stages!$2:$2,0)+1,FALSE)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3" s="25">
        <v>2</v>
      </c>
      <c r="H83" s="16" t="str">
        <f t="shared" si="6"/>
        <v>11008_2-2</v>
      </c>
      <c r="I83" s="5">
        <f ca="1">VLOOKUP($H83,OFFSET(floors!$A$1,0,0,COUNTA(floors!$A:$A),MATCH(I$1,floors!$1:$1,0)-MATCH($H$1,floors!$1:$1,0)+1),MATCH(I$1,floors!$1:$1,0)-MATCH($H$1,floors!$1:$1,0)+1,FALSE)</f>
        <v>30</v>
      </c>
      <c r="J83" s="5">
        <f ca="1">VLOOKUP($H83,OFFSET(floors!$A$1,0,0,COUNTA(floors!$A:$A),MATCH(J$1,floors!$1:$1,0)-MATCH($H$1,floors!$1:$1,0)+1),MATCH(J$1,floors!$1:$1,0)-MATCH($H$1,floors!$1:$1,0)+1,FALSE)</f>
        <v>30</v>
      </c>
      <c r="K83" s="24" t="s">
        <v>197</v>
      </c>
      <c r="L83" s="24">
        <v>110</v>
      </c>
      <c r="M83" s="20" t="str">
        <f ca="1">VLOOKUP($L83,OFFSET([3]enemies!$A$1,0,0,COUNTA([3]enemies!$A:$A),MATCH(M$1,[3]enemies!$1:$1,0)-MATCH($L$1,[3]enemies!$1:$1,0)+1),MATCH(M$1,[3]enemies!$1:$1,0)-MATCH($L$1,[3]enemies!$1:$1,0)+1,FALSE)</f>
        <v>ブルーラビット</v>
      </c>
      <c r="N83" s="20" t="str">
        <f ca="1">VLOOKUP($L83,OFFSET([3]enemies!$A$1,0,0,COUNTA([3]enemies!$A:$A),MATCH(N$1,[3]enemies!$1:$1,0)-MATCH($L$1,[3]enemies!$1:$1,0)+1),MATCH(N$1,[3]enemies!$1:$1,0)-MATCH($L$1,[3]enemies!$1:$1,0)+1,FALSE)</f>
        <v>blue</v>
      </c>
      <c r="O83" s="22" t="str">
        <f ca="1">VLOOKUP($L83,OFFSET([4]characters!$A$1,0,0,COUNTA([4]characters!$A:$A),MATCH(O$1,[4]characters!$1:$1,0)-MATCH($L$1,[4]characters!$1:$1,0)+1),MATCH(O$1,[4]characters!$1:$1,0)-MATCH($L$1,[4]characters!$1:$1,0)+1,FALSE)</f>
        <v>Material</v>
      </c>
      <c r="P83" s="20" t="str">
        <f ca="1">VLOOKUP($L83,OFFSET([3]enemies!$A$1,0,0,COUNTA([3]enemies!$A:$A),MATCH(P$1,[3]enemies!$1:$1,0)-MATCH($L$1,[3]enemies!$1:$1,0)+1),MATCH(P$1,[3]enemies!$1:$1,0)-MATCH($L$1,[3]enemies!$1:$1,0)+1,FALSE)</f>
        <v>unknown</v>
      </c>
      <c r="Q83" s="20">
        <f ca="1">VLOOKUP($L83,OFFSET([3]enemies!$A$1,0,0,COUNTA([3]enemies!$A:$A),MATCH(Q$1,[3]enemies!$1:$1,0)-MATCH($L$1,[3]enemies!$1:$1,0)+1),MATCH(Q$1,[3]enemies!$1:$1,0)-MATCH($L$1,[3]enemies!$1:$1,0)+1,FALSE)</f>
        <v>15</v>
      </c>
      <c r="R83" s="6">
        <v>15</v>
      </c>
      <c r="S83" s="40">
        <v>1.8</v>
      </c>
      <c r="T83" s="39">
        <v>1</v>
      </c>
      <c r="U83" s="6">
        <v>0</v>
      </c>
      <c r="V83" s="5" t="str">
        <f ca="1">VLOOKUP($W83,OFFSET([5]enemy_skill_sets!$B$1,0,0,COUNTA([5]enemy_skill_sets!$B:$B),MATCH(M$1,[5]enemy_skill_sets!$1:$1,0)-MATCH($W$1,[5]enemy_skill_sets!$1:$1,0)+2),MATCH(M$1,[5]enemy_skill_sets!$1:$1,0)-MATCH($W$1,[5]enemy_skill_sets!$1:$1,0)+2,FALSE)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3" s="5">
        <f ca="1">VLOOKUP($L83,OFFSET([3]enemies!$A$1,0,0,COUNTA([3]enemies!$A:$A),MATCH(W$1,[3]enemies!$1:$1,0)-MATCH($L$1,[3]enemies!$1:$1,0)+1),MATCH(W$1,[3]enemies!$1:$1,0)-MATCH($L$1,[3]enemies!$1:$1,0)+1,FALSE)</f>
        <v>0</v>
      </c>
      <c r="X83" s="7">
        <v>0</v>
      </c>
      <c r="Y83" s="7">
        <v>100</v>
      </c>
      <c r="Z83" s="7">
        <v>0</v>
      </c>
      <c r="AA83" s="20">
        <f ca="1">VLOOKUP($L83,OFFSET([3]enemies!$A$1,0,0,COUNTA([3]enemies!$A:$A),MATCH(AA$1,[3]enemies!$1:$1,0)-MATCH($L$1,[3]enemies!$1:$1,0)+1),MATCH(AA$1,[3]enemies!$1:$1,0)-MATCH($L$1,[3]enemies!$1:$1,0)+1,FALSE)</f>
        <v>4</v>
      </c>
      <c r="AB83" s="24">
        <v>110</v>
      </c>
      <c r="AC83" s="5" t="str">
        <f ca="1">IFERROR(VLOOKUP($AB83,OFFSET([4]characters!$A$1,0,0,COUNTA([4]characters!$A:$A),MATCH(AC$1,[4]characters!$1:$1,0)-MATCH("character_id",[4]characters!$1:$1,0)+1),MATCH(AC$1,[4]characters!$1:$1,0)-MATCH("character_id",[4]characters!$1:$1,0)+1,FALSE),"")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83" s="5">
        <f ca="1">IFERROR(VLOOKUP($AB83,OFFSET([4]characters!$A$1,0,0,COUNTA([4]characters!$A:$A),MATCH(AD$1,[4]characters!$1:$1,0)-MATCH("character_id",[4]characters!$1:$1,0)+1),MATCH(AD$1,[4]characters!$1:$1,0)-MATCH("character_id",[4]characters!$1:$1,0)+1,FALSE),"")</f>
        <v>3</v>
      </c>
      <c r="AE83" s="5" t="str">
        <f ca="1">IFERROR(VLOOKUP($AB83,OFFSET([4]characters!$A$1,0,0,COUNTA([4]characters!$A:$A),MATCH(AE$1,[4]characters!$1:$1,0)-MATCH("character_id",[4]characters!$1:$1,0)+1),MATCH(AE$1,[4]characters!$1:$1,0)-MATCH("character_id",[4]characters!$1:$1,0)+1,FALSE),"")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3" s="8">
        <v>1</v>
      </c>
      <c r="AG83" s="27">
        <f t="shared" ca="1" si="7"/>
        <v>3</v>
      </c>
      <c r="AH83" s="80">
        <v>20</v>
      </c>
      <c r="AI83" s="8">
        <v>0</v>
      </c>
      <c r="AJ83" s="8">
        <v>0</v>
      </c>
      <c r="AK83" s="8">
        <v>0</v>
      </c>
      <c r="AL83" s="8">
        <v>0</v>
      </c>
      <c r="AM83" s="8">
        <v>1</v>
      </c>
      <c r="AN83" s="8">
        <v>1</v>
      </c>
    </row>
    <row r="84" spans="1:40" ht="21" customHeight="1" x14ac:dyDescent="0.15">
      <c r="A84" s="17" t="str">
        <f t="shared" ca="1" si="4"/>
        <v>11008_2-3/110&lt;lv15&gt;s4</v>
      </c>
      <c r="B84" s="8">
        <v>11008</v>
      </c>
      <c r="C84" s="25">
        <v>2</v>
      </c>
      <c r="D84" s="2" t="str">
        <f t="shared" si="5"/>
        <v>11008_2</v>
      </c>
      <c r="E84" s="5" t="str">
        <f ca="1">VLOOKUP($B84,OFFSET([2]quests!$A$1,0,0,COUNTA([2]quests!$A:$A),MATCH(E$1,[2]quests!$1:$1,0)-MATCH($B$1,[2]quests!$1:$1,0)+1),MATCH(E$1,[2]quests!$1:$1,0)-MATCH($B$1,[2]quests!$1:$1,0)+1,FALSE)</f>
        <v>【日曜限定】 青と黄の素材</v>
      </c>
      <c r="F84" s="5" t="str">
        <f ca="1">VLOOKUP($D84,OFFSET([2]stages!$A$1,0,0,COUNTA([2]stages!$A:$A),MATCH(F$1,[2]stages!$2:$2,0)-MATCH($D$1,[2]stages!$2:$2,0)+1),MATCH(F$1,[2]stages!$2:$2,0)-MATCH($D$1,[2]stages!$2:$2,0)+1,FALSE)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4" s="25">
        <v>3</v>
      </c>
      <c r="H84" s="16" t="str">
        <f t="shared" si="6"/>
        <v>11008_2-3</v>
      </c>
      <c r="I84" s="5">
        <f ca="1">VLOOKUP($H84,OFFSET(floors!$A$1,0,0,COUNTA(floors!$A:$A),MATCH(I$1,floors!$1:$1,0)-MATCH($H$1,floors!$1:$1,0)+1),MATCH(I$1,floors!$1:$1,0)-MATCH($H$1,floors!$1:$1,0)+1,FALSE)</f>
        <v>45</v>
      </c>
      <c r="J84" s="5">
        <f ca="1">VLOOKUP($H84,OFFSET(floors!$A$1,0,0,COUNTA(floors!$A:$A),MATCH(J$1,floors!$1:$1,0)-MATCH($H$1,floors!$1:$1,0)+1),MATCH(J$1,floors!$1:$1,0)-MATCH($H$1,floors!$1:$1,0)+1,FALSE)</f>
        <v>45</v>
      </c>
      <c r="K84" s="24" t="s">
        <v>197</v>
      </c>
      <c r="L84" s="24">
        <v>110</v>
      </c>
      <c r="M84" s="20" t="str">
        <f ca="1">VLOOKUP($L84,OFFSET([3]enemies!$A$1,0,0,COUNTA([3]enemies!$A:$A),MATCH(M$1,[3]enemies!$1:$1,0)-MATCH($L$1,[3]enemies!$1:$1,0)+1),MATCH(M$1,[3]enemies!$1:$1,0)-MATCH($L$1,[3]enemies!$1:$1,0)+1,FALSE)</f>
        <v>ブルーラビット</v>
      </c>
      <c r="N84" s="20" t="str">
        <f ca="1">VLOOKUP($L84,OFFSET([3]enemies!$A$1,0,0,COUNTA([3]enemies!$A:$A),MATCH(N$1,[3]enemies!$1:$1,0)-MATCH($L$1,[3]enemies!$1:$1,0)+1),MATCH(N$1,[3]enemies!$1:$1,0)-MATCH($L$1,[3]enemies!$1:$1,0)+1,FALSE)</f>
        <v>blue</v>
      </c>
      <c r="O84" s="22" t="str">
        <f ca="1">VLOOKUP($L84,OFFSET([4]characters!$A$1,0,0,COUNTA([4]characters!$A:$A),MATCH(O$1,[4]characters!$1:$1,0)-MATCH($L$1,[4]characters!$1:$1,0)+1),MATCH(O$1,[4]characters!$1:$1,0)-MATCH($L$1,[4]characters!$1:$1,0)+1,FALSE)</f>
        <v>Material</v>
      </c>
      <c r="P84" s="20" t="str">
        <f ca="1">VLOOKUP($L84,OFFSET([3]enemies!$A$1,0,0,COUNTA([3]enemies!$A:$A),MATCH(P$1,[3]enemies!$1:$1,0)-MATCH($L$1,[3]enemies!$1:$1,0)+1),MATCH(P$1,[3]enemies!$1:$1,0)-MATCH($L$1,[3]enemies!$1:$1,0)+1,FALSE)</f>
        <v>unknown</v>
      </c>
      <c r="Q84" s="20">
        <f ca="1">VLOOKUP($L84,OFFSET([3]enemies!$A$1,0,0,COUNTA([3]enemies!$A:$A),MATCH(Q$1,[3]enemies!$1:$1,0)-MATCH($L$1,[3]enemies!$1:$1,0)+1),MATCH(Q$1,[3]enemies!$1:$1,0)-MATCH($L$1,[3]enemies!$1:$1,0)+1,FALSE)</f>
        <v>15</v>
      </c>
      <c r="R84" s="6">
        <v>15</v>
      </c>
      <c r="S84" s="40">
        <v>1.8</v>
      </c>
      <c r="T84" s="39">
        <v>1</v>
      </c>
      <c r="U84" s="6">
        <v>0</v>
      </c>
      <c r="V84" s="5" t="str">
        <f ca="1">VLOOKUP($W84,OFFSET([5]enemy_skill_sets!$B$1,0,0,COUNTA([5]enemy_skill_sets!$B:$B),MATCH(M$1,[5]enemy_skill_sets!$1:$1,0)-MATCH($W$1,[5]enemy_skill_sets!$1:$1,0)+2),MATCH(M$1,[5]enemy_skill_sets!$1:$1,0)-MATCH($W$1,[5]enemy_skill_sets!$1:$1,0)+2,FALSE)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4" s="5">
        <f ca="1">VLOOKUP($L84,OFFSET([3]enemies!$A$1,0,0,COUNTA([3]enemies!$A:$A),MATCH(W$1,[3]enemies!$1:$1,0)-MATCH($L$1,[3]enemies!$1:$1,0)+1),MATCH(W$1,[3]enemies!$1:$1,0)-MATCH($L$1,[3]enemies!$1:$1,0)+1,FALSE)</f>
        <v>0</v>
      </c>
      <c r="X84" s="7">
        <v>0</v>
      </c>
      <c r="Y84" s="7">
        <v>100</v>
      </c>
      <c r="Z84" s="7">
        <v>0</v>
      </c>
      <c r="AA84" s="20">
        <f ca="1">VLOOKUP($L84,OFFSET([3]enemies!$A$1,0,0,COUNTA([3]enemies!$A:$A),MATCH(AA$1,[3]enemies!$1:$1,0)-MATCH($L$1,[3]enemies!$1:$1,0)+1),MATCH(AA$1,[3]enemies!$1:$1,0)-MATCH($L$1,[3]enemies!$1:$1,0)+1,FALSE)</f>
        <v>4</v>
      </c>
      <c r="AB84" s="24">
        <v>110</v>
      </c>
      <c r="AC84" s="5" t="str">
        <f ca="1">IFERROR(VLOOKUP($AB84,OFFSET([4]characters!$A$1,0,0,COUNTA([4]characters!$A:$A),MATCH(AC$1,[4]characters!$1:$1,0)-MATCH("character_id",[4]characters!$1:$1,0)+1),MATCH(AC$1,[4]characters!$1:$1,0)-MATCH("character_id",[4]characters!$1:$1,0)+1,FALSE),"")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84" s="5">
        <f ca="1">IFERROR(VLOOKUP($AB84,OFFSET([4]characters!$A$1,0,0,COUNTA([4]characters!$A:$A),MATCH(AD$1,[4]characters!$1:$1,0)-MATCH("character_id",[4]characters!$1:$1,0)+1),MATCH(AD$1,[4]characters!$1:$1,0)-MATCH("character_id",[4]characters!$1:$1,0)+1,FALSE),"")</f>
        <v>3</v>
      </c>
      <c r="AE84" s="5" t="str">
        <f ca="1">IFERROR(VLOOKUP($AB84,OFFSET([4]characters!$A$1,0,0,COUNTA([4]characters!$A:$A),MATCH(AE$1,[4]characters!$1:$1,0)-MATCH("character_id",[4]characters!$1:$1,0)+1),MATCH(AE$1,[4]characters!$1:$1,0)-MATCH("character_id",[4]characters!$1:$1,0)+1,FALSE),"")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4" s="8">
        <v>1</v>
      </c>
      <c r="AG84" s="27">
        <f t="shared" ca="1" si="7"/>
        <v>3</v>
      </c>
      <c r="AH84" s="80">
        <v>20</v>
      </c>
      <c r="AI84" s="8">
        <v>0</v>
      </c>
      <c r="AJ84" s="8">
        <v>0</v>
      </c>
      <c r="AK84" s="8">
        <v>0</v>
      </c>
      <c r="AL84" s="8">
        <v>0</v>
      </c>
      <c r="AM84" s="8">
        <v>1</v>
      </c>
      <c r="AN84" s="8">
        <v>1</v>
      </c>
    </row>
    <row r="85" spans="1:40" ht="21" customHeight="1" x14ac:dyDescent="0.15">
      <c r="A85" s="17" t="str">
        <f t="shared" ca="1" si="4"/>
        <v>11008_2-3/111&lt;lv15&gt;s1</v>
      </c>
      <c r="B85" s="8">
        <v>11008</v>
      </c>
      <c r="C85" s="25">
        <v>2</v>
      </c>
      <c r="D85" s="2" t="str">
        <f t="shared" si="5"/>
        <v>11008_2</v>
      </c>
      <c r="E85" s="5" t="str">
        <f ca="1">VLOOKUP($B85,OFFSET([2]quests!$A$1,0,0,COUNTA([2]quests!$A:$A),MATCH(E$1,[2]quests!$1:$1,0)-MATCH($B$1,[2]quests!$1:$1,0)+1),MATCH(E$1,[2]quests!$1:$1,0)-MATCH($B$1,[2]quests!$1:$1,0)+1,FALSE)</f>
        <v>【日曜限定】 青と黄の素材</v>
      </c>
      <c r="F85" s="5" t="str">
        <f ca="1">VLOOKUP($D85,OFFSET([2]stages!$A$1,0,0,COUNTA([2]stages!$A:$A),MATCH(F$1,[2]stages!$2:$2,0)-MATCH($D$1,[2]stages!$2:$2,0)+1),MATCH(F$1,[2]stages!$2:$2,0)-MATCH($D$1,[2]stages!$2:$2,0)+1,FALSE)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5" s="25">
        <v>3</v>
      </c>
      <c r="H85" s="16" t="str">
        <f t="shared" si="6"/>
        <v>11008_2-3</v>
      </c>
      <c r="I85" s="5">
        <f ca="1">VLOOKUP($H85,OFFSET(floors!$A$1,0,0,COUNTA(floors!$A:$A),MATCH(I$1,floors!$1:$1,0)-MATCH($H$1,floors!$1:$1,0)+1),MATCH(I$1,floors!$1:$1,0)-MATCH($H$1,floors!$1:$1,0)+1,FALSE)</f>
        <v>45</v>
      </c>
      <c r="J85" s="5">
        <f ca="1">VLOOKUP($H85,OFFSET(floors!$A$1,0,0,COUNTA(floors!$A:$A),MATCH(J$1,floors!$1:$1,0)-MATCH($H$1,floors!$1:$1,0)+1),MATCH(J$1,floors!$1:$1,0)-MATCH($H$1,floors!$1:$1,0)+1,FALSE)</f>
        <v>45</v>
      </c>
      <c r="K85" s="24" t="s">
        <v>197</v>
      </c>
      <c r="L85" s="24">
        <v>111</v>
      </c>
      <c r="M85" s="20" t="str">
        <f ca="1">VLOOKUP($L85,OFFSET([3]enemies!$A$1,0,0,COUNTA([3]enemies!$A:$A),MATCH(M$1,[3]enemies!$1:$1,0)-MATCH($L$1,[3]enemies!$1:$1,0)+1),MATCH(M$1,[3]enemies!$1:$1,0)-MATCH($L$1,[3]enemies!$1:$1,0)+1,FALSE)</f>
        <v>ブルーキャタップ</v>
      </c>
      <c r="N85" s="20" t="str">
        <f ca="1">VLOOKUP($L85,OFFSET([3]enemies!$A$1,0,0,COUNTA([3]enemies!$A:$A),MATCH(N$1,[3]enemies!$1:$1,0)-MATCH($L$1,[3]enemies!$1:$1,0)+1),MATCH(N$1,[3]enemies!$1:$1,0)-MATCH($L$1,[3]enemies!$1:$1,0)+1,FALSE)</f>
        <v>blue</v>
      </c>
      <c r="O85" s="22" t="str">
        <f ca="1">VLOOKUP($L85,OFFSET([4]characters!$A$1,0,0,COUNTA([4]characters!$A:$A),MATCH(O$1,[4]characters!$1:$1,0)-MATCH($L$1,[4]characters!$1:$1,0)+1),MATCH(O$1,[4]characters!$1:$1,0)-MATCH($L$1,[4]characters!$1:$1,0)+1,FALSE)</f>
        <v>Material</v>
      </c>
      <c r="P85" s="20" t="str">
        <f ca="1">VLOOKUP($L85,OFFSET([3]enemies!$A$1,0,0,COUNTA([3]enemies!$A:$A),MATCH(P$1,[3]enemies!$1:$1,0)-MATCH($L$1,[3]enemies!$1:$1,0)+1),MATCH(P$1,[3]enemies!$1:$1,0)-MATCH($L$1,[3]enemies!$1:$1,0)+1,FALSE)</f>
        <v>unknown</v>
      </c>
      <c r="Q85" s="20">
        <f ca="1">VLOOKUP($L85,OFFSET([3]enemies!$A$1,0,0,COUNTA([3]enemies!$A:$A),MATCH(Q$1,[3]enemies!$1:$1,0)-MATCH($L$1,[3]enemies!$1:$1,0)+1),MATCH(Q$1,[3]enemies!$1:$1,0)-MATCH($L$1,[3]enemies!$1:$1,0)+1,FALSE)</f>
        <v>15</v>
      </c>
      <c r="R85" s="6">
        <v>15</v>
      </c>
      <c r="S85" s="39">
        <v>2</v>
      </c>
      <c r="T85" s="39">
        <v>1</v>
      </c>
      <c r="U85" s="6">
        <v>0</v>
      </c>
      <c r="V85" s="5" t="str">
        <f ca="1">VLOOKUP($W85,OFFSET([5]enemy_skill_sets!$B$1,0,0,COUNTA([5]enemy_skill_sets!$B:$B),MATCH(M$1,[5]enemy_skill_sets!$1:$1,0)-MATCH($W$1,[5]enemy_skill_sets!$1:$1,0)+2),MATCH(M$1,[5]enemy_skill_sets!$1:$1,0)-MATCH($W$1,[5]enemy_skill_sets!$1:$1,0)+2,FALSE)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5" s="5">
        <f ca="1">VLOOKUP($L85,OFFSET([3]enemies!$A$1,0,0,COUNTA([3]enemies!$A:$A),MATCH(W$1,[3]enemies!$1:$1,0)-MATCH($L$1,[3]enemies!$1:$1,0)+1),MATCH(W$1,[3]enemies!$1:$1,0)-MATCH($L$1,[3]enemies!$1:$1,0)+1,FALSE)</f>
        <v>0</v>
      </c>
      <c r="X85" s="7">
        <v>0</v>
      </c>
      <c r="Y85" s="7">
        <v>25</v>
      </c>
      <c r="Z85" s="7">
        <v>0</v>
      </c>
      <c r="AA85" s="20">
        <f ca="1">VLOOKUP($L85,OFFSET([3]enemies!$A$1,0,0,COUNTA([3]enemies!$A:$A),MATCH(AA$1,[3]enemies!$1:$1,0)-MATCH($L$1,[3]enemies!$1:$1,0)+1),MATCH(AA$1,[3]enemies!$1:$1,0)-MATCH($L$1,[3]enemies!$1:$1,0)+1,FALSE)</f>
        <v>1</v>
      </c>
      <c r="AB85" s="24">
        <v>111</v>
      </c>
      <c r="AC85" s="5" t="str">
        <f ca="1">IFERROR(VLOOKUP($AB85,OFFSET([4]characters!$A$1,0,0,COUNTA([4]characters!$A:$A),MATCH(AC$1,[4]characters!$1:$1,0)-MATCH("character_id",[4]characters!$1:$1,0)+1),MATCH(AC$1,[4]characters!$1:$1,0)-MATCH("character_id",[4]characters!$1:$1,0)+1,FALSE),"")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85" s="5">
        <f ca="1">IFERROR(VLOOKUP($AB85,OFFSET([4]characters!$A$1,0,0,COUNTA([4]characters!$A:$A),MATCH(AD$1,[4]characters!$1:$1,0)-MATCH("character_id",[4]characters!$1:$1,0)+1),MATCH(AD$1,[4]characters!$1:$1,0)-MATCH("character_id",[4]characters!$1:$1,0)+1,FALSE),"")</f>
        <v>4</v>
      </c>
      <c r="AE85" s="5" t="str">
        <f ca="1">IFERROR(VLOOKUP($AB85,OFFSET([4]characters!$A$1,0,0,COUNTA([4]characters!$A:$A),MATCH(AE$1,[4]characters!$1:$1,0)-MATCH("character_id",[4]characters!$1:$1,0)+1),MATCH(AE$1,[4]characters!$1:$1,0)-MATCH("character_id",[4]characters!$1:$1,0)+1,FALSE),"")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5" s="8">
        <v>1</v>
      </c>
      <c r="AG85" s="27">
        <f t="shared" ca="1" si="7"/>
        <v>4</v>
      </c>
      <c r="AH85" s="80">
        <v>5</v>
      </c>
      <c r="AI85" s="8">
        <v>0</v>
      </c>
      <c r="AJ85" s="8">
        <v>0</v>
      </c>
      <c r="AK85" s="8">
        <v>0</v>
      </c>
      <c r="AL85" s="8">
        <v>0</v>
      </c>
      <c r="AM85" s="8">
        <v>1</v>
      </c>
      <c r="AN85" s="8">
        <v>1</v>
      </c>
    </row>
    <row r="86" spans="1:40" ht="21" customHeight="1" x14ac:dyDescent="0.15">
      <c r="A86" s="17" t="str">
        <f t="shared" ca="1" si="4"/>
        <v>11008_2-4/110&lt;lv15&gt;s4</v>
      </c>
      <c r="B86" s="8">
        <v>11008</v>
      </c>
      <c r="C86" s="25">
        <v>2</v>
      </c>
      <c r="D86" s="2" t="str">
        <f t="shared" si="5"/>
        <v>11008_2</v>
      </c>
      <c r="E86" s="5" t="str">
        <f ca="1">VLOOKUP($B86,OFFSET([2]quests!$A$1,0,0,COUNTA([2]quests!$A:$A),MATCH(E$1,[2]quests!$1:$1,0)-MATCH($B$1,[2]quests!$1:$1,0)+1),MATCH(E$1,[2]quests!$1:$1,0)-MATCH($B$1,[2]quests!$1:$1,0)+1,FALSE)</f>
        <v>【日曜限定】 青と黄の素材</v>
      </c>
      <c r="F86" s="5" t="str">
        <f ca="1">VLOOKUP($D86,OFFSET([2]stages!$A$1,0,0,COUNTA([2]stages!$A:$A),MATCH(F$1,[2]stages!$2:$2,0)-MATCH($D$1,[2]stages!$2:$2,0)+1),MATCH(F$1,[2]stages!$2:$2,0)-MATCH($D$1,[2]stages!$2:$2,0)+1,FALSE)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6" s="25">
        <v>4</v>
      </c>
      <c r="H86" s="16" t="str">
        <f t="shared" si="6"/>
        <v>11008_2-4</v>
      </c>
      <c r="I86" s="5">
        <f ca="1">VLOOKUP($H86,OFFSET(floors!$A$1,0,0,COUNTA(floors!$A:$A),MATCH(I$1,floors!$1:$1,0)-MATCH($H$1,floors!$1:$1,0)+1),MATCH(I$1,floors!$1:$1,0)-MATCH($H$1,floors!$1:$1,0)+1,FALSE)</f>
        <v>45</v>
      </c>
      <c r="J86" s="5">
        <f ca="1">VLOOKUP($H86,OFFSET(floors!$A$1,0,0,COUNTA(floors!$A:$A),MATCH(J$1,floors!$1:$1,0)-MATCH($H$1,floors!$1:$1,0)+1),MATCH(J$1,floors!$1:$1,0)-MATCH($H$1,floors!$1:$1,0)+1,FALSE)</f>
        <v>45</v>
      </c>
      <c r="K86" s="24" t="s">
        <v>197</v>
      </c>
      <c r="L86" s="24">
        <v>110</v>
      </c>
      <c r="M86" s="20" t="str">
        <f ca="1">VLOOKUP($L86,OFFSET([3]enemies!$A$1,0,0,COUNTA([3]enemies!$A:$A),MATCH(M$1,[3]enemies!$1:$1,0)-MATCH($L$1,[3]enemies!$1:$1,0)+1),MATCH(M$1,[3]enemies!$1:$1,0)-MATCH($L$1,[3]enemies!$1:$1,0)+1,FALSE)</f>
        <v>ブルーラビット</v>
      </c>
      <c r="N86" s="20" t="str">
        <f ca="1">VLOOKUP($L86,OFFSET([3]enemies!$A$1,0,0,COUNTA([3]enemies!$A:$A),MATCH(N$1,[3]enemies!$1:$1,0)-MATCH($L$1,[3]enemies!$1:$1,0)+1),MATCH(N$1,[3]enemies!$1:$1,0)-MATCH($L$1,[3]enemies!$1:$1,0)+1,FALSE)</f>
        <v>blue</v>
      </c>
      <c r="O86" s="22" t="str">
        <f ca="1">VLOOKUP($L86,OFFSET([4]characters!$A$1,0,0,COUNTA([4]characters!$A:$A),MATCH(O$1,[4]characters!$1:$1,0)-MATCH($L$1,[4]characters!$1:$1,0)+1),MATCH(O$1,[4]characters!$1:$1,0)-MATCH($L$1,[4]characters!$1:$1,0)+1,FALSE)</f>
        <v>Material</v>
      </c>
      <c r="P86" s="20" t="str">
        <f ca="1">VLOOKUP($L86,OFFSET([3]enemies!$A$1,0,0,COUNTA([3]enemies!$A:$A),MATCH(P$1,[3]enemies!$1:$1,0)-MATCH($L$1,[3]enemies!$1:$1,0)+1),MATCH(P$1,[3]enemies!$1:$1,0)-MATCH($L$1,[3]enemies!$1:$1,0)+1,FALSE)</f>
        <v>unknown</v>
      </c>
      <c r="Q86" s="20">
        <f ca="1">VLOOKUP($L86,OFFSET([3]enemies!$A$1,0,0,COUNTA([3]enemies!$A:$A),MATCH(Q$1,[3]enemies!$1:$1,0)-MATCH($L$1,[3]enemies!$1:$1,0)+1),MATCH(Q$1,[3]enemies!$1:$1,0)-MATCH($L$1,[3]enemies!$1:$1,0)+1,FALSE)</f>
        <v>15</v>
      </c>
      <c r="R86" s="6">
        <v>15</v>
      </c>
      <c r="S86" s="40">
        <v>1.8</v>
      </c>
      <c r="T86" s="39">
        <v>1</v>
      </c>
      <c r="U86" s="6">
        <v>0</v>
      </c>
      <c r="V86" s="5" t="str">
        <f ca="1">VLOOKUP($W86,OFFSET([5]enemy_skill_sets!$B$1,0,0,COUNTA([5]enemy_skill_sets!$B:$B),MATCH(M$1,[5]enemy_skill_sets!$1:$1,0)-MATCH($W$1,[5]enemy_skill_sets!$1:$1,0)+2),MATCH(M$1,[5]enemy_skill_sets!$1:$1,0)-MATCH($W$1,[5]enemy_skill_sets!$1:$1,0)+2,FALSE)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6" s="5">
        <f ca="1">VLOOKUP($L86,OFFSET([3]enemies!$A$1,0,0,COUNTA([3]enemies!$A:$A),MATCH(W$1,[3]enemies!$1:$1,0)-MATCH($L$1,[3]enemies!$1:$1,0)+1),MATCH(W$1,[3]enemies!$1:$1,0)-MATCH($L$1,[3]enemies!$1:$1,0)+1,FALSE)</f>
        <v>0</v>
      </c>
      <c r="X86" s="7">
        <v>0</v>
      </c>
      <c r="Y86" s="7">
        <v>100</v>
      </c>
      <c r="Z86" s="7">
        <v>0</v>
      </c>
      <c r="AA86" s="20">
        <f ca="1">VLOOKUP($L86,OFFSET([3]enemies!$A$1,0,0,COUNTA([3]enemies!$A:$A),MATCH(AA$1,[3]enemies!$1:$1,0)-MATCH($L$1,[3]enemies!$1:$1,0)+1),MATCH(AA$1,[3]enemies!$1:$1,0)-MATCH($L$1,[3]enemies!$1:$1,0)+1,FALSE)</f>
        <v>4</v>
      </c>
      <c r="AB86" s="24">
        <v>110</v>
      </c>
      <c r="AC86" s="5" t="str">
        <f ca="1">IFERROR(VLOOKUP($AB86,OFFSET([4]characters!$A$1,0,0,COUNTA([4]characters!$A:$A),MATCH(AC$1,[4]characters!$1:$1,0)-MATCH("character_id",[4]characters!$1:$1,0)+1),MATCH(AC$1,[4]characters!$1:$1,0)-MATCH("character_id",[4]characters!$1:$1,0)+1,FALSE),"")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86" s="5">
        <f ca="1">IFERROR(VLOOKUP($AB86,OFFSET([4]characters!$A$1,0,0,COUNTA([4]characters!$A:$A),MATCH(AD$1,[4]characters!$1:$1,0)-MATCH("character_id",[4]characters!$1:$1,0)+1),MATCH(AD$1,[4]characters!$1:$1,0)-MATCH("character_id",[4]characters!$1:$1,0)+1,FALSE),"")</f>
        <v>3</v>
      </c>
      <c r="AE86" s="5" t="str">
        <f ca="1">IFERROR(VLOOKUP($AB86,OFFSET([4]characters!$A$1,0,0,COUNTA([4]characters!$A:$A),MATCH(AE$1,[4]characters!$1:$1,0)-MATCH("character_id",[4]characters!$1:$1,0)+1),MATCH(AE$1,[4]characters!$1:$1,0)-MATCH("character_id",[4]characters!$1:$1,0)+1,FALSE),"")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6" s="8">
        <v>1</v>
      </c>
      <c r="AG86" s="27">
        <f t="shared" ca="1" si="7"/>
        <v>3</v>
      </c>
      <c r="AH86" s="80">
        <v>20</v>
      </c>
      <c r="AI86" s="8">
        <v>0</v>
      </c>
      <c r="AJ86" s="8">
        <v>0</v>
      </c>
      <c r="AK86" s="8">
        <v>0</v>
      </c>
      <c r="AL86" s="8">
        <v>0</v>
      </c>
      <c r="AM86" s="8">
        <v>1</v>
      </c>
      <c r="AN86" s="8">
        <v>1</v>
      </c>
    </row>
    <row r="87" spans="1:40" ht="21" customHeight="1" x14ac:dyDescent="0.15">
      <c r="A87" s="17" t="str">
        <f t="shared" ca="1" si="4"/>
        <v>11008_2-4/111&lt;lv15&gt;s1</v>
      </c>
      <c r="B87" s="8">
        <v>11008</v>
      </c>
      <c r="C87" s="25">
        <v>2</v>
      </c>
      <c r="D87" s="2" t="str">
        <f t="shared" si="5"/>
        <v>11008_2</v>
      </c>
      <c r="E87" s="5" t="str">
        <f ca="1">VLOOKUP($B87,OFFSET([2]quests!$A$1,0,0,COUNTA([2]quests!$A:$A),MATCH(E$1,[2]quests!$1:$1,0)-MATCH($B$1,[2]quests!$1:$1,0)+1),MATCH(E$1,[2]quests!$1:$1,0)-MATCH($B$1,[2]quests!$1:$1,0)+1,FALSE)</f>
        <v>【日曜限定】 青と黄の素材</v>
      </c>
      <c r="F87" s="5" t="str">
        <f ca="1">VLOOKUP($D87,OFFSET([2]stages!$A$1,0,0,COUNTA([2]stages!$A:$A),MATCH(F$1,[2]stages!$2:$2,0)-MATCH($D$1,[2]stages!$2:$2,0)+1),MATCH(F$1,[2]stages!$2:$2,0)-MATCH($D$1,[2]stages!$2:$2,0)+1,FALSE)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7" s="25">
        <v>4</v>
      </c>
      <c r="H87" s="16" t="str">
        <f t="shared" si="6"/>
        <v>11008_2-4</v>
      </c>
      <c r="I87" s="5">
        <f ca="1">VLOOKUP($H87,OFFSET(floors!$A$1,0,0,COUNTA(floors!$A:$A),MATCH(I$1,floors!$1:$1,0)-MATCH($H$1,floors!$1:$1,0)+1),MATCH(I$1,floors!$1:$1,0)-MATCH($H$1,floors!$1:$1,0)+1,FALSE)</f>
        <v>45</v>
      </c>
      <c r="J87" s="5">
        <f ca="1">VLOOKUP($H87,OFFSET(floors!$A$1,0,0,COUNTA(floors!$A:$A),MATCH(J$1,floors!$1:$1,0)-MATCH($H$1,floors!$1:$1,0)+1),MATCH(J$1,floors!$1:$1,0)-MATCH($H$1,floors!$1:$1,0)+1,FALSE)</f>
        <v>45</v>
      </c>
      <c r="K87" s="24" t="s">
        <v>197</v>
      </c>
      <c r="L87" s="24">
        <v>111</v>
      </c>
      <c r="M87" s="20" t="str">
        <f ca="1">VLOOKUP($L87,OFFSET([3]enemies!$A$1,0,0,COUNTA([3]enemies!$A:$A),MATCH(M$1,[3]enemies!$1:$1,0)-MATCH($L$1,[3]enemies!$1:$1,0)+1),MATCH(M$1,[3]enemies!$1:$1,0)-MATCH($L$1,[3]enemies!$1:$1,0)+1,FALSE)</f>
        <v>ブルーキャタップ</v>
      </c>
      <c r="N87" s="20" t="str">
        <f ca="1">VLOOKUP($L87,OFFSET([3]enemies!$A$1,0,0,COUNTA([3]enemies!$A:$A),MATCH(N$1,[3]enemies!$1:$1,0)-MATCH($L$1,[3]enemies!$1:$1,0)+1),MATCH(N$1,[3]enemies!$1:$1,0)-MATCH($L$1,[3]enemies!$1:$1,0)+1,FALSE)</f>
        <v>blue</v>
      </c>
      <c r="O87" s="22" t="str">
        <f ca="1">VLOOKUP($L87,OFFSET([4]characters!$A$1,0,0,COUNTA([4]characters!$A:$A),MATCH(O$1,[4]characters!$1:$1,0)-MATCH($L$1,[4]characters!$1:$1,0)+1),MATCH(O$1,[4]characters!$1:$1,0)-MATCH($L$1,[4]characters!$1:$1,0)+1,FALSE)</f>
        <v>Material</v>
      </c>
      <c r="P87" s="20" t="str">
        <f ca="1">VLOOKUP($L87,OFFSET([3]enemies!$A$1,0,0,COUNTA([3]enemies!$A:$A),MATCH(P$1,[3]enemies!$1:$1,0)-MATCH($L$1,[3]enemies!$1:$1,0)+1),MATCH(P$1,[3]enemies!$1:$1,0)-MATCH($L$1,[3]enemies!$1:$1,0)+1,FALSE)</f>
        <v>unknown</v>
      </c>
      <c r="Q87" s="20">
        <f ca="1">VLOOKUP($L87,OFFSET([3]enemies!$A$1,0,0,COUNTA([3]enemies!$A:$A),MATCH(Q$1,[3]enemies!$1:$1,0)-MATCH($L$1,[3]enemies!$1:$1,0)+1),MATCH(Q$1,[3]enemies!$1:$1,0)-MATCH($L$1,[3]enemies!$1:$1,0)+1,FALSE)</f>
        <v>15</v>
      </c>
      <c r="R87" s="6">
        <v>15</v>
      </c>
      <c r="S87" s="39">
        <v>2</v>
      </c>
      <c r="T87" s="39">
        <v>1</v>
      </c>
      <c r="U87" s="6">
        <v>0</v>
      </c>
      <c r="V87" s="5" t="str">
        <f ca="1">VLOOKUP($W87,OFFSET([5]enemy_skill_sets!$B$1,0,0,COUNTA([5]enemy_skill_sets!$B:$B),MATCH(M$1,[5]enemy_skill_sets!$1:$1,0)-MATCH($W$1,[5]enemy_skill_sets!$1:$1,0)+2),MATCH(M$1,[5]enemy_skill_sets!$1:$1,0)-MATCH($W$1,[5]enemy_skill_sets!$1:$1,0)+2,FALSE)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7" s="5">
        <f ca="1">VLOOKUP($L87,OFFSET([3]enemies!$A$1,0,0,COUNTA([3]enemies!$A:$A),MATCH(W$1,[3]enemies!$1:$1,0)-MATCH($L$1,[3]enemies!$1:$1,0)+1),MATCH(W$1,[3]enemies!$1:$1,0)-MATCH($L$1,[3]enemies!$1:$1,0)+1,FALSE)</f>
        <v>0</v>
      </c>
      <c r="X87" s="7">
        <v>0</v>
      </c>
      <c r="Y87" s="7">
        <v>25</v>
      </c>
      <c r="Z87" s="7">
        <v>0</v>
      </c>
      <c r="AA87" s="20">
        <f ca="1">VLOOKUP($L87,OFFSET([3]enemies!$A$1,0,0,COUNTA([3]enemies!$A:$A),MATCH(AA$1,[3]enemies!$1:$1,0)-MATCH($L$1,[3]enemies!$1:$1,0)+1),MATCH(AA$1,[3]enemies!$1:$1,0)-MATCH($L$1,[3]enemies!$1:$1,0)+1,FALSE)</f>
        <v>1</v>
      </c>
      <c r="AB87" s="24">
        <v>111</v>
      </c>
      <c r="AC87" s="5" t="str">
        <f ca="1">IFERROR(VLOOKUP($AB87,OFFSET([4]characters!$A$1,0,0,COUNTA([4]characters!$A:$A),MATCH(AC$1,[4]characters!$1:$1,0)-MATCH("character_id",[4]characters!$1:$1,0)+1),MATCH(AC$1,[4]characters!$1:$1,0)-MATCH("character_id",[4]characters!$1:$1,0)+1,FALSE),"")</f>
        <v>ブルーキャタップ</v>
      </c>
      <c r="AD87" s="5">
        <f ca="1">IFERROR(VLOOKUP($AB87,OFFSET([4]characters!$A$1,0,0,COUNTA([4]characters!$A:$A),MATCH(AD$1,[4]characters!$1:$1,0)-MATCH("character_id",[4]characters!$1:$1,0)+1),MATCH(AD$1,[4]characters!$1:$1,0)-MATCH("character_id",[4]characters!$1:$1,0)+1,FALSE),"")</f>
        <v>4</v>
      </c>
      <c r="AE87" s="5" t="str">
        <f ca="1">IFERROR(VLOOKUP($AB87,OFFSET([4]characters!$A$1,0,0,COUNTA([4]characters!$A:$A),MATCH(AE$1,[4]characters!$1:$1,0)-MATCH("character_id",[4]characters!$1:$1,0)+1),MATCH(AE$1,[4]characters!$1:$1,0)-MATCH("character_id",[4]characters!$1:$1,0)+1,FALSE),"")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7" s="8">
        <v>1</v>
      </c>
      <c r="AG87" s="27">
        <f t="shared" ca="1" si="7"/>
        <v>4</v>
      </c>
      <c r="AH87" s="80">
        <v>5</v>
      </c>
      <c r="AI87" s="8">
        <v>0</v>
      </c>
      <c r="AJ87" s="8">
        <v>0</v>
      </c>
      <c r="AK87" s="8">
        <v>0</v>
      </c>
      <c r="AL87" s="8">
        <v>0</v>
      </c>
      <c r="AM87" s="8">
        <v>1</v>
      </c>
      <c r="AN87" s="8">
        <v>1</v>
      </c>
    </row>
    <row r="88" spans="1:40" ht="21" customHeight="1" x14ac:dyDescent="0.15">
      <c r="A88" s="17" t="str">
        <f t="shared" ca="1" si="4"/>
        <v>11008_2-5/110&lt;lv15&gt;s4</v>
      </c>
      <c r="B88" s="8">
        <v>11008</v>
      </c>
      <c r="C88" s="25">
        <v>2</v>
      </c>
      <c r="D88" s="2" t="str">
        <f t="shared" si="5"/>
        <v>11008_2</v>
      </c>
      <c r="E88" s="5" t="str">
        <f ca="1">VLOOKUP($B88,OFFSET([2]quests!$A$1,0,0,COUNTA([2]quests!$A:$A),MATCH(E$1,[2]quests!$1:$1,0)-MATCH($B$1,[2]quests!$1:$1,0)+1),MATCH(E$1,[2]quests!$1:$1,0)-MATCH($B$1,[2]quests!$1:$1,0)+1,FALSE)</f>
        <v>【日曜限定】 青と黄の素材</v>
      </c>
      <c r="F88" s="5" t="str">
        <f ca="1">VLOOKUP($D88,OFFSET([2]stages!$A$1,0,0,COUNTA([2]stages!$A:$A),MATCH(F$1,[2]stages!$2:$2,0)-MATCH($D$1,[2]stages!$2:$2,0)+1),MATCH(F$1,[2]stages!$2:$2,0)-MATCH($D$1,[2]stages!$2:$2,0)+1,FALSE)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8" s="25">
        <v>5</v>
      </c>
      <c r="H88" s="16" t="str">
        <f t="shared" si="6"/>
        <v>11008_2-5</v>
      </c>
      <c r="I88" s="5">
        <f ca="1">VLOOKUP($H88,OFFSET(floors!$A$1,0,0,COUNTA(floors!$A:$A),MATCH(I$1,floors!$1:$1,0)-MATCH($H$1,floors!$1:$1,0)+1),MATCH(I$1,floors!$1:$1,0)-MATCH($H$1,floors!$1:$1,0)+1,FALSE)</f>
        <v>50</v>
      </c>
      <c r="J88" s="5">
        <f ca="1">VLOOKUP($H88,OFFSET(floors!$A$1,0,0,COUNTA(floors!$A:$A),MATCH(J$1,floors!$1:$1,0)-MATCH($H$1,floors!$1:$1,0)+1),MATCH(J$1,floors!$1:$1,0)-MATCH($H$1,floors!$1:$1,0)+1,FALSE)</f>
        <v>50</v>
      </c>
      <c r="K88" s="24" t="s">
        <v>197</v>
      </c>
      <c r="L88" s="24">
        <v>110</v>
      </c>
      <c r="M88" s="20" t="str">
        <f ca="1">VLOOKUP($L88,OFFSET([3]enemies!$A$1,0,0,COUNTA([3]enemies!$A:$A),MATCH(M$1,[3]enemies!$1:$1,0)-MATCH($L$1,[3]enemies!$1:$1,0)+1),MATCH(M$1,[3]enemies!$1:$1,0)-MATCH($L$1,[3]enemies!$1:$1,0)+1,FALSE)</f>
        <v>ブルーラビット</v>
      </c>
      <c r="N88" s="20" t="str">
        <f ca="1">VLOOKUP($L88,OFFSET([3]enemies!$A$1,0,0,COUNTA([3]enemies!$A:$A),MATCH(N$1,[3]enemies!$1:$1,0)-MATCH($L$1,[3]enemies!$1:$1,0)+1),MATCH(N$1,[3]enemies!$1:$1,0)-MATCH($L$1,[3]enemies!$1:$1,0)+1,FALSE)</f>
        <v>blue</v>
      </c>
      <c r="O88" s="22" t="str">
        <f ca="1">VLOOKUP($L88,OFFSET([4]characters!$A$1,0,0,COUNTA([4]characters!$A:$A),MATCH(O$1,[4]characters!$1:$1,0)-MATCH($L$1,[4]characters!$1:$1,0)+1),MATCH(O$1,[4]characters!$1:$1,0)-MATCH($L$1,[4]characters!$1:$1,0)+1,FALSE)</f>
        <v>Material</v>
      </c>
      <c r="P88" s="20" t="str">
        <f ca="1">VLOOKUP($L88,OFFSET([3]enemies!$A$1,0,0,COUNTA([3]enemies!$A:$A),MATCH(P$1,[3]enemies!$1:$1,0)-MATCH($L$1,[3]enemies!$1:$1,0)+1),MATCH(P$1,[3]enemies!$1:$1,0)-MATCH($L$1,[3]enemies!$1:$1,0)+1,FALSE)</f>
        <v>unknown</v>
      </c>
      <c r="Q88" s="20">
        <f ca="1">VLOOKUP($L88,OFFSET([3]enemies!$A$1,0,0,COUNTA([3]enemies!$A:$A),MATCH(Q$1,[3]enemies!$1:$1,0)-MATCH($L$1,[3]enemies!$1:$1,0)+1),MATCH(Q$1,[3]enemies!$1:$1,0)-MATCH($L$1,[3]enemies!$1:$1,0)+1,FALSE)</f>
        <v>15</v>
      </c>
      <c r="R88" s="6">
        <v>15</v>
      </c>
      <c r="S88" s="40">
        <v>1.8</v>
      </c>
      <c r="T88" s="39">
        <v>1</v>
      </c>
      <c r="U88" s="6">
        <v>0</v>
      </c>
      <c r="V88" s="5" t="str">
        <f ca="1">VLOOKUP($W88,OFFSET([5]enemy_skill_sets!$B$1,0,0,COUNTA([5]enemy_skill_sets!$B:$B),MATCH(M$1,[5]enemy_skill_sets!$1:$1,0)-MATCH($W$1,[5]enemy_skill_sets!$1:$1,0)+2),MATCH(M$1,[5]enemy_skill_sets!$1:$1,0)-MATCH($W$1,[5]enemy_skill_sets!$1:$1,0)+2,FALSE)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8" s="5">
        <f ca="1">VLOOKUP($L88,OFFSET([3]enemies!$A$1,0,0,COUNTA([3]enemies!$A:$A),MATCH(W$1,[3]enemies!$1:$1,0)-MATCH($L$1,[3]enemies!$1:$1,0)+1),MATCH(W$1,[3]enemies!$1:$1,0)-MATCH($L$1,[3]enemies!$1:$1,0)+1,FALSE)</f>
        <v>0</v>
      </c>
      <c r="X88" s="7">
        <v>1</v>
      </c>
      <c r="Y88" s="7">
        <v>100</v>
      </c>
      <c r="Z88" s="7">
        <v>0</v>
      </c>
      <c r="AA88" s="20">
        <f ca="1">VLOOKUP($L88,OFFSET([3]enemies!$A$1,0,0,COUNTA([3]enemies!$A:$A),MATCH(AA$1,[3]enemies!$1:$1,0)-MATCH($L$1,[3]enemies!$1:$1,0)+1),MATCH(AA$1,[3]enemies!$1:$1,0)-MATCH($L$1,[3]enemies!$1:$1,0)+1,FALSE)</f>
        <v>4</v>
      </c>
      <c r="AB88" s="24">
        <v>110</v>
      </c>
      <c r="AC88" s="5" t="str">
        <f ca="1">IFERROR(VLOOKUP($AB88,OFFSET([4]characters!$A$1,0,0,COUNTA([4]characters!$A:$A),MATCH(AC$1,[4]characters!$1:$1,0)-MATCH("character_id",[4]characters!$1:$1,0)+1),MATCH(AC$1,[4]characters!$1:$1,0)-MATCH("character_id",[4]characters!$1:$1,0)+1,FALSE),"")</f>
        <v>ブルーラビット</v>
      </c>
      <c r="AD88" s="5">
        <f ca="1">IFERROR(VLOOKUP($AB88,OFFSET([4]characters!$A$1,0,0,COUNTA([4]characters!$A:$A),MATCH(AD$1,[4]characters!$1:$1,0)-MATCH("character_id",[4]characters!$1:$1,0)+1),MATCH(AD$1,[4]characters!$1:$1,0)-MATCH("character_id",[4]characters!$1:$1,0)+1,FALSE),"")</f>
        <v>3</v>
      </c>
      <c r="AE88" s="5" t="str">
        <f ca="1">IFERROR(VLOOKUP($AB88,OFFSET([4]characters!$A$1,0,0,COUNTA([4]characters!$A:$A),MATCH(AE$1,[4]characters!$1:$1,0)-MATCH("character_id",[4]characters!$1:$1,0)+1),MATCH(AE$1,[4]characters!$1:$1,0)-MATCH("character_id",[4]characters!$1:$1,0)+1,FALSE),"")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88" s="8">
        <v>1</v>
      </c>
      <c r="AG88" s="27">
        <f t="shared" ca="1" si="7"/>
        <v>3</v>
      </c>
      <c r="AH88" s="80">
        <v>100</v>
      </c>
      <c r="AI88" s="8">
        <v>0</v>
      </c>
      <c r="AJ88" s="8">
        <v>0</v>
      </c>
      <c r="AK88" s="8">
        <v>0</v>
      </c>
      <c r="AL88" s="8">
        <v>0</v>
      </c>
      <c r="AM88" s="8">
        <v>1</v>
      </c>
      <c r="AN88" s="8">
        <v>1</v>
      </c>
    </row>
    <row r="89" spans="1:40" ht="21" customHeight="1" x14ac:dyDescent="0.15">
      <c r="A89" s="17" t="str">
        <f t="shared" ca="1" si="4"/>
        <v>11008_2-5/54&lt;lv18&gt;s2</v>
      </c>
      <c r="B89" s="8">
        <v>11008</v>
      </c>
      <c r="C89" s="25">
        <v>2</v>
      </c>
      <c r="D89" s="2" t="str">
        <f t="shared" si="5"/>
        <v>11008_2</v>
      </c>
      <c r="E89" s="5" t="str">
        <f ca="1">VLOOKUP($B89,OFFSET([2]quests!$A$1,0,0,COUNTA([2]quests!$A:$A),MATCH(E$1,[2]quests!$1:$1,0)-MATCH($B$1,[2]quests!$1:$1,0)+1),MATCH(E$1,[2]quests!$1:$1,0)-MATCH($B$1,[2]quests!$1:$1,0)+1,FALSE)</f>
        <v>【日曜限定】 青と黄の素材</v>
      </c>
      <c r="F89" s="5" t="str">
        <f ca="1">VLOOKUP($D89,OFFSET([2]stages!$A$1,0,0,COUNTA([2]stages!$A:$A),MATCH(F$1,[2]stages!$2:$2,0)-MATCH($D$1,[2]stages!$2:$2,0)+1),MATCH(F$1,[2]stages!$2:$2,0)-MATCH($D$1,[2]stages!$2:$2,0)+1,FALSE)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89" s="25">
        <v>5</v>
      </c>
      <c r="H89" s="16" t="str">
        <f t="shared" si="6"/>
        <v>11008_2-5</v>
      </c>
      <c r="I89" s="5">
        <f ca="1">VLOOKUP($H89,OFFSET(floors!$A$1,0,0,COUNTA(floors!$A:$A),MATCH(I$1,floors!$1:$1,0)-MATCH($H$1,floors!$1:$1,0)+1),MATCH(I$1,floors!$1:$1,0)-MATCH($H$1,floors!$1:$1,0)+1,FALSE)</f>
        <v>50</v>
      </c>
      <c r="J89" s="5">
        <f ca="1">VLOOKUP($H89,OFFSET(floors!$A$1,0,0,COUNTA(floors!$A:$A),MATCH(J$1,floors!$1:$1,0)-MATCH($H$1,floors!$1:$1,0)+1),MATCH(J$1,floors!$1:$1,0)-MATCH($H$1,floors!$1:$1,0)+1,FALSE)</f>
        <v>50</v>
      </c>
      <c r="K89" s="24" t="s">
        <v>197</v>
      </c>
      <c r="L89" s="24">
        <v>54</v>
      </c>
      <c r="M89" s="20" t="str">
        <f ca="1">VLOOKUP($L89,OFFSET([3]enemies!$A$1,0,0,COUNTA([3]enemies!$A:$A),MATCH(M$1,[3]enemies!$1:$1,0)-MATCH($L$1,[3]enemies!$1:$1,0)+1),MATCH(M$1,[3]enemies!$1:$1,0)-MATCH($L$1,[3]enemies!$1:$1,0)+1,FALSE)</f>
        <v>蒼斬のレジスタンス ケンジ</v>
      </c>
      <c r="N89" s="20" t="str">
        <f ca="1">VLOOKUP($L89,OFFSET([3]enemies!$A$1,0,0,COUNTA([3]enemies!$A:$A),MATCH(N$1,[3]enemies!$1:$1,0)-MATCH($L$1,[3]enemies!$1:$1,0)+1),MATCH(N$1,[3]enemies!$1:$1,0)-MATCH($L$1,[3]enemies!$1:$1,0)+1,FALSE)</f>
        <v>blue</v>
      </c>
      <c r="O89" s="22" t="str">
        <f ca="1">VLOOKUP($L89,OFFSET([4]characters!$A$1,0,0,COUNTA([4]characters!$A:$A),MATCH(O$1,[4]characters!$1:$1,0)-MATCH($L$1,[4]characters!$1:$1,0)+1),MATCH(O$1,[4]characters!$1:$1,0)-MATCH($L$1,[4]characters!$1:$1,0)+1,FALSE)</f>
        <v>Drop1N</v>
      </c>
      <c r="P89" s="20" t="str">
        <f ca="1">VLOOKUP($L89,OFFSET([3]enemies!$A$1,0,0,COUNTA([3]enemies!$A:$A),MATCH(P$1,[3]enemies!$1:$1,0)-MATCH($L$1,[3]enemies!$1:$1,0)+1),MATCH(P$1,[3]enemies!$1:$1,0)-MATCH($L$1,[3]enemies!$1:$1,0)+1,FALSE)</f>
        <v>human</v>
      </c>
      <c r="Q89" s="20">
        <f ca="1">VLOOKUP($L89,OFFSET([3]enemies!$A$1,0,0,COUNTA([3]enemies!$A:$A),MATCH(Q$1,[3]enemies!$1:$1,0)-MATCH($L$1,[3]enemies!$1:$1,0)+1),MATCH(Q$1,[3]enemies!$1:$1,0)-MATCH($L$1,[3]enemies!$1:$1,0)+1,FALSE)</f>
        <v>20</v>
      </c>
      <c r="R89" s="6">
        <v>18</v>
      </c>
      <c r="S89" s="39">
        <v>1</v>
      </c>
      <c r="T89" s="39">
        <v>1</v>
      </c>
      <c r="U89" s="6">
        <v>0</v>
      </c>
      <c r="V89" s="5" t="str">
        <f ca="1">VLOOKUP($W89,OFFSET([5]enemy_skill_sets!$B$1,0,0,COUNTA([5]enemy_skill_sets!$B:$B),MATCH(M$1,[5]enemy_skill_sets!$1:$1,0)-MATCH($W$1,[5]enemy_skill_sets!$1:$1,0)+2),MATCH(M$1,[5]enemy_skill_sets!$1:$1,0)-MATCH($W$1,[5]enemy_skill_sets!$1:$1,0)+2,FALSE)</f>
        <v>効いてしまうと２ターン行動できない</v>
      </c>
      <c r="W89" s="5">
        <f ca="1">VLOOKUP($L89,OFFSET([3]enemies!$A$1,0,0,COUNTA([3]enemies!$A:$A),MATCH(W$1,[3]enemies!$1:$1,0)-MATCH($L$1,[3]enemies!$1:$1,0)+1),MATCH(W$1,[3]enemies!$1:$1,0)-MATCH($L$1,[3]enemies!$1:$1,0)+1,FALSE)</f>
        <v>53</v>
      </c>
      <c r="X89" s="7">
        <v>0</v>
      </c>
      <c r="Y89" s="7">
        <v>100</v>
      </c>
      <c r="Z89" s="7">
        <v>1</v>
      </c>
      <c r="AA89" s="20">
        <f ca="1">VLOOKUP($L89,OFFSET([3]enemies!$A$1,0,0,COUNTA([3]enemies!$A:$A),MATCH(AA$1,[3]enemies!$1:$1,0)-MATCH($L$1,[3]enemies!$1:$1,0)+1),MATCH(AA$1,[3]enemies!$1:$1,0)-MATCH($L$1,[3]enemies!$1:$1,0)+1,FALSE)</f>
        <v>2</v>
      </c>
      <c r="AB89" s="24">
        <v>53</v>
      </c>
      <c r="AC89" s="5" t="str">
        <f ca="1">IFERROR(VLOOKUP($AB89,OFFSET([4]characters!$A$1,0,0,COUNTA([4]characters!$A:$A),MATCH(AC$1,[4]characters!$1:$1,0)-MATCH("character_id",[4]characters!$1:$1,0)+1),MATCH(AC$1,[4]characters!$1:$1,0)-MATCH("character_id",[4]characters!$1:$1,0)+1,FALSE),"")</f>
        <v>ケンジ</v>
      </c>
      <c r="AD89" s="5">
        <f ca="1">IFERROR(VLOOKUP($AB89,OFFSET([4]characters!$A$1,0,0,COUNTA([4]characters!$A:$A),MATCH(AD$1,[4]characters!$1:$1,0)-MATCH("character_id",[4]characters!$1:$1,0)+1),MATCH(AD$1,[4]characters!$1:$1,0)-MATCH("character_id",[4]characters!$1:$1,0)+1,FALSE),"")</f>
        <v>2</v>
      </c>
      <c r="AE89" s="5" t="str">
        <f ca="1">IFERROR(VLOOKUP($AB89,OFFSET([4]characters!$A$1,0,0,COUNTA([4]characters!$A:$A),MATCH(AE$1,[4]characters!$1:$1,0)-MATCH("character_id",[4]characters!$1:$1,0)+1),MATCH(AE$1,[4]characters!$1:$1,0)-MATCH("character_id",[4]characters!$1:$1,0)+1,FALSE),"")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89" s="8">
        <v>1</v>
      </c>
      <c r="AG89" s="27">
        <f t="shared" ca="1" si="7"/>
        <v>2</v>
      </c>
      <c r="AH89" s="9">
        <v>0</v>
      </c>
      <c r="AI89" s="8">
        <v>0</v>
      </c>
      <c r="AJ89" s="8">
        <v>0</v>
      </c>
      <c r="AK89" s="8">
        <v>0</v>
      </c>
      <c r="AL89" s="8">
        <v>0</v>
      </c>
      <c r="AM89" s="8">
        <v>1</v>
      </c>
      <c r="AN89" s="8">
        <v>1</v>
      </c>
    </row>
    <row r="90" spans="1:40" ht="21" customHeight="1" x14ac:dyDescent="0.15">
      <c r="A90" s="17" t="str">
        <f t="shared" ca="1" si="4"/>
        <v>11008_2-5/46&lt;lv18&gt;s3</v>
      </c>
      <c r="B90" s="8">
        <v>11008</v>
      </c>
      <c r="C90" s="25">
        <v>2</v>
      </c>
      <c r="D90" s="2" t="str">
        <f t="shared" si="5"/>
        <v>11008_2</v>
      </c>
      <c r="E90" s="5" t="str">
        <f ca="1">VLOOKUP($B90,OFFSET([2]quests!$A$1,0,0,COUNTA([2]quests!$A:$A),MATCH(E$1,[2]quests!$1:$1,0)-MATCH($B$1,[2]quests!$1:$1,0)+1),MATCH(E$1,[2]quests!$1:$1,0)-MATCH($B$1,[2]quests!$1:$1,0)+1,FALSE)</f>
        <v>【日曜限定】 青と黄の素材</v>
      </c>
      <c r="F90" s="5" t="str">
        <f ca="1">VLOOKUP($D90,OFFSET([2]stages!$A$1,0,0,COUNTA([2]stages!$A:$A),MATCH(F$1,[2]stages!$2:$2,0)-MATCH($D$1,[2]stages!$2:$2,0)+1),MATCH(F$1,[2]stages!$2:$2,0)-MATCH($D$1,[2]stages!$2:$2,0)+1,FALSE)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0" s="25">
        <v>5</v>
      </c>
      <c r="H90" s="16" t="str">
        <f t="shared" si="6"/>
        <v>11008_2-5</v>
      </c>
      <c r="I90" s="5">
        <f ca="1">VLOOKUP($H90,OFFSET(floors!$A$1,0,0,COUNTA(floors!$A:$A),MATCH(I$1,floors!$1:$1,0)-MATCH($H$1,floors!$1:$1,0)+1),MATCH(I$1,floors!$1:$1,0)-MATCH($H$1,floors!$1:$1,0)+1,FALSE)</f>
        <v>50</v>
      </c>
      <c r="J90" s="5">
        <f ca="1">VLOOKUP($H90,OFFSET(floors!$A$1,0,0,COUNTA(floors!$A:$A),MATCH(J$1,floors!$1:$1,0)-MATCH($H$1,floors!$1:$1,0)+1),MATCH(J$1,floors!$1:$1,0)-MATCH($H$1,floors!$1:$1,0)+1,FALSE)</f>
        <v>50</v>
      </c>
      <c r="K90" s="24" t="s">
        <v>197</v>
      </c>
      <c r="L90" s="24">
        <v>46</v>
      </c>
      <c r="M90" s="20" t="str">
        <f ca="1">VLOOKUP($L90,OFFSET([3]enemies!$A$1,0,0,COUNTA([3]enemies!$A:$A),MATCH(M$1,[3]enemies!$1:$1,0)-MATCH($L$1,[3]enemies!$1:$1,0)+1),MATCH(M$1,[3]enemies!$1:$1,0)-MATCH($L$1,[3]enemies!$1:$1,0)+1,FALSE)</f>
        <v>微笑みの筆跡 ショウイン</v>
      </c>
      <c r="N90" s="20" t="str">
        <f ca="1">VLOOKUP($L90,OFFSET([3]enemies!$A$1,0,0,COUNTA([3]enemies!$A:$A),MATCH(N$1,[3]enemies!$1:$1,0)-MATCH($L$1,[3]enemies!$1:$1,0)+1),MATCH(N$1,[3]enemies!$1:$1,0)-MATCH($L$1,[3]enemies!$1:$1,0)+1,FALSE)</f>
        <v>blue</v>
      </c>
      <c r="O90" s="22" t="str">
        <f ca="1">VLOOKUP($L90,OFFSET([4]characters!$A$1,0,0,COUNTA([4]characters!$A:$A),MATCH(O$1,[4]characters!$1:$1,0)-MATCH($L$1,[4]characters!$1:$1,0)+1),MATCH(O$1,[4]characters!$1:$1,0)-MATCH($L$1,[4]characters!$1:$1,0)+1,FALSE)</f>
        <v>Drop1N</v>
      </c>
      <c r="P90" s="20" t="str">
        <f ca="1">VLOOKUP($L90,OFFSET([3]enemies!$A$1,0,0,COUNTA([3]enemies!$A:$A),MATCH(P$1,[3]enemies!$1:$1,0)-MATCH($L$1,[3]enemies!$1:$1,0)+1),MATCH(P$1,[3]enemies!$1:$1,0)-MATCH($L$1,[3]enemies!$1:$1,0)+1,FALSE)</f>
        <v>animal</v>
      </c>
      <c r="Q90" s="20">
        <f ca="1">VLOOKUP($L90,OFFSET([3]enemies!$A$1,0,0,COUNTA([3]enemies!$A:$A),MATCH(Q$1,[3]enemies!$1:$1,0)-MATCH($L$1,[3]enemies!$1:$1,0)+1),MATCH(Q$1,[3]enemies!$1:$1,0)-MATCH($L$1,[3]enemies!$1:$1,0)+1,FALSE)</f>
        <v>20</v>
      </c>
      <c r="R90" s="6">
        <v>18</v>
      </c>
      <c r="S90" s="39">
        <v>1</v>
      </c>
      <c r="T90" s="39">
        <v>1</v>
      </c>
      <c r="U90" s="6">
        <v>0</v>
      </c>
      <c r="V90" s="5" t="str">
        <f ca="1">VLOOKUP($W90,OFFSET([5]enemy_skill_sets!$B$1,0,0,COUNTA([5]enemy_skill_sets!$B:$B),MATCH(M$1,[5]enemy_skill_sets!$1:$1,0)-MATCH($W$1,[5]enemy_skill_sets!$1:$1,0)+2),MATCH(M$1,[5]enemy_skill_sets!$1:$1,0)-MATCH($W$1,[5]enemy_skill_sets!$1:$1,0)+2,FALSE)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0" s="5">
        <f ca="1">VLOOKUP($L90,OFFSET([3]enemies!$A$1,0,0,COUNTA([3]enemies!$A:$A),MATCH(W$1,[3]enemies!$1:$1,0)-MATCH($L$1,[3]enemies!$1:$1,0)+1),MATCH(W$1,[3]enemies!$1:$1,0)-MATCH($L$1,[3]enemies!$1:$1,0)+1,FALSE)</f>
        <v>0</v>
      </c>
      <c r="X90" s="7">
        <v>0</v>
      </c>
      <c r="Y90" s="7">
        <v>100</v>
      </c>
      <c r="Z90" s="7">
        <v>1</v>
      </c>
      <c r="AA90" s="20">
        <f ca="1">VLOOKUP($L90,OFFSET([3]enemies!$A$1,0,0,COUNTA([3]enemies!$A:$A),MATCH(AA$1,[3]enemies!$1:$1,0)-MATCH($L$1,[3]enemies!$1:$1,0)+1),MATCH(AA$1,[3]enemies!$1:$1,0)-MATCH($L$1,[3]enemies!$1:$1,0)+1,FALSE)</f>
        <v>3</v>
      </c>
      <c r="AB90" s="24">
        <v>45</v>
      </c>
      <c r="AC90" s="5" t="str">
        <f ca="1">IFERROR(VLOOKUP($AB90,OFFSET([4]characters!$A$1,0,0,COUNTA([4]characters!$A:$A),MATCH(AC$1,[4]characters!$1:$1,0)-MATCH("character_id",[4]characters!$1:$1,0)+1),MATCH(AC$1,[4]characters!$1:$1,0)-MATCH("character_id",[4]characters!$1:$1,0)+1,FALSE),"")</f>
        <v>ショウイン</v>
      </c>
      <c r="AD90" s="5">
        <f ca="1">IFERROR(VLOOKUP($AB90,OFFSET([4]characters!$A$1,0,0,COUNTA([4]characters!$A:$A),MATCH(AD$1,[4]characters!$1:$1,0)-MATCH("character_id",[4]characters!$1:$1,0)+1),MATCH(AD$1,[4]characters!$1:$1,0)-MATCH("character_id",[4]characters!$1:$1,0)+1,FALSE),"")</f>
        <v>2</v>
      </c>
      <c r="AE90" s="5" t="str">
        <f ca="1">IFERROR(VLOOKUP($AB90,OFFSET([4]characters!$A$1,0,0,COUNTA([4]characters!$A:$A),MATCH(AE$1,[4]characters!$1:$1,0)-MATCH("character_id",[4]characters!$1:$1,0)+1),MATCH(AE$1,[4]characters!$1:$1,0)-MATCH("character_id",[4]characters!$1:$1,0)+1,FALSE),"")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90" s="8">
        <v>1</v>
      </c>
      <c r="AG90" s="27">
        <f t="shared" ca="1" si="7"/>
        <v>2</v>
      </c>
      <c r="AH90" s="9">
        <v>0</v>
      </c>
      <c r="AI90" s="8">
        <v>0</v>
      </c>
      <c r="AJ90" s="8">
        <v>0</v>
      </c>
      <c r="AK90" s="8">
        <v>0</v>
      </c>
      <c r="AL90" s="8">
        <v>0</v>
      </c>
      <c r="AM90" s="8">
        <v>1</v>
      </c>
      <c r="AN90" s="8">
        <v>1</v>
      </c>
    </row>
    <row r="91" spans="1:40" ht="21" customHeight="1" x14ac:dyDescent="0.15">
      <c r="A91" s="17" t="str">
        <f t="shared" ca="1" si="4"/>
        <v>11008_2-5/62&lt;lv18&gt;s2</v>
      </c>
      <c r="B91" s="8">
        <v>11008</v>
      </c>
      <c r="C91" s="25">
        <v>2</v>
      </c>
      <c r="D91" s="2" t="str">
        <f t="shared" si="5"/>
        <v>11008_2</v>
      </c>
      <c r="E91" s="5" t="str">
        <f ca="1">VLOOKUP($B91,OFFSET([2]quests!$A$1,0,0,COUNTA([2]quests!$A:$A),MATCH(E$1,[2]quests!$1:$1,0)-MATCH($B$1,[2]quests!$1:$1,0)+1),MATCH(E$1,[2]quests!$1:$1,0)-MATCH($B$1,[2]quests!$1:$1,0)+1,FALSE)</f>
        <v>【日曜限定】 青と黄の素材</v>
      </c>
      <c r="F91" s="5" t="str">
        <f ca="1">VLOOKUP($D91,OFFSET([2]stages!$A$1,0,0,COUNTA([2]stages!$A:$A),MATCH(F$1,[2]stages!$2:$2,0)-MATCH($D$1,[2]stages!$2:$2,0)+1),MATCH(F$1,[2]stages!$2:$2,0)-MATCH($D$1,[2]stages!$2:$2,0)+1,FALSE)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1" s="25">
        <v>5</v>
      </c>
      <c r="H91" s="16" t="str">
        <f t="shared" si="6"/>
        <v>11008_2-5</v>
      </c>
      <c r="I91" s="5">
        <f ca="1">VLOOKUP($H91,OFFSET(floors!$A$1,0,0,COUNTA(floors!$A:$A),MATCH(I$1,floors!$1:$1,0)-MATCH($H$1,floors!$1:$1,0)+1),MATCH(I$1,floors!$1:$1,0)-MATCH($H$1,floors!$1:$1,0)+1,FALSE)</f>
        <v>50</v>
      </c>
      <c r="J91" s="5">
        <f ca="1">VLOOKUP($H91,OFFSET(floors!$A$1,0,0,COUNTA(floors!$A:$A),MATCH(J$1,floors!$1:$1,0)-MATCH($H$1,floors!$1:$1,0)+1),MATCH(J$1,floors!$1:$1,0)-MATCH($H$1,floors!$1:$1,0)+1,FALSE)</f>
        <v>50</v>
      </c>
      <c r="K91" s="24" t="s">
        <v>197</v>
      </c>
      <c r="L91" s="24">
        <v>62</v>
      </c>
      <c r="M91" s="20" t="str">
        <f ca="1">VLOOKUP($L91,OFFSET([3]enemies!$A$1,0,0,COUNTA([3]enemies!$A:$A),MATCH(M$1,[3]enemies!$1:$1,0)-MATCH($L$1,[3]enemies!$1:$1,0)+1),MATCH(M$1,[3]enemies!$1:$1,0)-MATCH($L$1,[3]enemies!$1:$1,0)+1,FALSE)</f>
        <v>脈動旋律のクロウ</v>
      </c>
      <c r="N91" s="20" t="str">
        <f ca="1">VLOOKUP($L91,OFFSET([3]enemies!$A$1,0,0,COUNTA([3]enemies!$A:$A),MATCH(N$1,[3]enemies!$1:$1,0)-MATCH($L$1,[3]enemies!$1:$1,0)+1),MATCH(N$1,[3]enemies!$1:$1,0)-MATCH($L$1,[3]enemies!$1:$1,0)+1,FALSE)</f>
        <v>blue</v>
      </c>
      <c r="O91" s="22" t="str">
        <f ca="1">VLOOKUP($L91,OFFSET([4]characters!$A$1,0,0,COUNTA([4]characters!$A:$A),MATCH(O$1,[4]characters!$1:$1,0)-MATCH($L$1,[4]characters!$1:$1,0)+1),MATCH(O$1,[4]characters!$1:$1,0)-MATCH($L$1,[4]characters!$1:$1,0)+1,FALSE)</f>
        <v>Drop1N</v>
      </c>
      <c r="P91" s="20" t="str">
        <f ca="1">VLOOKUP($L91,OFFSET([3]enemies!$A$1,0,0,COUNTA([3]enemies!$A:$A),MATCH(P$1,[3]enemies!$1:$1,0)-MATCH($L$1,[3]enemies!$1:$1,0)+1),MATCH(P$1,[3]enemies!$1:$1,0)-MATCH($L$1,[3]enemies!$1:$1,0)+1,FALSE)</f>
        <v>animal</v>
      </c>
      <c r="Q91" s="20">
        <f ca="1">VLOOKUP($L91,OFFSET([3]enemies!$A$1,0,0,COUNTA([3]enemies!$A:$A),MATCH(Q$1,[3]enemies!$1:$1,0)-MATCH($L$1,[3]enemies!$1:$1,0)+1),MATCH(Q$1,[3]enemies!$1:$1,0)-MATCH($L$1,[3]enemies!$1:$1,0)+1,FALSE)</f>
        <v>20</v>
      </c>
      <c r="R91" s="6">
        <v>18</v>
      </c>
      <c r="S91" s="39">
        <v>1</v>
      </c>
      <c r="T91" s="39">
        <v>1</v>
      </c>
      <c r="U91" s="6">
        <v>0</v>
      </c>
      <c r="V91" s="5" t="str">
        <f ca="1">VLOOKUP($W91,OFFSET([5]enemy_skill_sets!$B$1,0,0,COUNTA([5]enemy_skill_sets!$B:$B),MATCH(M$1,[5]enemy_skill_sets!$1:$1,0)-MATCH($W$1,[5]enemy_skill_sets!$1:$1,0)+2),MATCH(M$1,[5]enemy_skill_sets!$1:$1,0)-MATCH($W$1,[5]enemy_skill_sets!$1:$1,0)+2,FALSE)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1" s="5">
        <f ca="1">VLOOKUP($L91,OFFSET([3]enemies!$A$1,0,0,COUNTA([3]enemies!$A:$A),MATCH(W$1,[3]enemies!$1:$1,0)-MATCH($L$1,[3]enemies!$1:$1,0)+1),MATCH(W$1,[3]enemies!$1:$1,0)-MATCH($L$1,[3]enemies!$1:$1,0)+1,FALSE)</f>
        <v>0</v>
      </c>
      <c r="X91" s="7">
        <v>0</v>
      </c>
      <c r="Y91" s="7">
        <v>100</v>
      </c>
      <c r="Z91" s="7">
        <v>1</v>
      </c>
      <c r="AA91" s="20">
        <f ca="1">VLOOKUP($L91,OFFSET([3]enemies!$A$1,0,0,COUNTA([3]enemies!$A:$A),MATCH(AA$1,[3]enemies!$1:$1,0)-MATCH($L$1,[3]enemies!$1:$1,0)+1),MATCH(AA$1,[3]enemies!$1:$1,0)-MATCH($L$1,[3]enemies!$1:$1,0)+1,FALSE)</f>
        <v>2</v>
      </c>
      <c r="AB91" s="24">
        <v>61</v>
      </c>
      <c r="AC91" s="5" t="str">
        <f ca="1">IFERROR(VLOOKUP($AB91,OFFSET([4]characters!$A$1,0,0,COUNTA([4]characters!$A:$A),MATCH(AC$1,[4]characters!$1:$1,0)-MATCH("character_id",[4]characters!$1:$1,0)+1),MATCH(AC$1,[4]characters!$1:$1,0)-MATCH("character_id",[4]characters!$1:$1,0)+1,FALSE),"")</f>
        <v>クロウ</v>
      </c>
      <c r="AD91" s="5">
        <f ca="1">IFERROR(VLOOKUP($AB91,OFFSET([4]characters!$A$1,0,0,COUNTA([4]characters!$A:$A),MATCH(AD$1,[4]characters!$1:$1,0)-MATCH("character_id",[4]characters!$1:$1,0)+1),MATCH(AD$1,[4]characters!$1:$1,0)-MATCH("character_id",[4]characters!$1:$1,0)+1,FALSE),"")</f>
        <v>2</v>
      </c>
      <c r="AE91" s="5" t="str">
        <f ca="1">IFERROR(VLOOKUP($AB91,OFFSET([4]characters!$A$1,0,0,COUNTA([4]characters!$A:$A),MATCH(AE$1,[4]characters!$1:$1,0)-MATCH("character_id",[4]characters!$1:$1,0)+1),MATCH(AE$1,[4]characters!$1:$1,0)-MATCH("character_id",[4]characters!$1:$1,0)+1,FALSE),"")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91" s="8">
        <v>1</v>
      </c>
      <c r="AG91" s="27">
        <f t="shared" ca="1" si="7"/>
        <v>2</v>
      </c>
      <c r="AH91" s="9">
        <v>0</v>
      </c>
      <c r="AI91" s="8">
        <v>0</v>
      </c>
      <c r="AJ91" s="8">
        <v>0</v>
      </c>
      <c r="AK91" s="8">
        <v>0</v>
      </c>
      <c r="AL91" s="8">
        <v>0</v>
      </c>
      <c r="AM91" s="8">
        <v>1</v>
      </c>
      <c r="AN91" s="8">
        <v>1</v>
      </c>
    </row>
    <row r="92" spans="1:40" ht="21" customHeight="1" x14ac:dyDescent="0.15">
      <c r="A92" s="17" t="str">
        <f ca="1">B92&amp;"_"&amp;C92&amp;"-"&amp;G92&amp;"/"&amp;L92&amp;"&lt;lv"&amp;R92&amp;"&gt;s"&amp;AA92</f>
        <v>11008_2-1/114&lt;lv15&gt;s2</v>
      </c>
      <c r="B92" s="8">
        <v>11008</v>
      </c>
      <c r="C92" s="25">
        <v>2</v>
      </c>
      <c r="D92" s="2" t="str">
        <f t="shared" si="5"/>
        <v>11008_2</v>
      </c>
      <c r="E92" s="5" t="str">
        <f ca="1">VLOOKUP($B92,OFFSET([2]quests!$A$1,0,0,COUNTA([2]quests!$A:$A),MATCH(E$1,[2]quests!$1:$1,0)-MATCH($B$1,[2]quests!$1:$1,0)+1),MATCH(E$1,[2]quests!$1:$1,0)-MATCH($B$1,[2]quests!$1:$1,0)+1,FALSE)</f>
        <v>【日曜限定】 青と黄の素材</v>
      </c>
      <c r="F92" s="5" t="str">
        <f ca="1">VLOOKUP($D92,OFFSET([2]stages!$A$1,0,0,COUNTA([2]stages!$A:$A),MATCH(F$1,[2]stages!$2:$2,0)-MATCH($D$1,[2]stages!$2:$2,0)+1),MATCH(F$1,[2]stages!$2:$2,0)-MATCH($D$1,[2]stages!$2:$2,0)+1,FALSE)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2" s="25">
        <v>1</v>
      </c>
      <c r="H92" s="16" t="str">
        <f t="shared" si="6"/>
        <v>11008_2-1</v>
      </c>
      <c r="I92" s="5">
        <f ca="1">VLOOKUP($H92,OFFSET(floors!$A$1,0,0,COUNTA(floors!$A:$A),MATCH(I$1,floors!$1:$1,0)-MATCH($H$1,floors!$1:$1,0)+1),MATCH(I$1,floors!$1:$1,0)-MATCH($H$1,floors!$1:$1,0)+1,FALSE)</f>
        <v>30</v>
      </c>
      <c r="J92" s="5">
        <f ca="1">VLOOKUP($H92,OFFSET(floors!$A$1,0,0,COUNTA(floors!$A:$A),MATCH(J$1,floors!$1:$1,0)-MATCH($H$1,floors!$1:$1,0)+1),MATCH(J$1,floors!$1:$1,0)-MATCH($H$1,floors!$1:$1,0)+1,FALSE)</f>
        <v>30</v>
      </c>
      <c r="K92" s="24" t="s">
        <v>197</v>
      </c>
      <c r="L92" s="24">
        <v>114</v>
      </c>
      <c r="M92" s="20" t="str">
        <f ca="1">VLOOKUP($L92,OFFSET([3]enemies!$A$1,0,0,COUNTA([3]enemies!$A:$A),MATCH(M$1,[3]enemies!$1:$1,0)-MATCH($L$1,[3]enemies!$1:$1,0)+1),MATCH(M$1,[3]enemies!$1:$1,0)-MATCH($L$1,[3]enemies!$1:$1,0)+1,FALSE)</f>
        <v>イエローラビット</v>
      </c>
      <c r="N92" s="20" t="str">
        <f ca="1">VLOOKUP($L92,OFFSET([3]enemies!$A$1,0,0,COUNTA([3]enemies!$A:$A),MATCH(N$1,[3]enemies!$1:$1,0)-MATCH($L$1,[3]enemies!$1:$1,0)+1),MATCH(N$1,[3]enemies!$1:$1,0)-MATCH($L$1,[3]enemies!$1:$1,0)+1,FALSE)</f>
        <v>yellow</v>
      </c>
      <c r="O92" s="22" t="str">
        <f ca="1">VLOOKUP($L92,OFFSET([4]characters!$A$1,0,0,COUNTA([4]characters!$A:$A),MATCH(O$1,[4]characters!$1:$1,0)-MATCH($L$1,[4]characters!$1:$1,0)+1),MATCH(O$1,[4]characters!$1:$1,0)-MATCH($L$1,[4]characters!$1:$1,0)+1,FALSE)</f>
        <v>Material</v>
      </c>
      <c r="P92" s="20" t="str">
        <f ca="1">VLOOKUP($L92,OFFSET([3]enemies!$A$1,0,0,COUNTA([3]enemies!$A:$A),MATCH(P$1,[3]enemies!$1:$1,0)-MATCH($L$1,[3]enemies!$1:$1,0)+1),MATCH(P$1,[3]enemies!$1:$1,0)-MATCH($L$1,[3]enemies!$1:$1,0)+1,FALSE)</f>
        <v>unknown</v>
      </c>
      <c r="Q92" s="20">
        <f ca="1">VLOOKUP($L92,OFFSET([3]enemies!$A$1,0,0,COUNTA([3]enemies!$A:$A),MATCH(Q$1,[3]enemies!$1:$1,0)-MATCH($L$1,[3]enemies!$1:$1,0)+1),MATCH(Q$1,[3]enemies!$1:$1,0)-MATCH($L$1,[3]enemies!$1:$1,0)+1,FALSE)</f>
        <v>15</v>
      </c>
      <c r="R92" s="6">
        <v>15</v>
      </c>
      <c r="S92" s="40">
        <v>1.8</v>
      </c>
      <c r="T92" s="39">
        <v>1</v>
      </c>
      <c r="U92" s="6">
        <v>0</v>
      </c>
      <c r="V92" s="5" t="str">
        <f ca="1">VLOOKUP($W92,OFFSET([5]enemy_skill_sets!$B$1,0,0,COUNTA([5]enemy_skill_sets!$B:$B),MATCH(M$1,[5]enemy_skill_sets!$1:$1,0)-MATCH($W$1,[5]enemy_skill_sets!$1:$1,0)+2),MATCH(M$1,[5]enemy_skill_sets!$1:$1,0)-MATCH($W$1,[5]enemy_skill_sets!$1:$1,0)+2,FALSE)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2" s="5">
        <f ca="1">VLOOKUP($L92,OFFSET([3]enemies!$A$1,0,0,COUNTA([3]enemies!$A:$A),MATCH(W$1,[3]enemies!$1:$1,0)-MATCH($L$1,[3]enemies!$1:$1,0)+1),MATCH(W$1,[3]enemies!$1:$1,0)-MATCH($L$1,[3]enemies!$1:$1,0)+1,FALSE)</f>
        <v>0</v>
      </c>
      <c r="X92" s="7">
        <v>0</v>
      </c>
      <c r="Y92" s="7">
        <v>100</v>
      </c>
      <c r="Z92" s="7">
        <v>0</v>
      </c>
      <c r="AA92" s="20">
        <f ca="1">VLOOKUP($L92,OFFSET([3]enemies!$A$1,0,0,COUNTA([3]enemies!$A:$A),MATCH(AA$1,[3]enemies!$1:$1,0)-MATCH($L$1,[3]enemies!$1:$1,0)+1),MATCH(AA$1,[3]enemies!$1:$1,0)-MATCH($L$1,[3]enemies!$1:$1,0)+1,FALSE)</f>
        <v>2</v>
      </c>
      <c r="AB92" s="24">
        <v>114</v>
      </c>
      <c r="AC92" s="5" t="str">
        <f ca="1">IFERROR(VLOOKUP($AB92,OFFSET([4]characters!$A$1,0,0,COUNTA([4]characters!$A:$A),MATCH(AC$1,[4]characters!$1:$1,0)-MATCH("character_id",[4]characters!$1:$1,0)+1),MATCH(AC$1,[4]characters!$1:$1,0)-MATCH("character_id",[4]characters!$1:$1,0)+1,FALSE),"")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92" s="5">
        <f ca="1">IFERROR(VLOOKUP($AB92,OFFSET([4]characters!$A$1,0,0,COUNTA([4]characters!$A:$A),MATCH(AD$1,[4]characters!$1:$1,0)-MATCH("character_id",[4]characters!$1:$1,0)+1),MATCH(AD$1,[4]characters!$1:$1,0)-MATCH("character_id",[4]characters!$1:$1,0)+1,FALSE),"")</f>
        <v>3</v>
      </c>
      <c r="AE92" s="5" t="str">
        <f ca="1">IFERROR(VLOOKUP($AB92,OFFSET([4]characters!$A$1,0,0,COUNTA([4]characters!$A:$A),MATCH(AE$1,[4]characters!$1:$1,0)-MATCH("character_id",[4]characters!$1:$1,0)+1),MATCH(AE$1,[4]characters!$1:$1,0)-MATCH("character_id",[4]characters!$1:$1,0)+1,FALSE),"")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2" s="8">
        <v>1</v>
      </c>
      <c r="AG92" s="27">
        <f t="shared" ca="1" si="7"/>
        <v>3</v>
      </c>
      <c r="AH92" s="80">
        <v>20</v>
      </c>
      <c r="AI92" s="8">
        <v>0</v>
      </c>
      <c r="AJ92" s="8">
        <v>0</v>
      </c>
      <c r="AK92" s="8">
        <v>0</v>
      </c>
      <c r="AL92" s="8">
        <v>0</v>
      </c>
      <c r="AM92" s="8">
        <v>1</v>
      </c>
      <c r="AN92" s="8">
        <v>1</v>
      </c>
    </row>
    <row r="93" spans="1:40" ht="21" customHeight="1" x14ac:dyDescent="0.15">
      <c r="A93" s="17" t="str">
        <f t="shared" ref="A93:A101" ca="1" si="8">B93&amp;"_"&amp;C93&amp;"-"&amp;G93&amp;"/"&amp;L93&amp;"&lt;lv"&amp;R93&amp;"&gt;s"&amp;AA93</f>
        <v>11008_2-2/114&lt;lv15&gt;s2</v>
      </c>
      <c r="B93" s="8">
        <v>11008</v>
      </c>
      <c r="C93" s="25">
        <v>2</v>
      </c>
      <c r="D93" s="2" t="str">
        <f t="shared" si="5"/>
        <v>11008_2</v>
      </c>
      <c r="E93" s="5" t="str">
        <f ca="1">VLOOKUP($B93,OFFSET([2]quests!$A$1,0,0,COUNTA([2]quests!$A:$A),MATCH(E$1,[2]quests!$1:$1,0)-MATCH($B$1,[2]quests!$1:$1,0)+1),MATCH(E$1,[2]quests!$1:$1,0)-MATCH($B$1,[2]quests!$1:$1,0)+1,FALSE)</f>
        <v>【日曜限定】 青と黄の素材</v>
      </c>
      <c r="F93" s="5" t="str">
        <f ca="1">VLOOKUP($D93,OFFSET([2]stages!$A$1,0,0,COUNTA([2]stages!$A:$A),MATCH(F$1,[2]stages!$2:$2,0)-MATCH($D$1,[2]stages!$2:$2,0)+1),MATCH(F$1,[2]stages!$2:$2,0)-MATCH($D$1,[2]stages!$2:$2,0)+1,FALSE)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3" s="25">
        <v>2</v>
      </c>
      <c r="H93" s="16" t="str">
        <f t="shared" si="6"/>
        <v>11008_2-2</v>
      </c>
      <c r="I93" s="5">
        <f ca="1">VLOOKUP($H93,OFFSET(floors!$A$1,0,0,COUNTA(floors!$A:$A),MATCH(I$1,floors!$1:$1,0)-MATCH($H$1,floors!$1:$1,0)+1),MATCH(I$1,floors!$1:$1,0)-MATCH($H$1,floors!$1:$1,0)+1,FALSE)</f>
        <v>30</v>
      </c>
      <c r="J93" s="5">
        <f ca="1">VLOOKUP($H93,OFFSET(floors!$A$1,0,0,COUNTA(floors!$A:$A),MATCH(J$1,floors!$1:$1,0)-MATCH($H$1,floors!$1:$1,0)+1),MATCH(J$1,floors!$1:$1,0)-MATCH($H$1,floors!$1:$1,0)+1,FALSE)</f>
        <v>30</v>
      </c>
      <c r="K93" s="24" t="s">
        <v>197</v>
      </c>
      <c r="L93" s="24">
        <v>114</v>
      </c>
      <c r="M93" s="20" t="str">
        <f ca="1">VLOOKUP($L93,OFFSET([3]enemies!$A$1,0,0,COUNTA([3]enemies!$A:$A),MATCH(M$1,[3]enemies!$1:$1,0)-MATCH($L$1,[3]enemies!$1:$1,0)+1),MATCH(M$1,[3]enemies!$1:$1,0)-MATCH($L$1,[3]enemies!$1:$1,0)+1,FALSE)</f>
        <v>イエローラビット</v>
      </c>
      <c r="N93" s="20" t="str">
        <f ca="1">VLOOKUP($L93,OFFSET([3]enemies!$A$1,0,0,COUNTA([3]enemies!$A:$A),MATCH(N$1,[3]enemies!$1:$1,0)-MATCH($L$1,[3]enemies!$1:$1,0)+1),MATCH(N$1,[3]enemies!$1:$1,0)-MATCH($L$1,[3]enemies!$1:$1,0)+1,FALSE)</f>
        <v>yellow</v>
      </c>
      <c r="O93" s="22" t="str">
        <f ca="1">VLOOKUP($L93,OFFSET([4]characters!$A$1,0,0,COUNTA([4]characters!$A:$A),MATCH(O$1,[4]characters!$1:$1,0)-MATCH($L$1,[4]characters!$1:$1,0)+1),MATCH(O$1,[4]characters!$1:$1,0)-MATCH($L$1,[4]characters!$1:$1,0)+1,FALSE)</f>
        <v>Material</v>
      </c>
      <c r="P93" s="20" t="str">
        <f ca="1">VLOOKUP($L93,OFFSET([3]enemies!$A$1,0,0,COUNTA([3]enemies!$A:$A),MATCH(P$1,[3]enemies!$1:$1,0)-MATCH($L$1,[3]enemies!$1:$1,0)+1),MATCH(P$1,[3]enemies!$1:$1,0)-MATCH($L$1,[3]enemies!$1:$1,0)+1,FALSE)</f>
        <v>unknown</v>
      </c>
      <c r="Q93" s="20">
        <f ca="1">VLOOKUP($L93,OFFSET([3]enemies!$A$1,0,0,COUNTA([3]enemies!$A:$A),MATCH(Q$1,[3]enemies!$1:$1,0)-MATCH($L$1,[3]enemies!$1:$1,0)+1),MATCH(Q$1,[3]enemies!$1:$1,0)-MATCH($L$1,[3]enemies!$1:$1,0)+1,FALSE)</f>
        <v>15</v>
      </c>
      <c r="R93" s="6">
        <v>15</v>
      </c>
      <c r="S93" s="40">
        <v>1.8</v>
      </c>
      <c r="T93" s="39">
        <v>1</v>
      </c>
      <c r="U93" s="6">
        <v>0</v>
      </c>
      <c r="V93" s="5" t="str">
        <f ca="1">VLOOKUP($W93,OFFSET([5]enemy_skill_sets!$B$1,0,0,COUNTA([5]enemy_skill_sets!$B:$B),MATCH(M$1,[5]enemy_skill_sets!$1:$1,0)-MATCH($W$1,[5]enemy_skill_sets!$1:$1,0)+2),MATCH(M$1,[5]enemy_skill_sets!$1:$1,0)-MATCH($W$1,[5]enemy_skill_sets!$1:$1,0)+2,FALSE)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3" s="5">
        <f ca="1">VLOOKUP($L93,OFFSET([3]enemies!$A$1,0,0,COUNTA([3]enemies!$A:$A),MATCH(W$1,[3]enemies!$1:$1,0)-MATCH($L$1,[3]enemies!$1:$1,0)+1),MATCH(W$1,[3]enemies!$1:$1,0)-MATCH($L$1,[3]enemies!$1:$1,0)+1,FALSE)</f>
        <v>0</v>
      </c>
      <c r="X93" s="7">
        <v>0</v>
      </c>
      <c r="Y93" s="7">
        <v>100</v>
      </c>
      <c r="Z93" s="7">
        <v>0</v>
      </c>
      <c r="AA93" s="20">
        <f ca="1">VLOOKUP($L93,OFFSET([3]enemies!$A$1,0,0,COUNTA([3]enemies!$A:$A),MATCH(AA$1,[3]enemies!$1:$1,0)-MATCH($L$1,[3]enemies!$1:$1,0)+1),MATCH(AA$1,[3]enemies!$1:$1,0)-MATCH($L$1,[3]enemies!$1:$1,0)+1,FALSE)</f>
        <v>2</v>
      </c>
      <c r="AB93" s="24">
        <v>114</v>
      </c>
      <c r="AC93" s="5" t="str">
        <f ca="1">IFERROR(VLOOKUP($AB93,OFFSET([4]characters!$A$1,0,0,COUNTA([4]characters!$A:$A),MATCH(AC$1,[4]characters!$1:$1,0)-MATCH("character_id",[4]characters!$1:$1,0)+1),MATCH(AC$1,[4]characters!$1:$1,0)-MATCH("character_id",[4]characters!$1:$1,0)+1,FALSE),"")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93" s="5">
        <f ca="1">IFERROR(VLOOKUP($AB93,OFFSET([4]characters!$A$1,0,0,COUNTA([4]characters!$A:$A),MATCH(AD$1,[4]characters!$1:$1,0)-MATCH("character_id",[4]characters!$1:$1,0)+1),MATCH(AD$1,[4]characters!$1:$1,0)-MATCH("character_id",[4]characters!$1:$1,0)+1,FALSE),"")</f>
        <v>3</v>
      </c>
      <c r="AE93" s="5" t="str">
        <f ca="1">IFERROR(VLOOKUP($AB93,OFFSET([4]characters!$A$1,0,0,COUNTA([4]characters!$A:$A),MATCH(AE$1,[4]characters!$1:$1,0)-MATCH("character_id",[4]characters!$1:$1,0)+1),MATCH(AE$1,[4]characters!$1:$1,0)-MATCH("character_id",[4]characters!$1:$1,0)+1,FALSE),"")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3" s="8">
        <v>1</v>
      </c>
      <c r="AG93" s="27">
        <f t="shared" ca="1" si="7"/>
        <v>3</v>
      </c>
      <c r="AH93" s="80">
        <v>20</v>
      </c>
      <c r="AI93" s="8">
        <v>0</v>
      </c>
      <c r="AJ93" s="8">
        <v>0</v>
      </c>
      <c r="AK93" s="8">
        <v>0</v>
      </c>
      <c r="AL93" s="8">
        <v>0</v>
      </c>
      <c r="AM93" s="8">
        <v>1</v>
      </c>
      <c r="AN93" s="8">
        <v>1</v>
      </c>
    </row>
    <row r="94" spans="1:40" ht="21" customHeight="1" x14ac:dyDescent="0.15">
      <c r="A94" s="17" t="str">
        <f t="shared" ca="1" si="8"/>
        <v>11008_2-3/114&lt;lv15&gt;s2</v>
      </c>
      <c r="B94" s="8">
        <v>11008</v>
      </c>
      <c r="C94" s="25">
        <v>2</v>
      </c>
      <c r="D94" s="2" t="str">
        <f t="shared" si="5"/>
        <v>11008_2</v>
      </c>
      <c r="E94" s="5" t="str">
        <f ca="1">VLOOKUP($B94,OFFSET([2]quests!$A$1,0,0,COUNTA([2]quests!$A:$A),MATCH(E$1,[2]quests!$1:$1,0)-MATCH($B$1,[2]quests!$1:$1,0)+1),MATCH(E$1,[2]quests!$1:$1,0)-MATCH($B$1,[2]quests!$1:$1,0)+1,FALSE)</f>
        <v>【日曜限定】 青と黄の素材</v>
      </c>
      <c r="F94" s="5" t="str">
        <f ca="1">VLOOKUP($D94,OFFSET([2]stages!$A$1,0,0,COUNTA([2]stages!$A:$A),MATCH(F$1,[2]stages!$2:$2,0)-MATCH($D$1,[2]stages!$2:$2,0)+1),MATCH(F$1,[2]stages!$2:$2,0)-MATCH($D$1,[2]stages!$2:$2,0)+1,FALSE)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4" s="25">
        <v>3</v>
      </c>
      <c r="H94" s="16" t="str">
        <f t="shared" si="6"/>
        <v>11008_2-3</v>
      </c>
      <c r="I94" s="5">
        <f ca="1">VLOOKUP($H94,OFFSET(floors!$A$1,0,0,COUNTA(floors!$A:$A),MATCH(I$1,floors!$1:$1,0)-MATCH($H$1,floors!$1:$1,0)+1),MATCH(I$1,floors!$1:$1,0)-MATCH($H$1,floors!$1:$1,0)+1,FALSE)</f>
        <v>45</v>
      </c>
      <c r="J94" s="5">
        <f ca="1">VLOOKUP($H94,OFFSET(floors!$A$1,0,0,COUNTA(floors!$A:$A),MATCH(J$1,floors!$1:$1,0)-MATCH($H$1,floors!$1:$1,0)+1),MATCH(J$1,floors!$1:$1,0)-MATCH($H$1,floors!$1:$1,0)+1,FALSE)</f>
        <v>45</v>
      </c>
      <c r="K94" s="24" t="s">
        <v>197</v>
      </c>
      <c r="L94" s="24">
        <v>114</v>
      </c>
      <c r="M94" s="20" t="str">
        <f ca="1">VLOOKUP($L94,OFFSET([3]enemies!$A$1,0,0,COUNTA([3]enemies!$A:$A),MATCH(M$1,[3]enemies!$1:$1,0)-MATCH($L$1,[3]enemies!$1:$1,0)+1),MATCH(M$1,[3]enemies!$1:$1,0)-MATCH($L$1,[3]enemies!$1:$1,0)+1,FALSE)</f>
        <v>イエローラビット</v>
      </c>
      <c r="N94" s="20" t="str">
        <f ca="1">VLOOKUP($L94,OFFSET([3]enemies!$A$1,0,0,COUNTA([3]enemies!$A:$A),MATCH(N$1,[3]enemies!$1:$1,0)-MATCH($L$1,[3]enemies!$1:$1,0)+1),MATCH(N$1,[3]enemies!$1:$1,0)-MATCH($L$1,[3]enemies!$1:$1,0)+1,FALSE)</f>
        <v>yellow</v>
      </c>
      <c r="O94" s="22" t="str">
        <f ca="1">VLOOKUP($L94,OFFSET([4]characters!$A$1,0,0,COUNTA([4]characters!$A:$A),MATCH(O$1,[4]characters!$1:$1,0)-MATCH($L$1,[4]characters!$1:$1,0)+1),MATCH(O$1,[4]characters!$1:$1,0)-MATCH($L$1,[4]characters!$1:$1,0)+1,FALSE)</f>
        <v>Material</v>
      </c>
      <c r="P94" s="20" t="str">
        <f ca="1">VLOOKUP($L94,OFFSET([3]enemies!$A$1,0,0,COUNTA([3]enemies!$A:$A),MATCH(P$1,[3]enemies!$1:$1,0)-MATCH($L$1,[3]enemies!$1:$1,0)+1),MATCH(P$1,[3]enemies!$1:$1,0)-MATCH($L$1,[3]enemies!$1:$1,0)+1,FALSE)</f>
        <v>unknown</v>
      </c>
      <c r="Q94" s="20">
        <f ca="1">VLOOKUP($L94,OFFSET([3]enemies!$A$1,0,0,COUNTA([3]enemies!$A:$A),MATCH(Q$1,[3]enemies!$1:$1,0)-MATCH($L$1,[3]enemies!$1:$1,0)+1),MATCH(Q$1,[3]enemies!$1:$1,0)-MATCH($L$1,[3]enemies!$1:$1,0)+1,FALSE)</f>
        <v>15</v>
      </c>
      <c r="R94" s="6">
        <v>15</v>
      </c>
      <c r="S94" s="40">
        <v>1.8</v>
      </c>
      <c r="T94" s="39">
        <v>1</v>
      </c>
      <c r="U94" s="6">
        <v>0</v>
      </c>
      <c r="V94" s="5" t="str">
        <f ca="1">VLOOKUP($W94,OFFSET([5]enemy_skill_sets!$B$1,0,0,COUNTA([5]enemy_skill_sets!$B:$B),MATCH(M$1,[5]enemy_skill_sets!$1:$1,0)-MATCH($W$1,[5]enemy_skill_sets!$1:$1,0)+2),MATCH(M$1,[5]enemy_skill_sets!$1:$1,0)-MATCH($W$1,[5]enemy_skill_sets!$1:$1,0)+2,FALSE)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4" s="5">
        <f ca="1">VLOOKUP($L94,OFFSET([3]enemies!$A$1,0,0,COUNTA([3]enemies!$A:$A),MATCH(W$1,[3]enemies!$1:$1,0)-MATCH($L$1,[3]enemies!$1:$1,0)+1),MATCH(W$1,[3]enemies!$1:$1,0)-MATCH($L$1,[3]enemies!$1:$1,0)+1,FALSE)</f>
        <v>0</v>
      </c>
      <c r="X94" s="7">
        <v>0</v>
      </c>
      <c r="Y94" s="7">
        <v>100</v>
      </c>
      <c r="Z94" s="7">
        <v>0</v>
      </c>
      <c r="AA94" s="20">
        <f ca="1">VLOOKUP($L94,OFFSET([3]enemies!$A$1,0,0,COUNTA([3]enemies!$A:$A),MATCH(AA$1,[3]enemies!$1:$1,0)-MATCH($L$1,[3]enemies!$1:$1,0)+1),MATCH(AA$1,[3]enemies!$1:$1,0)-MATCH($L$1,[3]enemies!$1:$1,0)+1,FALSE)</f>
        <v>2</v>
      </c>
      <c r="AB94" s="24">
        <v>114</v>
      </c>
      <c r="AC94" s="5" t="str">
        <f ca="1">IFERROR(VLOOKUP($AB94,OFFSET([4]characters!$A$1,0,0,COUNTA([4]characters!$A:$A),MATCH(AC$1,[4]characters!$1:$1,0)-MATCH("character_id",[4]characters!$1:$1,0)+1),MATCH(AC$1,[4]characters!$1:$1,0)-MATCH("character_id",[4]characters!$1:$1,0)+1,FALSE),"")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94" s="5">
        <f ca="1">IFERROR(VLOOKUP($AB94,OFFSET([4]characters!$A$1,0,0,COUNTA([4]characters!$A:$A),MATCH(AD$1,[4]characters!$1:$1,0)-MATCH("character_id",[4]characters!$1:$1,0)+1),MATCH(AD$1,[4]characters!$1:$1,0)-MATCH("character_id",[4]characters!$1:$1,0)+1,FALSE),"")</f>
        <v>3</v>
      </c>
      <c r="AE94" s="5" t="str">
        <f ca="1">IFERROR(VLOOKUP($AB94,OFFSET([4]characters!$A$1,0,0,COUNTA([4]characters!$A:$A),MATCH(AE$1,[4]characters!$1:$1,0)-MATCH("character_id",[4]characters!$1:$1,0)+1),MATCH(AE$1,[4]characters!$1:$1,0)-MATCH("character_id",[4]characters!$1:$1,0)+1,FALSE),"")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4" s="8">
        <v>1</v>
      </c>
      <c r="AG94" s="27">
        <f t="shared" ca="1" si="7"/>
        <v>3</v>
      </c>
      <c r="AH94" s="80">
        <v>20</v>
      </c>
      <c r="AI94" s="8">
        <v>0</v>
      </c>
      <c r="AJ94" s="8">
        <v>0</v>
      </c>
      <c r="AK94" s="8">
        <v>0</v>
      </c>
      <c r="AL94" s="8">
        <v>0</v>
      </c>
      <c r="AM94" s="8">
        <v>1</v>
      </c>
      <c r="AN94" s="8">
        <v>1</v>
      </c>
    </row>
    <row r="95" spans="1:40" ht="21" customHeight="1" x14ac:dyDescent="0.15">
      <c r="A95" s="17" t="str">
        <f t="shared" ca="1" si="8"/>
        <v>11008_2-3/115&lt;lv15&gt;s2</v>
      </c>
      <c r="B95" s="8">
        <v>11008</v>
      </c>
      <c r="C95" s="25">
        <v>2</v>
      </c>
      <c r="D95" s="2" t="str">
        <f t="shared" si="5"/>
        <v>11008_2</v>
      </c>
      <c r="E95" s="5" t="str">
        <f ca="1">VLOOKUP($B95,OFFSET([2]quests!$A$1,0,0,COUNTA([2]quests!$A:$A),MATCH(E$1,[2]quests!$1:$1,0)-MATCH($B$1,[2]quests!$1:$1,0)+1),MATCH(E$1,[2]quests!$1:$1,0)-MATCH($B$1,[2]quests!$1:$1,0)+1,FALSE)</f>
        <v>【日曜限定】 青と黄の素材</v>
      </c>
      <c r="F95" s="5" t="str">
        <f ca="1">VLOOKUP($D95,OFFSET([2]stages!$A$1,0,0,COUNTA([2]stages!$A:$A),MATCH(F$1,[2]stages!$2:$2,0)-MATCH($D$1,[2]stages!$2:$2,0)+1),MATCH(F$1,[2]stages!$2:$2,0)-MATCH($D$1,[2]stages!$2:$2,0)+1,FALSE)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5" s="25">
        <v>3</v>
      </c>
      <c r="H95" s="16" t="str">
        <f t="shared" si="6"/>
        <v>11008_2-3</v>
      </c>
      <c r="I95" s="5">
        <f ca="1">VLOOKUP($H95,OFFSET(floors!$A$1,0,0,COUNTA(floors!$A:$A),MATCH(I$1,floors!$1:$1,0)-MATCH($H$1,floors!$1:$1,0)+1),MATCH(I$1,floors!$1:$1,0)-MATCH($H$1,floors!$1:$1,0)+1,FALSE)</f>
        <v>45</v>
      </c>
      <c r="J95" s="5">
        <f ca="1">VLOOKUP($H95,OFFSET(floors!$A$1,0,0,COUNTA(floors!$A:$A),MATCH(J$1,floors!$1:$1,0)-MATCH($H$1,floors!$1:$1,0)+1),MATCH(J$1,floors!$1:$1,0)-MATCH($H$1,floors!$1:$1,0)+1,FALSE)</f>
        <v>45</v>
      </c>
      <c r="K95" s="24" t="s">
        <v>197</v>
      </c>
      <c r="L95" s="24">
        <v>115</v>
      </c>
      <c r="M95" s="20" t="str">
        <f ca="1">VLOOKUP($L95,OFFSET([3]enemies!$A$1,0,0,COUNTA([3]enemies!$A:$A),MATCH(M$1,[3]enemies!$1:$1,0)-MATCH($L$1,[3]enemies!$1:$1,0)+1),MATCH(M$1,[3]enemies!$1:$1,0)-MATCH($L$1,[3]enemies!$1:$1,0)+1,FALSE)</f>
        <v>イエローキャタップ</v>
      </c>
      <c r="N95" s="20" t="str">
        <f ca="1">VLOOKUP($L95,OFFSET([3]enemies!$A$1,0,0,COUNTA([3]enemies!$A:$A),MATCH(N$1,[3]enemies!$1:$1,0)-MATCH($L$1,[3]enemies!$1:$1,0)+1),MATCH(N$1,[3]enemies!$1:$1,0)-MATCH($L$1,[3]enemies!$1:$1,0)+1,FALSE)</f>
        <v>yellow</v>
      </c>
      <c r="O95" s="22" t="str">
        <f ca="1">VLOOKUP($L95,OFFSET([4]characters!$A$1,0,0,COUNTA([4]characters!$A:$A),MATCH(O$1,[4]characters!$1:$1,0)-MATCH($L$1,[4]characters!$1:$1,0)+1),MATCH(O$1,[4]characters!$1:$1,0)-MATCH($L$1,[4]characters!$1:$1,0)+1,FALSE)</f>
        <v>Material</v>
      </c>
      <c r="P95" s="20" t="str">
        <f ca="1">VLOOKUP($L95,OFFSET([3]enemies!$A$1,0,0,COUNTA([3]enemies!$A:$A),MATCH(P$1,[3]enemies!$1:$1,0)-MATCH($L$1,[3]enemies!$1:$1,0)+1),MATCH(P$1,[3]enemies!$1:$1,0)-MATCH($L$1,[3]enemies!$1:$1,0)+1,FALSE)</f>
        <v>unknown</v>
      </c>
      <c r="Q95" s="20">
        <f ca="1">VLOOKUP($L95,OFFSET([3]enemies!$A$1,0,0,COUNTA([3]enemies!$A:$A),MATCH(Q$1,[3]enemies!$1:$1,0)-MATCH($L$1,[3]enemies!$1:$1,0)+1),MATCH(Q$1,[3]enemies!$1:$1,0)-MATCH($L$1,[3]enemies!$1:$1,0)+1,FALSE)</f>
        <v>15</v>
      </c>
      <c r="R95" s="6">
        <v>15</v>
      </c>
      <c r="S95" s="39">
        <v>2</v>
      </c>
      <c r="T95" s="39">
        <v>1</v>
      </c>
      <c r="U95" s="6">
        <v>0</v>
      </c>
      <c r="V95" s="5" t="str">
        <f ca="1">VLOOKUP($W95,OFFSET([5]enemy_skill_sets!$B$1,0,0,COUNTA([5]enemy_skill_sets!$B:$B),MATCH(M$1,[5]enemy_skill_sets!$1:$1,0)-MATCH($W$1,[5]enemy_skill_sets!$1:$1,0)+2),MATCH(M$1,[5]enemy_skill_sets!$1:$1,0)-MATCH($W$1,[5]enemy_skill_sets!$1:$1,0)+2,FALSE)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5" s="5">
        <f ca="1">VLOOKUP($L95,OFFSET([3]enemies!$A$1,0,0,COUNTA([3]enemies!$A:$A),MATCH(W$1,[3]enemies!$1:$1,0)-MATCH($L$1,[3]enemies!$1:$1,0)+1),MATCH(W$1,[3]enemies!$1:$1,0)-MATCH($L$1,[3]enemies!$1:$1,0)+1,FALSE)</f>
        <v>0</v>
      </c>
      <c r="X95" s="7">
        <v>0</v>
      </c>
      <c r="Y95" s="7">
        <v>25</v>
      </c>
      <c r="Z95" s="7">
        <v>0</v>
      </c>
      <c r="AA95" s="20">
        <f ca="1">VLOOKUP($L95,OFFSET([3]enemies!$A$1,0,0,COUNTA([3]enemies!$A:$A),MATCH(AA$1,[3]enemies!$1:$1,0)-MATCH($L$1,[3]enemies!$1:$1,0)+1),MATCH(AA$1,[3]enemies!$1:$1,0)-MATCH($L$1,[3]enemies!$1:$1,0)+1,FALSE)</f>
        <v>2</v>
      </c>
      <c r="AB95" s="24">
        <v>115</v>
      </c>
      <c r="AC95" s="5" t="str">
        <f ca="1">IFERROR(VLOOKUP($AB95,OFFSET([4]characters!$A$1,0,0,COUNTA([4]characters!$A:$A),MATCH(AC$1,[4]characters!$1:$1,0)-MATCH("character_id",[4]characters!$1:$1,0)+1),MATCH(AC$1,[4]characters!$1:$1,0)-MATCH("character_id",[4]characters!$1:$1,0)+1,FALSE),"")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95" s="5">
        <f ca="1">IFERROR(VLOOKUP($AB95,OFFSET([4]characters!$A$1,0,0,COUNTA([4]characters!$A:$A),MATCH(AD$1,[4]characters!$1:$1,0)-MATCH("character_id",[4]characters!$1:$1,0)+1),MATCH(AD$1,[4]characters!$1:$1,0)-MATCH("character_id",[4]characters!$1:$1,0)+1,FALSE),"")</f>
        <v>4</v>
      </c>
      <c r="AE95" s="5" t="str">
        <f ca="1">IFERROR(VLOOKUP($AB95,OFFSET([4]characters!$A$1,0,0,COUNTA([4]characters!$A:$A),MATCH(AE$1,[4]characters!$1:$1,0)-MATCH("character_id",[4]characters!$1:$1,0)+1),MATCH(AE$1,[4]characters!$1:$1,0)-MATCH("character_id",[4]characters!$1:$1,0)+1,FALSE),"")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5" s="8">
        <v>1</v>
      </c>
      <c r="AG95" s="27">
        <f t="shared" ca="1" si="7"/>
        <v>4</v>
      </c>
      <c r="AH95" s="80">
        <v>5</v>
      </c>
      <c r="AI95" s="8">
        <v>0</v>
      </c>
      <c r="AJ95" s="8">
        <v>0</v>
      </c>
      <c r="AK95" s="8">
        <v>0</v>
      </c>
      <c r="AL95" s="8">
        <v>0</v>
      </c>
      <c r="AM95" s="8">
        <v>1</v>
      </c>
      <c r="AN95" s="8">
        <v>1</v>
      </c>
    </row>
    <row r="96" spans="1:40" ht="21" customHeight="1" x14ac:dyDescent="0.15">
      <c r="A96" s="17" t="str">
        <f t="shared" ca="1" si="8"/>
        <v>11008_2-4/114&lt;lv15&gt;s2</v>
      </c>
      <c r="B96" s="8">
        <v>11008</v>
      </c>
      <c r="C96" s="25">
        <v>2</v>
      </c>
      <c r="D96" s="2" t="str">
        <f t="shared" si="5"/>
        <v>11008_2</v>
      </c>
      <c r="E96" s="5" t="str">
        <f ca="1">VLOOKUP($B96,OFFSET([2]quests!$A$1,0,0,COUNTA([2]quests!$A:$A),MATCH(E$1,[2]quests!$1:$1,0)-MATCH($B$1,[2]quests!$1:$1,0)+1),MATCH(E$1,[2]quests!$1:$1,0)-MATCH($B$1,[2]quests!$1:$1,0)+1,FALSE)</f>
        <v>【日曜限定】 青と黄の素材</v>
      </c>
      <c r="F96" s="5" t="str">
        <f ca="1">VLOOKUP($D96,OFFSET([2]stages!$A$1,0,0,COUNTA([2]stages!$A:$A),MATCH(F$1,[2]stages!$2:$2,0)-MATCH($D$1,[2]stages!$2:$2,0)+1),MATCH(F$1,[2]stages!$2:$2,0)-MATCH($D$1,[2]stages!$2:$2,0)+1,FALSE)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6" s="25">
        <v>4</v>
      </c>
      <c r="H96" s="16" t="str">
        <f t="shared" si="6"/>
        <v>11008_2-4</v>
      </c>
      <c r="I96" s="5">
        <f ca="1">VLOOKUP($H96,OFFSET(floors!$A$1,0,0,COUNTA(floors!$A:$A),MATCH(I$1,floors!$1:$1,0)-MATCH($H$1,floors!$1:$1,0)+1),MATCH(I$1,floors!$1:$1,0)-MATCH($H$1,floors!$1:$1,0)+1,FALSE)</f>
        <v>45</v>
      </c>
      <c r="J96" s="5">
        <f ca="1">VLOOKUP($H96,OFFSET(floors!$A$1,0,0,COUNTA(floors!$A:$A),MATCH(J$1,floors!$1:$1,0)-MATCH($H$1,floors!$1:$1,0)+1),MATCH(J$1,floors!$1:$1,0)-MATCH($H$1,floors!$1:$1,0)+1,FALSE)</f>
        <v>45</v>
      </c>
      <c r="K96" s="24" t="s">
        <v>197</v>
      </c>
      <c r="L96" s="24">
        <v>114</v>
      </c>
      <c r="M96" s="20" t="str">
        <f ca="1">VLOOKUP($L96,OFFSET([3]enemies!$A$1,0,0,COUNTA([3]enemies!$A:$A),MATCH(M$1,[3]enemies!$1:$1,0)-MATCH($L$1,[3]enemies!$1:$1,0)+1),MATCH(M$1,[3]enemies!$1:$1,0)-MATCH($L$1,[3]enemies!$1:$1,0)+1,FALSE)</f>
        <v>イエローラビット</v>
      </c>
      <c r="N96" s="20" t="str">
        <f ca="1">VLOOKUP($L96,OFFSET([3]enemies!$A$1,0,0,COUNTA([3]enemies!$A:$A),MATCH(N$1,[3]enemies!$1:$1,0)-MATCH($L$1,[3]enemies!$1:$1,0)+1),MATCH(N$1,[3]enemies!$1:$1,0)-MATCH($L$1,[3]enemies!$1:$1,0)+1,FALSE)</f>
        <v>yellow</v>
      </c>
      <c r="O96" s="22" t="str">
        <f ca="1">VLOOKUP($L96,OFFSET([4]characters!$A$1,0,0,COUNTA([4]characters!$A:$A),MATCH(O$1,[4]characters!$1:$1,0)-MATCH($L$1,[4]characters!$1:$1,0)+1),MATCH(O$1,[4]characters!$1:$1,0)-MATCH($L$1,[4]characters!$1:$1,0)+1,FALSE)</f>
        <v>Material</v>
      </c>
      <c r="P96" s="20" t="str">
        <f ca="1">VLOOKUP($L96,OFFSET([3]enemies!$A$1,0,0,COUNTA([3]enemies!$A:$A),MATCH(P$1,[3]enemies!$1:$1,0)-MATCH($L$1,[3]enemies!$1:$1,0)+1),MATCH(P$1,[3]enemies!$1:$1,0)-MATCH($L$1,[3]enemies!$1:$1,0)+1,FALSE)</f>
        <v>unknown</v>
      </c>
      <c r="Q96" s="20">
        <f ca="1">VLOOKUP($L96,OFFSET([3]enemies!$A$1,0,0,COUNTA([3]enemies!$A:$A),MATCH(Q$1,[3]enemies!$1:$1,0)-MATCH($L$1,[3]enemies!$1:$1,0)+1),MATCH(Q$1,[3]enemies!$1:$1,0)-MATCH($L$1,[3]enemies!$1:$1,0)+1,FALSE)</f>
        <v>15</v>
      </c>
      <c r="R96" s="6">
        <v>15</v>
      </c>
      <c r="S96" s="40">
        <v>1.8</v>
      </c>
      <c r="T96" s="39">
        <v>1</v>
      </c>
      <c r="U96" s="6">
        <v>0</v>
      </c>
      <c r="V96" s="5" t="str">
        <f ca="1">VLOOKUP($W96,OFFSET([5]enemy_skill_sets!$B$1,0,0,COUNTA([5]enemy_skill_sets!$B:$B),MATCH(M$1,[5]enemy_skill_sets!$1:$1,0)-MATCH($W$1,[5]enemy_skill_sets!$1:$1,0)+2),MATCH(M$1,[5]enemy_skill_sets!$1:$1,0)-MATCH($W$1,[5]enemy_skill_sets!$1:$1,0)+2,FALSE)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6" s="5">
        <f ca="1">VLOOKUP($L96,OFFSET([3]enemies!$A$1,0,0,COUNTA([3]enemies!$A:$A),MATCH(W$1,[3]enemies!$1:$1,0)-MATCH($L$1,[3]enemies!$1:$1,0)+1),MATCH(W$1,[3]enemies!$1:$1,0)-MATCH($L$1,[3]enemies!$1:$1,0)+1,FALSE)</f>
        <v>0</v>
      </c>
      <c r="X96" s="7">
        <v>0</v>
      </c>
      <c r="Y96" s="7">
        <v>100</v>
      </c>
      <c r="Z96" s="7">
        <v>0</v>
      </c>
      <c r="AA96" s="20">
        <f ca="1">VLOOKUP($L96,OFFSET([3]enemies!$A$1,0,0,COUNTA([3]enemies!$A:$A),MATCH(AA$1,[3]enemies!$1:$1,0)-MATCH($L$1,[3]enemies!$1:$1,0)+1),MATCH(AA$1,[3]enemies!$1:$1,0)-MATCH($L$1,[3]enemies!$1:$1,0)+1,FALSE)</f>
        <v>2</v>
      </c>
      <c r="AB96" s="24">
        <v>114</v>
      </c>
      <c r="AC96" s="5" t="str">
        <f ca="1">IFERROR(VLOOKUP($AB96,OFFSET([4]characters!$A$1,0,0,COUNTA([4]characters!$A:$A),MATCH(AC$1,[4]characters!$1:$1,0)-MATCH("character_id",[4]characters!$1:$1,0)+1),MATCH(AC$1,[4]characters!$1:$1,0)-MATCH("character_id",[4]characters!$1:$1,0)+1,FALSE),"")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96" s="5">
        <f ca="1">IFERROR(VLOOKUP($AB96,OFFSET([4]characters!$A$1,0,0,COUNTA([4]characters!$A:$A),MATCH(AD$1,[4]characters!$1:$1,0)-MATCH("character_id",[4]characters!$1:$1,0)+1),MATCH(AD$1,[4]characters!$1:$1,0)-MATCH("character_id",[4]characters!$1:$1,0)+1,FALSE),"")</f>
        <v>3</v>
      </c>
      <c r="AE96" s="5" t="str">
        <f ca="1">IFERROR(VLOOKUP($AB96,OFFSET([4]characters!$A$1,0,0,COUNTA([4]characters!$A:$A),MATCH(AE$1,[4]characters!$1:$1,0)-MATCH("character_id",[4]characters!$1:$1,0)+1),MATCH(AE$1,[4]characters!$1:$1,0)-MATCH("character_id",[4]characters!$1:$1,0)+1,FALSE),"")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6" s="8">
        <v>1</v>
      </c>
      <c r="AG96" s="27">
        <f t="shared" ca="1" si="7"/>
        <v>3</v>
      </c>
      <c r="AH96" s="80">
        <v>20</v>
      </c>
      <c r="AI96" s="8">
        <v>0</v>
      </c>
      <c r="AJ96" s="8">
        <v>0</v>
      </c>
      <c r="AK96" s="8">
        <v>0</v>
      </c>
      <c r="AL96" s="8">
        <v>0</v>
      </c>
      <c r="AM96" s="8">
        <v>1</v>
      </c>
      <c r="AN96" s="8">
        <v>1</v>
      </c>
    </row>
    <row r="97" spans="1:40" ht="21" customHeight="1" x14ac:dyDescent="0.15">
      <c r="A97" s="17" t="str">
        <f t="shared" ca="1" si="8"/>
        <v>11008_2-4/115&lt;lv15&gt;s2</v>
      </c>
      <c r="B97" s="8">
        <v>11008</v>
      </c>
      <c r="C97" s="25">
        <v>2</v>
      </c>
      <c r="D97" s="2" t="str">
        <f t="shared" si="5"/>
        <v>11008_2</v>
      </c>
      <c r="E97" s="5" t="str">
        <f ca="1">VLOOKUP($B97,OFFSET([2]quests!$A$1,0,0,COUNTA([2]quests!$A:$A),MATCH(E$1,[2]quests!$1:$1,0)-MATCH($B$1,[2]quests!$1:$1,0)+1),MATCH(E$1,[2]quests!$1:$1,0)-MATCH($B$1,[2]quests!$1:$1,0)+1,FALSE)</f>
        <v>【日曜限定】 青と黄の素材</v>
      </c>
      <c r="F97" s="5" t="str">
        <f ca="1">VLOOKUP($D97,OFFSET([2]stages!$A$1,0,0,COUNTA([2]stages!$A:$A),MATCH(F$1,[2]stages!$2:$2,0)-MATCH($D$1,[2]stages!$2:$2,0)+1),MATCH(F$1,[2]stages!$2:$2,0)-MATCH($D$1,[2]stages!$2:$2,0)+1,FALSE)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7" s="25">
        <v>4</v>
      </c>
      <c r="H97" s="16" t="str">
        <f t="shared" si="6"/>
        <v>11008_2-4</v>
      </c>
      <c r="I97" s="5">
        <f ca="1">VLOOKUP($H97,OFFSET(floors!$A$1,0,0,COUNTA(floors!$A:$A),MATCH(I$1,floors!$1:$1,0)-MATCH($H$1,floors!$1:$1,0)+1),MATCH(I$1,floors!$1:$1,0)-MATCH($H$1,floors!$1:$1,0)+1,FALSE)</f>
        <v>45</v>
      </c>
      <c r="J97" s="5">
        <f ca="1">VLOOKUP($H97,OFFSET(floors!$A$1,0,0,COUNTA(floors!$A:$A),MATCH(J$1,floors!$1:$1,0)-MATCH($H$1,floors!$1:$1,0)+1),MATCH(J$1,floors!$1:$1,0)-MATCH($H$1,floors!$1:$1,0)+1,FALSE)</f>
        <v>45</v>
      </c>
      <c r="K97" s="24" t="s">
        <v>197</v>
      </c>
      <c r="L97" s="24">
        <v>115</v>
      </c>
      <c r="M97" s="20" t="str">
        <f ca="1">VLOOKUP($L97,OFFSET([3]enemies!$A$1,0,0,COUNTA([3]enemies!$A:$A),MATCH(M$1,[3]enemies!$1:$1,0)-MATCH($L$1,[3]enemies!$1:$1,0)+1),MATCH(M$1,[3]enemies!$1:$1,0)-MATCH($L$1,[3]enemies!$1:$1,0)+1,FALSE)</f>
        <v>イエローキャタップ</v>
      </c>
      <c r="N97" s="20" t="str">
        <f ca="1">VLOOKUP($L97,OFFSET([3]enemies!$A$1,0,0,COUNTA([3]enemies!$A:$A),MATCH(N$1,[3]enemies!$1:$1,0)-MATCH($L$1,[3]enemies!$1:$1,0)+1),MATCH(N$1,[3]enemies!$1:$1,0)-MATCH($L$1,[3]enemies!$1:$1,0)+1,FALSE)</f>
        <v>yellow</v>
      </c>
      <c r="O97" s="22" t="str">
        <f ca="1">VLOOKUP($L97,OFFSET([4]characters!$A$1,0,0,COUNTA([4]characters!$A:$A),MATCH(O$1,[4]characters!$1:$1,0)-MATCH($L$1,[4]characters!$1:$1,0)+1),MATCH(O$1,[4]characters!$1:$1,0)-MATCH($L$1,[4]characters!$1:$1,0)+1,FALSE)</f>
        <v>Material</v>
      </c>
      <c r="P97" s="20" t="str">
        <f ca="1">VLOOKUP($L97,OFFSET([3]enemies!$A$1,0,0,COUNTA([3]enemies!$A:$A),MATCH(P$1,[3]enemies!$1:$1,0)-MATCH($L$1,[3]enemies!$1:$1,0)+1),MATCH(P$1,[3]enemies!$1:$1,0)-MATCH($L$1,[3]enemies!$1:$1,0)+1,FALSE)</f>
        <v>unknown</v>
      </c>
      <c r="Q97" s="20">
        <f ca="1">VLOOKUP($L97,OFFSET([3]enemies!$A$1,0,0,COUNTA([3]enemies!$A:$A),MATCH(Q$1,[3]enemies!$1:$1,0)-MATCH($L$1,[3]enemies!$1:$1,0)+1),MATCH(Q$1,[3]enemies!$1:$1,0)-MATCH($L$1,[3]enemies!$1:$1,0)+1,FALSE)</f>
        <v>15</v>
      </c>
      <c r="R97" s="6">
        <v>15</v>
      </c>
      <c r="S97" s="39">
        <v>2</v>
      </c>
      <c r="T97" s="39">
        <v>1</v>
      </c>
      <c r="U97" s="6">
        <v>0</v>
      </c>
      <c r="V97" s="5" t="str">
        <f ca="1">VLOOKUP($W97,OFFSET([5]enemy_skill_sets!$B$1,0,0,COUNTA([5]enemy_skill_sets!$B:$B),MATCH(M$1,[5]enemy_skill_sets!$1:$1,0)-MATCH($W$1,[5]enemy_skill_sets!$1:$1,0)+2),MATCH(M$1,[5]enemy_skill_sets!$1:$1,0)-MATCH($W$1,[5]enemy_skill_sets!$1:$1,0)+2,FALSE)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7" s="5">
        <f ca="1">VLOOKUP($L97,OFFSET([3]enemies!$A$1,0,0,COUNTA([3]enemies!$A:$A),MATCH(W$1,[3]enemies!$1:$1,0)-MATCH($L$1,[3]enemies!$1:$1,0)+1),MATCH(W$1,[3]enemies!$1:$1,0)-MATCH($L$1,[3]enemies!$1:$1,0)+1,FALSE)</f>
        <v>0</v>
      </c>
      <c r="X97" s="7">
        <v>0</v>
      </c>
      <c r="Y97" s="7">
        <v>25</v>
      </c>
      <c r="Z97" s="7">
        <v>0</v>
      </c>
      <c r="AA97" s="20">
        <f ca="1">VLOOKUP($L97,OFFSET([3]enemies!$A$1,0,0,COUNTA([3]enemies!$A:$A),MATCH(AA$1,[3]enemies!$1:$1,0)-MATCH($L$1,[3]enemies!$1:$1,0)+1),MATCH(AA$1,[3]enemies!$1:$1,0)-MATCH($L$1,[3]enemies!$1:$1,0)+1,FALSE)</f>
        <v>2</v>
      </c>
      <c r="AB97" s="24">
        <v>115</v>
      </c>
      <c r="AC97" s="5" t="str">
        <f ca="1">IFERROR(VLOOKUP($AB97,OFFSET([4]characters!$A$1,0,0,COUNTA([4]characters!$A:$A),MATCH(AC$1,[4]characters!$1:$1,0)-MATCH("character_id",[4]characters!$1:$1,0)+1),MATCH(AC$1,[4]characters!$1:$1,0)-MATCH("character_id",[4]characters!$1:$1,0)+1,FALSE),"")</f>
        <v>イエローキャタップ</v>
      </c>
      <c r="AD97" s="5">
        <f ca="1">IFERROR(VLOOKUP($AB97,OFFSET([4]characters!$A$1,0,0,COUNTA([4]characters!$A:$A),MATCH(AD$1,[4]characters!$1:$1,0)-MATCH("character_id",[4]characters!$1:$1,0)+1),MATCH(AD$1,[4]characters!$1:$1,0)-MATCH("character_id",[4]characters!$1:$1,0)+1,FALSE),"")</f>
        <v>4</v>
      </c>
      <c r="AE97" s="5" t="str">
        <f ca="1">IFERROR(VLOOKUP($AB97,OFFSET([4]characters!$A$1,0,0,COUNTA([4]characters!$A:$A),MATCH(AE$1,[4]characters!$1:$1,0)-MATCH("character_id",[4]characters!$1:$1,0)+1),MATCH(AE$1,[4]characters!$1:$1,0)-MATCH("character_id",[4]characters!$1:$1,0)+1,FALSE),"")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7" s="8">
        <v>1</v>
      </c>
      <c r="AG97" s="27">
        <f t="shared" ca="1" si="7"/>
        <v>4</v>
      </c>
      <c r="AH97" s="80">
        <v>5</v>
      </c>
      <c r="AI97" s="8">
        <v>0</v>
      </c>
      <c r="AJ97" s="8">
        <v>0</v>
      </c>
      <c r="AK97" s="8">
        <v>0</v>
      </c>
      <c r="AL97" s="8">
        <v>0</v>
      </c>
      <c r="AM97" s="8">
        <v>1</v>
      </c>
      <c r="AN97" s="8">
        <v>1</v>
      </c>
    </row>
    <row r="98" spans="1:40" ht="21" customHeight="1" x14ac:dyDescent="0.15">
      <c r="A98" s="17" t="str">
        <f t="shared" ca="1" si="8"/>
        <v>11008_2-5/114&lt;lv15&gt;s2</v>
      </c>
      <c r="B98" s="8">
        <v>11008</v>
      </c>
      <c r="C98" s="25">
        <v>2</v>
      </c>
      <c r="D98" s="2" t="str">
        <f t="shared" si="5"/>
        <v>11008_2</v>
      </c>
      <c r="E98" s="5" t="str">
        <f ca="1">VLOOKUP($B98,OFFSET([2]quests!$A$1,0,0,COUNTA([2]quests!$A:$A),MATCH(E$1,[2]quests!$1:$1,0)-MATCH($B$1,[2]quests!$1:$1,0)+1),MATCH(E$1,[2]quests!$1:$1,0)-MATCH($B$1,[2]quests!$1:$1,0)+1,FALSE)</f>
        <v>【日曜限定】 青と黄の素材</v>
      </c>
      <c r="F98" s="5" t="str">
        <f ca="1">VLOOKUP($D98,OFFSET([2]stages!$A$1,0,0,COUNTA([2]stages!$A:$A),MATCH(F$1,[2]stages!$2:$2,0)-MATCH($D$1,[2]stages!$2:$2,0)+1),MATCH(F$1,[2]stages!$2:$2,0)-MATCH($D$1,[2]stages!$2:$2,0)+1,FALSE)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8" s="25">
        <v>5</v>
      </c>
      <c r="H98" s="16" t="str">
        <f t="shared" si="6"/>
        <v>11008_2-5</v>
      </c>
      <c r="I98" s="5">
        <f ca="1">VLOOKUP($H98,OFFSET(floors!$A$1,0,0,COUNTA(floors!$A:$A),MATCH(I$1,floors!$1:$1,0)-MATCH($H$1,floors!$1:$1,0)+1),MATCH(I$1,floors!$1:$1,0)-MATCH($H$1,floors!$1:$1,0)+1,FALSE)</f>
        <v>50</v>
      </c>
      <c r="J98" s="5">
        <f ca="1">VLOOKUP($H98,OFFSET(floors!$A$1,0,0,COUNTA(floors!$A:$A),MATCH(J$1,floors!$1:$1,0)-MATCH($H$1,floors!$1:$1,0)+1),MATCH(J$1,floors!$1:$1,0)-MATCH($H$1,floors!$1:$1,0)+1,FALSE)</f>
        <v>50</v>
      </c>
      <c r="K98" s="24" t="s">
        <v>197</v>
      </c>
      <c r="L98" s="24">
        <v>114</v>
      </c>
      <c r="M98" s="20" t="str">
        <f ca="1">VLOOKUP($L98,OFFSET([3]enemies!$A$1,0,0,COUNTA([3]enemies!$A:$A),MATCH(M$1,[3]enemies!$1:$1,0)-MATCH($L$1,[3]enemies!$1:$1,0)+1),MATCH(M$1,[3]enemies!$1:$1,0)-MATCH($L$1,[3]enemies!$1:$1,0)+1,FALSE)</f>
        <v>イエローラビット</v>
      </c>
      <c r="N98" s="20" t="str">
        <f ca="1">VLOOKUP($L98,OFFSET([3]enemies!$A$1,0,0,COUNTA([3]enemies!$A:$A),MATCH(N$1,[3]enemies!$1:$1,0)-MATCH($L$1,[3]enemies!$1:$1,0)+1),MATCH(N$1,[3]enemies!$1:$1,0)-MATCH($L$1,[3]enemies!$1:$1,0)+1,FALSE)</f>
        <v>yellow</v>
      </c>
      <c r="O98" s="22" t="str">
        <f ca="1">VLOOKUP($L98,OFFSET([4]characters!$A$1,0,0,COUNTA([4]characters!$A:$A),MATCH(O$1,[4]characters!$1:$1,0)-MATCH($L$1,[4]characters!$1:$1,0)+1),MATCH(O$1,[4]characters!$1:$1,0)-MATCH($L$1,[4]characters!$1:$1,0)+1,FALSE)</f>
        <v>Material</v>
      </c>
      <c r="P98" s="20" t="str">
        <f ca="1">VLOOKUP($L98,OFFSET([3]enemies!$A$1,0,0,COUNTA([3]enemies!$A:$A),MATCH(P$1,[3]enemies!$1:$1,0)-MATCH($L$1,[3]enemies!$1:$1,0)+1),MATCH(P$1,[3]enemies!$1:$1,0)-MATCH($L$1,[3]enemies!$1:$1,0)+1,FALSE)</f>
        <v>unknown</v>
      </c>
      <c r="Q98" s="20">
        <f ca="1">VLOOKUP($L98,OFFSET([3]enemies!$A$1,0,0,COUNTA([3]enemies!$A:$A),MATCH(Q$1,[3]enemies!$1:$1,0)-MATCH($L$1,[3]enemies!$1:$1,0)+1),MATCH(Q$1,[3]enemies!$1:$1,0)-MATCH($L$1,[3]enemies!$1:$1,0)+1,FALSE)</f>
        <v>15</v>
      </c>
      <c r="R98" s="6">
        <v>15</v>
      </c>
      <c r="S98" s="40">
        <v>1.8</v>
      </c>
      <c r="T98" s="39">
        <v>1</v>
      </c>
      <c r="U98" s="6">
        <v>0</v>
      </c>
      <c r="V98" s="5" t="str">
        <f ca="1">VLOOKUP($W98,OFFSET([5]enemy_skill_sets!$B$1,0,0,COUNTA([5]enemy_skill_sets!$B:$B),MATCH(M$1,[5]enemy_skill_sets!$1:$1,0)-MATCH($W$1,[5]enemy_skill_sets!$1:$1,0)+2),MATCH(M$1,[5]enemy_skill_sets!$1:$1,0)-MATCH($W$1,[5]enemy_skill_sets!$1:$1,0)+2,FALSE)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8" s="5">
        <f ca="1">VLOOKUP($L98,OFFSET([3]enemies!$A$1,0,0,COUNTA([3]enemies!$A:$A),MATCH(W$1,[3]enemies!$1:$1,0)-MATCH($L$1,[3]enemies!$1:$1,0)+1),MATCH(W$1,[3]enemies!$1:$1,0)-MATCH($L$1,[3]enemies!$1:$1,0)+1,FALSE)</f>
        <v>0</v>
      </c>
      <c r="X98" s="7">
        <v>1</v>
      </c>
      <c r="Y98" s="7">
        <v>100</v>
      </c>
      <c r="Z98" s="7">
        <v>0</v>
      </c>
      <c r="AA98" s="20">
        <f ca="1">VLOOKUP($L98,OFFSET([3]enemies!$A$1,0,0,COUNTA([3]enemies!$A:$A),MATCH(AA$1,[3]enemies!$1:$1,0)-MATCH($L$1,[3]enemies!$1:$1,0)+1),MATCH(AA$1,[3]enemies!$1:$1,0)-MATCH($L$1,[3]enemies!$1:$1,0)+1,FALSE)</f>
        <v>2</v>
      </c>
      <c r="AB98" s="24">
        <v>114</v>
      </c>
      <c r="AC98" s="5" t="str">
        <f ca="1">IFERROR(VLOOKUP($AB98,OFFSET([4]characters!$A$1,0,0,COUNTA([4]characters!$A:$A),MATCH(AC$1,[4]characters!$1:$1,0)-MATCH("character_id",[4]characters!$1:$1,0)+1),MATCH(AC$1,[4]characters!$1:$1,0)-MATCH("character_id",[4]characters!$1:$1,0)+1,FALSE),"")</f>
        <v>イエローラビット</v>
      </c>
      <c r="AD98" s="5">
        <f ca="1">IFERROR(VLOOKUP($AB98,OFFSET([4]characters!$A$1,0,0,COUNTA([4]characters!$A:$A),MATCH(AD$1,[4]characters!$1:$1,0)-MATCH("character_id",[4]characters!$1:$1,0)+1),MATCH(AD$1,[4]characters!$1:$1,0)-MATCH("character_id",[4]characters!$1:$1,0)+1,FALSE),"")</f>
        <v>3</v>
      </c>
      <c r="AE98" s="5" t="str">
        <f ca="1">IFERROR(VLOOKUP($AB98,OFFSET([4]characters!$A$1,0,0,COUNTA([4]characters!$A:$A),MATCH(AE$1,[4]characters!$1:$1,0)-MATCH("character_id",[4]characters!$1:$1,0)+1),MATCH(AE$1,[4]characters!$1:$1,0)-MATCH("character_id",[4]characters!$1:$1,0)+1,FALSE),"")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98" s="8">
        <v>1</v>
      </c>
      <c r="AG98" s="27">
        <f t="shared" ca="1" si="7"/>
        <v>3</v>
      </c>
      <c r="AH98" s="80">
        <v>100</v>
      </c>
      <c r="AI98" s="8">
        <v>0</v>
      </c>
      <c r="AJ98" s="8">
        <v>0</v>
      </c>
      <c r="AK98" s="8">
        <v>0</v>
      </c>
      <c r="AL98" s="8">
        <v>0</v>
      </c>
      <c r="AM98" s="8">
        <v>1</v>
      </c>
      <c r="AN98" s="8">
        <v>1</v>
      </c>
    </row>
    <row r="99" spans="1:40" ht="21" customHeight="1" x14ac:dyDescent="0.15">
      <c r="A99" s="17" t="str">
        <f t="shared" ca="1" si="8"/>
        <v>11008_2-5/56&lt;lv18&gt;s4</v>
      </c>
      <c r="B99" s="8">
        <v>11008</v>
      </c>
      <c r="C99" s="25">
        <v>2</v>
      </c>
      <c r="D99" s="2" t="str">
        <f t="shared" si="5"/>
        <v>11008_2</v>
      </c>
      <c r="E99" s="5" t="str">
        <f ca="1">VLOOKUP($B99,OFFSET([2]quests!$A$1,0,0,COUNTA([2]quests!$A:$A),MATCH(E$1,[2]quests!$1:$1,0)-MATCH($B$1,[2]quests!$1:$1,0)+1),MATCH(E$1,[2]quests!$1:$1,0)-MATCH($B$1,[2]quests!$1:$1,0)+1,FALSE)</f>
        <v>【日曜限定】 青と黄の素材</v>
      </c>
      <c r="F99" s="5" t="str">
        <f ca="1">VLOOKUP($D99,OFFSET([2]stages!$A$1,0,0,COUNTA([2]stages!$A:$A),MATCH(F$1,[2]stages!$2:$2,0)-MATCH($D$1,[2]stages!$2:$2,0)+1),MATCH(F$1,[2]stages!$2:$2,0)-MATCH($D$1,[2]stages!$2:$2,0)+1,FALSE)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99" s="25">
        <v>5</v>
      </c>
      <c r="H99" s="16" t="str">
        <f t="shared" si="6"/>
        <v>11008_2-5</v>
      </c>
      <c r="I99" s="5">
        <f ca="1">VLOOKUP($H99,OFFSET(floors!$A$1,0,0,COUNTA(floors!$A:$A),MATCH(I$1,floors!$1:$1,0)-MATCH($H$1,floors!$1:$1,0)+1),MATCH(I$1,floors!$1:$1,0)-MATCH($H$1,floors!$1:$1,0)+1,FALSE)</f>
        <v>50</v>
      </c>
      <c r="J99" s="5">
        <f ca="1">VLOOKUP($H99,OFFSET(floors!$A$1,0,0,COUNTA(floors!$A:$A),MATCH(J$1,floors!$1:$1,0)-MATCH($H$1,floors!$1:$1,0)+1),MATCH(J$1,floors!$1:$1,0)-MATCH($H$1,floors!$1:$1,0)+1,FALSE)</f>
        <v>50</v>
      </c>
      <c r="K99" s="24" t="s">
        <v>197</v>
      </c>
      <c r="L99" s="24">
        <v>56</v>
      </c>
      <c r="M99" s="20" t="str">
        <f ca="1">VLOOKUP($L99,OFFSET([3]enemies!$A$1,0,0,COUNTA([3]enemies!$A:$A),MATCH(M$1,[3]enemies!$1:$1,0)-MATCH($L$1,[3]enemies!$1:$1,0)+1),MATCH(M$1,[3]enemies!$1:$1,0)-MATCH($L$1,[3]enemies!$1:$1,0)+1,FALSE)</f>
        <v>黄槌のレジスタンス マミコ</v>
      </c>
      <c r="N99" s="20" t="str">
        <f ca="1">VLOOKUP($L99,OFFSET([3]enemies!$A$1,0,0,COUNTA([3]enemies!$A:$A),MATCH(N$1,[3]enemies!$1:$1,0)-MATCH($L$1,[3]enemies!$1:$1,0)+1),MATCH(N$1,[3]enemies!$1:$1,0)-MATCH($L$1,[3]enemies!$1:$1,0)+1,FALSE)</f>
        <v>yellow</v>
      </c>
      <c r="O99" s="22" t="str">
        <f ca="1">VLOOKUP($L99,OFFSET([4]characters!$A$1,0,0,COUNTA([4]characters!$A:$A),MATCH(O$1,[4]characters!$1:$1,0)-MATCH($L$1,[4]characters!$1:$1,0)+1),MATCH(O$1,[4]characters!$1:$1,0)-MATCH($L$1,[4]characters!$1:$1,0)+1,FALSE)</f>
        <v>Drop1N</v>
      </c>
      <c r="P99" s="20" t="str">
        <f ca="1">VLOOKUP($L99,OFFSET([3]enemies!$A$1,0,0,COUNTA([3]enemies!$A:$A),MATCH(P$1,[3]enemies!$1:$1,0)-MATCH($L$1,[3]enemies!$1:$1,0)+1),MATCH(P$1,[3]enemies!$1:$1,0)-MATCH($L$1,[3]enemies!$1:$1,0)+1,FALSE)</f>
        <v>human</v>
      </c>
      <c r="Q99" s="20">
        <f ca="1">VLOOKUP($L99,OFFSET([3]enemies!$A$1,0,0,COUNTA([3]enemies!$A:$A),MATCH(Q$1,[3]enemies!$1:$1,0)-MATCH($L$1,[3]enemies!$1:$1,0)+1),MATCH(Q$1,[3]enemies!$1:$1,0)-MATCH($L$1,[3]enemies!$1:$1,0)+1,FALSE)</f>
        <v>20</v>
      </c>
      <c r="R99" s="6">
        <v>18</v>
      </c>
      <c r="S99" s="39">
        <v>1</v>
      </c>
      <c r="T99" s="39">
        <v>1</v>
      </c>
      <c r="U99" s="6">
        <v>0</v>
      </c>
      <c r="V99" s="5" t="str">
        <f ca="1">VLOOKUP($W99,OFFSET([5]enemy_skill_sets!$B$1,0,0,COUNTA([5]enemy_skill_sets!$B:$B),MATCH(M$1,[5]enemy_skill_sets!$1:$1,0)-MATCH($W$1,[5]enemy_skill_sets!$1:$1,0)+2),MATCH(M$1,[5]enemy_skill_sets!$1:$1,0)-MATCH($W$1,[5]enemy_skill_sets!$1:$1,0)+2,FALSE)</f>
        <v>4ターンスキルが使えない！</v>
      </c>
      <c r="W99" s="5">
        <f ca="1">VLOOKUP($L99,OFFSET([3]enemies!$A$1,0,0,COUNTA([3]enemies!$A:$A),MATCH(W$1,[3]enemies!$1:$1,0)-MATCH($L$1,[3]enemies!$1:$1,0)+1),MATCH(W$1,[3]enemies!$1:$1,0)-MATCH($L$1,[3]enemies!$1:$1,0)+1,FALSE)</f>
        <v>56</v>
      </c>
      <c r="X99" s="7">
        <v>0</v>
      </c>
      <c r="Y99" s="7">
        <v>100</v>
      </c>
      <c r="Z99" s="7">
        <v>1</v>
      </c>
      <c r="AA99" s="20">
        <f ca="1">VLOOKUP($L99,OFFSET([3]enemies!$A$1,0,0,COUNTA([3]enemies!$A:$A),MATCH(AA$1,[3]enemies!$1:$1,0)-MATCH($L$1,[3]enemies!$1:$1,0)+1),MATCH(AA$1,[3]enemies!$1:$1,0)-MATCH($L$1,[3]enemies!$1:$1,0)+1,FALSE)</f>
        <v>4</v>
      </c>
      <c r="AB99" s="24">
        <v>55</v>
      </c>
      <c r="AC99" s="5" t="str">
        <f ca="1">IFERROR(VLOOKUP($AB99,OFFSET([4]characters!$A$1,0,0,COUNTA([4]characters!$A:$A),MATCH(AC$1,[4]characters!$1:$1,0)-MATCH("character_id",[4]characters!$1:$1,0)+1),MATCH(AC$1,[4]characters!$1:$1,0)-MATCH("character_id",[4]characters!$1:$1,0)+1,FALSE),"")</f>
        <v>マミコ</v>
      </c>
      <c r="AD99" s="5">
        <f ca="1">IFERROR(VLOOKUP($AB99,OFFSET([4]characters!$A$1,0,0,COUNTA([4]characters!$A:$A),MATCH(AD$1,[4]characters!$1:$1,0)-MATCH("character_id",[4]characters!$1:$1,0)+1),MATCH(AD$1,[4]characters!$1:$1,0)-MATCH("character_id",[4]characters!$1:$1,0)+1,FALSE),"")</f>
        <v>2</v>
      </c>
      <c r="AE99" s="5" t="str">
        <f ca="1">IFERROR(VLOOKUP($AB99,OFFSET([4]characters!$A$1,0,0,COUNTA([4]characters!$A:$A),MATCH(AE$1,[4]characters!$1:$1,0)-MATCH("character_id",[4]characters!$1:$1,0)+1),MATCH(AE$1,[4]characters!$1:$1,0)-MATCH("character_id",[4]characters!$1:$1,0)+1,FALSE),"")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99" s="8">
        <v>1</v>
      </c>
      <c r="AG99" s="27">
        <f t="shared" ca="1" si="7"/>
        <v>2</v>
      </c>
      <c r="AH99" s="9">
        <v>0</v>
      </c>
      <c r="AI99" s="8">
        <v>0</v>
      </c>
      <c r="AJ99" s="8">
        <v>0</v>
      </c>
      <c r="AK99" s="8">
        <v>0</v>
      </c>
      <c r="AL99" s="8">
        <v>0</v>
      </c>
      <c r="AM99" s="8">
        <v>1</v>
      </c>
      <c r="AN99" s="8">
        <v>1</v>
      </c>
    </row>
    <row r="100" spans="1:40" ht="21" customHeight="1" x14ac:dyDescent="0.15">
      <c r="A100" s="17" t="str">
        <f t="shared" ca="1" si="8"/>
        <v>11008_2-5/48&lt;lv18&gt;s1</v>
      </c>
      <c r="B100" s="8">
        <v>11008</v>
      </c>
      <c r="C100" s="25">
        <v>2</v>
      </c>
      <c r="D100" s="2" t="str">
        <f t="shared" si="5"/>
        <v>11008_2</v>
      </c>
      <c r="E100" s="5" t="str">
        <f ca="1">VLOOKUP($B100,OFFSET([2]quests!$A$1,0,0,COUNTA([2]quests!$A:$A),MATCH(E$1,[2]quests!$1:$1,0)-MATCH($B$1,[2]quests!$1:$1,0)+1),MATCH(E$1,[2]quests!$1:$1,0)-MATCH($B$1,[2]quests!$1:$1,0)+1,FALSE)</f>
        <v>【日曜限定】 青と黄の素材</v>
      </c>
      <c r="F100" s="5" t="str">
        <f ca="1">VLOOKUP($D100,OFFSET([2]stages!$A$1,0,0,COUNTA([2]stages!$A:$A),MATCH(F$1,[2]stages!$2:$2,0)-MATCH($D$1,[2]stages!$2:$2,0)+1),MATCH(F$1,[2]stages!$2:$2,0)-MATCH($D$1,[2]stages!$2:$2,0)+1,FALSE)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100" s="25">
        <v>5</v>
      </c>
      <c r="H100" s="16" t="str">
        <f t="shared" si="6"/>
        <v>11008_2-5</v>
      </c>
      <c r="I100" s="5">
        <f ca="1">VLOOKUP($H100,OFFSET(floors!$A$1,0,0,COUNTA(floors!$A:$A),MATCH(I$1,floors!$1:$1,0)-MATCH($H$1,floors!$1:$1,0)+1),MATCH(I$1,floors!$1:$1,0)-MATCH($H$1,floors!$1:$1,0)+1,FALSE)</f>
        <v>50</v>
      </c>
      <c r="J100" s="5">
        <f ca="1">VLOOKUP($H100,OFFSET(floors!$A$1,0,0,COUNTA(floors!$A:$A),MATCH(J$1,floors!$1:$1,0)-MATCH($H$1,floors!$1:$1,0)+1),MATCH(J$1,floors!$1:$1,0)-MATCH($H$1,floors!$1:$1,0)+1,FALSE)</f>
        <v>50</v>
      </c>
      <c r="K100" s="24" t="s">
        <v>197</v>
      </c>
      <c r="L100" s="24">
        <v>48</v>
      </c>
      <c r="M100" s="20" t="str">
        <f ca="1">VLOOKUP($L100,OFFSET([3]enemies!$A$1,0,0,COUNTA([3]enemies!$A:$A),MATCH(M$1,[3]enemies!$1:$1,0)-MATCH($L$1,[3]enemies!$1:$1,0)+1),MATCH(M$1,[3]enemies!$1:$1,0)-MATCH($L$1,[3]enemies!$1:$1,0)+1,FALSE)</f>
        <v>サンダーステップのヒロ</v>
      </c>
      <c r="N100" s="20" t="str">
        <f ca="1">VLOOKUP($L100,OFFSET([3]enemies!$A$1,0,0,COUNTA([3]enemies!$A:$A),MATCH(N$1,[3]enemies!$1:$1,0)-MATCH($L$1,[3]enemies!$1:$1,0)+1),MATCH(N$1,[3]enemies!$1:$1,0)-MATCH($L$1,[3]enemies!$1:$1,0)+1,FALSE)</f>
        <v>yellow</v>
      </c>
      <c r="O100" s="22" t="str">
        <f ca="1">VLOOKUP($L100,OFFSET([4]characters!$A$1,0,0,COUNTA([4]characters!$A:$A),MATCH(O$1,[4]characters!$1:$1,0)-MATCH($L$1,[4]characters!$1:$1,0)+1),MATCH(O$1,[4]characters!$1:$1,0)-MATCH($L$1,[4]characters!$1:$1,0)+1,FALSE)</f>
        <v>Drop1N</v>
      </c>
      <c r="P100" s="20" t="str">
        <f ca="1">VLOOKUP($L100,OFFSET([3]enemies!$A$1,0,0,COUNTA([3]enemies!$A:$A),MATCH(P$1,[3]enemies!$1:$1,0)-MATCH($L$1,[3]enemies!$1:$1,0)+1),MATCH(P$1,[3]enemies!$1:$1,0)-MATCH($L$1,[3]enemies!$1:$1,0)+1,FALSE)</f>
        <v>animal</v>
      </c>
      <c r="Q100" s="20">
        <f ca="1">VLOOKUP($L100,OFFSET([3]enemies!$A$1,0,0,COUNTA([3]enemies!$A:$A),MATCH(Q$1,[3]enemies!$1:$1,0)-MATCH($L$1,[3]enemies!$1:$1,0)+1),MATCH(Q$1,[3]enemies!$1:$1,0)-MATCH($L$1,[3]enemies!$1:$1,0)+1,FALSE)</f>
        <v>20</v>
      </c>
      <c r="R100" s="6">
        <v>18</v>
      </c>
      <c r="S100" s="39">
        <v>1</v>
      </c>
      <c r="T100" s="39">
        <v>1</v>
      </c>
      <c r="U100" s="6">
        <v>0</v>
      </c>
      <c r="V100" s="5" t="str">
        <f ca="1">VLOOKUP($W100,OFFSET([5]enemy_skill_sets!$B$1,0,0,COUNTA([5]enemy_skill_sets!$B:$B),MATCH(M$1,[5]enemy_skill_sets!$1:$1,0)-MATCH($W$1,[5]enemy_skill_sets!$1:$1,0)+2),MATCH(M$1,[5]enemy_skill_sets!$1:$1,0)-MATCH($W$1,[5]enemy_skill_sets!$1:$1,0)+2,FALSE)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0" s="5">
        <f ca="1">VLOOKUP($L100,OFFSET([3]enemies!$A$1,0,0,COUNTA([3]enemies!$A:$A),MATCH(W$1,[3]enemies!$1:$1,0)-MATCH($L$1,[3]enemies!$1:$1,0)+1),MATCH(W$1,[3]enemies!$1:$1,0)-MATCH($L$1,[3]enemies!$1:$1,0)+1,FALSE)</f>
        <v>0</v>
      </c>
      <c r="X100" s="7">
        <v>0</v>
      </c>
      <c r="Y100" s="7">
        <v>100</v>
      </c>
      <c r="Z100" s="7">
        <v>1</v>
      </c>
      <c r="AA100" s="20">
        <f ca="1">VLOOKUP($L100,OFFSET([3]enemies!$A$1,0,0,COUNTA([3]enemies!$A:$A),MATCH(AA$1,[3]enemies!$1:$1,0)-MATCH($L$1,[3]enemies!$1:$1,0)+1),MATCH(AA$1,[3]enemies!$1:$1,0)-MATCH($L$1,[3]enemies!$1:$1,0)+1,FALSE)</f>
        <v>1</v>
      </c>
      <c r="AB100" s="24">
        <v>47</v>
      </c>
      <c r="AC100" s="5" t="str">
        <f ca="1">IFERROR(VLOOKUP($AB100,OFFSET([4]characters!$A$1,0,0,COUNTA([4]characters!$A:$A),MATCH(AC$1,[4]characters!$1:$1,0)-MATCH("character_id",[4]characters!$1:$1,0)+1),MATCH(AC$1,[4]characters!$1:$1,0)-MATCH("character_id",[4]characters!$1:$1,0)+1,FALSE),"")</f>
        <v>ヒロ</v>
      </c>
      <c r="AD100" s="5">
        <f ca="1">IFERROR(VLOOKUP($AB100,OFFSET([4]characters!$A$1,0,0,COUNTA([4]characters!$A:$A),MATCH(AD$1,[4]characters!$1:$1,0)-MATCH("character_id",[4]characters!$1:$1,0)+1),MATCH(AD$1,[4]characters!$1:$1,0)-MATCH("character_id",[4]characters!$1:$1,0)+1,FALSE),"")</f>
        <v>2</v>
      </c>
      <c r="AE100" s="5" t="str">
        <f ca="1">IFERROR(VLOOKUP($AB100,OFFSET([4]characters!$A$1,0,0,COUNTA([4]characters!$A:$A),MATCH(AE$1,[4]characters!$1:$1,0)-MATCH("character_id",[4]characters!$1:$1,0)+1),MATCH(AE$1,[4]characters!$1:$1,0)-MATCH("character_id",[4]characters!$1:$1,0)+1,FALSE),"")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0" s="8">
        <v>1</v>
      </c>
      <c r="AG100" s="27">
        <f t="shared" ca="1" si="7"/>
        <v>2</v>
      </c>
      <c r="AH100" s="9">
        <v>0</v>
      </c>
      <c r="AI100" s="8">
        <v>0</v>
      </c>
      <c r="AJ100" s="8">
        <v>0</v>
      </c>
      <c r="AK100" s="8">
        <v>0</v>
      </c>
      <c r="AL100" s="8">
        <v>0</v>
      </c>
      <c r="AM100" s="8">
        <v>1</v>
      </c>
      <c r="AN100" s="8">
        <v>1</v>
      </c>
    </row>
    <row r="101" spans="1:40" ht="21" customHeight="1" x14ac:dyDescent="0.15">
      <c r="A101" s="17" t="str">
        <f t="shared" ca="1" si="8"/>
        <v>11008_2-5/64&lt;lv18&gt;s1</v>
      </c>
      <c r="B101" s="8">
        <v>11008</v>
      </c>
      <c r="C101" s="25">
        <v>2</v>
      </c>
      <c r="D101" s="2" t="str">
        <f t="shared" si="5"/>
        <v>11008_2</v>
      </c>
      <c r="E101" s="5" t="str">
        <f ca="1">VLOOKUP($B101,OFFSET([2]quests!$A$1,0,0,COUNTA([2]quests!$A:$A),MATCH(E$1,[2]quests!$1:$1,0)-MATCH($B$1,[2]quests!$1:$1,0)+1),MATCH(E$1,[2]quests!$1:$1,0)-MATCH($B$1,[2]quests!$1:$1,0)+1,FALSE)</f>
        <v>【日曜限定】 青と黄の素材</v>
      </c>
      <c r="F101" s="5" t="str">
        <f ca="1">VLOOKUP($D101,OFFSET([2]stages!$A$1,0,0,COUNTA([2]stages!$A:$A),MATCH(F$1,[2]stages!$2:$2,0)-MATCH($D$1,[2]stages!$2:$2,0)+1),MATCH(F$1,[2]stages!$2:$2,0)-MATCH($D$1,[2]stages!$2:$2,0)+1,FALSE)</f>
        <v xml:space="preserve">【中級】水と雷のウサギ </v>
      </c>
      <c r="G101" s="25">
        <v>5</v>
      </c>
      <c r="H101" s="16" t="str">
        <f t="shared" si="6"/>
        <v>11008_2-5</v>
      </c>
      <c r="I101" s="5">
        <f ca="1">VLOOKUP($H101,OFFSET(floors!$A$1,0,0,COUNTA(floors!$A:$A),MATCH(I$1,floors!$1:$1,0)-MATCH($H$1,floors!$1:$1,0)+1),MATCH(I$1,floors!$1:$1,0)-MATCH($H$1,floors!$1:$1,0)+1,FALSE)</f>
        <v>50</v>
      </c>
      <c r="J101" s="5">
        <f ca="1">VLOOKUP($H101,OFFSET(floors!$A$1,0,0,COUNTA(floors!$A:$A),MATCH(J$1,floors!$1:$1,0)-MATCH($H$1,floors!$1:$1,0)+1),MATCH(J$1,floors!$1:$1,0)-MATCH($H$1,floors!$1:$1,0)+1,FALSE)</f>
        <v>50</v>
      </c>
      <c r="K101" s="24" t="s">
        <v>197</v>
      </c>
      <c r="L101" s="24">
        <v>64</v>
      </c>
      <c r="M101" s="20" t="str">
        <f ca="1">VLOOKUP($L101,OFFSET([3]enemies!$A$1,0,0,COUNTA([3]enemies!$A:$A),MATCH(M$1,[3]enemies!$1:$1,0)-MATCH($L$1,[3]enemies!$1:$1,0)+1),MATCH(M$1,[3]enemies!$1:$1,0)-MATCH($L$1,[3]enemies!$1:$1,0)+1,FALSE)</f>
        <v>フレイムエッジ トニー</v>
      </c>
      <c r="N101" s="20" t="str">
        <f ca="1">VLOOKUP($L101,OFFSET([3]enemies!$A$1,0,0,COUNTA([3]enemies!$A:$A),MATCH(N$1,[3]enemies!$1:$1,0)-MATCH($L$1,[3]enemies!$1:$1,0)+1),MATCH(N$1,[3]enemies!$1:$1,0)-MATCH($L$1,[3]enemies!$1:$1,0)+1,FALSE)</f>
        <v>yellow</v>
      </c>
      <c r="O101" s="22" t="str">
        <f ca="1">VLOOKUP($L101,OFFSET([4]characters!$A$1,0,0,COUNTA([4]characters!$A:$A),MATCH(O$1,[4]characters!$1:$1,0)-MATCH($L$1,[4]characters!$1:$1,0)+1),MATCH(O$1,[4]characters!$1:$1,0)-MATCH($L$1,[4]characters!$1:$1,0)+1,FALSE)</f>
        <v>Drop1N</v>
      </c>
      <c r="P101" s="20" t="str">
        <f ca="1">VLOOKUP($L101,OFFSET([3]enemies!$A$1,0,0,COUNTA([3]enemies!$A:$A),MATCH(P$1,[3]enemies!$1:$1,0)-MATCH($L$1,[3]enemies!$1:$1,0)+1),MATCH(P$1,[3]enemies!$1:$1,0)-MATCH($L$1,[3]enemies!$1:$1,0)+1,FALSE)</f>
        <v>animal</v>
      </c>
      <c r="Q101" s="20">
        <f ca="1">VLOOKUP($L101,OFFSET([3]enemies!$A$1,0,0,COUNTA([3]enemies!$A:$A),MATCH(Q$1,[3]enemies!$1:$1,0)-MATCH($L$1,[3]enemies!$1:$1,0)+1),MATCH(Q$1,[3]enemies!$1:$1,0)-MATCH($L$1,[3]enemies!$1:$1,0)+1,FALSE)</f>
        <v>20</v>
      </c>
      <c r="R101" s="6">
        <v>18</v>
      </c>
      <c r="S101" s="39">
        <v>1</v>
      </c>
      <c r="T101" s="39">
        <v>1</v>
      </c>
      <c r="U101" s="6">
        <v>0</v>
      </c>
      <c r="V101" s="5" t="str">
        <f ca="1">VLOOKUP($W101,OFFSET([5]enemy_skill_sets!$B$1,0,0,COUNTA([5]enemy_skill_sets!$B:$B),MATCH(M$1,[5]enemy_skill_sets!$1:$1,0)-MATCH($W$1,[5]enemy_skill_sets!$1:$1,0)+2),MATCH(M$1,[5]enemy_skill_sets!$1:$1,0)-MATCH($W$1,[5]enemy_skill_sets!$1:$1,0)+2,FALSE)</f>
        <v>2回連続攻撃</v>
      </c>
      <c r="W101" s="5">
        <f ca="1">VLOOKUP($L101,OFFSET([3]enemies!$A$1,0,0,COUNTA([3]enemies!$A:$A),MATCH(W$1,[3]enemies!$1:$1,0)-MATCH($L$1,[3]enemies!$1:$1,0)+1),MATCH(W$1,[3]enemies!$1:$1,0)-MATCH($L$1,[3]enemies!$1:$1,0)+1,FALSE)</f>
        <v>64</v>
      </c>
      <c r="X101" s="7">
        <v>0</v>
      </c>
      <c r="Y101" s="7">
        <v>100</v>
      </c>
      <c r="Z101" s="7">
        <v>1</v>
      </c>
      <c r="AA101" s="20">
        <f ca="1">VLOOKUP($L101,OFFSET([3]enemies!$A$1,0,0,COUNTA([3]enemies!$A:$A),MATCH(AA$1,[3]enemies!$1:$1,0)-MATCH($L$1,[3]enemies!$1:$1,0)+1),MATCH(AA$1,[3]enemies!$1:$1,0)-MATCH($L$1,[3]enemies!$1:$1,0)+1,FALSE)</f>
        <v>1</v>
      </c>
      <c r="AB101" s="24">
        <v>63</v>
      </c>
      <c r="AC101" s="5" t="str">
        <f ca="1">IFERROR(VLOOKUP($AB101,OFFSET([4]characters!$A$1,0,0,COUNTA([4]characters!$A:$A),MATCH(AC$1,[4]characters!$1:$1,0)-MATCH("character_id",[4]characters!$1:$1,0)+1),MATCH(AC$1,[4]characters!$1:$1,0)-MATCH("character_id",[4]characters!$1:$1,0)+1,FALSE),"")</f>
        <v>トニー</v>
      </c>
      <c r="AD101" s="5">
        <f ca="1">IFERROR(VLOOKUP($AB101,OFFSET([4]characters!$A$1,0,0,COUNTA([4]characters!$A:$A),MATCH(AD$1,[4]characters!$1:$1,0)-MATCH("character_id",[4]characters!$1:$1,0)+1),MATCH(AD$1,[4]characters!$1:$1,0)-MATCH("character_id",[4]characters!$1:$1,0)+1,FALSE),"")</f>
        <v>2</v>
      </c>
      <c r="AE101" s="5" t="str">
        <f ca="1">IFERROR(VLOOKUP($AB101,OFFSET([4]characters!$A$1,0,0,COUNTA([4]characters!$A:$A),MATCH(AE$1,[4]characters!$1:$1,0)-MATCH("character_id",[4]characters!$1:$1,0)+1),MATCH(AE$1,[4]characters!$1:$1,0)-MATCH("character_id",[4]characters!$1:$1,0)+1,FALSE),"")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1" s="8">
        <v>1</v>
      </c>
      <c r="AG101" s="27">
        <f t="shared" ca="1" si="7"/>
        <v>2</v>
      </c>
      <c r="AH101" s="9">
        <v>0</v>
      </c>
      <c r="AI101" s="8">
        <v>0</v>
      </c>
      <c r="AJ101" s="8">
        <v>0</v>
      </c>
      <c r="AK101" s="8">
        <v>0</v>
      </c>
      <c r="AL101" s="8">
        <v>0</v>
      </c>
      <c r="AM101" s="8">
        <v>1</v>
      </c>
      <c r="AN101" s="8">
        <v>1</v>
      </c>
    </row>
    <row r="102" spans="1:40" ht="21" customHeight="1" x14ac:dyDescent="0.15">
      <c r="A102" s="17" t="str">
        <f t="shared" ca="1" si="4"/>
        <v>11008_4-1/37&lt;lv42&gt;s3</v>
      </c>
      <c r="B102" s="8">
        <v>11008</v>
      </c>
      <c r="C102" s="25">
        <v>4</v>
      </c>
      <c r="D102" s="2" t="str">
        <f t="shared" si="5"/>
        <v>11008_4</v>
      </c>
      <c r="E102" s="5" t="str">
        <f ca="1">VLOOKUP($B102,OFFSET([2]quests!$A$1,0,0,COUNTA([2]quests!$A:$A),MATCH(E$1,[2]quests!$1:$1,0)-MATCH($B$1,[2]quests!$1:$1,0)+1),MATCH(E$1,[2]quests!$1:$1,0)-MATCH($B$1,[2]quests!$1:$1,0)+1,FALSE)</f>
        <v>【日曜限定】 青と黄の素材</v>
      </c>
      <c r="F102" s="5" t="str">
        <f ca="1">VLOOKUP($D102,OFFSET([2]stages!$A$1,0,0,COUNTA([2]stages!$A:$A),MATCH(F$1,[2]stages!$2:$2,0)-MATCH($D$1,[2]stages!$2:$2,0)+1),MATCH(F$1,[2]stages!$2:$2,0)-MATCH($D$1,[2]stages!$2:$2,0)+1,FALSE)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2" s="25">
        <v>1</v>
      </c>
      <c r="H102" s="16" t="str">
        <f t="shared" si="6"/>
        <v>11008_4-1</v>
      </c>
      <c r="I102" s="5">
        <f ca="1">VLOOKUP($H102,OFFSET(floors!$A$1,0,0,COUNTA(floors!$A:$A),MATCH(I$1,floors!$1:$1,0)-MATCH($H$1,floors!$1:$1,0)+1),MATCH(I$1,floors!$1:$1,0)-MATCH($H$1,floors!$1:$1,0)+1,FALSE)</f>
        <v>30</v>
      </c>
      <c r="J102" s="5">
        <f ca="1">VLOOKUP($H102,OFFSET(floors!$A$1,0,0,COUNTA(floors!$A:$A),MATCH(J$1,floors!$1:$1,0)-MATCH($H$1,floors!$1:$1,0)+1),MATCH(J$1,floors!$1:$1,0)-MATCH($H$1,floors!$1:$1,0)+1,FALSE)</f>
        <v>45</v>
      </c>
      <c r="K102" s="24" t="s">
        <v>197</v>
      </c>
      <c r="L102" s="24">
        <v>37</v>
      </c>
      <c r="M102" s="20" t="str">
        <f ca="1">VLOOKUP($L102,OFFSET([3]enemies!$A$1,0,0,COUNTA([3]enemies!$A:$A),MATCH(M$1,[3]enemies!$1:$1,0)-MATCH($L$1,[3]enemies!$1:$1,0)+1),MATCH(M$1,[3]enemies!$1:$1,0)-MATCH($L$1,[3]enemies!$1:$1,0)+1,FALSE)</f>
        <v>ガイル</v>
      </c>
      <c r="N102" s="20" t="str">
        <f ca="1">VLOOKUP($L102,OFFSET([3]enemies!$A$1,0,0,COUNTA([3]enemies!$A:$A),MATCH(N$1,[3]enemies!$1:$1,0)-MATCH($L$1,[3]enemies!$1:$1,0)+1),MATCH(N$1,[3]enemies!$1:$1,0)-MATCH($L$1,[3]enemies!$1:$1,0)+1,FALSE)</f>
        <v>blue</v>
      </c>
      <c r="O102" s="22" t="str">
        <f ca="1">VLOOKUP($L102,OFFSET([4]characters!$A$1,0,0,COUNTA([4]characters!$A:$A),MATCH(O$1,[4]characters!$1:$1,0)-MATCH($L$1,[4]characters!$1:$1,0)+1),MATCH(O$1,[4]characters!$1:$1,0)-MATCH($L$1,[4]characters!$1:$1,0)+1,FALSE)</f>
        <v>Drop1S</v>
      </c>
      <c r="P102" s="20" t="str">
        <f ca="1">VLOOKUP($L102,OFFSET([3]enemies!$A$1,0,0,COUNTA([3]enemies!$A:$A),MATCH(P$1,[3]enemies!$1:$1,0)-MATCH($L$1,[3]enemies!$1:$1,0)+1),MATCH(P$1,[3]enemies!$1:$1,0)-MATCH($L$1,[3]enemies!$1:$1,0)+1,FALSE)</f>
        <v>animal</v>
      </c>
      <c r="Q102" s="20">
        <f ca="1">VLOOKUP($L102,OFFSET([3]enemies!$A$1,0,0,COUNTA([3]enemies!$A:$A),MATCH(Q$1,[3]enemies!$1:$1,0)-MATCH($L$1,[3]enemies!$1:$1,0)+1),MATCH(Q$1,[3]enemies!$1:$1,0)-MATCH($L$1,[3]enemies!$1:$1,0)+1,FALSE)</f>
        <v>15</v>
      </c>
      <c r="R102" s="6">
        <v>42</v>
      </c>
      <c r="S102" s="39">
        <v>1</v>
      </c>
      <c r="T102" s="39">
        <v>1</v>
      </c>
      <c r="U102" s="6">
        <v>0</v>
      </c>
      <c r="V102" s="5" t="str">
        <f ca="1">VLOOKUP($W102,OFFSET([5]enemy_skill_sets!$B$1,0,0,COUNTA([5]enemy_skill_sets!$B:$B),MATCH(M$1,[5]enemy_skill_sets!$1:$1,0)-MATCH($W$1,[5]enemy_skill_sets!$1:$1,0)+2),MATCH(M$1,[5]enemy_skill_sets!$1:$1,0)-MATCH($W$1,[5]enemy_skill_sets!$1:$1,0)+2,FALSE)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02" s="5">
        <f ca="1">VLOOKUP($L102,OFFSET([3]enemies!$A$1,0,0,COUNTA([3]enemies!$A:$A),MATCH(W$1,[3]enemies!$1:$1,0)-MATCH($L$1,[3]enemies!$1:$1,0)+1),MATCH(W$1,[3]enemies!$1:$1,0)-MATCH($L$1,[3]enemies!$1:$1,0)+1,FALSE)</f>
        <v>37</v>
      </c>
      <c r="X102" s="7">
        <v>0</v>
      </c>
      <c r="Y102" s="7">
        <v>100</v>
      </c>
      <c r="Z102" s="7">
        <v>0</v>
      </c>
      <c r="AA102" s="20">
        <f ca="1">VLOOKUP($L102,OFFSET([3]enemies!$A$1,0,0,COUNTA([3]enemies!$A:$A),MATCH(AA$1,[3]enemies!$1:$1,0)-MATCH($L$1,[3]enemies!$1:$1,0)+1),MATCH(AA$1,[3]enemies!$1:$1,0)-MATCH($L$1,[3]enemies!$1:$1,0)+1,FALSE)</f>
        <v>3</v>
      </c>
      <c r="AB102" s="24">
        <v>37</v>
      </c>
      <c r="AC102" s="5" t="str">
        <f ca="1">IFERROR(VLOOKUP($AB102,OFFSET([4]characters!$A$1,0,0,COUNTA([4]characters!$A:$A),MATCH(AC$1,[4]characters!$1:$1,0)-MATCH("character_id",[4]characters!$1:$1,0)+1),MATCH(AC$1,[4]characters!$1:$1,0)-MATCH("character_id",[4]characters!$1:$1,0)+1,FALSE),"")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02" s="5">
        <f ca="1">IFERROR(VLOOKUP($AB102,OFFSET([4]characters!$A$1,0,0,COUNTA([4]characters!$A:$A),MATCH(AD$1,[4]characters!$1:$1,0)-MATCH("character_id",[4]characters!$1:$1,0)+1),MATCH(AD$1,[4]characters!$1:$1,0)-MATCH("character_id",[4]characters!$1:$1,0)+1,FALSE),"")</f>
        <v>2</v>
      </c>
      <c r="AE102" s="5" t="str">
        <f ca="1">IFERROR(VLOOKUP($AB102,OFFSET([4]characters!$A$1,0,0,COUNTA([4]characters!$A:$A),MATCH(AE$1,[4]characters!$1:$1,0)-MATCH("character_id",[4]characters!$1:$1,0)+1),MATCH(AE$1,[4]characters!$1:$1,0)-MATCH("character_id",[4]characters!$1:$1,0)+1,FALSE),"")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02" s="8">
        <v>1</v>
      </c>
      <c r="AG102" s="27">
        <f t="shared" ca="1" si="7"/>
        <v>2</v>
      </c>
      <c r="AH102" s="9">
        <v>0</v>
      </c>
      <c r="AI102" s="8">
        <v>0</v>
      </c>
      <c r="AJ102" s="8">
        <v>0</v>
      </c>
      <c r="AK102" s="8">
        <v>0</v>
      </c>
      <c r="AL102" s="8">
        <v>0</v>
      </c>
      <c r="AM102" s="8">
        <v>1</v>
      </c>
      <c r="AN102" s="8">
        <v>1</v>
      </c>
    </row>
    <row r="103" spans="1:40" ht="21" customHeight="1" x14ac:dyDescent="0.15">
      <c r="A103" s="17" t="str">
        <f t="shared" ca="1" si="4"/>
        <v>11008_4-1/29&lt;lv42&gt;s2</v>
      </c>
      <c r="B103" s="8">
        <v>11008</v>
      </c>
      <c r="C103" s="25">
        <v>4</v>
      </c>
      <c r="D103" s="2" t="str">
        <f t="shared" si="5"/>
        <v>11008_4</v>
      </c>
      <c r="E103" s="5" t="str">
        <f ca="1">VLOOKUP($B103,OFFSET([2]quests!$A$1,0,0,COUNTA([2]quests!$A:$A),MATCH(E$1,[2]quests!$1:$1,0)-MATCH($B$1,[2]quests!$1:$1,0)+1),MATCH(E$1,[2]quests!$1:$1,0)-MATCH($B$1,[2]quests!$1:$1,0)+1,FALSE)</f>
        <v>【日曜限定】 青と黄の素材</v>
      </c>
      <c r="F103" s="5" t="str">
        <f ca="1">VLOOKUP($D103,OFFSET([2]stages!$A$1,0,0,COUNTA([2]stages!$A:$A),MATCH(F$1,[2]stages!$2:$2,0)-MATCH($D$1,[2]stages!$2:$2,0)+1),MATCH(F$1,[2]stages!$2:$2,0)-MATCH($D$1,[2]stages!$2:$2,0)+1,FALSE)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3" s="25">
        <v>1</v>
      </c>
      <c r="H103" s="16" t="str">
        <f t="shared" si="6"/>
        <v>11008_4-1</v>
      </c>
      <c r="I103" s="5">
        <f ca="1">VLOOKUP($H103,OFFSET(floors!$A$1,0,0,COUNTA(floors!$A:$A),MATCH(I$1,floors!$1:$1,0)-MATCH($H$1,floors!$1:$1,0)+1),MATCH(I$1,floors!$1:$1,0)-MATCH($H$1,floors!$1:$1,0)+1,FALSE)</f>
        <v>30</v>
      </c>
      <c r="J103" s="5">
        <f ca="1">VLOOKUP($H103,OFFSET(floors!$A$1,0,0,COUNTA(floors!$A:$A),MATCH(J$1,floors!$1:$1,0)-MATCH($H$1,floors!$1:$1,0)+1),MATCH(J$1,floors!$1:$1,0)-MATCH($H$1,floors!$1:$1,0)+1,FALSE)</f>
        <v>45</v>
      </c>
      <c r="K103" s="24" t="s">
        <v>197</v>
      </c>
      <c r="L103" s="24">
        <v>29</v>
      </c>
      <c r="M103" s="20" t="str">
        <f ca="1">VLOOKUP($L103,OFFSET([3]enemies!$A$1,0,0,COUNTA([3]enemies!$A:$A),MATCH(M$1,[3]enemies!$1:$1,0)-MATCH($L$1,[3]enemies!$1:$1,0)+1),MATCH(M$1,[3]enemies!$1:$1,0)-MATCH($L$1,[3]enemies!$1:$1,0)+1,FALSE)</f>
        <v>スケアクロウ</v>
      </c>
      <c r="N103" s="20" t="str">
        <f ca="1">VLOOKUP($L103,OFFSET([3]enemies!$A$1,0,0,COUNTA([3]enemies!$A:$A),MATCH(N$1,[3]enemies!$1:$1,0)-MATCH($L$1,[3]enemies!$1:$1,0)+1),MATCH(N$1,[3]enemies!$1:$1,0)-MATCH($L$1,[3]enemies!$1:$1,0)+1,FALSE)</f>
        <v>blue</v>
      </c>
      <c r="O103" s="22" t="str">
        <f ca="1">VLOOKUP($L103,OFFSET([4]characters!$A$1,0,0,COUNTA([4]characters!$A:$A),MATCH(O$1,[4]characters!$1:$1,0)-MATCH($L$1,[4]characters!$1:$1,0)+1),MATCH(O$1,[4]characters!$1:$1,0)-MATCH($L$1,[4]characters!$1:$1,0)+1,FALSE)</f>
        <v>Drop1N</v>
      </c>
      <c r="P103" s="20" t="str">
        <f ca="1">VLOOKUP($L103,OFFSET([3]enemies!$A$1,0,0,COUNTA([3]enemies!$A:$A),MATCH(P$1,[3]enemies!$1:$1,0)-MATCH($L$1,[3]enemies!$1:$1,0)+1),MATCH(P$1,[3]enemies!$1:$1,0)-MATCH($L$1,[3]enemies!$1:$1,0)+1,FALSE)</f>
        <v>machine</v>
      </c>
      <c r="Q103" s="20">
        <f ca="1">VLOOKUP($L103,OFFSET([3]enemies!$A$1,0,0,COUNTA([3]enemies!$A:$A),MATCH(Q$1,[3]enemies!$1:$1,0)-MATCH($L$1,[3]enemies!$1:$1,0)+1),MATCH(Q$1,[3]enemies!$1:$1,0)-MATCH($L$1,[3]enemies!$1:$1,0)+1,FALSE)</f>
        <v>15</v>
      </c>
      <c r="R103" s="6">
        <v>42</v>
      </c>
      <c r="S103" s="39">
        <v>1</v>
      </c>
      <c r="T103" s="39">
        <v>1</v>
      </c>
      <c r="U103" s="6">
        <v>0</v>
      </c>
      <c r="V103" s="5" t="str">
        <f ca="1">VLOOKUP($W103,OFFSET([5]enemy_skill_sets!$B$1,0,0,COUNTA([5]enemy_skill_sets!$B:$B),MATCH(M$1,[5]enemy_skill_sets!$1:$1,0)-MATCH($W$1,[5]enemy_skill_sets!$1:$1,0)+2),MATCH(M$1,[5]enemy_skill_sets!$1:$1,0)-MATCH($W$1,[5]enemy_skill_sets!$1:$1,0)+2,FALSE)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3" s="5">
        <f ca="1">VLOOKUP($L103,OFFSET([3]enemies!$A$1,0,0,COUNTA([3]enemies!$A:$A),MATCH(W$1,[3]enemies!$1:$1,0)-MATCH($L$1,[3]enemies!$1:$1,0)+1),MATCH(W$1,[3]enemies!$1:$1,0)-MATCH($L$1,[3]enemies!$1:$1,0)+1,FALSE)</f>
        <v>0</v>
      </c>
      <c r="X103" s="7">
        <v>0</v>
      </c>
      <c r="Y103" s="7">
        <v>100</v>
      </c>
      <c r="Z103" s="7">
        <v>0</v>
      </c>
      <c r="AA103" s="20">
        <f ca="1">VLOOKUP($L103,OFFSET([3]enemies!$A$1,0,0,COUNTA([3]enemies!$A:$A),MATCH(AA$1,[3]enemies!$1:$1,0)-MATCH($L$1,[3]enemies!$1:$1,0)+1),MATCH(AA$1,[3]enemies!$1:$1,0)-MATCH($L$1,[3]enemies!$1:$1,0)+1,FALSE)</f>
        <v>2</v>
      </c>
      <c r="AB103" s="24">
        <v>29</v>
      </c>
      <c r="AC103" s="5" t="str">
        <f ca="1">IFERROR(VLOOKUP($AB103,OFFSET([4]characters!$A$1,0,0,COUNTA([4]characters!$A:$A),MATCH(AC$1,[4]characters!$1:$1,0)-MATCH("character_id",[4]characters!$1:$1,0)+1),MATCH(AC$1,[4]characters!$1:$1,0)-MATCH("character_id",[4]characters!$1:$1,0)+1,FALSE),"")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03" s="5">
        <f ca="1">IFERROR(VLOOKUP($AB103,OFFSET([4]characters!$A$1,0,0,COUNTA([4]characters!$A:$A),MATCH(AD$1,[4]characters!$1:$1,0)-MATCH("character_id",[4]characters!$1:$1,0)+1),MATCH(AD$1,[4]characters!$1:$1,0)-MATCH("character_id",[4]characters!$1:$1,0)+1,FALSE),"")</f>
        <v>1</v>
      </c>
      <c r="AE103" s="5" t="str">
        <f ca="1">IFERROR(VLOOKUP($AB103,OFFSET([4]characters!$A$1,0,0,COUNTA([4]characters!$A:$A),MATCH(AE$1,[4]characters!$1:$1,0)-MATCH("character_id",[4]characters!$1:$1,0)+1),MATCH(AE$1,[4]characters!$1:$1,0)-MATCH("character_id",[4]characters!$1:$1,0)+1,FALSE),"")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3" s="8">
        <v>1</v>
      </c>
      <c r="AG103" s="27">
        <f t="shared" ca="1" si="7"/>
        <v>1</v>
      </c>
      <c r="AH103" s="9">
        <v>0</v>
      </c>
      <c r="AI103" s="8">
        <v>0</v>
      </c>
      <c r="AJ103" s="8">
        <v>0</v>
      </c>
      <c r="AK103" s="8">
        <v>0</v>
      </c>
      <c r="AL103" s="8">
        <v>0</v>
      </c>
      <c r="AM103" s="8">
        <v>1</v>
      </c>
      <c r="AN103" s="8">
        <v>1</v>
      </c>
    </row>
    <row r="104" spans="1:40" ht="21" customHeight="1" x14ac:dyDescent="0.15">
      <c r="A104" s="17" t="str">
        <f t="shared" ca="1" si="4"/>
        <v>11008_4-2/37&lt;lv42&gt;s3</v>
      </c>
      <c r="B104" s="8">
        <v>11008</v>
      </c>
      <c r="C104" s="25">
        <v>4</v>
      </c>
      <c r="D104" s="2" t="str">
        <f t="shared" si="5"/>
        <v>11008_4</v>
      </c>
      <c r="E104" s="5" t="str">
        <f ca="1">VLOOKUP($B104,OFFSET([2]quests!$A$1,0,0,COUNTA([2]quests!$A:$A),MATCH(E$1,[2]quests!$1:$1,0)-MATCH($B$1,[2]quests!$1:$1,0)+1),MATCH(E$1,[2]quests!$1:$1,0)-MATCH($B$1,[2]quests!$1:$1,0)+1,FALSE)</f>
        <v>【日曜限定】 青と黄の素材</v>
      </c>
      <c r="F104" s="5" t="str">
        <f ca="1">VLOOKUP($D104,OFFSET([2]stages!$A$1,0,0,COUNTA([2]stages!$A:$A),MATCH(F$1,[2]stages!$2:$2,0)-MATCH($D$1,[2]stages!$2:$2,0)+1),MATCH(F$1,[2]stages!$2:$2,0)-MATCH($D$1,[2]stages!$2:$2,0)+1,FALSE)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4" s="25">
        <v>2</v>
      </c>
      <c r="H104" s="16" t="str">
        <f t="shared" si="6"/>
        <v>11008_4-2</v>
      </c>
      <c r="I104" s="5">
        <f ca="1">VLOOKUP($H104,OFFSET(floors!$A$1,0,0,COUNTA(floors!$A:$A),MATCH(I$1,floors!$1:$1,0)-MATCH($H$1,floors!$1:$1,0)+1),MATCH(I$1,floors!$1:$1,0)-MATCH($H$1,floors!$1:$1,0)+1,FALSE)</f>
        <v>45</v>
      </c>
      <c r="J104" s="5">
        <f ca="1">VLOOKUP($H104,OFFSET(floors!$A$1,0,0,COUNTA(floors!$A:$A),MATCH(J$1,floors!$1:$1,0)-MATCH($H$1,floors!$1:$1,0)+1),MATCH(J$1,floors!$1:$1,0)-MATCH($H$1,floors!$1:$1,0)+1,FALSE)</f>
        <v>60</v>
      </c>
      <c r="K104" s="24" t="s">
        <v>197</v>
      </c>
      <c r="L104" s="24">
        <v>37</v>
      </c>
      <c r="M104" s="20" t="str">
        <f ca="1">VLOOKUP($L104,OFFSET([3]enemies!$A$1,0,0,COUNTA([3]enemies!$A:$A),MATCH(M$1,[3]enemies!$1:$1,0)-MATCH($L$1,[3]enemies!$1:$1,0)+1),MATCH(M$1,[3]enemies!$1:$1,0)-MATCH($L$1,[3]enemies!$1:$1,0)+1,FALSE)</f>
        <v>ガイル</v>
      </c>
      <c r="N104" s="20" t="str">
        <f ca="1">VLOOKUP($L104,OFFSET([3]enemies!$A$1,0,0,COUNTA([3]enemies!$A:$A),MATCH(N$1,[3]enemies!$1:$1,0)-MATCH($L$1,[3]enemies!$1:$1,0)+1),MATCH(N$1,[3]enemies!$1:$1,0)-MATCH($L$1,[3]enemies!$1:$1,0)+1,FALSE)</f>
        <v>blue</v>
      </c>
      <c r="O104" s="22" t="str">
        <f ca="1">VLOOKUP($L104,OFFSET([4]characters!$A$1,0,0,COUNTA([4]characters!$A:$A),MATCH(O$1,[4]characters!$1:$1,0)-MATCH($L$1,[4]characters!$1:$1,0)+1),MATCH(O$1,[4]characters!$1:$1,0)-MATCH($L$1,[4]characters!$1:$1,0)+1,FALSE)</f>
        <v>Drop1S</v>
      </c>
      <c r="P104" s="20" t="str">
        <f ca="1">VLOOKUP($L104,OFFSET([3]enemies!$A$1,0,0,COUNTA([3]enemies!$A:$A),MATCH(P$1,[3]enemies!$1:$1,0)-MATCH($L$1,[3]enemies!$1:$1,0)+1),MATCH(P$1,[3]enemies!$1:$1,0)-MATCH($L$1,[3]enemies!$1:$1,0)+1,FALSE)</f>
        <v>animal</v>
      </c>
      <c r="Q104" s="20">
        <f ca="1">VLOOKUP($L104,OFFSET([3]enemies!$A$1,0,0,COUNTA([3]enemies!$A:$A),MATCH(Q$1,[3]enemies!$1:$1,0)-MATCH($L$1,[3]enemies!$1:$1,0)+1),MATCH(Q$1,[3]enemies!$1:$1,0)-MATCH($L$1,[3]enemies!$1:$1,0)+1,FALSE)</f>
        <v>15</v>
      </c>
      <c r="R104" s="6">
        <v>42</v>
      </c>
      <c r="S104" s="39">
        <v>1</v>
      </c>
      <c r="T104" s="39">
        <v>1</v>
      </c>
      <c r="U104" s="6">
        <v>0</v>
      </c>
      <c r="V104" s="5" t="str">
        <f ca="1">VLOOKUP($W104,OFFSET([5]enemy_skill_sets!$B$1,0,0,COUNTA([5]enemy_skill_sets!$B:$B),MATCH(M$1,[5]enemy_skill_sets!$1:$1,0)-MATCH($W$1,[5]enemy_skill_sets!$1:$1,0)+2),MATCH(M$1,[5]enemy_skill_sets!$1:$1,0)-MATCH($W$1,[5]enemy_skill_sets!$1:$1,0)+2,FALSE)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04" s="5">
        <f ca="1">VLOOKUP($L104,OFFSET([3]enemies!$A$1,0,0,COUNTA([3]enemies!$A:$A),MATCH(W$1,[3]enemies!$1:$1,0)-MATCH($L$1,[3]enemies!$1:$1,0)+1),MATCH(W$1,[3]enemies!$1:$1,0)-MATCH($L$1,[3]enemies!$1:$1,0)+1,FALSE)</f>
        <v>37</v>
      </c>
      <c r="X104" s="7">
        <v>0</v>
      </c>
      <c r="Y104" s="7">
        <v>100</v>
      </c>
      <c r="Z104" s="7">
        <v>0</v>
      </c>
      <c r="AA104" s="20">
        <f ca="1">VLOOKUP($L104,OFFSET([3]enemies!$A$1,0,0,COUNTA([3]enemies!$A:$A),MATCH(AA$1,[3]enemies!$1:$1,0)-MATCH($L$1,[3]enemies!$1:$1,0)+1),MATCH(AA$1,[3]enemies!$1:$1,0)-MATCH($L$1,[3]enemies!$1:$1,0)+1,FALSE)</f>
        <v>3</v>
      </c>
      <c r="AB104" s="24">
        <v>37</v>
      </c>
      <c r="AC104" s="5" t="str">
        <f ca="1">IFERROR(VLOOKUP($AB104,OFFSET([4]characters!$A$1,0,0,COUNTA([4]characters!$A:$A),MATCH(AC$1,[4]characters!$1:$1,0)-MATCH("character_id",[4]characters!$1:$1,0)+1),MATCH(AC$1,[4]characters!$1:$1,0)-MATCH("character_id",[4]characters!$1:$1,0)+1,FALSE),"")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04" s="5">
        <f ca="1">IFERROR(VLOOKUP($AB104,OFFSET([4]characters!$A$1,0,0,COUNTA([4]characters!$A:$A),MATCH(AD$1,[4]characters!$1:$1,0)-MATCH("character_id",[4]characters!$1:$1,0)+1),MATCH(AD$1,[4]characters!$1:$1,0)-MATCH("character_id",[4]characters!$1:$1,0)+1,FALSE),"")</f>
        <v>2</v>
      </c>
      <c r="AE104" s="5" t="str">
        <f ca="1">IFERROR(VLOOKUP($AB104,OFFSET([4]characters!$A$1,0,0,COUNTA([4]characters!$A:$A),MATCH(AE$1,[4]characters!$1:$1,0)-MATCH("character_id",[4]characters!$1:$1,0)+1),MATCH(AE$1,[4]characters!$1:$1,0)-MATCH("character_id",[4]characters!$1:$1,0)+1,FALSE),"")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04" s="8">
        <v>1</v>
      </c>
      <c r="AG104" s="27">
        <f t="shared" ca="1" si="7"/>
        <v>2</v>
      </c>
      <c r="AH104" s="9">
        <v>0</v>
      </c>
      <c r="AI104" s="8">
        <v>0</v>
      </c>
      <c r="AJ104" s="8">
        <v>0</v>
      </c>
      <c r="AK104" s="8">
        <v>0</v>
      </c>
      <c r="AL104" s="8">
        <v>0</v>
      </c>
      <c r="AM104" s="8">
        <v>1</v>
      </c>
      <c r="AN104" s="8">
        <v>1</v>
      </c>
    </row>
    <row r="105" spans="1:40" ht="21" customHeight="1" x14ac:dyDescent="0.15">
      <c r="A105" s="17" t="str">
        <f t="shared" ca="1" si="4"/>
        <v>11008_4-2/29&lt;lv42&gt;s2</v>
      </c>
      <c r="B105" s="8">
        <v>11008</v>
      </c>
      <c r="C105" s="25">
        <v>4</v>
      </c>
      <c r="D105" s="2" t="str">
        <f t="shared" si="5"/>
        <v>11008_4</v>
      </c>
      <c r="E105" s="5" t="str">
        <f ca="1">VLOOKUP($B105,OFFSET([2]quests!$A$1,0,0,COUNTA([2]quests!$A:$A),MATCH(E$1,[2]quests!$1:$1,0)-MATCH($B$1,[2]quests!$1:$1,0)+1),MATCH(E$1,[2]quests!$1:$1,0)-MATCH($B$1,[2]quests!$1:$1,0)+1,FALSE)</f>
        <v>【日曜限定】 青と黄の素材</v>
      </c>
      <c r="F105" s="5" t="str">
        <f ca="1">VLOOKUP($D105,OFFSET([2]stages!$A$1,0,0,COUNTA([2]stages!$A:$A),MATCH(F$1,[2]stages!$2:$2,0)-MATCH($D$1,[2]stages!$2:$2,0)+1),MATCH(F$1,[2]stages!$2:$2,0)-MATCH($D$1,[2]stages!$2:$2,0)+1,FALSE)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5" s="25">
        <v>2</v>
      </c>
      <c r="H105" s="16" t="str">
        <f t="shared" si="6"/>
        <v>11008_4-2</v>
      </c>
      <c r="I105" s="5">
        <f ca="1">VLOOKUP($H105,OFFSET(floors!$A$1,0,0,COUNTA(floors!$A:$A),MATCH(I$1,floors!$1:$1,0)-MATCH($H$1,floors!$1:$1,0)+1),MATCH(I$1,floors!$1:$1,0)-MATCH($H$1,floors!$1:$1,0)+1,FALSE)</f>
        <v>45</v>
      </c>
      <c r="J105" s="5">
        <f ca="1">VLOOKUP($H105,OFFSET(floors!$A$1,0,0,COUNTA(floors!$A:$A),MATCH(J$1,floors!$1:$1,0)-MATCH($H$1,floors!$1:$1,0)+1),MATCH(J$1,floors!$1:$1,0)-MATCH($H$1,floors!$1:$1,0)+1,FALSE)</f>
        <v>60</v>
      </c>
      <c r="K105" s="24" t="s">
        <v>197</v>
      </c>
      <c r="L105" s="24">
        <v>29</v>
      </c>
      <c r="M105" s="20" t="str">
        <f ca="1">VLOOKUP($L105,OFFSET([3]enemies!$A$1,0,0,COUNTA([3]enemies!$A:$A),MATCH(M$1,[3]enemies!$1:$1,0)-MATCH($L$1,[3]enemies!$1:$1,0)+1),MATCH(M$1,[3]enemies!$1:$1,0)-MATCH($L$1,[3]enemies!$1:$1,0)+1,FALSE)</f>
        <v>スケアクロウ</v>
      </c>
      <c r="N105" s="20" t="str">
        <f ca="1">VLOOKUP($L105,OFFSET([3]enemies!$A$1,0,0,COUNTA([3]enemies!$A:$A),MATCH(N$1,[3]enemies!$1:$1,0)-MATCH($L$1,[3]enemies!$1:$1,0)+1),MATCH(N$1,[3]enemies!$1:$1,0)-MATCH($L$1,[3]enemies!$1:$1,0)+1,FALSE)</f>
        <v>blue</v>
      </c>
      <c r="O105" s="22" t="str">
        <f ca="1">VLOOKUP($L105,OFFSET([4]characters!$A$1,0,0,COUNTA([4]characters!$A:$A),MATCH(O$1,[4]characters!$1:$1,0)-MATCH($L$1,[4]characters!$1:$1,0)+1),MATCH(O$1,[4]characters!$1:$1,0)-MATCH($L$1,[4]characters!$1:$1,0)+1,FALSE)</f>
        <v>Drop1N</v>
      </c>
      <c r="P105" s="20" t="str">
        <f ca="1">VLOOKUP($L105,OFFSET([3]enemies!$A$1,0,0,COUNTA([3]enemies!$A:$A),MATCH(P$1,[3]enemies!$1:$1,0)-MATCH($L$1,[3]enemies!$1:$1,0)+1),MATCH(P$1,[3]enemies!$1:$1,0)-MATCH($L$1,[3]enemies!$1:$1,0)+1,FALSE)</f>
        <v>machine</v>
      </c>
      <c r="Q105" s="20">
        <f ca="1">VLOOKUP($L105,OFFSET([3]enemies!$A$1,0,0,COUNTA([3]enemies!$A:$A),MATCH(Q$1,[3]enemies!$1:$1,0)-MATCH($L$1,[3]enemies!$1:$1,0)+1),MATCH(Q$1,[3]enemies!$1:$1,0)-MATCH($L$1,[3]enemies!$1:$1,0)+1,FALSE)</f>
        <v>15</v>
      </c>
      <c r="R105" s="6">
        <v>42</v>
      </c>
      <c r="S105" s="39">
        <v>1</v>
      </c>
      <c r="T105" s="39">
        <v>1</v>
      </c>
      <c r="U105" s="6">
        <v>0</v>
      </c>
      <c r="V105" s="5" t="str">
        <f ca="1">VLOOKUP($W105,OFFSET([5]enemy_skill_sets!$B$1,0,0,COUNTA([5]enemy_skill_sets!$B:$B),MATCH(M$1,[5]enemy_skill_sets!$1:$1,0)-MATCH($W$1,[5]enemy_skill_sets!$1:$1,0)+2),MATCH(M$1,[5]enemy_skill_sets!$1:$1,0)-MATCH($W$1,[5]enemy_skill_sets!$1:$1,0)+2,FALSE)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5" s="5">
        <f ca="1">VLOOKUP($L105,OFFSET([3]enemies!$A$1,0,0,COUNTA([3]enemies!$A:$A),MATCH(W$1,[3]enemies!$1:$1,0)-MATCH($L$1,[3]enemies!$1:$1,0)+1),MATCH(W$1,[3]enemies!$1:$1,0)-MATCH($L$1,[3]enemies!$1:$1,0)+1,FALSE)</f>
        <v>0</v>
      </c>
      <c r="X105" s="7">
        <v>0</v>
      </c>
      <c r="Y105" s="7">
        <v>100</v>
      </c>
      <c r="Z105" s="7">
        <v>0</v>
      </c>
      <c r="AA105" s="20">
        <f ca="1">VLOOKUP($L105,OFFSET([3]enemies!$A$1,0,0,COUNTA([3]enemies!$A:$A),MATCH(AA$1,[3]enemies!$1:$1,0)-MATCH($L$1,[3]enemies!$1:$1,0)+1),MATCH(AA$1,[3]enemies!$1:$1,0)-MATCH($L$1,[3]enemies!$1:$1,0)+1,FALSE)</f>
        <v>2</v>
      </c>
      <c r="AB105" s="24">
        <v>29</v>
      </c>
      <c r="AC105" s="5" t="str">
        <f ca="1">IFERROR(VLOOKUP($AB105,OFFSET([4]characters!$A$1,0,0,COUNTA([4]characters!$A:$A),MATCH(AC$1,[4]characters!$1:$1,0)-MATCH("character_id",[4]characters!$1:$1,0)+1),MATCH(AC$1,[4]characters!$1:$1,0)-MATCH("character_id",[4]characters!$1:$1,0)+1,FALSE),"")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05" s="5">
        <f ca="1">IFERROR(VLOOKUP($AB105,OFFSET([4]characters!$A$1,0,0,COUNTA([4]characters!$A:$A),MATCH(AD$1,[4]characters!$1:$1,0)-MATCH("character_id",[4]characters!$1:$1,0)+1),MATCH(AD$1,[4]characters!$1:$1,0)-MATCH("character_id",[4]characters!$1:$1,0)+1,FALSE),"")</f>
        <v>1</v>
      </c>
      <c r="AE105" s="5" t="str">
        <f ca="1">IFERROR(VLOOKUP($AB105,OFFSET([4]characters!$A$1,0,0,COUNTA([4]characters!$A:$A),MATCH(AE$1,[4]characters!$1:$1,0)-MATCH("character_id",[4]characters!$1:$1,0)+1),MATCH(AE$1,[4]characters!$1:$1,0)-MATCH("character_id",[4]characters!$1:$1,0)+1,FALSE),"")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05" s="8">
        <v>1</v>
      </c>
      <c r="AG105" s="27">
        <f t="shared" ca="1" si="7"/>
        <v>1</v>
      </c>
      <c r="AH105" s="9">
        <v>0</v>
      </c>
      <c r="AI105" s="8">
        <v>0</v>
      </c>
      <c r="AJ105" s="8">
        <v>0</v>
      </c>
      <c r="AK105" s="8">
        <v>0</v>
      </c>
      <c r="AL105" s="8">
        <v>0</v>
      </c>
      <c r="AM105" s="8">
        <v>1</v>
      </c>
      <c r="AN105" s="8">
        <v>1</v>
      </c>
    </row>
    <row r="106" spans="1:40" ht="21" customHeight="1" x14ac:dyDescent="0.15">
      <c r="A106" s="17" t="str">
        <f t="shared" ca="1" si="4"/>
        <v>11008_4-3/139&lt;lv50&gt;s2</v>
      </c>
      <c r="B106" s="8">
        <v>11008</v>
      </c>
      <c r="C106" s="25">
        <v>4</v>
      </c>
      <c r="D106" s="2" t="str">
        <f t="shared" si="5"/>
        <v>11008_4</v>
      </c>
      <c r="E106" s="5" t="str">
        <f ca="1">VLOOKUP($B106,OFFSET([2]quests!$A$1,0,0,COUNTA([2]quests!$A:$A),MATCH(E$1,[2]quests!$1:$1,0)-MATCH($B$1,[2]quests!$1:$1,0)+1),MATCH(E$1,[2]quests!$1:$1,0)-MATCH($B$1,[2]quests!$1:$1,0)+1,FALSE)</f>
        <v>【日曜限定】 青と黄の素材</v>
      </c>
      <c r="F106" s="5" t="str">
        <f ca="1">VLOOKUP($D106,OFFSET([2]stages!$A$1,0,0,COUNTA([2]stages!$A:$A),MATCH(F$1,[2]stages!$2:$2,0)-MATCH($D$1,[2]stages!$2:$2,0)+1),MATCH(F$1,[2]stages!$2:$2,0)-MATCH($D$1,[2]stages!$2:$2,0)+1,FALSE)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6" s="25">
        <v>3</v>
      </c>
      <c r="H106" s="16" t="str">
        <f t="shared" si="6"/>
        <v>11008_4-3</v>
      </c>
      <c r="I106" s="5">
        <f ca="1">VLOOKUP($H106,OFFSET(floors!$A$1,0,0,COUNTA(floors!$A:$A),MATCH(I$1,floors!$1:$1,0)-MATCH($H$1,floors!$1:$1,0)+1),MATCH(I$1,floors!$1:$1,0)-MATCH($H$1,floors!$1:$1,0)+1,FALSE)</f>
        <v>50</v>
      </c>
      <c r="J106" s="5">
        <f ca="1">VLOOKUP($H106,OFFSET(floors!$A$1,0,0,COUNTA(floors!$A:$A),MATCH(J$1,floors!$1:$1,0)-MATCH($H$1,floors!$1:$1,0)+1),MATCH(J$1,floors!$1:$1,0)-MATCH($H$1,floors!$1:$1,0)+1,FALSE)</f>
        <v>60</v>
      </c>
      <c r="K106" s="24" t="s">
        <v>197</v>
      </c>
      <c r="L106" s="24">
        <v>139</v>
      </c>
      <c r="M106" s="20" t="str">
        <f ca="1">VLOOKUP($L106,OFFSET([3]enemies!$A$1,0,0,COUNTA([3]enemies!$A:$A),MATCH(M$1,[3]enemies!$1:$1,0)-MATCH($L$1,[3]enemies!$1:$1,0)+1),MATCH(M$1,[3]enemies!$1:$1,0)-MATCH($L$1,[3]enemies!$1:$1,0)+1,FALSE)</f>
        <v>蒼昇刃姫 トモエ</v>
      </c>
      <c r="N106" s="20" t="str">
        <f ca="1">VLOOKUP($L106,OFFSET([3]enemies!$A$1,0,0,COUNTA([3]enemies!$A:$A),MATCH(N$1,[3]enemies!$1:$1,0)-MATCH($L$1,[3]enemies!$1:$1,0)+1),MATCH(N$1,[3]enemies!$1:$1,0)-MATCH($L$1,[3]enemies!$1:$1,0)+1,FALSE)</f>
        <v>blue</v>
      </c>
      <c r="O106" s="22" t="str">
        <f ca="1">VLOOKUP($L106,OFFSET([4]characters!$A$1,0,0,COUNTA([4]characters!$A:$A),MATCH(O$1,[4]characters!$1:$1,0)-MATCH($L$1,[4]characters!$1:$1,0)+1),MATCH(O$1,[4]characters!$1:$1,0)-MATCH($L$1,[4]characters!$1:$1,0)+1,FALSE)</f>
        <v>PremiumW</v>
      </c>
      <c r="P106" s="20" t="str">
        <f ca="1">VLOOKUP($L106,OFFSET([3]enemies!$A$1,0,0,COUNTA([3]enemies!$A:$A),MATCH(P$1,[3]enemies!$1:$1,0)-MATCH($L$1,[3]enemies!$1:$1,0)+1),MATCH(P$1,[3]enemies!$1:$1,0)-MATCH($L$1,[3]enemies!$1:$1,0)+1,FALSE)</f>
        <v>human</v>
      </c>
      <c r="Q106" s="20">
        <f ca="1">VLOOKUP($L106,OFFSET([3]enemies!$A$1,0,0,COUNTA([3]enemies!$A:$A),MATCH(Q$1,[3]enemies!$1:$1,0)-MATCH($L$1,[3]enemies!$1:$1,0)+1),MATCH(Q$1,[3]enemies!$1:$1,0)-MATCH($L$1,[3]enemies!$1:$1,0)+1,FALSE)</f>
        <v>30</v>
      </c>
      <c r="R106" s="6">
        <v>50</v>
      </c>
      <c r="S106" s="39">
        <v>1</v>
      </c>
      <c r="T106" s="39">
        <v>1</v>
      </c>
      <c r="U106" s="6">
        <v>0</v>
      </c>
      <c r="V106" s="5" t="str">
        <f ca="1">VLOOKUP($W106,OFFSET([5]enemy_skill_sets!$B$1,0,0,COUNTA([5]enemy_skill_sets!$B:$B),MATCH(M$1,[5]enemy_skill_sets!$1:$1,0)-MATCH($W$1,[5]enemy_skill_sets!$1:$1,0)+2),MATCH(M$1,[5]enemy_skill_sets!$1:$1,0)-MATCH($W$1,[5]enemy_skill_sets!$1:$1,0)+2,FALSE)</f>
        <v>攻撃力×1.5倍の攻撃</v>
      </c>
      <c r="W106" s="5">
        <f ca="1">VLOOKUP($L106,OFFSET([3]enemies!$A$1,0,0,COUNTA([3]enemies!$A:$A),MATCH(W$1,[3]enemies!$1:$1,0)-MATCH($L$1,[3]enemies!$1:$1,0)+1),MATCH(W$1,[3]enemies!$1:$1,0)-MATCH($L$1,[3]enemies!$1:$1,0)+1,FALSE)</f>
        <v>139</v>
      </c>
      <c r="X106" s="7">
        <v>0</v>
      </c>
      <c r="Y106" s="7">
        <v>80</v>
      </c>
      <c r="Z106" s="7">
        <v>1</v>
      </c>
      <c r="AA106" s="20">
        <f ca="1">VLOOKUP($L106,OFFSET([3]enemies!$A$1,0,0,COUNTA([3]enemies!$A:$A),MATCH(AA$1,[3]enemies!$1:$1,0)-MATCH($L$1,[3]enemies!$1:$1,0)+1),MATCH(AA$1,[3]enemies!$1:$1,0)-MATCH($L$1,[3]enemies!$1:$1,0)+1,FALSE)</f>
        <v>2</v>
      </c>
      <c r="AB106" s="24">
        <v>138</v>
      </c>
      <c r="AC106" s="5" t="str">
        <f ca="1">IFERROR(VLOOKUP($AB106,OFFSET([4]characters!$A$1,0,0,COUNTA([4]characters!$A:$A),MATCH(AC$1,[4]characters!$1:$1,0)-MATCH("character_id",[4]characters!$1:$1,0)+1),MATCH(AC$1,[4]characters!$1:$1,0)-MATCH("character_id",[4]characters!$1:$1,0)+1,FALSE),"")</f>
        <v>蒼薙のトモエ</v>
      </c>
      <c r="AD106" s="5">
        <f ca="1">IFERROR(VLOOKUP($AB106,OFFSET([4]characters!$A$1,0,0,COUNTA([4]characters!$A:$A),MATCH(AD$1,[4]characters!$1:$1,0)-MATCH("character_id",[4]characters!$1:$1,0)+1),MATCH(AD$1,[4]characters!$1:$1,0)-MATCH("character_id",[4]characters!$1:$1,0)+1,FALSE),"")</f>
        <v>3</v>
      </c>
      <c r="AE106" s="5" t="str">
        <f ca="1">IFERROR(VLOOKUP($AB106,OFFSET([4]characters!$A$1,0,0,COUNTA([4]characters!$A:$A),MATCH(AE$1,[4]characters!$1:$1,0)-MATCH("character_id",[4]characters!$1:$1,0)+1),MATCH(AE$1,[4]characters!$1:$1,0)-MATCH("character_id",[4]characters!$1:$1,0)+1,FALSE),"")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06" s="8">
        <v>1</v>
      </c>
      <c r="AG106" s="27">
        <f t="shared" ca="1" si="7"/>
        <v>3</v>
      </c>
      <c r="AH106" s="9">
        <v>0</v>
      </c>
      <c r="AI106" s="8">
        <v>0</v>
      </c>
      <c r="AJ106" s="8">
        <v>0</v>
      </c>
      <c r="AK106" s="8">
        <v>0</v>
      </c>
      <c r="AL106" s="8">
        <v>0</v>
      </c>
      <c r="AM106" s="8">
        <v>1</v>
      </c>
      <c r="AN106" s="8">
        <v>1</v>
      </c>
    </row>
    <row r="107" spans="1:40" ht="21" customHeight="1" x14ac:dyDescent="0.15">
      <c r="A107" s="17" t="str">
        <f t="shared" ca="1" si="4"/>
        <v>11008_4-3/342&lt;lv1&gt;s3</v>
      </c>
      <c r="B107" s="8">
        <v>11008</v>
      </c>
      <c r="C107" s="25">
        <v>4</v>
      </c>
      <c r="D107" s="2" t="str">
        <f t="shared" si="5"/>
        <v>11008_4</v>
      </c>
      <c r="E107" s="5" t="str">
        <f ca="1">VLOOKUP($B107,OFFSET([2]quests!$A$1,0,0,COUNTA([2]quests!$A:$A),MATCH(E$1,[2]quests!$1:$1,0)-MATCH($B$1,[2]quests!$1:$1,0)+1),MATCH(E$1,[2]quests!$1:$1,0)-MATCH($B$1,[2]quests!$1:$1,0)+1,FALSE)</f>
        <v>【日曜限定】 青と黄の素材</v>
      </c>
      <c r="F107" s="5" t="str">
        <f ca="1">VLOOKUP($D107,OFFSET([2]stages!$A$1,0,0,COUNTA([2]stages!$A:$A),MATCH(F$1,[2]stages!$2:$2,0)-MATCH($D$1,[2]stages!$2:$2,0)+1),MATCH(F$1,[2]stages!$2:$2,0)-MATCH($D$1,[2]stages!$2:$2,0)+1,FALSE)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7" s="25">
        <v>3</v>
      </c>
      <c r="H107" s="16" t="str">
        <f t="shared" si="6"/>
        <v>11008_4-3</v>
      </c>
      <c r="I107" s="5">
        <f ca="1">VLOOKUP($H107,OFFSET(floors!$A$1,0,0,COUNTA(floors!$A:$A),MATCH(I$1,floors!$1:$1,0)-MATCH($H$1,floors!$1:$1,0)+1),MATCH(I$1,floors!$1:$1,0)-MATCH($H$1,floors!$1:$1,0)+1,FALSE)</f>
        <v>50</v>
      </c>
      <c r="J107" s="5">
        <f ca="1">VLOOKUP($H107,OFFSET(floors!$A$1,0,0,COUNTA(floors!$A:$A),MATCH(J$1,floors!$1:$1,0)-MATCH($H$1,floors!$1:$1,0)+1),MATCH(J$1,floors!$1:$1,0)-MATCH($H$1,floors!$1:$1,0)+1,FALSE)</f>
        <v>60</v>
      </c>
      <c r="K107" s="24" t="s">
        <v>197</v>
      </c>
      <c r="L107" s="24">
        <v>342</v>
      </c>
      <c r="M107" s="20" t="str">
        <f ca="1">VLOOKUP($L107,OFFSET([3]enemies!$A$1,0,0,COUNTA([3]enemies!$A:$A),MATCH(M$1,[3]enemies!$1:$1,0)-MATCH($L$1,[3]enemies!$1:$1,0)+1),MATCH(M$1,[3]enemies!$1:$1,0)-MATCH($L$1,[3]enemies!$1:$1,0)+1,FALSE)</f>
        <v>水のメタルダック</v>
      </c>
      <c r="N107" s="20" t="str">
        <f ca="1">VLOOKUP($L107,OFFSET([3]enemies!$A$1,0,0,COUNTA([3]enemies!$A:$A),MATCH(N$1,[3]enemies!$1:$1,0)-MATCH($L$1,[3]enemies!$1:$1,0)+1),MATCH(N$1,[3]enemies!$1:$1,0)-MATCH($L$1,[3]enemies!$1:$1,0)+1,FALSE)</f>
        <v>blue</v>
      </c>
      <c r="O107" s="22" t="str">
        <f ca="1">VLOOKUP($L107,OFFSET([4]characters!$A$1,0,0,COUNTA([4]characters!$A:$A),MATCH(O$1,[4]characters!$1:$1,0)-MATCH($L$1,[4]characters!$1:$1,0)+1),MATCH(O$1,[4]characters!$1:$1,0)-MATCH($L$1,[4]characters!$1:$1,0)+1,FALSE)</f>
        <v>Material</v>
      </c>
      <c r="P107" s="20" t="str">
        <f ca="1">VLOOKUP($L107,OFFSET([3]enemies!$A$1,0,0,COUNTA([3]enemies!$A:$A),MATCH(P$1,[3]enemies!$1:$1,0)-MATCH($L$1,[3]enemies!$1:$1,0)+1),MATCH(P$1,[3]enemies!$1:$1,0)-MATCH($L$1,[3]enemies!$1:$1,0)+1,FALSE)</f>
        <v>unknown</v>
      </c>
      <c r="Q107" s="20">
        <f ca="1">VLOOKUP($L107,OFFSET([3]enemies!$A$1,0,0,COUNTA([3]enemies!$A:$A),MATCH(Q$1,[3]enemies!$1:$1,0)-MATCH($L$1,[3]enemies!$1:$1,0)+1),MATCH(Q$1,[3]enemies!$1:$1,0)-MATCH($L$1,[3]enemies!$1:$1,0)+1,FALSE)</f>
        <v>20</v>
      </c>
      <c r="R107" s="6">
        <v>1</v>
      </c>
      <c r="S107" s="39">
        <v>1</v>
      </c>
      <c r="T107" s="39">
        <v>1</v>
      </c>
      <c r="U107" s="6">
        <v>0</v>
      </c>
      <c r="V107" s="5" t="str">
        <f ca="1">VLOOKUP($W107,OFFSET([5]enemy_skill_sets!$B$1,0,0,COUNTA([5]enemy_skill_sets!$B:$B),MATCH(M$1,[5]enemy_skill_sets!$1:$1,0)-MATCH($W$1,[5]enemy_skill_sets!$1:$1,0)+2),MATCH(M$1,[5]enemy_skill_sets!$1:$1,0)-MATCH($W$1,[5]enemy_skill_sets!$1:$1,0)+2,FALSE)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7" s="5">
        <f ca="1">VLOOKUP($L107,OFFSET([3]enemies!$A$1,0,0,COUNTA([3]enemies!$A:$A),MATCH(W$1,[3]enemies!$1:$1,0)-MATCH($L$1,[3]enemies!$1:$1,0)+1),MATCH(W$1,[3]enemies!$1:$1,0)-MATCH($L$1,[3]enemies!$1:$1,0)+1,FALSE)</f>
        <v>0</v>
      </c>
      <c r="X107" s="7">
        <v>0</v>
      </c>
      <c r="Y107" s="7">
        <v>20</v>
      </c>
      <c r="Z107" s="7">
        <v>1</v>
      </c>
      <c r="AA107" s="20">
        <f ca="1">VLOOKUP($L107,OFFSET([3]enemies!$A$1,0,0,COUNTA([3]enemies!$A:$A),MATCH(AA$1,[3]enemies!$1:$1,0)-MATCH($L$1,[3]enemies!$1:$1,0)+1),MATCH(AA$1,[3]enemies!$1:$1,0)-MATCH($L$1,[3]enemies!$1:$1,0)+1,FALSE)</f>
        <v>3</v>
      </c>
      <c r="AB107" s="24">
        <v>342</v>
      </c>
      <c r="AC107" s="5" t="str">
        <f ca="1">IFERROR(VLOOKUP($AB107,OFFSET([4]characters!$A$1,0,0,COUNTA([4]characters!$A:$A),MATCH(AC$1,[4]characters!$1:$1,0)-MATCH("character_id",[4]characters!$1:$1,0)+1),MATCH(AC$1,[4]characters!$1:$1,0)-MATCH("character_id",[4]characters!$1:$1,0)+1,FALSE),"")</f>
        <v>水のメタルダック</v>
      </c>
      <c r="AD107" s="5">
        <f ca="1">IFERROR(VLOOKUP($AB107,OFFSET([4]characters!$A$1,0,0,COUNTA([4]characters!$A:$A),MATCH(AD$1,[4]characters!$1:$1,0)-MATCH("character_id",[4]characters!$1:$1,0)+1),MATCH(AD$1,[4]characters!$1:$1,0)-MATCH("character_id",[4]characters!$1:$1,0)+1,FALSE),"")</f>
        <v>5</v>
      </c>
      <c r="AE107" s="5" t="str">
        <f ca="1">IFERROR(VLOOKUP($AB107,OFFSET([4]characters!$A$1,0,0,COUNTA([4]characters!$A:$A),MATCH(AE$1,[4]characters!$1:$1,0)-MATCH("character_id",[4]characters!$1:$1,0)+1),MATCH(AE$1,[4]characters!$1:$1,0)-MATCH("character_id",[4]characters!$1:$1,0)+1,FALSE),"")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7" s="8">
        <v>1</v>
      </c>
      <c r="AG107" s="27">
        <f t="shared" ca="1" si="7"/>
        <v>5</v>
      </c>
      <c r="AH107" s="9">
        <v>5</v>
      </c>
      <c r="AI107" s="8">
        <v>0</v>
      </c>
      <c r="AJ107" s="8">
        <v>0</v>
      </c>
      <c r="AK107" s="8">
        <v>0</v>
      </c>
      <c r="AL107" s="8">
        <v>0</v>
      </c>
      <c r="AM107" s="8">
        <v>1</v>
      </c>
      <c r="AN107" s="8">
        <v>1</v>
      </c>
    </row>
    <row r="108" spans="1:40" ht="21" customHeight="1" x14ac:dyDescent="0.15">
      <c r="A108" s="17" t="str">
        <f t="shared" ref="A108:A127" ca="1" si="9">B108&amp;"_"&amp;C108&amp;"-"&amp;G108&amp;"/"&amp;L108&amp;"&lt;lv"&amp;R108&amp;"&gt;s"&amp;AA108</f>
        <v>11008_4-3/340&lt;lv1&gt;s1</v>
      </c>
      <c r="B108" s="8">
        <v>11008</v>
      </c>
      <c r="C108" s="25">
        <v>4</v>
      </c>
      <c r="D108" s="2" t="str">
        <f t="shared" si="5"/>
        <v>11008_4</v>
      </c>
      <c r="E108" s="5" t="str">
        <f ca="1">VLOOKUP($B108,OFFSET([2]quests!$A$1,0,0,COUNTA([2]quests!$A:$A),MATCH(E$1,[2]quests!$1:$1,0)-MATCH($B$1,[2]quests!$1:$1,0)+1),MATCH(E$1,[2]quests!$1:$1,0)-MATCH($B$1,[2]quests!$1:$1,0)+1,FALSE)</f>
        <v>【日曜限定】 青と黄の素材</v>
      </c>
      <c r="F108" s="5" t="str">
        <f ca="1">VLOOKUP($D108,OFFSET([2]stages!$A$1,0,0,COUNTA([2]stages!$A:$A),MATCH(F$1,[2]stages!$2:$2,0)-MATCH($D$1,[2]stages!$2:$2,0)+1),MATCH(F$1,[2]stages!$2:$2,0)-MATCH($D$1,[2]stages!$2:$2,0)+1,FALSE)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8" s="25">
        <v>3</v>
      </c>
      <c r="H108" s="16" t="str">
        <f t="shared" si="6"/>
        <v>11008_4-3</v>
      </c>
      <c r="I108" s="5">
        <f ca="1">VLOOKUP($H108,OFFSET(floors!$A$1,0,0,COUNTA(floors!$A:$A),MATCH(I$1,floors!$1:$1,0)-MATCH($H$1,floors!$1:$1,0)+1),MATCH(I$1,floors!$1:$1,0)-MATCH($H$1,floors!$1:$1,0)+1,FALSE)</f>
        <v>50</v>
      </c>
      <c r="J108" s="5">
        <f ca="1">VLOOKUP($H108,OFFSET(floors!$A$1,0,0,COUNTA(floors!$A:$A),MATCH(J$1,floors!$1:$1,0)-MATCH($H$1,floors!$1:$1,0)+1),MATCH(J$1,floors!$1:$1,0)-MATCH($H$1,floors!$1:$1,0)+1,FALSE)</f>
        <v>60</v>
      </c>
      <c r="K108" s="24" t="s">
        <v>197</v>
      </c>
      <c r="L108" s="24">
        <v>340</v>
      </c>
      <c r="M108" s="20" t="str">
        <f ca="1">VLOOKUP($L108,OFFSET([3]enemies!$A$1,0,0,COUNTA([3]enemies!$A:$A),MATCH(M$1,[3]enemies!$1:$1,0)-MATCH($L$1,[3]enemies!$1:$1,0)+1),MATCH(M$1,[3]enemies!$1:$1,0)-MATCH($L$1,[3]enemies!$1:$1,0)+1,FALSE)</f>
        <v>水のメタルピヨピヨ</v>
      </c>
      <c r="N108" s="20" t="str">
        <f ca="1">VLOOKUP($L108,OFFSET([3]enemies!$A$1,0,0,COUNTA([3]enemies!$A:$A),MATCH(N$1,[3]enemies!$1:$1,0)-MATCH($L$1,[3]enemies!$1:$1,0)+1),MATCH(N$1,[3]enemies!$1:$1,0)-MATCH($L$1,[3]enemies!$1:$1,0)+1,FALSE)</f>
        <v>blue</v>
      </c>
      <c r="O108" s="22" t="str">
        <f ca="1">VLOOKUP($L108,OFFSET([4]characters!$A$1,0,0,COUNTA([4]characters!$A:$A),MATCH(O$1,[4]characters!$1:$1,0)-MATCH($L$1,[4]characters!$1:$1,0)+1),MATCH(O$1,[4]characters!$1:$1,0)-MATCH($L$1,[4]characters!$1:$1,0)+1,FALSE)</f>
        <v>Material</v>
      </c>
      <c r="P108" s="20" t="str">
        <f ca="1">VLOOKUP($L108,OFFSET([3]enemies!$A$1,0,0,COUNTA([3]enemies!$A:$A),MATCH(P$1,[3]enemies!$1:$1,0)-MATCH($L$1,[3]enemies!$1:$1,0)+1),MATCH(P$1,[3]enemies!$1:$1,0)-MATCH($L$1,[3]enemies!$1:$1,0)+1,FALSE)</f>
        <v>unknown</v>
      </c>
      <c r="Q108" s="20">
        <f ca="1">VLOOKUP($L108,OFFSET([3]enemies!$A$1,0,0,COUNTA([3]enemies!$A:$A),MATCH(Q$1,[3]enemies!$1:$1,0)-MATCH($L$1,[3]enemies!$1:$1,0)+1),MATCH(Q$1,[3]enemies!$1:$1,0)-MATCH($L$1,[3]enemies!$1:$1,0)+1,FALSE)</f>
        <v>15</v>
      </c>
      <c r="R108" s="6">
        <v>1</v>
      </c>
      <c r="S108" s="39">
        <v>1</v>
      </c>
      <c r="T108" s="39">
        <v>1</v>
      </c>
      <c r="U108" s="6">
        <v>0</v>
      </c>
      <c r="V108" s="5" t="str">
        <f ca="1">VLOOKUP($W108,OFFSET([5]enemy_skill_sets!$B$1,0,0,COUNTA([5]enemy_skill_sets!$B:$B),MATCH(M$1,[5]enemy_skill_sets!$1:$1,0)-MATCH($W$1,[5]enemy_skill_sets!$1:$1,0)+2),MATCH(M$1,[5]enemy_skill_sets!$1:$1,0)-MATCH($W$1,[5]enemy_skill_sets!$1:$1,0)+2,FALSE)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8" s="5">
        <f ca="1">VLOOKUP($L108,OFFSET([3]enemies!$A$1,0,0,COUNTA([3]enemies!$A:$A),MATCH(W$1,[3]enemies!$1:$1,0)-MATCH($L$1,[3]enemies!$1:$1,0)+1),MATCH(W$1,[3]enemies!$1:$1,0)-MATCH($L$1,[3]enemies!$1:$1,0)+1,FALSE)</f>
        <v>0</v>
      </c>
      <c r="X108" s="7">
        <v>0</v>
      </c>
      <c r="Y108" s="7">
        <v>50</v>
      </c>
      <c r="Z108" s="7">
        <v>2</v>
      </c>
      <c r="AA108" s="20">
        <f ca="1">VLOOKUP($L108,OFFSET([3]enemies!$A$1,0,0,COUNTA([3]enemies!$A:$A),MATCH(AA$1,[3]enemies!$1:$1,0)-MATCH($L$1,[3]enemies!$1:$1,0)+1),MATCH(AA$1,[3]enemies!$1:$1,0)-MATCH($L$1,[3]enemies!$1:$1,0)+1,FALSE)</f>
        <v>1</v>
      </c>
      <c r="AB108" s="24">
        <v>340</v>
      </c>
      <c r="AC108" s="5" t="str">
        <f ca="1">IFERROR(VLOOKUP($AB108,OFFSET([4]characters!$A$1,0,0,COUNTA([4]characters!$A:$A),MATCH(AC$1,[4]characters!$1:$1,0)-MATCH("character_id",[4]characters!$1:$1,0)+1),MATCH(AC$1,[4]characters!$1:$1,0)-MATCH("character_id",[4]characters!$1:$1,0)+1,FALSE),"")</f>
        <v>水のメタルピヨピヨ</v>
      </c>
      <c r="AD108" s="5">
        <f ca="1">IFERROR(VLOOKUP($AB108,OFFSET([4]characters!$A$1,0,0,COUNTA([4]characters!$A:$A),MATCH(AD$1,[4]characters!$1:$1,0)-MATCH("character_id",[4]characters!$1:$1,0)+1),MATCH(AD$1,[4]characters!$1:$1,0)-MATCH("character_id",[4]characters!$1:$1,0)+1,FALSE),"")</f>
        <v>3</v>
      </c>
      <c r="AE108" s="5" t="str">
        <f ca="1">IFERROR(VLOOKUP($AB108,OFFSET([4]characters!$A$1,0,0,COUNTA([4]characters!$A:$A),MATCH(AE$1,[4]characters!$1:$1,0)-MATCH("character_id",[4]characters!$1:$1,0)+1),MATCH(AE$1,[4]characters!$1:$1,0)-MATCH("character_id",[4]characters!$1:$1,0)+1,FALSE),"")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8" s="8">
        <v>1</v>
      </c>
      <c r="AG108" s="27">
        <f t="shared" ca="1" si="7"/>
        <v>3</v>
      </c>
      <c r="AH108" s="9">
        <v>20</v>
      </c>
      <c r="AI108" s="8">
        <v>0</v>
      </c>
      <c r="AJ108" s="8">
        <v>0</v>
      </c>
      <c r="AK108" s="8">
        <v>0</v>
      </c>
      <c r="AL108" s="8">
        <v>0</v>
      </c>
      <c r="AM108" s="8">
        <v>1</v>
      </c>
      <c r="AN108" s="8">
        <v>1</v>
      </c>
    </row>
    <row r="109" spans="1:40" ht="21" customHeight="1" x14ac:dyDescent="0.15">
      <c r="A109" s="17" t="str">
        <f t="shared" ca="1" si="9"/>
        <v>11008_4-3/341&lt;lv1&gt;s2</v>
      </c>
      <c r="B109" s="8">
        <v>11008</v>
      </c>
      <c r="C109" s="25">
        <v>4</v>
      </c>
      <c r="D109" s="2" t="str">
        <f t="shared" si="5"/>
        <v>11008_4</v>
      </c>
      <c r="E109" s="5" t="str">
        <f ca="1">VLOOKUP($B109,OFFSET([2]quests!$A$1,0,0,COUNTA([2]quests!$A:$A),MATCH(E$1,[2]quests!$1:$1,0)-MATCH($B$1,[2]quests!$1:$1,0)+1),MATCH(E$1,[2]quests!$1:$1,0)-MATCH($B$1,[2]quests!$1:$1,0)+1,FALSE)</f>
        <v>【日曜限定】 青と黄の素材</v>
      </c>
      <c r="F109" s="5" t="str">
        <f ca="1">VLOOKUP($D109,OFFSET([2]stages!$A$1,0,0,COUNTA([2]stages!$A:$A),MATCH(F$1,[2]stages!$2:$2,0)-MATCH($D$1,[2]stages!$2:$2,0)+1),MATCH(F$1,[2]stages!$2:$2,0)-MATCH($D$1,[2]stages!$2:$2,0)+1,FALSE)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09" s="25">
        <v>3</v>
      </c>
      <c r="H109" s="16" t="str">
        <f t="shared" si="6"/>
        <v>11008_4-3</v>
      </c>
      <c r="I109" s="5">
        <f ca="1">VLOOKUP($H109,OFFSET(floors!$A$1,0,0,COUNTA(floors!$A:$A),MATCH(I$1,floors!$1:$1,0)-MATCH($H$1,floors!$1:$1,0)+1),MATCH(I$1,floors!$1:$1,0)-MATCH($H$1,floors!$1:$1,0)+1,FALSE)</f>
        <v>50</v>
      </c>
      <c r="J109" s="5">
        <f ca="1">VLOOKUP($H109,OFFSET(floors!$A$1,0,0,COUNTA(floors!$A:$A),MATCH(J$1,floors!$1:$1,0)-MATCH($H$1,floors!$1:$1,0)+1),MATCH(J$1,floors!$1:$1,0)-MATCH($H$1,floors!$1:$1,0)+1,FALSE)</f>
        <v>60</v>
      </c>
      <c r="K109" s="24" t="s">
        <v>197</v>
      </c>
      <c r="L109" s="24">
        <v>341</v>
      </c>
      <c r="M109" s="20" t="str">
        <f ca="1">VLOOKUP($L109,OFFSET([3]enemies!$A$1,0,0,COUNTA([3]enemies!$A:$A),MATCH(M$1,[3]enemies!$1:$1,0)-MATCH($L$1,[3]enemies!$1:$1,0)+1),MATCH(M$1,[3]enemies!$1:$1,0)-MATCH($L$1,[3]enemies!$1:$1,0)+1,FALSE)</f>
        <v>水のメタルチック</v>
      </c>
      <c r="N109" s="20" t="str">
        <f ca="1">VLOOKUP($L109,OFFSET([3]enemies!$A$1,0,0,COUNTA([3]enemies!$A:$A),MATCH(N$1,[3]enemies!$1:$1,0)-MATCH($L$1,[3]enemies!$1:$1,0)+1),MATCH(N$1,[3]enemies!$1:$1,0)-MATCH($L$1,[3]enemies!$1:$1,0)+1,FALSE)</f>
        <v>blue</v>
      </c>
      <c r="O109" s="22" t="str">
        <f ca="1">VLOOKUP($L109,OFFSET([4]characters!$A$1,0,0,COUNTA([4]characters!$A:$A),MATCH(O$1,[4]characters!$1:$1,0)-MATCH($L$1,[4]characters!$1:$1,0)+1),MATCH(O$1,[4]characters!$1:$1,0)-MATCH($L$1,[4]characters!$1:$1,0)+1,FALSE)</f>
        <v>Material</v>
      </c>
      <c r="P109" s="20" t="str">
        <f ca="1">VLOOKUP($L109,OFFSET([3]enemies!$A$1,0,0,COUNTA([3]enemies!$A:$A),MATCH(P$1,[3]enemies!$1:$1,0)-MATCH($L$1,[3]enemies!$1:$1,0)+1),MATCH(P$1,[3]enemies!$1:$1,0)-MATCH($L$1,[3]enemies!$1:$1,0)+1,FALSE)</f>
        <v>unknown</v>
      </c>
      <c r="Q109" s="20">
        <f ca="1">VLOOKUP($L109,OFFSET([3]enemies!$A$1,0,0,COUNTA([3]enemies!$A:$A),MATCH(Q$1,[3]enemies!$1:$1,0)-MATCH($L$1,[3]enemies!$1:$1,0)+1),MATCH(Q$1,[3]enemies!$1:$1,0)-MATCH($L$1,[3]enemies!$1:$1,0)+1,FALSE)</f>
        <v>15</v>
      </c>
      <c r="R109" s="6">
        <v>1</v>
      </c>
      <c r="S109" s="39">
        <v>1</v>
      </c>
      <c r="T109" s="39">
        <v>1</v>
      </c>
      <c r="U109" s="6">
        <v>0</v>
      </c>
      <c r="V109" s="5" t="str">
        <f ca="1">VLOOKUP($W109,OFFSET([5]enemy_skill_sets!$B$1,0,0,COUNTA([5]enemy_skill_sets!$B:$B),MATCH(M$1,[5]enemy_skill_sets!$1:$1,0)-MATCH($W$1,[5]enemy_skill_sets!$1:$1,0)+2),MATCH(M$1,[5]enemy_skill_sets!$1:$1,0)-MATCH($W$1,[5]enemy_skill_sets!$1:$1,0)+2,FALSE)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09" s="5">
        <f ca="1">VLOOKUP($L109,OFFSET([3]enemies!$A$1,0,0,COUNTA([3]enemies!$A:$A),MATCH(W$1,[3]enemies!$1:$1,0)-MATCH($L$1,[3]enemies!$1:$1,0)+1),MATCH(W$1,[3]enemies!$1:$1,0)-MATCH($L$1,[3]enemies!$1:$1,0)+1,FALSE)</f>
        <v>0</v>
      </c>
      <c r="X109" s="7">
        <v>0</v>
      </c>
      <c r="Y109" s="7">
        <v>100</v>
      </c>
      <c r="Z109" s="7">
        <v>0</v>
      </c>
      <c r="AA109" s="20">
        <f ca="1">VLOOKUP($L109,OFFSET([3]enemies!$A$1,0,0,COUNTA([3]enemies!$A:$A),MATCH(AA$1,[3]enemies!$1:$1,0)-MATCH($L$1,[3]enemies!$1:$1,0)+1),MATCH(AA$1,[3]enemies!$1:$1,0)-MATCH($L$1,[3]enemies!$1:$1,0)+1,FALSE)</f>
        <v>2</v>
      </c>
      <c r="AB109" s="24">
        <v>341</v>
      </c>
      <c r="AC109" s="5" t="str">
        <f ca="1">IFERROR(VLOOKUP($AB109,OFFSET([4]characters!$A$1,0,0,COUNTA([4]characters!$A:$A),MATCH(AC$1,[4]characters!$1:$1,0)-MATCH("character_id",[4]characters!$1:$1,0)+1),MATCH(AC$1,[4]characters!$1:$1,0)-MATCH("character_id",[4]characters!$1:$1,0)+1,FALSE),"")</f>
        <v>水のメタルチック</v>
      </c>
      <c r="AD109" s="5">
        <f ca="1">IFERROR(VLOOKUP($AB109,OFFSET([4]characters!$A$1,0,0,COUNTA([4]characters!$A:$A),MATCH(AD$1,[4]characters!$1:$1,0)-MATCH("character_id",[4]characters!$1:$1,0)+1),MATCH(AD$1,[4]characters!$1:$1,0)-MATCH("character_id",[4]characters!$1:$1,0)+1,FALSE),"")</f>
        <v>4</v>
      </c>
      <c r="AE109" s="5" t="str">
        <f ca="1">IFERROR(VLOOKUP($AB109,OFFSET([4]characters!$A$1,0,0,COUNTA([4]characters!$A:$A),MATCH(AE$1,[4]characters!$1:$1,0)-MATCH("character_id",[4]characters!$1:$1,0)+1),MATCH(AE$1,[4]characters!$1:$1,0)-MATCH("character_id",[4]characters!$1:$1,0)+1,FALSE),"")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09" s="8">
        <v>1</v>
      </c>
      <c r="AG109" s="27">
        <f t="shared" ca="1" si="7"/>
        <v>4</v>
      </c>
      <c r="AH109" s="9">
        <v>10</v>
      </c>
      <c r="AI109" s="8">
        <v>0</v>
      </c>
      <c r="AJ109" s="8">
        <v>0</v>
      </c>
      <c r="AK109" s="8">
        <v>0</v>
      </c>
      <c r="AL109" s="8">
        <v>0</v>
      </c>
      <c r="AM109" s="8">
        <v>1</v>
      </c>
      <c r="AN109" s="8">
        <v>1</v>
      </c>
    </row>
    <row r="110" spans="1:40" ht="21" customHeight="1" x14ac:dyDescent="0.15">
      <c r="A110" s="17" t="str">
        <f t="shared" ca="1" si="9"/>
        <v>11008_4-4/37&lt;lv42&gt;s3</v>
      </c>
      <c r="B110" s="8">
        <v>11008</v>
      </c>
      <c r="C110" s="25">
        <v>4</v>
      </c>
      <c r="D110" s="2" t="str">
        <f t="shared" si="5"/>
        <v>11008_4</v>
      </c>
      <c r="E110" s="5" t="str">
        <f ca="1">VLOOKUP($B110,OFFSET([2]quests!$A$1,0,0,COUNTA([2]quests!$A:$A),MATCH(E$1,[2]quests!$1:$1,0)-MATCH($B$1,[2]quests!$1:$1,0)+1),MATCH(E$1,[2]quests!$1:$1,0)-MATCH($B$1,[2]quests!$1:$1,0)+1,FALSE)</f>
        <v>【日曜限定】 青と黄の素材</v>
      </c>
      <c r="F110" s="5" t="str">
        <f ca="1">VLOOKUP($D110,OFFSET([2]stages!$A$1,0,0,COUNTA([2]stages!$A:$A),MATCH(F$1,[2]stages!$2:$2,0)-MATCH($D$1,[2]stages!$2:$2,0)+1),MATCH(F$1,[2]stages!$2:$2,0)-MATCH($D$1,[2]stages!$2:$2,0)+1,FALSE)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0" s="25">
        <v>4</v>
      </c>
      <c r="H110" s="16" t="str">
        <f t="shared" si="6"/>
        <v>11008_4-4</v>
      </c>
      <c r="I110" s="5">
        <f ca="1">VLOOKUP($H110,OFFSET(floors!$A$1,0,0,COUNTA(floors!$A:$A),MATCH(I$1,floors!$1:$1,0)-MATCH($H$1,floors!$1:$1,0)+1),MATCH(I$1,floors!$1:$1,0)-MATCH($H$1,floors!$1:$1,0)+1,FALSE)</f>
        <v>45</v>
      </c>
      <c r="J110" s="5">
        <f ca="1">VLOOKUP($H110,OFFSET(floors!$A$1,0,0,COUNTA(floors!$A:$A),MATCH(J$1,floors!$1:$1,0)-MATCH($H$1,floors!$1:$1,0)+1),MATCH(J$1,floors!$1:$1,0)-MATCH($H$1,floors!$1:$1,0)+1,FALSE)</f>
        <v>60</v>
      </c>
      <c r="K110" s="24" t="s">
        <v>197</v>
      </c>
      <c r="L110" s="24">
        <v>37</v>
      </c>
      <c r="M110" s="20" t="str">
        <f ca="1">VLOOKUP($L110,OFFSET([3]enemies!$A$1,0,0,COUNTA([3]enemies!$A:$A),MATCH(M$1,[3]enemies!$1:$1,0)-MATCH($L$1,[3]enemies!$1:$1,0)+1),MATCH(M$1,[3]enemies!$1:$1,0)-MATCH($L$1,[3]enemies!$1:$1,0)+1,FALSE)</f>
        <v>ガイル</v>
      </c>
      <c r="N110" s="20" t="str">
        <f ca="1">VLOOKUP($L110,OFFSET([3]enemies!$A$1,0,0,COUNTA([3]enemies!$A:$A),MATCH(N$1,[3]enemies!$1:$1,0)-MATCH($L$1,[3]enemies!$1:$1,0)+1),MATCH(N$1,[3]enemies!$1:$1,0)-MATCH($L$1,[3]enemies!$1:$1,0)+1,FALSE)</f>
        <v>blue</v>
      </c>
      <c r="O110" s="22" t="str">
        <f ca="1">VLOOKUP($L110,OFFSET([4]characters!$A$1,0,0,COUNTA([4]characters!$A:$A),MATCH(O$1,[4]characters!$1:$1,0)-MATCH($L$1,[4]characters!$1:$1,0)+1),MATCH(O$1,[4]characters!$1:$1,0)-MATCH($L$1,[4]characters!$1:$1,0)+1,FALSE)</f>
        <v>Drop1S</v>
      </c>
      <c r="P110" s="20" t="str">
        <f ca="1">VLOOKUP($L110,OFFSET([3]enemies!$A$1,0,0,COUNTA([3]enemies!$A:$A),MATCH(P$1,[3]enemies!$1:$1,0)-MATCH($L$1,[3]enemies!$1:$1,0)+1),MATCH(P$1,[3]enemies!$1:$1,0)-MATCH($L$1,[3]enemies!$1:$1,0)+1,FALSE)</f>
        <v>animal</v>
      </c>
      <c r="Q110" s="20">
        <f ca="1">VLOOKUP($L110,OFFSET([3]enemies!$A$1,0,0,COUNTA([3]enemies!$A:$A),MATCH(Q$1,[3]enemies!$1:$1,0)-MATCH($L$1,[3]enemies!$1:$1,0)+1),MATCH(Q$1,[3]enemies!$1:$1,0)-MATCH($L$1,[3]enemies!$1:$1,0)+1,FALSE)</f>
        <v>15</v>
      </c>
      <c r="R110" s="6">
        <v>42</v>
      </c>
      <c r="S110" s="39">
        <v>1</v>
      </c>
      <c r="T110" s="39">
        <v>1</v>
      </c>
      <c r="U110" s="6">
        <v>0</v>
      </c>
      <c r="V110" s="5" t="str">
        <f ca="1">VLOOKUP($W110,OFFSET([5]enemy_skill_sets!$B$1,0,0,COUNTA([5]enemy_skill_sets!$B:$B),MATCH(M$1,[5]enemy_skill_sets!$1:$1,0)-MATCH($W$1,[5]enemy_skill_sets!$1:$1,0)+2),MATCH(M$1,[5]enemy_skill_sets!$1:$1,0)-MATCH($W$1,[5]enemy_skill_sets!$1:$1,0)+2,FALSE)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10" s="5">
        <f ca="1">VLOOKUP($L110,OFFSET([3]enemies!$A$1,0,0,COUNTA([3]enemies!$A:$A),MATCH(W$1,[3]enemies!$1:$1,0)-MATCH($L$1,[3]enemies!$1:$1,0)+1),MATCH(W$1,[3]enemies!$1:$1,0)-MATCH($L$1,[3]enemies!$1:$1,0)+1,FALSE)</f>
        <v>37</v>
      </c>
      <c r="X110" s="7">
        <v>0</v>
      </c>
      <c r="Y110" s="7">
        <v>100</v>
      </c>
      <c r="Z110" s="7">
        <v>0</v>
      </c>
      <c r="AA110" s="20">
        <f ca="1">VLOOKUP($L110,OFFSET([3]enemies!$A$1,0,0,COUNTA([3]enemies!$A:$A),MATCH(AA$1,[3]enemies!$1:$1,0)-MATCH($L$1,[3]enemies!$1:$1,0)+1),MATCH(AA$1,[3]enemies!$1:$1,0)-MATCH($L$1,[3]enemies!$1:$1,0)+1,FALSE)</f>
        <v>3</v>
      </c>
      <c r="AB110" s="24">
        <v>37</v>
      </c>
      <c r="AC110" s="5" t="str">
        <f ca="1">IFERROR(VLOOKUP($AB110,OFFSET([4]characters!$A$1,0,0,COUNTA([4]characters!$A:$A),MATCH(AC$1,[4]characters!$1:$1,0)-MATCH("character_id",[4]characters!$1:$1,0)+1),MATCH(AC$1,[4]characters!$1:$1,0)-MATCH("character_id",[4]characters!$1:$1,0)+1,FALSE),"")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10" s="5">
        <f ca="1">IFERROR(VLOOKUP($AB110,OFFSET([4]characters!$A$1,0,0,COUNTA([4]characters!$A:$A),MATCH(AD$1,[4]characters!$1:$1,0)-MATCH("character_id",[4]characters!$1:$1,0)+1),MATCH(AD$1,[4]characters!$1:$1,0)-MATCH("character_id",[4]characters!$1:$1,0)+1,FALSE),"")</f>
        <v>2</v>
      </c>
      <c r="AE110" s="5" t="str">
        <f ca="1">IFERROR(VLOOKUP($AB110,OFFSET([4]characters!$A$1,0,0,COUNTA([4]characters!$A:$A),MATCH(AE$1,[4]characters!$1:$1,0)-MATCH("character_id",[4]characters!$1:$1,0)+1),MATCH(AE$1,[4]characters!$1:$1,0)-MATCH("character_id",[4]characters!$1:$1,0)+1,FALSE),"")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10" s="8">
        <v>1</v>
      </c>
      <c r="AG110" s="27">
        <f t="shared" ca="1" si="7"/>
        <v>2</v>
      </c>
      <c r="AH110" s="9">
        <v>0</v>
      </c>
      <c r="AI110" s="8">
        <v>0</v>
      </c>
      <c r="AJ110" s="8">
        <v>0</v>
      </c>
      <c r="AK110" s="8">
        <v>0</v>
      </c>
      <c r="AL110" s="8">
        <v>0</v>
      </c>
      <c r="AM110" s="8">
        <v>1</v>
      </c>
      <c r="AN110" s="8">
        <v>1</v>
      </c>
    </row>
    <row r="111" spans="1:40" ht="21" customHeight="1" x14ac:dyDescent="0.15">
      <c r="A111" s="17" t="str">
        <f t="shared" ca="1" si="9"/>
        <v>11008_4-4/29&lt;lv42&gt;s2</v>
      </c>
      <c r="B111" s="8">
        <v>11008</v>
      </c>
      <c r="C111" s="25">
        <v>4</v>
      </c>
      <c r="D111" s="2" t="str">
        <f t="shared" si="5"/>
        <v>11008_4</v>
      </c>
      <c r="E111" s="5" t="str">
        <f ca="1">VLOOKUP($B111,OFFSET([2]quests!$A$1,0,0,COUNTA([2]quests!$A:$A),MATCH(E$1,[2]quests!$1:$1,0)-MATCH($B$1,[2]quests!$1:$1,0)+1),MATCH(E$1,[2]quests!$1:$1,0)-MATCH($B$1,[2]quests!$1:$1,0)+1,FALSE)</f>
        <v>【日曜限定】 青と黄の素材</v>
      </c>
      <c r="F111" s="5" t="str">
        <f ca="1">VLOOKUP($D111,OFFSET([2]stages!$A$1,0,0,COUNTA([2]stages!$A:$A),MATCH(F$1,[2]stages!$2:$2,0)-MATCH($D$1,[2]stages!$2:$2,0)+1),MATCH(F$1,[2]stages!$2:$2,0)-MATCH($D$1,[2]stages!$2:$2,0)+1,FALSE)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1" s="25">
        <v>4</v>
      </c>
      <c r="H111" s="16" t="str">
        <f t="shared" si="6"/>
        <v>11008_4-4</v>
      </c>
      <c r="I111" s="5">
        <f ca="1">VLOOKUP($H111,OFFSET(floors!$A$1,0,0,COUNTA(floors!$A:$A),MATCH(I$1,floors!$1:$1,0)-MATCH($H$1,floors!$1:$1,0)+1),MATCH(I$1,floors!$1:$1,0)-MATCH($H$1,floors!$1:$1,0)+1,FALSE)</f>
        <v>45</v>
      </c>
      <c r="J111" s="5">
        <f ca="1">VLOOKUP($H111,OFFSET(floors!$A$1,0,0,COUNTA(floors!$A:$A),MATCH(J$1,floors!$1:$1,0)-MATCH($H$1,floors!$1:$1,0)+1),MATCH(J$1,floors!$1:$1,0)-MATCH($H$1,floors!$1:$1,0)+1,FALSE)</f>
        <v>60</v>
      </c>
      <c r="K111" s="24" t="s">
        <v>197</v>
      </c>
      <c r="L111" s="24">
        <v>29</v>
      </c>
      <c r="M111" s="20" t="str">
        <f ca="1">VLOOKUP($L111,OFFSET([3]enemies!$A$1,0,0,COUNTA([3]enemies!$A:$A),MATCH(M$1,[3]enemies!$1:$1,0)-MATCH($L$1,[3]enemies!$1:$1,0)+1),MATCH(M$1,[3]enemies!$1:$1,0)-MATCH($L$1,[3]enemies!$1:$1,0)+1,FALSE)</f>
        <v>スケアクロウ</v>
      </c>
      <c r="N111" s="20" t="str">
        <f ca="1">VLOOKUP($L111,OFFSET([3]enemies!$A$1,0,0,COUNTA([3]enemies!$A:$A),MATCH(N$1,[3]enemies!$1:$1,0)-MATCH($L$1,[3]enemies!$1:$1,0)+1),MATCH(N$1,[3]enemies!$1:$1,0)-MATCH($L$1,[3]enemies!$1:$1,0)+1,FALSE)</f>
        <v>blue</v>
      </c>
      <c r="O111" s="22" t="str">
        <f ca="1">VLOOKUP($L111,OFFSET([4]characters!$A$1,0,0,COUNTA([4]characters!$A:$A),MATCH(O$1,[4]characters!$1:$1,0)-MATCH($L$1,[4]characters!$1:$1,0)+1),MATCH(O$1,[4]characters!$1:$1,0)-MATCH($L$1,[4]characters!$1:$1,0)+1,FALSE)</f>
        <v>Drop1N</v>
      </c>
      <c r="P111" s="20" t="str">
        <f ca="1">VLOOKUP($L111,OFFSET([3]enemies!$A$1,0,0,COUNTA([3]enemies!$A:$A),MATCH(P$1,[3]enemies!$1:$1,0)-MATCH($L$1,[3]enemies!$1:$1,0)+1),MATCH(P$1,[3]enemies!$1:$1,0)-MATCH($L$1,[3]enemies!$1:$1,0)+1,FALSE)</f>
        <v>machine</v>
      </c>
      <c r="Q111" s="20">
        <f ca="1">VLOOKUP($L111,OFFSET([3]enemies!$A$1,0,0,COUNTA([3]enemies!$A:$A),MATCH(Q$1,[3]enemies!$1:$1,0)-MATCH($L$1,[3]enemies!$1:$1,0)+1),MATCH(Q$1,[3]enemies!$1:$1,0)-MATCH($L$1,[3]enemies!$1:$1,0)+1,FALSE)</f>
        <v>15</v>
      </c>
      <c r="R111" s="6">
        <v>42</v>
      </c>
      <c r="S111" s="39">
        <v>1</v>
      </c>
      <c r="T111" s="39">
        <v>1</v>
      </c>
      <c r="U111" s="6">
        <v>0</v>
      </c>
      <c r="V111" s="5" t="str">
        <f ca="1">VLOOKUP($W111,OFFSET([5]enemy_skill_sets!$B$1,0,0,COUNTA([5]enemy_skill_sets!$B:$B),MATCH(M$1,[5]enemy_skill_sets!$1:$1,0)-MATCH($W$1,[5]enemy_skill_sets!$1:$1,0)+2),MATCH(M$1,[5]enemy_skill_sets!$1:$1,0)-MATCH($W$1,[5]enemy_skill_sets!$1:$1,0)+2,FALSE)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1" s="5">
        <f ca="1">VLOOKUP($L111,OFFSET([3]enemies!$A$1,0,0,COUNTA([3]enemies!$A:$A),MATCH(W$1,[3]enemies!$1:$1,0)-MATCH($L$1,[3]enemies!$1:$1,0)+1),MATCH(W$1,[3]enemies!$1:$1,0)-MATCH($L$1,[3]enemies!$1:$1,0)+1,FALSE)</f>
        <v>0</v>
      </c>
      <c r="X111" s="7">
        <v>0</v>
      </c>
      <c r="Y111" s="7">
        <v>100</v>
      </c>
      <c r="Z111" s="7">
        <v>0</v>
      </c>
      <c r="AA111" s="20">
        <f ca="1">VLOOKUP($L111,OFFSET([3]enemies!$A$1,0,0,COUNTA([3]enemies!$A:$A),MATCH(AA$1,[3]enemies!$1:$1,0)-MATCH($L$1,[3]enemies!$1:$1,0)+1),MATCH(AA$1,[3]enemies!$1:$1,0)-MATCH($L$1,[3]enemies!$1:$1,0)+1,FALSE)</f>
        <v>2</v>
      </c>
      <c r="AB111" s="24">
        <v>29</v>
      </c>
      <c r="AC111" s="5" t="str">
        <f ca="1">IFERROR(VLOOKUP($AB111,OFFSET([4]characters!$A$1,0,0,COUNTA([4]characters!$A:$A),MATCH(AC$1,[4]characters!$1:$1,0)-MATCH("character_id",[4]characters!$1:$1,0)+1),MATCH(AC$1,[4]characters!$1:$1,0)-MATCH("character_id",[4]characters!$1:$1,0)+1,FALSE),"")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11" s="5">
        <f ca="1">IFERROR(VLOOKUP($AB111,OFFSET([4]characters!$A$1,0,0,COUNTA([4]characters!$A:$A),MATCH(AD$1,[4]characters!$1:$1,0)-MATCH("character_id",[4]characters!$1:$1,0)+1),MATCH(AD$1,[4]characters!$1:$1,0)-MATCH("character_id",[4]characters!$1:$1,0)+1,FALSE),"")</f>
        <v>1</v>
      </c>
      <c r="AE111" s="5" t="str">
        <f ca="1">IFERROR(VLOOKUP($AB111,OFFSET([4]characters!$A$1,0,0,COUNTA([4]characters!$A:$A),MATCH(AE$1,[4]characters!$1:$1,0)-MATCH("character_id",[4]characters!$1:$1,0)+1),MATCH(AE$1,[4]characters!$1:$1,0)-MATCH("character_id",[4]characters!$1:$1,0)+1,FALSE),"")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1" s="8">
        <v>1</v>
      </c>
      <c r="AG111" s="27">
        <f t="shared" ca="1" si="7"/>
        <v>1</v>
      </c>
      <c r="AH111" s="9">
        <v>0</v>
      </c>
      <c r="AI111" s="8">
        <v>0</v>
      </c>
      <c r="AJ111" s="8">
        <v>0</v>
      </c>
      <c r="AK111" s="8">
        <v>0</v>
      </c>
      <c r="AL111" s="8">
        <v>0</v>
      </c>
      <c r="AM111" s="8">
        <v>1</v>
      </c>
      <c r="AN111" s="8">
        <v>1</v>
      </c>
    </row>
    <row r="112" spans="1:40" ht="21" customHeight="1" x14ac:dyDescent="0.15">
      <c r="A112" s="17" t="str">
        <f t="shared" ca="1" si="9"/>
        <v>11008_4-5/37&lt;lv42&gt;s3</v>
      </c>
      <c r="B112" s="8">
        <v>11008</v>
      </c>
      <c r="C112" s="25">
        <v>4</v>
      </c>
      <c r="D112" s="2" t="str">
        <f t="shared" si="5"/>
        <v>11008_4</v>
      </c>
      <c r="E112" s="5" t="str">
        <f ca="1">VLOOKUP($B112,OFFSET([2]quests!$A$1,0,0,COUNTA([2]quests!$A:$A),MATCH(E$1,[2]quests!$1:$1,0)-MATCH($B$1,[2]quests!$1:$1,0)+1),MATCH(E$1,[2]quests!$1:$1,0)-MATCH($B$1,[2]quests!$1:$1,0)+1,FALSE)</f>
        <v>【日曜限定】 青と黄の素材</v>
      </c>
      <c r="F112" s="5" t="str">
        <f ca="1">VLOOKUP($D112,OFFSET([2]stages!$A$1,0,0,COUNTA([2]stages!$A:$A),MATCH(F$1,[2]stages!$2:$2,0)-MATCH($D$1,[2]stages!$2:$2,0)+1),MATCH(F$1,[2]stages!$2:$2,0)-MATCH($D$1,[2]stages!$2:$2,0)+1,FALSE)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2" s="25">
        <v>5</v>
      </c>
      <c r="H112" s="16" t="str">
        <f t="shared" si="6"/>
        <v>11008_4-5</v>
      </c>
      <c r="I112" s="5">
        <f ca="1">VLOOKUP($H112,OFFSET(floors!$A$1,0,0,COUNTA(floors!$A:$A),MATCH(I$1,floors!$1:$1,0)-MATCH($H$1,floors!$1:$1,0)+1),MATCH(I$1,floors!$1:$1,0)-MATCH($H$1,floors!$1:$1,0)+1,FALSE)</f>
        <v>60</v>
      </c>
      <c r="J112" s="5">
        <f ca="1">VLOOKUP($H112,OFFSET(floors!$A$1,0,0,COUNTA(floors!$A:$A),MATCH(J$1,floors!$1:$1,0)-MATCH($H$1,floors!$1:$1,0)+1),MATCH(J$1,floors!$1:$1,0)-MATCH($H$1,floors!$1:$1,0)+1,FALSE)</f>
        <v>60</v>
      </c>
      <c r="K112" s="24" t="s">
        <v>197</v>
      </c>
      <c r="L112" s="24">
        <v>37</v>
      </c>
      <c r="M112" s="20" t="str">
        <f ca="1">VLOOKUP($L112,OFFSET([3]enemies!$A$1,0,0,COUNTA([3]enemies!$A:$A),MATCH(M$1,[3]enemies!$1:$1,0)-MATCH($L$1,[3]enemies!$1:$1,0)+1),MATCH(M$1,[3]enemies!$1:$1,0)-MATCH($L$1,[3]enemies!$1:$1,0)+1,FALSE)</f>
        <v>ガイル</v>
      </c>
      <c r="N112" s="20" t="str">
        <f ca="1">VLOOKUP($L112,OFFSET([3]enemies!$A$1,0,0,COUNTA([3]enemies!$A:$A),MATCH(N$1,[3]enemies!$1:$1,0)-MATCH($L$1,[3]enemies!$1:$1,0)+1),MATCH(N$1,[3]enemies!$1:$1,0)-MATCH($L$1,[3]enemies!$1:$1,0)+1,FALSE)</f>
        <v>blue</v>
      </c>
      <c r="O112" s="22" t="str">
        <f ca="1">VLOOKUP($L112,OFFSET([4]characters!$A$1,0,0,COUNTA([4]characters!$A:$A),MATCH(O$1,[4]characters!$1:$1,0)-MATCH($L$1,[4]characters!$1:$1,0)+1),MATCH(O$1,[4]characters!$1:$1,0)-MATCH($L$1,[4]characters!$1:$1,0)+1,FALSE)</f>
        <v>Drop1S</v>
      </c>
      <c r="P112" s="20" t="str">
        <f ca="1">VLOOKUP($L112,OFFSET([3]enemies!$A$1,0,0,COUNTA([3]enemies!$A:$A),MATCH(P$1,[3]enemies!$1:$1,0)-MATCH($L$1,[3]enemies!$1:$1,0)+1),MATCH(P$1,[3]enemies!$1:$1,0)-MATCH($L$1,[3]enemies!$1:$1,0)+1,FALSE)</f>
        <v>animal</v>
      </c>
      <c r="Q112" s="20">
        <f ca="1">VLOOKUP($L112,OFFSET([3]enemies!$A$1,0,0,COUNTA([3]enemies!$A:$A),MATCH(Q$1,[3]enemies!$1:$1,0)-MATCH($L$1,[3]enemies!$1:$1,0)+1),MATCH(Q$1,[3]enemies!$1:$1,0)-MATCH($L$1,[3]enemies!$1:$1,0)+1,FALSE)</f>
        <v>15</v>
      </c>
      <c r="R112" s="6">
        <v>42</v>
      </c>
      <c r="S112" s="39">
        <v>1</v>
      </c>
      <c r="T112" s="39">
        <v>1</v>
      </c>
      <c r="U112" s="6">
        <v>0</v>
      </c>
      <c r="V112" s="5" t="str">
        <f ca="1">VLOOKUP($W112,OFFSET([5]enemy_skill_sets!$B$1,0,0,COUNTA([5]enemy_skill_sets!$B:$B),MATCH(M$1,[5]enemy_skill_sets!$1:$1,0)-MATCH($W$1,[5]enemy_skill_sets!$1:$1,0)+2),MATCH(M$1,[5]enemy_skill_sets!$1:$1,0)-MATCH($W$1,[5]enemy_skill_sets!$1:$1,0)+2,FALSE)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112" s="5">
        <f ca="1">VLOOKUP($L112,OFFSET([3]enemies!$A$1,0,0,COUNTA([3]enemies!$A:$A),MATCH(W$1,[3]enemies!$1:$1,0)-MATCH($L$1,[3]enemies!$1:$1,0)+1),MATCH(W$1,[3]enemies!$1:$1,0)-MATCH($L$1,[3]enemies!$1:$1,0)+1,FALSE)</f>
        <v>37</v>
      </c>
      <c r="X112" s="7">
        <v>0</v>
      </c>
      <c r="Y112" s="7">
        <v>100</v>
      </c>
      <c r="Z112" s="7">
        <v>0</v>
      </c>
      <c r="AA112" s="20">
        <f ca="1">VLOOKUP($L112,OFFSET([3]enemies!$A$1,0,0,COUNTA([3]enemies!$A:$A),MATCH(AA$1,[3]enemies!$1:$1,0)-MATCH($L$1,[3]enemies!$1:$1,0)+1),MATCH(AA$1,[3]enemies!$1:$1,0)-MATCH($L$1,[3]enemies!$1:$1,0)+1,FALSE)</f>
        <v>3</v>
      </c>
      <c r="AB112" s="24">
        <v>37</v>
      </c>
      <c r="AC112" s="5" t="str">
        <f ca="1">IFERROR(VLOOKUP($AB112,OFFSET([4]characters!$A$1,0,0,COUNTA([4]characters!$A:$A),MATCH(AC$1,[4]characters!$1:$1,0)-MATCH("character_id",[4]characters!$1:$1,0)+1),MATCH(AC$1,[4]characters!$1:$1,0)-MATCH("character_id",[4]characters!$1:$1,0)+1,FALSE),"")</f>
        <v>ガイル</v>
      </c>
      <c r="AD112" s="5">
        <f ca="1">IFERROR(VLOOKUP($AB112,OFFSET([4]characters!$A$1,0,0,COUNTA([4]characters!$A:$A),MATCH(AD$1,[4]characters!$1:$1,0)-MATCH("character_id",[4]characters!$1:$1,0)+1),MATCH(AD$1,[4]characters!$1:$1,0)-MATCH("character_id",[4]characters!$1:$1,0)+1,FALSE),"")</f>
        <v>2</v>
      </c>
      <c r="AE112" s="5" t="str">
        <f ca="1">IFERROR(VLOOKUP($AB112,OFFSET([4]characters!$A$1,0,0,COUNTA([4]characters!$A:$A),MATCH(AE$1,[4]characters!$1:$1,0)-MATCH("character_id",[4]characters!$1:$1,0)+1),MATCH(AE$1,[4]characters!$1:$1,0)-MATCH("character_id",[4]characters!$1:$1,0)+1,FALSE),"")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12" s="8">
        <v>1</v>
      </c>
      <c r="AG112" s="27">
        <f t="shared" ca="1" si="7"/>
        <v>2</v>
      </c>
      <c r="AH112" s="9">
        <v>0</v>
      </c>
      <c r="AI112" s="8">
        <v>0</v>
      </c>
      <c r="AJ112" s="8">
        <v>0</v>
      </c>
      <c r="AK112" s="8">
        <v>0</v>
      </c>
      <c r="AL112" s="8">
        <v>0</v>
      </c>
      <c r="AM112" s="8">
        <v>1</v>
      </c>
      <c r="AN112" s="8">
        <v>1</v>
      </c>
    </row>
    <row r="113" spans="1:40" ht="21" customHeight="1" x14ac:dyDescent="0.15">
      <c r="A113" s="17" t="str">
        <f t="shared" ca="1" si="9"/>
        <v>11008_4-5/29&lt;lv42&gt;s2</v>
      </c>
      <c r="B113" s="8">
        <v>11008</v>
      </c>
      <c r="C113" s="25">
        <v>4</v>
      </c>
      <c r="D113" s="2" t="str">
        <f t="shared" si="5"/>
        <v>11008_4</v>
      </c>
      <c r="E113" s="5" t="str">
        <f ca="1">VLOOKUP($B113,OFFSET([2]quests!$A$1,0,0,COUNTA([2]quests!$A:$A),MATCH(E$1,[2]quests!$1:$1,0)-MATCH($B$1,[2]quests!$1:$1,0)+1),MATCH(E$1,[2]quests!$1:$1,0)-MATCH($B$1,[2]quests!$1:$1,0)+1,FALSE)</f>
        <v>【日曜限定】 青と黄の素材</v>
      </c>
      <c r="F113" s="5" t="str">
        <f ca="1">VLOOKUP($D113,OFFSET([2]stages!$A$1,0,0,COUNTA([2]stages!$A:$A),MATCH(F$1,[2]stages!$2:$2,0)-MATCH($D$1,[2]stages!$2:$2,0)+1),MATCH(F$1,[2]stages!$2:$2,0)-MATCH($D$1,[2]stages!$2:$2,0)+1,FALSE)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3" s="25">
        <v>5</v>
      </c>
      <c r="H113" s="16" t="str">
        <f t="shared" si="6"/>
        <v>11008_4-5</v>
      </c>
      <c r="I113" s="5">
        <f ca="1">VLOOKUP($H113,OFFSET(floors!$A$1,0,0,COUNTA(floors!$A:$A),MATCH(I$1,floors!$1:$1,0)-MATCH($H$1,floors!$1:$1,0)+1),MATCH(I$1,floors!$1:$1,0)-MATCH($H$1,floors!$1:$1,0)+1,FALSE)</f>
        <v>60</v>
      </c>
      <c r="J113" s="5">
        <f ca="1">VLOOKUP($H113,OFFSET(floors!$A$1,0,0,COUNTA(floors!$A:$A),MATCH(J$1,floors!$1:$1,0)-MATCH($H$1,floors!$1:$1,0)+1),MATCH(J$1,floors!$1:$1,0)-MATCH($H$1,floors!$1:$1,0)+1,FALSE)</f>
        <v>60</v>
      </c>
      <c r="K113" s="24" t="s">
        <v>197</v>
      </c>
      <c r="L113" s="24">
        <v>29</v>
      </c>
      <c r="M113" s="20" t="str">
        <f ca="1">VLOOKUP($L113,OFFSET([3]enemies!$A$1,0,0,COUNTA([3]enemies!$A:$A),MATCH(M$1,[3]enemies!$1:$1,0)-MATCH($L$1,[3]enemies!$1:$1,0)+1),MATCH(M$1,[3]enemies!$1:$1,0)-MATCH($L$1,[3]enemies!$1:$1,0)+1,FALSE)</f>
        <v>スケアクロウ</v>
      </c>
      <c r="N113" s="20" t="str">
        <f ca="1">VLOOKUP($L113,OFFSET([3]enemies!$A$1,0,0,COUNTA([3]enemies!$A:$A),MATCH(N$1,[3]enemies!$1:$1,0)-MATCH($L$1,[3]enemies!$1:$1,0)+1),MATCH(N$1,[3]enemies!$1:$1,0)-MATCH($L$1,[3]enemies!$1:$1,0)+1,FALSE)</f>
        <v>blue</v>
      </c>
      <c r="O113" s="22" t="str">
        <f ca="1">VLOOKUP($L113,OFFSET([4]characters!$A$1,0,0,COUNTA([4]characters!$A:$A),MATCH(O$1,[4]characters!$1:$1,0)-MATCH($L$1,[4]characters!$1:$1,0)+1),MATCH(O$1,[4]characters!$1:$1,0)-MATCH($L$1,[4]characters!$1:$1,0)+1,FALSE)</f>
        <v>Drop1N</v>
      </c>
      <c r="P113" s="20" t="str">
        <f ca="1">VLOOKUP($L113,OFFSET([3]enemies!$A$1,0,0,COUNTA([3]enemies!$A:$A),MATCH(P$1,[3]enemies!$1:$1,0)-MATCH($L$1,[3]enemies!$1:$1,0)+1),MATCH(P$1,[3]enemies!$1:$1,0)-MATCH($L$1,[3]enemies!$1:$1,0)+1,FALSE)</f>
        <v>machine</v>
      </c>
      <c r="Q113" s="20">
        <f ca="1">VLOOKUP($L113,OFFSET([3]enemies!$A$1,0,0,COUNTA([3]enemies!$A:$A),MATCH(Q$1,[3]enemies!$1:$1,0)-MATCH($L$1,[3]enemies!$1:$1,0)+1),MATCH(Q$1,[3]enemies!$1:$1,0)-MATCH($L$1,[3]enemies!$1:$1,0)+1,FALSE)</f>
        <v>15</v>
      </c>
      <c r="R113" s="6">
        <v>42</v>
      </c>
      <c r="S113" s="39">
        <v>1</v>
      </c>
      <c r="T113" s="39">
        <v>1</v>
      </c>
      <c r="U113" s="6">
        <v>0</v>
      </c>
      <c r="V113" s="5" t="str">
        <f ca="1">VLOOKUP($W113,OFFSET([5]enemy_skill_sets!$B$1,0,0,COUNTA([5]enemy_skill_sets!$B:$B),MATCH(M$1,[5]enemy_skill_sets!$1:$1,0)-MATCH($W$1,[5]enemy_skill_sets!$1:$1,0)+2),MATCH(M$1,[5]enemy_skill_sets!$1:$1,0)-MATCH($W$1,[5]enemy_skill_sets!$1:$1,0)+2,FALSE)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3" s="5">
        <f ca="1">VLOOKUP($L113,OFFSET([3]enemies!$A$1,0,0,COUNTA([3]enemies!$A:$A),MATCH(W$1,[3]enemies!$1:$1,0)-MATCH($L$1,[3]enemies!$1:$1,0)+1),MATCH(W$1,[3]enemies!$1:$1,0)-MATCH($L$1,[3]enemies!$1:$1,0)+1,FALSE)</f>
        <v>0</v>
      </c>
      <c r="X113" s="7">
        <v>0</v>
      </c>
      <c r="Y113" s="7">
        <v>100</v>
      </c>
      <c r="Z113" s="7">
        <v>0</v>
      </c>
      <c r="AA113" s="20">
        <f ca="1">VLOOKUP($L113,OFFSET([3]enemies!$A$1,0,0,COUNTA([3]enemies!$A:$A),MATCH(AA$1,[3]enemies!$1:$1,0)-MATCH($L$1,[3]enemies!$1:$1,0)+1),MATCH(AA$1,[3]enemies!$1:$1,0)-MATCH($L$1,[3]enemies!$1:$1,0)+1,FALSE)</f>
        <v>2</v>
      </c>
      <c r="AB113" s="24">
        <v>29</v>
      </c>
      <c r="AC113" s="5" t="str">
        <f ca="1">IFERROR(VLOOKUP($AB113,OFFSET([4]characters!$A$1,0,0,COUNTA([4]characters!$A:$A),MATCH(AC$1,[4]characters!$1:$1,0)-MATCH("character_id",[4]characters!$1:$1,0)+1),MATCH(AC$1,[4]characters!$1:$1,0)-MATCH("character_id",[4]characters!$1:$1,0)+1,FALSE),"")</f>
        <v>スケアクロウ</v>
      </c>
      <c r="AD113" s="5">
        <f ca="1">IFERROR(VLOOKUP($AB113,OFFSET([4]characters!$A$1,0,0,COUNTA([4]characters!$A:$A),MATCH(AD$1,[4]characters!$1:$1,0)-MATCH("character_id",[4]characters!$1:$1,0)+1),MATCH(AD$1,[4]characters!$1:$1,0)-MATCH("character_id",[4]characters!$1:$1,0)+1,FALSE),"")</f>
        <v>1</v>
      </c>
      <c r="AE113" s="5" t="str">
        <f ca="1">IFERROR(VLOOKUP($AB113,OFFSET([4]characters!$A$1,0,0,COUNTA([4]characters!$A:$A),MATCH(AE$1,[4]characters!$1:$1,0)-MATCH("character_id",[4]characters!$1:$1,0)+1),MATCH(AE$1,[4]characters!$1:$1,0)-MATCH("character_id",[4]characters!$1:$1,0)+1,FALSE),"")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3" s="8">
        <v>1</v>
      </c>
      <c r="AG113" s="27">
        <f t="shared" ca="1" si="7"/>
        <v>1</v>
      </c>
      <c r="AH113" s="9">
        <v>0</v>
      </c>
      <c r="AI113" s="8">
        <v>0</v>
      </c>
      <c r="AJ113" s="8">
        <v>0</v>
      </c>
      <c r="AK113" s="8">
        <v>0</v>
      </c>
      <c r="AL113" s="8">
        <v>0</v>
      </c>
      <c r="AM113" s="8">
        <v>1</v>
      </c>
      <c r="AN113" s="8">
        <v>1</v>
      </c>
    </row>
    <row r="114" spans="1:40" ht="21" customHeight="1" x14ac:dyDescent="0.15">
      <c r="A114" s="17" t="str">
        <f t="shared" ca="1" si="9"/>
        <v>11008_4-6/112&lt;lv40&gt;s2</v>
      </c>
      <c r="B114" s="8">
        <v>11008</v>
      </c>
      <c r="C114" s="25">
        <v>4</v>
      </c>
      <c r="D114" s="2" t="str">
        <f t="shared" si="5"/>
        <v>11008_4</v>
      </c>
      <c r="E114" s="5" t="str">
        <f ca="1">VLOOKUP($B114,OFFSET([2]quests!$A$1,0,0,COUNTA([2]quests!$A:$A),MATCH(E$1,[2]quests!$1:$1,0)-MATCH($B$1,[2]quests!$1:$1,0)+1),MATCH(E$1,[2]quests!$1:$1,0)-MATCH($B$1,[2]quests!$1:$1,0)+1,FALSE)</f>
        <v>【日曜限定】 青と黄の素材</v>
      </c>
      <c r="F114" s="5" t="str">
        <f ca="1">VLOOKUP($D114,OFFSET([2]stages!$A$1,0,0,COUNTA([2]stages!$A:$A),MATCH(F$1,[2]stages!$2:$2,0)-MATCH($D$1,[2]stages!$2:$2,0)+1),MATCH(F$1,[2]stages!$2:$2,0)-MATCH($D$1,[2]stages!$2:$2,0)+1,FALSE)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4" s="25">
        <v>6</v>
      </c>
      <c r="H114" s="16" t="str">
        <f t="shared" si="6"/>
        <v>11008_4-6</v>
      </c>
      <c r="I114" s="5">
        <f ca="1">VLOOKUP($H114,OFFSET(floors!$A$1,0,0,COUNTA(floors!$A:$A),MATCH(I$1,floors!$1:$1,0)-MATCH($H$1,floors!$1:$1,0)+1),MATCH(I$1,floors!$1:$1,0)-MATCH($H$1,floors!$1:$1,0)+1,FALSE)</f>
        <v>60</v>
      </c>
      <c r="J114" s="5">
        <f ca="1">VLOOKUP($H114,OFFSET(floors!$A$1,0,0,COUNTA(floors!$A:$A),MATCH(J$1,floors!$1:$1,0)-MATCH($H$1,floors!$1:$1,0)+1),MATCH(J$1,floors!$1:$1,0)-MATCH($H$1,floors!$1:$1,0)+1,FALSE)</f>
        <v>60</v>
      </c>
      <c r="K114" s="24" t="s">
        <v>197</v>
      </c>
      <c r="L114" s="24">
        <v>112</v>
      </c>
      <c r="M114" s="20" t="str">
        <f ca="1">VLOOKUP($L114,OFFSET([3]enemies!$A$1,0,0,COUNTA([3]enemies!$A:$A),MATCH(M$1,[3]enemies!$1:$1,0)-MATCH($L$1,[3]enemies!$1:$1,0)+1),MATCH(M$1,[3]enemies!$1:$1,0)-MATCH($L$1,[3]enemies!$1:$1,0)+1,FALSE)</f>
        <v>水のマッドハッター</v>
      </c>
      <c r="N114" s="20" t="str">
        <f ca="1">VLOOKUP($L114,OFFSET([3]enemies!$A$1,0,0,COUNTA([3]enemies!$A:$A),MATCH(N$1,[3]enemies!$1:$1,0)-MATCH($L$1,[3]enemies!$1:$1,0)+1),MATCH(N$1,[3]enemies!$1:$1,0)-MATCH($L$1,[3]enemies!$1:$1,0)+1,FALSE)</f>
        <v>blue</v>
      </c>
      <c r="O114" s="22" t="str">
        <f ca="1">VLOOKUP($L114,OFFSET([4]characters!$A$1,0,0,COUNTA([4]characters!$A:$A),MATCH(O$1,[4]characters!$1:$1,0)-MATCH($L$1,[4]characters!$1:$1,0)+1),MATCH(O$1,[4]characters!$1:$1,0)-MATCH($L$1,[4]characters!$1:$1,0)+1,FALSE)</f>
        <v>Material</v>
      </c>
      <c r="P114" s="20" t="str">
        <f ca="1">VLOOKUP($L114,OFFSET([3]enemies!$A$1,0,0,COUNTA([3]enemies!$A:$A),MATCH(P$1,[3]enemies!$1:$1,0)-MATCH($L$1,[3]enemies!$1:$1,0)+1),MATCH(P$1,[3]enemies!$1:$1,0)-MATCH($L$1,[3]enemies!$1:$1,0)+1,FALSE)</f>
        <v>unknown</v>
      </c>
      <c r="Q114" s="20">
        <f ca="1">VLOOKUP($L114,OFFSET([3]enemies!$A$1,0,0,COUNTA([3]enemies!$A:$A),MATCH(Q$1,[3]enemies!$1:$1,0)-MATCH($L$1,[3]enemies!$1:$1,0)+1),MATCH(Q$1,[3]enemies!$1:$1,0)-MATCH($L$1,[3]enemies!$1:$1,0)+1,FALSE)</f>
        <v>20</v>
      </c>
      <c r="R114" s="6">
        <v>40</v>
      </c>
      <c r="S114" s="39">
        <v>1.7</v>
      </c>
      <c r="T114" s="39">
        <v>1</v>
      </c>
      <c r="U114" s="6">
        <v>0</v>
      </c>
      <c r="V114" s="5" t="str">
        <f ca="1">VLOOKUP($W114,OFFSET([5]enemy_skill_sets!$B$1,0,0,COUNTA([5]enemy_skill_sets!$B:$B),MATCH(M$1,[5]enemy_skill_sets!$1:$1,0)-MATCH($W$1,[5]enemy_skill_sets!$1:$1,0)+2),MATCH(M$1,[5]enemy_skill_sets!$1:$1,0)-MATCH($W$1,[5]enemy_skill_sets!$1:$1,0)+2,FALSE)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4" s="5">
        <f ca="1">VLOOKUP($L114,OFFSET([3]enemies!$A$1,0,0,COUNTA([3]enemies!$A:$A),MATCH(W$1,[3]enemies!$1:$1,0)-MATCH($L$1,[3]enemies!$1:$1,0)+1),MATCH(W$1,[3]enemies!$1:$1,0)-MATCH($L$1,[3]enemies!$1:$1,0)+1,FALSE)</f>
        <v>0</v>
      </c>
      <c r="X114" s="7">
        <v>1</v>
      </c>
      <c r="Y114" s="7">
        <v>0</v>
      </c>
      <c r="Z114" s="7">
        <v>2</v>
      </c>
      <c r="AA114" s="20">
        <f ca="1">VLOOKUP($L114,OFFSET([3]enemies!$A$1,0,0,COUNTA([3]enemies!$A:$A),MATCH(AA$1,[3]enemies!$1:$1,0)-MATCH($L$1,[3]enemies!$1:$1,0)+1),MATCH(AA$1,[3]enemies!$1:$1,0)-MATCH($L$1,[3]enemies!$1:$1,0)+1,FALSE)</f>
        <v>2</v>
      </c>
      <c r="AB114" s="24">
        <v>112</v>
      </c>
      <c r="AC114" s="5" t="str">
        <f ca="1">IFERROR(VLOOKUP($AB114,OFFSET([4]characters!$A$1,0,0,COUNTA([4]characters!$A:$A),MATCH(AC$1,[4]characters!$1:$1,0)-MATCH("character_id",[4]characters!$1:$1,0)+1),MATCH(AC$1,[4]characters!$1:$1,0)-MATCH("character_id",[4]characters!$1:$1,0)+1,FALSE),"")</f>
        <v>水のマッドハッター</v>
      </c>
      <c r="AD114" s="5">
        <f ca="1">IFERROR(VLOOKUP($AB114,OFFSET([4]characters!$A$1,0,0,COUNTA([4]characters!$A:$A),MATCH(AD$1,[4]characters!$1:$1,0)-MATCH("character_id",[4]characters!$1:$1,0)+1),MATCH(AD$1,[4]characters!$1:$1,0)-MATCH("character_id",[4]characters!$1:$1,0)+1,FALSE),"")</f>
        <v>5</v>
      </c>
      <c r="AE114" s="5" t="str">
        <f ca="1">IFERROR(VLOOKUP($AB114,OFFSET([4]characters!$A$1,0,0,COUNTA([4]characters!$A:$A),MATCH(AE$1,[4]characters!$1:$1,0)-MATCH("character_id",[4]characters!$1:$1,0)+1),MATCH(AE$1,[4]characters!$1:$1,0)-MATCH("character_id",[4]characters!$1:$1,0)+1,FALSE),"")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14" s="8">
        <v>1</v>
      </c>
      <c r="AG114" s="27">
        <f t="shared" ca="1" si="7"/>
        <v>5</v>
      </c>
      <c r="AH114" s="9">
        <v>100</v>
      </c>
      <c r="AI114" s="8">
        <v>0</v>
      </c>
      <c r="AJ114" s="8">
        <v>0</v>
      </c>
      <c r="AK114" s="8">
        <v>0</v>
      </c>
      <c r="AL114" s="8">
        <v>0</v>
      </c>
      <c r="AM114" s="8">
        <v>1</v>
      </c>
      <c r="AN114" s="8">
        <v>1</v>
      </c>
    </row>
    <row r="115" spans="1:40" ht="21" customHeight="1" x14ac:dyDescent="0.15">
      <c r="A115" s="17" t="str">
        <f t="shared" ca="1" si="9"/>
        <v>11008_4-1/39&lt;lv42&gt;s3</v>
      </c>
      <c r="B115" s="8">
        <v>11008</v>
      </c>
      <c r="C115" s="25">
        <v>4</v>
      </c>
      <c r="D115" s="2" t="str">
        <f t="shared" si="5"/>
        <v>11008_4</v>
      </c>
      <c r="E115" s="5" t="str">
        <f ca="1">VLOOKUP($B115,OFFSET([2]quests!$A$1,0,0,COUNTA([2]quests!$A:$A),MATCH(E$1,[2]quests!$1:$1,0)-MATCH($B$1,[2]quests!$1:$1,0)+1),MATCH(E$1,[2]quests!$1:$1,0)-MATCH($B$1,[2]quests!$1:$1,0)+1,FALSE)</f>
        <v>【日曜限定】 青と黄の素材</v>
      </c>
      <c r="F115" s="5" t="str">
        <f ca="1">VLOOKUP($D115,OFFSET([2]stages!$A$1,0,0,COUNTA([2]stages!$A:$A),MATCH(F$1,[2]stages!$2:$2,0)-MATCH($D$1,[2]stages!$2:$2,0)+1),MATCH(F$1,[2]stages!$2:$2,0)-MATCH($D$1,[2]stages!$2:$2,0)+1,FALSE)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5" s="25">
        <v>1</v>
      </c>
      <c r="H115" s="16" t="str">
        <f t="shared" si="6"/>
        <v>11008_4-1</v>
      </c>
      <c r="I115" s="5">
        <f ca="1">VLOOKUP($H115,OFFSET(floors!$A$1,0,0,COUNTA(floors!$A:$A),MATCH(I$1,floors!$1:$1,0)-MATCH($H$1,floors!$1:$1,0)+1),MATCH(I$1,floors!$1:$1,0)-MATCH($H$1,floors!$1:$1,0)+1,FALSE)</f>
        <v>30</v>
      </c>
      <c r="J115" s="5">
        <f ca="1">VLOOKUP($H115,OFFSET(floors!$A$1,0,0,COUNTA(floors!$A:$A),MATCH(J$1,floors!$1:$1,0)-MATCH($H$1,floors!$1:$1,0)+1),MATCH(J$1,floors!$1:$1,0)-MATCH($H$1,floors!$1:$1,0)+1,FALSE)</f>
        <v>45</v>
      </c>
      <c r="K115" s="24" t="s">
        <v>197</v>
      </c>
      <c r="L115" s="24">
        <v>39</v>
      </c>
      <c r="M115" s="20" t="str">
        <f ca="1">VLOOKUP($L115,OFFSET([3]enemies!$A$1,0,0,COUNTA([3]enemies!$A:$A),MATCH(M$1,[3]enemies!$1:$1,0)-MATCH($L$1,[3]enemies!$1:$1,0)+1),MATCH(M$1,[3]enemies!$1:$1,0)-MATCH($L$1,[3]enemies!$1:$1,0)+1,FALSE)</f>
        <v>マーロン</v>
      </c>
      <c r="N115" s="20" t="str">
        <f ca="1">VLOOKUP($L115,OFFSET([3]enemies!$A$1,0,0,COUNTA([3]enemies!$A:$A),MATCH(N$1,[3]enemies!$1:$1,0)-MATCH($L$1,[3]enemies!$1:$1,0)+1),MATCH(N$1,[3]enemies!$1:$1,0)-MATCH($L$1,[3]enemies!$1:$1,0)+1,FALSE)</f>
        <v>yellow</v>
      </c>
      <c r="O115" s="22" t="str">
        <f ca="1">VLOOKUP($L115,OFFSET([4]characters!$A$1,0,0,COUNTA([4]characters!$A:$A),MATCH(O$1,[4]characters!$1:$1,0)-MATCH($L$1,[4]characters!$1:$1,0)+1),MATCH(O$1,[4]characters!$1:$1,0)-MATCH($L$1,[4]characters!$1:$1,0)+1,FALSE)</f>
        <v>Drop1S</v>
      </c>
      <c r="P115" s="20" t="str">
        <f ca="1">VLOOKUP($L115,OFFSET([3]enemies!$A$1,0,0,COUNTA([3]enemies!$A:$A),MATCH(P$1,[3]enemies!$1:$1,0)-MATCH($L$1,[3]enemies!$1:$1,0)+1),MATCH(P$1,[3]enemies!$1:$1,0)-MATCH($L$1,[3]enemies!$1:$1,0)+1,FALSE)</f>
        <v>human</v>
      </c>
      <c r="Q115" s="20">
        <f ca="1">VLOOKUP($L115,OFFSET([3]enemies!$A$1,0,0,COUNTA([3]enemies!$A:$A),MATCH(Q$1,[3]enemies!$1:$1,0)-MATCH($L$1,[3]enemies!$1:$1,0)+1),MATCH(Q$1,[3]enemies!$1:$1,0)-MATCH($L$1,[3]enemies!$1:$1,0)+1,FALSE)</f>
        <v>15</v>
      </c>
      <c r="R115" s="6">
        <v>42</v>
      </c>
      <c r="S115" s="39">
        <v>1</v>
      </c>
      <c r="T115" s="39">
        <v>1</v>
      </c>
      <c r="U115" s="6">
        <v>0</v>
      </c>
      <c r="V115" s="5" t="str">
        <f ca="1">VLOOKUP($W115,OFFSET([5]enemy_skill_sets!$B$1,0,0,COUNTA([5]enemy_skill_sets!$B:$B),MATCH(M$1,[5]enemy_skill_sets!$1:$1,0)-MATCH($W$1,[5]enemy_skill_sets!$1:$1,0)+2),MATCH(M$1,[5]enemy_skill_sets!$1:$1,0)-MATCH($W$1,[5]enemy_skill_sets!$1:$1,0)+2,FALSE)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15" s="5">
        <f ca="1">VLOOKUP($L115,OFFSET([3]enemies!$A$1,0,0,COUNTA([3]enemies!$A:$A),MATCH(W$1,[3]enemies!$1:$1,0)-MATCH($L$1,[3]enemies!$1:$1,0)+1),MATCH(W$1,[3]enemies!$1:$1,0)-MATCH($L$1,[3]enemies!$1:$1,0)+1,FALSE)</f>
        <v>39</v>
      </c>
      <c r="X115" s="7">
        <v>0</v>
      </c>
      <c r="Y115" s="7">
        <v>100</v>
      </c>
      <c r="Z115" s="7">
        <v>0</v>
      </c>
      <c r="AA115" s="20">
        <f ca="1">VLOOKUP($L115,OFFSET([3]enemies!$A$1,0,0,COUNTA([3]enemies!$A:$A),MATCH(AA$1,[3]enemies!$1:$1,0)-MATCH($L$1,[3]enemies!$1:$1,0)+1),MATCH(AA$1,[3]enemies!$1:$1,0)-MATCH($L$1,[3]enemies!$1:$1,0)+1,FALSE)</f>
        <v>3</v>
      </c>
      <c r="AB115" s="24">
        <v>39</v>
      </c>
      <c r="AC115" s="5" t="str">
        <f ca="1">IFERROR(VLOOKUP($AB115,OFFSET([4]characters!$A$1,0,0,COUNTA([4]characters!$A:$A),MATCH(AC$1,[4]characters!$1:$1,0)-MATCH("character_id",[4]characters!$1:$1,0)+1),MATCH(AC$1,[4]characters!$1:$1,0)-MATCH("character_id",[4]characters!$1:$1,0)+1,FALSE),"")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15" s="5">
        <f ca="1">IFERROR(VLOOKUP($AB115,OFFSET([4]characters!$A$1,0,0,COUNTA([4]characters!$A:$A),MATCH(AD$1,[4]characters!$1:$1,0)-MATCH("character_id",[4]characters!$1:$1,0)+1),MATCH(AD$1,[4]characters!$1:$1,0)-MATCH("character_id",[4]characters!$1:$1,0)+1,FALSE),"")</f>
        <v>2</v>
      </c>
      <c r="AE115" s="5" t="str">
        <f ca="1">IFERROR(VLOOKUP($AB115,OFFSET([4]characters!$A$1,0,0,COUNTA([4]characters!$A:$A),MATCH(AE$1,[4]characters!$1:$1,0)-MATCH("character_id",[4]characters!$1:$1,0)+1),MATCH(AE$1,[4]characters!$1:$1,0)-MATCH("character_id",[4]characters!$1:$1,0)+1,FALSE),"")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15" s="8">
        <v>1</v>
      </c>
      <c r="AG115" s="27">
        <f t="shared" ca="1" si="7"/>
        <v>2</v>
      </c>
      <c r="AH115" s="9">
        <v>0</v>
      </c>
      <c r="AI115" s="8">
        <v>0</v>
      </c>
      <c r="AJ115" s="8">
        <v>0</v>
      </c>
      <c r="AK115" s="8">
        <v>0</v>
      </c>
      <c r="AL115" s="8">
        <v>0</v>
      </c>
      <c r="AM115" s="8">
        <v>1</v>
      </c>
      <c r="AN115" s="8">
        <v>1</v>
      </c>
    </row>
    <row r="116" spans="1:40" ht="21" customHeight="1" x14ac:dyDescent="0.15">
      <c r="A116" s="17" t="str">
        <f t="shared" ca="1" si="9"/>
        <v>11008_4-1/31&lt;lv42&gt;s2</v>
      </c>
      <c r="B116" s="8">
        <v>11008</v>
      </c>
      <c r="C116" s="25">
        <v>4</v>
      </c>
      <c r="D116" s="2" t="str">
        <f t="shared" si="5"/>
        <v>11008_4</v>
      </c>
      <c r="E116" s="5" t="str">
        <f ca="1">VLOOKUP($B116,OFFSET([2]quests!$A$1,0,0,COUNTA([2]quests!$A:$A),MATCH(E$1,[2]quests!$1:$1,0)-MATCH($B$1,[2]quests!$1:$1,0)+1),MATCH(E$1,[2]quests!$1:$1,0)-MATCH($B$1,[2]quests!$1:$1,0)+1,FALSE)</f>
        <v>【日曜限定】 青と黄の素材</v>
      </c>
      <c r="F116" s="5" t="str">
        <f ca="1">VLOOKUP($D116,OFFSET([2]stages!$A$1,0,0,COUNTA([2]stages!$A:$A),MATCH(F$1,[2]stages!$2:$2,0)-MATCH($D$1,[2]stages!$2:$2,0)+1),MATCH(F$1,[2]stages!$2:$2,0)-MATCH($D$1,[2]stages!$2:$2,0)+1,FALSE)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6" s="25">
        <v>1</v>
      </c>
      <c r="H116" s="16" t="str">
        <f t="shared" si="6"/>
        <v>11008_4-1</v>
      </c>
      <c r="I116" s="5">
        <f ca="1">VLOOKUP($H116,OFFSET(floors!$A$1,0,0,COUNTA(floors!$A:$A),MATCH(I$1,floors!$1:$1,0)-MATCH($H$1,floors!$1:$1,0)+1),MATCH(I$1,floors!$1:$1,0)-MATCH($H$1,floors!$1:$1,0)+1,FALSE)</f>
        <v>30</v>
      </c>
      <c r="J116" s="5">
        <f ca="1">VLOOKUP($H116,OFFSET(floors!$A$1,0,0,COUNTA(floors!$A:$A),MATCH(J$1,floors!$1:$1,0)-MATCH($H$1,floors!$1:$1,0)+1),MATCH(J$1,floors!$1:$1,0)-MATCH($H$1,floors!$1:$1,0)+1,FALSE)</f>
        <v>45</v>
      </c>
      <c r="K116" s="24" t="s">
        <v>197</v>
      </c>
      <c r="L116" s="24">
        <v>31</v>
      </c>
      <c r="M116" s="20" t="str">
        <f ca="1">VLOOKUP($L116,OFFSET([3]enemies!$A$1,0,0,COUNTA([3]enemies!$A:$A),MATCH(M$1,[3]enemies!$1:$1,0)-MATCH($L$1,[3]enemies!$1:$1,0)+1),MATCH(M$1,[3]enemies!$1:$1,0)-MATCH($L$1,[3]enemies!$1:$1,0)+1,FALSE)</f>
        <v>マービー</v>
      </c>
      <c r="N116" s="20" t="str">
        <f ca="1">VLOOKUP($L116,OFFSET([3]enemies!$A$1,0,0,COUNTA([3]enemies!$A:$A),MATCH(N$1,[3]enemies!$1:$1,0)-MATCH($L$1,[3]enemies!$1:$1,0)+1),MATCH(N$1,[3]enemies!$1:$1,0)-MATCH($L$1,[3]enemies!$1:$1,0)+1,FALSE)</f>
        <v>yellow</v>
      </c>
      <c r="O116" s="22" t="str">
        <f ca="1">VLOOKUP($L116,OFFSET([4]characters!$A$1,0,0,COUNTA([4]characters!$A:$A),MATCH(O$1,[4]characters!$1:$1,0)-MATCH($L$1,[4]characters!$1:$1,0)+1),MATCH(O$1,[4]characters!$1:$1,0)-MATCH($L$1,[4]characters!$1:$1,0)+1,FALSE)</f>
        <v>Drop1N</v>
      </c>
      <c r="P116" s="20" t="str">
        <f ca="1">VLOOKUP($L116,OFFSET([3]enemies!$A$1,0,0,COUNTA([3]enemies!$A:$A),MATCH(P$1,[3]enemies!$1:$1,0)-MATCH($L$1,[3]enemies!$1:$1,0)+1),MATCH(P$1,[3]enemies!$1:$1,0)-MATCH($L$1,[3]enemies!$1:$1,0)+1,FALSE)</f>
        <v>machine</v>
      </c>
      <c r="Q116" s="20">
        <f ca="1">VLOOKUP($L116,OFFSET([3]enemies!$A$1,0,0,COUNTA([3]enemies!$A:$A),MATCH(Q$1,[3]enemies!$1:$1,0)-MATCH($L$1,[3]enemies!$1:$1,0)+1),MATCH(Q$1,[3]enemies!$1:$1,0)-MATCH($L$1,[3]enemies!$1:$1,0)+1,FALSE)</f>
        <v>15</v>
      </c>
      <c r="R116" s="6">
        <v>42</v>
      </c>
      <c r="S116" s="39">
        <v>1</v>
      </c>
      <c r="T116" s="39">
        <v>1</v>
      </c>
      <c r="U116" s="6">
        <v>0</v>
      </c>
      <c r="V116" s="5" t="str">
        <f ca="1">VLOOKUP($W116,OFFSET([5]enemy_skill_sets!$B$1,0,0,COUNTA([5]enemy_skill_sets!$B:$B),MATCH(M$1,[5]enemy_skill_sets!$1:$1,0)-MATCH($W$1,[5]enemy_skill_sets!$1:$1,0)+2),MATCH(M$1,[5]enemy_skill_sets!$1:$1,0)-MATCH($W$1,[5]enemy_skill_sets!$1:$1,0)+2,FALSE)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6" s="5">
        <f ca="1">VLOOKUP($L116,OFFSET([3]enemies!$A$1,0,0,COUNTA([3]enemies!$A:$A),MATCH(W$1,[3]enemies!$1:$1,0)-MATCH($L$1,[3]enemies!$1:$1,0)+1),MATCH(W$1,[3]enemies!$1:$1,0)-MATCH($L$1,[3]enemies!$1:$1,0)+1,FALSE)</f>
        <v>0</v>
      </c>
      <c r="X116" s="7">
        <v>0</v>
      </c>
      <c r="Y116" s="7">
        <v>100</v>
      </c>
      <c r="Z116" s="7">
        <v>0</v>
      </c>
      <c r="AA116" s="20">
        <f ca="1">VLOOKUP($L116,OFFSET([3]enemies!$A$1,0,0,COUNTA([3]enemies!$A:$A),MATCH(AA$1,[3]enemies!$1:$1,0)-MATCH($L$1,[3]enemies!$1:$1,0)+1),MATCH(AA$1,[3]enemies!$1:$1,0)-MATCH($L$1,[3]enemies!$1:$1,0)+1,FALSE)</f>
        <v>2</v>
      </c>
      <c r="AB116" s="24">
        <v>31</v>
      </c>
      <c r="AC116" s="5" t="str">
        <f ca="1">IFERROR(VLOOKUP($AB116,OFFSET([4]characters!$A$1,0,0,COUNTA([4]characters!$A:$A),MATCH(AC$1,[4]characters!$1:$1,0)-MATCH("character_id",[4]characters!$1:$1,0)+1),MATCH(AC$1,[4]characters!$1:$1,0)-MATCH("character_id",[4]characters!$1:$1,0)+1,FALSE),"")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16" s="5">
        <f ca="1">IFERROR(VLOOKUP($AB116,OFFSET([4]characters!$A$1,0,0,COUNTA([4]characters!$A:$A),MATCH(AD$1,[4]characters!$1:$1,0)-MATCH("character_id",[4]characters!$1:$1,0)+1),MATCH(AD$1,[4]characters!$1:$1,0)-MATCH("character_id",[4]characters!$1:$1,0)+1,FALSE),"")</f>
        <v>1</v>
      </c>
      <c r="AE116" s="5" t="str">
        <f ca="1">IFERROR(VLOOKUP($AB116,OFFSET([4]characters!$A$1,0,0,COUNTA([4]characters!$A:$A),MATCH(AE$1,[4]characters!$1:$1,0)-MATCH("character_id",[4]characters!$1:$1,0)+1),MATCH(AE$1,[4]characters!$1:$1,0)-MATCH("character_id",[4]characters!$1:$1,0)+1,FALSE),"")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6" s="8">
        <v>1</v>
      </c>
      <c r="AG116" s="27">
        <f t="shared" ca="1" si="7"/>
        <v>1</v>
      </c>
      <c r="AH116" s="9">
        <v>0</v>
      </c>
      <c r="AI116" s="8">
        <v>0</v>
      </c>
      <c r="AJ116" s="8">
        <v>0</v>
      </c>
      <c r="AK116" s="8">
        <v>0</v>
      </c>
      <c r="AL116" s="8">
        <v>0</v>
      </c>
      <c r="AM116" s="8">
        <v>1</v>
      </c>
      <c r="AN116" s="8">
        <v>1</v>
      </c>
    </row>
    <row r="117" spans="1:40" ht="21" customHeight="1" x14ac:dyDescent="0.15">
      <c r="A117" s="17" t="str">
        <f t="shared" ca="1" si="9"/>
        <v>11008_4-2/39&lt;lv42&gt;s3</v>
      </c>
      <c r="B117" s="8">
        <v>11008</v>
      </c>
      <c r="C117" s="25">
        <v>4</v>
      </c>
      <c r="D117" s="2" t="str">
        <f t="shared" si="5"/>
        <v>11008_4</v>
      </c>
      <c r="E117" s="5" t="str">
        <f ca="1">VLOOKUP($B117,OFFSET([2]quests!$A$1,0,0,COUNTA([2]quests!$A:$A),MATCH(E$1,[2]quests!$1:$1,0)-MATCH($B$1,[2]quests!$1:$1,0)+1),MATCH(E$1,[2]quests!$1:$1,0)-MATCH($B$1,[2]quests!$1:$1,0)+1,FALSE)</f>
        <v>【日曜限定】 青と黄の素材</v>
      </c>
      <c r="F117" s="5" t="str">
        <f ca="1">VLOOKUP($D117,OFFSET([2]stages!$A$1,0,0,COUNTA([2]stages!$A:$A),MATCH(F$1,[2]stages!$2:$2,0)-MATCH($D$1,[2]stages!$2:$2,0)+1),MATCH(F$1,[2]stages!$2:$2,0)-MATCH($D$1,[2]stages!$2:$2,0)+1,FALSE)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7" s="25">
        <v>2</v>
      </c>
      <c r="H117" s="16" t="str">
        <f t="shared" si="6"/>
        <v>11008_4-2</v>
      </c>
      <c r="I117" s="5">
        <f ca="1">VLOOKUP($H117,OFFSET(floors!$A$1,0,0,COUNTA(floors!$A:$A),MATCH(I$1,floors!$1:$1,0)-MATCH($H$1,floors!$1:$1,0)+1),MATCH(I$1,floors!$1:$1,0)-MATCH($H$1,floors!$1:$1,0)+1,FALSE)</f>
        <v>45</v>
      </c>
      <c r="J117" s="5">
        <f ca="1">VLOOKUP($H117,OFFSET(floors!$A$1,0,0,COUNTA(floors!$A:$A),MATCH(J$1,floors!$1:$1,0)-MATCH($H$1,floors!$1:$1,0)+1),MATCH(J$1,floors!$1:$1,0)-MATCH($H$1,floors!$1:$1,0)+1,FALSE)</f>
        <v>60</v>
      </c>
      <c r="K117" s="24" t="s">
        <v>197</v>
      </c>
      <c r="L117" s="24">
        <v>39</v>
      </c>
      <c r="M117" s="20" t="str">
        <f ca="1">VLOOKUP($L117,OFFSET([3]enemies!$A$1,0,0,COUNTA([3]enemies!$A:$A),MATCH(M$1,[3]enemies!$1:$1,0)-MATCH($L$1,[3]enemies!$1:$1,0)+1),MATCH(M$1,[3]enemies!$1:$1,0)-MATCH($L$1,[3]enemies!$1:$1,0)+1,FALSE)</f>
        <v>マーロン</v>
      </c>
      <c r="N117" s="20" t="str">
        <f ca="1">VLOOKUP($L117,OFFSET([3]enemies!$A$1,0,0,COUNTA([3]enemies!$A:$A),MATCH(N$1,[3]enemies!$1:$1,0)-MATCH($L$1,[3]enemies!$1:$1,0)+1),MATCH(N$1,[3]enemies!$1:$1,0)-MATCH($L$1,[3]enemies!$1:$1,0)+1,FALSE)</f>
        <v>yellow</v>
      </c>
      <c r="O117" s="22" t="str">
        <f ca="1">VLOOKUP($L117,OFFSET([4]characters!$A$1,0,0,COUNTA([4]characters!$A:$A),MATCH(O$1,[4]characters!$1:$1,0)-MATCH($L$1,[4]characters!$1:$1,0)+1),MATCH(O$1,[4]characters!$1:$1,0)-MATCH($L$1,[4]characters!$1:$1,0)+1,FALSE)</f>
        <v>Drop1S</v>
      </c>
      <c r="P117" s="20" t="str">
        <f ca="1">VLOOKUP($L117,OFFSET([3]enemies!$A$1,0,0,COUNTA([3]enemies!$A:$A),MATCH(P$1,[3]enemies!$1:$1,0)-MATCH($L$1,[3]enemies!$1:$1,0)+1),MATCH(P$1,[3]enemies!$1:$1,0)-MATCH($L$1,[3]enemies!$1:$1,0)+1,FALSE)</f>
        <v>human</v>
      </c>
      <c r="Q117" s="20">
        <f ca="1">VLOOKUP($L117,OFFSET([3]enemies!$A$1,0,0,COUNTA([3]enemies!$A:$A),MATCH(Q$1,[3]enemies!$1:$1,0)-MATCH($L$1,[3]enemies!$1:$1,0)+1),MATCH(Q$1,[3]enemies!$1:$1,0)-MATCH($L$1,[3]enemies!$1:$1,0)+1,FALSE)</f>
        <v>15</v>
      </c>
      <c r="R117" s="6">
        <v>42</v>
      </c>
      <c r="S117" s="39">
        <v>1</v>
      </c>
      <c r="T117" s="39">
        <v>1</v>
      </c>
      <c r="U117" s="6">
        <v>0</v>
      </c>
      <c r="V117" s="5" t="str">
        <f ca="1">VLOOKUP($W117,OFFSET([5]enemy_skill_sets!$B$1,0,0,COUNTA([5]enemy_skill_sets!$B:$B),MATCH(M$1,[5]enemy_skill_sets!$1:$1,0)-MATCH($W$1,[5]enemy_skill_sets!$1:$1,0)+2),MATCH(M$1,[5]enemy_skill_sets!$1:$1,0)-MATCH($W$1,[5]enemy_skill_sets!$1:$1,0)+2,FALSE)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17" s="5">
        <f ca="1">VLOOKUP($L117,OFFSET([3]enemies!$A$1,0,0,COUNTA([3]enemies!$A:$A),MATCH(W$1,[3]enemies!$1:$1,0)-MATCH($L$1,[3]enemies!$1:$1,0)+1),MATCH(W$1,[3]enemies!$1:$1,0)-MATCH($L$1,[3]enemies!$1:$1,0)+1,FALSE)</f>
        <v>39</v>
      </c>
      <c r="X117" s="7">
        <v>0</v>
      </c>
      <c r="Y117" s="7">
        <v>100</v>
      </c>
      <c r="Z117" s="7">
        <v>0</v>
      </c>
      <c r="AA117" s="20">
        <f ca="1">VLOOKUP($L117,OFFSET([3]enemies!$A$1,0,0,COUNTA([3]enemies!$A:$A),MATCH(AA$1,[3]enemies!$1:$1,0)-MATCH($L$1,[3]enemies!$1:$1,0)+1),MATCH(AA$1,[3]enemies!$1:$1,0)-MATCH($L$1,[3]enemies!$1:$1,0)+1,FALSE)</f>
        <v>3</v>
      </c>
      <c r="AB117" s="24">
        <v>39</v>
      </c>
      <c r="AC117" s="5" t="str">
        <f ca="1">IFERROR(VLOOKUP($AB117,OFFSET([4]characters!$A$1,0,0,COUNTA([4]characters!$A:$A),MATCH(AC$1,[4]characters!$1:$1,0)-MATCH("character_id",[4]characters!$1:$1,0)+1),MATCH(AC$1,[4]characters!$1:$1,0)-MATCH("character_id",[4]characters!$1:$1,0)+1,FALSE),"")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17" s="5">
        <f ca="1">IFERROR(VLOOKUP($AB117,OFFSET([4]characters!$A$1,0,0,COUNTA([4]characters!$A:$A),MATCH(AD$1,[4]characters!$1:$1,0)-MATCH("character_id",[4]characters!$1:$1,0)+1),MATCH(AD$1,[4]characters!$1:$1,0)-MATCH("character_id",[4]characters!$1:$1,0)+1,FALSE),"")</f>
        <v>2</v>
      </c>
      <c r="AE117" s="5" t="str">
        <f ca="1">IFERROR(VLOOKUP($AB117,OFFSET([4]characters!$A$1,0,0,COUNTA([4]characters!$A:$A),MATCH(AE$1,[4]characters!$1:$1,0)-MATCH("character_id",[4]characters!$1:$1,0)+1),MATCH(AE$1,[4]characters!$1:$1,0)-MATCH("character_id",[4]characters!$1:$1,0)+1,FALSE),"")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17" s="8">
        <v>1</v>
      </c>
      <c r="AG117" s="27">
        <f t="shared" ca="1" si="7"/>
        <v>2</v>
      </c>
      <c r="AH117" s="9">
        <v>0</v>
      </c>
      <c r="AI117" s="8">
        <v>0</v>
      </c>
      <c r="AJ117" s="8">
        <v>0</v>
      </c>
      <c r="AK117" s="8">
        <v>0</v>
      </c>
      <c r="AL117" s="8">
        <v>0</v>
      </c>
      <c r="AM117" s="8">
        <v>1</v>
      </c>
      <c r="AN117" s="8">
        <v>1</v>
      </c>
    </row>
    <row r="118" spans="1:40" ht="21" customHeight="1" x14ac:dyDescent="0.15">
      <c r="A118" s="17" t="str">
        <f t="shared" ca="1" si="9"/>
        <v>11008_4-2/31&lt;lv42&gt;s2</v>
      </c>
      <c r="B118" s="8">
        <v>11008</v>
      </c>
      <c r="C118" s="25">
        <v>4</v>
      </c>
      <c r="D118" s="2" t="str">
        <f t="shared" si="5"/>
        <v>11008_4</v>
      </c>
      <c r="E118" s="5" t="str">
        <f ca="1">VLOOKUP($B118,OFFSET([2]quests!$A$1,0,0,COUNTA([2]quests!$A:$A),MATCH(E$1,[2]quests!$1:$1,0)-MATCH($B$1,[2]quests!$1:$1,0)+1),MATCH(E$1,[2]quests!$1:$1,0)-MATCH($B$1,[2]quests!$1:$1,0)+1,FALSE)</f>
        <v>【日曜限定】 青と黄の素材</v>
      </c>
      <c r="F118" s="5" t="str">
        <f ca="1">VLOOKUP($D118,OFFSET([2]stages!$A$1,0,0,COUNTA([2]stages!$A:$A),MATCH(F$1,[2]stages!$2:$2,0)-MATCH($D$1,[2]stages!$2:$2,0)+1),MATCH(F$1,[2]stages!$2:$2,0)-MATCH($D$1,[2]stages!$2:$2,0)+1,FALSE)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8" s="25">
        <v>2</v>
      </c>
      <c r="H118" s="16" t="str">
        <f t="shared" si="6"/>
        <v>11008_4-2</v>
      </c>
      <c r="I118" s="5">
        <f ca="1">VLOOKUP($H118,OFFSET(floors!$A$1,0,0,COUNTA(floors!$A:$A),MATCH(I$1,floors!$1:$1,0)-MATCH($H$1,floors!$1:$1,0)+1),MATCH(I$1,floors!$1:$1,0)-MATCH($H$1,floors!$1:$1,0)+1,FALSE)</f>
        <v>45</v>
      </c>
      <c r="J118" s="5">
        <f ca="1">VLOOKUP($H118,OFFSET(floors!$A$1,0,0,COUNTA(floors!$A:$A),MATCH(J$1,floors!$1:$1,0)-MATCH($H$1,floors!$1:$1,0)+1),MATCH(J$1,floors!$1:$1,0)-MATCH($H$1,floors!$1:$1,0)+1,FALSE)</f>
        <v>60</v>
      </c>
      <c r="K118" s="24" t="s">
        <v>197</v>
      </c>
      <c r="L118" s="24">
        <v>31</v>
      </c>
      <c r="M118" s="20" t="str">
        <f ca="1">VLOOKUP($L118,OFFSET([3]enemies!$A$1,0,0,COUNTA([3]enemies!$A:$A),MATCH(M$1,[3]enemies!$1:$1,0)-MATCH($L$1,[3]enemies!$1:$1,0)+1),MATCH(M$1,[3]enemies!$1:$1,0)-MATCH($L$1,[3]enemies!$1:$1,0)+1,FALSE)</f>
        <v>マービー</v>
      </c>
      <c r="N118" s="20" t="str">
        <f ca="1">VLOOKUP($L118,OFFSET([3]enemies!$A$1,0,0,COUNTA([3]enemies!$A:$A),MATCH(N$1,[3]enemies!$1:$1,0)-MATCH($L$1,[3]enemies!$1:$1,0)+1),MATCH(N$1,[3]enemies!$1:$1,0)-MATCH($L$1,[3]enemies!$1:$1,0)+1,FALSE)</f>
        <v>yellow</v>
      </c>
      <c r="O118" s="22" t="str">
        <f ca="1">VLOOKUP($L118,OFFSET([4]characters!$A$1,0,0,COUNTA([4]characters!$A:$A),MATCH(O$1,[4]characters!$1:$1,0)-MATCH($L$1,[4]characters!$1:$1,0)+1),MATCH(O$1,[4]characters!$1:$1,0)-MATCH($L$1,[4]characters!$1:$1,0)+1,FALSE)</f>
        <v>Drop1N</v>
      </c>
      <c r="P118" s="20" t="str">
        <f ca="1">VLOOKUP($L118,OFFSET([3]enemies!$A$1,0,0,COUNTA([3]enemies!$A:$A),MATCH(P$1,[3]enemies!$1:$1,0)-MATCH($L$1,[3]enemies!$1:$1,0)+1),MATCH(P$1,[3]enemies!$1:$1,0)-MATCH($L$1,[3]enemies!$1:$1,0)+1,FALSE)</f>
        <v>machine</v>
      </c>
      <c r="Q118" s="20">
        <f ca="1">VLOOKUP($L118,OFFSET([3]enemies!$A$1,0,0,COUNTA([3]enemies!$A:$A),MATCH(Q$1,[3]enemies!$1:$1,0)-MATCH($L$1,[3]enemies!$1:$1,0)+1),MATCH(Q$1,[3]enemies!$1:$1,0)-MATCH($L$1,[3]enemies!$1:$1,0)+1,FALSE)</f>
        <v>15</v>
      </c>
      <c r="R118" s="6">
        <v>42</v>
      </c>
      <c r="S118" s="39">
        <v>1</v>
      </c>
      <c r="T118" s="39">
        <v>1</v>
      </c>
      <c r="U118" s="6">
        <v>0</v>
      </c>
      <c r="V118" s="5" t="str">
        <f ca="1">VLOOKUP($W118,OFFSET([5]enemy_skill_sets!$B$1,0,0,COUNTA([5]enemy_skill_sets!$B:$B),MATCH(M$1,[5]enemy_skill_sets!$1:$1,0)-MATCH($W$1,[5]enemy_skill_sets!$1:$1,0)+2),MATCH(M$1,[5]enemy_skill_sets!$1:$1,0)-MATCH($W$1,[5]enemy_skill_sets!$1:$1,0)+2,FALSE)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8" s="5">
        <f ca="1">VLOOKUP($L118,OFFSET([3]enemies!$A$1,0,0,COUNTA([3]enemies!$A:$A),MATCH(W$1,[3]enemies!$1:$1,0)-MATCH($L$1,[3]enemies!$1:$1,0)+1),MATCH(W$1,[3]enemies!$1:$1,0)-MATCH($L$1,[3]enemies!$1:$1,0)+1,FALSE)</f>
        <v>0</v>
      </c>
      <c r="X118" s="7">
        <v>0</v>
      </c>
      <c r="Y118" s="7">
        <v>100</v>
      </c>
      <c r="Z118" s="7">
        <v>0</v>
      </c>
      <c r="AA118" s="20">
        <f ca="1">VLOOKUP($L118,OFFSET([3]enemies!$A$1,0,0,COUNTA([3]enemies!$A:$A),MATCH(AA$1,[3]enemies!$1:$1,0)-MATCH($L$1,[3]enemies!$1:$1,0)+1),MATCH(AA$1,[3]enemies!$1:$1,0)-MATCH($L$1,[3]enemies!$1:$1,0)+1,FALSE)</f>
        <v>2</v>
      </c>
      <c r="AB118" s="24">
        <v>31</v>
      </c>
      <c r="AC118" s="5" t="str">
        <f ca="1">IFERROR(VLOOKUP($AB118,OFFSET([4]characters!$A$1,0,0,COUNTA([4]characters!$A:$A),MATCH(AC$1,[4]characters!$1:$1,0)-MATCH("character_id",[4]characters!$1:$1,0)+1),MATCH(AC$1,[4]characters!$1:$1,0)-MATCH("character_id",[4]characters!$1:$1,0)+1,FALSE),"")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18" s="5">
        <f ca="1">IFERROR(VLOOKUP($AB118,OFFSET([4]characters!$A$1,0,0,COUNTA([4]characters!$A:$A),MATCH(AD$1,[4]characters!$1:$1,0)-MATCH("character_id",[4]characters!$1:$1,0)+1),MATCH(AD$1,[4]characters!$1:$1,0)-MATCH("character_id",[4]characters!$1:$1,0)+1,FALSE),"")</f>
        <v>1</v>
      </c>
      <c r="AE118" s="5" t="str">
        <f ca="1">IFERROR(VLOOKUP($AB118,OFFSET([4]characters!$A$1,0,0,COUNTA([4]characters!$A:$A),MATCH(AE$1,[4]characters!$1:$1,0)-MATCH("character_id",[4]characters!$1:$1,0)+1),MATCH(AE$1,[4]characters!$1:$1,0)-MATCH("character_id",[4]characters!$1:$1,0)+1,FALSE),"")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18" s="8">
        <v>1</v>
      </c>
      <c r="AG118" s="27">
        <f t="shared" ca="1" si="7"/>
        <v>1</v>
      </c>
      <c r="AH118" s="9">
        <v>0</v>
      </c>
      <c r="AI118" s="8">
        <v>0</v>
      </c>
      <c r="AJ118" s="8">
        <v>0</v>
      </c>
      <c r="AK118" s="8">
        <v>0</v>
      </c>
      <c r="AL118" s="8">
        <v>0</v>
      </c>
      <c r="AM118" s="8">
        <v>1</v>
      </c>
      <c r="AN118" s="8">
        <v>1</v>
      </c>
    </row>
    <row r="119" spans="1:40" ht="21" customHeight="1" x14ac:dyDescent="0.15">
      <c r="A119" s="17" t="str">
        <f t="shared" ca="1" si="9"/>
        <v>11008_4-3/141&lt;lv50&gt;s2</v>
      </c>
      <c r="B119" s="8">
        <v>11008</v>
      </c>
      <c r="C119" s="25">
        <v>4</v>
      </c>
      <c r="D119" s="2" t="str">
        <f t="shared" si="5"/>
        <v>11008_4</v>
      </c>
      <c r="E119" s="5" t="str">
        <f ca="1">VLOOKUP($B119,OFFSET([2]quests!$A$1,0,0,COUNTA([2]quests!$A:$A),MATCH(E$1,[2]quests!$1:$1,0)-MATCH($B$1,[2]quests!$1:$1,0)+1),MATCH(E$1,[2]quests!$1:$1,0)-MATCH($B$1,[2]quests!$1:$1,0)+1,FALSE)</f>
        <v>【日曜限定】 青と黄の素材</v>
      </c>
      <c r="F119" s="5" t="str">
        <f ca="1">VLOOKUP($D119,OFFSET([2]stages!$A$1,0,0,COUNTA([2]stages!$A:$A),MATCH(F$1,[2]stages!$2:$2,0)-MATCH($D$1,[2]stages!$2:$2,0)+1),MATCH(F$1,[2]stages!$2:$2,0)-MATCH($D$1,[2]stages!$2:$2,0)+1,FALSE)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19" s="25">
        <v>3</v>
      </c>
      <c r="H119" s="16" t="str">
        <f t="shared" si="6"/>
        <v>11008_4-3</v>
      </c>
      <c r="I119" s="5">
        <f ca="1">VLOOKUP($H119,OFFSET(floors!$A$1,0,0,COUNTA(floors!$A:$A),MATCH(I$1,floors!$1:$1,0)-MATCH($H$1,floors!$1:$1,0)+1),MATCH(I$1,floors!$1:$1,0)-MATCH($H$1,floors!$1:$1,0)+1,FALSE)</f>
        <v>50</v>
      </c>
      <c r="J119" s="5">
        <f ca="1">VLOOKUP($H119,OFFSET(floors!$A$1,0,0,COUNTA(floors!$A:$A),MATCH(J$1,floors!$1:$1,0)-MATCH($H$1,floors!$1:$1,0)+1),MATCH(J$1,floors!$1:$1,0)-MATCH($H$1,floors!$1:$1,0)+1,FALSE)</f>
        <v>60</v>
      </c>
      <c r="K119" s="24" t="s">
        <v>197</v>
      </c>
      <c r="L119" s="24">
        <v>141</v>
      </c>
      <c r="M119" s="20" t="str">
        <f ca="1">VLOOKUP($L119,OFFSET([3]enemies!$A$1,0,0,COUNTA([3]enemies!$A:$A),MATCH(M$1,[3]enemies!$1:$1,0)-MATCH($L$1,[3]enemies!$1:$1,0)+1),MATCH(M$1,[3]enemies!$1:$1,0)-MATCH($L$1,[3]enemies!$1:$1,0)+1,FALSE)</f>
        <v>妖狐演舞 タマモ</v>
      </c>
      <c r="N119" s="20" t="str">
        <f ca="1">VLOOKUP($L119,OFFSET([3]enemies!$A$1,0,0,COUNTA([3]enemies!$A:$A),MATCH(N$1,[3]enemies!$1:$1,0)-MATCH($L$1,[3]enemies!$1:$1,0)+1),MATCH(N$1,[3]enemies!$1:$1,0)-MATCH($L$1,[3]enemies!$1:$1,0)+1,FALSE)</f>
        <v>yellow</v>
      </c>
      <c r="O119" s="22" t="str">
        <f ca="1">VLOOKUP($L119,OFFSET([4]characters!$A$1,0,0,COUNTA([4]characters!$A:$A),MATCH(O$1,[4]characters!$1:$1,0)-MATCH($L$1,[4]characters!$1:$1,0)+1),MATCH(O$1,[4]characters!$1:$1,0)-MATCH($L$1,[4]characters!$1:$1,0)+1,FALSE)</f>
        <v>PremiumW</v>
      </c>
      <c r="P119" s="20" t="str">
        <f ca="1">VLOOKUP($L119,OFFSET([3]enemies!$A$1,0,0,COUNTA([3]enemies!$A:$A),MATCH(P$1,[3]enemies!$1:$1,0)-MATCH($L$1,[3]enemies!$1:$1,0)+1),MATCH(P$1,[3]enemies!$1:$1,0)-MATCH($L$1,[3]enemies!$1:$1,0)+1,FALSE)</f>
        <v>animal</v>
      </c>
      <c r="Q119" s="20">
        <f ca="1">VLOOKUP($L119,OFFSET([3]enemies!$A$1,0,0,COUNTA([3]enemies!$A:$A),MATCH(Q$1,[3]enemies!$1:$1,0)-MATCH($L$1,[3]enemies!$1:$1,0)+1),MATCH(Q$1,[3]enemies!$1:$1,0)-MATCH($L$1,[3]enemies!$1:$1,0)+1,FALSE)</f>
        <v>30</v>
      </c>
      <c r="R119" s="6">
        <v>50</v>
      </c>
      <c r="S119" s="39">
        <v>1</v>
      </c>
      <c r="T119" s="39">
        <v>1</v>
      </c>
      <c r="U119" s="6">
        <v>0</v>
      </c>
      <c r="V119" s="5" t="str">
        <f ca="1">VLOOKUP($W119,OFFSET([5]enemy_skill_sets!$B$1,0,0,COUNTA([5]enemy_skill_sets!$B:$B),MATCH(M$1,[5]enemy_skill_sets!$1:$1,0)-MATCH($W$1,[5]enemy_skill_sets!$1:$1,0)+2),MATCH(M$1,[5]enemy_skill_sets!$1:$1,0)-MATCH($W$1,[5]enemy_skill_sets!$1:$1,0)+2,FALSE)</f>
        <v>2ターン攻撃頻度が1ターンにUP</v>
      </c>
      <c r="W119" s="5">
        <f ca="1">VLOOKUP($L119,OFFSET([3]enemies!$A$1,0,0,COUNTA([3]enemies!$A:$A),MATCH(W$1,[3]enemies!$1:$1,0)-MATCH($L$1,[3]enemies!$1:$1,0)+1),MATCH(W$1,[3]enemies!$1:$1,0)-MATCH($L$1,[3]enemies!$1:$1,0)+1,FALSE)</f>
        <v>141</v>
      </c>
      <c r="X119" s="7">
        <v>0</v>
      </c>
      <c r="Y119" s="7">
        <v>80</v>
      </c>
      <c r="Z119" s="7">
        <v>1</v>
      </c>
      <c r="AA119" s="20">
        <f ca="1">VLOOKUP($L119,OFFSET([3]enemies!$A$1,0,0,COUNTA([3]enemies!$A:$A),MATCH(AA$1,[3]enemies!$1:$1,0)-MATCH($L$1,[3]enemies!$1:$1,0)+1),MATCH(AA$1,[3]enemies!$1:$1,0)-MATCH($L$1,[3]enemies!$1:$1,0)+1,FALSE)</f>
        <v>2</v>
      </c>
      <c r="AB119" s="24">
        <v>141</v>
      </c>
      <c r="AC119" s="5" t="str">
        <f ca="1">IFERROR(VLOOKUP($AB119,OFFSET([4]characters!$A$1,0,0,COUNTA([4]characters!$A:$A),MATCH(AC$1,[4]characters!$1:$1,0)-MATCH("character_id",[4]characters!$1:$1,0)+1),MATCH(AC$1,[4]characters!$1:$1,0)-MATCH("character_id",[4]characters!$1:$1,0)+1,FALSE),"")</f>
        <v>妖狐演舞 タマモ</v>
      </c>
      <c r="AD119" s="5">
        <f ca="1">IFERROR(VLOOKUP($AB119,OFFSET([4]characters!$A$1,0,0,COUNTA([4]characters!$A:$A),MATCH(AD$1,[4]characters!$1:$1,0)-MATCH("character_id",[4]characters!$1:$1,0)+1),MATCH(AD$1,[4]characters!$1:$1,0)-MATCH("character_id",[4]characters!$1:$1,0)+1,FALSE),"")</f>
        <v>4</v>
      </c>
      <c r="AE119" s="5" t="str">
        <f ca="1">IFERROR(VLOOKUP($AB119,OFFSET([4]characters!$A$1,0,0,COUNTA([4]characters!$A:$A),MATCH(AE$1,[4]characters!$1:$1,0)-MATCH("character_id",[4]characters!$1:$1,0)+1),MATCH(AE$1,[4]characters!$1:$1,0)-MATCH("character_id",[4]characters!$1:$1,0)+1,FALSE),"")</f>
        <v>PremiumW</v>
      </c>
      <c r="AF119" s="8">
        <v>1</v>
      </c>
      <c r="AG119" s="27">
        <f t="shared" ca="1" si="7"/>
        <v>4</v>
      </c>
      <c r="AH119" s="9">
        <v>0</v>
      </c>
      <c r="AI119" s="8">
        <v>0</v>
      </c>
      <c r="AJ119" s="8">
        <v>0</v>
      </c>
      <c r="AK119" s="8">
        <v>0</v>
      </c>
      <c r="AL119" s="8">
        <v>0</v>
      </c>
      <c r="AM119" s="8">
        <v>1</v>
      </c>
      <c r="AN119" s="8">
        <v>1</v>
      </c>
    </row>
    <row r="120" spans="1:40" ht="21" customHeight="1" x14ac:dyDescent="0.15">
      <c r="A120" s="17" t="str">
        <f t="shared" ca="1" si="9"/>
        <v>11008_4-3/346&lt;lv1&gt;s3</v>
      </c>
      <c r="B120" s="8">
        <v>11008</v>
      </c>
      <c r="C120" s="25">
        <v>4</v>
      </c>
      <c r="D120" s="2" t="str">
        <f t="shared" si="5"/>
        <v>11008_4</v>
      </c>
      <c r="E120" s="5" t="str">
        <f ca="1">VLOOKUP($B120,OFFSET([2]quests!$A$1,0,0,COUNTA([2]quests!$A:$A),MATCH(E$1,[2]quests!$1:$1,0)-MATCH($B$1,[2]quests!$1:$1,0)+1),MATCH(E$1,[2]quests!$1:$1,0)-MATCH($B$1,[2]quests!$1:$1,0)+1,FALSE)</f>
        <v>【日曜限定】 青と黄の素材</v>
      </c>
      <c r="F120" s="5" t="str">
        <f ca="1">VLOOKUP($D120,OFFSET([2]stages!$A$1,0,0,COUNTA([2]stages!$A:$A),MATCH(F$1,[2]stages!$2:$2,0)-MATCH($D$1,[2]stages!$2:$2,0)+1),MATCH(F$1,[2]stages!$2:$2,0)-MATCH($D$1,[2]stages!$2:$2,0)+1,FALSE)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0" s="25">
        <v>3</v>
      </c>
      <c r="H120" s="16" t="str">
        <f t="shared" si="6"/>
        <v>11008_4-3</v>
      </c>
      <c r="I120" s="5">
        <f ca="1">VLOOKUP($H120,OFFSET(floors!$A$1,0,0,COUNTA(floors!$A:$A),MATCH(I$1,floors!$1:$1,0)-MATCH($H$1,floors!$1:$1,0)+1),MATCH(I$1,floors!$1:$1,0)-MATCH($H$1,floors!$1:$1,0)+1,FALSE)</f>
        <v>50</v>
      </c>
      <c r="J120" s="5">
        <f ca="1">VLOOKUP($H120,OFFSET(floors!$A$1,0,0,COUNTA(floors!$A:$A),MATCH(J$1,floors!$1:$1,0)-MATCH($H$1,floors!$1:$1,0)+1),MATCH(J$1,floors!$1:$1,0)-MATCH($H$1,floors!$1:$1,0)+1,FALSE)</f>
        <v>60</v>
      </c>
      <c r="K120" s="24" t="s">
        <v>197</v>
      </c>
      <c r="L120" s="24">
        <v>346</v>
      </c>
      <c r="M120" s="20" t="str">
        <f ca="1">VLOOKUP($L120,OFFSET([3]enemies!$A$1,0,0,COUNTA([3]enemies!$A:$A),MATCH(M$1,[3]enemies!$1:$1,0)-MATCH($L$1,[3]enemies!$1:$1,0)+1),MATCH(M$1,[3]enemies!$1:$1,0)-MATCH($L$1,[3]enemies!$1:$1,0)+1,FALSE)</f>
        <v>雷のメタルダック</v>
      </c>
      <c r="N120" s="20" t="str">
        <f ca="1">VLOOKUP($L120,OFFSET([3]enemies!$A$1,0,0,COUNTA([3]enemies!$A:$A),MATCH(N$1,[3]enemies!$1:$1,0)-MATCH($L$1,[3]enemies!$1:$1,0)+1),MATCH(N$1,[3]enemies!$1:$1,0)-MATCH($L$1,[3]enemies!$1:$1,0)+1,FALSE)</f>
        <v>yellow</v>
      </c>
      <c r="O120" s="22" t="str">
        <f ca="1">VLOOKUP($L120,OFFSET([4]characters!$A$1,0,0,COUNTA([4]characters!$A:$A),MATCH(O$1,[4]characters!$1:$1,0)-MATCH($L$1,[4]characters!$1:$1,0)+1),MATCH(O$1,[4]characters!$1:$1,0)-MATCH($L$1,[4]characters!$1:$1,0)+1,FALSE)</f>
        <v>Material</v>
      </c>
      <c r="P120" s="20" t="str">
        <f ca="1">VLOOKUP($L120,OFFSET([3]enemies!$A$1,0,0,COUNTA([3]enemies!$A:$A),MATCH(P$1,[3]enemies!$1:$1,0)-MATCH($L$1,[3]enemies!$1:$1,0)+1),MATCH(P$1,[3]enemies!$1:$1,0)-MATCH($L$1,[3]enemies!$1:$1,0)+1,FALSE)</f>
        <v>unknown</v>
      </c>
      <c r="Q120" s="20">
        <f ca="1">VLOOKUP($L120,OFFSET([3]enemies!$A$1,0,0,COUNTA([3]enemies!$A:$A),MATCH(Q$1,[3]enemies!$1:$1,0)-MATCH($L$1,[3]enemies!$1:$1,0)+1),MATCH(Q$1,[3]enemies!$1:$1,0)-MATCH($L$1,[3]enemies!$1:$1,0)+1,FALSE)</f>
        <v>20</v>
      </c>
      <c r="R120" s="6">
        <v>1</v>
      </c>
      <c r="S120" s="39">
        <v>1</v>
      </c>
      <c r="T120" s="39">
        <v>1</v>
      </c>
      <c r="U120" s="6">
        <v>0</v>
      </c>
      <c r="V120" s="5" t="str">
        <f ca="1">VLOOKUP($W120,OFFSET([5]enemy_skill_sets!$B$1,0,0,COUNTA([5]enemy_skill_sets!$B:$B),MATCH(M$1,[5]enemy_skill_sets!$1:$1,0)-MATCH($W$1,[5]enemy_skill_sets!$1:$1,0)+2),MATCH(M$1,[5]enemy_skill_sets!$1:$1,0)-MATCH($W$1,[5]enemy_skill_sets!$1:$1,0)+2,FALSE)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0" s="5">
        <f ca="1">VLOOKUP($L120,OFFSET([3]enemies!$A$1,0,0,COUNTA([3]enemies!$A:$A),MATCH(W$1,[3]enemies!$1:$1,0)-MATCH($L$1,[3]enemies!$1:$1,0)+1),MATCH(W$1,[3]enemies!$1:$1,0)-MATCH($L$1,[3]enemies!$1:$1,0)+1,FALSE)</f>
        <v>0</v>
      </c>
      <c r="X120" s="7">
        <v>0</v>
      </c>
      <c r="Y120" s="7">
        <v>20</v>
      </c>
      <c r="Z120" s="7">
        <v>1</v>
      </c>
      <c r="AA120" s="20">
        <f ca="1">VLOOKUP($L120,OFFSET([3]enemies!$A$1,0,0,COUNTA([3]enemies!$A:$A),MATCH(AA$1,[3]enemies!$1:$1,0)-MATCH($L$1,[3]enemies!$1:$1,0)+1),MATCH(AA$1,[3]enemies!$1:$1,0)-MATCH($L$1,[3]enemies!$1:$1,0)+1,FALSE)</f>
        <v>3</v>
      </c>
      <c r="AB120" s="24">
        <v>346</v>
      </c>
      <c r="AC120" s="5" t="str">
        <f ca="1">IFERROR(VLOOKUP($AB120,OFFSET([4]characters!$A$1,0,0,COUNTA([4]characters!$A:$A),MATCH(AC$1,[4]characters!$1:$1,0)-MATCH("character_id",[4]characters!$1:$1,0)+1),MATCH(AC$1,[4]characters!$1:$1,0)-MATCH("character_id",[4]characters!$1:$1,0)+1,FALSE),"")</f>
        <v>雷のメタルダック</v>
      </c>
      <c r="AD120" s="5">
        <f ca="1">IFERROR(VLOOKUP($AB120,OFFSET([4]characters!$A$1,0,0,COUNTA([4]characters!$A:$A),MATCH(AD$1,[4]characters!$1:$1,0)-MATCH("character_id",[4]characters!$1:$1,0)+1),MATCH(AD$1,[4]characters!$1:$1,0)-MATCH("character_id",[4]characters!$1:$1,0)+1,FALSE),"")</f>
        <v>5</v>
      </c>
      <c r="AE120" s="5" t="str">
        <f ca="1">IFERROR(VLOOKUP($AB120,OFFSET([4]characters!$A$1,0,0,COUNTA([4]characters!$A:$A),MATCH(AE$1,[4]characters!$1:$1,0)-MATCH("character_id",[4]characters!$1:$1,0)+1),MATCH(AE$1,[4]characters!$1:$1,0)-MATCH("character_id",[4]characters!$1:$1,0)+1,FALSE),"")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0" s="8">
        <v>1</v>
      </c>
      <c r="AG120" s="27">
        <f t="shared" ca="1" si="7"/>
        <v>5</v>
      </c>
      <c r="AH120" s="9">
        <v>5</v>
      </c>
      <c r="AI120" s="8">
        <v>0</v>
      </c>
      <c r="AJ120" s="8">
        <v>0</v>
      </c>
      <c r="AK120" s="8">
        <v>0</v>
      </c>
      <c r="AL120" s="8">
        <v>0</v>
      </c>
      <c r="AM120" s="8">
        <v>1</v>
      </c>
      <c r="AN120" s="8">
        <v>1</v>
      </c>
    </row>
    <row r="121" spans="1:40" ht="21" customHeight="1" x14ac:dyDescent="0.15">
      <c r="A121" s="17" t="str">
        <f t="shared" ca="1" si="9"/>
        <v>11008_4-3/344&lt;lv1&gt;s1</v>
      </c>
      <c r="B121" s="8">
        <v>11008</v>
      </c>
      <c r="C121" s="25">
        <v>4</v>
      </c>
      <c r="D121" s="2" t="str">
        <f t="shared" si="5"/>
        <v>11008_4</v>
      </c>
      <c r="E121" s="5" t="str">
        <f ca="1">VLOOKUP($B121,OFFSET([2]quests!$A$1,0,0,COUNTA([2]quests!$A:$A),MATCH(E$1,[2]quests!$1:$1,0)-MATCH($B$1,[2]quests!$1:$1,0)+1),MATCH(E$1,[2]quests!$1:$1,0)-MATCH($B$1,[2]quests!$1:$1,0)+1,FALSE)</f>
        <v>【日曜限定】 青と黄の素材</v>
      </c>
      <c r="F121" s="5" t="str">
        <f ca="1">VLOOKUP($D121,OFFSET([2]stages!$A$1,0,0,COUNTA([2]stages!$A:$A),MATCH(F$1,[2]stages!$2:$2,0)-MATCH($D$1,[2]stages!$2:$2,0)+1),MATCH(F$1,[2]stages!$2:$2,0)-MATCH($D$1,[2]stages!$2:$2,0)+1,FALSE)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1" s="25">
        <v>3</v>
      </c>
      <c r="H121" s="16" t="str">
        <f t="shared" si="6"/>
        <v>11008_4-3</v>
      </c>
      <c r="I121" s="5">
        <f ca="1">VLOOKUP($H121,OFFSET(floors!$A$1,0,0,COUNTA(floors!$A:$A),MATCH(I$1,floors!$1:$1,0)-MATCH($H$1,floors!$1:$1,0)+1),MATCH(I$1,floors!$1:$1,0)-MATCH($H$1,floors!$1:$1,0)+1,FALSE)</f>
        <v>50</v>
      </c>
      <c r="J121" s="5">
        <f ca="1">VLOOKUP($H121,OFFSET(floors!$A$1,0,0,COUNTA(floors!$A:$A),MATCH(J$1,floors!$1:$1,0)-MATCH($H$1,floors!$1:$1,0)+1),MATCH(J$1,floors!$1:$1,0)-MATCH($H$1,floors!$1:$1,0)+1,FALSE)</f>
        <v>60</v>
      </c>
      <c r="K121" s="24" t="s">
        <v>197</v>
      </c>
      <c r="L121" s="24">
        <v>344</v>
      </c>
      <c r="M121" s="20" t="str">
        <f ca="1">VLOOKUP($L121,OFFSET([3]enemies!$A$1,0,0,COUNTA([3]enemies!$A:$A),MATCH(M$1,[3]enemies!$1:$1,0)-MATCH($L$1,[3]enemies!$1:$1,0)+1),MATCH(M$1,[3]enemies!$1:$1,0)-MATCH($L$1,[3]enemies!$1:$1,0)+1,FALSE)</f>
        <v>雷のメタルピヨピヨ</v>
      </c>
      <c r="N121" s="20" t="str">
        <f ca="1">VLOOKUP($L121,OFFSET([3]enemies!$A$1,0,0,COUNTA([3]enemies!$A:$A),MATCH(N$1,[3]enemies!$1:$1,0)-MATCH($L$1,[3]enemies!$1:$1,0)+1),MATCH(N$1,[3]enemies!$1:$1,0)-MATCH($L$1,[3]enemies!$1:$1,0)+1,FALSE)</f>
        <v>yellow</v>
      </c>
      <c r="O121" s="22" t="str">
        <f ca="1">VLOOKUP($L121,OFFSET([4]characters!$A$1,0,0,COUNTA([4]characters!$A:$A),MATCH(O$1,[4]characters!$1:$1,0)-MATCH($L$1,[4]characters!$1:$1,0)+1),MATCH(O$1,[4]characters!$1:$1,0)-MATCH($L$1,[4]characters!$1:$1,0)+1,FALSE)</f>
        <v>Material</v>
      </c>
      <c r="P121" s="20" t="str">
        <f ca="1">VLOOKUP($L121,OFFSET([3]enemies!$A$1,0,0,COUNTA([3]enemies!$A:$A),MATCH(P$1,[3]enemies!$1:$1,0)-MATCH($L$1,[3]enemies!$1:$1,0)+1),MATCH(P$1,[3]enemies!$1:$1,0)-MATCH($L$1,[3]enemies!$1:$1,0)+1,FALSE)</f>
        <v>unknown</v>
      </c>
      <c r="Q121" s="20">
        <f ca="1">VLOOKUP($L121,OFFSET([3]enemies!$A$1,0,0,COUNTA([3]enemies!$A:$A),MATCH(Q$1,[3]enemies!$1:$1,0)-MATCH($L$1,[3]enemies!$1:$1,0)+1),MATCH(Q$1,[3]enemies!$1:$1,0)-MATCH($L$1,[3]enemies!$1:$1,0)+1,FALSE)</f>
        <v>15</v>
      </c>
      <c r="R121" s="6">
        <v>1</v>
      </c>
      <c r="S121" s="39">
        <v>1</v>
      </c>
      <c r="T121" s="39">
        <v>1</v>
      </c>
      <c r="U121" s="6">
        <v>0</v>
      </c>
      <c r="V121" s="5" t="str">
        <f ca="1">VLOOKUP($W121,OFFSET([5]enemy_skill_sets!$B$1,0,0,COUNTA([5]enemy_skill_sets!$B:$B),MATCH(M$1,[5]enemy_skill_sets!$1:$1,0)-MATCH($W$1,[5]enemy_skill_sets!$1:$1,0)+2),MATCH(M$1,[5]enemy_skill_sets!$1:$1,0)-MATCH($W$1,[5]enemy_skill_sets!$1:$1,0)+2,FALSE)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1" s="5">
        <f ca="1">VLOOKUP($L121,OFFSET([3]enemies!$A$1,0,0,COUNTA([3]enemies!$A:$A),MATCH(W$1,[3]enemies!$1:$1,0)-MATCH($L$1,[3]enemies!$1:$1,0)+1),MATCH(W$1,[3]enemies!$1:$1,0)-MATCH($L$1,[3]enemies!$1:$1,0)+1,FALSE)</f>
        <v>0</v>
      </c>
      <c r="X121" s="7">
        <v>0</v>
      </c>
      <c r="Y121" s="7">
        <v>50</v>
      </c>
      <c r="Z121" s="7">
        <v>2</v>
      </c>
      <c r="AA121" s="20">
        <f ca="1">VLOOKUP($L121,OFFSET([3]enemies!$A$1,0,0,COUNTA([3]enemies!$A:$A),MATCH(AA$1,[3]enemies!$1:$1,0)-MATCH($L$1,[3]enemies!$1:$1,0)+1),MATCH(AA$1,[3]enemies!$1:$1,0)-MATCH($L$1,[3]enemies!$1:$1,0)+1,FALSE)</f>
        <v>1</v>
      </c>
      <c r="AB121" s="24">
        <v>344</v>
      </c>
      <c r="AC121" s="5" t="str">
        <f ca="1">IFERROR(VLOOKUP($AB121,OFFSET([4]characters!$A$1,0,0,COUNTA([4]characters!$A:$A),MATCH(AC$1,[4]characters!$1:$1,0)-MATCH("character_id",[4]characters!$1:$1,0)+1),MATCH(AC$1,[4]characters!$1:$1,0)-MATCH("character_id",[4]characters!$1:$1,0)+1,FALSE),"")</f>
        <v>雷のメタルピヨピヨ</v>
      </c>
      <c r="AD121" s="5">
        <f ca="1">IFERROR(VLOOKUP($AB121,OFFSET([4]characters!$A$1,0,0,COUNTA([4]characters!$A:$A),MATCH(AD$1,[4]characters!$1:$1,0)-MATCH("character_id",[4]characters!$1:$1,0)+1),MATCH(AD$1,[4]characters!$1:$1,0)-MATCH("character_id",[4]characters!$1:$1,0)+1,FALSE),"")</f>
        <v>3</v>
      </c>
      <c r="AE121" s="5" t="str">
        <f ca="1">IFERROR(VLOOKUP($AB121,OFFSET([4]characters!$A$1,0,0,COUNTA([4]characters!$A:$A),MATCH(AE$1,[4]characters!$1:$1,0)-MATCH("character_id",[4]characters!$1:$1,0)+1),MATCH(AE$1,[4]characters!$1:$1,0)-MATCH("character_id",[4]characters!$1:$1,0)+1,FALSE),"")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1" s="8">
        <v>1</v>
      </c>
      <c r="AG121" s="27">
        <f t="shared" ca="1" si="7"/>
        <v>3</v>
      </c>
      <c r="AH121" s="9">
        <v>20</v>
      </c>
      <c r="AI121" s="8">
        <v>0</v>
      </c>
      <c r="AJ121" s="8">
        <v>0</v>
      </c>
      <c r="AK121" s="8">
        <v>0</v>
      </c>
      <c r="AL121" s="8">
        <v>0</v>
      </c>
      <c r="AM121" s="8">
        <v>1</v>
      </c>
      <c r="AN121" s="8">
        <v>1</v>
      </c>
    </row>
    <row r="122" spans="1:40" ht="21" customHeight="1" x14ac:dyDescent="0.15">
      <c r="A122" s="17" t="str">
        <f t="shared" ca="1" si="9"/>
        <v>11008_4-3/345&lt;lv1&gt;s2</v>
      </c>
      <c r="B122" s="8">
        <v>11008</v>
      </c>
      <c r="C122" s="25">
        <v>4</v>
      </c>
      <c r="D122" s="2" t="str">
        <f t="shared" si="5"/>
        <v>11008_4</v>
      </c>
      <c r="E122" s="5" t="str">
        <f ca="1">VLOOKUP($B122,OFFSET([2]quests!$A$1,0,0,COUNTA([2]quests!$A:$A),MATCH(E$1,[2]quests!$1:$1,0)-MATCH($B$1,[2]quests!$1:$1,0)+1),MATCH(E$1,[2]quests!$1:$1,0)-MATCH($B$1,[2]quests!$1:$1,0)+1,FALSE)</f>
        <v>【日曜限定】 青と黄の素材</v>
      </c>
      <c r="F122" s="5" t="str">
        <f ca="1">VLOOKUP($D122,OFFSET([2]stages!$A$1,0,0,COUNTA([2]stages!$A:$A),MATCH(F$1,[2]stages!$2:$2,0)-MATCH($D$1,[2]stages!$2:$2,0)+1),MATCH(F$1,[2]stages!$2:$2,0)-MATCH($D$1,[2]stages!$2:$2,0)+1,FALSE)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2" s="25">
        <v>3</v>
      </c>
      <c r="H122" s="16" t="str">
        <f t="shared" si="6"/>
        <v>11008_4-3</v>
      </c>
      <c r="I122" s="5">
        <f ca="1">VLOOKUP($H122,OFFSET(floors!$A$1,0,0,COUNTA(floors!$A:$A),MATCH(I$1,floors!$1:$1,0)-MATCH($H$1,floors!$1:$1,0)+1),MATCH(I$1,floors!$1:$1,0)-MATCH($H$1,floors!$1:$1,0)+1,FALSE)</f>
        <v>50</v>
      </c>
      <c r="J122" s="5">
        <f ca="1">VLOOKUP($H122,OFFSET(floors!$A$1,0,0,COUNTA(floors!$A:$A),MATCH(J$1,floors!$1:$1,0)-MATCH($H$1,floors!$1:$1,0)+1),MATCH(J$1,floors!$1:$1,0)-MATCH($H$1,floors!$1:$1,0)+1,FALSE)</f>
        <v>60</v>
      </c>
      <c r="K122" s="24" t="s">
        <v>197</v>
      </c>
      <c r="L122" s="24">
        <v>345</v>
      </c>
      <c r="M122" s="20" t="str">
        <f ca="1">VLOOKUP($L122,OFFSET([3]enemies!$A$1,0,0,COUNTA([3]enemies!$A:$A),MATCH(M$1,[3]enemies!$1:$1,0)-MATCH($L$1,[3]enemies!$1:$1,0)+1),MATCH(M$1,[3]enemies!$1:$1,0)-MATCH($L$1,[3]enemies!$1:$1,0)+1,FALSE)</f>
        <v>雷のメタルチック</v>
      </c>
      <c r="N122" s="20" t="str">
        <f ca="1">VLOOKUP($L122,OFFSET([3]enemies!$A$1,0,0,COUNTA([3]enemies!$A:$A),MATCH(N$1,[3]enemies!$1:$1,0)-MATCH($L$1,[3]enemies!$1:$1,0)+1),MATCH(N$1,[3]enemies!$1:$1,0)-MATCH($L$1,[3]enemies!$1:$1,0)+1,FALSE)</f>
        <v>yellow</v>
      </c>
      <c r="O122" s="22" t="str">
        <f ca="1">VLOOKUP($L122,OFFSET([4]characters!$A$1,0,0,COUNTA([4]characters!$A:$A),MATCH(O$1,[4]characters!$1:$1,0)-MATCH($L$1,[4]characters!$1:$1,0)+1),MATCH(O$1,[4]characters!$1:$1,0)-MATCH($L$1,[4]characters!$1:$1,0)+1,FALSE)</f>
        <v>Material</v>
      </c>
      <c r="P122" s="20" t="str">
        <f ca="1">VLOOKUP($L122,OFFSET([3]enemies!$A$1,0,0,COUNTA([3]enemies!$A:$A),MATCH(P$1,[3]enemies!$1:$1,0)-MATCH($L$1,[3]enemies!$1:$1,0)+1),MATCH(P$1,[3]enemies!$1:$1,0)-MATCH($L$1,[3]enemies!$1:$1,0)+1,FALSE)</f>
        <v>unknown</v>
      </c>
      <c r="Q122" s="20">
        <f ca="1">VLOOKUP($L122,OFFSET([3]enemies!$A$1,0,0,COUNTA([3]enemies!$A:$A),MATCH(Q$1,[3]enemies!$1:$1,0)-MATCH($L$1,[3]enemies!$1:$1,0)+1),MATCH(Q$1,[3]enemies!$1:$1,0)-MATCH($L$1,[3]enemies!$1:$1,0)+1,FALSE)</f>
        <v>15</v>
      </c>
      <c r="R122" s="6">
        <v>1</v>
      </c>
      <c r="S122" s="39">
        <v>1</v>
      </c>
      <c r="T122" s="39">
        <v>1</v>
      </c>
      <c r="U122" s="6">
        <v>0</v>
      </c>
      <c r="V122" s="5" t="str">
        <f ca="1">VLOOKUP($W122,OFFSET([5]enemy_skill_sets!$B$1,0,0,COUNTA([5]enemy_skill_sets!$B:$B),MATCH(M$1,[5]enemy_skill_sets!$1:$1,0)-MATCH($W$1,[5]enemy_skill_sets!$1:$1,0)+2),MATCH(M$1,[5]enemy_skill_sets!$1:$1,0)-MATCH($W$1,[5]enemy_skill_sets!$1:$1,0)+2,FALSE)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2" s="5">
        <f ca="1">VLOOKUP($L122,OFFSET([3]enemies!$A$1,0,0,COUNTA([3]enemies!$A:$A),MATCH(W$1,[3]enemies!$1:$1,0)-MATCH($L$1,[3]enemies!$1:$1,0)+1),MATCH(W$1,[3]enemies!$1:$1,0)-MATCH($L$1,[3]enemies!$1:$1,0)+1,FALSE)</f>
        <v>0</v>
      </c>
      <c r="X122" s="7">
        <v>0</v>
      </c>
      <c r="Y122" s="7">
        <v>100</v>
      </c>
      <c r="Z122" s="7">
        <v>0</v>
      </c>
      <c r="AA122" s="20">
        <f ca="1">VLOOKUP($L122,OFFSET([3]enemies!$A$1,0,0,COUNTA([3]enemies!$A:$A),MATCH(AA$1,[3]enemies!$1:$1,0)-MATCH($L$1,[3]enemies!$1:$1,0)+1),MATCH(AA$1,[3]enemies!$1:$1,0)-MATCH($L$1,[3]enemies!$1:$1,0)+1,FALSE)</f>
        <v>2</v>
      </c>
      <c r="AB122" s="24">
        <v>345</v>
      </c>
      <c r="AC122" s="5" t="str">
        <f ca="1">IFERROR(VLOOKUP($AB122,OFFSET([4]characters!$A$1,0,0,COUNTA([4]characters!$A:$A),MATCH(AC$1,[4]characters!$1:$1,0)-MATCH("character_id",[4]characters!$1:$1,0)+1),MATCH(AC$1,[4]characters!$1:$1,0)-MATCH("character_id",[4]characters!$1:$1,0)+1,FALSE),"")</f>
        <v>雷のメタルチック</v>
      </c>
      <c r="AD122" s="5">
        <f ca="1">IFERROR(VLOOKUP($AB122,OFFSET([4]characters!$A$1,0,0,COUNTA([4]characters!$A:$A),MATCH(AD$1,[4]characters!$1:$1,0)-MATCH("character_id",[4]characters!$1:$1,0)+1),MATCH(AD$1,[4]characters!$1:$1,0)-MATCH("character_id",[4]characters!$1:$1,0)+1,FALSE),"")</f>
        <v>4</v>
      </c>
      <c r="AE122" s="5" t="str">
        <f ca="1">IFERROR(VLOOKUP($AB122,OFFSET([4]characters!$A$1,0,0,COUNTA([4]characters!$A:$A),MATCH(AE$1,[4]characters!$1:$1,0)-MATCH("character_id",[4]characters!$1:$1,0)+1),MATCH(AE$1,[4]characters!$1:$1,0)-MATCH("character_id",[4]characters!$1:$1,0)+1,FALSE),"")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2" s="8">
        <v>1</v>
      </c>
      <c r="AG122" s="27">
        <f t="shared" ca="1" si="7"/>
        <v>4</v>
      </c>
      <c r="AH122" s="9">
        <v>10</v>
      </c>
      <c r="AI122" s="8">
        <v>0</v>
      </c>
      <c r="AJ122" s="8">
        <v>0</v>
      </c>
      <c r="AK122" s="8">
        <v>0</v>
      </c>
      <c r="AL122" s="8">
        <v>0</v>
      </c>
      <c r="AM122" s="8">
        <v>1</v>
      </c>
      <c r="AN122" s="8">
        <v>1</v>
      </c>
    </row>
    <row r="123" spans="1:40" ht="21" customHeight="1" x14ac:dyDescent="0.15">
      <c r="A123" s="17" t="str">
        <f t="shared" ca="1" si="9"/>
        <v>11008_4-4/39&lt;lv42&gt;s3</v>
      </c>
      <c r="B123" s="8">
        <v>11008</v>
      </c>
      <c r="C123" s="25">
        <v>4</v>
      </c>
      <c r="D123" s="2" t="str">
        <f t="shared" si="5"/>
        <v>11008_4</v>
      </c>
      <c r="E123" s="5" t="str">
        <f ca="1">VLOOKUP($B123,OFFSET([2]quests!$A$1,0,0,COUNTA([2]quests!$A:$A),MATCH(E$1,[2]quests!$1:$1,0)-MATCH($B$1,[2]quests!$1:$1,0)+1),MATCH(E$1,[2]quests!$1:$1,0)-MATCH($B$1,[2]quests!$1:$1,0)+1,FALSE)</f>
        <v>【日曜限定】 青と黄の素材</v>
      </c>
      <c r="F123" s="5" t="str">
        <f ca="1">VLOOKUP($D123,OFFSET([2]stages!$A$1,0,0,COUNTA([2]stages!$A:$A),MATCH(F$1,[2]stages!$2:$2,0)-MATCH($D$1,[2]stages!$2:$2,0)+1),MATCH(F$1,[2]stages!$2:$2,0)-MATCH($D$1,[2]stages!$2:$2,0)+1,FALSE)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3" s="25">
        <v>4</v>
      </c>
      <c r="H123" s="16" t="str">
        <f t="shared" si="6"/>
        <v>11008_4-4</v>
      </c>
      <c r="I123" s="5">
        <f ca="1">VLOOKUP($H123,OFFSET(floors!$A$1,0,0,COUNTA(floors!$A:$A),MATCH(I$1,floors!$1:$1,0)-MATCH($H$1,floors!$1:$1,0)+1),MATCH(I$1,floors!$1:$1,0)-MATCH($H$1,floors!$1:$1,0)+1,FALSE)</f>
        <v>45</v>
      </c>
      <c r="J123" s="5">
        <f ca="1">VLOOKUP($H123,OFFSET(floors!$A$1,0,0,COUNTA(floors!$A:$A),MATCH(J$1,floors!$1:$1,0)-MATCH($H$1,floors!$1:$1,0)+1),MATCH(J$1,floors!$1:$1,0)-MATCH($H$1,floors!$1:$1,0)+1,FALSE)</f>
        <v>60</v>
      </c>
      <c r="K123" s="24" t="s">
        <v>197</v>
      </c>
      <c r="L123" s="24">
        <v>39</v>
      </c>
      <c r="M123" s="20" t="str">
        <f ca="1">VLOOKUP($L123,OFFSET([3]enemies!$A$1,0,0,COUNTA([3]enemies!$A:$A),MATCH(M$1,[3]enemies!$1:$1,0)-MATCH($L$1,[3]enemies!$1:$1,0)+1),MATCH(M$1,[3]enemies!$1:$1,0)-MATCH($L$1,[3]enemies!$1:$1,0)+1,FALSE)</f>
        <v>マーロン</v>
      </c>
      <c r="N123" s="20" t="str">
        <f ca="1">VLOOKUP($L123,OFFSET([3]enemies!$A$1,0,0,COUNTA([3]enemies!$A:$A),MATCH(N$1,[3]enemies!$1:$1,0)-MATCH($L$1,[3]enemies!$1:$1,0)+1),MATCH(N$1,[3]enemies!$1:$1,0)-MATCH($L$1,[3]enemies!$1:$1,0)+1,FALSE)</f>
        <v>yellow</v>
      </c>
      <c r="O123" s="22" t="str">
        <f ca="1">VLOOKUP($L123,OFFSET([4]characters!$A$1,0,0,COUNTA([4]characters!$A:$A),MATCH(O$1,[4]characters!$1:$1,0)-MATCH($L$1,[4]characters!$1:$1,0)+1),MATCH(O$1,[4]characters!$1:$1,0)-MATCH($L$1,[4]characters!$1:$1,0)+1,FALSE)</f>
        <v>Drop1S</v>
      </c>
      <c r="P123" s="20" t="str">
        <f ca="1">VLOOKUP($L123,OFFSET([3]enemies!$A$1,0,0,COUNTA([3]enemies!$A:$A),MATCH(P$1,[3]enemies!$1:$1,0)-MATCH($L$1,[3]enemies!$1:$1,0)+1),MATCH(P$1,[3]enemies!$1:$1,0)-MATCH($L$1,[3]enemies!$1:$1,0)+1,FALSE)</f>
        <v>human</v>
      </c>
      <c r="Q123" s="20">
        <f ca="1">VLOOKUP($L123,OFFSET([3]enemies!$A$1,0,0,COUNTA([3]enemies!$A:$A),MATCH(Q$1,[3]enemies!$1:$1,0)-MATCH($L$1,[3]enemies!$1:$1,0)+1),MATCH(Q$1,[3]enemies!$1:$1,0)-MATCH($L$1,[3]enemies!$1:$1,0)+1,FALSE)</f>
        <v>15</v>
      </c>
      <c r="R123" s="6">
        <v>42</v>
      </c>
      <c r="S123" s="39">
        <v>1</v>
      </c>
      <c r="T123" s="39">
        <v>1</v>
      </c>
      <c r="U123" s="6">
        <v>0</v>
      </c>
      <c r="V123" s="5" t="str">
        <f ca="1">VLOOKUP($W123,OFFSET([5]enemy_skill_sets!$B$1,0,0,COUNTA([5]enemy_skill_sets!$B:$B),MATCH(M$1,[5]enemy_skill_sets!$1:$1,0)-MATCH($W$1,[5]enemy_skill_sets!$1:$1,0)+2),MATCH(M$1,[5]enemy_skill_sets!$1:$1,0)-MATCH($W$1,[5]enemy_skill_sets!$1:$1,0)+2,FALSE)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23" s="5">
        <f ca="1">VLOOKUP($L123,OFFSET([3]enemies!$A$1,0,0,COUNTA([3]enemies!$A:$A),MATCH(W$1,[3]enemies!$1:$1,0)-MATCH($L$1,[3]enemies!$1:$1,0)+1),MATCH(W$1,[3]enemies!$1:$1,0)-MATCH($L$1,[3]enemies!$1:$1,0)+1,FALSE)</f>
        <v>39</v>
      </c>
      <c r="X123" s="7">
        <v>0</v>
      </c>
      <c r="Y123" s="7">
        <v>100</v>
      </c>
      <c r="Z123" s="7">
        <v>0</v>
      </c>
      <c r="AA123" s="20">
        <f ca="1">VLOOKUP($L123,OFFSET([3]enemies!$A$1,0,0,COUNTA([3]enemies!$A:$A),MATCH(AA$1,[3]enemies!$1:$1,0)-MATCH($L$1,[3]enemies!$1:$1,0)+1),MATCH(AA$1,[3]enemies!$1:$1,0)-MATCH($L$1,[3]enemies!$1:$1,0)+1,FALSE)</f>
        <v>3</v>
      </c>
      <c r="AB123" s="24">
        <v>39</v>
      </c>
      <c r="AC123" s="5" t="str">
        <f ca="1">IFERROR(VLOOKUP($AB123,OFFSET([4]characters!$A$1,0,0,COUNTA([4]characters!$A:$A),MATCH(AC$1,[4]characters!$1:$1,0)-MATCH("character_id",[4]characters!$1:$1,0)+1),MATCH(AC$1,[4]characters!$1:$1,0)-MATCH("character_id",[4]characters!$1:$1,0)+1,FALSE),"")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23" s="5">
        <f ca="1">IFERROR(VLOOKUP($AB123,OFFSET([4]characters!$A$1,0,0,COUNTA([4]characters!$A:$A),MATCH(AD$1,[4]characters!$1:$1,0)-MATCH("character_id",[4]characters!$1:$1,0)+1),MATCH(AD$1,[4]characters!$1:$1,0)-MATCH("character_id",[4]characters!$1:$1,0)+1,FALSE),"")</f>
        <v>2</v>
      </c>
      <c r="AE123" s="5" t="str">
        <f ca="1">IFERROR(VLOOKUP($AB123,OFFSET([4]characters!$A$1,0,0,COUNTA([4]characters!$A:$A),MATCH(AE$1,[4]characters!$1:$1,0)-MATCH("character_id",[4]characters!$1:$1,0)+1),MATCH(AE$1,[4]characters!$1:$1,0)-MATCH("character_id",[4]characters!$1:$1,0)+1,FALSE),"")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23" s="8">
        <v>1</v>
      </c>
      <c r="AG123" s="27">
        <f t="shared" ca="1" si="7"/>
        <v>2</v>
      </c>
      <c r="AH123" s="9">
        <v>0</v>
      </c>
      <c r="AI123" s="8">
        <v>0</v>
      </c>
      <c r="AJ123" s="8">
        <v>0</v>
      </c>
      <c r="AK123" s="8">
        <v>0</v>
      </c>
      <c r="AL123" s="8">
        <v>0</v>
      </c>
      <c r="AM123" s="8">
        <v>1</v>
      </c>
      <c r="AN123" s="8">
        <v>1</v>
      </c>
    </row>
    <row r="124" spans="1:40" ht="21" customHeight="1" x14ac:dyDescent="0.15">
      <c r="A124" s="17" t="str">
        <f t="shared" ca="1" si="9"/>
        <v>11008_4-4/31&lt;lv42&gt;s2</v>
      </c>
      <c r="B124" s="8">
        <v>11008</v>
      </c>
      <c r="C124" s="25">
        <v>4</v>
      </c>
      <c r="D124" s="2" t="str">
        <f t="shared" si="5"/>
        <v>11008_4</v>
      </c>
      <c r="E124" s="5" t="str">
        <f ca="1">VLOOKUP($B124,OFFSET([2]quests!$A$1,0,0,COUNTA([2]quests!$A:$A),MATCH(E$1,[2]quests!$1:$1,0)-MATCH($B$1,[2]quests!$1:$1,0)+1),MATCH(E$1,[2]quests!$1:$1,0)-MATCH($B$1,[2]quests!$1:$1,0)+1,FALSE)</f>
        <v>【日曜限定】 青と黄の素材</v>
      </c>
      <c r="F124" s="5" t="str">
        <f ca="1">VLOOKUP($D124,OFFSET([2]stages!$A$1,0,0,COUNTA([2]stages!$A:$A),MATCH(F$1,[2]stages!$2:$2,0)-MATCH($D$1,[2]stages!$2:$2,0)+1),MATCH(F$1,[2]stages!$2:$2,0)-MATCH($D$1,[2]stages!$2:$2,0)+1,FALSE)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4" s="25">
        <v>4</v>
      </c>
      <c r="H124" s="16" t="str">
        <f t="shared" si="6"/>
        <v>11008_4-4</v>
      </c>
      <c r="I124" s="5">
        <f ca="1">VLOOKUP($H124,OFFSET(floors!$A$1,0,0,COUNTA(floors!$A:$A),MATCH(I$1,floors!$1:$1,0)-MATCH($H$1,floors!$1:$1,0)+1),MATCH(I$1,floors!$1:$1,0)-MATCH($H$1,floors!$1:$1,0)+1,FALSE)</f>
        <v>45</v>
      </c>
      <c r="J124" s="5">
        <f ca="1">VLOOKUP($H124,OFFSET(floors!$A$1,0,0,COUNTA(floors!$A:$A),MATCH(J$1,floors!$1:$1,0)-MATCH($H$1,floors!$1:$1,0)+1),MATCH(J$1,floors!$1:$1,0)-MATCH($H$1,floors!$1:$1,0)+1,FALSE)</f>
        <v>60</v>
      </c>
      <c r="K124" s="24" t="s">
        <v>197</v>
      </c>
      <c r="L124" s="24">
        <v>31</v>
      </c>
      <c r="M124" s="20" t="str">
        <f ca="1">VLOOKUP($L124,OFFSET([3]enemies!$A$1,0,0,COUNTA([3]enemies!$A:$A),MATCH(M$1,[3]enemies!$1:$1,0)-MATCH($L$1,[3]enemies!$1:$1,0)+1),MATCH(M$1,[3]enemies!$1:$1,0)-MATCH($L$1,[3]enemies!$1:$1,0)+1,FALSE)</f>
        <v>マービー</v>
      </c>
      <c r="N124" s="20" t="str">
        <f ca="1">VLOOKUP($L124,OFFSET([3]enemies!$A$1,0,0,COUNTA([3]enemies!$A:$A),MATCH(N$1,[3]enemies!$1:$1,0)-MATCH($L$1,[3]enemies!$1:$1,0)+1),MATCH(N$1,[3]enemies!$1:$1,0)-MATCH($L$1,[3]enemies!$1:$1,0)+1,FALSE)</f>
        <v>yellow</v>
      </c>
      <c r="O124" s="22" t="str">
        <f ca="1">VLOOKUP($L124,OFFSET([4]characters!$A$1,0,0,COUNTA([4]characters!$A:$A),MATCH(O$1,[4]characters!$1:$1,0)-MATCH($L$1,[4]characters!$1:$1,0)+1),MATCH(O$1,[4]characters!$1:$1,0)-MATCH($L$1,[4]characters!$1:$1,0)+1,FALSE)</f>
        <v>Drop1N</v>
      </c>
      <c r="P124" s="20" t="str">
        <f ca="1">VLOOKUP($L124,OFFSET([3]enemies!$A$1,0,0,COUNTA([3]enemies!$A:$A),MATCH(P$1,[3]enemies!$1:$1,0)-MATCH($L$1,[3]enemies!$1:$1,0)+1),MATCH(P$1,[3]enemies!$1:$1,0)-MATCH($L$1,[3]enemies!$1:$1,0)+1,FALSE)</f>
        <v>machine</v>
      </c>
      <c r="Q124" s="20">
        <f ca="1">VLOOKUP($L124,OFFSET([3]enemies!$A$1,0,0,COUNTA([3]enemies!$A:$A),MATCH(Q$1,[3]enemies!$1:$1,0)-MATCH($L$1,[3]enemies!$1:$1,0)+1),MATCH(Q$1,[3]enemies!$1:$1,0)-MATCH($L$1,[3]enemies!$1:$1,0)+1,FALSE)</f>
        <v>15</v>
      </c>
      <c r="R124" s="6">
        <v>42</v>
      </c>
      <c r="S124" s="39">
        <v>1</v>
      </c>
      <c r="T124" s="39">
        <v>1</v>
      </c>
      <c r="U124" s="6">
        <v>0</v>
      </c>
      <c r="V124" s="5" t="str">
        <f ca="1">VLOOKUP($W124,OFFSET([5]enemy_skill_sets!$B$1,0,0,COUNTA([5]enemy_skill_sets!$B:$B),MATCH(M$1,[5]enemy_skill_sets!$1:$1,0)-MATCH($W$1,[5]enemy_skill_sets!$1:$1,0)+2),MATCH(M$1,[5]enemy_skill_sets!$1:$1,0)-MATCH($W$1,[5]enemy_skill_sets!$1:$1,0)+2,FALSE)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4" s="5">
        <f ca="1">VLOOKUP($L124,OFFSET([3]enemies!$A$1,0,0,COUNTA([3]enemies!$A:$A),MATCH(W$1,[3]enemies!$1:$1,0)-MATCH($L$1,[3]enemies!$1:$1,0)+1),MATCH(W$1,[3]enemies!$1:$1,0)-MATCH($L$1,[3]enemies!$1:$1,0)+1,FALSE)</f>
        <v>0</v>
      </c>
      <c r="X124" s="7">
        <v>0</v>
      </c>
      <c r="Y124" s="7">
        <v>100</v>
      </c>
      <c r="Z124" s="7">
        <v>0</v>
      </c>
      <c r="AA124" s="20">
        <f ca="1">VLOOKUP($L124,OFFSET([3]enemies!$A$1,0,0,COUNTA([3]enemies!$A:$A),MATCH(AA$1,[3]enemies!$1:$1,0)-MATCH($L$1,[3]enemies!$1:$1,0)+1),MATCH(AA$1,[3]enemies!$1:$1,0)-MATCH($L$1,[3]enemies!$1:$1,0)+1,FALSE)</f>
        <v>2</v>
      </c>
      <c r="AB124" s="24">
        <v>31</v>
      </c>
      <c r="AC124" s="5" t="str">
        <f ca="1">IFERROR(VLOOKUP($AB124,OFFSET([4]characters!$A$1,0,0,COUNTA([4]characters!$A:$A),MATCH(AC$1,[4]characters!$1:$1,0)-MATCH("character_id",[4]characters!$1:$1,0)+1),MATCH(AC$1,[4]characters!$1:$1,0)-MATCH("character_id",[4]characters!$1:$1,0)+1,FALSE),"")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24" s="5">
        <f ca="1">IFERROR(VLOOKUP($AB124,OFFSET([4]characters!$A$1,0,0,COUNTA([4]characters!$A:$A),MATCH(AD$1,[4]characters!$1:$1,0)-MATCH("character_id",[4]characters!$1:$1,0)+1),MATCH(AD$1,[4]characters!$1:$1,0)-MATCH("character_id",[4]characters!$1:$1,0)+1,FALSE),"")</f>
        <v>1</v>
      </c>
      <c r="AE124" s="5" t="str">
        <f ca="1">IFERROR(VLOOKUP($AB124,OFFSET([4]characters!$A$1,0,0,COUNTA([4]characters!$A:$A),MATCH(AE$1,[4]characters!$1:$1,0)-MATCH("character_id",[4]characters!$1:$1,0)+1),MATCH(AE$1,[4]characters!$1:$1,0)-MATCH("character_id",[4]characters!$1:$1,0)+1,FALSE),"")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24" s="8">
        <v>1</v>
      </c>
      <c r="AG124" s="27">
        <f t="shared" ca="1" si="7"/>
        <v>1</v>
      </c>
      <c r="AH124" s="9">
        <v>0</v>
      </c>
      <c r="AI124" s="8">
        <v>0</v>
      </c>
      <c r="AJ124" s="8">
        <v>0</v>
      </c>
      <c r="AK124" s="8">
        <v>0</v>
      </c>
      <c r="AL124" s="8">
        <v>0</v>
      </c>
      <c r="AM124" s="8">
        <v>1</v>
      </c>
      <c r="AN124" s="8">
        <v>1</v>
      </c>
    </row>
    <row r="125" spans="1:40" ht="21" customHeight="1" x14ac:dyDescent="0.15">
      <c r="A125" s="17" t="str">
        <f t="shared" ca="1" si="9"/>
        <v>11008_4-5/39&lt;lv42&gt;s3</v>
      </c>
      <c r="B125" s="8">
        <v>11008</v>
      </c>
      <c r="C125" s="25">
        <v>4</v>
      </c>
      <c r="D125" s="2" t="str">
        <f t="shared" si="5"/>
        <v>11008_4</v>
      </c>
      <c r="E125" s="5" t="str">
        <f ca="1">VLOOKUP($B125,OFFSET([2]quests!$A$1,0,0,COUNTA([2]quests!$A:$A),MATCH(E$1,[2]quests!$1:$1,0)-MATCH($B$1,[2]quests!$1:$1,0)+1),MATCH(E$1,[2]quests!$1:$1,0)-MATCH($B$1,[2]quests!$1:$1,0)+1,FALSE)</f>
        <v>【日曜限定】 青と黄の素材</v>
      </c>
      <c r="F125" s="5" t="str">
        <f ca="1">VLOOKUP($D125,OFFSET([2]stages!$A$1,0,0,COUNTA([2]stages!$A:$A),MATCH(F$1,[2]stages!$2:$2,0)-MATCH($D$1,[2]stages!$2:$2,0)+1),MATCH(F$1,[2]stages!$2:$2,0)-MATCH($D$1,[2]stages!$2:$2,0)+1,FALSE)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5" s="25">
        <v>5</v>
      </c>
      <c r="H125" s="16" t="str">
        <f t="shared" si="6"/>
        <v>11008_4-5</v>
      </c>
      <c r="I125" s="5">
        <f ca="1">VLOOKUP($H125,OFFSET(floors!$A$1,0,0,COUNTA(floors!$A:$A),MATCH(I$1,floors!$1:$1,0)-MATCH($H$1,floors!$1:$1,0)+1),MATCH(I$1,floors!$1:$1,0)-MATCH($H$1,floors!$1:$1,0)+1,FALSE)</f>
        <v>60</v>
      </c>
      <c r="J125" s="5">
        <f ca="1">VLOOKUP($H125,OFFSET(floors!$A$1,0,0,COUNTA(floors!$A:$A),MATCH(J$1,floors!$1:$1,0)-MATCH($H$1,floors!$1:$1,0)+1),MATCH(J$1,floors!$1:$1,0)-MATCH($H$1,floors!$1:$1,0)+1,FALSE)</f>
        <v>60</v>
      </c>
      <c r="K125" s="24" t="s">
        <v>197</v>
      </c>
      <c r="L125" s="24">
        <v>39</v>
      </c>
      <c r="M125" s="20" t="str">
        <f ca="1">VLOOKUP($L125,OFFSET([3]enemies!$A$1,0,0,COUNTA([3]enemies!$A:$A),MATCH(M$1,[3]enemies!$1:$1,0)-MATCH($L$1,[3]enemies!$1:$1,0)+1),MATCH(M$1,[3]enemies!$1:$1,0)-MATCH($L$1,[3]enemies!$1:$1,0)+1,FALSE)</f>
        <v>マーロン</v>
      </c>
      <c r="N125" s="20" t="str">
        <f ca="1">VLOOKUP($L125,OFFSET([3]enemies!$A$1,0,0,COUNTA([3]enemies!$A:$A),MATCH(N$1,[3]enemies!$1:$1,0)-MATCH($L$1,[3]enemies!$1:$1,0)+1),MATCH(N$1,[3]enemies!$1:$1,0)-MATCH($L$1,[3]enemies!$1:$1,0)+1,FALSE)</f>
        <v>yellow</v>
      </c>
      <c r="O125" s="22" t="str">
        <f ca="1">VLOOKUP($L125,OFFSET([4]characters!$A$1,0,0,COUNTA([4]characters!$A:$A),MATCH(O$1,[4]characters!$1:$1,0)-MATCH($L$1,[4]characters!$1:$1,0)+1),MATCH(O$1,[4]characters!$1:$1,0)-MATCH($L$1,[4]characters!$1:$1,0)+1,FALSE)</f>
        <v>Drop1S</v>
      </c>
      <c r="P125" s="20" t="str">
        <f ca="1">VLOOKUP($L125,OFFSET([3]enemies!$A$1,0,0,COUNTA([3]enemies!$A:$A),MATCH(P$1,[3]enemies!$1:$1,0)-MATCH($L$1,[3]enemies!$1:$1,0)+1),MATCH(P$1,[3]enemies!$1:$1,0)-MATCH($L$1,[3]enemies!$1:$1,0)+1,FALSE)</f>
        <v>human</v>
      </c>
      <c r="Q125" s="20">
        <f ca="1">VLOOKUP($L125,OFFSET([3]enemies!$A$1,0,0,COUNTA([3]enemies!$A:$A),MATCH(Q$1,[3]enemies!$1:$1,0)-MATCH($L$1,[3]enemies!$1:$1,0)+1),MATCH(Q$1,[3]enemies!$1:$1,0)-MATCH($L$1,[3]enemies!$1:$1,0)+1,FALSE)</f>
        <v>15</v>
      </c>
      <c r="R125" s="6">
        <v>42</v>
      </c>
      <c r="S125" s="39">
        <v>1</v>
      </c>
      <c r="T125" s="39">
        <v>1</v>
      </c>
      <c r="U125" s="6">
        <v>0</v>
      </c>
      <c r="V125" s="5" t="str">
        <f ca="1">VLOOKUP($W125,OFFSET([5]enemy_skill_sets!$B$1,0,0,COUNTA([5]enemy_skill_sets!$B:$B),MATCH(M$1,[5]enemy_skill_sets!$1:$1,0)-MATCH($W$1,[5]enemy_skill_sets!$1:$1,0)+2),MATCH(M$1,[5]enemy_skill_sets!$1:$1,0)-MATCH($W$1,[5]enemy_skill_sets!$1:$1,0)+2,FALSE)</f>
        <v>3ターンスキルが使えない！</v>
      </c>
      <c r="W125" s="5">
        <f ca="1">VLOOKUP($L125,OFFSET([3]enemies!$A$1,0,0,COUNTA([3]enemies!$A:$A),MATCH(W$1,[3]enemies!$1:$1,0)-MATCH($L$1,[3]enemies!$1:$1,0)+1),MATCH(W$1,[3]enemies!$1:$1,0)-MATCH($L$1,[3]enemies!$1:$1,0)+1,FALSE)</f>
        <v>39</v>
      </c>
      <c r="X125" s="7">
        <v>0</v>
      </c>
      <c r="Y125" s="7">
        <v>100</v>
      </c>
      <c r="Z125" s="7">
        <v>0</v>
      </c>
      <c r="AA125" s="20">
        <f ca="1">VLOOKUP($L125,OFFSET([3]enemies!$A$1,0,0,COUNTA([3]enemies!$A:$A),MATCH(AA$1,[3]enemies!$1:$1,0)-MATCH($L$1,[3]enemies!$1:$1,0)+1),MATCH(AA$1,[3]enemies!$1:$1,0)-MATCH($L$1,[3]enemies!$1:$1,0)+1,FALSE)</f>
        <v>3</v>
      </c>
      <c r="AB125" s="24">
        <v>39</v>
      </c>
      <c r="AC125" s="5" t="str">
        <f ca="1">IFERROR(VLOOKUP($AB125,OFFSET([4]characters!$A$1,0,0,COUNTA([4]characters!$A:$A),MATCH(AC$1,[4]characters!$1:$1,0)-MATCH("character_id",[4]characters!$1:$1,0)+1),MATCH(AC$1,[4]characters!$1:$1,0)-MATCH("character_id",[4]characters!$1:$1,0)+1,FALSE),"")</f>
        <v>マーロン</v>
      </c>
      <c r="AD125" s="5">
        <f ca="1">IFERROR(VLOOKUP($AB125,OFFSET([4]characters!$A$1,0,0,COUNTA([4]characters!$A:$A),MATCH(AD$1,[4]characters!$1:$1,0)-MATCH("character_id",[4]characters!$1:$1,0)+1),MATCH(AD$1,[4]characters!$1:$1,0)-MATCH("character_id",[4]characters!$1:$1,0)+1,FALSE),"")</f>
        <v>2</v>
      </c>
      <c r="AE125" s="5" t="str">
        <f ca="1">IFERROR(VLOOKUP($AB125,OFFSET([4]characters!$A$1,0,0,COUNTA([4]characters!$A:$A),MATCH(AE$1,[4]characters!$1:$1,0)-MATCH("character_id",[4]characters!$1:$1,0)+1),MATCH(AE$1,[4]characters!$1:$1,0)-MATCH("character_id",[4]characters!$1:$1,0)+1,FALSE),"")</f>
        <v>Drop1S</v>
      </c>
      <c r="AF125" s="8">
        <v>1</v>
      </c>
      <c r="AG125" s="27">
        <f t="shared" ca="1" si="7"/>
        <v>2</v>
      </c>
      <c r="AH125" s="9">
        <v>0</v>
      </c>
      <c r="AI125" s="8">
        <v>0</v>
      </c>
      <c r="AJ125" s="8">
        <v>0</v>
      </c>
      <c r="AK125" s="8">
        <v>0</v>
      </c>
      <c r="AL125" s="8">
        <v>0</v>
      </c>
      <c r="AM125" s="8">
        <v>1</v>
      </c>
      <c r="AN125" s="8">
        <v>1</v>
      </c>
    </row>
    <row r="126" spans="1:40" ht="21" customHeight="1" x14ac:dyDescent="0.15">
      <c r="A126" s="17" t="str">
        <f t="shared" ca="1" si="9"/>
        <v>11008_4-5/31&lt;lv42&gt;s2</v>
      </c>
      <c r="B126" s="8">
        <v>11008</v>
      </c>
      <c r="C126" s="25">
        <v>4</v>
      </c>
      <c r="D126" s="2" t="str">
        <f t="shared" si="5"/>
        <v>11008_4</v>
      </c>
      <c r="E126" s="5" t="str">
        <f ca="1">VLOOKUP($B126,OFFSET([2]quests!$A$1,0,0,COUNTA([2]quests!$A:$A),MATCH(E$1,[2]quests!$1:$1,0)-MATCH($B$1,[2]quests!$1:$1,0)+1),MATCH(E$1,[2]quests!$1:$1,0)-MATCH($B$1,[2]quests!$1:$1,0)+1,FALSE)</f>
        <v>【日曜限定】 青と黄の素材</v>
      </c>
      <c r="F126" s="5" t="str">
        <f ca="1">VLOOKUP($D126,OFFSET([2]stages!$A$1,0,0,COUNTA([2]stages!$A:$A),MATCH(F$1,[2]stages!$2:$2,0)-MATCH($D$1,[2]stages!$2:$2,0)+1),MATCH(F$1,[2]stages!$2:$2,0)-MATCH($D$1,[2]stages!$2:$2,0)+1,FALSE)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6" s="25">
        <v>5</v>
      </c>
      <c r="H126" s="16" t="str">
        <f t="shared" si="6"/>
        <v>11008_4-5</v>
      </c>
      <c r="I126" s="5">
        <f ca="1">VLOOKUP($H126,OFFSET(floors!$A$1,0,0,COUNTA(floors!$A:$A),MATCH(I$1,floors!$1:$1,0)-MATCH($H$1,floors!$1:$1,0)+1),MATCH(I$1,floors!$1:$1,0)-MATCH($H$1,floors!$1:$1,0)+1,FALSE)</f>
        <v>60</v>
      </c>
      <c r="J126" s="5">
        <f ca="1">VLOOKUP($H126,OFFSET(floors!$A$1,0,0,COUNTA(floors!$A:$A),MATCH(J$1,floors!$1:$1,0)-MATCH($H$1,floors!$1:$1,0)+1),MATCH(J$1,floors!$1:$1,0)-MATCH($H$1,floors!$1:$1,0)+1,FALSE)</f>
        <v>60</v>
      </c>
      <c r="K126" s="24" t="s">
        <v>197</v>
      </c>
      <c r="L126" s="24">
        <v>31</v>
      </c>
      <c r="M126" s="20" t="str">
        <f ca="1">VLOOKUP($L126,OFFSET([3]enemies!$A$1,0,0,COUNTA([3]enemies!$A:$A),MATCH(M$1,[3]enemies!$1:$1,0)-MATCH($L$1,[3]enemies!$1:$1,0)+1),MATCH(M$1,[3]enemies!$1:$1,0)-MATCH($L$1,[3]enemies!$1:$1,0)+1,FALSE)</f>
        <v>マービー</v>
      </c>
      <c r="N126" s="20" t="str">
        <f ca="1">VLOOKUP($L126,OFFSET([3]enemies!$A$1,0,0,COUNTA([3]enemies!$A:$A),MATCH(N$1,[3]enemies!$1:$1,0)-MATCH($L$1,[3]enemies!$1:$1,0)+1),MATCH(N$1,[3]enemies!$1:$1,0)-MATCH($L$1,[3]enemies!$1:$1,0)+1,FALSE)</f>
        <v>yellow</v>
      </c>
      <c r="O126" s="22" t="str">
        <f ca="1">VLOOKUP($L126,OFFSET([4]characters!$A$1,0,0,COUNTA([4]characters!$A:$A),MATCH(O$1,[4]characters!$1:$1,0)-MATCH($L$1,[4]characters!$1:$1,0)+1),MATCH(O$1,[4]characters!$1:$1,0)-MATCH($L$1,[4]characters!$1:$1,0)+1,FALSE)</f>
        <v>Drop1N</v>
      </c>
      <c r="P126" s="20" t="str">
        <f ca="1">VLOOKUP($L126,OFFSET([3]enemies!$A$1,0,0,COUNTA([3]enemies!$A:$A),MATCH(P$1,[3]enemies!$1:$1,0)-MATCH($L$1,[3]enemies!$1:$1,0)+1),MATCH(P$1,[3]enemies!$1:$1,0)-MATCH($L$1,[3]enemies!$1:$1,0)+1,FALSE)</f>
        <v>machine</v>
      </c>
      <c r="Q126" s="20">
        <f ca="1">VLOOKUP($L126,OFFSET([3]enemies!$A$1,0,0,COUNTA([3]enemies!$A:$A),MATCH(Q$1,[3]enemies!$1:$1,0)-MATCH($L$1,[3]enemies!$1:$1,0)+1),MATCH(Q$1,[3]enemies!$1:$1,0)-MATCH($L$1,[3]enemies!$1:$1,0)+1,FALSE)</f>
        <v>15</v>
      </c>
      <c r="R126" s="6">
        <v>42</v>
      </c>
      <c r="S126" s="39">
        <v>1</v>
      </c>
      <c r="T126" s="39">
        <v>1</v>
      </c>
      <c r="U126" s="6">
        <v>0</v>
      </c>
      <c r="V126" s="5" t="str">
        <f ca="1">VLOOKUP($W126,OFFSET([5]enemy_skill_sets!$B$1,0,0,COUNTA([5]enemy_skill_sets!$B:$B),MATCH(M$1,[5]enemy_skill_sets!$1:$1,0)-MATCH($W$1,[5]enemy_skill_sets!$1:$1,0)+2),MATCH(M$1,[5]enemy_skill_sets!$1:$1,0)-MATCH($W$1,[5]enemy_skill_sets!$1:$1,0)+2,FALSE)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6" s="5">
        <f ca="1">VLOOKUP($L126,OFFSET([3]enemies!$A$1,0,0,COUNTA([3]enemies!$A:$A),MATCH(W$1,[3]enemies!$1:$1,0)-MATCH($L$1,[3]enemies!$1:$1,0)+1),MATCH(W$1,[3]enemies!$1:$1,0)-MATCH($L$1,[3]enemies!$1:$1,0)+1,FALSE)</f>
        <v>0</v>
      </c>
      <c r="X126" s="7">
        <v>0</v>
      </c>
      <c r="Y126" s="7">
        <v>100</v>
      </c>
      <c r="Z126" s="7">
        <v>0</v>
      </c>
      <c r="AA126" s="20">
        <f ca="1">VLOOKUP($L126,OFFSET([3]enemies!$A$1,0,0,COUNTA([3]enemies!$A:$A),MATCH(AA$1,[3]enemies!$1:$1,0)-MATCH($L$1,[3]enemies!$1:$1,0)+1),MATCH(AA$1,[3]enemies!$1:$1,0)-MATCH($L$1,[3]enemies!$1:$1,0)+1,FALSE)</f>
        <v>2</v>
      </c>
      <c r="AB126" s="24">
        <v>31</v>
      </c>
      <c r="AC126" s="5" t="str">
        <f ca="1">IFERROR(VLOOKUP($AB126,OFFSET([4]characters!$A$1,0,0,COUNTA([4]characters!$A:$A),MATCH(AC$1,[4]characters!$1:$1,0)-MATCH("character_id",[4]characters!$1:$1,0)+1),MATCH(AC$1,[4]characters!$1:$1,0)-MATCH("character_id",[4]characters!$1:$1,0)+1,FALSE),"")</f>
        <v>マービー</v>
      </c>
      <c r="AD126" s="5">
        <f ca="1">IFERROR(VLOOKUP($AB126,OFFSET([4]characters!$A$1,0,0,COUNTA([4]characters!$A:$A),MATCH(AD$1,[4]characters!$1:$1,0)-MATCH("character_id",[4]characters!$1:$1,0)+1),MATCH(AD$1,[4]characters!$1:$1,0)-MATCH("character_id",[4]characters!$1:$1,0)+1,FALSE),"")</f>
        <v>1</v>
      </c>
      <c r="AE126" s="5" t="str">
        <f ca="1">IFERROR(VLOOKUP($AB126,OFFSET([4]characters!$A$1,0,0,COUNTA([4]characters!$A:$A),MATCH(AE$1,[4]characters!$1:$1,0)-MATCH("character_id",[4]characters!$1:$1,0)+1),MATCH(AE$1,[4]characters!$1:$1,0)-MATCH("character_id",[4]characters!$1:$1,0)+1,FALSE),"")</f>
        <v>Drop1N</v>
      </c>
      <c r="AF126" s="8">
        <v>1</v>
      </c>
      <c r="AG126" s="27">
        <f t="shared" ca="1" si="7"/>
        <v>1</v>
      </c>
      <c r="AH126" s="9">
        <v>0</v>
      </c>
      <c r="AI126" s="8">
        <v>0</v>
      </c>
      <c r="AJ126" s="8">
        <v>0</v>
      </c>
      <c r="AK126" s="8">
        <v>0</v>
      </c>
      <c r="AL126" s="8">
        <v>0</v>
      </c>
      <c r="AM126" s="8">
        <v>1</v>
      </c>
      <c r="AN126" s="8">
        <v>1</v>
      </c>
    </row>
    <row r="127" spans="1:40" ht="21" customHeight="1" x14ac:dyDescent="0.15">
      <c r="A127" s="17" t="str">
        <f t="shared" ca="1" si="9"/>
        <v>11008_4-6/116&lt;lv40&gt;s2</v>
      </c>
      <c r="B127" s="8">
        <v>11008</v>
      </c>
      <c r="C127" s="25">
        <v>4</v>
      </c>
      <c r="D127" s="2" t="str">
        <f t="shared" si="5"/>
        <v>11008_4</v>
      </c>
      <c r="E127" s="5" t="str">
        <f ca="1">VLOOKUP($B127,OFFSET([2]quests!$A$1,0,0,COUNTA([2]quests!$A:$A),MATCH(E$1,[2]quests!$1:$1,0)-MATCH($B$1,[2]quests!$1:$1,0)+1),MATCH(E$1,[2]quests!$1:$1,0)-MATCH($B$1,[2]quests!$1:$1,0)+1,FALSE)</f>
        <v>【日曜限定】 青と黄の素材</v>
      </c>
      <c r="F127" s="5" t="str">
        <f ca="1">VLOOKUP($D127,OFFSET([2]stages!$A$1,0,0,COUNTA([2]stages!$A:$A),MATCH(F$1,[2]stages!$2:$2,0)-MATCH($D$1,[2]stages!$2:$2,0)+1),MATCH(F$1,[2]stages!$2:$2,0)-MATCH($D$1,[2]stages!$2:$2,0)+1,FALSE)</f>
        <v xml:space="preserve">【超級】水と雷の帽子屋 </v>
      </c>
      <c r="G127" s="25">
        <v>6</v>
      </c>
      <c r="H127" s="16" t="str">
        <f t="shared" si="6"/>
        <v>11008_4-6</v>
      </c>
      <c r="I127" s="5">
        <f ca="1">VLOOKUP($H127,OFFSET(floors!$A$1,0,0,COUNTA(floors!$A:$A),MATCH(I$1,floors!$1:$1,0)-MATCH($H$1,floors!$1:$1,0)+1),MATCH(I$1,floors!$1:$1,0)-MATCH($H$1,floors!$1:$1,0)+1,FALSE)</f>
        <v>60</v>
      </c>
      <c r="J127" s="5">
        <f ca="1">VLOOKUP($H127,OFFSET(floors!$A$1,0,0,COUNTA(floors!$A:$A),MATCH(J$1,floors!$1:$1,0)-MATCH($H$1,floors!$1:$1,0)+1),MATCH(J$1,floors!$1:$1,0)-MATCH($H$1,floors!$1:$1,0)+1,FALSE)</f>
        <v>60</v>
      </c>
      <c r="K127" s="24" t="s">
        <v>197</v>
      </c>
      <c r="L127" s="24">
        <v>116</v>
      </c>
      <c r="M127" s="20" t="str">
        <f ca="1">VLOOKUP($L127,OFFSET([3]enemies!$A$1,0,0,COUNTA([3]enemies!$A:$A),MATCH(M$1,[3]enemies!$1:$1,0)-MATCH($L$1,[3]enemies!$1:$1,0)+1),MATCH(M$1,[3]enemies!$1:$1,0)-MATCH($L$1,[3]enemies!$1:$1,0)+1,FALSE)</f>
        <v>雷のマッドハッター</v>
      </c>
      <c r="N127" s="20" t="str">
        <f ca="1">VLOOKUP($L127,OFFSET([3]enemies!$A$1,0,0,COUNTA([3]enemies!$A:$A),MATCH(N$1,[3]enemies!$1:$1,0)-MATCH($L$1,[3]enemies!$1:$1,0)+1),MATCH(N$1,[3]enemies!$1:$1,0)-MATCH($L$1,[3]enemies!$1:$1,0)+1,FALSE)</f>
        <v>yellow</v>
      </c>
      <c r="O127" s="22" t="str">
        <f ca="1">VLOOKUP($L127,OFFSET([4]characters!$A$1,0,0,COUNTA([4]characters!$A:$A),MATCH(O$1,[4]characters!$1:$1,0)-MATCH($L$1,[4]characters!$1:$1,0)+1),MATCH(O$1,[4]characters!$1:$1,0)-MATCH($L$1,[4]characters!$1:$1,0)+1,FALSE)</f>
        <v>Material</v>
      </c>
      <c r="P127" s="20" t="str">
        <f ca="1">VLOOKUP($L127,OFFSET([3]enemies!$A$1,0,0,COUNTA([3]enemies!$A:$A),MATCH(P$1,[3]enemies!$1:$1,0)-MATCH($L$1,[3]enemies!$1:$1,0)+1),MATCH(P$1,[3]enemies!$1:$1,0)-MATCH($L$1,[3]enemies!$1:$1,0)+1,FALSE)</f>
        <v>unknown</v>
      </c>
      <c r="Q127" s="20">
        <f ca="1">VLOOKUP($L127,OFFSET([3]enemies!$A$1,0,0,COUNTA([3]enemies!$A:$A),MATCH(Q$1,[3]enemies!$1:$1,0)-MATCH($L$1,[3]enemies!$1:$1,0)+1),MATCH(Q$1,[3]enemies!$1:$1,0)-MATCH($L$1,[3]enemies!$1:$1,0)+1,FALSE)</f>
        <v>20</v>
      </c>
      <c r="R127" s="6">
        <v>40</v>
      </c>
      <c r="S127" s="40">
        <v>1.7</v>
      </c>
      <c r="T127" s="39">
        <v>1</v>
      </c>
      <c r="U127" s="6">
        <v>0</v>
      </c>
      <c r="V127" s="5" t="str">
        <f ca="1">VLOOKUP($W127,OFFSET([5]enemy_skill_sets!$B$1,0,0,COUNTA([5]enemy_skill_sets!$B:$B),MATCH(M$1,[5]enemy_skill_sets!$1:$1,0)-MATCH($W$1,[5]enemy_skill_sets!$1:$1,0)+2),MATCH(M$1,[5]enemy_skill_sets!$1:$1,0)-MATCH($W$1,[5]enemy_skill_sets!$1:$1,0)+2,FALSE)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27" s="5">
        <f ca="1">VLOOKUP($L127,OFFSET([3]enemies!$A$1,0,0,COUNTA([3]enemies!$A:$A),MATCH(W$1,[3]enemies!$1:$1,0)-MATCH($L$1,[3]enemies!$1:$1,0)+1),MATCH(W$1,[3]enemies!$1:$1,0)-MATCH($L$1,[3]enemies!$1:$1,0)+1,FALSE)</f>
        <v>0</v>
      </c>
      <c r="X127" s="7">
        <v>1</v>
      </c>
      <c r="Y127" s="7">
        <v>0</v>
      </c>
      <c r="Z127" s="7">
        <v>2</v>
      </c>
      <c r="AA127" s="20">
        <f ca="1">VLOOKUP($L127,OFFSET([3]enemies!$A$1,0,0,COUNTA([3]enemies!$A:$A),MATCH(AA$1,[3]enemies!$1:$1,0)-MATCH($L$1,[3]enemies!$1:$1,0)+1),MATCH(AA$1,[3]enemies!$1:$1,0)-MATCH($L$1,[3]enemies!$1:$1,0)+1,FALSE)</f>
        <v>2</v>
      </c>
      <c r="AB127" s="24">
        <v>116</v>
      </c>
      <c r="AC127" s="5" t="str">
        <f ca="1">IFERROR(VLOOKUP($AB127,OFFSET([4]characters!$A$1,0,0,COUNTA([4]characters!$A:$A),MATCH(AC$1,[4]characters!$1:$1,0)-MATCH("character_id",[4]characters!$1:$1,0)+1),MATCH(AC$1,[4]characters!$1:$1,0)-MATCH("character_id",[4]characters!$1:$1,0)+1,FALSE),"")</f>
        <v>雷のマッドハッター</v>
      </c>
      <c r="AD127" s="5">
        <f ca="1">IFERROR(VLOOKUP($AB127,OFFSET([4]characters!$A$1,0,0,COUNTA([4]characters!$A:$A),MATCH(AD$1,[4]characters!$1:$1,0)-MATCH("character_id",[4]characters!$1:$1,0)+1),MATCH(AD$1,[4]characters!$1:$1,0)-MATCH("character_id",[4]characters!$1:$1,0)+1,FALSE),"")</f>
        <v>5</v>
      </c>
      <c r="AE127" s="5" t="str">
        <f ca="1">IFERROR(VLOOKUP($AB127,OFFSET([4]characters!$A$1,0,0,COUNTA([4]characters!$A:$A),MATCH(AE$1,[4]characters!$1:$1,0)-MATCH("character_id",[4]characters!$1:$1,0)+1),MATCH(AE$1,[4]characters!$1:$1,0)-MATCH("character_id",[4]characters!$1:$1,0)+1,FALSE),"")</f>
        <v>Material</v>
      </c>
      <c r="AF127" s="8">
        <v>1</v>
      </c>
      <c r="AG127" s="27">
        <f t="shared" ca="1" si="7"/>
        <v>5</v>
      </c>
      <c r="AH127" s="9">
        <v>100</v>
      </c>
      <c r="AI127" s="8">
        <v>0</v>
      </c>
      <c r="AJ127" s="8">
        <v>0</v>
      </c>
      <c r="AK127" s="8">
        <v>0</v>
      </c>
      <c r="AL127" s="8">
        <v>0</v>
      </c>
      <c r="AM127" s="8">
        <v>1</v>
      </c>
      <c r="AN127" s="8">
        <v>1</v>
      </c>
    </row>
  </sheetData>
  <sheetProtection selectLockedCells="1" selectUnlockedCells="1"/>
  <autoFilter ref="B1:AH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8.832031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6.6640625" style="4" customWidth="1"/>
    <col min="24" max="24" width="10" style="4" bestFit="1" customWidth="1" outlineLevel="1"/>
    <col min="25" max="25" width="9.33203125" style="4" bestFit="1" customWidth="1"/>
    <col min="26" max="16384" width="13" style="4"/>
  </cols>
  <sheetData>
    <row r="1" spans="1:25" s="75" customFormat="1" ht="21" customHeight="1" x14ac:dyDescent="0.15">
      <c r="A1" s="71" t="s">
        <v>181</v>
      </c>
      <c r="B1" s="38" t="s">
        <v>0</v>
      </c>
      <c r="C1" s="38" t="s">
        <v>1</v>
      </c>
      <c r="D1" s="41" t="s">
        <v>182</v>
      </c>
      <c r="E1" s="41" t="s">
        <v>183</v>
      </c>
      <c r="F1" s="41" t="s">
        <v>183</v>
      </c>
      <c r="G1" s="38" t="s">
        <v>184</v>
      </c>
      <c r="H1" s="41" t="s">
        <v>185</v>
      </c>
      <c r="I1" s="41" t="s">
        <v>14</v>
      </c>
      <c r="J1" s="41" t="s">
        <v>15</v>
      </c>
      <c r="K1" s="72" t="s">
        <v>186</v>
      </c>
      <c r="L1" s="72" t="s">
        <v>187</v>
      </c>
      <c r="M1" s="72" t="s">
        <v>2</v>
      </c>
      <c r="N1" s="73" t="s">
        <v>183</v>
      </c>
      <c r="O1" s="41" t="s">
        <v>188</v>
      </c>
      <c r="P1" s="41" t="s">
        <v>189</v>
      </c>
      <c r="Q1" s="74" t="s">
        <v>190</v>
      </c>
      <c r="R1" s="41" t="s">
        <v>191</v>
      </c>
      <c r="S1" s="38" t="s">
        <v>3</v>
      </c>
      <c r="T1" s="38" t="s">
        <v>192</v>
      </c>
      <c r="U1" s="38" t="s">
        <v>193</v>
      </c>
      <c r="V1" s="38" t="s">
        <v>194</v>
      </c>
      <c r="W1" s="38" t="s">
        <v>195</v>
      </c>
      <c r="X1" s="41" t="s">
        <v>80</v>
      </c>
      <c r="Y1" s="38" t="s">
        <v>8</v>
      </c>
    </row>
    <row r="2" spans="1:25" ht="21" customHeight="1" x14ac:dyDescent="0.15">
      <c r="A2" s="17" t="str">
        <f>B2&amp;"_"&amp;C2&amp;"-"&amp;G2&amp;"/"&amp;M2&amp;"&lt;lv"&amp;S2&amp;"&gt;sq"&amp;K2&amp;"st"&amp;L2</f>
        <v>11006_1-1/2&lt;lv1&gt;sq1st2</v>
      </c>
      <c r="B2" s="76">
        <v>11006</v>
      </c>
      <c r="C2" s="77">
        <v>1</v>
      </c>
      <c r="D2" s="16" t="str">
        <f>B2&amp;"_"&amp;C2</f>
        <v>11006_1</v>
      </c>
      <c r="E2" s="5" t="str">
        <f ca="1">VLOOKUP($B2,OFFSET([2]quests!$A$1,0,0,COUNTA([2]quests!$A:$A),MATCH(E$1,[2]quests!$1:$1,0)-MATCH($B$1,[2]quests!$1:$1,0)+1),MATCH(E$1,[2]quests!$1:$1,0)-MATCH($B$1,[2]quests!$1:$1,0)+1,FALSE)</f>
        <v>【土日限定】 ゴールドカジノ</v>
      </c>
      <c r="F2" s="5" t="str">
        <f ca="1">VLOOKUP($D2,OFFSET([2]stages!$A$1,0,0,COUNTA([2]stages!$A:$A),MATCH(F$1,[2]stages!$2:$2,0)-MATCH($D$1,[2]stages!$2:$2,0)+1),MATCH(F$1,[2]stages!$2:$2,0)-MATCH($D$1,[2]stages!$2:$2,0)+1,FALSE)</f>
        <v>【初級】ゴールドカジノ</v>
      </c>
      <c r="G2" s="77">
        <v>1</v>
      </c>
      <c r="H2" s="16" t="str">
        <f>B2&amp;"_"&amp;C2&amp;"-"&amp;G2</f>
        <v>11006_1-1</v>
      </c>
      <c r="I2" s="5">
        <f ca="1">VLOOKUP($H2,OFFSET(floors!$A$1,0,0,COUNTA(floors!$A:$A),MATCH(I$1,floors!$1:$1,0)-MATCH($H$1,floors!$1:$1,0)+1),MATCH(I$1,floors!$1:$1,0)-MATCH($H$1,floors!$1:$1,0)+1,FALSE)</f>
        <v>30</v>
      </c>
      <c r="J2" s="5">
        <f ca="1">VLOOKUP($H2,OFFSET(floors!$A$1,0,0,COUNTA(floors!$A:$A),MATCH(J$1,floors!$1:$1,0)-MATCH($H$1,floors!$1:$1,0)+1),MATCH(J$1,floors!$1:$1,0)-MATCH($H$1,floors!$1:$1,0)+1,FALSE)</f>
        <v>45</v>
      </c>
      <c r="K2" s="78">
        <v>1</v>
      </c>
      <c r="L2" s="78">
        <v>2</v>
      </c>
      <c r="M2" s="79">
        <v>2</v>
      </c>
      <c r="N2" s="20" t="str">
        <f ca="1">VLOOKUP($M2,OFFSET([3]enemies!$A$1,0,0,COUNTA([3]enemies!$A:$A),MATCH(N$1,[3]enemies!$1:$1,0)-MATCH($M$1,[3]enemies!$1:$1,0)+1),MATCH(N$1,[3]enemies!$1:$1,0)-MATCH($M$1,[3]enemies!$1:$1,0)+1,FALSE)</f>
        <v>イレギュラー・ジェリー</v>
      </c>
      <c r="O2" s="20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20" t="str">
        <f ca="1">VLOOKUP($M2,OFFSET([4]characters!$A$1,0,0,COUNTA([4]characters!$A:$A),MATCH(P$1,[4]characters!$1:$1,0)-MATCH($M$1,[4]characters!$1:$1,0)+1),MATCH(P$1,[4]characters!$1:$1,0)-MATCH($M$1,[4]characters!$1:$1,0)+1,FALSE)</f>
        <v>Drop1T</v>
      </c>
      <c r="Q2" s="20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20">
        <f ca="1">VLOOKUP($M2,OFFSET([3]enemies!$A$1,0,0,COUNTA([3]enemies!$A:$A),MATCH(R$1,[3]enemies!$1:$1,0)-MATCH($M$1,[3]enemies!$1:$1,0)+1),MATCH(R$1,[3]enemies!$1:$1,0)-MATCH($M$1,[3]enemies!$1:$1,0)+1,FALSE)</f>
        <v>15</v>
      </c>
      <c r="S2" s="6">
        <v>1</v>
      </c>
      <c r="T2" s="39">
        <v>1</v>
      </c>
      <c r="U2" s="39">
        <v>1</v>
      </c>
      <c r="V2" s="6">
        <v>0</v>
      </c>
      <c r="W2" s="5" t="str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なし</v>
      </c>
      <c r="X2" s="5">
        <f ca="1">VLOOKUP($M2,OFFSET([3]enemies!$A$1,0,0,COUNTA([3]enemies!$A:$A),MATCH(X$1,[3]enemies!$1:$1,0)-MATCH($M$1,[3]enemies!$1:$1,0)+1),MATCH(X$1,[3]enemies!$1:$1,0)-MATCH($M$1,[3]enemies!$1:$1,0)+1,FALSE)</f>
        <v>0</v>
      </c>
      <c r="Y2" s="5">
        <f ca="1">VLOOKUP(M2,[3]enemies!$A:$V,22,FALSE)</f>
        <v>1</v>
      </c>
    </row>
  </sheetData>
  <sheetProtection selectLockedCells="1" selectUnlockedCells="1"/>
  <autoFilter ref="B1:Y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J19" sqref="J19"/>
    </sheetView>
  </sheetViews>
  <sheetFormatPr baseColWidth="12" defaultColWidth="12.83203125" defaultRowHeight="21" customHeight="1" outlineLevelCol="1" x14ac:dyDescent="0.15"/>
  <cols>
    <col min="1" max="1" width="11.33203125" style="54" bestFit="1" customWidth="1"/>
    <col min="2" max="2" width="9.5" style="64" bestFit="1" customWidth="1"/>
    <col min="3" max="3" width="9.6640625" style="64" customWidth="1"/>
    <col min="4" max="4" width="18.5" style="64" customWidth="1" outlineLevel="1"/>
    <col min="5" max="5" width="44.1640625" style="64" bestFit="1" customWidth="1" outlineLevel="1"/>
    <col min="6" max="6" width="10.83203125" style="64" bestFit="1" customWidth="1"/>
    <col min="7" max="7" width="8.33203125" style="64" bestFit="1" customWidth="1" outlineLevel="1"/>
    <col min="8" max="9" width="12.83203125" style="64" outlineLevel="1"/>
    <col min="10" max="10" width="17.6640625" style="64" bestFit="1" customWidth="1" outlineLevel="1"/>
    <col min="11" max="15" width="12.83203125" style="64" outlineLevel="1"/>
    <col min="16" max="16" width="8.33203125" style="60" bestFit="1" customWidth="1"/>
    <col min="17" max="17" width="9.6640625" style="60" customWidth="1"/>
    <col min="18" max="18" width="56.5" style="60" bestFit="1" customWidth="1"/>
    <col min="19" max="16384" width="12.83203125" style="60"/>
  </cols>
  <sheetData>
    <row r="1" spans="1:18" ht="21" customHeight="1" x14ac:dyDescent="0.15">
      <c r="A1" s="54" t="s">
        <v>129</v>
      </c>
      <c r="B1" s="55" t="s">
        <v>130</v>
      </c>
      <c r="C1" s="55" t="s">
        <v>131</v>
      </c>
      <c r="D1" s="56" t="s">
        <v>132</v>
      </c>
      <c r="E1" s="56" t="s">
        <v>133</v>
      </c>
      <c r="F1" s="57" t="s">
        <v>134</v>
      </c>
      <c r="G1" s="58" t="s">
        <v>135</v>
      </c>
      <c r="H1" s="58" t="s">
        <v>136</v>
      </c>
      <c r="I1" s="58" t="s">
        <v>137</v>
      </c>
      <c r="J1" s="58" t="s">
        <v>138</v>
      </c>
      <c r="K1" s="59" t="s">
        <v>103</v>
      </c>
      <c r="L1" s="59" t="s">
        <v>139</v>
      </c>
      <c r="M1" s="58" t="s">
        <v>106</v>
      </c>
      <c r="N1" s="58" t="s">
        <v>107</v>
      </c>
      <c r="O1" s="58" t="s">
        <v>105</v>
      </c>
      <c r="P1" s="56" t="s">
        <v>140</v>
      </c>
      <c r="Q1" s="56" t="s">
        <v>141</v>
      </c>
      <c r="R1" s="56" t="s">
        <v>142</v>
      </c>
    </row>
    <row r="2" spans="1:18" ht="21" customHeight="1" x14ac:dyDescent="0.15">
      <c r="A2" s="54" t="str">
        <f t="shared" ref="A2" si="0">B2&amp;"_"&amp;C2</f>
        <v>11006010_11006010</v>
      </c>
      <c r="B2" s="62">
        <v>11006010</v>
      </c>
      <c r="C2" s="62">
        <v>11006010</v>
      </c>
      <c r="D2" s="61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オレは やるぜー！</v>
      </c>
      <c r="E2" s="61" t="str">
        <f ca="1">VLOOKUP($C2,OFFSET(enemy_skills!$A$1,0,0,COUNTA(enemy_skills!$A:$A),MATCH(E$1,enemy_skills!$1:$1,0)-MATCH("enemy_skill_id",enemy_skills!$1:$1,0)+1),MATCH(E$1,enemy_skills!$1:$1,0)-MATCH("enemy_skill_id",enemy_skills!$1:$1,0)+1,FALSE)</f>
        <v>この果実は ターン0で自爆する！_x000D_ターゲットして 早めに倒そう！</v>
      </c>
      <c r="F2" s="62">
        <v>11006000</v>
      </c>
      <c r="G2" s="63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63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63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2" s="63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63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63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63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63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63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2" s="62"/>
      <c r="Q2" s="62"/>
      <c r="R2" s="62"/>
    </row>
    <row r="3" spans="1:18" ht="21" customHeight="1" x14ac:dyDescent="0.15">
      <c r="A3" s="54" t="str">
        <f t="shared" ref="A3:A4" si="1">B3&amp;"_"&amp;C3</f>
        <v>11006010_11006011</v>
      </c>
      <c r="B3" s="62">
        <v>11006010</v>
      </c>
      <c r="C3" s="62">
        <v>11006011</v>
      </c>
      <c r="D3" s="61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やるったらやるぜー！</v>
      </c>
      <c r="E3" s="61" t="str">
        <f ca="1">VLOOKUP($C3,OFFSET(enemy_skills!$A$1,0,0,COUNTA(enemy_skills!$A:$A),MATCH(E$1,enemy_skills!$1:$1,0)-MATCH("enemy_skill_id",enemy_skills!$1:$1,0)+1),MATCH(E$1,enemy_skills!$1:$1,0)-MATCH("enemy_skill_id",enemy_skills!$1:$1,0)+1,FALSE)</f>
        <v>勢い余って 爆ぜていった！</v>
      </c>
      <c r="F3" s="62">
        <v>11006001</v>
      </c>
      <c r="G3" s="63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63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63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63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63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63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63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63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63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62"/>
      <c r="Q3" s="62"/>
      <c r="R3" s="62"/>
    </row>
    <row r="4" spans="1:18" ht="21" customHeight="1" x14ac:dyDescent="0.15">
      <c r="A4" s="54" t="str">
        <f t="shared" si="1"/>
        <v>11006020_11006020</v>
      </c>
      <c r="B4" s="62">
        <v>11006020</v>
      </c>
      <c r="C4" s="62">
        <v>11006020</v>
      </c>
      <c r="D4" s="61" t="str">
        <f ca="1">VLOOKUP($C4,OFFSET(enemy_skills!$A$1,0,0,COUNTA(enemy_skills!$A:$A),MATCH(D$1,enemy_skills!$1:$1,0)-MATCH("enemy_skill_id",enemy_skills!$1:$1,0)+1),MATCH(D$1,enemy_skills!$1:$1,0)-MATCH("enemy_skill_id",enemy_skills!$1:$1,0)+1,FALSE)</f>
        <v>…ハズレって思ったでしょ？</v>
      </c>
      <c r="E4" s="61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この果実は ターン0で自爆する！_x000D_ターゲットして 早めに倒そう！</v>
      </c>
      <c r="F4" s="62">
        <v>11006000</v>
      </c>
      <c r="G4" s="63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63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63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4" s="63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63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63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63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63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63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4" s="62"/>
      <c r="Q4" s="62"/>
      <c r="R4" s="62"/>
    </row>
    <row r="5" spans="1:18" ht="21" customHeight="1" x14ac:dyDescent="0.15">
      <c r="A5" s="54" t="str">
        <f t="shared" ref="A5:A8" si="2">B5&amp;"_"&amp;C5</f>
        <v>11006020_11006021</v>
      </c>
      <c r="B5" s="62">
        <v>11006020</v>
      </c>
      <c r="C5" s="62">
        <v>11006021</v>
      </c>
      <c r="D5" s="61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どうせ ハズレですよ…</v>
      </c>
      <c r="E5" s="61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いじけながら 爆ぜていった…</v>
      </c>
      <c r="F5" s="62">
        <v>11006001</v>
      </c>
      <c r="G5" s="63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63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63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63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63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63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63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63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63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62"/>
      <c r="Q5" s="62"/>
      <c r="R5" s="62"/>
    </row>
    <row r="6" spans="1:18" ht="21" customHeight="1" x14ac:dyDescent="0.15">
      <c r="A6" s="54" t="str">
        <f t="shared" si="2"/>
        <v>11006030_11006030</v>
      </c>
      <c r="B6" s="62">
        <v>11006030</v>
      </c>
      <c r="C6" s="62">
        <v>11006030</v>
      </c>
      <c r="D6" s="6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かまってくれなきゃ お仕置きよ★</v>
      </c>
      <c r="E6" s="61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この果実は ターン0で自爆する！_x000D_ターゲットして 早めに倒そう！</v>
      </c>
      <c r="F6" s="62">
        <v>11006000</v>
      </c>
      <c r="G6" s="63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63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63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6" s="63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63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63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63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63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63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6" s="62"/>
      <c r="Q6" s="62"/>
      <c r="R6" s="62"/>
    </row>
    <row r="7" spans="1:18" ht="21" customHeight="1" x14ac:dyDescent="0.15">
      <c r="A7" s="54" t="str">
        <f t="shared" si="2"/>
        <v>11006030_11006031</v>
      </c>
      <c r="B7" s="62">
        <v>11006030</v>
      </c>
      <c r="C7" s="62">
        <v>11006031</v>
      </c>
      <c r="D7" s="61" t="str">
        <f ca="1">VLOOKUP($C7,OFFSET(enemy_skills!$A$1,0,0,COUNTA(enemy_skills!$A:$A),MATCH(D$1,enemy_skills!$1:$1,0)-MATCH("enemy_skill_id",enemy_skills!$1:$1,0)+1),MATCH(D$1,enemy_skills!$1:$1,0)-MATCH("enemy_skill_id",enemy_skills!$1:$1,0)+1,FALSE)</f>
        <v>今度はもっと かまってね★</v>
      </c>
      <c r="E7" s="61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なぜか うれしそうに爆ぜていった</v>
      </c>
      <c r="F7" s="62">
        <v>11006001</v>
      </c>
      <c r="G7" s="63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63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63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63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63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63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63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63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63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62"/>
      <c r="Q7" s="62"/>
      <c r="R7" s="62"/>
    </row>
    <row r="8" spans="1:18" ht="21" customHeight="1" x14ac:dyDescent="0.15">
      <c r="A8" s="54" t="str">
        <f t="shared" si="2"/>
        <v>11006040_11006040</v>
      </c>
      <c r="B8" s="62">
        <v>11006040</v>
      </c>
      <c r="C8" s="62">
        <v>11006040</v>
      </c>
      <c r="D8" s="61" t="str">
        <f ca="1">VLOOKUP($C8,OFFSET(enemy_skills!$A$1,0,0,COUNTA(enemy_skills!$A:$A),MATCH(D$1,enemy_skills!$1:$1,0)-MATCH("enemy_skill_id",enemy_skills!$1:$1,0)+1),MATCH(D$1,enemy_skills!$1:$1,0)-MATCH("enemy_skill_id",enemy_skills!$1:$1,0)+1,FALSE)</f>
        <v>会いたかったかい ベイベ〜？</v>
      </c>
      <c r="E8" s="61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この果実は ターン0で自爆する！_x000D_ターゲットして 早めに倒そう！</v>
      </c>
      <c r="F8" s="62">
        <v>11006000</v>
      </c>
      <c r="G8" s="63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63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63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0</v>
      </c>
      <c r="J8" s="63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63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63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63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63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63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0</v>
      </c>
      <c r="P8" s="62"/>
      <c r="Q8" s="62"/>
      <c r="R8" s="62"/>
    </row>
    <row r="9" spans="1:18" ht="21" customHeight="1" x14ac:dyDescent="0.15">
      <c r="A9" s="54" t="str">
        <f t="shared" ref="A9:A10" si="3">B9&amp;"_"&amp;C9</f>
        <v>11006040_11006041</v>
      </c>
      <c r="B9" s="62">
        <v>11006040</v>
      </c>
      <c r="C9" s="62">
        <v>11006041</v>
      </c>
      <c r="D9" s="61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おっと デートに遅れそうだ！</v>
      </c>
      <c r="E9" s="61" t="str">
        <f ca="1">VLOOKUP($C9,OFFSET(enemy_skills!$A$1,0,0,COUNTA(enemy_skills!$A:$A),MATCH(E$1,enemy_skills!$1:$1,0)-MATCH("enemy_skill_id",enemy_skills!$1:$1,0)+1),MATCH(E$1,enemy_skills!$1:$1,0)-MATCH("enemy_skill_id",enemy_skills!$1:$1,0)+1,FALSE)</f>
        <v>花をかきあげながら 爆ぜていった</v>
      </c>
      <c r="F9" s="62">
        <v>11006001</v>
      </c>
      <c r="G9" s="63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63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63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63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63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63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63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63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63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62"/>
      <c r="Q9" s="62"/>
      <c r="R9" s="62"/>
    </row>
    <row r="10" spans="1:18" ht="21" customHeight="1" x14ac:dyDescent="0.15">
      <c r="A10" s="54" t="str">
        <f t="shared" si="3"/>
        <v>11006401_11006401</v>
      </c>
      <c r="B10" s="62">
        <v>11006401</v>
      </c>
      <c r="C10" s="62">
        <v>11006401</v>
      </c>
      <c r="D10" s="6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おっと！見つかってしまったか！</v>
      </c>
      <c r="E10" s="6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ランダムで黄のボムパネル(大)に5個変換</v>
      </c>
      <c r="F10" s="62">
        <v>11006401</v>
      </c>
      <c r="G10" s="63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63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63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63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63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63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63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63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63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62"/>
      <c r="Q10" s="62"/>
      <c r="R10" s="62"/>
    </row>
    <row r="11" spans="1:18" ht="21" customHeight="1" x14ac:dyDescent="0.15">
      <c r="A11" s="54" t="str">
        <f t="shared" ref="A11" si="4">B11&amp;"_"&amp;C11</f>
        <v>11006402_11006402</v>
      </c>
      <c r="B11" s="62">
        <v>11006402</v>
      </c>
      <c r="C11" s="62">
        <v>11006402</v>
      </c>
      <c r="D11" s="61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「早起きは三文の徳」だグワッ</v>
      </c>
      <c r="E11" s="61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フィーバーゲージ増加！</v>
      </c>
      <c r="F11" s="62">
        <v>11006401</v>
      </c>
      <c r="G11" s="63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63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63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63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63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63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63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63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63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62"/>
      <c r="Q11" s="62"/>
      <c r="R11" s="62"/>
    </row>
  </sheetData>
  <autoFilter ref="A1:R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1"/>
  <sheetViews>
    <sheetView showGridLines="0" tabSelected="1" zoomScale="75" zoomScaleNormal="75" zoomScalePageLayoutView="75" workbookViewId="0">
      <pane ySplit="1" topLeftCell="A2" activePane="bottomLeft" state="frozenSplit"/>
      <selection pane="bottomLeft" activeCell="L22" sqref="L22"/>
    </sheetView>
  </sheetViews>
  <sheetFormatPr baseColWidth="12" defaultColWidth="12.83203125" defaultRowHeight="21" customHeight="1" outlineLevelCol="1" x14ac:dyDescent="0.15"/>
  <cols>
    <col min="1" max="1" width="12.83203125" style="64"/>
    <col min="2" max="2" width="67.1640625" style="64" customWidth="1"/>
    <col min="3" max="4" width="12.83203125" style="64"/>
    <col min="5" max="5" width="24.83203125" style="64" bestFit="1" customWidth="1"/>
    <col min="6" max="6" width="44.1640625" style="64" bestFit="1" customWidth="1"/>
    <col min="7" max="7" width="52" style="64" hidden="1" customWidth="1" outlineLevel="1"/>
    <col min="8" max="8" width="18.33203125" style="64" hidden="1" customWidth="1" outlineLevel="1"/>
    <col min="9" max="11" width="18.6640625" style="64" hidden="1" customWidth="1" outlineLevel="1"/>
    <col min="12" max="12" width="23.6640625" style="64" customWidth="1" collapsed="1"/>
    <col min="13" max="18" width="23.6640625" style="64" hidden="1" customWidth="1" outlineLevel="1"/>
    <col min="19" max="19" width="23.6640625" style="64" customWidth="1" collapsed="1"/>
    <col min="20" max="24" width="23.6640625" style="64" hidden="1" customWidth="1" outlineLevel="1"/>
    <col min="25" max="25" width="23.6640625" style="64" customWidth="1" collapsed="1"/>
    <col min="26" max="27" width="12.83203125" style="64"/>
    <col min="28" max="28" width="44.5" style="64" customWidth="1"/>
    <col min="29" max="16384" width="12.83203125" style="64"/>
  </cols>
  <sheetData>
    <row r="1" spans="1:28" ht="21" customHeight="1" x14ac:dyDescent="0.15">
      <c r="A1" s="55" t="s">
        <v>91</v>
      </c>
      <c r="B1" s="55" t="s">
        <v>143</v>
      </c>
      <c r="C1" s="55" t="s">
        <v>93</v>
      </c>
      <c r="D1" s="55" t="s">
        <v>144</v>
      </c>
      <c r="E1" s="55" t="s">
        <v>145</v>
      </c>
      <c r="F1" s="55" t="s">
        <v>165</v>
      </c>
      <c r="G1" s="56" t="s">
        <v>146</v>
      </c>
      <c r="H1" s="56" t="s">
        <v>147</v>
      </c>
      <c r="I1" s="56" t="s">
        <v>148</v>
      </c>
      <c r="J1" s="56" t="s">
        <v>149</v>
      </c>
      <c r="K1" s="56" t="s">
        <v>150</v>
      </c>
      <c r="L1" s="56" t="s">
        <v>151</v>
      </c>
      <c r="M1" s="56" t="s">
        <v>152</v>
      </c>
      <c r="N1" s="56" t="s">
        <v>153</v>
      </c>
      <c r="O1" s="56" t="s">
        <v>154</v>
      </c>
      <c r="P1" s="56" t="s">
        <v>155</v>
      </c>
      <c r="Q1" s="56" t="s">
        <v>156</v>
      </c>
      <c r="R1" s="56" t="s">
        <v>157</v>
      </c>
      <c r="S1" s="56" t="s">
        <v>158</v>
      </c>
      <c r="T1" s="56" t="s">
        <v>159</v>
      </c>
      <c r="U1" s="56" t="s">
        <v>160</v>
      </c>
      <c r="V1" s="56" t="s">
        <v>161</v>
      </c>
      <c r="W1" s="56" t="s">
        <v>162</v>
      </c>
      <c r="X1" s="56" t="s">
        <v>163</v>
      </c>
      <c r="Y1" s="56" t="s">
        <v>164</v>
      </c>
      <c r="Z1" s="56" t="s">
        <v>140</v>
      </c>
      <c r="AA1" s="56" t="s">
        <v>141</v>
      </c>
      <c r="AB1" s="56" t="s">
        <v>142</v>
      </c>
    </row>
    <row r="2" spans="1:28" ht="28" x14ac:dyDescent="0.15">
      <c r="A2" s="62">
        <v>11006010</v>
      </c>
      <c r="B2" s="62" t="s">
        <v>201</v>
      </c>
      <c r="C2" s="65">
        <v>3</v>
      </c>
      <c r="D2" s="65" t="s">
        <v>166</v>
      </c>
      <c r="E2" s="66" t="s">
        <v>205</v>
      </c>
      <c r="F2" s="66" t="s">
        <v>202</v>
      </c>
      <c r="G2" s="67" t="str">
        <f t="shared" ref="G2:G9" si="0">IFERROR(LEFT(B2,FIND("],",B2)),B2)</f>
        <v>[effect:fix_speed, target:myself, turn:3]</v>
      </c>
      <c r="H2" s="67">
        <f t="shared" ref="H2:H9" si="1">FIND("effect:",G2)+7</f>
        <v>9</v>
      </c>
      <c r="I2" s="67">
        <f t="shared" ref="I2:I9" si="2">IFERROR(FIND(",",G2),LEN(G2))</f>
        <v>18</v>
      </c>
      <c r="J2" s="67">
        <f t="shared" ref="J2:J9" si="3">FIND("target:",G2)+7</f>
        <v>27</v>
      </c>
      <c r="K2" s="67">
        <f t="shared" ref="K2:K9" si="4">FIND(",",G2,I2+1)</f>
        <v>33</v>
      </c>
      <c r="L2" s="67" t="str">
        <f>IFERROR(VLOOKUP(MID(G2,J2,K2-J2),[6]skilldef!$C:$D,2,FALSE),"-") &amp; " / " &amp; IFERROR(VLOOKUP(MID(G2,H2,I2-H2),[6]skilldef!$A:$B,2,FALSE),"-")</f>
        <v>自分自身に / 行動値設定</v>
      </c>
      <c r="M2" s="67" t="str">
        <f t="shared" ref="M2:M9" si="5">IFERROR(RIGHT(B2,LEN(B2)-FIND("],",B2)-1),"none")</f>
        <v>none</v>
      </c>
      <c r="N2" s="63" t="str">
        <f>IFERROR(LEFT(M2,FIND("],",M2)+S12),M2)</f>
        <v>none</v>
      </c>
      <c r="O2" s="67" t="e">
        <f t="shared" ref="O2:O9" si="6">FIND("effect:",N2)+7</f>
        <v>#VALUE!</v>
      </c>
      <c r="P2" s="67">
        <f t="shared" ref="P2:P9" si="7">IFERROR(FIND(",",N2),LEN(N2))</f>
        <v>4</v>
      </c>
      <c r="Q2" s="67" t="e">
        <f t="shared" ref="Q2:Q9" si="8">FIND("target:",N2)+7</f>
        <v>#VALUE!</v>
      </c>
      <c r="R2" s="67" t="e">
        <f t="shared" ref="R2:R9" si="9">FIND(",",N2,P2+1)</f>
        <v>#VALUE!</v>
      </c>
      <c r="S2" s="67" t="str">
        <f>IFERROR(VLOOKUP(MID(N2,Q2,R2-Q2),[6]skilldef!$C:$D,2,FALSE),"-") &amp; " / " &amp; IFERROR(VLOOKUP(MID(N2,O2,P2-O2),[6]skilldef!$A:$B,2,FALSE),"-")</f>
        <v>- / -</v>
      </c>
      <c r="T2" s="63" t="str">
        <f t="shared" ref="T2:T9" si="10">IFERROR(RIGHT(M2,LEN(M2)-FIND("],",M2)-1),"none")</f>
        <v>none</v>
      </c>
      <c r="U2" s="67" t="e">
        <f t="shared" ref="U2:U9" si="11">FIND("effect:",T2)+7</f>
        <v>#VALUE!</v>
      </c>
      <c r="V2" s="67">
        <f t="shared" ref="V2:V9" si="12">IFERROR(FIND(",",T2),LEN(T2))</f>
        <v>4</v>
      </c>
      <c r="W2" s="67" t="e">
        <f t="shared" ref="W2:W9" si="13">FIND("target:",T2)+7</f>
        <v>#VALUE!</v>
      </c>
      <c r="X2" s="67" t="e">
        <f t="shared" ref="X2:X9" si="14">FIND(",",T2,V2+1)</f>
        <v>#VALUE!</v>
      </c>
      <c r="Y2" s="67" t="str">
        <f>IFERROR(VLOOKUP(MID(T2,W2,X2-W2),[6]skilldef!$C:$D,2,FALSE),"-") &amp; " / " &amp; IFERROR(VLOOKUP(MID(T2,U2,V2-U2),[6]skilldef!$A:$B,2,FALSE),"-")</f>
        <v>- / -</v>
      </c>
      <c r="Z2" s="65"/>
      <c r="AA2" s="68"/>
      <c r="AB2" s="65"/>
    </row>
    <row r="3" spans="1:28" ht="22" customHeight="1" x14ac:dyDescent="0.15">
      <c r="A3" s="62">
        <v>11006011</v>
      </c>
      <c r="B3" s="62" t="s">
        <v>212</v>
      </c>
      <c r="C3" s="65">
        <v>3</v>
      </c>
      <c r="D3" s="65" t="s">
        <v>166</v>
      </c>
      <c r="E3" s="66" t="s">
        <v>214</v>
      </c>
      <c r="F3" s="66" t="s">
        <v>204</v>
      </c>
      <c r="G3" s="67" t="str">
        <f t="shared" si="0"/>
        <v>[effect:kamikaze, val:1.0, animation:enemy_kamikaze]</v>
      </c>
      <c r="H3" s="67">
        <f t="shared" si="1"/>
        <v>9</v>
      </c>
      <c r="I3" s="67">
        <f t="shared" si="2"/>
        <v>17</v>
      </c>
      <c r="J3" s="67" t="e">
        <f t="shared" si="3"/>
        <v>#VALUE!</v>
      </c>
      <c r="K3" s="67">
        <f t="shared" si="4"/>
        <v>26</v>
      </c>
      <c r="L3" s="67" t="str">
        <f>IFERROR(VLOOKUP(MID(G3,J3,K3-J3),[6]skilldef!$C:$D,2,FALSE),"-") &amp; " / " &amp; IFERROR(VLOOKUP(MID(G3,H3,I3-H3),[6]skilldef!$A:$B,2,FALSE),"-")</f>
        <v>- / 自爆</v>
      </c>
      <c r="M3" s="67" t="str">
        <f t="shared" si="5"/>
        <v>none</v>
      </c>
      <c r="N3" s="63" t="str">
        <f>IFERROR(LEFT(M3,FIND("],",M3)+S16),M3)</f>
        <v>none</v>
      </c>
      <c r="O3" s="67" t="e">
        <f t="shared" si="6"/>
        <v>#VALUE!</v>
      </c>
      <c r="P3" s="67">
        <f t="shared" si="7"/>
        <v>4</v>
      </c>
      <c r="Q3" s="67" t="e">
        <f t="shared" si="8"/>
        <v>#VALUE!</v>
      </c>
      <c r="R3" s="67" t="e">
        <f t="shared" si="9"/>
        <v>#VALUE!</v>
      </c>
      <c r="S3" s="67" t="str">
        <f>IFERROR(VLOOKUP(MID(N3,Q3,R3-Q3),[6]skilldef!$C:$D,2,FALSE),"-") &amp; " / " &amp; IFERROR(VLOOKUP(MID(N3,O3,P3-O3),[6]skilldef!$A:$B,2,FALSE),"-")</f>
        <v>- / -</v>
      </c>
      <c r="T3" s="63" t="str">
        <f t="shared" si="10"/>
        <v>none</v>
      </c>
      <c r="U3" s="67" t="e">
        <f t="shared" si="11"/>
        <v>#VALUE!</v>
      </c>
      <c r="V3" s="67">
        <f t="shared" si="12"/>
        <v>4</v>
      </c>
      <c r="W3" s="67" t="e">
        <f t="shared" si="13"/>
        <v>#VALUE!</v>
      </c>
      <c r="X3" s="67" t="e">
        <f t="shared" si="14"/>
        <v>#VALUE!</v>
      </c>
      <c r="Y3" s="67" t="str">
        <f>IFERROR(VLOOKUP(MID(T3,W3,X3-W3),[6]skilldef!$C:$D,2,FALSE),"-") &amp; " / " &amp; IFERROR(VLOOKUP(MID(T3,U3,V3-U3),[6]skilldef!$A:$B,2,FALSE),"-")</f>
        <v>- / -</v>
      </c>
      <c r="Z3" s="65"/>
      <c r="AA3" s="68"/>
      <c r="AB3" s="65"/>
    </row>
    <row r="4" spans="1:28" ht="28" x14ac:dyDescent="0.15">
      <c r="A4" s="62">
        <v>11006020</v>
      </c>
      <c r="B4" s="62" t="s">
        <v>201</v>
      </c>
      <c r="C4" s="65">
        <v>3</v>
      </c>
      <c r="D4" s="65" t="s">
        <v>166</v>
      </c>
      <c r="E4" s="66" t="s">
        <v>215</v>
      </c>
      <c r="F4" s="66" t="s">
        <v>202</v>
      </c>
      <c r="G4" s="67" t="str">
        <f t="shared" si="0"/>
        <v>[effect:fix_speed, target:myself, turn:3]</v>
      </c>
      <c r="H4" s="67">
        <f t="shared" si="1"/>
        <v>9</v>
      </c>
      <c r="I4" s="67">
        <f t="shared" si="2"/>
        <v>18</v>
      </c>
      <c r="J4" s="67">
        <f t="shared" si="3"/>
        <v>27</v>
      </c>
      <c r="K4" s="67">
        <f t="shared" si="4"/>
        <v>33</v>
      </c>
      <c r="L4" s="67" t="str">
        <f>IFERROR(VLOOKUP(MID(G4,J4,K4-J4),[6]skilldef!$C:$D,2,FALSE),"-") &amp; " / " &amp; IFERROR(VLOOKUP(MID(G4,H4,I4-H4),[6]skilldef!$A:$B,2,FALSE),"-")</f>
        <v>自分自身に / 行動値設定</v>
      </c>
      <c r="M4" s="67" t="str">
        <f t="shared" si="5"/>
        <v>none</v>
      </c>
      <c r="N4" s="63" t="str">
        <f>IFERROR(LEFT(M4,FIND("],",M4)+S13),M4)</f>
        <v>none</v>
      </c>
      <c r="O4" s="67" t="e">
        <f t="shared" si="6"/>
        <v>#VALUE!</v>
      </c>
      <c r="P4" s="67">
        <f t="shared" si="7"/>
        <v>4</v>
      </c>
      <c r="Q4" s="67" t="e">
        <f t="shared" si="8"/>
        <v>#VALUE!</v>
      </c>
      <c r="R4" s="67" t="e">
        <f t="shared" si="9"/>
        <v>#VALUE!</v>
      </c>
      <c r="S4" s="67" t="str">
        <f>IFERROR(VLOOKUP(MID(N4,Q4,R4-Q4),[6]skilldef!$C:$D,2,FALSE),"-") &amp; " / " &amp; IFERROR(VLOOKUP(MID(N4,O4,P4-O4),[6]skilldef!$A:$B,2,FALSE),"-")</f>
        <v>- / -</v>
      </c>
      <c r="T4" s="63" t="str">
        <f t="shared" si="10"/>
        <v>none</v>
      </c>
      <c r="U4" s="67" t="e">
        <f t="shared" si="11"/>
        <v>#VALUE!</v>
      </c>
      <c r="V4" s="67">
        <f t="shared" si="12"/>
        <v>4</v>
      </c>
      <c r="W4" s="67" t="e">
        <f t="shared" si="13"/>
        <v>#VALUE!</v>
      </c>
      <c r="X4" s="67" t="e">
        <f t="shared" si="14"/>
        <v>#VALUE!</v>
      </c>
      <c r="Y4" s="67" t="str">
        <f>IFERROR(VLOOKUP(MID(T4,W4,X4-W4),[6]skilldef!$C:$D,2,FALSE),"-") &amp; " / " &amp; IFERROR(VLOOKUP(MID(T4,U4,V4-U4),[6]skilldef!$A:$B,2,FALSE),"-")</f>
        <v>- / -</v>
      </c>
      <c r="Z4" s="65"/>
      <c r="AA4" s="68"/>
      <c r="AB4" s="65"/>
    </row>
    <row r="5" spans="1:28" ht="22" customHeight="1" x14ac:dyDescent="0.15">
      <c r="A5" s="62">
        <v>11006021</v>
      </c>
      <c r="B5" s="62" t="s">
        <v>212</v>
      </c>
      <c r="C5" s="65">
        <v>3</v>
      </c>
      <c r="D5" s="65" t="s">
        <v>166</v>
      </c>
      <c r="E5" s="66" t="s">
        <v>210</v>
      </c>
      <c r="F5" s="66" t="s">
        <v>208</v>
      </c>
      <c r="G5" s="67" t="str">
        <f t="shared" si="0"/>
        <v>[effect:kamikaze, val:1.0, animation:enemy_kamikaze]</v>
      </c>
      <c r="H5" s="67">
        <f t="shared" si="1"/>
        <v>9</v>
      </c>
      <c r="I5" s="67">
        <f t="shared" si="2"/>
        <v>17</v>
      </c>
      <c r="J5" s="67" t="e">
        <f t="shared" si="3"/>
        <v>#VALUE!</v>
      </c>
      <c r="K5" s="67">
        <f t="shared" si="4"/>
        <v>26</v>
      </c>
      <c r="L5" s="67" t="str">
        <f>IFERROR(VLOOKUP(MID(G5,J5,K5-J5),[6]skilldef!$C:$D,2,FALSE),"-") &amp; " / " &amp; IFERROR(VLOOKUP(MID(G5,H5,I5-H5),[6]skilldef!$A:$B,2,FALSE),"-")</f>
        <v>- / 自爆</v>
      </c>
      <c r="M5" s="67" t="str">
        <f t="shared" si="5"/>
        <v>none</v>
      </c>
      <c r="N5" s="63" t="str">
        <f>IFERROR(LEFT(M5,FIND("],",M5)+S17),M5)</f>
        <v>none</v>
      </c>
      <c r="O5" s="67" t="e">
        <f t="shared" si="6"/>
        <v>#VALUE!</v>
      </c>
      <c r="P5" s="67">
        <f t="shared" si="7"/>
        <v>4</v>
      </c>
      <c r="Q5" s="67" t="e">
        <f t="shared" si="8"/>
        <v>#VALUE!</v>
      </c>
      <c r="R5" s="67" t="e">
        <f t="shared" si="9"/>
        <v>#VALUE!</v>
      </c>
      <c r="S5" s="67" t="str">
        <f>IFERROR(VLOOKUP(MID(N5,Q5,R5-Q5),[6]skilldef!$C:$D,2,FALSE),"-") &amp; " / " &amp; IFERROR(VLOOKUP(MID(N5,O5,P5-O5),[6]skilldef!$A:$B,2,FALSE),"-")</f>
        <v>- / -</v>
      </c>
      <c r="T5" s="63" t="str">
        <f t="shared" si="10"/>
        <v>none</v>
      </c>
      <c r="U5" s="67" t="e">
        <f t="shared" si="11"/>
        <v>#VALUE!</v>
      </c>
      <c r="V5" s="67">
        <f t="shared" si="12"/>
        <v>4</v>
      </c>
      <c r="W5" s="67" t="e">
        <f t="shared" si="13"/>
        <v>#VALUE!</v>
      </c>
      <c r="X5" s="67" t="e">
        <f t="shared" si="14"/>
        <v>#VALUE!</v>
      </c>
      <c r="Y5" s="67" t="str">
        <f>IFERROR(VLOOKUP(MID(T5,W5,X5-W5),[6]skilldef!$C:$D,2,FALSE),"-") &amp; " / " &amp; IFERROR(VLOOKUP(MID(T5,U5,V5-U5),[6]skilldef!$A:$B,2,FALSE),"-")</f>
        <v>- / -</v>
      </c>
      <c r="Z5" s="65"/>
      <c r="AA5" s="68"/>
      <c r="AB5" s="65"/>
    </row>
    <row r="6" spans="1:28" ht="28" x14ac:dyDescent="0.15">
      <c r="A6" s="62">
        <v>11006030</v>
      </c>
      <c r="B6" s="62" t="s">
        <v>201</v>
      </c>
      <c r="C6" s="65">
        <v>3</v>
      </c>
      <c r="D6" s="65" t="s">
        <v>166</v>
      </c>
      <c r="E6" s="66" t="s">
        <v>206</v>
      </c>
      <c r="F6" s="66" t="s">
        <v>202</v>
      </c>
      <c r="G6" s="67" t="str">
        <f t="shared" si="0"/>
        <v>[effect:fix_speed, target:myself, turn:3]</v>
      </c>
      <c r="H6" s="67">
        <f t="shared" si="1"/>
        <v>9</v>
      </c>
      <c r="I6" s="67">
        <f t="shared" si="2"/>
        <v>18</v>
      </c>
      <c r="J6" s="67">
        <f t="shared" si="3"/>
        <v>27</v>
      </c>
      <c r="K6" s="67">
        <f t="shared" si="4"/>
        <v>33</v>
      </c>
      <c r="L6" s="67" t="str">
        <f>IFERROR(VLOOKUP(MID(G6,J6,K6-J6),[6]skilldef!$C:$D,2,FALSE),"-") &amp; " / " &amp; IFERROR(VLOOKUP(MID(G6,H6,I6-H6),[6]skilldef!$A:$B,2,FALSE),"-")</f>
        <v>自分自身に / 行動値設定</v>
      </c>
      <c r="M6" s="67" t="str">
        <f t="shared" si="5"/>
        <v>none</v>
      </c>
      <c r="N6" s="63" t="str">
        <f>IFERROR(LEFT(M6,FIND("],",M6)+S14),M6)</f>
        <v>none</v>
      </c>
      <c r="O6" s="67" t="e">
        <f t="shared" si="6"/>
        <v>#VALUE!</v>
      </c>
      <c r="P6" s="67">
        <f t="shared" si="7"/>
        <v>4</v>
      </c>
      <c r="Q6" s="67" t="e">
        <f t="shared" si="8"/>
        <v>#VALUE!</v>
      </c>
      <c r="R6" s="67" t="e">
        <f t="shared" si="9"/>
        <v>#VALUE!</v>
      </c>
      <c r="S6" s="67" t="str">
        <f>IFERROR(VLOOKUP(MID(N6,Q6,R6-Q6),[6]skilldef!$C:$D,2,FALSE),"-") &amp; " / " &amp; IFERROR(VLOOKUP(MID(N6,O6,P6-O6),[6]skilldef!$A:$B,2,FALSE),"-")</f>
        <v>- / -</v>
      </c>
      <c r="T6" s="63" t="str">
        <f t="shared" si="10"/>
        <v>none</v>
      </c>
      <c r="U6" s="67" t="e">
        <f t="shared" si="11"/>
        <v>#VALUE!</v>
      </c>
      <c r="V6" s="67">
        <f t="shared" si="12"/>
        <v>4</v>
      </c>
      <c r="W6" s="67" t="e">
        <f t="shared" si="13"/>
        <v>#VALUE!</v>
      </c>
      <c r="X6" s="67" t="e">
        <f t="shared" si="14"/>
        <v>#VALUE!</v>
      </c>
      <c r="Y6" s="67" t="str">
        <f>IFERROR(VLOOKUP(MID(T6,W6,X6-W6),[6]skilldef!$C:$D,2,FALSE),"-") &amp; " / " &amp; IFERROR(VLOOKUP(MID(T6,U6,V6-U6),[6]skilldef!$A:$B,2,FALSE),"-")</f>
        <v>- / -</v>
      </c>
      <c r="Z6" s="65"/>
      <c r="AA6" s="68"/>
      <c r="AB6" s="65"/>
    </row>
    <row r="7" spans="1:28" ht="22" customHeight="1" x14ac:dyDescent="0.15">
      <c r="A7" s="62">
        <v>11006031</v>
      </c>
      <c r="B7" s="62" t="s">
        <v>212</v>
      </c>
      <c r="C7" s="65">
        <v>3</v>
      </c>
      <c r="D7" s="65" t="s">
        <v>166</v>
      </c>
      <c r="E7" s="66" t="s">
        <v>207</v>
      </c>
      <c r="F7" s="66" t="s">
        <v>203</v>
      </c>
      <c r="G7" s="67" t="str">
        <f t="shared" si="0"/>
        <v>[effect:kamikaze, val:1.0, animation:enemy_kamikaze]</v>
      </c>
      <c r="H7" s="67">
        <f t="shared" si="1"/>
        <v>9</v>
      </c>
      <c r="I7" s="67">
        <f t="shared" si="2"/>
        <v>17</v>
      </c>
      <c r="J7" s="67" t="e">
        <f t="shared" si="3"/>
        <v>#VALUE!</v>
      </c>
      <c r="K7" s="67">
        <f t="shared" si="4"/>
        <v>26</v>
      </c>
      <c r="L7" s="67" t="str">
        <f>IFERROR(VLOOKUP(MID(G7,J7,K7-J7),[6]skilldef!$C:$D,2,FALSE),"-") &amp; " / " &amp; IFERROR(VLOOKUP(MID(G7,H7,I7-H7),[6]skilldef!$A:$B,2,FALSE),"-")</f>
        <v>- / 自爆</v>
      </c>
      <c r="M7" s="67" t="str">
        <f t="shared" si="5"/>
        <v>none</v>
      </c>
      <c r="N7" s="63" t="str">
        <f>IFERROR(LEFT(M7,FIND("],",M7)+S18),M7)</f>
        <v>none</v>
      </c>
      <c r="O7" s="67" t="e">
        <f t="shared" si="6"/>
        <v>#VALUE!</v>
      </c>
      <c r="P7" s="67">
        <f t="shared" si="7"/>
        <v>4</v>
      </c>
      <c r="Q7" s="67" t="e">
        <f t="shared" si="8"/>
        <v>#VALUE!</v>
      </c>
      <c r="R7" s="67" t="e">
        <f t="shared" si="9"/>
        <v>#VALUE!</v>
      </c>
      <c r="S7" s="67" t="str">
        <f>IFERROR(VLOOKUP(MID(N7,Q7,R7-Q7),[6]skilldef!$C:$D,2,FALSE),"-") &amp; " / " &amp; IFERROR(VLOOKUP(MID(N7,O7,P7-O7),[6]skilldef!$A:$B,2,FALSE),"-")</f>
        <v>- / -</v>
      </c>
      <c r="T7" s="63" t="str">
        <f t="shared" si="10"/>
        <v>none</v>
      </c>
      <c r="U7" s="67" t="e">
        <f t="shared" si="11"/>
        <v>#VALUE!</v>
      </c>
      <c r="V7" s="67">
        <f t="shared" si="12"/>
        <v>4</v>
      </c>
      <c r="W7" s="67" t="e">
        <f t="shared" si="13"/>
        <v>#VALUE!</v>
      </c>
      <c r="X7" s="67" t="e">
        <f t="shared" si="14"/>
        <v>#VALUE!</v>
      </c>
      <c r="Y7" s="67" t="str">
        <f>IFERROR(VLOOKUP(MID(T7,W7,X7-W7),[6]skilldef!$C:$D,2,FALSE),"-") &amp; " / " &amp; IFERROR(VLOOKUP(MID(T7,U7,V7-U7),[6]skilldef!$A:$B,2,FALSE),"-")</f>
        <v>- / -</v>
      </c>
      <c r="Z7" s="65"/>
      <c r="AA7" s="68"/>
      <c r="AB7" s="65"/>
    </row>
    <row r="8" spans="1:28" ht="28" x14ac:dyDescent="0.15">
      <c r="A8" s="62">
        <v>11006040</v>
      </c>
      <c r="B8" s="62" t="s">
        <v>201</v>
      </c>
      <c r="C8" s="65">
        <v>3</v>
      </c>
      <c r="D8" s="65" t="s">
        <v>166</v>
      </c>
      <c r="E8" s="66" t="s">
        <v>209</v>
      </c>
      <c r="F8" s="66" t="s">
        <v>202</v>
      </c>
      <c r="G8" s="67" t="str">
        <f t="shared" si="0"/>
        <v>[effect:fix_speed, target:myself, turn:3]</v>
      </c>
      <c r="H8" s="67">
        <f t="shared" si="1"/>
        <v>9</v>
      </c>
      <c r="I8" s="67">
        <f t="shared" si="2"/>
        <v>18</v>
      </c>
      <c r="J8" s="67">
        <f t="shared" si="3"/>
        <v>27</v>
      </c>
      <c r="K8" s="67">
        <f t="shared" si="4"/>
        <v>33</v>
      </c>
      <c r="L8" s="67" t="str">
        <f>IFERROR(VLOOKUP(MID(G8,J8,K8-J8),[6]skilldef!$C:$D,2,FALSE),"-") &amp; " / " &amp; IFERROR(VLOOKUP(MID(G8,H8,I8-H8),[6]skilldef!$A:$B,2,FALSE),"-")</f>
        <v>自分自身に / 行動値設定</v>
      </c>
      <c r="M8" s="67" t="str">
        <f t="shared" si="5"/>
        <v>none</v>
      </c>
      <c r="N8" s="63" t="str">
        <f>IFERROR(LEFT(M8,FIND("],",M8)+S15),M8)</f>
        <v>none</v>
      </c>
      <c r="O8" s="67" t="e">
        <f t="shared" si="6"/>
        <v>#VALUE!</v>
      </c>
      <c r="P8" s="67">
        <f t="shared" si="7"/>
        <v>4</v>
      </c>
      <c r="Q8" s="67" t="e">
        <f t="shared" si="8"/>
        <v>#VALUE!</v>
      </c>
      <c r="R8" s="67" t="e">
        <f t="shared" si="9"/>
        <v>#VALUE!</v>
      </c>
      <c r="S8" s="67" t="str">
        <f>IFERROR(VLOOKUP(MID(N8,Q8,R8-Q8),[6]skilldef!$C:$D,2,FALSE),"-") &amp; " / " &amp; IFERROR(VLOOKUP(MID(N8,O8,P8-O8),[6]skilldef!$A:$B,2,FALSE),"-")</f>
        <v>- / -</v>
      </c>
      <c r="T8" s="63" t="str">
        <f t="shared" si="10"/>
        <v>none</v>
      </c>
      <c r="U8" s="67" t="e">
        <f t="shared" si="11"/>
        <v>#VALUE!</v>
      </c>
      <c r="V8" s="67">
        <f t="shared" si="12"/>
        <v>4</v>
      </c>
      <c r="W8" s="67" t="e">
        <f t="shared" si="13"/>
        <v>#VALUE!</v>
      </c>
      <c r="X8" s="67" t="e">
        <f t="shared" si="14"/>
        <v>#VALUE!</v>
      </c>
      <c r="Y8" s="67" t="str">
        <f>IFERROR(VLOOKUP(MID(T8,W8,X8-W8),[6]skilldef!$C:$D,2,FALSE),"-") &amp; " / " &amp; IFERROR(VLOOKUP(MID(T8,U8,V8-U8),[6]skilldef!$A:$B,2,FALSE),"-")</f>
        <v>- / -</v>
      </c>
      <c r="Z8" s="65"/>
      <c r="AA8" s="68"/>
      <c r="AB8" s="65"/>
    </row>
    <row r="9" spans="1:28" ht="22" customHeight="1" x14ac:dyDescent="0.15">
      <c r="A9" s="62">
        <v>11006041</v>
      </c>
      <c r="B9" s="62" t="s">
        <v>212</v>
      </c>
      <c r="C9" s="65">
        <v>3</v>
      </c>
      <c r="D9" s="65" t="s">
        <v>166</v>
      </c>
      <c r="E9" s="66" t="s">
        <v>213</v>
      </c>
      <c r="F9" s="66" t="s">
        <v>211</v>
      </c>
      <c r="G9" s="67" t="str">
        <f t="shared" si="0"/>
        <v>[effect:kamikaze, val:1.0, animation:enemy_kamikaze]</v>
      </c>
      <c r="H9" s="67">
        <f t="shared" si="1"/>
        <v>9</v>
      </c>
      <c r="I9" s="67">
        <f t="shared" si="2"/>
        <v>17</v>
      </c>
      <c r="J9" s="67" t="e">
        <f t="shared" si="3"/>
        <v>#VALUE!</v>
      </c>
      <c r="K9" s="67">
        <f t="shared" si="4"/>
        <v>26</v>
      </c>
      <c r="L9" s="67" t="str">
        <f>IFERROR(VLOOKUP(MID(G9,J9,K9-J9),[6]skilldef!$C:$D,2,FALSE),"-") &amp; " / " &amp; IFERROR(VLOOKUP(MID(G9,H9,I9-H9),[6]skilldef!$A:$B,2,FALSE),"-")</f>
        <v>- / 自爆</v>
      </c>
      <c r="M9" s="67" t="str">
        <f t="shared" si="5"/>
        <v>none</v>
      </c>
      <c r="N9" s="63" t="str">
        <f>IFERROR(LEFT(M9,FIND("],",M9)+S19),M9)</f>
        <v>none</v>
      </c>
      <c r="O9" s="67" t="e">
        <f t="shared" si="6"/>
        <v>#VALUE!</v>
      </c>
      <c r="P9" s="67">
        <f t="shared" si="7"/>
        <v>4</v>
      </c>
      <c r="Q9" s="67" t="e">
        <f t="shared" si="8"/>
        <v>#VALUE!</v>
      </c>
      <c r="R9" s="67" t="e">
        <f t="shared" si="9"/>
        <v>#VALUE!</v>
      </c>
      <c r="S9" s="67" t="str">
        <f>IFERROR(VLOOKUP(MID(N9,Q9,R9-Q9),[6]skilldef!$C:$D,2,FALSE),"-") &amp; " / " &amp; IFERROR(VLOOKUP(MID(N9,O9,P9-O9),[6]skilldef!$A:$B,2,FALSE),"-")</f>
        <v>- / -</v>
      </c>
      <c r="T9" s="63" t="str">
        <f t="shared" si="10"/>
        <v>none</v>
      </c>
      <c r="U9" s="67" t="e">
        <f t="shared" si="11"/>
        <v>#VALUE!</v>
      </c>
      <c r="V9" s="67">
        <f t="shared" si="12"/>
        <v>4</v>
      </c>
      <c r="W9" s="67" t="e">
        <f t="shared" si="13"/>
        <v>#VALUE!</v>
      </c>
      <c r="X9" s="67" t="e">
        <f t="shared" si="14"/>
        <v>#VALUE!</v>
      </c>
      <c r="Y9" s="67" t="str">
        <f>IFERROR(VLOOKUP(MID(T9,W9,X9-W9),[6]skilldef!$C:$D,2,FALSE),"-") &amp; " / " &amp; IFERROR(VLOOKUP(MID(T9,U9,V9-U9),[6]skilldef!$A:$B,2,FALSE),"-")</f>
        <v>- / -</v>
      </c>
      <c r="Z9" s="65"/>
      <c r="AA9" s="68"/>
      <c r="AB9" s="65"/>
    </row>
    <row r="10" spans="1:28" ht="22" customHeight="1" x14ac:dyDescent="0.15">
      <c r="A10" s="62">
        <v>11006401</v>
      </c>
      <c r="B10" s="62" t="s">
        <v>235</v>
      </c>
      <c r="C10" s="65">
        <v>3</v>
      </c>
      <c r="D10" s="65" t="s">
        <v>166</v>
      </c>
      <c r="E10" s="66" t="s">
        <v>232</v>
      </c>
      <c r="F10" s="66" t="s">
        <v>234</v>
      </c>
      <c r="G10" s="67" t="str">
        <f t="shared" ref="G10" si="15">IFERROR(LEFT(B10,FIND("],",B10)),B10)</f>
        <v>[effect:enemy_message, val1:1.5, val2:2.0]</v>
      </c>
      <c r="H10" s="67">
        <f t="shared" ref="H10" si="16">FIND("effect:",G10)+7</f>
        <v>9</v>
      </c>
      <c r="I10" s="67">
        <f t="shared" ref="I10" si="17">IFERROR(FIND(",",G10),LEN(G10))</f>
        <v>22</v>
      </c>
      <c r="J10" s="67" t="e">
        <f t="shared" ref="J10" si="18">FIND("target:",G10)+7</f>
        <v>#VALUE!</v>
      </c>
      <c r="K10" s="67">
        <f t="shared" ref="K10" si="19">FIND(",",G10,I10+1)</f>
        <v>32</v>
      </c>
      <c r="L10" s="67" t="str">
        <f>IFERROR(VLOOKUP(MID(G10,J10,K10-J10),[6]skilldef!$C:$D,2,FALSE),"-") &amp; " / " &amp; IFERROR(VLOOKUP(MID(G10,H10,I10-H10),[6]skilldef!$A:$B,2,FALSE),"-")</f>
        <v>- / -</v>
      </c>
      <c r="M10" s="67" t="str">
        <f t="shared" ref="M10" si="20">IFERROR(RIGHT(B10,LEN(B10)-FIND("],",B10)-1),"none")</f>
        <v>[effect:force_change_block, new_block:crack_bomb, target:block_all, ignore01:crash, ignore02:crack_bomb, ignore03:color_break, ignore04:damage, ignore05:magnet, color:block_yellow, count:5, val:24]</v>
      </c>
      <c r="N10" s="63" t="str">
        <f>IFERROR(LEFT(M10,FIND("],",M10)+S23),M10)</f>
        <v>[effect:force_change_block, new_block:crack_bomb, target:block_all, ignore01:crash, ignore02:crack_bomb, ignore03:color_break, ignore04:damage, ignore05:magnet, color:block_yellow, count:5, val:24]</v>
      </c>
      <c r="O10" s="67">
        <f t="shared" ref="O10" si="21">FIND("effect:",N10)+7</f>
        <v>9</v>
      </c>
      <c r="P10" s="67">
        <f t="shared" ref="P10" si="22">IFERROR(FIND(",",N10),LEN(N10))</f>
        <v>27</v>
      </c>
      <c r="Q10" s="67">
        <f t="shared" ref="Q10" si="23">FIND("target:",N10)+7</f>
        <v>58</v>
      </c>
      <c r="R10" s="67">
        <f t="shared" ref="R10" si="24">FIND(",",N10,P10+1)</f>
        <v>49</v>
      </c>
      <c r="S10" s="67" t="str">
        <f>IFERROR(VLOOKUP(MID(N10,Q10,R10-Q10),[6]skilldef!$C:$D,2,FALSE),"-") &amp; " / " &amp; IFERROR(VLOOKUP(MID(N10,O10,P10-O10),[6]skilldef!$A:$B,2,FALSE),"-")</f>
        <v>- / -</v>
      </c>
      <c r="T10" s="63" t="str">
        <f t="shared" ref="T10" si="25">IFERROR(RIGHT(M10,LEN(M10)-FIND("],",M10)-1),"none")</f>
        <v>none</v>
      </c>
      <c r="U10" s="67" t="e">
        <f t="shared" ref="U10" si="26">FIND("effect:",T10)+7</f>
        <v>#VALUE!</v>
      </c>
      <c r="V10" s="67">
        <f t="shared" ref="V10" si="27">IFERROR(FIND(",",T10),LEN(T10))</f>
        <v>4</v>
      </c>
      <c r="W10" s="67" t="e">
        <f t="shared" ref="W10" si="28">FIND("target:",T10)+7</f>
        <v>#VALUE!</v>
      </c>
      <c r="X10" s="67" t="e">
        <f t="shared" ref="X10" si="29">FIND(",",T10,V10+1)</f>
        <v>#VALUE!</v>
      </c>
      <c r="Y10" s="67" t="str">
        <f>IFERROR(VLOOKUP(MID(T10,W10,X10-W10),[6]skilldef!$C:$D,2,FALSE),"-") &amp; " / " &amp; IFERROR(VLOOKUP(MID(T10,U10,V10-U10),[6]skilldef!$A:$B,2,FALSE),"-")</f>
        <v>- / -</v>
      </c>
      <c r="Z10" s="65"/>
      <c r="AA10" s="68"/>
      <c r="AB10" s="65"/>
    </row>
    <row r="11" spans="1:28" ht="22" customHeight="1" x14ac:dyDescent="0.15">
      <c r="A11" s="62">
        <v>11006402</v>
      </c>
      <c r="B11" s="62" t="s">
        <v>233</v>
      </c>
      <c r="C11" s="65">
        <v>3</v>
      </c>
      <c r="D11" s="65" t="s">
        <v>166</v>
      </c>
      <c r="E11" s="66" t="s">
        <v>231</v>
      </c>
      <c r="F11" s="66" t="s">
        <v>230</v>
      </c>
      <c r="G11" s="67" t="str">
        <f t="shared" ref="G11" si="30">IFERROR(LEFT(B11,FIND("],",B11)),B11)</f>
        <v>[effect:enemy_message, val1:1.4, val2:1.2]</v>
      </c>
      <c r="H11" s="67">
        <f t="shared" ref="H11" si="31">FIND("effect:",G11)+7</f>
        <v>9</v>
      </c>
      <c r="I11" s="67">
        <f t="shared" ref="I11" si="32">IFERROR(FIND(",",G11),LEN(G11))</f>
        <v>22</v>
      </c>
      <c r="J11" s="67" t="e">
        <f t="shared" ref="J11" si="33">FIND("target:",G11)+7</f>
        <v>#VALUE!</v>
      </c>
      <c r="K11" s="67">
        <f t="shared" ref="K11" si="34">FIND(",",G11,I11+1)</f>
        <v>32</v>
      </c>
      <c r="L11" s="67" t="str">
        <f>IFERROR(VLOOKUP(MID(G11,J11,K11-J11),[6]skilldef!$C:$D,2,FALSE),"-") &amp; " / " &amp; IFERROR(VLOOKUP(MID(G11,H11,I11-H11),[6]skilldef!$A:$B,2,FALSE),"-")</f>
        <v>- / -</v>
      </c>
      <c r="M11" s="67" t="str">
        <f t="shared" ref="M11" si="35">IFERROR(RIGHT(B11,LEN(B11)-FIND("],",B11)-1),"none")</f>
        <v>[effect:enhance_fever, val:1000, animation:fevergauge_up03]</v>
      </c>
      <c r="N11" s="63" t="str">
        <f t="shared" ref="N11" si="36">IFERROR(LEFT(M11,FIND("],",M11)+S25),M11)</f>
        <v>[effect:enhance_fever, val:1000, animation:fevergauge_up03]</v>
      </c>
      <c r="O11" s="67">
        <f t="shared" ref="O11" si="37">FIND("effect:",N11)+7</f>
        <v>9</v>
      </c>
      <c r="P11" s="67">
        <f t="shared" ref="P11" si="38">IFERROR(FIND(",",N11),LEN(N11))</f>
        <v>22</v>
      </c>
      <c r="Q11" s="67" t="e">
        <f t="shared" ref="Q11" si="39">FIND("target:",N11)+7</f>
        <v>#VALUE!</v>
      </c>
      <c r="R11" s="67">
        <f t="shared" ref="R11" si="40">FIND(",",N11,P11+1)</f>
        <v>32</v>
      </c>
      <c r="S11" s="67" t="str">
        <f>IFERROR(VLOOKUP(MID(N11,Q11,R11-Q11),[6]skilldef!$C:$D,2,FALSE),"-") &amp; " / " &amp; IFERROR(VLOOKUP(MID(N11,O11,P11-O11),[6]skilldef!$A:$B,2,FALSE),"-")</f>
        <v>- / -</v>
      </c>
      <c r="T11" s="63" t="str">
        <f t="shared" ref="T11" si="41">IFERROR(RIGHT(M11,LEN(M11)-FIND("],",M11)-1),"none")</f>
        <v>none</v>
      </c>
      <c r="U11" s="67" t="e">
        <f t="shared" ref="U11" si="42">FIND("effect:",T11)+7</f>
        <v>#VALUE!</v>
      </c>
      <c r="V11" s="67">
        <f t="shared" ref="V11" si="43">IFERROR(FIND(",",T11),LEN(T11))</f>
        <v>4</v>
      </c>
      <c r="W11" s="67" t="e">
        <f t="shared" ref="W11" si="44">FIND("target:",T11)+7</f>
        <v>#VALUE!</v>
      </c>
      <c r="X11" s="67" t="e">
        <f t="shared" ref="X11" si="45">FIND(",",T11,V11+1)</f>
        <v>#VALUE!</v>
      </c>
      <c r="Y11" s="67" t="str">
        <f>IFERROR(VLOOKUP(MID(T11,W11,X11-W11),[6]skilldef!$C:$D,2,FALSE),"-") &amp; " / " &amp; IFERROR(VLOOKUP(MID(T11,U11,V11-U11),[6]skilldef!$A:$B,2,FALSE),"-")</f>
        <v>- / -</v>
      </c>
      <c r="Z11" s="65"/>
      <c r="AA11" s="68"/>
      <c r="AB11" s="65"/>
    </row>
  </sheetData>
  <autoFilter ref="A1:AB1"/>
  <phoneticPr fontId="4"/>
  <pageMargins left="0.75" right="0.75" top="1" bottom="1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"/>
  <sheetViews>
    <sheetView showGridLines="0" zoomScale="75" zoomScaleNormal="75" zoomScalePageLayoutView="75" workbookViewId="0">
      <pane ySplit="1" topLeftCell="A2" activePane="bottomLeft" state="frozenSplit"/>
      <selection pane="bottomLeft" activeCell="D2" sqref="D2"/>
    </sheetView>
  </sheetViews>
  <sheetFormatPr baseColWidth="12" defaultColWidth="12.83203125" defaultRowHeight="21" customHeight="1" x14ac:dyDescent="0.15"/>
  <cols>
    <col min="1" max="1" width="16.1640625" style="64" bestFit="1" customWidth="1"/>
    <col min="2" max="2" width="13.33203125" style="64" bestFit="1" customWidth="1"/>
    <col min="3" max="3" width="11.83203125" style="64" bestFit="1" customWidth="1"/>
    <col min="4" max="4" width="14.6640625" style="64" bestFit="1" customWidth="1"/>
    <col min="5" max="5" width="15.6640625" style="64" bestFit="1" customWidth="1"/>
    <col min="6" max="6" width="17" style="64" bestFit="1" customWidth="1"/>
    <col min="7" max="7" width="15.6640625" style="64" bestFit="1" customWidth="1"/>
    <col min="8" max="9" width="14.6640625" style="64" customWidth="1"/>
    <col min="10" max="10" width="14.6640625" style="64" bestFit="1" customWidth="1"/>
    <col min="11" max="11" width="22.83203125" style="54" bestFit="1" customWidth="1"/>
    <col min="12" max="16384" width="12.83203125" style="60"/>
  </cols>
  <sheetData>
    <row r="1" spans="1:11" ht="21" customHeight="1" x14ac:dyDescent="0.15">
      <c r="A1" s="57" t="s">
        <v>167</v>
      </c>
      <c r="B1" s="57" t="s">
        <v>168</v>
      </c>
      <c r="C1" s="57" t="s">
        <v>169</v>
      </c>
      <c r="D1" s="57" t="s">
        <v>170</v>
      </c>
      <c r="E1" s="57" t="s">
        <v>171</v>
      </c>
      <c r="F1" s="69" t="s">
        <v>172</v>
      </c>
      <c r="G1" s="69" t="s">
        <v>173</v>
      </c>
      <c r="H1" s="57" t="s">
        <v>174</v>
      </c>
      <c r="I1" s="57" t="s">
        <v>175</v>
      </c>
      <c r="J1" s="57" t="s">
        <v>176</v>
      </c>
      <c r="K1" s="70" t="s">
        <v>177</v>
      </c>
    </row>
    <row r="2" spans="1:11" ht="21" customHeight="1" x14ac:dyDescent="0.15">
      <c r="A2" s="62">
        <v>11006000</v>
      </c>
      <c r="B2" s="62">
        <v>1</v>
      </c>
      <c r="C2" s="62" t="s">
        <v>178</v>
      </c>
      <c r="D2" s="62">
        <v>0</v>
      </c>
      <c r="E2" s="62" t="s">
        <v>200</v>
      </c>
      <c r="F2" s="62" t="s">
        <v>179</v>
      </c>
      <c r="G2" s="62">
        <v>1</v>
      </c>
      <c r="H2" s="62" t="s">
        <v>179</v>
      </c>
      <c r="I2" s="62" t="s">
        <v>179</v>
      </c>
      <c r="J2" s="63">
        <f t="shared" ref="J2" si="0">D2</f>
        <v>0</v>
      </c>
    </row>
    <row r="3" spans="1:11" ht="21" customHeight="1" x14ac:dyDescent="0.15">
      <c r="A3" s="62">
        <v>11006001</v>
      </c>
      <c r="B3" s="62">
        <v>0</v>
      </c>
      <c r="C3" s="62" t="s">
        <v>178</v>
      </c>
      <c r="D3" s="62">
        <v>100</v>
      </c>
      <c r="E3" s="62" t="s">
        <v>200</v>
      </c>
      <c r="F3" s="62" t="s">
        <v>179</v>
      </c>
      <c r="G3" s="62">
        <v>1</v>
      </c>
      <c r="H3" s="62" t="s">
        <v>179</v>
      </c>
      <c r="I3" s="62" t="s">
        <v>179</v>
      </c>
      <c r="J3" s="63">
        <f t="shared" ref="J3" si="1">D3</f>
        <v>100</v>
      </c>
    </row>
    <row r="4" spans="1:11" ht="21" customHeight="1" x14ac:dyDescent="0.15">
      <c r="A4" s="62">
        <v>11006401</v>
      </c>
      <c r="B4" s="62">
        <v>1</v>
      </c>
      <c r="C4" s="62">
        <v>100</v>
      </c>
      <c r="D4" s="62">
        <v>100</v>
      </c>
      <c r="E4" s="62" t="s">
        <v>200</v>
      </c>
      <c r="F4" s="62" t="s">
        <v>179</v>
      </c>
      <c r="G4" s="62">
        <v>1</v>
      </c>
      <c r="H4" s="62" t="s">
        <v>179</v>
      </c>
      <c r="I4" s="62" t="s">
        <v>179</v>
      </c>
      <c r="J4" s="63">
        <f t="shared" ref="J4" si="2">D4</f>
        <v>100</v>
      </c>
    </row>
  </sheetData>
  <autoFilter ref="A1:G1"/>
  <phoneticPr fontId="4"/>
  <conditionalFormatting sqref="K1:K2 K5:K1048576">
    <cfRule type="duplicateValues" dxfId="2" priority="3"/>
  </conditionalFormatting>
  <conditionalFormatting sqref="K3">
    <cfRule type="duplicateValues" dxfId="1" priority="2"/>
  </conditionalFormatting>
  <conditionalFormatting sqref="K4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Q49"/>
  <sheetViews>
    <sheetView workbookViewId="0">
      <pane ySplit="1" topLeftCell="A2" activePane="bottomLeft" state="frozen"/>
      <selection pane="bottomLeft" activeCell="L58" sqref="L58"/>
    </sheetView>
  </sheetViews>
  <sheetFormatPr baseColWidth="12" defaultRowHeight="15" x14ac:dyDescent="0.15"/>
  <cols>
    <col min="1" max="2" width="10.6640625" bestFit="1" customWidth="1"/>
    <col min="3" max="3" width="14.1640625" bestFit="1" customWidth="1"/>
    <col min="4" max="4" width="11" bestFit="1" customWidth="1"/>
    <col min="5" max="5" width="13.33203125" bestFit="1" customWidth="1"/>
    <col min="6" max="6" width="14" bestFit="1" customWidth="1"/>
    <col min="7" max="7" width="14.33203125" bestFit="1" customWidth="1"/>
    <col min="8" max="8" width="7.83203125" bestFit="1" customWidth="1"/>
    <col min="9" max="9" width="11.6640625" bestFit="1" customWidth="1"/>
    <col min="10" max="10" width="10" bestFit="1" customWidth="1"/>
    <col min="11" max="11" width="13.33203125" bestFit="1" customWidth="1"/>
    <col min="12" max="12" width="14.5" bestFit="1" customWidth="1"/>
    <col min="13" max="13" width="11.33203125" bestFit="1" customWidth="1"/>
    <col min="14" max="14" width="7" bestFit="1" customWidth="1"/>
    <col min="15" max="15" width="9.5" bestFit="1" customWidth="1"/>
    <col min="16" max="16" width="19" bestFit="1" customWidth="1"/>
    <col min="17" max="17" width="18.1640625" bestFit="1" customWidth="1"/>
    <col min="18" max="18" width="19" bestFit="1" customWidth="1"/>
  </cols>
  <sheetData>
    <row r="1" spans="1:17" x14ac:dyDescent="0.15">
      <c r="A1" t="s">
        <v>0</v>
      </c>
      <c r="B1" t="s">
        <v>1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3</v>
      </c>
      <c r="I1" t="s">
        <v>223</v>
      </c>
      <c r="J1" t="s">
        <v>37</v>
      </c>
      <c r="K1" t="s">
        <v>39</v>
      </c>
      <c r="L1" t="s">
        <v>41</v>
      </c>
      <c r="M1" t="s">
        <v>43</v>
      </c>
      <c r="N1" t="s">
        <v>45</v>
      </c>
      <c r="O1" t="s">
        <v>224</v>
      </c>
      <c r="P1" t="s">
        <v>225</v>
      </c>
      <c r="Q1" t="s">
        <v>226</v>
      </c>
    </row>
    <row r="2" spans="1:17" x14ac:dyDescent="0.15">
      <c r="A2">
        <v>11007</v>
      </c>
      <c r="B2">
        <v>1</v>
      </c>
      <c r="C2" t="s">
        <v>227</v>
      </c>
      <c r="D2">
        <v>1</v>
      </c>
      <c r="E2" t="s">
        <v>228</v>
      </c>
      <c r="F2">
        <v>101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1</v>
      </c>
      <c r="O2">
        <v>80</v>
      </c>
      <c r="P2" s="81">
        <v>42090</v>
      </c>
      <c r="Q2" s="81">
        <v>390812.375</v>
      </c>
    </row>
    <row r="3" spans="1:17" x14ac:dyDescent="0.15">
      <c r="A3">
        <v>11007</v>
      </c>
      <c r="B3">
        <v>1</v>
      </c>
      <c r="C3" t="s">
        <v>227</v>
      </c>
      <c r="D3">
        <v>2</v>
      </c>
      <c r="E3" t="s">
        <v>228</v>
      </c>
      <c r="F3">
        <v>332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1</v>
      </c>
      <c r="O3">
        <v>20</v>
      </c>
      <c r="P3" s="81">
        <v>42090</v>
      </c>
      <c r="Q3" s="81">
        <v>390812.375</v>
      </c>
    </row>
    <row r="4" spans="1:17" x14ac:dyDescent="0.15">
      <c r="A4">
        <v>11007</v>
      </c>
      <c r="B4">
        <v>1</v>
      </c>
      <c r="C4" t="s">
        <v>227</v>
      </c>
      <c r="D4">
        <v>3</v>
      </c>
      <c r="E4" t="s">
        <v>228</v>
      </c>
      <c r="F4">
        <v>105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1</v>
      </c>
      <c r="O4">
        <v>80</v>
      </c>
      <c r="P4" s="81">
        <v>42090</v>
      </c>
      <c r="Q4" s="81">
        <v>390812.375</v>
      </c>
    </row>
    <row r="5" spans="1:17" x14ac:dyDescent="0.15">
      <c r="A5">
        <v>11007</v>
      </c>
      <c r="B5">
        <v>1</v>
      </c>
      <c r="C5" t="s">
        <v>227</v>
      </c>
      <c r="D5">
        <v>4</v>
      </c>
      <c r="E5" t="s">
        <v>228</v>
      </c>
      <c r="F5">
        <v>336</v>
      </c>
      <c r="G5">
        <v>1</v>
      </c>
      <c r="H5">
        <v>1</v>
      </c>
      <c r="I5">
        <v>1</v>
      </c>
      <c r="J5">
        <v>0</v>
      </c>
      <c r="K5">
        <v>0</v>
      </c>
      <c r="L5">
        <v>0</v>
      </c>
      <c r="M5">
        <v>0</v>
      </c>
      <c r="N5">
        <v>1</v>
      </c>
      <c r="O5">
        <v>20</v>
      </c>
      <c r="P5" s="81">
        <v>42090</v>
      </c>
      <c r="Q5" s="81">
        <v>390812.375</v>
      </c>
    </row>
    <row r="6" spans="1:17" x14ac:dyDescent="0.15">
      <c r="A6">
        <v>11007</v>
      </c>
      <c r="B6">
        <v>2</v>
      </c>
      <c r="C6" t="s">
        <v>227</v>
      </c>
      <c r="D6">
        <v>5</v>
      </c>
      <c r="E6" t="s">
        <v>228</v>
      </c>
      <c r="F6">
        <v>101</v>
      </c>
      <c r="G6">
        <v>1</v>
      </c>
      <c r="H6">
        <v>1</v>
      </c>
      <c r="I6">
        <v>1</v>
      </c>
      <c r="J6">
        <v>0</v>
      </c>
      <c r="K6">
        <v>0</v>
      </c>
      <c r="L6">
        <v>0</v>
      </c>
      <c r="M6">
        <v>0</v>
      </c>
      <c r="N6">
        <v>1</v>
      </c>
      <c r="O6">
        <v>20</v>
      </c>
      <c r="P6" s="81">
        <v>42090</v>
      </c>
      <c r="Q6" s="81">
        <v>390812.375</v>
      </c>
    </row>
    <row r="7" spans="1:17" x14ac:dyDescent="0.15">
      <c r="A7">
        <v>11007</v>
      </c>
      <c r="B7">
        <v>2</v>
      </c>
      <c r="C7" t="s">
        <v>227</v>
      </c>
      <c r="D7">
        <v>6</v>
      </c>
      <c r="E7" t="s">
        <v>228</v>
      </c>
      <c r="F7">
        <v>102</v>
      </c>
      <c r="G7">
        <v>1</v>
      </c>
      <c r="H7">
        <v>1</v>
      </c>
      <c r="I7">
        <v>1</v>
      </c>
      <c r="J7">
        <v>0</v>
      </c>
      <c r="K7">
        <v>0</v>
      </c>
      <c r="L7">
        <v>0</v>
      </c>
      <c r="M7">
        <v>0</v>
      </c>
      <c r="N7">
        <v>1</v>
      </c>
      <c r="O7">
        <v>70</v>
      </c>
      <c r="P7" s="81">
        <v>42090</v>
      </c>
      <c r="Q7" s="81">
        <v>390812.375</v>
      </c>
    </row>
    <row r="8" spans="1:17" x14ac:dyDescent="0.15">
      <c r="A8">
        <v>11007</v>
      </c>
      <c r="B8">
        <v>2</v>
      </c>
      <c r="C8" t="s">
        <v>227</v>
      </c>
      <c r="D8">
        <v>7</v>
      </c>
      <c r="E8" t="s">
        <v>228</v>
      </c>
      <c r="F8">
        <v>332</v>
      </c>
      <c r="G8">
        <v>1</v>
      </c>
      <c r="H8">
        <v>1</v>
      </c>
      <c r="I8">
        <v>1</v>
      </c>
      <c r="J8">
        <v>0</v>
      </c>
      <c r="K8">
        <v>0</v>
      </c>
      <c r="L8">
        <v>0</v>
      </c>
      <c r="M8">
        <v>0</v>
      </c>
      <c r="N8">
        <v>1</v>
      </c>
      <c r="O8">
        <v>10</v>
      </c>
      <c r="P8" s="81">
        <v>42090</v>
      </c>
      <c r="Q8" s="81">
        <v>390812.375</v>
      </c>
    </row>
    <row r="9" spans="1:17" x14ac:dyDescent="0.15">
      <c r="A9">
        <v>11007</v>
      </c>
      <c r="B9">
        <v>2</v>
      </c>
      <c r="C9" t="s">
        <v>227</v>
      </c>
      <c r="D9">
        <v>8</v>
      </c>
      <c r="E9" t="s">
        <v>228</v>
      </c>
      <c r="F9">
        <v>105</v>
      </c>
      <c r="G9">
        <v>1</v>
      </c>
      <c r="H9">
        <v>1</v>
      </c>
      <c r="I9">
        <v>1</v>
      </c>
      <c r="J9">
        <v>0</v>
      </c>
      <c r="K9">
        <v>0</v>
      </c>
      <c r="L9">
        <v>0</v>
      </c>
      <c r="M9">
        <v>0</v>
      </c>
      <c r="N9">
        <v>1</v>
      </c>
      <c r="O9">
        <v>20</v>
      </c>
      <c r="P9" s="81">
        <v>42090</v>
      </c>
      <c r="Q9" s="81">
        <v>390812.375</v>
      </c>
    </row>
    <row r="10" spans="1:17" x14ac:dyDescent="0.15">
      <c r="A10">
        <v>11007</v>
      </c>
      <c r="B10">
        <v>2</v>
      </c>
      <c r="C10" t="s">
        <v>227</v>
      </c>
      <c r="D10">
        <v>9</v>
      </c>
      <c r="E10" t="s">
        <v>228</v>
      </c>
      <c r="F10">
        <v>106</v>
      </c>
      <c r="G10">
        <v>1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1</v>
      </c>
      <c r="O10">
        <v>70</v>
      </c>
      <c r="P10" s="81">
        <v>42090</v>
      </c>
      <c r="Q10" s="81">
        <v>390812.375</v>
      </c>
    </row>
    <row r="11" spans="1:17" x14ac:dyDescent="0.15">
      <c r="A11">
        <v>11007</v>
      </c>
      <c r="B11">
        <v>2</v>
      </c>
      <c r="C11" t="s">
        <v>227</v>
      </c>
      <c r="D11">
        <v>10</v>
      </c>
      <c r="E11" t="s">
        <v>228</v>
      </c>
      <c r="F11">
        <v>336</v>
      </c>
      <c r="G11">
        <v>1</v>
      </c>
      <c r="H11">
        <v>1</v>
      </c>
      <c r="I11">
        <v>1</v>
      </c>
      <c r="J11">
        <v>0</v>
      </c>
      <c r="K11">
        <v>0</v>
      </c>
      <c r="L11">
        <v>0</v>
      </c>
      <c r="M11">
        <v>0</v>
      </c>
      <c r="N11">
        <v>1</v>
      </c>
      <c r="O11">
        <v>10</v>
      </c>
      <c r="P11" s="81">
        <v>42090</v>
      </c>
      <c r="Q11" s="81">
        <v>390812.375</v>
      </c>
    </row>
    <row r="12" spans="1:17" x14ac:dyDescent="0.15">
      <c r="A12">
        <v>11007</v>
      </c>
      <c r="B12">
        <v>4</v>
      </c>
      <c r="C12" t="s">
        <v>227</v>
      </c>
      <c r="D12">
        <v>11</v>
      </c>
      <c r="E12" t="s">
        <v>228</v>
      </c>
      <c r="F12">
        <v>104</v>
      </c>
      <c r="G12">
        <v>1</v>
      </c>
      <c r="H12">
        <v>1</v>
      </c>
      <c r="I12">
        <v>1</v>
      </c>
      <c r="J12">
        <v>0</v>
      </c>
      <c r="K12">
        <v>0</v>
      </c>
      <c r="L12">
        <v>0</v>
      </c>
      <c r="M12">
        <v>0</v>
      </c>
      <c r="N12">
        <v>1</v>
      </c>
      <c r="O12">
        <v>25</v>
      </c>
      <c r="P12" s="81">
        <v>42090</v>
      </c>
      <c r="Q12" s="81">
        <v>390812.375</v>
      </c>
    </row>
    <row r="13" spans="1:17" x14ac:dyDescent="0.15">
      <c r="A13">
        <v>11007</v>
      </c>
      <c r="B13">
        <v>4</v>
      </c>
      <c r="C13" t="s">
        <v>227</v>
      </c>
      <c r="D13">
        <v>12</v>
      </c>
      <c r="E13" t="s">
        <v>228</v>
      </c>
      <c r="F13">
        <v>332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1</v>
      </c>
      <c r="O13">
        <v>10</v>
      </c>
      <c r="P13" s="81">
        <v>42090</v>
      </c>
      <c r="Q13" s="81">
        <v>390812.375</v>
      </c>
    </row>
    <row r="14" spans="1:17" x14ac:dyDescent="0.15">
      <c r="A14">
        <v>11007</v>
      </c>
      <c r="B14">
        <v>4</v>
      </c>
      <c r="C14" t="s">
        <v>227</v>
      </c>
      <c r="D14">
        <v>13</v>
      </c>
      <c r="E14" t="s">
        <v>228</v>
      </c>
      <c r="F14">
        <v>333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1</v>
      </c>
      <c r="O14">
        <v>34</v>
      </c>
      <c r="P14" s="81">
        <v>42090</v>
      </c>
      <c r="Q14" s="81">
        <v>390812.375</v>
      </c>
    </row>
    <row r="15" spans="1:17" x14ac:dyDescent="0.15">
      <c r="A15">
        <v>11007</v>
      </c>
      <c r="B15">
        <v>4</v>
      </c>
      <c r="C15" t="s">
        <v>227</v>
      </c>
      <c r="D15">
        <v>14</v>
      </c>
      <c r="E15" t="s">
        <v>228</v>
      </c>
      <c r="F15">
        <v>121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1</v>
      </c>
      <c r="O15">
        <v>10</v>
      </c>
      <c r="P15" s="81">
        <v>42090</v>
      </c>
      <c r="Q15" s="81">
        <v>390812.375</v>
      </c>
    </row>
    <row r="16" spans="1:17" x14ac:dyDescent="0.15">
      <c r="A16">
        <v>11007</v>
      </c>
      <c r="B16">
        <v>4</v>
      </c>
      <c r="C16" t="s">
        <v>227</v>
      </c>
      <c r="D16">
        <v>15</v>
      </c>
      <c r="E16" t="s">
        <v>228</v>
      </c>
      <c r="F16">
        <v>122</v>
      </c>
      <c r="G16">
        <v>1</v>
      </c>
      <c r="H16">
        <v>1</v>
      </c>
      <c r="I16">
        <v>1</v>
      </c>
      <c r="J16">
        <v>0</v>
      </c>
      <c r="K16">
        <v>0</v>
      </c>
      <c r="L16">
        <v>0</v>
      </c>
      <c r="M16">
        <v>0</v>
      </c>
      <c r="N16">
        <v>1</v>
      </c>
      <c r="O16">
        <v>10</v>
      </c>
      <c r="P16" s="81">
        <v>42090</v>
      </c>
      <c r="Q16" s="81">
        <v>390812.375</v>
      </c>
    </row>
    <row r="17" spans="1:17" x14ac:dyDescent="0.15">
      <c r="A17">
        <v>11007</v>
      </c>
      <c r="B17">
        <v>4</v>
      </c>
      <c r="C17" t="s">
        <v>227</v>
      </c>
      <c r="D17">
        <v>16</v>
      </c>
      <c r="E17" t="s">
        <v>228</v>
      </c>
      <c r="F17">
        <v>123</v>
      </c>
      <c r="G17">
        <v>1</v>
      </c>
      <c r="H17">
        <v>1</v>
      </c>
      <c r="I17">
        <v>1</v>
      </c>
      <c r="J17">
        <v>0</v>
      </c>
      <c r="K17">
        <v>0</v>
      </c>
      <c r="L17">
        <v>0</v>
      </c>
      <c r="M17">
        <v>0</v>
      </c>
      <c r="N17">
        <v>1</v>
      </c>
      <c r="O17">
        <v>10</v>
      </c>
      <c r="P17" s="81">
        <v>42090</v>
      </c>
      <c r="Q17" s="81">
        <v>390812.375</v>
      </c>
    </row>
    <row r="18" spans="1:17" x14ac:dyDescent="0.15">
      <c r="A18">
        <v>11007</v>
      </c>
      <c r="B18">
        <v>4</v>
      </c>
      <c r="C18" t="s">
        <v>227</v>
      </c>
      <c r="D18">
        <v>17</v>
      </c>
      <c r="E18" t="s">
        <v>228</v>
      </c>
      <c r="F18">
        <v>125</v>
      </c>
      <c r="G18">
        <v>1</v>
      </c>
      <c r="H18">
        <v>1</v>
      </c>
      <c r="I18">
        <v>1</v>
      </c>
      <c r="J18">
        <v>0</v>
      </c>
      <c r="K18">
        <v>0</v>
      </c>
      <c r="L18">
        <v>0</v>
      </c>
      <c r="M18">
        <v>0</v>
      </c>
      <c r="N18">
        <v>1</v>
      </c>
      <c r="O18">
        <v>1</v>
      </c>
      <c r="P18" s="81">
        <v>42090</v>
      </c>
      <c r="Q18" s="81">
        <v>390812.375</v>
      </c>
    </row>
    <row r="19" spans="1:17" x14ac:dyDescent="0.15">
      <c r="A19">
        <v>11007</v>
      </c>
      <c r="B19">
        <v>4</v>
      </c>
      <c r="C19" t="s">
        <v>227</v>
      </c>
      <c r="D19">
        <v>18</v>
      </c>
      <c r="E19" t="s">
        <v>228</v>
      </c>
      <c r="F19">
        <v>108</v>
      </c>
      <c r="G19">
        <v>1</v>
      </c>
      <c r="H19">
        <v>1</v>
      </c>
      <c r="I19">
        <v>1</v>
      </c>
      <c r="J19">
        <v>0</v>
      </c>
      <c r="K19">
        <v>0</v>
      </c>
      <c r="L19">
        <v>0</v>
      </c>
      <c r="M19">
        <v>0</v>
      </c>
      <c r="N19">
        <v>1</v>
      </c>
      <c r="O19">
        <v>25</v>
      </c>
      <c r="P19" s="81">
        <v>42090</v>
      </c>
      <c r="Q19" s="81">
        <v>390812.375</v>
      </c>
    </row>
    <row r="20" spans="1:17" x14ac:dyDescent="0.15">
      <c r="A20">
        <v>11007</v>
      </c>
      <c r="B20">
        <v>4</v>
      </c>
      <c r="C20" t="s">
        <v>227</v>
      </c>
      <c r="D20">
        <v>19</v>
      </c>
      <c r="E20" t="s">
        <v>228</v>
      </c>
      <c r="F20">
        <v>336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1</v>
      </c>
      <c r="O20">
        <v>10</v>
      </c>
      <c r="P20" s="81">
        <v>42090</v>
      </c>
      <c r="Q20" s="81">
        <v>390812.375</v>
      </c>
    </row>
    <row r="21" spans="1:17" x14ac:dyDescent="0.15">
      <c r="A21">
        <v>11007</v>
      </c>
      <c r="B21">
        <v>4</v>
      </c>
      <c r="C21" t="s">
        <v>227</v>
      </c>
      <c r="D21">
        <v>20</v>
      </c>
      <c r="E21" t="s">
        <v>228</v>
      </c>
      <c r="F21">
        <v>337</v>
      </c>
      <c r="G21">
        <v>1</v>
      </c>
      <c r="H21">
        <v>1</v>
      </c>
      <c r="I21">
        <v>1</v>
      </c>
      <c r="J21">
        <v>0</v>
      </c>
      <c r="K21">
        <v>0</v>
      </c>
      <c r="L21">
        <v>0</v>
      </c>
      <c r="M21">
        <v>0</v>
      </c>
      <c r="N21">
        <v>1</v>
      </c>
      <c r="O21">
        <v>34</v>
      </c>
      <c r="P21" s="81">
        <v>42090</v>
      </c>
      <c r="Q21" s="81">
        <v>390812.375</v>
      </c>
    </row>
    <row r="22" spans="1:17" x14ac:dyDescent="0.15">
      <c r="A22">
        <v>11007</v>
      </c>
      <c r="B22">
        <v>4</v>
      </c>
      <c r="C22" t="s">
        <v>227</v>
      </c>
      <c r="D22">
        <v>21</v>
      </c>
      <c r="E22" t="s">
        <v>228</v>
      </c>
      <c r="F22">
        <v>121</v>
      </c>
      <c r="G22">
        <v>1</v>
      </c>
      <c r="H22">
        <v>1</v>
      </c>
      <c r="I22">
        <v>1</v>
      </c>
      <c r="J22">
        <v>0</v>
      </c>
      <c r="K22">
        <v>0</v>
      </c>
      <c r="L22">
        <v>0</v>
      </c>
      <c r="M22">
        <v>0</v>
      </c>
      <c r="N22">
        <v>1</v>
      </c>
      <c r="O22">
        <v>10</v>
      </c>
      <c r="P22" s="81">
        <v>42090</v>
      </c>
      <c r="Q22" s="81">
        <v>390812.375</v>
      </c>
    </row>
    <row r="23" spans="1:17" x14ac:dyDescent="0.15">
      <c r="A23">
        <v>11007</v>
      </c>
      <c r="B23">
        <v>4</v>
      </c>
      <c r="C23" t="s">
        <v>227</v>
      </c>
      <c r="D23">
        <v>22</v>
      </c>
      <c r="E23" t="s">
        <v>228</v>
      </c>
      <c r="F23">
        <v>122</v>
      </c>
      <c r="G23">
        <v>1</v>
      </c>
      <c r="H23">
        <v>1</v>
      </c>
      <c r="I23">
        <v>1</v>
      </c>
      <c r="J23">
        <v>0</v>
      </c>
      <c r="K23">
        <v>0</v>
      </c>
      <c r="L23">
        <v>0</v>
      </c>
      <c r="M23">
        <v>0</v>
      </c>
      <c r="N23">
        <v>1</v>
      </c>
      <c r="O23">
        <v>10</v>
      </c>
      <c r="P23" s="81">
        <v>42090</v>
      </c>
      <c r="Q23" s="81">
        <v>390812.375</v>
      </c>
    </row>
    <row r="24" spans="1:17" x14ac:dyDescent="0.15">
      <c r="A24">
        <v>11007</v>
      </c>
      <c r="B24">
        <v>4</v>
      </c>
      <c r="C24" t="s">
        <v>227</v>
      </c>
      <c r="D24">
        <v>23</v>
      </c>
      <c r="E24" t="s">
        <v>228</v>
      </c>
      <c r="F24">
        <v>123</v>
      </c>
      <c r="G24">
        <v>1</v>
      </c>
      <c r="H24">
        <v>1</v>
      </c>
      <c r="I24">
        <v>1</v>
      </c>
      <c r="J24">
        <v>0</v>
      </c>
      <c r="K24">
        <v>0</v>
      </c>
      <c r="L24">
        <v>0</v>
      </c>
      <c r="M24">
        <v>0</v>
      </c>
      <c r="N24">
        <v>1</v>
      </c>
      <c r="O24">
        <v>10</v>
      </c>
      <c r="P24" s="81">
        <v>42090</v>
      </c>
      <c r="Q24" s="81">
        <v>390812.375</v>
      </c>
    </row>
    <row r="25" spans="1:17" x14ac:dyDescent="0.15">
      <c r="A25">
        <v>11007</v>
      </c>
      <c r="B25">
        <v>4</v>
      </c>
      <c r="C25" t="s">
        <v>227</v>
      </c>
      <c r="D25">
        <v>24</v>
      </c>
      <c r="E25" t="s">
        <v>228</v>
      </c>
      <c r="F25">
        <v>125</v>
      </c>
      <c r="G25">
        <v>1</v>
      </c>
      <c r="H25">
        <v>1</v>
      </c>
      <c r="I25">
        <v>1</v>
      </c>
      <c r="J25">
        <v>0</v>
      </c>
      <c r="K25">
        <v>0</v>
      </c>
      <c r="L25">
        <v>0</v>
      </c>
      <c r="M25">
        <v>0</v>
      </c>
      <c r="N25">
        <v>1</v>
      </c>
      <c r="O25">
        <v>1</v>
      </c>
      <c r="P25" s="81">
        <v>42090</v>
      </c>
      <c r="Q25" s="81">
        <v>390812.375</v>
      </c>
    </row>
    <row r="26" spans="1:17" x14ac:dyDescent="0.15">
      <c r="A26">
        <v>11008</v>
      </c>
      <c r="B26">
        <v>1</v>
      </c>
      <c r="C26" t="s">
        <v>227</v>
      </c>
      <c r="D26">
        <v>1</v>
      </c>
      <c r="E26" t="s">
        <v>228</v>
      </c>
      <c r="F26">
        <v>109</v>
      </c>
      <c r="G26">
        <v>1</v>
      </c>
      <c r="H26">
        <v>1</v>
      </c>
      <c r="I26">
        <v>1</v>
      </c>
      <c r="J26">
        <v>0</v>
      </c>
      <c r="K26">
        <v>0</v>
      </c>
      <c r="L26">
        <v>0</v>
      </c>
      <c r="M26">
        <v>0</v>
      </c>
      <c r="N26">
        <v>1</v>
      </c>
      <c r="O26">
        <v>80</v>
      </c>
      <c r="P26" s="81">
        <v>42090</v>
      </c>
      <c r="Q26" s="81">
        <v>390812.375</v>
      </c>
    </row>
    <row r="27" spans="1:17" x14ac:dyDescent="0.15">
      <c r="A27">
        <v>11008</v>
      </c>
      <c r="B27">
        <v>1</v>
      </c>
      <c r="C27" t="s">
        <v>227</v>
      </c>
      <c r="D27">
        <v>2</v>
      </c>
      <c r="E27" t="s">
        <v>228</v>
      </c>
      <c r="F27">
        <v>340</v>
      </c>
      <c r="G27">
        <v>1</v>
      </c>
      <c r="H27">
        <v>1</v>
      </c>
      <c r="I27">
        <v>1</v>
      </c>
      <c r="J27">
        <v>0</v>
      </c>
      <c r="K27">
        <v>0</v>
      </c>
      <c r="L27">
        <v>0</v>
      </c>
      <c r="M27">
        <v>0</v>
      </c>
      <c r="N27">
        <v>1</v>
      </c>
      <c r="O27">
        <v>20</v>
      </c>
      <c r="P27" s="81">
        <v>42090</v>
      </c>
      <c r="Q27" s="81">
        <v>390812.375</v>
      </c>
    </row>
    <row r="28" spans="1:17" x14ac:dyDescent="0.15">
      <c r="A28">
        <v>11008</v>
      </c>
      <c r="B28">
        <v>1</v>
      </c>
      <c r="C28" t="s">
        <v>227</v>
      </c>
      <c r="D28">
        <v>3</v>
      </c>
      <c r="E28" t="s">
        <v>228</v>
      </c>
      <c r="F28">
        <v>113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1</v>
      </c>
      <c r="O28">
        <v>80</v>
      </c>
      <c r="P28" s="81">
        <v>42090</v>
      </c>
      <c r="Q28" s="81">
        <v>390812.375</v>
      </c>
    </row>
    <row r="29" spans="1:17" x14ac:dyDescent="0.15">
      <c r="A29">
        <v>11008</v>
      </c>
      <c r="B29">
        <v>1</v>
      </c>
      <c r="C29" t="s">
        <v>227</v>
      </c>
      <c r="D29">
        <v>4</v>
      </c>
      <c r="E29" t="s">
        <v>228</v>
      </c>
      <c r="F29">
        <v>344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1</v>
      </c>
      <c r="O29">
        <v>20</v>
      </c>
      <c r="P29" s="81">
        <v>42090</v>
      </c>
      <c r="Q29" s="81">
        <v>390812.375</v>
      </c>
    </row>
    <row r="30" spans="1:17" x14ac:dyDescent="0.15">
      <c r="A30">
        <v>11008</v>
      </c>
      <c r="B30">
        <v>2</v>
      </c>
      <c r="C30" t="s">
        <v>227</v>
      </c>
      <c r="D30">
        <v>5</v>
      </c>
      <c r="E30" t="s">
        <v>228</v>
      </c>
      <c r="F30">
        <v>109</v>
      </c>
      <c r="G30">
        <v>1</v>
      </c>
      <c r="H30">
        <v>1</v>
      </c>
      <c r="I30">
        <v>1</v>
      </c>
      <c r="J30">
        <v>0</v>
      </c>
      <c r="K30">
        <v>0</v>
      </c>
      <c r="L30">
        <v>0</v>
      </c>
      <c r="M30">
        <v>0</v>
      </c>
      <c r="N30">
        <v>1</v>
      </c>
      <c r="O30">
        <v>20</v>
      </c>
      <c r="P30" s="81">
        <v>42090</v>
      </c>
      <c r="Q30" s="81">
        <v>390812.375</v>
      </c>
    </row>
    <row r="31" spans="1:17" x14ac:dyDescent="0.15">
      <c r="A31">
        <v>11008</v>
      </c>
      <c r="B31">
        <v>2</v>
      </c>
      <c r="C31" t="s">
        <v>227</v>
      </c>
      <c r="D31">
        <v>6</v>
      </c>
      <c r="E31" t="s">
        <v>228</v>
      </c>
      <c r="F31">
        <v>110</v>
      </c>
      <c r="G31">
        <v>1</v>
      </c>
      <c r="H31">
        <v>1</v>
      </c>
      <c r="I31">
        <v>1</v>
      </c>
      <c r="J31">
        <v>0</v>
      </c>
      <c r="K31">
        <v>0</v>
      </c>
      <c r="L31">
        <v>0</v>
      </c>
      <c r="M31">
        <v>0</v>
      </c>
      <c r="N31">
        <v>1</v>
      </c>
      <c r="O31">
        <v>70</v>
      </c>
      <c r="P31" s="81">
        <v>42090</v>
      </c>
      <c r="Q31" s="81">
        <v>390812.375</v>
      </c>
    </row>
    <row r="32" spans="1:17" x14ac:dyDescent="0.15">
      <c r="A32">
        <v>11008</v>
      </c>
      <c r="B32">
        <v>2</v>
      </c>
      <c r="C32" t="s">
        <v>227</v>
      </c>
      <c r="D32">
        <v>7</v>
      </c>
      <c r="E32" t="s">
        <v>228</v>
      </c>
      <c r="F32">
        <v>340</v>
      </c>
      <c r="G32">
        <v>1</v>
      </c>
      <c r="H32">
        <v>1</v>
      </c>
      <c r="I32">
        <v>1</v>
      </c>
      <c r="J32">
        <v>0</v>
      </c>
      <c r="K32">
        <v>0</v>
      </c>
      <c r="L32">
        <v>0</v>
      </c>
      <c r="M32">
        <v>0</v>
      </c>
      <c r="N32">
        <v>1</v>
      </c>
      <c r="O32">
        <v>10</v>
      </c>
      <c r="P32" s="81">
        <v>42090</v>
      </c>
      <c r="Q32" s="81">
        <v>390812.375</v>
      </c>
    </row>
    <row r="33" spans="1:17" x14ac:dyDescent="0.15">
      <c r="A33">
        <v>11008</v>
      </c>
      <c r="B33">
        <v>2</v>
      </c>
      <c r="C33" t="s">
        <v>227</v>
      </c>
      <c r="D33">
        <v>8</v>
      </c>
      <c r="E33" t="s">
        <v>228</v>
      </c>
      <c r="F33">
        <v>113</v>
      </c>
      <c r="G33">
        <v>1</v>
      </c>
      <c r="H33">
        <v>1</v>
      </c>
      <c r="I33">
        <v>1</v>
      </c>
      <c r="J33">
        <v>0</v>
      </c>
      <c r="K33">
        <v>0</v>
      </c>
      <c r="L33">
        <v>0</v>
      </c>
      <c r="M33">
        <v>0</v>
      </c>
      <c r="N33">
        <v>1</v>
      </c>
      <c r="O33">
        <v>20</v>
      </c>
      <c r="P33" s="81">
        <v>42090</v>
      </c>
      <c r="Q33" s="81">
        <v>390812.375</v>
      </c>
    </row>
    <row r="34" spans="1:17" x14ac:dyDescent="0.15">
      <c r="A34">
        <v>11008</v>
      </c>
      <c r="B34">
        <v>2</v>
      </c>
      <c r="C34" t="s">
        <v>227</v>
      </c>
      <c r="D34">
        <v>9</v>
      </c>
      <c r="E34" t="s">
        <v>228</v>
      </c>
      <c r="F34">
        <v>114</v>
      </c>
      <c r="G34">
        <v>1</v>
      </c>
      <c r="H34">
        <v>1</v>
      </c>
      <c r="I34">
        <v>1</v>
      </c>
      <c r="J34">
        <v>0</v>
      </c>
      <c r="K34">
        <v>0</v>
      </c>
      <c r="L34">
        <v>0</v>
      </c>
      <c r="M34">
        <v>0</v>
      </c>
      <c r="N34">
        <v>1</v>
      </c>
      <c r="O34">
        <v>70</v>
      </c>
      <c r="P34" s="81">
        <v>42090</v>
      </c>
      <c r="Q34" s="81">
        <v>390812.375</v>
      </c>
    </row>
    <row r="35" spans="1:17" x14ac:dyDescent="0.15">
      <c r="A35">
        <v>11008</v>
      </c>
      <c r="B35">
        <v>2</v>
      </c>
      <c r="C35" t="s">
        <v>227</v>
      </c>
      <c r="D35">
        <v>10</v>
      </c>
      <c r="E35" t="s">
        <v>228</v>
      </c>
      <c r="F35">
        <v>344</v>
      </c>
      <c r="G35">
        <v>1</v>
      </c>
      <c r="H35">
        <v>1</v>
      </c>
      <c r="I35">
        <v>1</v>
      </c>
      <c r="J35">
        <v>0</v>
      </c>
      <c r="K35">
        <v>0</v>
      </c>
      <c r="L35">
        <v>0</v>
      </c>
      <c r="M35">
        <v>0</v>
      </c>
      <c r="N35">
        <v>1</v>
      </c>
      <c r="O35">
        <v>10</v>
      </c>
      <c r="P35" s="81">
        <v>42090</v>
      </c>
      <c r="Q35" s="81">
        <v>390812.375</v>
      </c>
    </row>
    <row r="36" spans="1:17" x14ac:dyDescent="0.15">
      <c r="A36">
        <v>11008</v>
      </c>
      <c r="B36">
        <v>4</v>
      </c>
      <c r="C36" t="s">
        <v>227</v>
      </c>
      <c r="D36">
        <v>11</v>
      </c>
      <c r="E36" t="s">
        <v>228</v>
      </c>
      <c r="F36">
        <v>112</v>
      </c>
      <c r="G36">
        <v>1</v>
      </c>
      <c r="H36">
        <v>1</v>
      </c>
      <c r="I36">
        <v>1</v>
      </c>
      <c r="J36">
        <v>0</v>
      </c>
      <c r="K36">
        <v>0</v>
      </c>
      <c r="L36">
        <v>0</v>
      </c>
      <c r="M36">
        <v>0</v>
      </c>
      <c r="N36">
        <v>1</v>
      </c>
      <c r="O36">
        <v>25</v>
      </c>
      <c r="P36" s="81">
        <v>42090</v>
      </c>
      <c r="Q36" s="81">
        <v>390812.375</v>
      </c>
    </row>
    <row r="37" spans="1:17" x14ac:dyDescent="0.15">
      <c r="A37">
        <v>11008</v>
      </c>
      <c r="B37">
        <v>4</v>
      </c>
      <c r="C37" t="s">
        <v>227</v>
      </c>
      <c r="D37">
        <v>12</v>
      </c>
      <c r="E37" t="s">
        <v>228</v>
      </c>
      <c r="F37">
        <v>340</v>
      </c>
      <c r="G37">
        <v>1</v>
      </c>
      <c r="H37">
        <v>1</v>
      </c>
      <c r="I37">
        <v>1</v>
      </c>
      <c r="J37">
        <v>0</v>
      </c>
      <c r="K37">
        <v>0</v>
      </c>
      <c r="L37">
        <v>0</v>
      </c>
      <c r="M37">
        <v>0</v>
      </c>
      <c r="N37">
        <v>1</v>
      </c>
      <c r="O37">
        <v>10</v>
      </c>
      <c r="P37" s="81">
        <v>42090</v>
      </c>
      <c r="Q37" s="81">
        <v>390812.375</v>
      </c>
    </row>
    <row r="38" spans="1:17" x14ac:dyDescent="0.15">
      <c r="A38">
        <v>11008</v>
      </c>
      <c r="B38">
        <v>4</v>
      </c>
      <c r="C38" t="s">
        <v>227</v>
      </c>
      <c r="D38">
        <v>13</v>
      </c>
      <c r="E38" t="s">
        <v>228</v>
      </c>
      <c r="F38">
        <v>341</v>
      </c>
      <c r="G38">
        <v>1</v>
      </c>
      <c r="H38">
        <v>1</v>
      </c>
      <c r="I38">
        <v>1</v>
      </c>
      <c r="J38">
        <v>0</v>
      </c>
      <c r="K38">
        <v>0</v>
      </c>
      <c r="L38">
        <v>0</v>
      </c>
      <c r="M38">
        <v>0</v>
      </c>
      <c r="N38">
        <v>1</v>
      </c>
      <c r="O38">
        <v>34</v>
      </c>
      <c r="P38" s="81">
        <v>42090</v>
      </c>
      <c r="Q38" s="81">
        <v>390812.375</v>
      </c>
    </row>
    <row r="39" spans="1:17" x14ac:dyDescent="0.15">
      <c r="A39">
        <v>11008</v>
      </c>
      <c r="B39">
        <v>4</v>
      </c>
      <c r="C39" t="s">
        <v>227</v>
      </c>
      <c r="D39">
        <v>14</v>
      </c>
      <c r="E39" t="s">
        <v>228</v>
      </c>
      <c r="F39">
        <v>121</v>
      </c>
      <c r="G39">
        <v>1</v>
      </c>
      <c r="H39">
        <v>1</v>
      </c>
      <c r="I39">
        <v>1</v>
      </c>
      <c r="J39">
        <v>0</v>
      </c>
      <c r="K39">
        <v>0</v>
      </c>
      <c r="L39">
        <v>0</v>
      </c>
      <c r="M39">
        <v>0</v>
      </c>
      <c r="N39">
        <v>1</v>
      </c>
      <c r="O39">
        <v>10</v>
      </c>
      <c r="P39" s="81">
        <v>42090</v>
      </c>
      <c r="Q39" s="81">
        <v>390812.375</v>
      </c>
    </row>
    <row r="40" spans="1:17" x14ac:dyDescent="0.15">
      <c r="A40">
        <v>11008</v>
      </c>
      <c r="B40">
        <v>4</v>
      </c>
      <c r="C40" t="s">
        <v>227</v>
      </c>
      <c r="D40">
        <v>15</v>
      </c>
      <c r="E40" t="s">
        <v>228</v>
      </c>
      <c r="F40">
        <v>122</v>
      </c>
      <c r="G40">
        <v>1</v>
      </c>
      <c r="H40">
        <v>1</v>
      </c>
      <c r="I40">
        <v>1</v>
      </c>
      <c r="J40">
        <v>0</v>
      </c>
      <c r="K40">
        <v>0</v>
      </c>
      <c r="L40">
        <v>0</v>
      </c>
      <c r="M40">
        <v>0</v>
      </c>
      <c r="N40">
        <v>1</v>
      </c>
      <c r="O40">
        <v>10</v>
      </c>
      <c r="P40" s="81">
        <v>42090</v>
      </c>
      <c r="Q40" s="81">
        <v>390812.375</v>
      </c>
    </row>
    <row r="41" spans="1:17" x14ac:dyDescent="0.15">
      <c r="A41">
        <v>11008</v>
      </c>
      <c r="B41">
        <v>4</v>
      </c>
      <c r="C41" t="s">
        <v>227</v>
      </c>
      <c r="D41">
        <v>16</v>
      </c>
      <c r="E41" t="s">
        <v>228</v>
      </c>
      <c r="F41">
        <v>123</v>
      </c>
      <c r="G41">
        <v>1</v>
      </c>
      <c r="H41">
        <v>1</v>
      </c>
      <c r="I41">
        <v>1</v>
      </c>
      <c r="J41">
        <v>0</v>
      </c>
      <c r="K41">
        <v>0</v>
      </c>
      <c r="L41">
        <v>0</v>
      </c>
      <c r="M41">
        <v>0</v>
      </c>
      <c r="N41">
        <v>1</v>
      </c>
      <c r="O41">
        <v>10</v>
      </c>
      <c r="P41" s="81">
        <v>42090</v>
      </c>
      <c r="Q41" s="81">
        <v>390812.375</v>
      </c>
    </row>
    <row r="42" spans="1:17" x14ac:dyDescent="0.15">
      <c r="A42">
        <v>11008</v>
      </c>
      <c r="B42">
        <v>4</v>
      </c>
      <c r="C42" t="s">
        <v>227</v>
      </c>
      <c r="D42">
        <v>17</v>
      </c>
      <c r="E42" t="s">
        <v>228</v>
      </c>
      <c r="F42">
        <v>125</v>
      </c>
      <c r="G42">
        <v>1</v>
      </c>
      <c r="H42">
        <v>1</v>
      </c>
      <c r="I42">
        <v>1</v>
      </c>
      <c r="J42">
        <v>0</v>
      </c>
      <c r="K42">
        <v>0</v>
      </c>
      <c r="L42">
        <v>0</v>
      </c>
      <c r="M42">
        <v>0</v>
      </c>
      <c r="N42">
        <v>1</v>
      </c>
      <c r="O42">
        <v>1</v>
      </c>
      <c r="P42" s="81">
        <v>42090</v>
      </c>
      <c r="Q42" s="81">
        <v>390812.375</v>
      </c>
    </row>
    <row r="43" spans="1:17" x14ac:dyDescent="0.15">
      <c r="A43">
        <v>11008</v>
      </c>
      <c r="B43">
        <v>4</v>
      </c>
      <c r="C43" t="s">
        <v>227</v>
      </c>
      <c r="D43">
        <v>18</v>
      </c>
      <c r="E43" t="s">
        <v>228</v>
      </c>
      <c r="F43">
        <v>116</v>
      </c>
      <c r="G43">
        <v>1</v>
      </c>
      <c r="H43">
        <v>1</v>
      </c>
      <c r="I43">
        <v>1</v>
      </c>
      <c r="J43">
        <v>0</v>
      </c>
      <c r="K43">
        <v>0</v>
      </c>
      <c r="L43">
        <v>0</v>
      </c>
      <c r="M43">
        <v>0</v>
      </c>
      <c r="N43">
        <v>1</v>
      </c>
      <c r="O43">
        <v>25</v>
      </c>
      <c r="P43" s="81">
        <v>42090</v>
      </c>
      <c r="Q43" s="81">
        <v>390812.375</v>
      </c>
    </row>
    <row r="44" spans="1:17" x14ac:dyDescent="0.15">
      <c r="A44">
        <v>11008</v>
      </c>
      <c r="B44">
        <v>4</v>
      </c>
      <c r="C44" t="s">
        <v>227</v>
      </c>
      <c r="D44">
        <v>19</v>
      </c>
      <c r="E44" t="s">
        <v>228</v>
      </c>
      <c r="F44">
        <v>344</v>
      </c>
      <c r="G44">
        <v>1</v>
      </c>
      <c r="H44">
        <v>1</v>
      </c>
      <c r="I44">
        <v>1</v>
      </c>
      <c r="J44">
        <v>0</v>
      </c>
      <c r="K44">
        <v>0</v>
      </c>
      <c r="L44">
        <v>0</v>
      </c>
      <c r="M44">
        <v>0</v>
      </c>
      <c r="N44">
        <v>1</v>
      </c>
      <c r="O44">
        <v>10</v>
      </c>
      <c r="P44" s="81">
        <v>42090</v>
      </c>
      <c r="Q44" s="81">
        <v>390812.375</v>
      </c>
    </row>
    <row r="45" spans="1:17" x14ac:dyDescent="0.15">
      <c r="A45">
        <v>11008</v>
      </c>
      <c r="B45">
        <v>4</v>
      </c>
      <c r="C45" t="s">
        <v>227</v>
      </c>
      <c r="D45">
        <v>20</v>
      </c>
      <c r="E45" t="s">
        <v>228</v>
      </c>
      <c r="F45">
        <v>345</v>
      </c>
      <c r="G45">
        <v>1</v>
      </c>
      <c r="H45">
        <v>1</v>
      </c>
      <c r="I45">
        <v>1</v>
      </c>
      <c r="J45">
        <v>0</v>
      </c>
      <c r="K45">
        <v>0</v>
      </c>
      <c r="L45">
        <v>0</v>
      </c>
      <c r="M45">
        <v>0</v>
      </c>
      <c r="N45">
        <v>1</v>
      </c>
      <c r="O45">
        <v>34</v>
      </c>
      <c r="P45" s="81">
        <v>42090</v>
      </c>
      <c r="Q45" s="81">
        <v>390812.375</v>
      </c>
    </row>
    <row r="46" spans="1:17" x14ac:dyDescent="0.15">
      <c r="A46">
        <v>11008</v>
      </c>
      <c r="B46">
        <v>4</v>
      </c>
      <c r="C46" t="s">
        <v>227</v>
      </c>
      <c r="D46">
        <v>21</v>
      </c>
      <c r="E46" t="s">
        <v>228</v>
      </c>
      <c r="F46">
        <v>121</v>
      </c>
      <c r="G46">
        <v>1</v>
      </c>
      <c r="H46">
        <v>1</v>
      </c>
      <c r="I46">
        <v>1</v>
      </c>
      <c r="J46">
        <v>0</v>
      </c>
      <c r="K46">
        <v>0</v>
      </c>
      <c r="L46">
        <v>0</v>
      </c>
      <c r="M46">
        <v>0</v>
      </c>
      <c r="N46">
        <v>1</v>
      </c>
      <c r="O46">
        <v>10</v>
      </c>
      <c r="P46" s="81">
        <v>42090</v>
      </c>
      <c r="Q46" s="81">
        <v>390812.375</v>
      </c>
    </row>
    <row r="47" spans="1:17" x14ac:dyDescent="0.15">
      <c r="A47">
        <v>11008</v>
      </c>
      <c r="B47">
        <v>4</v>
      </c>
      <c r="C47" t="s">
        <v>227</v>
      </c>
      <c r="D47">
        <v>22</v>
      </c>
      <c r="E47" t="s">
        <v>228</v>
      </c>
      <c r="F47">
        <v>122</v>
      </c>
      <c r="G47">
        <v>1</v>
      </c>
      <c r="H47">
        <v>1</v>
      </c>
      <c r="I47">
        <v>1</v>
      </c>
      <c r="J47">
        <v>0</v>
      </c>
      <c r="K47">
        <v>0</v>
      </c>
      <c r="L47">
        <v>0</v>
      </c>
      <c r="M47">
        <v>0</v>
      </c>
      <c r="N47">
        <v>1</v>
      </c>
      <c r="O47">
        <v>10</v>
      </c>
      <c r="P47" s="81">
        <v>42090</v>
      </c>
      <c r="Q47" s="81">
        <v>390812.375</v>
      </c>
    </row>
    <row r="48" spans="1:17" x14ac:dyDescent="0.15">
      <c r="A48">
        <v>11008</v>
      </c>
      <c r="B48">
        <v>4</v>
      </c>
      <c r="C48" t="s">
        <v>227</v>
      </c>
      <c r="D48">
        <v>23</v>
      </c>
      <c r="E48" t="s">
        <v>228</v>
      </c>
      <c r="F48">
        <v>123</v>
      </c>
      <c r="G48">
        <v>1</v>
      </c>
      <c r="H48">
        <v>1</v>
      </c>
      <c r="I48">
        <v>1</v>
      </c>
      <c r="J48">
        <v>0</v>
      </c>
      <c r="K48">
        <v>0</v>
      </c>
      <c r="L48">
        <v>0</v>
      </c>
      <c r="M48">
        <v>0</v>
      </c>
      <c r="N48">
        <v>1</v>
      </c>
      <c r="O48">
        <v>10</v>
      </c>
      <c r="P48" s="81">
        <v>42090</v>
      </c>
      <c r="Q48" s="81">
        <v>390812.375</v>
      </c>
    </row>
    <row r="49" spans="1:17" x14ac:dyDescent="0.15">
      <c r="A49">
        <v>11008</v>
      </c>
      <c r="B49">
        <v>4</v>
      </c>
      <c r="C49" t="s">
        <v>227</v>
      </c>
      <c r="D49">
        <v>24</v>
      </c>
      <c r="E49" t="s">
        <v>228</v>
      </c>
      <c r="F49">
        <v>125</v>
      </c>
      <c r="G49">
        <v>1</v>
      </c>
      <c r="H49">
        <v>1</v>
      </c>
      <c r="I49">
        <v>1</v>
      </c>
      <c r="J49">
        <v>0</v>
      </c>
      <c r="K49">
        <v>0</v>
      </c>
      <c r="L49">
        <v>0</v>
      </c>
      <c r="M49">
        <v>0</v>
      </c>
      <c r="N49">
        <v>1</v>
      </c>
      <c r="O49">
        <v>1</v>
      </c>
      <c r="P49" s="81">
        <v>42090</v>
      </c>
      <c r="Q49" s="81">
        <v>390812.375</v>
      </c>
    </row>
  </sheetData>
  <autoFilter ref="A1:R1">
    <sortState ref="A2:R25">
      <sortCondition ref="B1:B25"/>
    </sortState>
  </autoFilter>
  <phoneticPr fontId="4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enemy_habitats_2</vt:lpstr>
      <vt:lpstr>enemy_habitat_S</vt:lpstr>
      <vt:lpstr>enemy_skill_sets</vt:lpstr>
      <vt:lpstr>enemy_skills</vt:lpstr>
      <vt:lpstr>enemy_skill_triggers</vt:lpstr>
      <vt:lpstr>bugbonuses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2017-02-16T06:37:26Z</dcterms:modified>
</cp:coreProperties>
</file>