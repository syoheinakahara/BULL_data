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317" codeName="{00000000-0000-0000-0000-000000000000}"/>
  <workbookPr codeName="ThisWorkbook" autoCompressPictures="0"/>
  <bookViews>
    <workbookView xWindow="1200" yWindow="1800" windowWidth="26720" windowHeight="1494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" sheetId="19" r:id="rId9"/>
  </sheets>
  <externalReferences>
    <externalReference r:id="rId10"/>
    <externalReference r:id="rId11"/>
    <externalReference r:id="rId12"/>
    <externalReference r:id="rId13"/>
    <externalReference r:id="rId14"/>
  </externalReferences>
  <definedNames>
    <definedName name="_xlnm._FilterDatabase" localSheetId="3" hidden="1">enemy_habitat_S!$B$1:$Y$4</definedName>
    <definedName name="_xlnm._FilterDatabase" localSheetId="2" hidden="1">enemy_habitats!$B$1:$AH$3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8" hidden="1">stage_hints!$C$1:$N$2</definedName>
    <definedName name="Excel_BuiltIn__FilterDatabase_6_1" localSheetId="4">[1]unit_skills!#REF!</definedName>
    <definedName name="Excel_BuiltIn__FilterDatabase_6_1" localSheetId="6">[1]unit_skills!#REF!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9" i="11" l="1"/>
  <c r="O10" i="9"/>
  <c r="N10" i="9"/>
  <c r="M10" i="9"/>
  <c r="L10" i="9"/>
  <c r="K10" i="9"/>
  <c r="J10" i="9"/>
  <c r="I10" i="9"/>
  <c r="H10" i="9"/>
  <c r="G10" i="9"/>
  <c r="E10" i="9"/>
  <c r="D10" i="9"/>
  <c r="A10" i="9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O20" i="9"/>
  <c r="N20" i="9"/>
  <c r="M20" i="9"/>
  <c r="L20" i="9"/>
  <c r="K20" i="9"/>
  <c r="J20" i="9"/>
  <c r="I20" i="9"/>
  <c r="H20" i="9"/>
  <c r="G20" i="9"/>
  <c r="E20" i="9"/>
  <c r="D20" i="9"/>
  <c r="A20" i="9"/>
  <c r="M20" i="10"/>
  <c r="T20" i="10"/>
  <c r="W20" i="10"/>
  <c r="V20" i="10"/>
  <c r="X20" i="10"/>
  <c r="U20" i="10"/>
  <c r="Y20" i="10"/>
  <c r="N20" i="10"/>
  <c r="Q20" i="10"/>
  <c r="P20" i="10"/>
  <c r="R20" i="10"/>
  <c r="O20" i="10"/>
  <c r="S20" i="10"/>
  <c r="G20" i="10"/>
  <c r="J20" i="10"/>
  <c r="I20" i="10"/>
  <c r="K20" i="10"/>
  <c r="H20" i="10"/>
  <c r="L20" i="10"/>
  <c r="O27" i="9"/>
  <c r="N27" i="9"/>
  <c r="M27" i="9"/>
  <c r="L27" i="9"/>
  <c r="K27" i="9"/>
  <c r="J27" i="9"/>
  <c r="I27" i="9"/>
  <c r="H27" i="9"/>
  <c r="G27" i="9"/>
  <c r="E27" i="9"/>
  <c r="D27" i="9"/>
  <c r="A27" i="9"/>
  <c r="O26" i="9"/>
  <c r="N26" i="9"/>
  <c r="M26" i="9"/>
  <c r="L26" i="9"/>
  <c r="K26" i="9"/>
  <c r="J26" i="9"/>
  <c r="I26" i="9"/>
  <c r="H26" i="9"/>
  <c r="G26" i="9"/>
  <c r="E26" i="9"/>
  <c r="D26" i="9"/>
  <c r="A26" i="9"/>
  <c r="O25" i="9"/>
  <c r="N25" i="9"/>
  <c r="M25" i="9"/>
  <c r="L25" i="9"/>
  <c r="K25" i="9"/>
  <c r="J25" i="9"/>
  <c r="I25" i="9"/>
  <c r="H25" i="9"/>
  <c r="G25" i="9"/>
  <c r="E25" i="9"/>
  <c r="D25" i="9"/>
  <c r="A25" i="9"/>
  <c r="G24" i="10"/>
  <c r="H24" i="10"/>
  <c r="I24" i="10"/>
  <c r="J24" i="10"/>
  <c r="K24" i="10"/>
  <c r="L24" i="10"/>
  <c r="M24" i="10"/>
  <c r="N24" i="10"/>
  <c r="O24" i="10"/>
  <c r="P24" i="10"/>
  <c r="Q24" i="10"/>
  <c r="R24" i="10"/>
  <c r="S24" i="10"/>
  <c r="T24" i="10"/>
  <c r="U24" i="10"/>
  <c r="V24" i="10"/>
  <c r="W24" i="10"/>
  <c r="X24" i="10"/>
  <c r="Y24" i="10"/>
  <c r="M21" i="10"/>
  <c r="T21" i="10"/>
  <c r="W21" i="10"/>
  <c r="V21" i="10"/>
  <c r="X21" i="10"/>
  <c r="U21" i="10"/>
  <c r="Y21" i="10"/>
  <c r="N21" i="10"/>
  <c r="Q21" i="10"/>
  <c r="P21" i="10"/>
  <c r="R21" i="10"/>
  <c r="O21" i="10"/>
  <c r="S21" i="10"/>
  <c r="G21" i="10"/>
  <c r="J21" i="10"/>
  <c r="I21" i="10"/>
  <c r="K21" i="10"/>
  <c r="H21" i="10"/>
  <c r="L21" i="10"/>
  <c r="M23" i="10"/>
  <c r="T23" i="10"/>
  <c r="W23" i="10"/>
  <c r="V23" i="10"/>
  <c r="X23" i="10"/>
  <c r="U23" i="10"/>
  <c r="Y23" i="10"/>
  <c r="N23" i="10"/>
  <c r="Q23" i="10"/>
  <c r="P23" i="10"/>
  <c r="R23" i="10"/>
  <c r="O23" i="10"/>
  <c r="S23" i="10"/>
  <c r="G23" i="10"/>
  <c r="J23" i="10"/>
  <c r="I23" i="10"/>
  <c r="K23" i="10"/>
  <c r="H23" i="10"/>
  <c r="L23" i="10"/>
  <c r="J5" i="11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O5" i="9"/>
  <c r="N5" i="9"/>
  <c r="M5" i="9"/>
  <c r="L5" i="9"/>
  <c r="K5" i="9"/>
  <c r="J5" i="9"/>
  <c r="I5" i="9"/>
  <c r="H5" i="9"/>
  <c r="G5" i="9"/>
  <c r="E5" i="9"/>
  <c r="D5" i="9"/>
  <c r="A5" i="9"/>
  <c r="AB4" i="1"/>
  <c r="AD4" i="1"/>
  <c r="AG4" i="1"/>
  <c r="AE4" i="1"/>
  <c r="AC4" i="1"/>
  <c r="AA4" i="1"/>
  <c r="V4" i="1"/>
  <c r="Q4" i="1"/>
  <c r="P4" i="1"/>
  <c r="O4" i="1"/>
  <c r="N4" i="1"/>
  <c r="M4" i="1"/>
  <c r="H4" i="1"/>
  <c r="G2" i="2"/>
  <c r="A2" i="2"/>
  <c r="G3" i="2"/>
  <c r="A3" i="2"/>
  <c r="G4" i="2"/>
  <c r="A4" i="2"/>
  <c r="G5" i="2"/>
  <c r="A5" i="2"/>
  <c r="G6" i="2"/>
  <c r="A6" i="2"/>
  <c r="J4" i="1"/>
  <c r="I4" i="1"/>
  <c r="D4" i="1"/>
  <c r="F4" i="1"/>
  <c r="E4" i="1"/>
  <c r="A4" i="1"/>
  <c r="M22" i="10"/>
  <c r="T22" i="10"/>
  <c r="W22" i="10"/>
  <c r="V22" i="10"/>
  <c r="X22" i="10"/>
  <c r="U22" i="10"/>
  <c r="Y22" i="10"/>
  <c r="N22" i="10"/>
  <c r="Q22" i="10"/>
  <c r="P22" i="10"/>
  <c r="R22" i="10"/>
  <c r="O22" i="10"/>
  <c r="S22" i="10"/>
  <c r="G22" i="10"/>
  <c r="J22" i="10"/>
  <c r="I22" i="10"/>
  <c r="K22" i="10"/>
  <c r="H22" i="10"/>
  <c r="L22" i="10"/>
  <c r="M19" i="10"/>
  <c r="T19" i="10"/>
  <c r="W19" i="10"/>
  <c r="V19" i="10"/>
  <c r="X19" i="10"/>
  <c r="U19" i="10"/>
  <c r="Y19" i="10"/>
  <c r="N19" i="10"/>
  <c r="Q19" i="10"/>
  <c r="P19" i="10"/>
  <c r="R19" i="10"/>
  <c r="O19" i="10"/>
  <c r="S19" i="10"/>
  <c r="G19" i="10"/>
  <c r="J19" i="10"/>
  <c r="I19" i="10"/>
  <c r="K19" i="10"/>
  <c r="H19" i="10"/>
  <c r="L19" i="10"/>
  <c r="Y3" i="7"/>
  <c r="E18" i="9"/>
  <c r="E21" i="9"/>
  <c r="W3" i="7"/>
  <c r="R3" i="7"/>
  <c r="Q3" i="7"/>
  <c r="P3" i="7"/>
  <c r="O3" i="7"/>
  <c r="N3" i="7"/>
  <c r="H3" i="7"/>
  <c r="J3" i="7"/>
  <c r="I3" i="7"/>
  <c r="D3" i="7"/>
  <c r="F3" i="7"/>
  <c r="E3" i="7"/>
  <c r="A3" i="7"/>
  <c r="AD13" i="1"/>
  <c r="AG13" i="1"/>
  <c r="AE13" i="1"/>
  <c r="AC13" i="1"/>
  <c r="AA13" i="1"/>
  <c r="E7" i="9"/>
  <c r="E19" i="9"/>
  <c r="E22" i="9"/>
  <c r="V13" i="1"/>
  <c r="Q13" i="1"/>
  <c r="P13" i="1"/>
  <c r="O13" i="1"/>
  <c r="N13" i="1"/>
  <c r="M13" i="1"/>
  <c r="H13" i="1"/>
  <c r="J13" i="1"/>
  <c r="I13" i="1"/>
  <c r="D13" i="1"/>
  <c r="F13" i="1"/>
  <c r="E13" i="1"/>
  <c r="A13" i="1"/>
  <c r="AB12" i="1"/>
  <c r="AD12" i="1"/>
  <c r="AG12" i="1"/>
  <c r="AE12" i="1"/>
  <c r="AC12" i="1"/>
  <c r="AA12" i="1"/>
  <c r="E17" i="9"/>
  <c r="V12" i="1"/>
  <c r="Q12" i="1"/>
  <c r="P12" i="1"/>
  <c r="O12" i="1"/>
  <c r="N12" i="1"/>
  <c r="M12" i="1"/>
  <c r="H12" i="1"/>
  <c r="J12" i="1"/>
  <c r="I12" i="1"/>
  <c r="D12" i="1"/>
  <c r="F12" i="1"/>
  <c r="E12" i="1"/>
  <c r="A12" i="1"/>
  <c r="H6" i="2"/>
  <c r="E6" i="2"/>
  <c r="D6" i="2"/>
  <c r="H2" i="1"/>
  <c r="H3" i="1"/>
  <c r="H5" i="1"/>
  <c r="H6" i="1"/>
  <c r="H7" i="1"/>
  <c r="H8" i="1"/>
  <c r="H9" i="1"/>
  <c r="H10" i="1"/>
  <c r="H11" i="1"/>
  <c r="B6" i="2"/>
  <c r="Y2" i="7"/>
  <c r="W2" i="7"/>
  <c r="R2" i="7"/>
  <c r="Q2" i="7"/>
  <c r="P2" i="7"/>
  <c r="O2" i="7"/>
  <c r="N2" i="7"/>
  <c r="H2" i="7"/>
  <c r="J2" i="7"/>
  <c r="I2" i="7"/>
  <c r="D2" i="7"/>
  <c r="F2" i="7"/>
  <c r="E2" i="7"/>
  <c r="A2" i="7"/>
  <c r="J17" i="11"/>
  <c r="J16" i="11"/>
  <c r="J15" i="11"/>
  <c r="J10" i="11"/>
  <c r="J14" i="11"/>
  <c r="J13" i="11"/>
  <c r="J12" i="11"/>
  <c r="J11" i="11"/>
  <c r="J8" i="11"/>
  <c r="J7" i="11"/>
  <c r="J6" i="11"/>
  <c r="J4" i="11"/>
  <c r="J3" i="11"/>
  <c r="E24" i="9"/>
  <c r="W4" i="7"/>
  <c r="E2" i="9"/>
  <c r="E13" i="9"/>
  <c r="E15" i="9"/>
  <c r="V11" i="1"/>
  <c r="V10" i="1"/>
  <c r="V9" i="1"/>
  <c r="E11" i="9"/>
  <c r="E12" i="9"/>
  <c r="V8" i="1"/>
  <c r="V7" i="1"/>
  <c r="V6" i="1"/>
  <c r="E3" i="9"/>
  <c r="E4" i="9"/>
  <c r="V5" i="1"/>
  <c r="V3" i="1"/>
  <c r="G6" i="9"/>
  <c r="J2" i="11"/>
  <c r="O24" i="9"/>
  <c r="N24" i="9"/>
  <c r="M24" i="9"/>
  <c r="L24" i="9"/>
  <c r="K24" i="9"/>
  <c r="J24" i="9"/>
  <c r="I24" i="9"/>
  <c r="H24" i="9"/>
  <c r="G24" i="9"/>
  <c r="D24" i="9"/>
  <c r="A24" i="9"/>
  <c r="O23" i="9"/>
  <c r="N23" i="9"/>
  <c r="M23" i="9"/>
  <c r="L23" i="9"/>
  <c r="K23" i="9"/>
  <c r="J23" i="9"/>
  <c r="I23" i="9"/>
  <c r="H23" i="9"/>
  <c r="G23" i="9"/>
  <c r="E23" i="9"/>
  <c r="D23" i="9"/>
  <c r="A23" i="9"/>
  <c r="O22" i="9"/>
  <c r="N22" i="9"/>
  <c r="M22" i="9"/>
  <c r="L22" i="9"/>
  <c r="K22" i="9"/>
  <c r="J22" i="9"/>
  <c r="I22" i="9"/>
  <c r="H22" i="9"/>
  <c r="G22" i="9"/>
  <c r="D22" i="9"/>
  <c r="A22" i="9"/>
  <c r="O21" i="9"/>
  <c r="N21" i="9"/>
  <c r="M21" i="9"/>
  <c r="L21" i="9"/>
  <c r="K21" i="9"/>
  <c r="J21" i="9"/>
  <c r="I21" i="9"/>
  <c r="H21" i="9"/>
  <c r="G21" i="9"/>
  <c r="D21" i="9"/>
  <c r="A21" i="9"/>
  <c r="O19" i="9"/>
  <c r="N19" i="9"/>
  <c r="M19" i="9"/>
  <c r="L19" i="9"/>
  <c r="K19" i="9"/>
  <c r="J19" i="9"/>
  <c r="I19" i="9"/>
  <c r="H19" i="9"/>
  <c r="G19" i="9"/>
  <c r="D19" i="9"/>
  <c r="A19" i="9"/>
  <c r="O18" i="9"/>
  <c r="N18" i="9"/>
  <c r="M18" i="9"/>
  <c r="L18" i="9"/>
  <c r="K18" i="9"/>
  <c r="J18" i="9"/>
  <c r="I18" i="9"/>
  <c r="H18" i="9"/>
  <c r="G18" i="9"/>
  <c r="D18" i="9"/>
  <c r="A18" i="9"/>
  <c r="O17" i="9"/>
  <c r="N17" i="9"/>
  <c r="M17" i="9"/>
  <c r="L17" i="9"/>
  <c r="K17" i="9"/>
  <c r="J17" i="9"/>
  <c r="I17" i="9"/>
  <c r="H17" i="9"/>
  <c r="G17" i="9"/>
  <c r="D17" i="9"/>
  <c r="A17" i="9"/>
  <c r="O16" i="9"/>
  <c r="N16" i="9"/>
  <c r="M16" i="9"/>
  <c r="L16" i="9"/>
  <c r="K16" i="9"/>
  <c r="J16" i="9"/>
  <c r="I16" i="9"/>
  <c r="H16" i="9"/>
  <c r="G16" i="9"/>
  <c r="E16" i="9"/>
  <c r="D16" i="9"/>
  <c r="A16" i="9"/>
  <c r="O15" i="9"/>
  <c r="N15" i="9"/>
  <c r="M15" i="9"/>
  <c r="L15" i="9"/>
  <c r="K15" i="9"/>
  <c r="J15" i="9"/>
  <c r="I15" i="9"/>
  <c r="H15" i="9"/>
  <c r="G15" i="9"/>
  <c r="D15" i="9"/>
  <c r="A15" i="9"/>
  <c r="O14" i="9"/>
  <c r="N14" i="9"/>
  <c r="M14" i="9"/>
  <c r="L14" i="9"/>
  <c r="K14" i="9"/>
  <c r="J14" i="9"/>
  <c r="I14" i="9"/>
  <c r="H14" i="9"/>
  <c r="G14" i="9"/>
  <c r="E14" i="9"/>
  <c r="D14" i="9"/>
  <c r="A14" i="9"/>
  <c r="O13" i="9"/>
  <c r="N13" i="9"/>
  <c r="M13" i="9"/>
  <c r="L13" i="9"/>
  <c r="K13" i="9"/>
  <c r="J13" i="9"/>
  <c r="I13" i="9"/>
  <c r="H13" i="9"/>
  <c r="G13" i="9"/>
  <c r="D13" i="9"/>
  <c r="A13" i="9"/>
  <c r="O12" i="9"/>
  <c r="N12" i="9"/>
  <c r="M12" i="9"/>
  <c r="L12" i="9"/>
  <c r="K12" i="9"/>
  <c r="J12" i="9"/>
  <c r="I12" i="9"/>
  <c r="H12" i="9"/>
  <c r="G12" i="9"/>
  <c r="D12" i="9"/>
  <c r="A12" i="9"/>
  <c r="O11" i="9"/>
  <c r="N11" i="9"/>
  <c r="M11" i="9"/>
  <c r="L11" i="9"/>
  <c r="K11" i="9"/>
  <c r="J11" i="9"/>
  <c r="I11" i="9"/>
  <c r="H11" i="9"/>
  <c r="G11" i="9"/>
  <c r="D11" i="9"/>
  <c r="A11" i="9"/>
  <c r="O9" i="9"/>
  <c r="N9" i="9"/>
  <c r="M9" i="9"/>
  <c r="L9" i="9"/>
  <c r="K9" i="9"/>
  <c r="J9" i="9"/>
  <c r="I9" i="9"/>
  <c r="H9" i="9"/>
  <c r="G9" i="9"/>
  <c r="E9" i="9"/>
  <c r="D9" i="9"/>
  <c r="A9" i="9"/>
  <c r="O8" i="9"/>
  <c r="N8" i="9"/>
  <c r="M8" i="9"/>
  <c r="L8" i="9"/>
  <c r="K8" i="9"/>
  <c r="J8" i="9"/>
  <c r="I8" i="9"/>
  <c r="H8" i="9"/>
  <c r="G8" i="9"/>
  <c r="E8" i="9"/>
  <c r="D8" i="9"/>
  <c r="A8" i="9"/>
  <c r="O7" i="9"/>
  <c r="N7" i="9"/>
  <c r="M7" i="9"/>
  <c r="L7" i="9"/>
  <c r="K7" i="9"/>
  <c r="J7" i="9"/>
  <c r="I7" i="9"/>
  <c r="H7" i="9"/>
  <c r="G7" i="9"/>
  <c r="D7" i="9"/>
  <c r="A7" i="9"/>
  <c r="O6" i="9"/>
  <c r="N6" i="9"/>
  <c r="M6" i="9"/>
  <c r="L6" i="9"/>
  <c r="K6" i="9"/>
  <c r="J6" i="9"/>
  <c r="I6" i="9"/>
  <c r="H6" i="9"/>
  <c r="E6" i="9"/>
  <c r="D6" i="9"/>
  <c r="A6" i="9"/>
  <c r="O4" i="9"/>
  <c r="N4" i="9"/>
  <c r="M4" i="9"/>
  <c r="L4" i="9"/>
  <c r="K4" i="9"/>
  <c r="J4" i="9"/>
  <c r="I4" i="9"/>
  <c r="H4" i="9"/>
  <c r="G4" i="9"/>
  <c r="D4" i="9"/>
  <c r="A4" i="9"/>
  <c r="M26" i="10"/>
  <c r="T26" i="10"/>
  <c r="W26" i="10"/>
  <c r="V26" i="10"/>
  <c r="X26" i="10"/>
  <c r="U26" i="10"/>
  <c r="Y26" i="10"/>
  <c r="N26" i="10"/>
  <c r="Q26" i="10"/>
  <c r="P26" i="10"/>
  <c r="R26" i="10"/>
  <c r="O26" i="10"/>
  <c r="S26" i="10"/>
  <c r="G26" i="10"/>
  <c r="J26" i="10"/>
  <c r="I26" i="10"/>
  <c r="K26" i="10"/>
  <c r="H26" i="10"/>
  <c r="L26" i="10"/>
  <c r="M25" i="10"/>
  <c r="T25" i="10"/>
  <c r="W25" i="10"/>
  <c r="V25" i="10"/>
  <c r="X25" i="10"/>
  <c r="U25" i="10"/>
  <c r="Y25" i="10"/>
  <c r="N25" i="10"/>
  <c r="Q25" i="10"/>
  <c r="P25" i="10"/>
  <c r="R25" i="10"/>
  <c r="O25" i="10"/>
  <c r="S25" i="10"/>
  <c r="G25" i="10"/>
  <c r="J25" i="10"/>
  <c r="I25" i="10"/>
  <c r="K25" i="10"/>
  <c r="H25" i="10"/>
  <c r="L25" i="10"/>
  <c r="M27" i="10"/>
  <c r="T27" i="10"/>
  <c r="W27" i="10"/>
  <c r="V27" i="10"/>
  <c r="X27" i="10"/>
  <c r="U27" i="10"/>
  <c r="Y27" i="10"/>
  <c r="N27" i="10"/>
  <c r="Q27" i="10"/>
  <c r="P27" i="10"/>
  <c r="R27" i="10"/>
  <c r="O27" i="10"/>
  <c r="S27" i="10"/>
  <c r="G27" i="10"/>
  <c r="J27" i="10"/>
  <c r="I27" i="10"/>
  <c r="K27" i="10"/>
  <c r="H27" i="10"/>
  <c r="L27" i="10"/>
  <c r="M18" i="10"/>
  <c r="T18" i="10"/>
  <c r="W18" i="10"/>
  <c r="V18" i="10"/>
  <c r="X18" i="10"/>
  <c r="U18" i="10"/>
  <c r="Y18" i="10"/>
  <c r="N18" i="10"/>
  <c r="Q18" i="10"/>
  <c r="P18" i="10"/>
  <c r="R18" i="10"/>
  <c r="O18" i="10"/>
  <c r="S18" i="10"/>
  <c r="G18" i="10"/>
  <c r="J18" i="10"/>
  <c r="I18" i="10"/>
  <c r="K18" i="10"/>
  <c r="H18" i="10"/>
  <c r="L18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G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9" i="10"/>
  <c r="T9" i="10"/>
  <c r="W9" i="10"/>
  <c r="V9" i="10"/>
  <c r="X9" i="10"/>
  <c r="U9" i="10"/>
  <c r="Y9" i="10"/>
  <c r="N9" i="10"/>
  <c r="Q9" i="10"/>
  <c r="P9" i="10"/>
  <c r="R9" i="10"/>
  <c r="O9" i="10"/>
  <c r="S9" i="10"/>
  <c r="G9" i="10"/>
  <c r="J9" i="10"/>
  <c r="I9" i="10"/>
  <c r="K9" i="10"/>
  <c r="H9" i="10"/>
  <c r="L9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G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G3" i="10"/>
  <c r="J3" i="10"/>
  <c r="I3" i="10"/>
  <c r="K3" i="10"/>
  <c r="H3" i="10"/>
  <c r="L3" i="10"/>
  <c r="C11" i="16"/>
  <c r="E11" i="16"/>
  <c r="C10" i="16"/>
  <c r="E10" i="16"/>
  <c r="P2" i="19"/>
  <c r="J2" i="19"/>
  <c r="K2" i="19"/>
  <c r="H2" i="19"/>
  <c r="G2" i="19"/>
  <c r="E2" i="19"/>
  <c r="D2" i="19"/>
  <c r="A2" i="19"/>
  <c r="O3" i="9"/>
  <c r="N3" i="9"/>
  <c r="M3" i="9"/>
  <c r="L3" i="9"/>
  <c r="K3" i="9"/>
  <c r="J3" i="9"/>
  <c r="I3" i="9"/>
  <c r="H3" i="9"/>
  <c r="G3" i="9"/>
  <c r="D3" i="9"/>
  <c r="A3" i="9"/>
  <c r="V2" i="1"/>
  <c r="AB2" i="1"/>
  <c r="AD2" i="1"/>
  <c r="AG2" i="1"/>
  <c r="AE2" i="1"/>
  <c r="AC2" i="1"/>
  <c r="AA2" i="1"/>
  <c r="Q2" i="1"/>
  <c r="P2" i="1"/>
  <c r="O2" i="1"/>
  <c r="N2" i="1"/>
  <c r="M2" i="1"/>
  <c r="J2" i="1"/>
  <c r="I2" i="1"/>
  <c r="D2" i="1"/>
  <c r="F2" i="1"/>
  <c r="E2" i="1"/>
  <c r="A2" i="1"/>
  <c r="AB11" i="1"/>
  <c r="AD11" i="1"/>
  <c r="AG11" i="1"/>
  <c r="AE11" i="1"/>
  <c r="AC11" i="1"/>
  <c r="AA11" i="1"/>
  <c r="Q11" i="1"/>
  <c r="P11" i="1"/>
  <c r="O11" i="1"/>
  <c r="N11" i="1"/>
  <c r="M11" i="1"/>
  <c r="J11" i="1"/>
  <c r="I11" i="1"/>
  <c r="D11" i="1"/>
  <c r="F11" i="1"/>
  <c r="E11" i="1"/>
  <c r="A11" i="1"/>
  <c r="AB10" i="1"/>
  <c r="AD10" i="1"/>
  <c r="AG10" i="1"/>
  <c r="AE10" i="1"/>
  <c r="AC10" i="1"/>
  <c r="AA10" i="1"/>
  <c r="Q10" i="1"/>
  <c r="P10" i="1"/>
  <c r="O10" i="1"/>
  <c r="N10" i="1"/>
  <c r="M10" i="1"/>
  <c r="J10" i="1"/>
  <c r="I10" i="1"/>
  <c r="D10" i="1"/>
  <c r="F10" i="1"/>
  <c r="E10" i="1"/>
  <c r="A10" i="1"/>
  <c r="AB9" i="1"/>
  <c r="AD9" i="1"/>
  <c r="AG9" i="1"/>
  <c r="AE9" i="1"/>
  <c r="AC9" i="1"/>
  <c r="AA9" i="1"/>
  <c r="Q9" i="1"/>
  <c r="P9" i="1"/>
  <c r="O9" i="1"/>
  <c r="N9" i="1"/>
  <c r="M9" i="1"/>
  <c r="J9" i="1"/>
  <c r="I9" i="1"/>
  <c r="D9" i="1"/>
  <c r="F9" i="1"/>
  <c r="E9" i="1"/>
  <c r="A9" i="1"/>
  <c r="AB7" i="1"/>
  <c r="AD7" i="1"/>
  <c r="AG7" i="1"/>
  <c r="AE7" i="1"/>
  <c r="AC7" i="1"/>
  <c r="AA7" i="1"/>
  <c r="Q7" i="1"/>
  <c r="P7" i="1"/>
  <c r="O7" i="1"/>
  <c r="N7" i="1"/>
  <c r="M7" i="1"/>
  <c r="J7" i="1"/>
  <c r="I7" i="1"/>
  <c r="D7" i="1"/>
  <c r="F7" i="1"/>
  <c r="E7" i="1"/>
  <c r="A7" i="1"/>
  <c r="AB8" i="1"/>
  <c r="AD8" i="1"/>
  <c r="AG8" i="1"/>
  <c r="AE8" i="1"/>
  <c r="AC8" i="1"/>
  <c r="AA8" i="1"/>
  <c r="Q8" i="1"/>
  <c r="P8" i="1"/>
  <c r="O8" i="1"/>
  <c r="N8" i="1"/>
  <c r="M8" i="1"/>
  <c r="J8" i="1"/>
  <c r="I8" i="1"/>
  <c r="D8" i="1"/>
  <c r="F8" i="1"/>
  <c r="E8" i="1"/>
  <c r="A8" i="1"/>
  <c r="AB6" i="1"/>
  <c r="AD6" i="1"/>
  <c r="AG6" i="1"/>
  <c r="AE6" i="1"/>
  <c r="AC6" i="1"/>
  <c r="AA6" i="1"/>
  <c r="Q6" i="1"/>
  <c r="P6" i="1"/>
  <c r="O6" i="1"/>
  <c r="N6" i="1"/>
  <c r="M6" i="1"/>
  <c r="J6" i="1"/>
  <c r="I6" i="1"/>
  <c r="D6" i="1"/>
  <c r="F6" i="1"/>
  <c r="E6" i="1"/>
  <c r="A6" i="1"/>
  <c r="H5" i="2"/>
  <c r="E5" i="2"/>
  <c r="D5" i="2"/>
  <c r="B5" i="2"/>
  <c r="H4" i="2"/>
  <c r="E4" i="2"/>
  <c r="D4" i="2"/>
  <c r="B4" i="2"/>
  <c r="H3" i="2"/>
  <c r="E3" i="2"/>
  <c r="D3" i="2"/>
  <c r="B3" i="2"/>
  <c r="A2" i="18"/>
  <c r="C2" i="18"/>
  <c r="D2" i="18"/>
  <c r="O2" i="9"/>
  <c r="N2" i="9"/>
  <c r="M2" i="9"/>
  <c r="L2" i="9"/>
  <c r="K2" i="9"/>
  <c r="J2" i="9"/>
  <c r="I2" i="9"/>
  <c r="H2" i="9"/>
  <c r="G2" i="9"/>
  <c r="D2" i="9"/>
  <c r="Y4" i="7"/>
  <c r="C4" i="16"/>
  <c r="C5" i="16"/>
  <c r="C6" i="16"/>
  <c r="C7" i="16"/>
  <c r="C8" i="16"/>
  <c r="C9" i="16"/>
  <c r="C3" i="16"/>
  <c r="E9" i="16"/>
  <c r="R4" i="7"/>
  <c r="Q4" i="7"/>
  <c r="P4" i="7"/>
  <c r="O4" i="7"/>
  <c r="N4" i="7"/>
  <c r="AB5" i="1"/>
  <c r="AE5" i="1"/>
  <c r="AD5" i="1"/>
  <c r="AC5" i="1"/>
  <c r="AB3" i="1"/>
  <c r="AE3" i="1"/>
  <c r="AD3" i="1"/>
  <c r="AC3" i="1"/>
  <c r="AA5" i="1"/>
  <c r="AA3" i="1"/>
  <c r="Q5" i="1"/>
  <c r="P5" i="1"/>
  <c r="O5" i="1"/>
  <c r="N5" i="1"/>
  <c r="M5" i="1"/>
  <c r="Q3" i="1"/>
  <c r="P3" i="1"/>
  <c r="O3" i="1"/>
  <c r="N3" i="1"/>
  <c r="M3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G3" i="1"/>
  <c r="H4" i="7"/>
  <c r="J4" i="7"/>
  <c r="E8" i="16"/>
  <c r="E7" i="16"/>
  <c r="E6" i="16"/>
  <c r="E5" i="16"/>
  <c r="E4" i="16"/>
  <c r="E3" i="16"/>
  <c r="E2" i="16"/>
  <c r="A5" i="1"/>
  <c r="A3" i="1"/>
  <c r="AG5" i="1"/>
  <c r="A2" i="9"/>
  <c r="J5" i="1"/>
  <c r="I5" i="1"/>
  <c r="D5" i="1"/>
  <c r="F5" i="1"/>
  <c r="E5" i="1"/>
  <c r="A4" i="7"/>
  <c r="I4" i="7"/>
  <c r="D4" i="7"/>
  <c r="F4" i="7"/>
  <c r="E4" i="7"/>
  <c r="J3" i="1"/>
  <c r="I3" i="1"/>
  <c r="D2" i="2"/>
  <c r="E2" i="2"/>
  <c r="H2" i="2"/>
  <c r="D3" i="1"/>
  <c r="E3" i="1"/>
  <c r="F3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N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sharedStrings.xml><?xml version="1.0" encoding="utf-8"?>
<sst xmlns="http://schemas.openxmlformats.org/spreadsheetml/2006/main" count="500" uniqueCount="296">
  <si>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</si>
  <si>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</si>
  <si>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</si>
  <si>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</si>
  <si>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</si>
  <si>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</si>
  <si>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</si>
  <si>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</si>
  <si>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</si>
  <si>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</si>
  <si>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</si>
  <si>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</si>
  <si>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</si>
  <si>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</si>
  <si>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</si>
  <si>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</si>
  <si>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</si>
  <si>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</si>
  <si>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</si>
  <si>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</si>
  <si>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</si>
  <si>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</si>
  <si>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</si>
  <si>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</si>
  <si>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</si>
  <si>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</si>
  <si>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</si>
  <si>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</si>
  <si>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</si>
  <si>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</si>
  <si>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</si>
  <si>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</si>
  <si>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</si>
  <si>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</si>
  <si>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</si>
  <si>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</si>
  <si>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</si>
  <si>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</si>
  <si>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</si>
  <si>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</si>
  <si>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</si>
  <si>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</si>
  <si>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</si>
  <si>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</si>
  <si>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</si>
  <si>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</si>
  <si>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</si>
  <si>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</si>
  <si>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</si>
  <si>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</si>
  <si>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</si>
  <si>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</si>
  <si>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</si>
  <si>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</si>
  <si>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</si>
  <si>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</si>
  <si>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</si>
  <si>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</si>
  <si>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</si>
  <si>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</si>
  <si>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</si>
  <si>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</si>
  <si>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</si>
  <si>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</si>
  <si>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</si>
  <si>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</si>
  <si>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</si>
  <si>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</si>
  <si>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</si>
  <si>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</si>
  <si>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</si>
  <si>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</si>
  <si>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</si>
  <si>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</si>
  <si>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</si>
  <si>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</si>
  <si>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</si>
  <si>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</si>
  <si>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</si>
  <si>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</si>
  <si>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</si>
  <si>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</si>
  <si>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</si>
  <si>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</si>
  <si>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</si>
  <si>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</si>
  <si>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</si>
  <si>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</si>
  <si>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</si>
  <si>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</si>
  <si>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</si>
  <si>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</si>
  <si>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</si>
  <si>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</si>
  <si>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</si>
  <si>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</si>
  <si>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</si>
  <si>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</si>
  <si>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</si>
  <si>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</si>
  <si>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</si>
  <si>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</si>
  <si>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</si>
  <si>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</si>
  <si>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</si>
  <si>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</si>
  <si>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</si>
  <si>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</si>
  <si>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</si>
  <si>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</si>
  <si>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</si>
  <si>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</si>
  <si>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</si>
  <si>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</si>
  <si>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</si>
  <si>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</si>
  <si>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</si>
  <si>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</si>
  <si>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</si>
  <si>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</si>
  <si>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</si>
  <si>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</si>
  <si>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</si>
  <si>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</si>
  <si>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</si>
  <si>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</si>
  <si>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</si>
  <si>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</si>
  <si>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</si>
  <si>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</si>
  <si>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</si>
  <si>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</si>
  <si>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</si>
  <si>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</si>
  <si>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</si>
  <si>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</si>
  <si>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</si>
  <si>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</si>
  <si>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</si>
  <si>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</si>
  <si>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</si>
  <si>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</si>
  <si>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</si>
  <si>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</si>
  <si>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</si>
  <si>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</si>
  <si>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</si>
  <si>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</si>
  <si>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</si>
  <si>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</si>
  <si>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</si>
  <si>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</si>
  <si>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</si>
  <si>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</si>
  <si>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</si>
  <si>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</si>
  <si>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</si>
  <si>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</si>
  <si>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</si>
  <si>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</si>
  <si>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</si>
  <si>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</si>
  <si>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</si>
  <si>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</si>
  <si>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</si>
  <si>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</si>
  <si>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</si>
  <si>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</si>
  <si>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</si>
  <si>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</si>
  <si>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</si>
  <si>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</si>
  <si>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</si>
  <si>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</si>
  <si>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</si>
  <si>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</si>
  <si>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</si>
  <si>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</si>
  <si>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</si>
  <si>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</si>
  <si>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</si>
  <si>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</si>
  <si>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t>skip</t>
    <phoneticPr fontId="5"/>
  </si>
  <si>
    <t>v2016</t>
    <phoneticPr fontId="5"/>
  </si>
  <si>
    <t>null</t>
    <phoneticPr fontId="5"/>
  </si>
  <si>
    <t>null</t>
    <phoneticPr fontId="5"/>
  </si>
  <si>
    <t>「バレンタイン 狂騒曲」</t>
    <rPh sb="8" eb="11">
      <t>キョウソウキョク</t>
    </rPh>
    <phoneticPr fontId="5"/>
  </si>
  <si>
    <t>old</t>
    <phoneticPr fontId="5"/>
  </si>
  <si>
    <t>temp_id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</si>
  <si>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</si>
  <si>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</si>
  <si>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</si>
  <si>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</si>
  <si>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</si>
  <si>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</si>
  <si>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</si>
  <si>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</si>
  <si>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language</t>
    <phoneticPr fontId="5"/>
  </si>
  <si>
    <t>title</t>
    <phoneticPr fontId="5"/>
  </si>
  <si>
    <t>title</t>
    <phoneticPr fontId="5"/>
  </si>
  <si>
    <t>hint</t>
    <phoneticPr fontId="5"/>
  </si>
  <si>
    <t>filename</t>
    <phoneticPr fontId="5"/>
  </si>
  <si>
    <t>complete</t>
  </si>
  <si>
    <t>ja</t>
    <phoneticPr fontId="5"/>
  </si>
  <si>
    <t>NULL</t>
    <phoneticPr fontId="5"/>
  </si>
  <si>
    <t>１２３４５６７８９０１２３４５６７８９０</t>
    <phoneticPr fontId="5"/>
  </si>
  <si>
    <t>１２３４５６７８９０１２３４５６７８９０</t>
    <phoneticPr fontId="5"/>
  </si>
  <si>
    <t>stage_hints_data_</t>
    <phoneticPr fontId="5"/>
  </si>
  <si>
    <t>stage_hints_i18n_</t>
    <phoneticPr fontId="5"/>
  </si>
  <si>
    <t>quest_id</t>
    <phoneticPr fontId="5"/>
  </si>
  <si>
    <t>stage_id</t>
    <phoneticPr fontId="5"/>
  </si>
  <si>
    <t>hint_id</t>
    <phoneticPr fontId="5"/>
  </si>
  <si>
    <t>floor_id</t>
    <phoneticPr fontId="5"/>
  </si>
  <si>
    <t>hint_type</t>
    <phoneticPr fontId="5"/>
  </si>
  <si>
    <t>language</t>
    <phoneticPr fontId="5"/>
  </si>
  <si>
    <t>hint</t>
    <phoneticPr fontId="5"/>
  </si>
  <si>
    <t>filename</t>
  </si>
  <si>
    <t>恋するウィルス</t>
    <rPh sb="0" eb="1">
      <t>コイ</t>
    </rPh>
    <phoneticPr fontId="5"/>
  </si>
  <si>
    <t>stage_hints</t>
    <phoneticPr fontId="5"/>
  </si>
  <si>
    <t>まんざらでも なさそうだ</t>
    <phoneticPr fontId="5"/>
  </si>
  <si>
    <t>手作りチョコを 抱きしめている</t>
    <rPh sb="0" eb="2">
      <t>テヅク</t>
    </rPh>
    <rPh sb="8" eb="9">
      <t>ダ</t>
    </rPh>
    <phoneticPr fontId="5"/>
  </si>
  <si>
    <t>[effect:fix_speed, target:enemy_all, turn:1]</t>
    <phoneticPr fontId="5"/>
  </si>
  <si>
    <t>はぁ 緊張する〜 ＞＜</t>
    <rPh sb="3" eb="5">
      <t>キンチョウ</t>
    </rPh>
    <phoneticPr fontId="5"/>
  </si>
  <si>
    <t>プロメテウスは 眼中にない</t>
    <rPh sb="8" eb="10">
      <t>ガンチュウ</t>
    </rPh>
    <phoneticPr fontId="5"/>
  </si>
  <si>
    <t>[effect:nothing]</t>
    <phoneticPr fontId="5"/>
  </si>
  <si>
    <t>（はやく とどめを…）</t>
    <phoneticPr fontId="5"/>
  </si>
  <si>
    <t>心の声が 聞こえてきた</t>
    <rPh sb="0" eb="1">
      <t>ココロ</t>
    </rPh>
    <rPh sb="2" eb="3">
      <t>コエ</t>
    </rPh>
    <rPh sb="5" eb="6">
      <t>キ</t>
    </rPh>
    <phoneticPr fontId="5"/>
  </si>
  <si>
    <t>完全スルーで いってしまった</t>
    <rPh sb="0" eb="2">
      <t>カンゼン</t>
    </rPh>
    <phoneticPr fontId="5"/>
  </si>
  <si>
    <t>アカネは まいあがっている！</t>
    <phoneticPr fontId="5"/>
  </si>
  <si>
    <t>ハッピー！</t>
    <phoneticPr fontId="5"/>
  </si>
  <si>
    <t>ハッピーは 勝負服に着替えた！</t>
    <rPh sb="6" eb="9">
      <t>ショウブフク</t>
    </rPh>
    <rPh sb="10" eb="12">
      <t>キガ</t>
    </rPh>
    <phoneticPr fontId="5"/>
  </si>
  <si>
    <t>あこがれの人に あげるつもりだ</t>
    <rPh sb="5" eb="6">
      <t>ヒト</t>
    </rPh>
    <phoneticPr fontId="5"/>
  </si>
  <si>
    <t>ウキウキしながら 走っていった！</t>
    <rPh sb="9" eb="10">
      <t>ハシ</t>
    </rPh>
    <phoneticPr fontId="5"/>
  </si>
  <si>
    <t>[effect:force_change_block, new_block:block_heart, target:block_all, count:5, val:0]</t>
    <phoneticPr fontId="5"/>
  </si>
  <si>
    <t>null</t>
    <phoneticPr fontId="5"/>
  </si>
  <si>
    <t>null</t>
    <phoneticPr fontId="5"/>
  </si>
  <si>
    <t>参ったなぁ オレにはオセがー</t>
    <rPh sb="0" eb="1">
      <t>マイ</t>
    </rPh>
    <phoneticPr fontId="5"/>
  </si>
  <si>
    <t>[effect:fix_speed, target:myself, turn:1]</t>
    <phoneticPr fontId="5"/>
  </si>
  <si>
    <t>………</t>
    <phoneticPr fontId="5"/>
  </si>
  <si>
    <t>このチョコ
どうぞ！ ＞＜</t>
    <phoneticPr fontId="5"/>
  </si>
  <si>
    <t>[effect:fix_speed, target:myself, turn:2]</t>
    <phoneticPr fontId="5"/>
  </si>
  <si>
    <t>ハッピー…？</t>
    <phoneticPr fontId="5"/>
  </si>
  <si>
    <t>ハッピーは 何かを落とし 消えていった…</t>
    <rPh sb="6" eb="7">
      <t>ナニ</t>
    </rPh>
    <rPh sb="9" eb="10">
      <t>オ</t>
    </rPh>
    <rPh sb="13" eb="14">
      <t>キ</t>
    </rPh>
    <phoneticPr fontId="5"/>
  </si>
  <si>
    <t>ALICEのウィルスプログラム「ハッピー」
彼女がチョコを盗んでいたのは
アナタに贈るためだったようです</t>
    <rPh sb="23" eb="25">
      <t>カノジョ</t>
    </rPh>
    <rPh sb="30" eb="31">
      <t>ヌス</t>
    </rPh>
    <rPh sb="42" eb="43">
      <t>オク</t>
    </rPh>
    <phoneticPr fontId="5"/>
  </si>
  <si>
    <t>目の前が 真っ暗になっている！</t>
    <rPh sb="0" eb="1">
      <t>メ</t>
    </rPh>
    <rPh sb="2" eb="3">
      <t>マエ</t>
    </rPh>
    <rPh sb="5" eb="6">
      <t>マ</t>
    </rPh>
    <rPh sb="7" eb="8">
      <t>クラ</t>
    </rPh>
    <phoneticPr fontId="5"/>
  </si>
  <si>
    <t>チョコ泥棒の正体は ハッピーだった！</t>
    <rPh sb="3" eb="5">
      <t>ドロボウ</t>
    </rPh>
    <rPh sb="6" eb="8">
      <t>ショウタイ</t>
    </rPh>
    <phoneticPr fontId="5"/>
  </si>
  <si>
    <t>盗まれた！ ＞＜</t>
    <rPh sb="0" eb="1">
      <t>ヌス</t>
    </rPh>
    <phoneticPr fontId="5"/>
  </si>
  <si>
    <t>いつの間にか とられたようだ</t>
    <rPh sb="3" eb="4">
      <t>マ</t>
    </rPh>
    <phoneticPr fontId="5"/>
  </si>
  <si>
    <t>チョコ泥棒め…許せない！</t>
    <rPh sb="3" eb="5">
      <t>ドロボウ</t>
    </rPh>
    <rPh sb="7" eb="8">
      <t>ユル</t>
    </rPh>
    <phoneticPr fontId="5"/>
  </si>
  <si>
    <t>きゃー！ ＞＜
ランスさまー！</t>
    <phoneticPr fontId="5"/>
  </si>
  <si>
    <t>チョコの箱を 手渡した！</t>
    <rPh sb="4" eb="5">
      <t>ハコ</t>
    </rPh>
    <rPh sb="7" eb="9">
      <t>テワタ</t>
    </rPh>
    <phoneticPr fontId="5"/>
  </si>
  <si>
    <t>[effect:fix_speed, target:myself, turn:2][effect:fix_speed, target:enemy_balance, turn:1]</t>
    <phoneticPr fontId="5"/>
  </si>
  <si>
    <t>[effect:dark, target:unit_all, turn:-1, animation:enemy_dark][effect:fix_speed, target:myself, turn:1]</t>
    <phoneticPr fontId="5"/>
  </si>
  <si>
    <t>null</t>
    <phoneticPr fontId="5"/>
  </si>
  <si>
    <t>ハッピー！</t>
    <phoneticPr fontId="5"/>
  </si>
  <si>
    <t>幸せそうに 去っていった</t>
    <rPh sb="0" eb="1">
      <t>シアワ</t>
    </rPh>
    <rPh sb="6" eb="7">
      <t>サ</t>
    </rPh>
    <phoneticPr fontId="5"/>
  </si>
  <si>
    <t>[effect:fix_speed, target:enemy_all, turn:3]</t>
    <phoneticPr fontId="5"/>
  </si>
  <si>
    <t>この状況でも 幸せそうだ</t>
    <rPh sb="2" eb="4">
      <t>ジョウキョウ</t>
    </rPh>
    <rPh sb="7" eb="8">
      <t>シアワ</t>
    </rPh>
    <phoneticPr fontId="5"/>
  </si>
  <si>
    <t>ランスロットを ハッキングしている！</t>
    <phoneticPr fontId="5"/>
  </si>
  <si>
    <t>ケロケーロ！</t>
    <phoneticPr fontId="5"/>
  </si>
  <si>
    <t>ランスロットは カエルにされた！</t>
    <phoneticPr fontId="5"/>
  </si>
  <si>
    <t>ほろ苦い 恋の物語 ピョ</t>
    <rPh sb="2" eb="3">
      <t>ニガ</t>
    </rPh>
    <rPh sb="5" eb="6">
      <t>コイ</t>
    </rPh>
    <rPh sb="7" eb="9">
      <t>モノガタリ</t>
    </rPh>
    <phoneticPr fontId="5"/>
  </si>
  <si>
    <t>[effect:suicide, val:1, dead_type:escape, target:enemy_balance]</t>
    <phoneticPr fontId="5"/>
  </si>
  <si>
    <t>[effect:suicide, val:1, dead_type:escape, target:enemy_balance]</t>
    <phoneticPr fontId="5"/>
  </si>
  <si>
    <t>[effect:suicide, val:1, dead_type:escape, target:enemy_all]</t>
    <phoneticPr fontId="5"/>
  </si>
  <si>
    <t>なにやら ゴソゴソしはじめた</t>
    <phoneticPr fontId="5"/>
  </si>
  <si>
    <t>[effect:suicide, val:1, dead_type:escape, target:myself, animation:enemy_escape]</t>
    <phoneticPr fontId="5"/>
  </si>
  <si>
    <t>[effect:force_change_block, new_block:block_heart, target:block_all, count:0, val:0]</t>
    <phoneticPr fontId="5"/>
  </si>
  <si>
    <t>ほほを赤らめ こちらを見ている</t>
    <rPh sb="3" eb="4">
      <t>アカ</t>
    </rPh>
    <rPh sb="11" eb="12">
      <t>ミ</t>
    </rPh>
    <phoneticPr fontId="5"/>
  </si>
  <si>
    <t>みんなのチョコを
返すんだ！</t>
    <rPh sb="9" eb="10">
      <t>カエ</t>
    </rPh>
    <phoneticPr fontId="5"/>
  </si>
  <si>
    <t>ランスロットは 剣を構えた</t>
    <rPh sb="8" eb="9">
      <t>ケン</t>
    </rPh>
    <rPh sb="10" eb="11">
      <t>カマ</t>
    </rPh>
    <phoneticPr fontId="5"/>
  </si>
  <si>
    <t>マミコちゃん
ドキドキするね ＞＜</t>
    <phoneticPr fontId="5"/>
  </si>
  <si>
    <t>受け取って
もらえるかなぁ ＞＜</t>
    <rPh sb="0" eb="1">
      <t>ウ</t>
    </rPh>
    <rPh sb="2" eb="3">
      <t>ト</t>
    </rPh>
    <phoneticPr fontId="5"/>
  </si>
  <si>
    <t>[effect:enhance_enemy, target:myself, turn:-1, status:attack, val:1, calc:mul, animation:enemy_enhance_attack]</t>
    <phoneticPr fontId="5"/>
  </si>
  <si>
    <t>null</t>
    <phoneticPr fontId="5"/>
  </si>
  <si>
    <t>null</t>
    <phoneticPr fontId="5"/>
  </si>
  <si>
    <t>あの人 どこに
いるんだろ？ ＞＜</t>
    <rPh sb="2" eb="3">
      <t>ヒト</t>
    </rPh>
    <phoneticPr fontId="5"/>
  </si>
  <si>
    <t>[effect:fix_speed, target:enemy_all, turn:1][effect:force_change_block, new_block:block_heart, target:block_all, count:0, val:0][effect:suicide, val:0.7, dead_type:escape, target:myself][effect:enhance_enemy, target:myself, turn:-1, status:defense, val:1, calc:mul, animation:enemy_enhance_defense]</t>
    <phoneticPr fontId="5"/>
  </si>
  <si>
    <t>[effect:suicide, val:1, dead_type:suicide, target:enemy_all]</t>
    <phoneticPr fontId="5"/>
  </si>
  <si>
    <t>[effect:suicide, val:1, dead_type:suicide, target:myself]</t>
    <phoneticPr fontId="5"/>
  </si>
  <si>
    <t>[effect:suicide, val:1, dead_type:suicide, target:enemy_all]</t>
    <phoneticPr fontId="5"/>
  </si>
  <si>
    <t>ありがとう！キミたち！</t>
    <phoneticPr fontId="5"/>
  </si>
  <si>
    <t>しかし 箱の中は 空っぽだった！</t>
    <rPh sb="4" eb="5">
      <t>ハコ</t>
    </rPh>
    <rPh sb="6" eb="7">
      <t>ナカミ</t>
    </rPh>
    <rPh sb="9" eb="10">
      <t>カラ</t>
    </rPh>
    <phoneticPr fontId="5"/>
  </si>
  <si>
    <t>涙をうかべて 去っていった</t>
    <rPh sb="0" eb="1">
      <t>ナミダ</t>
    </rPh>
    <rPh sb="7" eb="8">
      <t>サ</t>
    </rPh>
    <phoneticPr fontId="5"/>
  </si>
  <si>
    <t>一体 誰が… ＞＜</t>
    <rPh sb="0" eb="2">
      <t>イッタイ</t>
    </rPh>
    <rPh sb="3" eb="4">
      <t>ダレ</t>
    </rPh>
    <phoneticPr fontId="5"/>
  </si>
  <si>
    <t>…まさか…
キミが 犯人だとは！</t>
    <rPh sb="10" eb="12">
      <t>ハンニン</t>
    </rPh>
    <phoneticPr fontId="5"/>
  </si>
  <si>
    <t>（とどめも さしてくれないのかよ…）</t>
    <phoneticPr fontId="5"/>
  </si>
  <si>
    <t>プロメテウスは 自ら散った…</t>
    <rPh sb="8" eb="9">
      <t>ミズカ</t>
    </rPh>
    <rPh sb="10" eb="11">
      <t>チ</t>
    </rPh>
    <phoneticPr fontId="5"/>
  </si>
  <si>
    <t>[effect:suicide, val:1, dead_type:suicide, target:myself]</t>
    <phoneticPr fontId="5"/>
  </si>
  <si>
    <t>ランスロットは 犯人を追う！</t>
    <rPh sb="8" eb="10">
      <t>ハンニン</t>
    </rPh>
    <rPh sb="11" eb="12">
      <t>オ</t>
    </rPh>
    <phoneticPr fontId="5"/>
  </si>
  <si>
    <t>[effect:suicide, val:1, dead_type:escape, target:myself, animation:enemy_escape]</t>
    <phoneticPr fontId="5"/>
  </si>
  <si>
    <t>[effect:suicide, val:1, dead_type:suicide, target:enemy_balance, animation:enemy_escape]</t>
    <phoneticPr fontId="5"/>
  </si>
  <si>
    <t>二人一緒に 渡しにいこう！</t>
    <rPh sb="0" eb="2">
      <t>フタリ</t>
    </rPh>
    <rPh sb="2" eb="4">
      <t>イッショ</t>
    </rPh>
    <rPh sb="6" eb="7">
      <t>ワタ</t>
    </rPh>
    <phoneticPr fontId="5"/>
  </si>
  <si>
    <t>[effect:hungup, target:unit_all, turn:-1, rate:1][effect:suicide, val:1, dead_type:escape, target:enemy_all][effect:sleep, target:unit_all, turn:1, rate:1][effect:degrade_crash, target:unit_all, count:50, special:50, turn:-1][effect:degrade_unit, target:unit_all, turn:3, status:attack, val:1.0, calc:mul]</t>
    <phoneticPr fontId="5"/>
  </si>
  <si>
    <t>[effect:degrade_unit, target:unit_all, turn:3, status:attack, val:1.0, calc:mul][effect:fix_speed, target:enemy_balance, turn:2][effect:fix_speed, target:enemy_green, turn:1][effect:cure, bad_status:dark][effect:force_change_block, new_block:block_heart, target:block_all, count:5, val:0]</t>
    <phoneticPr fontId="5"/>
  </si>
  <si>
    <t>コレ…アゲル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</si>
</sst>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1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</fonts>
  <fills count="3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</borders>
  <cellStyleXfs count="1080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2" fillId="17" borderId="13" applyNumberFormat="0" applyAlignment="0" applyProtection="0"/>
    <xf numFmtId="0" fontId="33" fillId="18" borderId="0" applyNumberFormat="0" applyBorder="0" applyAlignment="0" applyProtection="0"/>
    <xf numFmtId="0" fontId="34" fillId="19" borderId="14" applyNumberFormat="0" applyAlignment="0" applyProtection="0"/>
    <xf numFmtId="0" fontId="35" fillId="0" borderId="0" applyNumberFormat="0" applyFill="0" applyBorder="0" applyAlignment="0" applyProtection="0"/>
    <xf numFmtId="0" fontId="36" fillId="20" borderId="0" applyNumberFormat="0" applyBorder="0" applyAlignment="0" applyProtection="0"/>
    <xf numFmtId="0" fontId="37" fillId="21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9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9" borderId="0" applyNumberFormat="0" applyBorder="0" applyAlignment="0" applyProtection="0"/>
    <xf numFmtId="0" fontId="42" fillId="23" borderId="0" applyNumberFormat="0" applyBorder="0" applyAlignment="0" applyProtection="0"/>
    <xf numFmtId="0" fontId="42" fillId="17" borderId="0" applyNumberFormat="0" applyBorder="0" applyAlignment="0" applyProtection="0"/>
    <xf numFmtId="0" fontId="42" fillId="19" borderId="0" applyNumberFormat="0" applyBorder="0" applyAlignment="0" applyProtection="0"/>
    <xf numFmtId="0" fontId="42" fillId="24" borderId="0" applyNumberFormat="0" applyBorder="0" applyAlignment="0" applyProtection="0"/>
    <xf numFmtId="0" fontId="42" fillId="22" borderId="0" applyNumberFormat="0" applyBorder="0" applyAlignment="0" applyProtection="0"/>
    <xf numFmtId="0" fontId="42" fillId="19" borderId="0" applyNumberFormat="0" applyBorder="0" applyAlignment="0" applyProtection="0"/>
    <xf numFmtId="0" fontId="42" fillId="25" borderId="0" applyNumberFormat="0" applyBorder="0" applyAlignment="0" applyProtection="0"/>
    <xf numFmtId="0" fontId="42" fillId="18" borderId="0" applyNumberFormat="0" applyBorder="0" applyAlignment="0" applyProtection="0"/>
    <xf numFmtId="0" fontId="43" fillId="26" borderId="0" applyNumberFormat="0" applyBorder="0" applyAlignment="0" applyProtection="0"/>
    <xf numFmtId="0" fontId="43" fillId="24" borderId="0" applyNumberFormat="0" applyBorder="0" applyAlignment="0" applyProtection="0"/>
    <xf numFmtId="0" fontId="43" fillId="22" borderId="0" applyNumberFormat="0" applyBorder="0" applyAlignment="0" applyProtection="0"/>
    <xf numFmtId="0" fontId="43" fillId="19" borderId="0" applyNumberFormat="0" applyBorder="0" applyAlignment="0" applyProtection="0"/>
    <xf numFmtId="0" fontId="43" fillId="26" borderId="0" applyNumberFormat="0" applyBorder="0" applyAlignment="0" applyProtection="0"/>
    <xf numFmtId="0" fontId="43" fillId="18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6" borderId="0" applyNumberFormat="0" applyBorder="0" applyAlignment="0" applyProtection="0"/>
    <xf numFmtId="0" fontId="43" fillId="27" borderId="0" applyNumberFormat="0" applyBorder="0" applyAlignment="0" applyProtection="0"/>
    <xf numFmtId="0" fontId="43" fillId="22" borderId="0" applyNumberFormat="0" applyBorder="0" applyAlignment="0" applyProtection="0"/>
    <xf numFmtId="0" fontId="43" fillId="28" borderId="0" applyNumberFormat="0" applyBorder="0" applyAlignment="0" applyProtection="0"/>
    <xf numFmtId="0" fontId="43" fillId="26" borderId="0" applyNumberFormat="0" applyBorder="0" applyAlignment="0" applyProtection="0"/>
    <xf numFmtId="0" fontId="43" fillId="24" borderId="0" applyNumberFormat="0" applyBorder="0" applyAlignment="0" applyProtection="0"/>
    <xf numFmtId="0" fontId="44" fillId="29" borderId="0" applyNumberFormat="0" applyBorder="0" applyAlignment="0" applyProtection="0"/>
    <xf numFmtId="0" fontId="33" fillId="18" borderId="0" applyNumberFormat="0" applyBorder="0" applyAlignment="0" applyProtection="0"/>
    <xf numFmtId="0" fontId="45" fillId="0" borderId="19" applyNumberFormat="0" applyFill="0" applyAlignment="0" applyProtection="0"/>
    <xf numFmtId="0" fontId="46" fillId="19" borderId="20" applyNumberFormat="0" applyAlignment="0" applyProtection="0"/>
    <xf numFmtId="0" fontId="46" fillId="30" borderId="20" applyNumberFormat="0" applyAlignment="0" applyProtection="0"/>
    <xf numFmtId="0" fontId="34" fillId="18" borderId="14" applyNumberFormat="0" applyAlignment="0" applyProtection="0"/>
    <xf numFmtId="0" fontId="47" fillId="0" borderId="21" applyNumberFormat="0" applyFill="0" applyAlignment="0" applyProtection="0"/>
    <xf numFmtId="0" fontId="48" fillId="30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38" fontId="1" fillId="0" borderId="0" applyFont="0" applyFill="0" applyBorder="0" applyAlignment="0" applyProtection="0">
      <alignment vertical="center"/>
    </xf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97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27" fillId="6" borderId="7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16" fillId="16" borderId="7" xfId="0" applyFont="1" applyFill="1" applyBorder="1" applyAlignment="1">
      <alignment horizontal="center"/>
    </xf>
    <xf numFmtId="56" fontId="16" fillId="16" borderId="7" xfId="0" applyNumberFormat="1" applyFont="1" applyFill="1" applyBorder="1" applyAlignment="1">
      <alignment horizontal="center"/>
    </xf>
    <xf numFmtId="0" fontId="0" fillId="16" borderId="7" xfId="0" applyFill="1" applyBorder="1"/>
    <xf numFmtId="0" fontId="13" fillId="7" borderId="0" xfId="0" applyFont="1" applyFill="1"/>
    <xf numFmtId="0" fontId="27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0" fillId="15" borderId="7" xfId="0" applyFont="1" applyFill="1" applyBorder="1"/>
    <xf numFmtId="49" fontId="31" fillId="0" borderId="7" xfId="0" applyNumberFormat="1" applyFont="1" applyFill="1" applyBorder="1" applyAlignment="1">
      <alignment wrapText="1"/>
    </xf>
    <xf numFmtId="0" fontId="27" fillId="0" borderId="0" xfId="0" applyFont="1" applyFill="1"/>
    <xf numFmtId="49" fontId="0" fillId="0" borderId="0" xfId="0" applyNumberFormat="1"/>
    <xf numFmtId="56" fontId="16" fillId="6" borderId="7" xfId="0" applyNumberFormat="1" applyFont="1" applyFill="1" applyBorder="1" applyAlignment="1">
      <alignment horizontal="center"/>
    </xf>
    <xf numFmtId="0" fontId="2" fillId="6" borderId="7" xfId="615" applyFill="1" applyBorder="1"/>
    <xf numFmtId="0" fontId="28" fillId="0" borderId="7" xfId="0" applyFont="1" applyFill="1" applyBorder="1"/>
    <xf numFmtId="0" fontId="4" fillId="13" borderId="1" xfId="0" applyFont="1" applyFill="1" applyBorder="1" applyAlignment="1">
      <alignment vertical="center"/>
    </xf>
    <xf numFmtId="0" fontId="16" fillId="0" borderId="8" xfId="0" applyFont="1" applyFill="1" applyBorder="1" applyAlignment="1">
      <alignment vertical="center"/>
    </xf>
  </cellXfs>
  <cellStyles count="1080">
    <cellStyle name="" xfId="678"/>
    <cellStyle name="_" xfId="679"/>
    <cellStyle name="__" xfId="680"/>
    <cellStyle name="__÷" xfId="681"/>
    <cellStyle name="«¢" xfId="682"/>
    <cellStyle name="`FbN Z" xfId="683"/>
    <cellStyle name="^Cg" xfId="684"/>
    <cellStyle name="©oµ 1" xfId="685"/>
    <cellStyle name="©oµ 2" xfId="686"/>
    <cellStyle name="©oµ 3" xfId="687"/>
    <cellStyle name="©oµ 4" xfId="688"/>
    <cellStyle name="20% - ANZg1" xfId="689"/>
    <cellStyle name="20% - ANZg2" xfId="690"/>
    <cellStyle name="20% - ANZg3" xfId="691"/>
    <cellStyle name="20% - ANZg4" xfId="692"/>
    <cellStyle name="20% - ANZg5" xfId="693"/>
    <cellStyle name="20% - ANZg6" xfId="694"/>
    <cellStyle name="40% - ANZg1" xfId="695"/>
    <cellStyle name="40% - ANZg2" xfId="696"/>
    <cellStyle name="40% - ANZg3" xfId="697"/>
    <cellStyle name="40% - ANZg4" xfId="698"/>
    <cellStyle name="40% - ANZg5" xfId="699"/>
    <cellStyle name="40% - ANZg6" xfId="700"/>
    <cellStyle name="60% - ANZg1" xfId="701"/>
    <cellStyle name="60% - ANZg2" xfId="702"/>
    <cellStyle name="60% - ANZg3" xfId="703"/>
    <cellStyle name="60% - ANZg4" xfId="704"/>
    <cellStyle name="60% - ANZg5" xfId="705"/>
    <cellStyle name="60% - ANZg6" xfId="706"/>
    <cellStyle name="à¾¶" xfId="707"/>
    <cellStyle name="ANZg 1" xfId="708"/>
    <cellStyle name="ANZg 2" xfId="709"/>
    <cellStyle name="ANZg 3" xfId="710"/>
    <cellStyle name="ANZg 4" xfId="711"/>
    <cellStyle name="ANZg 5" xfId="712"/>
    <cellStyle name="ANZg 6" xfId="713"/>
    <cellStyle name="Ç¢" xfId="714"/>
    <cellStyle name="Ê" xfId="715"/>
    <cellStyle name="Excel Built-in Normal" xfId="428"/>
    <cellStyle name="N Z" xfId="716"/>
    <cellStyle name="o_" xfId="717"/>
    <cellStyle name="oÍ" xfId="718"/>
    <cellStyle name="üÍ" xfId="719"/>
    <cellStyle name="v" xfId="720"/>
    <cellStyle name="vZ" xfId="721"/>
    <cellStyle name="x¶" xfId="722"/>
    <cellStyle name="x÷" xfId="723"/>
    <cellStyle name="ýo_ 1" xfId="724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桁区切り 2" xfId="429"/>
    <cellStyle name="桁区切り 2 2" xfId="725"/>
    <cellStyle name="青字強調" xfId="430"/>
    <cellStyle name="赤字強調" xfId="431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726"/>
    <cellStyle name="標準 5 2" xfId="727"/>
    <cellStyle name="標準 6" xfId="61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無題1" xfId="435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2.xml"/><Relationship Id="rId12" Type="http://schemas.openxmlformats.org/officeDocument/2006/relationships/externalLink" Target="externalLinks/externalLink3.xml"/><Relationship Id="rId13" Type="http://schemas.openxmlformats.org/officeDocument/2006/relationships/externalLink" Target="externalLinks/externalLink4.xml"/><Relationship Id="rId14" Type="http://schemas.openxmlformats.org/officeDocument/2006/relationships/externalLink" Target="externalLinks/externalLink5.xml"/><Relationship Id="rId15" Type="http://schemas.openxmlformats.org/officeDocument/2006/relationships/theme" Target="theme/theme1.xml"/><Relationship Id="rId16" Type="http://schemas.openxmlformats.org/officeDocument/2006/relationships/styles" Target="styles.xml"/><Relationship Id="rId17" Type="http://schemas.openxmlformats.org/officeDocument/2006/relationships/sharedStrings" Target="sharedStrings.xml"/><Relationship Id="rId18" Type="http://schemas.openxmlformats.org/officeDocument/2006/relationships/calcChain" Target="calcChain.xml"/><Relationship Id="rId1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11101</v>
          </cell>
        </row>
        <row r="56">
          <cell r="A56">
            <v>11102</v>
          </cell>
        </row>
        <row r="57">
          <cell r="A57">
            <v>11103</v>
          </cell>
        </row>
        <row r="58">
          <cell r="A58">
            <v>11104</v>
          </cell>
        </row>
        <row r="59">
          <cell r="A59">
            <v>11105</v>
          </cell>
        </row>
        <row r="60">
          <cell r="A60">
            <v>11106</v>
          </cell>
        </row>
        <row r="61">
          <cell r="A61">
            <v>11206</v>
          </cell>
        </row>
        <row r="62">
          <cell r="A62">
            <v>11016</v>
          </cell>
        </row>
        <row r="63">
          <cell r="A63">
            <v>11207</v>
          </cell>
        </row>
        <row r="64">
          <cell r="A64">
            <v>11208</v>
          </cell>
        </row>
        <row r="65">
          <cell r="A65">
            <v>11209</v>
          </cell>
        </row>
        <row r="66">
          <cell r="A66">
            <v>11210</v>
          </cell>
        </row>
        <row r="67">
          <cell r="A67">
            <v>11211</v>
          </cell>
        </row>
        <row r="68">
          <cell r="A68">
            <v>11212</v>
          </cell>
        </row>
        <row r="69">
          <cell r="A69">
            <v>11213</v>
          </cell>
        </row>
        <row r="70">
          <cell r="A70">
            <v>11214</v>
          </cell>
        </row>
        <row r="71">
          <cell r="A71">
            <v>11215</v>
          </cell>
        </row>
        <row r="72">
          <cell r="A72">
            <v>11216</v>
          </cell>
        </row>
        <row r="73">
          <cell r="A73">
            <v>11217</v>
          </cell>
        </row>
        <row r="74">
          <cell r="A74">
            <v>11218</v>
          </cell>
        </row>
        <row r="75">
          <cell r="A75">
            <v>12001</v>
          </cell>
        </row>
        <row r="76">
          <cell r="A76">
            <v>12002</v>
          </cell>
        </row>
        <row r="77">
          <cell r="A77">
            <v>12003</v>
          </cell>
        </row>
        <row r="78">
          <cell r="A78">
            <v>13001</v>
          </cell>
        </row>
        <row r="79">
          <cell r="A79">
            <v>14001</v>
          </cell>
        </row>
        <row r="80">
          <cell r="A80">
            <v>14002</v>
          </cell>
        </row>
        <row r="81">
          <cell r="A81">
            <v>14003</v>
          </cell>
        </row>
        <row r="82">
          <cell r="A82">
            <v>14004</v>
          </cell>
        </row>
        <row r="83">
          <cell r="A83">
            <v>14005</v>
          </cell>
        </row>
        <row r="84">
          <cell r="A84">
            <v>14006</v>
          </cell>
        </row>
        <row r="85">
          <cell r="A85">
            <v>20001</v>
          </cell>
        </row>
        <row r="86">
          <cell r="A86">
            <v>20002</v>
          </cell>
        </row>
        <row r="87">
          <cell r="A87">
            <v>20003</v>
          </cell>
        </row>
        <row r="88">
          <cell r="A88">
            <v>20004</v>
          </cell>
        </row>
        <row r="89">
          <cell r="A89">
            <v>20005</v>
          </cell>
        </row>
        <row r="90">
          <cell r="A90">
            <v>20006</v>
          </cell>
        </row>
        <row r="91">
          <cell r="A91">
            <v>20007</v>
          </cell>
        </row>
        <row r="92">
          <cell r="A92">
            <v>20008</v>
          </cell>
        </row>
        <row r="93">
          <cell r="A93">
            <v>20009</v>
          </cell>
        </row>
        <row r="94">
          <cell r="A94">
            <v>20010</v>
          </cell>
        </row>
        <row r="95">
          <cell r="A95">
            <v>20011</v>
          </cell>
        </row>
        <row r="96">
          <cell r="A96">
            <v>20012</v>
          </cell>
        </row>
        <row r="97">
          <cell r="A97">
            <v>30001</v>
          </cell>
        </row>
        <row r="98">
          <cell r="A98">
            <v>30002</v>
          </cell>
        </row>
        <row r="99">
          <cell r="A99">
            <v>30003</v>
          </cell>
        </row>
        <row r="100">
          <cell r="A100">
            <v>30004</v>
          </cell>
        </row>
        <row r="101">
          <cell r="A101">
            <v>30005</v>
          </cell>
        </row>
        <row r="102">
          <cell r="A102">
            <v>30006</v>
          </cell>
        </row>
        <row r="103">
          <cell r="A103">
            <v>30007</v>
          </cell>
        </row>
        <row r="104">
          <cell r="A104">
            <v>30008</v>
          </cell>
        </row>
        <row r="105">
          <cell r="A105">
            <v>30009</v>
          </cell>
        </row>
        <row r="106">
          <cell r="A106">
            <v>30010</v>
          </cell>
        </row>
        <row r="107">
          <cell r="A107">
            <v>30011</v>
          </cell>
        </row>
        <row r="108">
          <cell r="A108">
            <v>30012</v>
          </cell>
        </row>
        <row r="109">
          <cell r="A109">
            <v>30013</v>
          </cell>
        </row>
        <row r="110">
          <cell r="A110">
            <v>30014</v>
          </cell>
        </row>
        <row r="111">
          <cell r="A111">
            <v>30015</v>
          </cell>
        </row>
        <row r="112">
          <cell r="A112">
            <v>30016</v>
          </cell>
        </row>
        <row r="113">
          <cell r="A113">
            <v>30017</v>
          </cell>
        </row>
        <row r="114">
          <cell r="A114">
            <v>30018</v>
          </cell>
        </row>
        <row r="115">
          <cell r="A115">
            <v>30019</v>
          </cell>
        </row>
        <row r="116">
          <cell r="A116">
            <v>30020</v>
          </cell>
        </row>
        <row r="117">
          <cell r="A117">
            <v>30021</v>
          </cell>
        </row>
        <row r="118">
          <cell r="A118">
            <v>30022</v>
          </cell>
        </row>
        <row r="119">
          <cell r="A119">
            <v>30023</v>
          </cell>
        </row>
        <row r="120">
          <cell r="A120">
            <v>30024</v>
          </cell>
        </row>
        <row r="121">
          <cell r="A121">
            <v>30025</v>
          </cell>
        </row>
        <row r="122">
          <cell r="A122">
            <v>30026</v>
          </cell>
        </row>
        <row r="123">
          <cell r="A123">
            <v>39001</v>
          </cell>
        </row>
        <row r="124">
          <cell r="A124">
            <v>40001</v>
          </cell>
        </row>
        <row r="125">
          <cell r="A125">
            <v>40002</v>
          </cell>
        </row>
        <row r="126">
          <cell r="A126">
            <v>40003</v>
          </cell>
        </row>
        <row r="127">
          <cell r="A127">
            <v>40004</v>
          </cell>
        </row>
        <row r="128">
          <cell r="A128">
            <v>40005</v>
          </cell>
        </row>
        <row r="129">
          <cell r="A129">
            <v>40006</v>
          </cell>
        </row>
        <row r="130">
          <cell r="A130">
            <v>40007</v>
          </cell>
        </row>
        <row r="131">
          <cell r="A131">
            <v>40008</v>
          </cell>
        </row>
        <row r="132">
          <cell r="A132">
            <v>40009</v>
          </cell>
        </row>
        <row r="133">
          <cell r="A133">
            <v>49001</v>
          </cell>
        </row>
        <row r="134">
          <cell r="A134">
            <v>50001</v>
          </cell>
        </row>
        <row r="135">
          <cell r="A135">
            <v>50002</v>
          </cell>
        </row>
        <row r="136">
          <cell r="A136">
            <v>65535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11002_1</v>
          </cell>
        </row>
        <row r="200">
          <cell r="A200" t="str">
            <v>11002_2</v>
          </cell>
        </row>
        <row r="201">
          <cell r="A201" t="str">
            <v>11002_3</v>
          </cell>
        </row>
        <row r="202">
          <cell r="A202" t="str">
            <v>11003_1</v>
          </cell>
        </row>
        <row r="203">
          <cell r="A203" t="str">
            <v>11003_2</v>
          </cell>
        </row>
        <row r="204">
          <cell r="A204" t="str">
            <v>11003_3</v>
          </cell>
        </row>
        <row r="205">
          <cell r="A205" t="str">
            <v>11004_1</v>
          </cell>
        </row>
        <row r="206">
          <cell r="A206" t="str">
            <v>11004_2</v>
          </cell>
        </row>
        <row r="207">
          <cell r="A207" t="str">
            <v>11004_3</v>
          </cell>
        </row>
        <row r="208">
          <cell r="A208" t="str">
            <v>11005_1</v>
          </cell>
        </row>
        <row r="209">
          <cell r="A209" t="str">
            <v>11005_2</v>
          </cell>
        </row>
        <row r="210">
          <cell r="A210" t="str">
            <v>11005_3</v>
          </cell>
        </row>
        <row r="211">
          <cell r="A211" t="str">
            <v>11005_4</v>
          </cell>
        </row>
        <row r="212">
          <cell r="A212" t="str">
            <v>11006_1</v>
          </cell>
        </row>
        <row r="213">
          <cell r="A213" t="str">
            <v>11006_2</v>
          </cell>
        </row>
        <row r="214">
          <cell r="A214" t="str">
            <v>11006_3</v>
          </cell>
        </row>
        <row r="215">
          <cell r="A215" t="str">
            <v>11101_1</v>
          </cell>
        </row>
        <row r="216">
          <cell r="A216" t="str">
            <v>11101_2</v>
          </cell>
        </row>
        <row r="217">
          <cell r="A217" t="str">
            <v>11101_3</v>
          </cell>
        </row>
        <row r="218">
          <cell r="A218" t="str">
            <v>11102_1</v>
          </cell>
        </row>
        <row r="219">
          <cell r="A219" t="str">
            <v>11102_2</v>
          </cell>
        </row>
        <row r="220">
          <cell r="A220" t="str">
            <v>11102_3</v>
          </cell>
        </row>
        <row r="221">
          <cell r="A221" t="str">
            <v>11103_1</v>
          </cell>
        </row>
        <row r="222">
          <cell r="A222" t="str">
            <v>11103_2</v>
          </cell>
        </row>
        <row r="223">
          <cell r="A223" t="str">
            <v>11103_3</v>
          </cell>
        </row>
        <row r="224">
          <cell r="A224" t="str">
            <v>11104_1</v>
          </cell>
        </row>
        <row r="225">
          <cell r="A225" t="str">
            <v>11104_2</v>
          </cell>
        </row>
        <row r="226">
          <cell r="A226" t="str">
            <v>11104_3</v>
          </cell>
        </row>
        <row r="227">
          <cell r="A227" t="str">
            <v>11105_1</v>
          </cell>
        </row>
        <row r="228">
          <cell r="A228" t="str">
            <v>11105_2</v>
          </cell>
        </row>
        <row r="229">
          <cell r="A229" t="str">
            <v>11105_3</v>
          </cell>
        </row>
        <row r="230">
          <cell r="A230" t="str">
            <v>11105_4</v>
          </cell>
        </row>
        <row r="231">
          <cell r="A231" t="str">
            <v>11106_1</v>
          </cell>
        </row>
        <row r="232">
          <cell r="A232" t="str">
            <v>11106_2</v>
          </cell>
        </row>
        <row r="233">
          <cell r="A233" t="str">
            <v>11106_3</v>
          </cell>
        </row>
        <row r="234">
          <cell r="A234" t="str">
            <v>11206_1</v>
          </cell>
        </row>
        <row r="235">
          <cell r="A235" t="str">
            <v>11206_2</v>
          </cell>
        </row>
        <row r="236">
          <cell r="A236" t="str">
            <v>11206_3</v>
          </cell>
        </row>
        <row r="237">
          <cell r="A237" t="str">
            <v>11016_1</v>
          </cell>
        </row>
        <row r="238">
          <cell r="A238" t="str">
            <v>11207_1</v>
          </cell>
        </row>
        <row r="239">
          <cell r="A239" t="str">
            <v>11207_2</v>
          </cell>
        </row>
        <row r="240">
          <cell r="A240" t="str">
            <v>11208_1</v>
          </cell>
        </row>
        <row r="241">
          <cell r="A241" t="str">
            <v>11208_2</v>
          </cell>
        </row>
        <row r="242">
          <cell r="A242" t="str">
            <v>11209_1</v>
          </cell>
        </row>
        <row r="243">
          <cell r="A243" t="str">
            <v>11209_2</v>
          </cell>
        </row>
        <row r="244">
          <cell r="A244" t="str">
            <v>11210_1</v>
          </cell>
        </row>
        <row r="245">
          <cell r="A245" t="str">
            <v>11210_2</v>
          </cell>
        </row>
        <row r="246">
          <cell r="A246" t="str">
            <v>11210_3</v>
          </cell>
        </row>
        <row r="247">
          <cell r="A247" t="str">
            <v>11210_4</v>
          </cell>
        </row>
        <row r="248">
          <cell r="A248" t="str">
            <v>11211_1</v>
          </cell>
        </row>
        <row r="249">
          <cell r="A249" t="str">
            <v>11211_2</v>
          </cell>
        </row>
        <row r="250">
          <cell r="A250" t="str">
            <v>11211_3</v>
          </cell>
        </row>
        <row r="251">
          <cell r="A251" t="str">
            <v>11211_4</v>
          </cell>
        </row>
        <row r="252">
          <cell r="A252" t="str">
            <v>11212_1</v>
          </cell>
        </row>
        <row r="253">
          <cell r="A253" t="str">
            <v>11213_1</v>
          </cell>
        </row>
        <row r="254">
          <cell r="A254" t="str">
            <v>11214_1</v>
          </cell>
        </row>
        <row r="255">
          <cell r="A255" t="str">
            <v>11214_2</v>
          </cell>
        </row>
        <row r="256">
          <cell r="A256" t="str">
            <v>11214_3</v>
          </cell>
        </row>
        <row r="257">
          <cell r="A257" t="str">
            <v>11215_1</v>
          </cell>
        </row>
        <row r="258">
          <cell r="A258" t="str">
            <v>11216_1</v>
          </cell>
        </row>
        <row r="259">
          <cell r="A259" t="str">
            <v>11217_1</v>
          </cell>
        </row>
        <row r="260">
          <cell r="A260" t="str">
            <v>11218_1</v>
          </cell>
        </row>
        <row r="261">
          <cell r="A261" t="str">
            <v>12001_1</v>
          </cell>
        </row>
        <row r="262">
          <cell r="A262" t="str">
            <v>12001_2</v>
          </cell>
        </row>
        <row r="263">
          <cell r="A263" t="str">
            <v>12001_3</v>
          </cell>
        </row>
        <row r="264">
          <cell r="A264" t="str">
            <v>12002_3</v>
          </cell>
        </row>
        <row r="265">
          <cell r="A265" t="str">
            <v>12002_2</v>
          </cell>
        </row>
        <row r="266">
          <cell r="A266" t="str">
            <v>12002_1</v>
          </cell>
        </row>
        <row r="267">
          <cell r="A267" t="str">
            <v>12003_1</v>
          </cell>
        </row>
        <row r="268">
          <cell r="A268" t="str">
            <v>12003_2</v>
          </cell>
        </row>
        <row r="269">
          <cell r="A269" t="str">
            <v>12003_3</v>
          </cell>
        </row>
        <row r="270">
          <cell r="A270" t="str">
            <v>12003_4</v>
          </cell>
        </row>
        <row r="271">
          <cell r="A271" t="str">
            <v>13001_1</v>
          </cell>
        </row>
        <row r="272">
          <cell r="A272" t="str">
            <v>13001_2</v>
          </cell>
        </row>
        <row r="273">
          <cell r="A273" t="str">
            <v>13001_3</v>
          </cell>
        </row>
        <row r="274">
          <cell r="A274" t="str">
            <v>13001_4</v>
          </cell>
        </row>
        <row r="275">
          <cell r="A275" t="str">
            <v>13001_5</v>
          </cell>
        </row>
        <row r="276">
          <cell r="A276" t="str">
            <v>13001_6</v>
          </cell>
        </row>
        <row r="277">
          <cell r="A277" t="str">
            <v>13001_7</v>
          </cell>
        </row>
        <row r="278">
          <cell r="A278" t="str">
            <v>13001_8</v>
          </cell>
        </row>
        <row r="279">
          <cell r="A279" t="str">
            <v>13001_9</v>
          </cell>
        </row>
        <row r="280">
          <cell r="A280" t="str">
            <v>13001_10</v>
          </cell>
        </row>
        <row r="281">
          <cell r="A281" t="str">
            <v>13001_11</v>
          </cell>
        </row>
        <row r="282">
          <cell r="A282" t="str">
            <v>13001_12</v>
          </cell>
        </row>
        <row r="283">
          <cell r="A283" t="str">
            <v>13001_13</v>
          </cell>
        </row>
        <row r="284">
          <cell r="A284" t="str">
            <v>13001_14</v>
          </cell>
        </row>
        <row r="285">
          <cell r="A285" t="str">
            <v>13001_15</v>
          </cell>
        </row>
        <row r="286">
          <cell r="A286" t="str">
            <v>13001_16</v>
          </cell>
        </row>
        <row r="287">
          <cell r="A287" t="str">
            <v>13001_17</v>
          </cell>
        </row>
        <row r="288">
          <cell r="A288" t="str">
            <v>13001_18</v>
          </cell>
        </row>
        <row r="289">
          <cell r="A289" t="str">
            <v>13001_19</v>
          </cell>
        </row>
        <row r="290">
          <cell r="A290" t="str">
            <v>13001_20</v>
          </cell>
        </row>
        <row r="291">
          <cell r="A291" t="str">
            <v>13001_21</v>
          </cell>
        </row>
        <row r="292">
          <cell r="A292" t="str">
            <v>13001_22</v>
          </cell>
        </row>
        <row r="293">
          <cell r="A293" t="str">
            <v>13001_23</v>
          </cell>
        </row>
        <row r="294">
          <cell r="A294" t="str">
            <v>13001_24</v>
          </cell>
        </row>
        <row r="295">
          <cell r="A295" t="str">
            <v>13001_25</v>
          </cell>
        </row>
        <row r="296">
          <cell r="A296" t="str">
            <v>14001_1</v>
          </cell>
        </row>
        <row r="297">
          <cell r="A297" t="str">
            <v>14001_2</v>
          </cell>
        </row>
        <row r="298">
          <cell r="A298" t="str">
            <v>14001_3</v>
          </cell>
        </row>
        <row r="299">
          <cell r="A299" t="str">
            <v>14001_4</v>
          </cell>
        </row>
        <row r="300">
          <cell r="A300" t="str">
            <v>14002_1</v>
          </cell>
        </row>
        <row r="301">
          <cell r="A301" t="str">
            <v>14003_1</v>
          </cell>
        </row>
        <row r="302">
          <cell r="A302" t="str">
            <v>14004_1</v>
          </cell>
        </row>
        <row r="303">
          <cell r="A303" t="str">
            <v>14004_2</v>
          </cell>
        </row>
        <row r="304">
          <cell r="A304" t="str">
            <v>14004_3</v>
          </cell>
        </row>
        <row r="305">
          <cell r="A305" t="str">
            <v>14004_4</v>
          </cell>
        </row>
        <row r="306">
          <cell r="A306" t="str">
            <v>14005_1</v>
          </cell>
        </row>
        <row r="307">
          <cell r="A307" t="str">
            <v>14006_1</v>
          </cell>
        </row>
        <row r="308">
          <cell r="A308" t="str">
            <v>20001_1</v>
          </cell>
        </row>
        <row r="309">
          <cell r="A309" t="str">
            <v>20001_2</v>
          </cell>
        </row>
        <row r="310">
          <cell r="A310" t="str">
            <v>20001_3</v>
          </cell>
        </row>
        <row r="311">
          <cell r="A311" t="str">
            <v>20002_1</v>
          </cell>
        </row>
        <row r="312">
          <cell r="A312" t="str">
            <v>20002_2</v>
          </cell>
        </row>
        <row r="313">
          <cell r="A313" t="str">
            <v>20002_3</v>
          </cell>
        </row>
        <row r="314">
          <cell r="A314" t="str">
            <v>20003_1</v>
          </cell>
        </row>
        <row r="315">
          <cell r="A315" t="str">
            <v>20003_2</v>
          </cell>
        </row>
        <row r="316">
          <cell r="A316" t="str">
            <v>20003_3</v>
          </cell>
        </row>
        <row r="317">
          <cell r="A317" t="str">
            <v>20004_1</v>
          </cell>
        </row>
        <row r="318">
          <cell r="A318" t="str">
            <v>20004_2</v>
          </cell>
        </row>
        <row r="319">
          <cell r="A319" t="str">
            <v>20004_3</v>
          </cell>
        </row>
        <row r="320">
          <cell r="A320" t="str">
            <v>20005_1</v>
          </cell>
        </row>
        <row r="321">
          <cell r="A321" t="str">
            <v>20005_2</v>
          </cell>
        </row>
        <row r="322">
          <cell r="A322" t="str">
            <v>20005_3</v>
          </cell>
        </row>
        <row r="323">
          <cell r="A323" t="str">
            <v>20006_1</v>
          </cell>
        </row>
        <row r="324">
          <cell r="A324" t="str">
            <v>20006_2</v>
          </cell>
        </row>
        <row r="325">
          <cell r="A325" t="str">
            <v>20006_3</v>
          </cell>
        </row>
        <row r="326">
          <cell r="A326" t="str">
            <v>20007_1</v>
          </cell>
        </row>
        <row r="327">
          <cell r="A327" t="str">
            <v>20007_2</v>
          </cell>
        </row>
        <row r="328">
          <cell r="A328" t="str">
            <v>20007_3</v>
          </cell>
        </row>
        <row r="329">
          <cell r="A329" t="str">
            <v>20008_1</v>
          </cell>
        </row>
        <row r="330">
          <cell r="A330" t="str">
            <v>20008_2</v>
          </cell>
        </row>
        <row r="331">
          <cell r="A331" t="str">
            <v>20008_3</v>
          </cell>
        </row>
        <row r="332">
          <cell r="A332" t="str">
            <v>20009_1</v>
          </cell>
        </row>
        <row r="333">
          <cell r="A333" t="str">
            <v>20009_2</v>
          </cell>
        </row>
        <row r="334">
          <cell r="A334" t="str">
            <v>20009_3</v>
          </cell>
        </row>
        <row r="335">
          <cell r="A335" t="str">
            <v>20010_1</v>
          </cell>
        </row>
        <row r="336">
          <cell r="A336" t="str">
            <v>20010_2</v>
          </cell>
        </row>
        <row r="337">
          <cell r="A337" t="str">
            <v>20010_3</v>
          </cell>
        </row>
        <row r="338">
          <cell r="A338" t="str">
            <v>20011_1</v>
          </cell>
        </row>
        <row r="339">
          <cell r="A339" t="str">
            <v>20011_2</v>
          </cell>
        </row>
        <row r="340">
          <cell r="A340" t="str">
            <v>20011_3</v>
          </cell>
        </row>
        <row r="341">
          <cell r="A341" t="str">
            <v>20012_1</v>
          </cell>
        </row>
        <row r="342">
          <cell r="A342" t="str">
            <v>20012_2</v>
          </cell>
        </row>
        <row r="343">
          <cell r="A343" t="str">
            <v>20012_3</v>
          </cell>
        </row>
        <row r="344">
          <cell r="A344" t="str">
            <v>30001_1</v>
          </cell>
        </row>
        <row r="345">
          <cell r="A345" t="str">
            <v>30001_2</v>
          </cell>
        </row>
        <row r="346">
          <cell r="A346" t="str">
            <v>30001_3</v>
          </cell>
        </row>
        <row r="347">
          <cell r="A347" t="str">
            <v>30002_1</v>
          </cell>
        </row>
        <row r="348">
          <cell r="A348" t="str">
            <v>30002_2</v>
          </cell>
        </row>
        <row r="349">
          <cell r="A349" t="str">
            <v>30002_3</v>
          </cell>
        </row>
        <row r="350">
          <cell r="A350" t="str">
            <v>30003_1</v>
          </cell>
        </row>
        <row r="351">
          <cell r="A351" t="str">
            <v>30003_2</v>
          </cell>
        </row>
        <row r="352">
          <cell r="A352" t="str">
            <v>30003_3</v>
          </cell>
        </row>
        <row r="353">
          <cell r="A353" t="str">
            <v>30004_1</v>
          </cell>
        </row>
        <row r="354">
          <cell r="A354" t="str">
            <v>30004_2</v>
          </cell>
        </row>
        <row r="355">
          <cell r="A355" t="str">
            <v>30004_3</v>
          </cell>
        </row>
        <row r="356">
          <cell r="A356" t="str">
            <v>30005_1</v>
          </cell>
        </row>
        <row r="357">
          <cell r="A357" t="str">
            <v>30005_2</v>
          </cell>
        </row>
        <row r="358">
          <cell r="A358" t="str">
            <v>30005_3</v>
          </cell>
        </row>
        <row r="359">
          <cell r="A359" t="str">
            <v>30006_1</v>
          </cell>
        </row>
        <row r="360">
          <cell r="A360" t="str">
            <v>30006_2</v>
          </cell>
        </row>
        <row r="361">
          <cell r="A361" t="str">
            <v>30006_3</v>
          </cell>
        </row>
        <row r="362">
          <cell r="A362" t="str">
            <v>30007_1</v>
          </cell>
        </row>
        <row r="363">
          <cell r="A363" t="str">
            <v>30007_2</v>
          </cell>
        </row>
        <row r="364">
          <cell r="A364" t="str">
            <v>30007_3</v>
          </cell>
        </row>
        <row r="365">
          <cell r="A365" t="str">
            <v>30008_1</v>
          </cell>
        </row>
        <row r="366">
          <cell r="A366" t="str">
            <v>30008_2</v>
          </cell>
        </row>
        <row r="367">
          <cell r="A367" t="str">
            <v>30008_3</v>
          </cell>
        </row>
        <row r="368">
          <cell r="A368" t="str">
            <v>30009_3</v>
          </cell>
        </row>
        <row r="369">
          <cell r="A369" t="str">
            <v>30009_1</v>
          </cell>
        </row>
        <row r="370">
          <cell r="A370" t="str">
            <v>30009_2</v>
          </cell>
        </row>
        <row r="371">
          <cell r="A371" t="str">
            <v>30010_1</v>
          </cell>
        </row>
        <row r="372">
          <cell r="A372" t="str">
            <v>30010_2</v>
          </cell>
        </row>
        <row r="373">
          <cell r="A373" t="str">
            <v>30010_3</v>
          </cell>
        </row>
        <row r="374">
          <cell r="A374" t="str">
            <v>30011_1</v>
          </cell>
        </row>
        <row r="375">
          <cell r="A375" t="str">
            <v>30011_2</v>
          </cell>
        </row>
        <row r="376">
          <cell r="A376" t="str">
            <v>30011_3</v>
          </cell>
        </row>
        <row r="377">
          <cell r="A377" t="str">
            <v>30012_1</v>
          </cell>
        </row>
        <row r="378">
          <cell r="A378" t="str">
            <v>30012_2</v>
          </cell>
        </row>
        <row r="379">
          <cell r="A379" t="str">
            <v>30012_3</v>
          </cell>
        </row>
        <row r="380">
          <cell r="A380" t="str">
            <v>30013_1</v>
          </cell>
        </row>
        <row r="381">
          <cell r="A381" t="str">
            <v>30013_2</v>
          </cell>
        </row>
        <row r="382">
          <cell r="A382" t="str">
            <v>30014_1</v>
          </cell>
        </row>
        <row r="383">
          <cell r="A383" t="str">
            <v>30014_2</v>
          </cell>
        </row>
        <row r="384">
          <cell r="A384" t="str">
            <v>30015_1</v>
          </cell>
        </row>
        <row r="385">
          <cell r="A385" t="str">
            <v>30015_2</v>
          </cell>
        </row>
        <row r="386">
          <cell r="A386" t="str">
            <v>30016_1</v>
          </cell>
        </row>
        <row r="387">
          <cell r="A387" t="str">
            <v>30016_2</v>
          </cell>
        </row>
        <row r="388">
          <cell r="A388" t="str">
            <v>30017_1</v>
          </cell>
        </row>
        <row r="389">
          <cell r="A389" t="str">
            <v>30017_2</v>
          </cell>
        </row>
        <row r="390">
          <cell r="A390" t="str">
            <v>30018_1</v>
          </cell>
        </row>
        <row r="391">
          <cell r="A391" t="str">
            <v>30018_2</v>
          </cell>
        </row>
        <row r="392">
          <cell r="A392" t="str">
            <v>30019_1</v>
          </cell>
        </row>
        <row r="393">
          <cell r="A393" t="str">
            <v>30019_2</v>
          </cell>
        </row>
        <row r="394">
          <cell r="A394" t="str">
            <v>30020_1</v>
          </cell>
        </row>
        <row r="395">
          <cell r="A395" t="str">
            <v>30020_2</v>
          </cell>
        </row>
        <row r="396">
          <cell r="A396" t="str">
            <v>30021_1</v>
          </cell>
        </row>
        <row r="397">
          <cell r="A397" t="str">
            <v>30021_2</v>
          </cell>
        </row>
        <row r="398">
          <cell r="A398" t="str">
            <v>30021_3</v>
          </cell>
        </row>
        <row r="399">
          <cell r="A399" t="str">
            <v>30022_1</v>
          </cell>
        </row>
        <row r="400">
          <cell r="A400" t="str">
            <v>30022_2</v>
          </cell>
        </row>
        <row r="401">
          <cell r="A401" t="str">
            <v>30023_1</v>
          </cell>
        </row>
        <row r="402">
          <cell r="A402" t="str">
            <v>30023_2</v>
          </cell>
        </row>
        <row r="403">
          <cell r="A403" t="str">
            <v>30023_3</v>
          </cell>
        </row>
        <row r="404">
          <cell r="A404" t="str">
            <v>30024_1</v>
          </cell>
        </row>
        <row r="405">
          <cell r="A405" t="str">
            <v>30024_2</v>
          </cell>
        </row>
        <row r="406">
          <cell r="A406" t="str">
            <v>30024_3</v>
          </cell>
        </row>
        <row r="407">
          <cell r="A407" t="str">
            <v>30025_1</v>
          </cell>
        </row>
        <row r="408">
          <cell r="A408" t="str">
            <v>30025_2</v>
          </cell>
        </row>
        <row r="409">
          <cell r="A409" t="str">
            <v>30025_3</v>
          </cell>
        </row>
        <row r="410">
          <cell r="A410" t="str">
            <v>30026_1</v>
          </cell>
        </row>
        <row r="411">
          <cell r="A411" t="str">
            <v>30026_2</v>
          </cell>
        </row>
        <row r="412">
          <cell r="A412" t="str">
            <v>30026_3</v>
          </cell>
        </row>
        <row r="413">
          <cell r="A413" t="str">
            <v>39001_1</v>
          </cell>
        </row>
        <row r="414">
          <cell r="A414" t="str">
            <v>39001_2</v>
          </cell>
        </row>
        <row r="415">
          <cell r="A415" t="str">
            <v>39001_3</v>
          </cell>
        </row>
        <row r="416">
          <cell r="A416" t="str">
            <v>39001_4</v>
          </cell>
        </row>
        <row r="417">
          <cell r="A417" t="str">
            <v>39001_5</v>
          </cell>
        </row>
        <row r="418">
          <cell r="A418" t="str">
            <v>40001_1</v>
          </cell>
        </row>
        <row r="419">
          <cell r="A419" t="str">
            <v>40002_1</v>
          </cell>
        </row>
        <row r="420">
          <cell r="A420" t="str">
            <v>40002_2</v>
          </cell>
        </row>
        <row r="421">
          <cell r="A421" t="str">
            <v>40002_3</v>
          </cell>
        </row>
        <row r="422">
          <cell r="A422" t="str">
            <v>40003_1</v>
          </cell>
        </row>
        <row r="423">
          <cell r="A423" t="str">
            <v>40004_1</v>
          </cell>
        </row>
        <row r="424">
          <cell r="A424" t="str">
            <v>40005_1</v>
          </cell>
        </row>
        <row r="425">
          <cell r="A425" t="str">
            <v>40006_1</v>
          </cell>
        </row>
        <row r="426">
          <cell r="A426" t="str">
            <v>40007_1</v>
          </cell>
        </row>
        <row r="427">
          <cell r="A427" t="str">
            <v>40008_1</v>
          </cell>
        </row>
        <row r="428">
          <cell r="A428" t="str">
            <v>40009_1</v>
          </cell>
        </row>
        <row r="429">
          <cell r="A429" t="str">
            <v>49001_1</v>
          </cell>
        </row>
        <row r="430">
          <cell r="A430" t="str">
            <v>50001_1</v>
          </cell>
        </row>
        <row r="431">
          <cell r="A431" t="str">
            <v>50002_1</v>
          </cell>
        </row>
        <row r="432">
          <cell r="A432" t="str">
            <v>65535_1</v>
          </cell>
        </row>
        <row r="433">
          <cell r="A433" t="str">
            <v>65535_2</v>
          </cell>
        </row>
        <row r="434">
          <cell r="A434" t="str">
            <v>65535_3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flavor_text</v>
          </cell>
          <cell r="T1" t="str">
            <v>obtain_message</v>
          </cell>
          <cell r="U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</sheetData>
      <sheetData sheetId="4"/>
      <sheetData sheetId="5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1"/>
  <sheetViews>
    <sheetView zoomScale="75" zoomScaleNormal="75" zoomScalePageLayoutView="75" workbookViewId="0">
      <selection activeCell="F11" sqref="F11"/>
    </sheetView>
  </sheetViews>
  <sheetFormatPr baseColWidth="12" defaultRowHeight="18" x14ac:dyDescent="0"/>
  <cols>
    <col min="2" max="2" width="14.83203125" bestFit="1" customWidth="1"/>
    <col min="5" max="5" width="31.1640625" customWidth="1"/>
    <col min="6" max="6" width="22.1640625" bestFit="1" customWidth="1"/>
  </cols>
  <sheetData>
    <row r="1" spans="1:30">
      <c r="A1" s="60" t="s">
        <v>131</v>
      </c>
      <c r="B1" s="55" t="s">
        <v>101</v>
      </c>
      <c r="C1" s="55" t="s">
        <v>102</v>
      </c>
      <c r="D1" s="55" t="s">
        <v>103</v>
      </c>
      <c r="E1" s="55" t="s">
        <v>104</v>
      </c>
      <c r="F1" s="55" t="s">
        <v>105</v>
      </c>
      <c r="G1" s="55" t="s">
        <v>106</v>
      </c>
      <c r="H1" s="55"/>
      <c r="I1" s="55"/>
      <c r="J1" s="55"/>
      <c r="K1" s="55"/>
      <c r="L1" s="56"/>
      <c r="M1" s="56"/>
      <c r="N1" s="56"/>
      <c r="O1" s="56"/>
      <c r="P1" s="56"/>
      <c r="Q1" s="56"/>
      <c r="R1" s="56"/>
      <c r="S1" s="56"/>
      <c r="T1" s="56"/>
      <c r="U1" s="56"/>
      <c r="V1" s="56"/>
      <c r="W1" s="56"/>
      <c r="X1" s="56"/>
      <c r="Y1" s="56"/>
      <c r="Z1" s="56"/>
      <c r="AA1" s="56"/>
      <c r="AB1" s="56"/>
      <c r="AC1" s="56"/>
    </row>
    <row r="2" spans="1:30">
      <c r="A2" s="61" t="s">
        <v>187</v>
      </c>
      <c r="B2" s="57" t="s">
        <v>107</v>
      </c>
      <c r="C2" s="62" t="s">
        <v>183</v>
      </c>
      <c r="D2" s="57" t="s">
        <v>108</v>
      </c>
      <c r="E2" s="56" t="str">
        <f>B2&amp;C2&amp;D2</f>
        <v>floors_v2016.tmp</v>
      </c>
      <c r="F2" s="57" t="s">
        <v>109</v>
      </c>
      <c r="G2" s="58" t="s">
        <v>0</v>
      </c>
      <c r="H2" s="58" t="s">
        <v>1</v>
      </c>
      <c r="I2" s="58" t="s">
        <v>13</v>
      </c>
      <c r="J2" s="58" t="s">
        <v>14</v>
      </c>
      <c r="K2" s="58" t="s">
        <v>15</v>
      </c>
      <c r="L2" s="57"/>
      <c r="M2" s="57"/>
      <c r="N2" s="57"/>
      <c r="O2" s="57"/>
      <c r="P2" s="57"/>
      <c r="Q2" s="57"/>
      <c r="R2" s="57"/>
      <c r="S2" s="57"/>
      <c r="T2" s="57"/>
      <c r="U2" s="57"/>
      <c r="V2" s="57"/>
      <c r="W2" s="57"/>
      <c r="X2" s="57"/>
      <c r="Y2" s="57"/>
      <c r="Z2" s="57"/>
      <c r="AA2" s="57"/>
      <c r="AB2" s="57"/>
      <c r="AC2" s="57"/>
    </row>
    <row r="3" spans="1:30">
      <c r="A3" s="61" t="s">
        <v>187</v>
      </c>
      <c r="B3" s="57" t="s">
        <v>110</v>
      </c>
      <c r="C3" s="62" t="str">
        <f>C$2</f>
        <v>v2016</v>
      </c>
      <c r="D3" s="57" t="s">
        <v>108</v>
      </c>
      <c r="E3" s="56" t="str">
        <f>B3&amp;C3&amp;D3</f>
        <v>enemy_habitats_v2016.tmp</v>
      </c>
      <c r="F3" s="57" t="s">
        <v>111</v>
      </c>
      <c r="G3" s="58" t="s">
        <v>0</v>
      </c>
      <c r="H3" s="58" t="s">
        <v>1</v>
      </c>
      <c r="I3" s="58" t="s">
        <v>13</v>
      </c>
      <c r="J3" s="58" t="s">
        <v>2</v>
      </c>
      <c r="K3" s="58" t="s">
        <v>3</v>
      </c>
      <c r="L3" s="58" t="s">
        <v>47</v>
      </c>
      <c r="M3" s="58" t="s">
        <v>49</v>
      </c>
      <c r="N3" s="58" t="s">
        <v>51</v>
      </c>
      <c r="O3" s="58" t="s">
        <v>22</v>
      </c>
      <c r="P3" s="58" t="s">
        <v>5</v>
      </c>
      <c r="Q3" s="58" t="s">
        <v>6</v>
      </c>
      <c r="R3" s="58" t="s">
        <v>7</v>
      </c>
      <c r="S3" s="58" t="s">
        <v>8</v>
      </c>
      <c r="T3" s="58" t="s">
        <v>9</v>
      </c>
      <c r="U3" s="58" t="s">
        <v>10</v>
      </c>
      <c r="V3" s="58" t="s">
        <v>11</v>
      </c>
      <c r="W3" s="58" t="s">
        <v>12</v>
      </c>
      <c r="X3" s="58" t="s">
        <v>37</v>
      </c>
      <c r="Y3" s="58" t="s">
        <v>39</v>
      </c>
      <c r="Z3" s="58" t="s">
        <v>41</v>
      </c>
      <c r="AA3" s="58" t="s">
        <v>43</v>
      </c>
      <c r="AB3" s="58" t="s">
        <v>45</v>
      </c>
      <c r="AC3" s="58" t="s">
        <v>54</v>
      </c>
      <c r="AD3" s="58" t="s">
        <v>180</v>
      </c>
    </row>
    <row r="4" spans="1:30">
      <c r="A4" s="61" t="s">
        <v>187</v>
      </c>
      <c r="B4" s="57" t="s">
        <v>112</v>
      </c>
      <c r="C4" s="62" t="str">
        <f t="shared" ref="C4:C11" si="0">C$2</f>
        <v>v2016</v>
      </c>
      <c r="D4" s="57" t="s">
        <v>108</v>
      </c>
      <c r="E4" s="56" t="str">
        <f>B4&amp;C4&amp;D4</f>
        <v>enemy_habitat_S_v2016.tmp</v>
      </c>
      <c r="F4" s="57" t="s">
        <v>113</v>
      </c>
      <c r="G4" s="58" t="s">
        <v>0</v>
      </c>
      <c r="H4" s="58" t="s">
        <v>1</v>
      </c>
      <c r="I4" s="58" t="s">
        <v>13</v>
      </c>
      <c r="J4" s="58" t="s">
        <v>54</v>
      </c>
      <c r="K4" s="58" t="s">
        <v>55</v>
      </c>
      <c r="L4" s="58" t="s">
        <v>56</v>
      </c>
      <c r="M4" s="58" t="s">
        <v>57</v>
      </c>
      <c r="N4" s="58" t="s">
        <v>58</v>
      </c>
      <c r="O4" s="58" t="s">
        <v>59</v>
      </c>
      <c r="P4" s="58" t="s">
        <v>48</v>
      </c>
      <c r="Q4" s="58" t="s">
        <v>50</v>
      </c>
      <c r="R4" s="58" t="s">
        <v>52</v>
      </c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</row>
    <row r="5" spans="1:30">
      <c r="A5" s="61" t="s">
        <v>187</v>
      </c>
      <c r="B5" s="57" t="s">
        <v>114</v>
      </c>
      <c r="C5" s="62" t="str">
        <f t="shared" si="0"/>
        <v>v2016</v>
      </c>
      <c r="D5" s="57" t="s">
        <v>108</v>
      </c>
      <c r="E5" s="56" t="str">
        <f>B5&amp;C5&amp;D5</f>
        <v>enemy_skill_sets_v2016.tmp</v>
      </c>
      <c r="F5" s="57" t="s">
        <v>115</v>
      </c>
      <c r="G5" s="59" t="s">
        <v>22</v>
      </c>
      <c r="H5" s="59" t="s">
        <v>100</v>
      </c>
      <c r="I5" s="59" t="s">
        <v>95</v>
      </c>
      <c r="J5" s="57"/>
      <c r="K5" s="57"/>
      <c r="L5" s="57"/>
      <c r="M5" s="57"/>
      <c r="N5" s="57"/>
      <c r="O5" s="57"/>
      <c r="P5" s="57"/>
      <c r="Q5" s="57"/>
      <c r="R5" s="57"/>
      <c r="S5" s="57"/>
      <c r="T5" s="57"/>
      <c r="U5" s="57"/>
      <c r="V5" s="57"/>
      <c r="W5" s="57"/>
      <c r="X5" s="57"/>
      <c r="Y5" s="57"/>
      <c r="Z5" s="57"/>
      <c r="AA5" s="57"/>
      <c r="AB5" s="57"/>
      <c r="AC5" s="57"/>
    </row>
    <row r="6" spans="1:30">
      <c r="A6" s="61" t="s">
        <v>187</v>
      </c>
      <c r="B6" s="57" t="s">
        <v>116</v>
      </c>
      <c r="C6" s="62" t="str">
        <f t="shared" si="0"/>
        <v>v2016</v>
      </c>
      <c r="D6" s="57" t="s">
        <v>117</v>
      </c>
      <c r="E6" s="56" t="str">
        <f t="shared" ref="E6:E9" si="1">B6&amp;C6&amp;D6</f>
        <v>enemy_skills_tmp_v2016.tmp</v>
      </c>
      <c r="F6" s="57" t="s">
        <v>91</v>
      </c>
      <c r="G6" s="58" t="s">
        <v>79</v>
      </c>
      <c r="H6" s="58" t="s">
        <v>80</v>
      </c>
      <c r="I6" s="58" t="s">
        <v>81</v>
      </c>
      <c r="J6" s="57"/>
      <c r="K6" s="57"/>
      <c r="L6" s="57"/>
      <c r="M6" s="57"/>
      <c r="N6" s="57"/>
      <c r="O6" s="57"/>
      <c r="P6" s="57"/>
      <c r="Q6" s="57"/>
      <c r="R6" s="57"/>
      <c r="S6" s="57"/>
      <c r="T6" s="57"/>
      <c r="U6" s="57"/>
      <c r="V6" s="57"/>
      <c r="W6" s="57"/>
      <c r="X6" s="57"/>
      <c r="Y6" s="57"/>
      <c r="Z6" s="57"/>
      <c r="AA6" s="57"/>
      <c r="AB6" s="57"/>
      <c r="AC6" s="57"/>
    </row>
    <row r="7" spans="1:30">
      <c r="A7" s="61" t="s">
        <v>187</v>
      </c>
      <c r="B7" s="57" t="s">
        <v>118</v>
      </c>
      <c r="C7" s="62" t="str">
        <f t="shared" si="0"/>
        <v>v2016</v>
      </c>
      <c r="D7" s="57" t="s">
        <v>108</v>
      </c>
      <c r="E7" s="56" t="str">
        <f>B7&amp;C7&amp;D7</f>
        <v>enemy_skills_i18n_v2016.tmp</v>
      </c>
      <c r="F7" s="57" t="s">
        <v>119</v>
      </c>
      <c r="G7" s="58" t="s">
        <v>79</v>
      </c>
      <c r="H7" s="58" t="s">
        <v>92</v>
      </c>
      <c r="I7" s="58" t="s">
        <v>93</v>
      </c>
      <c r="J7" s="58" t="s">
        <v>94</v>
      </c>
      <c r="K7" s="57"/>
      <c r="L7" s="57"/>
      <c r="M7" s="57"/>
      <c r="N7" s="57"/>
      <c r="O7" s="57"/>
      <c r="P7" s="57"/>
      <c r="Q7" s="57"/>
      <c r="R7" s="57"/>
      <c r="S7" s="57"/>
      <c r="T7" s="57"/>
      <c r="U7" s="57"/>
      <c r="V7" s="57"/>
      <c r="W7" s="57"/>
      <c r="X7" s="57"/>
      <c r="Y7" s="57"/>
      <c r="Z7" s="57"/>
      <c r="AA7" s="57"/>
      <c r="AB7" s="57"/>
      <c r="AC7" s="57"/>
    </row>
    <row r="8" spans="1:30">
      <c r="A8" s="61" t="s">
        <v>187</v>
      </c>
      <c r="B8" s="57" t="s">
        <v>120</v>
      </c>
      <c r="C8" s="62" t="str">
        <f t="shared" si="0"/>
        <v>v2016</v>
      </c>
      <c r="D8" s="57" t="s">
        <v>121</v>
      </c>
      <c r="E8" s="56" t="str">
        <f t="shared" si="1"/>
        <v>enemy_skill_triggers_v2016.tmp</v>
      </c>
      <c r="F8" s="57" t="s">
        <v>122</v>
      </c>
      <c r="G8" s="58" t="s">
        <v>95</v>
      </c>
      <c r="H8" s="58" t="s">
        <v>96</v>
      </c>
      <c r="I8" s="58" t="s">
        <v>97</v>
      </c>
      <c r="J8" s="58" t="s">
        <v>98</v>
      </c>
      <c r="K8" s="58" t="s">
        <v>123</v>
      </c>
      <c r="L8" s="58" t="s">
        <v>99</v>
      </c>
      <c r="M8" s="58" t="s">
        <v>124</v>
      </c>
      <c r="N8" s="58" t="s">
        <v>125</v>
      </c>
      <c r="O8" s="58" t="s">
        <v>126</v>
      </c>
      <c r="P8" s="58" t="s">
        <v>67</v>
      </c>
      <c r="Q8" s="57"/>
      <c r="R8" s="57"/>
      <c r="S8" s="57"/>
      <c r="T8" s="57"/>
      <c r="U8" s="57"/>
      <c r="V8" s="57"/>
      <c r="W8" s="57"/>
      <c r="X8" s="57"/>
      <c r="Y8" s="57"/>
      <c r="Z8" s="57"/>
      <c r="AA8" s="57"/>
      <c r="AB8" s="57"/>
      <c r="AC8" s="57"/>
    </row>
    <row r="9" spans="1:30">
      <c r="A9" s="61" t="s">
        <v>182</v>
      </c>
      <c r="B9" s="67" t="s">
        <v>179</v>
      </c>
      <c r="C9" s="62" t="str">
        <f t="shared" si="0"/>
        <v>v2016</v>
      </c>
      <c r="D9" s="67" t="s">
        <v>173</v>
      </c>
      <c r="E9" s="68" t="str">
        <f t="shared" si="1"/>
        <v>stage_bug_bonuses_v2016.tmp</v>
      </c>
      <c r="F9" s="67" t="s">
        <v>174</v>
      </c>
      <c r="G9" s="64" t="s">
        <v>151</v>
      </c>
      <c r="H9" s="64" t="s">
        <v>175</v>
      </c>
      <c r="I9" s="64" t="s">
        <v>176</v>
      </c>
      <c r="J9" s="66" t="s">
        <v>177</v>
      </c>
      <c r="K9" s="64" t="s">
        <v>178</v>
      </c>
      <c r="L9" s="64" t="s">
        <v>157</v>
      </c>
      <c r="M9" s="64" t="s">
        <v>158</v>
      </c>
      <c r="N9" s="64" t="s">
        <v>159</v>
      </c>
      <c r="O9" s="64" t="s">
        <v>160</v>
      </c>
      <c r="P9" s="64" t="s">
        <v>161</v>
      </c>
      <c r="Q9" s="64" t="s">
        <v>162</v>
      </c>
      <c r="R9" s="64" t="s">
        <v>163</v>
      </c>
      <c r="S9" s="64" t="s">
        <v>164</v>
      </c>
      <c r="T9" s="64" t="s">
        <v>165</v>
      </c>
      <c r="U9" s="64" t="s">
        <v>166</v>
      </c>
      <c r="V9" s="64" t="s">
        <v>167</v>
      </c>
      <c r="W9" s="64" t="s">
        <v>168</v>
      </c>
    </row>
    <row r="10" spans="1:30">
      <c r="A10" s="61" t="s">
        <v>187</v>
      </c>
      <c r="B10" s="57" t="s">
        <v>207</v>
      </c>
      <c r="C10" s="62" t="str">
        <f t="shared" si="0"/>
        <v>v2016</v>
      </c>
      <c r="D10" s="57" t="s">
        <v>108</v>
      </c>
      <c r="E10" s="56" t="str">
        <f>B10&amp;C10&amp;D10</f>
        <v>stage_hints_data_v2016.tmp</v>
      </c>
      <c r="F10" s="57" t="s">
        <v>218</v>
      </c>
      <c r="G10" s="75" t="s">
        <v>209</v>
      </c>
      <c r="H10" s="75" t="s">
        <v>210</v>
      </c>
      <c r="I10" s="92" t="s">
        <v>211</v>
      </c>
      <c r="J10" s="66" t="s">
        <v>212</v>
      </c>
      <c r="K10" s="66" t="s">
        <v>213</v>
      </c>
      <c r="L10" s="57"/>
      <c r="M10" s="57"/>
      <c r="N10" s="57"/>
      <c r="O10" s="57"/>
      <c r="P10" s="57"/>
      <c r="Q10" s="57"/>
      <c r="R10" s="57"/>
      <c r="S10" s="57"/>
      <c r="T10" s="57"/>
      <c r="U10" s="57"/>
      <c r="V10" s="57"/>
      <c r="W10" s="57"/>
      <c r="X10" s="57"/>
      <c r="Y10" s="57"/>
      <c r="Z10" s="57"/>
      <c r="AA10" s="57"/>
      <c r="AB10" s="57"/>
      <c r="AC10" s="57"/>
    </row>
    <row r="11" spans="1:30">
      <c r="A11" s="61" t="s">
        <v>187</v>
      </c>
      <c r="B11" s="57" t="s">
        <v>208</v>
      </c>
      <c r="C11" s="62" t="str">
        <f t="shared" si="0"/>
        <v>v2016</v>
      </c>
      <c r="D11" s="57" t="s">
        <v>108</v>
      </c>
      <c r="E11" s="56" t="str">
        <f>B11&amp;C11&amp;D11</f>
        <v>stage_hints_i18n_v2016.tmp</v>
      </c>
      <c r="F11" s="57" t="s">
        <v>218</v>
      </c>
      <c r="G11" s="92" t="s">
        <v>211</v>
      </c>
      <c r="H11" s="64" t="s">
        <v>214</v>
      </c>
      <c r="I11" s="75" t="s">
        <v>215</v>
      </c>
      <c r="J11" s="93" t="s">
        <v>216</v>
      </c>
      <c r="K11" s="66" t="s">
        <v>198</v>
      </c>
      <c r="L11" s="57"/>
      <c r="M11" s="57"/>
      <c r="N11" s="57"/>
      <c r="O11" s="57"/>
      <c r="P11" s="57"/>
      <c r="Q11" s="57"/>
      <c r="R11" s="57"/>
      <c r="S11" s="57"/>
      <c r="T11" s="57"/>
      <c r="U11" s="57"/>
      <c r="V11" s="57"/>
      <c r="W11" s="57"/>
      <c r="X11" s="57"/>
      <c r="Y11" s="57"/>
      <c r="Z11" s="57"/>
      <c r="AA11" s="57"/>
      <c r="AB11" s="57"/>
      <c r="AC11" s="57"/>
    </row>
  </sheetData>
  <phoneticPr fontId="5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6"/>
  <sheetViews>
    <sheetView showGridLines="0" workbookViewId="0">
      <pane ySplit="1" topLeftCell="A2" activePane="bottomLeft" state="frozen"/>
      <selection activeCell="V2" sqref="V2:X34"/>
      <selection pane="bottomLeft" activeCell="A7" sqref="A7:XFD7"/>
    </sheetView>
  </sheetViews>
  <sheetFormatPr baseColWidth="12" defaultColWidth="13" defaultRowHeight="21" customHeight="1" outlineLevelCol="1" x14ac:dyDescent="0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>
      <c r="A2" s="16" t="str">
        <f>G2&amp;"-"&amp;I2</f>
        <v>11218_1-1</v>
      </c>
      <c r="B2" s="16" t="str">
        <f>IF(COUNTIF(enemy_habitats!$H:$H,A2),"OK","NG")</f>
        <v>OK</v>
      </c>
      <c r="C2" s="7">
        <v>11218</v>
      </c>
      <c r="D2" s="11" t="str">
        <f ca="1">VLOOKUP($C2,OFFSET([2]quests!$A$1,0,0,COUNTA([2]quests!$A:$A),MATCH(D$1,[2]quests!$1:$1,0)-MATCH($C$1,[2]quests!$1:$1,0)+1),MATCH(D$1,[2]quests!$1:$1,0)-MATCH($C$1,[2]quests!$1:$1,0)+1,FALSE)</f>
        <v>バレンタイン★特別クエスト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2016年バレンタインクエスト</v>
      </c>
      <c r="F2" s="21">
        <v>1</v>
      </c>
      <c r="G2" s="23" t="str">
        <f>C2&amp;"_"&amp;F2</f>
        <v>11218_1</v>
      </c>
      <c r="H2" s="15" t="str">
        <f ca="1">VLOOKUP($G2,OFFSET([2]stages!$A$1,0,0,COUNTA([2]stages!$A:$A),MATCH(H$1,[2]stages!$2:$2,0)-MATCH($G$1,[2]stages!$2:$2,0)+1),MATCH(H$1,[2]stages!$2:$2,0)-MATCH($G$1,[2]stages!$2:$2,0)+1,FALSE)</f>
        <v>【ストーリー】バレンタイン狂騒曲</v>
      </c>
      <c r="I2" s="21">
        <v>1</v>
      </c>
      <c r="J2" s="12">
        <v>15</v>
      </c>
      <c r="K2" s="12">
        <v>15</v>
      </c>
    </row>
    <row r="3" spans="1:11" ht="21" customHeight="1">
      <c r="A3" s="16" t="str">
        <f>G3&amp;"-"&amp;I3</f>
        <v>11218_1-2</v>
      </c>
      <c r="B3" s="16" t="str">
        <f>IF(COUNTIF(enemy_habitats!$H:$H,A3),"OK","NG")</f>
        <v>OK</v>
      </c>
      <c r="C3" s="7">
        <v>11218</v>
      </c>
      <c r="D3" s="11" t="str">
        <f ca="1">VLOOKUP($C3,OFFSET([2]quests!$A$1,0,0,COUNTA([2]quests!$A:$A),MATCH(D$1,[2]quests!$1:$1,0)-MATCH($C$1,[2]quests!$1:$1,0)+1),MATCH(D$1,[2]quests!$1:$1,0)-MATCH($C$1,[2]quests!$1:$1,0)+1,FALSE)</f>
        <v>バレンタイン★特別クエスト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2016年バレンタインクエスト</v>
      </c>
      <c r="F3" s="21">
        <v>1</v>
      </c>
      <c r="G3" s="23" t="str">
        <f>C3&amp;"_"&amp;F3</f>
        <v>11218_1</v>
      </c>
      <c r="H3" s="15" t="str">
        <f ca="1">VLOOKUP($G3,OFFSET([2]stages!$A$1,0,0,COUNTA([2]stages!$A:$A),MATCH(H$1,[2]stages!$2:$2,0)-MATCH($G$1,[2]stages!$2:$2,0)+1),MATCH(H$1,[2]stages!$2:$2,0)-MATCH($G$1,[2]stages!$2:$2,0)+1,FALSE)</f>
        <v>【ストーリー】バレンタイン狂騒曲</v>
      </c>
      <c r="I3" s="21">
        <v>2</v>
      </c>
      <c r="J3" s="12">
        <v>50</v>
      </c>
      <c r="K3" s="12">
        <v>50</v>
      </c>
    </row>
    <row r="4" spans="1:11" ht="21" customHeight="1">
      <c r="A4" s="16" t="str">
        <f>G4&amp;"-"&amp;I4</f>
        <v>11218_1-3</v>
      </c>
      <c r="B4" s="16" t="str">
        <f>IF(COUNTIF(enemy_habitats!$H:$H,A4),"OK","NG")</f>
        <v>OK</v>
      </c>
      <c r="C4" s="7">
        <v>11218</v>
      </c>
      <c r="D4" s="11" t="str">
        <f ca="1">VLOOKUP($C4,OFFSET([2]quests!$A$1,0,0,COUNTA([2]quests!$A:$A),MATCH(D$1,[2]quests!$1:$1,0)-MATCH($C$1,[2]quests!$1:$1,0)+1),MATCH(D$1,[2]quests!$1:$1,0)-MATCH($C$1,[2]quests!$1:$1,0)+1,FALSE)</f>
        <v>バレンタイン★特別クエスト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2016年バレンタインクエスト</v>
      </c>
      <c r="F4" s="21">
        <v>1</v>
      </c>
      <c r="G4" s="23" t="str">
        <f>C4&amp;"_"&amp;F4</f>
        <v>11218_1</v>
      </c>
      <c r="H4" s="15" t="str">
        <f ca="1">VLOOKUP($G4,OFFSET([2]stages!$A$1,0,0,COUNTA([2]stages!$A:$A),MATCH(H$1,[2]stages!$2:$2,0)-MATCH($G$1,[2]stages!$2:$2,0)+1),MATCH(H$1,[2]stages!$2:$2,0)-MATCH($G$1,[2]stages!$2:$2,0)+1,FALSE)</f>
        <v>【ストーリー】バレンタイン狂騒曲</v>
      </c>
      <c r="I4" s="21">
        <v>3</v>
      </c>
      <c r="J4" s="12">
        <v>50</v>
      </c>
      <c r="K4" s="12">
        <v>50</v>
      </c>
    </row>
    <row r="5" spans="1:11" ht="21" customHeight="1">
      <c r="A5" s="16" t="str">
        <f>G5&amp;"-"&amp;I5</f>
        <v>11218_1-4</v>
      </c>
      <c r="B5" s="16" t="str">
        <f>IF(COUNTIF(enemy_habitats!$H:$H,A5),"OK","NG")</f>
        <v>OK</v>
      </c>
      <c r="C5" s="7">
        <v>11218</v>
      </c>
      <c r="D5" s="11" t="str">
        <f ca="1">VLOOKUP($C5,OFFSET([2]quests!$A$1,0,0,COUNTA([2]quests!$A:$A),MATCH(D$1,[2]quests!$1:$1,0)-MATCH($C$1,[2]quests!$1:$1,0)+1),MATCH(D$1,[2]quests!$1:$1,0)-MATCH($C$1,[2]quests!$1:$1,0)+1,FALSE)</f>
        <v>バレンタイン★特別クエスト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2016年バレンタインクエスト</v>
      </c>
      <c r="F5" s="21">
        <v>1</v>
      </c>
      <c r="G5" s="23" t="str">
        <f>C5&amp;"_"&amp;F5</f>
        <v>11218_1</v>
      </c>
      <c r="H5" s="15" t="str">
        <f ca="1">VLOOKUP($G5,OFFSET([2]stages!$A$1,0,0,COUNTA([2]stages!$A:$A),MATCH(H$1,[2]stages!$2:$2,0)-MATCH($G$1,[2]stages!$2:$2,0)+1),MATCH(H$1,[2]stages!$2:$2,0)-MATCH($G$1,[2]stages!$2:$2,0)+1,FALSE)</f>
        <v>【ストーリー】バレンタイン狂騒曲</v>
      </c>
      <c r="I5" s="21">
        <v>4</v>
      </c>
      <c r="J5" s="12">
        <v>60</v>
      </c>
      <c r="K5" s="12">
        <v>60</v>
      </c>
    </row>
    <row r="6" spans="1:11" ht="21" customHeight="1">
      <c r="A6" s="16" t="str">
        <f>G6&amp;"-"&amp;I6</f>
        <v>11218_1-5</v>
      </c>
      <c r="B6" s="16" t="str">
        <f>IF(COUNTIF(enemy_habitats!$H:$H,A6),"OK","NG")</f>
        <v>OK</v>
      </c>
      <c r="C6" s="7">
        <v>11218</v>
      </c>
      <c r="D6" s="11" t="str">
        <f ca="1">VLOOKUP($C6,OFFSET([2]quests!$A$1,0,0,COUNTA([2]quests!$A:$A),MATCH(D$1,[2]quests!$1:$1,0)-MATCH($C$1,[2]quests!$1:$1,0)+1),MATCH(D$1,[2]quests!$1:$1,0)-MATCH($C$1,[2]quests!$1:$1,0)+1,FALSE)</f>
        <v>バレンタイン★特別クエスト</v>
      </c>
      <c r="E6" s="18" t="str">
        <f ca="1">VLOOKUP($C6,OFFSET([2]quests!$A$1,0,0,COUNTA([2]quests!$A:$A),MATCH(E$1,[2]quests!$1:$1,0)-MATCH($C$1,[2]quests!$1:$1,0)+1),MATCH(E$1,[2]quests!$1:$1,0)-MATCH($C$1,[2]quests!$1:$1,0)+1,FALSE)</f>
        <v>2016年バレンタインクエスト</v>
      </c>
      <c r="F6" s="21">
        <v>1</v>
      </c>
      <c r="G6" s="23" t="str">
        <f>C6&amp;"_"&amp;F6</f>
        <v>11218_1</v>
      </c>
      <c r="H6" s="15" t="str">
        <f ca="1">VLOOKUP($G6,OFFSET([2]stages!$A$1,0,0,COUNTA([2]stages!$A:$A),MATCH(H$1,[2]stages!$2:$2,0)-MATCH($G$1,[2]stages!$2:$2,0)+1),MATCH(H$1,[2]stages!$2:$2,0)-MATCH($G$1,[2]stages!$2:$2,0)+1,FALSE)</f>
        <v>【ストーリー】バレンタイン狂騒曲</v>
      </c>
      <c r="I6" s="21">
        <v>5</v>
      </c>
      <c r="J6" s="12">
        <v>50</v>
      </c>
      <c r="K6" s="12">
        <v>50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N13"/>
  <sheetViews>
    <sheetView showGridLines="0" zoomScale="75" zoomScaleNormal="75" zoomScalePageLayoutView="75" workbookViewId="0">
      <pane xSplit="17" ySplit="1" topLeftCell="AA2" activePane="bottomRight" state="frozen"/>
      <selection pane="topRight" activeCell="N1" sqref="N1"/>
      <selection pane="bottomLeft" activeCell="A2" sqref="A2"/>
      <selection pane="bottomRight" activeCell="AN13" sqref="AN13"/>
    </sheetView>
  </sheetViews>
  <sheetFormatPr baseColWidth="12" defaultColWidth="13" defaultRowHeight="21" customHeight="1" outlineLevelCol="1" x14ac:dyDescent="0"/>
  <cols>
    <col min="1" max="1" width="15.83203125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10" width="12.33203125" style="3" customWidth="1" outlineLevel="1"/>
    <col min="11" max="11" width="12.33203125" style="3" customWidth="1"/>
    <col min="12" max="12" width="13.5" style="9" bestFit="1" customWidth="1"/>
    <col min="13" max="13" width="8.83203125" style="3" customWidth="1" outlineLevel="1"/>
    <col min="14" max="14" width="8.6640625" style="3" customWidth="1" outlineLevel="1"/>
    <col min="15" max="15" width="12" style="3" customWidth="1" outlineLevel="1"/>
    <col min="16" max="16" width="21" style="3" customWidth="1" outlineLevel="1"/>
    <col min="17" max="17" width="8" style="3" customWidth="1" outlineLevel="1"/>
    <col min="18" max="18" width="8.33203125" style="3" bestFit="1" customWidth="1"/>
    <col min="19" max="19" width="14.83203125" style="3" bestFit="1" customWidth="1"/>
    <col min="20" max="20" width="17.5" style="3" bestFit="1" customWidth="1"/>
    <col min="21" max="21" width="18.33203125" style="3" bestFit="1" customWidth="1"/>
    <col min="22" max="22" width="10" style="3" customWidth="1"/>
    <col min="23" max="23" width="12.1640625" style="3" customWidth="1" outlineLevel="1"/>
    <col min="24" max="24" width="11.33203125" style="3" bestFit="1" customWidth="1"/>
    <col min="25" max="25" width="11.6640625" style="3" bestFit="1" customWidth="1"/>
    <col min="26" max="26" width="10.6640625" style="3" bestFit="1" customWidth="1"/>
    <col min="27" max="27" width="9.33203125" style="3" bestFit="1" customWidth="1"/>
    <col min="28" max="28" width="13" style="3" bestFit="1" customWidth="1"/>
    <col min="29" max="29" width="8.83203125" style="13" bestFit="1" customWidth="1" outlineLevel="1"/>
    <col min="30" max="30" width="8" style="14" bestFit="1" customWidth="1" outlineLevel="1"/>
    <col min="31" max="31" width="12" style="14" bestFit="1" customWidth="1" outlineLevel="1"/>
    <col min="32" max="32" width="15" style="10" bestFit="1" customWidth="1" collapsed="1"/>
    <col min="33" max="34" width="14.83203125" style="3" bestFit="1" customWidth="1"/>
    <col min="35" max="35" width="6.6640625" style="3" bestFit="1" customWidth="1"/>
    <col min="36" max="36" width="9.33203125" style="3" bestFit="1" customWidth="1"/>
    <col min="37" max="37" width="10.33203125" style="3" bestFit="1" customWidth="1"/>
    <col min="38" max="38" width="7.6640625" style="3" bestFit="1" customWidth="1"/>
    <col min="39" max="39" width="4" style="3" bestFit="1" customWidth="1"/>
    <col min="40" max="16384" width="13" style="3"/>
  </cols>
  <sheetData>
    <row r="1" spans="1:40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26" t="s">
        <v>50</v>
      </c>
      <c r="U1" s="26" t="s">
        <v>52</v>
      </c>
      <c r="V1" s="29" t="s">
        <v>31</v>
      </c>
      <c r="W1" s="28" t="s">
        <v>4</v>
      </c>
      <c r="X1" s="28" t="s">
        <v>5</v>
      </c>
      <c r="Y1" s="28" t="s">
        <v>6</v>
      </c>
      <c r="Z1" s="28" t="s">
        <v>7</v>
      </c>
      <c r="AA1" s="28" t="s">
        <v>8</v>
      </c>
      <c r="AB1" s="33" t="s">
        <v>9</v>
      </c>
      <c r="AC1" s="34" t="s">
        <v>16</v>
      </c>
      <c r="AD1" s="34" t="s">
        <v>17</v>
      </c>
      <c r="AE1" s="34" t="s">
        <v>27</v>
      </c>
      <c r="AF1" s="33" t="s">
        <v>10</v>
      </c>
      <c r="AG1" s="28" t="s">
        <v>11</v>
      </c>
      <c r="AH1" s="28" t="s">
        <v>12</v>
      </c>
      <c r="AI1" s="28" t="s">
        <v>38</v>
      </c>
      <c r="AJ1" s="28" t="s">
        <v>40</v>
      </c>
      <c r="AK1" s="28" t="s">
        <v>42</v>
      </c>
      <c r="AL1" s="28" t="s">
        <v>44</v>
      </c>
      <c r="AM1" s="28" t="s">
        <v>46</v>
      </c>
      <c r="AN1" s="36" t="s">
        <v>181</v>
      </c>
    </row>
    <row r="2" spans="1:40" ht="21" customHeight="1">
      <c r="A2" s="16" t="str">
        <f t="shared" ref="A2:A11" ca="1" si="0">B2&amp;"_"&amp;C2&amp;"-"&amp;G2&amp;"/"&amp;L2&amp;"&lt;lv"&amp;R2&amp;"&gt;s"&amp;AA2</f>
        <v>11218_1-1/332&lt;lv1&gt;s1</v>
      </c>
      <c r="B2" s="22">
        <v>11218</v>
      </c>
      <c r="C2" s="21">
        <v>1</v>
      </c>
      <c r="D2" s="2" t="str">
        <f t="shared" ref="D2:D11" si="1">B2&amp;"_"&amp;C2</f>
        <v>11218_1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バレンタイン★特別クエスト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【ストーリー】バレンタイン狂騒曲</v>
      </c>
      <c r="G2" s="21">
        <v>1</v>
      </c>
      <c r="H2" s="15" t="str">
        <f t="shared" ref="H2:H11" si="2">B2&amp;"_"&amp;C2&amp;"-"&amp;G2</f>
        <v>11218_1-1</v>
      </c>
      <c r="I2" s="4">
        <f ca="1">VLOOKUP($H2,OFFSET(floors!$A$1,0,0,COUNTA(floors!$A:$A),MATCH(I$1,floors!$1:$1,0)-MATCH($H$1,floors!$1:$1,0)+1),MATCH(I$1,floors!$1:$1,0)-MATCH($H$1,floors!$1:$1,0)+1,FALSE)</f>
        <v>15</v>
      </c>
      <c r="J2" s="4">
        <f ca="1">VLOOKUP($H2,OFFSET(floors!$A$1,0,0,COUNTA(floors!$A:$A),MATCH(J$1,floors!$1:$1,0)-MATCH($H$1,floors!$1:$1,0)+1),MATCH(J$1,floors!$1:$1,0)-MATCH($H$1,floors!$1:$1,0)+1,FALSE)</f>
        <v>15</v>
      </c>
      <c r="K2" s="38" t="s">
        <v>53</v>
      </c>
      <c r="L2" s="20">
        <v>332</v>
      </c>
      <c r="M2" s="17" t="str">
        <f ca="1">VLOOKUP($L2,OFFSET([3]enemies!$A$1,0,0,COUNTA([3]enemies!$A:$A),MATCH(M$1,[3]enemies!$1:$1,0)-MATCH($L$1,[3]enemies!$1:$1,0)+1),MATCH(M$1,[3]enemies!$1:$1,0)-MATCH($L$1,[3]enemies!$1:$1,0)+1,FALSE)</f>
        <v>炎のメタルピヨピヨ</v>
      </c>
      <c r="N2" s="17" t="str">
        <f ca="1">VLOOKUP($L2,OFFSET([3]enemies!$A$1,0,0,COUNTA([3]enemies!$A:$A),MATCH(N$1,[3]enemies!$1:$1,0)-MATCH($L$1,[3]enemies!$1:$1,0)+1),MATCH(N$1,[3]enemies!$1:$1,0)-MATCH($L$1,[3]enemies!$1:$1,0)+1,FALSE)</f>
        <v>red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Material</v>
      </c>
      <c r="P2" s="17" t="str">
        <f ca="1">VLOOKUP($L2,OFFSET([3]enemies!$A$1,0,0,COUNTA([3]enemies!$A:$A),MATCH(P$1,[3]enemies!$1:$1,0)-MATCH($L$1,[3]enemies!$1:$1,0)+1),MATCH(P$1,[3]enemies!$1:$1,0)-MATCH($L$1,[3]enemies!$1:$1,0)+1,FALSE)</f>
        <v>unknown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1</v>
      </c>
      <c r="S2" s="25">
        <v>1</v>
      </c>
      <c r="T2" s="25">
        <v>1</v>
      </c>
      <c r="U2" s="5">
        <v>0</v>
      </c>
      <c r="V2" s="4" t="str">
        <f ca="1">VLOOKUP($W2,OFFSET(enemy_skill_sets!$B$1,0,0,COUNTA(enemy_skill_sets!$B:$B),MATCH(M$1,enemy_skill_sets!$1:$1,0)-MATCH($W$1,enemy_skill_sets!$1:$1,0)+2),MATCH(M$1,enemy_skill_sets!$1:$1,0)-MATCH($W$1,enemy_skill_sets!$1:$1,0)+2,FALSE)</f>
        <v>「バレンタイン 狂騒曲」</v>
      </c>
      <c r="W2" s="47">
        <v>11218100</v>
      </c>
      <c r="X2" s="6">
        <v>1</v>
      </c>
      <c r="Y2" s="6">
        <v>100</v>
      </c>
      <c r="Z2" s="6">
        <v>0</v>
      </c>
      <c r="AA2" s="17">
        <f ca="1">VLOOKUP($L2,OFFSET([3]enemies!$A$1,0,0,COUNTA([3]enemies!$A:$A),MATCH(AA$1,[3]enemies!$1:$1,0)-MATCH($L$1,[3]enemies!$1:$1,0)+1),MATCH(AA$1,[3]enemies!$1:$1,0)-MATCH($L$1,[3]enemies!$1:$1,0)+1,FALSE)</f>
        <v>1</v>
      </c>
      <c r="AB2" s="24">
        <f t="shared" ref="AB2:AB11" si="3">L2</f>
        <v>332</v>
      </c>
      <c r="AC2" s="4" t="str">
        <f ca="1">VLOOKUP($AB2,OFFSET([4]characters!$A$1,0,0,COUNTA([4]characters!$A:$A),MATCH(AC$1,[4]characters!$1:$1,0)-MATCH("character_id",[4]characters!$1:$1,0)+1),MATCH(AC$1,[4]characters!$1:$1,0)-MATCH("character_id",[4]characters!$1:$1,0)+1,FALSE)</f>
        <v>炎のメタルピヨピヨ</v>
      </c>
      <c r="AD2" s="4">
        <f ca="1">VLOOKUP($AB2,OFFSET([4]characters!$A$1,0,0,COUNTA([4]characters!$A:$A),MATCH(AD$1,[4]characters!$1:$1,0)-MATCH("character_id",[4]characters!$1:$1,0)+1),MATCH(AD$1,[4]characters!$1:$1,0)-MATCH("character_id",[4]characters!$1:$1,0)+1,FALSE)</f>
        <v>3</v>
      </c>
      <c r="AE2" s="4" t="str">
        <f ca="1">VLOOKUP($AB2,OFFSET([4]characters!$A$1,0,0,COUNTA([4]characters!$A:$A),MATCH(AE$1,[4]characters!$1:$1,0)-MATCH("character_id",[4]characters!$1:$1,0)+1),MATCH(AE$1,[4]characters!$1:$1,0)-MATCH("character_id",[4]characters!$1:$1,0)+1,FALSE)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2" s="7">
        <v>1</v>
      </c>
      <c r="AG2" s="24">
        <f t="shared" ref="AG2:AG11" ca="1" si="4">AD2</f>
        <v>3</v>
      </c>
      <c r="AH2" s="8">
        <v>0</v>
      </c>
      <c r="AI2" s="7">
        <v>0</v>
      </c>
      <c r="AJ2" s="7">
        <v>0</v>
      </c>
      <c r="AK2" s="7">
        <v>0</v>
      </c>
      <c r="AL2" s="7">
        <v>0</v>
      </c>
      <c r="AM2" s="7">
        <v>1</v>
      </c>
      <c r="AN2" s="69">
        <v>1</v>
      </c>
    </row>
    <row r="3" spans="1:40" ht="21" customHeight="1">
      <c r="A3" s="16" t="str">
        <f t="shared" ca="1" si="0"/>
        <v>11218_1-2/15&lt;lv1&gt;s3</v>
      </c>
      <c r="B3" s="22">
        <v>11218</v>
      </c>
      <c r="C3" s="21">
        <v>1</v>
      </c>
      <c r="D3" s="2" t="str">
        <f t="shared" si="1"/>
        <v>11218_1</v>
      </c>
      <c r="E3" s="4" t="str">
        <f ca="1">VLOOKUP($B3,OFFSET([2]quests!$A$1,0,0,COUNTA([2]quests!$A:$A),MATCH(E$1,[2]quests!$1:$1,0)-MATCH($B$1,[2]quests!$1:$1,0)+1),MATCH(E$1,[2]quests!$1:$1,0)-MATCH($B$1,[2]quests!$1:$1,0)+1,FALSE)</f>
        <v>バレンタイン★特別クエスト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【ストーリー】バレンタイン狂騒曲</v>
      </c>
      <c r="G3" s="21">
        <v>2</v>
      </c>
      <c r="H3" s="15" t="str">
        <f t="shared" si="2"/>
        <v>11218_1-2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 t="s">
        <v>53</v>
      </c>
      <c r="L3" s="20">
        <v>15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アカネ</v>
      </c>
      <c r="N3" s="17" t="str">
        <f ca="1">VLOOKUP($L3,OFFSET([3]enemies!$A$1,0,0,COUNTA([3]enemies!$A:$A),MATCH(N$1,[3]enemies!$1:$1,0)-MATCH($L$1,[3]enemies!$1:$1,0)+1),MATCH(N$1,[3]enemies!$1:$1,0)-MATCH($L$1,[3]enemies!$1:$1,0)+1,FALSE)</f>
        <v>red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Drop1W</v>
      </c>
      <c r="P3" s="17" t="str">
        <f ca="1">VLOOKUP($L3,OFFSET([3]enemies!$A$1,0,0,COUNTA([3]enemies!$A:$A),MATCH(P$1,[3]enemies!$1:$1,0)-MATCH($L$1,[3]enemies!$1:$1,0)+1),MATCH(P$1,[3]enemies!$1:$1,0)-MATCH($L$1,[3]enemies!$1:$1,0)+1,FALSE)</f>
        <v>human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1</v>
      </c>
      <c r="S3" s="25">
        <v>1</v>
      </c>
      <c r="T3" s="25">
        <v>1</v>
      </c>
      <c r="U3" s="5">
        <v>0</v>
      </c>
      <c r="V3" s="4" t="str">
        <f ca="1">VLOOKUP($W3,OFFSET(enemy_skill_sets!$B$1,0,0,COUNTA(enemy_skill_sets!$B:$B),MATCH(M$1,enemy_skill_sets!$1:$1,0)-MATCH($W$1,enemy_skill_sets!$1:$1,0)+2),MATCH(M$1,enemy_skill_sets!$1:$1,0)-MATCH($W$1,enemy_skill_sets!$1:$1,0)+2,FALSE)</f>
        <v>手作りチョコを 抱きしめている</v>
      </c>
      <c r="W3" s="47">
        <v>11218200</v>
      </c>
      <c r="X3" s="6">
        <v>1</v>
      </c>
      <c r="Y3" s="6">
        <v>100</v>
      </c>
      <c r="Z3" s="6">
        <v>2</v>
      </c>
      <c r="AA3" s="17">
        <f ca="1">VLOOKUP($L3,OFFSET([3]enemies!$A$1,0,0,COUNTA([3]enemies!$A:$A),MATCH(AA$1,[3]enemies!$1:$1,0)-MATCH($L$1,[3]enemies!$1:$1,0)+1),MATCH(AA$1,[3]enemies!$1:$1,0)-MATCH($L$1,[3]enemies!$1:$1,0)+1,FALSE)</f>
        <v>3</v>
      </c>
      <c r="AB3" s="24">
        <f t="shared" si="3"/>
        <v>15</v>
      </c>
      <c r="AC3" s="4" t="str">
        <f ca="1">VLOOKUP($AB3,OFFSET([4]characters!$A$1,0,0,COUNTA([4]characters!$A:$A),MATCH(AC$1,[4]characters!$1:$1,0)-MATCH("character_id",[4]characters!$1:$1,0)+1),MATCH(AC$1,[4]characters!$1:$1,0)-MATCH("character_id",[4]characters!$1:$1,0)+1,FALSE)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3" s="4">
        <f ca="1">VLOOKUP($AB3,OFFSET([4]characters!$A$1,0,0,COUNTA([4]characters!$A:$A),MATCH(AD$1,[4]characters!$1:$1,0)-MATCH("character_id",[4]characters!$1:$1,0)+1),MATCH(AD$1,[4]characters!$1:$1,0)-MATCH("character_id",[4]characters!$1:$1,0)+1,FALSE)</f>
        <v>1</v>
      </c>
      <c r="AE3" s="4" t="str">
        <f ca="1">VLOOKUP($AB3,OFFSET([4]characters!$A$1,0,0,COUNTA([4]characters!$A:$A),MATCH(AE$1,[4]characters!$1:$1,0)-MATCH("character_id",[4]characters!$1:$1,0)+1),MATCH(AE$1,[4]characters!$1:$1,0)-MATCH("character_id",[4]characters!$1:$1,0)+1,FALSE)</f>
        <v>Drop1W</v>
      </c>
      <c r="AF3" s="7">
        <v>1</v>
      </c>
      <c r="AG3" s="24">
        <f t="shared" ca="1" si="4"/>
        <v>1</v>
      </c>
      <c r="AH3" s="8">
        <v>0</v>
      </c>
      <c r="AI3" s="7">
        <v>0</v>
      </c>
      <c r="AJ3" s="7">
        <v>0</v>
      </c>
      <c r="AK3" s="7">
        <v>0</v>
      </c>
      <c r="AL3" s="7">
        <v>0</v>
      </c>
      <c r="AM3" s="7">
        <v>1</v>
      </c>
      <c r="AN3" s="69">
        <v>1</v>
      </c>
    </row>
    <row r="4" spans="1:40" ht="21" customHeight="1">
      <c r="A4" s="16" t="str">
        <f t="shared" ca="1" si="0"/>
        <v>11218_1-2/79&lt;lv1&gt;s2</v>
      </c>
      <c r="B4" s="22">
        <v>11218</v>
      </c>
      <c r="C4" s="21">
        <v>1</v>
      </c>
      <c r="D4" s="2" t="str">
        <f t="shared" si="1"/>
        <v>11218_1</v>
      </c>
      <c r="E4" s="4" t="str">
        <f ca="1">VLOOKUP($B4,OFFSET([2]quests!$A$1,0,0,COUNTA([2]quests!$A:$A),MATCH(E$1,[2]quests!$1:$1,0)-MATCH($B$1,[2]quests!$1:$1,0)+1),MATCH(E$1,[2]quests!$1:$1,0)-MATCH($B$1,[2]quests!$1:$1,0)+1,FALSE)</f>
        <v>バレンタイン★特別クエスト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【ストーリー】バレンタイン狂騒曲</v>
      </c>
      <c r="G4" s="21">
        <v>2</v>
      </c>
      <c r="H4" s="15" t="str">
        <f t="shared" si="2"/>
        <v>11218_1-2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 t="s">
        <v>253</v>
      </c>
      <c r="L4" s="20">
        <v>79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ハッピー100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PremiumW</v>
      </c>
      <c r="P4" s="17" t="str">
        <f ca="1">VLOOKUP($L4,OFFSET([3]enemies!$A$1,0,0,COUNTA([3]enemies!$A:$A),MATCH(P$1,[3]enemies!$1:$1,0)-MATCH($L$1,[3]enemies!$1:$1,0)+1),MATCH(P$1,[3]enemies!$1:$1,0)-MATCH($L$1,[3]enemies!$1:$1,0)+1,FALSE)</f>
        <v>unknown</v>
      </c>
      <c r="Q4" s="17">
        <f ca="1">VLOOKUP($L4,OFFSET([3]enemies!$A$1,0,0,COUNTA([3]enemies!$A:$A),MATCH(Q$1,[3]enemies!$1:$1,0)-MATCH($L$1,[3]enemies!$1:$1,0)+1),MATCH(Q$1,[3]enemies!$1:$1,0)-MATCH($L$1,[3]enemies!$1:$1,0)+1,FALSE)</f>
        <v>20</v>
      </c>
      <c r="R4" s="5">
        <v>1</v>
      </c>
      <c r="S4" s="25">
        <v>1</v>
      </c>
      <c r="T4" s="25">
        <v>1</v>
      </c>
      <c r="U4" s="5">
        <v>0</v>
      </c>
      <c r="V4" s="4" t="str">
        <f ca="1">VLOOKUP($W4,OFFSET(enemy_skill_sets!$B$1,0,0,COUNTA(enemy_skill_sets!$B:$B),MATCH(M$1,enemy_skill_sets!$1:$1,0)-MATCH($W$1,enemy_skill_sets!$1:$1,0)+2),MATCH(M$1,enemy_skill_sets!$1:$1,0)-MATCH($W$1,enemy_skill_sets!$1:$1,0)+2,FALSE)</f>
        <v>幸せそうに 去っていった</v>
      </c>
      <c r="W4" s="47">
        <v>11218220</v>
      </c>
      <c r="X4" s="6">
        <v>1</v>
      </c>
      <c r="Y4" s="6">
        <v>100</v>
      </c>
      <c r="Z4" s="6">
        <v>1</v>
      </c>
      <c r="AA4" s="17">
        <f ca="1">VLOOKUP($L4,OFFSET([3]enemies!$A$1,0,0,COUNTA([3]enemies!$A:$A),MATCH(AA$1,[3]enemies!$1:$1,0)-MATCH($L$1,[3]enemies!$1:$1,0)+1),MATCH(AA$1,[3]enemies!$1:$1,0)-MATCH($L$1,[3]enemies!$1:$1,0)+1,FALSE)</f>
        <v>2</v>
      </c>
      <c r="AB4" s="24">
        <f t="shared" si="3"/>
        <v>79</v>
      </c>
      <c r="AC4" s="4" t="str">
        <f ca="1">VLOOKUP($AB4,OFFSET([4]characters!$A$1,0,0,COUNTA([4]characters!$A:$A),MATCH(AC$1,[4]characters!$1:$1,0)-MATCH("character_id",[4]characters!$1:$1,0)+1),MATCH(AC$1,[4]characters!$1:$1,0)-MATCH("character_id",[4]characters!$1:$1,0)+1,FALSE)</f>
        <v>ハッピー100</v>
      </c>
      <c r="AD4" s="4">
        <f ca="1">VLOOKUP($AB4,OFFSET([4]characters!$A$1,0,0,COUNTA([4]characters!$A:$A),MATCH(AD$1,[4]characters!$1:$1,0)-MATCH("character_id",[4]characters!$1:$1,0)+1),MATCH(AD$1,[4]characters!$1:$1,0)-MATCH("character_id",[4]characters!$1:$1,0)+1,FALSE)</f>
        <v>3</v>
      </c>
      <c r="AE4" s="4" t="str">
        <f ca="1">VLOOKUP($AB4,OFFSET([4]characters!$A$1,0,0,COUNTA([4]characters!$A:$A),MATCH(AE$1,[4]characters!$1:$1,0)-MATCH("character_id",[4]characters!$1:$1,0)+1),MATCH(AE$1,[4]characters!$1:$1,0)-MATCH("character_id",[4]characters!$1:$1,0)+1,FALSE)</f>
        <v>PremiumW</v>
      </c>
      <c r="AF4" s="7">
        <v>1</v>
      </c>
      <c r="AG4" s="24">
        <f t="shared" ca="1" si="4"/>
        <v>3</v>
      </c>
      <c r="AH4" s="8">
        <v>0</v>
      </c>
      <c r="AI4" s="7">
        <v>0</v>
      </c>
      <c r="AJ4" s="7">
        <v>0</v>
      </c>
      <c r="AK4" s="7">
        <v>0</v>
      </c>
      <c r="AL4" s="7">
        <v>0</v>
      </c>
      <c r="AM4" s="7">
        <v>1</v>
      </c>
      <c r="AN4" s="69">
        <v>1</v>
      </c>
    </row>
    <row r="5" spans="1:40" ht="21" customHeight="1">
      <c r="A5" s="16" t="str">
        <f t="shared" ca="1" si="0"/>
        <v>11218_1-2/55&lt;lv1&gt;s4</v>
      </c>
      <c r="B5" s="22">
        <v>11218</v>
      </c>
      <c r="C5" s="21">
        <v>1</v>
      </c>
      <c r="D5" s="2" t="str">
        <f t="shared" si="1"/>
        <v>11218_1</v>
      </c>
      <c r="E5" s="4" t="str">
        <f ca="1">VLOOKUP($B5,OFFSET([2]quests!$A$1,0,0,COUNTA([2]quests!$A:$A),MATCH(E$1,[2]quests!$1:$1,0)-MATCH($B$1,[2]quests!$1:$1,0)+1),MATCH(E$1,[2]quests!$1:$1,0)-MATCH($B$1,[2]quests!$1:$1,0)+1,FALSE)</f>
        <v>バレンタイン★特別クエスト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【ストーリー】バレンタイン狂騒曲</v>
      </c>
      <c r="G5" s="21">
        <v>2</v>
      </c>
      <c r="H5" s="15" t="str">
        <f t="shared" si="2"/>
        <v>11218_1-2</v>
      </c>
      <c r="I5" s="4">
        <f ca="1">VLOOKUP($H5,OFFSET(floors!$A$1,0,0,COUNTA(floors!$A:$A),MATCH(I$1,floors!$1:$1,0)-MATCH($H$1,floors!$1:$1,0)+1),MATCH(I$1,floors!$1:$1,0)-MATCH($H$1,floors!$1:$1,0)+1,FALSE)</f>
        <v>50</v>
      </c>
      <c r="J5" s="4">
        <f ca="1">VLOOKUP($H5,OFFSET(floors!$A$1,0,0,COUNTA(floors!$A:$A),MATCH(J$1,floors!$1:$1,0)-MATCH($H$1,floors!$1:$1,0)+1),MATCH(J$1,floors!$1:$1,0)-MATCH($H$1,floors!$1:$1,0)+1,FALSE)</f>
        <v>50</v>
      </c>
      <c r="K5" s="38" t="s">
        <v>53</v>
      </c>
      <c r="L5" s="20">
        <v>55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マミコ</v>
      </c>
      <c r="N5" s="17" t="str">
        <f ca="1">VLOOKUP($L5,OFFSET([3]enemies!$A$1,0,0,COUNTA([3]enemies!$A:$A),MATCH(N$1,[3]enemies!$1:$1,0)-MATCH($L$1,[3]enemies!$1:$1,0)+1),MATCH(N$1,[3]enemies!$1:$1,0)-MATCH($L$1,[3]enemies!$1:$1,0)+1,FALSE)</f>
        <v>yellow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human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1</v>
      </c>
      <c r="S5" s="25">
        <v>1</v>
      </c>
      <c r="T5" s="25">
        <v>1</v>
      </c>
      <c r="U5" s="5">
        <v>0</v>
      </c>
      <c r="V5" s="4" t="str">
        <f ca="1">VLOOKUP($W5,OFFSET(enemy_skill_sets!$B$1,0,0,COUNTA(enemy_skill_sets!$B:$B),MATCH(M$1,enemy_skill_sets!$1:$1,0)-MATCH($W$1,enemy_skill_sets!$1:$1,0)+2),MATCH(M$1,enemy_skill_sets!$1:$1,0)-MATCH($W$1,enemy_skill_sets!$1:$1,0)+2,FALSE)</f>
        <v>あこがれの人に あげるつもりだ</v>
      </c>
      <c r="W5" s="47">
        <v>11218210</v>
      </c>
      <c r="X5" s="6">
        <v>1</v>
      </c>
      <c r="Y5" s="6">
        <v>100</v>
      </c>
      <c r="Z5" s="6">
        <v>0</v>
      </c>
      <c r="AA5" s="17">
        <f ca="1">VLOOKUP($L5,OFFSET([3]enemies!$A$1,0,0,COUNTA([3]enemies!$A:$A),MATCH(AA$1,[3]enemies!$1:$1,0)-MATCH($L$1,[3]enemies!$1:$1,0)+1),MATCH(AA$1,[3]enemies!$1:$1,0)-MATCH($L$1,[3]enemies!$1:$1,0)+1,FALSE)</f>
        <v>4</v>
      </c>
      <c r="AB5" s="24">
        <f t="shared" si="3"/>
        <v>55</v>
      </c>
      <c r="AC5" s="4" t="str">
        <f ca="1">VLOOKUP($AB5,OFFSET([4]characters!$A$1,0,0,COUNTA([4]characters!$A:$A),MATCH(AC$1,[4]characters!$1:$1,0)-MATCH("character_id",[4]characters!$1:$1,0)+1),MATCH(AC$1,[4]characters!$1:$1,0)-MATCH("character_id",[4]characters!$1:$1,0)+1,FALSE)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5" s="4">
        <f ca="1">VLOOKUP($AB5,OFFSET([4]characters!$A$1,0,0,COUNTA([4]characters!$A:$A),MATCH(AD$1,[4]characters!$1:$1,0)-MATCH("character_id",[4]characters!$1:$1,0)+1),MATCH(AD$1,[4]characters!$1:$1,0)-MATCH("character_id",[4]characters!$1:$1,0)+1,FALSE)</f>
        <v>2</v>
      </c>
      <c r="AE5" s="4" t="str">
        <f ca="1">VLOOKUP($AB5,OFFSET([4]characters!$A$1,0,0,COUNTA([4]characters!$A:$A),MATCH(AE$1,[4]characters!$1:$1,0)-MATCH("character_id",[4]characters!$1:$1,0)+1),MATCH(AE$1,[4]characters!$1:$1,0)-MATCH("character_id",[4]characters!$1:$1,0)+1,FALSE)</f>
        <v>Drop1N</v>
      </c>
      <c r="AF5" s="7">
        <v>1</v>
      </c>
      <c r="AG5" s="24">
        <f t="shared" ca="1" si="4"/>
        <v>2</v>
      </c>
      <c r="AH5" s="8">
        <v>0</v>
      </c>
      <c r="AI5" s="7">
        <v>0</v>
      </c>
      <c r="AJ5" s="7">
        <v>0</v>
      </c>
      <c r="AK5" s="7">
        <v>0</v>
      </c>
      <c r="AL5" s="7">
        <v>0</v>
      </c>
      <c r="AM5" s="7">
        <v>1</v>
      </c>
      <c r="AN5" s="69">
        <v>1</v>
      </c>
    </row>
    <row r="6" spans="1:40" ht="21" customHeight="1">
      <c r="A6" s="16" t="str">
        <f t="shared" ca="1" si="0"/>
        <v>11218_1-3/15&lt;lv1&gt;s3</v>
      </c>
      <c r="B6" s="22">
        <v>11218</v>
      </c>
      <c r="C6" s="21">
        <v>1</v>
      </c>
      <c r="D6" s="2" t="str">
        <f t="shared" si="1"/>
        <v>11218_1</v>
      </c>
      <c r="E6" s="4" t="str">
        <f ca="1">VLOOKUP($B6,OFFSET([2]quests!$A$1,0,0,COUNTA([2]quests!$A:$A),MATCH(E$1,[2]quests!$1:$1,0)-MATCH($B$1,[2]quests!$1:$1,0)+1),MATCH(E$1,[2]quests!$1:$1,0)-MATCH($B$1,[2]quests!$1:$1,0)+1,FALSE)</f>
        <v>バレンタイン★特別クエスト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【ストーリー】バレンタイン狂騒曲</v>
      </c>
      <c r="G6" s="21">
        <v>3</v>
      </c>
      <c r="H6" s="15" t="str">
        <f t="shared" si="2"/>
        <v>11218_1-3</v>
      </c>
      <c r="I6" s="4">
        <f ca="1">VLOOKUP($H6,OFFSET(floors!$A$1,0,0,COUNTA(floors!$A:$A),MATCH(I$1,floors!$1:$1,0)-MATCH($H$1,floors!$1:$1,0)+1),MATCH(I$1,floors!$1:$1,0)-MATCH($H$1,floors!$1:$1,0)+1,FALSE)</f>
        <v>50</v>
      </c>
      <c r="J6" s="4">
        <f ca="1">VLOOKUP($H6,OFFSET(floors!$A$1,0,0,COUNTA(floors!$A:$A),MATCH(J$1,floors!$1:$1,0)-MATCH($H$1,floors!$1:$1,0)+1),MATCH(J$1,floors!$1:$1,0)-MATCH($H$1,floors!$1:$1,0)+1,FALSE)</f>
        <v>50</v>
      </c>
      <c r="K6" s="38" t="s">
        <v>53</v>
      </c>
      <c r="L6" s="20">
        <v>15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アカネ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Drop1W</v>
      </c>
      <c r="P6" s="17" t="str">
        <f ca="1">VLOOKUP($L6,OFFSET([3]enemies!$A$1,0,0,COUNTA([3]enemies!$A:$A),MATCH(P$1,[3]enemies!$1:$1,0)-MATCH($L$1,[3]enemies!$1:$1,0)+1),MATCH(P$1,[3]enemies!$1:$1,0)-MATCH($L$1,[3]enemies!$1:$1,0)+1,FALSE)</f>
        <v>human</v>
      </c>
      <c r="Q6" s="17">
        <f ca="1">VLOOKUP($L6,OFFSET([3]enemies!$A$1,0,0,COUNTA([3]enemies!$A:$A),MATCH(Q$1,[3]enemies!$1:$1,0)-MATCH($L$1,[3]enemies!$1:$1,0)+1),MATCH(Q$1,[3]enemies!$1:$1,0)-MATCH($L$1,[3]enemies!$1:$1,0)+1,FALSE)</f>
        <v>15</v>
      </c>
      <c r="R6" s="5">
        <v>1</v>
      </c>
      <c r="S6" s="25">
        <v>1</v>
      </c>
      <c r="T6" s="25">
        <v>1</v>
      </c>
      <c r="U6" s="5">
        <v>0</v>
      </c>
      <c r="V6" s="4" t="str">
        <f ca="1">VLOOKUP($W6,OFFSET(enemy_skill_sets!$B$1,0,0,COUNTA(enemy_skill_sets!$B:$B),MATCH(M$1,enemy_skill_sets!$1:$1,0)-MATCH($W$1,enemy_skill_sets!$1:$1,0)+2),MATCH(M$1,enemy_skill_sets!$1:$1,0)-MATCH($W$1,enemy_skill_sets!$1:$1,0)+2,FALSE)</f>
        <v>プロメテウスは 眼中にない</v>
      </c>
      <c r="W6" s="47">
        <v>11218310</v>
      </c>
      <c r="X6" s="6">
        <v>1</v>
      </c>
      <c r="Y6" s="6">
        <v>100</v>
      </c>
      <c r="Z6" s="6">
        <v>2</v>
      </c>
      <c r="AA6" s="17">
        <f ca="1">VLOOKUP($L6,OFFSET([3]enemies!$A$1,0,0,COUNTA([3]enemies!$A:$A),MATCH(AA$1,[3]enemies!$1:$1,0)-MATCH($L$1,[3]enemies!$1:$1,0)+1),MATCH(AA$1,[3]enemies!$1:$1,0)-MATCH($L$1,[3]enemies!$1:$1,0)+1,FALSE)</f>
        <v>3</v>
      </c>
      <c r="AB6" s="24">
        <f t="shared" si="3"/>
        <v>15</v>
      </c>
      <c r="AC6" s="4" t="str">
        <f ca="1">VLOOKUP($AB6,OFFSET([4]characters!$A$1,0,0,COUNTA([4]characters!$A:$A),MATCH(AC$1,[4]characters!$1:$1,0)-MATCH("character_id",[4]characters!$1:$1,0)+1),MATCH(AC$1,[4]characters!$1:$1,0)-MATCH("character_id",[4]characters!$1:$1,0)+1,FALSE)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6" s="4">
        <f ca="1">VLOOKUP($AB6,OFFSET([4]characters!$A$1,0,0,COUNTA([4]characters!$A:$A),MATCH(AD$1,[4]characters!$1:$1,0)-MATCH("character_id",[4]characters!$1:$1,0)+1),MATCH(AD$1,[4]characters!$1:$1,0)-MATCH("character_id",[4]characters!$1:$1,0)+1,FALSE)</f>
        <v>1</v>
      </c>
      <c r="AE6" s="4" t="str">
        <f ca="1">VLOOKUP($AB6,OFFSET([4]characters!$A$1,0,0,COUNTA([4]characters!$A:$A),MATCH(AE$1,[4]characters!$1:$1,0)-MATCH("character_id",[4]characters!$1:$1,0)+1),MATCH(AE$1,[4]characters!$1:$1,0)-MATCH("character_id",[4]characters!$1:$1,0)+1,FALSE)</f>
        <v>Drop1W</v>
      </c>
      <c r="AF6" s="7">
        <v>1</v>
      </c>
      <c r="AG6" s="24">
        <f t="shared" ca="1" si="4"/>
        <v>1</v>
      </c>
      <c r="AH6" s="8">
        <v>0</v>
      </c>
      <c r="AI6" s="7">
        <v>0</v>
      </c>
      <c r="AJ6" s="7">
        <v>0</v>
      </c>
      <c r="AK6" s="7">
        <v>0</v>
      </c>
      <c r="AL6" s="7">
        <v>0</v>
      </c>
      <c r="AM6" s="7">
        <v>1</v>
      </c>
      <c r="AN6" s="69">
        <v>1</v>
      </c>
    </row>
    <row r="7" spans="1:40" ht="21" customHeight="1">
      <c r="A7" s="16" t="str">
        <f t="shared" ca="1" si="0"/>
        <v>11218_1-3/202&lt;lv1&gt;s3</v>
      </c>
      <c r="B7" s="22">
        <v>11218</v>
      </c>
      <c r="C7" s="21">
        <v>1</v>
      </c>
      <c r="D7" s="2" t="str">
        <f t="shared" si="1"/>
        <v>11218_1</v>
      </c>
      <c r="E7" s="4" t="str">
        <f ca="1">VLOOKUP($B7,OFFSET([2]quests!$A$1,0,0,COUNTA([2]quests!$A:$A),MATCH(E$1,[2]quests!$1:$1,0)-MATCH($B$1,[2]quests!$1:$1,0)+1),MATCH(E$1,[2]quests!$1:$1,0)-MATCH($B$1,[2]quests!$1:$1,0)+1,FALSE)</f>
        <v>バレンタイン★特別クエスト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【ストーリー】バレンタイン狂騒曲</v>
      </c>
      <c r="G7" s="21">
        <v>3</v>
      </c>
      <c r="H7" s="15" t="str">
        <f t="shared" si="2"/>
        <v>11218_1-3</v>
      </c>
      <c r="I7" s="4">
        <f ca="1">VLOOKUP($H7,OFFSET(floors!$A$1,0,0,COUNTA(floors!$A:$A),MATCH(I$1,floors!$1:$1,0)-MATCH($H$1,floors!$1:$1,0)+1),MATCH(I$1,floors!$1:$1,0)-MATCH($H$1,floors!$1:$1,0)+1,FALSE)</f>
        <v>50</v>
      </c>
      <c r="J7" s="4">
        <f ca="1">VLOOKUP($H7,OFFSET(floors!$A$1,0,0,COUNTA(floors!$A:$A),MATCH(J$1,floors!$1:$1,0)-MATCH($H$1,floors!$1:$1,0)+1),MATCH(J$1,floors!$1:$1,0)-MATCH($H$1,floors!$1:$1,0)+1,FALSE)</f>
        <v>50</v>
      </c>
      <c r="K7" s="38" t="s">
        <v>253</v>
      </c>
      <c r="L7" s="20">
        <v>202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プロメテウス</v>
      </c>
      <c r="N7" s="17" t="str">
        <f ca="1">VLOOKUP($L7,OFFSET([3]enemies!$A$1,0,0,COUNTA([3]enemies!$A:$A),MATCH(N$1,[3]enemies!$1:$1,0)-MATCH($L$1,[3]enemies!$1:$1,0)+1),MATCH(N$1,[3]enemies!$1:$1,0)-MATCH($L$1,[3]enemies!$1:$1,0)+1,FALSE)</f>
        <v>red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PremiumN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20</v>
      </c>
      <c r="R7" s="5">
        <v>1</v>
      </c>
      <c r="S7" s="25">
        <v>1</v>
      </c>
      <c r="T7" s="25">
        <v>1</v>
      </c>
      <c r="U7" s="5">
        <v>0</v>
      </c>
      <c r="V7" s="4" t="str">
        <f ca="1">VLOOKUP($W7,OFFSET(enemy_skill_sets!$B$1,0,0,COUNTA(enemy_skill_sets!$B:$B),MATCH(M$1,enemy_skill_sets!$1:$1,0)-MATCH($W$1,enemy_skill_sets!$1:$1,0)+2),MATCH(M$1,enemy_skill_sets!$1:$1,0)-MATCH($W$1,enemy_skill_sets!$1:$1,0)+2,FALSE)</f>
        <v>まんざらでも なさそうだ</v>
      </c>
      <c r="W7" s="47">
        <v>11218300</v>
      </c>
      <c r="X7" s="6">
        <v>1</v>
      </c>
      <c r="Y7" s="6">
        <v>100</v>
      </c>
      <c r="Z7" s="6">
        <v>1</v>
      </c>
      <c r="AA7" s="17">
        <f ca="1">VLOOKUP($L7,OFFSET([3]enemies!$A$1,0,0,COUNTA([3]enemies!$A:$A),MATCH(AA$1,[3]enemies!$1:$1,0)-MATCH($L$1,[3]enemies!$1:$1,0)+1),MATCH(AA$1,[3]enemies!$1:$1,0)-MATCH($L$1,[3]enemies!$1:$1,0)+1,FALSE)</f>
        <v>3</v>
      </c>
      <c r="AB7" s="24">
        <f t="shared" si="3"/>
        <v>202</v>
      </c>
      <c r="AC7" s="4" t="str">
        <f ca="1">VLOOKUP($AB7,OFFSET([4]characters!$A$1,0,0,COUNTA([4]characters!$A:$A),MATCH(AC$1,[4]characters!$1:$1,0)-MATCH("character_id",[4]characters!$1:$1,0)+1),MATCH(AC$1,[4]characters!$1:$1,0)-MATCH("character_id",[4]characters!$1:$1,0)+1,FALSE)</f>
        <v>プロメテウス</v>
      </c>
      <c r="AD7" s="4">
        <f ca="1">VLOOKUP($AB7,OFFSET([4]characters!$A$1,0,0,COUNTA([4]characters!$A:$A),MATCH(AD$1,[4]characters!$1:$1,0)-MATCH("character_id",[4]characters!$1:$1,0)+1),MATCH(AD$1,[4]characters!$1:$1,0)-MATCH("character_id",[4]characters!$1:$1,0)+1,FALSE)</f>
        <v>3</v>
      </c>
      <c r="AE7" s="4" t="str">
        <f ca="1">VLOOKUP($AB7,OFFSET([4]characters!$A$1,0,0,COUNTA([4]characters!$A:$A),MATCH(AE$1,[4]characters!$1:$1,0)-MATCH("character_id",[4]characters!$1:$1,0)+1),MATCH(AE$1,[4]characters!$1:$1,0)-MATCH("character_id",[4]characters!$1:$1,0)+1,FALSE)</f>
        <v>PremiumN</v>
      </c>
      <c r="AF7" s="7">
        <v>1</v>
      </c>
      <c r="AG7" s="24">
        <f t="shared" ca="1" si="4"/>
        <v>3</v>
      </c>
      <c r="AH7" s="8">
        <v>0</v>
      </c>
      <c r="AI7" s="7">
        <v>0</v>
      </c>
      <c r="AJ7" s="7">
        <v>0</v>
      </c>
      <c r="AK7" s="7">
        <v>0</v>
      </c>
      <c r="AL7" s="7">
        <v>0</v>
      </c>
      <c r="AM7" s="7">
        <v>1</v>
      </c>
      <c r="AN7" s="69">
        <v>1</v>
      </c>
    </row>
    <row r="8" spans="1:40" ht="21" customHeight="1">
      <c r="A8" s="16" t="str">
        <f t="shared" ca="1" si="0"/>
        <v>11218_1-3/55&lt;lv1&gt;s4</v>
      </c>
      <c r="B8" s="22">
        <v>11218</v>
      </c>
      <c r="C8" s="21">
        <v>1</v>
      </c>
      <c r="D8" s="2" t="str">
        <f t="shared" si="1"/>
        <v>11218_1</v>
      </c>
      <c r="E8" s="4" t="str">
        <f ca="1">VLOOKUP($B8,OFFSET([2]quests!$A$1,0,0,COUNTA([2]quests!$A:$A),MATCH(E$1,[2]quests!$1:$1,0)-MATCH($B$1,[2]quests!$1:$1,0)+1),MATCH(E$1,[2]quests!$1:$1,0)-MATCH($B$1,[2]quests!$1:$1,0)+1,FALSE)</f>
        <v>バレンタイン★特別クエスト</v>
      </c>
      <c r="F8" s="4" t="str">
        <f ca="1">VLOOKUP($D8,OFFSET([2]stages!$A$1,0,0,COUNTA([2]stages!$A:$A),MATCH(F$1,[2]stages!$2:$2,0)-MATCH($D$1,[2]stages!$2:$2,0)+1),MATCH(F$1,[2]stages!$2:$2,0)-MATCH($D$1,[2]stages!$2:$2,0)+1,FALSE)</f>
        <v>【ストーリー】バレンタイン狂騒曲</v>
      </c>
      <c r="G8" s="21">
        <v>3</v>
      </c>
      <c r="H8" s="15" t="str">
        <f t="shared" si="2"/>
        <v>11218_1-3</v>
      </c>
      <c r="I8" s="4">
        <f ca="1">VLOOKUP($H8,OFFSET(floors!$A$1,0,0,COUNTA(floors!$A:$A),MATCH(I$1,floors!$1:$1,0)-MATCH($H$1,floors!$1:$1,0)+1),MATCH(I$1,floors!$1:$1,0)-MATCH($H$1,floors!$1:$1,0)+1,FALSE)</f>
        <v>50</v>
      </c>
      <c r="J8" s="4">
        <f ca="1">VLOOKUP($H8,OFFSET(floors!$A$1,0,0,COUNTA(floors!$A:$A),MATCH(J$1,floors!$1:$1,0)-MATCH($H$1,floors!$1:$1,0)+1),MATCH(J$1,floors!$1:$1,0)-MATCH($H$1,floors!$1:$1,0)+1,FALSE)</f>
        <v>50</v>
      </c>
      <c r="K8" s="38" t="s">
        <v>53</v>
      </c>
      <c r="L8" s="20">
        <v>55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マミコ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Drop1N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human</v>
      </c>
      <c r="Q8" s="17">
        <f ca="1">VLOOKUP($L8,OFFSET([3]enemies!$A$1,0,0,COUNTA([3]enemies!$A:$A),MATCH(Q$1,[3]enemies!$1:$1,0)-MATCH($L$1,[3]enemies!$1:$1,0)+1),MATCH(Q$1,[3]enemies!$1:$1,0)-MATCH($L$1,[3]enemies!$1:$1,0)+1,FALSE)</f>
        <v>15</v>
      </c>
      <c r="R8" s="5">
        <v>1</v>
      </c>
      <c r="S8" s="25">
        <v>1</v>
      </c>
      <c r="T8" s="25">
        <v>1</v>
      </c>
      <c r="U8" s="5">
        <v>0</v>
      </c>
      <c r="V8" s="4" t="str">
        <f ca="1">VLOOKUP($W8,OFFSET(enemy_skill_sets!$B$1,0,0,COUNTA(enemy_skill_sets!$B:$B),MATCH(M$1,enemy_skill_sets!$1:$1,0)-MATCH($W$1,enemy_skill_sets!$1:$1,0)+2),MATCH(M$1,enemy_skill_sets!$1:$1,0)-MATCH($W$1,enemy_skill_sets!$1:$1,0)+2,FALSE)</f>
        <v>完全スルーで いってしまった</v>
      </c>
      <c r="W8" s="47">
        <v>11218320</v>
      </c>
      <c r="X8" s="6">
        <v>1</v>
      </c>
      <c r="Y8" s="6">
        <v>100</v>
      </c>
      <c r="Z8" s="6">
        <v>0</v>
      </c>
      <c r="AA8" s="17">
        <f ca="1">VLOOKUP($L8,OFFSET([3]enemies!$A$1,0,0,COUNTA([3]enemies!$A:$A),MATCH(AA$1,[3]enemies!$1:$1,0)-MATCH($L$1,[3]enemies!$1:$1,0)+1),MATCH(AA$1,[3]enemies!$1:$1,0)-MATCH($L$1,[3]enemies!$1:$1,0)+1,FALSE)</f>
        <v>4</v>
      </c>
      <c r="AB8" s="24">
        <f t="shared" si="3"/>
        <v>55</v>
      </c>
      <c r="AC8" s="4" t="str">
        <f ca="1">VLOOKUP($AB8,OFFSET([4]characters!$A$1,0,0,COUNTA([4]characters!$A:$A),MATCH(AC$1,[4]characters!$1:$1,0)-MATCH("character_id",[4]characters!$1:$1,0)+1),MATCH(AC$1,[4]characters!$1:$1,0)-MATCH("character_id",[4]characters!$1:$1,0)+1,FALSE)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8" s="4">
        <f ca="1">VLOOKUP($AB8,OFFSET([4]characters!$A$1,0,0,COUNTA([4]characters!$A:$A),MATCH(AD$1,[4]characters!$1:$1,0)-MATCH("character_id",[4]characters!$1:$1,0)+1),MATCH(AD$1,[4]characters!$1:$1,0)-MATCH("character_id",[4]characters!$1:$1,0)+1,FALSE)</f>
        <v>2</v>
      </c>
      <c r="AE8" s="4" t="str">
        <f ca="1">VLOOKUP($AB8,OFFSET([4]characters!$A$1,0,0,COUNTA([4]characters!$A:$A),MATCH(AE$1,[4]characters!$1:$1,0)-MATCH("character_id",[4]characters!$1:$1,0)+1),MATCH(AE$1,[4]characters!$1:$1,0)-MATCH("character_id",[4]characters!$1:$1,0)+1,FALSE)</f>
        <v>Drop1N</v>
      </c>
      <c r="AF8" s="7">
        <v>1</v>
      </c>
      <c r="AG8" s="24">
        <f t="shared" ca="1" si="4"/>
        <v>2</v>
      </c>
      <c r="AH8" s="8">
        <v>0</v>
      </c>
      <c r="AI8" s="7">
        <v>0</v>
      </c>
      <c r="AJ8" s="7">
        <v>0</v>
      </c>
      <c r="AK8" s="7">
        <v>0</v>
      </c>
      <c r="AL8" s="7">
        <v>0</v>
      </c>
      <c r="AM8" s="7">
        <v>1</v>
      </c>
      <c r="AN8" s="69">
        <v>1</v>
      </c>
    </row>
    <row r="9" spans="1:40" ht="21" customHeight="1">
      <c r="A9" s="16" t="str">
        <f t="shared" ca="1" si="0"/>
        <v>11218_1-4/15&lt;lv1&gt;s3</v>
      </c>
      <c r="B9" s="22">
        <v>11218</v>
      </c>
      <c r="C9" s="21">
        <v>1</v>
      </c>
      <c r="D9" s="2" t="str">
        <f t="shared" si="1"/>
        <v>11218_1</v>
      </c>
      <c r="E9" s="4" t="str">
        <f ca="1">VLOOKUP($B9,OFFSET([2]quests!$A$1,0,0,COUNTA([2]quests!$A:$A),MATCH(E$1,[2]quests!$1:$1,0)-MATCH($B$1,[2]quests!$1:$1,0)+1),MATCH(E$1,[2]quests!$1:$1,0)-MATCH($B$1,[2]quests!$1:$1,0)+1,FALSE)</f>
        <v>バレンタイン★特別クエスト</v>
      </c>
      <c r="F9" s="4" t="str">
        <f ca="1">VLOOKUP($D9,OFFSET([2]stages!$A$1,0,0,COUNTA([2]stages!$A:$A),MATCH(F$1,[2]stages!$2:$2,0)-MATCH($D$1,[2]stages!$2:$2,0)+1),MATCH(F$1,[2]stages!$2:$2,0)-MATCH($D$1,[2]stages!$2:$2,0)+1,FALSE)</f>
        <v>【ストーリー】バレンタイン狂騒曲</v>
      </c>
      <c r="G9" s="21">
        <v>4</v>
      </c>
      <c r="H9" s="15" t="str">
        <f t="shared" si="2"/>
        <v>11218_1-4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15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アカネ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Drop1W</v>
      </c>
      <c r="P9" s="17" t="str">
        <f ca="1">VLOOKUP($L9,OFFSET([3]enemies!$A$1,0,0,COUNTA([3]enemies!$A:$A),MATCH(P$1,[3]enemies!$1:$1,0)-MATCH($L$1,[3]enemies!$1:$1,0)+1),MATCH(P$1,[3]enemies!$1:$1,0)-MATCH($L$1,[3]enemies!$1:$1,0)+1,FALSE)</f>
        <v>human</v>
      </c>
      <c r="Q9" s="17">
        <f ca="1">VLOOKUP($L9,OFFSET([3]enemies!$A$1,0,0,COUNTA([3]enemies!$A:$A),MATCH(Q$1,[3]enemies!$1:$1,0)-MATCH($L$1,[3]enemies!$1:$1,0)+1),MATCH(Q$1,[3]enemies!$1:$1,0)-MATCH($L$1,[3]enemies!$1:$1,0)+1,FALSE)</f>
        <v>15</v>
      </c>
      <c r="R9" s="5">
        <v>1</v>
      </c>
      <c r="S9" s="25">
        <v>1</v>
      </c>
      <c r="T9" s="25">
        <v>1</v>
      </c>
      <c r="U9" s="5">
        <v>0</v>
      </c>
      <c r="V9" s="4" t="str">
        <f ca="1">VLOOKUP($W9,OFFSET(enemy_skill_sets!$B$1,0,0,COUNTA(enemy_skill_sets!$B:$B),MATCH(M$1,enemy_skill_sets!$1:$1,0)-MATCH($W$1,enemy_skill_sets!$1:$1,0)+2),MATCH(M$1,enemy_skill_sets!$1:$1,0)-MATCH($W$1,enemy_skill_sets!$1:$1,0)+2,FALSE)</f>
        <v>アカネは まいあがっている！</v>
      </c>
      <c r="W9" s="47">
        <v>11218400</v>
      </c>
      <c r="X9" s="6">
        <v>1</v>
      </c>
      <c r="Y9" s="6">
        <v>100</v>
      </c>
      <c r="Z9" s="6">
        <v>2</v>
      </c>
      <c r="AA9" s="17">
        <f ca="1">VLOOKUP($L9,OFFSET([3]enemies!$A$1,0,0,COUNTA([3]enemies!$A:$A),MATCH(AA$1,[3]enemies!$1:$1,0)-MATCH($L$1,[3]enemies!$1:$1,0)+1),MATCH(AA$1,[3]enemies!$1:$1,0)-MATCH($L$1,[3]enemies!$1:$1,0)+1,FALSE)</f>
        <v>3</v>
      </c>
      <c r="AB9" s="24">
        <f t="shared" si="3"/>
        <v>15</v>
      </c>
      <c r="AC9" s="4" t="str">
        <f ca="1">VLOOKUP($AB9,OFFSET([4]characters!$A$1,0,0,COUNTA([4]characters!$A:$A),MATCH(AC$1,[4]characters!$1:$1,0)-MATCH("character_id",[4]characters!$1:$1,0)+1),MATCH(AC$1,[4]characters!$1:$1,0)-MATCH("character_id",[4]characters!$1:$1,0)+1,FALSE)</f>
        <v>アカネ</v>
      </c>
      <c r="AD9" s="4">
        <f ca="1">VLOOKUP($AB9,OFFSET([4]characters!$A$1,0,0,COUNTA([4]characters!$A:$A),MATCH(AD$1,[4]characters!$1:$1,0)-MATCH("character_id",[4]characters!$1:$1,0)+1),MATCH(AD$1,[4]characters!$1:$1,0)-MATCH("character_id",[4]characters!$1:$1,0)+1,FALSE)</f>
        <v>1</v>
      </c>
      <c r="AE9" s="4" t="str">
        <f ca="1">VLOOKUP($AB9,OFFSET([4]characters!$A$1,0,0,COUNTA([4]characters!$A:$A),MATCH(AE$1,[4]characters!$1:$1,0)-MATCH("character_id",[4]characters!$1:$1,0)+1),MATCH(AE$1,[4]characters!$1:$1,0)-MATCH("character_id",[4]characters!$1:$1,0)+1,FALSE)</f>
        <v>Drop1W</v>
      </c>
      <c r="AF9" s="7">
        <v>1</v>
      </c>
      <c r="AG9" s="24">
        <f t="shared" ca="1" si="4"/>
        <v>1</v>
      </c>
      <c r="AH9" s="8">
        <v>0</v>
      </c>
      <c r="AI9" s="7">
        <v>0</v>
      </c>
      <c r="AJ9" s="7">
        <v>0</v>
      </c>
      <c r="AK9" s="7">
        <v>0</v>
      </c>
      <c r="AL9" s="7">
        <v>0</v>
      </c>
      <c r="AM9" s="7">
        <v>1</v>
      </c>
      <c r="AN9" s="69">
        <v>1</v>
      </c>
    </row>
    <row r="10" spans="1:40" ht="21" customHeight="1">
      <c r="A10" s="16" t="str">
        <f t="shared" ca="1" si="0"/>
        <v>11218_1-4/465&lt;lv1&gt;s3</v>
      </c>
      <c r="B10" s="22">
        <v>11218</v>
      </c>
      <c r="C10" s="21">
        <v>1</v>
      </c>
      <c r="D10" s="2" t="str">
        <f t="shared" si="1"/>
        <v>11218_1</v>
      </c>
      <c r="E10" s="4" t="str">
        <f ca="1">VLOOKUP($B10,OFFSET([2]quests!$A$1,0,0,COUNTA([2]quests!$A:$A),MATCH(E$1,[2]quests!$1:$1,0)-MATCH($B$1,[2]quests!$1:$1,0)+1),MATCH(E$1,[2]quests!$1:$1,0)-MATCH($B$1,[2]quests!$1:$1,0)+1,FALSE)</f>
        <v>バレンタイン★特別クエスト</v>
      </c>
      <c r="F10" s="4" t="str">
        <f ca="1">VLOOKUP($D10,OFFSET([2]stages!$A$1,0,0,COUNTA([2]stages!$A:$A),MATCH(F$1,[2]stages!$2:$2,0)-MATCH($D$1,[2]stages!$2:$2,0)+1),MATCH(F$1,[2]stages!$2:$2,0)-MATCH($D$1,[2]stages!$2:$2,0)+1,FALSE)</f>
        <v>【ストーリー】バレンタイン狂騒曲</v>
      </c>
      <c r="G10" s="21">
        <v>4</v>
      </c>
      <c r="H10" s="15" t="str">
        <f t="shared" si="2"/>
        <v>11218_1-4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1</v>
      </c>
      <c r="L10" s="20">
        <v>465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真撃 ランスロット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green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PremiumSS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human</v>
      </c>
      <c r="Q10" s="17">
        <f ca="1">VLOOKUP($L10,OFFSET([3]enemies!$A$1,0,0,COUNTA([3]enemies!$A:$A),MATCH(Q$1,[3]enemies!$1:$1,0)-MATCH($L$1,[3]enemies!$1:$1,0)+1),MATCH(Q$1,[3]enemies!$1:$1,0)-MATCH($L$1,[3]enemies!$1:$1,0)+1,FALSE)</f>
        <v>30</v>
      </c>
      <c r="R10" s="5">
        <v>1</v>
      </c>
      <c r="S10" s="25">
        <v>1</v>
      </c>
      <c r="T10" s="25">
        <v>1</v>
      </c>
      <c r="U10" s="5">
        <v>0</v>
      </c>
      <c r="V10" s="4" t="str">
        <f ca="1">VLOOKUP($W10,OFFSET(enemy_skill_sets!$B$1,0,0,COUNTA(enemy_skill_sets!$B:$B),MATCH(M$1,enemy_skill_sets!$1:$1,0)-MATCH($W$1,enemy_skill_sets!$1:$1,0)+2),MATCH(M$1,enemy_skill_sets!$1:$1,0)-MATCH($W$1,enemy_skill_sets!$1:$1,0)+2,FALSE)</f>
        <v>しかし 箱の中は 空っぽだった！</v>
      </c>
      <c r="W10" s="47">
        <v>11218420</v>
      </c>
      <c r="X10" s="6">
        <v>1</v>
      </c>
      <c r="Y10" s="6">
        <v>100</v>
      </c>
      <c r="Z10" s="6">
        <v>1</v>
      </c>
      <c r="AA10" s="17">
        <f ca="1">VLOOKUP($L10,OFFSET([3]enemies!$A$1,0,0,COUNTA([3]enemies!$A:$A),MATCH(AA$1,[3]enemies!$1:$1,0)-MATCH($L$1,[3]enemies!$1:$1,0)+1),MATCH(AA$1,[3]enemies!$1:$1,0)-MATCH($L$1,[3]enemies!$1:$1,0)+1,FALSE)</f>
        <v>3</v>
      </c>
      <c r="AB10" s="24">
        <f t="shared" si="3"/>
        <v>465</v>
      </c>
      <c r="AC10" s="4" t="str">
        <f ca="1">VLOOKUP($AB10,OFFSET([4]characters!$A$1,0,0,COUNTA([4]characters!$A:$A),MATCH(AC$1,[4]characters!$1:$1,0)-MATCH("character_id",[4]characters!$1:$1,0)+1),MATCH(AC$1,[4]characters!$1:$1,0)-MATCH("character_id",[4]characters!$1:$1,0)+1,FALSE)</f>
        <v>真撃 ランスロット</v>
      </c>
      <c r="AD10" s="4">
        <f ca="1">VLOOKUP($AB10,OFFSET([4]characters!$A$1,0,0,COUNTA([4]characters!$A:$A),MATCH(AD$1,[4]characters!$1:$1,0)-MATCH("character_id",[4]characters!$1:$1,0)+1),MATCH(AD$1,[4]characters!$1:$1,0)-MATCH("character_id",[4]characters!$1:$1,0)+1,FALSE)</f>
        <v>4</v>
      </c>
      <c r="AE10" s="4" t="str">
        <f ca="1">VLOOKUP($AB10,OFFSET([4]characters!$A$1,0,0,COUNTA([4]characters!$A:$A),MATCH(AE$1,[4]characters!$1:$1,0)-MATCH("character_id",[4]characters!$1:$1,0)+1),MATCH(AE$1,[4]characters!$1:$1,0)-MATCH("character_id",[4]characters!$1:$1,0)+1,FALSE)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0" s="7">
        <v>1</v>
      </c>
      <c r="AG10" s="24">
        <f t="shared" ca="1" si="4"/>
        <v>4</v>
      </c>
      <c r="AH10" s="8">
        <v>0</v>
      </c>
      <c r="AI10" s="7">
        <v>0</v>
      </c>
      <c r="AJ10" s="7">
        <v>0</v>
      </c>
      <c r="AK10" s="7">
        <v>0</v>
      </c>
      <c r="AL10" s="7">
        <v>0</v>
      </c>
      <c r="AM10" s="7">
        <v>1</v>
      </c>
      <c r="AN10" s="69">
        <v>1</v>
      </c>
    </row>
    <row r="11" spans="1:40" ht="21" customHeight="1">
      <c r="A11" s="16" t="str">
        <f t="shared" ca="1" si="0"/>
        <v>11218_1-4/55&lt;lv1&gt;s4</v>
      </c>
      <c r="B11" s="22">
        <v>11218</v>
      </c>
      <c r="C11" s="21">
        <v>1</v>
      </c>
      <c r="D11" s="2" t="str">
        <f t="shared" si="1"/>
        <v>11218_1</v>
      </c>
      <c r="E11" s="4" t="str">
        <f ca="1">VLOOKUP($B11,OFFSET([2]quests!$A$1,0,0,COUNTA([2]quests!$A:$A),MATCH(E$1,[2]quests!$1:$1,0)-MATCH($B$1,[2]quests!$1:$1,0)+1),MATCH(E$1,[2]quests!$1:$1,0)-MATCH($B$1,[2]quests!$1:$1,0)+1,FALSE)</f>
        <v>バレンタイン★特別クエスト</v>
      </c>
      <c r="F11" s="4" t="str">
        <f ca="1">VLOOKUP($D11,OFFSET([2]stages!$A$1,0,0,COUNTA([2]stages!$A:$A),MATCH(F$1,[2]stages!$2:$2,0)-MATCH($D$1,[2]stages!$2:$2,0)+1),MATCH(F$1,[2]stages!$2:$2,0)-MATCH($D$1,[2]stages!$2:$2,0)+1,FALSE)</f>
        <v>【ストーリー】バレンタイン狂騒曲</v>
      </c>
      <c r="G11" s="21">
        <v>4</v>
      </c>
      <c r="H11" s="15" t="str">
        <f t="shared" si="2"/>
        <v>11218_1-4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 t="s">
        <v>53</v>
      </c>
      <c r="L11" s="20">
        <v>55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マミコ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yellow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Drop1N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human</v>
      </c>
      <c r="Q11" s="17">
        <f ca="1">VLOOKUP($L11,OFFSET([3]enemies!$A$1,0,0,COUNTA([3]enemies!$A:$A),MATCH(Q$1,[3]enemies!$1:$1,0)-MATCH($L$1,[3]enemies!$1:$1,0)+1),MATCH(Q$1,[3]enemies!$1:$1,0)-MATCH($L$1,[3]enemies!$1:$1,0)+1,FALSE)</f>
        <v>15</v>
      </c>
      <c r="R11" s="5">
        <v>1</v>
      </c>
      <c r="S11" s="25">
        <v>1</v>
      </c>
      <c r="T11" s="25">
        <v>1</v>
      </c>
      <c r="U11" s="5">
        <v>0</v>
      </c>
      <c r="V11" s="4" t="str">
        <f ca="1">VLOOKUP($W11,OFFSET(enemy_skill_sets!$B$1,0,0,COUNTA(enemy_skill_sets!$B:$B),MATCH(M$1,enemy_skill_sets!$1:$1,0)-MATCH($W$1,enemy_skill_sets!$1:$1,0)+2),MATCH(M$1,enemy_skill_sets!$1:$1,0)-MATCH($W$1,enemy_skill_sets!$1:$1,0)+2,FALSE)</f>
        <v>チョコの箱を 手渡した！</v>
      </c>
      <c r="W11" s="47">
        <v>11218410</v>
      </c>
      <c r="X11" s="6">
        <v>1</v>
      </c>
      <c r="Y11" s="6">
        <v>100</v>
      </c>
      <c r="Z11" s="6">
        <v>0</v>
      </c>
      <c r="AA11" s="17">
        <f ca="1">VLOOKUP($L11,OFFSET([3]enemies!$A$1,0,0,COUNTA([3]enemies!$A:$A),MATCH(AA$1,[3]enemies!$1:$1,0)-MATCH($L$1,[3]enemies!$1:$1,0)+1),MATCH(AA$1,[3]enemies!$1:$1,0)-MATCH($L$1,[3]enemies!$1:$1,0)+1,FALSE)</f>
        <v>4</v>
      </c>
      <c r="AB11" s="24">
        <f t="shared" si="3"/>
        <v>55</v>
      </c>
      <c r="AC11" s="4" t="str">
        <f ca="1">VLOOKUP($AB11,OFFSET([4]characters!$A$1,0,0,COUNTA([4]characters!$A:$A),MATCH(AC$1,[4]characters!$1:$1,0)-MATCH("character_id",[4]characters!$1:$1,0)+1),MATCH(AC$1,[4]characters!$1:$1,0)-MATCH("character_id",[4]characters!$1:$1,0)+1,FALSE)</f>
        <v>マミコ</v>
      </c>
      <c r="AD11" s="4">
        <f ca="1">VLOOKUP($AB11,OFFSET([4]characters!$A$1,0,0,COUNTA([4]characters!$A:$A),MATCH(AD$1,[4]characters!$1:$1,0)-MATCH("character_id",[4]characters!$1:$1,0)+1),MATCH(AD$1,[4]characters!$1:$1,0)-MATCH("character_id",[4]characters!$1:$1,0)+1,FALSE)</f>
        <v>2</v>
      </c>
      <c r="AE11" s="4" t="str">
        <f ca="1">VLOOKUP($AB11,OFFSET([4]characters!$A$1,0,0,COUNTA([4]characters!$A:$A),MATCH(AE$1,[4]characters!$1:$1,0)-MATCH("character_id",[4]characters!$1:$1,0)+1),MATCH(AE$1,[4]characters!$1:$1,0)-MATCH("character_id",[4]characters!$1:$1,0)+1,FALSE)</f>
        <v>Drop1N</v>
      </c>
      <c r="AF11" s="7">
        <v>1</v>
      </c>
      <c r="AG11" s="24">
        <f t="shared" ca="1" si="4"/>
        <v>2</v>
      </c>
      <c r="AH11" s="8">
        <v>0</v>
      </c>
      <c r="AI11" s="7">
        <v>0</v>
      </c>
      <c r="AJ11" s="7">
        <v>0</v>
      </c>
      <c r="AK11" s="7">
        <v>0</v>
      </c>
      <c r="AL11" s="7">
        <v>0</v>
      </c>
      <c r="AM11" s="7">
        <v>1</v>
      </c>
      <c r="AN11" s="69">
        <v>1</v>
      </c>
    </row>
    <row r="12" spans="1:40" ht="21" customHeight="1">
      <c r="A12" s="16" t="str">
        <f t="shared" ref="A12:A13" ca="1" si="5">B12&amp;"_"&amp;C12&amp;"-"&amp;G12&amp;"/"&amp;L12&amp;"&lt;lv"&amp;R12&amp;"&gt;s"&amp;AA12</f>
        <v>11218_1-5/465&lt;lv1&gt;s3</v>
      </c>
      <c r="B12" s="22">
        <v>11218</v>
      </c>
      <c r="C12" s="21">
        <v>1</v>
      </c>
      <c r="D12" s="2" t="str">
        <f t="shared" ref="D12:D13" si="6">B12&amp;"_"&amp;C12</f>
        <v>11218_1</v>
      </c>
      <c r="E12" s="4" t="str">
        <f ca="1">VLOOKUP($B12,OFFSET([2]quests!$A$1,0,0,COUNTA([2]quests!$A:$A),MATCH(E$1,[2]quests!$1:$1,0)-MATCH($B$1,[2]quests!$1:$1,0)+1),MATCH(E$1,[2]quests!$1:$1,0)-MATCH($B$1,[2]quests!$1:$1,0)+1,FALSE)</f>
        <v>バレンタイン★特別クエスト</v>
      </c>
      <c r="F12" s="4" t="str">
        <f ca="1">VLOOKUP($D12,OFFSET([2]stages!$A$1,0,0,COUNTA([2]stages!$A:$A),MATCH(F$1,[2]stages!$2:$2,0)-MATCH($D$1,[2]stages!$2:$2,0)+1),MATCH(F$1,[2]stages!$2:$2,0)-MATCH($D$1,[2]stages!$2:$2,0)+1,FALSE)</f>
        <v>【ストーリー】バレンタイン狂騒曲</v>
      </c>
      <c r="G12" s="21">
        <v>5</v>
      </c>
      <c r="H12" s="15" t="str">
        <f t="shared" ref="H12:H13" si="7">B12&amp;"_"&amp;C12&amp;"-"&amp;G12</f>
        <v>11218_1-5</v>
      </c>
      <c r="I12" s="4">
        <f ca="1">VLOOKUP($H12,OFFSET(floors!$A$1,0,0,COUNTA(floors!$A:$A),MATCH(I$1,floors!$1:$1,0)-MATCH($H$1,floors!$1:$1,0)+1),MATCH(I$1,floors!$1:$1,0)-MATCH($H$1,floors!$1:$1,0)+1,FALSE)</f>
        <v>50</v>
      </c>
      <c r="J12" s="4">
        <f ca="1">VLOOKUP($H12,OFFSET(floors!$A$1,0,0,COUNTA(floors!$A:$A),MATCH(J$1,floors!$1:$1,0)-MATCH($H$1,floors!$1:$1,0)+1),MATCH(J$1,floors!$1:$1,0)-MATCH($H$1,floors!$1:$1,0)+1,FALSE)</f>
        <v>50</v>
      </c>
      <c r="K12" s="38">
        <v>1</v>
      </c>
      <c r="L12" s="20">
        <v>465</v>
      </c>
      <c r="M12" s="17" t="str">
        <f ca="1">VLOOKUP($L12,OFFSET([3]enemies!$A$1,0,0,COUNTA([3]enemies!$A:$A),MATCH(M$1,[3]enemies!$1:$1,0)-MATCH($L$1,[3]enemies!$1:$1,0)+1),MATCH(M$1,[3]enemies!$1:$1,0)-MATCH($L$1,[3]enemies!$1:$1,0)+1,FALSE)</f>
        <v>真撃 ランスロット</v>
      </c>
      <c r="N12" s="17" t="str">
        <f ca="1">VLOOKUP($L12,OFFSET([3]enemies!$A$1,0,0,COUNTA([3]enemies!$A:$A),MATCH(N$1,[3]enemies!$1:$1,0)-MATCH($L$1,[3]enemies!$1:$1,0)+1),MATCH(N$1,[3]enemies!$1:$1,0)-MATCH($L$1,[3]enemies!$1:$1,0)+1,FALSE)</f>
        <v>green</v>
      </c>
      <c r="O12" s="17" t="str">
        <f ca="1">VLOOKUP($L12,OFFSET([4]characters!$A$1,0,0,COUNTA([4]characters!$A:$A),MATCH(O$1,[4]characters!$1:$1,0)-MATCH($L$1,[4]characters!$1:$1,0)+1),MATCH(O$1,[4]characters!$1:$1,0)-MATCH($L$1,[4]characters!$1:$1,0)+1,FALSE)</f>
        <v>PremiumSS</v>
      </c>
      <c r="P12" s="17" t="str">
        <f ca="1">VLOOKUP($L12,OFFSET([3]enemies!$A$1,0,0,COUNTA([3]enemies!$A:$A),MATCH(P$1,[3]enemies!$1:$1,0)-MATCH($L$1,[3]enemies!$1:$1,0)+1),MATCH(P$1,[3]enemies!$1:$1,0)-MATCH($L$1,[3]enemies!$1:$1,0)+1,FALSE)</f>
        <v>human</v>
      </c>
      <c r="Q12" s="17">
        <f ca="1">VLOOKUP($L12,OFFSET([3]enemies!$A$1,0,0,COUNTA([3]enemies!$A:$A),MATCH(Q$1,[3]enemies!$1:$1,0)-MATCH($L$1,[3]enemies!$1:$1,0)+1),MATCH(Q$1,[3]enemies!$1:$1,0)-MATCH($L$1,[3]enemies!$1:$1,0)+1,FALSE)</f>
        <v>30</v>
      </c>
      <c r="R12" s="5">
        <v>1</v>
      </c>
      <c r="S12" s="25">
        <v>1</v>
      </c>
      <c r="T12" s="25">
        <v>1</v>
      </c>
      <c r="U12" s="5">
        <v>0</v>
      </c>
      <c r="V12" s="4" t="str">
        <f ca="1">VLOOKUP($W12,OFFSET(enemy_skill_sets!$B$1,0,0,COUNTA(enemy_skill_sets!$B:$B),MATCH(M$1,enemy_skill_sets!$1:$1,0)-MATCH($W$1,enemy_skill_sets!$1:$1,0)+2),MATCH(M$1,enemy_skill_sets!$1:$1,0)-MATCH($W$1,enemy_skill_sets!$1:$1,0)+2,FALSE)</f>
        <v>チョコ泥棒の正体は ハッピーだった！</v>
      </c>
      <c r="W12" s="47">
        <v>11218500</v>
      </c>
      <c r="X12" s="6">
        <v>1</v>
      </c>
      <c r="Y12" s="6">
        <v>100</v>
      </c>
      <c r="Z12" s="6">
        <v>0</v>
      </c>
      <c r="AA12" s="17">
        <f ca="1">VLOOKUP($L12,OFFSET([3]enemies!$A$1,0,0,COUNTA([3]enemies!$A:$A),MATCH(AA$1,[3]enemies!$1:$1,0)-MATCH($L$1,[3]enemies!$1:$1,0)+1),MATCH(AA$1,[3]enemies!$1:$1,0)-MATCH($L$1,[3]enemies!$1:$1,0)+1,FALSE)</f>
        <v>3</v>
      </c>
      <c r="AB12" s="24">
        <f t="shared" ref="AB12" si="8">L12</f>
        <v>465</v>
      </c>
      <c r="AC12" s="4" t="str">
        <f ca="1">VLOOKUP($AB12,OFFSET([4]characters!$A$1,0,0,COUNTA([4]characters!$A:$A),MATCH(AC$1,[4]characters!$1:$1,0)-MATCH("character_id",[4]characters!$1:$1,0)+1),MATCH(AC$1,[4]characters!$1:$1,0)-MATCH("character_id",[4]characters!$1:$1,0)+1,FALSE)</f>
        <v>真撃 ランスロット</v>
      </c>
      <c r="AD12" s="4">
        <f ca="1">VLOOKUP($AB12,OFFSET([4]characters!$A$1,0,0,COUNTA([4]characters!$A:$A),MATCH(AD$1,[4]characters!$1:$1,0)-MATCH("character_id",[4]characters!$1:$1,0)+1),MATCH(AD$1,[4]characters!$1:$1,0)-MATCH("character_id",[4]characters!$1:$1,0)+1,FALSE)</f>
        <v>4</v>
      </c>
      <c r="AE12" s="4" t="str">
        <f ca="1">VLOOKUP($AB12,OFFSET([4]characters!$A$1,0,0,COUNTA([4]characters!$A:$A),MATCH(AE$1,[4]characters!$1:$1,0)-MATCH("character_id",[4]characters!$1:$1,0)+1),MATCH(AE$1,[4]characters!$1:$1,0)-MATCH("character_id",[4]characters!$1:$1,0)+1,FALSE)</f>
        <v>PremiumSS</v>
      </c>
      <c r="AF12" s="7">
        <v>1</v>
      </c>
      <c r="AG12" s="24">
        <f t="shared" ref="AG12:AG13" ca="1" si="9">AD12</f>
        <v>4</v>
      </c>
      <c r="AH12" s="8">
        <v>0</v>
      </c>
      <c r="AI12" s="7">
        <v>0</v>
      </c>
      <c r="AJ12" s="7">
        <v>0</v>
      </c>
      <c r="AK12" s="7">
        <v>0</v>
      </c>
      <c r="AL12" s="7">
        <v>0</v>
      </c>
      <c r="AM12" s="7">
        <v>1</v>
      </c>
      <c r="AN12" s="69">
        <v>1</v>
      </c>
    </row>
    <row r="13" spans="1:40" ht="21" customHeight="1">
      <c r="A13" s="16" t="str">
        <f t="shared" ca="1" si="5"/>
        <v>11218_1-5/79&lt;lv1&gt;s2</v>
      </c>
      <c r="B13" s="22">
        <v>11218</v>
      </c>
      <c r="C13" s="21">
        <v>1</v>
      </c>
      <c r="D13" s="2" t="str">
        <f t="shared" si="6"/>
        <v>11218_1</v>
      </c>
      <c r="E13" s="4" t="str">
        <f ca="1">VLOOKUP($B13,OFFSET([2]quests!$A$1,0,0,COUNTA([2]quests!$A:$A),MATCH(E$1,[2]quests!$1:$1,0)-MATCH($B$1,[2]quests!$1:$1,0)+1),MATCH(E$1,[2]quests!$1:$1,0)-MATCH($B$1,[2]quests!$1:$1,0)+1,FALSE)</f>
        <v>バレンタイン★特別クエスト</v>
      </c>
      <c r="F13" s="4" t="str">
        <f ca="1">VLOOKUP($D13,OFFSET([2]stages!$A$1,0,0,COUNTA([2]stages!$A:$A),MATCH(F$1,[2]stages!$2:$2,0)-MATCH($D$1,[2]stages!$2:$2,0)+1),MATCH(F$1,[2]stages!$2:$2,0)-MATCH($D$1,[2]stages!$2:$2,0)+1,FALSE)</f>
        <v>【ストーリー】バレンタイン狂騒曲</v>
      </c>
      <c r="G13" s="21">
        <v>5</v>
      </c>
      <c r="H13" s="15" t="str">
        <f t="shared" si="7"/>
        <v>11218_1-5</v>
      </c>
      <c r="I13" s="4">
        <f ca="1">VLOOKUP($H13,OFFSET(floors!$A$1,0,0,COUNTA(floors!$A:$A),MATCH(I$1,floors!$1:$1,0)-MATCH($H$1,floors!$1:$1,0)+1),MATCH(I$1,floors!$1:$1,0)-MATCH($H$1,floors!$1:$1,0)+1,FALSE)</f>
        <v>50</v>
      </c>
      <c r="J13" s="4">
        <f ca="1">VLOOKUP($H13,OFFSET(floors!$A$1,0,0,COUNTA(floors!$A:$A),MATCH(J$1,floors!$1:$1,0)-MATCH($H$1,floors!$1:$1,0)+1),MATCH(J$1,floors!$1:$1,0)-MATCH($H$1,floors!$1:$1,0)+1,FALSE)</f>
        <v>50</v>
      </c>
      <c r="K13" s="38">
        <v>2</v>
      </c>
      <c r="L13" s="20">
        <v>79</v>
      </c>
      <c r="M13" s="17" t="str">
        <f ca="1">VLOOKUP($L13,OFFSET([3]enemies!$A$1,0,0,COUNTA([3]enemies!$A:$A),MATCH(M$1,[3]enemies!$1:$1,0)-MATCH($L$1,[3]enemies!$1:$1,0)+1),MATCH(M$1,[3]enemies!$1:$1,0)-MATCH($L$1,[3]enemies!$1:$1,0)+1,FALSE)</f>
        <v>ハッピー100</v>
      </c>
      <c r="N13" s="17" t="str">
        <f ca="1">VLOOKUP($L13,OFFSET([3]enemies!$A$1,0,0,COUNTA([3]enemies!$A:$A),MATCH(N$1,[3]enemies!$1:$1,0)-MATCH($L$1,[3]enemies!$1:$1,0)+1),MATCH(N$1,[3]enemies!$1:$1,0)-MATCH($L$1,[3]enemies!$1:$1,0)+1,FALSE)</f>
        <v>green</v>
      </c>
      <c r="O13" s="17" t="str">
        <f ca="1">VLOOKUP($L13,OFFSET([4]characters!$A$1,0,0,COUNTA([4]characters!$A:$A),MATCH(O$1,[4]characters!$1:$1,0)-MATCH($L$1,[4]characters!$1:$1,0)+1),MATCH(O$1,[4]characters!$1:$1,0)-MATCH($L$1,[4]characters!$1:$1,0)+1,FALSE)</f>
        <v>PremiumW</v>
      </c>
      <c r="P13" s="17" t="str">
        <f ca="1">VLOOKUP($L13,OFFSET([3]enemies!$A$1,0,0,COUNTA([3]enemies!$A:$A),MATCH(P$1,[3]enemies!$1:$1,0)-MATCH($L$1,[3]enemies!$1:$1,0)+1),MATCH(P$1,[3]enemies!$1:$1,0)-MATCH($L$1,[3]enemies!$1:$1,0)+1,FALSE)</f>
        <v>unknown</v>
      </c>
      <c r="Q13" s="17">
        <f ca="1">VLOOKUP($L13,OFFSET([3]enemies!$A$1,0,0,COUNTA([3]enemies!$A:$A),MATCH(Q$1,[3]enemies!$1:$1,0)-MATCH($L$1,[3]enemies!$1:$1,0)+1),MATCH(Q$1,[3]enemies!$1:$1,0)-MATCH($L$1,[3]enemies!$1:$1,0)+1,FALSE)</f>
        <v>20</v>
      </c>
      <c r="R13" s="5">
        <v>1</v>
      </c>
      <c r="S13" s="25">
        <v>1</v>
      </c>
      <c r="T13" s="25">
        <v>1</v>
      </c>
      <c r="U13" s="5">
        <v>0</v>
      </c>
      <c r="V13" s="4" t="str">
        <f ca="1">VLOOKUP($W13,OFFSET(enemy_skill_sets!$B$1,0,0,COUNTA(enemy_skill_sets!$B:$B),MATCH(M$1,enemy_skill_sets!$1:$1,0)-MATCH($W$1,enemy_skill_sets!$1:$1,0)+2),MATCH(M$1,enemy_skill_sets!$1:$1,0)-MATCH($W$1,enemy_skill_sets!$1:$1,0)+2,FALSE)</f>
        <v>この状況でも 幸せそうだ</v>
      </c>
      <c r="W13" s="47">
        <v>11218510</v>
      </c>
      <c r="X13" s="6">
        <v>1</v>
      </c>
      <c r="Y13" s="6">
        <v>100</v>
      </c>
      <c r="Z13" s="6">
        <v>1</v>
      </c>
      <c r="AA13" s="17">
        <f ca="1">VLOOKUP($L13,OFFSET([3]enemies!$A$1,0,0,COUNTA([3]enemies!$A:$A),MATCH(AA$1,[3]enemies!$1:$1,0)-MATCH($L$1,[3]enemies!$1:$1,0)+1),MATCH(AA$1,[3]enemies!$1:$1,0)-MATCH($L$1,[3]enemies!$1:$1,0)+1,FALSE)</f>
        <v>2</v>
      </c>
      <c r="AB13" s="95">
        <v>572</v>
      </c>
      <c r="AC13" s="4" t="str">
        <f ca="1">VLOOKUP($AB13,OFFSET([4]characters!$A$1,0,0,COUNTA([4]characters!$A:$A),MATCH(AC$1,[4]characters!$1:$1,0)-MATCH("character_id",[4]characters!$1:$1,0)+1),MATCH(AC$1,[4]characters!$1:$1,0)-MATCH("character_id",[4]characters!$1:$1,0)+1,FALSE)</f>
        <v>恋する果実</v>
      </c>
      <c r="AD13" s="4">
        <f ca="1">VLOOKUP($AB13,OFFSET([4]characters!$A$1,0,0,COUNTA([4]characters!$A:$A),MATCH(AD$1,[4]characters!$1:$1,0)-MATCH("character_id",[4]characters!$1:$1,0)+1),MATCH(AD$1,[4]characters!$1:$1,0)-MATCH("character_id",[4]characters!$1:$1,0)+1,FALSE)</f>
        <v>3</v>
      </c>
      <c r="AE13" s="4" t="str">
        <f ca="1">VLOOKUP($AB13,OFFSET([4]characters!$A$1,0,0,COUNTA([4]characters!$A:$A),MATCH(AE$1,[4]characters!$1:$1,0)-MATCH("character_id",[4]characters!$1:$1,0)+1),MATCH(AE$1,[4]characters!$1:$1,0)-MATCH("character_id",[4]characters!$1:$1,0)+1,FALSE)</f>
        <v>Material</v>
      </c>
      <c r="AF13" s="7">
        <v>1</v>
      </c>
      <c r="AG13" s="24">
        <f t="shared" ca="1" si="9"/>
        <v>3</v>
      </c>
      <c r="AH13" s="8">
        <v>100</v>
      </c>
      <c r="AI13" s="7">
        <v>0</v>
      </c>
      <c r="AJ13" s="7">
        <v>0</v>
      </c>
      <c r="AK13" s="7">
        <v>0</v>
      </c>
      <c r="AL13" s="7">
        <v>0</v>
      </c>
      <c r="AM13" s="7">
        <v>1</v>
      </c>
      <c r="AN13" s="69">
        <v>1</v>
      </c>
    </row>
  </sheetData>
  <sheetProtection selectLockedCells="1" selectUnlockedCells="1"/>
  <autoFilter ref="B1:AH3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Y4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A4" sqref="A4"/>
    </sheetView>
  </sheetViews>
  <sheetFormatPr baseColWidth="12" defaultColWidth="13" defaultRowHeight="21" customHeight="1" outlineLevelCol="1" x14ac:dyDescent="0"/>
  <cols>
    <col min="1" max="1" width="17" style="19" bestFit="1" customWidth="1"/>
    <col min="2" max="2" width="10.83203125" style="3" bestFit="1" customWidth="1"/>
    <col min="3" max="3" width="10.6640625" style="3" bestFit="1" customWidth="1"/>
    <col min="4" max="4" width="13" style="14" bestFit="1" customWidth="1" outlineLevel="1"/>
    <col min="5" max="5" width="11.6640625" style="3" bestFit="1" customWidth="1" outlineLevel="1"/>
    <col min="6" max="6" width="16.1640625" style="3" bestFit="1" customWidth="1" outlineLevel="1"/>
    <col min="7" max="7" width="10" style="3" bestFit="1" customWidth="1"/>
    <col min="8" max="9" width="12.33203125" style="3" bestFit="1" customWidth="1" outlineLevel="1"/>
    <col min="10" max="10" width="12.33203125" style="3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7.5" style="3" bestFit="1" customWidth="1"/>
    <col min="22" max="22" width="18.33203125" style="3" bestFit="1" customWidth="1"/>
    <col min="23" max="23" width="16.6640625" style="3" customWidth="1"/>
    <col min="24" max="24" width="10" style="3" bestFit="1" customWidth="1" outlineLevel="1"/>
    <col min="25" max="25" width="9.33203125" style="3" bestFit="1" customWidth="1"/>
    <col min="26" max="16384" width="13" style="3"/>
  </cols>
  <sheetData>
    <row r="1" spans="1:25" s="35" customFormat="1" ht="21" customHeight="1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26" t="s">
        <v>50</v>
      </c>
      <c r="V1" s="26" t="s">
        <v>52</v>
      </c>
      <c r="W1" s="28" t="s">
        <v>130</v>
      </c>
      <c r="X1" s="29" t="s">
        <v>129</v>
      </c>
      <c r="Y1" s="28" t="s">
        <v>8</v>
      </c>
    </row>
    <row r="2" spans="1:25" ht="21" customHeight="1">
      <c r="A2" s="16" t="str">
        <f>B2&amp;"_"&amp;C2&amp;"-"&amp;G2&amp;"/"&amp;M2&amp;"&lt;lv"&amp;S2&amp;"&gt;sq"&amp;K2&amp;"st"&amp;L2</f>
        <v>11218_1-4/466&lt;lv1&gt;sq1st2</v>
      </c>
      <c r="B2" s="22">
        <v>11218</v>
      </c>
      <c r="C2" s="21">
        <v>1</v>
      </c>
      <c r="D2" s="2" t="str">
        <f>B2&amp;"_"&amp;C2</f>
        <v>11218_1</v>
      </c>
      <c r="E2" s="4" t="str">
        <f ca="1">VLOOKUP($B2,OFFSET([2]quests!$A$1,0,0,COUNTA([2]quests!$A:$A),MATCH(E$1,[2]quests!$1:$1,0)-MATCH($B$1,[2]quests!$1:$1,0)+1),MATCH(E$1,[2]quests!$1:$1,0)-MATCH($B$1,[2]quests!$1:$1,0)+1,FALSE)</f>
        <v>バレンタイン★特別クエスト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【ストーリー】バレンタイン狂騒曲</v>
      </c>
      <c r="G2" s="21">
        <v>4</v>
      </c>
      <c r="H2" s="15" t="str">
        <f>B2&amp;"_"&amp;C2&amp;"-"&amp;G2</f>
        <v>11218_1-4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466</v>
      </c>
      <c r="N2" s="17" t="str">
        <f ca="1">VLOOKUP($M2,OFFSET([3]enemies!$A$1,0,0,COUNTA([3]enemies!$A:$A),MATCH(N$1,[3]enemies!$1:$1,0)-MATCH($M$1,[3]enemies!$1:$1,0)+1),MATCH(N$1,[3]enemies!$1:$1,0)-MATCH($M$1,[3]enemies!$1:$1,0)+1,FALSE)</f>
        <v>真断の勇覇 ランスロット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PremiumSS</v>
      </c>
      <c r="Q2" s="17" t="str">
        <f ca="1">VLOOKUP($M2,OFFSET([3]enemies!$A$1,0,0,COUNTA([3]enemies!$A:$A),MATCH(Q$1,[3]enemies!$1:$1,0)-MATCH($M$1,[3]enemies!$1:$1,0)+1),MATCH(Q$1,[3]enemies!$1:$1,0)-MATCH($M$1,[3]enemies!$1:$1,0)+1,FALSE)</f>
        <v>human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1</v>
      </c>
      <c r="T2" s="25">
        <v>1</v>
      </c>
      <c r="U2" s="25">
        <v>1</v>
      </c>
      <c r="V2" s="5">
        <v>0</v>
      </c>
      <c r="W2" s="4" t="str">
        <f ca="1">VLOOKUP($X2,OFFSET(enemy_skill_sets!$B$1,0,0,COUNTA(enemy_skill_sets!$B:$B),MATCH(N$1,enemy_skill_sets!$1:$1,0)-MATCH($X$1,enemy_skill_sets!$1:$1,0)+2),MATCH(N$1,enemy_skill_sets!$1:$1,0)-MATCH($X$1,enemy_skill_sets!$1:$1,0)+2,FALSE)</f>
        <v>ランスロットは 犯人を追う！</v>
      </c>
      <c r="X2" s="47">
        <v>11218421</v>
      </c>
      <c r="Y2" s="70">
        <f ca="1">VLOOKUP($M2,OFFSET([3]enemies!$A$1,0,0,COUNTA([3]enemies!$A:$A),MATCH(Y$1,[3]enemies!$1:$1,0)-MATCH($M$1,[3]enemies!$1:$1,0)+1),MATCH(Y$1,[3]enemies!$1:$1,0)-MATCH($M$1,[3]enemies!$1:$1,0)+1,FALSE)</f>
        <v>3</v>
      </c>
    </row>
    <row r="3" spans="1:25" ht="21" customHeight="1">
      <c r="A3" s="16" t="str">
        <f>B3&amp;"_"&amp;C3&amp;"-"&amp;G3&amp;"/"&amp;M3&amp;"&lt;lv"&amp;S3&amp;"&gt;sq"&amp;K3&amp;"st"&amp;L3</f>
        <v>11218_1-5/350&lt;lv1&gt;sq1st2</v>
      </c>
      <c r="B3" s="22">
        <v>11218</v>
      </c>
      <c r="C3" s="21">
        <v>1</v>
      </c>
      <c r="D3" s="2" t="str">
        <f>B3&amp;"_"&amp;C3</f>
        <v>11218_1</v>
      </c>
      <c r="E3" s="4" t="str">
        <f ca="1">VLOOKUP($B3,OFFSET([2]quests!$A$1,0,0,COUNTA([2]quests!$A:$A),MATCH(E$1,[2]quests!$1:$1,0)-MATCH($B$1,[2]quests!$1:$1,0)+1),MATCH(E$1,[2]quests!$1:$1,0)-MATCH($B$1,[2]quests!$1:$1,0)+1,FALSE)</f>
        <v>バレンタイン★特別クエスト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【ストーリー】バレンタイン狂騒曲</v>
      </c>
      <c r="G3" s="21">
        <v>5</v>
      </c>
      <c r="H3" s="15" t="str">
        <f>B3&amp;"_"&amp;C3&amp;"-"&amp;G3</f>
        <v>11218_1-5</v>
      </c>
      <c r="I3" s="4">
        <f ca="1">VLOOKUP($H3,OFFSET(floors!$A$1,0,0,COUNTA(floors!$A:$A),MATCH(I$1,floors!$1:$1,0)-MATCH($H$1,floors!$1:$1,0)+1),MATCH(I$1,floors!$1:$1,0)-MATCH($H$1,floors!$1:$1,0)+1,FALSE)</f>
        <v>50</v>
      </c>
      <c r="J3" s="4">
        <f ca="1">VLOOKUP($H3,OFFSET(floors!$A$1,0,0,COUNTA(floors!$A:$A),MATCH(J$1,floors!$1:$1,0)-MATCH($H$1,floors!$1:$1,0)+1),MATCH(J$1,floors!$1:$1,0)-MATCH($H$1,floors!$1:$1,0)+1,FALSE)</f>
        <v>50</v>
      </c>
      <c r="K3" s="38">
        <v>1</v>
      </c>
      <c r="L3" s="38">
        <v>2</v>
      </c>
      <c r="M3" s="20">
        <v>350</v>
      </c>
      <c r="N3" s="17" t="str">
        <f ca="1">VLOOKUP($M3,OFFSET([3]enemies!$A$1,0,0,COUNTA([3]enemies!$A:$A),MATCH(N$1,[3]enemies!$1:$1,0)-MATCH($M$1,[3]enemies!$1:$1,0)+1),MATCH(N$1,[3]enemies!$1:$1,0)-MATCH($M$1,[3]enemies!$1:$1,0)+1,FALSE)</f>
        <v>森のケロケロ</v>
      </c>
      <c r="O3" s="17" t="str">
        <f ca="1">VLOOKUP($M3,OFFSET([3]enemies!$A$1,0,0,COUNTA([3]enemies!$A:$A),MATCH(O$1,[3]enemies!$1:$1,0)-MATCH($M$1,[3]enemies!$1:$1,0)+1),MATCH(O$1,[3]enemies!$1:$1,0)-MATCH($M$1,[3]enemies!$1:$1,0)+1,FALSE)</f>
        <v>green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Material</v>
      </c>
      <c r="Q3" s="17" t="str">
        <f ca="1">VLOOKUP($M3,OFFSET([3]enemies!$A$1,0,0,COUNTA([3]enemies!$A:$A),MATCH(Q$1,[3]enemies!$1:$1,0)-MATCH($M$1,[3]enemies!$1:$1,0)+1),MATCH(Q$1,[3]enemies!$1:$1,0)-MATCH($M$1,[3]enemies!$1:$1,0)+1,FALSE)</f>
        <v>unknown</v>
      </c>
      <c r="R3" s="17">
        <f ca="1">VLOOKUP($M3,OFFSET([3]enemies!$A$1,0,0,COUNTA([3]enemies!$A:$A),MATCH(R$1,[3]enemies!$1:$1,0)-MATCH($M$1,[3]enemies!$1:$1,0)+1),MATCH(R$1,[3]enemies!$1:$1,0)-MATCH($M$1,[3]enemies!$1:$1,0)+1,FALSE)</f>
        <v>15</v>
      </c>
      <c r="S3" s="5">
        <v>1</v>
      </c>
      <c r="T3" s="25">
        <v>1</v>
      </c>
      <c r="U3" s="25">
        <v>1</v>
      </c>
      <c r="V3" s="5">
        <v>0</v>
      </c>
      <c r="W3" s="4" t="str">
        <f ca="1">VLOOKUP($X3,OFFSET(enemy_skill_sets!$B$1,0,0,COUNTA(enemy_skill_sets!$B:$B),MATCH(N$1,enemy_skill_sets!$1:$1,0)-MATCH($X$1,enemy_skill_sets!$1:$1,0)+2),MATCH(N$1,enemy_skill_sets!$1:$1,0)-MATCH($X$1,enemy_skill_sets!$1:$1,0)+2,FALSE)</f>
        <v>ランスロットは カエルにされた！</v>
      </c>
      <c r="X3" s="47">
        <v>11218502</v>
      </c>
      <c r="Y3" s="70">
        <f ca="1">VLOOKUP($M3,OFFSET([3]enemies!$A$1,0,0,COUNTA([3]enemies!$A:$A),MATCH(Y$1,[3]enemies!$1:$1,0)-MATCH($M$1,[3]enemies!$1:$1,0)+1),MATCH(Y$1,[3]enemies!$1:$1,0)-MATCH($M$1,[3]enemies!$1:$1,0)+1,FALSE)</f>
        <v>3</v>
      </c>
    </row>
    <row r="4" spans="1:25" ht="21" customHeight="1">
      <c r="A4" s="16" t="str">
        <f>B4&amp;"_"&amp;C4&amp;"-"&amp;G4&amp;"/"&amp;M4&amp;"&lt;lv"&amp;S4&amp;"&gt;sq"&amp;K4&amp;"st"&amp;L4</f>
        <v>11218_1-5/571&lt;lv99&gt;sq2st2</v>
      </c>
      <c r="B4" s="22">
        <v>11218</v>
      </c>
      <c r="C4" s="21">
        <v>1</v>
      </c>
      <c r="D4" s="2" t="str">
        <f>B4&amp;"_"&amp;C4</f>
        <v>11218_1</v>
      </c>
      <c r="E4" s="4" t="str">
        <f ca="1">VLOOKUP($B4,OFFSET([2]quests!$A$1,0,0,COUNTA([2]quests!$A:$A),MATCH(E$1,[2]quests!$1:$1,0)-MATCH($B$1,[2]quests!$1:$1,0)+1),MATCH(E$1,[2]quests!$1:$1,0)-MATCH($B$1,[2]quests!$1:$1,0)+1,FALSE)</f>
        <v>バレンタイン★特別クエスト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【ストーリー】バレンタイン狂騒曲</v>
      </c>
      <c r="G4" s="21">
        <v>5</v>
      </c>
      <c r="H4" s="15" t="str">
        <f>B4&amp;"_"&amp;C4&amp;"-"&amp;G4</f>
        <v>11218_1-5</v>
      </c>
      <c r="I4" s="4">
        <f ca="1">VLOOKUP($H4,OFFSET(floors!$A$1,0,0,COUNTA(floors!$A:$A),MATCH(I$1,floors!$1:$1,0)-MATCH($H$1,floors!$1:$1,0)+1),MATCH(I$1,floors!$1:$1,0)-MATCH($H$1,floors!$1:$1,0)+1,FALSE)</f>
        <v>50</v>
      </c>
      <c r="J4" s="4">
        <f ca="1">VLOOKUP($H4,OFFSET(floors!$A$1,0,0,COUNTA(floors!$A:$A),MATCH(J$1,floors!$1:$1,0)-MATCH($H$1,floors!$1:$1,0)+1),MATCH(J$1,floors!$1:$1,0)-MATCH($H$1,floors!$1:$1,0)+1,FALSE)</f>
        <v>50</v>
      </c>
      <c r="K4" s="38">
        <v>2</v>
      </c>
      <c r="L4" s="38">
        <v>2</v>
      </c>
      <c r="M4" s="20">
        <v>571</v>
      </c>
      <c r="N4" s="17" t="str">
        <f ca="1">VLOOKUP($M4,OFFSET([3]enemies!$A$1,0,0,COUNTA([3]enemies!$A:$A),MATCH(N$1,[3]enemies!$1:$1,0)-MATCH($M$1,[3]enemies!$1:$1,0)+1),MATCH(N$1,[3]enemies!$1:$1,0)-MATCH($M$1,[3]enemies!$1:$1,0)+1,FALSE)</f>
        <v>ハッピー バレンタイン</v>
      </c>
      <c r="O4" s="17" t="str">
        <f ca="1">VLOOKUP($M4,OFFSET([3]enemies!$A$1,0,0,COUNTA([3]enemies!$A:$A),MATCH(O$1,[3]enemies!$1:$1,0)-MATCH($M$1,[3]enemies!$1:$1,0)+1),MATCH(O$1,[3]enemies!$1:$1,0)-MATCH($M$1,[3]enemies!$1:$1,0)+1,FALSE)</f>
        <v>green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PremiumW</v>
      </c>
      <c r="Q4" s="17" t="str">
        <f ca="1">VLOOKUP($M4,OFFSET([3]enemies!$A$1,0,0,COUNTA([3]enemies!$A:$A),MATCH(Q$1,[3]enemies!$1:$1,0)-MATCH($M$1,[3]enemies!$1:$1,0)+1),MATCH(Q$1,[3]enemies!$1:$1,0)-MATCH($M$1,[3]enemies!$1:$1,0)+1,FALSE)</f>
        <v>unknown</v>
      </c>
      <c r="R4" s="17">
        <f ca="1">VLOOKUP($M4,OFFSET([3]enemies!$A$1,0,0,COUNTA([3]enemies!$A:$A),MATCH(R$1,[3]enemies!$1:$1,0)-MATCH($M$1,[3]enemies!$1:$1,0)+1),MATCH(R$1,[3]enemies!$1:$1,0)-MATCH($M$1,[3]enemies!$1:$1,0)+1,FALSE)</f>
        <v>25</v>
      </c>
      <c r="S4" s="5">
        <v>99</v>
      </c>
      <c r="T4" s="25">
        <v>99.9</v>
      </c>
      <c r="U4" s="25">
        <v>1</v>
      </c>
      <c r="V4" s="5">
        <v>65535</v>
      </c>
      <c r="W4" s="4" t="str">
        <f ca="1">VLOOKUP($X4,OFFSET(enemy_skill_sets!$B$1,0,0,COUNTA(enemy_skill_sets!$B:$B),MATCH(N$1,enemy_skill_sets!$1:$1,0)-MATCH($X$1,enemy_skill_sets!$1:$1,0)+2),MATCH(N$1,enemy_skill_sets!$1:$1,0)-MATCH($X$1,enemy_skill_sets!$1:$1,0)+2,FALSE)</f>
        <v>ハッピーは 勝負服に着替えた！</v>
      </c>
      <c r="X4" s="47">
        <v>11218520</v>
      </c>
      <c r="Y4" s="70">
        <f ca="1">VLOOKUP($M4,OFFSET([3]enemies!$A$1,0,0,COUNTA([3]enemies!$A:$A),MATCH(Y$1,[3]enemies!$1:$1,0)-MATCH($M$1,[3]enemies!$1:$1,0)+1),MATCH(Y$1,[3]enemies!$1:$1,0)-MATCH($M$1,[3]enemies!$1:$1,0)+1,FALSE)</f>
        <v>3</v>
      </c>
    </row>
  </sheetData>
  <sheetProtection selectLockedCells="1" selectUnlockedCells="1"/>
  <autoFilter ref="B1:Y4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27"/>
  <sheetViews>
    <sheetView showGridLines="0" zoomScale="75" zoomScaleNormal="75" zoomScalePageLayoutView="75" workbookViewId="0">
      <pane xSplit="5" ySplit="1" topLeftCell="F2" activePane="bottomRight" state="frozen"/>
      <selection pane="topRight"/>
      <selection pane="bottomLeft"/>
      <selection pane="bottomRight" activeCell="F10" sqref="F10"/>
    </sheetView>
  </sheetViews>
  <sheetFormatPr baseColWidth="12" defaultColWidth="12.83203125" defaultRowHeight="21" customHeight="1" outlineLevelCol="1" x14ac:dyDescent="0"/>
  <cols>
    <col min="1" max="1" width="11.33203125" style="39" bestFit="1" customWidth="1"/>
    <col min="2" max="2" width="9.5" style="49" bestFit="1" customWidth="1"/>
    <col min="3" max="3" width="9.6640625" style="49" customWidth="1"/>
    <col min="4" max="4" width="34.33203125" style="49" customWidth="1" outlineLevel="1"/>
    <col min="5" max="5" width="44.1640625" style="49" bestFit="1" customWidth="1" outlineLevel="1"/>
    <col min="6" max="6" width="10.83203125" style="49" bestFit="1" customWidth="1"/>
    <col min="7" max="7" width="8.33203125" style="49" bestFit="1" customWidth="1" outlineLevel="1"/>
    <col min="8" max="9" width="12.83203125" style="49" outlineLevel="1"/>
    <col min="10" max="10" width="17.6640625" style="49" bestFit="1" customWidth="1" outlineLevel="1"/>
    <col min="11" max="15" width="12.83203125" style="49" outlineLevel="1"/>
    <col min="16" max="16" width="8.33203125" style="45" bestFit="1" customWidth="1"/>
    <col min="17" max="17" width="9.6640625" style="45" customWidth="1"/>
    <col min="18" max="18" width="56.5" style="45" bestFit="1" customWidth="1"/>
    <col min="19" max="16384" width="12.83203125" style="45"/>
  </cols>
  <sheetData>
    <row r="1" spans="1:18" ht="21" customHeight="1">
      <c r="A1" s="39" t="s">
        <v>60</v>
      </c>
      <c r="B1" s="40" t="s">
        <v>61</v>
      </c>
      <c r="C1" s="40" t="s">
        <v>62</v>
      </c>
      <c r="D1" s="41" t="s">
        <v>63</v>
      </c>
      <c r="E1" s="41" t="s">
        <v>64</v>
      </c>
      <c r="F1" s="42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4" t="s">
        <v>71</v>
      </c>
      <c r="L1" s="44" t="s">
        <v>72</v>
      </c>
      <c r="M1" s="43" t="s">
        <v>73</v>
      </c>
      <c r="N1" s="43" t="s">
        <v>74</v>
      </c>
      <c r="O1" s="43" t="s">
        <v>75</v>
      </c>
      <c r="P1" s="41" t="s">
        <v>76</v>
      </c>
      <c r="Q1" s="41" t="s">
        <v>77</v>
      </c>
      <c r="R1" s="41" t="s">
        <v>78</v>
      </c>
    </row>
    <row r="2" spans="1:18" ht="21" customHeight="1">
      <c r="A2" s="39" t="str">
        <f t="shared" ref="A2" si="0">B2&amp;"_"&amp;C2</f>
        <v>11218100_11218100</v>
      </c>
      <c r="B2" s="47">
        <v>11218100</v>
      </c>
      <c r="C2" s="47">
        <v>11218100</v>
      </c>
      <c r="D2" s="4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ほろ苦い 恋の物語 ピョ</v>
      </c>
      <c r="E2" s="4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「バレンタイン 狂騒曲」</v>
      </c>
      <c r="F2" s="47">
        <v>11218000</v>
      </c>
      <c r="G2" s="4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48" t="str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2" s="4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4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4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4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4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4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4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47"/>
      <c r="Q2" s="47"/>
      <c r="R2" s="47"/>
    </row>
    <row r="3" spans="1:18" ht="21" customHeight="1">
      <c r="A3" s="39" t="str">
        <f t="shared" ref="A3" si="1">B3&amp;"_"&amp;C3</f>
        <v>11218200_11218200</v>
      </c>
      <c r="B3" s="47">
        <v>11218200</v>
      </c>
      <c r="C3" s="47">
        <v>11218200</v>
      </c>
      <c r="D3" s="46" t="str">
        <f ca="1">VLOOKUP($C3,OFFSET(enemy_skills!$A$1,0,0,COUNTA(enemy_skills!$A:$A),MATCH(D$1,enemy_skills!$1:$1,0)-MATCH("enemy_skill_id",enemy_skills!$1:$1,0)+1),MATCH(D$1,enemy_skills!$1:$1,0)-MATCH("enemy_skill_id",enemy_skills!$1:$1,0)+1,FALSE)</f>
        <v>マミコちゃん_x000D_ドキドキするね ＞＜</v>
      </c>
      <c r="E3" s="46" t="str">
        <f ca="1">VLOOKUP($C3,OFFSET(enemy_skills!$A$1,0,0,COUNTA(enemy_skills!$A:$A),MATCH(E$1,enemy_skills!$1:$1,0)-MATCH("enemy_skill_id",enemy_skills!$1:$1,0)+1),MATCH(E$1,enemy_skills!$1:$1,0)-MATCH("enemy_skill_id",enemy_skills!$1:$1,0)+1,FALSE)</f>
        <v>手作りチョコを 抱きしめている</v>
      </c>
      <c r="F3" s="47">
        <v>11218000</v>
      </c>
      <c r="G3" s="48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" s="48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8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8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8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8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8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8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8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7"/>
      <c r="Q3" s="47"/>
      <c r="R3" s="47"/>
    </row>
    <row r="4" spans="1:18" ht="21" customHeight="1">
      <c r="A4" s="39" t="str">
        <f t="shared" ref="A4" si="2">B4&amp;"_"&amp;C4</f>
        <v>11218210_11218210</v>
      </c>
      <c r="B4" s="47">
        <v>11218210</v>
      </c>
      <c r="C4" s="47">
        <v>11218210</v>
      </c>
      <c r="D4" s="46" t="str">
        <f ca="1">VLOOKUP($C4,OFFSET(enemy_skills!$A$1,0,0,COUNTA(enemy_skills!$A:$A),MATCH(D$1,enemy_skills!$1:$1,0)-MATCH("enemy_skill_id",enemy_skills!$1:$1,0)+1),MATCH(D$1,enemy_skills!$1:$1,0)-MATCH("enemy_skill_id",enemy_skills!$1:$1,0)+1,FALSE)</f>
        <v>受け取って_x000D_もらえるかなぁ ＞＜</v>
      </c>
      <c r="E4" s="46" t="str">
        <f ca="1">VLOOKUP($C4,OFFSET(enemy_skills!$A$1,0,0,COUNTA(enemy_skills!$A:$A),MATCH(E$1,enemy_skills!$1:$1,0)-MATCH("enemy_skill_id",enemy_skills!$1:$1,0)+1),MATCH(E$1,enemy_skills!$1:$1,0)-MATCH("enemy_skill_id",enemy_skills!$1:$1,0)+1,FALSE)</f>
        <v>あこがれの人に あげるつもりだ</v>
      </c>
      <c r="F4" s="47">
        <v>11218210</v>
      </c>
      <c r="G4" s="48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" s="48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4" s="48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48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48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48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48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48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48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47"/>
      <c r="Q4" s="47"/>
      <c r="R4" s="47"/>
    </row>
    <row r="5" spans="1:18" ht="21" customHeight="1">
      <c r="A5" s="39" t="str">
        <f t="shared" ref="A5" si="3">B5&amp;"_"&amp;C5</f>
        <v>11218220_11218220</v>
      </c>
      <c r="B5" s="47">
        <v>11218220</v>
      </c>
      <c r="C5" s="47">
        <v>11218220</v>
      </c>
      <c r="D5" s="4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5" s="46" t="str">
        <f ca="1">VLOOKUP($C5,OFFSET(enemy_skills!$A$1,0,0,COUNTA(enemy_skills!$A:$A),MATCH(E$1,enemy_skills!$1:$1,0)-MATCH("enemy_skill_id",enemy_skills!$1:$1,0)+1),MATCH(E$1,enemy_skills!$1:$1,0)-MATCH("enemy_skill_id",enemy_skills!$1:$1,0)+1,FALSE)</f>
        <v>幸せそうに 去っていった</v>
      </c>
      <c r="F5" s="47">
        <v>11218220</v>
      </c>
      <c r="G5" s="4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" s="48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4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4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4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4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4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48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55</v>
      </c>
      <c r="O5" s="4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47"/>
      <c r="Q5" s="47"/>
      <c r="R5" s="47"/>
    </row>
    <row r="6" spans="1:18" ht="21" customHeight="1">
      <c r="A6" s="39" t="str">
        <f t="shared" ref="A6:A7" si="4">B6&amp;"_"&amp;C6</f>
        <v>11218210_11218211</v>
      </c>
      <c r="B6" s="47">
        <v>11218210</v>
      </c>
      <c r="C6" s="47">
        <v>11218211</v>
      </c>
      <c r="D6" s="46" t="str">
        <f ca="1">VLOOKUP($C6,OFFSET(enemy_skills!$A$1,0,0,COUNTA(enemy_skills!$A:$A),MATCH(D$1,enemy_skills!$1:$1,0)-MATCH("enemy_skill_id",enemy_skills!$1:$1,0)+1),MATCH(D$1,enemy_skills!$1:$1,0)-MATCH("enemy_skill_id",enemy_skills!$1:$1,0)+1,FALSE)</f>
        <v>二人一緒に 渡しにいこう！</v>
      </c>
      <c r="E6" s="46" t="str">
        <f ca="1">VLOOKUP($C6,OFFSET(enemy_skills!$A$1,0,0,COUNTA(enemy_skills!$A:$A),MATCH(E$1,enemy_skills!$1:$1,0)-MATCH("enemy_skill_id",enemy_skills!$1:$1,0)+1),MATCH(E$1,enemy_skills!$1:$1,0)-MATCH("enemy_skill_id",enemy_skills!$1:$1,0)+1,FALSE)</f>
        <v>ウキウキしながら 走っていった！</v>
      </c>
      <c r="F6" s="47">
        <v>11218211</v>
      </c>
      <c r="G6" s="48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8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6" s="48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8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8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8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8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8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8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7"/>
      <c r="Q6" s="47"/>
      <c r="R6" s="47"/>
    </row>
    <row r="7" spans="1:18" ht="21" customHeight="1">
      <c r="A7" s="39" t="str">
        <f t="shared" si="4"/>
        <v>11218300_11218300</v>
      </c>
      <c r="B7" s="47">
        <v>11218300</v>
      </c>
      <c r="C7" s="47">
        <v>11218300</v>
      </c>
      <c r="D7" s="46" t="str">
        <f ca="1">VLOOKUP($C7,OFFSET(enemy_skills!$A$1,0,0,COUNTA(enemy_skills!$A:$A),MATCH(D$1,enemy_skills!$1:$1,0)-MATCH("enemy_skill_id",enemy_skills!$1:$1,0)+1),MATCH(D$1,enemy_skills!$1:$1,0)-MATCH("enemy_skill_id",enemy_skills!$1:$1,0)+1,FALSE)</f>
        <v>参ったなぁ オレにはオセがー</v>
      </c>
      <c r="E7" s="46" t="str">
        <f ca="1">VLOOKUP($C7,OFFSET(enemy_skills!$A$1,0,0,COUNTA(enemy_skills!$A:$A),MATCH(E$1,enemy_skills!$1:$1,0)-MATCH("enemy_skill_id",enemy_skills!$1:$1,0)+1),MATCH(E$1,enemy_skills!$1:$1,0)-MATCH("enemy_skill_id",enemy_skills!$1:$1,0)+1,FALSE)</f>
        <v>まんざらでも なさそうだ</v>
      </c>
      <c r="F7" s="47">
        <v>11218300</v>
      </c>
      <c r="G7" s="48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8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4</v>
      </c>
      <c r="I7" s="48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8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8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8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8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8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8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7"/>
      <c r="Q7" s="47"/>
      <c r="R7" s="47"/>
    </row>
    <row r="8" spans="1:18" ht="21" customHeight="1">
      <c r="A8" s="39" t="str">
        <f t="shared" ref="A8" si="5">B8&amp;"_"&amp;C8</f>
        <v>11218300_11218301</v>
      </c>
      <c r="B8" s="47">
        <v>11218300</v>
      </c>
      <c r="C8" s="47">
        <v>11218301</v>
      </c>
      <c r="D8" s="46" t="str">
        <f ca="1">VLOOKUP($C8,OFFSET(enemy_skills!$A$1,0,0,COUNTA(enemy_skills!$A:$A),MATCH(D$1,enemy_skills!$1:$1,0)-MATCH("enemy_skill_id",enemy_skills!$1:$1,0)+1),MATCH(D$1,enemy_skills!$1:$1,0)-MATCH("enemy_skill_id",enemy_skills!$1:$1,0)+1,FALSE)</f>
        <v>………</v>
      </c>
      <c r="E8" s="46" t="str">
        <f ca="1">VLOOKUP($C8,OFFSET(enemy_skills!$A$1,0,0,COUNTA(enemy_skills!$A:$A),MATCH(E$1,enemy_skills!$1:$1,0)-MATCH("enemy_skill_id",enemy_skills!$1:$1,0)+1),MATCH(E$1,enemy_skills!$1:$1,0)-MATCH("enemy_skill_id",enemy_skills!$1:$1,0)+1,FALSE)</f>
        <v>目の前が 真っ暗になっている！</v>
      </c>
      <c r="F8" s="47">
        <v>11218301</v>
      </c>
      <c r="G8" s="4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4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8" s="4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4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4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4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4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48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55</v>
      </c>
      <c r="O8" s="4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47"/>
      <c r="Q8" s="47"/>
      <c r="R8" s="47"/>
    </row>
    <row r="9" spans="1:18" ht="21" customHeight="1">
      <c r="A9" s="39" t="str">
        <f t="shared" ref="A9:A14" si="6">B9&amp;"_"&amp;C9</f>
        <v>11218300_11218302</v>
      </c>
      <c r="B9" s="47">
        <v>11218300</v>
      </c>
      <c r="C9" s="47">
        <v>11218302</v>
      </c>
      <c r="D9" s="46" t="str">
        <f ca="1">VLOOKUP($C9,OFFSET(enemy_skills!$A$1,0,0,COUNTA(enemy_skills!$A:$A),MATCH(D$1,enemy_skills!$1:$1,0)-MATCH("enemy_skill_id",enemy_skills!$1:$1,0)+1),MATCH(D$1,enemy_skills!$1:$1,0)-MATCH("enemy_skill_id",enemy_skills!$1:$1,0)+1,FALSE)</f>
        <v>（とどめも さしてくれないのかよ…）</v>
      </c>
      <c r="E9" s="46" t="str">
        <f ca="1">VLOOKUP($C9,OFFSET(enemy_skills!$A$1,0,0,COUNTA(enemy_skills!$A:$A),MATCH(E$1,enemy_skills!$1:$1,0)-MATCH("enemy_skill_id",enemy_skills!$1:$1,0)+1),MATCH(E$1,enemy_skills!$1:$1,0)-MATCH("enemy_skill_id",enemy_skills!$1:$1,0)+1,FALSE)</f>
        <v>プロメテウスは 自ら散った…</v>
      </c>
      <c r="F9" s="47">
        <v>11218302</v>
      </c>
      <c r="G9" s="48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8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9" s="48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48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8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8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8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3</v>
      </c>
      <c r="N9" s="48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8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47"/>
      <c r="Q9" s="47"/>
      <c r="R9" s="47"/>
    </row>
    <row r="10" spans="1:18" ht="21" customHeight="1">
      <c r="A10" s="39" t="str">
        <f t="shared" ref="A10" si="7">B10&amp;"_"&amp;C10</f>
        <v>11218300_11218303</v>
      </c>
      <c r="B10" s="47">
        <v>11218300</v>
      </c>
      <c r="C10" s="47">
        <v>11218303</v>
      </c>
      <c r="D10" s="46" t="str">
        <f ca="1">VLOOKUP($C10,OFFSET(enemy_skills!$A$1,0,0,COUNTA(enemy_skills!$A:$A),MATCH(D$1,enemy_skills!$1:$1,0)-MATCH("enemy_skill_id",enemy_skills!$1:$1,0)+1),MATCH(D$1,enemy_skills!$1:$1,0)-MATCH("enemy_skill_id",enemy_skills!$1:$1,0)+1,FALSE)</f>
        <v>（はやく とどめを…）</v>
      </c>
      <c r="E10" s="46" t="str">
        <f ca="1">VLOOKUP($C10,OFFSET(enemy_skills!$A$1,0,0,COUNTA(enemy_skills!$A:$A),MATCH(E$1,enemy_skills!$1:$1,0)-MATCH("enemy_skill_id",enemy_skills!$1:$1,0)+1),MATCH(E$1,enemy_skills!$1:$1,0)-MATCH("enemy_skill_id",enemy_skills!$1:$1,0)+1,FALSE)</f>
        <v>心の声が 聞こえてきた</v>
      </c>
      <c r="F10" s="96">
        <v>11218303</v>
      </c>
      <c r="G10" s="48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8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0" s="48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48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8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8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8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8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8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47"/>
      <c r="Q10" s="47"/>
      <c r="R10" s="47"/>
    </row>
    <row r="11" spans="1:18" ht="21" customHeight="1">
      <c r="A11" s="39" t="str">
        <f t="shared" si="6"/>
        <v>11218310_11218310</v>
      </c>
      <c r="B11" s="47">
        <v>11218310</v>
      </c>
      <c r="C11" s="47">
        <v>11218310</v>
      </c>
      <c r="D11" s="46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あの人 どこに_x000D_いるんだろ？ ＞＜</v>
      </c>
      <c r="E11" s="46" t="str">
        <f ca="1">VLOOKUP($C11,OFFSET(enemy_skills!$A$1,0,0,COUNTA(enemy_skills!$A:$A),MATCH(E$1,enemy_skills!$1:$1,0)-MATCH("enemy_skill_id",enemy_skills!$1:$1,0)+1),MATCH(E$1,enemy_skills!$1:$1,0)-MATCH("enemy_skill_id",enemy_skills!$1:$1,0)+1,FALSE)</f>
        <v>プロメテウスは 眼中にない</v>
      </c>
      <c r="F11" s="47">
        <v>11218310</v>
      </c>
      <c r="G11" s="48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8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8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8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8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8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1" s="48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48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8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7"/>
      <c r="Q11" s="47"/>
      <c r="R11" s="47"/>
    </row>
    <row r="12" spans="1:18" ht="21" customHeight="1">
      <c r="A12" s="39" t="str">
        <f t="shared" si="6"/>
        <v>11218320_11218320</v>
      </c>
      <c r="B12" s="47">
        <v>11218320</v>
      </c>
      <c r="C12" s="47">
        <v>11218320</v>
      </c>
      <c r="D12" s="4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はぁ 緊張する〜 ＞＜</v>
      </c>
      <c r="E12" s="4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完全スルーで いってしまった</v>
      </c>
      <c r="F12" s="47">
        <v>11218310</v>
      </c>
      <c r="G12" s="4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8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4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4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4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47"/>
      <c r="Q12" s="47"/>
      <c r="R12" s="47"/>
    </row>
    <row r="13" spans="1:18" ht="21" customHeight="1">
      <c r="A13" s="39" t="str">
        <f t="shared" si="6"/>
        <v>11218400_11218400</v>
      </c>
      <c r="B13" s="47">
        <v>11218400</v>
      </c>
      <c r="C13" s="47">
        <v>11218400</v>
      </c>
      <c r="D13" s="46" t="str">
        <f ca="1">VLOOKUP($C13,OFFSET(enemy_skills!$A$1,0,0,COUNTA(enemy_skills!$A:$A),MATCH(D$1,enemy_skills!$1:$1,0)-MATCH("enemy_skill_id",enemy_skills!$1:$1,0)+1),MATCH(D$1,enemy_skills!$1:$1,0)-MATCH("enemy_skill_id",enemy_skills!$1:$1,0)+1,FALSE)</f>
        <v>きゃー！ ＞＜_x000D_ランスさまー！</v>
      </c>
      <c r="E13" s="46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アカネは まいあがっている！</v>
      </c>
      <c r="F13" s="47">
        <v>11218210</v>
      </c>
      <c r="G13" s="48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8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3" s="48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8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8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8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8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8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8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7"/>
      <c r="Q13" s="47"/>
      <c r="R13" s="47"/>
    </row>
    <row r="14" spans="1:18" ht="21" customHeight="1">
      <c r="A14" s="39" t="str">
        <f t="shared" si="6"/>
        <v>11218400_11218401</v>
      </c>
      <c r="B14" s="47">
        <v>11218400</v>
      </c>
      <c r="C14" s="47">
        <v>11218401</v>
      </c>
      <c r="D14" s="46" t="str">
        <f ca="1">VLOOKUP($C14,OFFSET(enemy_skills!$A$1,0,0,COUNTA(enemy_skills!$A:$A),MATCH(D$1,enemy_skills!$1:$1,0)-MATCH("enemy_skill_id",enemy_skills!$1:$1,0)+1),MATCH(D$1,enemy_skills!$1:$1,0)-MATCH("enemy_skill_id",enemy_skills!$1:$1,0)+1,FALSE)</f>
        <v>盗まれた！ ＞＜</v>
      </c>
      <c r="E14" s="46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いつの間にか とられたようだ</v>
      </c>
      <c r="F14" s="47">
        <v>11218211</v>
      </c>
      <c r="G14" s="48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4" s="48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4" s="48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8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8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8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8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8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48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7"/>
      <c r="Q14" s="47"/>
      <c r="R14" s="47"/>
    </row>
    <row r="15" spans="1:18" ht="21" customHeight="1">
      <c r="A15" s="39" t="str">
        <f t="shared" ref="A15:A16" si="8">B15&amp;"_"&amp;C15</f>
        <v>11218410_11218410</v>
      </c>
      <c r="B15" s="47">
        <v>11218410</v>
      </c>
      <c r="C15" s="47">
        <v>11218410</v>
      </c>
      <c r="D15" s="46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このチョコ_x000D_どうぞ！ ＞＜</v>
      </c>
      <c r="E15" s="46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チョコの箱を 手渡した！</v>
      </c>
      <c r="F15" s="47">
        <v>11218210</v>
      </c>
      <c r="G15" s="48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8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5" s="48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8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8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8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8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8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8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7"/>
      <c r="Q15" s="47"/>
      <c r="R15" s="47"/>
    </row>
    <row r="16" spans="1:18" ht="21" customHeight="1">
      <c r="A16" s="39" t="str">
        <f t="shared" si="8"/>
        <v>11218410_11218411</v>
      </c>
      <c r="B16" s="47">
        <v>11218410</v>
      </c>
      <c r="C16" s="47">
        <v>11218411</v>
      </c>
      <c r="D16" s="46" t="str">
        <f ca="1">VLOOKUP($C16,OFFSET(enemy_skills!$A$1,0,0,COUNTA(enemy_skills!$A:$A),MATCH(D$1,enemy_skills!$1:$1,0)-MATCH("enemy_skill_id",enemy_skills!$1:$1,0)+1),MATCH(D$1,enemy_skills!$1:$1,0)-MATCH("enemy_skill_id",enemy_skills!$1:$1,0)+1,FALSE)</f>
        <v>一体 誰が… ＞＜</v>
      </c>
      <c r="E16" s="46" t="str">
        <f ca="1">VLOOKUP($C16,OFFSET(enemy_skills!$A$1,0,0,COUNTA(enemy_skills!$A:$A),MATCH(E$1,enemy_skills!$1:$1,0)-MATCH("enemy_skill_id",enemy_skills!$1:$1,0)+1),MATCH(E$1,enemy_skills!$1:$1,0)-MATCH("enemy_skill_id",enemy_skills!$1:$1,0)+1,FALSE)</f>
        <v>涙をうかべて 去っていった</v>
      </c>
      <c r="F16" s="47">
        <v>11218211</v>
      </c>
      <c r="G16" s="48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8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6" s="48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8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8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8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8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8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8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7"/>
      <c r="Q16" s="47"/>
      <c r="R16" s="47"/>
    </row>
    <row r="17" spans="1:18" ht="21" customHeight="1">
      <c r="A17" s="39" t="str">
        <f t="shared" ref="A17:A19" si="9">B17&amp;"_"&amp;C17</f>
        <v>11218420_11218420</v>
      </c>
      <c r="B17" s="47">
        <v>11218420</v>
      </c>
      <c r="C17" s="47">
        <v>11218420</v>
      </c>
      <c r="D17" s="46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ありがとう！キミたち！</v>
      </c>
      <c r="E17" s="46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しかし 箱の中は 空っぽだった！</v>
      </c>
      <c r="F17" s="47">
        <v>11218211</v>
      </c>
      <c r="G17" s="48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8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17" s="48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8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8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8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8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8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8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7"/>
      <c r="Q17" s="47"/>
      <c r="R17" s="47"/>
    </row>
    <row r="18" spans="1:18" ht="21" customHeight="1">
      <c r="A18" s="39" t="str">
        <f t="shared" si="9"/>
        <v>11218421_11218421</v>
      </c>
      <c r="B18" s="47">
        <v>11218421</v>
      </c>
      <c r="C18" s="47">
        <v>11218421</v>
      </c>
      <c r="D18" s="46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チョコ泥棒め…許せない！</v>
      </c>
      <c r="E18" s="46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ランスロットは 犯人を追う！</v>
      </c>
      <c r="F18" s="47">
        <v>11218000</v>
      </c>
      <c r="G18" s="48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8" t="str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8" s="48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8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8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8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8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8" t="str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8" s="48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7"/>
      <c r="Q18" s="47"/>
      <c r="R18" s="47"/>
    </row>
    <row r="19" spans="1:18" ht="21" customHeight="1">
      <c r="A19" s="39" t="str">
        <f t="shared" si="9"/>
        <v>11218500_11218500</v>
      </c>
      <c r="B19" s="47">
        <v>11218500</v>
      </c>
      <c r="C19" s="47">
        <v>11218500</v>
      </c>
      <c r="D19" s="46" t="str">
        <f ca="1">VLOOKUP($C19,OFFSET(enemy_skills!$A$1,0,0,COUNTA(enemy_skills!$A:$A),MATCH(D$1,enemy_skills!$1:$1,0)-MATCH("enemy_skill_id",enemy_skills!$1:$1,0)+1),MATCH(D$1,enemy_skills!$1:$1,0)-MATCH("enemy_skill_id",enemy_skills!$1:$1,0)+1,FALSE)</f>
        <v>…まさか…_x000D_キミが 犯人だとは！</v>
      </c>
      <c r="E19" s="46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チョコ泥棒の正体は ハッピーだった！</v>
      </c>
      <c r="F19" s="47">
        <v>11218500</v>
      </c>
      <c r="G19" s="48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8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19" s="48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8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8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8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8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8" t="str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9" s="48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7"/>
      <c r="Q19" s="47"/>
      <c r="R19" s="47"/>
    </row>
    <row r="20" spans="1:18" ht="21" customHeight="1">
      <c r="A20" s="39" t="str">
        <f t="shared" ref="A20" si="10">B20&amp;"_"&amp;C20</f>
        <v>11218500_11218501</v>
      </c>
      <c r="B20" s="47">
        <v>11218500</v>
      </c>
      <c r="C20" s="47">
        <v>11218501</v>
      </c>
      <c r="D20" s="46" t="str">
        <f ca="1">VLOOKUP($C20,OFFSET(enemy_skills!$A$1,0,0,COUNTA(enemy_skills!$A:$A),MATCH(D$1,enemy_skills!$1:$1,0)-MATCH("enemy_skill_id",enemy_skills!$1:$1,0)+1),MATCH(D$1,enemy_skills!$1:$1,0)-MATCH("enemy_skill_id",enemy_skills!$1:$1,0)+1,FALSE)</f>
        <v>みんなのチョコを_x000D_返すんだ！</v>
      </c>
      <c r="E20" s="46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ランスロットは 剣を構えた</v>
      </c>
      <c r="F20" s="47">
        <v>11218501</v>
      </c>
      <c r="G20" s="48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0" s="48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0" s="48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8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8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8" t="str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0" s="48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8" t="str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0" s="48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7"/>
      <c r="Q20" s="47"/>
      <c r="R20" s="47"/>
    </row>
    <row r="21" spans="1:18" ht="21" customHeight="1">
      <c r="A21" s="39" t="str">
        <f t="shared" ref="A21:A22" si="11">B21&amp;"_"&amp;C21</f>
        <v>11218502_11218502</v>
      </c>
      <c r="B21" s="47">
        <v>11218502</v>
      </c>
      <c r="C21" s="47">
        <v>11218502</v>
      </c>
      <c r="D21" s="46" t="str">
        <f ca="1">VLOOKUP($C21,OFFSET(enemy_skills!$A$1,0,0,COUNTA(enemy_skills!$A:$A),MATCH(D$1,enemy_skills!$1:$1,0)-MATCH("enemy_skill_id",enemy_skills!$1:$1,0)+1),MATCH(D$1,enemy_skills!$1:$1,0)-MATCH("enemy_skill_id",enemy_skills!$1:$1,0)+1,FALSE)</f>
        <v>ケロケーロ！</v>
      </c>
      <c r="E21" s="46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ランスロットは カエルにされた！</v>
      </c>
      <c r="F21" s="47">
        <v>11218500</v>
      </c>
      <c r="G21" s="48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8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1" s="48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8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8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8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8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8" t="str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1" s="48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7"/>
      <c r="Q21" s="47"/>
      <c r="R21" s="47"/>
    </row>
    <row r="22" spans="1:18" ht="21" customHeight="1">
      <c r="A22" s="39" t="str">
        <f t="shared" si="11"/>
        <v>11218510_11218510</v>
      </c>
      <c r="B22" s="47">
        <v>11218510</v>
      </c>
      <c r="C22" s="47">
        <v>11218510</v>
      </c>
      <c r="D22" s="46" t="str">
        <f ca="1">VLOOKUP($C22,OFFSET(enemy_skills!$A$1,0,0,COUNTA(enemy_skills!$A:$A),MATCH(D$1,enemy_skills!$1:$1,0)-MATCH("enemy_skill_id",enemy_skills!$1:$1,0)+1),MATCH(D$1,enemy_skills!$1:$1,0)-MATCH("enemy_skill_id",enemy_skills!$1:$1,0)+1,FALSE)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2" s="46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この状況でも 幸せそうだ</v>
      </c>
      <c r="F22" s="47">
        <v>11218510</v>
      </c>
      <c r="G22" s="48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8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2" s="48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8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8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8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2" s="48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8" t="str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2" s="48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7"/>
      <c r="Q22" s="47"/>
      <c r="R22" s="47"/>
    </row>
    <row r="23" spans="1:18" ht="21" customHeight="1">
      <c r="A23" s="39" t="str">
        <f t="shared" ref="A23:A25" si="12">B23&amp;"_"&amp;C23</f>
        <v>11218510_11218511</v>
      </c>
      <c r="B23" s="47">
        <v>11218510</v>
      </c>
      <c r="C23" s="47">
        <v>11218511</v>
      </c>
      <c r="D23" s="46" t="str">
        <f ca="1">VLOOKUP($C23,OFFSET(enemy_skills!$A$1,0,0,COUNTA(enemy_skills!$A:$A),MATCH(D$1,enemy_skills!$1:$1,0)-MATCH("enemy_skill_id",enemy_skills!$1:$1,0)+1),MATCH(D$1,enemy_skills!$1:$1,0)-MATCH("enemy_skill_id",enemy_skills!$1:$1,0)+1,FALSE)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3" s="46" t="str">
        <f ca="1">VLOOKUP($C23,OFFSET(enemy_skills!$A$1,0,0,COUNTA(enemy_skills!$A:$A),MATCH(E$1,enemy_skills!$1:$1,0)-MATCH("enemy_skill_id",enemy_skills!$1:$1,0)+1),MATCH(E$1,enemy_skills!$1:$1,0)-MATCH("enemy_skill_id",enemy_skills!$1:$1,0)+1,FALSE)</f>
        <v>ランスロットを ハッキングしている！</v>
      </c>
      <c r="F23" s="47">
        <v>11218511</v>
      </c>
      <c r="G23" s="48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8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3" s="48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3" s="48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8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8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3" s="48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8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8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3" s="47"/>
      <c r="Q23" s="47"/>
      <c r="R23" s="47"/>
    </row>
    <row r="24" spans="1:18" ht="21" customHeight="1">
      <c r="A24" s="39" t="str">
        <f t="shared" si="12"/>
        <v>11218510_11218512</v>
      </c>
      <c r="B24" s="47">
        <v>11218510</v>
      </c>
      <c r="C24" s="47">
        <v>11218512</v>
      </c>
      <c r="D24" s="46" t="str">
        <f ca="1">VLOOKUP($C24,OFFSET(enemy_skills!$A$1,0,0,COUNTA(enemy_skills!$A:$A),MATCH(D$1,enemy_skills!$1:$1,0)-MATCH("enemy_skill_id",enemy_skills!$1:$1,0)+1),MATCH(D$1,enemy_skills!$1:$1,0)-MATCH("enemy_skill_id",enemy_skills!$1:$1,0)+1,FALSE)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4" s="46" t="str">
        <f ca="1">VLOOKUP($C24,OFFSET(enemy_skills!$A$1,0,0,COUNTA(enemy_skills!$A:$A),MATCH(E$1,enemy_skills!$1:$1,0)-MATCH("enemy_skill_id",enemy_skills!$1:$1,0)+1),MATCH(E$1,enemy_skills!$1:$1,0)-MATCH("enemy_skill_id",enemy_skills!$1:$1,0)+1,FALSE)</f>
        <v>なにやら ゴソゴソしはじめた</v>
      </c>
      <c r="F24" s="47">
        <v>11218512</v>
      </c>
      <c r="G24" s="48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8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4" s="48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4" s="48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8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8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8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8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8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4" s="47"/>
      <c r="Q24" s="47"/>
      <c r="R24" s="47"/>
    </row>
    <row r="25" spans="1:18" ht="21" customHeight="1">
      <c r="A25" s="39" t="str">
        <f t="shared" si="12"/>
        <v>11218520_11218520</v>
      </c>
      <c r="B25" s="47">
        <v>11218520</v>
      </c>
      <c r="C25" s="47">
        <v>11218520</v>
      </c>
      <c r="D25" s="46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ハッピー！</v>
      </c>
      <c r="E25" s="46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ハッピーは 勝負服に着替えた！</v>
      </c>
      <c r="F25" s="47">
        <v>11218510</v>
      </c>
      <c r="G25" s="48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5" s="48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3</v>
      </c>
      <c r="I25" s="48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5" s="48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8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8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5" s="48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8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8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5" s="47"/>
      <c r="Q25" s="47"/>
      <c r="R25" s="47"/>
    </row>
    <row r="26" spans="1:18" ht="21" customHeight="1">
      <c r="A26" s="39" t="str">
        <f t="shared" ref="A26:A27" si="13">B26&amp;"_"&amp;C26</f>
        <v>11218520_11218521</v>
      </c>
      <c r="B26" s="47">
        <v>11218520</v>
      </c>
      <c r="C26" s="47">
        <v>11218521</v>
      </c>
      <c r="D26" s="46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ハッピー…？</v>
      </c>
      <c r="E26" s="46" t="str">
        <f ca="1">VLOOKUP($C26,OFFSET(enemy_skills!$A$1,0,0,COUNTA(enemy_skills!$A:$A),MATCH(E$1,enemy_skills!$1:$1,0)-MATCH("enemy_skill_id",enemy_skills!$1:$1,0)+1),MATCH(E$1,enemy_skills!$1:$1,0)-MATCH("enemy_skill_id",enemy_skills!$1:$1,0)+1,FALSE)</f>
        <v>ほほを赤らめ こちらを見ている</v>
      </c>
      <c r="F26" s="47">
        <v>11218511</v>
      </c>
      <c r="G26" s="48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8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2</v>
      </c>
      <c r="I26" s="48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8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8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8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8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8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8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7"/>
      <c r="Q26" s="47"/>
      <c r="R26" s="47"/>
    </row>
    <row r="27" spans="1:18" ht="21" customHeight="1">
      <c r="A27" s="39" t="str">
        <f t="shared" si="13"/>
        <v>11218520_11218522</v>
      </c>
      <c r="B27" s="47">
        <v>11218520</v>
      </c>
      <c r="C27" s="47">
        <v>11218522</v>
      </c>
      <c r="D27" s="46" t="str">
        <f ca="1">VLOOKUP($C27,OFFSET(enemy_skills!$A$1,0,0,COUNTA(enemy_skills!$A:$A),MATCH(D$1,enemy_skills!$1:$1,0)-MATCH("enemy_skill_id",enemy_skills!$1:$1,0)+1),MATCH(D$1,enemy_skills!$1:$1,0)-MATCH("enemy_skill_id",enemy_skills!$1:$1,0)+1,FALSE)</f>
        <v>コレ…アゲル</v>
      </c>
      <c r="E27" s="46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ハッピーは 何かを落とし 消えていった…</v>
      </c>
      <c r="F27" s="47">
        <v>11218512</v>
      </c>
      <c r="G27" s="48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48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1</v>
      </c>
      <c r="I27" s="48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48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48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48" t="str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7" s="48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48" t="str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7" s="48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47"/>
      <c r="Q27" s="47"/>
      <c r="R27" s="47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7"/>
  <sheetViews>
    <sheetView showGridLines="0" tabSelected="1" zoomScale="75" zoomScaleNormal="75" zoomScalePageLayoutView="75" workbookViewId="0">
      <pane ySplit="1" topLeftCell="A2" activePane="bottomLeft" state="frozenSplit"/>
      <selection pane="bottomLeft" activeCell="E28" sqref="E28"/>
    </sheetView>
  </sheetViews>
  <sheetFormatPr baseColWidth="12" defaultColWidth="12.83203125" defaultRowHeight="21" customHeight="1" outlineLevelCol="1" x14ac:dyDescent="0"/>
  <cols>
    <col min="1" max="1" width="12.83203125" style="49"/>
    <col min="2" max="2" width="67.1640625" style="49" customWidth="1"/>
    <col min="3" max="4" width="12.83203125" style="49"/>
    <col min="5" max="5" width="30.5" style="49" customWidth="1"/>
    <col min="6" max="6" width="44.1640625" style="49" bestFit="1" customWidth="1"/>
    <col min="7" max="7" width="52" style="49" hidden="1" customWidth="1" outlineLevel="1"/>
    <col min="8" max="8" width="18.33203125" style="49" hidden="1" customWidth="1" outlineLevel="1"/>
    <col min="9" max="11" width="18.6640625" style="49" hidden="1" customWidth="1" outlineLevel="1"/>
    <col min="12" max="12" width="23.6640625" style="49" customWidth="1" collapsed="1"/>
    <col min="13" max="18" width="23.6640625" style="49" hidden="1" customWidth="1" outlineLevel="1"/>
    <col min="19" max="19" width="23.6640625" style="49" customWidth="1" collapsed="1"/>
    <col min="20" max="24" width="23.6640625" style="49" hidden="1" customWidth="1" outlineLevel="1"/>
    <col min="25" max="25" width="23.6640625" style="49" customWidth="1" collapsed="1"/>
    <col min="26" max="27" width="12.83203125" style="49"/>
    <col min="28" max="28" width="44.5" style="49" customWidth="1"/>
    <col min="29" max="16384" width="12.83203125" style="49"/>
  </cols>
  <sheetData>
    <row r="1" spans="1:28" ht="21" customHeight="1">
      <c r="A1" s="40" t="s">
        <v>79</v>
      </c>
      <c r="B1" s="40" t="s">
        <v>80</v>
      </c>
      <c r="C1" s="40" t="s">
        <v>81</v>
      </c>
      <c r="D1" s="40" t="s">
        <v>127</v>
      </c>
      <c r="E1" s="40" t="s">
        <v>82</v>
      </c>
      <c r="F1" s="40" t="s">
        <v>83</v>
      </c>
      <c r="G1" s="41" t="s">
        <v>133</v>
      </c>
      <c r="H1" s="41" t="s">
        <v>139</v>
      </c>
      <c r="I1" s="41" t="s">
        <v>141</v>
      </c>
      <c r="J1" s="41" t="s">
        <v>140</v>
      </c>
      <c r="K1" s="41" t="s">
        <v>142</v>
      </c>
      <c r="L1" s="41" t="s">
        <v>134</v>
      </c>
      <c r="M1" s="41" t="s">
        <v>132</v>
      </c>
      <c r="N1" s="41" t="s">
        <v>135</v>
      </c>
      <c r="O1" s="41" t="s">
        <v>143</v>
      </c>
      <c r="P1" s="41" t="s">
        <v>144</v>
      </c>
      <c r="Q1" s="41" t="s">
        <v>145</v>
      </c>
      <c r="R1" s="41" t="s">
        <v>146</v>
      </c>
      <c r="S1" s="41" t="s">
        <v>136</v>
      </c>
      <c r="T1" s="41" t="s">
        <v>137</v>
      </c>
      <c r="U1" s="41" t="s">
        <v>147</v>
      </c>
      <c r="V1" s="41" t="s">
        <v>148</v>
      </c>
      <c r="W1" s="41" t="s">
        <v>149</v>
      </c>
      <c r="X1" s="41" t="s">
        <v>150</v>
      </c>
      <c r="Y1" s="41" t="s">
        <v>138</v>
      </c>
      <c r="Z1" s="41" t="s">
        <v>76</v>
      </c>
      <c r="AA1" s="41" t="s">
        <v>77</v>
      </c>
      <c r="AB1" s="41" t="s">
        <v>78</v>
      </c>
    </row>
    <row r="2" spans="1:28" ht="21" customHeight="1">
      <c r="A2" s="47">
        <v>11218100</v>
      </c>
      <c r="B2" s="47" t="s">
        <v>293</v>
      </c>
      <c r="C2" s="50">
        <v>3</v>
      </c>
      <c r="D2" s="50" t="s">
        <v>128</v>
      </c>
      <c r="E2" s="51" t="s">
        <v>261</v>
      </c>
      <c r="F2" s="51" t="s">
        <v>186</v>
      </c>
      <c r="G2" s="63" t="str">
        <f t="shared" ref="G2:G27" si="0">IFERROR(LEFT(B2,FIND("],",B2)),B2)</f>
        <v>[effect:hungup, target:unit_all, turn:-1, rate:1][effect:suicide, val:1, dead_type:escape, target:enemy_all][effect:sleep, target:unit_all, turn:1, rate:1][effect:degrade_crash, target:unit_all, count:50, special:50, turn:-1][effect:degrade_unit, target:unit_all, turn:3, status:attack, val:1.0, calc:mul]</v>
      </c>
      <c r="H2" s="63">
        <f t="shared" ref="H2:H27" si="1">FIND("effect:",G2)+7</f>
        <v>9</v>
      </c>
      <c r="I2" s="63">
        <f t="shared" ref="I2:I27" si="2">IFERROR(FIND(",",G2),LEN(G2))</f>
        <v>15</v>
      </c>
      <c r="J2" s="63">
        <f t="shared" ref="J2:J27" si="3">FIND("target:",G2)+7</f>
        <v>24</v>
      </c>
      <c r="K2" s="63">
        <f t="shared" ref="K2:K27" si="4">FIND(",",G2,I2+1)</f>
        <v>32</v>
      </c>
      <c r="L2" s="63" t="str">
        <f>IFERROR(VLOOKUP(MID(G2,J2,K2-J2),[5]skilldef!$C:$D,2,FALSE),"-") &amp; " / " &amp; IFERROR(VLOOKUP(MID(G2,H2,I2-H2),[5]skilldef!$A:$B,2,FALSE),"-")</f>
        <v>味方全体に / ハングアップ</v>
      </c>
      <c r="M2" s="63" t="str">
        <f t="shared" ref="M2:M27" si="5">IFERROR(RIGHT(B2,LEN(B2)-FIND("],",B2)-1),"none")</f>
        <v>none</v>
      </c>
      <c r="N2" s="48" t="str">
        <f>IFERROR(LEFT(M2,FIND("],",M2)+S37),M2)</f>
        <v>none</v>
      </c>
      <c r="O2" s="63" t="e">
        <f t="shared" ref="O2:O27" si="6">FIND("effect:",N2)+7</f>
        <v>#VALUE!</v>
      </c>
      <c r="P2" s="63">
        <f t="shared" ref="P2:P27" si="7">IFERROR(FIND(",",N2),LEN(N2))</f>
        <v>4</v>
      </c>
      <c r="Q2" s="63" t="e">
        <f t="shared" ref="Q2:Q27" si="8">FIND("target:",N2)+7</f>
        <v>#VALUE!</v>
      </c>
      <c r="R2" s="63" t="e">
        <f t="shared" ref="R2:R27" si="9">FIND(",",N2,P2+1)</f>
        <v>#VALUE!</v>
      </c>
      <c r="S2" s="63" t="str">
        <f>IFERROR(VLOOKUP(MID(N2,Q2,R2-Q2),[5]skilldef!$C:$D,2,FALSE),"-") &amp; " / " &amp; IFERROR(VLOOKUP(MID(N2,O2,P2-O2),[5]skilldef!$A:$B,2,FALSE),"-")</f>
        <v>- / -</v>
      </c>
      <c r="T2" s="48" t="str">
        <f t="shared" ref="T2:T27" si="10">IFERROR(RIGHT(M2,LEN(M2)-FIND("],",M2)-1),"none")</f>
        <v>none</v>
      </c>
      <c r="U2" s="63" t="e">
        <f t="shared" ref="U2:U27" si="11">FIND("effect:",T2)+7</f>
        <v>#VALUE!</v>
      </c>
      <c r="V2" s="63">
        <f t="shared" ref="V2:V27" si="12">IFERROR(FIND(",",T2),LEN(T2))</f>
        <v>4</v>
      </c>
      <c r="W2" s="63" t="e">
        <f t="shared" ref="W2:W27" si="13">FIND("target:",T2)+7</f>
        <v>#VALUE!</v>
      </c>
      <c r="X2" s="63" t="e">
        <f t="shared" ref="X2:X27" si="14">FIND(",",T2,V2+1)</f>
        <v>#VALUE!</v>
      </c>
      <c r="Y2" s="63" t="str">
        <f>IFERROR(VLOOKUP(MID(T2,W2,X2-W2),[5]skilldef!$C:$D,2,FALSE),"-") &amp; " / " &amp; IFERROR(VLOOKUP(MID(T2,U2,V2-U2),[5]skilldef!$A:$B,2,FALSE),"-")</f>
        <v>- / -</v>
      </c>
      <c r="Z2" s="50"/>
      <c r="AA2" s="52"/>
      <c r="AB2" s="50"/>
    </row>
    <row r="3" spans="1:28" ht="21" customHeight="1">
      <c r="A3" s="47">
        <v>11218200</v>
      </c>
      <c r="B3" s="47" t="s">
        <v>256</v>
      </c>
      <c r="C3" s="50">
        <v>3</v>
      </c>
      <c r="D3" s="50" t="s">
        <v>128</v>
      </c>
      <c r="E3" s="51" t="s">
        <v>271</v>
      </c>
      <c r="F3" s="51" t="s">
        <v>220</v>
      </c>
      <c r="G3" s="63" t="str">
        <f t="shared" si="0"/>
        <v>[effect:fix_speed, target:enemy_all, turn:3]</v>
      </c>
      <c r="H3" s="63">
        <f t="shared" si="1"/>
        <v>9</v>
      </c>
      <c r="I3" s="63">
        <f t="shared" si="2"/>
        <v>18</v>
      </c>
      <c r="J3" s="63">
        <f t="shared" si="3"/>
        <v>27</v>
      </c>
      <c r="K3" s="63">
        <f t="shared" si="4"/>
        <v>36</v>
      </c>
      <c r="L3" s="63" t="str">
        <f>IFERROR(VLOOKUP(MID(G3,J3,K3-J3),[5]skilldef!$C:$D,2,FALSE),"-") &amp; " / " &amp; IFERROR(VLOOKUP(MID(G3,H3,I3-H3),[5]skilldef!$A:$B,2,FALSE),"-")</f>
        <v>敵全体に / 行動値設定</v>
      </c>
      <c r="M3" s="63" t="str">
        <f t="shared" si="5"/>
        <v>none</v>
      </c>
      <c r="N3" s="48" t="str">
        <f>IFERROR(LEFT(M3,FIND("],",M3)+S38),M3)</f>
        <v>none</v>
      </c>
      <c r="O3" s="63" t="e">
        <f t="shared" si="6"/>
        <v>#VALUE!</v>
      </c>
      <c r="P3" s="63">
        <f t="shared" si="7"/>
        <v>4</v>
      </c>
      <c r="Q3" s="63" t="e">
        <f t="shared" si="8"/>
        <v>#VALUE!</v>
      </c>
      <c r="R3" s="63" t="e">
        <f t="shared" si="9"/>
        <v>#VALUE!</v>
      </c>
      <c r="S3" s="63" t="str">
        <f>IFERROR(VLOOKUP(MID(N3,Q3,R3-Q3),[5]skilldef!$C:$D,2,FALSE),"-") &amp; " / " &amp; IFERROR(VLOOKUP(MID(N3,O3,P3-O3),[5]skilldef!$A:$B,2,FALSE),"-")</f>
        <v>- / -</v>
      </c>
      <c r="T3" s="48" t="str">
        <f t="shared" si="10"/>
        <v>none</v>
      </c>
      <c r="U3" s="63" t="e">
        <f t="shared" si="11"/>
        <v>#VALUE!</v>
      </c>
      <c r="V3" s="63">
        <f t="shared" si="12"/>
        <v>4</v>
      </c>
      <c r="W3" s="63" t="e">
        <f t="shared" si="13"/>
        <v>#VALUE!</v>
      </c>
      <c r="X3" s="63" t="e">
        <f t="shared" si="14"/>
        <v>#VALUE!</v>
      </c>
      <c r="Y3" s="63" t="str">
        <f>IFERROR(VLOOKUP(MID(T3,W3,X3-W3),[5]skilldef!$C:$D,2,FALSE),"-") &amp; " / " &amp; IFERROR(VLOOKUP(MID(T3,U3,V3-U3),[5]skilldef!$A:$B,2,FALSE),"-")</f>
        <v>- / -</v>
      </c>
      <c r="Z3" s="50"/>
      <c r="AA3" s="52"/>
      <c r="AB3" s="50"/>
    </row>
    <row r="4" spans="1:28" ht="21" customHeight="1">
      <c r="A4" s="47">
        <v>11218210</v>
      </c>
      <c r="B4" s="47" t="s">
        <v>237</v>
      </c>
      <c r="C4" s="50">
        <v>3</v>
      </c>
      <c r="D4" s="50" t="s">
        <v>128</v>
      </c>
      <c r="E4" s="51" t="s">
        <v>272</v>
      </c>
      <c r="F4" s="51" t="s">
        <v>231</v>
      </c>
      <c r="G4" s="63" t="str">
        <f t="shared" si="0"/>
        <v>[effect:fix_speed, target:myself, turn:1]</v>
      </c>
      <c r="H4" s="63">
        <f t="shared" si="1"/>
        <v>9</v>
      </c>
      <c r="I4" s="63">
        <f t="shared" si="2"/>
        <v>18</v>
      </c>
      <c r="J4" s="63">
        <f t="shared" si="3"/>
        <v>27</v>
      </c>
      <c r="K4" s="63">
        <f t="shared" si="4"/>
        <v>33</v>
      </c>
      <c r="L4" s="63" t="str">
        <f>IFERROR(VLOOKUP(MID(G4,J4,K4-J4),[5]skilldef!$C:$D,2,FALSE),"-") &amp; " / " &amp; IFERROR(VLOOKUP(MID(G4,H4,I4-H4),[5]skilldef!$A:$B,2,FALSE),"-")</f>
        <v>自分自身に / 行動値設定</v>
      </c>
      <c r="M4" s="63" t="str">
        <f t="shared" si="5"/>
        <v>none</v>
      </c>
      <c r="N4" s="48" t="str">
        <f>IFERROR(LEFT(M4,FIND("],",M4)+S39),M4)</f>
        <v>none</v>
      </c>
      <c r="O4" s="63" t="e">
        <f t="shared" si="6"/>
        <v>#VALUE!</v>
      </c>
      <c r="P4" s="63">
        <f t="shared" si="7"/>
        <v>4</v>
      </c>
      <c r="Q4" s="63" t="e">
        <f t="shared" si="8"/>
        <v>#VALUE!</v>
      </c>
      <c r="R4" s="63" t="e">
        <f t="shared" si="9"/>
        <v>#VALUE!</v>
      </c>
      <c r="S4" s="63" t="str">
        <f>IFERROR(VLOOKUP(MID(N4,Q4,R4-Q4),[5]skilldef!$C:$D,2,FALSE),"-") &amp; " / " &amp; IFERROR(VLOOKUP(MID(N4,O4,P4-O4),[5]skilldef!$A:$B,2,FALSE),"-")</f>
        <v>- / -</v>
      </c>
      <c r="T4" s="48" t="str">
        <f t="shared" si="10"/>
        <v>none</v>
      </c>
      <c r="U4" s="63" t="e">
        <f t="shared" si="11"/>
        <v>#VALUE!</v>
      </c>
      <c r="V4" s="63">
        <f t="shared" si="12"/>
        <v>4</v>
      </c>
      <c r="W4" s="63" t="e">
        <f t="shared" si="13"/>
        <v>#VALUE!</v>
      </c>
      <c r="X4" s="63" t="e">
        <f t="shared" si="14"/>
        <v>#VALUE!</v>
      </c>
      <c r="Y4" s="63" t="str">
        <f>IFERROR(VLOOKUP(MID(T4,W4,X4-W4),[5]skilldef!$C:$D,2,FALSE),"-") &amp; " / " &amp; IFERROR(VLOOKUP(MID(T4,U4,V4-U4),[5]skilldef!$A:$B,2,FALSE),"-")</f>
        <v>- / -</v>
      </c>
      <c r="Z4" s="50"/>
      <c r="AA4" s="52"/>
      <c r="AB4" s="50"/>
    </row>
    <row r="5" spans="1:28" ht="21" customHeight="1">
      <c r="A5" s="47">
        <v>11218211</v>
      </c>
      <c r="B5" s="47" t="s">
        <v>262</v>
      </c>
      <c r="C5" s="50">
        <v>3</v>
      </c>
      <c r="D5" s="50" t="s">
        <v>128</v>
      </c>
      <c r="E5" s="51" t="s">
        <v>292</v>
      </c>
      <c r="F5" s="51" t="s">
        <v>232</v>
      </c>
      <c r="G5" s="63" t="str">
        <f t="shared" si="0"/>
        <v>[effect:suicide, val:1, dead_type:escape, target:enemy_balance]</v>
      </c>
      <c r="H5" s="63">
        <f t="shared" si="1"/>
        <v>9</v>
      </c>
      <c r="I5" s="63">
        <f t="shared" si="2"/>
        <v>16</v>
      </c>
      <c r="J5" s="63">
        <f t="shared" si="3"/>
        <v>50</v>
      </c>
      <c r="K5" s="63">
        <f t="shared" si="4"/>
        <v>23</v>
      </c>
      <c r="L5" s="63" t="str">
        <f>IFERROR(VLOOKUP(MID(G5,J5,K5-J5),[5]skilldef!$C:$D,2,FALSE),"-") &amp; " / " &amp; IFERROR(VLOOKUP(MID(G5,H5,I5-H5),[5]skilldef!$A:$B,2,FALSE),"-")</f>
        <v>- / -</v>
      </c>
      <c r="M5" s="63" t="str">
        <f t="shared" si="5"/>
        <v>none</v>
      </c>
      <c r="N5" s="48" t="str">
        <f>IFERROR(LEFT(M5,FIND("],",M5)+S40),M5)</f>
        <v>none</v>
      </c>
      <c r="O5" s="63" t="e">
        <f t="shared" si="6"/>
        <v>#VALUE!</v>
      </c>
      <c r="P5" s="63">
        <f t="shared" si="7"/>
        <v>4</v>
      </c>
      <c r="Q5" s="63" t="e">
        <f t="shared" si="8"/>
        <v>#VALUE!</v>
      </c>
      <c r="R5" s="63" t="e">
        <f t="shared" si="9"/>
        <v>#VALUE!</v>
      </c>
      <c r="S5" s="63" t="str">
        <f>IFERROR(VLOOKUP(MID(N5,Q5,R5-Q5),[5]skilldef!$C:$D,2,FALSE),"-") &amp; " / " &amp; IFERROR(VLOOKUP(MID(N5,O5,P5-O5),[5]skilldef!$A:$B,2,FALSE),"-")</f>
        <v>- / -</v>
      </c>
      <c r="T5" s="48" t="str">
        <f t="shared" si="10"/>
        <v>none</v>
      </c>
      <c r="U5" s="63" t="e">
        <f t="shared" si="11"/>
        <v>#VALUE!</v>
      </c>
      <c r="V5" s="63">
        <f t="shared" si="12"/>
        <v>4</v>
      </c>
      <c r="W5" s="63" t="e">
        <f t="shared" si="13"/>
        <v>#VALUE!</v>
      </c>
      <c r="X5" s="63" t="e">
        <f t="shared" si="14"/>
        <v>#VALUE!</v>
      </c>
      <c r="Y5" s="63" t="str">
        <f>IFERROR(VLOOKUP(MID(T5,W5,X5-W5),[5]skilldef!$C:$D,2,FALSE),"-") &amp; " / " &amp; IFERROR(VLOOKUP(MID(T5,U5,V5-U5),[5]skilldef!$A:$B,2,FALSE),"-")</f>
        <v>- / -</v>
      </c>
      <c r="Z5" s="50"/>
      <c r="AA5" s="52"/>
      <c r="AB5" s="50"/>
    </row>
    <row r="6" spans="1:28" ht="21" customHeight="1">
      <c r="A6" s="47">
        <v>11218220</v>
      </c>
      <c r="B6" s="47" t="s">
        <v>290</v>
      </c>
      <c r="C6" s="50">
        <v>3</v>
      </c>
      <c r="D6" s="50" t="s">
        <v>128</v>
      </c>
      <c r="E6" s="51" t="s">
        <v>254</v>
      </c>
      <c r="F6" s="51" t="s">
        <v>255</v>
      </c>
      <c r="G6" s="63" t="str">
        <f t="shared" ref="G6" si="15">IFERROR(LEFT(B6,FIND("],",B6)),B6)</f>
        <v>[effect:suicide, val:1, dead_type:escape, target:myself, animation:enemy_escape]</v>
      </c>
      <c r="H6" s="63">
        <f t="shared" si="1"/>
        <v>9</v>
      </c>
      <c r="I6" s="63">
        <f t="shared" ref="I6" si="16">IFERROR(FIND(",",G6),LEN(G6))</f>
        <v>16</v>
      </c>
      <c r="J6" s="63">
        <f t="shared" ref="J6" si="17">FIND("target:",G6)+7</f>
        <v>50</v>
      </c>
      <c r="K6" s="63">
        <f t="shared" ref="K6" si="18">FIND(",",G6,I6+1)</f>
        <v>23</v>
      </c>
      <c r="L6" s="63" t="str">
        <f>IFERROR(VLOOKUP(MID(G6,J6,K6-J6),[5]skilldef!$C:$D,2,FALSE),"-") &amp; " / " &amp; IFERROR(VLOOKUP(MID(G6,H6,I6-H6),[5]skilldef!$A:$B,2,FALSE),"-")</f>
        <v>- / -</v>
      </c>
      <c r="M6" s="63" t="str">
        <f t="shared" ref="M6" si="19">IFERROR(RIGHT(B6,LEN(B6)-FIND("],",B6)-1),"none")</f>
        <v>none</v>
      </c>
      <c r="N6" s="48" t="str">
        <f>IFERROR(LEFT(M6,FIND("],",M6)+S41),M6)</f>
        <v>none</v>
      </c>
      <c r="O6" s="63" t="e">
        <f t="shared" si="6"/>
        <v>#VALUE!</v>
      </c>
      <c r="P6" s="63">
        <f t="shared" ref="P6" si="20">IFERROR(FIND(",",N6),LEN(N6))</f>
        <v>4</v>
      </c>
      <c r="Q6" s="63" t="e">
        <f t="shared" ref="Q6" si="21">FIND("target:",N6)+7</f>
        <v>#VALUE!</v>
      </c>
      <c r="R6" s="63" t="e">
        <f t="shared" ref="R6" si="22">FIND(",",N6,P6+1)</f>
        <v>#VALUE!</v>
      </c>
      <c r="S6" s="63" t="str">
        <f>IFERROR(VLOOKUP(MID(N6,Q6,R6-Q6),[5]skilldef!$C:$D,2,FALSE),"-") &amp; " / " &amp; IFERROR(VLOOKUP(MID(N6,O6,P6-O6),[5]skilldef!$A:$B,2,FALSE),"-")</f>
        <v>- / -</v>
      </c>
      <c r="T6" s="48" t="str">
        <f t="shared" ref="T6" si="23">IFERROR(RIGHT(M6,LEN(M6)-FIND("],",M6)-1),"none")</f>
        <v>none</v>
      </c>
      <c r="U6" s="63" t="e">
        <f t="shared" si="11"/>
        <v>#VALUE!</v>
      </c>
      <c r="V6" s="63">
        <f t="shared" ref="V6" si="24">IFERROR(FIND(",",T6),LEN(T6))</f>
        <v>4</v>
      </c>
      <c r="W6" s="63" t="e">
        <f t="shared" ref="W6" si="25">FIND("target:",T6)+7</f>
        <v>#VALUE!</v>
      </c>
      <c r="X6" s="63" t="e">
        <f t="shared" ref="X6" si="26">FIND(",",T6,V6+1)</f>
        <v>#VALUE!</v>
      </c>
      <c r="Y6" s="63" t="str">
        <f>IFERROR(VLOOKUP(MID(T6,W6,X6-W6),[5]skilldef!$C:$D,2,FALSE),"-") &amp; " / " &amp; IFERROR(VLOOKUP(MID(T6,U6,V6-U6),[5]skilldef!$A:$B,2,FALSE),"-")</f>
        <v>- / -</v>
      </c>
      <c r="Z6" s="50"/>
      <c r="AA6" s="52"/>
      <c r="AB6" s="50"/>
    </row>
    <row r="7" spans="1:28" ht="21" customHeight="1">
      <c r="A7" s="47">
        <v>11218300</v>
      </c>
      <c r="B7" s="47" t="s">
        <v>251</v>
      </c>
      <c r="C7" s="50">
        <v>3</v>
      </c>
      <c r="D7" s="50" t="s">
        <v>128</v>
      </c>
      <c r="E7" s="51" t="s">
        <v>236</v>
      </c>
      <c r="F7" s="51" t="s">
        <v>219</v>
      </c>
      <c r="G7" s="63" t="str">
        <f t="shared" si="0"/>
        <v>[effect:fix_speed, target:myself, turn:2][effect:fix_speed, target:enemy_balance, turn:1]</v>
      </c>
      <c r="H7" s="63">
        <f t="shared" si="1"/>
        <v>9</v>
      </c>
      <c r="I7" s="63">
        <f t="shared" si="2"/>
        <v>18</v>
      </c>
      <c r="J7" s="63">
        <f t="shared" si="3"/>
        <v>27</v>
      </c>
      <c r="K7" s="63">
        <f t="shared" si="4"/>
        <v>33</v>
      </c>
      <c r="L7" s="63" t="str">
        <f>IFERROR(VLOOKUP(MID(G7,J7,K7-J7),[5]skilldef!$C:$D,2,FALSE),"-") &amp; " / " &amp; IFERROR(VLOOKUP(MID(G7,H7,I7-H7),[5]skilldef!$A:$B,2,FALSE),"-")</f>
        <v>自分自身に / 行動値設定</v>
      </c>
      <c r="M7" s="63" t="str">
        <f t="shared" si="5"/>
        <v>none</v>
      </c>
      <c r="N7" s="48" t="str">
        <f>IFERROR(LEFT(M7,FIND("],",M7)+S40),M7)</f>
        <v>none</v>
      </c>
      <c r="O7" s="63" t="e">
        <f t="shared" si="6"/>
        <v>#VALUE!</v>
      </c>
      <c r="P7" s="63">
        <f t="shared" si="7"/>
        <v>4</v>
      </c>
      <c r="Q7" s="63" t="e">
        <f t="shared" si="8"/>
        <v>#VALUE!</v>
      </c>
      <c r="R7" s="63" t="e">
        <f t="shared" si="9"/>
        <v>#VALUE!</v>
      </c>
      <c r="S7" s="63" t="str">
        <f>IFERROR(VLOOKUP(MID(N7,Q7,R7-Q7),[5]skilldef!$C:$D,2,FALSE),"-") &amp; " / " &amp; IFERROR(VLOOKUP(MID(N7,O7,P7-O7),[5]skilldef!$A:$B,2,FALSE),"-")</f>
        <v>- / -</v>
      </c>
      <c r="T7" s="48" t="str">
        <f t="shared" si="10"/>
        <v>none</v>
      </c>
      <c r="U7" s="63" t="e">
        <f t="shared" si="11"/>
        <v>#VALUE!</v>
      </c>
      <c r="V7" s="63">
        <f t="shared" si="12"/>
        <v>4</v>
      </c>
      <c r="W7" s="63" t="e">
        <f t="shared" si="13"/>
        <v>#VALUE!</v>
      </c>
      <c r="X7" s="63" t="e">
        <f t="shared" si="14"/>
        <v>#VALUE!</v>
      </c>
      <c r="Y7" s="63" t="str">
        <f>IFERROR(VLOOKUP(MID(T7,W7,X7-W7),[5]skilldef!$C:$D,2,FALSE),"-") &amp; " / " &amp; IFERROR(VLOOKUP(MID(T7,U7,V7-U7),[5]skilldef!$A:$B,2,FALSE),"-")</f>
        <v>- / -</v>
      </c>
      <c r="Z7" s="50"/>
      <c r="AA7" s="52"/>
      <c r="AB7" s="50"/>
    </row>
    <row r="8" spans="1:28" ht="21" customHeight="1">
      <c r="A8" s="47">
        <v>11218310</v>
      </c>
      <c r="B8" s="47" t="s">
        <v>224</v>
      </c>
      <c r="C8" s="50">
        <v>3</v>
      </c>
      <c r="D8" s="50" t="s">
        <v>128</v>
      </c>
      <c r="E8" s="51" t="s">
        <v>276</v>
      </c>
      <c r="F8" s="51" t="s">
        <v>223</v>
      </c>
      <c r="G8" s="63" t="str">
        <f t="shared" si="0"/>
        <v>[effect:nothing]</v>
      </c>
      <c r="H8" s="63">
        <f t="shared" si="1"/>
        <v>9</v>
      </c>
      <c r="I8" s="63">
        <f t="shared" si="2"/>
        <v>16</v>
      </c>
      <c r="J8" s="63" t="e">
        <f t="shared" si="3"/>
        <v>#VALUE!</v>
      </c>
      <c r="K8" s="63" t="e">
        <f t="shared" si="4"/>
        <v>#VALUE!</v>
      </c>
      <c r="L8" s="63" t="str">
        <f>IFERROR(VLOOKUP(MID(G8,J8,K8-J8),[5]skilldef!$C:$D,2,FALSE),"-") &amp; " / " &amp; IFERROR(VLOOKUP(MID(G8,H8,I8-H8),[5]skilldef!$A:$B,2,FALSE),"-")</f>
        <v>- / 何もしない</v>
      </c>
      <c r="M8" s="63" t="str">
        <f t="shared" si="5"/>
        <v>none</v>
      </c>
      <c r="N8" s="48" t="str">
        <f>IFERROR(LEFT(M8,FIND("],",M8)+S42),M8)</f>
        <v>none</v>
      </c>
      <c r="O8" s="63" t="e">
        <f t="shared" si="6"/>
        <v>#VALUE!</v>
      </c>
      <c r="P8" s="63">
        <f t="shared" si="7"/>
        <v>4</v>
      </c>
      <c r="Q8" s="63" t="e">
        <f t="shared" si="8"/>
        <v>#VALUE!</v>
      </c>
      <c r="R8" s="63" t="e">
        <f t="shared" si="9"/>
        <v>#VALUE!</v>
      </c>
      <c r="S8" s="63" t="str">
        <f>IFERROR(VLOOKUP(MID(N8,Q8,R8-Q8),[5]skilldef!$C:$D,2,FALSE),"-") &amp; " / " &amp; IFERROR(VLOOKUP(MID(N8,O8,P8-O8),[5]skilldef!$A:$B,2,FALSE),"-")</f>
        <v>- / -</v>
      </c>
      <c r="T8" s="48" t="str">
        <f t="shared" si="10"/>
        <v>none</v>
      </c>
      <c r="U8" s="63" t="e">
        <f t="shared" si="11"/>
        <v>#VALUE!</v>
      </c>
      <c r="V8" s="63">
        <f t="shared" si="12"/>
        <v>4</v>
      </c>
      <c r="W8" s="63" t="e">
        <f t="shared" si="13"/>
        <v>#VALUE!</v>
      </c>
      <c r="X8" s="63" t="e">
        <f t="shared" si="14"/>
        <v>#VALUE!</v>
      </c>
      <c r="Y8" s="63" t="str">
        <f>IFERROR(VLOOKUP(MID(T8,W8,X8-W8),[5]skilldef!$C:$D,2,FALSE),"-") &amp; " / " &amp; IFERROR(VLOOKUP(MID(T8,U8,V8-U8),[5]skilldef!$A:$B,2,FALSE),"-")</f>
        <v>- / -</v>
      </c>
      <c r="Z8" s="50"/>
      <c r="AA8" s="52"/>
      <c r="AB8" s="50"/>
    </row>
    <row r="9" spans="1:28" ht="21" customHeight="1">
      <c r="A9" s="47">
        <v>11218320</v>
      </c>
      <c r="B9" s="47" t="s">
        <v>263</v>
      </c>
      <c r="C9" s="50">
        <v>3</v>
      </c>
      <c r="D9" s="50" t="s">
        <v>128</v>
      </c>
      <c r="E9" s="51" t="s">
        <v>222</v>
      </c>
      <c r="F9" s="51" t="s">
        <v>227</v>
      </c>
      <c r="G9" s="63" t="str">
        <f t="shared" si="0"/>
        <v>[effect:suicide, val:1, dead_type:escape, target:enemy_balance]</v>
      </c>
      <c r="H9" s="63">
        <f t="shared" si="1"/>
        <v>9</v>
      </c>
      <c r="I9" s="63">
        <f t="shared" si="2"/>
        <v>16</v>
      </c>
      <c r="J9" s="63">
        <f t="shared" si="3"/>
        <v>50</v>
      </c>
      <c r="K9" s="63">
        <f t="shared" si="4"/>
        <v>23</v>
      </c>
      <c r="L9" s="63" t="str">
        <f>IFERROR(VLOOKUP(MID(G9,J9,K9-J9),[5]skilldef!$C:$D,2,FALSE),"-") &amp; " / " &amp; IFERROR(VLOOKUP(MID(G9,H9,I9-H9),[5]skilldef!$A:$B,2,FALSE),"-")</f>
        <v>- / -</v>
      </c>
      <c r="M9" s="63" t="str">
        <f t="shared" si="5"/>
        <v>none</v>
      </c>
      <c r="N9" s="48" t="str">
        <f>IFERROR(LEFT(M9,FIND("],",M9)+S43),M9)</f>
        <v>none</v>
      </c>
      <c r="O9" s="63" t="e">
        <f t="shared" si="6"/>
        <v>#VALUE!</v>
      </c>
      <c r="P9" s="63">
        <f t="shared" si="7"/>
        <v>4</v>
      </c>
      <c r="Q9" s="63" t="e">
        <f t="shared" si="8"/>
        <v>#VALUE!</v>
      </c>
      <c r="R9" s="63" t="e">
        <f t="shared" si="9"/>
        <v>#VALUE!</v>
      </c>
      <c r="S9" s="63" t="str">
        <f>IFERROR(VLOOKUP(MID(N9,Q9,R9-Q9),[5]skilldef!$C:$D,2,FALSE),"-") &amp; " / " &amp; IFERROR(VLOOKUP(MID(N9,O9,P9-O9),[5]skilldef!$A:$B,2,FALSE),"-")</f>
        <v>- / -</v>
      </c>
      <c r="T9" s="48" t="str">
        <f t="shared" si="10"/>
        <v>none</v>
      </c>
      <c r="U9" s="63" t="e">
        <f t="shared" si="11"/>
        <v>#VALUE!</v>
      </c>
      <c r="V9" s="63">
        <f t="shared" si="12"/>
        <v>4</v>
      </c>
      <c r="W9" s="63" t="e">
        <f t="shared" si="13"/>
        <v>#VALUE!</v>
      </c>
      <c r="X9" s="63" t="e">
        <f t="shared" si="14"/>
        <v>#VALUE!</v>
      </c>
      <c r="Y9" s="63" t="str">
        <f>IFERROR(VLOOKUP(MID(T9,W9,X9-W9),[5]skilldef!$C:$D,2,FALSE),"-") &amp; " / " &amp; IFERROR(VLOOKUP(MID(T9,U9,V9-U9),[5]skilldef!$A:$B,2,FALSE),"-")</f>
        <v>- / -</v>
      </c>
      <c r="Z9" s="50"/>
      <c r="AA9" s="52"/>
      <c r="AB9" s="50"/>
    </row>
    <row r="10" spans="1:28" ht="21" customHeight="1">
      <c r="A10" s="47">
        <v>11218301</v>
      </c>
      <c r="B10" s="47" t="s">
        <v>252</v>
      </c>
      <c r="C10" s="50">
        <v>3</v>
      </c>
      <c r="D10" s="50" t="s">
        <v>128</v>
      </c>
      <c r="E10" s="51" t="s">
        <v>238</v>
      </c>
      <c r="F10" s="51" t="s">
        <v>244</v>
      </c>
      <c r="G10" s="63" t="str">
        <f t="shared" si="0"/>
        <v>[effect:dark, target:unit_all, turn:-1, animation:enemy_dark][effect:fix_speed, target:myself, turn:1]</v>
      </c>
      <c r="H10" s="63">
        <f t="shared" si="1"/>
        <v>9</v>
      </c>
      <c r="I10" s="63">
        <f t="shared" si="2"/>
        <v>13</v>
      </c>
      <c r="J10" s="63">
        <f t="shared" si="3"/>
        <v>22</v>
      </c>
      <c r="K10" s="63">
        <f t="shared" si="4"/>
        <v>30</v>
      </c>
      <c r="L10" s="63" t="str">
        <f>IFERROR(VLOOKUP(MID(G10,J10,K10-J10),[5]skilldef!$C:$D,2,FALSE),"-") &amp; " / " &amp; IFERROR(VLOOKUP(MID(G10,H10,I10-H10),[5]skilldef!$A:$B,2,FALSE),"-")</f>
        <v>味方全体に / 暗黒</v>
      </c>
      <c r="M10" s="63" t="str">
        <f t="shared" si="5"/>
        <v>none</v>
      </c>
      <c r="N10" s="48" t="str">
        <f>IFERROR(LEFT(M10,FIND("],",M10)+S44),M10)</f>
        <v>none</v>
      </c>
      <c r="O10" s="63" t="e">
        <f t="shared" si="6"/>
        <v>#VALUE!</v>
      </c>
      <c r="P10" s="63">
        <f t="shared" si="7"/>
        <v>4</v>
      </c>
      <c r="Q10" s="63" t="e">
        <f t="shared" si="8"/>
        <v>#VALUE!</v>
      </c>
      <c r="R10" s="63" t="e">
        <f t="shared" si="9"/>
        <v>#VALUE!</v>
      </c>
      <c r="S10" s="63" t="str">
        <f>IFERROR(VLOOKUP(MID(N10,Q10,R10-Q10),[5]skilldef!$C:$D,2,FALSE),"-") &amp; " / " &amp; IFERROR(VLOOKUP(MID(N10,O10,P10-O10),[5]skilldef!$A:$B,2,FALSE),"-")</f>
        <v>- / -</v>
      </c>
      <c r="T10" s="48" t="str">
        <f t="shared" si="10"/>
        <v>none</v>
      </c>
      <c r="U10" s="63" t="e">
        <f t="shared" si="11"/>
        <v>#VALUE!</v>
      </c>
      <c r="V10" s="63">
        <f t="shared" si="12"/>
        <v>4</v>
      </c>
      <c r="W10" s="63" t="e">
        <f t="shared" si="13"/>
        <v>#VALUE!</v>
      </c>
      <c r="X10" s="63" t="e">
        <f t="shared" si="14"/>
        <v>#VALUE!</v>
      </c>
      <c r="Y10" s="63" t="str">
        <f>IFERROR(VLOOKUP(MID(T10,W10,X10-W10),[5]skilldef!$C:$D,2,FALSE),"-") &amp; " / " &amp; IFERROR(VLOOKUP(MID(T10,U10,V10-U10),[5]skilldef!$A:$B,2,FALSE),"-")</f>
        <v>- / -</v>
      </c>
      <c r="Z10" s="50"/>
      <c r="AA10" s="52"/>
      <c r="AB10" s="50"/>
    </row>
    <row r="11" spans="1:28" ht="21" customHeight="1">
      <c r="A11" s="47">
        <v>11218302</v>
      </c>
      <c r="B11" s="47" t="s">
        <v>288</v>
      </c>
      <c r="C11" s="50">
        <v>3</v>
      </c>
      <c r="D11" s="50" t="s">
        <v>128</v>
      </c>
      <c r="E11" s="51" t="s">
        <v>286</v>
      </c>
      <c r="F11" s="51" t="s">
        <v>287</v>
      </c>
      <c r="G11" s="63" t="str">
        <f t="shared" ref="G11" si="27">IFERROR(LEFT(B11,FIND("],",B11)),B11)</f>
        <v>[effect:suicide, val:1, dead_type:suicide, target:myself]</v>
      </c>
      <c r="H11" s="63">
        <f t="shared" si="1"/>
        <v>9</v>
      </c>
      <c r="I11" s="63">
        <f t="shared" ref="I11" si="28">IFERROR(FIND(",",G11),LEN(G11))</f>
        <v>16</v>
      </c>
      <c r="J11" s="63">
        <f t="shared" ref="J11" si="29">FIND("target:",G11)+7</f>
        <v>51</v>
      </c>
      <c r="K11" s="63">
        <f t="shared" ref="K11" si="30">FIND(",",G11,I11+1)</f>
        <v>23</v>
      </c>
      <c r="L11" s="63" t="str">
        <f>IFERROR(VLOOKUP(MID(G11,J11,K11-J11),[5]skilldef!$C:$D,2,FALSE),"-") &amp; " / " &amp; IFERROR(VLOOKUP(MID(G11,H11,I11-H11),[5]skilldef!$A:$B,2,FALSE),"-")</f>
        <v>- / -</v>
      </c>
      <c r="M11" s="63" t="str">
        <f t="shared" ref="M11" si="31">IFERROR(RIGHT(B11,LEN(B11)-FIND("],",B11)-1),"none")</f>
        <v>none</v>
      </c>
      <c r="N11" s="48" t="str">
        <f t="shared" ref="N11:N18" si="32">IFERROR(LEFT(M11,FIND("],",M11)+S44),M11)</f>
        <v>none</v>
      </c>
      <c r="O11" s="63" t="e">
        <f t="shared" si="6"/>
        <v>#VALUE!</v>
      </c>
      <c r="P11" s="63">
        <f t="shared" ref="P11" si="33">IFERROR(FIND(",",N11),LEN(N11))</f>
        <v>4</v>
      </c>
      <c r="Q11" s="63" t="e">
        <f t="shared" ref="Q11" si="34">FIND("target:",N11)+7</f>
        <v>#VALUE!</v>
      </c>
      <c r="R11" s="63" t="e">
        <f t="shared" ref="R11" si="35">FIND(",",N11,P11+1)</f>
        <v>#VALUE!</v>
      </c>
      <c r="S11" s="63" t="str">
        <f>IFERROR(VLOOKUP(MID(N11,Q11,R11-Q11),[5]skilldef!$C:$D,2,FALSE),"-") &amp; " / " &amp; IFERROR(VLOOKUP(MID(N11,O11,P11-O11),[5]skilldef!$A:$B,2,FALSE),"-")</f>
        <v>- / -</v>
      </c>
      <c r="T11" s="48" t="str">
        <f t="shared" ref="T11" si="36">IFERROR(RIGHT(M11,LEN(M11)-FIND("],",M11)-1),"none")</f>
        <v>none</v>
      </c>
      <c r="U11" s="63" t="e">
        <f t="shared" si="11"/>
        <v>#VALUE!</v>
      </c>
      <c r="V11" s="63">
        <f t="shared" ref="V11" si="37">IFERROR(FIND(",",T11),LEN(T11))</f>
        <v>4</v>
      </c>
      <c r="W11" s="63" t="e">
        <f t="shared" ref="W11" si="38">FIND("target:",T11)+7</f>
        <v>#VALUE!</v>
      </c>
      <c r="X11" s="63" t="e">
        <f t="shared" ref="X11" si="39">FIND(",",T11,V11+1)</f>
        <v>#VALUE!</v>
      </c>
      <c r="Y11" s="63" t="str">
        <f>IFERROR(VLOOKUP(MID(T11,W11,X11-W11),[5]skilldef!$C:$D,2,FALSE),"-") &amp; " / " &amp; IFERROR(VLOOKUP(MID(T11,U11,V11-U11),[5]skilldef!$A:$B,2,FALSE),"-")</f>
        <v>- / -</v>
      </c>
      <c r="Z11" s="50"/>
      <c r="AA11" s="52"/>
      <c r="AB11" s="50"/>
    </row>
    <row r="12" spans="1:28" ht="21" customHeight="1">
      <c r="A12" s="47">
        <v>11218303</v>
      </c>
      <c r="B12" s="47" t="s">
        <v>224</v>
      </c>
      <c r="C12" s="50">
        <v>3</v>
      </c>
      <c r="D12" s="50" t="s">
        <v>128</v>
      </c>
      <c r="E12" s="51" t="s">
        <v>225</v>
      </c>
      <c r="F12" s="51" t="s">
        <v>226</v>
      </c>
      <c r="G12" s="63" t="str">
        <f t="shared" si="0"/>
        <v>[effect:nothing]</v>
      </c>
      <c r="H12" s="63">
        <f t="shared" si="1"/>
        <v>9</v>
      </c>
      <c r="I12" s="63">
        <f t="shared" si="2"/>
        <v>16</v>
      </c>
      <c r="J12" s="63" t="e">
        <f t="shared" si="3"/>
        <v>#VALUE!</v>
      </c>
      <c r="K12" s="63" t="e">
        <f t="shared" si="4"/>
        <v>#VALUE!</v>
      </c>
      <c r="L12" s="63" t="str">
        <f>IFERROR(VLOOKUP(MID(G12,J12,K12-J12),[5]skilldef!$C:$D,2,FALSE),"-") &amp; " / " &amp; IFERROR(VLOOKUP(MID(G12,H12,I12-H12),[5]skilldef!$A:$B,2,FALSE),"-")</f>
        <v>- / 何もしない</v>
      </c>
      <c r="M12" s="63" t="str">
        <f t="shared" si="5"/>
        <v>none</v>
      </c>
      <c r="N12" s="48" t="str">
        <f t="shared" si="32"/>
        <v>none</v>
      </c>
      <c r="O12" s="63" t="e">
        <f t="shared" si="6"/>
        <v>#VALUE!</v>
      </c>
      <c r="P12" s="63">
        <f t="shared" si="7"/>
        <v>4</v>
      </c>
      <c r="Q12" s="63" t="e">
        <f t="shared" si="8"/>
        <v>#VALUE!</v>
      </c>
      <c r="R12" s="63" t="e">
        <f t="shared" si="9"/>
        <v>#VALUE!</v>
      </c>
      <c r="S12" s="63" t="str">
        <f>IFERROR(VLOOKUP(MID(N12,Q12,R12-Q12),[5]skilldef!$C:$D,2,FALSE),"-") &amp; " / " &amp; IFERROR(VLOOKUP(MID(N12,O12,P12-O12),[5]skilldef!$A:$B,2,FALSE),"-")</f>
        <v>- / -</v>
      </c>
      <c r="T12" s="48" t="str">
        <f t="shared" si="10"/>
        <v>none</v>
      </c>
      <c r="U12" s="63" t="e">
        <f t="shared" si="11"/>
        <v>#VALUE!</v>
      </c>
      <c r="V12" s="63">
        <f t="shared" si="12"/>
        <v>4</v>
      </c>
      <c r="W12" s="63" t="e">
        <f t="shared" si="13"/>
        <v>#VALUE!</v>
      </c>
      <c r="X12" s="63" t="e">
        <f t="shared" si="14"/>
        <v>#VALUE!</v>
      </c>
      <c r="Y12" s="63" t="str">
        <f>IFERROR(VLOOKUP(MID(T12,W12,X12-W12),[5]skilldef!$C:$D,2,FALSE),"-") &amp; " / " &amp; IFERROR(VLOOKUP(MID(T12,U12,V12-U12),[5]skilldef!$A:$B,2,FALSE),"-")</f>
        <v>- / -</v>
      </c>
      <c r="Z12" s="50"/>
      <c r="AA12" s="52"/>
      <c r="AB12" s="50"/>
    </row>
    <row r="13" spans="1:28" ht="21" customHeight="1">
      <c r="A13" s="47">
        <v>11218400</v>
      </c>
      <c r="B13" s="47" t="s">
        <v>294</v>
      </c>
      <c r="C13" s="50">
        <v>3</v>
      </c>
      <c r="D13" s="50" t="s">
        <v>128</v>
      </c>
      <c r="E13" s="51" t="s">
        <v>249</v>
      </c>
      <c r="F13" s="51" t="s">
        <v>228</v>
      </c>
      <c r="G13" s="63" t="str">
        <f t="shared" si="0"/>
        <v>[effect:degrade_unit, target:unit_all, turn:3, status:attack, val:1.0, calc:mul][effect:fix_speed, target:enemy_balance, turn:2][effect:fix_speed, target:enemy_green, turn:1][effect:cure, bad_status:dark][effect:force_change_block, new_block:block_heart, target:block_all, count:5, val:0]</v>
      </c>
      <c r="H13" s="63">
        <f t="shared" si="1"/>
        <v>9</v>
      </c>
      <c r="I13" s="63">
        <f t="shared" si="2"/>
        <v>21</v>
      </c>
      <c r="J13" s="63">
        <f t="shared" si="3"/>
        <v>30</v>
      </c>
      <c r="K13" s="63">
        <f t="shared" si="4"/>
        <v>38</v>
      </c>
      <c r="L13" s="63" t="str">
        <f>IFERROR(VLOOKUP(MID(G13,J13,K13-J13),[5]skilldef!$C:$D,2,FALSE),"-") &amp; " / " &amp; IFERROR(VLOOKUP(MID(G13,H13,I13-H13),[5]skilldef!$A:$B,2,FALSE),"-")</f>
        <v>味方全体に / ステータスDOWN</v>
      </c>
      <c r="M13" s="63" t="str">
        <f t="shared" si="5"/>
        <v>none</v>
      </c>
      <c r="N13" s="48" t="str">
        <f t="shared" si="32"/>
        <v>none</v>
      </c>
      <c r="O13" s="63" t="e">
        <f t="shared" si="6"/>
        <v>#VALUE!</v>
      </c>
      <c r="P13" s="63">
        <f t="shared" si="7"/>
        <v>4</v>
      </c>
      <c r="Q13" s="63" t="e">
        <f t="shared" si="8"/>
        <v>#VALUE!</v>
      </c>
      <c r="R13" s="63" t="e">
        <f t="shared" si="9"/>
        <v>#VALUE!</v>
      </c>
      <c r="S13" s="63" t="str">
        <f>IFERROR(VLOOKUP(MID(N13,Q13,R13-Q13),[5]skilldef!$C:$D,2,FALSE),"-") &amp; " / " &amp; IFERROR(VLOOKUP(MID(N13,O13,P13-O13),[5]skilldef!$A:$B,2,FALSE),"-")</f>
        <v>- / -</v>
      </c>
      <c r="T13" s="48" t="str">
        <f t="shared" si="10"/>
        <v>none</v>
      </c>
      <c r="U13" s="63" t="e">
        <f t="shared" si="11"/>
        <v>#VALUE!</v>
      </c>
      <c r="V13" s="63">
        <f t="shared" si="12"/>
        <v>4</v>
      </c>
      <c r="W13" s="63" t="e">
        <f t="shared" si="13"/>
        <v>#VALUE!</v>
      </c>
      <c r="X13" s="63" t="e">
        <f t="shared" si="14"/>
        <v>#VALUE!</v>
      </c>
      <c r="Y13" s="63" t="str">
        <f>IFERROR(VLOOKUP(MID(T13,W13,X13-W13),[5]skilldef!$C:$D,2,FALSE),"-") &amp; " / " &amp; IFERROR(VLOOKUP(MID(T13,U13,V13-U13),[5]skilldef!$A:$B,2,FALSE),"-")</f>
        <v>- / -</v>
      </c>
      <c r="Z13" s="50"/>
      <c r="AA13" s="52"/>
      <c r="AB13" s="50"/>
    </row>
    <row r="14" spans="1:28" ht="21" customHeight="1">
      <c r="A14" s="47">
        <v>11218410</v>
      </c>
      <c r="B14" s="47" t="s">
        <v>233</v>
      </c>
      <c r="C14" s="50">
        <v>3</v>
      </c>
      <c r="D14" s="50" t="s">
        <v>128</v>
      </c>
      <c r="E14" s="51" t="s">
        <v>239</v>
      </c>
      <c r="F14" s="51" t="s">
        <v>250</v>
      </c>
      <c r="G14" s="63" t="str">
        <f t="shared" si="0"/>
        <v>[effect:force_change_block, new_block:block_heart, target:block_all, count:5, val:0]</v>
      </c>
      <c r="H14" s="63">
        <f t="shared" si="1"/>
        <v>9</v>
      </c>
      <c r="I14" s="63">
        <f t="shared" si="2"/>
        <v>27</v>
      </c>
      <c r="J14" s="63">
        <f t="shared" si="3"/>
        <v>59</v>
      </c>
      <c r="K14" s="63">
        <f t="shared" si="4"/>
        <v>50</v>
      </c>
      <c r="L14" s="63" t="str">
        <f>IFERROR(VLOOKUP(MID(G14,J14,K14-J14),[5]skilldef!$C:$D,2,FALSE),"-") &amp; " / " &amp; IFERROR(VLOOKUP(MID(G14,H14,I14-H14),[5]skilldef!$A:$B,2,FALSE),"-")</f>
        <v>- / -</v>
      </c>
      <c r="M14" s="63" t="str">
        <f t="shared" si="5"/>
        <v>none</v>
      </c>
      <c r="N14" s="48" t="str">
        <f t="shared" si="32"/>
        <v>none</v>
      </c>
      <c r="O14" s="63" t="e">
        <f t="shared" si="6"/>
        <v>#VALUE!</v>
      </c>
      <c r="P14" s="63">
        <f t="shared" si="7"/>
        <v>4</v>
      </c>
      <c r="Q14" s="63" t="e">
        <f t="shared" si="8"/>
        <v>#VALUE!</v>
      </c>
      <c r="R14" s="63" t="e">
        <f t="shared" si="9"/>
        <v>#VALUE!</v>
      </c>
      <c r="S14" s="63" t="str">
        <f>IFERROR(VLOOKUP(MID(N14,Q14,R14-Q14),[5]skilldef!$C:$D,2,FALSE),"-") &amp; " / " &amp; IFERROR(VLOOKUP(MID(N14,O14,P14-O14),[5]skilldef!$A:$B,2,FALSE),"-")</f>
        <v>- / -</v>
      </c>
      <c r="T14" s="48" t="str">
        <f t="shared" si="10"/>
        <v>none</v>
      </c>
      <c r="U14" s="63" t="e">
        <f t="shared" si="11"/>
        <v>#VALUE!</v>
      </c>
      <c r="V14" s="63">
        <f t="shared" si="12"/>
        <v>4</v>
      </c>
      <c r="W14" s="63" t="e">
        <f t="shared" si="13"/>
        <v>#VALUE!</v>
      </c>
      <c r="X14" s="63" t="e">
        <f t="shared" si="14"/>
        <v>#VALUE!</v>
      </c>
      <c r="Y14" s="63" t="str">
        <f>IFERROR(VLOOKUP(MID(T14,W14,X14-W14),[5]skilldef!$C:$D,2,FALSE),"-") &amp; " / " &amp; IFERROR(VLOOKUP(MID(T14,U14,V14-U14),[5]skilldef!$A:$B,2,FALSE),"-")</f>
        <v>- / -</v>
      </c>
      <c r="Z14" s="50"/>
      <c r="AA14" s="52"/>
      <c r="AB14" s="50"/>
    </row>
    <row r="15" spans="1:28" ht="21" customHeight="1">
      <c r="A15" s="47">
        <v>11218420</v>
      </c>
      <c r="B15" s="47" t="s">
        <v>240</v>
      </c>
      <c r="C15" s="50">
        <v>3</v>
      </c>
      <c r="D15" s="50" t="s">
        <v>128</v>
      </c>
      <c r="E15" s="51" t="s">
        <v>281</v>
      </c>
      <c r="F15" s="51" t="s">
        <v>282</v>
      </c>
      <c r="G15" s="63" t="str">
        <f t="shared" si="0"/>
        <v>[effect:fix_speed, target:myself, turn:2]</v>
      </c>
      <c r="H15" s="63">
        <f t="shared" si="1"/>
        <v>9</v>
      </c>
      <c r="I15" s="63">
        <f t="shared" si="2"/>
        <v>18</v>
      </c>
      <c r="J15" s="63">
        <f t="shared" si="3"/>
        <v>27</v>
      </c>
      <c r="K15" s="63">
        <f t="shared" si="4"/>
        <v>33</v>
      </c>
      <c r="L15" s="63" t="str">
        <f>IFERROR(VLOOKUP(MID(G15,J15,K15-J15),[5]skilldef!$C:$D,2,FALSE),"-") &amp; " / " &amp; IFERROR(VLOOKUP(MID(G15,H15,I15-H15),[5]skilldef!$A:$B,2,FALSE),"-")</f>
        <v>自分自身に / 行動値設定</v>
      </c>
      <c r="M15" s="63" t="str">
        <f t="shared" si="5"/>
        <v>none</v>
      </c>
      <c r="N15" s="48" t="str">
        <f t="shared" si="32"/>
        <v>none</v>
      </c>
      <c r="O15" s="63" t="e">
        <f t="shared" si="6"/>
        <v>#VALUE!</v>
      </c>
      <c r="P15" s="63">
        <f t="shared" si="7"/>
        <v>4</v>
      </c>
      <c r="Q15" s="63" t="e">
        <f t="shared" si="8"/>
        <v>#VALUE!</v>
      </c>
      <c r="R15" s="63" t="e">
        <f t="shared" si="9"/>
        <v>#VALUE!</v>
      </c>
      <c r="S15" s="63" t="str">
        <f>IFERROR(VLOOKUP(MID(N15,Q15,R15-Q15),[5]skilldef!$C:$D,2,FALSE),"-") &amp; " / " &amp; IFERROR(VLOOKUP(MID(N15,O15,P15-O15),[5]skilldef!$A:$B,2,FALSE),"-")</f>
        <v>- / -</v>
      </c>
      <c r="T15" s="48" t="str">
        <f t="shared" si="10"/>
        <v>none</v>
      </c>
      <c r="U15" s="63" t="e">
        <f t="shared" si="11"/>
        <v>#VALUE!</v>
      </c>
      <c r="V15" s="63">
        <f t="shared" si="12"/>
        <v>4</v>
      </c>
      <c r="W15" s="63" t="e">
        <f t="shared" si="13"/>
        <v>#VALUE!</v>
      </c>
      <c r="X15" s="63" t="e">
        <f t="shared" si="14"/>
        <v>#VALUE!</v>
      </c>
      <c r="Y15" s="63" t="str">
        <f>IFERROR(VLOOKUP(MID(T15,W15,X15-W15),[5]skilldef!$C:$D,2,FALSE),"-") &amp; " / " &amp; IFERROR(VLOOKUP(MID(T15,U15,V15-U15),[5]skilldef!$A:$B,2,FALSE),"-")</f>
        <v>- / -</v>
      </c>
      <c r="Z15" s="50"/>
      <c r="AA15" s="52"/>
      <c r="AB15" s="50"/>
    </row>
    <row r="16" spans="1:28" ht="21" customHeight="1">
      <c r="A16" s="47">
        <v>11218401</v>
      </c>
      <c r="B16" s="47" t="s">
        <v>224</v>
      </c>
      <c r="C16" s="50">
        <v>3</v>
      </c>
      <c r="D16" s="50" t="s">
        <v>128</v>
      </c>
      <c r="E16" s="51" t="s">
        <v>246</v>
      </c>
      <c r="F16" s="51" t="s">
        <v>247</v>
      </c>
      <c r="G16" s="63" t="str">
        <f t="shared" si="0"/>
        <v>[effect:nothing]</v>
      </c>
      <c r="H16" s="63">
        <f t="shared" si="1"/>
        <v>9</v>
      </c>
      <c r="I16" s="63">
        <f t="shared" si="2"/>
        <v>16</v>
      </c>
      <c r="J16" s="63" t="e">
        <f t="shared" si="3"/>
        <v>#VALUE!</v>
      </c>
      <c r="K16" s="63" t="e">
        <f t="shared" si="4"/>
        <v>#VALUE!</v>
      </c>
      <c r="L16" s="63" t="str">
        <f>IFERROR(VLOOKUP(MID(G16,J16,K16-J16),[5]skilldef!$C:$D,2,FALSE),"-") &amp; " / " &amp; IFERROR(VLOOKUP(MID(G16,H16,I16-H16),[5]skilldef!$A:$B,2,FALSE),"-")</f>
        <v>- / 何もしない</v>
      </c>
      <c r="M16" s="63" t="str">
        <f t="shared" si="5"/>
        <v>none</v>
      </c>
      <c r="N16" s="48" t="str">
        <f t="shared" si="32"/>
        <v>none</v>
      </c>
      <c r="O16" s="63" t="e">
        <f t="shared" si="6"/>
        <v>#VALUE!</v>
      </c>
      <c r="P16" s="63">
        <f t="shared" si="7"/>
        <v>4</v>
      </c>
      <c r="Q16" s="63" t="e">
        <f t="shared" si="8"/>
        <v>#VALUE!</v>
      </c>
      <c r="R16" s="63" t="e">
        <f t="shared" si="9"/>
        <v>#VALUE!</v>
      </c>
      <c r="S16" s="63" t="str">
        <f>IFERROR(VLOOKUP(MID(N16,Q16,R16-Q16),[5]skilldef!$C:$D,2,FALSE),"-") &amp; " / " &amp; IFERROR(VLOOKUP(MID(N16,O16,P16-O16),[5]skilldef!$A:$B,2,FALSE),"-")</f>
        <v>- / -</v>
      </c>
      <c r="T16" s="48" t="str">
        <f t="shared" si="10"/>
        <v>none</v>
      </c>
      <c r="U16" s="63" t="e">
        <f t="shared" si="11"/>
        <v>#VALUE!</v>
      </c>
      <c r="V16" s="63">
        <f t="shared" si="12"/>
        <v>4</v>
      </c>
      <c r="W16" s="63" t="e">
        <f t="shared" si="13"/>
        <v>#VALUE!</v>
      </c>
      <c r="X16" s="63" t="e">
        <f t="shared" si="14"/>
        <v>#VALUE!</v>
      </c>
      <c r="Y16" s="63" t="str">
        <f>IFERROR(VLOOKUP(MID(T16,W16,X16-W16),[5]skilldef!$C:$D,2,FALSE),"-") &amp; " / " &amp; IFERROR(VLOOKUP(MID(T16,U16,V16-U16),[5]skilldef!$A:$B,2,FALSE),"-")</f>
        <v>- / -</v>
      </c>
      <c r="Z16" s="50"/>
      <c r="AA16" s="52"/>
      <c r="AB16" s="50"/>
    </row>
    <row r="17" spans="1:28" ht="21" customHeight="1">
      <c r="A17" s="47">
        <v>11218411</v>
      </c>
      <c r="B17" s="47" t="s">
        <v>280</v>
      </c>
      <c r="C17" s="50">
        <v>3</v>
      </c>
      <c r="D17" s="50" t="s">
        <v>128</v>
      </c>
      <c r="E17" s="51" t="s">
        <v>284</v>
      </c>
      <c r="F17" s="51" t="s">
        <v>283</v>
      </c>
      <c r="G17" s="63" t="str">
        <f t="shared" si="0"/>
        <v>[effect:suicide, val:1, dead_type:suicide, target:enemy_all]</v>
      </c>
      <c r="H17" s="63">
        <f t="shared" si="1"/>
        <v>9</v>
      </c>
      <c r="I17" s="63">
        <f t="shared" si="2"/>
        <v>16</v>
      </c>
      <c r="J17" s="63">
        <f t="shared" si="3"/>
        <v>51</v>
      </c>
      <c r="K17" s="63">
        <f t="shared" si="4"/>
        <v>23</v>
      </c>
      <c r="L17" s="63" t="str">
        <f>IFERROR(VLOOKUP(MID(G17,J17,K17-J17),[5]skilldef!$C:$D,2,FALSE),"-") &amp; " / " &amp; IFERROR(VLOOKUP(MID(G17,H17,I17-H17),[5]skilldef!$A:$B,2,FALSE),"-")</f>
        <v>- / -</v>
      </c>
      <c r="M17" s="63" t="str">
        <f t="shared" si="5"/>
        <v>none</v>
      </c>
      <c r="N17" s="48" t="str">
        <f t="shared" si="32"/>
        <v>none</v>
      </c>
      <c r="O17" s="63" t="e">
        <f t="shared" si="6"/>
        <v>#VALUE!</v>
      </c>
      <c r="P17" s="63">
        <f t="shared" si="7"/>
        <v>4</v>
      </c>
      <c r="Q17" s="63" t="e">
        <f t="shared" si="8"/>
        <v>#VALUE!</v>
      </c>
      <c r="R17" s="63" t="e">
        <f t="shared" si="9"/>
        <v>#VALUE!</v>
      </c>
      <c r="S17" s="63" t="str">
        <f>IFERROR(VLOOKUP(MID(N17,Q17,R17-Q17),[5]skilldef!$C:$D,2,FALSE),"-") &amp; " / " &amp; IFERROR(VLOOKUP(MID(N17,O17,P17-O17),[5]skilldef!$A:$B,2,FALSE),"-")</f>
        <v>- / -</v>
      </c>
      <c r="T17" s="48" t="str">
        <f t="shared" si="10"/>
        <v>none</v>
      </c>
      <c r="U17" s="63" t="e">
        <f t="shared" si="11"/>
        <v>#VALUE!</v>
      </c>
      <c r="V17" s="63">
        <f t="shared" si="12"/>
        <v>4</v>
      </c>
      <c r="W17" s="63" t="e">
        <f t="shared" si="13"/>
        <v>#VALUE!</v>
      </c>
      <c r="X17" s="63" t="e">
        <f t="shared" si="14"/>
        <v>#VALUE!</v>
      </c>
      <c r="Y17" s="63" t="str">
        <f>IFERROR(VLOOKUP(MID(T17,W17,X17-W17),[5]skilldef!$C:$D,2,FALSE),"-") &amp; " / " &amp; IFERROR(VLOOKUP(MID(T17,U17,V17-U17),[5]skilldef!$A:$B,2,FALSE),"-")</f>
        <v>- / -</v>
      </c>
      <c r="Z17" s="50"/>
      <c r="AA17" s="52"/>
      <c r="AB17" s="50"/>
    </row>
    <row r="18" spans="1:28" ht="21" customHeight="1">
      <c r="A18" s="47">
        <v>11218421</v>
      </c>
      <c r="B18" s="47" t="s">
        <v>264</v>
      </c>
      <c r="C18" s="50">
        <v>3</v>
      </c>
      <c r="D18" s="50" t="s">
        <v>128</v>
      </c>
      <c r="E18" s="51" t="s">
        <v>248</v>
      </c>
      <c r="F18" s="51" t="s">
        <v>289</v>
      </c>
      <c r="G18" s="63" t="str">
        <f t="shared" si="0"/>
        <v>[effect:suicide, val:1, dead_type:escape, target:enemy_all]</v>
      </c>
      <c r="H18" s="63">
        <f t="shared" si="1"/>
        <v>9</v>
      </c>
      <c r="I18" s="63">
        <f t="shared" si="2"/>
        <v>16</v>
      </c>
      <c r="J18" s="63">
        <f t="shared" si="3"/>
        <v>50</v>
      </c>
      <c r="K18" s="63">
        <f t="shared" si="4"/>
        <v>23</v>
      </c>
      <c r="L18" s="63" t="str">
        <f>IFERROR(VLOOKUP(MID(G18,J18,K18-J18),[5]skilldef!$C:$D,2,FALSE),"-") &amp; " / " &amp; IFERROR(VLOOKUP(MID(G18,H18,I18-H18),[5]skilldef!$A:$B,2,FALSE),"-")</f>
        <v>- / -</v>
      </c>
      <c r="M18" s="63" t="str">
        <f t="shared" si="5"/>
        <v>none</v>
      </c>
      <c r="N18" s="48" t="str">
        <f t="shared" si="32"/>
        <v>none</v>
      </c>
      <c r="O18" s="63" t="e">
        <f t="shared" si="6"/>
        <v>#VALUE!</v>
      </c>
      <c r="P18" s="63">
        <f t="shared" si="7"/>
        <v>4</v>
      </c>
      <c r="Q18" s="63" t="e">
        <f t="shared" si="8"/>
        <v>#VALUE!</v>
      </c>
      <c r="R18" s="63" t="e">
        <f t="shared" si="9"/>
        <v>#VALUE!</v>
      </c>
      <c r="S18" s="63" t="str">
        <f>IFERROR(VLOOKUP(MID(N18,Q18,R18-Q18),[5]skilldef!$C:$D,2,FALSE),"-") &amp; " / " &amp; IFERROR(VLOOKUP(MID(N18,O18,P18-O18),[5]skilldef!$A:$B,2,FALSE),"-")</f>
        <v>- / -</v>
      </c>
      <c r="T18" s="48" t="str">
        <f t="shared" si="10"/>
        <v>none</v>
      </c>
      <c r="U18" s="63" t="e">
        <f t="shared" si="11"/>
        <v>#VALUE!</v>
      </c>
      <c r="V18" s="63">
        <f t="shared" si="12"/>
        <v>4</v>
      </c>
      <c r="W18" s="63" t="e">
        <f t="shared" si="13"/>
        <v>#VALUE!</v>
      </c>
      <c r="X18" s="63" t="e">
        <f t="shared" si="14"/>
        <v>#VALUE!</v>
      </c>
      <c r="Y18" s="63" t="str">
        <f>IFERROR(VLOOKUP(MID(T18,W18,X18-W18),[5]skilldef!$C:$D,2,FALSE),"-") &amp; " / " &amp; IFERROR(VLOOKUP(MID(T18,U18,V18-U18),[5]skilldef!$A:$B,2,FALSE),"-")</f>
        <v>- / -</v>
      </c>
      <c r="Z18" s="50"/>
      <c r="AA18" s="52"/>
      <c r="AB18" s="50"/>
    </row>
    <row r="19" spans="1:28" ht="21" customHeight="1">
      <c r="A19" s="47">
        <v>11218500</v>
      </c>
      <c r="B19" s="47" t="s">
        <v>221</v>
      </c>
      <c r="C19" s="50">
        <v>3</v>
      </c>
      <c r="D19" s="50" t="s">
        <v>128</v>
      </c>
      <c r="E19" s="51" t="s">
        <v>285</v>
      </c>
      <c r="F19" s="51" t="s">
        <v>245</v>
      </c>
      <c r="G19" s="63" t="str">
        <f t="shared" ref="G19:G22" si="40">IFERROR(LEFT(B19,FIND("],",B19)),B19)</f>
        <v>[effect:fix_speed, target:enemy_all, turn:1]</v>
      </c>
      <c r="H19" s="63">
        <f t="shared" si="1"/>
        <v>9</v>
      </c>
      <c r="I19" s="63">
        <f t="shared" ref="I19:I22" si="41">IFERROR(FIND(",",G19),LEN(G19))</f>
        <v>18</v>
      </c>
      <c r="J19" s="63">
        <f t="shared" ref="J19:J22" si="42">FIND("target:",G19)+7</f>
        <v>27</v>
      </c>
      <c r="K19" s="63">
        <f t="shared" ref="K19:K22" si="43">FIND(",",G19,I19+1)</f>
        <v>36</v>
      </c>
      <c r="L19" s="63" t="str">
        <f>IFERROR(VLOOKUP(MID(G19,J19,K19-J19),[5]skilldef!$C:$D,2,FALSE),"-") &amp; " / " &amp; IFERROR(VLOOKUP(MID(G19,H19,I19-H19),[5]skilldef!$A:$B,2,FALSE),"-")</f>
        <v>敵全体に / 行動値設定</v>
      </c>
      <c r="M19" s="63" t="str">
        <f t="shared" ref="M19:M22" si="44">IFERROR(RIGHT(B19,LEN(B19)-FIND("],",B19)-1),"none")</f>
        <v>none</v>
      </c>
      <c r="N19" s="48" t="str">
        <f>IFERROR(LEFT(M19,FIND("],",M19)+S50),M19)</f>
        <v>none</v>
      </c>
      <c r="O19" s="63" t="e">
        <f t="shared" si="6"/>
        <v>#VALUE!</v>
      </c>
      <c r="P19" s="63">
        <f t="shared" ref="P19:P22" si="45">IFERROR(FIND(",",N19),LEN(N19))</f>
        <v>4</v>
      </c>
      <c r="Q19" s="63" t="e">
        <f t="shared" ref="Q19:Q22" si="46">FIND("target:",N19)+7</f>
        <v>#VALUE!</v>
      </c>
      <c r="R19" s="63" t="e">
        <f t="shared" ref="R19:R22" si="47">FIND(",",N19,P19+1)</f>
        <v>#VALUE!</v>
      </c>
      <c r="S19" s="63" t="str">
        <f>IFERROR(VLOOKUP(MID(N19,Q19,R19-Q19),[5]skilldef!$C:$D,2,FALSE),"-") &amp; " / " &amp; IFERROR(VLOOKUP(MID(N19,O19,P19-O19),[5]skilldef!$A:$B,2,FALSE),"-")</f>
        <v>- / -</v>
      </c>
      <c r="T19" s="48" t="str">
        <f t="shared" ref="T19:T22" si="48">IFERROR(RIGHT(M19,LEN(M19)-FIND("],",M19)-1),"none")</f>
        <v>none</v>
      </c>
      <c r="U19" s="63" t="e">
        <f t="shared" si="11"/>
        <v>#VALUE!</v>
      </c>
      <c r="V19" s="63">
        <f t="shared" ref="V19:V22" si="49">IFERROR(FIND(",",T19),LEN(T19))</f>
        <v>4</v>
      </c>
      <c r="W19" s="63" t="e">
        <f t="shared" ref="W19:W22" si="50">FIND("target:",T19)+7</f>
        <v>#VALUE!</v>
      </c>
      <c r="X19" s="63" t="e">
        <f t="shared" ref="X19:X22" si="51">FIND(",",T19,V19+1)</f>
        <v>#VALUE!</v>
      </c>
      <c r="Y19" s="63" t="str">
        <f>IFERROR(VLOOKUP(MID(T19,W19,X19-W19),[5]skilldef!$C:$D,2,FALSE),"-") &amp; " / " &amp; IFERROR(VLOOKUP(MID(T19,U19,V19-U19),[5]skilldef!$A:$B,2,FALSE),"-")</f>
        <v>- / -</v>
      </c>
      <c r="Z19" s="50"/>
      <c r="AA19" s="52"/>
      <c r="AB19" s="50"/>
    </row>
    <row r="20" spans="1:28" ht="21" customHeight="1">
      <c r="A20" s="47">
        <v>11218501</v>
      </c>
      <c r="B20" s="47" t="s">
        <v>273</v>
      </c>
      <c r="C20" s="50">
        <v>3</v>
      </c>
      <c r="D20" s="50" t="s">
        <v>128</v>
      </c>
      <c r="E20" s="51" t="s">
        <v>269</v>
      </c>
      <c r="F20" s="51" t="s">
        <v>270</v>
      </c>
      <c r="G20" s="63" t="str">
        <f t="shared" ref="G20" si="52">IFERROR(LEFT(B20,FIND("],",B20)),B20)</f>
        <v>[effect:enhance_enemy, target:myself, turn:-1, status:attack, val:1, calc:mul, animation:enemy_enhance_attack]</v>
      </c>
      <c r="H20" s="63">
        <f t="shared" si="1"/>
        <v>9</v>
      </c>
      <c r="I20" s="63">
        <f t="shared" ref="I20" si="53">IFERROR(FIND(",",G20),LEN(G20))</f>
        <v>22</v>
      </c>
      <c r="J20" s="63">
        <f t="shared" ref="J20" si="54">FIND("target:",G20)+7</f>
        <v>31</v>
      </c>
      <c r="K20" s="63">
        <f t="shared" ref="K20" si="55">FIND(",",G20,I20+1)</f>
        <v>37</v>
      </c>
      <c r="L20" s="63" t="str">
        <f>IFERROR(VLOOKUP(MID(G20,J20,K20-J20),[5]skilldef!$C:$D,2,FALSE),"-") &amp; " / " &amp; IFERROR(VLOOKUP(MID(G20,H20,I20-H20),[5]skilldef!$A:$B,2,FALSE),"-")</f>
        <v>自分自身に / ステータス強化</v>
      </c>
      <c r="M20" s="63" t="str">
        <f t="shared" ref="M20" si="56">IFERROR(RIGHT(B20,LEN(B20)-FIND("],",B20)-1),"none")</f>
        <v>none</v>
      </c>
      <c r="N20" s="48" t="str">
        <f>IFERROR(LEFT(M20,FIND("],",M20)+S51),M20)</f>
        <v>none</v>
      </c>
      <c r="O20" s="63" t="e">
        <f t="shared" si="6"/>
        <v>#VALUE!</v>
      </c>
      <c r="P20" s="63">
        <f t="shared" ref="P20" si="57">IFERROR(FIND(",",N20),LEN(N20))</f>
        <v>4</v>
      </c>
      <c r="Q20" s="63" t="e">
        <f t="shared" ref="Q20" si="58">FIND("target:",N20)+7</f>
        <v>#VALUE!</v>
      </c>
      <c r="R20" s="63" t="e">
        <f t="shared" ref="R20" si="59">FIND(",",N20,P20+1)</f>
        <v>#VALUE!</v>
      </c>
      <c r="S20" s="63" t="str">
        <f>IFERROR(VLOOKUP(MID(N20,Q20,R20-Q20),[5]skilldef!$C:$D,2,FALSE),"-") &amp; " / " &amp; IFERROR(VLOOKUP(MID(N20,O20,P20-O20),[5]skilldef!$A:$B,2,FALSE),"-")</f>
        <v>- / -</v>
      </c>
      <c r="T20" s="48" t="str">
        <f t="shared" ref="T20" si="60">IFERROR(RIGHT(M20,LEN(M20)-FIND("],",M20)-1),"none")</f>
        <v>none</v>
      </c>
      <c r="U20" s="63" t="e">
        <f t="shared" si="11"/>
        <v>#VALUE!</v>
      </c>
      <c r="V20" s="63">
        <f t="shared" ref="V20" si="61">IFERROR(FIND(",",T20),LEN(T20))</f>
        <v>4</v>
      </c>
      <c r="W20" s="63" t="e">
        <f t="shared" ref="W20" si="62">FIND("target:",T20)+7</f>
        <v>#VALUE!</v>
      </c>
      <c r="X20" s="63" t="e">
        <f t="shared" ref="X20" si="63">FIND(",",T20,V20+1)</f>
        <v>#VALUE!</v>
      </c>
      <c r="Y20" s="63" t="str">
        <f>IFERROR(VLOOKUP(MID(T20,W20,X20-W20),[5]skilldef!$C:$D,2,FALSE),"-") &amp; " / " &amp; IFERROR(VLOOKUP(MID(T20,U20,V20-U20),[5]skilldef!$A:$B,2,FALSE),"-")</f>
        <v>- / -</v>
      </c>
      <c r="Z20" s="50"/>
      <c r="AA20" s="52"/>
      <c r="AB20" s="50"/>
    </row>
    <row r="21" spans="1:28" ht="21" customHeight="1">
      <c r="A21" s="47">
        <v>11218502</v>
      </c>
      <c r="B21" s="47" t="s">
        <v>279</v>
      </c>
      <c r="C21" s="50">
        <v>3</v>
      </c>
      <c r="D21" s="50" t="s">
        <v>128</v>
      </c>
      <c r="E21" s="51" t="s">
        <v>259</v>
      </c>
      <c r="F21" s="51" t="s">
        <v>260</v>
      </c>
      <c r="G21" s="63" t="str">
        <f t="shared" ref="G21" si="64">IFERROR(LEFT(B21,FIND("],",B21)),B21)</f>
        <v>[effect:suicide, val:1, dead_type:suicide, target:myself]</v>
      </c>
      <c r="H21" s="63">
        <f t="shared" si="1"/>
        <v>9</v>
      </c>
      <c r="I21" s="63">
        <f t="shared" ref="I21" si="65">IFERROR(FIND(",",G21),LEN(G21))</f>
        <v>16</v>
      </c>
      <c r="J21" s="63">
        <f t="shared" ref="J21" si="66">FIND("target:",G21)+7</f>
        <v>51</v>
      </c>
      <c r="K21" s="63">
        <f t="shared" ref="K21" si="67">FIND(",",G21,I21+1)</f>
        <v>23</v>
      </c>
      <c r="L21" s="63" t="str">
        <f>IFERROR(VLOOKUP(MID(G21,J21,K21-J21),[5]skilldef!$C:$D,2,FALSE),"-") &amp; " / " &amp; IFERROR(VLOOKUP(MID(G21,H21,I21-H21),[5]skilldef!$A:$B,2,FALSE),"-")</f>
        <v>- / -</v>
      </c>
      <c r="M21" s="63" t="str">
        <f t="shared" ref="M21" si="68">IFERROR(RIGHT(B21,LEN(B21)-FIND("],",B21)-1),"none")</f>
        <v>none</v>
      </c>
      <c r="N21" s="48" t="str">
        <f>IFERROR(LEFT(M21,FIND("],",M21)+S51),M21)</f>
        <v>none</v>
      </c>
      <c r="O21" s="63" t="e">
        <f t="shared" si="6"/>
        <v>#VALUE!</v>
      </c>
      <c r="P21" s="63">
        <f t="shared" ref="P21" si="69">IFERROR(FIND(",",N21),LEN(N21))</f>
        <v>4</v>
      </c>
      <c r="Q21" s="63" t="e">
        <f t="shared" ref="Q21" si="70">FIND("target:",N21)+7</f>
        <v>#VALUE!</v>
      </c>
      <c r="R21" s="63" t="e">
        <f t="shared" ref="R21" si="71">FIND(",",N21,P21+1)</f>
        <v>#VALUE!</v>
      </c>
      <c r="S21" s="63" t="str">
        <f>IFERROR(VLOOKUP(MID(N21,Q21,R21-Q21),[5]skilldef!$C:$D,2,FALSE),"-") &amp; " / " &amp; IFERROR(VLOOKUP(MID(N21,O21,P21-O21),[5]skilldef!$A:$B,2,FALSE),"-")</f>
        <v>- / -</v>
      </c>
      <c r="T21" s="48" t="str">
        <f t="shared" ref="T21" si="72">IFERROR(RIGHT(M21,LEN(M21)-FIND("],",M21)-1),"none")</f>
        <v>none</v>
      </c>
      <c r="U21" s="63" t="e">
        <f t="shared" si="11"/>
        <v>#VALUE!</v>
      </c>
      <c r="V21" s="63">
        <f t="shared" ref="V21" si="73">IFERROR(FIND(",",T21),LEN(T21))</f>
        <v>4</v>
      </c>
      <c r="W21" s="63" t="e">
        <f t="shared" ref="W21" si="74">FIND("target:",T21)+7</f>
        <v>#VALUE!</v>
      </c>
      <c r="X21" s="63" t="e">
        <f t="shared" ref="X21" si="75">FIND(",",T21,V21+1)</f>
        <v>#VALUE!</v>
      </c>
      <c r="Y21" s="63" t="str">
        <f>IFERROR(VLOOKUP(MID(T21,W21,X21-W21),[5]skilldef!$C:$D,2,FALSE),"-") &amp; " / " &amp; IFERROR(VLOOKUP(MID(T21,U21,V21-U21),[5]skilldef!$A:$B,2,FALSE),"-")</f>
        <v>- / -</v>
      </c>
      <c r="Z21" s="50"/>
      <c r="AA21" s="52"/>
      <c r="AB21" s="50"/>
    </row>
    <row r="22" spans="1:28" ht="21" customHeight="1">
      <c r="A22" s="47">
        <v>11218510</v>
      </c>
      <c r="B22" s="47" t="s">
        <v>224</v>
      </c>
      <c r="C22" s="50">
        <v>3</v>
      </c>
      <c r="D22" s="50" t="s">
        <v>128</v>
      </c>
      <c r="E22" s="51" t="s">
        <v>229</v>
      </c>
      <c r="F22" s="51" t="s">
        <v>257</v>
      </c>
      <c r="G22" s="63" t="str">
        <f t="shared" si="40"/>
        <v>[effect:nothing]</v>
      </c>
      <c r="H22" s="63">
        <f t="shared" si="1"/>
        <v>9</v>
      </c>
      <c r="I22" s="63">
        <f t="shared" si="41"/>
        <v>16</v>
      </c>
      <c r="J22" s="63" t="e">
        <f t="shared" si="42"/>
        <v>#VALUE!</v>
      </c>
      <c r="K22" s="63" t="e">
        <f t="shared" si="43"/>
        <v>#VALUE!</v>
      </c>
      <c r="L22" s="63" t="str">
        <f>IFERROR(VLOOKUP(MID(G22,J22,K22-J22),[5]skilldef!$C:$D,2,FALSE),"-") &amp; " / " &amp; IFERROR(VLOOKUP(MID(G22,H22,I22-H22),[5]skilldef!$A:$B,2,FALSE),"-")</f>
        <v>- / 何もしない</v>
      </c>
      <c r="M22" s="63" t="str">
        <f t="shared" si="44"/>
        <v>none</v>
      </c>
      <c r="N22" s="48" t="str">
        <f>IFERROR(LEFT(M22,FIND("],",M22)+S51),M22)</f>
        <v>none</v>
      </c>
      <c r="O22" s="63" t="e">
        <f t="shared" si="6"/>
        <v>#VALUE!</v>
      </c>
      <c r="P22" s="63">
        <f t="shared" si="45"/>
        <v>4</v>
      </c>
      <c r="Q22" s="63" t="e">
        <f t="shared" si="46"/>
        <v>#VALUE!</v>
      </c>
      <c r="R22" s="63" t="e">
        <f t="shared" si="47"/>
        <v>#VALUE!</v>
      </c>
      <c r="S22" s="63" t="str">
        <f>IFERROR(VLOOKUP(MID(N22,Q22,R22-Q22),[5]skilldef!$C:$D,2,FALSE),"-") &amp; " / " &amp; IFERROR(VLOOKUP(MID(N22,O22,P22-O22),[5]skilldef!$A:$B,2,FALSE),"-")</f>
        <v>- / -</v>
      </c>
      <c r="T22" s="48" t="str">
        <f t="shared" si="48"/>
        <v>none</v>
      </c>
      <c r="U22" s="63" t="e">
        <f t="shared" si="11"/>
        <v>#VALUE!</v>
      </c>
      <c r="V22" s="63">
        <f t="shared" si="49"/>
        <v>4</v>
      </c>
      <c r="W22" s="63" t="e">
        <f t="shared" si="50"/>
        <v>#VALUE!</v>
      </c>
      <c r="X22" s="63" t="e">
        <f t="shared" si="51"/>
        <v>#VALUE!</v>
      </c>
      <c r="Y22" s="63" t="str">
        <f>IFERROR(VLOOKUP(MID(T22,W22,X22-W22),[5]skilldef!$C:$D,2,FALSE),"-") &amp; " / " &amp; IFERROR(VLOOKUP(MID(T22,U22,V22-U22),[5]skilldef!$A:$B,2,FALSE),"-")</f>
        <v>- / -</v>
      </c>
      <c r="Z22" s="50"/>
      <c r="AA22" s="52"/>
      <c r="AB22" s="50"/>
    </row>
    <row r="23" spans="1:28" ht="21" customHeight="1">
      <c r="A23" s="47">
        <v>11218511</v>
      </c>
      <c r="B23" s="47" t="s">
        <v>291</v>
      </c>
      <c r="C23" s="50">
        <v>3</v>
      </c>
      <c r="D23" s="50" t="s">
        <v>128</v>
      </c>
      <c r="E23" s="51" t="s">
        <v>229</v>
      </c>
      <c r="F23" s="51" t="s">
        <v>258</v>
      </c>
      <c r="G23" s="63" t="str">
        <f t="shared" ref="G23" si="76">IFERROR(LEFT(B23,FIND("],",B23)),B23)</f>
        <v>[effect:suicide, val:1, dead_type:suicide, target:enemy_balance, animation:enemy_escape]</v>
      </c>
      <c r="H23" s="63">
        <f t="shared" si="1"/>
        <v>9</v>
      </c>
      <c r="I23" s="63">
        <f t="shared" ref="I23" si="77">IFERROR(FIND(",",G23),LEN(G23))</f>
        <v>16</v>
      </c>
      <c r="J23" s="63">
        <f t="shared" ref="J23" si="78">FIND("target:",G23)+7</f>
        <v>51</v>
      </c>
      <c r="K23" s="63">
        <f t="shared" ref="K23" si="79">FIND(",",G23,I23+1)</f>
        <v>23</v>
      </c>
      <c r="L23" s="63" t="str">
        <f>IFERROR(VLOOKUP(MID(G23,J23,K23-J23),[5]skilldef!$C:$D,2,FALSE),"-") &amp; " / " &amp; IFERROR(VLOOKUP(MID(G23,H23,I23-H23),[5]skilldef!$A:$B,2,FALSE),"-")</f>
        <v>- / -</v>
      </c>
      <c r="M23" s="63" t="str">
        <f t="shared" ref="M23" si="80">IFERROR(RIGHT(B23,LEN(B23)-FIND("],",B23)-1),"none")</f>
        <v>none</v>
      </c>
      <c r="N23" s="48" t="str">
        <f>IFERROR(LEFT(M23,FIND("],",M23)+S52),M23)</f>
        <v>none</v>
      </c>
      <c r="O23" s="63" t="e">
        <f t="shared" si="6"/>
        <v>#VALUE!</v>
      </c>
      <c r="P23" s="63">
        <f t="shared" ref="P23" si="81">IFERROR(FIND(",",N23),LEN(N23))</f>
        <v>4</v>
      </c>
      <c r="Q23" s="63" t="e">
        <f t="shared" ref="Q23" si="82">FIND("target:",N23)+7</f>
        <v>#VALUE!</v>
      </c>
      <c r="R23" s="63" t="e">
        <f t="shared" ref="R23" si="83">FIND(",",N23,P23+1)</f>
        <v>#VALUE!</v>
      </c>
      <c r="S23" s="63" t="str">
        <f>IFERROR(VLOOKUP(MID(N23,Q23,R23-Q23),[5]skilldef!$C:$D,2,FALSE),"-") &amp; " / " &amp; IFERROR(VLOOKUP(MID(N23,O23,P23-O23),[5]skilldef!$A:$B,2,FALSE),"-")</f>
        <v>- / -</v>
      </c>
      <c r="T23" s="48" t="str">
        <f t="shared" ref="T23" si="84">IFERROR(RIGHT(M23,LEN(M23)-FIND("],",M23)-1),"none")</f>
        <v>none</v>
      </c>
      <c r="U23" s="63" t="e">
        <f t="shared" si="11"/>
        <v>#VALUE!</v>
      </c>
      <c r="V23" s="63">
        <f t="shared" ref="V23" si="85">IFERROR(FIND(",",T23),LEN(T23))</f>
        <v>4</v>
      </c>
      <c r="W23" s="63" t="e">
        <f t="shared" ref="W23" si="86">FIND("target:",T23)+7</f>
        <v>#VALUE!</v>
      </c>
      <c r="X23" s="63" t="e">
        <f t="shared" ref="X23" si="87">FIND(",",T23,V23+1)</f>
        <v>#VALUE!</v>
      </c>
      <c r="Y23" s="63" t="str">
        <f>IFERROR(VLOOKUP(MID(T23,W23,X23-W23),[5]skilldef!$C:$D,2,FALSE),"-") &amp; " / " &amp; IFERROR(VLOOKUP(MID(T23,U23,V23-U23),[5]skilldef!$A:$B,2,FALSE),"-")</f>
        <v>- / -</v>
      </c>
      <c r="Z23" s="50"/>
      <c r="AA23" s="52"/>
      <c r="AB23" s="50"/>
    </row>
    <row r="24" spans="1:28" ht="21" customHeight="1">
      <c r="A24" s="47">
        <v>11218512</v>
      </c>
      <c r="B24" s="47" t="s">
        <v>266</v>
      </c>
      <c r="C24" s="50">
        <v>3</v>
      </c>
      <c r="D24" s="50" t="s">
        <v>128</v>
      </c>
      <c r="E24" s="51" t="s">
        <v>229</v>
      </c>
      <c r="F24" s="51" t="s">
        <v>265</v>
      </c>
      <c r="G24" s="63" t="str">
        <f t="shared" si="0"/>
        <v>[effect:suicide, val:1, dead_type:escape, target:myself, animation:enemy_escape]</v>
      </c>
      <c r="H24" s="63">
        <f t="shared" si="1"/>
        <v>9</v>
      </c>
      <c r="I24" s="63">
        <f t="shared" si="2"/>
        <v>16</v>
      </c>
      <c r="J24" s="63">
        <f t="shared" si="3"/>
        <v>50</v>
      </c>
      <c r="K24" s="63">
        <f t="shared" si="4"/>
        <v>23</v>
      </c>
      <c r="L24" s="63" t="str">
        <f>IFERROR(VLOOKUP(MID(G24,J24,K24-J24),[5]skilldef!$C:$D,2,FALSE),"-") &amp; " / " &amp; IFERROR(VLOOKUP(MID(G24,H24,I24-H24),[5]skilldef!$A:$B,2,FALSE),"-")</f>
        <v>- / -</v>
      </c>
      <c r="M24" s="63" t="str">
        <f t="shared" si="5"/>
        <v>none</v>
      </c>
      <c r="N24" s="48" t="str">
        <f>IFERROR(LEFT(M24,FIND("],",M24)+S53),M24)</f>
        <v>none</v>
      </c>
      <c r="O24" s="63" t="e">
        <f t="shared" si="6"/>
        <v>#VALUE!</v>
      </c>
      <c r="P24" s="63">
        <f t="shared" si="7"/>
        <v>4</v>
      </c>
      <c r="Q24" s="63" t="e">
        <f t="shared" si="8"/>
        <v>#VALUE!</v>
      </c>
      <c r="R24" s="63" t="e">
        <f t="shared" si="9"/>
        <v>#VALUE!</v>
      </c>
      <c r="S24" s="63" t="str">
        <f>IFERROR(VLOOKUP(MID(N24,Q24,R24-Q24),[5]skilldef!$C:$D,2,FALSE),"-") &amp; " / " &amp; IFERROR(VLOOKUP(MID(N24,O24,P24-O24),[5]skilldef!$A:$B,2,FALSE),"-")</f>
        <v>- / -</v>
      </c>
      <c r="T24" s="48" t="str">
        <f t="shared" si="10"/>
        <v>none</v>
      </c>
      <c r="U24" s="63" t="e">
        <f t="shared" si="11"/>
        <v>#VALUE!</v>
      </c>
      <c r="V24" s="63">
        <f t="shared" si="12"/>
        <v>4</v>
      </c>
      <c r="W24" s="63" t="e">
        <f t="shared" si="13"/>
        <v>#VALUE!</v>
      </c>
      <c r="X24" s="63" t="e">
        <f t="shared" si="14"/>
        <v>#VALUE!</v>
      </c>
      <c r="Y24" s="63" t="str">
        <f>IFERROR(VLOOKUP(MID(T24,W24,X24-W24),[5]skilldef!$C:$D,2,FALSE),"-") &amp; " / " &amp; IFERROR(VLOOKUP(MID(T24,U24,V24-U24),[5]skilldef!$A:$B,2,FALSE),"-")</f>
        <v>- / -</v>
      </c>
      <c r="Z24" s="50"/>
      <c r="AA24" s="52"/>
      <c r="AB24" s="50"/>
    </row>
    <row r="25" spans="1:28" ht="21" customHeight="1">
      <c r="A25" s="47">
        <v>11218520</v>
      </c>
      <c r="B25" s="47" t="s">
        <v>277</v>
      </c>
      <c r="C25" s="50">
        <v>3</v>
      </c>
      <c r="D25" s="50" t="s">
        <v>128</v>
      </c>
      <c r="E25" s="51" t="s">
        <v>229</v>
      </c>
      <c r="F25" s="51" t="s">
        <v>230</v>
      </c>
      <c r="G25" s="63" t="str">
        <f t="shared" si="0"/>
        <v>[effect:fix_speed, target:enemy_all, turn:1][effect:force_change_block, new_block:block_heart, target:block_all, count:0, val:0][effect:suicide, val:0.7, dead_type:escape, target:myself][effect:enhance_enemy, target:myself, turn:-1, status:defense, val:1, calc:mul, animation:enemy_enhance_defense]</v>
      </c>
      <c r="H25" s="63">
        <f t="shared" si="1"/>
        <v>9</v>
      </c>
      <c r="I25" s="63">
        <f t="shared" si="2"/>
        <v>18</v>
      </c>
      <c r="J25" s="63">
        <f t="shared" si="3"/>
        <v>27</v>
      </c>
      <c r="K25" s="63">
        <f t="shared" si="4"/>
        <v>36</v>
      </c>
      <c r="L25" s="63" t="str">
        <f>IFERROR(VLOOKUP(MID(G25,J25,K25-J25),[5]skilldef!$C:$D,2,FALSE),"-") &amp; " / " &amp; IFERROR(VLOOKUP(MID(G25,H25,I25-H25),[5]skilldef!$A:$B,2,FALSE),"-")</f>
        <v>敵全体に / 行動値設定</v>
      </c>
      <c r="M25" s="63" t="str">
        <f t="shared" si="5"/>
        <v>none</v>
      </c>
      <c r="N25" s="48" t="str">
        <f>IFERROR(LEFT(M25,FIND("],",M25)+S54),M25)</f>
        <v>none</v>
      </c>
      <c r="O25" s="63" t="e">
        <f t="shared" si="6"/>
        <v>#VALUE!</v>
      </c>
      <c r="P25" s="63">
        <f t="shared" si="7"/>
        <v>4</v>
      </c>
      <c r="Q25" s="63" t="e">
        <f t="shared" si="8"/>
        <v>#VALUE!</v>
      </c>
      <c r="R25" s="63" t="e">
        <f t="shared" si="9"/>
        <v>#VALUE!</v>
      </c>
      <c r="S25" s="63" t="str">
        <f>IFERROR(VLOOKUP(MID(N25,Q25,R25-Q25),[5]skilldef!$C:$D,2,FALSE),"-") &amp; " / " &amp; IFERROR(VLOOKUP(MID(N25,O25,P25-O25),[5]skilldef!$A:$B,2,FALSE),"-")</f>
        <v>- / -</v>
      </c>
      <c r="T25" s="48" t="str">
        <f t="shared" si="10"/>
        <v>none</v>
      </c>
      <c r="U25" s="63" t="e">
        <f t="shared" si="11"/>
        <v>#VALUE!</v>
      </c>
      <c r="V25" s="63">
        <f t="shared" si="12"/>
        <v>4</v>
      </c>
      <c r="W25" s="63" t="e">
        <f t="shared" si="13"/>
        <v>#VALUE!</v>
      </c>
      <c r="X25" s="63" t="e">
        <f t="shared" si="14"/>
        <v>#VALUE!</v>
      </c>
      <c r="Y25" s="63" t="str">
        <f>IFERROR(VLOOKUP(MID(T25,W25,X25-W25),[5]skilldef!$C:$D,2,FALSE),"-") &amp; " / " &amp; IFERROR(VLOOKUP(MID(T25,U25,V25-U25),[5]skilldef!$A:$B,2,FALSE),"-")</f>
        <v>- / -</v>
      </c>
      <c r="Z25" s="50"/>
      <c r="AA25" s="52"/>
      <c r="AB25" s="50"/>
    </row>
    <row r="26" spans="1:28" ht="21" customHeight="1">
      <c r="A26" s="47">
        <v>11218521</v>
      </c>
      <c r="B26" s="47" t="s">
        <v>267</v>
      </c>
      <c r="C26" s="50">
        <v>3</v>
      </c>
      <c r="D26" s="50" t="s">
        <v>128</v>
      </c>
      <c r="E26" s="51" t="s">
        <v>241</v>
      </c>
      <c r="F26" s="51" t="s">
        <v>268</v>
      </c>
      <c r="G26" s="63" t="str">
        <f t="shared" si="0"/>
        <v>[effect:force_change_block, new_block:block_heart, target:block_all, count:0, val:0]</v>
      </c>
      <c r="H26" s="63">
        <f t="shared" si="1"/>
        <v>9</v>
      </c>
      <c r="I26" s="63">
        <f t="shared" si="2"/>
        <v>27</v>
      </c>
      <c r="J26" s="63">
        <f t="shared" si="3"/>
        <v>59</v>
      </c>
      <c r="K26" s="63">
        <f t="shared" si="4"/>
        <v>50</v>
      </c>
      <c r="L26" s="63" t="str">
        <f>IFERROR(VLOOKUP(MID(G26,J26,K26-J26),[5]skilldef!$C:$D,2,FALSE),"-") &amp; " / " &amp; IFERROR(VLOOKUP(MID(G26,H26,I26-H26),[5]skilldef!$A:$B,2,FALSE),"-")</f>
        <v>- / -</v>
      </c>
      <c r="M26" s="63" t="str">
        <f t="shared" si="5"/>
        <v>none</v>
      </c>
      <c r="N26" s="48" t="str">
        <f>IFERROR(LEFT(M26,FIND("],",M26)+S55),M26)</f>
        <v>none</v>
      </c>
      <c r="O26" s="63" t="e">
        <f t="shared" si="6"/>
        <v>#VALUE!</v>
      </c>
      <c r="P26" s="63">
        <f t="shared" si="7"/>
        <v>4</v>
      </c>
      <c r="Q26" s="63" t="e">
        <f t="shared" si="8"/>
        <v>#VALUE!</v>
      </c>
      <c r="R26" s="63" t="e">
        <f t="shared" si="9"/>
        <v>#VALUE!</v>
      </c>
      <c r="S26" s="63" t="str">
        <f>IFERROR(VLOOKUP(MID(N26,Q26,R26-Q26),[5]skilldef!$C:$D,2,FALSE),"-") &amp; " / " &amp; IFERROR(VLOOKUP(MID(N26,O26,P26-O26),[5]skilldef!$A:$B,2,FALSE),"-")</f>
        <v>- / -</v>
      </c>
      <c r="T26" s="48" t="str">
        <f t="shared" si="10"/>
        <v>none</v>
      </c>
      <c r="U26" s="63" t="e">
        <f t="shared" si="11"/>
        <v>#VALUE!</v>
      </c>
      <c r="V26" s="63">
        <f t="shared" si="12"/>
        <v>4</v>
      </c>
      <c r="W26" s="63" t="e">
        <f t="shared" si="13"/>
        <v>#VALUE!</v>
      </c>
      <c r="X26" s="63" t="e">
        <f t="shared" si="14"/>
        <v>#VALUE!</v>
      </c>
      <c r="Y26" s="63" t="str">
        <f>IFERROR(VLOOKUP(MID(T26,W26,X26-W26),[5]skilldef!$C:$D,2,FALSE),"-") &amp; " / " &amp; IFERROR(VLOOKUP(MID(T26,U26,V26-U26),[5]skilldef!$A:$B,2,FALSE),"-")</f>
        <v>- / -</v>
      </c>
      <c r="Z26" s="50"/>
      <c r="AA26" s="52"/>
      <c r="AB26" s="50"/>
    </row>
    <row r="27" spans="1:28" ht="21" customHeight="1">
      <c r="A27" s="47">
        <v>11218522</v>
      </c>
      <c r="B27" s="47" t="s">
        <v>278</v>
      </c>
      <c r="C27" s="50">
        <v>3</v>
      </c>
      <c r="D27" s="50" t="s">
        <v>128</v>
      </c>
      <c r="E27" s="51" t="s">
        <v>295</v>
      </c>
      <c r="F27" s="51" t="s">
        <v>242</v>
      </c>
      <c r="G27" s="63" t="str">
        <f t="shared" si="0"/>
        <v>[effect:suicide, val:1, dead_type:suicide, target:enemy_all]</v>
      </c>
      <c r="H27" s="63">
        <f t="shared" si="1"/>
        <v>9</v>
      </c>
      <c r="I27" s="63">
        <f t="shared" si="2"/>
        <v>16</v>
      </c>
      <c r="J27" s="63">
        <f t="shared" si="3"/>
        <v>51</v>
      </c>
      <c r="K27" s="63">
        <f t="shared" si="4"/>
        <v>23</v>
      </c>
      <c r="L27" s="63" t="str">
        <f>IFERROR(VLOOKUP(MID(G27,J27,K27-J27),[5]skilldef!$C:$D,2,FALSE),"-") &amp; " / " &amp; IFERROR(VLOOKUP(MID(G27,H27,I27-H27),[5]skilldef!$A:$B,2,FALSE),"-")</f>
        <v>- / -</v>
      </c>
      <c r="M27" s="63" t="str">
        <f t="shared" si="5"/>
        <v>none</v>
      </c>
      <c r="N27" s="48" t="str">
        <f>IFERROR(LEFT(M27,FIND("],",M27)+S54),M27)</f>
        <v>none</v>
      </c>
      <c r="O27" s="63" t="e">
        <f t="shared" si="6"/>
        <v>#VALUE!</v>
      </c>
      <c r="P27" s="63">
        <f t="shared" si="7"/>
        <v>4</v>
      </c>
      <c r="Q27" s="63" t="e">
        <f t="shared" si="8"/>
        <v>#VALUE!</v>
      </c>
      <c r="R27" s="63" t="e">
        <f t="shared" si="9"/>
        <v>#VALUE!</v>
      </c>
      <c r="S27" s="63" t="str">
        <f>IFERROR(VLOOKUP(MID(N27,Q27,R27-Q27),[5]skilldef!$C:$D,2,FALSE),"-") &amp; " / " &amp; IFERROR(VLOOKUP(MID(N27,O27,P27-O27),[5]skilldef!$A:$B,2,FALSE),"-")</f>
        <v>- / -</v>
      </c>
      <c r="T27" s="48" t="str">
        <f t="shared" si="10"/>
        <v>none</v>
      </c>
      <c r="U27" s="63" t="e">
        <f t="shared" si="11"/>
        <v>#VALUE!</v>
      </c>
      <c r="V27" s="63">
        <f t="shared" si="12"/>
        <v>4</v>
      </c>
      <c r="W27" s="63" t="e">
        <f t="shared" si="13"/>
        <v>#VALUE!</v>
      </c>
      <c r="X27" s="63" t="e">
        <f t="shared" si="14"/>
        <v>#VALUE!</v>
      </c>
      <c r="Y27" s="63" t="str">
        <f>IFERROR(VLOOKUP(MID(T27,W27,X27-W27),[5]skilldef!$C:$D,2,FALSE),"-") &amp; " / " &amp; IFERROR(VLOOKUP(MID(T27,U27,V27-U27),[5]skilldef!$A:$B,2,FALSE),"-")</f>
        <v>- / -</v>
      </c>
      <c r="Z27" s="50"/>
      <c r="AA27" s="52"/>
      <c r="AB27" s="50"/>
    </row>
  </sheetData>
  <autoFilter ref="A1:AB1"/>
  <phoneticPr fontId="5"/>
  <pageMargins left="0.75" right="0.75" top="1" bottom="1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zoomScale="75" zoomScaleNormal="75" zoomScalePageLayoutView="75" workbookViewId="0">
      <pane ySplit="1" topLeftCell="A2" activePane="bottomLeft" state="frozenSplit"/>
      <selection pane="bottomLeft" activeCell="G8" sqref="G8"/>
    </sheetView>
  </sheetViews>
  <sheetFormatPr baseColWidth="12" defaultColWidth="12.83203125" defaultRowHeight="21" customHeight="1" x14ac:dyDescent="0"/>
  <cols>
    <col min="1" max="1" width="16.1640625" style="49" bestFit="1" customWidth="1"/>
    <col min="2" max="2" width="13.33203125" style="49" bestFit="1" customWidth="1"/>
    <col min="3" max="3" width="11.83203125" style="49" bestFit="1" customWidth="1"/>
    <col min="4" max="4" width="14.6640625" style="49" bestFit="1" customWidth="1"/>
    <col min="5" max="5" width="15.6640625" style="49" bestFit="1" customWidth="1"/>
    <col min="6" max="6" width="17" style="49" bestFit="1" customWidth="1"/>
    <col min="7" max="7" width="15.6640625" style="49" bestFit="1" customWidth="1"/>
    <col min="8" max="9" width="14.6640625" style="49" customWidth="1"/>
    <col min="10" max="10" width="14.6640625" style="49" bestFit="1" customWidth="1"/>
    <col min="11" max="11" width="22.83203125" style="39" bestFit="1" customWidth="1"/>
    <col min="12" max="16384" width="12.83203125" style="45"/>
  </cols>
  <sheetData>
    <row r="1" spans="1:11" ht="21" customHeight="1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3" t="s">
        <v>71</v>
      </c>
      <c r="G1" s="53" t="s">
        <v>72</v>
      </c>
      <c r="H1" s="42" t="s">
        <v>73</v>
      </c>
      <c r="I1" s="42" t="s">
        <v>74</v>
      </c>
      <c r="J1" s="42" t="s">
        <v>75</v>
      </c>
      <c r="K1" s="54" t="s">
        <v>88</v>
      </c>
    </row>
    <row r="2" spans="1:11" ht="21" customHeight="1">
      <c r="A2" s="47">
        <v>11218000</v>
      </c>
      <c r="B2" s="47">
        <v>1</v>
      </c>
      <c r="C2" s="47" t="s">
        <v>89</v>
      </c>
      <c r="D2" s="47">
        <v>100</v>
      </c>
      <c r="E2" s="47" t="s">
        <v>185</v>
      </c>
      <c r="F2" s="47" t="s">
        <v>90</v>
      </c>
      <c r="G2" s="47">
        <v>1</v>
      </c>
      <c r="H2" s="47" t="s">
        <v>90</v>
      </c>
      <c r="I2" s="47" t="s">
        <v>90</v>
      </c>
      <c r="J2" s="48">
        <f t="shared" ref="J2" si="0">D2</f>
        <v>100</v>
      </c>
    </row>
    <row r="3" spans="1:11" ht="21" customHeight="1">
      <c r="A3" s="47">
        <v>11218210</v>
      </c>
      <c r="B3" s="47">
        <v>1</v>
      </c>
      <c r="C3" s="47">
        <v>2</v>
      </c>
      <c r="D3" s="47">
        <v>100</v>
      </c>
      <c r="E3" s="47" t="s">
        <v>185</v>
      </c>
      <c r="F3" s="47" t="s">
        <v>53</v>
      </c>
      <c r="G3" s="47">
        <v>1</v>
      </c>
      <c r="H3" s="47" t="s">
        <v>53</v>
      </c>
      <c r="I3" s="47" t="s">
        <v>53</v>
      </c>
      <c r="J3" s="48">
        <f t="shared" ref="J3:J4" si="1">D3</f>
        <v>100</v>
      </c>
    </row>
    <row r="4" spans="1:11" ht="21" customHeight="1">
      <c r="A4" s="47">
        <v>11218211</v>
      </c>
      <c r="B4" s="47">
        <v>0</v>
      </c>
      <c r="C4" s="47">
        <v>1</v>
      </c>
      <c r="D4" s="47">
        <v>100</v>
      </c>
      <c r="E4" s="47" t="s">
        <v>185</v>
      </c>
      <c r="F4" s="47" t="s">
        <v>53</v>
      </c>
      <c r="G4" s="47">
        <v>1</v>
      </c>
      <c r="H4" s="47" t="s">
        <v>53</v>
      </c>
      <c r="I4" s="47" t="s">
        <v>53</v>
      </c>
      <c r="J4" s="48">
        <f t="shared" si="1"/>
        <v>100</v>
      </c>
    </row>
    <row r="5" spans="1:11" ht="21" customHeight="1">
      <c r="A5" s="47">
        <v>11218220</v>
      </c>
      <c r="B5" s="47">
        <v>0</v>
      </c>
      <c r="C5" s="47" t="s">
        <v>253</v>
      </c>
      <c r="D5" s="47">
        <v>100</v>
      </c>
      <c r="E5" s="47" t="s">
        <v>185</v>
      </c>
      <c r="F5" s="47" t="s">
        <v>53</v>
      </c>
      <c r="G5" s="47">
        <v>1</v>
      </c>
      <c r="H5" s="47" t="s">
        <v>53</v>
      </c>
      <c r="I5" s="47">
        <v>55</v>
      </c>
      <c r="J5" s="48">
        <f t="shared" ref="J5" si="2">D5</f>
        <v>100</v>
      </c>
    </row>
    <row r="6" spans="1:11" ht="21" customHeight="1">
      <c r="A6" s="47">
        <v>11218300</v>
      </c>
      <c r="B6" s="47">
        <v>1</v>
      </c>
      <c r="C6" s="47">
        <v>4</v>
      </c>
      <c r="D6" s="47">
        <v>100</v>
      </c>
      <c r="E6" s="47" t="s">
        <v>185</v>
      </c>
      <c r="F6" s="47" t="s">
        <v>53</v>
      </c>
      <c r="G6" s="47">
        <v>1</v>
      </c>
      <c r="H6" s="47" t="s">
        <v>53</v>
      </c>
      <c r="I6" s="47" t="s">
        <v>53</v>
      </c>
      <c r="J6" s="48">
        <f t="shared" ref="J6:J11" si="3">D6</f>
        <v>100</v>
      </c>
    </row>
    <row r="7" spans="1:11" ht="21" customHeight="1">
      <c r="A7" s="47">
        <v>11218301</v>
      </c>
      <c r="B7" s="47">
        <v>0</v>
      </c>
      <c r="C7" s="47">
        <v>3</v>
      </c>
      <c r="D7" s="47">
        <v>100</v>
      </c>
      <c r="E7" s="47" t="s">
        <v>185</v>
      </c>
      <c r="F7" s="47" t="s">
        <v>53</v>
      </c>
      <c r="G7" s="47">
        <v>1</v>
      </c>
      <c r="H7" s="47" t="s">
        <v>53</v>
      </c>
      <c r="I7" s="47">
        <v>55</v>
      </c>
      <c r="J7" s="48">
        <f t="shared" si="3"/>
        <v>100</v>
      </c>
    </row>
    <row r="8" spans="1:11" ht="21" customHeight="1">
      <c r="A8" s="47">
        <v>11218302</v>
      </c>
      <c r="B8" s="47">
        <v>0</v>
      </c>
      <c r="C8" s="47">
        <v>2</v>
      </c>
      <c r="D8" s="47">
        <v>100</v>
      </c>
      <c r="E8" s="47" t="s">
        <v>185</v>
      </c>
      <c r="F8" s="47" t="s">
        <v>53</v>
      </c>
      <c r="G8" s="47" t="s">
        <v>234</v>
      </c>
      <c r="H8" s="47">
        <v>3</v>
      </c>
      <c r="I8" s="47" t="s">
        <v>184</v>
      </c>
      <c r="J8" s="48">
        <f t="shared" si="3"/>
        <v>100</v>
      </c>
    </row>
    <row r="9" spans="1:11" ht="21" customHeight="1">
      <c r="A9" s="47">
        <v>11218303</v>
      </c>
      <c r="B9" s="47">
        <v>0</v>
      </c>
      <c r="C9" s="47">
        <v>1</v>
      </c>
      <c r="D9" s="47">
        <v>100</v>
      </c>
      <c r="E9" s="47" t="s">
        <v>185</v>
      </c>
      <c r="F9" s="47" t="s">
        <v>53</v>
      </c>
      <c r="G9" s="47" t="s">
        <v>53</v>
      </c>
      <c r="H9" s="47" t="s">
        <v>53</v>
      </c>
      <c r="I9" s="47" t="s">
        <v>53</v>
      </c>
      <c r="J9" s="48">
        <f t="shared" ref="J9" si="4">D9</f>
        <v>100</v>
      </c>
    </row>
    <row r="10" spans="1:11" ht="21" customHeight="1">
      <c r="A10" s="47">
        <v>11218310</v>
      </c>
      <c r="B10" s="47">
        <v>0</v>
      </c>
      <c r="C10" s="47" t="s">
        <v>184</v>
      </c>
      <c r="D10" s="47">
        <v>100</v>
      </c>
      <c r="E10" s="47" t="s">
        <v>185</v>
      </c>
      <c r="F10" s="47" t="s">
        <v>53</v>
      </c>
      <c r="G10" s="47">
        <v>1</v>
      </c>
      <c r="H10" s="47" t="s">
        <v>53</v>
      </c>
      <c r="I10" s="47" t="s">
        <v>53</v>
      </c>
      <c r="J10" s="48">
        <f t="shared" ref="J10" si="5">D10</f>
        <v>100</v>
      </c>
    </row>
    <row r="11" spans="1:11" ht="21" customHeight="1">
      <c r="A11" s="47">
        <v>11218420</v>
      </c>
      <c r="B11" s="47">
        <v>0</v>
      </c>
      <c r="C11" s="47">
        <v>2</v>
      </c>
      <c r="D11" s="47">
        <v>100</v>
      </c>
      <c r="E11" s="47" t="s">
        <v>185</v>
      </c>
      <c r="F11" s="47" t="s">
        <v>53</v>
      </c>
      <c r="G11" s="47">
        <v>1</v>
      </c>
      <c r="H11" s="47" t="s">
        <v>53</v>
      </c>
      <c r="I11" s="47" t="s">
        <v>53</v>
      </c>
      <c r="J11" s="48">
        <f t="shared" si="3"/>
        <v>100</v>
      </c>
    </row>
    <row r="12" spans="1:11" ht="21" customHeight="1">
      <c r="A12" s="47">
        <v>11218421</v>
      </c>
      <c r="B12" s="47">
        <v>0</v>
      </c>
      <c r="C12" s="47">
        <v>1</v>
      </c>
      <c r="D12" s="47">
        <v>100</v>
      </c>
      <c r="E12" s="47" t="s">
        <v>185</v>
      </c>
      <c r="F12" s="47" t="s">
        <v>53</v>
      </c>
      <c r="G12" s="47">
        <v>1</v>
      </c>
      <c r="H12" s="47" t="s">
        <v>53</v>
      </c>
      <c r="I12" s="47">
        <v>55</v>
      </c>
      <c r="J12" s="48">
        <f t="shared" ref="J12:J13" si="6">D12</f>
        <v>100</v>
      </c>
    </row>
    <row r="13" spans="1:11" ht="21" customHeight="1">
      <c r="A13" s="47">
        <v>11218500</v>
      </c>
      <c r="B13" s="47">
        <v>1</v>
      </c>
      <c r="C13" s="47">
        <v>2</v>
      </c>
      <c r="D13" s="47">
        <v>100</v>
      </c>
      <c r="E13" s="47" t="s">
        <v>185</v>
      </c>
      <c r="F13" s="47" t="s">
        <v>53</v>
      </c>
      <c r="G13" s="47">
        <v>1</v>
      </c>
      <c r="H13" s="47" t="s">
        <v>53</v>
      </c>
      <c r="I13" s="47" t="s">
        <v>53</v>
      </c>
      <c r="J13" s="48">
        <f t="shared" si="6"/>
        <v>100</v>
      </c>
    </row>
    <row r="14" spans="1:11" ht="21" customHeight="1">
      <c r="A14" s="47">
        <v>11218501</v>
      </c>
      <c r="B14" s="47">
        <v>0</v>
      </c>
      <c r="C14" s="47">
        <v>1</v>
      </c>
      <c r="D14" s="47">
        <v>100</v>
      </c>
      <c r="E14" s="47" t="s">
        <v>185</v>
      </c>
      <c r="F14" s="47" t="s">
        <v>53</v>
      </c>
      <c r="G14" s="47" t="s">
        <v>235</v>
      </c>
      <c r="H14" s="47" t="s">
        <v>53</v>
      </c>
      <c r="I14" s="47" t="s">
        <v>53</v>
      </c>
      <c r="J14" s="48">
        <f t="shared" ref="J14:J15" si="7">D14</f>
        <v>100</v>
      </c>
    </row>
    <row r="15" spans="1:11" ht="21" customHeight="1">
      <c r="A15" s="47">
        <v>11218510</v>
      </c>
      <c r="B15" s="47">
        <v>1</v>
      </c>
      <c r="C15" s="47">
        <v>3</v>
      </c>
      <c r="D15" s="47">
        <v>100</v>
      </c>
      <c r="E15" s="47" t="s">
        <v>185</v>
      </c>
      <c r="F15" s="47" t="s">
        <v>53</v>
      </c>
      <c r="G15" s="47">
        <v>1</v>
      </c>
      <c r="H15" s="47" t="s">
        <v>53</v>
      </c>
      <c r="I15" s="47" t="s">
        <v>53</v>
      </c>
      <c r="J15" s="48">
        <f t="shared" si="7"/>
        <v>100</v>
      </c>
    </row>
    <row r="16" spans="1:11" ht="21" customHeight="1">
      <c r="A16" s="47">
        <v>11218511</v>
      </c>
      <c r="B16" s="47">
        <v>0</v>
      </c>
      <c r="C16" s="47">
        <v>2</v>
      </c>
      <c r="D16" s="47">
        <v>100</v>
      </c>
      <c r="E16" s="47" t="s">
        <v>185</v>
      </c>
      <c r="F16" s="47" t="s">
        <v>53</v>
      </c>
      <c r="G16" s="47">
        <v>1</v>
      </c>
      <c r="H16" s="47" t="s">
        <v>53</v>
      </c>
      <c r="I16" s="47" t="s">
        <v>53</v>
      </c>
      <c r="J16" s="48">
        <f t="shared" ref="J16" si="8">D16</f>
        <v>100</v>
      </c>
    </row>
    <row r="17" spans="1:10" ht="21" customHeight="1">
      <c r="A17" s="47">
        <v>11218512</v>
      </c>
      <c r="B17" s="47">
        <v>0</v>
      </c>
      <c r="C17" s="47">
        <v>1</v>
      </c>
      <c r="D17" s="47">
        <v>100</v>
      </c>
      <c r="E17" s="47" t="s">
        <v>185</v>
      </c>
      <c r="F17" s="47" t="s">
        <v>53</v>
      </c>
      <c r="G17" s="47" t="s">
        <v>275</v>
      </c>
      <c r="H17" s="47" t="s">
        <v>53</v>
      </c>
      <c r="I17" s="20" t="s">
        <v>274</v>
      </c>
      <c r="J17" s="48">
        <f t="shared" ref="J17" si="9">D17</f>
        <v>100</v>
      </c>
    </row>
  </sheetData>
  <autoFilter ref="A1:G1"/>
  <phoneticPr fontId="5"/>
  <conditionalFormatting sqref="K18:K1048576 K1:K2">
    <cfRule type="duplicateValues" dxfId="15" priority="17"/>
  </conditionalFormatting>
  <conditionalFormatting sqref="K3">
    <cfRule type="duplicateValues" dxfId="14" priority="16"/>
  </conditionalFormatting>
  <conditionalFormatting sqref="K4">
    <cfRule type="duplicateValues" dxfId="13" priority="15"/>
  </conditionalFormatting>
  <conditionalFormatting sqref="K6">
    <cfRule type="duplicateValues" dxfId="12" priority="14"/>
  </conditionalFormatting>
  <conditionalFormatting sqref="K7">
    <cfRule type="duplicateValues" dxfId="11" priority="13"/>
  </conditionalFormatting>
  <conditionalFormatting sqref="K8">
    <cfRule type="duplicateValues" dxfId="10" priority="12"/>
  </conditionalFormatting>
  <conditionalFormatting sqref="K11">
    <cfRule type="duplicateValues" dxfId="9" priority="11"/>
  </conditionalFormatting>
  <conditionalFormatting sqref="K12">
    <cfRule type="duplicateValues" dxfId="8" priority="10"/>
  </conditionalFormatting>
  <conditionalFormatting sqref="K13">
    <cfRule type="duplicateValues" dxfId="7" priority="9"/>
  </conditionalFormatting>
  <conditionalFormatting sqref="K14">
    <cfRule type="duplicateValues" dxfId="6" priority="8"/>
  </conditionalFormatting>
  <conditionalFormatting sqref="K10">
    <cfRule type="duplicateValues" dxfId="5" priority="7"/>
  </conditionalFormatting>
  <conditionalFormatting sqref="K15">
    <cfRule type="duplicateValues" dxfId="4" priority="5"/>
  </conditionalFormatting>
  <conditionalFormatting sqref="K16">
    <cfRule type="duplicateValues" dxfId="3" priority="4"/>
  </conditionalFormatting>
  <conditionalFormatting sqref="K17">
    <cfRule type="duplicateValues" dxfId="2" priority="3"/>
  </conditionalFormatting>
  <conditionalFormatting sqref="K5">
    <cfRule type="duplicateValues" dxfId="1" priority="2"/>
  </conditionalFormatting>
  <conditionalFormatting sqref="K9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5"/>
  <sheetViews>
    <sheetView workbookViewId="0">
      <selection activeCell="D2" sqref="D2"/>
    </sheetView>
  </sheetViews>
  <sheetFormatPr baseColWidth="12" defaultRowHeight="18" x14ac:dyDescent="0"/>
  <cols>
    <col min="17" max="18" width="19" bestFit="1" customWidth="1"/>
  </cols>
  <sheetData>
    <row r="1" spans="1:18">
      <c r="A1" s="64" t="s">
        <v>151</v>
      </c>
      <c r="B1" s="64" t="s">
        <v>152</v>
      </c>
      <c r="C1" s="65" t="s">
        <v>153</v>
      </c>
      <c r="D1" s="72" t="s">
        <v>154</v>
      </c>
      <c r="E1" s="66" t="s">
        <v>155</v>
      </c>
      <c r="F1" s="64" t="s">
        <v>156</v>
      </c>
      <c r="G1" s="64" t="s">
        <v>157</v>
      </c>
      <c r="H1" s="64" t="s">
        <v>158</v>
      </c>
      <c r="I1" s="64" t="s">
        <v>159</v>
      </c>
      <c r="J1" s="64" t="s">
        <v>160</v>
      </c>
      <c r="K1" s="64" t="s">
        <v>161</v>
      </c>
      <c r="L1" s="64" t="s">
        <v>162</v>
      </c>
      <c r="M1" s="64" t="s">
        <v>163</v>
      </c>
      <c r="N1" s="64" t="s">
        <v>164</v>
      </c>
      <c r="O1" s="64" t="s">
        <v>165</v>
      </c>
      <c r="P1" s="64" t="s">
        <v>166</v>
      </c>
      <c r="Q1" s="64" t="s">
        <v>167</v>
      </c>
      <c r="R1" s="64" t="s">
        <v>168</v>
      </c>
    </row>
    <row r="2" spans="1:18">
      <c r="A2" s="57">
        <f>floors!C2</f>
        <v>11218</v>
      </c>
      <c r="B2" s="57">
        <v>1</v>
      </c>
      <c r="C2" s="71" t="str">
        <f>A2&amp; "_"&amp;B2</f>
        <v>11218_1</v>
      </c>
      <c r="D2" s="11" t="str">
        <f ca="1">VLOOKUP($C2,OFFSET([2]stages!$A$1,0,0,COUNTA([2]stages!$A:$A),MATCH(D$1,[2]stages!$2:$2,0)-MATCH($C$1,[2]stages!$2:$2,0)+1),MATCH(D$1,[2]stages!$2:$2,0)-MATCH($C$1,[2]stages!$2:$2,0)+1,FALSE)</f>
        <v>singleonly</v>
      </c>
      <c r="E2" s="57">
        <v>1</v>
      </c>
      <c r="F2" s="57" t="s">
        <v>169</v>
      </c>
      <c r="G2" s="57">
        <v>1000</v>
      </c>
      <c r="H2" s="57" t="s">
        <v>170</v>
      </c>
      <c r="I2" s="57" t="s">
        <v>170</v>
      </c>
      <c r="J2" s="57" t="s">
        <v>170</v>
      </c>
      <c r="K2" s="57" t="s">
        <v>170</v>
      </c>
      <c r="L2" s="57" t="s">
        <v>170</v>
      </c>
      <c r="M2" s="57" t="s">
        <v>170</v>
      </c>
      <c r="N2" s="57" t="s">
        <v>170</v>
      </c>
      <c r="O2" s="57" t="s">
        <v>170</v>
      </c>
      <c r="P2" s="57">
        <v>100</v>
      </c>
      <c r="Q2" s="57" t="s">
        <v>171</v>
      </c>
      <c r="R2" s="57" t="s">
        <v>172</v>
      </c>
    </row>
    <row r="3" spans="1:18">
      <c r="A3" s="57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  <c r="R3" s="57"/>
    </row>
    <row r="4" spans="1:18">
      <c r="A4" s="57"/>
      <c r="B4" s="57"/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  <c r="R4" s="57"/>
    </row>
    <row r="5" spans="1:18">
      <c r="A5" s="57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  <c r="R5" s="57"/>
    </row>
  </sheetData>
  <phoneticPr fontId="5"/>
  <dataValidations disablePrompts="1" count="1">
    <dataValidation type="list" allowBlank="1" showInputMessage="1" showErrorMessage="1" sqref="F2">
      <formula1>"bit,link,polygon,unit"</formula1>
    </dataValidation>
  </dataValidations>
  <pageMargins left="0.7" right="0.7" top="0.75" bottom="0.75" header="0.3" footer="0.3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P3"/>
  <sheetViews>
    <sheetView showGridLines="0" zoomScale="75" zoomScaleNormal="75" zoomScalePageLayoutView="75" workbookViewId="0">
      <pane ySplit="1" topLeftCell="A2" activePane="bottomLeft" state="frozen"/>
      <selection activeCell="I2" sqref="I2"/>
      <selection pane="bottomLeft" activeCell="N2" sqref="N2"/>
    </sheetView>
  </sheetViews>
  <sheetFormatPr baseColWidth="12" defaultColWidth="13" defaultRowHeight="18" outlineLevelCol="1" x14ac:dyDescent="0"/>
  <cols>
    <col min="1" max="1" width="9.83203125" bestFit="1" customWidth="1"/>
    <col min="2" max="2" width="9.1640625" style="90" bestFit="1" customWidth="1"/>
    <col min="3" max="3" width="7.5" bestFit="1" customWidth="1" collapsed="1"/>
    <col min="4" max="5" width="16.5" hidden="1" customWidth="1" outlineLevel="1"/>
    <col min="6" max="6" width="7" bestFit="1" customWidth="1" collapsed="1"/>
    <col min="7" max="7" width="24.83203125" hidden="1" customWidth="1" outlineLevel="1"/>
    <col min="8" max="8" width="16.5" hidden="1" customWidth="1" outlineLevel="1"/>
    <col min="9" max="9" width="6.5" bestFit="1" customWidth="1"/>
    <col min="10" max="10" width="9.1640625" bestFit="1" customWidth="1"/>
    <col min="11" max="11" width="7.83203125" bestFit="1" customWidth="1"/>
    <col min="12" max="12" width="7.6640625" bestFit="1" customWidth="1"/>
    <col min="13" max="13" width="34.83203125" customWidth="1"/>
    <col min="14" max="14" width="35" customWidth="1"/>
    <col min="15" max="15" width="8.5" bestFit="1" customWidth="1"/>
    <col min="16" max="16" width="8" customWidth="1"/>
  </cols>
  <sheetData>
    <row r="1" spans="1:16">
      <c r="A1" s="73" t="s">
        <v>188</v>
      </c>
      <c r="B1" s="74" t="s">
        <v>189</v>
      </c>
      <c r="C1" s="75" t="s">
        <v>190</v>
      </c>
      <c r="D1" s="76" t="s">
        <v>191</v>
      </c>
      <c r="E1" s="76" t="s">
        <v>33</v>
      </c>
      <c r="F1" s="75" t="s">
        <v>192</v>
      </c>
      <c r="G1" s="76" t="s">
        <v>193</v>
      </c>
      <c r="H1" s="76" t="s">
        <v>33</v>
      </c>
      <c r="I1" s="75" t="s">
        <v>194</v>
      </c>
      <c r="J1" s="77" t="s">
        <v>195</v>
      </c>
      <c r="K1" s="78" t="s">
        <v>196</v>
      </c>
      <c r="L1" s="79" t="s">
        <v>197</v>
      </c>
      <c r="M1" s="79" t="s">
        <v>199</v>
      </c>
      <c r="N1" s="80" t="s">
        <v>200</v>
      </c>
      <c r="O1" s="81" t="s">
        <v>201</v>
      </c>
    </row>
    <row r="2" spans="1:16" ht="55">
      <c r="A2" s="82" t="str">
        <f t="shared" ref="A2" si="0">C2&amp;"_"&amp;F2&amp;"_"&amp;J2</f>
        <v>11218_1_1</v>
      </c>
      <c r="B2" s="83" t="s">
        <v>202</v>
      </c>
      <c r="C2" s="94">
        <v>11218</v>
      </c>
      <c r="D2" s="84" t="str">
        <f ca="1">VLOOKUP($C2,OFFSET([2]quests!$A$1,0,0,COUNTA([2]quests!$A:$A),MATCH(D$1,[2]quests!$1:$1,0)-MATCH($C$1,[2]quests!$1:$1,0)+1),MATCH(D$1,[2]quests!$1:$1,0)-MATCH($C$1,[2]quests!$1:$1,0)+1,FALSE)</f>
        <v>バレンタイン★特別クエスト</v>
      </c>
      <c r="E2" s="84" t="str">
        <f ca="1">VLOOKUP($C2,OFFSET([2]quests!$A$1,0,0,COUNTA([2]quests!$A:$A),MATCH(E$1,[2]quests!$1:$1,0)-MATCH($C$1,[2]quests!$1:$1,0)+1),MATCH(E$1,[2]quests!$1:$1,0)-MATCH($C$1,[2]quests!$1:$1,0)+1,FALSE)</f>
        <v>2016年バレンタインクエスト</v>
      </c>
      <c r="F2" s="85">
        <v>1</v>
      </c>
      <c r="G2" s="84" t="str">
        <f ca="1">VLOOKUP($C2&amp;"_"&amp;$F2,OFFSET([2]stages!$A$1,0,0,COUNTA([2]stages!$A:$A),MATCH(G$1,[2]stages!$2:$2,0)-MATCH("temp_stage",[2]stages!$2:$2,0)+1),MATCH(G$1,[2]stages!$2:$2,0)-MATCH("temp_stage",[2]stages!$2:$2,0)+1,FALSE)</f>
        <v>【ストーリー】バレンタイン狂騒曲</v>
      </c>
      <c r="H2" s="84" t="str">
        <f ca="1">VLOOKUP($C2&amp;"_"&amp;$F2,OFFSET([2]stages!$A$1,0,0,COUNTA([2]stages!$A:$A),MATCH(H$1,[2]stages!$2:$2,0)-MATCH("temp_stage",[2]stages!$2:$2,0)+1),MATCH(H$1,[2]stages!$2:$2,0)-MATCH("temp_stage",[2]stages!$2:$2,0)+1,FALSE)</f>
        <v>2016年バレンタインクエスト</v>
      </c>
      <c r="I2" s="86">
        <v>0</v>
      </c>
      <c r="J2" s="87">
        <f t="shared" ref="J2" si="1">ROW()-1</f>
        <v>1</v>
      </c>
      <c r="K2" s="88" t="str">
        <f t="shared" ref="K2" si="2">C2&amp;TEXT(J2,"00")</f>
        <v>1121801</v>
      </c>
      <c r="L2" s="85" t="s">
        <v>203</v>
      </c>
      <c r="M2" s="89" t="s">
        <v>217</v>
      </c>
      <c r="N2" s="89" t="s">
        <v>243</v>
      </c>
      <c r="O2" s="57" t="s">
        <v>204</v>
      </c>
      <c r="P2">
        <f t="shared" ref="P2" si="3">LEN(N2)</f>
        <v>53</v>
      </c>
    </row>
    <row r="3" spans="1:16">
      <c r="M3" s="91" t="s">
        <v>205</v>
      </c>
      <c r="N3" s="91" t="s">
        <v>206</v>
      </c>
    </row>
  </sheetData>
  <phoneticPr fontId="5"/>
  <dataValidations count="1">
    <dataValidation type="list" allowBlank="1" showInputMessage="1" showErrorMessage="1" sqref="B2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吉澤 曜祐</cp:lastModifiedBy>
  <dcterms:created xsi:type="dcterms:W3CDTF">2015-01-30T13:36:44Z</dcterms:created>
  <dcterms:modified xsi:type="dcterms:W3CDTF">2016-02-08T11:22:52Z</dcterms:modified>
</cp:coreProperties>
</file>