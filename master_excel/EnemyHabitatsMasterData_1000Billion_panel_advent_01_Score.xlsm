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6500" tabRatio="936" firstSheet="1" activeTab="6"/>
  </bookViews>
  <sheets>
    <sheet name="output" sheetId="16" r:id="rId1"/>
    <sheet name="score_attack_expanded_floors" sheetId="2" r:id="rId2"/>
    <sheet name="score_attack_expanded_stages" sheetId="24" r:id="rId3"/>
    <sheet name="score_attack_params_damage_give" sheetId="30" r:id="rId4"/>
    <sheet name="score_attack_params_heal" sheetId="40" r:id="rId5"/>
    <sheet name="stage_evaluations" sheetId="28" r:id="rId6"/>
    <sheet name="stage_evaluation_gifts" sheetId="29" r:id="rId7"/>
    <sheet name="ranking_ACH" sheetId="22" r:id="rId8"/>
    <sheet name="unit_bonus_conditions" sheetId="32" r:id="rId9"/>
    <sheet name="enemy_habitats" sheetId="33" r:id="rId10"/>
    <sheet name="enemy_habitat_S" sheetId="34" r:id="rId11"/>
    <sheet name="enemy_skill_sets" sheetId="35" r:id="rId12"/>
    <sheet name="enemy_skills" sheetId="36" r:id="rId13"/>
    <sheet name="enemy_skill_triggers" sheetId="37" r:id="rId14"/>
    <sheet name="bugbonuses" sheetId="3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10" hidden="1">enemy_habitat_S!$B$1:$AA$1</definedName>
    <definedName name="_xlnm._FilterDatabase" localSheetId="9" hidden="1">enemy_habitats!$B$1:$AJ$2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stage_hints_failure!$B$1:$M$1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S17" i="29"/>
  <c r="S14" i="29"/>
  <c r="S15" i="29"/>
  <c r="S16" i="29"/>
  <c r="S13" i="29"/>
  <c r="S12" i="29"/>
  <c r="S11" i="29"/>
  <c r="S10" i="29"/>
  <c r="C33" i="30"/>
  <c r="C27" i="30"/>
  <c r="C15" i="30"/>
  <c r="C9" i="30"/>
  <c r="B37" i="30"/>
  <c r="B36" i="30"/>
  <c r="B35" i="30"/>
  <c r="B34" i="30"/>
  <c r="B31" i="30"/>
  <c r="B30" i="30"/>
  <c r="B29" i="30"/>
  <c r="B28" i="30"/>
  <c r="B37" i="40"/>
  <c r="B36" i="40"/>
  <c r="B35" i="40"/>
  <c r="B34" i="40"/>
  <c r="B31" i="40"/>
  <c r="B30" i="40"/>
  <c r="B29" i="40"/>
  <c r="B28" i="40"/>
  <c r="B18" i="40"/>
  <c r="B19" i="40"/>
  <c r="B17" i="40"/>
  <c r="B16" i="40"/>
  <c r="B13" i="40"/>
  <c r="B12" i="40"/>
  <c r="B11" i="40"/>
  <c r="B10" i="40"/>
  <c r="B25" i="40"/>
  <c r="B24" i="40"/>
  <c r="B23" i="40"/>
  <c r="B22" i="40"/>
  <c r="B7" i="40"/>
  <c r="B6" i="40"/>
  <c r="B5" i="40"/>
  <c r="B4" i="40"/>
  <c r="C33" i="40"/>
  <c r="C37" i="40"/>
  <c r="E37" i="40"/>
  <c r="G37" i="40"/>
  <c r="C36" i="40"/>
  <c r="D36" i="40"/>
  <c r="E36" i="40"/>
  <c r="G36" i="40"/>
  <c r="C35" i="40"/>
  <c r="D35" i="40"/>
  <c r="E35" i="40"/>
  <c r="G35" i="40"/>
  <c r="C34" i="40"/>
  <c r="D34" i="40"/>
  <c r="E34" i="40"/>
  <c r="G34" i="40"/>
  <c r="D33" i="40"/>
  <c r="E33" i="40"/>
  <c r="G33" i="40"/>
  <c r="D32" i="40"/>
  <c r="E32" i="40"/>
  <c r="G32" i="40"/>
  <c r="C27" i="40"/>
  <c r="C31" i="40"/>
  <c r="E31" i="40"/>
  <c r="G31" i="40"/>
  <c r="C30" i="40"/>
  <c r="D30" i="40"/>
  <c r="E30" i="40"/>
  <c r="G30" i="40"/>
  <c r="C29" i="40"/>
  <c r="D29" i="40"/>
  <c r="E29" i="40"/>
  <c r="G29" i="40"/>
  <c r="C28" i="40"/>
  <c r="D28" i="40"/>
  <c r="E28" i="40"/>
  <c r="G28" i="40"/>
  <c r="D27" i="40"/>
  <c r="E27" i="40"/>
  <c r="G27" i="40"/>
  <c r="D26" i="40"/>
  <c r="E26" i="40"/>
  <c r="G26" i="40"/>
  <c r="C21" i="40"/>
  <c r="C25" i="40"/>
  <c r="E25" i="40"/>
  <c r="G25" i="40"/>
  <c r="C24" i="40"/>
  <c r="D24" i="40"/>
  <c r="E24" i="40"/>
  <c r="G24" i="40"/>
  <c r="C23" i="40"/>
  <c r="D23" i="40"/>
  <c r="E23" i="40"/>
  <c r="G23" i="40"/>
  <c r="C22" i="40"/>
  <c r="D22" i="40"/>
  <c r="E22" i="40"/>
  <c r="G22" i="40"/>
  <c r="D21" i="40"/>
  <c r="E21" i="40"/>
  <c r="G21" i="40"/>
  <c r="D20" i="40"/>
  <c r="E20" i="40"/>
  <c r="G20" i="40"/>
  <c r="C15" i="40"/>
  <c r="C19" i="40"/>
  <c r="E19" i="40"/>
  <c r="G19" i="40"/>
  <c r="C18" i="40"/>
  <c r="D18" i="40"/>
  <c r="E18" i="40"/>
  <c r="G18" i="40"/>
  <c r="C17" i="40"/>
  <c r="D17" i="40"/>
  <c r="E17" i="40"/>
  <c r="G17" i="40"/>
  <c r="C16" i="40"/>
  <c r="D16" i="40"/>
  <c r="E16" i="40"/>
  <c r="G16" i="40"/>
  <c r="D15" i="40"/>
  <c r="E15" i="40"/>
  <c r="G15" i="40"/>
  <c r="D14" i="40"/>
  <c r="E14" i="40"/>
  <c r="G14" i="40"/>
  <c r="C9" i="40"/>
  <c r="C13" i="40"/>
  <c r="E13" i="40"/>
  <c r="G13" i="40"/>
  <c r="C12" i="40"/>
  <c r="D12" i="40"/>
  <c r="E12" i="40"/>
  <c r="G12" i="40"/>
  <c r="C11" i="40"/>
  <c r="D11" i="40"/>
  <c r="E11" i="40"/>
  <c r="G11" i="40"/>
  <c r="C10" i="40"/>
  <c r="D10" i="40"/>
  <c r="E10" i="40"/>
  <c r="G10" i="40"/>
  <c r="D9" i="40"/>
  <c r="E9" i="40"/>
  <c r="G9" i="40"/>
  <c r="D8" i="40"/>
  <c r="E8" i="40"/>
  <c r="G8" i="40"/>
  <c r="C3" i="40"/>
  <c r="C7" i="40"/>
  <c r="E7" i="40"/>
  <c r="G7" i="40"/>
  <c r="C6" i="40"/>
  <c r="D6" i="40"/>
  <c r="E6" i="40"/>
  <c r="G6" i="40"/>
  <c r="C5" i="40"/>
  <c r="D5" i="40"/>
  <c r="E5" i="40"/>
  <c r="G5" i="40"/>
  <c r="C4" i="40"/>
  <c r="D4" i="40"/>
  <c r="E4" i="40"/>
  <c r="G4" i="40"/>
  <c r="D3" i="40"/>
  <c r="E3" i="40"/>
  <c r="G3" i="40"/>
  <c r="D2" i="40"/>
  <c r="E2" i="40"/>
  <c r="G2" i="40"/>
  <c r="C40" i="40"/>
  <c r="B40" i="40"/>
  <c r="C37" i="30"/>
  <c r="C36" i="30"/>
  <c r="C35" i="30"/>
  <c r="C34" i="30"/>
  <c r="C29" i="30"/>
  <c r="C28" i="30"/>
  <c r="C21" i="30"/>
  <c r="C25" i="30"/>
  <c r="C24" i="30"/>
  <c r="C23" i="30"/>
  <c r="C22" i="30"/>
  <c r="B25" i="30"/>
  <c r="B24" i="30"/>
  <c r="B23" i="30"/>
  <c r="B22" i="30"/>
  <c r="E37" i="30"/>
  <c r="G37" i="30"/>
  <c r="D36" i="30"/>
  <c r="E36" i="30"/>
  <c r="G36" i="30"/>
  <c r="D35" i="30"/>
  <c r="E35" i="30"/>
  <c r="G35" i="30"/>
  <c r="D34" i="30"/>
  <c r="E34" i="30"/>
  <c r="G34" i="30"/>
  <c r="D33" i="30"/>
  <c r="E33" i="30"/>
  <c r="G33" i="30"/>
  <c r="D32" i="30"/>
  <c r="E32" i="30"/>
  <c r="G32" i="30"/>
  <c r="E31" i="30"/>
  <c r="G31" i="30"/>
  <c r="D30" i="30"/>
  <c r="E30" i="30"/>
  <c r="G30" i="30"/>
  <c r="D29" i="30"/>
  <c r="E29" i="30"/>
  <c r="G29" i="30"/>
  <c r="D28" i="30"/>
  <c r="E28" i="30"/>
  <c r="G28" i="30"/>
  <c r="D27" i="30"/>
  <c r="E27" i="30"/>
  <c r="G27" i="30"/>
  <c r="D26" i="30"/>
  <c r="E26" i="30"/>
  <c r="G26" i="30"/>
  <c r="E25" i="30"/>
  <c r="G25" i="30"/>
  <c r="D24" i="30"/>
  <c r="E24" i="30"/>
  <c r="G24" i="30"/>
  <c r="D23" i="30"/>
  <c r="E23" i="30"/>
  <c r="G23" i="30"/>
  <c r="D22" i="30"/>
  <c r="E22" i="30"/>
  <c r="G22" i="30"/>
  <c r="D21" i="30"/>
  <c r="E21" i="30"/>
  <c r="G21" i="30"/>
  <c r="D20" i="30"/>
  <c r="E20" i="30"/>
  <c r="G20" i="30"/>
  <c r="C4" i="16"/>
  <c r="E4" i="16"/>
  <c r="C3" i="16"/>
  <c r="C5" i="16"/>
  <c r="C7" i="16"/>
  <c r="C8" i="16"/>
  <c r="C6" i="16"/>
  <c r="C9" i="16"/>
  <c r="C10" i="16"/>
  <c r="C11" i="16"/>
  <c r="C12" i="16"/>
  <c r="C13" i="16"/>
  <c r="E3" i="16"/>
  <c r="E2" i="16"/>
  <c r="E10" i="16"/>
  <c r="E13" i="16"/>
  <c r="A2" i="22"/>
  <c r="B2" i="22"/>
  <c r="G7" i="2"/>
  <c r="E3" i="24"/>
  <c r="F3" i="24"/>
  <c r="C3" i="24"/>
  <c r="B3" i="24"/>
  <c r="C13" i="30"/>
  <c r="C19" i="30"/>
  <c r="C18" i="30"/>
  <c r="C17" i="30"/>
  <c r="C16" i="30"/>
  <c r="C12" i="30"/>
  <c r="C11" i="30"/>
  <c r="C10" i="30"/>
  <c r="C3" i="30"/>
  <c r="C7" i="30"/>
  <c r="C6" i="30"/>
  <c r="C5" i="30"/>
  <c r="C4" i="30"/>
  <c r="B19" i="30"/>
  <c r="B7" i="30"/>
  <c r="C40" i="30"/>
  <c r="B40" i="30"/>
  <c r="E19" i="30"/>
  <c r="G19" i="30"/>
  <c r="B18" i="30"/>
  <c r="D18" i="30"/>
  <c r="E18" i="30"/>
  <c r="G18" i="30"/>
  <c r="B17" i="30"/>
  <c r="D17" i="30"/>
  <c r="E17" i="30"/>
  <c r="G17" i="30"/>
  <c r="B16" i="30"/>
  <c r="D16" i="30"/>
  <c r="E16" i="30"/>
  <c r="G16" i="30"/>
  <c r="D15" i="30"/>
  <c r="E15" i="30"/>
  <c r="G15" i="30"/>
  <c r="D14" i="30"/>
  <c r="E14" i="30"/>
  <c r="G14" i="30"/>
  <c r="B13" i="30"/>
  <c r="E13" i="30"/>
  <c r="G13" i="30"/>
  <c r="B12" i="30"/>
  <c r="D12" i="30"/>
  <c r="E12" i="30"/>
  <c r="G12" i="30"/>
  <c r="B11" i="30"/>
  <c r="D11" i="30"/>
  <c r="E11" i="30"/>
  <c r="G11" i="30"/>
  <c r="B10" i="30"/>
  <c r="D10" i="30"/>
  <c r="E10" i="30"/>
  <c r="G10" i="30"/>
  <c r="D9" i="30"/>
  <c r="E9" i="30"/>
  <c r="G9" i="30"/>
  <c r="D8" i="30"/>
  <c r="E8" i="30"/>
  <c r="G8" i="30"/>
  <c r="E7" i="30"/>
  <c r="G7" i="30"/>
  <c r="B6" i="30"/>
  <c r="D6" i="30"/>
  <c r="E6" i="30"/>
  <c r="G6" i="30"/>
  <c r="B5" i="30"/>
  <c r="D5" i="30"/>
  <c r="E5" i="30"/>
  <c r="G5" i="30"/>
  <c r="B4" i="30"/>
  <c r="D4" i="30"/>
  <c r="E4" i="30"/>
  <c r="G4" i="30"/>
  <c r="D3" i="30"/>
  <c r="E3" i="30"/>
  <c r="G3" i="30"/>
  <c r="D2" i="30"/>
  <c r="E2" i="30"/>
  <c r="G2" i="30"/>
  <c r="G3" i="2"/>
  <c r="A3" i="2"/>
  <c r="H2" i="33"/>
  <c r="H3" i="33"/>
  <c r="H4" i="33"/>
  <c r="H5" i="33"/>
  <c r="H6" i="33"/>
  <c r="H7" i="33"/>
  <c r="B3" i="2"/>
  <c r="G4" i="2"/>
  <c r="A4" i="2"/>
  <c r="B4" i="2"/>
  <c r="G5" i="2"/>
  <c r="A5" i="2"/>
  <c r="B5" i="2"/>
  <c r="G6" i="2"/>
  <c r="A6" i="2"/>
  <c r="B6" i="2"/>
  <c r="A7" i="2"/>
  <c r="B7" i="2"/>
  <c r="G2" i="2"/>
  <c r="A2" i="2"/>
  <c r="B2" i="2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C18" i="39"/>
  <c r="D18" i="39"/>
  <c r="C17" i="39"/>
  <c r="D17" i="39"/>
  <c r="C16" i="39"/>
  <c r="D16" i="39"/>
  <c r="C15" i="39"/>
  <c r="D15" i="39"/>
  <c r="C14" i="39"/>
  <c r="D14" i="39"/>
  <c r="C13" i="39"/>
  <c r="D13" i="39"/>
  <c r="C12" i="39"/>
  <c r="D12" i="39"/>
  <c r="C11" i="39"/>
  <c r="D11" i="39"/>
  <c r="C10" i="39"/>
  <c r="D10" i="39"/>
  <c r="C9" i="39"/>
  <c r="D9" i="39"/>
  <c r="C8" i="39"/>
  <c r="D8" i="39"/>
  <c r="C7" i="39"/>
  <c r="D7" i="39"/>
  <c r="C6" i="39"/>
  <c r="D6" i="39"/>
  <c r="C5" i="39"/>
  <c r="D5" i="39"/>
  <c r="C4" i="39"/>
  <c r="D4" i="39"/>
  <c r="C3" i="39"/>
  <c r="D3" i="39"/>
  <c r="C2" i="39"/>
  <c r="D2" i="39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M59" i="36"/>
  <c r="T59" i="36"/>
  <c r="W59" i="36"/>
  <c r="V59" i="36"/>
  <c r="X59" i="36"/>
  <c r="U59" i="36"/>
  <c r="Y59" i="36"/>
  <c r="N59" i="36"/>
  <c r="Q59" i="36"/>
  <c r="P59" i="36"/>
  <c r="R59" i="36"/>
  <c r="O59" i="36"/>
  <c r="S59" i="36"/>
  <c r="G59" i="36"/>
  <c r="J59" i="36"/>
  <c r="I59" i="36"/>
  <c r="K59" i="36"/>
  <c r="H59" i="36"/>
  <c r="L59" i="36"/>
  <c r="M58" i="36"/>
  <c r="T58" i="36"/>
  <c r="W58" i="36"/>
  <c r="V58" i="36"/>
  <c r="X58" i="36"/>
  <c r="U58" i="36"/>
  <c r="Y58" i="36"/>
  <c r="N58" i="36"/>
  <c r="Q58" i="36"/>
  <c r="P58" i="36"/>
  <c r="R58" i="36"/>
  <c r="O58" i="36"/>
  <c r="S58" i="36"/>
  <c r="G58" i="36"/>
  <c r="J58" i="36"/>
  <c r="I58" i="36"/>
  <c r="K58" i="36"/>
  <c r="H58" i="36"/>
  <c r="L58" i="36"/>
  <c r="M57" i="36"/>
  <c r="T57" i="36"/>
  <c r="W57" i="36"/>
  <c r="V57" i="36"/>
  <c r="X57" i="36"/>
  <c r="U57" i="36"/>
  <c r="Y57" i="36"/>
  <c r="N57" i="36"/>
  <c r="Q57" i="36"/>
  <c r="P57" i="36"/>
  <c r="R57" i="36"/>
  <c r="O57" i="36"/>
  <c r="S57" i="36"/>
  <c r="G57" i="36"/>
  <c r="J57" i="36"/>
  <c r="I57" i="36"/>
  <c r="K57" i="36"/>
  <c r="H57" i="36"/>
  <c r="L57" i="36"/>
  <c r="M56" i="36"/>
  <c r="T56" i="36"/>
  <c r="W56" i="36"/>
  <c r="V56" i="36"/>
  <c r="X56" i="36"/>
  <c r="U56" i="36"/>
  <c r="Y56" i="36"/>
  <c r="N56" i="36"/>
  <c r="Q56" i="36"/>
  <c r="P56" i="36"/>
  <c r="R56" i="36"/>
  <c r="O56" i="36"/>
  <c r="S56" i="36"/>
  <c r="G56" i="36"/>
  <c r="J56" i="36"/>
  <c r="I56" i="36"/>
  <c r="K56" i="36"/>
  <c r="H56" i="36"/>
  <c r="L56" i="36"/>
  <c r="M55" i="36"/>
  <c r="T55" i="36"/>
  <c r="W55" i="36"/>
  <c r="V55" i="36"/>
  <c r="X55" i="36"/>
  <c r="U55" i="36"/>
  <c r="Y55" i="36"/>
  <c r="N55" i="36"/>
  <c r="Q55" i="36"/>
  <c r="P55" i="36"/>
  <c r="R55" i="36"/>
  <c r="O55" i="36"/>
  <c r="S55" i="36"/>
  <c r="G55" i="36"/>
  <c r="J55" i="36"/>
  <c r="I55" i="36"/>
  <c r="K55" i="36"/>
  <c r="H55" i="36"/>
  <c r="L55" i="36"/>
  <c r="M54" i="36"/>
  <c r="T54" i="36"/>
  <c r="W54" i="36"/>
  <c r="V54" i="36"/>
  <c r="X54" i="36"/>
  <c r="U54" i="36"/>
  <c r="Y54" i="36"/>
  <c r="N54" i="36"/>
  <c r="Q54" i="36"/>
  <c r="P54" i="36"/>
  <c r="R54" i="36"/>
  <c r="O54" i="36"/>
  <c r="S54" i="36"/>
  <c r="G54" i="36"/>
  <c r="J54" i="36"/>
  <c r="I54" i="36"/>
  <c r="K54" i="36"/>
  <c r="H54" i="36"/>
  <c r="L54" i="36"/>
  <c r="M53" i="36"/>
  <c r="T53" i="36"/>
  <c r="W53" i="36"/>
  <c r="V53" i="36"/>
  <c r="X53" i="36"/>
  <c r="U53" i="36"/>
  <c r="Y53" i="36"/>
  <c r="N53" i="36"/>
  <c r="Q53" i="36"/>
  <c r="P53" i="36"/>
  <c r="R53" i="36"/>
  <c r="O53" i="36"/>
  <c r="S53" i="36"/>
  <c r="G53" i="36"/>
  <c r="J53" i="36"/>
  <c r="I53" i="36"/>
  <c r="K53" i="36"/>
  <c r="H53" i="36"/>
  <c r="L53" i="36"/>
  <c r="M52" i="36"/>
  <c r="T52" i="36"/>
  <c r="W52" i="36"/>
  <c r="V52" i="36"/>
  <c r="X52" i="36"/>
  <c r="U52" i="36"/>
  <c r="Y52" i="36"/>
  <c r="N52" i="36"/>
  <c r="Q52" i="36"/>
  <c r="P52" i="36"/>
  <c r="R52" i="36"/>
  <c r="O52" i="36"/>
  <c r="S52" i="36"/>
  <c r="G52" i="36"/>
  <c r="J52" i="36"/>
  <c r="I52" i="36"/>
  <c r="K52" i="36"/>
  <c r="H52" i="36"/>
  <c r="L52" i="36"/>
  <c r="M51" i="36"/>
  <c r="T51" i="36"/>
  <c r="W51" i="36"/>
  <c r="V51" i="36"/>
  <c r="X51" i="36"/>
  <c r="U51" i="36"/>
  <c r="Y51" i="36"/>
  <c r="N51" i="36"/>
  <c r="Q51" i="36"/>
  <c r="P51" i="36"/>
  <c r="R51" i="36"/>
  <c r="O51" i="36"/>
  <c r="S51" i="36"/>
  <c r="G51" i="36"/>
  <c r="J51" i="36"/>
  <c r="I51" i="36"/>
  <c r="K51" i="36"/>
  <c r="H51" i="36"/>
  <c r="L51" i="36"/>
  <c r="M50" i="36"/>
  <c r="T50" i="36"/>
  <c r="W50" i="36"/>
  <c r="V50" i="36"/>
  <c r="X50" i="36"/>
  <c r="U50" i="36"/>
  <c r="Y50" i="36"/>
  <c r="N50" i="36"/>
  <c r="Q50" i="36"/>
  <c r="P50" i="36"/>
  <c r="R50" i="36"/>
  <c r="O50" i="36"/>
  <c r="S50" i="36"/>
  <c r="G50" i="36"/>
  <c r="J50" i="36"/>
  <c r="I50" i="36"/>
  <c r="K50" i="36"/>
  <c r="H50" i="36"/>
  <c r="L50" i="36"/>
  <c r="M49" i="36"/>
  <c r="T49" i="36"/>
  <c r="W49" i="36"/>
  <c r="V49" i="36"/>
  <c r="X49" i="36"/>
  <c r="U49" i="36"/>
  <c r="Y49" i="36"/>
  <c r="N49" i="36"/>
  <c r="Q49" i="36"/>
  <c r="P49" i="36"/>
  <c r="R49" i="36"/>
  <c r="O49" i="36"/>
  <c r="S49" i="36"/>
  <c r="G49" i="36"/>
  <c r="J49" i="36"/>
  <c r="I49" i="36"/>
  <c r="K49" i="36"/>
  <c r="H49" i="36"/>
  <c r="L49" i="36"/>
  <c r="M48" i="36"/>
  <c r="T48" i="36"/>
  <c r="W48" i="36"/>
  <c r="V48" i="36"/>
  <c r="X48" i="36"/>
  <c r="U48" i="36"/>
  <c r="Y48" i="36"/>
  <c r="N48" i="36"/>
  <c r="Q48" i="36"/>
  <c r="P48" i="36"/>
  <c r="R48" i="36"/>
  <c r="O48" i="36"/>
  <c r="S48" i="36"/>
  <c r="G48" i="36"/>
  <c r="J48" i="36"/>
  <c r="I48" i="36"/>
  <c r="K48" i="36"/>
  <c r="H48" i="36"/>
  <c r="L48" i="36"/>
  <c r="M47" i="36"/>
  <c r="T47" i="36"/>
  <c r="W47" i="36"/>
  <c r="V47" i="36"/>
  <c r="X47" i="36"/>
  <c r="U47" i="36"/>
  <c r="Y47" i="36"/>
  <c r="N47" i="36"/>
  <c r="Q47" i="36"/>
  <c r="P47" i="36"/>
  <c r="R47" i="36"/>
  <c r="O47" i="36"/>
  <c r="S47" i="36"/>
  <c r="G47" i="36"/>
  <c r="J47" i="36"/>
  <c r="I47" i="36"/>
  <c r="K47" i="36"/>
  <c r="H47" i="36"/>
  <c r="L47" i="36"/>
  <c r="M46" i="36"/>
  <c r="T46" i="36"/>
  <c r="W46" i="36"/>
  <c r="V46" i="36"/>
  <c r="X46" i="36"/>
  <c r="U46" i="36"/>
  <c r="Y46" i="36"/>
  <c r="N46" i="36"/>
  <c r="Q46" i="36"/>
  <c r="P46" i="36"/>
  <c r="R46" i="36"/>
  <c r="O46" i="36"/>
  <c r="S46" i="36"/>
  <c r="G46" i="36"/>
  <c r="J46" i="36"/>
  <c r="I46" i="36"/>
  <c r="K46" i="36"/>
  <c r="H46" i="36"/>
  <c r="L46" i="36"/>
  <c r="M45" i="36"/>
  <c r="T45" i="36"/>
  <c r="W45" i="36"/>
  <c r="V45" i="36"/>
  <c r="X45" i="36"/>
  <c r="U45" i="36"/>
  <c r="Y45" i="36"/>
  <c r="N45" i="36"/>
  <c r="Q45" i="36"/>
  <c r="P45" i="36"/>
  <c r="R45" i="36"/>
  <c r="O45" i="36"/>
  <c r="S45" i="36"/>
  <c r="G45" i="36"/>
  <c r="J45" i="36"/>
  <c r="I45" i="36"/>
  <c r="K45" i="36"/>
  <c r="H45" i="36"/>
  <c r="L45" i="36"/>
  <c r="M44" i="36"/>
  <c r="T44" i="36"/>
  <c r="W44" i="36"/>
  <c r="V44" i="36"/>
  <c r="X44" i="36"/>
  <c r="U44" i="36"/>
  <c r="Y44" i="36"/>
  <c r="N44" i="36"/>
  <c r="Q44" i="36"/>
  <c r="P44" i="36"/>
  <c r="R44" i="36"/>
  <c r="O44" i="36"/>
  <c r="S44" i="36"/>
  <c r="G44" i="36"/>
  <c r="J44" i="36"/>
  <c r="I44" i="36"/>
  <c r="K44" i="36"/>
  <c r="H44" i="36"/>
  <c r="L44" i="36"/>
  <c r="M43" i="36"/>
  <c r="T43" i="36"/>
  <c r="W43" i="36"/>
  <c r="V43" i="36"/>
  <c r="X43" i="36"/>
  <c r="U43" i="36"/>
  <c r="Y43" i="36"/>
  <c r="N43" i="36"/>
  <c r="Q43" i="36"/>
  <c r="P43" i="36"/>
  <c r="R43" i="36"/>
  <c r="O43" i="36"/>
  <c r="S43" i="36"/>
  <c r="G43" i="36"/>
  <c r="J43" i="36"/>
  <c r="I43" i="36"/>
  <c r="K43" i="36"/>
  <c r="H43" i="36"/>
  <c r="L43" i="36"/>
  <c r="M42" i="36"/>
  <c r="T42" i="36"/>
  <c r="W42" i="36"/>
  <c r="V42" i="36"/>
  <c r="X42" i="36"/>
  <c r="U42" i="36"/>
  <c r="Y42" i="36"/>
  <c r="N42" i="36"/>
  <c r="Q42" i="36"/>
  <c r="P42" i="36"/>
  <c r="R42" i="36"/>
  <c r="O42" i="36"/>
  <c r="S42" i="36"/>
  <c r="G42" i="36"/>
  <c r="J42" i="36"/>
  <c r="I42" i="36"/>
  <c r="K42" i="36"/>
  <c r="H42" i="36"/>
  <c r="L42" i="36"/>
  <c r="M41" i="36"/>
  <c r="T41" i="36"/>
  <c r="W41" i="36"/>
  <c r="V41" i="36"/>
  <c r="X41" i="36"/>
  <c r="U41" i="36"/>
  <c r="Y41" i="36"/>
  <c r="N41" i="36"/>
  <c r="Q41" i="36"/>
  <c r="P41" i="36"/>
  <c r="R41" i="36"/>
  <c r="O41" i="36"/>
  <c r="S41" i="36"/>
  <c r="G41" i="36"/>
  <c r="J41" i="36"/>
  <c r="I41" i="36"/>
  <c r="K41" i="36"/>
  <c r="H41" i="36"/>
  <c r="L41" i="36"/>
  <c r="M40" i="36"/>
  <c r="T40" i="36"/>
  <c r="W40" i="36"/>
  <c r="V40" i="36"/>
  <c r="X40" i="36"/>
  <c r="U40" i="36"/>
  <c r="Y40" i="36"/>
  <c r="N40" i="36"/>
  <c r="Q40" i="36"/>
  <c r="P40" i="36"/>
  <c r="R40" i="36"/>
  <c r="O40" i="36"/>
  <c r="S40" i="36"/>
  <c r="G40" i="36"/>
  <c r="J40" i="36"/>
  <c r="I40" i="36"/>
  <c r="K40" i="36"/>
  <c r="H40" i="36"/>
  <c r="L40" i="36"/>
  <c r="M39" i="36"/>
  <c r="T39" i="36"/>
  <c r="W39" i="36"/>
  <c r="V39" i="36"/>
  <c r="X39" i="36"/>
  <c r="U39" i="36"/>
  <c r="Y39" i="36"/>
  <c r="N39" i="36"/>
  <c r="Q39" i="36"/>
  <c r="P39" i="36"/>
  <c r="R39" i="36"/>
  <c r="O39" i="36"/>
  <c r="S39" i="36"/>
  <c r="G39" i="36"/>
  <c r="J39" i="36"/>
  <c r="I39" i="36"/>
  <c r="K39" i="36"/>
  <c r="H39" i="36"/>
  <c r="L39" i="36"/>
  <c r="M38" i="36"/>
  <c r="T38" i="36"/>
  <c r="W38" i="36"/>
  <c r="V38" i="36"/>
  <c r="X38" i="36"/>
  <c r="U38" i="36"/>
  <c r="Y38" i="36"/>
  <c r="N38" i="36"/>
  <c r="Q38" i="36"/>
  <c r="P38" i="36"/>
  <c r="R38" i="36"/>
  <c r="O38" i="36"/>
  <c r="S38" i="36"/>
  <c r="G38" i="36"/>
  <c r="J38" i="36"/>
  <c r="I38" i="36"/>
  <c r="K38" i="36"/>
  <c r="H38" i="36"/>
  <c r="L38" i="36"/>
  <c r="M37" i="36"/>
  <c r="T37" i="36"/>
  <c r="W37" i="36"/>
  <c r="V37" i="36"/>
  <c r="X37" i="36"/>
  <c r="U37" i="36"/>
  <c r="Y37" i="36"/>
  <c r="N37" i="36"/>
  <c r="Q37" i="36"/>
  <c r="P37" i="36"/>
  <c r="R37" i="36"/>
  <c r="O37" i="36"/>
  <c r="S37" i="36"/>
  <c r="G37" i="36"/>
  <c r="J37" i="36"/>
  <c r="I37" i="36"/>
  <c r="K37" i="36"/>
  <c r="H37" i="36"/>
  <c r="L37" i="36"/>
  <c r="M36" i="36"/>
  <c r="T36" i="36"/>
  <c r="W36" i="36"/>
  <c r="V36" i="36"/>
  <c r="X36" i="36"/>
  <c r="U36" i="36"/>
  <c r="Y36" i="36"/>
  <c r="N36" i="36"/>
  <c r="Q36" i="36"/>
  <c r="P36" i="36"/>
  <c r="R36" i="36"/>
  <c r="O36" i="36"/>
  <c r="S36" i="36"/>
  <c r="G36" i="36"/>
  <c r="J36" i="36"/>
  <c r="I36" i="36"/>
  <c r="K36" i="36"/>
  <c r="H36" i="36"/>
  <c r="L36" i="36"/>
  <c r="M35" i="36"/>
  <c r="T35" i="36"/>
  <c r="W35" i="36"/>
  <c r="V35" i="36"/>
  <c r="X35" i="36"/>
  <c r="U35" i="36"/>
  <c r="Y35" i="36"/>
  <c r="N35" i="36"/>
  <c r="Q35" i="36"/>
  <c r="P35" i="36"/>
  <c r="R35" i="36"/>
  <c r="O35" i="36"/>
  <c r="S35" i="36"/>
  <c r="G35" i="36"/>
  <c r="J35" i="36"/>
  <c r="I35" i="36"/>
  <c r="K35" i="36"/>
  <c r="H35" i="36"/>
  <c r="L35" i="36"/>
  <c r="M34" i="36"/>
  <c r="T34" i="36"/>
  <c r="W34" i="36"/>
  <c r="V34" i="36"/>
  <c r="X34" i="36"/>
  <c r="U34" i="36"/>
  <c r="Y34" i="36"/>
  <c r="N34" i="36"/>
  <c r="Q34" i="36"/>
  <c r="P34" i="36"/>
  <c r="R34" i="36"/>
  <c r="O34" i="36"/>
  <c r="S34" i="36"/>
  <c r="G34" i="36"/>
  <c r="J34" i="36"/>
  <c r="I34" i="36"/>
  <c r="K34" i="36"/>
  <c r="H34" i="36"/>
  <c r="L34" i="36"/>
  <c r="M33" i="36"/>
  <c r="T33" i="36"/>
  <c r="W33" i="36"/>
  <c r="V33" i="36"/>
  <c r="X33" i="36"/>
  <c r="U33" i="36"/>
  <c r="Y33" i="36"/>
  <c r="N33" i="36"/>
  <c r="Q33" i="36"/>
  <c r="P33" i="36"/>
  <c r="R33" i="36"/>
  <c r="O33" i="36"/>
  <c r="S33" i="36"/>
  <c r="G33" i="36"/>
  <c r="J33" i="36"/>
  <c r="I33" i="36"/>
  <c r="K33" i="36"/>
  <c r="H33" i="36"/>
  <c r="L33" i="36"/>
  <c r="M32" i="36"/>
  <c r="T32" i="36"/>
  <c r="W32" i="36"/>
  <c r="V32" i="36"/>
  <c r="X32" i="36"/>
  <c r="U32" i="36"/>
  <c r="Y32" i="36"/>
  <c r="N32" i="36"/>
  <c r="Q32" i="36"/>
  <c r="P32" i="36"/>
  <c r="R32" i="36"/>
  <c r="O32" i="36"/>
  <c r="S32" i="36"/>
  <c r="G32" i="36"/>
  <c r="J32" i="36"/>
  <c r="I32" i="36"/>
  <c r="K32" i="36"/>
  <c r="H32" i="36"/>
  <c r="L32" i="36"/>
  <c r="M31" i="36"/>
  <c r="T31" i="36"/>
  <c r="W31" i="36"/>
  <c r="V31" i="36"/>
  <c r="X31" i="36"/>
  <c r="U31" i="36"/>
  <c r="Y31" i="36"/>
  <c r="N31" i="36"/>
  <c r="Q31" i="36"/>
  <c r="P31" i="36"/>
  <c r="R31" i="36"/>
  <c r="O31" i="36"/>
  <c r="S31" i="36"/>
  <c r="G31" i="36"/>
  <c r="J31" i="36"/>
  <c r="I31" i="36"/>
  <c r="K31" i="36"/>
  <c r="H31" i="36"/>
  <c r="L31" i="36"/>
  <c r="M30" i="36"/>
  <c r="T30" i="36"/>
  <c r="W30" i="36"/>
  <c r="V30" i="36"/>
  <c r="X30" i="36"/>
  <c r="U30" i="36"/>
  <c r="Y30" i="36"/>
  <c r="N30" i="36"/>
  <c r="Q30" i="36"/>
  <c r="P30" i="36"/>
  <c r="R30" i="36"/>
  <c r="O30" i="36"/>
  <c r="S30" i="36"/>
  <c r="G30" i="36"/>
  <c r="J30" i="36"/>
  <c r="I30" i="36"/>
  <c r="K30" i="36"/>
  <c r="H30" i="36"/>
  <c r="L30" i="36"/>
  <c r="M29" i="36"/>
  <c r="T29" i="36"/>
  <c r="W29" i="36"/>
  <c r="V29" i="36"/>
  <c r="X29" i="36"/>
  <c r="U29" i="36"/>
  <c r="Y29" i="36"/>
  <c r="N29" i="36"/>
  <c r="Q29" i="36"/>
  <c r="P29" i="36"/>
  <c r="R29" i="36"/>
  <c r="O29" i="36"/>
  <c r="S29" i="36"/>
  <c r="G29" i="36"/>
  <c r="J29" i="36"/>
  <c r="I29" i="36"/>
  <c r="K29" i="36"/>
  <c r="H29" i="36"/>
  <c r="L29" i="36"/>
  <c r="M28" i="36"/>
  <c r="T28" i="36"/>
  <c r="W28" i="36"/>
  <c r="V28" i="36"/>
  <c r="X28" i="36"/>
  <c r="U28" i="36"/>
  <c r="Y28" i="36"/>
  <c r="N28" i="36"/>
  <c r="Q28" i="36"/>
  <c r="P28" i="36"/>
  <c r="R28" i="36"/>
  <c r="O28" i="36"/>
  <c r="S28" i="36"/>
  <c r="G28" i="36"/>
  <c r="J28" i="36"/>
  <c r="I28" i="36"/>
  <c r="K28" i="36"/>
  <c r="H28" i="36"/>
  <c r="L28" i="36"/>
  <c r="M27" i="36"/>
  <c r="T27" i="36"/>
  <c r="W27" i="36"/>
  <c r="V27" i="36"/>
  <c r="X27" i="36"/>
  <c r="U27" i="36"/>
  <c r="Y27" i="36"/>
  <c r="N27" i="36"/>
  <c r="Q27" i="36"/>
  <c r="P27" i="36"/>
  <c r="R27" i="36"/>
  <c r="O27" i="36"/>
  <c r="S27" i="36"/>
  <c r="G27" i="36"/>
  <c r="J27" i="36"/>
  <c r="I27" i="36"/>
  <c r="K27" i="36"/>
  <c r="H27" i="36"/>
  <c r="L27" i="36"/>
  <c r="M26" i="36"/>
  <c r="T26" i="36"/>
  <c r="W26" i="36"/>
  <c r="V26" i="36"/>
  <c r="X26" i="36"/>
  <c r="U26" i="36"/>
  <c r="Y26" i="36"/>
  <c r="N26" i="36"/>
  <c r="Q26" i="36"/>
  <c r="P26" i="36"/>
  <c r="R26" i="36"/>
  <c r="O26" i="36"/>
  <c r="S26" i="36"/>
  <c r="G26" i="36"/>
  <c r="J26" i="36"/>
  <c r="I26" i="36"/>
  <c r="K26" i="36"/>
  <c r="H26" i="36"/>
  <c r="L26" i="36"/>
  <c r="M25" i="36"/>
  <c r="T25" i="36"/>
  <c r="W25" i="36"/>
  <c r="V25" i="36"/>
  <c r="X25" i="36"/>
  <c r="U25" i="36"/>
  <c r="Y25" i="36"/>
  <c r="N25" i="36"/>
  <c r="Q25" i="36"/>
  <c r="P25" i="36"/>
  <c r="R25" i="36"/>
  <c r="O25" i="36"/>
  <c r="S25" i="36"/>
  <c r="G25" i="36"/>
  <c r="J25" i="36"/>
  <c r="I25" i="36"/>
  <c r="K25" i="36"/>
  <c r="H25" i="36"/>
  <c r="L25" i="36"/>
  <c r="M24" i="36"/>
  <c r="T24" i="36"/>
  <c r="W24" i="36"/>
  <c r="V24" i="36"/>
  <c r="X24" i="36"/>
  <c r="U24" i="36"/>
  <c r="Y24" i="36"/>
  <c r="N24" i="36"/>
  <c r="Q24" i="36"/>
  <c r="P24" i="36"/>
  <c r="R24" i="36"/>
  <c r="O24" i="36"/>
  <c r="S24" i="36"/>
  <c r="G24" i="36"/>
  <c r="J24" i="36"/>
  <c r="I24" i="36"/>
  <c r="K24" i="36"/>
  <c r="H24" i="36"/>
  <c r="L24" i="36"/>
  <c r="M23" i="36"/>
  <c r="T23" i="36"/>
  <c r="W23" i="36"/>
  <c r="V23" i="36"/>
  <c r="X23" i="36"/>
  <c r="U23" i="36"/>
  <c r="Y23" i="36"/>
  <c r="N23" i="36"/>
  <c r="Q23" i="36"/>
  <c r="P23" i="36"/>
  <c r="R23" i="36"/>
  <c r="O23" i="36"/>
  <c r="S23" i="36"/>
  <c r="G23" i="36"/>
  <c r="J23" i="36"/>
  <c r="I23" i="36"/>
  <c r="K23" i="36"/>
  <c r="H23" i="36"/>
  <c r="L23" i="36"/>
  <c r="M22" i="36"/>
  <c r="T22" i="36"/>
  <c r="W22" i="36"/>
  <c r="V22" i="36"/>
  <c r="X22" i="36"/>
  <c r="U22" i="36"/>
  <c r="Y22" i="36"/>
  <c r="N22" i="36"/>
  <c r="Q22" i="36"/>
  <c r="P22" i="36"/>
  <c r="R22" i="36"/>
  <c r="O22" i="36"/>
  <c r="S22" i="36"/>
  <c r="G22" i="36"/>
  <c r="J22" i="36"/>
  <c r="I22" i="36"/>
  <c r="K22" i="36"/>
  <c r="H22" i="36"/>
  <c r="L22" i="36"/>
  <c r="M21" i="36"/>
  <c r="T21" i="36"/>
  <c r="W21" i="36"/>
  <c r="V21" i="36"/>
  <c r="X21" i="36"/>
  <c r="U21" i="36"/>
  <c r="Y21" i="36"/>
  <c r="N21" i="36"/>
  <c r="Q21" i="36"/>
  <c r="P21" i="36"/>
  <c r="R21" i="36"/>
  <c r="O21" i="36"/>
  <c r="S21" i="36"/>
  <c r="G21" i="36"/>
  <c r="J21" i="36"/>
  <c r="I21" i="36"/>
  <c r="K21" i="36"/>
  <c r="H21" i="36"/>
  <c r="L21" i="36"/>
  <c r="M20" i="36"/>
  <c r="T20" i="36"/>
  <c r="W20" i="36"/>
  <c r="V20" i="36"/>
  <c r="X20" i="36"/>
  <c r="U20" i="36"/>
  <c r="Y20" i="36"/>
  <c r="N20" i="36"/>
  <c r="Q20" i="36"/>
  <c r="P20" i="36"/>
  <c r="R20" i="36"/>
  <c r="O20" i="36"/>
  <c r="S20" i="36"/>
  <c r="G20" i="36"/>
  <c r="J20" i="36"/>
  <c r="I20" i="36"/>
  <c r="K20" i="36"/>
  <c r="H20" i="36"/>
  <c r="L20" i="36"/>
  <c r="M19" i="36"/>
  <c r="T19" i="36"/>
  <c r="W19" i="36"/>
  <c r="V19" i="36"/>
  <c r="X19" i="36"/>
  <c r="U19" i="36"/>
  <c r="Y19" i="36"/>
  <c r="N19" i="36"/>
  <c r="Q19" i="36"/>
  <c r="P19" i="36"/>
  <c r="R19" i="36"/>
  <c r="O19" i="36"/>
  <c r="S19" i="36"/>
  <c r="G19" i="36"/>
  <c r="J19" i="36"/>
  <c r="I19" i="36"/>
  <c r="K19" i="36"/>
  <c r="H19" i="36"/>
  <c r="L19" i="36"/>
  <c r="M18" i="36"/>
  <c r="T18" i="36"/>
  <c r="W18" i="36"/>
  <c r="V18" i="36"/>
  <c r="X18" i="36"/>
  <c r="U18" i="36"/>
  <c r="Y18" i="36"/>
  <c r="N18" i="36"/>
  <c r="Q18" i="36"/>
  <c r="P18" i="36"/>
  <c r="R18" i="36"/>
  <c r="O18" i="36"/>
  <c r="S18" i="36"/>
  <c r="G18" i="36"/>
  <c r="J18" i="36"/>
  <c r="I18" i="36"/>
  <c r="K18" i="36"/>
  <c r="H18" i="36"/>
  <c r="L18" i="36"/>
  <c r="M17" i="36"/>
  <c r="T17" i="36"/>
  <c r="W17" i="36"/>
  <c r="V17" i="36"/>
  <c r="X17" i="36"/>
  <c r="U17" i="36"/>
  <c r="Y17" i="36"/>
  <c r="N17" i="36"/>
  <c r="Q17" i="36"/>
  <c r="P17" i="36"/>
  <c r="R17" i="36"/>
  <c r="O17" i="36"/>
  <c r="S17" i="36"/>
  <c r="G17" i="36"/>
  <c r="J17" i="36"/>
  <c r="I17" i="36"/>
  <c r="K17" i="36"/>
  <c r="H17" i="36"/>
  <c r="L17" i="36"/>
  <c r="M16" i="36"/>
  <c r="T16" i="36"/>
  <c r="W16" i="36"/>
  <c r="V16" i="36"/>
  <c r="X16" i="36"/>
  <c r="U16" i="36"/>
  <c r="Y16" i="36"/>
  <c r="N16" i="36"/>
  <c r="Q16" i="36"/>
  <c r="P16" i="36"/>
  <c r="R16" i="36"/>
  <c r="O16" i="36"/>
  <c r="S16" i="36"/>
  <c r="G16" i="36"/>
  <c r="J16" i="36"/>
  <c r="I16" i="36"/>
  <c r="K16" i="36"/>
  <c r="H16" i="36"/>
  <c r="L16" i="36"/>
  <c r="M15" i="36"/>
  <c r="T15" i="36"/>
  <c r="W15" i="36"/>
  <c r="V15" i="36"/>
  <c r="X15" i="36"/>
  <c r="U15" i="36"/>
  <c r="Y15" i="36"/>
  <c r="N15" i="36"/>
  <c r="Q15" i="36"/>
  <c r="P15" i="36"/>
  <c r="R15" i="36"/>
  <c r="O15" i="36"/>
  <c r="S15" i="36"/>
  <c r="G15" i="36"/>
  <c r="J15" i="36"/>
  <c r="I15" i="36"/>
  <c r="K15" i="36"/>
  <c r="H15" i="36"/>
  <c r="L15" i="36"/>
  <c r="M14" i="36"/>
  <c r="T14" i="36"/>
  <c r="W14" i="36"/>
  <c r="V14" i="36"/>
  <c r="X14" i="36"/>
  <c r="U14" i="36"/>
  <c r="Y14" i="36"/>
  <c r="N14" i="36"/>
  <c r="Q14" i="36"/>
  <c r="P14" i="36"/>
  <c r="R14" i="36"/>
  <c r="O14" i="36"/>
  <c r="S14" i="36"/>
  <c r="G14" i="36"/>
  <c r="J14" i="36"/>
  <c r="I14" i="36"/>
  <c r="K14" i="36"/>
  <c r="H14" i="36"/>
  <c r="L14" i="36"/>
  <c r="M13" i="36"/>
  <c r="T13" i="36"/>
  <c r="W13" i="36"/>
  <c r="V13" i="36"/>
  <c r="X13" i="36"/>
  <c r="U13" i="36"/>
  <c r="Y13" i="36"/>
  <c r="N13" i="36"/>
  <c r="Q13" i="36"/>
  <c r="P13" i="36"/>
  <c r="R13" i="36"/>
  <c r="O13" i="36"/>
  <c r="S13" i="36"/>
  <c r="G13" i="36"/>
  <c r="J13" i="36"/>
  <c r="I13" i="36"/>
  <c r="K13" i="36"/>
  <c r="H13" i="36"/>
  <c r="L13" i="36"/>
  <c r="M12" i="36"/>
  <c r="T12" i="36"/>
  <c r="W12" i="36"/>
  <c r="V12" i="36"/>
  <c r="X12" i="36"/>
  <c r="U12" i="36"/>
  <c r="Y12" i="36"/>
  <c r="N12" i="36"/>
  <c r="Q12" i="36"/>
  <c r="P12" i="36"/>
  <c r="R12" i="36"/>
  <c r="O12" i="36"/>
  <c r="S12" i="36"/>
  <c r="G12" i="36"/>
  <c r="J12" i="36"/>
  <c r="I12" i="36"/>
  <c r="K12" i="36"/>
  <c r="H12" i="36"/>
  <c r="L12" i="36"/>
  <c r="M11" i="36"/>
  <c r="T11" i="36"/>
  <c r="W11" i="36"/>
  <c r="V11" i="36"/>
  <c r="X11" i="36"/>
  <c r="U11" i="36"/>
  <c r="Y11" i="36"/>
  <c r="N11" i="36"/>
  <c r="Q11" i="36"/>
  <c r="P11" i="36"/>
  <c r="R11" i="36"/>
  <c r="O11" i="36"/>
  <c r="S11" i="36"/>
  <c r="G11" i="36"/>
  <c r="J11" i="36"/>
  <c r="I11" i="36"/>
  <c r="K11" i="36"/>
  <c r="H11" i="36"/>
  <c r="L11" i="36"/>
  <c r="M10" i="36"/>
  <c r="T10" i="36"/>
  <c r="W10" i="36"/>
  <c r="V10" i="36"/>
  <c r="X10" i="36"/>
  <c r="U10" i="36"/>
  <c r="Y10" i="36"/>
  <c r="N10" i="36"/>
  <c r="Q10" i="36"/>
  <c r="P10" i="36"/>
  <c r="R10" i="36"/>
  <c r="O10" i="36"/>
  <c r="S10" i="36"/>
  <c r="G10" i="36"/>
  <c r="J10" i="36"/>
  <c r="I10" i="36"/>
  <c r="K10" i="36"/>
  <c r="H10" i="36"/>
  <c r="L10" i="36"/>
  <c r="M9" i="36"/>
  <c r="T9" i="36"/>
  <c r="W9" i="36"/>
  <c r="V9" i="36"/>
  <c r="X9" i="36"/>
  <c r="U9" i="36"/>
  <c r="Y9" i="36"/>
  <c r="N9" i="36"/>
  <c r="Q9" i="36"/>
  <c r="P9" i="36"/>
  <c r="R9" i="36"/>
  <c r="O9" i="36"/>
  <c r="S9" i="36"/>
  <c r="G9" i="36"/>
  <c r="J9" i="36"/>
  <c r="I9" i="36"/>
  <c r="K9" i="36"/>
  <c r="H9" i="36"/>
  <c r="L9" i="36"/>
  <c r="M8" i="36"/>
  <c r="T8" i="36"/>
  <c r="W8" i="36"/>
  <c r="V8" i="36"/>
  <c r="X8" i="36"/>
  <c r="U8" i="36"/>
  <c r="Y8" i="36"/>
  <c r="N8" i="36"/>
  <c r="Q8" i="36"/>
  <c r="P8" i="36"/>
  <c r="R8" i="36"/>
  <c r="O8" i="36"/>
  <c r="S8" i="36"/>
  <c r="G8" i="36"/>
  <c r="J8" i="36"/>
  <c r="I8" i="36"/>
  <c r="K8" i="36"/>
  <c r="H8" i="36"/>
  <c r="L8" i="36"/>
  <c r="M7" i="36"/>
  <c r="T7" i="36"/>
  <c r="W7" i="36"/>
  <c r="V7" i="36"/>
  <c r="X7" i="36"/>
  <c r="U7" i="36"/>
  <c r="Y7" i="36"/>
  <c r="N7" i="36"/>
  <c r="Q7" i="36"/>
  <c r="P7" i="36"/>
  <c r="R7" i="36"/>
  <c r="O7" i="36"/>
  <c r="S7" i="36"/>
  <c r="G7" i="36"/>
  <c r="J7" i="36"/>
  <c r="I7" i="36"/>
  <c r="K7" i="36"/>
  <c r="H7" i="36"/>
  <c r="L7" i="36"/>
  <c r="M6" i="36"/>
  <c r="T6" i="36"/>
  <c r="W6" i="36"/>
  <c r="V6" i="36"/>
  <c r="X6" i="36"/>
  <c r="U6" i="36"/>
  <c r="Y6" i="36"/>
  <c r="N6" i="36"/>
  <c r="Q6" i="36"/>
  <c r="P6" i="36"/>
  <c r="R6" i="36"/>
  <c r="O6" i="36"/>
  <c r="S6" i="36"/>
  <c r="G6" i="36"/>
  <c r="J6" i="36"/>
  <c r="I6" i="36"/>
  <c r="K6" i="36"/>
  <c r="H6" i="36"/>
  <c r="L6" i="36"/>
  <c r="M5" i="36"/>
  <c r="T5" i="36"/>
  <c r="W5" i="36"/>
  <c r="V5" i="36"/>
  <c r="X5" i="36"/>
  <c r="U5" i="36"/>
  <c r="Y5" i="36"/>
  <c r="N5" i="36"/>
  <c r="Q5" i="36"/>
  <c r="P5" i="36"/>
  <c r="R5" i="36"/>
  <c r="O5" i="36"/>
  <c r="S5" i="36"/>
  <c r="G5" i="36"/>
  <c r="J5" i="36"/>
  <c r="I5" i="36"/>
  <c r="K5" i="36"/>
  <c r="H5" i="36"/>
  <c r="L5" i="36"/>
  <c r="M4" i="36"/>
  <c r="T4" i="36"/>
  <c r="W4" i="36"/>
  <c r="V4" i="36"/>
  <c r="X4" i="36"/>
  <c r="U4" i="36"/>
  <c r="Y4" i="36"/>
  <c r="N4" i="36"/>
  <c r="Q4" i="36"/>
  <c r="P4" i="36"/>
  <c r="R4" i="36"/>
  <c r="O4" i="36"/>
  <c r="S4" i="36"/>
  <c r="G4" i="36"/>
  <c r="J4" i="36"/>
  <c r="I4" i="36"/>
  <c r="K4" i="36"/>
  <c r="H4" i="36"/>
  <c r="L4" i="36"/>
  <c r="M3" i="36"/>
  <c r="T3" i="36"/>
  <c r="W3" i="36"/>
  <c r="V3" i="36"/>
  <c r="X3" i="36"/>
  <c r="U3" i="36"/>
  <c r="Y3" i="36"/>
  <c r="N3" i="36"/>
  <c r="Q3" i="36"/>
  <c r="P3" i="36"/>
  <c r="R3" i="36"/>
  <c r="O3" i="36"/>
  <c r="S3" i="36"/>
  <c r="G3" i="36"/>
  <c r="J3" i="36"/>
  <c r="I3" i="36"/>
  <c r="K3" i="36"/>
  <c r="H3" i="36"/>
  <c r="L3" i="36"/>
  <c r="M2" i="36"/>
  <c r="T2" i="36"/>
  <c r="W2" i="36"/>
  <c r="V2" i="36"/>
  <c r="X2" i="36"/>
  <c r="U2" i="36"/>
  <c r="Y2" i="36"/>
  <c r="N2" i="36"/>
  <c r="Q2" i="36"/>
  <c r="P2" i="36"/>
  <c r="R2" i="36"/>
  <c r="O2" i="36"/>
  <c r="S2" i="36"/>
  <c r="G2" i="36"/>
  <c r="J2" i="36"/>
  <c r="I2" i="36"/>
  <c r="K2" i="36"/>
  <c r="H2" i="36"/>
  <c r="L2" i="36"/>
  <c r="O101" i="35"/>
  <c r="N101" i="35"/>
  <c r="M101" i="35"/>
  <c r="L101" i="35"/>
  <c r="K101" i="35"/>
  <c r="J101" i="35"/>
  <c r="I101" i="35"/>
  <c r="H101" i="35"/>
  <c r="G101" i="35"/>
  <c r="E101" i="35"/>
  <c r="D101" i="35"/>
  <c r="A101" i="35"/>
  <c r="O100" i="35"/>
  <c r="N100" i="35"/>
  <c r="M100" i="35"/>
  <c r="L100" i="35"/>
  <c r="K100" i="35"/>
  <c r="J100" i="35"/>
  <c r="I100" i="35"/>
  <c r="H100" i="35"/>
  <c r="G100" i="35"/>
  <c r="E100" i="35"/>
  <c r="D100" i="35"/>
  <c r="A100" i="35"/>
  <c r="O99" i="35"/>
  <c r="N99" i="35"/>
  <c r="M99" i="35"/>
  <c r="L99" i="35"/>
  <c r="K99" i="35"/>
  <c r="J99" i="35"/>
  <c r="I99" i="35"/>
  <c r="H99" i="35"/>
  <c r="G99" i="35"/>
  <c r="E99" i="35"/>
  <c r="D99" i="35"/>
  <c r="A99" i="35"/>
  <c r="O98" i="35"/>
  <c r="N98" i="35"/>
  <c r="M98" i="35"/>
  <c r="L98" i="35"/>
  <c r="K98" i="35"/>
  <c r="J98" i="35"/>
  <c r="I98" i="35"/>
  <c r="H98" i="35"/>
  <c r="G98" i="35"/>
  <c r="E98" i="35"/>
  <c r="D98" i="35"/>
  <c r="A98" i="35"/>
  <c r="O97" i="35"/>
  <c r="N97" i="35"/>
  <c r="M97" i="35"/>
  <c r="L97" i="35"/>
  <c r="K97" i="35"/>
  <c r="J97" i="35"/>
  <c r="I97" i="35"/>
  <c r="H97" i="35"/>
  <c r="G97" i="35"/>
  <c r="E97" i="35"/>
  <c r="D97" i="35"/>
  <c r="A97" i="35"/>
  <c r="O96" i="35"/>
  <c r="N96" i="35"/>
  <c r="M96" i="35"/>
  <c r="L96" i="35"/>
  <c r="K96" i="35"/>
  <c r="J96" i="35"/>
  <c r="I96" i="35"/>
  <c r="H96" i="35"/>
  <c r="G96" i="35"/>
  <c r="E96" i="35"/>
  <c r="D96" i="35"/>
  <c r="A96" i="35"/>
  <c r="O95" i="35"/>
  <c r="N95" i="35"/>
  <c r="M95" i="35"/>
  <c r="L95" i="35"/>
  <c r="K95" i="35"/>
  <c r="J95" i="35"/>
  <c r="I95" i="35"/>
  <c r="H95" i="35"/>
  <c r="G95" i="35"/>
  <c r="E95" i="35"/>
  <c r="D95" i="35"/>
  <c r="A95" i="35"/>
  <c r="O94" i="35"/>
  <c r="N94" i="35"/>
  <c r="M94" i="35"/>
  <c r="L94" i="35"/>
  <c r="K94" i="35"/>
  <c r="J94" i="35"/>
  <c r="I94" i="35"/>
  <c r="H94" i="35"/>
  <c r="G94" i="35"/>
  <c r="E94" i="35"/>
  <c r="D94" i="35"/>
  <c r="A94" i="35"/>
  <c r="O93" i="35"/>
  <c r="N93" i="35"/>
  <c r="M93" i="35"/>
  <c r="L93" i="35"/>
  <c r="K93" i="35"/>
  <c r="J93" i="35"/>
  <c r="I93" i="35"/>
  <c r="H93" i="35"/>
  <c r="G93" i="35"/>
  <c r="E93" i="35"/>
  <c r="D93" i="35"/>
  <c r="A93" i="35"/>
  <c r="O92" i="35"/>
  <c r="N92" i="35"/>
  <c r="M92" i="35"/>
  <c r="L92" i="35"/>
  <c r="K92" i="35"/>
  <c r="J92" i="35"/>
  <c r="I92" i="35"/>
  <c r="H92" i="35"/>
  <c r="G92" i="35"/>
  <c r="E92" i="35"/>
  <c r="D92" i="35"/>
  <c r="A92" i="35"/>
  <c r="O91" i="35"/>
  <c r="N91" i="35"/>
  <c r="M91" i="35"/>
  <c r="L91" i="35"/>
  <c r="K91" i="35"/>
  <c r="J91" i="35"/>
  <c r="I91" i="35"/>
  <c r="H91" i="35"/>
  <c r="G91" i="35"/>
  <c r="E91" i="35"/>
  <c r="D91" i="35"/>
  <c r="A91" i="35"/>
  <c r="O90" i="35"/>
  <c r="N90" i="35"/>
  <c r="M90" i="35"/>
  <c r="L90" i="35"/>
  <c r="K90" i="35"/>
  <c r="J90" i="35"/>
  <c r="I90" i="35"/>
  <c r="H90" i="35"/>
  <c r="G90" i="35"/>
  <c r="E90" i="35"/>
  <c r="D90" i="35"/>
  <c r="A90" i="35"/>
  <c r="O89" i="35"/>
  <c r="N89" i="35"/>
  <c r="M89" i="35"/>
  <c r="L89" i="35"/>
  <c r="K89" i="35"/>
  <c r="J89" i="35"/>
  <c r="I89" i="35"/>
  <c r="H89" i="35"/>
  <c r="G89" i="35"/>
  <c r="E89" i="35"/>
  <c r="D89" i="35"/>
  <c r="A89" i="35"/>
  <c r="O88" i="35"/>
  <c r="N88" i="35"/>
  <c r="M88" i="35"/>
  <c r="L88" i="35"/>
  <c r="K88" i="35"/>
  <c r="J88" i="35"/>
  <c r="I88" i="35"/>
  <c r="H88" i="35"/>
  <c r="G88" i="35"/>
  <c r="E88" i="35"/>
  <c r="D88" i="35"/>
  <c r="A88" i="35"/>
  <c r="O87" i="35"/>
  <c r="N87" i="35"/>
  <c r="M87" i="35"/>
  <c r="L87" i="35"/>
  <c r="K87" i="35"/>
  <c r="J87" i="35"/>
  <c r="I87" i="35"/>
  <c r="H87" i="35"/>
  <c r="G87" i="35"/>
  <c r="E87" i="35"/>
  <c r="D87" i="35"/>
  <c r="A87" i="35"/>
  <c r="O86" i="35"/>
  <c r="N86" i="35"/>
  <c r="M86" i="35"/>
  <c r="L86" i="35"/>
  <c r="K86" i="35"/>
  <c r="J86" i="35"/>
  <c r="I86" i="35"/>
  <c r="H86" i="35"/>
  <c r="G86" i="35"/>
  <c r="E86" i="35"/>
  <c r="D86" i="35"/>
  <c r="A86" i="35"/>
  <c r="O85" i="35"/>
  <c r="N85" i="35"/>
  <c r="M85" i="35"/>
  <c r="L85" i="35"/>
  <c r="K85" i="35"/>
  <c r="J85" i="35"/>
  <c r="I85" i="35"/>
  <c r="H85" i="35"/>
  <c r="G85" i="35"/>
  <c r="E85" i="35"/>
  <c r="D85" i="35"/>
  <c r="A85" i="35"/>
  <c r="O84" i="35"/>
  <c r="N84" i="35"/>
  <c r="M84" i="35"/>
  <c r="L84" i="35"/>
  <c r="K84" i="35"/>
  <c r="J84" i="35"/>
  <c r="I84" i="35"/>
  <c r="H84" i="35"/>
  <c r="G84" i="35"/>
  <c r="E84" i="35"/>
  <c r="D84" i="35"/>
  <c r="A84" i="35"/>
  <c r="O83" i="35"/>
  <c r="N83" i="35"/>
  <c r="M83" i="35"/>
  <c r="L83" i="35"/>
  <c r="K83" i="35"/>
  <c r="J83" i="35"/>
  <c r="I83" i="35"/>
  <c r="H83" i="35"/>
  <c r="G83" i="35"/>
  <c r="E83" i="35"/>
  <c r="D83" i="35"/>
  <c r="A83" i="35"/>
  <c r="O82" i="35"/>
  <c r="N82" i="35"/>
  <c r="M82" i="35"/>
  <c r="L82" i="35"/>
  <c r="K82" i="35"/>
  <c r="J82" i="35"/>
  <c r="I82" i="35"/>
  <c r="H82" i="35"/>
  <c r="G82" i="35"/>
  <c r="E82" i="35"/>
  <c r="D82" i="35"/>
  <c r="A82" i="35"/>
  <c r="O81" i="35"/>
  <c r="N81" i="35"/>
  <c r="M81" i="35"/>
  <c r="L81" i="35"/>
  <c r="K81" i="35"/>
  <c r="J81" i="35"/>
  <c r="I81" i="35"/>
  <c r="H81" i="35"/>
  <c r="G81" i="35"/>
  <c r="E81" i="35"/>
  <c r="D81" i="35"/>
  <c r="A81" i="35"/>
  <c r="O80" i="35"/>
  <c r="N80" i="35"/>
  <c r="M80" i="35"/>
  <c r="L80" i="35"/>
  <c r="K80" i="35"/>
  <c r="J80" i="35"/>
  <c r="I80" i="35"/>
  <c r="H80" i="35"/>
  <c r="G80" i="35"/>
  <c r="E80" i="35"/>
  <c r="D80" i="35"/>
  <c r="A80" i="35"/>
  <c r="O79" i="35"/>
  <c r="N79" i="35"/>
  <c r="M79" i="35"/>
  <c r="L79" i="35"/>
  <c r="K79" i="35"/>
  <c r="J79" i="35"/>
  <c r="I79" i="35"/>
  <c r="H79" i="35"/>
  <c r="G79" i="35"/>
  <c r="E79" i="35"/>
  <c r="D79" i="35"/>
  <c r="A79" i="35"/>
  <c r="O78" i="35"/>
  <c r="N78" i="35"/>
  <c r="M78" i="35"/>
  <c r="L78" i="35"/>
  <c r="K78" i="35"/>
  <c r="J78" i="35"/>
  <c r="I78" i="35"/>
  <c r="H78" i="35"/>
  <c r="G78" i="35"/>
  <c r="E78" i="35"/>
  <c r="D78" i="35"/>
  <c r="A78" i="35"/>
  <c r="O77" i="35"/>
  <c r="N77" i="35"/>
  <c r="M77" i="35"/>
  <c r="L77" i="35"/>
  <c r="K77" i="35"/>
  <c r="J77" i="35"/>
  <c r="I77" i="35"/>
  <c r="H77" i="35"/>
  <c r="G77" i="35"/>
  <c r="E77" i="35"/>
  <c r="D77" i="35"/>
  <c r="A77" i="35"/>
  <c r="O76" i="35"/>
  <c r="N76" i="35"/>
  <c r="M76" i="35"/>
  <c r="L76" i="35"/>
  <c r="K76" i="35"/>
  <c r="J76" i="35"/>
  <c r="I76" i="35"/>
  <c r="H76" i="35"/>
  <c r="G76" i="35"/>
  <c r="E76" i="35"/>
  <c r="D76" i="35"/>
  <c r="A76" i="35"/>
  <c r="O75" i="35"/>
  <c r="N75" i="35"/>
  <c r="M75" i="35"/>
  <c r="L75" i="35"/>
  <c r="K75" i="35"/>
  <c r="J75" i="35"/>
  <c r="I75" i="35"/>
  <c r="H75" i="35"/>
  <c r="G75" i="35"/>
  <c r="E75" i="35"/>
  <c r="D75" i="35"/>
  <c r="A75" i="35"/>
  <c r="O74" i="35"/>
  <c r="N74" i="35"/>
  <c r="M74" i="35"/>
  <c r="L74" i="35"/>
  <c r="K74" i="35"/>
  <c r="J74" i="35"/>
  <c r="I74" i="35"/>
  <c r="H74" i="35"/>
  <c r="G74" i="35"/>
  <c r="E74" i="35"/>
  <c r="D74" i="35"/>
  <c r="A74" i="35"/>
  <c r="O73" i="35"/>
  <c r="N73" i="35"/>
  <c r="M73" i="35"/>
  <c r="L73" i="35"/>
  <c r="K73" i="35"/>
  <c r="J73" i="35"/>
  <c r="I73" i="35"/>
  <c r="H73" i="35"/>
  <c r="G73" i="35"/>
  <c r="E73" i="35"/>
  <c r="D73" i="35"/>
  <c r="A73" i="35"/>
  <c r="O72" i="35"/>
  <c r="N72" i="35"/>
  <c r="M72" i="35"/>
  <c r="L72" i="35"/>
  <c r="K72" i="35"/>
  <c r="J72" i="35"/>
  <c r="I72" i="35"/>
  <c r="H72" i="35"/>
  <c r="G72" i="35"/>
  <c r="E72" i="35"/>
  <c r="D72" i="35"/>
  <c r="A72" i="35"/>
  <c r="O71" i="35"/>
  <c r="N71" i="35"/>
  <c r="M71" i="35"/>
  <c r="L71" i="35"/>
  <c r="K71" i="35"/>
  <c r="J71" i="35"/>
  <c r="I71" i="35"/>
  <c r="H71" i="35"/>
  <c r="G71" i="35"/>
  <c r="E71" i="35"/>
  <c r="D71" i="35"/>
  <c r="A71" i="35"/>
  <c r="O70" i="35"/>
  <c r="N70" i="35"/>
  <c r="M70" i="35"/>
  <c r="L70" i="35"/>
  <c r="K70" i="35"/>
  <c r="J70" i="35"/>
  <c r="I70" i="35"/>
  <c r="H70" i="35"/>
  <c r="G70" i="35"/>
  <c r="E70" i="35"/>
  <c r="D70" i="35"/>
  <c r="A70" i="35"/>
  <c r="O69" i="35"/>
  <c r="N69" i="35"/>
  <c r="M69" i="35"/>
  <c r="L69" i="35"/>
  <c r="K69" i="35"/>
  <c r="J69" i="35"/>
  <c r="I69" i="35"/>
  <c r="H69" i="35"/>
  <c r="G69" i="35"/>
  <c r="E69" i="35"/>
  <c r="D69" i="35"/>
  <c r="A69" i="35"/>
  <c r="O68" i="35"/>
  <c r="N68" i="35"/>
  <c r="M68" i="35"/>
  <c r="L68" i="35"/>
  <c r="K68" i="35"/>
  <c r="J68" i="35"/>
  <c r="I68" i="35"/>
  <c r="H68" i="35"/>
  <c r="G68" i="35"/>
  <c r="E68" i="35"/>
  <c r="D68" i="35"/>
  <c r="A68" i="35"/>
  <c r="O67" i="35"/>
  <c r="N67" i="35"/>
  <c r="M67" i="35"/>
  <c r="L67" i="35"/>
  <c r="K67" i="35"/>
  <c r="J67" i="35"/>
  <c r="I67" i="35"/>
  <c r="H67" i="35"/>
  <c r="G67" i="35"/>
  <c r="E67" i="35"/>
  <c r="D67" i="35"/>
  <c r="A67" i="35"/>
  <c r="O66" i="35"/>
  <c r="N66" i="35"/>
  <c r="M66" i="35"/>
  <c r="L66" i="35"/>
  <c r="K66" i="35"/>
  <c r="J66" i="35"/>
  <c r="I66" i="35"/>
  <c r="H66" i="35"/>
  <c r="G66" i="35"/>
  <c r="E66" i="35"/>
  <c r="D66" i="35"/>
  <c r="A66" i="35"/>
  <c r="O65" i="35"/>
  <c r="N65" i="35"/>
  <c r="M65" i="35"/>
  <c r="L65" i="35"/>
  <c r="K65" i="35"/>
  <c r="J65" i="35"/>
  <c r="I65" i="35"/>
  <c r="H65" i="35"/>
  <c r="G65" i="35"/>
  <c r="E65" i="35"/>
  <c r="D65" i="35"/>
  <c r="A65" i="35"/>
  <c r="O64" i="35"/>
  <c r="N64" i="35"/>
  <c r="M64" i="35"/>
  <c r="L64" i="35"/>
  <c r="K64" i="35"/>
  <c r="J64" i="35"/>
  <c r="I64" i="35"/>
  <c r="H64" i="35"/>
  <c r="G64" i="35"/>
  <c r="E64" i="35"/>
  <c r="D64" i="35"/>
  <c r="A64" i="35"/>
  <c r="O63" i="35"/>
  <c r="N63" i="35"/>
  <c r="M63" i="35"/>
  <c r="L63" i="35"/>
  <c r="K63" i="35"/>
  <c r="J63" i="35"/>
  <c r="I63" i="35"/>
  <c r="H63" i="35"/>
  <c r="G63" i="35"/>
  <c r="E63" i="35"/>
  <c r="D63" i="35"/>
  <c r="A63" i="35"/>
  <c r="O62" i="35"/>
  <c r="N62" i="35"/>
  <c r="M62" i="35"/>
  <c r="L62" i="35"/>
  <c r="K62" i="35"/>
  <c r="J62" i="35"/>
  <c r="I62" i="35"/>
  <c r="H62" i="35"/>
  <c r="G62" i="35"/>
  <c r="E62" i="35"/>
  <c r="D62" i="35"/>
  <c r="A62" i="35"/>
  <c r="O61" i="35"/>
  <c r="N61" i="35"/>
  <c r="M61" i="35"/>
  <c r="L61" i="35"/>
  <c r="K61" i="35"/>
  <c r="J61" i="35"/>
  <c r="I61" i="35"/>
  <c r="H61" i="35"/>
  <c r="G61" i="35"/>
  <c r="E61" i="35"/>
  <c r="D61" i="35"/>
  <c r="A61" i="35"/>
  <c r="O60" i="35"/>
  <c r="N60" i="35"/>
  <c r="M60" i="35"/>
  <c r="L60" i="35"/>
  <c r="K60" i="35"/>
  <c r="J60" i="35"/>
  <c r="I60" i="35"/>
  <c r="H60" i="35"/>
  <c r="G60" i="35"/>
  <c r="E60" i="35"/>
  <c r="D60" i="35"/>
  <c r="A60" i="35"/>
  <c r="O59" i="35"/>
  <c r="N59" i="35"/>
  <c r="M59" i="35"/>
  <c r="L59" i="35"/>
  <c r="K59" i="35"/>
  <c r="J59" i="35"/>
  <c r="I59" i="35"/>
  <c r="H59" i="35"/>
  <c r="G59" i="35"/>
  <c r="E59" i="35"/>
  <c r="D59" i="35"/>
  <c r="A59" i="35"/>
  <c r="O58" i="35"/>
  <c r="N58" i="35"/>
  <c r="M58" i="35"/>
  <c r="L58" i="35"/>
  <c r="K58" i="35"/>
  <c r="J58" i="35"/>
  <c r="I58" i="35"/>
  <c r="H58" i="35"/>
  <c r="G58" i="35"/>
  <c r="E58" i="35"/>
  <c r="D58" i="35"/>
  <c r="A58" i="35"/>
  <c r="O57" i="35"/>
  <c r="N57" i="35"/>
  <c r="M57" i="35"/>
  <c r="L57" i="35"/>
  <c r="K57" i="35"/>
  <c r="J57" i="35"/>
  <c r="I57" i="35"/>
  <c r="H57" i="35"/>
  <c r="G57" i="35"/>
  <c r="E57" i="35"/>
  <c r="D57" i="35"/>
  <c r="A57" i="35"/>
  <c r="O56" i="35"/>
  <c r="N56" i="35"/>
  <c r="M56" i="35"/>
  <c r="L56" i="35"/>
  <c r="K56" i="35"/>
  <c r="J56" i="35"/>
  <c r="I56" i="35"/>
  <c r="H56" i="35"/>
  <c r="G56" i="35"/>
  <c r="E56" i="35"/>
  <c r="D56" i="35"/>
  <c r="A56" i="35"/>
  <c r="O55" i="35"/>
  <c r="N55" i="35"/>
  <c r="M55" i="35"/>
  <c r="L55" i="35"/>
  <c r="K55" i="35"/>
  <c r="J55" i="35"/>
  <c r="I55" i="35"/>
  <c r="H55" i="35"/>
  <c r="G55" i="35"/>
  <c r="E55" i="35"/>
  <c r="D55" i="35"/>
  <c r="A55" i="35"/>
  <c r="O54" i="35"/>
  <c r="N54" i="35"/>
  <c r="M54" i="35"/>
  <c r="L54" i="35"/>
  <c r="K54" i="35"/>
  <c r="J54" i="35"/>
  <c r="I54" i="35"/>
  <c r="H54" i="35"/>
  <c r="G54" i="35"/>
  <c r="E54" i="35"/>
  <c r="D54" i="35"/>
  <c r="A54" i="35"/>
  <c r="O53" i="35"/>
  <c r="N53" i="35"/>
  <c r="M53" i="35"/>
  <c r="L53" i="35"/>
  <c r="K53" i="35"/>
  <c r="J53" i="35"/>
  <c r="I53" i="35"/>
  <c r="H53" i="35"/>
  <c r="G53" i="35"/>
  <c r="E53" i="35"/>
  <c r="D53" i="35"/>
  <c r="A53" i="35"/>
  <c r="O52" i="35"/>
  <c r="N52" i="35"/>
  <c r="M52" i="35"/>
  <c r="L52" i="35"/>
  <c r="K52" i="35"/>
  <c r="J52" i="35"/>
  <c r="I52" i="35"/>
  <c r="H52" i="35"/>
  <c r="G52" i="35"/>
  <c r="E52" i="35"/>
  <c r="D52" i="35"/>
  <c r="A52" i="35"/>
  <c r="O51" i="35"/>
  <c r="N51" i="35"/>
  <c r="M51" i="35"/>
  <c r="L51" i="35"/>
  <c r="K51" i="35"/>
  <c r="J51" i="35"/>
  <c r="I51" i="35"/>
  <c r="H51" i="35"/>
  <c r="G51" i="35"/>
  <c r="E51" i="35"/>
  <c r="D51" i="35"/>
  <c r="A51" i="35"/>
  <c r="O50" i="35"/>
  <c r="N50" i="35"/>
  <c r="M50" i="35"/>
  <c r="L50" i="35"/>
  <c r="K50" i="35"/>
  <c r="J50" i="35"/>
  <c r="I50" i="35"/>
  <c r="H50" i="35"/>
  <c r="G50" i="35"/>
  <c r="E50" i="35"/>
  <c r="D50" i="35"/>
  <c r="A50" i="35"/>
  <c r="O49" i="35"/>
  <c r="N49" i="35"/>
  <c r="M49" i="35"/>
  <c r="L49" i="35"/>
  <c r="K49" i="35"/>
  <c r="J49" i="35"/>
  <c r="I49" i="35"/>
  <c r="H49" i="35"/>
  <c r="G49" i="35"/>
  <c r="E49" i="35"/>
  <c r="D49" i="35"/>
  <c r="A49" i="35"/>
  <c r="O48" i="35"/>
  <c r="N48" i="35"/>
  <c r="M48" i="35"/>
  <c r="L48" i="35"/>
  <c r="K48" i="35"/>
  <c r="J48" i="35"/>
  <c r="I48" i="35"/>
  <c r="H48" i="35"/>
  <c r="G48" i="35"/>
  <c r="E48" i="35"/>
  <c r="D48" i="35"/>
  <c r="A48" i="35"/>
  <c r="O47" i="35"/>
  <c r="N47" i="35"/>
  <c r="M47" i="35"/>
  <c r="L47" i="35"/>
  <c r="K47" i="35"/>
  <c r="J47" i="35"/>
  <c r="I47" i="35"/>
  <c r="H47" i="35"/>
  <c r="G47" i="35"/>
  <c r="E47" i="35"/>
  <c r="D47" i="35"/>
  <c r="A47" i="35"/>
  <c r="O46" i="35"/>
  <c r="N46" i="35"/>
  <c r="M46" i="35"/>
  <c r="L46" i="35"/>
  <c r="K46" i="35"/>
  <c r="J46" i="35"/>
  <c r="I46" i="35"/>
  <c r="H46" i="35"/>
  <c r="G46" i="35"/>
  <c r="E46" i="35"/>
  <c r="D46" i="35"/>
  <c r="A46" i="35"/>
  <c r="O45" i="35"/>
  <c r="N45" i="35"/>
  <c r="M45" i="35"/>
  <c r="L45" i="35"/>
  <c r="K45" i="35"/>
  <c r="J45" i="35"/>
  <c r="I45" i="35"/>
  <c r="H45" i="35"/>
  <c r="G45" i="35"/>
  <c r="E45" i="35"/>
  <c r="D45" i="35"/>
  <c r="A45" i="35"/>
  <c r="O44" i="35"/>
  <c r="N44" i="35"/>
  <c r="M44" i="35"/>
  <c r="L44" i="35"/>
  <c r="K44" i="35"/>
  <c r="J44" i="35"/>
  <c r="I44" i="35"/>
  <c r="H44" i="35"/>
  <c r="G44" i="35"/>
  <c r="E44" i="35"/>
  <c r="D44" i="35"/>
  <c r="A44" i="35"/>
  <c r="O43" i="35"/>
  <c r="N43" i="35"/>
  <c r="M43" i="35"/>
  <c r="L43" i="35"/>
  <c r="K43" i="35"/>
  <c r="J43" i="35"/>
  <c r="I43" i="35"/>
  <c r="H43" i="35"/>
  <c r="G43" i="35"/>
  <c r="E43" i="35"/>
  <c r="D43" i="35"/>
  <c r="A43" i="35"/>
  <c r="O42" i="35"/>
  <c r="N42" i="35"/>
  <c r="M42" i="35"/>
  <c r="L42" i="35"/>
  <c r="K42" i="35"/>
  <c r="J42" i="35"/>
  <c r="I42" i="35"/>
  <c r="H42" i="35"/>
  <c r="G42" i="35"/>
  <c r="E42" i="35"/>
  <c r="D42" i="35"/>
  <c r="A42" i="35"/>
  <c r="O41" i="35"/>
  <c r="N41" i="35"/>
  <c r="M41" i="35"/>
  <c r="L41" i="35"/>
  <c r="K41" i="35"/>
  <c r="J41" i="35"/>
  <c r="I41" i="35"/>
  <c r="H41" i="35"/>
  <c r="G41" i="35"/>
  <c r="E41" i="35"/>
  <c r="D41" i="35"/>
  <c r="A41" i="35"/>
  <c r="O40" i="35"/>
  <c r="N40" i="35"/>
  <c r="M40" i="35"/>
  <c r="L40" i="35"/>
  <c r="K40" i="35"/>
  <c r="J40" i="35"/>
  <c r="I40" i="35"/>
  <c r="H40" i="35"/>
  <c r="G40" i="35"/>
  <c r="E40" i="35"/>
  <c r="D40" i="35"/>
  <c r="A40" i="35"/>
  <c r="O39" i="35"/>
  <c r="N39" i="35"/>
  <c r="M39" i="35"/>
  <c r="L39" i="35"/>
  <c r="K39" i="35"/>
  <c r="J39" i="35"/>
  <c r="I39" i="35"/>
  <c r="H39" i="35"/>
  <c r="G39" i="35"/>
  <c r="E39" i="35"/>
  <c r="D39" i="35"/>
  <c r="A39" i="35"/>
  <c r="O38" i="35"/>
  <c r="N38" i="35"/>
  <c r="M38" i="35"/>
  <c r="L38" i="35"/>
  <c r="K38" i="35"/>
  <c r="J38" i="35"/>
  <c r="I38" i="35"/>
  <c r="H38" i="35"/>
  <c r="G38" i="35"/>
  <c r="E38" i="35"/>
  <c r="D38" i="35"/>
  <c r="A38" i="35"/>
  <c r="O37" i="35"/>
  <c r="N37" i="35"/>
  <c r="M37" i="35"/>
  <c r="L37" i="35"/>
  <c r="K37" i="35"/>
  <c r="J37" i="35"/>
  <c r="I37" i="35"/>
  <c r="H37" i="35"/>
  <c r="G37" i="35"/>
  <c r="E37" i="35"/>
  <c r="D37" i="35"/>
  <c r="A37" i="35"/>
  <c r="O36" i="35"/>
  <c r="N36" i="35"/>
  <c r="M36" i="35"/>
  <c r="L36" i="35"/>
  <c r="K36" i="35"/>
  <c r="J36" i="35"/>
  <c r="I36" i="35"/>
  <c r="H36" i="35"/>
  <c r="G36" i="35"/>
  <c r="E36" i="35"/>
  <c r="D36" i="35"/>
  <c r="A36" i="35"/>
  <c r="O35" i="35"/>
  <c r="N35" i="35"/>
  <c r="M35" i="35"/>
  <c r="L35" i="35"/>
  <c r="K35" i="35"/>
  <c r="J35" i="35"/>
  <c r="I35" i="35"/>
  <c r="H35" i="35"/>
  <c r="G35" i="35"/>
  <c r="E35" i="35"/>
  <c r="D35" i="35"/>
  <c r="A35" i="35"/>
  <c r="O34" i="35"/>
  <c r="N34" i="35"/>
  <c r="M34" i="35"/>
  <c r="L34" i="35"/>
  <c r="K34" i="35"/>
  <c r="J34" i="35"/>
  <c r="I34" i="35"/>
  <c r="H34" i="35"/>
  <c r="G34" i="35"/>
  <c r="E34" i="35"/>
  <c r="D34" i="35"/>
  <c r="A34" i="35"/>
  <c r="O33" i="35"/>
  <c r="N33" i="35"/>
  <c r="M33" i="35"/>
  <c r="L33" i="35"/>
  <c r="K33" i="35"/>
  <c r="J33" i="35"/>
  <c r="I33" i="35"/>
  <c r="H33" i="35"/>
  <c r="G33" i="35"/>
  <c r="E33" i="35"/>
  <c r="D33" i="35"/>
  <c r="A33" i="35"/>
  <c r="O32" i="35"/>
  <c r="N32" i="35"/>
  <c r="M32" i="35"/>
  <c r="L32" i="35"/>
  <c r="K32" i="35"/>
  <c r="J32" i="35"/>
  <c r="I32" i="35"/>
  <c r="H32" i="35"/>
  <c r="G32" i="35"/>
  <c r="E32" i="35"/>
  <c r="D32" i="35"/>
  <c r="A32" i="35"/>
  <c r="O31" i="35"/>
  <c r="N31" i="35"/>
  <c r="M31" i="35"/>
  <c r="L31" i="35"/>
  <c r="K31" i="35"/>
  <c r="J31" i="35"/>
  <c r="I31" i="35"/>
  <c r="H31" i="35"/>
  <c r="G31" i="35"/>
  <c r="E31" i="35"/>
  <c r="D31" i="35"/>
  <c r="A31" i="35"/>
  <c r="O30" i="35"/>
  <c r="N30" i="35"/>
  <c r="M30" i="35"/>
  <c r="L30" i="35"/>
  <c r="K30" i="35"/>
  <c r="J30" i="35"/>
  <c r="I30" i="35"/>
  <c r="H30" i="35"/>
  <c r="G30" i="35"/>
  <c r="E30" i="35"/>
  <c r="D30" i="35"/>
  <c r="A30" i="35"/>
  <c r="O29" i="35"/>
  <c r="N29" i="35"/>
  <c r="M29" i="35"/>
  <c r="L29" i="35"/>
  <c r="K29" i="35"/>
  <c r="J29" i="35"/>
  <c r="I29" i="35"/>
  <c r="H29" i="35"/>
  <c r="G29" i="35"/>
  <c r="E29" i="35"/>
  <c r="D29" i="35"/>
  <c r="A29" i="35"/>
  <c r="O28" i="35"/>
  <c r="N28" i="35"/>
  <c r="M28" i="35"/>
  <c r="L28" i="35"/>
  <c r="K28" i="35"/>
  <c r="J28" i="35"/>
  <c r="I28" i="35"/>
  <c r="H28" i="35"/>
  <c r="G28" i="35"/>
  <c r="E28" i="35"/>
  <c r="D28" i="35"/>
  <c r="A28" i="35"/>
  <c r="O27" i="35"/>
  <c r="N27" i="35"/>
  <c r="M27" i="35"/>
  <c r="L27" i="35"/>
  <c r="K27" i="35"/>
  <c r="J27" i="35"/>
  <c r="I27" i="35"/>
  <c r="H27" i="35"/>
  <c r="G27" i="35"/>
  <c r="E27" i="35"/>
  <c r="D27" i="35"/>
  <c r="A27" i="35"/>
  <c r="O26" i="35"/>
  <c r="N26" i="35"/>
  <c r="M26" i="35"/>
  <c r="L26" i="35"/>
  <c r="K26" i="35"/>
  <c r="J26" i="35"/>
  <c r="I26" i="35"/>
  <c r="H26" i="35"/>
  <c r="G26" i="35"/>
  <c r="E26" i="35"/>
  <c r="D26" i="35"/>
  <c r="A26" i="35"/>
  <c r="O25" i="35"/>
  <c r="N25" i="35"/>
  <c r="M25" i="35"/>
  <c r="L25" i="35"/>
  <c r="K25" i="35"/>
  <c r="J25" i="35"/>
  <c r="I25" i="35"/>
  <c r="H25" i="35"/>
  <c r="G25" i="35"/>
  <c r="E25" i="35"/>
  <c r="D25" i="35"/>
  <c r="A25" i="35"/>
  <c r="O24" i="35"/>
  <c r="N24" i="35"/>
  <c r="M24" i="35"/>
  <c r="L24" i="35"/>
  <c r="K24" i="35"/>
  <c r="J24" i="35"/>
  <c r="I24" i="35"/>
  <c r="H24" i="35"/>
  <c r="G24" i="35"/>
  <c r="E24" i="35"/>
  <c r="D24" i="35"/>
  <c r="A24" i="35"/>
  <c r="O23" i="35"/>
  <c r="N23" i="35"/>
  <c r="M23" i="35"/>
  <c r="L23" i="35"/>
  <c r="K23" i="35"/>
  <c r="J23" i="35"/>
  <c r="I23" i="35"/>
  <c r="H23" i="35"/>
  <c r="G23" i="35"/>
  <c r="E23" i="35"/>
  <c r="D23" i="35"/>
  <c r="A23" i="35"/>
  <c r="O22" i="35"/>
  <c r="N22" i="35"/>
  <c r="M22" i="35"/>
  <c r="L22" i="35"/>
  <c r="K22" i="35"/>
  <c r="J22" i="35"/>
  <c r="I22" i="35"/>
  <c r="H22" i="35"/>
  <c r="G22" i="35"/>
  <c r="E22" i="35"/>
  <c r="D22" i="35"/>
  <c r="A22" i="35"/>
  <c r="O21" i="35"/>
  <c r="N21" i="35"/>
  <c r="M21" i="35"/>
  <c r="L21" i="35"/>
  <c r="K21" i="35"/>
  <c r="J21" i="35"/>
  <c r="I21" i="35"/>
  <c r="H21" i="35"/>
  <c r="G21" i="35"/>
  <c r="E21" i="35"/>
  <c r="D21" i="35"/>
  <c r="A21" i="35"/>
  <c r="O20" i="35"/>
  <c r="N20" i="35"/>
  <c r="M20" i="35"/>
  <c r="L20" i="35"/>
  <c r="K20" i="35"/>
  <c r="J20" i="35"/>
  <c r="I20" i="35"/>
  <c r="H20" i="35"/>
  <c r="G20" i="35"/>
  <c r="E20" i="35"/>
  <c r="D20" i="35"/>
  <c r="A20" i="35"/>
  <c r="O19" i="35"/>
  <c r="N19" i="35"/>
  <c r="M19" i="35"/>
  <c r="L19" i="35"/>
  <c r="K19" i="35"/>
  <c r="J19" i="35"/>
  <c r="I19" i="35"/>
  <c r="H19" i="35"/>
  <c r="G19" i="35"/>
  <c r="E19" i="35"/>
  <c r="D19" i="35"/>
  <c r="A19" i="35"/>
  <c r="O18" i="35"/>
  <c r="N18" i="35"/>
  <c r="M18" i="35"/>
  <c r="L18" i="35"/>
  <c r="K18" i="35"/>
  <c r="J18" i="35"/>
  <c r="I18" i="35"/>
  <c r="H18" i="35"/>
  <c r="G18" i="35"/>
  <c r="E18" i="35"/>
  <c r="D18" i="35"/>
  <c r="A18" i="35"/>
  <c r="O17" i="35"/>
  <c r="N17" i="35"/>
  <c r="M17" i="35"/>
  <c r="L17" i="35"/>
  <c r="K17" i="35"/>
  <c r="J17" i="35"/>
  <c r="I17" i="35"/>
  <c r="H17" i="35"/>
  <c r="G17" i="35"/>
  <c r="E17" i="35"/>
  <c r="D17" i="35"/>
  <c r="A17" i="35"/>
  <c r="O16" i="35"/>
  <c r="N16" i="35"/>
  <c r="M16" i="35"/>
  <c r="L16" i="35"/>
  <c r="K16" i="35"/>
  <c r="J16" i="35"/>
  <c r="I16" i="35"/>
  <c r="H16" i="35"/>
  <c r="G16" i="35"/>
  <c r="E16" i="35"/>
  <c r="D16" i="35"/>
  <c r="A16" i="35"/>
  <c r="O15" i="35"/>
  <c r="N15" i="35"/>
  <c r="M15" i="35"/>
  <c r="L15" i="35"/>
  <c r="K15" i="35"/>
  <c r="J15" i="35"/>
  <c r="I15" i="35"/>
  <c r="H15" i="35"/>
  <c r="G15" i="35"/>
  <c r="E15" i="35"/>
  <c r="D15" i="35"/>
  <c r="A15" i="35"/>
  <c r="O14" i="35"/>
  <c r="N14" i="35"/>
  <c r="M14" i="35"/>
  <c r="L14" i="35"/>
  <c r="K14" i="35"/>
  <c r="J14" i="35"/>
  <c r="I14" i="35"/>
  <c r="H14" i="35"/>
  <c r="G14" i="35"/>
  <c r="E14" i="35"/>
  <c r="D14" i="35"/>
  <c r="A14" i="35"/>
  <c r="O13" i="35"/>
  <c r="N13" i="35"/>
  <c r="M13" i="35"/>
  <c r="L13" i="35"/>
  <c r="K13" i="35"/>
  <c r="J13" i="35"/>
  <c r="I13" i="35"/>
  <c r="H13" i="35"/>
  <c r="G13" i="35"/>
  <c r="E13" i="35"/>
  <c r="D13" i="35"/>
  <c r="A13" i="35"/>
  <c r="O12" i="35"/>
  <c r="N12" i="35"/>
  <c r="M12" i="35"/>
  <c r="L12" i="35"/>
  <c r="K12" i="35"/>
  <c r="J12" i="35"/>
  <c r="I12" i="35"/>
  <c r="H12" i="35"/>
  <c r="G12" i="35"/>
  <c r="E12" i="35"/>
  <c r="D12" i="35"/>
  <c r="A12" i="35"/>
  <c r="O11" i="35"/>
  <c r="N11" i="35"/>
  <c r="M11" i="35"/>
  <c r="L11" i="35"/>
  <c r="K11" i="35"/>
  <c r="J11" i="35"/>
  <c r="I11" i="35"/>
  <c r="H11" i="35"/>
  <c r="G11" i="35"/>
  <c r="E11" i="35"/>
  <c r="D11" i="35"/>
  <c r="A11" i="35"/>
  <c r="O10" i="35"/>
  <c r="N10" i="35"/>
  <c r="M10" i="35"/>
  <c r="L10" i="35"/>
  <c r="K10" i="35"/>
  <c r="J10" i="35"/>
  <c r="I10" i="35"/>
  <c r="H10" i="35"/>
  <c r="G10" i="35"/>
  <c r="E10" i="35"/>
  <c r="D10" i="35"/>
  <c r="A10" i="35"/>
  <c r="O9" i="35"/>
  <c r="N9" i="35"/>
  <c r="M9" i="35"/>
  <c r="L9" i="35"/>
  <c r="K9" i="35"/>
  <c r="J9" i="35"/>
  <c r="I9" i="35"/>
  <c r="H9" i="35"/>
  <c r="G9" i="35"/>
  <c r="E9" i="35"/>
  <c r="D9" i="35"/>
  <c r="A9" i="35"/>
  <c r="O8" i="35"/>
  <c r="N8" i="35"/>
  <c r="M8" i="35"/>
  <c r="L8" i="35"/>
  <c r="K8" i="35"/>
  <c r="J8" i="35"/>
  <c r="I8" i="35"/>
  <c r="H8" i="35"/>
  <c r="G8" i="35"/>
  <c r="E8" i="35"/>
  <c r="D8" i="35"/>
  <c r="A8" i="35"/>
  <c r="O7" i="35"/>
  <c r="N7" i="35"/>
  <c r="M7" i="35"/>
  <c r="L7" i="35"/>
  <c r="K7" i="35"/>
  <c r="J7" i="35"/>
  <c r="I7" i="35"/>
  <c r="H7" i="35"/>
  <c r="G7" i="35"/>
  <c r="E7" i="35"/>
  <c r="D7" i="35"/>
  <c r="A7" i="35"/>
  <c r="O6" i="35"/>
  <c r="N6" i="35"/>
  <c r="M6" i="35"/>
  <c r="L6" i="35"/>
  <c r="K6" i="35"/>
  <c r="J6" i="35"/>
  <c r="I6" i="35"/>
  <c r="H6" i="35"/>
  <c r="G6" i="35"/>
  <c r="E6" i="35"/>
  <c r="D6" i="35"/>
  <c r="A6" i="35"/>
  <c r="O5" i="35"/>
  <c r="N5" i="35"/>
  <c r="M5" i="35"/>
  <c r="L5" i="35"/>
  <c r="K5" i="35"/>
  <c r="J5" i="35"/>
  <c r="I5" i="35"/>
  <c r="H5" i="35"/>
  <c r="G5" i="35"/>
  <c r="E5" i="35"/>
  <c r="D5" i="35"/>
  <c r="A5" i="35"/>
  <c r="O4" i="35"/>
  <c r="N4" i="35"/>
  <c r="M4" i="35"/>
  <c r="L4" i="35"/>
  <c r="K4" i="35"/>
  <c r="J4" i="35"/>
  <c r="I4" i="35"/>
  <c r="H4" i="35"/>
  <c r="G4" i="35"/>
  <c r="E4" i="35"/>
  <c r="D4" i="35"/>
  <c r="A4" i="35"/>
  <c r="O3" i="35"/>
  <c r="N3" i="35"/>
  <c r="M3" i="35"/>
  <c r="L3" i="35"/>
  <c r="K3" i="35"/>
  <c r="J3" i="35"/>
  <c r="I3" i="35"/>
  <c r="H3" i="35"/>
  <c r="G3" i="35"/>
  <c r="E3" i="35"/>
  <c r="D3" i="35"/>
  <c r="A3" i="35"/>
  <c r="O2" i="35"/>
  <c r="N2" i="35"/>
  <c r="M2" i="35"/>
  <c r="L2" i="35"/>
  <c r="K2" i="35"/>
  <c r="J2" i="35"/>
  <c r="I2" i="35"/>
  <c r="H2" i="35"/>
  <c r="G2" i="35"/>
  <c r="E2" i="35"/>
  <c r="D2" i="35"/>
  <c r="A2" i="35"/>
  <c r="W7" i="34"/>
  <c r="U7" i="34"/>
  <c r="R7" i="34"/>
  <c r="Q7" i="34"/>
  <c r="P7" i="34"/>
  <c r="O7" i="34"/>
  <c r="N7" i="34"/>
  <c r="H7" i="34"/>
  <c r="J7" i="34"/>
  <c r="I7" i="34"/>
  <c r="D7" i="34"/>
  <c r="F7" i="34"/>
  <c r="E7" i="34"/>
  <c r="A7" i="34"/>
  <c r="W6" i="34"/>
  <c r="U6" i="34"/>
  <c r="R6" i="34"/>
  <c r="Q6" i="34"/>
  <c r="P6" i="34"/>
  <c r="O6" i="34"/>
  <c r="N6" i="34"/>
  <c r="H6" i="34"/>
  <c r="J6" i="34"/>
  <c r="I6" i="34"/>
  <c r="D6" i="34"/>
  <c r="F6" i="34"/>
  <c r="E6" i="34"/>
  <c r="A6" i="34"/>
  <c r="W5" i="34"/>
  <c r="U5" i="34"/>
  <c r="R5" i="34"/>
  <c r="Q5" i="34"/>
  <c r="P5" i="34"/>
  <c r="O5" i="34"/>
  <c r="N5" i="34"/>
  <c r="H5" i="34"/>
  <c r="J5" i="34"/>
  <c r="I5" i="34"/>
  <c r="D5" i="34"/>
  <c r="F5" i="34"/>
  <c r="E5" i="34"/>
  <c r="A5" i="34"/>
  <c r="W4" i="34"/>
  <c r="U4" i="34"/>
  <c r="R4" i="34"/>
  <c r="Q4" i="34"/>
  <c r="P4" i="34"/>
  <c r="O4" i="34"/>
  <c r="N4" i="34"/>
  <c r="H4" i="34"/>
  <c r="J4" i="34"/>
  <c r="I4" i="34"/>
  <c r="D4" i="34"/>
  <c r="F4" i="34"/>
  <c r="E4" i="34"/>
  <c r="A4" i="34"/>
  <c r="W3" i="34"/>
  <c r="U3" i="34"/>
  <c r="R3" i="34"/>
  <c r="Q3" i="34"/>
  <c r="P3" i="34"/>
  <c r="O3" i="34"/>
  <c r="N3" i="34"/>
  <c r="H3" i="34"/>
  <c r="J3" i="34"/>
  <c r="I3" i="34"/>
  <c r="D3" i="34"/>
  <c r="F3" i="34"/>
  <c r="E3" i="34"/>
  <c r="A3" i="34"/>
  <c r="W2" i="34"/>
  <c r="U2" i="34"/>
  <c r="R2" i="34"/>
  <c r="Q2" i="34"/>
  <c r="P2" i="34"/>
  <c r="O2" i="34"/>
  <c r="N2" i="34"/>
  <c r="H2" i="34"/>
  <c r="J2" i="34"/>
  <c r="I2" i="34"/>
  <c r="D2" i="34"/>
  <c r="F2" i="34"/>
  <c r="E2" i="34"/>
  <c r="A2" i="34"/>
  <c r="AD7" i="33"/>
  <c r="AF7" i="33"/>
  <c r="AI7" i="33"/>
  <c r="AG7" i="33"/>
  <c r="AE7" i="33"/>
  <c r="X7" i="33"/>
  <c r="V7" i="33"/>
  <c r="T7" i="33"/>
  <c r="Q7" i="33"/>
  <c r="P7" i="33"/>
  <c r="O7" i="33"/>
  <c r="N7" i="33"/>
  <c r="M7" i="33"/>
  <c r="J7" i="33"/>
  <c r="I7" i="33"/>
  <c r="D7" i="33"/>
  <c r="F7" i="33"/>
  <c r="E7" i="33"/>
  <c r="A7" i="33"/>
  <c r="AD6" i="33"/>
  <c r="AF6" i="33"/>
  <c r="AI6" i="33"/>
  <c r="AG6" i="33"/>
  <c r="AE6" i="33"/>
  <c r="X6" i="33"/>
  <c r="V6" i="33"/>
  <c r="T6" i="33"/>
  <c r="Q6" i="33"/>
  <c r="P6" i="33"/>
  <c r="O6" i="33"/>
  <c r="N6" i="33"/>
  <c r="M6" i="33"/>
  <c r="J6" i="33"/>
  <c r="I6" i="33"/>
  <c r="D6" i="33"/>
  <c r="F6" i="33"/>
  <c r="E6" i="33"/>
  <c r="A6" i="33"/>
  <c r="AD5" i="33"/>
  <c r="AF5" i="33"/>
  <c r="AI5" i="33"/>
  <c r="AG5" i="33"/>
  <c r="AE5" i="33"/>
  <c r="X5" i="33"/>
  <c r="V5" i="33"/>
  <c r="T5" i="33"/>
  <c r="Q5" i="33"/>
  <c r="P5" i="33"/>
  <c r="O5" i="33"/>
  <c r="N5" i="33"/>
  <c r="M5" i="33"/>
  <c r="J5" i="33"/>
  <c r="I5" i="33"/>
  <c r="D5" i="33"/>
  <c r="F5" i="33"/>
  <c r="E5" i="33"/>
  <c r="A5" i="33"/>
  <c r="AD4" i="33"/>
  <c r="AF4" i="33"/>
  <c r="AI4" i="33"/>
  <c r="AG4" i="33"/>
  <c r="AE4" i="33"/>
  <c r="X4" i="33"/>
  <c r="V4" i="33"/>
  <c r="T4" i="33"/>
  <c r="Q4" i="33"/>
  <c r="P4" i="33"/>
  <c r="O4" i="33"/>
  <c r="N4" i="33"/>
  <c r="M4" i="33"/>
  <c r="J4" i="33"/>
  <c r="I4" i="33"/>
  <c r="D4" i="33"/>
  <c r="F4" i="33"/>
  <c r="E4" i="33"/>
  <c r="A4" i="33"/>
  <c r="AD3" i="33"/>
  <c r="AF3" i="33"/>
  <c r="AI3" i="33"/>
  <c r="AG3" i="33"/>
  <c r="AE3" i="33"/>
  <c r="X3" i="33"/>
  <c r="V3" i="33"/>
  <c r="T3" i="33"/>
  <c r="Q3" i="33"/>
  <c r="P3" i="33"/>
  <c r="O3" i="33"/>
  <c r="N3" i="33"/>
  <c r="M3" i="33"/>
  <c r="J3" i="33"/>
  <c r="I3" i="33"/>
  <c r="D3" i="33"/>
  <c r="F3" i="33"/>
  <c r="E3" i="33"/>
  <c r="A3" i="33"/>
  <c r="AD2" i="33"/>
  <c r="AF2" i="33"/>
  <c r="AI2" i="33"/>
  <c r="AG2" i="33"/>
  <c r="AE2" i="33"/>
  <c r="X2" i="33"/>
  <c r="V2" i="33"/>
  <c r="T2" i="33"/>
  <c r="Q2" i="33"/>
  <c r="P2" i="33"/>
  <c r="O2" i="33"/>
  <c r="N2" i="33"/>
  <c r="M2" i="33"/>
  <c r="J2" i="33"/>
  <c r="I2" i="33"/>
  <c r="D2" i="33"/>
  <c r="F2" i="33"/>
  <c r="E2" i="33"/>
  <c r="A2" i="33"/>
  <c r="H7" i="2"/>
  <c r="E7" i="2"/>
  <c r="D7" i="2"/>
  <c r="H6" i="2"/>
  <c r="E6" i="2"/>
  <c r="D6" i="2"/>
  <c r="H5" i="2"/>
  <c r="E5" i="2"/>
  <c r="D5" i="2"/>
  <c r="E5" i="16"/>
  <c r="A42" i="22"/>
  <c r="F4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4" i="2"/>
  <c r="E4" i="2"/>
  <c r="D4" i="2"/>
  <c r="H3" i="2"/>
  <c r="E3" i="2"/>
  <c r="D3" i="2"/>
  <c r="E12" i="16"/>
  <c r="E11" i="16"/>
  <c r="E6" i="16"/>
  <c r="E7" i="16"/>
  <c r="E2" i="24"/>
  <c r="B2" i="24"/>
  <c r="F2" i="24"/>
  <c r="C2" i="24"/>
  <c r="E2" i="2"/>
  <c r="E9" i="16"/>
  <c r="E8" i="16"/>
  <c r="G2" i="22"/>
  <c r="C2" i="22"/>
  <c r="H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4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<sst xmlns="http://schemas.openxmlformats.org/spreadsheetml/2006/main" count="1418" uniqueCount="657">
  <si>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</si>
  <si>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</si>
  <si>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</si>
  <si>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</si>
  <si>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</si>
  <si>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</si>
  <si>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</si>
  <si>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</si>
  <si>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</si>
  <si>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</si>
  <si>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</si>
  <si>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</si>
  <si>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</si>
  <si>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</si>
  <si>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</si>
  <si>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10"/>
  </si>
  <si>
    <t>name</t>
    <phoneticPr fontId="10"/>
  </si>
  <si>
    <t>temp_stage</t>
    <phoneticPr fontId="10"/>
  </si>
  <si>
    <t>temp_floor</t>
    <phoneticPr fontId="10"/>
  </si>
  <si>
    <t>temp_stage</t>
    <phoneticPr fontId="10"/>
  </si>
  <si>
    <t>位置付け</t>
    <rPh sb="0" eb="3">
      <t>イチヅ</t>
    </rPh>
    <phoneticPr fontId="10"/>
  </si>
  <si>
    <t>name</t>
    <phoneticPr fontId="10"/>
  </si>
  <si>
    <t>status</t>
    <phoneticPr fontId="10"/>
  </si>
  <si>
    <t>hp_plus</t>
  </si>
  <si>
    <t>attack_plus</t>
  </si>
  <si>
    <t>defense_plus</t>
  </si>
  <si>
    <t>heal_plus</t>
  </si>
  <si>
    <t>bug</t>
  </si>
  <si>
    <t>作成者</t>
    <rPh sb="0" eb="3">
      <t>サクセイシャ</t>
    </rPh>
    <phoneticPr fontId="10"/>
  </si>
  <si>
    <t>更新日</t>
    <rPh sb="0" eb="3">
      <t>コウシンニチジ</t>
    </rPh>
    <phoneticPr fontId="10"/>
  </si>
  <si>
    <t>備考（使用箇所）</t>
    <rPh sb="0" eb="2">
      <t>ビコウ</t>
    </rPh>
    <rPh sb="3" eb="7">
      <t>シヨウカショ</t>
    </rPh>
    <phoneticPr fontId="10"/>
  </si>
  <si>
    <t>enemy_skill_id</t>
  </si>
  <si>
    <t>valid_flg</t>
  </si>
  <si>
    <t>重複チェック</t>
    <rPh sb="0" eb="2">
      <t>チョウフク</t>
    </rPh>
    <phoneticPr fontId="10"/>
  </si>
  <si>
    <t>接頭語</t>
    <rPh sb="0" eb="3">
      <t>セットウゴ</t>
    </rPh>
    <phoneticPr fontId="10"/>
  </si>
  <si>
    <t>識別子</t>
    <rPh sb="0" eb="3">
      <t>シキベツシ</t>
    </rPh>
    <phoneticPr fontId="10"/>
  </si>
  <si>
    <t>形式</t>
    <rPh sb="0" eb="2">
      <t>ケイシキ</t>
    </rPh>
    <phoneticPr fontId="10"/>
  </si>
  <si>
    <t>出力ファイル名</t>
    <rPh sb="0" eb="2">
      <t>シュツリョク</t>
    </rPh>
    <rPh sb="6" eb="7">
      <t>メイ</t>
    </rPh>
    <phoneticPr fontId="10"/>
  </si>
  <si>
    <t>入力シート名</t>
    <rPh sb="0" eb="2">
      <t>ニュウリョク</t>
    </rPh>
    <rPh sb="5" eb="6">
      <t>メイ</t>
    </rPh>
    <phoneticPr fontId="10"/>
  </si>
  <si>
    <t>出力データ</t>
    <rPh sb="0" eb="2">
      <t>シュツリョク</t>
    </rPh>
    <phoneticPr fontId="10"/>
  </si>
  <si>
    <t>.tmp</t>
    <phoneticPr fontId="10"/>
  </si>
  <si>
    <t>.tmp</t>
    <phoneticPr fontId="10"/>
  </si>
  <si>
    <t>language</t>
    <phoneticPr fontId="10"/>
  </si>
  <si>
    <t>出力flg</t>
    <rPh sb="0" eb="2">
      <t>シュツリョク</t>
    </rPh>
    <phoneticPr fontId="10"/>
  </si>
  <si>
    <t>中間文字列１</t>
    <rPh sb="0" eb="2">
      <t>チュウカン</t>
    </rPh>
    <rPh sb="2" eb="5">
      <t>モジレツ</t>
    </rPh>
    <phoneticPr fontId="10"/>
  </si>
  <si>
    <t>効果１文字列</t>
    <rPh sb="0" eb="2">
      <t>コウカ</t>
    </rPh>
    <rPh sb="3" eb="6">
      <t>モジレツ</t>
    </rPh>
    <phoneticPr fontId="10"/>
  </si>
  <si>
    <t>効果１簡易デコード</t>
    <rPh sb="0" eb="2">
      <t>コウカ</t>
    </rPh>
    <rPh sb="3" eb="5">
      <t>カンイ</t>
    </rPh>
    <phoneticPr fontId="10"/>
  </si>
  <si>
    <t>効果２文字列</t>
    <rPh sb="0" eb="2">
      <t>コウカ</t>
    </rPh>
    <rPh sb="3" eb="6">
      <t>モジレツ</t>
    </rPh>
    <phoneticPr fontId="10"/>
  </si>
  <si>
    <t>効果２簡易デコード</t>
    <rPh sb="0" eb="2">
      <t>コウカ</t>
    </rPh>
    <rPh sb="3" eb="5">
      <t>カンイ</t>
    </rPh>
    <phoneticPr fontId="10"/>
  </si>
  <si>
    <t>効果３文字列</t>
    <rPh sb="0" eb="2">
      <t>コウカ</t>
    </rPh>
    <rPh sb="3" eb="6">
      <t>モジレツ</t>
    </rPh>
    <phoneticPr fontId="10"/>
  </si>
  <si>
    <t>効果３簡易デコード</t>
    <rPh sb="0" eb="2">
      <t>コウカ</t>
    </rPh>
    <rPh sb="3" eb="5">
      <t>カンイ</t>
    </rPh>
    <phoneticPr fontId="10"/>
  </si>
  <si>
    <t>効果１efect位置</t>
    <rPh sb="0" eb="2">
      <t>コウカ</t>
    </rPh>
    <rPh sb="8" eb="10">
      <t>イチ</t>
    </rPh>
    <phoneticPr fontId="10"/>
  </si>
  <si>
    <t>効果１target位置</t>
    <rPh sb="0" eb="2">
      <t>コウカ</t>
    </rPh>
    <rPh sb="9" eb="11">
      <t>イチ</t>
    </rPh>
    <phoneticPr fontId="10"/>
  </si>
  <si>
    <t>効果1終了位置</t>
    <rPh sb="0" eb="2">
      <t>コウカ</t>
    </rPh>
    <rPh sb="3" eb="5">
      <t>シュウリョウ</t>
    </rPh>
    <rPh sb="5" eb="7">
      <t>イチ</t>
    </rPh>
    <phoneticPr fontId="10"/>
  </si>
  <si>
    <t>効果1target終了位置</t>
    <rPh sb="0" eb="2">
      <t>コウカ</t>
    </rPh>
    <rPh sb="9" eb="11">
      <t>シュウリョウ</t>
    </rPh>
    <rPh sb="11" eb="13">
      <t>イチ</t>
    </rPh>
    <phoneticPr fontId="10"/>
  </si>
  <si>
    <t>効果2efect位置</t>
    <rPh sb="0" eb="2">
      <t>コウカ</t>
    </rPh>
    <rPh sb="8" eb="10">
      <t>イチ</t>
    </rPh>
    <phoneticPr fontId="10"/>
  </si>
  <si>
    <t>効果2終了位置</t>
    <rPh sb="0" eb="2">
      <t>コウカ</t>
    </rPh>
    <rPh sb="3" eb="5">
      <t>シュウリョウ</t>
    </rPh>
    <rPh sb="5" eb="7">
      <t>イチ</t>
    </rPh>
    <phoneticPr fontId="10"/>
  </si>
  <si>
    <t>効果2target位置</t>
    <rPh sb="0" eb="2">
      <t>コウカ</t>
    </rPh>
    <rPh sb="9" eb="11">
      <t>イチ</t>
    </rPh>
    <phoneticPr fontId="10"/>
  </si>
  <si>
    <t>効果2target終了位置</t>
    <rPh sb="0" eb="2">
      <t>コウカ</t>
    </rPh>
    <rPh sb="9" eb="11">
      <t>シュウリョウ</t>
    </rPh>
    <rPh sb="11" eb="13">
      <t>イチ</t>
    </rPh>
    <phoneticPr fontId="10"/>
  </si>
  <si>
    <t>効果3efect位置</t>
    <rPh sb="0" eb="2">
      <t>コウカ</t>
    </rPh>
    <rPh sb="8" eb="10">
      <t>イチ</t>
    </rPh>
    <phoneticPr fontId="10"/>
  </si>
  <si>
    <t>効果3終了位置</t>
    <rPh sb="0" eb="2">
      <t>コウカ</t>
    </rPh>
    <rPh sb="3" eb="5">
      <t>シュウリョウ</t>
    </rPh>
    <rPh sb="5" eb="7">
      <t>イチ</t>
    </rPh>
    <phoneticPr fontId="10"/>
  </si>
  <si>
    <t>効果3target位置</t>
    <rPh sb="0" eb="2">
      <t>コウカ</t>
    </rPh>
    <rPh sb="9" eb="11">
      <t>イチ</t>
    </rPh>
    <phoneticPr fontId="10"/>
  </si>
  <si>
    <t>効果3target終了位置</t>
    <rPh sb="0" eb="2">
      <t>コウカ</t>
    </rPh>
    <rPh sb="9" eb="11">
      <t>シュウリョウ</t>
    </rPh>
    <rPh sb="11" eb="13">
      <t>イチ</t>
    </rPh>
    <phoneticPr fontId="10"/>
  </si>
  <si>
    <t>quest_id</t>
    <phoneticPr fontId="10"/>
  </si>
  <si>
    <t>bit</t>
  </si>
  <si>
    <t>hint</t>
    <phoneticPr fontId="10"/>
  </si>
  <si>
    <t>title</t>
    <phoneticPr fontId="10"/>
  </si>
  <si>
    <t>hint_type</t>
    <phoneticPr fontId="10"/>
  </si>
  <si>
    <t>name</t>
    <phoneticPr fontId="10"/>
  </si>
  <si>
    <t>stage_id</t>
    <phoneticPr fontId="10"/>
  </si>
  <si>
    <t>floor_id</t>
    <phoneticPr fontId="10"/>
  </si>
  <si>
    <t>tmp_hint_id</t>
    <phoneticPr fontId="10"/>
  </si>
  <si>
    <t>hint_id</t>
    <phoneticPr fontId="10"/>
  </si>
  <si>
    <t>filename</t>
    <phoneticPr fontId="10"/>
  </si>
  <si>
    <t>upper_ranking</t>
    <phoneticPr fontId="10"/>
  </si>
  <si>
    <t>lower_ranking</t>
    <phoneticPr fontId="10"/>
  </si>
  <si>
    <t>gift_id</t>
    <phoneticPr fontId="10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</si>
  <si>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</si>
  <si>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</si>
  <si>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</si>
  <si>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</si>
  <si>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</si>
  <si>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</si>
  <si>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</si>
  <si>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temp_gift_id</t>
    <phoneticPr fontId="10"/>
  </si>
  <si>
    <t>ranking_ACH</t>
    <phoneticPr fontId="10"/>
  </si>
  <si>
    <t>gifts_tmp_</t>
    <phoneticPr fontId="12"/>
  </si>
  <si>
    <t>gift_id</t>
    <phoneticPr fontId="12"/>
  </si>
  <si>
    <t>gifts_i18n_</t>
    <phoneticPr fontId="12"/>
  </si>
  <si>
    <t>title</t>
    <phoneticPr fontId="12"/>
  </si>
  <si>
    <t>detail</t>
    <phoneticPr fontId="12"/>
  </si>
  <si>
    <t>clear_bonus</t>
    <phoneticPr fontId="10"/>
  </si>
  <si>
    <t>param_code</t>
    <phoneticPr fontId="10"/>
  </si>
  <si>
    <t>x</t>
    <phoneticPr fontId="10"/>
  </si>
  <si>
    <t>a</t>
    <phoneticPr fontId="10"/>
  </si>
  <si>
    <t>b</t>
    <phoneticPr fontId="10"/>
  </si>
  <si>
    <t>evaluation_id</t>
    <phoneticPr fontId="10"/>
  </si>
  <si>
    <t>quest_id</t>
    <phoneticPr fontId="10"/>
  </si>
  <si>
    <t>stage_id</t>
    <phoneticPr fontId="10"/>
  </si>
  <si>
    <t>score</t>
    <phoneticPr fontId="10"/>
  </si>
  <si>
    <t>language</t>
    <phoneticPr fontId="10"/>
  </si>
  <si>
    <t>evaluation</t>
    <phoneticPr fontId="10"/>
  </si>
  <si>
    <t>animation_file_name</t>
    <phoneticPr fontId="10"/>
  </si>
  <si>
    <t>hp_plus</t>
    <phoneticPr fontId="10"/>
  </si>
  <si>
    <t>attack_plus</t>
    <phoneticPr fontId="10"/>
  </si>
  <si>
    <t>heal_plus</t>
    <phoneticPr fontId="10"/>
  </si>
  <si>
    <t>defense_plus</t>
    <phoneticPr fontId="10"/>
  </si>
  <si>
    <t>level</t>
    <phoneticPr fontId="10"/>
  </si>
  <si>
    <t>skill_level</t>
  </si>
  <si>
    <t>skill_level</t>
    <phoneticPr fontId="10"/>
  </si>
  <si>
    <t>bug</t>
    <phoneticPr fontId="10"/>
  </si>
  <si>
    <t>evaluation_id</t>
    <phoneticPr fontId="10"/>
  </si>
  <si>
    <t>quest_id</t>
    <phoneticPr fontId="10"/>
  </si>
  <si>
    <t>gift_id</t>
    <phoneticPr fontId="10"/>
  </si>
  <si>
    <t xml:space="preserve">gift_limit </t>
    <phoneticPr fontId="10"/>
  </si>
  <si>
    <t>gifts_tmp_</t>
    <phoneticPr fontId="10"/>
  </si>
  <si>
    <t>.tmp</t>
    <phoneticPr fontId="10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</si>
  <si>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</si>
  <si>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</si>
  <si>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</si>
  <si>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</si>
  <si>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gifts_i18n_</t>
    <phoneticPr fontId="10"/>
  </si>
  <si>
    <t>.tmp</t>
    <phoneticPr fontId="10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</si>
  <si>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</si>
  <si>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</si>
  <si>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</si>
  <si>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</si>
  <si>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.tmp</t>
    <phoneticPr fontId="10"/>
  </si>
  <si>
    <t>evaluation_id</t>
    <phoneticPr fontId="10"/>
  </si>
  <si>
    <t>quest_id</t>
    <phoneticPr fontId="10"/>
  </si>
  <si>
    <t>stage_id</t>
    <phoneticPr fontId="10"/>
  </si>
  <si>
    <t>score</t>
    <phoneticPr fontId="10"/>
  </si>
  <si>
    <t>gift_id</t>
    <phoneticPr fontId="10"/>
  </si>
  <si>
    <t>gift_type</t>
    <phoneticPr fontId="12"/>
  </si>
  <si>
    <t>gift_value</t>
    <phoneticPr fontId="12"/>
  </si>
  <si>
    <t>gift_count</t>
    <phoneticPr fontId="12"/>
  </si>
  <si>
    <t>hp_plus</t>
    <phoneticPr fontId="10"/>
  </si>
  <si>
    <t>attack_plus</t>
    <phoneticPr fontId="10"/>
  </si>
  <si>
    <t>heal_plus</t>
    <phoneticPr fontId="10"/>
  </si>
  <si>
    <t>defense_plus</t>
    <phoneticPr fontId="10"/>
  </si>
  <si>
    <t>level</t>
    <phoneticPr fontId="10"/>
  </si>
  <si>
    <t>skill_level</t>
    <phoneticPr fontId="10"/>
  </si>
  <si>
    <t>bug</t>
    <phoneticPr fontId="10"/>
  </si>
  <si>
    <t>language</t>
    <phoneticPr fontId="12"/>
  </si>
  <si>
    <t>title</t>
    <phoneticPr fontId="12"/>
  </si>
  <si>
    <t>detail</t>
    <phoneticPr fontId="12"/>
  </si>
  <si>
    <t>message</t>
    <phoneticPr fontId="12"/>
  </si>
  <si>
    <t xml:space="preserve">gift_limit </t>
    <phoneticPr fontId="10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</si>
  <si>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</si>
  <si>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</si>
  <si>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</si>
  <si>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</si>
  <si>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</si>
  <si>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</si>
  <si>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</si>
  <si>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</si>
  <si>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</si>
  <si>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</si>
  <si>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</si>
  <si>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</si>
  <si>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</si>
  <si>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ja</t>
    <phoneticPr fontId="12"/>
  </si>
  <si>
    <t>item</t>
    <phoneticPr fontId="12"/>
  </si>
  <si>
    <t>polygon</t>
    <phoneticPr fontId="12"/>
  </si>
  <si>
    <t>null</t>
    <phoneticPr fontId="10"/>
  </si>
  <si>
    <t>bit</t>
    <phoneticPr fontId="12"/>
  </si>
  <si>
    <t>item</t>
  </si>
  <si>
    <t>刀のランキングチケット × 1</t>
  </si>
  <si>
    <t>ランキングクエスト報酬</t>
    <rPh sb="9" eb="11">
      <t>ホウシュウ</t>
    </rPh>
    <phoneticPr fontId="13"/>
  </si>
  <si>
    <t>オイラーチャレンジ
順位報酬</t>
    <rPh sb="10" eb="12">
      <t>ジュンイ</t>
    </rPh>
    <rPh sb="12" eb="14">
      <t>ホウシュウ</t>
    </rPh>
    <phoneticPr fontId="13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</si>
  <si>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</si>
  <si>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</si>
  <si>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</si>
  <si>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</si>
  <si>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</si>
  <si>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</si>
  <si>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3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</si>
  <si>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</si>
  <si>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</si>
  <si>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3"/>
  </si>
  <si>
    <t>マスターキー×3</t>
  </si>
  <si>
    <t>刀のチケットピース × 3</t>
  </si>
  <si>
    <t>炎のメタルジェントル ×1</t>
    <rPh sb="0" eb="1">
      <t>ホノオ</t>
    </rPh>
    <phoneticPr fontId="13"/>
  </si>
  <si>
    <t>森のメタルジェントル ×1</t>
    <rPh sb="0" eb="1">
      <t>モリノ</t>
    </rPh>
    <phoneticPr fontId="13"/>
  </si>
  <si>
    <t>水のメタルジェントル ×1</t>
    <rPh sb="0" eb="1">
      <t>ミズノ</t>
    </rPh>
    <phoneticPr fontId="13"/>
  </si>
  <si>
    <t>雷のメタルジェントル ×1</t>
    <rPh sb="0" eb="1">
      <t>カミナリ</t>
    </rPh>
    <phoneticPr fontId="13"/>
  </si>
  <si>
    <t>秘術の果実 ×1</t>
    <rPh sb="0" eb="2">
      <t>ヒジュツ</t>
    </rPh>
    <rPh sb="3" eb="5">
      <t>カジツ</t>
    </rPh>
    <phoneticPr fontId="13"/>
  </si>
  <si>
    <t>マスターキー×1</t>
  </si>
  <si>
    <t>link</t>
  </si>
  <si>
    <t>2000リンク</t>
  </si>
  <si>
    <t>炎のメタルダック ×1</t>
    <rPh sb="0" eb="1">
      <t>ホノオ</t>
    </rPh>
    <phoneticPr fontId="13"/>
  </si>
  <si>
    <t>森のメタルダック ×1</t>
    <rPh sb="0" eb="1">
      <t>モリノ</t>
    </rPh>
    <phoneticPr fontId="13"/>
  </si>
  <si>
    <t>水のメタルダック ×1</t>
    <rPh sb="0" eb="1">
      <t>ミズノ</t>
    </rPh>
    <phoneticPr fontId="13"/>
  </si>
  <si>
    <t>雷のメタルダック ×1</t>
    <rPh sb="0" eb="1">
      <t>カミナリ</t>
    </rPh>
    <phoneticPr fontId="13"/>
  </si>
  <si>
    <t>ポリゴン×3</t>
  </si>
  <si>
    <t>20万ビット</t>
    <rPh sb="2" eb="3">
      <t>マン</t>
    </rPh>
    <phoneticPr fontId="13"/>
  </si>
  <si>
    <t>ポリゴン×2</t>
  </si>
  <si>
    <t>1000リンク</t>
  </si>
  <si>
    <t>15万ビット</t>
    <rPh sb="2" eb="3">
      <t>マン</t>
    </rPh>
    <phoneticPr fontId="13"/>
  </si>
  <si>
    <t>ポリゴン×1</t>
  </si>
  <si>
    <t>10万ビット</t>
    <rPh sb="2" eb="3">
      <t>マン</t>
    </rPh>
    <phoneticPr fontId="13"/>
  </si>
  <si>
    <t>次条係数</t>
    <rPh sb="0" eb="2">
      <t>jijyou</t>
    </rPh>
    <rPh sb="2" eb="4">
      <t>ケイス</t>
    </rPh>
    <phoneticPr fontId="10"/>
  </si>
  <si>
    <t>param_code</t>
    <phoneticPr fontId="10"/>
  </si>
  <si>
    <t>x</t>
    <phoneticPr fontId="10"/>
  </si>
  <si>
    <t>y</t>
    <phoneticPr fontId="10"/>
  </si>
  <si>
    <t>a</t>
    <phoneticPr fontId="10"/>
  </si>
  <si>
    <t>b</t>
    <phoneticPr fontId="10"/>
  </si>
  <si>
    <t>score_attack_expanded_floors</t>
  </si>
  <si>
    <t>param_code_damage_given</t>
    <phoneticPr fontId="10"/>
  </si>
  <si>
    <t>param_code_heal</t>
    <phoneticPr fontId="10"/>
  </si>
  <si>
    <t>clear_turn_border</t>
  </si>
  <si>
    <t>clear_turn_border</t>
    <phoneticPr fontId="10"/>
  </si>
  <si>
    <t>clear_turn_param</t>
  </si>
  <si>
    <t>clear_turn_param</t>
    <phoneticPr fontId="10"/>
  </si>
  <si>
    <t>damage_given_upper_limit</t>
  </si>
  <si>
    <t>damage_given_upper_limit</t>
    <phoneticPr fontId="10"/>
  </si>
  <si>
    <t>heal_upper_limit</t>
  </si>
  <si>
    <t>heal_upper_limit</t>
    <phoneticPr fontId="10"/>
  </si>
  <si>
    <t>score_attack_expanded_stages_</t>
    <phoneticPr fontId="10"/>
  </si>
  <si>
    <t>score_attack_expanded_stages</t>
  </si>
  <si>
    <t>score_attack_params_damage_give</t>
  </si>
  <si>
    <t>stage_evaluations</t>
    <phoneticPr fontId="10"/>
  </si>
  <si>
    <t>score_attack_stage_evaluations_i18n_</t>
    <phoneticPr fontId="10"/>
  </si>
  <si>
    <t>stage_evaluation_gifts</t>
  </si>
  <si>
    <t>stage_evaluation_gifts</t>
    <phoneticPr fontId="10"/>
  </si>
  <si>
    <t>score_attack_unit_bonus_condition_id</t>
  </si>
  <si>
    <t>bonus_type</t>
  </si>
  <si>
    <t>condition</t>
  </si>
  <si>
    <t>operator</t>
  </si>
  <si>
    <t>param</t>
  </si>
  <si>
    <t>start_date</t>
  </si>
  <si>
    <t>end_date</t>
  </si>
  <si>
    <t>type</t>
  </si>
  <si>
    <t>=</t>
  </si>
  <si>
    <t>unit_bonus_conditions</t>
    <phoneticPr fontId="10"/>
  </si>
  <si>
    <t>score_attack_unit_bonus_conditions_</t>
    <phoneticPr fontId="10"/>
  </si>
  <si>
    <t>SSS→ポリゴン3個</t>
  </si>
  <si>
    <t>SS→ポリゴン2個</t>
  </si>
  <si>
    <t>S→マスターキー1本</t>
  </si>
  <si>
    <t>A→ジェントル各色1体ずつ</t>
  </si>
  <si>
    <t>B→100,000ビット</t>
  </si>
  <si>
    <t>C→なし</t>
  </si>
  <si>
    <t>マスターキー × 1</t>
    <phoneticPr fontId="12"/>
  </si>
  <si>
    <t>ポリゴン × 3</t>
    <phoneticPr fontId="12"/>
  </si>
  <si>
    <t>ポリゴン × 2</t>
    <phoneticPr fontId="12"/>
  </si>
  <si>
    <t>unit</t>
    <phoneticPr fontId="12"/>
  </si>
  <si>
    <t>炎のメタルジェントル × 1</t>
    <phoneticPr fontId="12"/>
  </si>
  <si>
    <t>森のメタルジェントル × 1</t>
    <phoneticPr fontId="10"/>
  </si>
  <si>
    <t>水のメタルジェントル × 1</t>
    <phoneticPr fontId="10"/>
  </si>
  <si>
    <t>雷のメタルジェントル × 1</t>
    <phoneticPr fontId="10"/>
  </si>
  <si>
    <t>100000ビット</t>
    <phoneticPr fontId="12"/>
  </si>
  <si>
    <t>heal</t>
    <phoneticPr fontId="10"/>
  </si>
  <si>
    <t>hp</t>
    <phoneticPr fontId="10"/>
  </si>
  <si>
    <t>null</t>
    <phoneticPr fontId="10"/>
  </si>
  <si>
    <t>temp_habitats</t>
    <phoneticPr fontId="10"/>
  </si>
  <si>
    <t>temp_stage</t>
    <phoneticPr fontId="10"/>
  </si>
  <si>
    <t>name</t>
    <phoneticPr fontId="10"/>
  </si>
  <si>
    <t>floor_id</t>
    <phoneticPr fontId="10"/>
  </si>
  <si>
    <t>temp_floor</t>
    <phoneticPr fontId="10"/>
  </si>
  <si>
    <t>seq_no</t>
    <phoneticPr fontId="10"/>
  </si>
  <si>
    <t>color</t>
    <phoneticPr fontId="10"/>
  </si>
  <si>
    <t>drop_label</t>
    <phoneticPr fontId="10"/>
  </si>
  <si>
    <t>character_main_tribe_id</t>
    <phoneticPr fontId="10"/>
  </si>
  <si>
    <t>size</t>
    <phoneticPr fontId="10"/>
  </si>
  <si>
    <t>hp_coefficient</t>
    <phoneticPr fontId="10"/>
  </si>
  <si>
    <t>hp</t>
    <phoneticPr fontId="10"/>
  </si>
  <si>
    <t>attack_coefficient</t>
    <phoneticPr fontId="10"/>
  </si>
  <si>
    <t>attack</t>
    <phoneticPr fontId="10"/>
  </si>
  <si>
    <t>defense_correction</t>
    <phoneticPr fontId="10"/>
  </si>
  <si>
    <t>スキル</t>
    <phoneticPr fontId="10"/>
  </si>
  <si>
    <t>skill_set_id</t>
    <phoneticPr fontId="10"/>
  </si>
  <si>
    <t>rare</t>
    <phoneticPr fontId="10"/>
  </si>
  <si>
    <t>drop_label</t>
    <phoneticPr fontId="12"/>
  </si>
  <si>
    <t>hp_plus</t>
    <phoneticPr fontId="10"/>
  </si>
  <si>
    <t>attack_plus</t>
    <phoneticPr fontId="10"/>
  </si>
  <si>
    <t>defense_plus</t>
    <phoneticPr fontId="10"/>
  </si>
  <si>
    <t>heal_plus</t>
    <phoneticPr fontId="10"/>
  </si>
  <si>
    <t>bug</t>
    <phoneticPr fontId="10"/>
  </si>
  <si>
    <t>skill_level</t>
    <phoneticPr fontId="10"/>
  </si>
  <si>
    <t>null</t>
    <phoneticPr fontId="10"/>
  </si>
  <si>
    <t>null</t>
    <phoneticPr fontId="10"/>
  </si>
  <si>
    <t>temp_habitats</t>
    <phoneticPr fontId="10"/>
  </si>
  <si>
    <t>temp_stage</t>
    <phoneticPr fontId="10"/>
  </si>
  <si>
    <t>name</t>
    <phoneticPr fontId="10"/>
  </si>
  <si>
    <t>floor_id</t>
    <phoneticPr fontId="10"/>
  </si>
  <si>
    <t>temp_floor</t>
    <phoneticPr fontId="10"/>
  </si>
  <si>
    <t>seq_no</t>
    <phoneticPr fontId="10"/>
  </si>
  <si>
    <t>state_no</t>
    <phoneticPr fontId="10"/>
  </si>
  <si>
    <t>color</t>
    <phoneticPr fontId="10"/>
  </si>
  <si>
    <t>drop_label</t>
    <phoneticPr fontId="10"/>
  </si>
  <si>
    <t>character_main_tribe_id</t>
    <phoneticPr fontId="10"/>
  </si>
  <si>
    <t>size</t>
    <phoneticPr fontId="10"/>
  </si>
  <si>
    <t>hp_coefficient</t>
    <phoneticPr fontId="10"/>
  </si>
  <si>
    <t>hp</t>
    <phoneticPr fontId="10"/>
  </si>
  <si>
    <t>attack_coefficient</t>
    <phoneticPr fontId="10"/>
  </si>
  <si>
    <t>attack</t>
    <phoneticPr fontId="10"/>
  </si>
  <si>
    <t>defense_correction</t>
    <phoneticPr fontId="10"/>
  </si>
  <si>
    <t>スキル</t>
    <phoneticPr fontId="10"/>
  </si>
  <si>
    <t>skill_set_id</t>
    <phoneticPr fontId="10"/>
  </si>
  <si>
    <t>なし</t>
  </si>
  <si>
    <t>temp_id</t>
    <phoneticPr fontId="10"/>
  </si>
  <si>
    <t>skill_set_id</t>
    <phoneticPr fontId="12"/>
  </si>
  <si>
    <t>skill_id</t>
    <phoneticPr fontId="12"/>
  </si>
  <si>
    <t>name</t>
    <phoneticPr fontId="12"/>
  </si>
  <si>
    <t>comment</t>
    <phoneticPr fontId="12"/>
  </si>
  <si>
    <t>skill_trigger_id</t>
    <phoneticPr fontId="12"/>
  </si>
  <si>
    <t>first_time</t>
    <phoneticPr fontId="10"/>
  </si>
  <si>
    <t>priority</t>
    <phoneticPr fontId="10"/>
  </si>
  <si>
    <t>invoke_rate</t>
    <phoneticPr fontId="10"/>
  </si>
  <si>
    <t>hp_threshold</t>
    <phoneticPr fontId="10"/>
  </si>
  <si>
    <t>hp_termination</t>
    <phoneticPr fontId="10"/>
  </si>
  <si>
    <t>invoke_times</t>
    <phoneticPr fontId="10"/>
  </si>
  <si>
    <t>every_time_count</t>
    <phoneticPr fontId="10"/>
  </si>
  <si>
    <t>neighbor_dead_id</t>
    <phoneticPr fontId="10"/>
  </si>
  <si>
    <t>invoke_weight</t>
    <phoneticPr fontId="10"/>
  </si>
  <si>
    <t>effect_param</t>
    <phoneticPr fontId="10"/>
  </si>
  <si>
    <t>language</t>
    <phoneticPr fontId="10"/>
  </si>
  <si>
    <t>name</t>
    <phoneticPr fontId="12"/>
  </si>
  <si>
    <t>comment</t>
    <phoneticPr fontId="12"/>
  </si>
  <si>
    <t>[effect:enemy_message, val1:2.4, val2:4.8],[effect:tolerance, target:myself, turn:-1, count:-1, tolerance_effect:all, animation:enemy_tolerance],[effect:enhance_unit, target:unit_hp/unit_heal, turn:-1, status:attack, val:2000, calc:add],[effect:sp_boost, target:unit_hp/unit_heal, val:4, animation:sp_boost_one02],[effect:fix_speed, target:myself, turn:2]</t>
    <phoneticPr fontId="10"/>
  </si>
  <si>
    <t>ja</t>
    <phoneticPr fontId="10"/>
  </si>
  <si>
    <t>本気でいくから…本気でかかってきなさいっ！</t>
  </si>
  <si>
    <t>状態異常耐性+
回復&amp;体力タイプのユニットの
攻撃力大UP&amp;スキルゲージを4ターン減少</t>
    <phoneticPr fontId="10"/>
  </si>
  <si>
    <t>[effect:enemy_message, val1:2.4, val2:4.8],[effect:tolerance, target:myself, turn:-1, count:-1, tolerance_effect:all, animation:enemy_tolerance],[effect:enhance_unit, target:unit_hp/unit_heal, turn:-1, status:attack, val:2000, calc:add],[effect:sp_boost, target:unit_hp/unit_heal, val:5, animation:sp_boost_one02],[effect:fix_speed, target:myself, turn:2]</t>
    <phoneticPr fontId="10"/>
  </si>
  <si>
    <t>状態異常耐性+
回復&amp;体力タイプのユニットの
攻撃力大UP&amp;スキルゲージを5ターン減少</t>
    <phoneticPr fontId="10"/>
  </si>
  <si>
    <t>[effect:enemy_message, val1:1.4, val2:3.5],[effect:change_panel_ratio, turn:10, block_type:green, val:0.07, animation:block_incidence04],[effect:freq_turn, target:myself, turn:-1, val:1, animation:enemy_freq_turn],[effect:spread, val:0.22]</t>
    <phoneticPr fontId="10"/>
  </si>
  <si>
    <t>ja</t>
    <phoneticPr fontId="10"/>
  </si>
  <si>
    <t>さあ、盛り上がっていくわよ！</t>
  </si>
  <si>
    <t>10ターン緑パネルドロップ率DOWN+
全体攻撃+行動頻度UP</t>
  </si>
  <si>
    <t>[effect:enemy_message, val1:1.7, val2:3.9],[effect:force_change_block, new_block:crack_bomb, target:block_green, color:block_red, count:0, val:12, animation:change_block],[effect:force_change_block, new_block:block_yellow, target:block_red, count:0, val:0, animation:change_block],[effect:rush, count:6, val:0.12]</t>
    <phoneticPr fontId="10"/>
  </si>
  <si>
    <t>みんなまとめて撃ち抜いちゃうから！</t>
  </si>
  <si>
    <t>緑パネルを赤ボムパネルに変換+
赤パネルを黄パネルに変換+
6回連続攻撃</t>
  </si>
  <si>
    <t>[effect:enemy_message, val1:1.2, val2:2.7],[effect:force_change_block, new_block:crack_bomb, target:normal, color:block_red, count:7, val:20, animation:change_block],[effect:rush, count:1, val:0.95]</t>
    <phoneticPr fontId="10"/>
  </si>
  <si>
    <t>ja</t>
    <phoneticPr fontId="10"/>
  </si>
  <si>
    <t>これが私の本領発揮！ね！</t>
  </si>
  <si>
    <t>属性パネルを赤ボムパネルに7個変換+単体攻撃</t>
    <phoneticPr fontId="10"/>
  </si>
  <si>
    <t>[effect:enemy_message, val1:1.2, val2:4.6],[effect:force_change_block, new_block:crack_bomb, target:normal, color:block_red, count:3, val:19, animation:change_block],[effect:force_change_block, new_block:color_break, target:normal, color:block_red, count:2, val:0, animation:change_block],[effect:rush, count:2, val:0.38]</t>
    <phoneticPr fontId="10"/>
  </si>
  <si>
    <t>バクハツしちゃいなさい！</t>
  </si>
  <si>
    <t>属性パネルを赤ボムパネルに3個変換+
属性パネルを赤のCBPに2個変換+
2回連続攻撃</t>
    <phoneticPr fontId="10"/>
  </si>
  <si>
    <t>[effect:enemy_message, val1:1.2, val2:2.9],[effect:force_change_block, new_block:block_red, target:block_green, count:0, val:0, animation:change_block],[effect:force_change_block, new_block:block_red, target:block_blue, count:0, val:0, animation:change_block],[effect:rush, count:4, val:0.19]</t>
    <phoneticPr fontId="10"/>
  </si>
  <si>
    <t>真っ赤に染めてあげる！</t>
  </si>
  <si>
    <t>緑パネルと青パネルを赤パネルに変換+
4回連続攻撃</t>
  </si>
  <si>
    <t>[effect:enemy_message, val1:1.2, val2:2.0],[effect:break_attack, target:unit_one, val:0.02, lowest_val:2000, count:-1, color:red, block01:block_yellow, block02:block_blue, block03:block_green]</t>
    <phoneticPr fontId="10"/>
  </si>
  <si>
    <t>ヘル・ファイア</t>
  </si>
  <si>
    <t>黄&amp;緑&amp;青パネルを吸収して攻撃</t>
  </si>
  <si>
    <t>[effect:enemy_message, val1:1.9, val2:3.9],[effect:tolerance, target:myself, turn:-1, count:-1, tolerance_effect:all, animation:enemy_tolerance],[effect:drop_block, block_type:jammer, color:block_green, val:0, rate:0.3, turn:5, animation:jammer_influence04],[effect:fix_speed, target:myself, turn:2]</t>
    <phoneticPr fontId="10"/>
  </si>
  <si>
    <t>ここはイッパツ派手に暴れようぜ！</t>
  </si>
  <si>
    <t>状態異常耐性+
5ターン超高確率で
緑パネルがお邪魔パネルとしてドロップ</t>
  </si>
  <si>
    <t>[effect:enemy_message, val1:1.9, val2:3.8],[effect:tolerance, target:myself, turn:-1, count:-1, tolerance_effect:all, animation:enemy_tolerance],[effect:drop_block, block_type:jammer, color:block_green, val:0, rate:0.2, turn:5, animation:jammer_influence04],[effect:fix_speed, target:myself, turn:2]</t>
    <phoneticPr fontId="10"/>
  </si>
  <si>
    <t>状態異常耐性+
5ターン高確率で
緑パネルがお邪魔パネルとしてドロップ</t>
  </si>
  <si>
    <t>[effect:enemy_message, val1:1.7, val2:3.0],[effect:change_panel_ratio, turn:10, block_type:blue, val:0.07, animation:block_incidence04],[effect:rush, count:4, val:0.34]</t>
    <phoneticPr fontId="10"/>
  </si>
  <si>
    <t>いいねぇ、お前となら楽しめそうだ！</t>
  </si>
  <si>
    <t>10ターン青パネルドロップ率DOWN+
4回連続攻撃</t>
  </si>
  <si>
    <t>[effect:enemy_message, val1:1.2, val2:4.3],[effect:change_range_block,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t>
    <phoneticPr fontId="10"/>
  </si>
  <si>
    <t>こうするとやっかいだろ？</t>
  </si>
  <si>
    <t>特定エリアを黄&amp;緑&amp;青のダメージパネルに変換+
単体攻撃+1ターン行動頻度UP</t>
    <phoneticPr fontId="10"/>
  </si>
  <si>
    <t>[effect:enemy_message, val1:1.2, val2:4.3],[effect:change_range_block,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t>
    <phoneticPr fontId="10"/>
  </si>
  <si>
    <t>[effect:enemy_message, val1:1.2, val2:2.9],[effect:break_attack, target:unit_one, val:0.03, lowest_val:5000, count:-1, color:yellow, block01:jammer],[effect:freq_turn, target:myself, turn:1, val:1, animation:enemy_freq_turn]</t>
    <phoneticPr fontId="10"/>
  </si>
  <si>
    <t>こいつは俺がいただくぜ！</t>
  </si>
  <si>
    <t>お邪魔パネルを吸収して攻撃+
1ターン行動頻度UP</t>
  </si>
  <si>
    <t>[effect:enemy_message, val1:1.2, val2:3.4],[effect:force_change_block, new_block:crash, target:block_yellow, count:2, val:15, animation:change_block],[effect:rush, count:5, val:0.22]</t>
    <phoneticPr fontId="10"/>
  </si>
  <si>
    <t>ja</t>
    <phoneticPr fontId="10"/>
  </si>
  <si>
    <t>お前の力…見せてみろ！</t>
  </si>
  <si>
    <t>黄パネルを先頭ユニットのSCパネルに2個変換+
5回連続攻撃</t>
  </si>
  <si>
    <t>[effect:enemy_message, val1:1.2, val2:2.3],[effect:change_range_block, block_change:1, base_type:0, square_count:5, position01:5, value_h01:2.0, value_w01:5.0, new_block:block_yellow, target:block_all, ignore01:block_positive, count:0, val:0, animation:change_block],[effect:spread, val:0.29]</t>
    <phoneticPr fontId="10"/>
  </si>
  <si>
    <t>独眼流秘技・閃撃</t>
  </si>
  <si>
    <t>特定エリアを黄パネルに変換+全体攻撃</t>
  </si>
  <si>
    <t>[effect:enemy_message, val1:1.3, val2:2.2],[effect:panel_freeze, target:normal, color:block_green, count:-1],[effect:critical, val:1.28, animation:enemy_critical]</t>
    <phoneticPr fontId="10"/>
  </si>
  <si>
    <t>ja</t>
    <phoneticPr fontId="10"/>
  </si>
  <si>
    <t>ハハッ　命知らずなヤツだ！</t>
  </si>
  <si>
    <t>緑パネルプロテクト+クリティカル！</t>
  </si>
  <si>
    <t>[effect:enemy_message, val1:1.9, val2:1.7],[effect:tolerance, target:myself, turn:-1, count:-1, tolerance_effect:all, animation:enemy_tolerance],[effect:fix_speed, target:myself, turn:1]</t>
    <phoneticPr fontId="10"/>
  </si>
  <si>
    <t>ja</t>
    <phoneticPr fontId="10"/>
  </si>
  <si>
    <t>いいぜ…久しぶりにマジになるか！</t>
  </si>
  <si>
    <t>状態異常耐性</t>
  </si>
  <si>
    <t>[effect:enemy_message, val1:1.9, val2:1.2],[effect:tolerance, target:myself, turn:-1, count:-1, tolerance_effect:all, animation:enemy_tolerance],[effect:fix_speed, target:myself, turn:1]</t>
    <phoneticPr fontId="10"/>
  </si>
  <si>
    <t>[effect:enemy_message, val1:1.2, val2:3.2],[effect:change_range_block,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t>
    <phoneticPr fontId="10"/>
  </si>
  <si>
    <t>さあ！こいつでどうだ！</t>
  </si>
  <si>
    <t>特定エリアを黄&amp;緑&amp;青のダメージパネルに変換+
単体攻撃</t>
    <phoneticPr fontId="10"/>
  </si>
  <si>
    <t>[effect:enemy_message, val1:1.2, val2:3.2],[effect:change_range_block,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t>
    <phoneticPr fontId="10"/>
  </si>
  <si>
    <t>ja</t>
    <phoneticPr fontId="10"/>
  </si>
  <si>
    <t>特定エリアを黄&amp;緑&amp;青のダメージパネルに変換+
単体攻撃</t>
    <phoneticPr fontId="10"/>
  </si>
  <si>
    <t>[effect:enemy_message, val1:1.2, val2:4.4],[effect:force_change_block, new_block:crack_bomb, target:normal, color:block_yellow, count:20, val:12, animation:change_block],[effect:enhance_unit, target:unit_all, turn:1, status:action, val:2, calc:add],[effect:rush, count:5, val:0.22]</t>
    <phoneticPr fontId="10"/>
  </si>
  <si>
    <t>これが俺の真骨頂だ！</t>
  </si>
  <si>
    <t>属性パネルを黄ボムパネルに20個変換+
5回連続攻撃+
1ターンタップ回数を2UP</t>
  </si>
  <si>
    <t>[effect:enemy_message, val1:1.4, val2:4.6],[effect:force_change_block, new_block:crack_bomb, target:normal, color:block_yellow, count:1, val:25, animation:change_block],[effect:force_change_block,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t>
    <phoneticPr fontId="10"/>
  </si>
  <si>
    <t>最高だ！
疼きが止まらねぇぜ！</t>
  </si>
  <si>
    <t>属性パネルを黄ボムパネルに8個変換+
属性パネルを黄のCBPに2個変換+
2回連続攻撃</t>
  </si>
  <si>
    <t>[effect:enemy_message, val1:1.2, val2:2.3],[effect:change_range_block, block_change:1, base_type:0, square_count:5, position01:5, value_h01:3.0, value_w01:5.0, new_block:block_yellow, target:block_all, ignore01:block_positive, count:0, val:0, animation:change_block],[effect:spread, val:0.23]</t>
    <phoneticPr fontId="10"/>
  </si>
  <si>
    <t>ja</t>
    <phoneticPr fontId="10"/>
  </si>
  <si>
    <t>[effect:enemy_message, val1:1.2, val2:2.0],[effect:break_attack, target:unit_all, val:0.01, lowest_val:200, count:-1, color:yellow, block01:block_yellow, block02:block_blue, block03:block_green]</t>
    <phoneticPr fontId="10"/>
  </si>
  <si>
    <t>独眼流秘技・破天</t>
  </si>
  <si>
    <t>[effect:enemy_message, val1:1.2, val2:2.9],[effect:force_change_block, new_block:jammer, target:block_blue, count:6, val:0, animation:change_block],[effect:critical, val:1.1, animation:enemy_critical]</t>
    <phoneticPr fontId="10"/>
  </si>
  <si>
    <t>ja</t>
    <phoneticPr fontId="10"/>
  </si>
  <si>
    <t>独眼流秘技・天撃</t>
  </si>
  <si>
    <t>青パネルをお邪魔パネルに6個変換+
クリティカル！</t>
  </si>
  <si>
    <t>[effect:enemy_message, val1:3.2, val2:6.0],[effect:tolerance,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t>
    <phoneticPr fontId="10"/>
  </si>
  <si>
    <t>私に刃向かうとは愚かな…
よかろう…せいぜい足掻いてみせろ！</t>
  </si>
  <si>
    <t>状態異常耐性+10ターン赤パネルドロップ率DOWN+
7ターン回復&amp;体力タイプのユニットの
ボムの爆風を30%UP</t>
  </si>
  <si>
    <t>[effect:enemy_message, val1:3.1, val2:6.0],[effect:tolerance,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t>
    <phoneticPr fontId="10"/>
  </si>
  <si>
    <t>貴様らも私に刃向かうか？
よかろう…せいぜい華々しく散れ！</t>
  </si>
  <si>
    <t>[effect:enemy_message, val1:2.0, val2:4.9],[effect:drop_block, block_type:crack_bomb, block_color:block_red, color:block_all, val:12, rate:0.1, turn:5, animation:bomb_influence04],[effect:spread, val:0.28],[effect:freq_turn, target:myself, turn:1, val:1, animation:enemy_freq_turn]</t>
    <phoneticPr fontId="10"/>
  </si>
  <si>
    <t>まずは小手調べといこうか、哀れな駒どもよ</t>
  </si>
  <si>
    <t>5ターン超高確率で
属性パネルが赤ボムパネルとしてドロップ+
全体攻撃+1ターン行動頻度UP</t>
  </si>
  <si>
    <t>[effect:enemy_message, val1:1.2, val2:2.5],[effect:scale_bomb, val:12, count:-1, animation:change_block],[effect:rush, count:5, val:0.14]</t>
    <phoneticPr fontId="10"/>
  </si>
  <si>
    <t>クク…手ほどきが必要か？</t>
  </si>
  <si>
    <t>ボムパネル強化(効果激烈)+
5回連続攻撃</t>
  </si>
  <si>
    <t>[effect:enemy_message, val1:1.5, val2:5.9],[effect:force_change_block, new_block:crack_bomb, target:normal, color:block_yellow, count:2, val:22, animation:change_block],[effect:force_change_block,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t>
    <phoneticPr fontId="10"/>
  </si>
  <si>
    <t>その程度か？　私を退屈させるな</t>
  </si>
  <si>
    <t>属性パネルを黄&amp;緑&amp;青のボムパネルに2個ずつ変換+
属性パネルを黄&amp;緑&amp;青のCBPに1個ずつ変換+
3回連続攻撃</t>
    <phoneticPr fontId="10"/>
  </si>
  <si>
    <t>[effect:enemy_message, val1:1.2, val2:3.7],[effect:force_change_block, new_block:block_green, target:block_red, count:0, val:0, animation:change_block],[effect:force_change_block, new_block:block_yellow, target:block_blue, count:0, val:0, animation:change_block],[effect:rush, count:2, val:0.35]</t>
    <phoneticPr fontId="10"/>
  </si>
  <si>
    <t>ja</t>
    <phoneticPr fontId="10"/>
  </si>
  <si>
    <t>使えぬ駒は棄てるだけだ</t>
  </si>
  <si>
    <t>赤パネルを緑パネルに変換+
青パネルを黄パネルに変換+
2回連続攻撃</t>
  </si>
  <si>
    <t>[effect:enemy_message, val1:1.9, val2:2.1],[effect:break_attack, target:unit_all, val:0.01, lowest_val:100, count:-1, color:green, block01:block_green, block02:block_blue]</t>
    <phoneticPr fontId="10"/>
  </si>
  <si>
    <t>貴様らの代わりなどいくらでも用意できる</t>
  </si>
  <si>
    <t>緑パネルと青パネルを吸収して攻撃</t>
    <phoneticPr fontId="10"/>
  </si>
  <si>
    <t>[effect:enemy_message, val1:3.0, val2:5.1],[effect:tolerance,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t>
    <phoneticPr fontId="10"/>
  </si>
  <si>
    <t>駒の分際で私に刃向かったこと…
存分に後悔させてやろう！</t>
    <phoneticPr fontId="10"/>
  </si>
  <si>
    <t>状態異常耐性+
10ターン黄パネルドロップ率DOWN+
特定エリアを緑&amp;青のダメージパネルに変換</t>
    <phoneticPr fontId="10"/>
  </si>
  <si>
    <t>[effect:enemy_message, val1:3.0, val2:5.1],[effect:tolerance,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t>
    <phoneticPr fontId="10"/>
  </si>
  <si>
    <t>駒の分際で私に刃向かったこと…
存分に後悔させてやろう！</t>
  </si>
  <si>
    <t>状態異常耐性+
10ターン黄パネルドロップ率DOWN+
特定エリアを緑&amp;青のダメージパネルに変換</t>
    <phoneticPr fontId="10"/>
  </si>
  <si>
    <t>[effect:enemy_message, val1:1.4, val2:5.0],[effect:force_change_block,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t>
    <phoneticPr fontId="10"/>
  </si>
  <si>
    <t>さあ、命乞いの時間は必要か？</t>
  </si>
  <si>
    <t>属性パネルを黄パネルに最大10個変換+
属性パネルをマグネットパネル(黄→ハート)に1個変換</t>
    <phoneticPr fontId="10"/>
  </si>
  <si>
    <t>[effect:enemy_message, val1:1.4, val2:5.0],[effect:force_change_block,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t>
    <phoneticPr fontId="10"/>
  </si>
  <si>
    <t>属性パネルを黄パネルに最大10個変換+
属性パネルをマグネットパネル(黄→ハート)に1個変換</t>
    <phoneticPr fontId="10"/>
  </si>
  <si>
    <t>[effect:enemy_message, val1:1.2, val2:2.4],[effect:rush, count:2, val:0.45],[effect:crash_growth, val:6, count:-1, animation:change_block]</t>
    <phoneticPr fontId="10"/>
  </si>
  <si>
    <t>ja</t>
    <phoneticPr fontId="10"/>
  </si>
  <si>
    <t>増幅する罪</t>
  </si>
  <si>
    <t>Cパネル強化(効果超大)+2回連続攻撃</t>
  </si>
  <si>
    <t>[effect:enemy_message, val1:1.2, val2:1.7],[effect:break_attack, target:unit_one, val:0.15, lowest_val:7500, count:-1, color:green, block01:crash]</t>
    <phoneticPr fontId="10"/>
  </si>
  <si>
    <t>贖罪の雨</t>
  </si>
  <si>
    <t>Cパネルを吸収して攻撃</t>
  </si>
  <si>
    <t>[effect:enemy_message, val1:1.9, val2:2.7],[effect:force_change_block, new_block:block_yellow, target:block_green, count:0, val:0, animation:change_block],[effect:force_change_block, new_block:block_yellow, target:block_blue, count:0, val:0, animation:change_block],[effect:spread, val:0.17]</t>
    <phoneticPr fontId="10"/>
  </si>
  <si>
    <t>罪深き者どもよ…私が等しく裁いてやろう</t>
  </si>
  <si>
    <t>緑パネルと青パネルを黄パネルに変換+
全体攻撃</t>
  </si>
  <si>
    <t>[effect:enemy_message, val1:1.2, val2:2.4],[effect:rush, count:3, val:0.32],[effect:crash_growth, val:12, count:-1, animation:change_block]</t>
    <phoneticPr fontId="10"/>
  </si>
  <si>
    <t>Cパネル強化(効果激烈)+3回連続攻撃</t>
  </si>
  <si>
    <t>[effect:enemy_message, val1:1.2, val2:1.7],[effect:break_attack, target:unit_one, val:0.17, lowest_val:7500, count:-1, color:green, block01:crash]</t>
    <phoneticPr fontId="10"/>
  </si>
  <si>
    <t>断罪の雨</t>
  </si>
  <si>
    <t>[effect:enemy_message, val1:1.8, val2:2.7],[effect:change_range_block,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t>
    <phoneticPr fontId="10"/>
  </si>
  <si>
    <t>たかが駒の分際で…私に勝てるとでも？</t>
  </si>
  <si>
    <t>特定エリアを黄&amp;緑&amp;青のダメージパネルに変換</t>
    <phoneticPr fontId="10"/>
  </si>
  <si>
    <t>[effect:enemy_message, val1:1.8, val2:2.7],[effect:change_range_block,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t>
    <phoneticPr fontId="10"/>
  </si>
  <si>
    <t>特定エリアを黄&amp;緑&amp;青のダメージパネルに変換</t>
    <phoneticPr fontId="10"/>
  </si>
  <si>
    <t>[effect:enemy_message, val1:1.2, val2:2.4],[effect:rush, count:2, val:0.41],[effect:crash_growth, val:6, count:-1, animation:change_block]</t>
    <phoneticPr fontId="10"/>
  </si>
  <si>
    <t>[effect:enemy_message, val1:1.2, val2:1.7],[effect:break_attack, target:unit_one, val:0.15, lowest_val:7000, count:-1, color:green, block01:crash]</t>
    <phoneticPr fontId="10"/>
  </si>
  <si>
    <t>[effect:enemy_message, val1:1.2, val2:4.1],[effect:force_change_magnet, target:normal, color:block_green, count:1, red:0, green:1, blue:0, yellow:1, heart:1, reverse:0, generate:0, turn:3, animation:change_block],[effect:critical, val:1.12, animation:enemy_critical]</t>
    <phoneticPr fontId="10"/>
  </si>
  <si>
    <t>さあ…裁きの時間だ！</t>
  </si>
  <si>
    <t>属性パネルを
マグネットパネル(緑→黄→ハート)に1個変換+
クリティカル！</t>
  </si>
  <si>
    <t>[effect:enemy_message, val1:3.2, val2:6.0],[effect:tolerance,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t>
    <phoneticPr fontId="10"/>
  </si>
  <si>
    <t>その程度か、哀れな駒どもよ！
さあ踊れ！私を失望させるな！！</t>
  </si>
  <si>
    <t>状態異常耐性+
全ユニットが攻撃に参加+
回復&amp;体力タイプのユニットの
ボムの爆風を40%UP&amp;スキルゲージMAX！</t>
  </si>
  <si>
    <t>[effect:enemy_message, val1:2.5, val2:4.8],[effect:drop_block, block_type:jammer, color:block_yellow, val:0, rate:0.3,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t>
    <phoneticPr fontId="10"/>
  </si>
  <si>
    <t>この私が直々に相手をしてやっているのだ
光栄に思え！</t>
  </si>
  <si>
    <t>4ターン超高確率で
黄パネルがお邪魔パネルとしてドロップ+
特定エリアを緑ボムパネルに変換</t>
  </si>
  <si>
    <t>[effect:enemy_message, val1:2.5, val2:4.8],[effect:drop_block, block_type:jammer, color:block_yellow, val:0, rate:0.2,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t>
    <phoneticPr fontId="10"/>
  </si>
  <si>
    <t>4ターン高確率で
黄パネルがお邪魔パネルとしてドロップ+
特定エリアを緑ボムパネルに変換</t>
    <phoneticPr fontId="10"/>
  </si>
  <si>
    <t>[effect:enemy_message, val1:2.0, val2:2.5],[effect:change_range_block, block_change:1, base_type:0, square_count:5, position01:5, value_h01:2.0, value_w01:5.0, new_block:crack_bomb, target:block_all, ignore01:block_positive, color:block_green, count:0, val:17, animation:change_block],[effect:spread, val:0.32]</t>
    <phoneticPr fontId="10"/>
  </si>
  <si>
    <t>ja</t>
    <phoneticPr fontId="10"/>
  </si>
  <si>
    <t>おのれ…駒の分際で…
よくも私に傷を…ッ！</t>
  </si>
  <si>
    <t>特定エリアを緑ボムパネルに変換+
全体攻撃</t>
  </si>
  <si>
    <t>[effect:enemy_message, val1:1.4, val2:2.7],[effect:force_change_block,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val:0.33]</t>
    <phoneticPr fontId="10"/>
  </si>
  <si>
    <t>敗北は貴様らにこそふさわしい</t>
  </si>
  <si>
    <t>黄パネルと青パネルを緑パネルに変換+
全体攻撃</t>
  </si>
  <si>
    <t>[effect:enemy_message, val1:1.7, val2:5.0],[effect:force_change_block, new_block:crack_bomb, target:normal, color:block_red, count:1, val:22, animation:change_block],[effect:force_change_block,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t>
    <phoneticPr fontId="10"/>
  </si>
  <si>
    <t>さあ、私の力の前にひれ伏せ！跪け！</t>
  </si>
  <si>
    <t>属性パネルを赤&amp;黄&amp;青ボムパネルに1個ずつ変換+
属性パネルをCBPに3個変換+
3回連続攻撃</t>
  </si>
  <si>
    <t>[effect:enemy_message, val1:1.2, val2:2.7],[effect:force_change_block,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val:0.34]</t>
    <phoneticPr fontId="10"/>
  </si>
  <si>
    <t>泣け！叫べ！踊り狂え！</t>
  </si>
  <si>
    <t>[effect:enemy_message, val1:1.7, val2:4.9],[effect:force_change_block, new_block:crack_bomb, target:normal, color:block_red, count:1, val:20, animation:change_block],[effect:force_change_block,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t>
    <phoneticPr fontId="10"/>
  </si>
  <si>
    <t>そうだ！全ては私の意のままに…！！</t>
  </si>
  <si>
    <t>属性パネルを5色のボムパネルに1個ずつ変換+
属性パネルをCBPに3個変換+クリティカル！</t>
  </si>
  <si>
    <t>[effect:enemy_message, val1:2.8, val2:3.1]</t>
    <phoneticPr fontId="10"/>
  </si>
  <si>
    <t>グッ…馬鹿な…！
貴様らごときニ…コノ私が…！！</t>
  </si>
  <si>
    <t>私ハ…マタ消サレルのか…
ああ…自我が…薄レテいく……</t>
  </si>
  <si>
    <t>[effect:enemy_message, val1:3.6, val2:3.5]</t>
    <phoneticPr fontId="10"/>
  </si>
  <si>
    <t>馬鹿な…貴様らごときに…コノ私が…
ア…ア…自我が…薄レテいく…</t>
  </si>
  <si>
    <t>私ハ…マタ棄テラレルのカ…
ワタシノ存在意義…イキル…意味ヲ…</t>
  </si>
  <si>
    <t>skill_trigger_id</t>
    <phoneticPr fontId="12"/>
  </si>
  <si>
    <t>first_time</t>
    <phoneticPr fontId="10"/>
  </si>
  <si>
    <t>priority</t>
    <phoneticPr fontId="10"/>
  </si>
  <si>
    <t>invoke_rate</t>
    <phoneticPr fontId="10"/>
  </si>
  <si>
    <t>hp_threshold</t>
    <phoneticPr fontId="10"/>
  </si>
  <si>
    <t>hp_termination</t>
    <phoneticPr fontId="10"/>
  </si>
  <si>
    <t>invoke_times</t>
    <phoneticPr fontId="10"/>
  </si>
  <si>
    <t>every_time_count</t>
    <phoneticPr fontId="10"/>
  </si>
  <si>
    <t>neighbor_dead_id</t>
    <phoneticPr fontId="10"/>
  </si>
  <si>
    <t>invoke_weight</t>
    <phoneticPr fontId="10"/>
  </si>
  <si>
    <t>null</t>
    <phoneticPr fontId="10"/>
  </si>
  <si>
    <t>【開幕】D.R.T.H.</t>
    <phoneticPr fontId="10"/>
  </si>
  <si>
    <t>状態異常無効+回復&amp;体力タイプのスキルゲージ5ターン減少</t>
    <phoneticPr fontId="10"/>
  </si>
  <si>
    <t>【1T目】D.R.T.H.</t>
    <phoneticPr fontId="10"/>
  </si>
  <si>
    <t>12ターン緑パネルドロップ率DOWN+全体攻撃</t>
    <phoneticPr fontId="10"/>
  </si>
  <si>
    <t>【2T目】D.R.T.H.</t>
  </si>
  <si>
    <t>緑パネルを赤ボムパネルに変換+
赤・ハートパネルを黄パネルに変換+6回連続攻撃</t>
    <phoneticPr fontId="10"/>
  </si>
  <si>
    <t>【通常★】D.R.T.H.</t>
    <phoneticPr fontId="10"/>
  </si>
  <si>
    <t>時限式&amp;お邪魔を生成し赤ボムパネル（大）に変換+
クリティカル！</t>
    <phoneticPr fontId="10"/>
  </si>
  <si>
    <t>null</t>
    <phoneticPr fontId="10"/>
  </si>
  <si>
    <t>【通常】D.R.T.H.</t>
    <phoneticPr fontId="10"/>
  </si>
  <si>
    <t>属性パネルを赤のCBPに2個変換+2回連続攻撃</t>
    <phoneticPr fontId="10"/>
  </si>
  <si>
    <t>【通常】D.R.T.H.</t>
    <phoneticPr fontId="10"/>
  </si>
  <si>
    <t>緑・青パネルを赤パネルに変換+4回連続攻撃</t>
    <phoneticPr fontId="10"/>
  </si>
  <si>
    <t>【通常】D.R.T.H.</t>
    <phoneticPr fontId="10"/>
  </si>
  <si>
    <t>赤パネル吸収攻撃（多いほどダメージ減）</t>
    <phoneticPr fontId="10"/>
  </si>
  <si>
    <t>【開幕】伊達政宗１</t>
    <phoneticPr fontId="10"/>
  </si>
  <si>
    <t>状態異常無効+
5ターン緑パネルが確率でお邪魔パネルでドロップ</t>
    <phoneticPr fontId="10"/>
  </si>
  <si>
    <t>【1T目】伊達政宗１</t>
    <phoneticPr fontId="10"/>
  </si>
  <si>
    <t>10ターン青パネル出現率DOWN+4回連続攻撃</t>
    <phoneticPr fontId="10"/>
  </si>
  <si>
    <t>【通常★】伊達政宗１</t>
    <phoneticPr fontId="10"/>
  </si>
  <si>
    <t>時限式パネルに部分変換（盤面の下3分の1）+単体攻撃</t>
    <phoneticPr fontId="10"/>
  </si>
  <si>
    <t>【通常】伊達政宗１</t>
    <phoneticPr fontId="10"/>
  </si>
  <si>
    <t>お邪魔パネル吸収攻撃+1ターン攻撃頻度UP</t>
    <phoneticPr fontId="10"/>
  </si>
  <si>
    <t>黄色パネルを先頭ユニットのSCパネルに最大3個変換+
緑・赤パネルを黄パネルに変換</t>
    <phoneticPr fontId="10"/>
  </si>
  <si>
    <t>ヒューマンキラー全体攻撃</t>
    <phoneticPr fontId="10"/>
  </si>
  <si>
    <t>【4T毎】伊達政宗１</t>
    <phoneticPr fontId="10"/>
  </si>
  <si>
    <t>緑パネルプロテクト+クリティカル！</t>
    <phoneticPr fontId="10"/>
  </si>
  <si>
    <t>【開幕】伊達政宗２</t>
    <phoneticPr fontId="10"/>
  </si>
  <si>
    <t>状態異常無効+5ターン青パネルがプロテクトされてドロップ</t>
    <phoneticPr fontId="10"/>
  </si>
  <si>
    <t>【1T目】伊達政宗２</t>
    <phoneticPr fontId="10"/>
  </si>
  <si>
    <t>時限式パネルに部分変換（盤面の下3分の1）+単体攻撃</t>
    <phoneticPr fontId="10"/>
  </si>
  <si>
    <t>【通常★】伊達政宗２</t>
    <phoneticPr fontId="10"/>
  </si>
  <si>
    <t>属性パネルを黄色のボムパネル（小）生成（最大15個）+
5回連続攻撃+1ターンタップ数2増加</t>
    <phoneticPr fontId="10"/>
  </si>
  <si>
    <t>【通常】伊達政宗２</t>
    <phoneticPr fontId="10"/>
  </si>
  <si>
    <t>属性パネルを黄色のボムパネル(大)1個・ボムパネル(小)7個
黄のCBPに2個変換+2回連続攻撃</t>
    <phoneticPr fontId="10"/>
  </si>
  <si>
    <t>黄パネルを部分変換（横）+全体攻撃</t>
    <phoneticPr fontId="10"/>
  </si>
  <si>
    <t>黄・青・緑パネル吸収攻撃</t>
    <phoneticPr fontId="10"/>
  </si>
  <si>
    <t>【6T毎】伊達政宗２</t>
    <phoneticPr fontId="10"/>
  </si>
  <si>
    <t>青パネルをお邪魔パネルに変換（最大6個）+クリティカル！</t>
    <phoneticPr fontId="10"/>
  </si>
  <si>
    <t>【開幕】スカルズ１</t>
    <phoneticPr fontId="10"/>
  </si>
  <si>
    <t>状態異常無効+12ターン赤パネルドロップ率DOWN</t>
    <phoneticPr fontId="10"/>
  </si>
  <si>
    <t>【開幕】スカルズ１
パラケルスス専用</t>
    <phoneticPr fontId="10"/>
  </si>
  <si>
    <t>【1T目】スカルズ１</t>
    <phoneticPr fontId="10"/>
  </si>
  <si>
    <t>5ターン赤パネルを確率で赤ボムパネルとしてドロップ+
全体攻撃</t>
    <phoneticPr fontId="10"/>
  </si>
  <si>
    <t>【通常★】スカルズ１</t>
    <phoneticPr fontId="10"/>
  </si>
  <si>
    <t>ボムパネルサイズ成長+単体攻撃</t>
    <phoneticPr fontId="10"/>
  </si>
  <si>
    <t>【通常】スカルズ１</t>
    <phoneticPr fontId="10"/>
  </si>
  <si>
    <t>黄・緑・青のCBP生成+3回連続攻撃</t>
    <phoneticPr fontId="10"/>
  </si>
  <si>
    <t>【通常】スカルズ１</t>
    <phoneticPr fontId="10"/>
  </si>
  <si>
    <t>2ターン全ユニットの爆風50%UP+全体攻撃</t>
    <phoneticPr fontId="10"/>
  </si>
  <si>
    <t>ハートパネル吸収攻撃</t>
    <phoneticPr fontId="10"/>
  </si>
  <si>
    <t>【開幕】スカルズ２</t>
    <phoneticPr fontId="10"/>
  </si>
  <si>
    <t>状態異常無効+10ターン黄パネルドロップ率DOWN+
ダメージパネル・時限式パネルを部分変換（盤面の下3分の1）</t>
    <phoneticPr fontId="10"/>
  </si>
  <si>
    <t>【1T目】スカルズ２</t>
    <phoneticPr fontId="10"/>
  </si>
  <si>
    <t>5ターン赤パネルを確率でプロテクトされてドロップ+
マグネットパネル（緑→黄→ハート）1個生成</t>
    <phoneticPr fontId="10"/>
  </si>
  <si>
    <t>【2T目】スカルズ２</t>
    <phoneticPr fontId="10"/>
  </si>
  <si>
    <t>Cパネル強化（2段階）+2回連続攻撃</t>
    <phoneticPr fontId="10"/>
  </si>
  <si>
    <t>【3T目】スカルズ２</t>
    <phoneticPr fontId="10"/>
  </si>
  <si>
    <t>Cパネル吸収攻撃</t>
    <phoneticPr fontId="10"/>
  </si>
  <si>
    <t>【4T目】スカルズ２</t>
    <phoneticPr fontId="10"/>
  </si>
  <si>
    <t>赤・青・ハートパネル吸収攻撃</t>
    <phoneticPr fontId="10"/>
  </si>
  <si>
    <t>【5T目】スカルズ２</t>
    <phoneticPr fontId="10"/>
  </si>
  <si>
    <t>Cパネル強化（3段階）+3回連続攻撃</t>
    <phoneticPr fontId="10"/>
  </si>
  <si>
    <t>【6T目】スカルズ２</t>
    <phoneticPr fontId="10"/>
  </si>
  <si>
    <t>【7T目】スカルズ２</t>
    <phoneticPr fontId="10"/>
  </si>
  <si>
    <t>ダメージパネル・時限式パネルを部分変換（盤面の下3分の1）+
ダメージパネル・時限式パネルをプロテクト</t>
    <phoneticPr fontId="10"/>
  </si>
  <si>
    <t>【2周目：1】スカルズ２</t>
    <phoneticPr fontId="10"/>
  </si>
  <si>
    <t>【2周目：2】スカルズ２</t>
    <phoneticPr fontId="10"/>
  </si>
  <si>
    <t>【開幕】スカルズ３</t>
    <phoneticPr fontId="10"/>
  </si>
  <si>
    <t>状態異常無効+全属性ダメージ100%軽減+
回復&amp;体力タイプのスキルゲージMAX</t>
    <phoneticPr fontId="10"/>
  </si>
  <si>
    <t>【1T目】スカルズ３</t>
    <phoneticPr fontId="10"/>
  </si>
  <si>
    <t>4ターン黄パネルをお邪魔でドロップ
緑のボムパネル（中）を部分変換</t>
    <phoneticPr fontId="10"/>
  </si>
  <si>
    <t>【1T目：2周目以降】スカルズ３</t>
    <phoneticPr fontId="10"/>
  </si>
  <si>
    <t>強力な全体攻撃+緑のボムパネル（中）を部分変換</t>
    <phoneticPr fontId="10"/>
  </si>
  <si>
    <t>【2T目】スカルズ３</t>
    <phoneticPr fontId="10"/>
  </si>
  <si>
    <t>黄・青パネルを緑パネルに変換+全体攻撃</t>
    <phoneticPr fontId="10"/>
  </si>
  <si>
    <t>【3T目】スカルズ３</t>
    <phoneticPr fontId="10"/>
  </si>
  <si>
    <t>赤・黄・青のボムパネル(大)3個とCBP3個生成+
3回連続攻撃</t>
    <phoneticPr fontId="10"/>
  </si>
  <si>
    <t>null</t>
    <phoneticPr fontId="10"/>
  </si>
  <si>
    <t>【4T目】スカルズ３</t>
    <phoneticPr fontId="10"/>
  </si>
  <si>
    <t>黄・青パネルを緑パネルに変換+全体攻撃</t>
    <phoneticPr fontId="10"/>
  </si>
  <si>
    <t>【5T目】スカルズ３</t>
    <phoneticPr fontId="10"/>
  </si>
  <si>
    <t>ボムパネル(大)5個とCBP3個生成+クリティカル！</t>
    <phoneticPr fontId="10"/>
  </si>
  <si>
    <t>【死亡時】スカルズ３</t>
    <phoneticPr fontId="10"/>
  </si>
  <si>
    <t>死亡時セリフ</t>
    <phoneticPr fontId="10"/>
  </si>
  <si>
    <t>【死亡時】スカルズ３
パラケルスス専用</t>
    <phoneticPr fontId="10"/>
  </si>
  <si>
    <t>死亡時セリフ</t>
    <phoneticPr fontId="10"/>
  </si>
  <si>
    <t>ja</t>
    <phoneticPr fontId="10"/>
  </si>
  <si>
    <t>quest_id</t>
    <phoneticPr fontId="10"/>
  </si>
  <si>
    <t>stage_id</t>
    <phoneticPr fontId="10"/>
  </si>
  <si>
    <t>temp_stage</t>
    <phoneticPr fontId="12"/>
  </si>
  <si>
    <t>stage_target</t>
    <phoneticPr fontId="10"/>
  </si>
  <si>
    <t>bonus_id</t>
    <phoneticPr fontId="10"/>
  </si>
  <si>
    <t>bonus_type</t>
    <phoneticPr fontId="10"/>
  </si>
  <si>
    <t>bonus_value</t>
    <phoneticPr fontId="10"/>
  </si>
  <si>
    <t>bonus_count</t>
    <phoneticPr fontId="10"/>
  </si>
  <si>
    <t>level</t>
    <phoneticPr fontId="10"/>
  </si>
  <si>
    <t>skill_level</t>
    <phoneticPr fontId="10"/>
  </si>
  <si>
    <t>hp_plus</t>
    <phoneticPr fontId="10"/>
  </si>
  <si>
    <t>attack_plus</t>
    <phoneticPr fontId="10"/>
  </si>
  <si>
    <t>defense_plus</t>
    <phoneticPr fontId="10"/>
  </si>
  <si>
    <t>heal_plus</t>
    <phoneticPr fontId="10"/>
  </si>
  <si>
    <t>bug</t>
    <phoneticPr fontId="10"/>
  </si>
  <si>
    <t>weight</t>
    <phoneticPr fontId="10"/>
  </si>
  <si>
    <t>definite_start_date</t>
    <phoneticPr fontId="10"/>
  </si>
  <si>
    <t>definite_end_date</t>
    <phoneticPr fontId="10"/>
  </si>
  <si>
    <t>2015-03-27 00:00:00</t>
  </si>
  <si>
    <t>2970-01-01 09:00:00</t>
  </si>
  <si>
    <t>failure</t>
  </si>
  <si>
    <t>ja</t>
    <phoneticPr fontId="10"/>
  </si>
  <si>
    <t>攻略のヒント</t>
    <rPh sb="0" eb="2">
      <t>コウリャク</t>
    </rPh>
    <phoneticPr fontId="10"/>
  </si>
  <si>
    <t>D.R.T.H.は
回復・体力タイプのユニットに対し
有利な効果を付与します
該当するユニットをパーティに入れ
有利に戦いましょう</t>
    <phoneticPr fontId="10"/>
  </si>
  <si>
    <t>NULL</t>
    <phoneticPr fontId="10"/>
  </si>
  <si>
    <t>ja</t>
    <phoneticPr fontId="10"/>
  </si>
  <si>
    <t>伊達政宗はパネル変換スキルを
頻繁に使用します
攻撃の威力が高いため
回復を怠らないようにしましょう</t>
    <phoneticPr fontId="10"/>
  </si>
  <si>
    <t>NULL</t>
    <phoneticPr fontId="10"/>
  </si>
  <si>
    <t>スカルズの1ゲージ目は
回復・体力タイプのユニットに
爆風強化を付与します
該当するユニットを
積極的に組み込みましょう</t>
    <phoneticPr fontId="10"/>
  </si>
  <si>
    <t>NULL</t>
    <phoneticPr fontId="10"/>
  </si>
  <si>
    <t>ja</t>
    <phoneticPr fontId="10"/>
  </si>
  <si>
    <t>スカルズの2ゲージ目は
Cパネル強化スキルを使いますが
次のターンにCパネル吸収攻撃を放つため
Cパネルを残さずに戦いましょう</t>
    <phoneticPr fontId="10"/>
  </si>
  <si>
    <t>NULL</t>
    <phoneticPr fontId="10"/>
  </si>
  <si>
    <t>ja</t>
    <phoneticPr fontId="10"/>
  </si>
  <si>
    <t>スカルズの3ゲージ目では
全ユニットが攻撃に参加することができます
強力なスキルなどを使って
一気に攻めましょう</t>
    <phoneticPr fontId="10"/>
  </si>
  <si>
    <t>NULL</t>
    <phoneticPr fontId="10"/>
  </si>
  <si>
    <t>complete</t>
  </si>
  <si>
    <t>旧式ウィルス</t>
    <phoneticPr fontId="10"/>
  </si>
  <si>
    <t>スカルズは元々悪意により生み出された
旧式ウィルスでした
やがて破棄され存在意義を失った彼は
復讐心だけを糧として生きていました</t>
    <phoneticPr fontId="10"/>
  </si>
  <si>
    <t>薄れゆく自我</t>
    <phoneticPr fontId="10"/>
  </si>
  <si>
    <t>スカルズはALICE内のアバターを
自らの駒として扱い
他人よりも優位に立つことによって
自我を保とうとしていました</t>
    <phoneticPr fontId="10"/>
  </si>
  <si>
    <t>スカルズの侵攻</t>
    <phoneticPr fontId="10"/>
  </si>
  <si>
    <t>自分に従わない強力なアバターを
反逆者とし次々と強襲したスカルズ
アナタもその一人であるとみなし
制圧せんと襲いかかってきました</t>
    <phoneticPr fontId="10"/>
  </si>
  <si>
    <t>D.R.T.H.は
回復・体力タイプのユニットに対し
有利な効果を付与します
該当するユニットをパーティに入れ
有利に戦いましょう</t>
    <phoneticPr fontId="10"/>
  </si>
  <si>
    <t>伊達政宗はパネル変換スキルを
頻繁に使用します
攻撃の威力が高いため
回復を怠らないようにしましょう</t>
    <phoneticPr fontId="10"/>
  </si>
  <si>
    <t>スカルズの1ゲージ目は
回復・体力タイプのユニットに
爆風強化を付与します
該当するユニットを
積極的に組み込みましょう</t>
    <phoneticPr fontId="10"/>
  </si>
  <si>
    <t>スカルズの2ゲージ目は
Cパネル強化スキルを使いますが
次のターンにCパネル吸収攻撃を放つため
Cパネルを残さずに戦いましょう</t>
    <phoneticPr fontId="10"/>
  </si>
  <si>
    <t>スカルズの3ゲージ目では
全ユニットが攻撃に参加することができます
強力なスキルなどを使って
一気に攻めましょう</t>
    <phoneticPr fontId="10"/>
  </si>
  <si>
    <t>NULL</t>
    <phoneticPr fontId="10"/>
  </si>
  <si>
    <t>旧式ウィルス</t>
    <phoneticPr fontId="10"/>
  </si>
  <si>
    <t>スカルズは元々悪意により生み出された
旧式ウィルスでした
やがて破棄され存在意義を失った彼は
復讐心だけを糧として生きていました</t>
    <phoneticPr fontId="10"/>
  </si>
  <si>
    <t>NULL</t>
    <phoneticPr fontId="10"/>
  </si>
  <si>
    <t>薄れゆく自我</t>
    <phoneticPr fontId="10"/>
  </si>
  <si>
    <t>スカルズはALICE内のアバターを
自らの駒として扱い
他人よりも優位に立つことによって
自我を保とうとしていました</t>
    <phoneticPr fontId="10"/>
  </si>
  <si>
    <t>NULL</t>
    <phoneticPr fontId="10"/>
  </si>
  <si>
    <t>スカルズの侵攻</t>
    <phoneticPr fontId="10"/>
  </si>
  <si>
    <t>自分に従わない強力なアバターを
反逆者とし次々と強襲したスカルズ
アナタもその一人であるとみなし
制圧せんと襲いかかってきました</t>
    <phoneticPr fontId="10"/>
  </si>
  <si>
    <t>スコア評価報酬</t>
    <rPh sb="3" eb="5">
      <t>ヒョウカ</t>
    </rPh>
    <rPh sb="5" eb="7">
      <t>ホウシュウ</t>
    </rPh>
    <phoneticPr fontId="12"/>
  </si>
  <si>
    <t>SSS</t>
    <phoneticPr fontId="12"/>
  </si>
  <si>
    <t>SS</t>
    <phoneticPr fontId="12"/>
  </si>
  <si>
    <t>S</t>
    <phoneticPr fontId="12"/>
  </si>
  <si>
    <t>A</t>
    <phoneticPr fontId="12"/>
  </si>
  <si>
    <t>A</t>
    <phoneticPr fontId="12"/>
  </si>
  <si>
    <t>A</t>
    <phoneticPr fontId="12"/>
  </si>
  <si>
    <t>B</t>
    <phoneticPr fontId="12"/>
  </si>
  <si>
    <t>old</t>
  </si>
  <si>
    <t>stage_evaluation_gifts</t>
    <phoneticPr fontId="10"/>
  </si>
  <si>
    <t>score_attack_stage_evaluations_tmp_</t>
    <phoneticPr fontId="10"/>
  </si>
  <si>
    <t>score_attack_params_heal_</t>
    <phoneticPr fontId="10"/>
  </si>
  <si>
    <t>score_attack_params_heal</t>
    <phoneticPr fontId="10"/>
  </si>
  <si>
    <t xml:space="preserve"> </t>
    <phoneticPr fontId="10"/>
  </si>
  <si>
    <t>score_attack_stage_evaluation_gifts_</t>
    <phoneticPr fontId="10"/>
  </si>
  <si>
    <t>score_attack_expanded_floors_</t>
    <phoneticPr fontId="10"/>
  </si>
  <si>
    <t>score_attack_params_damage_given_</t>
    <phoneticPr fontId="10"/>
  </si>
  <si>
    <t>tribe</t>
    <phoneticPr fontId="10"/>
  </si>
  <si>
    <t>animal</t>
    <phoneticPr fontId="10"/>
  </si>
  <si>
    <t>skip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</si>
</sst>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name val="ＭＳ Ｐゴシック"/>
      <family val="3"/>
      <charset val="128"/>
      <scheme val="minor"/>
    </font>
    <font>
      <sz val="10"/>
      <color theme="1"/>
      <name val="Liberation Sans"/>
      <family val="2"/>
    </font>
    <font>
      <sz val="13"/>
      <color rgb="FF000000"/>
      <name val="Helvetica Neue"/>
    </font>
    <font>
      <sz val="12"/>
      <color rgb="FF000000"/>
      <name val="ＭＳ Ｐゴシック"/>
      <family val="3"/>
      <charset val="128"/>
      <scheme val="minor"/>
    </font>
    <font>
      <b/>
      <sz val="14"/>
      <color theme="1" tint="0.499984740745262"/>
      <name val="ＭＳ Ｐゴシック"/>
      <family val="3"/>
      <charset val="128"/>
      <scheme val="minor"/>
    </font>
    <font>
      <b/>
      <sz val="14"/>
      <color theme="0" tint="-0.499984740745262"/>
      <name val="ＭＳ Ｐゴシック"/>
      <family val="3"/>
      <charset val="128"/>
      <scheme val="minor"/>
    </font>
    <font>
      <sz val="10"/>
      <color theme="1" tint="4.9989318521683403E-2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</fonts>
  <fills count="5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4" tint="0.79998168889431442"/>
        <bgColor indexed="2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2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36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8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3" fillId="0" borderId="0"/>
    <xf numFmtId="38" fontId="24" fillId="0" borderId="0" applyFill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0" borderId="0"/>
    <xf numFmtId="0" fontId="28" fillId="0" borderId="0">
      <alignment vertical="center"/>
    </xf>
    <xf numFmtId="0" fontId="29" fillId="0" borderId="0">
      <alignment vertical="center"/>
    </xf>
    <xf numFmtId="0" fontId="30" fillId="10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7" fillId="0" borderId="0"/>
    <xf numFmtId="0" fontId="7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0" fontId="34" fillId="15" borderId="12" applyNumberFormat="0" applyAlignment="0" applyProtection="0"/>
    <xf numFmtId="0" fontId="35" fillId="16" borderId="0" applyNumberFormat="0" applyBorder="0" applyAlignment="0" applyProtection="0"/>
    <xf numFmtId="0" fontId="36" fillId="17" borderId="13" applyNumberFormat="0" applyAlignment="0" applyProtection="0"/>
    <xf numFmtId="0" fontId="37" fillId="0" borderId="0" applyNumberFormat="0" applyFill="0" applyBorder="0" applyAlignment="0" applyProtection="0"/>
    <xf numFmtId="0" fontId="38" fillId="18" borderId="0" applyNumberFormat="0" applyBorder="0" applyAlignment="0" applyProtection="0"/>
    <xf numFmtId="0" fontId="39" fillId="19" borderId="14" applyNumberFormat="0" applyAlignment="0" applyProtection="0"/>
    <xf numFmtId="0" fontId="40" fillId="0" borderId="0" applyNumberFormat="0" applyFill="0" applyBorder="0" applyAlignment="0" applyProtection="0"/>
    <xf numFmtId="0" fontId="41" fillId="0" borderId="15" applyNumberFormat="0" applyFill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3" fillId="0" borderId="0" applyNumberFormat="0" applyFill="0" applyBorder="0" applyAlignment="0" applyProtection="0"/>
    <xf numFmtId="0" fontId="44" fillId="17" borderId="0" applyNumberFormat="0" applyBorder="0" applyAlignment="0" applyProtection="0"/>
    <xf numFmtId="0" fontId="44" fillId="16" borderId="0" applyNumberFormat="0" applyBorder="0" applyAlignment="0" applyProtection="0"/>
    <xf numFmtId="0" fontId="44" fillId="20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5" borderId="0" applyNumberFormat="0" applyBorder="0" applyAlignment="0" applyProtection="0"/>
    <xf numFmtId="0" fontId="44" fillId="17" borderId="0" applyNumberFormat="0" applyBorder="0" applyAlignment="0" applyProtection="0"/>
    <xf numFmtId="0" fontId="44" fillId="22" borderId="0" applyNumberFormat="0" applyBorder="0" applyAlignment="0" applyProtection="0"/>
    <xf numFmtId="0" fontId="44" fillId="20" borderId="0" applyNumberFormat="0" applyBorder="0" applyAlignment="0" applyProtection="0"/>
    <xf numFmtId="0" fontId="44" fillId="17" borderId="0" applyNumberFormat="0" applyBorder="0" applyAlignment="0" applyProtection="0"/>
    <xf numFmtId="0" fontId="44" fillId="23" borderId="0" applyNumberFormat="0" applyBorder="0" applyAlignment="0" applyProtection="0"/>
    <xf numFmtId="0" fontId="44" fillId="16" borderId="0" applyNumberFormat="0" applyBorder="0" applyAlignment="0" applyProtection="0"/>
    <xf numFmtId="0" fontId="45" fillId="24" borderId="0" applyNumberFormat="0" applyBorder="0" applyAlignment="0" applyProtection="0"/>
    <xf numFmtId="0" fontId="45" fillId="22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4" borderId="0" applyNumberFormat="0" applyBorder="0" applyAlignment="0" applyProtection="0"/>
    <xf numFmtId="0" fontId="45" fillId="16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0" borderId="0" applyNumberFormat="0" applyBorder="0" applyAlignment="0" applyProtection="0"/>
    <xf numFmtId="0" fontId="45" fillId="26" borderId="0" applyNumberFormat="0" applyBorder="0" applyAlignment="0" applyProtection="0"/>
    <xf numFmtId="0" fontId="45" fillId="24" borderId="0" applyNumberFormat="0" applyBorder="0" applyAlignment="0" applyProtection="0"/>
    <xf numFmtId="0" fontId="45" fillId="22" borderId="0" applyNumberFormat="0" applyBorder="0" applyAlignment="0" applyProtection="0"/>
    <xf numFmtId="0" fontId="46" fillId="27" borderId="0" applyNumberFormat="0" applyBorder="0" applyAlignment="0" applyProtection="0"/>
    <xf numFmtId="0" fontId="35" fillId="16" borderId="0" applyNumberFormat="0" applyBorder="0" applyAlignment="0" applyProtection="0"/>
    <xf numFmtId="0" fontId="47" fillId="0" borderId="18" applyNumberFormat="0" applyFill="0" applyAlignment="0" applyProtection="0"/>
    <xf numFmtId="0" fontId="48" fillId="17" borderId="19" applyNumberFormat="0" applyAlignment="0" applyProtection="0"/>
    <xf numFmtId="0" fontId="48" fillId="28" borderId="19" applyNumberFormat="0" applyAlignment="0" applyProtection="0"/>
    <xf numFmtId="0" fontId="36" fillId="16" borderId="13" applyNumberFormat="0" applyAlignment="0" applyProtection="0"/>
    <xf numFmtId="0" fontId="49" fillId="0" borderId="20" applyNumberFormat="0" applyFill="0" applyAlignment="0" applyProtection="0"/>
    <xf numFmtId="0" fontId="50" fillId="28" borderId="13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1" applyNumberFormat="0" applyFill="0" applyAlignment="0" applyProtection="0"/>
    <xf numFmtId="0" fontId="6" fillId="0" borderId="0"/>
    <xf numFmtId="0" fontId="6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38" fontId="3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" fillId="0" borderId="0"/>
    <xf numFmtId="0" fontId="1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306">
    <xf numFmtId="0" fontId="0" fillId="0" borderId="0" xfId="0"/>
    <xf numFmtId="0" fontId="9" fillId="2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1" fillId="5" borderId="3" xfId="0" applyFont="1" applyFill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11" fillId="5" borderId="1" xfId="0" applyFont="1" applyFill="1" applyBorder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7" xfId="0" applyFont="1" applyFill="1" applyBorder="1" applyAlignment="1">
      <alignment horizontal="center" vertical="center"/>
    </xf>
    <xf numFmtId="0" fontId="17" fillId="7" borderId="0" xfId="0" applyFont="1" applyFill="1" applyAlignment="1">
      <alignment vertical="center"/>
    </xf>
    <xf numFmtId="0" fontId="11" fillId="5" borderId="9" xfId="0" applyFont="1" applyFill="1" applyBorder="1" applyAlignment="1">
      <alignment vertical="center"/>
    </xf>
    <xf numFmtId="0" fontId="11" fillId="5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176" fontId="9" fillId="0" borderId="3" xfId="0" applyNumberFormat="1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vertical="center"/>
    </xf>
    <xf numFmtId="177" fontId="13" fillId="0" borderId="4" xfId="0" applyNumberFormat="1" applyFont="1" applyBorder="1" applyAlignment="1">
      <alignment vertical="center"/>
    </xf>
    <xf numFmtId="0" fontId="9" fillId="2" borderId="7" xfId="0" applyFont="1" applyFill="1" applyBorder="1" applyAlignment="1">
      <alignment horizontal="left" vertical="center"/>
    </xf>
    <xf numFmtId="0" fontId="17" fillId="7" borderId="0" xfId="0" applyFont="1" applyFill="1" applyAlignment="1">
      <alignment horizontal="left" vertical="center"/>
    </xf>
    <xf numFmtId="0" fontId="9" fillId="3" borderId="7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left" vertical="center"/>
    </xf>
    <xf numFmtId="0" fontId="9" fillId="3" borderId="1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11" fillId="4" borderId="7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6" borderId="7" xfId="0" applyFont="1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vertical="center"/>
    </xf>
    <xf numFmtId="0" fontId="19" fillId="7" borderId="0" xfId="0" applyFont="1" applyFill="1" applyAlignment="1">
      <alignment vertical="center"/>
    </xf>
    <xf numFmtId="0" fontId="21" fillId="6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1" fillId="3" borderId="7" xfId="0" applyFont="1" applyFill="1" applyBorder="1" applyAlignment="1">
      <alignment horizontal="left" vertical="center"/>
    </xf>
    <xf numFmtId="0" fontId="21" fillId="0" borderId="7" xfId="0" applyFont="1" applyFill="1" applyBorder="1" applyAlignment="1">
      <alignment vertical="center"/>
    </xf>
    <xf numFmtId="0" fontId="21" fillId="3" borderId="7" xfId="0" applyFont="1" applyFill="1" applyBorder="1" applyAlignment="1">
      <alignment vertical="center"/>
    </xf>
    <xf numFmtId="0" fontId="21" fillId="0" borderId="0" xfId="0" applyFont="1" applyFill="1" applyAlignment="1">
      <alignment vertical="center"/>
    </xf>
    <xf numFmtId="0" fontId="21" fillId="0" borderId="7" xfId="0" applyFont="1" applyFill="1" applyBorder="1" applyAlignment="1">
      <alignment horizontal="left" vertical="center"/>
    </xf>
    <xf numFmtId="0" fontId="21" fillId="0" borderId="7" xfId="0" applyFont="1" applyFill="1" applyBorder="1" applyAlignment="1">
      <alignment horizontal="left" vertical="center" wrapText="1"/>
    </xf>
    <xf numFmtId="14" fontId="21" fillId="0" borderId="7" xfId="0" applyNumberFormat="1" applyFont="1" applyFill="1" applyBorder="1" applyAlignment="1">
      <alignment horizontal="left" vertical="center"/>
    </xf>
    <xf numFmtId="0" fontId="16" fillId="6" borderId="2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8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18" fillId="11" borderId="7" xfId="434" applyFont="1" applyFill="1" applyBorder="1" applyAlignment="1"/>
    <xf numFmtId="0" fontId="21" fillId="3" borderId="7" xfId="0" applyFont="1" applyFill="1" applyBorder="1" applyAlignment="1">
      <alignment horizontal="left" vertical="center" wrapText="1"/>
    </xf>
    <xf numFmtId="0" fontId="0" fillId="0" borderId="7" xfId="615" applyFont="1" applyBorder="1"/>
    <xf numFmtId="0" fontId="9" fillId="0" borderId="7" xfId="0" applyFont="1" applyBorder="1" applyAlignment="1">
      <alignment vertical="center"/>
    </xf>
    <xf numFmtId="0" fontId="21" fillId="6" borderId="7" xfId="0" applyFont="1" applyFill="1" applyBorder="1" applyAlignment="1">
      <alignment horizontal="center"/>
    </xf>
    <xf numFmtId="0" fontId="31" fillId="6" borderId="7" xfId="0" applyFont="1" applyFill="1" applyBorder="1" applyAlignment="1">
      <alignment horizontal="center"/>
    </xf>
    <xf numFmtId="0" fontId="21" fillId="3" borderId="7" xfId="0" applyFont="1" applyFill="1" applyBorder="1" applyAlignment="1">
      <alignment horizontal="center"/>
    </xf>
    <xf numFmtId="0" fontId="21" fillId="13" borderId="7" xfId="0" applyFont="1" applyFill="1" applyBorder="1" applyAlignment="1">
      <alignment horizontal="center"/>
    </xf>
    <xf numFmtId="0" fontId="21" fillId="14" borderId="7" xfId="0" applyFont="1" applyFill="1" applyBorder="1" applyAlignment="1">
      <alignment horizontal="center"/>
    </xf>
    <xf numFmtId="0" fontId="0" fillId="14" borderId="7" xfId="0" applyFill="1" applyBorder="1"/>
    <xf numFmtId="0" fontId="32" fillId="0" borderId="7" xfId="0" applyFont="1" applyFill="1" applyBorder="1"/>
    <xf numFmtId="0" fontId="33" fillId="3" borderId="11" xfId="0" applyFont="1" applyFill="1" applyBorder="1" applyAlignment="1">
      <alignment vertical="center"/>
    </xf>
    <xf numFmtId="0" fontId="31" fillId="0" borderId="0" xfId="0" applyFont="1" applyFill="1"/>
    <xf numFmtId="0" fontId="21" fillId="29" borderId="7" xfId="0" applyFont="1" applyFill="1" applyBorder="1" applyAlignment="1">
      <alignment horizontal="center"/>
    </xf>
    <xf numFmtId="0" fontId="21" fillId="12" borderId="7" xfId="0" applyFont="1" applyFill="1" applyBorder="1" applyAlignment="1">
      <alignment horizontal="center"/>
    </xf>
    <xf numFmtId="56" fontId="21" fillId="13" borderId="7" xfId="0" applyNumberFormat="1" applyFont="1" applyFill="1" applyBorder="1" applyAlignment="1">
      <alignment horizontal="center"/>
    </xf>
    <xf numFmtId="0" fontId="9" fillId="30" borderId="7" xfId="0" applyFont="1" applyFill="1" applyBorder="1" applyAlignment="1">
      <alignment vertical="center"/>
    </xf>
    <xf numFmtId="0" fontId="21" fillId="6" borderId="22" xfId="0" applyFont="1" applyFill="1" applyBorder="1" applyAlignment="1">
      <alignment horizontal="center"/>
    </xf>
    <xf numFmtId="0" fontId="13" fillId="32" borderId="7" xfId="0" applyFont="1" applyFill="1" applyBorder="1" applyAlignment="1">
      <alignment horizontal="left" vertical="center"/>
    </xf>
    <xf numFmtId="0" fontId="21" fillId="31" borderId="7" xfId="432" applyFont="1" applyFill="1" applyBorder="1" applyAlignment="1">
      <alignment horizontal="left" vertical="center"/>
    </xf>
    <xf numFmtId="0" fontId="33" fillId="0" borderId="0" xfId="0" applyFont="1" applyFill="1" applyBorder="1" applyAlignment="1">
      <alignment vertical="center"/>
    </xf>
    <xf numFmtId="0" fontId="21" fillId="13" borderId="22" xfId="0" applyFont="1" applyFill="1" applyBorder="1" applyAlignment="1">
      <alignment horizontal="center"/>
    </xf>
    <xf numFmtId="0" fontId="21" fillId="0" borderId="0" xfId="432" applyFont="1" applyAlignment="1">
      <alignment vertical="center"/>
    </xf>
    <xf numFmtId="0" fontId="21" fillId="0" borderId="0" xfId="432" applyFont="1" applyAlignment="1">
      <alignment vertical="center" wrapText="1"/>
    </xf>
    <xf numFmtId="0" fontId="6" fillId="0" borderId="7" xfId="676" applyBorder="1"/>
    <xf numFmtId="0" fontId="6" fillId="11" borderId="7" xfId="676" applyFill="1" applyBorder="1"/>
    <xf numFmtId="0" fontId="5" fillId="6" borderId="7" xfId="434" applyFont="1" applyFill="1" applyBorder="1" applyAlignment="1"/>
    <xf numFmtId="0" fontId="0" fillId="0" borderId="0" xfId="0" applyFill="1" applyBorder="1"/>
    <xf numFmtId="0" fontId="0" fillId="31" borderId="7" xfId="0" applyFill="1" applyBorder="1"/>
    <xf numFmtId="0" fontId="0" fillId="33" borderId="7" xfId="0" applyFill="1" applyBorder="1"/>
    <xf numFmtId="0" fontId="6" fillId="33" borderId="7" xfId="676" applyFill="1" applyBorder="1"/>
    <xf numFmtId="0" fontId="0" fillId="6" borderId="0" xfId="0" applyFill="1"/>
    <xf numFmtId="0" fontId="0" fillId="33" borderId="7" xfId="676" applyFont="1" applyFill="1" applyBorder="1"/>
    <xf numFmtId="0" fontId="0" fillId="0" borderId="7" xfId="615" applyFont="1" applyFill="1" applyBorder="1"/>
    <xf numFmtId="0" fontId="4" fillId="6" borderId="7" xfId="434" applyFont="1" applyFill="1" applyBorder="1" applyAlignment="1"/>
    <xf numFmtId="0" fontId="0" fillId="0" borderId="7" xfId="676" applyFont="1" applyFill="1" applyBorder="1"/>
    <xf numFmtId="0" fontId="53" fillId="34" borderId="7" xfId="0" applyFont="1" applyFill="1" applyBorder="1"/>
    <xf numFmtId="0" fontId="21" fillId="0" borderId="7" xfId="432" applyFont="1" applyBorder="1" applyAlignment="1">
      <alignment horizontal="left" vertical="center"/>
    </xf>
    <xf numFmtId="0" fontId="21" fillId="0" borderId="7" xfId="432" applyFont="1" applyBorder="1" applyAlignment="1">
      <alignment horizontal="left" vertical="center" wrapText="1"/>
    </xf>
    <xf numFmtId="3" fontId="9" fillId="0" borderId="7" xfId="0" applyNumberFormat="1" applyFont="1" applyFill="1" applyBorder="1" applyAlignment="1">
      <alignment horizontal="center" vertical="center"/>
    </xf>
    <xf numFmtId="0" fontId="0" fillId="36" borderId="7" xfId="0" applyFill="1" applyBorder="1"/>
    <xf numFmtId="0" fontId="32" fillId="0" borderId="7" xfId="0" applyFont="1" applyFill="1" applyBorder="1" applyAlignment="1">
      <alignment horizontal="left" vertical="center"/>
    </xf>
    <xf numFmtId="0" fontId="33" fillId="0" borderId="1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38" fontId="0" fillId="37" borderId="7" xfId="0" applyNumberFormat="1" applyFill="1" applyBorder="1"/>
    <xf numFmtId="9" fontId="0" fillId="0" borderId="0" xfId="0" applyNumberFormat="1"/>
    <xf numFmtId="40" fontId="0" fillId="35" borderId="7" xfId="0" applyNumberFormat="1" applyFill="1" applyBorder="1"/>
    <xf numFmtId="38" fontId="0" fillId="12" borderId="7" xfId="724" applyFont="1" applyFill="1" applyBorder="1"/>
    <xf numFmtId="40" fontId="0" fillId="37" borderId="7" xfId="725" applyNumberFormat="1" applyFont="1" applyFill="1" applyBorder="1"/>
    <xf numFmtId="38" fontId="0" fillId="37" borderId="7" xfId="725" applyFont="1" applyFill="1" applyBorder="1"/>
    <xf numFmtId="38" fontId="0" fillId="0" borderId="24" xfId="725" applyFont="1" applyFill="1" applyBorder="1"/>
    <xf numFmtId="38" fontId="0" fillId="0" borderId="0" xfId="725" applyFont="1" applyFill="1" applyBorder="1"/>
    <xf numFmtId="38" fontId="0" fillId="36" borderId="7" xfId="724" applyFont="1" applyFill="1" applyBorder="1"/>
    <xf numFmtId="38" fontId="0" fillId="30" borderId="7" xfId="724" applyFont="1" applyFill="1" applyBorder="1"/>
    <xf numFmtId="38" fontId="0" fillId="0" borderId="24" xfId="0" applyNumberFormat="1" applyFill="1" applyBorder="1"/>
    <xf numFmtId="0" fontId="9" fillId="38" borderId="1" xfId="0" applyFont="1" applyFill="1" applyBorder="1" applyAlignment="1">
      <alignment horizontal="center" vertical="center"/>
    </xf>
    <xf numFmtId="0" fontId="11" fillId="38" borderId="1" xfId="0" applyFont="1" applyFill="1" applyBorder="1" applyAlignment="1">
      <alignment vertical="center"/>
    </xf>
    <xf numFmtId="0" fontId="0" fillId="38" borderId="7" xfId="0" applyFill="1" applyBorder="1"/>
    <xf numFmtId="0" fontId="53" fillId="39" borderId="7" xfId="0" applyFont="1" applyFill="1" applyBorder="1"/>
    <xf numFmtId="0" fontId="21" fillId="38" borderId="0" xfId="0" applyFont="1" applyFill="1" applyBorder="1" applyAlignment="1">
      <alignment horizontal="left" vertical="center"/>
    </xf>
    <xf numFmtId="0" fontId="0" fillId="38" borderId="0" xfId="0" applyFill="1"/>
    <xf numFmtId="0" fontId="56" fillId="6" borderId="7" xfId="0" applyFont="1" applyFill="1" applyBorder="1"/>
    <xf numFmtId="0" fontId="56" fillId="0" borderId="7" xfId="0" applyFont="1" applyBorder="1"/>
    <xf numFmtId="22" fontId="56" fillId="0" borderId="7" xfId="0" applyNumberFormat="1" applyFont="1" applyBorder="1"/>
    <xf numFmtId="0" fontId="9" fillId="0" borderId="11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9" fillId="0" borderId="11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vertical="center"/>
    </xf>
    <xf numFmtId="0" fontId="9" fillId="3" borderId="11" xfId="0" applyFont="1" applyFill="1" applyBorder="1" applyAlignment="1">
      <alignment horizontal="center" vertical="center"/>
    </xf>
    <xf numFmtId="0" fontId="11" fillId="38" borderId="11" xfId="0" applyFont="1" applyFill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7" fillId="7" borderId="25" xfId="0" applyFont="1" applyFill="1" applyBorder="1" applyAlignment="1">
      <alignment vertical="center"/>
    </xf>
    <xf numFmtId="0" fontId="9" fillId="0" borderId="26" xfId="0" applyFont="1" applyFill="1" applyBorder="1" applyAlignment="1">
      <alignment vertical="center"/>
    </xf>
    <xf numFmtId="0" fontId="9" fillId="0" borderId="2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11" fillId="38" borderId="26" xfId="0" applyFont="1" applyFill="1" applyBorder="1" applyAlignment="1">
      <alignment vertical="center"/>
    </xf>
    <xf numFmtId="0" fontId="9" fillId="0" borderId="26" xfId="0" applyFont="1" applyBorder="1" applyAlignment="1">
      <alignment vertical="center"/>
    </xf>
    <xf numFmtId="0" fontId="9" fillId="6" borderId="7" xfId="0" applyFont="1" applyFill="1" applyBorder="1" applyAlignment="1">
      <alignment vertical="center"/>
    </xf>
    <xf numFmtId="0" fontId="0" fillId="0" borderId="26" xfId="0" applyBorder="1"/>
    <xf numFmtId="0" fontId="57" fillId="0" borderId="0" xfId="0" applyFont="1"/>
    <xf numFmtId="0" fontId="58" fillId="0" borderId="7" xfId="0" applyFont="1" applyBorder="1"/>
    <xf numFmtId="0" fontId="0" fillId="0" borderId="11" xfId="0" applyBorder="1"/>
    <xf numFmtId="0" fontId="58" fillId="0" borderId="11" xfId="0" applyFont="1" applyBorder="1"/>
    <xf numFmtId="0" fontId="58" fillId="0" borderId="27" xfId="0" applyFont="1" applyBorder="1"/>
    <xf numFmtId="0" fontId="53" fillId="40" borderId="7" xfId="0" applyFont="1" applyFill="1" applyBorder="1"/>
    <xf numFmtId="0" fontId="53" fillId="34" borderId="11" xfId="0" applyFont="1" applyFill="1" applyBorder="1"/>
    <xf numFmtId="0" fontId="53" fillId="39" borderId="11" xfId="0" applyFont="1" applyFill="1" applyBorder="1"/>
    <xf numFmtId="0" fontId="21" fillId="0" borderId="11" xfId="0" applyFont="1" applyBorder="1" applyAlignment="1">
      <alignment horizontal="left" vertical="center"/>
    </xf>
    <xf numFmtId="0" fontId="21" fillId="0" borderId="11" xfId="432" applyFont="1" applyBorder="1" applyAlignment="1">
      <alignment horizontal="left" vertical="center"/>
    </xf>
    <xf numFmtId="0" fontId="53" fillId="39" borderId="26" xfId="0" applyFont="1" applyFill="1" applyBorder="1"/>
    <xf numFmtId="0" fontId="0" fillId="38" borderId="26" xfId="0" applyFill="1" applyBorder="1"/>
    <xf numFmtId="0" fontId="9" fillId="0" borderId="7" xfId="0" applyFont="1" applyBorder="1" applyAlignment="1">
      <alignment horizontal="center" vertical="center"/>
    </xf>
    <xf numFmtId="1" fontId="34" fillId="37" borderId="7" xfId="0" applyNumberFormat="1" applyFont="1" applyFill="1" applyBorder="1" applyAlignment="1">
      <alignment vertical="center"/>
    </xf>
    <xf numFmtId="0" fontId="21" fillId="6" borderId="7" xfId="0" applyFont="1" applyFill="1" applyBorder="1" applyAlignment="1">
      <alignment vertical="center"/>
    </xf>
    <xf numFmtId="0" fontId="11" fillId="41" borderId="9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vertical="center"/>
    </xf>
    <xf numFmtId="0" fontId="9" fillId="6" borderId="6" xfId="0" applyFont="1" applyFill="1" applyBorder="1" applyAlignment="1">
      <alignment vertical="center"/>
    </xf>
    <xf numFmtId="0" fontId="16" fillId="42" borderId="7" xfId="0" applyFont="1" applyFill="1" applyBorder="1" applyAlignment="1">
      <alignment vertical="center"/>
    </xf>
    <xf numFmtId="176" fontId="9" fillId="0" borderId="28" xfId="0" applyNumberFormat="1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vertical="center"/>
    </xf>
    <xf numFmtId="0" fontId="11" fillId="0" borderId="26" xfId="0" applyFont="1" applyFill="1" applyBorder="1" applyAlignment="1">
      <alignment vertical="center"/>
    </xf>
    <xf numFmtId="0" fontId="9" fillId="0" borderId="26" xfId="0" applyFont="1" applyBorder="1" applyAlignment="1">
      <alignment horizontal="center" vertical="center"/>
    </xf>
    <xf numFmtId="0" fontId="11" fillId="5" borderId="29" xfId="0" applyFont="1" applyFill="1" applyBorder="1" applyAlignment="1">
      <alignment vertical="center"/>
    </xf>
    <xf numFmtId="0" fontId="13" fillId="0" borderId="30" xfId="0" applyFont="1" applyBorder="1" applyAlignment="1">
      <alignment vertical="center"/>
    </xf>
    <xf numFmtId="177" fontId="13" fillId="0" borderId="30" xfId="0" applyNumberFormat="1" applyFont="1" applyBorder="1" applyAlignment="1">
      <alignment vertical="center"/>
    </xf>
    <xf numFmtId="1" fontId="34" fillId="37" borderId="26" xfId="0" applyNumberFormat="1" applyFont="1" applyFill="1" applyBorder="1" applyAlignment="1">
      <alignment vertical="center"/>
    </xf>
    <xf numFmtId="0" fontId="11" fillId="6" borderId="28" xfId="0" applyFont="1" applyFill="1" applyBorder="1" applyAlignment="1">
      <alignment vertical="center"/>
    </xf>
    <xf numFmtId="0" fontId="9" fillId="0" borderId="31" xfId="0" applyFont="1" applyBorder="1" applyAlignment="1">
      <alignment vertical="center"/>
    </xf>
    <xf numFmtId="0" fontId="11" fillId="41" borderId="29" xfId="0" applyFont="1" applyFill="1" applyBorder="1" applyAlignment="1">
      <alignment vertical="center"/>
    </xf>
    <xf numFmtId="0" fontId="9" fillId="3" borderId="26" xfId="0" applyFont="1" applyFill="1" applyBorder="1" applyAlignment="1">
      <alignment vertical="center"/>
    </xf>
    <xf numFmtId="0" fontId="9" fillId="12" borderId="32" xfId="0" applyFont="1" applyFill="1" applyBorder="1" applyAlignment="1">
      <alignment vertical="center"/>
    </xf>
    <xf numFmtId="0" fontId="11" fillId="0" borderId="11" xfId="0" applyFont="1" applyFill="1" applyBorder="1" applyAlignment="1">
      <alignment vertical="center"/>
    </xf>
    <xf numFmtId="0" fontId="13" fillId="0" borderId="33" xfId="0" applyFont="1" applyBorder="1" applyAlignment="1">
      <alignment vertical="center"/>
    </xf>
    <xf numFmtId="1" fontId="34" fillId="37" borderId="11" xfId="0" applyNumberFormat="1" applyFont="1" applyFill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3" borderId="11" xfId="0" applyFont="1" applyFill="1" applyBorder="1" applyAlignment="1">
      <alignment vertical="center"/>
    </xf>
    <xf numFmtId="0" fontId="9" fillId="6" borderId="34" xfId="0" applyFont="1" applyFill="1" applyBorder="1" applyAlignment="1">
      <alignment vertical="center"/>
    </xf>
    <xf numFmtId="0" fontId="9" fillId="0" borderId="35" xfId="0" applyFont="1" applyBorder="1" applyAlignment="1">
      <alignment horizontal="center" vertical="center"/>
    </xf>
    <xf numFmtId="177" fontId="13" fillId="0" borderId="23" xfId="0" applyNumberFormat="1" applyFont="1" applyBorder="1" applyAlignment="1">
      <alignment vertical="center"/>
    </xf>
    <xf numFmtId="0" fontId="11" fillId="6" borderId="4" xfId="0" applyFont="1" applyFill="1" applyBorder="1" applyAlignment="1">
      <alignment vertical="center"/>
    </xf>
    <xf numFmtId="0" fontId="9" fillId="0" borderId="36" xfId="0" applyFont="1" applyBorder="1" applyAlignment="1">
      <alignment vertical="center"/>
    </xf>
    <xf numFmtId="0" fontId="9" fillId="12" borderId="6" xfId="0" applyFont="1" applyFill="1" applyBorder="1" applyAlignment="1">
      <alignment vertical="center"/>
    </xf>
    <xf numFmtId="0" fontId="9" fillId="37" borderId="7" xfId="0" applyFont="1" applyFill="1" applyBorder="1" applyAlignment="1">
      <alignment horizontal="left" vertical="center"/>
    </xf>
    <xf numFmtId="0" fontId="9" fillId="37" borderId="0" xfId="0" applyFont="1" applyFill="1" applyAlignment="1">
      <alignment vertical="center"/>
    </xf>
    <xf numFmtId="0" fontId="11" fillId="41" borderId="37" xfId="0" applyFont="1" applyFill="1" applyBorder="1" applyAlignment="1">
      <alignment vertical="center"/>
    </xf>
    <xf numFmtId="0" fontId="16" fillId="42" borderId="11" xfId="0" applyFont="1" applyFill="1" applyBorder="1" applyAlignment="1">
      <alignment vertical="center"/>
    </xf>
    <xf numFmtId="0" fontId="55" fillId="42" borderId="38" xfId="0" applyFont="1" applyFill="1" applyBorder="1" applyAlignment="1">
      <alignment vertical="center"/>
    </xf>
    <xf numFmtId="0" fontId="11" fillId="41" borderId="39" xfId="0" applyFont="1" applyFill="1" applyBorder="1" applyAlignment="1">
      <alignment vertical="center"/>
    </xf>
    <xf numFmtId="0" fontId="11" fillId="41" borderId="40" xfId="0" applyFont="1" applyFill="1" applyBorder="1" applyAlignment="1">
      <alignment vertical="center"/>
    </xf>
    <xf numFmtId="1" fontId="34" fillId="37" borderId="35" xfId="0" applyNumberFormat="1" applyFont="1" applyFill="1" applyBorder="1" applyAlignment="1">
      <alignment vertical="center"/>
    </xf>
    <xf numFmtId="0" fontId="55" fillId="42" borderId="41" xfId="0" applyFont="1" applyFill="1" applyBorder="1" applyAlignment="1">
      <alignment vertical="center"/>
    </xf>
    <xf numFmtId="0" fontId="11" fillId="41" borderId="42" xfId="0" applyFont="1" applyFill="1" applyBorder="1" applyAlignment="1">
      <alignment vertical="center"/>
    </xf>
    <xf numFmtId="0" fontId="21" fillId="30" borderId="7" xfId="0" applyFont="1" applyFill="1" applyBorder="1" applyAlignment="1">
      <alignment vertical="center"/>
    </xf>
    <xf numFmtId="0" fontId="21" fillId="43" borderId="7" xfId="0" applyFont="1" applyFill="1" applyBorder="1" applyAlignment="1">
      <alignment vertical="center"/>
    </xf>
    <xf numFmtId="0" fontId="21" fillId="36" borderId="11" xfId="0" applyFont="1" applyFill="1" applyBorder="1" applyAlignment="1">
      <alignment vertical="center"/>
    </xf>
    <xf numFmtId="0" fontId="21" fillId="44" borderId="7" xfId="0" applyFont="1" applyFill="1" applyBorder="1" applyAlignment="1">
      <alignment vertical="center"/>
    </xf>
    <xf numFmtId="0" fontId="21" fillId="31" borderId="11" xfId="0" applyFont="1" applyFill="1" applyBorder="1" applyAlignment="1">
      <alignment vertical="center"/>
    </xf>
    <xf numFmtId="0" fontId="21" fillId="45" borderId="11" xfId="0" applyFont="1" applyFill="1" applyBorder="1" applyAlignment="1">
      <alignment vertical="center"/>
    </xf>
    <xf numFmtId="0" fontId="21" fillId="46" borderId="11" xfId="0" applyFont="1" applyFill="1" applyBorder="1" applyAlignment="1">
      <alignment vertical="center"/>
    </xf>
    <xf numFmtId="0" fontId="21" fillId="46" borderId="7" xfId="0" applyFont="1" applyFill="1" applyBorder="1" applyAlignment="1">
      <alignment vertical="center"/>
    </xf>
    <xf numFmtId="0" fontId="21" fillId="43" borderId="26" xfId="0" applyFont="1" applyFill="1" applyBorder="1" applyAlignment="1">
      <alignment vertical="center"/>
    </xf>
    <xf numFmtId="0" fontId="21" fillId="46" borderId="27" xfId="0" applyFont="1" applyFill="1" applyBorder="1" applyAlignment="1">
      <alignment vertical="center"/>
    </xf>
    <xf numFmtId="0" fontId="21" fillId="3" borderId="26" xfId="0" applyFont="1" applyFill="1" applyBorder="1" applyAlignment="1">
      <alignment horizontal="left" vertical="center"/>
    </xf>
    <xf numFmtId="0" fontId="21" fillId="3" borderId="26" xfId="0" applyFont="1" applyFill="1" applyBorder="1" applyAlignment="1">
      <alignment vertical="center"/>
    </xf>
    <xf numFmtId="0" fontId="21" fillId="3" borderId="11" xfId="0" applyFont="1" applyFill="1" applyBorder="1" applyAlignment="1">
      <alignment vertical="center"/>
    </xf>
    <xf numFmtId="0" fontId="21" fillId="11" borderId="11" xfId="0" applyFont="1" applyFill="1" applyBorder="1" applyAlignment="1">
      <alignment vertical="center"/>
    </xf>
    <xf numFmtId="0" fontId="21" fillId="13" borderId="11" xfId="0" applyFont="1" applyFill="1" applyBorder="1" applyAlignment="1">
      <alignment horizontal="left" vertical="center"/>
    </xf>
    <xf numFmtId="0" fontId="21" fillId="30" borderId="11" xfId="0" applyFont="1" applyFill="1" applyBorder="1" applyAlignment="1">
      <alignment vertical="center"/>
    </xf>
    <xf numFmtId="0" fontId="21" fillId="13" borderId="7" xfId="0" applyFont="1" applyFill="1" applyBorder="1" applyAlignment="1">
      <alignment horizontal="left" vertical="center"/>
    </xf>
    <xf numFmtId="0" fontId="21" fillId="11" borderId="7" xfId="0" applyFont="1" applyFill="1" applyBorder="1" applyAlignment="1">
      <alignment vertical="center"/>
    </xf>
    <xf numFmtId="0" fontId="59" fillId="0" borderId="7" xfId="0" applyFont="1" applyFill="1" applyBorder="1" applyAlignment="1">
      <alignment vertical="center"/>
    </xf>
    <xf numFmtId="0" fontId="21" fillId="47" borderId="7" xfId="0" applyFont="1" applyFill="1" applyBorder="1" applyAlignment="1">
      <alignment horizontal="left" vertical="center"/>
    </xf>
    <xf numFmtId="0" fontId="21" fillId="48" borderId="7" xfId="0" applyFont="1" applyFill="1" applyBorder="1" applyAlignment="1">
      <alignment vertical="center"/>
    </xf>
    <xf numFmtId="0" fontId="59" fillId="48" borderId="7" xfId="0" applyFont="1" applyFill="1" applyBorder="1" applyAlignment="1">
      <alignment vertical="center"/>
    </xf>
    <xf numFmtId="0" fontId="21" fillId="48" borderId="7" xfId="0" applyFont="1" applyFill="1" applyBorder="1" applyAlignment="1">
      <alignment horizontal="left" vertical="center"/>
    </xf>
    <xf numFmtId="0" fontId="21" fillId="48" borderId="7" xfId="0" applyFont="1" applyFill="1" applyBorder="1" applyAlignment="1">
      <alignment horizontal="left" vertical="center" wrapText="1"/>
    </xf>
    <xf numFmtId="0" fontId="59" fillId="0" borderId="11" xfId="0" applyFont="1" applyFill="1" applyBorder="1" applyAlignment="1">
      <alignment vertical="center"/>
    </xf>
    <xf numFmtId="0" fontId="21" fillId="47" borderId="11" xfId="0" applyFont="1" applyFill="1" applyBorder="1" applyAlignment="1">
      <alignment horizontal="left" vertical="center"/>
    </xf>
    <xf numFmtId="0" fontId="21" fillId="0" borderId="11" xfId="0" applyFont="1" applyFill="1" applyBorder="1" applyAlignment="1">
      <alignment horizontal="left" vertical="center"/>
    </xf>
    <xf numFmtId="0" fontId="21" fillId="0" borderId="11" xfId="0" applyFont="1" applyFill="1" applyBorder="1" applyAlignment="1">
      <alignment horizontal="left" vertical="center" wrapText="1"/>
    </xf>
    <xf numFmtId="0" fontId="21" fillId="48" borderId="11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21" fillId="48" borderId="11" xfId="0" applyFont="1" applyFill="1" applyBorder="1" applyAlignment="1">
      <alignment horizontal="left" vertical="center"/>
    </xf>
    <xf numFmtId="0" fontId="21" fillId="48" borderId="11" xfId="0" applyFont="1" applyFill="1" applyBorder="1" applyAlignment="1">
      <alignment horizontal="left" vertical="center" wrapText="1"/>
    </xf>
    <xf numFmtId="0" fontId="21" fillId="36" borderId="7" xfId="0" applyFont="1" applyFill="1" applyBorder="1" applyAlignment="1">
      <alignment horizontal="left" vertical="center" wrapText="1"/>
    </xf>
    <xf numFmtId="0" fontId="21" fillId="44" borderId="26" xfId="0" applyFont="1" applyFill="1" applyBorder="1" applyAlignment="1">
      <alignment vertical="center"/>
    </xf>
    <xf numFmtId="0" fontId="59" fillId="0" borderId="26" xfId="0" applyFont="1" applyFill="1" applyBorder="1" applyAlignment="1">
      <alignment vertical="center"/>
    </xf>
    <xf numFmtId="0" fontId="21" fillId="47" borderId="26" xfId="0" applyFont="1" applyFill="1" applyBorder="1" applyAlignment="1">
      <alignment horizontal="left" vertical="center"/>
    </xf>
    <xf numFmtId="0" fontId="21" fillId="0" borderId="26" xfId="0" applyFont="1" applyFill="1" applyBorder="1" applyAlignment="1">
      <alignment horizontal="left" vertical="center"/>
    </xf>
    <xf numFmtId="0" fontId="21" fillId="0" borderId="26" xfId="0" applyFont="1" applyFill="1" applyBorder="1" applyAlignment="1">
      <alignment horizontal="left" vertical="center" wrapText="1"/>
    </xf>
    <xf numFmtId="0" fontId="21" fillId="43" borderId="7" xfId="0" applyFont="1" applyFill="1" applyBorder="1" applyAlignment="1">
      <alignment horizontal="left" vertical="center" wrapText="1"/>
    </xf>
    <xf numFmtId="0" fontId="60" fillId="0" borderId="7" xfId="0" applyFont="1" applyFill="1" applyBorder="1" applyAlignment="1">
      <alignment vertical="center"/>
    </xf>
    <xf numFmtId="0" fontId="61" fillId="47" borderId="7" xfId="0" applyFont="1" applyFill="1" applyBorder="1" applyAlignment="1">
      <alignment horizontal="left" vertical="center"/>
    </xf>
    <xf numFmtId="0" fontId="61" fillId="0" borderId="7" xfId="0" applyFont="1" applyFill="1" applyBorder="1" applyAlignment="1">
      <alignment horizontal="left" vertical="center"/>
    </xf>
    <xf numFmtId="0" fontId="61" fillId="0" borderId="7" xfId="0" applyFont="1" applyFill="1" applyBorder="1" applyAlignment="1">
      <alignment horizontal="left" vertical="center" wrapText="1"/>
    </xf>
    <xf numFmtId="0" fontId="21" fillId="0" borderId="11" xfId="0" applyFont="1" applyFill="1" applyBorder="1" applyAlignment="1">
      <alignment vertical="center"/>
    </xf>
    <xf numFmtId="0" fontId="21" fillId="6" borderId="7" xfId="732" applyFont="1" applyFill="1" applyBorder="1" applyAlignment="1">
      <alignment horizontal="left"/>
    </xf>
    <xf numFmtId="0" fontId="19" fillId="7" borderId="0" xfId="732" applyFont="1" applyFill="1" applyAlignment="1">
      <alignment horizontal="center" vertical="center"/>
    </xf>
    <xf numFmtId="0" fontId="21" fillId="3" borderId="7" xfId="732" applyFont="1" applyFill="1" applyBorder="1" applyAlignment="1">
      <alignment horizontal="left"/>
    </xf>
    <xf numFmtId="0" fontId="0" fillId="6" borderId="7" xfId="733" applyFont="1" applyFill="1" applyBorder="1"/>
    <xf numFmtId="0" fontId="0" fillId="3" borderId="7" xfId="0" applyFill="1" applyBorder="1"/>
    <xf numFmtId="0" fontId="58" fillId="0" borderId="10" xfId="0" applyFont="1" applyBorder="1"/>
    <xf numFmtId="0" fontId="58" fillId="0" borderId="43" xfId="0" applyFont="1" applyBorder="1"/>
    <xf numFmtId="0" fontId="58" fillId="44" borderId="43" xfId="0" applyFont="1" applyFill="1" applyBorder="1"/>
    <xf numFmtId="0" fontId="58" fillId="40" borderId="11" xfId="0" applyFont="1" applyFill="1" applyBorder="1"/>
    <xf numFmtId="0" fontId="58" fillId="40" borderId="43" xfId="0" applyFont="1" applyFill="1" applyBorder="1"/>
    <xf numFmtId="0" fontId="58" fillId="49" borderId="43" xfId="0" applyFont="1" applyFill="1" applyBorder="1"/>
    <xf numFmtId="0" fontId="31" fillId="0" borderId="7" xfId="0" applyFont="1" applyFill="1" applyBorder="1"/>
    <xf numFmtId="0" fontId="33" fillId="3" borderId="7" xfId="0" applyFont="1" applyFill="1" applyBorder="1" applyAlignment="1">
      <alignment vertical="center"/>
    </xf>
    <xf numFmtId="0" fontId="62" fillId="0" borderId="7" xfId="0" applyFont="1" applyFill="1" applyBorder="1"/>
    <xf numFmtId="0" fontId="33" fillId="0" borderId="7" xfId="0" applyFont="1" applyFill="1" applyBorder="1" applyAlignment="1">
      <alignment vertical="center"/>
    </xf>
    <xf numFmtId="0" fontId="62" fillId="29" borderId="7" xfId="0" applyFont="1" applyFill="1" applyBorder="1"/>
    <xf numFmtId="0" fontId="62" fillId="13" borderId="7" xfId="0" applyFont="1" applyFill="1" applyBorder="1"/>
    <xf numFmtId="0" fontId="63" fillId="0" borderId="7" xfId="0" applyFont="1" applyFill="1" applyBorder="1"/>
    <xf numFmtId="38" fontId="21" fillId="0" borderId="7" xfId="628" applyFont="1" applyFill="1" applyBorder="1" applyAlignment="1">
      <alignment horizontal="left" vertical="center" wrapText="1"/>
    </xf>
    <xf numFmtId="0" fontId="33" fillId="0" borderId="11" xfId="0" applyFont="1" applyFill="1" applyBorder="1" applyAlignment="1">
      <alignment vertical="center"/>
    </xf>
    <xf numFmtId="0" fontId="31" fillId="0" borderId="26" xfId="0" applyFont="1" applyFill="1" applyBorder="1"/>
    <xf numFmtId="0" fontId="32" fillId="0" borderId="26" xfId="0" applyFont="1" applyFill="1" applyBorder="1"/>
    <xf numFmtId="0" fontId="33" fillId="3" borderId="27" xfId="0" applyFont="1" applyFill="1" applyBorder="1" applyAlignment="1">
      <alignment vertical="center"/>
    </xf>
    <xf numFmtId="0" fontId="62" fillId="0" borderId="26" xfId="0" applyFont="1" applyFill="1" applyBorder="1"/>
    <xf numFmtId="0" fontId="33" fillId="0" borderId="27" xfId="0" applyFont="1" applyFill="1" applyBorder="1" applyAlignment="1">
      <alignment vertical="center"/>
    </xf>
    <xf numFmtId="0" fontId="62" fillId="29" borderId="26" xfId="0" applyFont="1" applyFill="1" applyBorder="1"/>
    <xf numFmtId="0" fontId="62" fillId="13" borderId="26" xfId="0" applyFont="1" applyFill="1" applyBorder="1"/>
    <xf numFmtId="0" fontId="63" fillId="0" borderId="26" xfId="0" applyFont="1" applyFill="1" applyBorder="1"/>
    <xf numFmtId="38" fontId="21" fillId="0" borderId="26" xfId="628" applyFont="1" applyFill="1" applyBorder="1" applyAlignment="1">
      <alignment horizontal="left" vertical="center" wrapText="1"/>
    </xf>
    <xf numFmtId="0" fontId="31" fillId="0" borderId="11" xfId="0" applyFont="1" applyFill="1" applyBorder="1"/>
    <xf numFmtId="0" fontId="32" fillId="0" borderId="11" xfId="0" applyFont="1" applyFill="1" applyBorder="1"/>
    <xf numFmtId="0" fontId="62" fillId="0" borderId="11" xfId="0" applyFont="1" applyFill="1" applyBorder="1"/>
    <xf numFmtId="0" fontId="62" fillId="29" borderId="11" xfId="0" applyFont="1" applyFill="1" applyBorder="1"/>
    <xf numFmtId="0" fontId="62" fillId="13" borderId="11" xfId="0" applyFont="1" applyFill="1" applyBorder="1"/>
    <xf numFmtId="0" fontId="29" fillId="6" borderId="7" xfId="434" applyFill="1" applyBorder="1" applyAlignment="1"/>
    <xf numFmtId="0" fontId="0" fillId="12" borderId="7" xfId="0" applyFill="1" applyBorder="1" applyAlignment="1">
      <alignment horizontal="right"/>
    </xf>
    <xf numFmtId="0" fontId="0" fillId="50" borderId="7" xfId="0" applyFill="1" applyBorder="1" applyAlignment="1">
      <alignment horizontal="right"/>
    </xf>
    <xf numFmtId="0" fontId="0" fillId="50" borderId="7" xfId="0" applyFont="1" applyFill="1" applyBorder="1" applyAlignment="1">
      <alignment horizontal="right"/>
    </xf>
    <xf numFmtId="40" fontId="0" fillId="37" borderId="11" xfId="725" applyNumberFormat="1" applyFont="1" applyFill="1" applyBorder="1"/>
    <xf numFmtId="38" fontId="0" fillId="37" borderId="11" xfId="0" applyNumberFormat="1" applyFill="1" applyBorder="1"/>
    <xf numFmtId="38" fontId="0" fillId="12" borderId="26" xfId="724" applyFont="1" applyFill="1" applyBorder="1"/>
    <xf numFmtId="9" fontId="0" fillId="0" borderId="25" xfId="0" applyNumberFormat="1" applyBorder="1"/>
    <xf numFmtId="0" fontId="0" fillId="0" borderId="25" xfId="0" applyBorder="1"/>
    <xf numFmtId="0" fontId="0" fillId="30" borderId="7" xfId="0" applyFill="1" applyBorder="1"/>
    <xf numFmtId="38" fontId="0" fillId="31" borderId="7" xfId="724" applyFont="1" applyFill="1" applyBorder="1"/>
    <xf numFmtId="38" fontId="0" fillId="31" borderId="26" xfId="724" applyFont="1" applyFill="1" applyBorder="1"/>
    <xf numFmtId="0" fontId="0" fillId="30" borderId="11" xfId="0" applyFill="1" applyBorder="1"/>
    <xf numFmtId="0" fontId="9" fillId="38" borderId="1" xfId="0" applyFont="1" applyFill="1" applyBorder="1" applyAlignment="1">
      <alignment vertical="center"/>
    </xf>
    <xf numFmtId="0" fontId="11" fillId="51" borderId="1" xfId="0" applyFont="1" applyFill="1" applyBorder="1" applyAlignment="1">
      <alignment vertical="center"/>
    </xf>
    <xf numFmtId="0" fontId="11" fillId="51" borderId="7" xfId="0" applyFont="1" applyFill="1" applyBorder="1" applyAlignment="1">
      <alignment vertical="center"/>
    </xf>
    <xf numFmtId="0" fontId="11" fillId="38" borderId="7" xfId="0" applyFont="1" applyFill="1" applyBorder="1" applyAlignment="1">
      <alignment vertical="center"/>
    </xf>
    <xf numFmtId="0" fontId="9" fillId="38" borderId="7" xfId="0" applyFont="1" applyFill="1" applyBorder="1" applyAlignment="1">
      <alignment horizontal="center" vertical="center"/>
    </xf>
    <xf numFmtId="0" fontId="9" fillId="38" borderId="7" xfId="0" applyFont="1" applyFill="1" applyBorder="1" applyAlignment="1">
      <alignment vertical="center"/>
    </xf>
    <xf numFmtId="0" fontId="9" fillId="38" borderId="26" xfId="0" applyFont="1" applyFill="1" applyBorder="1" applyAlignment="1">
      <alignment vertical="center"/>
    </xf>
    <xf numFmtId="0" fontId="11" fillId="51" borderId="26" xfId="0" applyFont="1" applyFill="1" applyBorder="1" applyAlignment="1">
      <alignment vertical="center"/>
    </xf>
    <xf numFmtId="0" fontId="9" fillId="38" borderId="26" xfId="0" applyFont="1" applyFill="1" applyBorder="1" applyAlignment="1">
      <alignment horizontal="center" vertical="center"/>
    </xf>
    <xf numFmtId="3" fontId="9" fillId="38" borderId="7" xfId="0" applyNumberFormat="1" applyFont="1" applyFill="1" applyBorder="1" applyAlignment="1">
      <alignment horizontal="center" vertical="center"/>
    </xf>
    <xf numFmtId="38" fontId="0" fillId="38" borderId="7" xfId="724" applyFont="1" applyFill="1" applyBorder="1"/>
    <xf numFmtId="40" fontId="0" fillId="38" borderId="7" xfId="725" applyNumberFormat="1" applyFont="1" applyFill="1" applyBorder="1"/>
    <xf numFmtId="38" fontId="0" fillId="38" borderId="7" xfId="0" applyNumberFormat="1" applyFill="1" applyBorder="1"/>
    <xf numFmtId="38" fontId="0" fillId="38" borderId="7" xfId="725" applyFont="1" applyFill="1" applyBorder="1"/>
    <xf numFmtId="40" fontId="0" fillId="38" borderId="7" xfId="0" applyNumberFormat="1" applyFill="1" applyBorder="1"/>
    <xf numFmtId="38" fontId="0" fillId="38" borderId="26" xfId="724" applyFont="1" applyFill="1" applyBorder="1"/>
    <xf numFmtId="40" fontId="0" fillId="38" borderId="26" xfId="0" applyNumberFormat="1" applyFill="1" applyBorder="1"/>
    <xf numFmtId="38" fontId="0" fillId="38" borderId="26" xfId="725" applyFont="1" applyFill="1" applyBorder="1"/>
    <xf numFmtId="0" fontId="21" fillId="38" borderId="7" xfId="0" applyFont="1" applyFill="1" applyBorder="1" applyAlignment="1">
      <alignment horizontal="left" vertical="center"/>
    </xf>
    <xf numFmtId="0" fontId="21" fillId="38" borderId="7" xfId="432" applyFont="1" applyFill="1" applyBorder="1" applyAlignment="1">
      <alignment horizontal="left" vertical="center"/>
    </xf>
    <xf numFmtId="0" fontId="21" fillId="38" borderId="7" xfId="432" applyFont="1" applyFill="1" applyBorder="1" applyAlignment="1">
      <alignment horizontal="left" vertical="center" wrapText="1"/>
    </xf>
    <xf numFmtId="0" fontId="21" fillId="38" borderId="26" xfId="0" applyFont="1" applyFill="1" applyBorder="1" applyAlignment="1">
      <alignment horizontal="left" vertical="center"/>
    </xf>
    <xf numFmtId="0" fontId="21" fillId="38" borderId="26" xfId="432" applyFont="1" applyFill="1" applyBorder="1" applyAlignment="1">
      <alignment horizontal="left" vertical="center"/>
    </xf>
    <xf numFmtId="0" fontId="21" fillId="38" borderId="26" xfId="432" applyFont="1" applyFill="1" applyBorder="1" applyAlignment="1">
      <alignment horizontal="left" vertical="center" wrapText="1"/>
    </xf>
    <xf numFmtId="0" fontId="56" fillId="38" borderId="7" xfId="0" applyFont="1" applyFill="1" applyBorder="1"/>
    <xf numFmtId="22" fontId="56" fillId="38" borderId="7" xfId="0" applyNumberFormat="1" applyFont="1" applyFill="1" applyBorder="1"/>
    <xf numFmtId="0" fontId="56" fillId="38" borderId="26" xfId="0" applyFont="1" applyFill="1" applyBorder="1"/>
    <xf numFmtId="22" fontId="56" fillId="38" borderId="26" xfId="0" applyNumberFormat="1" applyFont="1" applyFill="1" applyBorder="1"/>
    <xf numFmtId="0" fontId="29" fillId="43" borderId="7" xfId="434" applyFill="1" applyBorder="1" applyAlignment="1"/>
  </cellXfs>
  <cellStyles count="73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4" builtinId="8" hidden="1"/>
    <cellStyle name="桁区切り 2" xfId="429"/>
    <cellStyle name="桁区切り 2 2" xfId="628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732"/>
    <cellStyle name="標準 5" xfId="676"/>
    <cellStyle name="標準 5 2" xfId="677"/>
    <cellStyle name="標準 6" xfId="615"/>
    <cellStyle name="標準 6 2" xfId="733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5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1000Billion_panel_advent_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47013_2-1</v>
          </cell>
          <cell r="C2">
            <v>47013</v>
          </cell>
        </row>
        <row r="3">
          <cell r="A3" t="str">
            <v>47013_2-2</v>
          </cell>
        </row>
        <row r="4">
          <cell r="A4" t="str">
            <v>47013_2-3</v>
          </cell>
        </row>
        <row r="5">
          <cell r="A5" t="str">
            <v>47013_1-1</v>
          </cell>
        </row>
        <row r="6">
          <cell r="A6" t="str">
            <v>47013_1-2</v>
          </cell>
        </row>
        <row r="7">
          <cell r="A7" t="str">
            <v>47013_1-3</v>
          </cell>
        </row>
        <row r="8">
          <cell r="A8" t="str">
            <v>47013_4-1</v>
          </cell>
        </row>
        <row r="9">
          <cell r="A9" t="str">
            <v>47013_4-2</v>
          </cell>
        </row>
        <row r="10">
          <cell r="A10" t="str">
            <v>47013_4-3</v>
          </cell>
        </row>
        <row r="11">
          <cell r="A11" t="str">
            <v>47013_3-1</v>
          </cell>
        </row>
        <row r="12">
          <cell r="A12" t="str">
            <v>47013_3-2</v>
          </cell>
        </row>
        <row r="13">
          <cell r="A13" t="str">
            <v>47013_3-3</v>
          </cell>
        </row>
      </sheetData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47013001</v>
          </cell>
        </row>
        <row r="3">
          <cell r="B3">
            <v>47013001</v>
          </cell>
        </row>
        <row r="4">
          <cell r="B4">
            <v>47013001</v>
          </cell>
        </row>
        <row r="5">
          <cell r="B5">
            <v>47013001</v>
          </cell>
        </row>
        <row r="6">
          <cell r="B6">
            <v>47013001</v>
          </cell>
        </row>
        <row r="7">
          <cell r="B7">
            <v>47013001</v>
          </cell>
        </row>
        <row r="8">
          <cell r="B8">
            <v>47013001</v>
          </cell>
        </row>
        <row r="9">
          <cell r="B9">
            <v>47013002</v>
          </cell>
        </row>
        <row r="10">
          <cell r="B10">
            <v>47013002</v>
          </cell>
        </row>
        <row r="11">
          <cell r="B11">
            <v>47013002</v>
          </cell>
        </row>
        <row r="12">
          <cell r="B12">
            <v>47013002</v>
          </cell>
        </row>
        <row r="13">
          <cell r="B13">
            <v>47013002</v>
          </cell>
        </row>
        <row r="14">
          <cell r="B14">
            <v>47013002</v>
          </cell>
        </row>
        <row r="15">
          <cell r="B15">
            <v>47013002</v>
          </cell>
        </row>
        <row r="16">
          <cell r="B16">
            <v>47013003</v>
          </cell>
        </row>
        <row r="17">
          <cell r="B17">
            <v>47013003</v>
          </cell>
        </row>
        <row r="18">
          <cell r="B18">
            <v>47013003</v>
          </cell>
        </row>
        <row r="19">
          <cell r="B19">
            <v>47013003</v>
          </cell>
        </row>
        <row r="20">
          <cell r="B20">
            <v>47013003</v>
          </cell>
        </row>
        <row r="21">
          <cell r="B21">
            <v>47013003</v>
          </cell>
        </row>
        <row r="22">
          <cell r="B22">
            <v>47013003</v>
          </cell>
        </row>
        <row r="23">
          <cell r="B23">
            <v>47013004</v>
          </cell>
        </row>
        <row r="24">
          <cell r="B24">
            <v>47013004</v>
          </cell>
        </row>
        <row r="25">
          <cell r="B25">
            <v>47013004</v>
          </cell>
        </row>
        <row r="26">
          <cell r="B26">
            <v>47013004</v>
          </cell>
        </row>
        <row r="27">
          <cell r="B27">
            <v>47013004</v>
          </cell>
        </row>
        <row r="28">
          <cell r="B28">
            <v>47013004</v>
          </cell>
        </row>
        <row r="29">
          <cell r="B29">
            <v>47013004</v>
          </cell>
        </row>
        <row r="30">
          <cell r="B30">
            <v>47013004</v>
          </cell>
        </row>
        <row r="31">
          <cell r="B31">
            <v>47013005</v>
          </cell>
        </row>
        <row r="32">
          <cell r="B32">
            <v>47013005</v>
          </cell>
        </row>
        <row r="33">
          <cell r="B33">
            <v>47013005</v>
          </cell>
        </row>
        <row r="34">
          <cell r="B34">
            <v>47013005</v>
          </cell>
        </row>
        <row r="35">
          <cell r="B35">
            <v>47013005</v>
          </cell>
        </row>
        <row r="36">
          <cell r="B36">
            <v>47013005</v>
          </cell>
        </row>
        <row r="37">
          <cell r="B37">
            <v>47013005</v>
          </cell>
        </row>
        <row r="38">
          <cell r="B38">
            <v>47013005</v>
          </cell>
        </row>
        <row r="39">
          <cell r="B39">
            <v>47013005</v>
          </cell>
        </row>
        <row r="40">
          <cell r="B40">
            <v>47013005</v>
          </cell>
        </row>
        <row r="41">
          <cell r="B41">
            <v>47013005</v>
          </cell>
        </row>
        <row r="42">
          <cell r="B42">
            <v>47013006</v>
          </cell>
        </row>
        <row r="43">
          <cell r="B43">
            <v>47013006</v>
          </cell>
        </row>
        <row r="44">
          <cell r="B44">
            <v>47013006</v>
          </cell>
        </row>
        <row r="45">
          <cell r="B45">
            <v>47013006</v>
          </cell>
        </row>
        <row r="46">
          <cell r="B46">
            <v>47013006</v>
          </cell>
        </row>
        <row r="47">
          <cell r="B47">
            <v>47013006</v>
          </cell>
        </row>
        <row r="48">
          <cell r="B48">
            <v>47013006</v>
          </cell>
        </row>
        <row r="49">
          <cell r="B49">
            <v>47013006</v>
          </cell>
        </row>
        <row r="50">
          <cell r="B50">
            <v>47013006</v>
          </cell>
        </row>
        <row r="51">
          <cell r="B51">
            <v>47013006</v>
          </cell>
        </row>
        <row r="52">
          <cell r="B52">
            <v>47013011</v>
          </cell>
        </row>
        <row r="53">
          <cell r="B53">
            <v>47013011</v>
          </cell>
        </row>
        <row r="54">
          <cell r="B54">
            <v>47013011</v>
          </cell>
        </row>
        <row r="55">
          <cell r="B55">
            <v>47013011</v>
          </cell>
        </row>
        <row r="56">
          <cell r="B56">
            <v>47013011</v>
          </cell>
        </row>
        <row r="57">
          <cell r="B57">
            <v>47013011</v>
          </cell>
        </row>
        <row r="58">
          <cell r="B58">
            <v>47013011</v>
          </cell>
        </row>
        <row r="59">
          <cell r="B59">
            <v>47013012</v>
          </cell>
        </row>
        <row r="60">
          <cell r="B60">
            <v>47013012</v>
          </cell>
        </row>
        <row r="61">
          <cell r="B61">
            <v>47013012</v>
          </cell>
        </row>
        <row r="62">
          <cell r="B62">
            <v>47013012</v>
          </cell>
        </row>
        <row r="63">
          <cell r="B63">
            <v>47013012</v>
          </cell>
        </row>
        <row r="64">
          <cell r="B64">
            <v>47013012</v>
          </cell>
        </row>
        <row r="65">
          <cell r="B65">
            <v>47013012</v>
          </cell>
        </row>
        <row r="66">
          <cell r="B66">
            <v>47013013</v>
          </cell>
        </row>
        <row r="67">
          <cell r="B67">
            <v>47013013</v>
          </cell>
        </row>
        <row r="68">
          <cell r="B68">
            <v>47013013</v>
          </cell>
        </row>
        <row r="69">
          <cell r="B69">
            <v>47013013</v>
          </cell>
        </row>
        <row r="70">
          <cell r="B70">
            <v>47013013</v>
          </cell>
        </row>
        <row r="71">
          <cell r="B71">
            <v>47013013</v>
          </cell>
        </row>
        <row r="72">
          <cell r="B72">
            <v>47013013</v>
          </cell>
        </row>
        <row r="73">
          <cell r="B73">
            <v>47013014</v>
          </cell>
        </row>
        <row r="74">
          <cell r="B74">
            <v>47013014</v>
          </cell>
        </row>
        <row r="75">
          <cell r="B75">
            <v>47013014</v>
          </cell>
        </row>
        <row r="76">
          <cell r="B76">
            <v>47013014</v>
          </cell>
        </row>
        <row r="77">
          <cell r="B77">
            <v>47013014</v>
          </cell>
        </row>
        <row r="78">
          <cell r="B78">
            <v>47013014</v>
          </cell>
        </row>
        <row r="79">
          <cell r="B79">
            <v>47013014</v>
          </cell>
        </row>
        <row r="80">
          <cell r="B80">
            <v>47013014</v>
          </cell>
        </row>
        <row r="81">
          <cell r="B81">
            <v>47013015</v>
          </cell>
        </row>
        <row r="82">
          <cell r="B82">
            <v>47013015</v>
          </cell>
        </row>
        <row r="83">
          <cell r="B83">
            <v>47013015</v>
          </cell>
        </row>
        <row r="84">
          <cell r="B84">
            <v>47013015</v>
          </cell>
        </row>
        <row r="85">
          <cell r="B85">
            <v>47013015</v>
          </cell>
        </row>
        <row r="86">
          <cell r="B86">
            <v>47013015</v>
          </cell>
        </row>
        <row r="87">
          <cell r="B87">
            <v>47013015</v>
          </cell>
        </row>
        <row r="88">
          <cell r="B88">
            <v>47013015</v>
          </cell>
        </row>
        <row r="89">
          <cell r="B89">
            <v>47013015</v>
          </cell>
        </row>
        <row r="90">
          <cell r="B90">
            <v>47013015</v>
          </cell>
        </row>
        <row r="91">
          <cell r="B91">
            <v>47013015</v>
          </cell>
        </row>
        <row r="92">
          <cell r="B92">
            <v>47013016</v>
          </cell>
        </row>
        <row r="93">
          <cell r="B93">
            <v>47013016</v>
          </cell>
        </row>
        <row r="94">
          <cell r="B94">
            <v>47013016</v>
          </cell>
        </row>
        <row r="95">
          <cell r="B95">
            <v>47013016</v>
          </cell>
        </row>
        <row r="96">
          <cell r="B96">
            <v>47013016</v>
          </cell>
        </row>
        <row r="97">
          <cell r="B97">
            <v>47013016</v>
          </cell>
        </row>
        <row r="98">
          <cell r="B98">
            <v>47013016</v>
          </cell>
        </row>
        <row r="99">
          <cell r="B99">
            <v>47013016</v>
          </cell>
        </row>
        <row r="100">
          <cell r="B100">
            <v>47013016</v>
          </cell>
        </row>
        <row r="101">
          <cell r="B101">
            <v>47013016</v>
          </cell>
        </row>
      </sheetData>
      <sheetData sheetId="5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47013101</v>
          </cell>
        </row>
        <row r="3">
          <cell r="A3">
            <v>47013111</v>
          </cell>
        </row>
        <row r="4">
          <cell r="A4">
            <v>47013102</v>
          </cell>
        </row>
        <row r="5">
          <cell r="A5">
            <v>47013103</v>
          </cell>
        </row>
        <row r="6">
          <cell r="A6">
            <v>47013104</v>
          </cell>
        </row>
        <row r="7">
          <cell r="A7">
            <v>47013105</v>
          </cell>
        </row>
        <row r="8">
          <cell r="A8">
            <v>47013106</v>
          </cell>
        </row>
        <row r="9">
          <cell r="A9">
            <v>47013107</v>
          </cell>
        </row>
        <row r="10">
          <cell r="A10">
            <v>47013201</v>
          </cell>
        </row>
        <row r="11">
          <cell r="A11">
            <v>47013211</v>
          </cell>
        </row>
        <row r="12">
          <cell r="A12">
            <v>47013202</v>
          </cell>
        </row>
        <row r="13">
          <cell r="A13">
            <v>47013203</v>
          </cell>
        </row>
        <row r="14">
          <cell r="A14">
            <v>47013213</v>
          </cell>
        </row>
        <row r="15">
          <cell r="A15">
            <v>47013204</v>
          </cell>
        </row>
        <row r="16">
          <cell r="A16">
            <v>47013205</v>
          </cell>
        </row>
        <row r="17">
          <cell r="A17">
            <v>47013206</v>
          </cell>
        </row>
        <row r="18">
          <cell r="A18">
            <v>47013207</v>
          </cell>
        </row>
        <row r="19">
          <cell r="A19">
            <v>47013301</v>
          </cell>
        </row>
        <row r="20">
          <cell r="A20">
            <v>47013311</v>
          </cell>
        </row>
        <row r="21">
          <cell r="A21">
            <v>47013302</v>
          </cell>
        </row>
        <row r="22">
          <cell r="A22">
            <v>47013312</v>
          </cell>
        </row>
        <row r="23">
          <cell r="A23">
            <v>47013303</v>
          </cell>
        </row>
        <row r="24">
          <cell r="A24">
            <v>47013304</v>
          </cell>
        </row>
        <row r="25">
          <cell r="A25">
            <v>47013305</v>
          </cell>
        </row>
        <row r="26">
          <cell r="A26">
            <v>47013306</v>
          </cell>
        </row>
        <row r="27">
          <cell r="A27">
            <v>47013307</v>
          </cell>
        </row>
        <row r="28">
          <cell r="A28">
            <v>47013401</v>
          </cell>
        </row>
        <row r="29">
          <cell r="A29">
            <v>47013402</v>
          </cell>
        </row>
        <row r="30">
          <cell r="A30">
            <v>47013403</v>
          </cell>
        </row>
        <row r="31">
          <cell r="A31">
            <v>47013404</v>
          </cell>
        </row>
        <row r="32">
          <cell r="A32">
            <v>47013405</v>
          </cell>
        </row>
        <row r="33">
          <cell r="A33">
            <v>47013406</v>
          </cell>
        </row>
        <row r="34">
          <cell r="A34">
            <v>47013407</v>
          </cell>
        </row>
        <row r="35">
          <cell r="A35">
            <v>47013501</v>
          </cell>
        </row>
        <row r="36">
          <cell r="A36">
            <v>47013521</v>
          </cell>
        </row>
        <row r="37">
          <cell r="A37">
            <v>47013502</v>
          </cell>
        </row>
        <row r="38">
          <cell r="A38">
            <v>47013522</v>
          </cell>
        </row>
        <row r="39">
          <cell r="A39">
            <v>47013503</v>
          </cell>
        </row>
        <row r="40">
          <cell r="A40">
            <v>47013504</v>
          </cell>
        </row>
        <row r="41">
          <cell r="A41">
            <v>47013505</v>
          </cell>
        </row>
        <row r="42">
          <cell r="A42">
            <v>47013506</v>
          </cell>
        </row>
        <row r="43">
          <cell r="A43">
            <v>47013507</v>
          </cell>
        </row>
        <row r="44">
          <cell r="A44">
            <v>47013508</v>
          </cell>
        </row>
        <row r="45">
          <cell r="A45">
            <v>47013528</v>
          </cell>
        </row>
        <row r="46">
          <cell r="A46">
            <v>47013509</v>
          </cell>
        </row>
        <row r="47">
          <cell r="A47">
            <v>47013510</v>
          </cell>
        </row>
        <row r="48">
          <cell r="A48">
            <v>47013511</v>
          </cell>
        </row>
        <row r="49">
          <cell r="A49">
            <v>47013601</v>
          </cell>
        </row>
        <row r="50">
          <cell r="A50">
            <v>47013621</v>
          </cell>
        </row>
        <row r="51">
          <cell r="A51">
            <v>47013602</v>
          </cell>
        </row>
        <row r="52">
          <cell r="A52">
            <v>47013622</v>
          </cell>
        </row>
        <row r="53">
          <cell r="A53">
            <v>47013603</v>
          </cell>
        </row>
        <row r="54">
          <cell r="A54">
            <v>47013604</v>
          </cell>
        </row>
        <row r="55">
          <cell r="A55">
            <v>47013605</v>
          </cell>
        </row>
        <row r="56">
          <cell r="A56">
            <v>47013606</v>
          </cell>
        </row>
        <row r="57">
          <cell r="A57">
            <v>47013607</v>
          </cell>
        </row>
        <row r="58">
          <cell r="A58">
            <v>47013610</v>
          </cell>
        </row>
        <row r="59">
          <cell r="A59">
            <v>47013611</v>
          </cell>
        </row>
      </sheetData>
      <sheetData sheetId="6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47013101</v>
          </cell>
        </row>
        <row r="3">
          <cell r="A3">
            <v>47013102</v>
          </cell>
        </row>
        <row r="4">
          <cell r="A4">
            <v>47013103</v>
          </cell>
        </row>
        <row r="5">
          <cell r="A5">
            <v>47013104</v>
          </cell>
        </row>
        <row r="6">
          <cell r="A6">
            <v>47013105</v>
          </cell>
        </row>
        <row r="7">
          <cell r="A7">
            <v>47013106</v>
          </cell>
        </row>
        <row r="8">
          <cell r="A8">
            <v>47013107</v>
          </cell>
        </row>
        <row r="9">
          <cell r="A9">
            <v>47013201</v>
          </cell>
        </row>
        <row r="10">
          <cell r="A10">
            <v>47013202</v>
          </cell>
        </row>
        <row r="11">
          <cell r="A11">
            <v>47013203</v>
          </cell>
        </row>
        <row r="12">
          <cell r="A12">
            <v>47013204</v>
          </cell>
        </row>
        <row r="13">
          <cell r="A13">
            <v>47013205</v>
          </cell>
        </row>
        <row r="14">
          <cell r="A14">
            <v>47013206</v>
          </cell>
        </row>
        <row r="15">
          <cell r="A15">
            <v>47013207</v>
          </cell>
        </row>
        <row r="16">
          <cell r="A16">
            <v>47013301</v>
          </cell>
        </row>
        <row r="17">
          <cell r="A17">
            <v>47013302</v>
          </cell>
        </row>
        <row r="18">
          <cell r="A18">
            <v>47013303</v>
          </cell>
        </row>
        <row r="19">
          <cell r="A19">
            <v>47013304</v>
          </cell>
        </row>
        <row r="20">
          <cell r="A20">
            <v>47013305</v>
          </cell>
        </row>
        <row r="21">
          <cell r="A21">
            <v>47013306</v>
          </cell>
        </row>
        <row r="22">
          <cell r="A22">
            <v>47013307</v>
          </cell>
        </row>
        <row r="23">
          <cell r="A23">
            <v>47013401</v>
          </cell>
        </row>
        <row r="24">
          <cell r="A24">
            <v>47013402</v>
          </cell>
        </row>
        <row r="25">
          <cell r="A25">
            <v>47013412</v>
          </cell>
        </row>
        <row r="26">
          <cell r="A26">
            <v>47013403</v>
          </cell>
        </row>
        <row r="27">
          <cell r="A27">
            <v>47013404</v>
          </cell>
        </row>
        <row r="28">
          <cell r="A28">
            <v>47013405</v>
          </cell>
        </row>
        <row r="29">
          <cell r="A29">
            <v>47013406</v>
          </cell>
        </row>
        <row r="30">
          <cell r="A30">
            <v>47013407</v>
          </cell>
        </row>
        <row r="31">
          <cell r="A31">
            <v>47013501</v>
          </cell>
        </row>
        <row r="32">
          <cell r="A32">
            <v>47013502</v>
          </cell>
        </row>
        <row r="33">
          <cell r="A33">
            <v>47013503</v>
          </cell>
        </row>
        <row r="34">
          <cell r="A34">
            <v>47013504</v>
          </cell>
        </row>
        <row r="35">
          <cell r="A35">
            <v>47013505</v>
          </cell>
        </row>
        <row r="36">
          <cell r="A36">
            <v>47013506</v>
          </cell>
        </row>
        <row r="37">
          <cell r="A37">
            <v>47013507</v>
          </cell>
        </row>
        <row r="38">
          <cell r="A38">
            <v>47013508</v>
          </cell>
        </row>
        <row r="39">
          <cell r="A39">
            <v>47013509</v>
          </cell>
        </row>
        <row r="40">
          <cell r="A40">
            <v>47013510</v>
          </cell>
        </row>
        <row r="41">
          <cell r="A41">
            <v>47013511</v>
          </cell>
        </row>
        <row r="42">
          <cell r="A42">
            <v>47013601</v>
          </cell>
        </row>
        <row r="43">
          <cell r="A43">
            <v>47013602</v>
          </cell>
        </row>
        <row r="44">
          <cell r="A44">
            <v>47013603</v>
          </cell>
        </row>
        <row r="45">
          <cell r="A45">
            <v>47013604</v>
          </cell>
        </row>
        <row r="46">
          <cell r="A46">
            <v>47013605</v>
          </cell>
        </row>
        <row r="47">
          <cell r="A47">
            <v>47013606</v>
          </cell>
        </row>
        <row r="48">
          <cell r="A48">
            <v>47013607</v>
          </cell>
        </row>
        <row r="49">
          <cell r="A49">
            <v>47013610</v>
          </cell>
        </row>
        <row r="50">
          <cell r="A50">
            <v>47013611</v>
          </cell>
        </row>
        <row r="51">
          <cell r="A51">
            <v>47013612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13"/>
  <sheetViews>
    <sheetView workbookViewId="0">
      <selection activeCell="A8" sqref="A8:XFD9"/>
    </sheetView>
  </sheetViews>
  <sheetFormatPr baseColWidth="12" defaultRowHeight="15" x14ac:dyDescent="0.15"/>
  <cols>
    <col min="2" max="2" width="39.83203125" customWidth="1"/>
    <col min="5" max="5" width="44.6640625" customWidth="1"/>
    <col min="6" max="6" width="31.1640625" customWidth="1"/>
  </cols>
  <sheetData>
    <row r="1" spans="1:29" x14ac:dyDescent="0.15">
      <c r="A1" s="53" t="s">
        <v>43</v>
      </c>
      <c r="B1" s="49" t="s">
        <v>34</v>
      </c>
      <c r="C1" s="49" t="s">
        <v>35</v>
      </c>
      <c r="D1" s="49" t="s">
        <v>36</v>
      </c>
      <c r="E1" s="49" t="s">
        <v>37</v>
      </c>
      <c r="F1" s="49" t="s">
        <v>38</v>
      </c>
      <c r="G1" s="49" t="s">
        <v>39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</row>
    <row r="2" spans="1:29" x14ac:dyDescent="0.15">
      <c r="A2" s="264" t="s">
        <v>645</v>
      </c>
      <c r="B2" s="82" t="s">
        <v>652</v>
      </c>
      <c r="C2" s="265">
        <v>47013</v>
      </c>
      <c r="D2" s="51" t="s">
        <v>40</v>
      </c>
      <c r="E2" s="50" t="str">
        <f>B2&amp;C2&amp;D2</f>
        <v>score_attack_expanded_floors_47013.tmp</v>
      </c>
      <c r="F2" s="51" t="s">
        <v>207</v>
      </c>
      <c r="G2" s="52" t="s">
        <v>0</v>
      </c>
      <c r="H2" s="52" t="s">
        <v>1</v>
      </c>
      <c r="I2" s="52" t="s">
        <v>12</v>
      </c>
      <c r="J2" s="69" t="s">
        <v>208</v>
      </c>
      <c r="K2" s="69" t="s">
        <v>209</v>
      </c>
      <c r="L2" s="69" t="s">
        <v>211</v>
      </c>
      <c r="M2" s="51" t="s">
        <v>213</v>
      </c>
      <c r="N2" s="51" t="s">
        <v>215</v>
      </c>
      <c r="O2" s="51" t="s">
        <v>217</v>
      </c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29" x14ac:dyDescent="0.15">
      <c r="A3" s="264" t="s">
        <v>645</v>
      </c>
      <c r="B3" s="82" t="s">
        <v>218</v>
      </c>
      <c r="C3" s="266">
        <f t="shared" ref="C3:C10" si="0">$C$2</f>
        <v>47013</v>
      </c>
      <c r="D3" s="51" t="s">
        <v>40</v>
      </c>
      <c r="E3" s="50" t="str">
        <f>B3&amp;C3&amp;D3</f>
        <v>score_attack_expanded_stages_47013.tmp</v>
      </c>
      <c r="F3" s="51" t="s">
        <v>219</v>
      </c>
      <c r="G3" s="52" t="s">
        <v>0</v>
      </c>
      <c r="H3" s="52" t="s">
        <v>1</v>
      </c>
      <c r="I3" s="31" t="s">
        <v>91</v>
      </c>
      <c r="J3" s="52"/>
      <c r="K3" s="52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29" x14ac:dyDescent="0.15">
      <c r="A4" s="264" t="s">
        <v>645</v>
      </c>
      <c r="B4" s="82" t="s">
        <v>653</v>
      </c>
      <c r="C4" s="266">
        <f t="shared" si="0"/>
        <v>47013</v>
      </c>
      <c r="D4" s="51" t="s">
        <v>40</v>
      </c>
      <c r="E4" s="50" t="str">
        <f>B4&amp;C4&amp;D4</f>
        <v>score_attack_params_damage_given_47013.tmp</v>
      </c>
      <c r="F4" s="51" t="s">
        <v>220</v>
      </c>
      <c r="G4" s="52" t="s">
        <v>92</v>
      </c>
      <c r="H4" s="52" t="s">
        <v>93</v>
      </c>
      <c r="I4" s="52" t="s">
        <v>94</v>
      </c>
      <c r="J4" s="52" t="s">
        <v>95</v>
      </c>
      <c r="K4" s="52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29" x14ac:dyDescent="0.15">
      <c r="A5" s="264" t="s">
        <v>645</v>
      </c>
      <c r="B5" s="82" t="s">
        <v>648</v>
      </c>
      <c r="C5" s="266">
        <f t="shared" si="0"/>
        <v>47013</v>
      </c>
      <c r="D5" s="51" t="s">
        <v>40</v>
      </c>
      <c r="E5" s="50" t="str">
        <f t="shared" ref="E5" si="1">B5&amp;C5&amp;D5</f>
        <v>score_attack_params_heal_47013.tmp</v>
      </c>
      <c r="F5" s="51" t="s">
        <v>649</v>
      </c>
      <c r="G5" s="52" t="s">
        <v>92</v>
      </c>
      <c r="H5" s="52" t="s">
        <v>93</v>
      </c>
      <c r="I5" s="52" t="s">
        <v>94</v>
      </c>
      <c r="J5" s="52" t="s">
        <v>95</v>
      </c>
      <c r="K5" s="52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</row>
    <row r="6" spans="1:29" x14ac:dyDescent="0.15">
      <c r="A6" s="264" t="s">
        <v>645</v>
      </c>
      <c r="B6" s="82" t="s">
        <v>647</v>
      </c>
      <c r="C6" s="266">
        <f t="shared" si="0"/>
        <v>47013</v>
      </c>
      <c r="D6" s="51" t="s">
        <v>40</v>
      </c>
      <c r="E6" s="50" t="str">
        <f t="shared" ref="E6:E7" si="2">B6&amp;C6&amp;D6</f>
        <v>score_attack_stage_evaluations_tmp_47013.tmp</v>
      </c>
      <c r="F6" s="51" t="s">
        <v>221</v>
      </c>
      <c r="G6" s="52" t="s">
        <v>96</v>
      </c>
      <c r="H6" s="52" t="s">
        <v>97</v>
      </c>
      <c r="I6" s="52" t="s">
        <v>98</v>
      </c>
      <c r="J6" s="52" t="s">
        <v>99</v>
      </c>
      <c r="K6" s="52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</row>
    <row r="7" spans="1:29" x14ac:dyDescent="0.15">
      <c r="A7" s="264" t="s">
        <v>645</v>
      </c>
      <c r="B7" s="82" t="s">
        <v>222</v>
      </c>
      <c r="C7" s="266">
        <f t="shared" si="0"/>
        <v>47013</v>
      </c>
      <c r="D7" s="51" t="s">
        <v>40</v>
      </c>
      <c r="E7" s="50" t="str">
        <f t="shared" si="2"/>
        <v>score_attack_stage_evaluations_i18n_47013.tmp</v>
      </c>
      <c r="F7" s="51" t="s">
        <v>221</v>
      </c>
      <c r="G7" s="52" t="s">
        <v>96</v>
      </c>
      <c r="H7" s="81" t="s">
        <v>100</v>
      </c>
      <c r="I7" s="81" t="s">
        <v>101</v>
      </c>
      <c r="J7" s="81" t="s">
        <v>102</v>
      </c>
      <c r="K7" s="52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</row>
    <row r="8" spans="1:29" x14ac:dyDescent="0.15">
      <c r="A8" s="305" t="s">
        <v>656</v>
      </c>
      <c r="B8" s="83" t="s">
        <v>86</v>
      </c>
      <c r="C8" s="266">
        <f t="shared" si="0"/>
        <v>47013</v>
      </c>
      <c r="D8" s="77" t="s">
        <v>41</v>
      </c>
      <c r="E8" s="78" t="str">
        <f>B8&amp;C8&amp;D8</f>
        <v>gifts_tmp_47013.tmp</v>
      </c>
      <c r="F8" s="55" t="s">
        <v>85</v>
      </c>
      <c r="G8" s="79" t="s">
        <v>87</v>
      </c>
      <c r="H8" s="79" t="s">
        <v>77</v>
      </c>
      <c r="I8" s="79" t="s">
        <v>78</v>
      </c>
      <c r="J8" s="79" t="s">
        <v>78</v>
      </c>
      <c r="K8" s="79" t="s">
        <v>78</v>
      </c>
      <c r="L8" s="79" t="s">
        <v>79</v>
      </c>
      <c r="M8" s="79" t="s">
        <v>79</v>
      </c>
      <c r="N8" s="79" t="s">
        <v>79</v>
      </c>
      <c r="O8" s="84" t="s">
        <v>25</v>
      </c>
      <c r="P8" s="84" t="s">
        <v>27</v>
      </c>
      <c r="Q8" s="84" t="s">
        <v>24</v>
      </c>
      <c r="R8" s="84" t="s">
        <v>108</v>
      </c>
      <c r="S8" s="84" t="s">
        <v>26</v>
      </c>
      <c r="T8" s="84" t="s">
        <v>3</v>
      </c>
      <c r="U8" s="84" t="s">
        <v>23</v>
      </c>
    </row>
    <row r="9" spans="1:29" x14ac:dyDescent="0.15">
      <c r="A9" s="305" t="s">
        <v>656</v>
      </c>
      <c r="B9" s="83" t="s">
        <v>88</v>
      </c>
      <c r="C9" s="266">
        <f t="shared" si="0"/>
        <v>47013</v>
      </c>
      <c r="D9" s="77" t="s">
        <v>41</v>
      </c>
      <c r="E9" s="78" t="str">
        <f>B9&amp;C9&amp;D9</f>
        <v>gifts_i18n_47013.tmp</v>
      </c>
      <c r="F9" s="55" t="s">
        <v>85</v>
      </c>
      <c r="G9" s="79" t="s">
        <v>87</v>
      </c>
      <c r="H9" s="79" t="s">
        <v>80</v>
      </c>
      <c r="I9" s="79" t="s">
        <v>89</v>
      </c>
      <c r="J9" s="79" t="s">
        <v>90</v>
      </c>
      <c r="K9" s="79" t="s">
        <v>83</v>
      </c>
      <c r="L9" s="79"/>
      <c r="M9" s="79"/>
      <c r="N9" s="79"/>
      <c r="O9" s="77"/>
    </row>
    <row r="10" spans="1:29" x14ac:dyDescent="0.15">
      <c r="A10" s="264" t="s">
        <v>645</v>
      </c>
      <c r="B10" s="85" t="s">
        <v>651</v>
      </c>
      <c r="C10" s="266">
        <f t="shared" si="0"/>
        <v>47013</v>
      </c>
      <c r="D10" s="88" t="s">
        <v>127</v>
      </c>
      <c r="E10" s="78" t="str">
        <f>B10&amp;C10&amp;D10</f>
        <v>score_attack_stage_evaluation_gifts_47013.tmp</v>
      </c>
      <c r="F10" s="86" t="s">
        <v>224</v>
      </c>
      <c r="G10" s="52" t="s">
        <v>111</v>
      </c>
      <c r="H10" s="52" t="s">
        <v>112</v>
      </c>
      <c r="I10" s="81" t="s">
        <v>113</v>
      </c>
      <c r="J10" s="72" t="s">
        <v>114</v>
      </c>
    </row>
    <row r="11" spans="1:29" x14ac:dyDescent="0.15">
      <c r="A11" s="264" t="s">
        <v>645</v>
      </c>
      <c r="B11" s="85" t="s">
        <v>115</v>
      </c>
      <c r="C11" s="267" t="str">
        <f>REPLACE($C$2,3,0,"0")</f>
        <v>470013</v>
      </c>
      <c r="D11" s="51" t="s">
        <v>116</v>
      </c>
      <c r="E11" s="78" t="str">
        <f t="shared" ref="E11:E12" si="3">B11&amp;C11&amp;D11</f>
        <v>gifts_tmp_470013.tmp</v>
      </c>
      <c r="F11" s="86" t="s">
        <v>646</v>
      </c>
      <c r="G11" s="87" t="s">
        <v>117</v>
      </c>
      <c r="H11" s="87" t="s">
        <v>118</v>
      </c>
      <c r="I11" s="87" t="s">
        <v>119</v>
      </c>
      <c r="J11" s="87" t="s">
        <v>119</v>
      </c>
      <c r="K11" s="87" t="s">
        <v>119</v>
      </c>
      <c r="L11" s="87" t="s">
        <v>120</v>
      </c>
      <c r="M11" s="87" t="s">
        <v>120</v>
      </c>
      <c r="N11" s="87" t="s">
        <v>120</v>
      </c>
      <c r="O11" s="84" t="s">
        <v>25</v>
      </c>
      <c r="P11" s="84" t="s">
        <v>27</v>
      </c>
      <c r="Q11" s="84" t="s">
        <v>24</v>
      </c>
      <c r="R11" s="84" t="s">
        <v>108</v>
      </c>
      <c r="S11" s="84" t="s">
        <v>26</v>
      </c>
      <c r="T11" s="84" t="s">
        <v>3</v>
      </c>
      <c r="U11" s="84" t="s">
        <v>23</v>
      </c>
    </row>
    <row r="12" spans="1:29" x14ac:dyDescent="0.15">
      <c r="A12" s="264" t="s">
        <v>645</v>
      </c>
      <c r="B12" s="85" t="s">
        <v>121</v>
      </c>
      <c r="C12" s="267" t="str">
        <f>REPLACE($C$2,3,0,"0")</f>
        <v>470013</v>
      </c>
      <c r="D12" s="51" t="s">
        <v>122</v>
      </c>
      <c r="E12" s="78" t="str">
        <f t="shared" si="3"/>
        <v>gifts_i18n_470013.tmp</v>
      </c>
      <c r="F12" s="86" t="s">
        <v>223</v>
      </c>
      <c r="G12" s="87" t="s">
        <v>117</v>
      </c>
      <c r="H12" s="87" t="s">
        <v>123</v>
      </c>
      <c r="I12" s="87" t="s">
        <v>124</v>
      </c>
      <c r="J12" s="87" t="s">
        <v>125</v>
      </c>
      <c r="K12" s="87" t="s">
        <v>126</v>
      </c>
      <c r="L12" s="87"/>
      <c r="M12" s="87"/>
      <c r="N12" s="87"/>
      <c r="O12" s="77"/>
    </row>
    <row r="13" spans="1:29" x14ac:dyDescent="0.15">
      <c r="A13" s="264" t="s">
        <v>645</v>
      </c>
      <c r="B13" s="85" t="s">
        <v>235</v>
      </c>
      <c r="C13" s="266">
        <f>$C$2</f>
        <v>47013</v>
      </c>
      <c r="D13" s="51" t="s">
        <v>40</v>
      </c>
      <c r="E13" s="78" t="str">
        <f>B13&amp;C13&amp;D13</f>
        <v>score_attack_unit_bonus_conditions_47013.tmp</v>
      </c>
      <c r="F13" s="86" t="s">
        <v>234</v>
      </c>
      <c r="G13" s="87" t="s">
        <v>225</v>
      </c>
      <c r="H13" s="87" t="s">
        <v>0</v>
      </c>
      <c r="I13" s="87" t="s">
        <v>1</v>
      </c>
      <c r="J13" s="87" t="s">
        <v>226</v>
      </c>
      <c r="K13" s="87" t="s">
        <v>227</v>
      </c>
      <c r="L13" s="87" t="s">
        <v>228</v>
      </c>
      <c r="M13" s="87" t="s">
        <v>229</v>
      </c>
      <c r="N13" s="87" t="s">
        <v>230</v>
      </c>
      <c r="O13" s="77" t="s">
        <v>231</v>
      </c>
    </row>
  </sheetData>
  <phoneticPr fontId="10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Q10"/>
  <sheetViews>
    <sheetView showGridLines="0" workbookViewId="0">
      <pane ySplit="1" topLeftCell="A2" activePane="bottomLeft" state="frozen"/>
      <selection activeCell="V2" sqref="V2:X34"/>
      <selection pane="bottomLeft" activeCell="D5" sqref="D5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4" width="21.1640625" style="3" customWidth="1" outlineLevel="1"/>
    <col min="5" max="5" width="10.33203125" style="3" customWidth="1" outlineLevel="1"/>
    <col min="6" max="6" width="7" style="3" bestFit="1" customWidth="1"/>
    <col min="7" max="7" width="8.83203125" style="17" customWidth="1" outlineLevel="1"/>
    <col min="8" max="8" width="27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5" width="13" style="3"/>
    <col min="16" max="16" width="18" style="3" customWidth="1"/>
    <col min="17" max="16384" width="13" style="3"/>
  </cols>
  <sheetData>
    <row r="1" spans="1:17" ht="21" customHeight="1" x14ac:dyDescent="0.15">
      <c r="A1" s="14" t="s">
        <v>18</v>
      </c>
      <c r="B1" s="14" t="s">
        <v>22</v>
      </c>
      <c r="C1" s="1" t="s">
        <v>0</v>
      </c>
      <c r="D1" s="2" t="s">
        <v>16</v>
      </c>
      <c r="E1" s="13" t="s">
        <v>20</v>
      </c>
      <c r="F1" s="1" t="s">
        <v>1</v>
      </c>
      <c r="G1" s="20" t="s">
        <v>19</v>
      </c>
      <c r="H1" s="13" t="s">
        <v>21</v>
      </c>
      <c r="I1" s="1" t="s">
        <v>12</v>
      </c>
      <c r="J1" s="108" t="s">
        <v>13</v>
      </c>
      <c r="K1" s="108" t="s">
        <v>14</v>
      </c>
      <c r="L1" s="69" t="s">
        <v>208</v>
      </c>
      <c r="M1" s="69" t="s">
        <v>209</v>
      </c>
      <c r="N1" s="69" t="s">
        <v>210</v>
      </c>
      <c r="O1" s="69" t="s">
        <v>212</v>
      </c>
      <c r="P1" s="69" t="s">
        <v>214</v>
      </c>
      <c r="Q1" s="69" t="s">
        <v>216</v>
      </c>
    </row>
    <row r="2" spans="1:17" ht="21" customHeight="1" x14ac:dyDescent="0.15">
      <c r="A2" s="14" t="str">
        <f>G2&amp;"-"&amp;I2</f>
        <v>47013_3-1</v>
      </c>
      <c r="B2" s="14" t="str">
        <f>IF(COUNTIF(enemy_habitats!$H:$H,A2),"OK","NG")</f>
        <v>OK</v>
      </c>
      <c r="C2" s="277">
        <v>47013</v>
      </c>
      <c r="D2" s="278" t="str">
        <f ca="1">VLOOKUP($C2,OFFSET([2]quests!$A$1,0,0,COUNTA([2]quests!$A:$A),MATCH(D$1,[2]quests!$1:$1,0)-MATCH($C$1,[2]quests!$1:$1,0)+1),MATCH(D$1,[2]quests!$1:$1,0)-MATCH($C$1,[2]quests!$1:$1,0)+1,FALSE)</f>
        <v>スカルズ襲来！</v>
      </c>
      <c r="E2" s="279" t="str">
        <f ca="1">VLOOKUP($C2,OFFSET([2]quests!$A$1,0,0,COUNTA([2]quests!$A:$A),MATCH(E$1,[2]quests!$1:$1,0)-MATCH($C$1,[2]quests!$1:$1,0)+1),MATCH(E$1,[2]quests!$1:$1,0)-MATCH($C$1,[2]quests!$1:$1,0)+1,FALSE)</f>
        <v>1000億パネル破壊記念イベント</v>
      </c>
      <c r="F2" s="108">
        <v>3</v>
      </c>
      <c r="G2" s="280" t="str">
        <f>C2&amp;"_"&amp;F2</f>
        <v>47013_3</v>
      </c>
      <c r="H2" s="281" t="str">
        <f ca="1">VLOOKUP($G2,OFFSET([2]stages!$A$1,0,0,COUNTA([2]stages!$A:$A),MATCH(H$1,[2]stages!$2:$2,0)-MATCH($G$1,[2]stages!$2:$2,0)+1),MATCH(H$1,[2]stages!$2:$2,0)-MATCH($G$1,[2]stages!$2:$2,0)+1,FALSE)</f>
        <v>【スコア超絶】スカルズ襲来！</v>
      </c>
      <c r="I2" s="108">
        <v>1</v>
      </c>
      <c r="J2" s="109">
        <v>60</v>
      </c>
      <c r="K2" s="109">
        <v>60</v>
      </c>
      <c r="L2" s="282">
        <v>4701311</v>
      </c>
      <c r="M2" s="282">
        <v>4701311</v>
      </c>
      <c r="N2" s="282">
        <v>4</v>
      </c>
      <c r="O2" s="282">
        <v>-100000</v>
      </c>
      <c r="P2" s="282">
        <v>1600000</v>
      </c>
      <c r="Q2" s="282">
        <v>550000</v>
      </c>
    </row>
    <row r="3" spans="1:17" ht="21" customHeight="1" x14ac:dyDescent="0.15">
      <c r="A3" s="14" t="str">
        <f t="shared" ref="A3:A4" si="0">G3&amp;"-"&amp;I3</f>
        <v>47013_3-2</v>
      </c>
      <c r="B3" s="14" t="str">
        <f>IF(COUNTIF(enemy_habitats!$H:$H,A3),"OK","NG")</f>
        <v>OK</v>
      </c>
      <c r="C3" s="277">
        <v>47013</v>
      </c>
      <c r="D3" s="278" t="str">
        <f ca="1">VLOOKUP($C3,OFFSET([2]quests!$A$1,0,0,COUNTA([2]quests!$A:$A),MATCH(D$1,[2]quests!$1:$1,0)-MATCH($C$1,[2]quests!$1:$1,0)+1),MATCH(D$1,[2]quests!$1:$1,0)-MATCH($C$1,[2]quests!$1:$1,0)+1,FALSE)</f>
        <v>スカルズ襲来！</v>
      </c>
      <c r="E3" s="279" t="str">
        <f ca="1">VLOOKUP($C3,OFFSET([2]quests!$A$1,0,0,COUNTA([2]quests!$A:$A),MATCH(E$1,[2]quests!$1:$1,0)-MATCH($C$1,[2]quests!$1:$1,0)+1),MATCH(E$1,[2]quests!$1:$1,0)-MATCH($C$1,[2]quests!$1:$1,0)+1,FALSE)</f>
        <v>1000億パネル破壊記念イベント</v>
      </c>
      <c r="F3" s="108">
        <v>3</v>
      </c>
      <c r="G3" s="280" t="str">
        <f t="shared" ref="G3:G4" si="1">C3&amp;"_"&amp;F3</f>
        <v>47013_3</v>
      </c>
      <c r="H3" s="281" t="str">
        <f ca="1">VLOOKUP($G3,OFFSET([2]stages!$A$1,0,0,COUNTA([2]stages!$A:$A),MATCH(H$1,[2]stages!$2:$2,0)-MATCH($G$1,[2]stages!$2:$2,0)+1),MATCH(H$1,[2]stages!$2:$2,0)-MATCH($G$1,[2]stages!$2:$2,0)+1,FALSE)</f>
        <v>【スコア超絶】スカルズ襲来！</v>
      </c>
      <c r="I3" s="108">
        <v>2</v>
      </c>
      <c r="J3" s="109">
        <v>60</v>
      </c>
      <c r="K3" s="109">
        <v>60</v>
      </c>
      <c r="L3" s="282">
        <v>4701312</v>
      </c>
      <c r="M3" s="282">
        <v>4701312</v>
      </c>
      <c r="N3" s="282">
        <v>5</v>
      </c>
      <c r="O3" s="282">
        <v>-250000</v>
      </c>
      <c r="P3" s="282">
        <v>2300000</v>
      </c>
      <c r="Q3" s="282">
        <v>500000</v>
      </c>
    </row>
    <row r="4" spans="1:17" ht="21" customHeight="1" thickBot="1" x14ac:dyDescent="0.2">
      <c r="A4" s="124" t="str">
        <f t="shared" si="0"/>
        <v>47013_3-3</v>
      </c>
      <c r="B4" s="14" t="str">
        <f>IF(COUNTIF(enemy_habitats!$H:$H,A4),"OK","NG")</f>
        <v>OK</v>
      </c>
      <c r="C4" s="283">
        <v>47013</v>
      </c>
      <c r="D4" s="284" t="str">
        <f ca="1">VLOOKUP($C4,OFFSET([2]quests!$A$1,0,0,COUNTA([2]quests!$A:$A),MATCH(D$1,[2]quests!$1:$1,0)-MATCH($C$1,[2]quests!$1:$1,0)+1),MATCH(D$1,[2]quests!$1:$1,0)-MATCH($C$1,[2]quests!$1:$1,0)+1,FALSE)</f>
        <v>スカルズ襲来！</v>
      </c>
      <c r="E4" s="284" t="str">
        <f ca="1">VLOOKUP($C4,OFFSET([2]quests!$A$1,0,0,COUNTA([2]quests!$A:$A),MATCH(E$1,[2]quests!$1:$1,0)-MATCH($C$1,[2]quests!$1:$1,0)+1),MATCH(E$1,[2]quests!$1:$1,0)-MATCH($C$1,[2]quests!$1:$1,0)+1,FALSE)</f>
        <v>1000億パネル破壊記念イベント</v>
      </c>
      <c r="F4" s="285">
        <v>3</v>
      </c>
      <c r="G4" s="128" t="str">
        <f t="shared" si="1"/>
        <v>47013_3</v>
      </c>
      <c r="H4" s="285" t="str">
        <f ca="1">VLOOKUP($G4,OFFSET([2]stages!$A$1,0,0,COUNTA([2]stages!$A:$A),MATCH(H$1,[2]stages!$2:$2,0)-MATCH($G$1,[2]stages!$2:$2,0)+1),MATCH(H$1,[2]stages!$2:$2,0)-MATCH($G$1,[2]stages!$2:$2,0)+1,FALSE)</f>
        <v>【スコア超絶】スカルズ襲来！</v>
      </c>
      <c r="I4" s="285">
        <v>3</v>
      </c>
      <c r="J4" s="128">
        <v>60</v>
      </c>
      <c r="K4" s="128">
        <v>60</v>
      </c>
      <c r="L4" s="283">
        <v>4701313</v>
      </c>
      <c r="M4" s="283">
        <v>4701313</v>
      </c>
      <c r="N4" s="283">
        <v>8</v>
      </c>
      <c r="O4" s="283">
        <v>-350000</v>
      </c>
      <c r="P4" s="283">
        <v>4000000</v>
      </c>
      <c r="Q4" s="283">
        <v>750000</v>
      </c>
    </row>
    <row r="5" spans="1:17" ht="21" customHeight="1" thickTop="1" x14ac:dyDescent="0.15">
      <c r="A5" s="14" t="str">
        <f>G5&amp;"-"&amp;I5</f>
        <v>47013_4-1</v>
      </c>
      <c r="B5" s="14" t="str">
        <f>IF(COUNTIF(enemy_habitats!$H:$H,A5),"OK","NG")</f>
        <v>OK</v>
      </c>
      <c r="C5" s="117">
        <v>47013</v>
      </c>
      <c r="D5" s="118" t="str">
        <f ca="1">VLOOKUP($C5,OFFSET([2]quests!$A$1,0,0,COUNTA([2]quests!$A:$A),MATCH(D$1,[2]quests!$1:$1,0)-MATCH($C$1,[2]quests!$1:$1,0)+1),MATCH(D$1,[2]quests!$1:$1,0)-MATCH($C$1,[2]quests!$1:$1,0)+1,FALSE)</f>
        <v>スカルズ襲来！</v>
      </c>
      <c r="E5" s="118" t="str">
        <f ca="1">VLOOKUP($C5,OFFSET([2]quests!$A$1,0,0,COUNTA([2]quests!$A:$A),MATCH(E$1,[2]quests!$1:$1,0)-MATCH($C$1,[2]quests!$1:$1,0)+1),MATCH(E$1,[2]quests!$1:$1,0)-MATCH($C$1,[2]quests!$1:$1,0)+1,FALSE)</f>
        <v>1000億パネル破壊記念イベント</v>
      </c>
      <c r="F5" s="119">
        <v>4</v>
      </c>
      <c r="G5" s="120" t="str">
        <f>C5&amp;"_"&amp;F5</f>
        <v>47013_4</v>
      </c>
      <c r="H5" s="121" t="str">
        <f ca="1">VLOOKUP($G5,OFFSET([2]stages!$A$1,0,0,COUNTA([2]stages!$A:$A),MATCH(H$1,[2]stages!$2:$2,0)-MATCH($G$1,[2]stages!$2:$2,0)+1),MATCH(H$1,[2]stages!$2:$2,0)-MATCH($G$1,[2]stages!$2:$2,0)+1,FALSE)</f>
        <v>【スコアアタック】スカルズ襲来！</v>
      </c>
      <c r="I5" s="119">
        <v>1</v>
      </c>
      <c r="J5" s="122">
        <v>60</v>
      </c>
      <c r="K5" s="122">
        <v>60</v>
      </c>
      <c r="L5" s="130">
        <v>4701321</v>
      </c>
      <c r="M5" s="130">
        <v>4701321</v>
      </c>
      <c r="N5" s="56">
        <v>4</v>
      </c>
      <c r="O5" s="56">
        <v>-100000</v>
      </c>
      <c r="P5" s="56">
        <v>1600000</v>
      </c>
      <c r="Q5" s="56">
        <v>500000</v>
      </c>
    </row>
    <row r="6" spans="1:17" ht="21" customHeight="1" x14ac:dyDescent="0.15">
      <c r="A6" s="14" t="str">
        <f t="shared" ref="A6:A7" si="2">G6&amp;"-"&amp;I6</f>
        <v>47013_4-2</v>
      </c>
      <c r="B6" s="14" t="str">
        <f>IF(COUNTIF(enemy_habitats!$H:$H,A6),"OK","NG")</f>
        <v>OK</v>
      </c>
      <c r="C6" s="7">
        <v>47013</v>
      </c>
      <c r="D6" s="10" t="str">
        <f ca="1">VLOOKUP($C6,OFFSET([2]quests!$A$1,0,0,COUNTA([2]quests!$A:$A),MATCH(D$1,[2]quests!$1:$1,0)-MATCH($C$1,[2]quests!$1:$1,0)+1),MATCH(D$1,[2]quests!$1:$1,0)-MATCH($C$1,[2]quests!$1:$1,0)+1,FALSE)</f>
        <v>スカルズ襲来！</v>
      </c>
      <c r="E6" s="16" t="str">
        <f ca="1">VLOOKUP($C6,OFFSET([2]quests!$A$1,0,0,COUNTA([2]quests!$A:$A),MATCH(E$1,[2]quests!$1:$1,0)-MATCH($C$1,[2]quests!$1:$1,0)+1),MATCH(E$1,[2]quests!$1:$1,0)-MATCH($C$1,[2]quests!$1:$1,0)+1,FALSE)</f>
        <v>1000億パネル破壊記念イベント</v>
      </c>
      <c r="F6" s="18">
        <v>4</v>
      </c>
      <c r="G6" s="20" t="str">
        <f t="shared" ref="G6" si="3">C6&amp;"_"&amp;F6</f>
        <v>47013_4</v>
      </c>
      <c r="H6" s="13" t="str">
        <f ca="1">VLOOKUP($G6,OFFSET([2]stages!$A$1,0,0,COUNTA([2]stages!$A:$A),MATCH(H$1,[2]stages!$2:$2,0)-MATCH($G$1,[2]stages!$2:$2,0)+1),MATCH(H$1,[2]stages!$2:$2,0)-MATCH($G$1,[2]stages!$2:$2,0)+1,FALSE)</f>
        <v>【スコアアタック】スカルズ襲来！</v>
      </c>
      <c r="I6" s="18">
        <v>2</v>
      </c>
      <c r="J6" s="109">
        <v>60</v>
      </c>
      <c r="K6" s="109">
        <v>60</v>
      </c>
      <c r="L6" s="130">
        <v>4701322</v>
      </c>
      <c r="M6" s="130">
        <v>4701322</v>
      </c>
      <c r="N6" s="56">
        <v>5</v>
      </c>
      <c r="O6" s="56">
        <v>-250000</v>
      </c>
      <c r="P6" s="56">
        <v>1600000</v>
      </c>
      <c r="Q6" s="56">
        <v>500000</v>
      </c>
    </row>
    <row r="7" spans="1:17" ht="21" customHeight="1" x14ac:dyDescent="0.15">
      <c r="A7" s="14" t="str">
        <f t="shared" si="2"/>
        <v>47013_4-3</v>
      </c>
      <c r="B7" s="14" t="str">
        <f>IF(COUNTIF(enemy_habitats!$H:$H,A7),"OK","NG")</f>
        <v>OK</v>
      </c>
      <c r="C7" s="7">
        <v>47013</v>
      </c>
      <c r="D7" s="10" t="str">
        <f ca="1">VLOOKUP($C7,OFFSET([2]quests!$A$1,0,0,COUNTA([2]quests!$A:$A),MATCH(D$1,[2]quests!$1:$1,0)-MATCH($C$1,[2]quests!$1:$1,0)+1),MATCH(D$1,[2]quests!$1:$1,0)-MATCH($C$1,[2]quests!$1:$1,0)+1,FALSE)</f>
        <v>スカルズ襲来！</v>
      </c>
      <c r="E7" s="16" t="str">
        <f ca="1">VLOOKUP($C7,OFFSET([2]quests!$A$1,0,0,COUNTA([2]quests!$A:$A),MATCH(E$1,[2]quests!$1:$1,0)-MATCH($C$1,[2]quests!$1:$1,0)+1),MATCH(E$1,[2]quests!$1:$1,0)-MATCH($C$1,[2]quests!$1:$1,0)+1,FALSE)</f>
        <v>1000億パネル破壊記念イベント</v>
      </c>
      <c r="F7" s="18">
        <v>4</v>
      </c>
      <c r="G7" s="20" t="str">
        <f>C7&amp;"_"&amp;F7</f>
        <v>47013_4</v>
      </c>
      <c r="H7" s="13" t="str">
        <f ca="1">VLOOKUP($G7,OFFSET([2]stages!$A$1,0,0,COUNTA([2]stages!$A:$A),MATCH(H$1,[2]stages!$2:$2,0)-MATCH($G$1,[2]stages!$2:$2,0)+1),MATCH(H$1,[2]stages!$2:$2,0)-MATCH($G$1,[2]stages!$2:$2,0)+1,FALSE)</f>
        <v>【スコアアタック】スカルズ襲来！</v>
      </c>
      <c r="I7" s="18">
        <v>3</v>
      </c>
      <c r="J7" s="109">
        <v>60</v>
      </c>
      <c r="K7" s="109">
        <v>60</v>
      </c>
      <c r="L7" s="130">
        <v>4701323</v>
      </c>
      <c r="M7" s="130">
        <v>4701323</v>
      </c>
      <c r="N7" s="56">
        <v>8</v>
      </c>
      <c r="O7" s="56">
        <v>-350000</v>
      </c>
      <c r="P7" s="56">
        <v>4000000</v>
      </c>
      <c r="Q7" s="56">
        <v>750000</v>
      </c>
    </row>
    <row r="10" spans="1:17" ht="21" customHeight="1" x14ac:dyDescent="0.15">
      <c r="D10" s="3" t="s">
        <v>650</v>
      </c>
    </row>
  </sheetData>
  <sheetProtection selectLockedCells="1" selectUnlockedCells="1"/>
  <phoneticPr fontId="10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3"/>
  <sheetViews>
    <sheetView workbookViewId="0">
      <selection activeCell="G3" sqref="G3"/>
    </sheetView>
  </sheetViews>
  <sheetFormatPr baseColWidth="12" defaultRowHeight="15" outlineLevelCol="1" x14ac:dyDescent="0.15"/>
  <cols>
    <col min="1" max="1" width="9" style="3" customWidth="1"/>
    <col min="2" max="2" width="16" style="3" customWidth="1" outlineLevel="1"/>
    <col min="3" max="3" width="13" style="3" customWidth="1" outlineLevel="1"/>
    <col min="4" max="4" width="8" style="3" customWidth="1"/>
    <col min="5" max="5" width="11.6640625" style="17" customWidth="1" outlineLevel="1"/>
    <col min="6" max="6" width="25.6640625" style="3" customWidth="1" outlineLevel="1"/>
    <col min="7" max="7" width="12.83203125" style="3" customWidth="1"/>
  </cols>
  <sheetData>
    <row r="1" spans="1:7" ht="24" customHeight="1" x14ac:dyDescent="0.15">
      <c r="A1" s="1" t="s">
        <v>0</v>
      </c>
      <c r="B1" s="2" t="s">
        <v>15</v>
      </c>
      <c r="C1" s="13" t="s">
        <v>20</v>
      </c>
      <c r="D1" s="1" t="s">
        <v>1</v>
      </c>
      <c r="E1" s="20" t="s">
        <v>17</v>
      </c>
      <c r="F1" s="13" t="s">
        <v>15</v>
      </c>
      <c r="G1" s="1" t="s">
        <v>91</v>
      </c>
    </row>
    <row r="2" spans="1:7" ht="24" customHeight="1" x14ac:dyDescent="0.15">
      <c r="A2" s="277">
        <v>47013</v>
      </c>
      <c r="B2" s="278" t="str">
        <f ca="1">VLOOKUP($A2,OFFSET([2]quests!$A$1,0,0,COUNTA([2]quests!$A:$A),MATCH(B$1,[2]quests!$1:$1,0)-MATCH($A$1,[2]quests!$1:$1,0)+1),MATCH(B$1,[2]quests!$1:$1,0)-MATCH($A$1,[2]quests!$1:$1,0)+1,FALSE)</f>
        <v>スカルズ襲来！</v>
      </c>
      <c r="C2" s="279">
        <f ca="1">VLOOKUP($A2,OFFSET([2]quests!$A$1,0,0,COUNTA([2]quests!$A:$A),MATCH(C$1,[2]quests!$1:$1,0)-MATCH($C$1,[2]quests!$1:$1,0)+1),MATCH(C$1,[2]quests!$1:$1,0)-MATCH($C$1,[2]quests!$1:$1,0)+1,FALSE)</f>
        <v>47013</v>
      </c>
      <c r="D2" s="108">
        <v>3</v>
      </c>
      <c r="E2" s="280" t="str">
        <f>A2&amp;"_"&amp;D2</f>
        <v>47013_3</v>
      </c>
      <c r="F2" s="281" t="str">
        <f ca="1">VLOOKUP($E2,OFFSET([2]stages!$A$1,0,0,COUNTA([2]stages!$A:$A),MATCH(F$1,[2]stages!$2:$2,0)-MATCH($E$1,[2]stages!$2:$2,0)+1),MATCH(F$1,[2]stages!$2:$2,0)-MATCH($E$1,[2]stages!$2:$2,0)+1,FALSE)</f>
        <v>【スコア超絶】スカルズ襲来！</v>
      </c>
      <c r="G2" s="286">
        <v>1000000</v>
      </c>
    </row>
    <row r="3" spans="1:7" ht="24" customHeight="1" x14ac:dyDescent="0.15">
      <c r="A3" s="7">
        <v>47013</v>
      </c>
      <c r="B3" s="10" t="str">
        <f ca="1">VLOOKUP($A3,OFFSET([2]quests!$A$1,0,0,COUNTA([2]quests!$A:$A),MATCH(B$1,[2]quests!$1:$1,0)-MATCH($A$1,[2]quests!$1:$1,0)+1),MATCH(B$1,[2]quests!$1:$1,0)-MATCH($A$1,[2]quests!$1:$1,0)+1,FALSE)</f>
        <v>スカルズ襲来！</v>
      </c>
      <c r="C3" s="16">
        <f ca="1">VLOOKUP($A3,OFFSET([2]quests!$A$1,0,0,COUNTA([2]quests!$A:$A),MATCH(C$1,[2]quests!$1:$1,0)-MATCH($C$1,[2]quests!$1:$1,0)+1),MATCH(C$1,[2]quests!$1:$1,0)-MATCH($C$1,[2]quests!$1:$1,0)+1,FALSE)</f>
        <v>47013</v>
      </c>
      <c r="D3" s="18">
        <v>4</v>
      </c>
      <c r="E3" s="20" t="str">
        <f>A3&amp;"_"&amp;D3</f>
        <v>47013_4</v>
      </c>
      <c r="F3" s="13" t="str">
        <f ca="1">VLOOKUP($E3,OFFSET([2]stages!$A$1,0,0,COUNTA([2]stages!$A:$A),MATCH(F$1,[2]stages!$2:$2,0)-MATCH($E$1,[2]stages!$2:$2,0)+1),MATCH(F$1,[2]stages!$2:$2,0)-MATCH($E$1,[2]stages!$2:$2,0)+1,FALSE)</f>
        <v>【スコアアタック】スカルズ襲来！</v>
      </c>
      <c r="G3" s="92">
        <v>1500000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G44"/>
  <sheetViews>
    <sheetView topLeftCell="A13" zoomScale="124" zoomScaleNormal="124" zoomScalePageLayoutView="124" workbookViewId="0">
      <selection activeCell="I12" sqref="I12"/>
    </sheetView>
  </sheetViews>
  <sheetFormatPr baseColWidth="12" defaultRowHeight="15" x14ac:dyDescent="0.15"/>
  <cols>
    <col min="3" max="3" width="13.83203125" bestFit="1" customWidth="1"/>
  </cols>
  <sheetData>
    <row r="1" spans="1:7" x14ac:dyDescent="0.15">
      <c r="A1" s="52" t="s">
        <v>202</v>
      </c>
      <c r="B1" s="52" t="s">
        <v>203</v>
      </c>
      <c r="C1" s="52" t="s">
        <v>204</v>
      </c>
      <c r="D1" s="52" t="s">
        <v>205</v>
      </c>
      <c r="E1" s="52" t="s">
        <v>206</v>
      </c>
    </row>
    <row r="2" spans="1:7" x14ac:dyDescent="0.15">
      <c r="A2" s="110">
        <v>4701311</v>
      </c>
      <c r="B2" s="287">
        <v>0</v>
      </c>
      <c r="C2" s="287">
        <v>0</v>
      </c>
      <c r="D2" s="288">
        <f>(C3-C2)/(B3-B2)</f>
        <v>2</v>
      </c>
      <c r="E2" s="289">
        <f t="shared" ref="E2:E3" si="0">C2-D2*B2</f>
        <v>0</v>
      </c>
      <c r="G2">
        <f t="shared" ref="G2:G19" si="1">B2*D2+E2</f>
        <v>0</v>
      </c>
    </row>
    <row r="3" spans="1:7" x14ac:dyDescent="0.15">
      <c r="A3" s="110">
        <v>4701311</v>
      </c>
      <c r="B3" s="287">
        <v>300000</v>
      </c>
      <c r="C3" s="287">
        <f>B3*SQRT(D40)*2</f>
        <v>600000</v>
      </c>
      <c r="D3" s="288">
        <f>(C4-C3)/(B4-B3)</f>
        <v>1.999999999999998</v>
      </c>
      <c r="E3" s="289">
        <f t="shared" si="0"/>
        <v>0</v>
      </c>
      <c r="F3" s="98">
        <v>1</v>
      </c>
      <c r="G3">
        <f t="shared" si="1"/>
        <v>599999.99999999942</v>
      </c>
    </row>
    <row r="4" spans="1:7" x14ac:dyDescent="0.15">
      <c r="A4" s="110">
        <v>4701311</v>
      </c>
      <c r="B4" s="287">
        <f>B3*1.2</f>
        <v>360000</v>
      </c>
      <c r="C4" s="287">
        <f>C3*SQRT(D41)^2</f>
        <v>719999.99999999988</v>
      </c>
      <c r="D4" s="288">
        <f>(C5-C4)/(B5-B4)</f>
        <v>1.9333333333333347</v>
      </c>
      <c r="E4" s="289">
        <f>C4-D4*B4</f>
        <v>23999.999999999418</v>
      </c>
      <c r="F4" s="98">
        <v>1.2</v>
      </c>
      <c r="G4">
        <f t="shared" si="1"/>
        <v>719999.99999999988</v>
      </c>
    </row>
    <row r="5" spans="1:7" x14ac:dyDescent="0.15">
      <c r="A5" s="110">
        <v>4701311</v>
      </c>
      <c r="B5" s="287">
        <f>B3*1.5</f>
        <v>450000</v>
      </c>
      <c r="C5" s="287">
        <f>C3*SQRT(D42)^2</f>
        <v>894000</v>
      </c>
      <c r="D5" s="288">
        <f>(C6-C5)/(B6-B5)</f>
        <v>2.0400000000000014</v>
      </c>
      <c r="E5" s="290">
        <f>C5-D5*B5</f>
        <v>-24000.000000000582</v>
      </c>
      <c r="F5" s="98">
        <v>1.5</v>
      </c>
      <c r="G5">
        <f t="shared" si="1"/>
        <v>894000</v>
      </c>
    </row>
    <row r="6" spans="1:7" x14ac:dyDescent="0.15">
      <c r="A6" s="110">
        <v>4701311</v>
      </c>
      <c r="B6" s="287">
        <f>B3*2</f>
        <v>600000</v>
      </c>
      <c r="C6" s="287">
        <f>C3*SQRT(D43)^2</f>
        <v>1200000.0000000002</v>
      </c>
      <c r="D6" s="288">
        <f>(C7-C6)/(B7-B6)</f>
        <v>2</v>
      </c>
      <c r="E6" s="290">
        <f>C6-D6*B6</f>
        <v>0</v>
      </c>
      <c r="F6" s="98">
        <v>2</v>
      </c>
      <c r="G6">
        <f t="shared" si="1"/>
        <v>1200000</v>
      </c>
    </row>
    <row r="7" spans="1:7" x14ac:dyDescent="0.15">
      <c r="A7" s="110">
        <v>4701311</v>
      </c>
      <c r="B7" s="287">
        <f>B3*2.5</f>
        <v>750000</v>
      </c>
      <c r="C7" s="287">
        <f>C3*SQRT(D44)^2</f>
        <v>1500000.0000000002</v>
      </c>
      <c r="D7" s="291">
        <v>0.01</v>
      </c>
      <c r="E7" s="289">
        <f>C7-D7*B7</f>
        <v>1492500.0000000002</v>
      </c>
      <c r="F7" s="98">
        <v>2.5</v>
      </c>
      <c r="G7">
        <f t="shared" si="1"/>
        <v>1500000.0000000002</v>
      </c>
    </row>
    <row r="8" spans="1:7" x14ac:dyDescent="0.15">
      <c r="A8" s="110">
        <v>4701312</v>
      </c>
      <c r="B8" s="287">
        <v>0</v>
      </c>
      <c r="C8" s="287">
        <v>0</v>
      </c>
      <c r="D8" s="288">
        <f t="shared" ref="D8:D9" si="2">(C9-C8)/(B9-B8)</f>
        <v>1.2</v>
      </c>
      <c r="E8" s="289">
        <f t="shared" ref="E8:E9" si="3">C8-D8*B8</f>
        <v>0</v>
      </c>
      <c r="G8">
        <f t="shared" si="1"/>
        <v>0</v>
      </c>
    </row>
    <row r="9" spans="1:7" x14ac:dyDescent="0.15">
      <c r="A9" s="110">
        <v>4701312</v>
      </c>
      <c r="B9" s="287">
        <v>700000</v>
      </c>
      <c r="C9" s="287">
        <f>B9*SQRT(D40)*1.2</f>
        <v>840000</v>
      </c>
      <c r="D9" s="288">
        <f t="shared" si="2"/>
        <v>1.1999999999999984</v>
      </c>
      <c r="E9" s="289">
        <f t="shared" si="3"/>
        <v>1.1641532182693481E-9</v>
      </c>
      <c r="F9" s="98">
        <v>1</v>
      </c>
      <c r="G9">
        <f t="shared" si="1"/>
        <v>840000</v>
      </c>
    </row>
    <row r="10" spans="1:7" x14ac:dyDescent="0.15">
      <c r="A10" s="110">
        <v>4701312</v>
      </c>
      <c r="B10" s="287">
        <f>B9*1.2</f>
        <v>840000</v>
      </c>
      <c r="C10" s="287">
        <f>C9*SQRT(D41)^2</f>
        <v>1007999.9999999998</v>
      </c>
      <c r="D10" s="288">
        <f>(C11-C10)/(B11-B10)</f>
        <v>1.160000000000001</v>
      </c>
      <c r="E10" s="289">
        <f>C10-D10*B10</f>
        <v>33599.999999998952</v>
      </c>
      <c r="F10" s="98">
        <v>1.2</v>
      </c>
      <c r="G10">
        <f t="shared" si="1"/>
        <v>1007999.9999999998</v>
      </c>
    </row>
    <row r="11" spans="1:7" x14ac:dyDescent="0.15">
      <c r="A11" s="110">
        <v>4701312</v>
      </c>
      <c r="B11" s="287">
        <f>B9*1.5</f>
        <v>1050000</v>
      </c>
      <c r="C11" s="287">
        <f>C9*SQRT(D42)^2</f>
        <v>1251600</v>
      </c>
      <c r="D11" s="288">
        <f>(C12-C11)/(B12-B11)</f>
        <v>1.2240000000000013</v>
      </c>
      <c r="E11" s="290">
        <f>C11-D11*B11</f>
        <v>-33600.000000001397</v>
      </c>
      <c r="F11" s="98">
        <v>1.5</v>
      </c>
      <c r="G11">
        <f t="shared" si="1"/>
        <v>1251600</v>
      </c>
    </row>
    <row r="12" spans="1:7" x14ac:dyDescent="0.15">
      <c r="A12" s="110">
        <v>4701312</v>
      </c>
      <c r="B12" s="287">
        <f>B9*2</f>
        <v>1400000</v>
      </c>
      <c r="C12" s="287">
        <f>C9*SQRT(D43)^2</f>
        <v>1680000.0000000005</v>
      </c>
      <c r="D12" s="288">
        <f>(C13-C12)/(B13-B12)</f>
        <v>1.2</v>
      </c>
      <c r="E12" s="289">
        <f>C12-D12*B12</f>
        <v>0</v>
      </c>
      <c r="F12" s="98">
        <v>2</v>
      </c>
      <c r="G12">
        <f t="shared" si="1"/>
        <v>1680000</v>
      </c>
    </row>
    <row r="13" spans="1:7" x14ac:dyDescent="0.15">
      <c r="A13" s="110">
        <v>4701312</v>
      </c>
      <c r="B13" s="287">
        <f>B9*2.5</f>
        <v>1750000</v>
      </c>
      <c r="C13" s="287">
        <f>C9*SQRT(D44)^2</f>
        <v>2100000.0000000005</v>
      </c>
      <c r="D13" s="291">
        <v>0.01</v>
      </c>
      <c r="E13" s="290">
        <f>C13-D13*B13</f>
        <v>2082500.0000000005</v>
      </c>
      <c r="F13" s="98">
        <v>2.5</v>
      </c>
      <c r="G13">
        <f t="shared" si="1"/>
        <v>2100000.0000000005</v>
      </c>
    </row>
    <row r="14" spans="1:7" x14ac:dyDescent="0.15">
      <c r="A14" s="110">
        <v>4701313</v>
      </c>
      <c r="B14" s="287">
        <v>0</v>
      </c>
      <c r="C14" s="287">
        <v>0</v>
      </c>
      <c r="D14" s="288">
        <f t="shared" ref="D14" si="4">(C15-C14)/(B15-B14)</f>
        <v>1.2</v>
      </c>
      <c r="E14" s="289">
        <f t="shared" ref="E14:E17" si="5">C14-D14*B14</f>
        <v>0</v>
      </c>
      <c r="G14">
        <f t="shared" si="1"/>
        <v>0</v>
      </c>
    </row>
    <row r="15" spans="1:7" x14ac:dyDescent="0.15">
      <c r="A15" s="110">
        <v>4701313</v>
      </c>
      <c r="B15" s="287">
        <v>1200000</v>
      </c>
      <c r="C15" s="287">
        <f>B15*SQRT(D40)*1.2</f>
        <v>1440000</v>
      </c>
      <c r="D15" s="288">
        <f>(C16-C15)/(B16-B15)</f>
        <v>1.199999999999998</v>
      </c>
      <c r="E15" s="289">
        <f t="shared" si="5"/>
        <v>2.5611370801925659E-9</v>
      </c>
      <c r="F15" s="98">
        <v>1</v>
      </c>
      <c r="G15">
        <f t="shared" si="1"/>
        <v>1440000</v>
      </c>
    </row>
    <row r="16" spans="1:7" x14ac:dyDescent="0.15">
      <c r="A16" s="110">
        <v>4701313</v>
      </c>
      <c r="B16" s="287">
        <f>B15*1.2</f>
        <v>1440000</v>
      </c>
      <c r="C16" s="287">
        <f>C15*SQRT(D41)^2</f>
        <v>1727999.9999999995</v>
      </c>
      <c r="D16" s="288">
        <f>(C17-C16)/(B17-B16)</f>
        <v>1.1600000000000013</v>
      </c>
      <c r="E16" s="289">
        <f t="shared" si="5"/>
        <v>57599.999999997672</v>
      </c>
      <c r="F16" s="98">
        <v>1.2</v>
      </c>
      <c r="G16">
        <f t="shared" si="1"/>
        <v>1727999.9999999995</v>
      </c>
    </row>
    <row r="17" spans="1:7" x14ac:dyDescent="0.15">
      <c r="A17" s="110">
        <v>4701313</v>
      </c>
      <c r="B17" s="287">
        <f>B15*1.5</f>
        <v>1800000</v>
      </c>
      <c r="C17" s="287">
        <f>C15*SQRT(D42)^2</f>
        <v>2145600</v>
      </c>
      <c r="D17" s="288">
        <f>(C18-C17)/(B18-B17)</f>
        <v>1.2240000000000009</v>
      </c>
      <c r="E17" s="289">
        <f t="shared" si="5"/>
        <v>-57600.000000001397</v>
      </c>
      <c r="F17" s="98">
        <v>1.5</v>
      </c>
      <c r="G17">
        <f t="shared" si="1"/>
        <v>2145600</v>
      </c>
    </row>
    <row r="18" spans="1:7" x14ac:dyDescent="0.15">
      <c r="A18" s="110">
        <v>4701313</v>
      </c>
      <c r="B18" s="287">
        <f>B15*2</f>
        <v>2400000</v>
      </c>
      <c r="C18" s="287">
        <f>C15*SQRT(D43)^2</f>
        <v>2880000.0000000005</v>
      </c>
      <c r="D18" s="288">
        <f>(C19-C18)/(B19-B18)</f>
        <v>0.6</v>
      </c>
      <c r="E18" s="289">
        <f>C18-D18*B18</f>
        <v>1440000.0000000005</v>
      </c>
      <c r="F18" s="98">
        <v>2</v>
      </c>
      <c r="G18">
        <f t="shared" si="1"/>
        <v>2880000.0000000005</v>
      </c>
    </row>
    <row r="19" spans="1:7" ht="16" thickBot="1" x14ac:dyDescent="0.2">
      <c r="A19" s="143">
        <v>4701313</v>
      </c>
      <c r="B19" s="292">
        <f>B15*3</f>
        <v>3600000</v>
      </c>
      <c r="C19" s="292">
        <f>C15*SQRT(D44)^2</f>
        <v>3600000.0000000005</v>
      </c>
      <c r="D19" s="293">
        <v>0.01</v>
      </c>
      <c r="E19" s="294">
        <f>C19-D19*B19</f>
        <v>3564000.0000000005</v>
      </c>
      <c r="F19" s="271">
        <v>3</v>
      </c>
      <c r="G19" s="272">
        <f t="shared" si="1"/>
        <v>3600000.0000000005</v>
      </c>
    </row>
    <row r="20" spans="1:7" ht="16" thickTop="1" x14ac:dyDescent="0.15">
      <c r="A20" s="276">
        <v>4701321</v>
      </c>
      <c r="B20" s="106">
        <v>0</v>
      </c>
      <c r="C20" s="100">
        <v>0</v>
      </c>
      <c r="D20" s="268">
        <f>(C21-C20)/(B21-B20)</f>
        <v>2</v>
      </c>
      <c r="E20" s="269">
        <f t="shared" ref="E20:E21" si="6">C20-D20*B20</f>
        <v>0</v>
      </c>
      <c r="G20">
        <f t="shared" ref="G20:G37" si="7">B20*D20+E20</f>
        <v>0</v>
      </c>
    </row>
    <row r="21" spans="1:7" x14ac:dyDescent="0.15">
      <c r="A21" s="273">
        <v>4701321</v>
      </c>
      <c r="B21" s="106">
        <v>300000</v>
      </c>
      <c r="C21" s="100">
        <f>B21*SQRT(D40)*2</f>
        <v>600000</v>
      </c>
      <c r="D21" s="101">
        <f>(C22-C21)/(B22-B21)</f>
        <v>1.999999999999998</v>
      </c>
      <c r="E21" s="97">
        <f t="shared" si="6"/>
        <v>0</v>
      </c>
      <c r="F21" s="98">
        <v>1</v>
      </c>
      <c r="G21">
        <f t="shared" si="7"/>
        <v>599999.99999999942</v>
      </c>
    </row>
    <row r="22" spans="1:7" x14ac:dyDescent="0.15">
      <c r="A22" s="273">
        <v>4701321</v>
      </c>
      <c r="B22" s="106">
        <f>B21*1.2</f>
        <v>360000</v>
      </c>
      <c r="C22" s="100">
        <f>C21*SQRT(D41)^2</f>
        <v>719999.99999999988</v>
      </c>
      <c r="D22" s="101">
        <f>(C23-C22)/(B23-B22)</f>
        <v>1.9333333333333347</v>
      </c>
      <c r="E22" s="97">
        <f>C22-D22*B22</f>
        <v>23999.999999999418</v>
      </c>
      <c r="F22" s="98">
        <v>1.2</v>
      </c>
      <c r="G22">
        <f t="shared" si="7"/>
        <v>719999.99999999988</v>
      </c>
    </row>
    <row r="23" spans="1:7" x14ac:dyDescent="0.15">
      <c r="A23" s="273">
        <v>4701321</v>
      </c>
      <c r="B23" s="106">
        <f>B21*1.5</f>
        <v>450000</v>
      </c>
      <c r="C23" s="100">
        <f>C21*SQRT(D42)^2</f>
        <v>894000</v>
      </c>
      <c r="D23" s="101">
        <f>(C24-C23)/(B24-B23)</f>
        <v>2.0400000000000014</v>
      </c>
      <c r="E23" s="102">
        <f>C23-D23*B23</f>
        <v>-24000.000000000582</v>
      </c>
      <c r="F23" s="98">
        <v>1.5</v>
      </c>
      <c r="G23">
        <f t="shared" si="7"/>
        <v>894000</v>
      </c>
    </row>
    <row r="24" spans="1:7" x14ac:dyDescent="0.15">
      <c r="A24" s="273">
        <v>4701321</v>
      </c>
      <c r="B24" s="106">
        <f>B21*2</f>
        <v>600000</v>
      </c>
      <c r="C24" s="100">
        <f>C21*SQRT(D43)^2</f>
        <v>1200000.0000000002</v>
      </c>
      <c r="D24" s="101">
        <f>(C25-C24)/(B25-B24)</f>
        <v>2</v>
      </c>
      <c r="E24" s="102">
        <f>C24-D24*B24</f>
        <v>0</v>
      </c>
      <c r="F24" s="98">
        <v>2</v>
      </c>
      <c r="G24">
        <f t="shared" si="7"/>
        <v>1200000</v>
      </c>
    </row>
    <row r="25" spans="1:7" x14ac:dyDescent="0.15">
      <c r="A25" s="273">
        <v>4701321</v>
      </c>
      <c r="B25" s="106">
        <f>B21*2.5</f>
        <v>750000</v>
      </c>
      <c r="C25" s="100">
        <f>C21*SQRT(D44)^2</f>
        <v>1500000.0000000002</v>
      </c>
      <c r="D25" s="99">
        <v>0.01</v>
      </c>
      <c r="E25" s="97">
        <f>C25-D25*B25</f>
        <v>1492500.0000000002</v>
      </c>
      <c r="F25" s="98">
        <v>2.5</v>
      </c>
      <c r="G25">
        <f t="shared" si="7"/>
        <v>1500000.0000000002</v>
      </c>
    </row>
    <row r="26" spans="1:7" x14ac:dyDescent="0.15">
      <c r="A26" s="93">
        <v>4701322</v>
      </c>
      <c r="B26" s="105">
        <v>0</v>
      </c>
      <c r="C26" s="100">
        <v>0</v>
      </c>
      <c r="D26" s="101">
        <f t="shared" ref="D26:D27" si="8">(C27-C26)/(B27-B26)</f>
        <v>1.2</v>
      </c>
      <c r="E26" s="97">
        <f t="shared" ref="E26:E27" si="9">C26-D26*B26</f>
        <v>0</v>
      </c>
      <c r="G26">
        <f t="shared" si="7"/>
        <v>0</v>
      </c>
    </row>
    <row r="27" spans="1:7" x14ac:dyDescent="0.15">
      <c r="A27" s="93">
        <v>4701322</v>
      </c>
      <c r="B27" s="105">
        <v>700000</v>
      </c>
      <c r="C27" s="100">
        <f>B27*SQRT(D40)*1.2</f>
        <v>840000</v>
      </c>
      <c r="D27" s="101">
        <f t="shared" si="8"/>
        <v>1.1999999999999984</v>
      </c>
      <c r="E27" s="97">
        <f t="shared" si="9"/>
        <v>1.1641532182693481E-9</v>
      </c>
      <c r="F27" s="98">
        <v>1</v>
      </c>
      <c r="G27">
        <f t="shared" si="7"/>
        <v>840000</v>
      </c>
    </row>
    <row r="28" spans="1:7" x14ac:dyDescent="0.15">
      <c r="A28" s="93">
        <v>4701322</v>
      </c>
      <c r="B28" s="105">
        <f>B27*1.2</f>
        <v>840000</v>
      </c>
      <c r="C28" s="100">
        <f>C27*SQRT(D41)^2</f>
        <v>1007999.9999999998</v>
      </c>
      <c r="D28" s="101">
        <f>(C29-C28)/(B29-B28)</f>
        <v>1.160000000000001</v>
      </c>
      <c r="E28" s="97">
        <f>C28-D28*B28</f>
        <v>33599.999999998952</v>
      </c>
      <c r="F28" s="98">
        <v>1.2</v>
      </c>
      <c r="G28">
        <f t="shared" si="7"/>
        <v>1007999.9999999998</v>
      </c>
    </row>
    <row r="29" spans="1:7" x14ac:dyDescent="0.15">
      <c r="A29" s="93">
        <v>4701322</v>
      </c>
      <c r="B29" s="105">
        <f>B27*1.5</f>
        <v>1050000</v>
      </c>
      <c r="C29" s="100">
        <f>C27*SQRT(D42)^2</f>
        <v>1251600</v>
      </c>
      <c r="D29" s="101">
        <f>(C30-C29)/(B30-B29)</f>
        <v>0.35257142857142859</v>
      </c>
      <c r="E29" s="102">
        <f>C29-D29*B29</f>
        <v>881400</v>
      </c>
      <c r="F29" s="98">
        <v>1.5</v>
      </c>
      <c r="G29">
        <f t="shared" si="7"/>
        <v>1251600</v>
      </c>
    </row>
    <row r="30" spans="1:7" x14ac:dyDescent="0.15">
      <c r="A30" s="93">
        <v>4701322</v>
      </c>
      <c r="B30" s="105">
        <f>B27*2</f>
        <v>1400000</v>
      </c>
      <c r="C30" s="100">
        <v>1375000</v>
      </c>
      <c r="D30" s="101">
        <f>(C31-C30)/(B31-B30)</f>
        <v>0.35714285714285715</v>
      </c>
      <c r="E30" s="97">
        <f>C30-D30*B30</f>
        <v>875000</v>
      </c>
      <c r="F30" s="98">
        <v>2</v>
      </c>
      <c r="G30">
        <f t="shared" si="7"/>
        <v>1375000</v>
      </c>
    </row>
    <row r="31" spans="1:7" x14ac:dyDescent="0.15">
      <c r="A31" s="93">
        <v>4701322</v>
      </c>
      <c r="B31" s="105">
        <f>B27*2.5</f>
        <v>1750000</v>
      </c>
      <c r="C31" s="100">
        <v>1500000</v>
      </c>
      <c r="D31" s="99">
        <v>0.01</v>
      </c>
      <c r="E31" s="102">
        <f>C31-D31*B31</f>
        <v>1482500</v>
      </c>
      <c r="F31" s="98">
        <v>2.5</v>
      </c>
      <c r="G31">
        <f t="shared" si="7"/>
        <v>1500000</v>
      </c>
    </row>
    <row r="32" spans="1:7" x14ac:dyDescent="0.15">
      <c r="A32" s="81">
        <v>4701323</v>
      </c>
      <c r="B32" s="274">
        <v>0</v>
      </c>
      <c r="C32" s="100">
        <v>0</v>
      </c>
      <c r="D32" s="101">
        <f t="shared" ref="D32" si="10">(C33-C32)/(B33-B32)</f>
        <v>1.2</v>
      </c>
      <c r="E32" s="97">
        <f t="shared" ref="E32:E35" si="11">C32-D32*B32</f>
        <v>0</v>
      </c>
      <c r="G32">
        <f t="shared" si="7"/>
        <v>0</v>
      </c>
    </row>
    <row r="33" spans="1:7" x14ac:dyDescent="0.15">
      <c r="A33" s="81">
        <v>4701323</v>
      </c>
      <c r="B33" s="274">
        <v>1200000</v>
      </c>
      <c r="C33" s="100">
        <f>B33*SQRT(D40)*1.2</f>
        <v>1440000</v>
      </c>
      <c r="D33" s="101">
        <f>(C34-C33)/(B34-B33)</f>
        <v>1.199999999999998</v>
      </c>
      <c r="E33" s="97">
        <f t="shared" si="11"/>
        <v>2.5611370801925659E-9</v>
      </c>
      <c r="F33" s="98">
        <v>1</v>
      </c>
      <c r="G33">
        <f t="shared" si="7"/>
        <v>1440000</v>
      </c>
    </row>
    <row r="34" spans="1:7" x14ac:dyDescent="0.15">
      <c r="A34" s="81">
        <v>4701323</v>
      </c>
      <c r="B34" s="274">
        <f>B33*1.2</f>
        <v>1440000</v>
      </c>
      <c r="C34" s="100">
        <f>C33*SQRT(D41)^2</f>
        <v>1727999.9999999995</v>
      </c>
      <c r="D34" s="101">
        <f>(C35-C34)/(B35-B34)</f>
        <v>1.1600000000000013</v>
      </c>
      <c r="E34" s="97">
        <f t="shared" si="11"/>
        <v>57599.999999997672</v>
      </c>
      <c r="F34" s="98">
        <v>1.2</v>
      </c>
      <c r="G34">
        <f t="shared" si="7"/>
        <v>1727999.9999999995</v>
      </c>
    </row>
    <row r="35" spans="1:7" x14ac:dyDescent="0.15">
      <c r="A35" s="81">
        <v>4701323</v>
      </c>
      <c r="B35" s="274">
        <f>B33*1.5</f>
        <v>1800000</v>
      </c>
      <c r="C35" s="100">
        <f>C33*SQRT(D42)^2</f>
        <v>2145600</v>
      </c>
      <c r="D35" s="101">
        <f>(C36-C35)/(B36-B35)</f>
        <v>1.2240000000000009</v>
      </c>
      <c r="E35" s="97">
        <f t="shared" si="11"/>
        <v>-57600.000000001397</v>
      </c>
      <c r="F35" s="98">
        <v>1.5</v>
      </c>
      <c r="G35">
        <f t="shared" si="7"/>
        <v>2145600</v>
      </c>
    </row>
    <row r="36" spans="1:7" x14ac:dyDescent="0.15">
      <c r="A36" s="81">
        <v>4701323</v>
      </c>
      <c r="B36" s="274">
        <f>B33*2</f>
        <v>2400000</v>
      </c>
      <c r="C36" s="100">
        <f>C33*SQRT(D43)^2</f>
        <v>2880000.0000000005</v>
      </c>
      <c r="D36" s="101">
        <f>(C37-C36)/(B37-B36)</f>
        <v>0.6</v>
      </c>
      <c r="E36" s="97">
        <f>C36-D36*B36</f>
        <v>1440000.0000000005</v>
      </c>
      <c r="F36" s="98">
        <v>2</v>
      </c>
      <c r="G36">
        <f t="shared" si="7"/>
        <v>2880000.0000000005</v>
      </c>
    </row>
    <row r="37" spans="1:7" ht="16" thickBot="1" x14ac:dyDescent="0.2">
      <c r="A37" s="81">
        <v>4701323</v>
      </c>
      <c r="B37" s="275">
        <f>B33*3</f>
        <v>3600000</v>
      </c>
      <c r="C37" s="270">
        <f>C33*SQRT(D44)^2</f>
        <v>3600000.0000000005</v>
      </c>
      <c r="D37" s="99">
        <v>0.01</v>
      </c>
      <c r="E37" s="102">
        <f>C37-D37*B37</f>
        <v>3564000.0000000005</v>
      </c>
      <c r="F37" s="98">
        <v>3</v>
      </c>
      <c r="G37">
        <f t="shared" si="7"/>
        <v>3600000.0000000005</v>
      </c>
    </row>
    <row r="38" spans="1:7" ht="16" thickTop="1" x14ac:dyDescent="0.15"/>
    <row r="39" spans="1:7" x14ac:dyDescent="0.15">
      <c r="A39" s="80"/>
      <c r="D39" t="s">
        <v>201</v>
      </c>
    </row>
    <row r="40" spans="1:7" x14ac:dyDescent="0.15">
      <c r="B40" s="107">
        <f>B3+B9+B15</f>
        <v>2200000</v>
      </c>
      <c r="C40" s="103">
        <f>SUM(C7,C13,C19)</f>
        <v>7200000.0000000019</v>
      </c>
      <c r="D40">
        <v>1</v>
      </c>
    </row>
    <row r="41" spans="1:7" x14ac:dyDescent="0.15">
      <c r="B41" s="80"/>
      <c r="C41" s="104"/>
      <c r="D41">
        <v>1.2</v>
      </c>
    </row>
    <row r="42" spans="1:7" x14ac:dyDescent="0.15">
      <c r="B42" s="80"/>
      <c r="C42" s="104"/>
      <c r="D42">
        <v>1.49</v>
      </c>
    </row>
    <row r="43" spans="1:7" x14ac:dyDescent="0.15">
      <c r="D43">
        <v>2</v>
      </c>
    </row>
    <row r="44" spans="1:7" x14ac:dyDescent="0.15">
      <c r="D44">
        <v>2.5</v>
      </c>
    </row>
  </sheetData>
  <phoneticPr fontId="10"/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</sheetPr>
  <dimension ref="A1:G44"/>
  <sheetViews>
    <sheetView topLeftCell="A8" zoomScale="124" zoomScaleNormal="124" zoomScalePageLayoutView="124" workbookViewId="0">
      <selection activeCell="C31" sqref="C31"/>
    </sheetView>
  </sheetViews>
  <sheetFormatPr baseColWidth="12" defaultRowHeight="15" x14ac:dyDescent="0.15"/>
  <cols>
    <col min="3" max="3" width="13.83203125" bestFit="1" customWidth="1"/>
  </cols>
  <sheetData>
    <row r="1" spans="1:7" x14ac:dyDescent="0.15">
      <c r="A1" s="52" t="s">
        <v>92</v>
      </c>
      <c r="B1" s="52" t="s">
        <v>93</v>
      </c>
      <c r="C1" s="52" t="s">
        <v>204</v>
      </c>
      <c r="D1" s="52" t="s">
        <v>94</v>
      </c>
      <c r="E1" s="52" t="s">
        <v>95</v>
      </c>
    </row>
    <row r="2" spans="1:7" x14ac:dyDescent="0.15">
      <c r="A2" s="110">
        <v>4701311</v>
      </c>
      <c r="B2" s="287">
        <v>0</v>
      </c>
      <c r="C2" s="287">
        <v>0</v>
      </c>
      <c r="D2" s="288">
        <f>(C3-C2)/(B3-B2)</f>
        <v>2.8284271247461903</v>
      </c>
      <c r="E2" s="289">
        <f t="shared" ref="E2:E3" si="0">C2-D2*B2</f>
        <v>0</v>
      </c>
      <c r="G2">
        <f t="shared" ref="G2:G37" si="1">B2*D2+E2</f>
        <v>0</v>
      </c>
    </row>
    <row r="3" spans="1:7" x14ac:dyDescent="0.15">
      <c r="A3" s="110">
        <v>4701311</v>
      </c>
      <c r="B3" s="287">
        <v>20000</v>
      </c>
      <c r="C3" s="287">
        <f>B3*SQRT(D40)*2</f>
        <v>56568.542494923808</v>
      </c>
      <c r="D3" s="288">
        <f>(C4-C3)/(B4-B3)</f>
        <v>16.404877323527906</v>
      </c>
      <c r="E3" s="289">
        <f t="shared" si="0"/>
        <v>-271529.00397563429</v>
      </c>
      <c r="F3" s="98">
        <v>1</v>
      </c>
      <c r="G3">
        <f t="shared" si="1"/>
        <v>56568.542494923808</v>
      </c>
    </row>
    <row r="4" spans="1:7" x14ac:dyDescent="0.15">
      <c r="A4" s="110">
        <v>4701311</v>
      </c>
      <c r="B4" s="287">
        <f>B3*1.5</f>
        <v>30000</v>
      </c>
      <c r="C4" s="287">
        <f>C3*SQRT(D41)^2</f>
        <v>220617.31573020286</v>
      </c>
      <c r="D4" s="288">
        <f>(C5-C4)/(B5-B4)</f>
        <v>11.879393923933993</v>
      </c>
      <c r="E4" s="289">
        <f>C4-D4*B4</f>
        <v>-135764.50198781691</v>
      </c>
      <c r="F4" s="98">
        <v>1.2</v>
      </c>
      <c r="G4">
        <f t="shared" si="1"/>
        <v>220617.31573020286</v>
      </c>
    </row>
    <row r="5" spans="1:7" x14ac:dyDescent="0.15">
      <c r="A5" s="110">
        <v>4701311</v>
      </c>
      <c r="B5" s="287">
        <f>B3*2</f>
        <v>40000</v>
      </c>
      <c r="C5" s="287">
        <f>C3*SQRT(D42)^2</f>
        <v>339411.25496954279</v>
      </c>
      <c r="D5" s="288">
        <f>(C6-C5)/(B6-B5)</f>
        <v>11.879393923934014</v>
      </c>
      <c r="E5" s="290">
        <f>C5-D5*B5</f>
        <v>-135764.50198781776</v>
      </c>
      <c r="F5" s="98">
        <v>1.5</v>
      </c>
      <c r="G5">
        <f t="shared" si="1"/>
        <v>339411.25496954279</v>
      </c>
    </row>
    <row r="6" spans="1:7" x14ac:dyDescent="0.15">
      <c r="A6" s="110">
        <v>4701311</v>
      </c>
      <c r="B6" s="287">
        <f>B3*2.5</f>
        <v>50000</v>
      </c>
      <c r="C6" s="287">
        <f>C3*SQRT(D43)^2</f>
        <v>458205.19420888292</v>
      </c>
      <c r="D6" s="288">
        <f>(C7-C6)/(B7-B6)</f>
        <v>5.0911688245431348</v>
      </c>
      <c r="E6" s="290">
        <f>C6-D6*B6</f>
        <v>203646.7529817262</v>
      </c>
      <c r="F6" s="98">
        <v>2</v>
      </c>
      <c r="G6">
        <f t="shared" si="1"/>
        <v>458205.19420888292</v>
      </c>
    </row>
    <row r="7" spans="1:7" x14ac:dyDescent="0.15">
      <c r="A7" s="110">
        <v>4701311</v>
      </c>
      <c r="B7" s="287">
        <f>B3*3</f>
        <v>60000</v>
      </c>
      <c r="C7" s="287">
        <f>C3*SQRT(D44)^2</f>
        <v>509116.88245431427</v>
      </c>
      <c r="D7" s="291">
        <v>0.01</v>
      </c>
      <c r="E7" s="289">
        <f>C7-D7*B7</f>
        <v>508516.88245431427</v>
      </c>
      <c r="F7" s="98">
        <v>2.5</v>
      </c>
      <c r="G7">
        <f t="shared" si="1"/>
        <v>509116.88245431427</v>
      </c>
    </row>
    <row r="8" spans="1:7" x14ac:dyDescent="0.15">
      <c r="A8" s="110">
        <v>4701312</v>
      </c>
      <c r="B8" s="287">
        <v>0</v>
      </c>
      <c r="C8" s="287">
        <v>0</v>
      </c>
      <c r="D8" s="288">
        <f t="shared" ref="D8:D9" si="2">(C9-C8)/(B9-B8)</f>
        <v>1.4142135623730951</v>
      </c>
      <c r="E8" s="289">
        <f t="shared" ref="E8:E9" si="3">C8-D8*B8</f>
        <v>0</v>
      </c>
      <c r="G8">
        <f t="shared" si="1"/>
        <v>0</v>
      </c>
    </row>
    <row r="9" spans="1:7" x14ac:dyDescent="0.15">
      <c r="A9" s="110">
        <v>4701312</v>
      </c>
      <c r="B9" s="287">
        <v>37500</v>
      </c>
      <c r="C9" s="287">
        <f>B9*SQRT(D40)*1</f>
        <v>53033.00858899107</v>
      </c>
      <c r="D9" s="288">
        <f t="shared" si="2"/>
        <v>8.2024386617639529</v>
      </c>
      <c r="E9" s="289">
        <f t="shared" si="3"/>
        <v>-254558.44122715713</v>
      </c>
      <c r="F9" s="98">
        <v>1</v>
      </c>
      <c r="G9">
        <f t="shared" si="1"/>
        <v>53033.00858899107</v>
      </c>
    </row>
    <row r="10" spans="1:7" x14ac:dyDescent="0.15">
      <c r="A10" s="110">
        <v>4701312</v>
      </c>
      <c r="B10" s="287">
        <f>B9*1.5</f>
        <v>56250</v>
      </c>
      <c r="C10" s="287">
        <f>C9*SQRT(D41)^2</f>
        <v>206828.73349706517</v>
      </c>
      <c r="D10" s="288">
        <f>(C11-C10)/(B11-B10)</f>
        <v>5.9396969619669964</v>
      </c>
      <c r="E10" s="289">
        <f>C10-D10*B10</f>
        <v>-127279.22061357836</v>
      </c>
      <c r="F10" s="98">
        <v>1.2</v>
      </c>
      <c r="G10">
        <f t="shared" si="1"/>
        <v>206828.73349706517</v>
      </c>
    </row>
    <row r="11" spans="1:7" x14ac:dyDescent="0.15">
      <c r="A11" s="110">
        <v>4701312</v>
      </c>
      <c r="B11" s="287">
        <f>B9*2</f>
        <v>75000</v>
      </c>
      <c r="C11" s="287">
        <f>C9*SQRT(D42)^2</f>
        <v>318198.05153394636</v>
      </c>
      <c r="D11" s="288">
        <f>(C12-C11)/(B12-B11)</f>
        <v>5.9396969619670079</v>
      </c>
      <c r="E11" s="290">
        <f>C11-D11*B11</f>
        <v>-127279.22061357921</v>
      </c>
      <c r="F11" s="98">
        <v>1.5</v>
      </c>
      <c r="G11">
        <f t="shared" si="1"/>
        <v>318198.05153394636</v>
      </c>
    </row>
    <row r="12" spans="1:7" x14ac:dyDescent="0.15">
      <c r="A12" s="110">
        <v>4701312</v>
      </c>
      <c r="B12" s="287">
        <f>B9*2.5</f>
        <v>93750</v>
      </c>
      <c r="C12" s="287">
        <f>C9*SQRT(D43)^2</f>
        <v>429567.36957082775</v>
      </c>
      <c r="D12" s="288">
        <f>(C13-C12)/(B13-B12)</f>
        <v>2.5455844122715665</v>
      </c>
      <c r="E12" s="289">
        <f>C12-D12*B12</f>
        <v>190918.8309203684</v>
      </c>
      <c r="F12" s="98">
        <v>2</v>
      </c>
      <c r="G12">
        <f t="shared" si="1"/>
        <v>429567.36957082775</v>
      </c>
    </row>
    <row r="13" spans="1:7" x14ac:dyDescent="0.15">
      <c r="A13" s="110">
        <v>4701312</v>
      </c>
      <c r="B13" s="287">
        <f>B9*3</f>
        <v>112500</v>
      </c>
      <c r="C13" s="287">
        <f>C9*SQRT(D44)^2</f>
        <v>477297.07730091963</v>
      </c>
      <c r="D13" s="291">
        <v>0.01</v>
      </c>
      <c r="E13" s="290">
        <f>C13-D13*B13</f>
        <v>476172.07730091963</v>
      </c>
      <c r="F13" s="98">
        <v>2.5</v>
      </c>
      <c r="G13">
        <f t="shared" si="1"/>
        <v>477297.07730091963</v>
      </c>
    </row>
    <row r="14" spans="1:7" x14ac:dyDescent="0.15">
      <c r="A14" s="110">
        <v>4701313</v>
      </c>
      <c r="B14" s="287">
        <v>0</v>
      </c>
      <c r="C14" s="287">
        <v>0</v>
      </c>
      <c r="D14" s="288">
        <f t="shared" ref="D14" si="4">(C15-C14)/(B15-B14)</f>
        <v>1.4142135623730951</v>
      </c>
      <c r="E14" s="289">
        <f t="shared" ref="E14:E17" si="5">C14-D14*B14</f>
        <v>0</v>
      </c>
      <c r="G14">
        <f t="shared" si="1"/>
        <v>0</v>
      </c>
    </row>
    <row r="15" spans="1:7" x14ac:dyDescent="0.15">
      <c r="A15" s="110">
        <v>4701313</v>
      </c>
      <c r="B15" s="287">
        <v>55000</v>
      </c>
      <c r="C15" s="287">
        <f>B15*SQRT(D40)*1</f>
        <v>77781.745930520236</v>
      </c>
      <c r="D15" s="288">
        <f>(C16-C15)/(B16-B15)</f>
        <v>8.2024386617639529</v>
      </c>
      <c r="E15" s="289">
        <f t="shared" si="5"/>
        <v>-373352.38046649715</v>
      </c>
      <c r="F15" s="98">
        <v>1</v>
      </c>
      <c r="G15">
        <f t="shared" si="1"/>
        <v>77781.745930520236</v>
      </c>
    </row>
    <row r="16" spans="1:7" x14ac:dyDescent="0.15">
      <c r="A16" s="110">
        <v>4701313</v>
      </c>
      <c r="B16" s="287">
        <f>B15*1.5</f>
        <v>82500</v>
      </c>
      <c r="C16" s="287">
        <f>C15*SQRT(D41)^2</f>
        <v>303348.80912902893</v>
      </c>
      <c r="D16" s="288">
        <f>(C17-C16)/(B17-B16)</f>
        <v>5.9396969619669973</v>
      </c>
      <c r="E16" s="289">
        <f t="shared" si="5"/>
        <v>-186676.19023324834</v>
      </c>
      <c r="F16" s="98">
        <v>1.2</v>
      </c>
      <c r="G16">
        <f t="shared" si="1"/>
        <v>303348.80912902893</v>
      </c>
    </row>
    <row r="17" spans="1:7" x14ac:dyDescent="0.15">
      <c r="A17" s="110">
        <v>4701313</v>
      </c>
      <c r="B17" s="287">
        <f>B15*2</f>
        <v>110000</v>
      </c>
      <c r="C17" s="287">
        <f>C15*SQRT(D42)^2</f>
        <v>466690.47558312136</v>
      </c>
      <c r="D17" s="288">
        <f>(C18-C17)/(B18-B17)</f>
        <v>2.9698484809835031</v>
      </c>
      <c r="E17" s="289">
        <f t="shared" si="5"/>
        <v>140007.14267493604</v>
      </c>
      <c r="F17" s="98">
        <v>1.5</v>
      </c>
      <c r="G17">
        <f t="shared" si="1"/>
        <v>466690.47558312136</v>
      </c>
    </row>
    <row r="18" spans="1:7" x14ac:dyDescent="0.15">
      <c r="A18" s="110">
        <v>4701313</v>
      </c>
      <c r="B18" s="287">
        <f>B15*3</f>
        <v>165000</v>
      </c>
      <c r="C18" s="287">
        <f>C15*SQRT(D43)^2</f>
        <v>630032.14203721401</v>
      </c>
      <c r="D18" s="288">
        <f>(C19-C18)/(B19-B18)</f>
        <v>1.2727922061357837</v>
      </c>
      <c r="E18" s="289">
        <f>C18-D18*B18</f>
        <v>420021.42802480969</v>
      </c>
      <c r="F18" s="98">
        <v>2</v>
      </c>
      <c r="G18">
        <f t="shared" si="1"/>
        <v>630032.14203721401</v>
      </c>
    </row>
    <row r="19" spans="1:7" ht="16" thickBot="1" x14ac:dyDescent="0.2">
      <c r="A19" s="143">
        <v>4701313</v>
      </c>
      <c r="B19" s="292">
        <f>B15*4</f>
        <v>220000</v>
      </c>
      <c r="C19" s="292">
        <f>C15*SQRT(D44)^2</f>
        <v>700035.71337468212</v>
      </c>
      <c r="D19" s="293">
        <v>0.01</v>
      </c>
      <c r="E19" s="294">
        <f>C19-D19*B19</f>
        <v>697835.71337468212</v>
      </c>
      <c r="F19" s="271">
        <v>3</v>
      </c>
      <c r="G19" s="272">
        <f t="shared" si="1"/>
        <v>700035.71337468212</v>
      </c>
    </row>
    <row r="20" spans="1:7" ht="16" thickTop="1" x14ac:dyDescent="0.15">
      <c r="A20" s="276">
        <v>4701321</v>
      </c>
      <c r="B20" s="106">
        <v>0</v>
      </c>
      <c r="C20" s="100">
        <v>0</v>
      </c>
      <c r="D20" s="268">
        <f>(C21-C20)/(B21-B20)</f>
        <v>2.8284271247461903</v>
      </c>
      <c r="E20" s="269">
        <f t="shared" ref="E20:E21" si="6">C20-D20*B20</f>
        <v>0</v>
      </c>
      <c r="G20">
        <f t="shared" si="1"/>
        <v>0</v>
      </c>
    </row>
    <row r="21" spans="1:7" x14ac:dyDescent="0.15">
      <c r="A21" s="273">
        <v>4701321</v>
      </c>
      <c r="B21" s="106">
        <v>20000</v>
      </c>
      <c r="C21" s="100">
        <f>B21*SQRT(D40)*2</f>
        <v>56568.542494923808</v>
      </c>
      <c r="D21" s="101">
        <f>(C22-C21)/(B22-B21)</f>
        <v>16.404877323527906</v>
      </c>
      <c r="E21" s="97">
        <f t="shared" si="6"/>
        <v>-271529.00397563429</v>
      </c>
      <c r="F21" s="98">
        <v>1</v>
      </c>
      <c r="G21">
        <f t="shared" si="1"/>
        <v>56568.542494923808</v>
      </c>
    </row>
    <row r="22" spans="1:7" x14ac:dyDescent="0.15">
      <c r="A22" s="273">
        <v>4701321</v>
      </c>
      <c r="B22" s="106">
        <f>B21*1.5</f>
        <v>30000</v>
      </c>
      <c r="C22" s="100">
        <f>C21*SQRT(D41)^2</f>
        <v>220617.31573020286</v>
      </c>
      <c r="D22" s="101">
        <f>(C23-C22)/(B23-B22)</f>
        <v>11.879393923933993</v>
      </c>
      <c r="E22" s="97">
        <f>C22-D22*B22</f>
        <v>-135764.50198781691</v>
      </c>
      <c r="F22" s="98">
        <v>1.2</v>
      </c>
      <c r="G22">
        <f t="shared" si="1"/>
        <v>220617.31573020286</v>
      </c>
    </row>
    <row r="23" spans="1:7" x14ac:dyDescent="0.15">
      <c r="A23" s="273">
        <v>4701321</v>
      </c>
      <c r="B23" s="106">
        <f>B21*2</f>
        <v>40000</v>
      </c>
      <c r="C23" s="100">
        <f>C21*SQRT(D42)^2</f>
        <v>339411.25496954279</v>
      </c>
      <c r="D23" s="101">
        <f>(C24-C23)/(B24-B23)</f>
        <v>11.879393923934014</v>
      </c>
      <c r="E23" s="102">
        <f>C23-D23*B23</f>
        <v>-135764.50198781776</v>
      </c>
      <c r="F23" s="98">
        <v>1.5</v>
      </c>
      <c r="G23">
        <f t="shared" si="1"/>
        <v>339411.25496954279</v>
      </c>
    </row>
    <row r="24" spans="1:7" x14ac:dyDescent="0.15">
      <c r="A24" s="273">
        <v>4701321</v>
      </c>
      <c r="B24" s="106">
        <f>B21*2.5</f>
        <v>50000</v>
      </c>
      <c r="C24" s="100">
        <f>C21*SQRT(D43)^2</f>
        <v>458205.19420888292</v>
      </c>
      <c r="D24" s="101">
        <f>(C25-C24)/(B25-B24)</f>
        <v>5.0911688245431348</v>
      </c>
      <c r="E24" s="102">
        <f>C24-D24*B24</f>
        <v>203646.7529817262</v>
      </c>
      <c r="F24" s="98">
        <v>2</v>
      </c>
      <c r="G24">
        <f t="shared" si="1"/>
        <v>458205.19420888292</v>
      </c>
    </row>
    <row r="25" spans="1:7" x14ac:dyDescent="0.15">
      <c r="A25" s="273">
        <v>4701321</v>
      </c>
      <c r="B25" s="106">
        <f>B21*3</f>
        <v>60000</v>
      </c>
      <c r="C25" s="100">
        <f>C21*SQRT(D44)^2</f>
        <v>509116.88245431427</v>
      </c>
      <c r="D25" s="99">
        <v>0.01</v>
      </c>
      <c r="E25" s="97">
        <f>C25-D25*B25</f>
        <v>508516.88245431427</v>
      </c>
      <c r="F25" s="98">
        <v>2.5</v>
      </c>
      <c r="G25">
        <f t="shared" si="1"/>
        <v>509116.88245431427</v>
      </c>
    </row>
    <row r="26" spans="1:7" x14ac:dyDescent="0.15">
      <c r="A26" s="93">
        <v>4701322</v>
      </c>
      <c r="B26" s="105">
        <v>0</v>
      </c>
      <c r="C26" s="100">
        <v>0</v>
      </c>
      <c r="D26" s="101">
        <f t="shared" ref="D26:D27" si="7">(C27-C26)/(B27-B26)</f>
        <v>1.4142135623730951</v>
      </c>
      <c r="E26" s="97">
        <f t="shared" ref="E26:E27" si="8">C26-D26*B26</f>
        <v>0</v>
      </c>
      <c r="G26">
        <f t="shared" si="1"/>
        <v>0</v>
      </c>
    </row>
    <row r="27" spans="1:7" x14ac:dyDescent="0.15">
      <c r="A27" s="93">
        <v>4701322</v>
      </c>
      <c r="B27" s="105">
        <v>37500</v>
      </c>
      <c r="C27" s="100">
        <f>B27*SQRT(D40)*1</f>
        <v>53033.00858899107</v>
      </c>
      <c r="D27" s="101">
        <f t="shared" si="7"/>
        <v>8.2024386617639529</v>
      </c>
      <c r="E27" s="97">
        <f t="shared" si="8"/>
        <v>-254558.44122715713</v>
      </c>
      <c r="F27" s="98">
        <v>1</v>
      </c>
      <c r="G27">
        <f t="shared" si="1"/>
        <v>53033.00858899107</v>
      </c>
    </row>
    <row r="28" spans="1:7" x14ac:dyDescent="0.15">
      <c r="A28" s="93">
        <v>4701322</v>
      </c>
      <c r="B28" s="105">
        <f>B27*1.5</f>
        <v>56250</v>
      </c>
      <c r="C28" s="100">
        <f>C27*SQRT(D41)^2</f>
        <v>206828.73349706517</v>
      </c>
      <c r="D28" s="101">
        <f>(C29-C28)/(B29-B28)</f>
        <v>5.9396969619669964</v>
      </c>
      <c r="E28" s="97">
        <f>C28-D28*B28</f>
        <v>-127279.22061357836</v>
      </c>
      <c r="F28" s="98">
        <v>1.2</v>
      </c>
      <c r="G28">
        <f t="shared" si="1"/>
        <v>206828.73349706517</v>
      </c>
    </row>
    <row r="29" spans="1:7" x14ac:dyDescent="0.15">
      <c r="A29" s="93">
        <v>4701322</v>
      </c>
      <c r="B29" s="105">
        <f>B27*2</f>
        <v>75000</v>
      </c>
      <c r="C29" s="100">
        <f>C27*SQRT(D42)^2</f>
        <v>318198.05153394636</v>
      </c>
      <c r="D29" s="101">
        <f>(C30-C29)/(B30-B29)</f>
        <v>5.9396969619670079</v>
      </c>
      <c r="E29" s="102">
        <f>C29-D29*B29</f>
        <v>-127279.22061357921</v>
      </c>
      <c r="F29" s="98">
        <v>1.5</v>
      </c>
      <c r="G29">
        <f t="shared" si="1"/>
        <v>318198.05153394636</v>
      </c>
    </row>
    <row r="30" spans="1:7" x14ac:dyDescent="0.15">
      <c r="A30" s="93">
        <v>4701322</v>
      </c>
      <c r="B30" s="105">
        <f>B27*2.5</f>
        <v>93750</v>
      </c>
      <c r="C30" s="100">
        <f>C27*SQRT(D43)^2</f>
        <v>429567.36957082775</v>
      </c>
      <c r="D30" s="101">
        <f>(C31-C30)/(B31-B30)</f>
        <v>2.5455844122715665</v>
      </c>
      <c r="E30" s="97">
        <f>C30-D30*B30</f>
        <v>190918.8309203684</v>
      </c>
      <c r="F30" s="98">
        <v>2</v>
      </c>
      <c r="G30">
        <f t="shared" si="1"/>
        <v>429567.36957082775</v>
      </c>
    </row>
    <row r="31" spans="1:7" x14ac:dyDescent="0.15">
      <c r="A31" s="93">
        <v>4701322</v>
      </c>
      <c r="B31" s="105">
        <f>B27*3</f>
        <v>112500</v>
      </c>
      <c r="C31" s="100">
        <f>C27*SQRT(D44)^2</f>
        <v>477297.07730091963</v>
      </c>
      <c r="D31" s="99">
        <v>0.01</v>
      </c>
      <c r="E31" s="102">
        <f>C31-D31*B31</f>
        <v>476172.07730091963</v>
      </c>
      <c r="F31" s="98">
        <v>2.5</v>
      </c>
      <c r="G31">
        <f t="shared" si="1"/>
        <v>477297.07730091963</v>
      </c>
    </row>
    <row r="32" spans="1:7" x14ac:dyDescent="0.15">
      <c r="A32" s="81">
        <v>4701323</v>
      </c>
      <c r="B32" s="274">
        <v>0</v>
      </c>
      <c r="C32" s="100">
        <v>0</v>
      </c>
      <c r="D32" s="101">
        <f t="shared" ref="D32" si="9">(C33-C32)/(B33-B32)</f>
        <v>1.4142135623730951</v>
      </c>
      <c r="E32" s="97">
        <f t="shared" ref="E32:E35" si="10">C32-D32*B32</f>
        <v>0</v>
      </c>
      <c r="G32">
        <f t="shared" si="1"/>
        <v>0</v>
      </c>
    </row>
    <row r="33" spans="1:7" x14ac:dyDescent="0.15">
      <c r="A33" s="81">
        <v>4701323</v>
      </c>
      <c r="B33" s="274">
        <v>55000</v>
      </c>
      <c r="C33" s="100">
        <f>B33*SQRT(D40)*1</f>
        <v>77781.745930520236</v>
      </c>
      <c r="D33" s="101">
        <f>(C34-C33)/(B34-B33)</f>
        <v>8.2024386617639529</v>
      </c>
      <c r="E33" s="97">
        <f t="shared" si="10"/>
        <v>-373352.38046649715</v>
      </c>
      <c r="F33" s="98">
        <v>1</v>
      </c>
      <c r="G33">
        <f t="shared" si="1"/>
        <v>77781.745930520236</v>
      </c>
    </row>
    <row r="34" spans="1:7" x14ac:dyDescent="0.15">
      <c r="A34" s="81">
        <v>4701323</v>
      </c>
      <c r="B34" s="274">
        <f>B33*1.5</f>
        <v>82500</v>
      </c>
      <c r="C34" s="100">
        <f>C33*SQRT(D41)^2</f>
        <v>303348.80912902893</v>
      </c>
      <c r="D34" s="101">
        <f>(C35-C34)/(B35-B34)</f>
        <v>5.9396969619669973</v>
      </c>
      <c r="E34" s="97">
        <f t="shared" si="10"/>
        <v>-186676.19023324834</v>
      </c>
      <c r="F34" s="98">
        <v>1.2</v>
      </c>
      <c r="G34">
        <f t="shared" si="1"/>
        <v>303348.80912902893</v>
      </c>
    </row>
    <row r="35" spans="1:7" x14ac:dyDescent="0.15">
      <c r="A35" s="81">
        <v>4701323</v>
      </c>
      <c r="B35" s="274">
        <f>B33*2</f>
        <v>110000</v>
      </c>
      <c r="C35" s="100">
        <f>C33*SQRT(D42)^2</f>
        <v>466690.47558312136</v>
      </c>
      <c r="D35" s="101">
        <f>(C36-C35)/(B36-B35)</f>
        <v>2.9698484809835031</v>
      </c>
      <c r="E35" s="97">
        <f t="shared" si="10"/>
        <v>140007.14267493604</v>
      </c>
      <c r="F35" s="98">
        <v>1.5</v>
      </c>
      <c r="G35">
        <f t="shared" si="1"/>
        <v>466690.47558312136</v>
      </c>
    </row>
    <row r="36" spans="1:7" x14ac:dyDescent="0.15">
      <c r="A36" s="81">
        <v>4701323</v>
      </c>
      <c r="B36" s="274">
        <f>B33*3</f>
        <v>165000</v>
      </c>
      <c r="C36" s="100">
        <f>C33*SQRT(D43)^2</f>
        <v>630032.14203721401</v>
      </c>
      <c r="D36" s="101">
        <f>(C37-C36)/(B37-B36)</f>
        <v>1.2727922061357837</v>
      </c>
      <c r="E36" s="97">
        <f>C36-D36*B36</f>
        <v>420021.42802480969</v>
      </c>
      <c r="F36" s="98">
        <v>2</v>
      </c>
      <c r="G36">
        <f t="shared" si="1"/>
        <v>630032.14203721401</v>
      </c>
    </row>
    <row r="37" spans="1:7" ht="16" thickBot="1" x14ac:dyDescent="0.2">
      <c r="A37" s="81">
        <v>4701323</v>
      </c>
      <c r="B37" s="275">
        <f>B33*4</f>
        <v>220000</v>
      </c>
      <c r="C37" s="270">
        <f>C33*SQRT(D44)^2</f>
        <v>700035.71337468212</v>
      </c>
      <c r="D37" s="99">
        <v>0.01</v>
      </c>
      <c r="E37" s="102">
        <f>C37-D37*B37</f>
        <v>697835.71337468212</v>
      </c>
      <c r="F37" s="98">
        <v>3</v>
      </c>
      <c r="G37">
        <f t="shared" si="1"/>
        <v>700035.71337468212</v>
      </c>
    </row>
    <row r="38" spans="1:7" ht="16" thickTop="1" x14ac:dyDescent="0.15"/>
    <row r="39" spans="1:7" x14ac:dyDescent="0.15">
      <c r="D39" t="s">
        <v>201</v>
      </c>
    </row>
    <row r="40" spans="1:7" x14ac:dyDescent="0.15">
      <c r="B40" s="107">
        <f>B3+B9+B15</f>
        <v>112500</v>
      </c>
      <c r="C40" s="103">
        <f>SUM(C7,C13,C19)</f>
        <v>1686449.6731299162</v>
      </c>
      <c r="D40">
        <v>2</v>
      </c>
    </row>
    <row r="41" spans="1:7" x14ac:dyDescent="0.15">
      <c r="B41" s="80"/>
      <c r="C41" s="104"/>
      <c r="D41">
        <v>3.9</v>
      </c>
    </row>
    <row r="42" spans="1:7" x14ac:dyDescent="0.15">
      <c r="B42" s="80"/>
      <c r="C42" s="104"/>
      <c r="D42">
        <v>6</v>
      </c>
    </row>
    <row r="43" spans="1:7" x14ac:dyDescent="0.15">
      <c r="D43">
        <v>8.1</v>
      </c>
    </row>
    <row r="44" spans="1:7" x14ac:dyDescent="0.15">
      <c r="D44">
        <v>9</v>
      </c>
    </row>
  </sheetData>
  <phoneticPr fontId="10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13"/>
  <sheetViews>
    <sheetView workbookViewId="0">
      <selection activeCell="F8" sqref="F8:F13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52" t="s">
        <v>96</v>
      </c>
      <c r="B1" s="52" t="s">
        <v>97</v>
      </c>
      <c r="C1" s="52" t="s">
        <v>98</v>
      </c>
      <c r="D1" s="52" t="s">
        <v>99</v>
      </c>
      <c r="E1" s="81" t="s">
        <v>100</v>
      </c>
      <c r="F1" s="81" t="s">
        <v>101</v>
      </c>
      <c r="G1" s="81" t="s">
        <v>102</v>
      </c>
    </row>
    <row r="2" spans="1:7" x14ac:dyDescent="0.15">
      <c r="A2" s="110">
        <v>1</v>
      </c>
      <c r="B2" s="110">
        <v>47013</v>
      </c>
      <c r="C2" s="110">
        <v>3</v>
      </c>
      <c r="D2" s="110">
        <v>10000000</v>
      </c>
      <c r="E2" s="110" t="s">
        <v>148</v>
      </c>
      <c r="F2" s="110" t="s">
        <v>149</v>
      </c>
      <c r="G2" s="110" t="s">
        <v>150</v>
      </c>
    </row>
    <row r="3" spans="1:7" x14ac:dyDescent="0.15">
      <c r="A3" s="110">
        <v>2</v>
      </c>
      <c r="B3" s="110">
        <v>47013</v>
      </c>
      <c r="C3" s="110">
        <v>3</v>
      </c>
      <c r="D3" s="110">
        <v>8500000</v>
      </c>
      <c r="E3" s="110" t="s">
        <v>148</v>
      </c>
      <c r="F3" s="110" t="s">
        <v>151</v>
      </c>
      <c r="G3" s="110" t="s">
        <v>152</v>
      </c>
    </row>
    <row r="4" spans="1:7" x14ac:dyDescent="0.15">
      <c r="A4" s="110">
        <v>3</v>
      </c>
      <c r="B4" s="110">
        <v>47013</v>
      </c>
      <c r="C4" s="110">
        <v>3</v>
      </c>
      <c r="D4" s="110">
        <v>7000000</v>
      </c>
      <c r="E4" s="110" t="s">
        <v>148</v>
      </c>
      <c r="F4" s="110" t="s">
        <v>153</v>
      </c>
      <c r="G4" s="110" t="s">
        <v>154</v>
      </c>
    </row>
    <row r="5" spans="1:7" x14ac:dyDescent="0.15">
      <c r="A5" s="110">
        <v>4</v>
      </c>
      <c r="B5" s="110">
        <v>47013</v>
      </c>
      <c r="C5" s="110">
        <v>3</v>
      </c>
      <c r="D5" s="110">
        <v>3000000</v>
      </c>
      <c r="E5" s="110" t="s">
        <v>148</v>
      </c>
      <c r="F5" s="110" t="s">
        <v>155</v>
      </c>
      <c r="G5" s="110" t="s">
        <v>156</v>
      </c>
    </row>
    <row r="6" spans="1:7" x14ac:dyDescent="0.15">
      <c r="A6" s="110">
        <v>5</v>
      </c>
      <c r="B6" s="110">
        <v>47013</v>
      </c>
      <c r="C6" s="110">
        <v>3</v>
      </c>
      <c r="D6" s="110">
        <v>2000000</v>
      </c>
      <c r="E6" s="110" t="s">
        <v>148</v>
      </c>
      <c r="F6" s="110" t="s">
        <v>157</v>
      </c>
      <c r="G6" s="110" t="s">
        <v>158</v>
      </c>
    </row>
    <row r="7" spans="1:7" ht="16" thickBot="1" x14ac:dyDescent="0.2">
      <c r="A7" s="143">
        <v>6</v>
      </c>
      <c r="B7" s="143">
        <v>47013</v>
      </c>
      <c r="C7" s="143">
        <v>3</v>
      </c>
      <c r="D7" s="143">
        <v>0</v>
      </c>
      <c r="E7" s="143" t="s">
        <v>148</v>
      </c>
      <c r="F7" s="143" t="s">
        <v>159</v>
      </c>
      <c r="G7" s="143" t="s">
        <v>160</v>
      </c>
    </row>
    <row r="8" spans="1:7" ht="16" thickTop="1" x14ac:dyDescent="0.15">
      <c r="A8" s="51">
        <v>7</v>
      </c>
      <c r="B8" s="51">
        <v>47013</v>
      </c>
      <c r="C8" s="51">
        <v>4</v>
      </c>
      <c r="D8" s="51">
        <v>10000000</v>
      </c>
      <c r="E8" s="51" t="s">
        <v>148</v>
      </c>
      <c r="F8" s="51" t="s">
        <v>149</v>
      </c>
      <c r="G8" s="51" t="s">
        <v>150</v>
      </c>
    </row>
    <row r="9" spans="1:7" x14ac:dyDescent="0.15">
      <c r="A9" s="51">
        <v>8</v>
      </c>
      <c r="B9" s="51">
        <v>47013</v>
      </c>
      <c r="C9" s="51">
        <v>4</v>
      </c>
      <c r="D9" s="51">
        <v>8500000</v>
      </c>
      <c r="E9" s="51" t="s">
        <v>148</v>
      </c>
      <c r="F9" s="51" t="s">
        <v>151</v>
      </c>
      <c r="G9" s="51" t="s">
        <v>152</v>
      </c>
    </row>
    <row r="10" spans="1:7" x14ac:dyDescent="0.15">
      <c r="A10" s="51">
        <v>9</v>
      </c>
      <c r="B10" s="51">
        <v>47013</v>
      </c>
      <c r="C10" s="51">
        <v>4</v>
      </c>
      <c r="D10" s="51">
        <v>7000000</v>
      </c>
      <c r="E10" s="51" t="s">
        <v>148</v>
      </c>
      <c r="F10" s="51" t="s">
        <v>153</v>
      </c>
      <c r="G10" s="51" t="s">
        <v>154</v>
      </c>
    </row>
    <row r="11" spans="1:7" x14ac:dyDescent="0.15">
      <c r="A11" s="51">
        <v>10</v>
      </c>
      <c r="B11" s="51">
        <v>47013</v>
      </c>
      <c r="C11" s="51">
        <v>4</v>
      </c>
      <c r="D11" s="51">
        <v>3000000</v>
      </c>
      <c r="E11" s="51" t="s">
        <v>148</v>
      </c>
      <c r="F11" s="51" t="s">
        <v>155</v>
      </c>
      <c r="G11" s="51" t="s">
        <v>156</v>
      </c>
    </row>
    <row r="12" spans="1:7" x14ac:dyDescent="0.15">
      <c r="A12" s="51">
        <v>11</v>
      </c>
      <c r="B12" s="51">
        <v>47013</v>
      </c>
      <c r="C12" s="51">
        <v>4</v>
      </c>
      <c r="D12" s="51">
        <v>2000000</v>
      </c>
      <c r="E12" s="51" t="s">
        <v>148</v>
      </c>
      <c r="F12" s="51" t="s">
        <v>157</v>
      </c>
      <c r="G12" s="51" t="s">
        <v>158</v>
      </c>
    </row>
    <row r="13" spans="1:7" x14ac:dyDescent="0.15">
      <c r="A13" s="51">
        <v>12</v>
      </c>
      <c r="B13" s="51">
        <v>47013</v>
      </c>
      <c r="C13" s="51">
        <v>4</v>
      </c>
      <c r="D13" s="51">
        <v>0</v>
      </c>
      <c r="E13" s="51" t="s">
        <v>148</v>
      </c>
      <c r="F13" s="51" t="s">
        <v>159</v>
      </c>
      <c r="G13" s="51" t="s">
        <v>160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28"/>
  <sheetViews>
    <sheetView tabSelected="1" topLeftCell="A7" zoomScale="106" workbookViewId="0">
      <selection activeCell="S18" sqref="S18"/>
    </sheetView>
  </sheetViews>
  <sheetFormatPr baseColWidth="12" defaultRowHeight="15" x14ac:dyDescent="0.15"/>
  <cols>
    <col min="1" max="1" width="11.83203125" bestFit="1" customWidth="1"/>
    <col min="2" max="2" width="8" bestFit="1" customWidth="1"/>
    <col min="3" max="3" width="8" style="113" bestFit="1" customWidth="1"/>
    <col min="4" max="4" width="10.1640625" style="113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8.83203125" customWidth="1"/>
    <col min="18" max="18" width="16.83203125" customWidth="1"/>
    <col min="19" max="19" width="20.1640625" customWidth="1"/>
    <col min="20" max="20" width="7.5" bestFit="1" customWidth="1"/>
  </cols>
  <sheetData>
    <row r="1" spans="1:20" x14ac:dyDescent="0.15">
      <c r="A1" s="52" t="s">
        <v>128</v>
      </c>
      <c r="B1" s="52" t="s">
        <v>129</v>
      </c>
      <c r="C1" s="110" t="s">
        <v>130</v>
      </c>
      <c r="D1" s="110" t="s">
        <v>131</v>
      </c>
      <c r="E1" s="81" t="s">
        <v>132</v>
      </c>
      <c r="F1" s="71" t="s">
        <v>133</v>
      </c>
      <c r="G1" s="71" t="s">
        <v>134</v>
      </c>
      <c r="H1" s="71" t="s">
        <v>135</v>
      </c>
      <c r="I1" s="71" t="s">
        <v>136</v>
      </c>
      <c r="J1" s="71" t="s">
        <v>137</v>
      </c>
      <c r="K1" s="72" t="s">
        <v>138</v>
      </c>
      <c r="L1" s="72" t="s">
        <v>139</v>
      </c>
      <c r="M1" s="72" t="s">
        <v>140</v>
      </c>
      <c r="N1" s="72" t="s">
        <v>141</v>
      </c>
      <c r="O1" s="72" t="s">
        <v>142</v>
      </c>
      <c r="P1" s="72" t="s">
        <v>143</v>
      </c>
      <c r="Q1" s="72" t="s">
        <v>144</v>
      </c>
      <c r="R1" s="72" t="s">
        <v>145</v>
      </c>
      <c r="S1" s="72" t="s">
        <v>146</v>
      </c>
      <c r="T1" s="72" t="s">
        <v>147</v>
      </c>
    </row>
    <row r="2" spans="1:20" ht="47" customHeight="1" x14ac:dyDescent="0.15">
      <c r="A2" s="111">
        <v>1</v>
      </c>
      <c r="B2" s="111">
        <v>47013</v>
      </c>
      <c r="C2" s="111">
        <v>1</v>
      </c>
      <c r="D2" s="111">
        <v>10000000</v>
      </c>
      <c r="E2" s="295">
        <v>4701301</v>
      </c>
      <c r="F2" s="296" t="s">
        <v>163</v>
      </c>
      <c r="G2" s="296">
        <v>3</v>
      </c>
      <c r="H2" s="296" t="s">
        <v>164</v>
      </c>
      <c r="I2" s="296">
        <v>0</v>
      </c>
      <c r="J2" s="296">
        <v>0</v>
      </c>
      <c r="K2" s="296">
        <v>0</v>
      </c>
      <c r="L2" s="296">
        <v>0</v>
      </c>
      <c r="M2" s="296">
        <v>1</v>
      </c>
      <c r="N2" s="296">
        <v>1</v>
      </c>
      <c r="O2" s="296">
        <v>1</v>
      </c>
      <c r="P2" s="296" t="s">
        <v>161</v>
      </c>
      <c r="Q2" s="296" t="s">
        <v>243</v>
      </c>
      <c r="R2" s="296" t="s">
        <v>637</v>
      </c>
      <c r="S2" s="297" t="s">
        <v>638</v>
      </c>
      <c r="T2" s="110">
        <v>1</v>
      </c>
    </row>
    <row r="3" spans="1:20" ht="47" customHeight="1" x14ac:dyDescent="0.15">
      <c r="A3" s="111">
        <v>2</v>
      </c>
      <c r="B3" s="111">
        <v>47013</v>
      </c>
      <c r="C3" s="111">
        <v>1</v>
      </c>
      <c r="D3" s="111">
        <v>10000000</v>
      </c>
      <c r="E3" s="295">
        <v>4701302</v>
      </c>
      <c r="F3" s="296" t="s">
        <v>163</v>
      </c>
      <c r="G3" s="296">
        <v>2</v>
      </c>
      <c r="H3" s="296" t="s">
        <v>164</v>
      </c>
      <c r="I3" s="296">
        <v>0</v>
      </c>
      <c r="J3" s="296">
        <v>0</v>
      </c>
      <c r="K3" s="296">
        <v>0</v>
      </c>
      <c r="L3" s="296">
        <v>0</v>
      </c>
      <c r="M3" s="296">
        <v>1</v>
      </c>
      <c r="N3" s="296">
        <v>1</v>
      </c>
      <c r="O3" s="296">
        <v>1</v>
      </c>
      <c r="P3" s="296" t="s">
        <v>161</v>
      </c>
      <c r="Q3" s="296" t="s">
        <v>244</v>
      </c>
      <c r="R3" s="296" t="s">
        <v>637</v>
      </c>
      <c r="S3" s="297" t="s">
        <v>639</v>
      </c>
      <c r="T3" s="110">
        <v>1</v>
      </c>
    </row>
    <row r="4" spans="1:20" ht="47" customHeight="1" x14ac:dyDescent="0.15">
      <c r="A4" s="111">
        <v>3</v>
      </c>
      <c r="B4" s="111">
        <v>47013</v>
      </c>
      <c r="C4" s="111">
        <v>1</v>
      </c>
      <c r="D4" s="111">
        <v>10000000</v>
      </c>
      <c r="E4" s="295">
        <v>4701303</v>
      </c>
      <c r="F4" s="296" t="s">
        <v>162</v>
      </c>
      <c r="G4" s="296">
        <v>1</v>
      </c>
      <c r="H4" s="296">
        <v>1</v>
      </c>
      <c r="I4" s="296">
        <v>0</v>
      </c>
      <c r="J4" s="296">
        <v>0</v>
      </c>
      <c r="K4" s="296">
        <v>0</v>
      </c>
      <c r="L4" s="296">
        <v>0</v>
      </c>
      <c r="M4" s="296">
        <v>1</v>
      </c>
      <c r="N4" s="296">
        <v>1</v>
      </c>
      <c r="O4" s="296">
        <v>1</v>
      </c>
      <c r="P4" s="296" t="s">
        <v>161</v>
      </c>
      <c r="Q4" s="296" t="s">
        <v>242</v>
      </c>
      <c r="R4" s="296" t="s">
        <v>637</v>
      </c>
      <c r="S4" s="297" t="s">
        <v>640</v>
      </c>
      <c r="T4" s="110">
        <v>1</v>
      </c>
    </row>
    <row r="5" spans="1:20" ht="47" customHeight="1" x14ac:dyDescent="0.15">
      <c r="A5" s="111">
        <v>4</v>
      </c>
      <c r="B5" s="111">
        <v>47013</v>
      </c>
      <c r="C5" s="111">
        <v>1</v>
      </c>
      <c r="D5" s="111">
        <v>8500000</v>
      </c>
      <c r="E5" s="295">
        <v>4701304</v>
      </c>
      <c r="F5" s="296" t="s">
        <v>245</v>
      </c>
      <c r="G5" s="296">
        <v>335</v>
      </c>
      <c r="H5" s="296">
        <v>1</v>
      </c>
      <c r="I5" s="296">
        <v>0</v>
      </c>
      <c r="J5" s="296">
        <v>0</v>
      </c>
      <c r="K5" s="296">
        <v>0</v>
      </c>
      <c r="L5" s="296">
        <v>0</v>
      </c>
      <c r="M5" s="296">
        <v>1</v>
      </c>
      <c r="N5" s="296">
        <v>1</v>
      </c>
      <c r="O5" s="296">
        <v>1</v>
      </c>
      <c r="P5" s="296" t="s">
        <v>161</v>
      </c>
      <c r="Q5" s="296" t="s">
        <v>246</v>
      </c>
      <c r="R5" s="296" t="s">
        <v>637</v>
      </c>
      <c r="S5" s="297" t="s">
        <v>641</v>
      </c>
      <c r="T5" s="110">
        <v>1</v>
      </c>
    </row>
    <row r="6" spans="1:20" ht="47" customHeight="1" x14ac:dyDescent="0.15">
      <c r="A6" s="111">
        <v>4</v>
      </c>
      <c r="B6" s="111">
        <v>47013</v>
      </c>
      <c r="C6" s="111">
        <v>1</v>
      </c>
      <c r="D6" s="111">
        <v>7000000</v>
      </c>
      <c r="E6" s="295">
        <v>4701305</v>
      </c>
      <c r="F6" s="296" t="s">
        <v>245</v>
      </c>
      <c r="G6" s="296">
        <v>339</v>
      </c>
      <c r="H6" s="296">
        <v>1</v>
      </c>
      <c r="I6" s="296">
        <v>0</v>
      </c>
      <c r="J6" s="296">
        <v>0</v>
      </c>
      <c r="K6" s="296">
        <v>0</v>
      </c>
      <c r="L6" s="296">
        <v>0</v>
      </c>
      <c r="M6" s="296">
        <v>1</v>
      </c>
      <c r="N6" s="296">
        <v>1</v>
      </c>
      <c r="O6" s="296">
        <v>1</v>
      </c>
      <c r="P6" s="296" t="s">
        <v>161</v>
      </c>
      <c r="Q6" s="296" t="s">
        <v>247</v>
      </c>
      <c r="R6" s="296" t="s">
        <v>637</v>
      </c>
      <c r="S6" s="297" t="s">
        <v>642</v>
      </c>
      <c r="T6" s="110">
        <v>1</v>
      </c>
    </row>
    <row r="7" spans="1:20" ht="47" customHeight="1" x14ac:dyDescent="0.15">
      <c r="A7" s="111">
        <v>4</v>
      </c>
      <c r="B7" s="111">
        <v>47013</v>
      </c>
      <c r="C7" s="111">
        <v>1</v>
      </c>
      <c r="D7" s="111">
        <v>5500000</v>
      </c>
      <c r="E7" s="295">
        <v>4701306</v>
      </c>
      <c r="F7" s="296" t="s">
        <v>245</v>
      </c>
      <c r="G7" s="296">
        <v>343</v>
      </c>
      <c r="H7" s="296">
        <v>1</v>
      </c>
      <c r="I7" s="296">
        <v>0</v>
      </c>
      <c r="J7" s="296">
        <v>0</v>
      </c>
      <c r="K7" s="296">
        <v>0</v>
      </c>
      <c r="L7" s="296">
        <v>0</v>
      </c>
      <c r="M7" s="296">
        <v>1</v>
      </c>
      <c r="N7" s="296">
        <v>1</v>
      </c>
      <c r="O7" s="296">
        <v>1</v>
      </c>
      <c r="P7" s="296" t="s">
        <v>161</v>
      </c>
      <c r="Q7" s="296" t="s">
        <v>248</v>
      </c>
      <c r="R7" s="296" t="s">
        <v>637</v>
      </c>
      <c r="S7" s="297" t="s">
        <v>643</v>
      </c>
      <c r="T7" s="110">
        <v>1</v>
      </c>
    </row>
    <row r="8" spans="1:20" ht="47" customHeight="1" x14ac:dyDescent="0.15">
      <c r="A8" s="111">
        <v>4</v>
      </c>
      <c r="B8" s="111">
        <v>47013</v>
      </c>
      <c r="C8" s="111">
        <v>1</v>
      </c>
      <c r="D8" s="111">
        <v>4000000</v>
      </c>
      <c r="E8" s="295">
        <v>4701307</v>
      </c>
      <c r="F8" s="296" t="s">
        <v>245</v>
      </c>
      <c r="G8" s="296">
        <v>347</v>
      </c>
      <c r="H8" s="296">
        <v>1</v>
      </c>
      <c r="I8" s="296">
        <v>0</v>
      </c>
      <c r="J8" s="296">
        <v>0</v>
      </c>
      <c r="K8" s="296">
        <v>0</v>
      </c>
      <c r="L8" s="296">
        <v>0</v>
      </c>
      <c r="M8" s="296">
        <v>1</v>
      </c>
      <c r="N8" s="296">
        <v>1</v>
      </c>
      <c r="O8" s="296">
        <v>1</v>
      </c>
      <c r="P8" s="296" t="s">
        <v>161</v>
      </c>
      <c r="Q8" s="296" t="s">
        <v>249</v>
      </c>
      <c r="R8" s="296" t="s">
        <v>637</v>
      </c>
      <c r="S8" s="297" t="s">
        <v>643</v>
      </c>
      <c r="T8" s="110">
        <v>1</v>
      </c>
    </row>
    <row r="9" spans="1:20" ht="47" customHeight="1" thickBot="1" x14ac:dyDescent="0.2">
      <c r="A9" s="142">
        <v>5</v>
      </c>
      <c r="B9" s="142">
        <v>47013</v>
      </c>
      <c r="C9" s="142">
        <v>1</v>
      </c>
      <c r="D9" s="143">
        <v>3000000</v>
      </c>
      <c r="E9" s="298">
        <v>4701308</v>
      </c>
      <c r="F9" s="299" t="s">
        <v>165</v>
      </c>
      <c r="G9" s="299">
        <v>100000</v>
      </c>
      <c r="H9" s="299" t="s">
        <v>164</v>
      </c>
      <c r="I9" s="299">
        <v>0</v>
      </c>
      <c r="J9" s="299">
        <v>0</v>
      </c>
      <c r="K9" s="299">
        <v>0</v>
      </c>
      <c r="L9" s="299">
        <v>0</v>
      </c>
      <c r="M9" s="299">
        <v>1</v>
      </c>
      <c r="N9" s="299">
        <v>1</v>
      </c>
      <c r="O9" s="299">
        <v>1</v>
      </c>
      <c r="P9" s="299" t="s">
        <v>161</v>
      </c>
      <c r="Q9" s="299" t="s">
        <v>250</v>
      </c>
      <c r="R9" s="299" t="s">
        <v>637</v>
      </c>
      <c r="S9" s="300" t="s">
        <v>644</v>
      </c>
      <c r="T9" s="143">
        <v>1</v>
      </c>
    </row>
    <row r="10" spans="1:20" ht="47" customHeight="1" thickTop="1" x14ac:dyDescent="0.15">
      <c r="A10" s="138">
        <v>7</v>
      </c>
      <c r="B10" s="138">
        <v>47013</v>
      </c>
      <c r="C10" s="139">
        <v>1</v>
      </c>
      <c r="D10" s="139">
        <v>10000000</v>
      </c>
      <c r="E10" s="140">
        <v>4701309</v>
      </c>
      <c r="F10" s="141" t="s">
        <v>163</v>
      </c>
      <c r="G10" s="141">
        <v>3</v>
      </c>
      <c r="H10" s="141" t="s">
        <v>164</v>
      </c>
      <c r="I10" s="141">
        <v>0</v>
      </c>
      <c r="J10" s="141">
        <v>0</v>
      </c>
      <c r="K10" s="141">
        <v>0</v>
      </c>
      <c r="L10" s="141">
        <v>0</v>
      </c>
      <c r="M10" s="141">
        <v>1</v>
      </c>
      <c r="N10" s="141">
        <v>1</v>
      </c>
      <c r="O10" s="141">
        <v>1</v>
      </c>
      <c r="P10" s="141" t="s">
        <v>161</v>
      </c>
      <c r="Q10" s="141" t="s">
        <v>243</v>
      </c>
      <c r="R10" s="141" t="s">
        <v>637</v>
      </c>
      <c r="S10" s="91" t="str">
        <f ca="1">CONCATENATE("スコアアタッククエスト",CHAR(13),score_attack_expanded_floors!$D$2,CHAR(13),"SSS評価報酬")</f>
        <v>スコアアタッククエスト_x000D_スカルズ襲来！_x000D_SSS評価報酬</v>
      </c>
      <c r="T10" s="134">
        <v>1</v>
      </c>
    </row>
    <row r="11" spans="1:20" ht="47" customHeight="1" x14ac:dyDescent="0.15">
      <c r="A11" s="138">
        <v>8</v>
      </c>
      <c r="B11" s="89">
        <v>47013</v>
      </c>
      <c r="C11" s="111">
        <v>1</v>
      </c>
      <c r="D11" s="111">
        <v>10000000</v>
      </c>
      <c r="E11" s="140">
        <v>4701310</v>
      </c>
      <c r="F11" s="90" t="s">
        <v>163</v>
      </c>
      <c r="G11" s="90">
        <v>2</v>
      </c>
      <c r="H11" s="90" t="s">
        <v>164</v>
      </c>
      <c r="I11" s="90">
        <v>0</v>
      </c>
      <c r="J11" s="90">
        <v>0</v>
      </c>
      <c r="K11" s="90">
        <v>0</v>
      </c>
      <c r="L11" s="90">
        <v>0</v>
      </c>
      <c r="M11" s="90">
        <v>1</v>
      </c>
      <c r="N11" s="90">
        <v>1</v>
      </c>
      <c r="O11" s="90">
        <v>1</v>
      </c>
      <c r="P11" s="90" t="s">
        <v>161</v>
      </c>
      <c r="Q11" s="90" t="s">
        <v>244</v>
      </c>
      <c r="R11" s="90" t="s">
        <v>637</v>
      </c>
      <c r="S11" s="91" t="str">
        <f ca="1">CONCATENATE("スコアアタッククエスト",CHAR(13),score_attack_expanded_floors!$D$2,CHAR(13),"SS評価報酬")</f>
        <v>スコアアタッククエスト_x000D_スカルズ襲来！_x000D_SS評価報酬</v>
      </c>
      <c r="T11" s="51">
        <v>1</v>
      </c>
    </row>
    <row r="12" spans="1:20" ht="47" customHeight="1" x14ac:dyDescent="0.15">
      <c r="A12" s="138">
        <v>9</v>
      </c>
      <c r="B12" s="89">
        <v>47013</v>
      </c>
      <c r="C12" s="111">
        <v>1</v>
      </c>
      <c r="D12" s="111">
        <v>10000000</v>
      </c>
      <c r="E12" s="140">
        <v>4701311</v>
      </c>
      <c r="F12" s="90" t="s">
        <v>162</v>
      </c>
      <c r="G12" s="90">
        <v>1</v>
      </c>
      <c r="H12" s="90">
        <v>1</v>
      </c>
      <c r="I12" s="90">
        <v>0</v>
      </c>
      <c r="J12" s="90">
        <v>0</v>
      </c>
      <c r="K12" s="90">
        <v>0</v>
      </c>
      <c r="L12" s="90">
        <v>0</v>
      </c>
      <c r="M12" s="90">
        <v>1</v>
      </c>
      <c r="N12" s="90">
        <v>1</v>
      </c>
      <c r="O12" s="90">
        <v>1</v>
      </c>
      <c r="P12" s="90" t="s">
        <v>161</v>
      </c>
      <c r="Q12" s="90" t="s">
        <v>242</v>
      </c>
      <c r="R12" s="90" t="s">
        <v>637</v>
      </c>
      <c r="S12" s="91" t="str">
        <f ca="1">CONCATENATE("スコアアタッククエスト",CHAR(13),score_attack_expanded_floors!$D$2,CHAR(13),"S評価報酬")</f>
        <v>スコアアタッククエスト_x000D_スカルズ襲来！_x000D_S評価報酬</v>
      </c>
      <c r="T12" s="51">
        <v>1</v>
      </c>
    </row>
    <row r="13" spans="1:20" ht="47" customHeight="1" x14ac:dyDescent="0.15">
      <c r="A13" s="137">
        <v>10</v>
      </c>
      <c r="B13" s="89">
        <v>47013</v>
      </c>
      <c r="C13" s="111">
        <v>1</v>
      </c>
      <c r="D13" s="111">
        <v>8500000</v>
      </c>
      <c r="E13" s="140">
        <v>4701312</v>
      </c>
      <c r="F13" s="90" t="s">
        <v>245</v>
      </c>
      <c r="G13" s="90">
        <v>335</v>
      </c>
      <c r="H13" s="90">
        <v>1</v>
      </c>
      <c r="I13" s="90">
        <v>0</v>
      </c>
      <c r="J13" s="90">
        <v>0</v>
      </c>
      <c r="K13" s="90">
        <v>0</v>
      </c>
      <c r="L13" s="90">
        <v>0</v>
      </c>
      <c r="M13" s="90">
        <v>1</v>
      </c>
      <c r="N13" s="90">
        <v>1</v>
      </c>
      <c r="O13" s="90">
        <v>1</v>
      </c>
      <c r="P13" s="90" t="s">
        <v>161</v>
      </c>
      <c r="Q13" s="90" t="s">
        <v>246</v>
      </c>
      <c r="R13" s="90" t="s">
        <v>637</v>
      </c>
      <c r="S13" s="91" t="str">
        <f ca="1">CONCATENATE("スコアアタッククエスト",CHAR(13),score_attack_expanded_floors!$D$2,CHAR(13),"A評価報酬")</f>
        <v>スコアアタッククエスト_x000D_スカルズ襲来！_x000D_A評価報酬</v>
      </c>
      <c r="T13" s="51">
        <v>1</v>
      </c>
    </row>
    <row r="14" spans="1:20" ht="47" customHeight="1" x14ac:dyDescent="0.15">
      <c r="A14" s="137">
        <v>10</v>
      </c>
      <c r="B14" s="89">
        <v>47013</v>
      </c>
      <c r="C14" s="111">
        <v>1</v>
      </c>
      <c r="D14" s="111">
        <v>7000000</v>
      </c>
      <c r="E14" s="140">
        <v>4701313</v>
      </c>
      <c r="F14" s="90" t="s">
        <v>245</v>
      </c>
      <c r="G14" s="90">
        <v>339</v>
      </c>
      <c r="H14" s="90">
        <v>1</v>
      </c>
      <c r="I14" s="90">
        <v>0</v>
      </c>
      <c r="J14" s="90">
        <v>0</v>
      </c>
      <c r="K14" s="90">
        <v>0</v>
      </c>
      <c r="L14" s="90">
        <v>0</v>
      </c>
      <c r="M14" s="90">
        <v>1</v>
      </c>
      <c r="N14" s="90">
        <v>1</v>
      </c>
      <c r="O14" s="90">
        <v>1</v>
      </c>
      <c r="P14" s="90" t="s">
        <v>161</v>
      </c>
      <c r="Q14" s="90" t="s">
        <v>247</v>
      </c>
      <c r="R14" s="90" t="s">
        <v>637</v>
      </c>
      <c r="S14" s="91" t="str">
        <f ca="1">CONCATENATE("スコアアタッククエスト",CHAR(13),score_attack_expanded_floors!$D$2,CHAR(13),"A評価報酬")</f>
        <v>スコアアタッククエスト_x000D_スカルズ襲来！_x000D_A評価報酬</v>
      </c>
      <c r="T14" s="51">
        <v>1</v>
      </c>
    </row>
    <row r="15" spans="1:20" ht="47" customHeight="1" x14ac:dyDescent="0.15">
      <c r="A15" s="137">
        <v>10</v>
      </c>
      <c r="B15" s="89">
        <v>47013</v>
      </c>
      <c r="C15" s="111">
        <v>1</v>
      </c>
      <c r="D15" s="111">
        <v>5500000</v>
      </c>
      <c r="E15" s="140">
        <v>4701314</v>
      </c>
      <c r="F15" s="90" t="s">
        <v>245</v>
      </c>
      <c r="G15" s="90">
        <v>343</v>
      </c>
      <c r="H15" s="90">
        <v>1</v>
      </c>
      <c r="I15" s="90">
        <v>0</v>
      </c>
      <c r="J15" s="90">
        <v>0</v>
      </c>
      <c r="K15" s="90">
        <v>0</v>
      </c>
      <c r="L15" s="90">
        <v>0</v>
      </c>
      <c r="M15" s="90">
        <v>1</v>
      </c>
      <c r="N15" s="90">
        <v>1</v>
      </c>
      <c r="O15" s="90">
        <v>1</v>
      </c>
      <c r="P15" s="90" t="s">
        <v>161</v>
      </c>
      <c r="Q15" s="90" t="s">
        <v>248</v>
      </c>
      <c r="R15" s="90" t="s">
        <v>637</v>
      </c>
      <c r="S15" s="91" t="str">
        <f ca="1">CONCATENATE("スコアアタッククエスト",CHAR(13),score_attack_expanded_floors!$D$2,CHAR(13),"A評価報酬")</f>
        <v>スコアアタッククエスト_x000D_スカルズ襲来！_x000D_A評価報酬</v>
      </c>
      <c r="T15" s="51">
        <v>1</v>
      </c>
    </row>
    <row r="16" spans="1:20" ht="47" customHeight="1" x14ac:dyDescent="0.15">
      <c r="A16" s="137">
        <v>10</v>
      </c>
      <c r="B16" s="89">
        <v>47013</v>
      </c>
      <c r="C16" s="111">
        <v>1</v>
      </c>
      <c r="D16" s="111">
        <v>4000000</v>
      </c>
      <c r="E16" s="140">
        <v>4701315</v>
      </c>
      <c r="F16" s="90" t="s">
        <v>245</v>
      </c>
      <c r="G16" s="90">
        <v>347</v>
      </c>
      <c r="H16" s="90">
        <v>1</v>
      </c>
      <c r="I16" s="90">
        <v>0</v>
      </c>
      <c r="J16" s="90">
        <v>0</v>
      </c>
      <c r="K16" s="90">
        <v>0</v>
      </c>
      <c r="L16" s="90">
        <v>0</v>
      </c>
      <c r="M16" s="90">
        <v>1</v>
      </c>
      <c r="N16" s="90">
        <v>1</v>
      </c>
      <c r="O16" s="90">
        <v>1</v>
      </c>
      <c r="P16" s="90" t="s">
        <v>161</v>
      </c>
      <c r="Q16" s="90" t="s">
        <v>249</v>
      </c>
      <c r="R16" s="90" t="s">
        <v>637</v>
      </c>
      <c r="S16" s="91" t="str">
        <f ca="1">CONCATENATE("スコアアタッククエスト",CHAR(13),score_attack_expanded_floors!$D$2,CHAR(13),"A評価報酬")</f>
        <v>スコアアタッククエスト_x000D_スカルズ襲来！_x000D_A評価報酬</v>
      </c>
      <c r="T16" s="51">
        <v>1</v>
      </c>
    </row>
    <row r="17" spans="1:20" ht="47" customHeight="1" x14ac:dyDescent="0.15">
      <c r="A17" s="89">
        <v>11</v>
      </c>
      <c r="B17" s="89">
        <v>47013</v>
      </c>
      <c r="C17" s="111">
        <v>1</v>
      </c>
      <c r="D17" s="110">
        <v>3000000</v>
      </c>
      <c r="E17" s="140">
        <v>4701316</v>
      </c>
      <c r="F17" s="90" t="s">
        <v>165</v>
      </c>
      <c r="G17" s="90">
        <v>100000</v>
      </c>
      <c r="H17" s="90" t="s">
        <v>164</v>
      </c>
      <c r="I17" s="90">
        <v>0</v>
      </c>
      <c r="J17" s="90">
        <v>0</v>
      </c>
      <c r="K17" s="90">
        <v>0</v>
      </c>
      <c r="L17" s="90">
        <v>0</v>
      </c>
      <c r="M17" s="90">
        <v>1</v>
      </c>
      <c r="N17" s="90">
        <v>1</v>
      </c>
      <c r="O17" s="90">
        <v>1</v>
      </c>
      <c r="P17" s="90" t="s">
        <v>161</v>
      </c>
      <c r="Q17" s="90" t="s">
        <v>250</v>
      </c>
      <c r="R17" s="90" t="s">
        <v>637</v>
      </c>
      <c r="S17" s="91" t="str">
        <f ca="1">CONCATENATE("スコアアタッククエスト",CHAR(13),score_attack_expanded_floors!$D$2,CHAR(13),"B評価報酬")</f>
        <v>スコアアタッククエスト_x000D_スカルズ襲来！_x000D_B評価報酬</v>
      </c>
      <c r="T17" s="51">
        <v>1</v>
      </c>
    </row>
    <row r="19" spans="1:20" x14ac:dyDescent="0.15">
      <c r="C19" s="112"/>
    </row>
    <row r="22" spans="1:20" ht="17" x14ac:dyDescent="0.2">
      <c r="E22" s="132"/>
      <c r="K22" s="133">
        <v>1</v>
      </c>
      <c r="L22" s="132" t="s">
        <v>236</v>
      </c>
    </row>
    <row r="23" spans="1:20" ht="17" x14ac:dyDescent="0.2">
      <c r="E23" s="132"/>
      <c r="K23" s="135">
        <v>2</v>
      </c>
      <c r="L23" s="132" t="s">
        <v>237</v>
      </c>
    </row>
    <row r="24" spans="1:20" ht="17" x14ac:dyDescent="0.2">
      <c r="E24" s="132"/>
      <c r="K24" s="135">
        <v>3</v>
      </c>
      <c r="L24" s="132" t="s">
        <v>238</v>
      </c>
    </row>
    <row r="25" spans="1:20" ht="17" x14ac:dyDescent="0.2">
      <c r="E25" s="132"/>
      <c r="K25" s="135">
        <v>4</v>
      </c>
      <c r="L25" s="132" t="s">
        <v>239</v>
      </c>
    </row>
    <row r="26" spans="1:20" ht="17" x14ac:dyDescent="0.2">
      <c r="E26" s="132"/>
      <c r="K26" s="135">
        <v>5</v>
      </c>
      <c r="L26" s="132" t="s">
        <v>240</v>
      </c>
    </row>
    <row r="27" spans="1:20" ht="18" thickBot="1" x14ac:dyDescent="0.25">
      <c r="E27" s="132"/>
      <c r="K27" s="136">
        <v>6</v>
      </c>
      <c r="L27" s="132" t="s">
        <v>241</v>
      </c>
    </row>
    <row r="28" spans="1:20" ht="16" thickTop="1" x14ac:dyDescent="0.15"/>
  </sheetData>
  <phoneticPr fontId="1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J1" workbookViewId="0">
      <selection activeCell="D11" sqref="D11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57" t="s">
        <v>63</v>
      </c>
      <c r="B1" s="59" t="s">
        <v>15</v>
      </c>
      <c r="C1" s="59" t="s">
        <v>20</v>
      </c>
      <c r="D1" s="57" t="s">
        <v>74</v>
      </c>
      <c r="E1" s="57" t="s">
        <v>75</v>
      </c>
      <c r="F1" s="74" t="s">
        <v>84</v>
      </c>
      <c r="G1" s="70" t="s">
        <v>76</v>
      </c>
      <c r="H1" s="71" t="s">
        <v>77</v>
      </c>
      <c r="I1" s="71" t="s">
        <v>78</v>
      </c>
      <c r="J1" s="71" t="s">
        <v>79</v>
      </c>
      <c r="K1" s="71" t="s">
        <v>103</v>
      </c>
      <c r="L1" s="71" t="s">
        <v>104</v>
      </c>
      <c r="M1" s="72" t="s">
        <v>105</v>
      </c>
      <c r="N1" s="72" t="s">
        <v>106</v>
      </c>
      <c r="O1" s="72" t="s">
        <v>107</v>
      </c>
      <c r="P1" s="72" t="s">
        <v>109</v>
      </c>
      <c r="Q1" s="72" t="s">
        <v>110</v>
      </c>
      <c r="R1" s="72" t="s">
        <v>80</v>
      </c>
      <c r="S1" s="72" t="s">
        <v>81</v>
      </c>
      <c r="T1" s="72" t="s">
        <v>82</v>
      </c>
      <c r="U1" s="72" t="s">
        <v>83</v>
      </c>
    </row>
    <row r="2" spans="1:21" ht="28" x14ac:dyDescent="0.15">
      <c r="A2" s="63">
        <f>score_attack_expanded_floors!$C$2</f>
        <v>47013</v>
      </c>
      <c r="B2" s="64" t="str">
        <f ca="1">VLOOKUP($A2,OFFSET([2]quests!$A$1,0,0,COUNTA([2]quests!$A:$A),MATCH(B$1,[2]quests!$1:$1,0)-MATCH($A$1,[2]quests!$1:$1,0)+1),MATCH(B$1,[2]quests!$1:$1,0)-MATCH($A$1,[2]quests!$1:$1,0)+1,FALSE)</f>
        <v>スカルズ襲来！</v>
      </c>
      <c r="C2" s="64" t="str">
        <f ca="1">VLOOKUP($A2,OFFSET([2]quests!$A$1,0,0,COUNTA([2]quests!$A:$A),MATCH(C$1,[2]quests!$1:$1,0)-MATCH($A$1,[2]quests!$1:$1,0)+1),MATCH(C$1,[2]quests!$1:$1,0)-MATCH($A$1,[2]quests!$1:$1,0)+1,FALSE)</f>
        <v>1000億パネル破壊記念イベント</v>
      </c>
      <c r="D2" s="94">
        <v>1</v>
      </c>
      <c r="E2" s="95">
        <v>1</v>
      </c>
      <c r="F2" s="73" t="str">
        <f>A2&amp;TEXT(E2,"0000")</f>
        <v>470130001</v>
      </c>
      <c r="G2" t="str">
        <f>F2&amp;TEXT(COUNTIF(F$2:F2,F2),"00")</f>
        <v>47013000101</v>
      </c>
      <c r="H2" s="75" t="s">
        <v>166</v>
      </c>
      <c r="I2" s="75">
        <v>601</v>
      </c>
      <c r="J2" s="75">
        <v>1</v>
      </c>
      <c r="K2" s="75">
        <v>0</v>
      </c>
      <c r="L2" s="75">
        <v>0</v>
      </c>
      <c r="M2" s="75">
        <v>0</v>
      </c>
      <c r="N2" s="75">
        <v>0</v>
      </c>
      <c r="O2" s="75">
        <v>1</v>
      </c>
      <c r="P2" s="75">
        <v>1</v>
      </c>
      <c r="Q2" s="75">
        <v>1</v>
      </c>
      <c r="R2" s="75" t="s">
        <v>148</v>
      </c>
      <c r="S2" s="75" t="s">
        <v>167</v>
      </c>
      <c r="T2" s="75" t="s">
        <v>168</v>
      </c>
      <c r="U2" s="76" t="s">
        <v>169</v>
      </c>
    </row>
    <row r="3" spans="1:21" ht="28" x14ac:dyDescent="0.15">
      <c r="A3" s="63">
        <f>score_attack_expanded_floors!$C$2</f>
        <v>47013</v>
      </c>
      <c r="B3" s="64" t="str">
        <f ca="1">VLOOKUP($A3,OFFSET([2]quests!$A$1,0,0,COUNTA([2]quests!$A:$A),MATCH(B$1,[2]quests!$1:$1,0)-MATCH($A$1,[2]quests!$1:$1,0)+1),MATCH(B$1,[2]quests!$1:$1,0)-MATCH($A$1,[2]quests!$1:$1,0)+1,FALSE)</f>
        <v>スカルズ襲来！</v>
      </c>
      <c r="C3" s="64" t="str">
        <f ca="1">VLOOKUP($A3,OFFSET([2]quests!$A$1,0,0,COUNTA([2]quests!$A:$A),MATCH(C$1,[2]quests!$1:$1,0)-MATCH($A$1,[2]quests!$1:$1,0)+1),MATCH(C$1,[2]quests!$1:$1,0)-MATCH($A$1,[2]quests!$1:$1,0)+1,FALSE)</f>
        <v>1000億パネル破壊記念イベント</v>
      </c>
      <c r="D3" s="94">
        <v>1</v>
      </c>
      <c r="E3" s="95">
        <v>1</v>
      </c>
      <c r="F3" s="73" t="str">
        <f t="shared" ref="F3:F42" si="0">A3&amp;TEXT(E3,"0000")</f>
        <v>470130001</v>
      </c>
      <c r="G3" t="str">
        <f>F3&amp;TEXT(COUNTIF(F$2:F3,F3),"00")</f>
        <v>47013000102</v>
      </c>
      <c r="H3" s="75" t="s">
        <v>166</v>
      </c>
      <c r="I3" s="75">
        <v>600</v>
      </c>
      <c r="J3" s="75">
        <v>2</v>
      </c>
      <c r="K3" s="75">
        <v>0</v>
      </c>
      <c r="L3" s="75">
        <v>0</v>
      </c>
      <c r="M3" s="75">
        <v>0</v>
      </c>
      <c r="N3" s="75">
        <v>0</v>
      </c>
      <c r="O3" s="75">
        <v>1</v>
      </c>
      <c r="P3" s="75">
        <v>1</v>
      </c>
      <c r="Q3" s="75">
        <v>1</v>
      </c>
      <c r="R3" s="75" t="s">
        <v>148</v>
      </c>
      <c r="S3" s="75" t="s">
        <v>170</v>
      </c>
      <c r="T3" s="75" t="s">
        <v>168</v>
      </c>
      <c r="U3" s="76" t="s">
        <v>169</v>
      </c>
    </row>
    <row r="4" spans="1:21" ht="28" x14ac:dyDescent="0.15">
      <c r="A4" s="63">
        <f>score_attack_expanded_floors!$C$2</f>
        <v>47013</v>
      </c>
      <c r="B4" s="64" t="str">
        <f ca="1">VLOOKUP($A4,OFFSET([2]quests!$A$1,0,0,COUNTA([2]quests!$A:$A),MATCH(B$1,[2]quests!$1:$1,0)-MATCH($A$1,[2]quests!$1:$1,0)+1),MATCH(B$1,[2]quests!$1:$1,0)-MATCH($A$1,[2]quests!$1:$1,0)+1,FALSE)</f>
        <v>スカルズ襲来！</v>
      </c>
      <c r="C4" s="64" t="str">
        <f ca="1">VLOOKUP($A4,OFFSET([2]quests!$A$1,0,0,COUNTA([2]quests!$A:$A),MATCH(C$1,[2]quests!$1:$1,0)-MATCH($A$1,[2]quests!$1:$1,0)+1),MATCH(C$1,[2]quests!$1:$1,0)-MATCH($A$1,[2]quests!$1:$1,0)+1,FALSE)</f>
        <v>1000億パネル破壊記念イベント</v>
      </c>
      <c r="D4" s="94">
        <v>1</v>
      </c>
      <c r="E4" s="95">
        <v>1</v>
      </c>
      <c r="F4" s="73" t="str">
        <f t="shared" si="0"/>
        <v>470130001</v>
      </c>
      <c r="G4" t="str">
        <f>F4&amp;TEXT(COUNTIF(F$2:F4,F4),"00")</f>
        <v>47013000103</v>
      </c>
      <c r="H4" s="75" t="s">
        <v>171</v>
      </c>
      <c r="I4" s="75">
        <v>10</v>
      </c>
      <c r="J4" s="75" t="s">
        <v>172</v>
      </c>
      <c r="K4" s="75">
        <v>0</v>
      </c>
      <c r="L4" s="75">
        <v>0</v>
      </c>
      <c r="M4" s="75">
        <v>0</v>
      </c>
      <c r="N4" s="75">
        <v>0</v>
      </c>
      <c r="O4" s="75">
        <v>1</v>
      </c>
      <c r="P4" s="75">
        <v>1</v>
      </c>
      <c r="Q4" s="75">
        <v>1</v>
      </c>
      <c r="R4" s="75" t="s">
        <v>148</v>
      </c>
      <c r="S4" s="75" t="s">
        <v>173</v>
      </c>
      <c r="T4" s="75" t="s">
        <v>168</v>
      </c>
      <c r="U4" s="76" t="s">
        <v>169</v>
      </c>
    </row>
    <row r="5" spans="1:21" ht="28" x14ac:dyDescent="0.15">
      <c r="A5" s="63">
        <f>score_attack_expanded_floors!$C$2</f>
        <v>47013</v>
      </c>
      <c r="B5" s="64" t="str">
        <f ca="1">VLOOKUP($A5,OFFSET([2]quests!$A$1,0,0,COUNTA([2]quests!$A:$A),MATCH(B$1,[2]quests!$1:$1,0)-MATCH($A$1,[2]quests!$1:$1,0)+1),MATCH(B$1,[2]quests!$1:$1,0)-MATCH($A$1,[2]quests!$1:$1,0)+1,FALSE)</f>
        <v>スカルズ襲来！</v>
      </c>
      <c r="C5" s="64" t="str">
        <f ca="1">VLOOKUP($A5,OFFSET([2]quests!$A$1,0,0,COUNTA([2]quests!$A:$A),MATCH(C$1,[2]quests!$1:$1,0)-MATCH($A$1,[2]quests!$1:$1,0)+1),MATCH(C$1,[2]quests!$1:$1,0)-MATCH($A$1,[2]quests!$1:$1,0)+1,FALSE)</f>
        <v>1000億パネル破壊記念イベント</v>
      </c>
      <c r="D5" s="94">
        <v>1</v>
      </c>
      <c r="E5" s="95">
        <v>1</v>
      </c>
      <c r="F5" s="73" t="str">
        <f t="shared" si="0"/>
        <v>470130001</v>
      </c>
      <c r="G5" t="str">
        <f>F5&amp;TEXT(COUNTIF(F$2:F5,F5),"00")</f>
        <v>47013000104</v>
      </c>
      <c r="H5" s="75" t="s">
        <v>174</v>
      </c>
      <c r="I5" s="75">
        <v>837</v>
      </c>
      <c r="J5" s="75">
        <v>1</v>
      </c>
      <c r="K5" s="75">
        <v>0</v>
      </c>
      <c r="L5" s="75">
        <v>0</v>
      </c>
      <c r="M5" s="75">
        <v>0</v>
      </c>
      <c r="N5" s="75">
        <v>0</v>
      </c>
      <c r="O5" s="75">
        <v>1</v>
      </c>
      <c r="P5" s="75">
        <v>1</v>
      </c>
      <c r="Q5" s="75">
        <v>1</v>
      </c>
      <c r="R5" s="75" t="s">
        <v>148</v>
      </c>
      <c r="S5" s="75" t="s">
        <v>175</v>
      </c>
      <c r="T5" s="75" t="s">
        <v>168</v>
      </c>
      <c r="U5" s="76" t="s">
        <v>169</v>
      </c>
    </row>
    <row r="6" spans="1:21" ht="28" x14ac:dyDescent="0.15">
      <c r="A6" s="63">
        <f>score_attack_expanded_floors!$C$2</f>
        <v>47013</v>
      </c>
      <c r="B6" s="64" t="str">
        <f ca="1">VLOOKUP($A6,OFFSET([2]quests!$A$1,0,0,COUNTA([2]quests!$A:$A),MATCH(B$1,[2]quests!$1:$1,0)-MATCH($A$1,[2]quests!$1:$1,0)+1),MATCH(B$1,[2]quests!$1:$1,0)-MATCH($A$1,[2]quests!$1:$1,0)+1,FALSE)</f>
        <v>スカルズ襲来！</v>
      </c>
      <c r="C6" s="64" t="str">
        <f ca="1">VLOOKUP($A6,OFFSET([2]quests!$A$1,0,0,COUNTA([2]quests!$A:$A),MATCH(C$1,[2]quests!$1:$1,0)-MATCH($A$1,[2]quests!$1:$1,0)+1),MATCH(C$1,[2]quests!$1:$1,0)-MATCH($A$1,[2]quests!$1:$1,0)+1,FALSE)</f>
        <v>1000億パネル破壊記念イベント</v>
      </c>
      <c r="D6" s="94">
        <v>1</v>
      </c>
      <c r="E6" s="95">
        <v>1</v>
      </c>
      <c r="F6" s="73" t="str">
        <f t="shared" si="0"/>
        <v>470130001</v>
      </c>
      <c r="G6" t="str">
        <f>F6&amp;TEXT(COUNTIF(F$2:F6,F6),"00")</f>
        <v>47013000105</v>
      </c>
      <c r="H6" s="75" t="s">
        <v>174</v>
      </c>
      <c r="I6" s="75">
        <v>614</v>
      </c>
      <c r="J6" s="75">
        <v>1</v>
      </c>
      <c r="K6" s="75">
        <v>0</v>
      </c>
      <c r="L6" s="75">
        <v>0</v>
      </c>
      <c r="M6" s="75">
        <v>0</v>
      </c>
      <c r="N6" s="75">
        <v>0</v>
      </c>
      <c r="O6" s="75">
        <v>1</v>
      </c>
      <c r="P6" s="75">
        <v>1</v>
      </c>
      <c r="Q6" s="75">
        <v>1</v>
      </c>
      <c r="R6" s="75" t="s">
        <v>148</v>
      </c>
      <c r="S6" s="75" t="s">
        <v>176</v>
      </c>
      <c r="T6" s="75" t="s">
        <v>168</v>
      </c>
      <c r="U6" s="76" t="s">
        <v>169</v>
      </c>
    </row>
    <row r="7" spans="1:21" ht="28" x14ac:dyDescent="0.15">
      <c r="A7" s="63">
        <f>score_attack_expanded_floors!$C$2</f>
        <v>47013</v>
      </c>
      <c r="B7" s="64" t="str">
        <f ca="1">VLOOKUP($A7,OFFSET([2]quests!$A$1,0,0,COUNTA([2]quests!$A:$A),MATCH(B$1,[2]quests!$1:$1,0)-MATCH($A$1,[2]quests!$1:$1,0)+1),MATCH(B$1,[2]quests!$1:$1,0)-MATCH($A$1,[2]quests!$1:$1,0)+1,FALSE)</f>
        <v>スカルズ襲来！</v>
      </c>
      <c r="C7" s="64" t="str">
        <f ca="1">VLOOKUP($A7,OFFSET([2]quests!$A$1,0,0,COUNTA([2]quests!$A:$A),MATCH(C$1,[2]quests!$1:$1,0)-MATCH($A$1,[2]quests!$1:$1,0)+1),MATCH(C$1,[2]quests!$1:$1,0)-MATCH($A$1,[2]quests!$1:$1,0)+1,FALSE)</f>
        <v>1000億パネル破壊記念イベント</v>
      </c>
      <c r="D7" s="94">
        <v>2</v>
      </c>
      <c r="E7" s="95">
        <v>2</v>
      </c>
      <c r="F7" s="73" t="str">
        <f t="shared" si="0"/>
        <v>470130002</v>
      </c>
      <c r="G7" t="str">
        <f>F7&amp;TEXT(COUNTIF(F$2:F7,F7),"00")</f>
        <v>47013000201</v>
      </c>
      <c r="H7" s="75" t="s">
        <v>166</v>
      </c>
      <c r="I7" s="75">
        <v>601</v>
      </c>
      <c r="J7" s="75">
        <v>1</v>
      </c>
      <c r="K7" s="75">
        <v>0</v>
      </c>
      <c r="L7" s="75">
        <v>0</v>
      </c>
      <c r="M7" s="75">
        <v>0</v>
      </c>
      <c r="N7" s="75">
        <v>0</v>
      </c>
      <c r="O7" s="75">
        <v>1</v>
      </c>
      <c r="P7" s="75">
        <v>1</v>
      </c>
      <c r="Q7" s="75">
        <v>1</v>
      </c>
      <c r="R7" s="75" t="s">
        <v>148</v>
      </c>
      <c r="S7" s="75" t="s">
        <v>167</v>
      </c>
      <c r="T7" s="75" t="s">
        <v>168</v>
      </c>
      <c r="U7" s="76" t="s">
        <v>169</v>
      </c>
    </row>
    <row r="8" spans="1:21" ht="28" x14ac:dyDescent="0.15">
      <c r="A8" s="63">
        <f>score_attack_expanded_floors!$C$2</f>
        <v>47013</v>
      </c>
      <c r="B8" s="64" t="str">
        <f ca="1">VLOOKUP($A8,OFFSET([2]quests!$A$1,0,0,COUNTA([2]quests!$A:$A),MATCH(B$1,[2]quests!$1:$1,0)-MATCH($A$1,[2]quests!$1:$1,0)+1),MATCH(B$1,[2]quests!$1:$1,0)-MATCH($A$1,[2]quests!$1:$1,0)+1,FALSE)</f>
        <v>スカルズ襲来！</v>
      </c>
      <c r="C8" s="64" t="str">
        <f ca="1">VLOOKUP($A8,OFFSET([2]quests!$A$1,0,0,COUNTA([2]quests!$A:$A),MATCH(C$1,[2]quests!$1:$1,0)-MATCH($A$1,[2]quests!$1:$1,0)+1),MATCH(C$1,[2]quests!$1:$1,0)-MATCH($A$1,[2]quests!$1:$1,0)+1,FALSE)</f>
        <v>1000億パネル破壊記念イベント</v>
      </c>
      <c r="D8" s="94">
        <v>2</v>
      </c>
      <c r="E8" s="95">
        <v>2</v>
      </c>
      <c r="F8" s="73" t="str">
        <f t="shared" si="0"/>
        <v>470130002</v>
      </c>
      <c r="G8" t="str">
        <f>F8&amp;TEXT(COUNTIF(F$2:F8,F8),"00")</f>
        <v>47013000202</v>
      </c>
      <c r="H8" s="75" t="s">
        <v>166</v>
      </c>
      <c r="I8" s="75">
        <v>600</v>
      </c>
      <c r="J8" s="75">
        <v>1</v>
      </c>
      <c r="K8" s="75">
        <v>0</v>
      </c>
      <c r="L8" s="75">
        <v>0</v>
      </c>
      <c r="M8" s="75">
        <v>0</v>
      </c>
      <c r="N8" s="75">
        <v>0</v>
      </c>
      <c r="O8" s="75">
        <v>1</v>
      </c>
      <c r="P8" s="75">
        <v>1</v>
      </c>
      <c r="Q8" s="75">
        <v>1</v>
      </c>
      <c r="R8" s="75" t="s">
        <v>148</v>
      </c>
      <c r="S8" s="75" t="s">
        <v>177</v>
      </c>
      <c r="T8" s="75" t="s">
        <v>168</v>
      </c>
      <c r="U8" s="76" t="s">
        <v>169</v>
      </c>
    </row>
    <row r="9" spans="1:21" ht="28" x14ac:dyDescent="0.15">
      <c r="A9" s="63">
        <f>score_attack_expanded_floors!$C$2</f>
        <v>47013</v>
      </c>
      <c r="B9" s="64" t="str">
        <f ca="1">VLOOKUP($A9,OFFSET([2]quests!$A$1,0,0,COUNTA([2]quests!$A:$A),MATCH(B$1,[2]quests!$1:$1,0)-MATCH($A$1,[2]quests!$1:$1,0)+1),MATCH(B$1,[2]quests!$1:$1,0)-MATCH($A$1,[2]quests!$1:$1,0)+1,FALSE)</f>
        <v>スカルズ襲来！</v>
      </c>
      <c r="C9" s="64" t="str">
        <f ca="1">VLOOKUP($A9,OFFSET([2]quests!$A$1,0,0,COUNTA([2]quests!$A:$A),MATCH(C$1,[2]quests!$1:$1,0)-MATCH($A$1,[2]quests!$1:$1,0)+1),MATCH(C$1,[2]quests!$1:$1,0)-MATCH($A$1,[2]quests!$1:$1,0)+1,FALSE)</f>
        <v>1000億パネル破壊記念イベント</v>
      </c>
      <c r="D9" s="94">
        <v>2</v>
      </c>
      <c r="E9" s="95">
        <v>2</v>
      </c>
      <c r="F9" s="73" t="str">
        <f t="shared" si="0"/>
        <v>470130002</v>
      </c>
      <c r="G9" t="str">
        <f>F9&amp;TEXT(COUNTIF(F$2:F9,F9),"00")</f>
        <v>47013000203</v>
      </c>
      <c r="H9" s="75" t="s">
        <v>171</v>
      </c>
      <c r="I9" s="75">
        <v>5</v>
      </c>
      <c r="J9" s="75" t="s">
        <v>172</v>
      </c>
      <c r="K9" s="75">
        <v>0</v>
      </c>
      <c r="L9" s="75">
        <v>0</v>
      </c>
      <c r="M9" s="75">
        <v>0</v>
      </c>
      <c r="N9" s="75">
        <v>0</v>
      </c>
      <c r="O9" s="75">
        <v>1</v>
      </c>
      <c r="P9" s="75">
        <v>1</v>
      </c>
      <c r="Q9" s="75">
        <v>1</v>
      </c>
      <c r="R9" s="75" t="s">
        <v>148</v>
      </c>
      <c r="S9" s="75" t="s">
        <v>178</v>
      </c>
      <c r="T9" s="75" t="s">
        <v>168</v>
      </c>
      <c r="U9" s="76" t="s">
        <v>169</v>
      </c>
    </row>
    <row r="10" spans="1:21" ht="28" x14ac:dyDescent="0.15">
      <c r="A10" s="63">
        <f>score_attack_expanded_floors!$C$2</f>
        <v>47013</v>
      </c>
      <c r="B10" s="64" t="str">
        <f ca="1">VLOOKUP($A10,OFFSET([2]quests!$A$1,0,0,COUNTA([2]quests!$A:$A),MATCH(B$1,[2]quests!$1:$1,0)-MATCH($A$1,[2]quests!$1:$1,0)+1),MATCH(B$1,[2]quests!$1:$1,0)-MATCH($A$1,[2]quests!$1:$1,0)+1,FALSE)</f>
        <v>スカルズ襲来！</v>
      </c>
      <c r="C10" s="64" t="str">
        <f ca="1">VLOOKUP($A10,OFFSET([2]quests!$A$1,0,0,COUNTA([2]quests!$A:$A),MATCH(C$1,[2]quests!$1:$1,0)-MATCH($A$1,[2]quests!$1:$1,0)+1),MATCH(C$1,[2]quests!$1:$1,0)-MATCH($A$1,[2]quests!$1:$1,0)+1,FALSE)</f>
        <v>1000億パネル破壊記念イベント</v>
      </c>
      <c r="D10" s="94">
        <v>2</v>
      </c>
      <c r="E10" s="95">
        <v>2</v>
      </c>
      <c r="F10" s="73" t="str">
        <f t="shared" si="0"/>
        <v>470130002</v>
      </c>
      <c r="G10" t="str">
        <f>F10&amp;TEXT(COUNTIF(F$2:F10,F10),"00")</f>
        <v>47013000204</v>
      </c>
      <c r="H10" s="75" t="s">
        <v>174</v>
      </c>
      <c r="I10" s="75">
        <v>610</v>
      </c>
      <c r="J10" s="75">
        <v>1</v>
      </c>
      <c r="K10" s="75">
        <v>0</v>
      </c>
      <c r="L10" s="75">
        <v>0</v>
      </c>
      <c r="M10" s="75">
        <v>0</v>
      </c>
      <c r="N10" s="75">
        <v>0</v>
      </c>
      <c r="O10" s="75">
        <v>1</v>
      </c>
      <c r="P10" s="75">
        <v>1</v>
      </c>
      <c r="Q10" s="75">
        <v>1</v>
      </c>
      <c r="R10" s="75" t="s">
        <v>148</v>
      </c>
      <c r="S10" s="75" t="s">
        <v>179</v>
      </c>
      <c r="T10" s="75" t="s">
        <v>168</v>
      </c>
      <c r="U10" s="76" t="s">
        <v>169</v>
      </c>
    </row>
    <row r="11" spans="1:21" ht="28" x14ac:dyDescent="0.15">
      <c r="A11" s="63">
        <f>score_attack_expanded_floors!$C$2</f>
        <v>47013</v>
      </c>
      <c r="B11" s="64" t="str">
        <f ca="1">VLOOKUP($A11,OFFSET([2]quests!$A$1,0,0,COUNTA([2]quests!$A:$A),MATCH(B$1,[2]quests!$1:$1,0)-MATCH($A$1,[2]quests!$1:$1,0)+1),MATCH(B$1,[2]quests!$1:$1,0)-MATCH($A$1,[2]quests!$1:$1,0)+1,FALSE)</f>
        <v>スカルズ襲来！</v>
      </c>
      <c r="C11" s="64" t="str">
        <f ca="1">VLOOKUP($A11,OFFSET([2]quests!$A$1,0,0,COUNTA([2]quests!$A:$A),MATCH(C$1,[2]quests!$1:$1,0)-MATCH($A$1,[2]quests!$1:$1,0)+1),MATCH(C$1,[2]quests!$1:$1,0)-MATCH($A$1,[2]quests!$1:$1,0)+1,FALSE)</f>
        <v>1000億パネル破壊記念イベント</v>
      </c>
      <c r="D11" s="94">
        <v>2</v>
      </c>
      <c r="E11" s="95">
        <v>2</v>
      </c>
      <c r="F11" s="73" t="str">
        <f t="shared" si="0"/>
        <v>470130002</v>
      </c>
      <c r="G11" t="str">
        <f>F11&amp;TEXT(COUNTIF(F$2:F11,F11),"00")</f>
        <v>47013000205</v>
      </c>
      <c r="H11" s="75" t="s">
        <v>166</v>
      </c>
      <c r="I11" s="75">
        <v>1</v>
      </c>
      <c r="J11" s="75">
        <v>3</v>
      </c>
      <c r="K11" s="75">
        <v>0</v>
      </c>
      <c r="L11" s="75">
        <v>0</v>
      </c>
      <c r="M11" s="75">
        <v>0</v>
      </c>
      <c r="N11" s="75">
        <v>0</v>
      </c>
      <c r="O11" s="75">
        <v>1</v>
      </c>
      <c r="P11" s="75">
        <v>1</v>
      </c>
      <c r="Q11" s="75">
        <v>1</v>
      </c>
      <c r="R11" s="75" t="s">
        <v>148</v>
      </c>
      <c r="S11" s="75" t="s">
        <v>180</v>
      </c>
      <c r="T11" s="75" t="s">
        <v>168</v>
      </c>
      <c r="U11" s="76" t="s">
        <v>169</v>
      </c>
    </row>
    <row r="12" spans="1:21" ht="28" x14ac:dyDescent="0.15">
      <c r="A12" s="63">
        <f>score_attack_expanded_floors!$C$2</f>
        <v>47013</v>
      </c>
      <c r="B12" s="64" t="str">
        <f ca="1">VLOOKUP($A12,OFFSET([2]quests!$A$1,0,0,COUNTA([2]quests!$A:$A),MATCH(B$1,[2]quests!$1:$1,0)-MATCH($A$1,[2]quests!$1:$1,0)+1),MATCH(B$1,[2]quests!$1:$1,0)-MATCH($A$1,[2]quests!$1:$1,0)+1,FALSE)</f>
        <v>スカルズ襲来！</v>
      </c>
      <c r="C12" s="64" t="str">
        <f ca="1">VLOOKUP($A12,OFFSET([2]quests!$A$1,0,0,COUNTA([2]quests!$A:$A),MATCH(C$1,[2]quests!$1:$1,0)-MATCH($A$1,[2]quests!$1:$1,0)+1),MATCH(C$1,[2]quests!$1:$1,0)-MATCH($A$1,[2]quests!$1:$1,0)+1,FALSE)</f>
        <v>1000億パネル破壊記念イベント</v>
      </c>
      <c r="D12" s="94">
        <v>3</v>
      </c>
      <c r="E12" s="95">
        <v>3</v>
      </c>
      <c r="F12" s="73" t="str">
        <f t="shared" si="0"/>
        <v>470130003</v>
      </c>
      <c r="G12" t="str">
        <f>F12&amp;TEXT(COUNTIF(F$2:F12,F12),"00")</f>
        <v>47013000301</v>
      </c>
      <c r="H12" s="75" t="s">
        <v>166</v>
      </c>
      <c r="I12" s="75">
        <v>600</v>
      </c>
      <c r="J12" s="75">
        <v>3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1</v>
      </c>
      <c r="Q12" s="75">
        <v>1</v>
      </c>
      <c r="R12" s="75" t="s">
        <v>148</v>
      </c>
      <c r="S12" s="75" t="s">
        <v>181</v>
      </c>
      <c r="T12" s="75" t="s">
        <v>168</v>
      </c>
      <c r="U12" s="76" t="s">
        <v>169</v>
      </c>
    </row>
    <row r="13" spans="1:21" ht="28" x14ac:dyDescent="0.15">
      <c r="A13" s="63">
        <f>score_attack_expanded_floors!$C$2</f>
        <v>47013</v>
      </c>
      <c r="B13" s="64" t="str">
        <f ca="1">VLOOKUP($A13,OFFSET([2]quests!$A$1,0,0,COUNTA([2]quests!$A:$A),MATCH(B$1,[2]quests!$1:$1,0)-MATCH($A$1,[2]quests!$1:$1,0)+1),MATCH(B$1,[2]quests!$1:$1,0)-MATCH($A$1,[2]quests!$1:$1,0)+1,FALSE)</f>
        <v>スカルズ襲来！</v>
      </c>
      <c r="C13" s="64" t="str">
        <f ca="1">VLOOKUP($A13,OFFSET([2]quests!$A$1,0,0,COUNTA([2]quests!$A:$A),MATCH(C$1,[2]quests!$1:$1,0)-MATCH($A$1,[2]quests!$1:$1,0)+1),MATCH(C$1,[2]quests!$1:$1,0)-MATCH($A$1,[2]quests!$1:$1,0)+1,FALSE)</f>
        <v>1000億パネル破壊記念イベント</v>
      </c>
      <c r="D13" s="94">
        <v>3</v>
      </c>
      <c r="E13" s="95">
        <v>3</v>
      </c>
      <c r="F13" s="73" t="str">
        <f t="shared" si="0"/>
        <v>470130003</v>
      </c>
      <c r="G13" t="str">
        <f>F13&amp;TEXT(COUNTIF(F$2:F13,F13),"00")</f>
        <v>47013000302</v>
      </c>
      <c r="H13" s="75" t="s">
        <v>174</v>
      </c>
      <c r="I13" s="75">
        <v>335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1</v>
      </c>
      <c r="Q13" s="75">
        <v>1</v>
      </c>
      <c r="R13" s="75" t="s">
        <v>148</v>
      </c>
      <c r="S13" s="75" t="s">
        <v>182</v>
      </c>
      <c r="T13" s="75" t="s">
        <v>168</v>
      </c>
      <c r="U13" s="76" t="s">
        <v>169</v>
      </c>
    </row>
    <row r="14" spans="1:21" ht="28" x14ac:dyDescent="0.15">
      <c r="A14" s="63">
        <f>score_attack_expanded_floors!$C$2</f>
        <v>47013</v>
      </c>
      <c r="B14" s="64" t="str">
        <f ca="1">VLOOKUP($A14,OFFSET([2]quests!$A$1,0,0,COUNTA([2]quests!$A:$A),MATCH(B$1,[2]quests!$1:$1,0)-MATCH($A$1,[2]quests!$1:$1,0)+1),MATCH(B$1,[2]quests!$1:$1,0)-MATCH($A$1,[2]quests!$1:$1,0)+1,FALSE)</f>
        <v>スカルズ襲来！</v>
      </c>
      <c r="C14" s="64" t="str">
        <f ca="1">VLOOKUP($A14,OFFSET([2]quests!$A$1,0,0,COUNTA([2]quests!$A:$A),MATCH(C$1,[2]quests!$1:$1,0)-MATCH($A$1,[2]quests!$1:$1,0)+1),MATCH(C$1,[2]quests!$1:$1,0)-MATCH($A$1,[2]quests!$1:$1,0)+1,FALSE)</f>
        <v>1000億パネル破壊記念イベント</v>
      </c>
      <c r="D14" s="94">
        <v>3</v>
      </c>
      <c r="E14" s="95">
        <v>3</v>
      </c>
      <c r="F14" s="73" t="str">
        <f t="shared" si="0"/>
        <v>470130003</v>
      </c>
      <c r="G14" t="str">
        <f>F14&amp;TEXT(COUNTIF(F$2:F14,F14),"00")</f>
        <v>47013000303</v>
      </c>
      <c r="H14" s="75" t="s">
        <v>174</v>
      </c>
      <c r="I14" s="75">
        <v>339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1</v>
      </c>
      <c r="Q14" s="75">
        <v>1</v>
      </c>
      <c r="R14" s="75" t="s">
        <v>148</v>
      </c>
      <c r="S14" s="75" t="s">
        <v>183</v>
      </c>
      <c r="T14" s="75" t="s">
        <v>168</v>
      </c>
      <c r="U14" s="76" t="s">
        <v>169</v>
      </c>
    </row>
    <row r="15" spans="1:21" ht="28" x14ac:dyDescent="0.15">
      <c r="A15" s="63">
        <f>score_attack_expanded_floors!$C$2</f>
        <v>47013</v>
      </c>
      <c r="B15" s="64" t="str">
        <f ca="1">VLOOKUP($A15,OFFSET([2]quests!$A$1,0,0,COUNTA([2]quests!$A:$A),MATCH(B$1,[2]quests!$1:$1,0)-MATCH($A$1,[2]quests!$1:$1,0)+1),MATCH(B$1,[2]quests!$1:$1,0)-MATCH($A$1,[2]quests!$1:$1,0)+1,FALSE)</f>
        <v>スカルズ襲来！</v>
      </c>
      <c r="C15" s="64" t="str">
        <f ca="1">VLOOKUP($A15,OFFSET([2]quests!$A$1,0,0,COUNTA([2]quests!$A:$A),MATCH(C$1,[2]quests!$1:$1,0)-MATCH($A$1,[2]quests!$1:$1,0)+1),MATCH(C$1,[2]quests!$1:$1,0)-MATCH($A$1,[2]quests!$1:$1,0)+1,FALSE)</f>
        <v>1000億パネル破壊記念イベント</v>
      </c>
      <c r="D15" s="94">
        <v>3</v>
      </c>
      <c r="E15" s="95">
        <v>3</v>
      </c>
      <c r="F15" s="73" t="str">
        <f t="shared" si="0"/>
        <v>470130003</v>
      </c>
      <c r="G15" t="str">
        <f>F15&amp;TEXT(COUNTIF(F$2:F15,F15),"00")</f>
        <v>47013000304</v>
      </c>
      <c r="H15" s="75" t="s">
        <v>174</v>
      </c>
      <c r="I15" s="75">
        <v>343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1</v>
      </c>
      <c r="Q15" s="75">
        <v>1</v>
      </c>
      <c r="R15" s="75" t="s">
        <v>148</v>
      </c>
      <c r="S15" s="75" t="s">
        <v>184</v>
      </c>
      <c r="T15" s="75" t="s">
        <v>168</v>
      </c>
      <c r="U15" s="76" t="s">
        <v>169</v>
      </c>
    </row>
    <row r="16" spans="1:21" ht="28" x14ac:dyDescent="0.15">
      <c r="A16" s="63">
        <f>score_attack_expanded_floors!$C$2</f>
        <v>47013</v>
      </c>
      <c r="B16" s="64" t="str">
        <f ca="1">VLOOKUP($A16,OFFSET([2]quests!$A$1,0,0,COUNTA([2]quests!$A:$A),MATCH(B$1,[2]quests!$1:$1,0)-MATCH($A$1,[2]quests!$1:$1,0)+1),MATCH(B$1,[2]quests!$1:$1,0)-MATCH($A$1,[2]quests!$1:$1,0)+1,FALSE)</f>
        <v>スカルズ襲来！</v>
      </c>
      <c r="C16" s="64" t="str">
        <f ca="1">VLOOKUP($A16,OFFSET([2]quests!$A$1,0,0,COUNTA([2]quests!$A:$A),MATCH(C$1,[2]quests!$1:$1,0)-MATCH($A$1,[2]quests!$1:$1,0)+1),MATCH(C$1,[2]quests!$1:$1,0)-MATCH($A$1,[2]quests!$1:$1,0)+1,FALSE)</f>
        <v>1000億パネル破壊記念イベント</v>
      </c>
      <c r="D16" s="94">
        <v>3</v>
      </c>
      <c r="E16" s="95">
        <v>3</v>
      </c>
      <c r="F16" s="73" t="str">
        <f t="shared" si="0"/>
        <v>470130003</v>
      </c>
      <c r="G16" t="str">
        <f>F16&amp;TEXT(COUNTIF(F$2:F16,F16),"00")</f>
        <v>47013000305</v>
      </c>
      <c r="H16" s="75" t="s">
        <v>174</v>
      </c>
      <c r="I16" s="75">
        <v>347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1</v>
      </c>
      <c r="Q16" s="75">
        <v>1</v>
      </c>
      <c r="R16" s="75" t="s">
        <v>148</v>
      </c>
      <c r="S16" s="75" t="s">
        <v>185</v>
      </c>
      <c r="T16" s="75" t="s">
        <v>168</v>
      </c>
      <c r="U16" s="76" t="s">
        <v>169</v>
      </c>
    </row>
    <row r="17" spans="1:21" ht="28" x14ac:dyDescent="0.15">
      <c r="A17" s="63">
        <f>score_attack_expanded_floors!$C$2</f>
        <v>47013</v>
      </c>
      <c r="B17" s="64" t="str">
        <f ca="1">VLOOKUP($A17,OFFSET([2]quests!$A$1,0,0,COUNTA([2]quests!$A:$A),MATCH(B$1,[2]quests!$1:$1,0)-MATCH($A$1,[2]quests!$1:$1,0)+1),MATCH(B$1,[2]quests!$1:$1,0)-MATCH($A$1,[2]quests!$1:$1,0)+1,FALSE)</f>
        <v>スカルズ襲来！</v>
      </c>
      <c r="C17" s="64" t="str">
        <f ca="1">VLOOKUP($A17,OFFSET([2]quests!$A$1,0,0,COUNTA([2]quests!$A:$A),MATCH(C$1,[2]quests!$1:$1,0)-MATCH($A$1,[2]quests!$1:$1,0)+1),MATCH(C$1,[2]quests!$1:$1,0)-MATCH($A$1,[2]quests!$1:$1,0)+1,FALSE)</f>
        <v>1000億パネル破壊記念イベント</v>
      </c>
      <c r="D17" s="94">
        <v>3</v>
      </c>
      <c r="E17" s="95">
        <v>3</v>
      </c>
      <c r="F17" s="73" t="str">
        <f t="shared" si="0"/>
        <v>470130003</v>
      </c>
      <c r="G17" t="str">
        <f>F17&amp;TEXT(COUNTIF(F$2:F17,F17),"00")</f>
        <v>47013000306</v>
      </c>
      <c r="H17" s="75" t="s">
        <v>171</v>
      </c>
      <c r="I17" s="75">
        <v>5</v>
      </c>
      <c r="J17" s="75" t="s">
        <v>172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1</v>
      </c>
      <c r="Q17" s="75">
        <v>1</v>
      </c>
      <c r="R17" s="75" t="s">
        <v>148</v>
      </c>
      <c r="S17" s="75" t="s">
        <v>178</v>
      </c>
      <c r="T17" s="75" t="s">
        <v>168</v>
      </c>
      <c r="U17" s="76" t="s">
        <v>169</v>
      </c>
    </row>
    <row r="18" spans="1:21" ht="28" x14ac:dyDescent="0.15">
      <c r="A18" s="63">
        <f>score_attack_expanded_floors!$C$2</f>
        <v>47013</v>
      </c>
      <c r="B18" s="64" t="str">
        <f ca="1">VLOOKUP($A18,OFFSET([2]quests!$A$1,0,0,COUNTA([2]quests!$A:$A),MATCH(B$1,[2]quests!$1:$1,0)-MATCH($A$1,[2]quests!$1:$1,0)+1),MATCH(B$1,[2]quests!$1:$1,0)-MATCH($A$1,[2]quests!$1:$1,0)+1,FALSE)</f>
        <v>スカルズ襲来！</v>
      </c>
      <c r="C18" s="64" t="str">
        <f ca="1">VLOOKUP($A18,OFFSET([2]quests!$A$1,0,0,COUNTA([2]quests!$A:$A),MATCH(C$1,[2]quests!$1:$1,0)-MATCH($A$1,[2]quests!$1:$1,0)+1),MATCH(C$1,[2]quests!$1:$1,0)-MATCH($A$1,[2]quests!$1:$1,0)+1,FALSE)</f>
        <v>1000億パネル破壊記念イベント</v>
      </c>
      <c r="D18" s="94">
        <v>3</v>
      </c>
      <c r="E18" s="95">
        <v>3</v>
      </c>
      <c r="F18" s="73" t="str">
        <f t="shared" si="0"/>
        <v>470130003</v>
      </c>
      <c r="G18" t="str">
        <f>F18&amp;TEXT(COUNTIF(F$2:F18,F18),"00")</f>
        <v>47013000307</v>
      </c>
      <c r="H18" s="75" t="s">
        <v>174</v>
      </c>
      <c r="I18" s="75">
        <v>125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1</v>
      </c>
      <c r="Q18" s="75">
        <v>1</v>
      </c>
      <c r="R18" s="75" t="s">
        <v>148</v>
      </c>
      <c r="S18" s="75" t="s">
        <v>186</v>
      </c>
      <c r="T18" s="75" t="s">
        <v>168</v>
      </c>
      <c r="U18" s="76" t="s">
        <v>169</v>
      </c>
    </row>
    <row r="19" spans="1:21" ht="28" x14ac:dyDescent="0.15">
      <c r="A19" s="63">
        <f>score_attack_expanded_floors!$C$2</f>
        <v>47013</v>
      </c>
      <c r="B19" s="64" t="str">
        <f ca="1">VLOOKUP($A19,OFFSET([2]quests!$A$1,0,0,COUNTA([2]quests!$A:$A),MATCH(B$1,[2]quests!$1:$1,0)-MATCH($A$1,[2]quests!$1:$1,0)+1),MATCH(B$1,[2]quests!$1:$1,0)-MATCH($A$1,[2]quests!$1:$1,0)+1,FALSE)</f>
        <v>スカルズ襲来！</v>
      </c>
      <c r="C19" s="64" t="str">
        <f ca="1">VLOOKUP($A19,OFFSET([2]quests!$A$1,0,0,COUNTA([2]quests!$A:$A),MATCH(C$1,[2]quests!$1:$1,0)-MATCH($A$1,[2]quests!$1:$1,0)+1),MATCH(C$1,[2]quests!$1:$1,0)-MATCH($A$1,[2]quests!$1:$1,0)+1,FALSE)</f>
        <v>1000億パネル破壊記念イベント</v>
      </c>
      <c r="D19" s="94">
        <v>3</v>
      </c>
      <c r="E19" s="95">
        <v>3</v>
      </c>
      <c r="F19" s="73" t="str">
        <f t="shared" si="0"/>
        <v>470130003</v>
      </c>
      <c r="G19" t="str">
        <f>F19&amp;TEXT(COUNTIF(F$2:F19,F19),"00")</f>
        <v>47013000308</v>
      </c>
      <c r="H19" s="75" t="s">
        <v>166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1</v>
      </c>
      <c r="Q19" s="75">
        <v>1</v>
      </c>
      <c r="R19" s="75" t="s">
        <v>148</v>
      </c>
      <c r="S19" s="75" t="s">
        <v>187</v>
      </c>
      <c r="T19" s="75" t="s">
        <v>168</v>
      </c>
      <c r="U19" s="76" t="s">
        <v>169</v>
      </c>
    </row>
    <row r="20" spans="1:21" ht="28" x14ac:dyDescent="0.15">
      <c r="A20" s="63">
        <f>score_attack_expanded_floors!$C$2</f>
        <v>47013</v>
      </c>
      <c r="B20" s="64" t="str">
        <f ca="1">VLOOKUP($A20,OFFSET([2]quests!$A$1,0,0,COUNTA([2]quests!$A:$A),MATCH(B$1,[2]quests!$1:$1,0)-MATCH($A$1,[2]quests!$1:$1,0)+1),MATCH(B$1,[2]quests!$1:$1,0)-MATCH($A$1,[2]quests!$1:$1,0)+1,FALSE)</f>
        <v>スカルズ襲来！</v>
      </c>
      <c r="C20" s="64" t="str">
        <f ca="1">VLOOKUP($A20,OFFSET([2]quests!$A$1,0,0,COUNTA([2]quests!$A:$A),MATCH(C$1,[2]quests!$1:$1,0)-MATCH($A$1,[2]quests!$1:$1,0)+1),MATCH(C$1,[2]quests!$1:$1,0)-MATCH($A$1,[2]quests!$1:$1,0)+1,FALSE)</f>
        <v>1000億パネル破壊記念イベント</v>
      </c>
      <c r="D20" s="94">
        <v>4</v>
      </c>
      <c r="E20" s="95">
        <v>5</v>
      </c>
      <c r="F20" s="73" t="str">
        <f t="shared" si="0"/>
        <v>470130005</v>
      </c>
      <c r="G20" t="str">
        <f>F20&amp;TEXT(COUNTIF(F$2:F20,F20),"00")</f>
        <v>47013000501</v>
      </c>
      <c r="H20" s="75" t="s">
        <v>166</v>
      </c>
      <c r="I20" s="75">
        <v>600</v>
      </c>
      <c r="J20" s="75">
        <v>2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1</v>
      </c>
      <c r="Q20" s="75">
        <v>1</v>
      </c>
      <c r="R20" s="75" t="s">
        <v>148</v>
      </c>
      <c r="S20" s="75" t="s">
        <v>170</v>
      </c>
      <c r="T20" s="75" t="s">
        <v>168</v>
      </c>
      <c r="U20" s="76" t="s">
        <v>169</v>
      </c>
    </row>
    <row r="21" spans="1:21" ht="28" x14ac:dyDescent="0.15">
      <c r="A21" s="63">
        <f>score_attack_expanded_floors!$C$2</f>
        <v>47013</v>
      </c>
      <c r="B21" s="64" t="str">
        <f ca="1">VLOOKUP($A21,OFFSET([2]quests!$A$1,0,0,COUNTA([2]quests!$A:$A),MATCH(B$1,[2]quests!$1:$1,0)-MATCH($A$1,[2]quests!$1:$1,0)+1),MATCH(B$1,[2]quests!$1:$1,0)-MATCH($A$1,[2]quests!$1:$1,0)+1,FALSE)</f>
        <v>スカルズ襲来！</v>
      </c>
      <c r="C21" s="64" t="str">
        <f ca="1">VLOOKUP($A21,OFFSET([2]quests!$A$1,0,0,COUNTA([2]quests!$A:$A),MATCH(C$1,[2]quests!$1:$1,0)-MATCH($A$1,[2]quests!$1:$1,0)+1),MATCH(C$1,[2]quests!$1:$1,0)-MATCH($A$1,[2]quests!$1:$1,0)+1,FALSE)</f>
        <v>1000億パネル破壊記念イベント</v>
      </c>
      <c r="D21" s="94">
        <v>4</v>
      </c>
      <c r="E21" s="95">
        <v>5</v>
      </c>
      <c r="F21" s="73" t="str">
        <f t="shared" si="0"/>
        <v>470130005</v>
      </c>
      <c r="G21" t="str">
        <f>F21&amp;TEXT(COUNTIF(F$2:F21,F21),"00")</f>
        <v>47013000502</v>
      </c>
      <c r="H21" s="75" t="s">
        <v>174</v>
      </c>
      <c r="I21" s="75">
        <v>335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</v>
      </c>
      <c r="Q21" s="75">
        <v>1</v>
      </c>
      <c r="R21" s="75" t="s">
        <v>148</v>
      </c>
      <c r="S21" s="75" t="s">
        <v>182</v>
      </c>
      <c r="T21" s="75" t="s">
        <v>168</v>
      </c>
      <c r="U21" s="76" t="s">
        <v>169</v>
      </c>
    </row>
    <row r="22" spans="1:21" ht="28" x14ac:dyDescent="0.15">
      <c r="A22" s="63">
        <f>score_attack_expanded_floors!$C$2</f>
        <v>47013</v>
      </c>
      <c r="B22" s="64" t="str">
        <f ca="1">VLOOKUP($A22,OFFSET([2]quests!$A$1,0,0,COUNTA([2]quests!$A:$A),MATCH(B$1,[2]quests!$1:$1,0)-MATCH($A$1,[2]quests!$1:$1,0)+1),MATCH(B$1,[2]quests!$1:$1,0)-MATCH($A$1,[2]quests!$1:$1,0)+1,FALSE)</f>
        <v>スカルズ襲来！</v>
      </c>
      <c r="C22" s="64" t="str">
        <f ca="1">VLOOKUP($A22,OFFSET([2]quests!$A$1,0,0,COUNTA([2]quests!$A:$A),MATCH(C$1,[2]quests!$1:$1,0)-MATCH($A$1,[2]quests!$1:$1,0)+1),MATCH(C$1,[2]quests!$1:$1,0)-MATCH($A$1,[2]quests!$1:$1,0)+1,FALSE)</f>
        <v>1000億パネル破壊記念イベント</v>
      </c>
      <c r="D22" s="94">
        <v>4</v>
      </c>
      <c r="E22" s="95">
        <v>5</v>
      </c>
      <c r="F22" s="73" t="str">
        <f t="shared" si="0"/>
        <v>470130005</v>
      </c>
      <c r="G22" t="str">
        <f>F22&amp;TEXT(COUNTIF(F$2:F22,F22),"00")</f>
        <v>47013000503</v>
      </c>
      <c r="H22" s="75" t="s">
        <v>174</v>
      </c>
      <c r="I22" s="75">
        <v>339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1</v>
      </c>
      <c r="Q22" s="75">
        <v>1</v>
      </c>
      <c r="R22" s="75" t="s">
        <v>148</v>
      </c>
      <c r="S22" s="75" t="s">
        <v>183</v>
      </c>
      <c r="T22" s="75" t="s">
        <v>168</v>
      </c>
      <c r="U22" s="76" t="s">
        <v>169</v>
      </c>
    </row>
    <row r="23" spans="1:21" ht="28" x14ac:dyDescent="0.15">
      <c r="A23" s="63">
        <f>score_attack_expanded_floors!$C$2</f>
        <v>47013</v>
      </c>
      <c r="B23" s="64" t="str">
        <f ca="1">VLOOKUP($A23,OFFSET([2]quests!$A$1,0,0,COUNTA([2]quests!$A:$A),MATCH(B$1,[2]quests!$1:$1,0)-MATCH($A$1,[2]quests!$1:$1,0)+1),MATCH(B$1,[2]quests!$1:$1,0)-MATCH($A$1,[2]quests!$1:$1,0)+1,FALSE)</f>
        <v>スカルズ襲来！</v>
      </c>
      <c r="C23" s="64" t="str">
        <f ca="1">VLOOKUP($A23,OFFSET([2]quests!$A$1,0,0,COUNTA([2]quests!$A:$A),MATCH(C$1,[2]quests!$1:$1,0)-MATCH($A$1,[2]quests!$1:$1,0)+1),MATCH(C$1,[2]quests!$1:$1,0)-MATCH($A$1,[2]quests!$1:$1,0)+1,FALSE)</f>
        <v>1000億パネル破壊記念イベント</v>
      </c>
      <c r="D23" s="94">
        <v>4</v>
      </c>
      <c r="E23" s="95">
        <v>5</v>
      </c>
      <c r="F23" s="73" t="str">
        <f t="shared" si="0"/>
        <v>470130005</v>
      </c>
      <c r="G23" t="str">
        <f>F23&amp;TEXT(COUNTIF(F$2:F23,F23),"00")</f>
        <v>47013000504</v>
      </c>
      <c r="H23" s="75" t="s">
        <v>174</v>
      </c>
      <c r="I23" s="75">
        <v>343</v>
      </c>
      <c r="J23" s="75">
        <v>1</v>
      </c>
      <c r="K23" s="75">
        <v>0</v>
      </c>
      <c r="L23" s="75">
        <v>0</v>
      </c>
      <c r="M23" s="75">
        <v>0</v>
      </c>
      <c r="N23" s="75">
        <v>0</v>
      </c>
      <c r="O23" s="75">
        <v>1</v>
      </c>
      <c r="P23" s="75">
        <v>1</v>
      </c>
      <c r="Q23" s="75">
        <v>1</v>
      </c>
      <c r="R23" s="75" t="s">
        <v>148</v>
      </c>
      <c r="S23" s="75" t="s">
        <v>184</v>
      </c>
      <c r="T23" s="75" t="s">
        <v>168</v>
      </c>
      <c r="U23" s="76" t="s">
        <v>169</v>
      </c>
    </row>
    <row r="24" spans="1:21" ht="28" x14ac:dyDescent="0.15">
      <c r="A24" s="63">
        <f>score_attack_expanded_floors!$C$2</f>
        <v>47013</v>
      </c>
      <c r="B24" s="64" t="str">
        <f ca="1">VLOOKUP($A24,OFFSET([2]quests!$A$1,0,0,COUNTA([2]quests!$A:$A),MATCH(B$1,[2]quests!$1:$1,0)-MATCH($A$1,[2]quests!$1:$1,0)+1),MATCH(B$1,[2]quests!$1:$1,0)-MATCH($A$1,[2]quests!$1:$1,0)+1,FALSE)</f>
        <v>スカルズ襲来！</v>
      </c>
      <c r="C24" s="64" t="str">
        <f ca="1">VLOOKUP($A24,OFFSET([2]quests!$A$1,0,0,COUNTA([2]quests!$A:$A),MATCH(C$1,[2]quests!$1:$1,0)-MATCH($A$1,[2]quests!$1:$1,0)+1),MATCH(C$1,[2]quests!$1:$1,0)-MATCH($A$1,[2]quests!$1:$1,0)+1,FALSE)</f>
        <v>1000億パネル破壊記念イベント</v>
      </c>
      <c r="D24" s="94">
        <v>4</v>
      </c>
      <c r="E24" s="95">
        <v>5</v>
      </c>
      <c r="F24" s="73" t="str">
        <f t="shared" si="0"/>
        <v>470130005</v>
      </c>
      <c r="G24" t="str">
        <f>F24&amp;TEXT(COUNTIF(F$2:F24,F24),"00")</f>
        <v>47013000505</v>
      </c>
      <c r="H24" s="75" t="s">
        <v>174</v>
      </c>
      <c r="I24" s="75">
        <v>347</v>
      </c>
      <c r="J24" s="75">
        <v>1</v>
      </c>
      <c r="K24" s="75">
        <v>0</v>
      </c>
      <c r="L24" s="75">
        <v>0</v>
      </c>
      <c r="M24" s="75">
        <v>0</v>
      </c>
      <c r="N24" s="75">
        <v>0</v>
      </c>
      <c r="O24" s="75">
        <v>1</v>
      </c>
      <c r="P24" s="75">
        <v>1</v>
      </c>
      <c r="Q24" s="75">
        <v>1</v>
      </c>
      <c r="R24" s="75" t="s">
        <v>148</v>
      </c>
      <c r="S24" s="75" t="s">
        <v>185</v>
      </c>
      <c r="T24" s="75" t="s">
        <v>168</v>
      </c>
      <c r="U24" s="76" t="s">
        <v>169</v>
      </c>
    </row>
    <row r="25" spans="1:21" ht="28" x14ac:dyDescent="0.15">
      <c r="A25" s="63">
        <f>score_attack_expanded_floors!$C$2</f>
        <v>47013</v>
      </c>
      <c r="B25" s="64" t="str">
        <f ca="1">VLOOKUP($A25,OFFSET([2]quests!$A$1,0,0,COUNTA([2]quests!$A:$A),MATCH(B$1,[2]quests!$1:$1,0)-MATCH($A$1,[2]quests!$1:$1,0)+1),MATCH(B$1,[2]quests!$1:$1,0)-MATCH($A$1,[2]quests!$1:$1,0)+1,FALSE)</f>
        <v>スカルズ襲来！</v>
      </c>
      <c r="C25" s="64" t="str">
        <f ca="1">VLOOKUP($A25,OFFSET([2]quests!$A$1,0,0,COUNTA([2]quests!$A:$A),MATCH(C$1,[2]quests!$1:$1,0)-MATCH($A$1,[2]quests!$1:$1,0)+1),MATCH(C$1,[2]quests!$1:$1,0)-MATCH($A$1,[2]quests!$1:$1,0)+1,FALSE)</f>
        <v>1000億パネル破壊記念イベント</v>
      </c>
      <c r="D25" s="94">
        <v>4</v>
      </c>
      <c r="E25" s="95">
        <v>5</v>
      </c>
      <c r="F25" s="73" t="str">
        <f t="shared" si="0"/>
        <v>470130005</v>
      </c>
      <c r="G25" t="str">
        <f>F25&amp;TEXT(COUNTIF(F$2:F25,F25),"00")</f>
        <v>47013000506</v>
      </c>
      <c r="H25" s="75" t="s">
        <v>171</v>
      </c>
      <c r="I25" s="75">
        <v>5</v>
      </c>
      <c r="J25" s="75" t="s">
        <v>172</v>
      </c>
      <c r="K25" s="75">
        <v>0</v>
      </c>
      <c r="L25" s="75">
        <v>0</v>
      </c>
      <c r="M25" s="75">
        <v>0</v>
      </c>
      <c r="N25" s="75">
        <v>0</v>
      </c>
      <c r="O25" s="75">
        <v>1</v>
      </c>
      <c r="P25" s="75">
        <v>1</v>
      </c>
      <c r="Q25" s="75">
        <v>1</v>
      </c>
      <c r="R25" s="75" t="s">
        <v>148</v>
      </c>
      <c r="S25" s="75" t="s">
        <v>178</v>
      </c>
      <c r="T25" s="75" t="s">
        <v>168</v>
      </c>
      <c r="U25" s="76" t="s">
        <v>169</v>
      </c>
    </row>
    <row r="26" spans="1:21" ht="28" x14ac:dyDescent="0.15">
      <c r="A26" s="63">
        <f>score_attack_expanded_floors!$C$2</f>
        <v>47013</v>
      </c>
      <c r="B26" s="64" t="str">
        <f ca="1">VLOOKUP($A26,OFFSET([2]quests!$A$1,0,0,COUNTA([2]quests!$A:$A),MATCH(B$1,[2]quests!$1:$1,0)-MATCH($A$1,[2]quests!$1:$1,0)+1),MATCH(B$1,[2]quests!$1:$1,0)-MATCH($A$1,[2]quests!$1:$1,0)+1,FALSE)</f>
        <v>スカルズ襲来！</v>
      </c>
      <c r="C26" s="64" t="str">
        <f ca="1">VLOOKUP($A26,OFFSET([2]quests!$A$1,0,0,COUNTA([2]quests!$A:$A),MATCH(C$1,[2]quests!$1:$1,0)-MATCH($A$1,[2]quests!$1:$1,0)+1),MATCH(C$1,[2]quests!$1:$1,0)-MATCH($A$1,[2]quests!$1:$1,0)+1,FALSE)</f>
        <v>1000億パネル破壊記念イベント</v>
      </c>
      <c r="D26" s="94">
        <v>4</v>
      </c>
      <c r="E26" s="95">
        <v>5</v>
      </c>
      <c r="F26" s="73" t="str">
        <f t="shared" si="0"/>
        <v>470130005</v>
      </c>
      <c r="G26" t="str">
        <f>F26&amp;TEXT(COUNTIF(F$2:F26,F26),"00")</f>
        <v>47013000507</v>
      </c>
      <c r="H26" s="75" t="s">
        <v>188</v>
      </c>
      <c r="I26" s="75">
        <v>2000</v>
      </c>
      <c r="J26" s="75" t="s">
        <v>172</v>
      </c>
      <c r="K26" s="75">
        <v>0</v>
      </c>
      <c r="L26" s="75">
        <v>0</v>
      </c>
      <c r="M26" s="75">
        <v>0</v>
      </c>
      <c r="N26" s="75">
        <v>0</v>
      </c>
      <c r="O26" s="75">
        <v>1</v>
      </c>
      <c r="P26" s="75">
        <v>1</v>
      </c>
      <c r="Q26" s="75">
        <v>1</v>
      </c>
      <c r="R26" s="75" t="s">
        <v>148</v>
      </c>
      <c r="S26" s="75" t="s">
        <v>189</v>
      </c>
      <c r="T26" s="75" t="s">
        <v>168</v>
      </c>
      <c r="U26" s="76" t="s">
        <v>169</v>
      </c>
    </row>
    <row r="27" spans="1:21" ht="28" x14ac:dyDescent="0.15">
      <c r="A27" s="63">
        <f>score_attack_expanded_floors!$C$2</f>
        <v>47013</v>
      </c>
      <c r="B27" s="64" t="str">
        <f ca="1">VLOOKUP($A27,OFFSET([2]quests!$A$1,0,0,COUNTA([2]quests!$A:$A),MATCH(B$1,[2]quests!$1:$1,0)-MATCH($A$1,[2]quests!$1:$1,0)+1),MATCH(B$1,[2]quests!$1:$1,0)-MATCH($A$1,[2]quests!$1:$1,0)+1,FALSE)</f>
        <v>スカルズ襲来！</v>
      </c>
      <c r="C27" s="64" t="str">
        <f ca="1">VLOOKUP($A27,OFFSET([2]quests!$A$1,0,0,COUNTA([2]quests!$A:$A),MATCH(C$1,[2]quests!$1:$1,0)-MATCH($A$1,[2]quests!$1:$1,0)+1),MATCH(C$1,[2]quests!$1:$1,0)-MATCH($A$1,[2]quests!$1:$1,0)+1,FALSE)</f>
        <v>1000億パネル破壊記念イベント</v>
      </c>
      <c r="D27" s="94">
        <v>6</v>
      </c>
      <c r="E27" s="95">
        <v>10</v>
      </c>
      <c r="F27" s="73" t="str">
        <f t="shared" si="0"/>
        <v>470130010</v>
      </c>
      <c r="G27" t="str">
        <f>F27&amp;TEXT(COUNTIF(F$2:F27,F27),"00")</f>
        <v>47013001001</v>
      </c>
      <c r="H27" s="75" t="s">
        <v>166</v>
      </c>
      <c r="I27" s="75">
        <v>600</v>
      </c>
      <c r="J27" s="75">
        <v>1</v>
      </c>
      <c r="K27" s="75">
        <v>0</v>
      </c>
      <c r="L27" s="75">
        <v>0</v>
      </c>
      <c r="M27" s="75">
        <v>0</v>
      </c>
      <c r="N27" s="75">
        <v>0</v>
      </c>
      <c r="O27" s="75">
        <v>1</v>
      </c>
      <c r="P27" s="75">
        <v>1</v>
      </c>
      <c r="Q27" s="75">
        <v>1</v>
      </c>
      <c r="R27" s="75" t="s">
        <v>148</v>
      </c>
      <c r="S27" s="75" t="s">
        <v>177</v>
      </c>
      <c r="T27" s="75" t="s">
        <v>168</v>
      </c>
      <c r="U27" s="76" t="s">
        <v>169</v>
      </c>
    </row>
    <row r="28" spans="1:21" ht="28" x14ac:dyDescent="0.15">
      <c r="A28" s="63">
        <f>score_attack_expanded_floors!$C$2</f>
        <v>47013</v>
      </c>
      <c r="B28" s="64" t="str">
        <f ca="1">VLOOKUP($A28,OFFSET([2]quests!$A$1,0,0,COUNTA([2]quests!$A:$A),MATCH(B$1,[2]quests!$1:$1,0)-MATCH($A$1,[2]quests!$1:$1,0)+1),MATCH(B$1,[2]quests!$1:$1,0)-MATCH($A$1,[2]quests!$1:$1,0)+1,FALSE)</f>
        <v>スカルズ襲来！</v>
      </c>
      <c r="C28" s="64" t="str">
        <f ca="1">VLOOKUP($A28,OFFSET([2]quests!$A$1,0,0,COUNTA([2]quests!$A:$A),MATCH(C$1,[2]quests!$1:$1,0)-MATCH($A$1,[2]quests!$1:$1,0)+1),MATCH(C$1,[2]quests!$1:$1,0)-MATCH($A$1,[2]quests!$1:$1,0)+1,FALSE)</f>
        <v>1000億パネル破壊記念イベント</v>
      </c>
      <c r="D28" s="94">
        <v>6</v>
      </c>
      <c r="E28" s="95">
        <v>10</v>
      </c>
      <c r="F28" s="73" t="str">
        <f t="shared" si="0"/>
        <v>470130010</v>
      </c>
      <c r="G28" t="str">
        <f>F28&amp;TEXT(COUNTIF(F$2:F28,F28),"00")</f>
        <v>47013001002</v>
      </c>
      <c r="H28" s="75" t="s">
        <v>174</v>
      </c>
      <c r="I28" s="75">
        <v>334</v>
      </c>
      <c r="J28" s="75">
        <v>1</v>
      </c>
      <c r="K28" s="75">
        <v>0</v>
      </c>
      <c r="L28" s="75">
        <v>0</v>
      </c>
      <c r="M28" s="75">
        <v>0</v>
      </c>
      <c r="N28" s="75">
        <v>0</v>
      </c>
      <c r="O28" s="75">
        <v>1</v>
      </c>
      <c r="P28" s="75">
        <v>1</v>
      </c>
      <c r="Q28" s="75">
        <v>1</v>
      </c>
      <c r="R28" s="75" t="s">
        <v>148</v>
      </c>
      <c r="S28" s="75" t="s">
        <v>190</v>
      </c>
      <c r="T28" s="75" t="s">
        <v>168</v>
      </c>
      <c r="U28" s="76" t="s">
        <v>169</v>
      </c>
    </row>
    <row r="29" spans="1:21" ht="28" x14ac:dyDescent="0.15">
      <c r="A29" s="63">
        <f>score_attack_expanded_floors!$C$2</f>
        <v>47013</v>
      </c>
      <c r="B29" s="64" t="str">
        <f ca="1">VLOOKUP($A29,OFFSET([2]quests!$A$1,0,0,COUNTA([2]quests!$A:$A),MATCH(B$1,[2]quests!$1:$1,0)-MATCH($A$1,[2]quests!$1:$1,0)+1),MATCH(B$1,[2]quests!$1:$1,0)-MATCH($A$1,[2]quests!$1:$1,0)+1,FALSE)</f>
        <v>スカルズ襲来！</v>
      </c>
      <c r="C29" s="64" t="str">
        <f ca="1">VLOOKUP($A29,OFFSET([2]quests!$A$1,0,0,COUNTA([2]quests!$A:$A),MATCH(C$1,[2]quests!$1:$1,0)-MATCH($A$1,[2]quests!$1:$1,0)+1),MATCH(C$1,[2]quests!$1:$1,0)-MATCH($A$1,[2]quests!$1:$1,0)+1,FALSE)</f>
        <v>1000億パネル破壊記念イベント</v>
      </c>
      <c r="D29" s="94">
        <v>6</v>
      </c>
      <c r="E29" s="95">
        <v>10</v>
      </c>
      <c r="F29" s="73" t="str">
        <f t="shared" si="0"/>
        <v>470130010</v>
      </c>
      <c r="G29" t="str">
        <f>F29&amp;TEXT(COUNTIF(F$2:F29,F29),"00")</f>
        <v>47013001003</v>
      </c>
      <c r="H29" s="75" t="s">
        <v>174</v>
      </c>
      <c r="I29" s="75">
        <v>338</v>
      </c>
      <c r="J29" s="75">
        <v>1</v>
      </c>
      <c r="K29" s="75">
        <v>0</v>
      </c>
      <c r="L29" s="75">
        <v>0</v>
      </c>
      <c r="M29" s="75">
        <v>0</v>
      </c>
      <c r="N29" s="75">
        <v>0</v>
      </c>
      <c r="O29" s="75">
        <v>1</v>
      </c>
      <c r="P29" s="75">
        <v>1</v>
      </c>
      <c r="Q29" s="75">
        <v>1</v>
      </c>
      <c r="R29" s="75" t="s">
        <v>148</v>
      </c>
      <c r="S29" s="75" t="s">
        <v>191</v>
      </c>
      <c r="T29" s="75" t="s">
        <v>168</v>
      </c>
      <c r="U29" s="76" t="s">
        <v>169</v>
      </c>
    </row>
    <row r="30" spans="1:21" ht="28" x14ac:dyDescent="0.15">
      <c r="A30" s="63">
        <f>score_attack_expanded_floors!$C$2</f>
        <v>47013</v>
      </c>
      <c r="B30" s="64" t="str">
        <f ca="1">VLOOKUP($A30,OFFSET([2]quests!$A$1,0,0,COUNTA([2]quests!$A:$A),MATCH(B$1,[2]quests!$1:$1,0)-MATCH($A$1,[2]quests!$1:$1,0)+1),MATCH(B$1,[2]quests!$1:$1,0)-MATCH($A$1,[2]quests!$1:$1,0)+1,FALSE)</f>
        <v>スカルズ襲来！</v>
      </c>
      <c r="C30" s="64" t="str">
        <f ca="1">VLOOKUP($A30,OFFSET([2]quests!$A$1,0,0,COUNTA([2]quests!$A:$A),MATCH(C$1,[2]quests!$1:$1,0)-MATCH($A$1,[2]quests!$1:$1,0)+1),MATCH(C$1,[2]quests!$1:$1,0)-MATCH($A$1,[2]quests!$1:$1,0)+1,FALSE)</f>
        <v>1000億パネル破壊記念イベント</v>
      </c>
      <c r="D30" s="94">
        <v>6</v>
      </c>
      <c r="E30" s="95">
        <v>10</v>
      </c>
      <c r="F30" s="73" t="str">
        <f t="shared" si="0"/>
        <v>470130010</v>
      </c>
      <c r="G30" t="str">
        <f>F30&amp;TEXT(COUNTIF(F$2:F30,F30),"00")</f>
        <v>47013001004</v>
      </c>
      <c r="H30" s="75" t="s">
        <v>174</v>
      </c>
      <c r="I30" s="75">
        <v>342</v>
      </c>
      <c r="J30" s="75">
        <v>1</v>
      </c>
      <c r="K30" s="75">
        <v>0</v>
      </c>
      <c r="L30" s="75">
        <v>0</v>
      </c>
      <c r="M30" s="75">
        <v>0</v>
      </c>
      <c r="N30" s="75">
        <v>0</v>
      </c>
      <c r="O30" s="75">
        <v>1</v>
      </c>
      <c r="P30" s="75">
        <v>1</v>
      </c>
      <c r="Q30" s="75">
        <v>1</v>
      </c>
      <c r="R30" s="75" t="s">
        <v>148</v>
      </c>
      <c r="S30" s="75" t="s">
        <v>192</v>
      </c>
      <c r="T30" s="75" t="s">
        <v>168</v>
      </c>
      <c r="U30" s="76" t="s">
        <v>169</v>
      </c>
    </row>
    <row r="31" spans="1:21" ht="28" x14ac:dyDescent="0.15">
      <c r="A31" s="63">
        <f>score_attack_expanded_floors!$C$2</f>
        <v>47013</v>
      </c>
      <c r="B31" s="64" t="str">
        <f ca="1">VLOOKUP($A31,OFFSET([2]quests!$A$1,0,0,COUNTA([2]quests!$A:$A),MATCH(B$1,[2]quests!$1:$1,0)-MATCH($A$1,[2]quests!$1:$1,0)+1),MATCH(B$1,[2]quests!$1:$1,0)-MATCH($A$1,[2]quests!$1:$1,0)+1,FALSE)</f>
        <v>スカルズ襲来！</v>
      </c>
      <c r="C31" s="64" t="str">
        <f ca="1">VLOOKUP($A31,OFFSET([2]quests!$A$1,0,0,COUNTA([2]quests!$A:$A),MATCH(C$1,[2]quests!$1:$1,0)-MATCH($A$1,[2]quests!$1:$1,0)+1),MATCH(C$1,[2]quests!$1:$1,0)-MATCH($A$1,[2]quests!$1:$1,0)+1,FALSE)</f>
        <v>1000億パネル破壊記念イベント</v>
      </c>
      <c r="D31" s="94">
        <v>6</v>
      </c>
      <c r="E31" s="95">
        <v>10</v>
      </c>
      <c r="F31" s="73" t="str">
        <f t="shared" si="0"/>
        <v>470130010</v>
      </c>
      <c r="G31" t="str">
        <f>F31&amp;TEXT(COUNTIF(F$2:F31,F31),"00")</f>
        <v>47013001005</v>
      </c>
      <c r="H31" s="75" t="s">
        <v>174</v>
      </c>
      <c r="I31" s="75">
        <v>346</v>
      </c>
      <c r="J31" s="75">
        <v>1</v>
      </c>
      <c r="K31" s="75">
        <v>0</v>
      </c>
      <c r="L31" s="75">
        <v>0</v>
      </c>
      <c r="M31" s="75">
        <v>0</v>
      </c>
      <c r="N31" s="75">
        <v>0</v>
      </c>
      <c r="O31" s="75">
        <v>1</v>
      </c>
      <c r="P31" s="75">
        <v>1</v>
      </c>
      <c r="Q31" s="75">
        <v>1</v>
      </c>
      <c r="R31" s="75" t="s">
        <v>148</v>
      </c>
      <c r="S31" s="75" t="s">
        <v>193</v>
      </c>
      <c r="T31" s="75" t="s">
        <v>168</v>
      </c>
      <c r="U31" s="76" t="s">
        <v>169</v>
      </c>
    </row>
    <row r="32" spans="1:21" ht="28" x14ac:dyDescent="0.15">
      <c r="A32" s="63">
        <f>score_attack_expanded_floors!$C$2</f>
        <v>47013</v>
      </c>
      <c r="B32" s="64" t="str">
        <f ca="1">VLOOKUP($A32,OFFSET([2]quests!$A$1,0,0,COUNTA([2]quests!$A:$A),MATCH(B$1,[2]quests!$1:$1,0)-MATCH($A$1,[2]quests!$1:$1,0)+1),MATCH(B$1,[2]quests!$1:$1,0)-MATCH($A$1,[2]quests!$1:$1,0)+1,FALSE)</f>
        <v>スカルズ襲来！</v>
      </c>
      <c r="C32" s="64" t="str">
        <f ca="1">VLOOKUP($A32,OFFSET([2]quests!$A$1,0,0,COUNTA([2]quests!$A:$A),MATCH(C$1,[2]quests!$1:$1,0)-MATCH($A$1,[2]quests!$1:$1,0)+1),MATCH(C$1,[2]quests!$1:$1,0)-MATCH($A$1,[2]quests!$1:$1,0)+1,FALSE)</f>
        <v>1000億パネル破壊記念イベント</v>
      </c>
      <c r="D32" s="94">
        <v>6</v>
      </c>
      <c r="E32" s="95">
        <v>10</v>
      </c>
      <c r="F32" s="73" t="str">
        <f t="shared" si="0"/>
        <v>470130010</v>
      </c>
      <c r="G32" t="str">
        <f>F32&amp;TEXT(COUNTIF(F$2:F32,F32),"00")</f>
        <v>47013001006</v>
      </c>
      <c r="H32" s="75" t="s">
        <v>171</v>
      </c>
      <c r="I32" s="75">
        <v>3</v>
      </c>
      <c r="J32" s="75" t="s">
        <v>172</v>
      </c>
      <c r="K32" s="75">
        <v>0</v>
      </c>
      <c r="L32" s="75">
        <v>0</v>
      </c>
      <c r="M32" s="75">
        <v>0</v>
      </c>
      <c r="N32" s="75">
        <v>0</v>
      </c>
      <c r="O32" s="75">
        <v>1</v>
      </c>
      <c r="P32" s="75">
        <v>1</v>
      </c>
      <c r="Q32" s="75">
        <v>1</v>
      </c>
      <c r="R32" s="75" t="s">
        <v>148</v>
      </c>
      <c r="S32" s="75" t="s">
        <v>194</v>
      </c>
      <c r="T32" s="75" t="s">
        <v>168</v>
      </c>
      <c r="U32" s="76" t="s">
        <v>169</v>
      </c>
    </row>
    <row r="33" spans="1:21" ht="28" x14ac:dyDescent="0.15">
      <c r="A33" s="63">
        <f>score_attack_expanded_floors!$C$2</f>
        <v>47013</v>
      </c>
      <c r="B33" s="64" t="str">
        <f ca="1">VLOOKUP($A33,OFFSET([2]quests!$A$1,0,0,COUNTA([2]quests!$A:$A),MATCH(B$1,[2]quests!$1:$1,0)-MATCH($A$1,[2]quests!$1:$1,0)+1),MATCH(B$1,[2]quests!$1:$1,0)-MATCH($A$1,[2]quests!$1:$1,0)+1,FALSE)</f>
        <v>スカルズ襲来！</v>
      </c>
      <c r="C33" s="64" t="str">
        <f ca="1">VLOOKUP($A33,OFFSET([2]quests!$A$1,0,0,COUNTA([2]quests!$A:$A),MATCH(C$1,[2]quests!$1:$1,0)-MATCH($A$1,[2]quests!$1:$1,0)+1),MATCH(C$1,[2]quests!$1:$1,0)-MATCH($A$1,[2]quests!$1:$1,0)+1,FALSE)</f>
        <v>1000億パネル破壊記念イベント</v>
      </c>
      <c r="D33" s="94">
        <v>6</v>
      </c>
      <c r="E33" s="95">
        <v>10</v>
      </c>
      <c r="F33" s="73" t="str">
        <f t="shared" si="0"/>
        <v>470130010</v>
      </c>
      <c r="G33" t="str">
        <f>F33&amp;TEXT(COUNTIF(F$2:F33,F33),"00")</f>
        <v>47013001007</v>
      </c>
      <c r="H33" s="75" t="s">
        <v>188</v>
      </c>
      <c r="I33" s="75">
        <v>2000</v>
      </c>
      <c r="J33" s="75" t="s">
        <v>172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75">
        <v>1</v>
      </c>
      <c r="Q33" s="75">
        <v>1</v>
      </c>
      <c r="R33" s="75" t="s">
        <v>148</v>
      </c>
      <c r="S33" s="75" t="s">
        <v>189</v>
      </c>
      <c r="T33" s="75" t="s">
        <v>168</v>
      </c>
      <c r="U33" s="76" t="s">
        <v>169</v>
      </c>
    </row>
    <row r="34" spans="1:21" ht="28" x14ac:dyDescent="0.15">
      <c r="A34" s="63">
        <f>score_attack_expanded_floors!$C$2</f>
        <v>47013</v>
      </c>
      <c r="B34" s="64" t="str">
        <f ca="1">VLOOKUP($A34,OFFSET([2]quests!$A$1,0,0,COUNTA([2]quests!$A:$A),MATCH(B$1,[2]quests!$1:$1,0)-MATCH($A$1,[2]quests!$1:$1,0)+1),MATCH(B$1,[2]quests!$1:$1,0)-MATCH($A$1,[2]quests!$1:$1,0)+1,FALSE)</f>
        <v>スカルズ襲来！</v>
      </c>
      <c r="C34" s="64" t="str">
        <f ca="1">VLOOKUP($A34,OFFSET([2]quests!$A$1,0,0,COUNTA([2]quests!$A:$A),MATCH(C$1,[2]quests!$1:$1,0)-MATCH($A$1,[2]quests!$1:$1,0)+1),MATCH(C$1,[2]quests!$1:$1,0)-MATCH($A$1,[2]quests!$1:$1,0)+1,FALSE)</f>
        <v>1000億パネル破壊記念イベント</v>
      </c>
      <c r="D34" s="94">
        <v>11</v>
      </c>
      <c r="E34" s="95">
        <v>25</v>
      </c>
      <c r="F34" s="73" t="str">
        <f t="shared" si="0"/>
        <v>470130025</v>
      </c>
      <c r="G34" t="str">
        <f>F34&amp;TEXT(COUNTIF(F$2:F34,F34),"00")</f>
        <v>47013002501</v>
      </c>
      <c r="H34" s="75" t="s">
        <v>171</v>
      </c>
      <c r="I34" s="75">
        <v>3</v>
      </c>
      <c r="J34" s="75" t="s">
        <v>172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75">
        <v>1</v>
      </c>
      <c r="Q34" s="75">
        <v>1</v>
      </c>
      <c r="R34" s="75" t="s">
        <v>148</v>
      </c>
      <c r="S34" s="75" t="s">
        <v>194</v>
      </c>
      <c r="T34" s="75" t="s">
        <v>168</v>
      </c>
      <c r="U34" s="76" t="s">
        <v>169</v>
      </c>
    </row>
    <row r="35" spans="1:21" ht="28" x14ac:dyDescent="0.15">
      <c r="A35" s="63">
        <f>score_attack_expanded_floors!$C$2</f>
        <v>47013</v>
      </c>
      <c r="B35" s="64" t="str">
        <f ca="1">VLOOKUP($A35,OFFSET([2]quests!$A$1,0,0,COUNTA([2]quests!$A:$A),MATCH(B$1,[2]quests!$1:$1,0)-MATCH($A$1,[2]quests!$1:$1,0)+1),MATCH(B$1,[2]quests!$1:$1,0)-MATCH($A$1,[2]quests!$1:$1,0)+1,FALSE)</f>
        <v>スカルズ襲来！</v>
      </c>
      <c r="C35" s="64" t="str">
        <f ca="1">VLOOKUP($A35,OFFSET([2]quests!$A$1,0,0,COUNTA([2]quests!$A:$A),MATCH(C$1,[2]quests!$1:$1,0)-MATCH($A$1,[2]quests!$1:$1,0)+1),MATCH(C$1,[2]quests!$1:$1,0)-MATCH($A$1,[2]quests!$1:$1,0)+1,FALSE)</f>
        <v>1000億パネル破壊記念イベント</v>
      </c>
      <c r="D35" s="94">
        <v>11</v>
      </c>
      <c r="E35" s="95">
        <v>25</v>
      </c>
      <c r="F35" s="73" t="str">
        <f t="shared" si="0"/>
        <v>470130025</v>
      </c>
      <c r="G35" t="str">
        <f>F35&amp;TEXT(COUNTIF(F$2:F35,F35),"00")</f>
        <v>47013002502</v>
      </c>
      <c r="H35" s="75" t="s">
        <v>188</v>
      </c>
      <c r="I35" s="75">
        <v>2000</v>
      </c>
      <c r="J35" s="75" t="s">
        <v>172</v>
      </c>
      <c r="K35" s="75">
        <v>0</v>
      </c>
      <c r="L35" s="75">
        <v>0</v>
      </c>
      <c r="M35" s="75">
        <v>0</v>
      </c>
      <c r="N35" s="75">
        <v>0</v>
      </c>
      <c r="O35" s="75">
        <v>1</v>
      </c>
      <c r="P35" s="75">
        <v>1</v>
      </c>
      <c r="Q35" s="75">
        <v>1</v>
      </c>
      <c r="R35" s="75" t="s">
        <v>148</v>
      </c>
      <c r="S35" s="75" t="s">
        <v>189</v>
      </c>
      <c r="T35" s="75" t="s">
        <v>168</v>
      </c>
      <c r="U35" s="76" t="s">
        <v>169</v>
      </c>
    </row>
    <row r="36" spans="1:21" ht="28" x14ac:dyDescent="0.15">
      <c r="A36" s="63">
        <f>score_attack_expanded_floors!$C$2</f>
        <v>47013</v>
      </c>
      <c r="B36" s="64" t="str">
        <f ca="1">VLOOKUP($A36,OFFSET([2]quests!$A$1,0,0,COUNTA([2]quests!$A:$A),MATCH(B$1,[2]quests!$1:$1,0)-MATCH($A$1,[2]quests!$1:$1,0)+1),MATCH(B$1,[2]quests!$1:$1,0)-MATCH($A$1,[2]quests!$1:$1,0)+1,FALSE)</f>
        <v>スカルズ襲来！</v>
      </c>
      <c r="C36" s="64" t="str">
        <f ca="1">VLOOKUP($A36,OFFSET([2]quests!$A$1,0,0,COUNTA([2]quests!$A:$A),MATCH(C$1,[2]quests!$1:$1,0)-MATCH($A$1,[2]quests!$1:$1,0)+1),MATCH(C$1,[2]quests!$1:$1,0)-MATCH($A$1,[2]quests!$1:$1,0)+1,FALSE)</f>
        <v>1000億パネル破壊記念イベント</v>
      </c>
      <c r="D36" s="94">
        <v>11</v>
      </c>
      <c r="E36" s="95">
        <v>25</v>
      </c>
      <c r="F36" s="73" t="str">
        <f t="shared" si="0"/>
        <v>470130025</v>
      </c>
      <c r="G36" t="str">
        <f>F36&amp;TEXT(COUNTIF(F$2:F36,F36),"00")</f>
        <v>47013002503</v>
      </c>
      <c r="H36" s="75" t="s">
        <v>64</v>
      </c>
      <c r="I36" s="75">
        <v>200000</v>
      </c>
      <c r="J36" s="75" t="s">
        <v>172</v>
      </c>
      <c r="K36" s="75">
        <v>0</v>
      </c>
      <c r="L36" s="75">
        <v>0</v>
      </c>
      <c r="M36" s="75">
        <v>0</v>
      </c>
      <c r="N36" s="75">
        <v>0</v>
      </c>
      <c r="O36" s="75">
        <v>1</v>
      </c>
      <c r="P36" s="75">
        <v>1</v>
      </c>
      <c r="Q36" s="75">
        <v>1</v>
      </c>
      <c r="R36" s="75" t="s">
        <v>148</v>
      </c>
      <c r="S36" s="75" t="s">
        <v>195</v>
      </c>
      <c r="T36" s="75" t="s">
        <v>168</v>
      </c>
      <c r="U36" s="76" t="s">
        <v>169</v>
      </c>
    </row>
    <row r="37" spans="1:21" ht="28" x14ac:dyDescent="0.15">
      <c r="A37" s="63">
        <f>score_attack_expanded_floors!$C$2</f>
        <v>47013</v>
      </c>
      <c r="B37" s="64" t="str">
        <f ca="1">VLOOKUP($A37,OFFSET([2]quests!$A$1,0,0,COUNTA([2]quests!$A:$A),MATCH(B$1,[2]quests!$1:$1,0)-MATCH($A$1,[2]quests!$1:$1,0)+1),MATCH(B$1,[2]quests!$1:$1,0)-MATCH($A$1,[2]quests!$1:$1,0)+1,FALSE)</f>
        <v>スカルズ襲来！</v>
      </c>
      <c r="C37" s="64" t="str">
        <f ca="1">VLOOKUP($A37,OFFSET([2]quests!$A$1,0,0,COUNTA([2]quests!$A:$A),MATCH(C$1,[2]quests!$1:$1,0)-MATCH($A$1,[2]quests!$1:$1,0)+1),MATCH(C$1,[2]quests!$1:$1,0)-MATCH($A$1,[2]quests!$1:$1,0)+1,FALSE)</f>
        <v>1000億パネル破壊記念イベント</v>
      </c>
      <c r="D37" s="94">
        <v>26</v>
      </c>
      <c r="E37" s="95">
        <v>35</v>
      </c>
      <c r="F37" s="73" t="str">
        <f t="shared" si="0"/>
        <v>470130035</v>
      </c>
      <c r="G37" t="str">
        <f>F37&amp;TEXT(COUNTIF(F$2:F37,F37),"00")</f>
        <v>47013003501</v>
      </c>
      <c r="H37" s="75" t="s">
        <v>171</v>
      </c>
      <c r="I37" s="75">
        <v>2</v>
      </c>
      <c r="J37" s="75" t="s">
        <v>172</v>
      </c>
      <c r="K37" s="75">
        <v>0</v>
      </c>
      <c r="L37" s="75">
        <v>0</v>
      </c>
      <c r="M37" s="75">
        <v>0</v>
      </c>
      <c r="N37" s="75">
        <v>0</v>
      </c>
      <c r="O37" s="75">
        <v>1</v>
      </c>
      <c r="P37" s="75">
        <v>1</v>
      </c>
      <c r="Q37" s="75">
        <v>1</v>
      </c>
      <c r="R37" s="75" t="s">
        <v>148</v>
      </c>
      <c r="S37" s="75" t="s">
        <v>196</v>
      </c>
      <c r="T37" s="75" t="s">
        <v>168</v>
      </c>
      <c r="U37" s="76" t="s">
        <v>169</v>
      </c>
    </row>
    <row r="38" spans="1:21" ht="28" x14ac:dyDescent="0.15">
      <c r="A38" s="63">
        <f>score_attack_expanded_floors!$C$2</f>
        <v>47013</v>
      </c>
      <c r="B38" s="64" t="str">
        <f ca="1">VLOOKUP($A38,OFFSET([2]quests!$A$1,0,0,COUNTA([2]quests!$A:$A),MATCH(B$1,[2]quests!$1:$1,0)-MATCH($A$1,[2]quests!$1:$1,0)+1),MATCH(B$1,[2]quests!$1:$1,0)-MATCH($A$1,[2]quests!$1:$1,0)+1,FALSE)</f>
        <v>スカルズ襲来！</v>
      </c>
      <c r="C38" s="64" t="str">
        <f ca="1">VLOOKUP($A38,OFFSET([2]quests!$A$1,0,0,COUNTA([2]quests!$A:$A),MATCH(C$1,[2]quests!$1:$1,0)-MATCH($A$1,[2]quests!$1:$1,0)+1),MATCH(C$1,[2]quests!$1:$1,0)-MATCH($A$1,[2]quests!$1:$1,0)+1,FALSE)</f>
        <v>1000億パネル破壊記念イベント</v>
      </c>
      <c r="D38" s="94">
        <v>26</v>
      </c>
      <c r="E38" s="95">
        <v>35</v>
      </c>
      <c r="F38" s="73" t="str">
        <f t="shared" si="0"/>
        <v>470130035</v>
      </c>
      <c r="G38" t="str">
        <f>F38&amp;TEXT(COUNTIF(F$2:F38,F38),"00")</f>
        <v>47013003502</v>
      </c>
      <c r="H38" s="75" t="s">
        <v>188</v>
      </c>
      <c r="I38" s="75">
        <v>1000</v>
      </c>
      <c r="J38" s="75" t="s">
        <v>172</v>
      </c>
      <c r="K38" s="75">
        <v>0</v>
      </c>
      <c r="L38" s="75">
        <v>0</v>
      </c>
      <c r="M38" s="75">
        <v>0</v>
      </c>
      <c r="N38" s="75">
        <v>0</v>
      </c>
      <c r="O38" s="75">
        <v>1</v>
      </c>
      <c r="P38" s="75">
        <v>1</v>
      </c>
      <c r="Q38" s="75">
        <v>1</v>
      </c>
      <c r="R38" s="75" t="s">
        <v>148</v>
      </c>
      <c r="S38" s="75" t="s">
        <v>197</v>
      </c>
      <c r="T38" s="75" t="s">
        <v>168</v>
      </c>
      <c r="U38" s="76" t="s">
        <v>169</v>
      </c>
    </row>
    <row r="39" spans="1:21" ht="28" x14ac:dyDescent="0.15">
      <c r="A39" s="63">
        <f>score_attack_expanded_floors!$C$2</f>
        <v>47013</v>
      </c>
      <c r="B39" s="64" t="str">
        <f ca="1">VLOOKUP($A39,OFFSET([2]quests!$A$1,0,0,COUNTA([2]quests!$A:$A),MATCH(B$1,[2]quests!$1:$1,0)-MATCH($A$1,[2]quests!$1:$1,0)+1),MATCH(B$1,[2]quests!$1:$1,0)-MATCH($A$1,[2]quests!$1:$1,0)+1,FALSE)</f>
        <v>スカルズ襲来！</v>
      </c>
      <c r="C39" s="64" t="str">
        <f ca="1">VLOOKUP($A39,OFFSET([2]quests!$A$1,0,0,COUNTA([2]quests!$A:$A),MATCH(C$1,[2]quests!$1:$1,0)-MATCH($A$1,[2]quests!$1:$1,0)+1),MATCH(C$1,[2]quests!$1:$1,0)-MATCH($A$1,[2]quests!$1:$1,0)+1,FALSE)</f>
        <v>1000億パネル破壊記念イベント</v>
      </c>
      <c r="D39" s="94">
        <v>26</v>
      </c>
      <c r="E39" s="95">
        <v>35</v>
      </c>
      <c r="F39" s="73" t="str">
        <f t="shared" si="0"/>
        <v>470130035</v>
      </c>
      <c r="G39" t="str">
        <f>F39&amp;TEXT(COUNTIF(F$2:F39,F39),"00")</f>
        <v>47013003503</v>
      </c>
      <c r="H39" s="75" t="s">
        <v>64</v>
      </c>
      <c r="I39" s="75">
        <v>150000</v>
      </c>
      <c r="J39" s="75" t="s">
        <v>172</v>
      </c>
      <c r="K39" s="75">
        <v>0</v>
      </c>
      <c r="L39" s="75">
        <v>0</v>
      </c>
      <c r="M39" s="75">
        <v>0</v>
      </c>
      <c r="N39" s="75">
        <v>0</v>
      </c>
      <c r="O39" s="75">
        <v>1</v>
      </c>
      <c r="P39" s="75">
        <v>1</v>
      </c>
      <c r="Q39" s="75">
        <v>1</v>
      </c>
      <c r="R39" s="75" t="s">
        <v>148</v>
      </c>
      <c r="S39" s="75" t="s">
        <v>198</v>
      </c>
      <c r="T39" s="75" t="s">
        <v>168</v>
      </c>
      <c r="U39" s="76" t="s">
        <v>169</v>
      </c>
    </row>
    <row r="40" spans="1:21" ht="28" x14ac:dyDescent="0.15">
      <c r="A40" s="63">
        <f>score_attack_expanded_floors!$C$2</f>
        <v>47013</v>
      </c>
      <c r="B40" s="64" t="str">
        <f ca="1">VLOOKUP($A40,OFFSET([2]quests!$A$1,0,0,COUNTA([2]quests!$A:$A),MATCH(B$1,[2]quests!$1:$1,0)-MATCH($A$1,[2]quests!$1:$1,0)+1),MATCH(B$1,[2]quests!$1:$1,0)-MATCH($A$1,[2]quests!$1:$1,0)+1,FALSE)</f>
        <v>スカルズ襲来！</v>
      </c>
      <c r="C40" s="64" t="str">
        <f ca="1">VLOOKUP($A40,OFFSET([2]quests!$A$1,0,0,COUNTA([2]quests!$A:$A),MATCH(C$1,[2]quests!$1:$1,0)-MATCH($A$1,[2]quests!$1:$1,0)+1),MATCH(C$1,[2]quests!$1:$1,0)-MATCH($A$1,[2]quests!$1:$1,0)+1,FALSE)</f>
        <v>1000億パネル破壊記念イベント</v>
      </c>
      <c r="D40" s="94">
        <v>36</v>
      </c>
      <c r="E40" s="95">
        <v>1000</v>
      </c>
      <c r="F40" s="73" t="str">
        <f t="shared" si="0"/>
        <v>470131000</v>
      </c>
      <c r="G40" t="str">
        <f>F40&amp;TEXT(COUNTIF(F$2:F40,F40),"00")</f>
        <v>47013100001</v>
      </c>
      <c r="H40" s="75" t="s">
        <v>171</v>
      </c>
      <c r="I40" s="75">
        <v>1</v>
      </c>
      <c r="J40" s="75" t="s">
        <v>172</v>
      </c>
      <c r="K40" s="75">
        <v>0</v>
      </c>
      <c r="L40" s="75">
        <v>0</v>
      </c>
      <c r="M40" s="75">
        <v>0</v>
      </c>
      <c r="N40" s="75">
        <v>0</v>
      </c>
      <c r="O40" s="75">
        <v>1</v>
      </c>
      <c r="P40" s="75">
        <v>1</v>
      </c>
      <c r="Q40" s="75">
        <v>1</v>
      </c>
      <c r="R40" s="75" t="s">
        <v>148</v>
      </c>
      <c r="S40" s="75" t="s">
        <v>199</v>
      </c>
      <c r="T40" s="75" t="s">
        <v>168</v>
      </c>
      <c r="U40" s="76" t="s">
        <v>169</v>
      </c>
    </row>
    <row r="41" spans="1:21" ht="28" x14ac:dyDescent="0.15">
      <c r="A41" s="63">
        <f>score_attack_expanded_floors!$C$2</f>
        <v>47013</v>
      </c>
      <c r="B41" s="64" t="str">
        <f ca="1">VLOOKUP($A41,OFFSET([2]quests!$A$1,0,0,COUNTA([2]quests!$A:$A),MATCH(B$1,[2]quests!$1:$1,0)-MATCH($A$1,[2]quests!$1:$1,0)+1),MATCH(B$1,[2]quests!$1:$1,0)-MATCH($A$1,[2]quests!$1:$1,0)+1,FALSE)</f>
        <v>スカルズ襲来！</v>
      </c>
      <c r="C41" s="64" t="str">
        <f ca="1">VLOOKUP($A41,OFFSET([2]quests!$A$1,0,0,COUNTA([2]quests!$A:$A),MATCH(C$1,[2]quests!$1:$1,0)-MATCH($A$1,[2]quests!$1:$1,0)+1),MATCH(C$1,[2]quests!$1:$1,0)-MATCH($A$1,[2]quests!$1:$1,0)+1,FALSE)</f>
        <v>1000億パネル破壊記念イベント</v>
      </c>
      <c r="D41" s="94">
        <v>36</v>
      </c>
      <c r="E41" s="95">
        <v>1000</v>
      </c>
      <c r="F41" s="73" t="str">
        <f t="shared" si="0"/>
        <v>470131000</v>
      </c>
      <c r="G41" t="str">
        <f>F41&amp;TEXT(COUNTIF(F$2:F41,F41),"00")</f>
        <v>47013100002</v>
      </c>
      <c r="H41" s="75" t="s">
        <v>188</v>
      </c>
      <c r="I41" s="75">
        <v>1000</v>
      </c>
      <c r="J41" s="75" t="s">
        <v>172</v>
      </c>
      <c r="K41" s="75">
        <v>0</v>
      </c>
      <c r="L41" s="75">
        <v>0</v>
      </c>
      <c r="M41" s="75">
        <v>0</v>
      </c>
      <c r="N41" s="75">
        <v>0</v>
      </c>
      <c r="O41" s="75">
        <v>1</v>
      </c>
      <c r="P41" s="75">
        <v>1</v>
      </c>
      <c r="Q41" s="75">
        <v>1</v>
      </c>
      <c r="R41" s="75" t="s">
        <v>148</v>
      </c>
      <c r="S41" s="75" t="s">
        <v>197</v>
      </c>
      <c r="T41" s="75" t="s">
        <v>168</v>
      </c>
      <c r="U41" s="76" t="s">
        <v>169</v>
      </c>
    </row>
    <row r="42" spans="1:21" ht="28" x14ac:dyDescent="0.15">
      <c r="A42" s="63">
        <f>score_attack_expanded_floors!$C$2</f>
        <v>47013</v>
      </c>
      <c r="B42" s="64" t="str">
        <f ca="1">VLOOKUP($A42,OFFSET([2]quests!$A$1,0,0,COUNTA([2]quests!$A:$A),MATCH(B$1,[2]quests!$1:$1,0)-MATCH($A$1,[2]quests!$1:$1,0)+1),MATCH(B$1,[2]quests!$1:$1,0)-MATCH($A$1,[2]quests!$1:$1,0)+1,FALSE)</f>
        <v>スカルズ襲来！</v>
      </c>
      <c r="C42" s="64" t="str">
        <f ca="1">VLOOKUP($A42,OFFSET([2]quests!$A$1,0,0,COUNTA([2]quests!$A:$A),MATCH(C$1,[2]quests!$1:$1,0)-MATCH($A$1,[2]quests!$1:$1,0)+1),MATCH(C$1,[2]quests!$1:$1,0)-MATCH($A$1,[2]quests!$1:$1,0)+1,FALSE)</f>
        <v>1000億パネル破壊記念イベント</v>
      </c>
      <c r="D42" s="94">
        <v>36</v>
      </c>
      <c r="E42" s="95">
        <v>1000</v>
      </c>
      <c r="F42" s="73" t="str">
        <f t="shared" si="0"/>
        <v>470131000</v>
      </c>
      <c r="G42" t="str">
        <f>F42&amp;TEXT(COUNTIF(F$2:F42,F42),"00")</f>
        <v>47013100003</v>
      </c>
      <c r="H42" s="75" t="s">
        <v>64</v>
      </c>
      <c r="I42" s="75">
        <v>100000</v>
      </c>
      <c r="J42" s="75" t="s">
        <v>172</v>
      </c>
      <c r="K42" s="75">
        <v>0</v>
      </c>
      <c r="L42" s="75">
        <v>0</v>
      </c>
      <c r="M42" s="75">
        <v>0</v>
      </c>
      <c r="N42" s="75">
        <v>0</v>
      </c>
      <c r="O42" s="75">
        <v>1</v>
      </c>
      <c r="P42" s="75">
        <v>1</v>
      </c>
      <c r="Q42" s="75">
        <v>1</v>
      </c>
      <c r="R42" s="75" t="s">
        <v>148</v>
      </c>
      <c r="S42" s="75" t="s">
        <v>200</v>
      </c>
      <c r="T42" s="75" t="s">
        <v>168</v>
      </c>
      <c r="U42" s="76" t="s">
        <v>169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I5"/>
  <sheetViews>
    <sheetView zoomScale="121" zoomScaleNormal="121" zoomScalePageLayoutView="121" workbookViewId="0">
      <selection activeCell="H34" sqref="H34"/>
    </sheetView>
  </sheetViews>
  <sheetFormatPr baseColWidth="12" defaultRowHeight="15" x14ac:dyDescent="0.15"/>
  <cols>
    <col min="1" max="1" width="27.1640625" bestFit="1" customWidth="1"/>
  </cols>
  <sheetData>
    <row r="1" spans="1:9" x14ac:dyDescent="0.15">
      <c r="A1" s="114" t="s">
        <v>225</v>
      </c>
      <c r="B1" s="114" t="s">
        <v>0</v>
      </c>
      <c r="C1" s="114" t="s">
        <v>1</v>
      </c>
      <c r="D1" s="114" t="s">
        <v>226</v>
      </c>
      <c r="E1" s="114" t="s">
        <v>227</v>
      </c>
      <c r="F1" s="114" t="s">
        <v>228</v>
      </c>
      <c r="G1" s="114" t="s">
        <v>229</v>
      </c>
      <c r="H1" s="114" t="s">
        <v>230</v>
      </c>
      <c r="I1" s="114" t="s">
        <v>231</v>
      </c>
    </row>
    <row r="2" spans="1:9" ht="26" customHeight="1" x14ac:dyDescent="0.15">
      <c r="A2" s="301">
        <v>1</v>
      </c>
      <c r="B2" s="301">
        <v>47013</v>
      </c>
      <c r="C2" s="301">
        <v>3</v>
      </c>
      <c r="D2" s="301" t="s">
        <v>232</v>
      </c>
      <c r="E2" s="301" t="s">
        <v>251</v>
      </c>
      <c r="F2" s="301" t="s">
        <v>233</v>
      </c>
      <c r="G2" s="301">
        <v>0.1</v>
      </c>
      <c r="H2" s="302">
        <v>36526</v>
      </c>
      <c r="I2" s="302">
        <v>371454</v>
      </c>
    </row>
    <row r="3" spans="1:9" ht="26" customHeight="1" thickBot="1" x14ac:dyDescent="0.2">
      <c r="A3" s="303">
        <v>2</v>
      </c>
      <c r="B3" s="303">
        <v>47013</v>
      </c>
      <c r="C3" s="303">
        <v>3</v>
      </c>
      <c r="D3" s="303" t="s">
        <v>232</v>
      </c>
      <c r="E3" s="303" t="s">
        <v>252</v>
      </c>
      <c r="F3" s="303" t="s">
        <v>233</v>
      </c>
      <c r="G3" s="303">
        <v>0.03</v>
      </c>
      <c r="H3" s="304">
        <v>36526</v>
      </c>
      <c r="I3" s="304">
        <v>371454</v>
      </c>
    </row>
    <row r="4" spans="1:9" ht="26" customHeight="1" thickTop="1" x14ac:dyDescent="0.15">
      <c r="A4" s="115">
        <v>3</v>
      </c>
      <c r="B4" s="115">
        <v>47013</v>
      </c>
      <c r="C4" s="115">
        <v>4</v>
      </c>
      <c r="D4" s="115" t="s">
        <v>232</v>
      </c>
      <c r="E4" s="115" t="s">
        <v>251</v>
      </c>
      <c r="F4" s="115" t="s">
        <v>233</v>
      </c>
      <c r="G4" s="115">
        <v>0.05</v>
      </c>
      <c r="H4" s="116">
        <v>36526</v>
      </c>
      <c r="I4" s="116">
        <v>371454</v>
      </c>
    </row>
    <row r="5" spans="1:9" ht="26" customHeight="1" x14ac:dyDescent="0.15">
      <c r="A5" s="115">
        <v>4</v>
      </c>
      <c r="B5" s="115">
        <v>47013</v>
      </c>
      <c r="C5" s="115">
        <v>4</v>
      </c>
      <c r="D5" s="115" t="s">
        <v>654</v>
      </c>
      <c r="E5" s="115" t="s">
        <v>655</v>
      </c>
      <c r="F5" s="115" t="s">
        <v>233</v>
      </c>
      <c r="G5" s="115">
        <v>0.05</v>
      </c>
      <c r="H5" s="116">
        <v>36526</v>
      </c>
      <c r="I5" s="116">
        <v>371454</v>
      </c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K15" sqref="K15"/>
    </sheetView>
  </sheetViews>
  <sheetFormatPr baseColWidth="12" defaultColWidth="13" defaultRowHeight="21" customHeight="1" outlineLevelCol="1" x14ac:dyDescent="0.15"/>
  <cols>
    <col min="1" max="1" width="17.6640625" style="17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77" customWidth="1"/>
    <col min="21" max="21" width="17.5" style="3" bestFit="1" customWidth="1"/>
    <col min="22" max="22" width="16.164062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1" bestFit="1" customWidth="1" outlineLevel="1"/>
    <col min="32" max="32" width="8" style="12" bestFit="1" customWidth="1" outlineLevel="1"/>
    <col min="33" max="33" width="12" style="12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29" customFormat="1" ht="21" customHeight="1" x14ac:dyDescent="0.15">
      <c r="A1" s="23" t="s">
        <v>254</v>
      </c>
      <c r="B1" s="22" t="s">
        <v>0</v>
      </c>
      <c r="C1" s="22" t="s">
        <v>1</v>
      </c>
      <c r="D1" s="24" t="s">
        <v>255</v>
      </c>
      <c r="E1" s="24" t="s">
        <v>256</v>
      </c>
      <c r="F1" s="24" t="s">
        <v>256</v>
      </c>
      <c r="G1" s="22" t="s">
        <v>257</v>
      </c>
      <c r="H1" s="24" t="s">
        <v>258</v>
      </c>
      <c r="I1" s="24" t="s">
        <v>13</v>
      </c>
      <c r="J1" s="24" t="s">
        <v>14</v>
      </c>
      <c r="K1" s="30" t="s">
        <v>259</v>
      </c>
      <c r="L1" s="30" t="s">
        <v>2</v>
      </c>
      <c r="M1" s="25" t="s">
        <v>256</v>
      </c>
      <c r="N1" s="24" t="s">
        <v>260</v>
      </c>
      <c r="O1" s="24" t="s">
        <v>261</v>
      </c>
      <c r="P1" s="26" t="s">
        <v>262</v>
      </c>
      <c r="Q1" s="24" t="s">
        <v>263</v>
      </c>
      <c r="R1" s="22" t="s">
        <v>3</v>
      </c>
      <c r="S1" s="22" t="s">
        <v>264</v>
      </c>
      <c r="T1" s="176" t="s">
        <v>265</v>
      </c>
      <c r="U1" s="22" t="s">
        <v>266</v>
      </c>
      <c r="V1" s="176" t="s">
        <v>267</v>
      </c>
      <c r="W1" s="22" t="s">
        <v>268</v>
      </c>
      <c r="X1" s="24" t="s">
        <v>269</v>
      </c>
      <c r="Y1" s="22" t="s">
        <v>270</v>
      </c>
      <c r="Z1" s="22" t="s">
        <v>4</v>
      </c>
      <c r="AA1" s="22" t="s">
        <v>5</v>
      </c>
      <c r="AB1" s="22" t="s">
        <v>6</v>
      </c>
      <c r="AC1" s="22" t="s">
        <v>7</v>
      </c>
      <c r="AD1" s="27" t="s">
        <v>8</v>
      </c>
      <c r="AE1" s="28" t="s">
        <v>256</v>
      </c>
      <c r="AF1" s="28" t="s">
        <v>271</v>
      </c>
      <c r="AG1" s="28" t="s">
        <v>272</v>
      </c>
      <c r="AH1" s="27" t="s">
        <v>9</v>
      </c>
      <c r="AI1" s="22" t="s">
        <v>10</v>
      </c>
      <c r="AJ1" s="22" t="s">
        <v>11</v>
      </c>
      <c r="AK1" s="22" t="s">
        <v>273</v>
      </c>
      <c r="AL1" s="22" t="s">
        <v>274</v>
      </c>
      <c r="AM1" s="22" t="s">
        <v>275</v>
      </c>
      <c r="AN1" s="22" t="s">
        <v>276</v>
      </c>
      <c r="AO1" s="22" t="s">
        <v>277</v>
      </c>
      <c r="AP1" s="30" t="s">
        <v>278</v>
      </c>
    </row>
    <row r="2" spans="1:42" ht="21" customHeight="1" x14ac:dyDescent="0.15">
      <c r="A2" s="14" t="str">
        <f t="shared" ref="A2:A7" si="0">B2&amp;"_"&amp;C2&amp;"-"&amp;G2&amp;"/"&amp;L2&amp;"&lt;lv"&amp;R2&amp;"&gt;s"&amp;AC2</f>
        <v>47013_4-1/817&lt;lv60&gt;s2</v>
      </c>
      <c r="B2" s="19">
        <v>47013</v>
      </c>
      <c r="C2" s="96">
        <v>4</v>
      </c>
      <c r="D2" s="13" t="str">
        <f t="shared" ref="D2:D7" si="1">B2&amp;"_"&amp;C2</f>
        <v>47013_4</v>
      </c>
      <c r="E2" s="4" t="str">
        <f ca="1">VLOOKUP($B2,OFFSET([2]quests!$A$1,0,0,COUNTA([2]quests!$A:$A),MATCH(E$1,[2]quests!$1:$1,0)-MATCH($B$1,[2]quests!$1:$1,0)+1),MATCH(E$1,[2]quests!$1:$1,0)-MATCH($B$1,[2]quests!$1:$1,0)+1,FALSE)</f>
        <v>スカルズ襲来！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【スコアアタック】スカルズ襲来！</v>
      </c>
      <c r="G2" s="96">
        <v>1</v>
      </c>
      <c r="H2" s="13" t="str">
        <f t="shared" ref="H2:H7" si="2">B2&amp;"_"&amp;C2&amp;"-"&amp;G2</f>
        <v>47013_4-1</v>
      </c>
      <c r="I2" s="4">
        <f ca="1">VLOOKUP($H2,OFFSET([3]floors!$A$1,0,0,COUNTA([3]floors!$A:$A),MATCH(I$1,[3]floors!$1:$1,0)-MATCH($H$1,[3]floors!$1:$1,0)+1),MATCH(I$1,[3]floors!$1:$1,0)-MATCH($H$1,[3]floors!$1:$1,0)+1,FALSE)</f>
        <v>60</v>
      </c>
      <c r="J2" s="4">
        <f ca="1">VLOOKUP($H2,OFFSET([3]floors!$A$1,0,0,COUNTA([3]floors!$A:$A),MATCH(J$1,[3]floors!$1:$1,0)-MATCH($H$1,[3]floors!$1:$1,0)+1),MATCH(J$1,[3]floors!$1:$1,0)-MATCH($H$1,[3]floors!$1:$1,0)+1,FALSE)</f>
        <v>60</v>
      </c>
      <c r="K2" s="32" t="s">
        <v>279</v>
      </c>
      <c r="L2" s="144">
        <v>817</v>
      </c>
      <c r="M2" s="15" t="str">
        <f ca="1">VLOOKUP($L2,OFFSET([4]enemies!$A$1,0,0,COUNTA([4]enemies!$A:$A),MATCH(M$1,[4]enemies!$1:$1,0)-MATCH($L$1,[4]enemies!$1:$1,0)+1),MATCH(M$1,[4]enemies!$1:$1,0)-MATCH($L$1,[4]enemies!$1:$1,0)+1,FALSE)</f>
        <v>決戦の抗弾 D.R.T.H.</v>
      </c>
      <c r="N2" s="15" t="str">
        <f ca="1">VLOOKUP($L2,OFFSET([4]enemies!$A$1,0,0,COUNTA([4]enemies!$A:$A),MATCH(N$1,[4]enemies!$1:$1,0)-MATCH($L$1,[4]enemies!$1:$1,0)+1),MATCH(N$1,[4]enemies!$1:$1,0)-MATCH($L$1,[4]enemies!$1:$1,0)+1,FALSE)</f>
        <v>red</v>
      </c>
      <c r="O2" s="15" t="str">
        <f ca="1">VLOOKUP($L2,OFFSET([5]characters!$A$1,0,0,COUNTA([5]characters!$A:$A),MATCH(O$1,[5]characters!$1:$1,0)-MATCH($L$1,[5]characters!$1:$1,0)+1),MATCH(O$1,[5]characters!$1:$1,0)-MATCH($L$1,[5]characters!$1:$1,0)+1,FALSE)</f>
        <v>PremiumSS</v>
      </c>
      <c r="P2" s="15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5">
        <f ca="1">VLOOKUP($L2,OFFSET([4]enemies!$A$1,0,0,COUNTA([4]enemies!$A:$A),MATCH(Q$1,[4]enemies!$1:$1,0)-MATCH($L$1,[4]enemies!$1:$1,0)+1),MATCH(Q$1,[4]enemies!$1:$1,0)-MATCH($L$1,[4]enemies!$1:$1,0)+1,FALSE)</f>
        <v>60</v>
      </c>
      <c r="R2" s="5">
        <v>60</v>
      </c>
      <c r="S2" s="21">
        <v>3.5</v>
      </c>
      <c r="T2" s="145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343969.5</v>
      </c>
      <c r="U2" s="21">
        <v>1.7</v>
      </c>
      <c r="V2" s="145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11529.4</v>
      </c>
      <c r="W2" s="5">
        <v>0</v>
      </c>
      <c r="X2" s="4" t="str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状態異常耐性+_x000D_回復&amp;体力タイプのユニットの_x000D_攻撃力大UP&amp;スキルゲージを4ターン減少</v>
      </c>
      <c r="Y2" s="146">
        <v>47013001</v>
      </c>
      <c r="Z2" s="6">
        <v>1</v>
      </c>
      <c r="AA2" s="6">
        <v>100</v>
      </c>
      <c r="AB2" s="6">
        <v>1</v>
      </c>
      <c r="AC2" s="147">
        <v>2</v>
      </c>
      <c r="AD2" s="148">
        <f t="shared" ref="AD2:AD7" si="3">L2</f>
        <v>817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決戦の抗弾 D.R.T.H.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6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2" s="149">
        <v>1</v>
      </c>
      <c r="AI2" s="148">
        <f t="shared" ref="AI2:AI7" ca="1" si="4">AF2</f>
        <v>6</v>
      </c>
      <c r="AJ2" s="150">
        <v>0</v>
      </c>
      <c r="AK2" s="149">
        <v>0</v>
      </c>
      <c r="AL2" s="149">
        <v>0</v>
      </c>
      <c r="AM2" s="149">
        <v>0</v>
      </c>
      <c r="AN2" s="149">
        <v>0</v>
      </c>
      <c r="AO2" s="149">
        <v>1</v>
      </c>
      <c r="AP2" s="56">
        <v>1</v>
      </c>
    </row>
    <row r="3" spans="1:42" ht="21" customHeight="1" x14ac:dyDescent="0.15">
      <c r="A3" s="14" t="str">
        <f t="shared" si="0"/>
        <v>47013_4-2/734&lt;lv60&gt;s2</v>
      </c>
      <c r="B3" s="19">
        <v>47013</v>
      </c>
      <c r="C3" s="96">
        <v>4</v>
      </c>
      <c r="D3" s="13" t="str">
        <f t="shared" si="1"/>
        <v>47013_4</v>
      </c>
      <c r="E3" s="4" t="str">
        <f ca="1">VLOOKUP($B3,OFFSET([2]quests!$A$1,0,0,COUNTA([2]quests!$A:$A),MATCH(E$1,[2]quests!$1:$1,0)-MATCH($B$1,[2]quests!$1:$1,0)+1),MATCH(E$1,[2]quests!$1:$1,0)-MATCH($B$1,[2]quests!$1:$1,0)+1,FALSE)</f>
        <v>スカルズ襲来！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【スコアアタック】スカルズ襲来！</v>
      </c>
      <c r="G3" s="96">
        <v>2</v>
      </c>
      <c r="H3" s="13" t="str">
        <f t="shared" si="2"/>
        <v>47013_4-2</v>
      </c>
      <c r="I3" s="4">
        <f ca="1">VLOOKUP($H3,OFFSET([3]floors!$A$1,0,0,COUNTA([3]floors!$A:$A),MATCH(I$1,[3]floors!$1:$1,0)-MATCH($H$1,[3]floors!$1:$1,0)+1),MATCH(I$1,[3]floors!$1:$1,0)-MATCH($H$1,[3]floors!$1:$1,0)+1,FALSE)</f>
        <v>60</v>
      </c>
      <c r="J3" s="4">
        <f ca="1">VLOOKUP($H3,OFFSET([3]floors!$A$1,0,0,COUNTA([3]floors!$A:$A),MATCH(J$1,[3]floors!$1:$1,0)-MATCH($H$1,[3]floors!$1:$1,0)+1),MATCH(J$1,[3]floors!$1:$1,0)-MATCH($H$1,[3]floors!$1:$1,0)+1,FALSE)</f>
        <v>60</v>
      </c>
      <c r="K3" s="32">
        <v>1</v>
      </c>
      <c r="L3" s="144">
        <v>734</v>
      </c>
      <c r="M3" s="15" t="str">
        <f ca="1">VLOOKUP($L3,OFFSET([4]enemies!$A$1,0,0,COUNTA([4]enemies!$A:$A),MATCH(M$1,[4]enemies!$1:$1,0)-MATCH($L$1,[4]enemies!$1:$1,0)+1),MATCH(M$1,[4]enemies!$1:$1,0)-MATCH($L$1,[4]enemies!$1:$1,0)+1,FALSE)</f>
        <v>伊達政宗</v>
      </c>
      <c r="N3" s="15" t="str">
        <f ca="1">VLOOKUP($L3,OFFSET([4]enemies!$A$1,0,0,COUNTA([4]enemies!$A:$A),MATCH(N$1,[4]enemies!$1:$1,0)-MATCH($L$1,[4]enemies!$1:$1,0)+1),MATCH(N$1,[4]enemies!$1:$1,0)-MATCH($L$1,[4]enemies!$1:$1,0)+1,FALSE)</f>
        <v>yellow</v>
      </c>
      <c r="O3" s="15" t="str">
        <f ca="1">VLOOKUP($L3,OFFSET([5]characters!$A$1,0,0,COUNTA([5]characters!$A:$A),MATCH(O$1,[5]characters!$1:$1,0)-MATCH($L$1,[5]characters!$1:$1,0)+1),MATCH(O$1,[5]characters!$1:$1,0)-MATCH($L$1,[5]characters!$1:$1,0)+1,FALSE)</f>
        <v>PremiumSS</v>
      </c>
      <c r="P3" s="15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5">
        <f ca="1">VLOOKUP($L3,OFFSET([4]enemies!$A$1,0,0,COUNTA([4]enemies!$A:$A),MATCH(Q$1,[4]enemies!$1:$1,0)-MATCH($L$1,[4]enemies!$1:$1,0)+1),MATCH(Q$1,[4]enemies!$1:$1,0)-MATCH($L$1,[4]enemies!$1:$1,0)+1,FALSE)</f>
        <v>60</v>
      </c>
      <c r="R3" s="5">
        <v>60</v>
      </c>
      <c r="S3" s="21">
        <v>3.9</v>
      </c>
      <c r="T3" s="145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375612.89999999997</v>
      </c>
      <c r="U3" s="21">
        <v>1.1000000000000001</v>
      </c>
      <c r="V3" s="145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7386.5000000000009</v>
      </c>
      <c r="W3" s="5">
        <v>0</v>
      </c>
      <c r="X3" s="4" t="str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状態異常耐性+_x000D_5ターン超高確率で_x000D_緑パネルがお邪魔パネルとしてドロップ</v>
      </c>
      <c r="Y3" s="151">
        <v>47013002</v>
      </c>
      <c r="Z3" s="6">
        <v>1</v>
      </c>
      <c r="AA3" s="6">
        <v>100</v>
      </c>
      <c r="AB3" s="6">
        <v>1</v>
      </c>
      <c r="AC3" s="147">
        <v>2</v>
      </c>
      <c r="AD3" s="148">
        <f t="shared" si="3"/>
        <v>734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伊達政宗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5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3" s="149">
        <v>1</v>
      </c>
      <c r="AI3" s="148">
        <f t="shared" ca="1" si="4"/>
        <v>5</v>
      </c>
      <c r="AJ3" s="150">
        <v>0</v>
      </c>
      <c r="AK3" s="149">
        <v>0</v>
      </c>
      <c r="AL3" s="149">
        <v>0</v>
      </c>
      <c r="AM3" s="149">
        <v>0</v>
      </c>
      <c r="AN3" s="149">
        <v>0</v>
      </c>
      <c r="AO3" s="149">
        <v>1</v>
      </c>
      <c r="AP3" s="56">
        <v>1</v>
      </c>
    </row>
    <row r="4" spans="1:42" ht="21" customHeight="1" thickBot="1" x14ac:dyDescent="0.2">
      <c r="A4" s="14" t="str">
        <f t="shared" si="0"/>
        <v>47013_4-3/1035&lt;lv60&gt;s2</v>
      </c>
      <c r="B4" s="152">
        <v>47013</v>
      </c>
      <c r="C4" s="126">
        <v>4</v>
      </c>
      <c r="D4" s="127" t="str">
        <f t="shared" si="1"/>
        <v>47013_4</v>
      </c>
      <c r="E4" s="153" t="str">
        <f ca="1">VLOOKUP($B4,OFFSET([2]quests!$A$1,0,0,COUNTA([2]quests!$A:$A),MATCH(E$1,[2]quests!$1:$1,0)-MATCH($B$1,[2]quests!$1:$1,0)+1),MATCH(E$1,[2]quests!$1:$1,0)-MATCH($B$1,[2]quests!$1:$1,0)+1,FALSE)</f>
        <v>スカルズ襲来！</v>
      </c>
      <c r="F4" s="153" t="str">
        <f ca="1">VLOOKUP($D4,OFFSET([2]stages!$A$1,0,0,COUNTA([2]stages!$A:$A),MATCH(F$1,[2]stages!$2:$2,0)-MATCH($D$1,[2]stages!$2:$2,0)+1),MATCH(F$1,[2]stages!$2:$2,0)-MATCH($D$1,[2]stages!$2:$2,0)+1,FALSE)</f>
        <v>【スコアアタック】スカルズ襲来！</v>
      </c>
      <c r="G4" s="126">
        <v>3</v>
      </c>
      <c r="H4" s="127" t="str">
        <f t="shared" si="2"/>
        <v>47013_4-3</v>
      </c>
      <c r="I4" s="153">
        <f ca="1">VLOOKUP($H4,OFFSET([3]floors!$A$1,0,0,COUNTA([3]floors!$A:$A),MATCH(I$1,[3]floors!$1:$1,0)-MATCH($H$1,[3]floors!$1:$1,0)+1),MATCH(I$1,[3]floors!$1:$1,0)-MATCH($H$1,[3]floors!$1:$1,0)+1,FALSE)</f>
        <v>60</v>
      </c>
      <c r="J4" s="153">
        <f ca="1">VLOOKUP($H4,OFFSET([3]floors!$A$1,0,0,COUNTA([3]floors!$A:$A),MATCH(J$1,[3]floors!$1:$1,0)-MATCH($H$1,[3]floors!$1:$1,0)+1),MATCH(J$1,[3]floors!$1:$1,0)-MATCH($H$1,[3]floors!$1:$1,0)+1,FALSE)</f>
        <v>60</v>
      </c>
      <c r="K4" s="154">
        <v>2</v>
      </c>
      <c r="L4" s="155">
        <v>1035</v>
      </c>
      <c r="M4" s="156" t="str">
        <f ca="1">VLOOKUP($L4,OFFSET([4]enemies!$A$1,0,0,COUNTA([4]enemies!$A:$A),MATCH(M$1,[4]enemies!$1:$1,0)-MATCH($L$1,[4]enemies!$1:$1,0)+1),MATCH(M$1,[4]enemies!$1:$1,0)-MATCH($L$1,[4]enemies!$1:$1,0)+1,FALSE)</f>
        <v>スカルズ</v>
      </c>
      <c r="N4" s="156" t="str">
        <f ca="1">VLOOKUP($L4,OFFSET([4]enemies!$A$1,0,0,COUNTA([4]enemies!$A:$A),MATCH(N$1,[4]enemies!$1:$1,0)-MATCH($L$1,[4]enemies!$1:$1,0)+1),MATCH(N$1,[4]enemies!$1:$1,0)-MATCH($L$1,[4]enemies!$1:$1,0)+1,FALSE)</f>
        <v>green</v>
      </c>
      <c r="O4" s="156" t="str">
        <f ca="1">VLOOKUP($L4,OFFSET([5]characters!$A$1,0,0,COUNTA([5]characters!$A:$A),MATCH(O$1,[5]characters!$1:$1,0)-MATCH($L$1,[5]characters!$1:$1,0)+1),MATCH(O$1,[5]characters!$1:$1,0)-MATCH($L$1,[5]characters!$1:$1,0)+1,FALSE)</f>
        <v>DropWizS</v>
      </c>
      <c r="P4" s="156" t="str">
        <f ca="1">VLOOKUP($L4,OFFSET([4]enemies!$A$1,0,0,COUNTA([4]enemies!$A:$A),MATCH(P$1,[4]enemies!$1:$1,0)-MATCH($L$1,[4]enemies!$1:$1,0)+1),MATCH(P$1,[4]enemies!$1:$1,0)-MATCH($L$1,[4]enemies!$1:$1,0)+1,FALSE)</f>
        <v>animal</v>
      </c>
      <c r="Q4" s="156">
        <f ca="1">VLOOKUP($L4,OFFSET([4]enemies!$A$1,0,0,COUNTA([4]enemies!$A:$A),MATCH(Q$1,[4]enemies!$1:$1,0)-MATCH($L$1,[4]enemies!$1:$1,0)+1),MATCH(Q$1,[4]enemies!$1:$1,0)-MATCH($L$1,[4]enemies!$1:$1,0)+1,FALSE)</f>
        <v>60</v>
      </c>
      <c r="R4" s="157">
        <v>60</v>
      </c>
      <c r="S4" s="158">
        <v>5.8</v>
      </c>
      <c r="T4" s="159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896848.2</v>
      </c>
      <c r="U4" s="158">
        <v>1.7</v>
      </c>
      <c r="V4" s="159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10461.799999999999</v>
      </c>
      <c r="W4" s="157">
        <v>0</v>
      </c>
      <c r="X4" s="153" t="str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状態異常耐性+10ターン赤パネルドロップ率DOWN+_x000D_7ターン回復&amp;体力タイプのユニットの_x000D_ボムの爆風を30%UP</v>
      </c>
      <c r="Y4" s="160">
        <v>47013004</v>
      </c>
      <c r="Z4" s="161">
        <v>1</v>
      </c>
      <c r="AA4" s="161">
        <v>100</v>
      </c>
      <c r="AB4" s="161">
        <v>1</v>
      </c>
      <c r="AC4" s="162">
        <v>2</v>
      </c>
      <c r="AD4" s="163">
        <f t="shared" si="3"/>
        <v>1035</v>
      </c>
      <c r="AE4" s="153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スカルズ</v>
      </c>
      <c r="AF4" s="153">
        <f ca="1">VLOOKUP($AD4,OFFSET([5]characters!$A$1,0,0,COUNTA([5]characters!$A:$A),MATCH(AF$1,[5]characters!$1:$1,0)-MATCH("character_id",[5]characters!$1:$1,0)+1),MATCH(AF$1,[5]characters!$1:$1,0)-MATCH("character_id",[5]characters!$1:$1,0)+1,FALSE)</f>
        <v>5</v>
      </c>
      <c r="AG4" s="153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DropWizS</v>
      </c>
      <c r="AH4" s="125">
        <v>1</v>
      </c>
      <c r="AI4" s="163">
        <f t="shared" ca="1" si="4"/>
        <v>5</v>
      </c>
      <c r="AJ4" s="164">
        <v>30</v>
      </c>
      <c r="AK4" s="125">
        <v>0</v>
      </c>
      <c r="AL4" s="125">
        <v>0</v>
      </c>
      <c r="AM4" s="125">
        <v>0</v>
      </c>
      <c r="AN4" s="125">
        <v>0</v>
      </c>
      <c r="AO4" s="125">
        <v>1</v>
      </c>
      <c r="AP4" s="129">
        <v>1</v>
      </c>
    </row>
    <row r="5" spans="1:42" ht="21" customHeight="1" thickTop="1" x14ac:dyDescent="0.15">
      <c r="A5" s="14" t="str">
        <f t="shared" si="0"/>
        <v>47013_3-1/817&lt;lv40&gt;s2</v>
      </c>
      <c r="B5" s="19">
        <v>47013</v>
      </c>
      <c r="C5" s="119">
        <v>3</v>
      </c>
      <c r="D5" s="121" t="str">
        <f t="shared" si="1"/>
        <v>47013_3</v>
      </c>
      <c r="E5" s="4" t="str">
        <f ca="1">VLOOKUP($B5,OFFSET([2]quests!$A$1,0,0,COUNTA([2]quests!$A:$A),MATCH(E$1,[2]quests!$1:$1,0)-MATCH($B$1,[2]quests!$1:$1,0)+1),MATCH(E$1,[2]quests!$1:$1,0)-MATCH($B$1,[2]quests!$1:$1,0)+1,FALSE)</f>
        <v>スカルズ襲来！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【スコア超絶】スカルズ襲来！</v>
      </c>
      <c r="G5" s="119">
        <v>1</v>
      </c>
      <c r="H5" s="121" t="str">
        <f t="shared" si="2"/>
        <v>47013_3-1</v>
      </c>
      <c r="I5" s="4">
        <f ca="1">VLOOKUP($H5,OFFSET([3]floors!$A$1,0,0,COUNTA([3]floors!$A:$A),MATCH(I$1,[3]floors!$1:$1,0)-MATCH($H$1,[3]floors!$1:$1,0)+1),MATCH(I$1,[3]floors!$1:$1,0)-MATCH($H$1,[3]floors!$1:$1,0)+1,FALSE)</f>
        <v>60</v>
      </c>
      <c r="J5" s="4">
        <f ca="1">VLOOKUP($H5,OFFSET([3]floors!$A$1,0,0,COUNTA([3]floors!$A:$A),MATCH(J$1,[3]floors!$1:$1,0)-MATCH($H$1,[3]floors!$1:$1,0)+1),MATCH(J$1,[3]floors!$1:$1,0)-MATCH($H$1,[3]floors!$1:$1,0)+1,FALSE)</f>
        <v>60</v>
      </c>
      <c r="K5" s="165" t="s">
        <v>280</v>
      </c>
      <c r="L5" s="144">
        <v>817</v>
      </c>
      <c r="M5" s="15" t="str">
        <f ca="1">VLOOKUP($L5,OFFSET([4]enemies!$A$1,0,0,COUNTA([4]enemies!$A:$A),MATCH(M$1,[4]enemies!$1:$1,0)-MATCH($L$1,[4]enemies!$1:$1,0)+1),MATCH(M$1,[4]enemies!$1:$1,0)-MATCH($L$1,[4]enemies!$1:$1,0)+1,FALSE)</f>
        <v>決戦の抗弾 D.R.T.H.</v>
      </c>
      <c r="N5" s="15" t="str">
        <f ca="1">VLOOKUP($L5,OFFSET([4]enemies!$A$1,0,0,COUNTA([4]enemies!$A:$A),MATCH(N$1,[4]enemies!$1:$1,0)-MATCH($L$1,[4]enemies!$1:$1,0)+1),MATCH(N$1,[4]enemies!$1:$1,0)-MATCH($L$1,[4]enemies!$1:$1,0)+1,FALSE)</f>
        <v>red</v>
      </c>
      <c r="O5" s="15" t="str">
        <f ca="1">VLOOKUP($L5,OFFSET([5]characters!$A$1,0,0,COUNTA([5]characters!$A:$A),MATCH(O$1,[5]characters!$1:$1,0)-MATCH($L$1,[5]characters!$1:$1,0)+1),MATCH(O$1,[5]characters!$1:$1,0)-MATCH($L$1,[5]characters!$1:$1,0)+1,FALSE)</f>
        <v>PremiumSS</v>
      </c>
      <c r="P5" s="15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5">
        <f ca="1">VLOOKUP($L5,OFFSET([4]enemies!$A$1,0,0,COUNTA([4]enemies!$A:$A),MATCH(Q$1,[4]enemies!$1:$1,0)-MATCH($L$1,[4]enemies!$1:$1,0)+1),MATCH(Q$1,[4]enemies!$1:$1,0)-MATCH($L$1,[4]enemies!$1:$1,0)+1,FALSE)</f>
        <v>60</v>
      </c>
      <c r="R5" s="166">
        <v>40</v>
      </c>
      <c r="S5" s="21">
        <v>3.3</v>
      </c>
      <c r="T5" s="167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218846.09999999998</v>
      </c>
      <c r="U5" s="21">
        <v>1.5</v>
      </c>
      <c r="V5" s="167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6864</v>
      </c>
      <c r="W5" s="166">
        <v>0</v>
      </c>
      <c r="X5" s="4" t="str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状態異常耐性+_x000D_回復&amp;体力タイプのユニットの_x000D_攻撃力大UP&amp;スキルゲージを5ターン減少</v>
      </c>
      <c r="Y5" s="146">
        <v>47013011</v>
      </c>
      <c r="Z5" s="168">
        <v>1</v>
      </c>
      <c r="AA5" s="168">
        <v>100</v>
      </c>
      <c r="AB5" s="168">
        <v>1</v>
      </c>
      <c r="AC5" s="147">
        <v>2</v>
      </c>
      <c r="AD5" s="169">
        <f t="shared" si="3"/>
        <v>817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決戦の抗弾 D.R.T.H.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6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5" s="117">
        <v>1</v>
      </c>
      <c r="AI5" s="169">
        <f t="shared" ca="1" si="4"/>
        <v>6</v>
      </c>
      <c r="AJ5" s="170">
        <v>0</v>
      </c>
      <c r="AK5" s="117">
        <v>0</v>
      </c>
      <c r="AL5" s="117">
        <v>0</v>
      </c>
      <c r="AM5" s="117">
        <v>0</v>
      </c>
      <c r="AN5" s="117">
        <v>0</v>
      </c>
      <c r="AO5" s="117">
        <v>1</v>
      </c>
      <c r="AP5" s="123">
        <v>1</v>
      </c>
    </row>
    <row r="6" spans="1:42" ht="21" customHeight="1" x14ac:dyDescent="0.15">
      <c r="A6" s="14" t="str">
        <f t="shared" si="0"/>
        <v>47013_3-2/734&lt;lv40&gt;s2</v>
      </c>
      <c r="B6" s="19">
        <v>47013</v>
      </c>
      <c r="C6" s="96">
        <v>3</v>
      </c>
      <c r="D6" s="13" t="str">
        <f t="shared" si="1"/>
        <v>47013_3</v>
      </c>
      <c r="E6" s="4" t="str">
        <f ca="1">VLOOKUP($B6,OFFSET([2]quests!$A$1,0,0,COUNTA([2]quests!$A:$A),MATCH(E$1,[2]quests!$1:$1,0)-MATCH($B$1,[2]quests!$1:$1,0)+1),MATCH(E$1,[2]quests!$1:$1,0)-MATCH($B$1,[2]quests!$1:$1,0)+1,FALSE)</f>
        <v>スカルズ襲来！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【スコア超絶】スカルズ襲来！</v>
      </c>
      <c r="G6" s="96">
        <v>2</v>
      </c>
      <c r="H6" s="13" t="str">
        <f t="shared" si="2"/>
        <v>47013_3-2</v>
      </c>
      <c r="I6" s="4">
        <f ca="1">VLOOKUP($H6,OFFSET([3]floors!$A$1,0,0,COUNTA([3]floors!$A:$A),MATCH(I$1,[3]floors!$1:$1,0)-MATCH($H$1,[3]floors!$1:$1,0)+1),MATCH(I$1,[3]floors!$1:$1,0)-MATCH($H$1,[3]floors!$1:$1,0)+1,FALSE)</f>
        <v>60</v>
      </c>
      <c r="J6" s="4">
        <f ca="1">VLOOKUP($H6,OFFSET([3]floors!$A$1,0,0,COUNTA([3]floors!$A:$A),MATCH(J$1,[3]floors!$1:$1,0)-MATCH($H$1,[3]floors!$1:$1,0)+1),MATCH(J$1,[3]floors!$1:$1,0)-MATCH($H$1,[3]floors!$1:$1,0)+1,FALSE)</f>
        <v>60</v>
      </c>
      <c r="K6" s="32">
        <v>3</v>
      </c>
      <c r="L6" s="144">
        <v>734</v>
      </c>
      <c r="M6" s="15" t="str">
        <f ca="1">VLOOKUP($L6,OFFSET([4]enemies!$A$1,0,0,COUNTA([4]enemies!$A:$A),MATCH(M$1,[4]enemies!$1:$1,0)-MATCH($L$1,[4]enemies!$1:$1,0)+1),MATCH(M$1,[4]enemies!$1:$1,0)-MATCH($L$1,[4]enemies!$1:$1,0)+1,FALSE)</f>
        <v>伊達政宗</v>
      </c>
      <c r="N6" s="15" t="str">
        <f ca="1">VLOOKUP($L6,OFFSET([4]enemies!$A$1,0,0,COUNTA([4]enemies!$A:$A),MATCH(N$1,[4]enemies!$1:$1,0)-MATCH($L$1,[4]enemies!$1:$1,0)+1),MATCH(N$1,[4]enemies!$1:$1,0)-MATCH($L$1,[4]enemies!$1:$1,0)+1,FALSE)</f>
        <v>yellow</v>
      </c>
      <c r="O6" s="15" t="str">
        <f ca="1">VLOOKUP($L6,OFFSET([5]characters!$A$1,0,0,COUNTA([5]characters!$A:$A),MATCH(O$1,[5]characters!$1:$1,0)-MATCH($L$1,[5]characters!$1:$1,0)+1),MATCH(O$1,[5]characters!$1:$1,0)-MATCH($L$1,[5]characters!$1:$1,0)+1,FALSE)</f>
        <v>PremiumSS</v>
      </c>
      <c r="P6" s="15" t="str">
        <f ca="1">VLOOKUP($L6,OFFSET([4]enemies!$A$1,0,0,COUNTA([4]enemies!$A:$A),MATCH(P$1,[4]enemies!$1:$1,0)-MATCH($L$1,[4]enemies!$1:$1,0)+1),MATCH(P$1,[4]enemies!$1:$1,0)-MATCH($L$1,[4]enemies!$1:$1,0)+1,FALSE)</f>
        <v>human</v>
      </c>
      <c r="Q6" s="15">
        <f ca="1">VLOOKUP($L6,OFFSET([4]enemies!$A$1,0,0,COUNTA([4]enemies!$A:$A),MATCH(Q$1,[4]enemies!$1:$1,0)-MATCH($L$1,[4]enemies!$1:$1,0)+1),MATCH(Q$1,[4]enemies!$1:$1,0)-MATCH($L$1,[4]enemies!$1:$1,0)+1,FALSE)</f>
        <v>60</v>
      </c>
      <c r="R6" s="5">
        <v>40</v>
      </c>
      <c r="S6" s="21">
        <v>3.6</v>
      </c>
      <c r="T6" s="145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233967.6</v>
      </c>
      <c r="U6" s="21">
        <v>1.1000000000000001</v>
      </c>
      <c r="V6" s="145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4984.1000000000004</v>
      </c>
      <c r="W6" s="5">
        <v>0</v>
      </c>
      <c r="X6" s="4" t="str">
        <f ca="1">VLOOKUP($Y6,OFFSET([3]enemy_skill_sets!$B$1,0,0,COUNTA([3]enemy_skill_sets!$B:$B),MATCH(M$1,[3]enemy_skill_sets!$1:$1,0)-MATCH($Y$1,[3]enemy_skill_sets!$1:$1,0)+2),MATCH(M$1,[3]enemy_skill_sets!$1:$1,0)-MATCH($Y$1,[3]enemy_skill_sets!$1:$1,0)+2,FALSE)</f>
        <v>状態異常耐性+_x000D_5ターン高確率で_x000D_緑パネルがお邪魔パネルとしてドロップ</v>
      </c>
      <c r="Y6" s="151">
        <v>47013012</v>
      </c>
      <c r="Z6" s="6">
        <v>1</v>
      </c>
      <c r="AA6" s="6">
        <v>100</v>
      </c>
      <c r="AB6" s="6">
        <v>1</v>
      </c>
      <c r="AC6" s="147">
        <v>2</v>
      </c>
      <c r="AD6" s="148">
        <f t="shared" si="3"/>
        <v>734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伊達政宗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5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6" s="149">
        <v>1</v>
      </c>
      <c r="AI6" s="148">
        <f t="shared" ca="1" si="4"/>
        <v>5</v>
      </c>
      <c r="AJ6" s="150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v>1</v>
      </c>
      <c r="AP6" s="56">
        <v>1</v>
      </c>
    </row>
    <row r="7" spans="1:42" ht="21" customHeight="1" x14ac:dyDescent="0.15">
      <c r="A7" s="14" t="str">
        <f t="shared" si="0"/>
        <v>47013_3-3/1035&lt;lv40&gt;s2</v>
      </c>
      <c r="B7" s="19">
        <v>47013</v>
      </c>
      <c r="C7" s="96">
        <v>3</v>
      </c>
      <c r="D7" s="13" t="str">
        <f t="shared" si="1"/>
        <v>47013_3</v>
      </c>
      <c r="E7" s="4" t="str">
        <f ca="1">VLOOKUP($B7,OFFSET([2]quests!$A$1,0,0,COUNTA([2]quests!$A:$A),MATCH(E$1,[2]quests!$1:$1,0)-MATCH($B$1,[2]quests!$1:$1,0)+1),MATCH(E$1,[2]quests!$1:$1,0)-MATCH($B$1,[2]quests!$1:$1,0)+1,FALSE)</f>
        <v>スカルズ襲来！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【スコア超絶】スカルズ襲来！</v>
      </c>
      <c r="G7" s="96">
        <v>3</v>
      </c>
      <c r="H7" s="13" t="str">
        <f t="shared" si="2"/>
        <v>47013_3-3</v>
      </c>
      <c r="I7" s="4">
        <f ca="1">VLOOKUP($H7,OFFSET([3]floors!$A$1,0,0,COUNTA([3]floors!$A:$A),MATCH(I$1,[3]floors!$1:$1,0)-MATCH($H$1,[3]floors!$1:$1,0)+1),MATCH(I$1,[3]floors!$1:$1,0)-MATCH($H$1,[3]floors!$1:$1,0)+1,FALSE)</f>
        <v>60</v>
      </c>
      <c r="J7" s="4">
        <f ca="1">VLOOKUP($H7,OFFSET([3]floors!$A$1,0,0,COUNTA([3]floors!$A:$A),MATCH(J$1,[3]floors!$1:$1,0)-MATCH($H$1,[3]floors!$1:$1,0)+1),MATCH(J$1,[3]floors!$1:$1,0)-MATCH($H$1,[3]floors!$1:$1,0)+1,FALSE)</f>
        <v>60</v>
      </c>
      <c r="K7" s="32">
        <v>4</v>
      </c>
      <c r="L7" s="171">
        <v>1035</v>
      </c>
      <c r="M7" s="15" t="str">
        <f ca="1">VLOOKUP($L7,OFFSET([4]enemies!$A$1,0,0,COUNTA([4]enemies!$A:$A),MATCH(M$1,[4]enemies!$1:$1,0)-MATCH($L$1,[4]enemies!$1:$1,0)+1),MATCH(M$1,[4]enemies!$1:$1,0)-MATCH($L$1,[4]enemies!$1:$1,0)+1,FALSE)</f>
        <v>スカルズ</v>
      </c>
      <c r="N7" s="15" t="str">
        <f ca="1">VLOOKUP($L7,OFFSET([4]enemies!$A$1,0,0,COUNTA([4]enemies!$A:$A),MATCH(N$1,[4]enemies!$1:$1,0)-MATCH($L$1,[4]enemies!$1:$1,0)+1),MATCH(N$1,[4]enemies!$1:$1,0)-MATCH($L$1,[4]enemies!$1:$1,0)+1,FALSE)</f>
        <v>green</v>
      </c>
      <c r="O7" s="15" t="str">
        <f ca="1">VLOOKUP($L7,OFFSET([5]characters!$A$1,0,0,COUNTA([5]characters!$A:$A),MATCH(O$1,[5]characters!$1:$1,0)-MATCH($L$1,[5]characters!$1:$1,0)+1),MATCH(O$1,[5]characters!$1:$1,0)-MATCH($L$1,[5]characters!$1:$1,0)+1,FALSE)</f>
        <v>DropWizS</v>
      </c>
      <c r="P7" s="15" t="str">
        <f ca="1">VLOOKUP($L7,OFFSET([4]enemies!$A$1,0,0,COUNTA([4]enemies!$A:$A),MATCH(P$1,[4]enemies!$1:$1,0)-MATCH($L$1,[4]enemies!$1:$1,0)+1),MATCH(P$1,[4]enemies!$1:$1,0)-MATCH($L$1,[4]enemies!$1:$1,0)+1,FALSE)</f>
        <v>animal</v>
      </c>
      <c r="Q7" s="15">
        <f ca="1">VLOOKUP($L7,OFFSET([4]enemies!$A$1,0,0,COUNTA([4]enemies!$A:$A),MATCH(Q$1,[4]enemies!$1:$1,0)-MATCH($L$1,[4]enemies!$1:$1,0)+1),MATCH(Q$1,[4]enemies!$1:$1,0)-MATCH($L$1,[4]enemies!$1:$1,0)+1,FALSE)</f>
        <v>60</v>
      </c>
      <c r="R7" s="5">
        <v>40</v>
      </c>
      <c r="S7" s="21">
        <v>5.6</v>
      </c>
      <c r="T7" s="145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584320.79999999993</v>
      </c>
      <c r="U7" s="172">
        <v>1.7</v>
      </c>
      <c r="V7" s="145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7058.4</v>
      </c>
      <c r="W7" s="5">
        <v>0</v>
      </c>
      <c r="X7" s="15" t="str">
        <f ca="1">VLOOKUP($Y7,OFFSET([3]enemy_skill_sets!$B$1,0,0,COUNTA([3]enemy_skill_sets!$B:$B),MATCH(M$1,[3]enemy_skill_sets!$1:$1,0)-MATCH($Y$1,[3]enemy_skill_sets!$1:$1,0)+2),MATCH(M$1,[3]enemy_skill_sets!$1:$1,0)-MATCH($Y$1,[3]enemy_skill_sets!$1:$1,0)+2,FALSE)</f>
        <v>状態異常耐性+10ターン赤パネルドロップ率DOWN+_x000D_7ターン回復&amp;体力タイプのユニットの_x000D_ボムの爆風を30%UP</v>
      </c>
      <c r="Y7" s="173">
        <v>47013004</v>
      </c>
      <c r="Z7" s="174">
        <v>1</v>
      </c>
      <c r="AA7" s="6">
        <v>100</v>
      </c>
      <c r="AB7" s="6">
        <v>1</v>
      </c>
      <c r="AC7" s="147">
        <v>2</v>
      </c>
      <c r="AD7" s="148">
        <f t="shared" si="3"/>
        <v>1035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スカルズ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5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DropWizS</v>
      </c>
      <c r="AH7" s="149">
        <v>1</v>
      </c>
      <c r="AI7" s="148">
        <f t="shared" ca="1" si="4"/>
        <v>5</v>
      </c>
      <c r="AJ7" s="175">
        <v>15</v>
      </c>
      <c r="AK7" s="149">
        <v>0</v>
      </c>
      <c r="AL7" s="149">
        <v>0</v>
      </c>
      <c r="AM7" s="149">
        <v>0</v>
      </c>
      <c r="AN7" s="149">
        <v>0</v>
      </c>
      <c r="AO7" s="149">
        <v>1</v>
      </c>
      <c r="AP7" s="56">
        <v>1</v>
      </c>
    </row>
  </sheetData>
  <sheetProtection selectLockedCells="1" selectUnlockedCells="1"/>
  <autoFilter ref="B1:AJ2"/>
  <phoneticPr fontId="10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14" sqref="K14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2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29" customFormat="1" ht="21" customHeight="1" x14ac:dyDescent="0.15">
      <c r="A1" s="23" t="s">
        <v>281</v>
      </c>
      <c r="B1" s="22" t="s">
        <v>0</v>
      </c>
      <c r="C1" s="22" t="s">
        <v>1</v>
      </c>
      <c r="D1" s="24" t="s">
        <v>282</v>
      </c>
      <c r="E1" s="24" t="s">
        <v>283</v>
      </c>
      <c r="F1" s="24" t="s">
        <v>283</v>
      </c>
      <c r="G1" s="22" t="s">
        <v>284</v>
      </c>
      <c r="H1" s="24" t="s">
        <v>285</v>
      </c>
      <c r="I1" s="24" t="s">
        <v>13</v>
      </c>
      <c r="J1" s="24" t="s">
        <v>14</v>
      </c>
      <c r="K1" s="30" t="s">
        <v>286</v>
      </c>
      <c r="L1" s="30" t="s">
        <v>287</v>
      </c>
      <c r="M1" s="30" t="s">
        <v>2</v>
      </c>
      <c r="N1" s="25" t="s">
        <v>283</v>
      </c>
      <c r="O1" s="24" t="s">
        <v>288</v>
      </c>
      <c r="P1" s="24" t="s">
        <v>289</v>
      </c>
      <c r="Q1" s="26" t="s">
        <v>290</v>
      </c>
      <c r="R1" s="24" t="s">
        <v>291</v>
      </c>
      <c r="S1" s="22" t="s">
        <v>3</v>
      </c>
      <c r="T1" s="22" t="s">
        <v>292</v>
      </c>
      <c r="U1" s="176" t="s">
        <v>293</v>
      </c>
      <c r="V1" s="22" t="s">
        <v>294</v>
      </c>
      <c r="W1" s="176" t="s">
        <v>295</v>
      </c>
      <c r="X1" s="22" t="s">
        <v>296</v>
      </c>
      <c r="Y1" s="22" t="s">
        <v>297</v>
      </c>
      <c r="Z1" s="24" t="s">
        <v>298</v>
      </c>
      <c r="AA1" s="22" t="s">
        <v>7</v>
      </c>
    </row>
    <row r="2" spans="1:27" ht="21" customHeight="1" x14ac:dyDescent="0.15">
      <c r="A2" s="14" t="str">
        <f t="shared" ref="A2:A7" si="0">B2&amp;"_"&amp;C2&amp;"-"&amp;G2&amp;"/"&amp;M2&amp;"&lt;lv"&amp;S2&amp;"&gt;sq"&amp;K2&amp;"st"&amp;L2</f>
        <v>47013_4-2/735&lt;lv60&gt;sq1st2</v>
      </c>
      <c r="B2" s="19">
        <v>47013</v>
      </c>
      <c r="C2" s="96">
        <v>4</v>
      </c>
      <c r="D2" s="13" t="str">
        <f t="shared" ref="D2:D7" si="1">B2&amp;"_"&amp;C2</f>
        <v>47013_4</v>
      </c>
      <c r="E2" s="4" t="str">
        <f ca="1">VLOOKUP($B2,OFFSET([2]quests!$A$1,0,0,COUNTA([2]quests!$A:$A),MATCH(E$1,[2]quests!$1:$1,0)-MATCH($B$1,[2]quests!$1:$1,0)+1),MATCH(E$1,[2]quests!$1:$1,0)-MATCH($B$1,[2]quests!$1:$1,0)+1,FALSE)</f>
        <v>スカルズ襲来！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【スコアアタック】スカルズ襲来！</v>
      </c>
      <c r="G2" s="96">
        <v>2</v>
      </c>
      <c r="H2" s="13" t="str">
        <f t="shared" ref="H2:H7" si="2">B2&amp;"_"&amp;C2&amp;"-"&amp;G2</f>
        <v>47013_4-2</v>
      </c>
      <c r="I2" s="4">
        <f ca="1">VLOOKUP($H2,OFFSET([3]floors!$A$1,0,0,COUNTA([3]floors!$A:$A),MATCH(I$1,[3]floors!$1:$1,0)-MATCH($H$1,[3]floors!$1:$1,0)+1),MATCH(I$1,[3]floors!$1:$1,0)-MATCH($H$1,[3]floors!$1:$1,0)+1,FALSE)</f>
        <v>60</v>
      </c>
      <c r="J2" s="4">
        <f ca="1">VLOOKUP($H2,OFFSET([3]floors!$A$1,0,0,COUNTA([3]floors!$A:$A),MATCH(J$1,[3]floors!$1:$1,0)-MATCH($H$1,[3]floors!$1:$1,0)+1),MATCH(J$1,[3]floors!$1:$1,0)-MATCH($H$1,[3]floors!$1:$1,0)+1,FALSE)</f>
        <v>60</v>
      </c>
      <c r="K2" s="32">
        <v>1</v>
      </c>
      <c r="L2" s="32">
        <v>2</v>
      </c>
      <c r="M2" s="144">
        <v>735</v>
      </c>
      <c r="N2" s="15" t="str">
        <f ca="1">VLOOKUP($M2,OFFSET([4]enemies!$A$1,0,0,COUNTA([4]enemies!$A:$A),MATCH(N$1,[4]enemies!$1:$1,0)-MATCH($M$1,[4]enemies!$1:$1,0)+1),MATCH(N$1,[4]enemies!$1:$1,0)-MATCH($M$1,[4]enemies!$1:$1,0)+1,FALSE)</f>
        <v>破天の隻眼 伊達政宗</v>
      </c>
      <c r="O2" s="15" t="str">
        <f ca="1">VLOOKUP($M2,OFFSET([4]enemies!$A$1,0,0,COUNTA([4]enemies!$A:$A),MATCH(O$1,[4]enemies!$1:$1,0)-MATCH($M$1,[4]enemies!$1:$1,0)+1),MATCH(O$1,[4]enemies!$1:$1,0)-MATCH($M$1,[4]enemies!$1:$1,0)+1,FALSE)</f>
        <v>yellow</v>
      </c>
      <c r="P2" s="15" t="str">
        <f ca="1">VLOOKUP($M2,OFFSET([5]characters!$A$1,0,0,COUNTA([5]characters!$A:$A),MATCH(P$1,[5]characters!$1:$1,0)-MATCH($M$1,[5]characters!$1:$1,0)+1),MATCH(P$1,[5]characters!$1:$1,0)-MATCH($M$1,[5]characters!$1:$1,0)+1,FALSE)</f>
        <v>PremiumSS</v>
      </c>
      <c r="Q2" s="15" t="str">
        <f ca="1">VLOOKUP($M2,OFFSET([4]enemies!$A$1,0,0,COUNTA([4]enemies!$A:$A),MATCH(Q$1,[4]enemies!$1:$1,0)-MATCH($M$1,[4]enemies!$1:$1,0)+1),MATCH(Q$1,[4]enemies!$1:$1,0)-MATCH($M$1,[4]enemies!$1:$1,0)+1,FALSE)</f>
        <v>human</v>
      </c>
      <c r="R2" s="15">
        <f ca="1">VLOOKUP($M2,OFFSET([4]enemies!$A$1,0,0,COUNTA([4]enemies!$A:$A),MATCH(R$1,[4]enemies!$1:$1,0)-MATCH($M$1,[4]enemies!$1:$1,0)+1),MATCH(R$1,[4]enemies!$1:$1,0)-MATCH($M$1,[4]enemies!$1:$1,0)+1,FALSE)</f>
        <v>60</v>
      </c>
      <c r="S2" s="5">
        <v>60</v>
      </c>
      <c r="T2" s="21">
        <v>4.5</v>
      </c>
      <c r="U2" s="145">
        <f ca="1">ROUND(VLOOKUP(S2,[4]enemy_base_stats!$A:$F,2,FALSE)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INDIRECT("[EnemyMasterData.xlsm]enemies!AD"&amp;(M2+1))*[5]ステータス!$B$2,0)*T2</f>
        <v>433399.5</v>
      </c>
      <c r="V2" s="21">
        <v>1.1000000000000001</v>
      </c>
      <c r="W2" s="145">
        <f ca="1">ROUND(VLOOKUP(S2,[4]enemy_base_stats!$A:$F,3,FALSE)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INDIRECT("[EnemyMasterData.xlsm]enemies!AE"&amp;(M2+1))*[5]ステータス!$C$2,0)*V2</f>
        <v>7386.5000000000009</v>
      </c>
      <c r="X2" s="5">
        <v>0</v>
      </c>
      <c r="Y2" s="4" t="s">
        <v>299</v>
      </c>
      <c r="Z2" s="146">
        <v>47013003</v>
      </c>
      <c r="AA2" s="178">
        <v>1</v>
      </c>
    </row>
    <row r="3" spans="1:27" ht="21" customHeight="1" x14ac:dyDescent="0.15">
      <c r="A3" s="14" t="str">
        <f t="shared" si="0"/>
        <v>47013_4-3/1035&lt;lv60&gt;sq2st2</v>
      </c>
      <c r="B3" s="19">
        <v>47013</v>
      </c>
      <c r="C3" s="96">
        <v>4</v>
      </c>
      <c r="D3" s="13" t="str">
        <f t="shared" si="1"/>
        <v>47013_4</v>
      </c>
      <c r="E3" s="4" t="str">
        <f ca="1">VLOOKUP($B3,OFFSET([2]quests!$A$1,0,0,COUNTA([2]quests!$A:$A),MATCH(E$1,[2]quests!$1:$1,0)-MATCH($B$1,[2]quests!$1:$1,0)+1),MATCH(E$1,[2]quests!$1:$1,0)-MATCH($B$1,[2]quests!$1:$1,0)+1,FALSE)</f>
        <v>スカルズ襲来！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【スコアアタック】スカルズ襲来！</v>
      </c>
      <c r="G3" s="96">
        <v>3</v>
      </c>
      <c r="H3" s="13" t="str">
        <f t="shared" si="2"/>
        <v>47013_4-3</v>
      </c>
      <c r="I3" s="4">
        <f ca="1">VLOOKUP($H3,OFFSET([3]floors!$A$1,0,0,COUNTA([3]floors!$A:$A),MATCH(I$1,[3]floors!$1:$1,0)-MATCH($H$1,[3]floors!$1:$1,0)+1),MATCH(I$1,[3]floors!$1:$1,0)-MATCH($H$1,[3]floors!$1:$1,0)+1,FALSE)</f>
        <v>60</v>
      </c>
      <c r="J3" s="4">
        <f ca="1">VLOOKUP($H3,OFFSET([3]floors!$A$1,0,0,COUNTA([3]floors!$A:$A),MATCH(J$1,[3]floors!$1:$1,0)-MATCH($H$1,[3]floors!$1:$1,0)+1),MATCH(J$1,[3]floors!$1:$1,0)-MATCH($H$1,[3]floors!$1:$1,0)+1,FALSE)</f>
        <v>60</v>
      </c>
      <c r="K3" s="32">
        <v>2</v>
      </c>
      <c r="L3" s="32">
        <v>2</v>
      </c>
      <c r="M3" s="144">
        <v>1035</v>
      </c>
      <c r="N3" s="15" t="str">
        <f ca="1">VLOOKUP($M3,OFFSET([4]enemies!$A$1,0,0,COUNTA([4]enemies!$A:$A),MATCH(N$1,[4]enemies!$1:$1,0)-MATCH($M$1,[4]enemies!$1:$1,0)+1),MATCH(N$1,[4]enemies!$1:$1,0)-MATCH($M$1,[4]enemies!$1:$1,0)+1,FALSE)</f>
        <v>スカルズ</v>
      </c>
      <c r="O3" s="15" t="str">
        <f ca="1">VLOOKUP($M3,OFFSET([4]enemies!$A$1,0,0,COUNTA([4]enemies!$A:$A),MATCH(O$1,[4]enemies!$1:$1,0)-MATCH($M$1,[4]enemies!$1:$1,0)+1),MATCH(O$1,[4]enemies!$1:$1,0)-MATCH($M$1,[4]enemies!$1:$1,0)+1,FALSE)</f>
        <v>green</v>
      </c>
      <c r="P3" s="15" t="str">
        <f ca="1">VLOOKUP($M3,OFFSET([5]characters!$A$1,0,0,COUNTA([5]characters!$A:$A),MATCH(P$1,[5]characters!$1:$1,0)-MATCH($M$1,[5]characters!$1:$1,0)+1),MATCH(P$1,[5]characters!$1:$1,0)-MATCH($M$1,[5]characters!$1:$1,0)+1,FALSE)</f>
        <v>DropWizS</v>
      </c>
      <c r="Q3" s="15" t="str">
        <f ca="1">VLOOKUP($M3,OFFSET([4]enemies!$A$1,0,0,COUNTA([4]enemies!$A:$A),MATCH(Q$1,[4]enemies!$1:$1,0)-MATCH($M$1,[4]enemies!$1:$1,0)+1),MATCH(Q$1,[4]enemies!$1:$1,0)-MATCH($M$1,[4]enemies!$1:$1,0)+1,FALSE)</f>
        <v>animal</v>
      </c>
      <c r="R3" s="15">
        <f ca="1">VLOOKUP($M3,OFFSET([4]enemies!$A$1,0,0,COUNTA([4]enemies!$A:$A),MATCH(R$1,[4]enemies!$1:$1,0)-MATCH($M$1,[4]enemies!$1:$1,0)+1),MATCH(R$1,[4]enemies!$1:$1,0)-MATCH($M$1,[4]enemies!$1:$1,0)+1,FALSE)</f>
        <v>60</v>
      </c>
      <c r="S3" s="5">
        <v>60</v>
      </c>
      <c r="T3" s="21">
        <v>6.3</v>
      </c>
      <c r="U3" s="145">
        <f ca="1">ROUND(VLOOKUP(S3,[4]enemy_base_stats!$A:$F,2,FALSE)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INDIRECT("[EnemyMasterData.xlsm]enemies!AD"&amp;(M3+1))*[5]ステータス!$B$2,0)*T3</f>
        <v>974162.7</v>
      </c>
      <c r="V3" s="21">
        <v>1.8</v>
      </c>
      <c r="W3" s="145">
        <f ca="1">ROUND(VLOOKUP(S3,[4]enemy_base_stats!$A:$F,3,FALSE)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INDIRECT("[EnemyMasterData.xlsm]enemies!AE"&amp;(M3+1))*[5]ステータス!$C$2,0)*V3</f>
        <v>11077.2</v>
      </c>
      <c r="X3" s="5">
        <v>0</v>
      </c>
      <c r="Y3" s="4" t="s">
        <v>299</v>
      </c>
      <c r="Z3" s="179">
        <v>47013005</v>
      </c>
      <c r="AA3" s="178">
        <v>1</v>
      </c>
    </row>
    <row r="4" spans="1:27" ht="21" customHeight="1" thickBot="1" x14ac:dyDescent="0.2">
      <c r="A4" s="14" t="str">
        <f t="shared" si="0"/>
        <v>47013_4-3/1036&lt;lv60&gt;sq2st3</v>
      </c>
      <c r="B4" s="152">
        <v>47013</v>
      </c>
      <c r="C4" s="126">
        <v>4</v>
      </c>
      <c r="D4" s="127" t="str">
        <f t="shared" si="1"/>
        <v>47013_4</v>
      </c>
      <c r="E4" s="153" t="str">
        <f ca="1">VLOOKUP($B4,OFFSET([2]quests!$A$1,0,0,COUNTA([2]quests!$A:$A),MATCH(E$1,[2]quests!$1:$1,0)-MATCH($B$1,[2]quests!$1:$1,0)+1),MATCH(E$1,[2]quests!$1:$1,0)-MATCH($B$1,[2]quests!$1:$1,0)+1,FALSE)</f>
        <v>スカルズ襲来！</v>
      </c>
      <c r="F4" s="153" t="str">
        <f ca="1">VLOOKUP($D4,OFFSET([2]stages!$A$1,0,0,COUNTA([2]stages!$A:$A),MATCH(F$1,[2]stages!$2:$2,0)-MATCH($D$1,[2]stages!$2:$2,0)+1),MATCH(F$1,[2]stages!$2:$2,0)-MATCH($D$1,[2]stages!$2:$2,0)+1,FALSE)</f>
        <v>【スコアアタック】スカルズ襲来！</v>
      </c>
      <c r="G4" s="126">
        <v>3</v>
      </c>
      <c r="H4" s="127" t="str">
        <f t="shared" si="2"/>
        <v>47013_4-3</v>
      </c>
      <c r="I4" s="153">
        <f ca="1">VLOOKUP($H4,OFFSET([3]floors!$A$1,0,0,COUNTA([3]floors!$A:$A),MATCH(I$1,[3]floors!$1:$1,0)-MATCH($H$1,[3]floors!$1:$1,0)+1),MATCH(I$1,[3]floors!$1:$1,0)-MATCH($H$1,[3]floors!$1:$1,0)+1,FALSE)</f>
        <v>60</v>
      </c>
      <c r="J4" s="153">
        <f ca="1">VLOOKUP($H4,OFFSET([3]floors!$A$1,0,0,COUNTA([3]floors!$A:$A),MATCH(J$1,[3]floors!$1:$1,0)-MATCH($H$1,[3]floors!$1:$1,0)+1),MATCH(J$1,[3]floors!$1:$1,0)-MATCH($H$1,[3]floors!$1:$1,0)+1,FALSE)</f>
        <v>60</v>
      </c>
      <c r="K4" s="154">
        <v>2</v>
      </c>
      <c r="L4" s="154">
        <v>3</v>
      </c>
      <c r="M4" s="155">
        <v>1036</v>
      </c>
      <c r="N4" s="156" t="str">
        <f ca="1">VLOOKUP($M4,OFFSET([4]enemies!$A$1,0,0,COUNTA([4]enemies!$A:$A),MATCH(N$1,[4]enemies!$1:$1,0)-MATCH($M$1,[4]enemies!$1:$1,0)+1),MATCH(N$1,[4]enemies!$1:$1,0)-MATCH($M$1,[4]enemies!$1:$1,0)+1,FALSE)</f>
        <v>復讐の形骸 スカルズ</v>
      </c>
      <c r="O4" s="156" t="str">
        <f ca="1">VLOOKUP($M4,OFFSET([4]enemies!$A$1,0,0,COUNTA([4]enemies!$A:$A),MATCH(O$1,[4]enemies!$1:$1,0)-MATCH($M$1,[4]enemies!$1:$1,0)+1),MATCH(O$1,[4]enemies!$1:$1,0)-MATCH($M$1,[4]enemies!$1:$1,0)+1,FALSE)</f>
        <v>green</v>
      </c>
      <c r="P4" s="156" t="str">
        <f ca="1">VLOOKUP($M4,OFFSET([5]characters!$A$1,0,0,COUNTA([5]characters!$A:$A),MATCH(P$1,[5]characters!$1:$1,0)-MATCH($M$1,[5]characters!$1:$1,0)+1),MATCH(P$1,[5]characters!$1:$1,0)-MATCH($M$1,[5]characters!$1:$1,0)+1,FALSE)</f>
        <v>DropWizS</v>
      </c>
      <c r="Q4" s="156" t="str">
        <f ca="1">VLOOKUP($M4,OFFSET([4]enemies!$A$1,0,0,COUNTA([4]enemies!$A:$A),MATCH(Q$1,[4]enemies!$1:$1,0)-MATCH($M$1,[4]enemies!$1:$1,0)+1),MATCH(Q$1,[4]enemies!$1:$1,0)-MATCH($M$1,[4]enemies!$1:$1,0)+1,FALSE)</f>
        <v>animal</v>
      </c>
      <c r="R4" s="156">
        <f ca="1">VLOOKUP($M4,OFFSET([4]enemies!$A$1,0,0,COUNTA([4]enemies!$A:$A),MATCH(R$1,[4]enemies!$1:$1,0)-MATCH($M$1,[4]enemies!$1:$1,0)+1),MATCH(R$1,[4]enemies!$1:$1,0)-MATCH($M$1,[4]enemies!$1:$1,0)+1,FALSE)</f>
        <v>60</v>
      </c>
      <c r="S4" s="157">
        <v>60</v>
      </c>
      <c r="T4" s="158">
        <v>9</v>
      </c>
      <c r="U4" s="159">
        <f ca="1">ROUND(VLOOKUP(S4,[4]enemy_base_stats!$A:$F,2,FALSE)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INDIRECT("[EnemyMasterData.xlsm]enemies!AD"&amp;(M4+1))*[5]ステータス!$B$2,0)*T4</f>
        <v>1391661</v>
      </c>
      <c r="V4" s="158">
        <v>1.3</v>
      </c>
      <c r="W4" s="159">
        <f ca="1">ROUND(VLOOKUP(S4,[4]enemy_base_stats!$A:$F,3,FALSE)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INDIRECT("[EnemyMasterData.xlsm]enemies!AE"&amp;(M4+1))*[5]ステータス!$C$2,0)*V4</f>
        <v>8000.2000000000007</v>
      </c>
      <c r="X4" s="157">
        <v>0</v>
      </c>
      <c r="Y4" s="153" t="s">
        <v>299</v>
      </c>
      <c r="Z4" s="180">
        <v>47013006</v>
      </c>
      <c r="AA4" s="181">
        <v>1</v>
      </c>
    </row>
    <row r="5" spans="1:27" ht="21" customHeight="1" thickTop="1" x14ac:dyDescent="0.15">
      <c r="A5" s="14" t="str">
        <f t="shared" si="0"/>
        <v>47013_3-2/735&lt;lv40&gt;sq3st2</v>
      </c>
      <c r="B5" s="19">
        <v>47013</v>
      </c>
      <c r="C5" s="119">
        <v>3</v>
      </c>
      <c r="D5" s="121" t="str">
        <f t="shared" si="1"/>
        <v>47013_3</v>
      </c>
      <c r="E5" s="4" t="str">
        <f ca="1">VLOOKUP($B5,OFFSET([2]quests!$A$1,0,0,COUNTA([2]quests!$A:$A),MATCH(E$1,[2]quests!$1:$1,0)-MATCH($B$1,[2]quests!$1:$1,0)+1),MATCH(E$1,[2]quests!$1:$1,0)-MATCH($B$1,[2]quests!$1:$1,0)+1,FALSE)</f>
        <v>スカルズ襲来！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【スコア超絶】スカルズ襲来！</v>
      </c>
      <c r="G5" s="119">
        <v>2</v>
      </c>
      <c r="H5" s="121" t="str">
        <f t="shared" si="2"/>
        <v>47013_3-2</v>
      </c>
      <c r="I5" s="4">
        <f ca="1">VLOOKUP($H5,OFFSET([3]floors!$A$1,0,0,COUNTA([3]floors!$A:$A),MATCH(I$1,[3]floors!$1:$1,0)-MATCH($H$1,[3]floors!$1:$1,0)+1),MATCH(I$1,[3]floors!$1:$1,0)-MATCH($H$1,[3]floors!$1:$1,0)+1,FALSE)</f>
        <v>60</v>
      </c>
      <c r="J5" s="4">
        <f ca="1">VLOOKUP($H5,OFFSET([3]floors!$A$1,0,0,COUNTA([3]floors!$A:$A),MATCH(J$1,[3]floors!$1:$1,0)-MATCH($H$1,[3]floors!$1:$1,0)+1),MATCH(J$1,[3]floors!$1:$1,0)-MATCH($H$1,[3]floors!$1:$1,0)+1,FALSE)</f>
        <v>60</v>
      </c>
      <c r="K5" s="165">
        <v>3</v>
      </c>
      <c r="L5" s="165">
        <v>2</v>
      </c>
      <c r="M5" s="144">
        <v>735</v>
      </c>
      <c r="N5" s="15" t="str">
        <f ca="1">VLOOKUP($M5,OFFSET([4]enemies!$A$1,0,0,COUNTA([4]enemies!$A:$A),MATCH(N$1,[4]enemies!$1:$1,0)-MATCH($M$1,[4]enemies!$1:$1,0)+1),MATCH(N$1,[4]enemies!$1:$1,0)-MATCH($M$1,[4]enemies!$1:$1,0)+1,FALSE)</f>
        <v>破天の隻眼 伊達政宗</v>
      </c>
      <c r="O5" s="15" t="str">
        <f ca="1">VLOOKUP($M5,OFFSET([4]enemies!$A$1,0,0,COUNTA([4]enemies!$A:$A),MATCH(O$1,[4]enemies!$1:$1,0)-MATCH($M$1,[4]enemies!$1:$1,0)+1),MATCH(O$1,[4]enemies!$1:$1,0)-MATCH($M$1,[4]enemies!$1:$1,0)+1,FALSE)</f>
        <v>yellow</v>
      </c>
      <c r="P5" s="15" t="str">
        <f ca="1">VLOOKUP($M5,OFFSET([5]characters!$A$1,0,0,COUNTA([5]characters!$A:$A),MATCH(P$1,[5]characters!$1:$1,0)-MATCH($M$1,[5]characters!$1:$1,0)+1),MATCH(P$1,[5]characters!$1:$1,0)-MATCH($M$1,[5]characters!$1:$1,0)+1,FALSE)</f>
        <v>PremiumSS</v>
      </c>
      <c r="Q5" s="15" t="str">
        <f ca="1">VLOOKUP($M5,OFFSET([4]enemies!$A$1,0,0,COUNTA([4]enemies!$A:$A),MATCH(Q$1,[4]enemies!$1:$1,0)-MATCH($M$1,[4]enemies!$1:$1,0)+1),MATCH(Q$1,[4]enemies!$1:$1,0)-MATCH($M$1,[4]enemies!$1:$1,0)+1,FALSE)</f>
        <v>human</v>
      </c>
      <c r="R5" s="15">
        <f ca="1">VLOOKUP($M5,OFFSET([4]enemies!$A$1,0,0,COUNTA([4]enemies!$A:$A),MATCH(R$1,[4]enemies!$1:$1,0)-MATCH($M$1,[4]enemies!$1:$1,0)+1),MATCH(R$1,[4]enemies!$1:$1,0)-MATCH($M$1,[4]enemies!$1:$1,0)+1,FALSE)</f>
        <v>60</v>
      </c>
      <c r="S5" s="166">
        <v>40</v>
      </c>
      <c r="T5" s="21">
        <v>4.3</v>
      </c>
      <c r="U5" s="167">
        <f ca="1">ROUND(VLOOKUP(S5,[4]enemy_base_stats!$A:$F,2,FALSE)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INDIRECT("[EnemyMasterData.xlsm]enemies!AD"&amp;(M5+1))*[5]ステータス!$B$2,0)*T5</f>
        <v>279461.3</v>
      </c>
      <c r="V5" s="21">
        <v>1.1000000000000001</v>
      </c>
      <c r="W5" s="167">
        <f ca="1">ROUND(VLOOKUP(S5,[4]enemy_base_stats!$A:$F,3,FALSE)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INDIRECT("[EnemyMasterData.xlsm]enemies!AE"&amp;(M5+1))*[5]ステータス!$C$2,0)*V5</f>
        <v>4984.1000000000004</v>
      </c>
      <c r="X5" s="166">
        <v>0</v>
      </c>
      <c r="Y5" s="4" t="s">
        <v>299</v>
      </c>
      <c r="Z5" s="146">
        <v>47013013</v>
      </c>
      <c r="AA5" s="182">
        <v>1</v>
      </c>
    </row>
    <row r="6" spans="1:27" ht="21" customHeight="1" x14ac:dyDescent="0.15">
      <c r="A6" s="14" t="str">
        <f t="shared" si="0"/>
        <v>47013_3-3/1035&lt;lv40&gt;sq4st2</v>
      </c>
      <c r="B6" s="19">
        <v>47013</v>
      </c>
      <c r="C6" s="96">
        <v>3</v>
      </c>
      <c r="D6" s="13" t="str">
        <f t="shared" si="1"/>
        <v>47013_3</v>
      </c>
      <c r="E6" s="4" t="str">
        <f ca="1">VLOOKUP($B6,OFFSET([2]quests!$A$1,0,0,COUNTA([2]quests!$A:$A),MATCH(E$1,[2]quests!$1:$1,0)-MATCH($B$1,[2]quests!$1:$1,0)+1),MATCH(E$1,[2]quests!$1:$1,0)-MATCH($B$1,[2]quests!$1:$1,0)+1,FALSE)</f>
        <v>スカルズ襲来！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【スコア超絶】スカルズ襲来！</v>
      </c>
      <c r="G6" s="96">
        <v>3</v>
      </c>
      <c r="H6" s="13" t="str">
        <f t="shared" si="2"/>
        <v>47013_3-3</v>
      </c>
      <c r="I6" s="4">
        <f ca="1">VLOOKUP($H6,OFFSET([3]floors!$A$1,0,0,COUNTA([3]floors!$A:$A),MATCH(I$1,[3]floors!$1:$1,0)-MATCH($H$1,[3]floors!$1:$1,0)+1),MATCH(I$1,[3]floors!$1:$1,0)-MATCH($H$1,[3]floors!$1:$1,0)+1,FALSE)</f>
        <v>60</v>
      </c>
      <c r="J6" s="4">
        <f ca="1">VLOOKUP($H6,OFFSET([3]floors!$A$1,0,0,COUNTA([3]floors!$A:$A),MATCH(J$1,[3]floors!$1:$1,0)-MATCH($H$1,[3]floors!$1:$1,0)+1),MATCH(J$1,[3]floors!$1:$1,0)-MATCH($H$1,[3]floors!$1:$1,0)+1,FALSE)</f>
        <v>60</v>
      </c>
      <c r="K6" s="32">
        <v>4</v>
      </c>
      <c r="L6" s="32">
        <v>2</v>
      </c>
      <c r="M6" s="144">
        <v>1035</v>
      </c>
      <c r="N6" s="15" t="str">
        <f ca="1">VLOOKUP($M6,OFFSET([4]enemies!$A$1,0,0,COUNTA([4]enemies!$A:$A),MATCH(N$1,[4]enemies!$1:$1,0)-MATCH($M$1,[4]enemies!$1:$1,0)+1),MATCH(N$1,[4]enemies!$1:$1,0)-MATCH($M$1,[4]enemies!$1:$1,0)+1,FALSE)</f>
        <v>スカルズ</v>
      </c>
      <c r="O6" s="15" t="str">
        <f ca="1">VLOOKUP($M6,OFFSET([4]enemies!$A$1,0,0,COUNTA([4]enemies!$A:$A),MATCH(O$1,[4]enemies!$1:$1,0)-MATCH($M$1,[4]enemies!$1:$1,0)+1),MATCH(O$1,[4]enemies!$1:$1,0)-MATCH($M$1,[4]enemies!$1:$1,0)+1,FALSE)</f>
        <v>green</v>
      </c>
      <c r="P6" s="15" t="str">
        <f ca="1">VLOOKUP($M6,OFFSET([5]characters!$A$1,0,0,COUNTA([5]characters!$A:$A),MATCH(P$1,[5]characters!$1:$1,0)-MATCH($M$1,[5]characters!$1:$1,0)+1),MATCH(P$1,[5]characters!$1:$1,0)-MATCH($M$1,[5]characters!$1:$1,0)+1,FALSE)</f>
        <v>DropWizS</v>
      </c>
      <c r="Q6" s="15" t="str">
        <f ca="1">VLOOKUP($M6,OFFSET([4]enemies!$A$1,0,0,COUNTA([4]enemies!$A:$A),MATCH(Q$1,[4]enemies!$1:$1,0)-MATCH($M$1,[4]enemies!$1:$1,0)+1),MATCH(Q$1,[4]enemies!$1:$1,0)-MATCH($M$1,[4]enemies!$1:$1,0)+1,FALSE)</f>
        <v>animal</v>
      </c>
      <c r="R6" s="15">
        <f ca="1">VLOOKUP($M6,OFFSET([4]enemies!$A$1,0,0,COUNTA([4]enemies!$A:$A),MATCH(R$1,[4]enemies!$1:$1,0)-MATCH($M$1,[4]enemies!$1:$1,0)+1),MATCH(R$1,[4]enemies!$1:$1,0)-MATCH($M$1,[4]enemies!$1:$1,0)+1,FALSE)</f>
        <v>60</v>
      </c>
      <c r="S6" s="5">
        <v>40</v>
      </c>
      <c r="T6" s="21">
        <v>6.1</v>
      </c>
      <c r="U6" s="145">
        <f ca="1">ROUND(VLOOKUP(S6,[4]enemy_base_stats!$A:$F,2,FALSE)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INDIRECT("[EnemyMasterData.xlsm]enemies!AD"&amp;(M6+1))*[5]ステータス!$B$2,0)*T6</f>
        <v>636492.29999999993</v>
      </c>
      <c r="V6" s="21">
        <v>1.8</v>
      </c>
      <c r="W6" s="145">
        <f ca="1">ROUND(VLOOKUP(S6,[4]enemy_base_stats!$A:$F,3,FALSE)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INDIRECT("[EnemyMasterData.xlsm]enemies!AE"&amp;(M6+1))*[5]ステータス!$C$2,0)*V6</f>
        <v>7473.6</v>
      </c>
      <c r="X6" s="5">
        <v>0</v>
      </c>
      <c r="Y6" s="4" t="s">
        <v>299</v>
      </c>
      <c r="Z6" s="179">
        <v>47013015</v>
      </c>
      <c r="AA6" s="178">
        <v>1</v>
      </c>
    </row>
    <row r="7" spans="1:27" ht="21" customHeight="1" x14ac:dyDescent="0.15">
      <c r="A7" s="14" t="str">
        <f t="shared" si="0"/>
        <v>47013_3-3/1036&lt;lv40&gt;sq4st3</v>
      </c>
      <c r="B7" s="19">
        <v>47013</v>
      </c>
      <c r="C7" s="96">
        <v>3</v>
      </c>
      <c r="D7" s="13" t="str">
        <f t="shared" si="1"/>
        <v>47013_3</v>
      </c>
      <c r="E7" s="4" t="str">
        <f ca="1">VLOOKUP($B7,OFFSET([2]quests!$A$1,0,0,COUNTA([2]quests!$A:$A),MATCH(E$1,[2]quests!$1:$1,0)-MATCH($B$1,[2]quests!$1:$1,0)+1),MATCH(E$1,[2]quests!$1:$1,0)-MATCH($B$1,[2]quests!$1:$1,0)+1,FALSE)</f>
        <v>スカルズ襲来！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【スコア超絶】スカルズ襲来！</v>
      </c>
      <c r="G7" s="96">
        <v>3</v>
      </c>
      <c r="H7" s="13" t="str">
        <f t="shared" si="2"/>
        <v>47013_3-3</v>
      </c>
      <c r="I7" s="4">
        <f ca="1">VLOOKUP($H7,OFFSET([3]floors!$A$1,0,0,COUNTA([3]floors!$A:$A),MATCH(I$1,[3]floors!$1:$1,0)-MATCH($H$1,[3]floors!$1:$1,0)+1),MATCH(I$1,[3]floors!$1:$1,0)-MATCH($H$1,[3]floors!$1:$1,0)+1,FALSE)</f>
        <v>60</v>
      </c>
      <c r="J7" s="4">
        <f ca="1">VLOOKUP($H7,OFFSET([3]floors!$A$1,0,0,COUNTA([3]floors!$A:$A),MATCH(J$1,[3]floors!$1:$1,0)-MATCH($H$1,[3]floors!$1:$1,0)+1),MATCH(J$1,[3]floors!$1:$1,0)-MATCH($H$1,[3]floors!$1:$1,0)+1,FALSE)</f>
        <v>60</v>
      </c>
      <c r="K7" s="32">
        <v>4</v>
      </c>
      <c r="L7" s="32">
        <v>3</v>
      </c>
      <c r="M7" s="171">
        <v>1036</v>
      </c>
      <c r="N7" s="15" t="str">
        <f ca="1">VLOOKUP($M7,OFFSET([4]enemies!$A$1,0,0,COUNTA([4]enemies!$A:$A),MATCH(N$1,[4]enemies!$1:$1,0)-MATCH($M$1,[4]enemies!$1:$1,0)+1),MATCH(N$1,[4]enemies!$1:$1,0)-MATCH($M$1,[4]enemies!$1:$1,0)+1,FALSE)</f>
        <v>復讐の形骸 スカルズ</v>
      </c>
      <c r="O7" s="15" t="str">
        <f ca="1">VLOOKUP($M7,OFFSET([4]enemies!$A$1,0,0,COUNTA([4]enemies!$A:$A),MATCH(O$1,[4]enemies!$1:$1,0)-MATCH($M$1,[4]enemies!$1:$1,0)+1),MATCH(O$1,[4]enemies!$1:$1,0)-MATCH($M$1,[4]enemies!$1:$1,0)+1,FALSE)</f>
        <v>green</v>
      </c>
      <c r="P7" s="15" t="str">
        <f ca="1">VLOOKUP($M7,OFFSET([5]characters!$A$1,0,0,COUNTA([5]characters!$A:$A),MATCH(P$1,[5]characters!$1:$1,0)-MATCH($M$1,[5]characters!$1:$1,0)+1),MATCH(P$1,[5]characters!$1:$1,0)-MATCH($M$1,[5]characters!$1:$1,0)+1,FALSE)</f>
        <v>DropWizS</v>
      </c>
      <c r="Q7" s="15" t="str">
        <f ca="1">VLOOKUP($M7,OFFSET([4]enemies!$A$1,0,0,COUNTA([4]enemies!$A:$A),MATCH(Q$1,[4]enemies!$1:$1,0)-MATCH($M$1,[4]enemies!$1:$1,0)+1),MATCH(Q$1,[4]enemies!$1:$1,0)-MATCH($M$1,[4]enemies!$1:$1,0)+1,FALSE)</f>
        <v>animal</v>
      </c>
      <c r="R7" s="15">
        <f ca="1">VLOOKUP($M7,OFFSET([4]enemies!$A$1,0,0,COUNTA([4]enemies!$A:$A),MATCH(R$1,[4]enemies!$1:$1,0)-MATCH($M$1,[4]enemies!$1:$1,0)+1),MATCH(R$1,[4]enemies!$1:$1,0)-MATCH($M$1,[4]enemies!$1:$1,0)+1,FALSE)</f>
        <v>60</v>
      </c>
      <c r="S7" s="5">
        <v>40</v>
      </c>
      <c r="T7" s="21">
        <v>8.8000000000000007</v>
      </c>
      <c r="U7" s="145">
        <f ca="1">ROUND(VLOOKUP(S7,[4]enemy_base_stats!$A:$F,2,FALSE)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INDIRECT("[EnemyMasterData.xlsm]enemies!AD"&amp;(M7+1))*[5]ステータス!$B$2,0)*T7</f>
        <v>918218.4</v>
      </c>
      <c r="V7" s="21">
        <v>1.3</v>
      </c>
      <c r="W7" s="183">
        <f ca="1">ROUND(VLOOKUP(S7,[4]enemy_base_stats!$A:$F,3,FALSE)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INDIRECT("[EnemyMasterData.xlsm]enemies!AE"&amp;(M7+1))*[5]ステータス!$C$2,0)*V7</f>
        <v>5397.6</v>
      </c>
      <c r="X7" s="5">
        <v>0</v>
      </c>
      <c r="Y7" s="15" t="s">
        <v>299</v>
      </c>
      <c r="Z7" s="184">
        <v>47013016</v>
      </c>
      <c r="AA7" s="185">
        <v>1</v>
      </c>
    </row>
  </sheetData>
  <sheetProtection selectLockedCells="1" selectUnlockedCells="1"/>
  <autoFilter ref="B1:AA1"/>
  <phoneticPr fontId="10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R10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00" sqref="E100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300</v>
      </c>
      <c r="B1" s="34" t="s">
        <v>301</v>
      </c>
      <c r="C1" s="34" t="s">
        <v>302</v>
      </c>
      <c r="D1" s="35" t="s">
        <v>303</v>
      </c>
      <c r="E1" s="35" t="s">
        <v>304</v>
      </c>
      <c r="F1" s="36" t="s">
        <v>305</v>
      </c>
      <c r="G1" s="37" t="s">
        <v>306</v>
      </c>
      <c r="H1" s="37" t="s">
        <v>307</v>
      </c>
      <c r="I1" s="37" t="s">
        <v>308</v>
      </c>
      <c r="J1" s="37" t="s">
        <v>309</v>
      </c>
      <c r="K1" s="38" t="s">
        <v>310</v>
      </c>
      <c r="L1" s="38" t="s">
        <v>311</v>
      </c>
      <c r="M1" s="37" t="s">
        <v>312</v>
      </c>
      <c r="N1" s="37" t="s">
        <v>313</v>
      </c>
      <c r="O1" s="37" t="s">
        <v>314</v>
      </c>
      <c r="P1" s="35" t="s">
        <v>28</v>
      </c>
      <c r="Q1" s="35" t="s">
        <v>29</v>
      </c>
      <c r="R1" s="35" t="s">
        <v>30</v>
      </c>
    </row>
    <row r="2" spans="1:18" ht="21" customHeight="1" x14ac:dyDescent="0.15">
      <c r="A2" s="33" t="str">
        <f t="shared" ref="A2:A65" si="0">B2&amp;"_"&amp;C2</f>
        <v>47013001_47013101</v>
      </c>
      <c r="B2" s="42">
        <v>47013001</v>
      </c>
      <c r="C2" s="186">
        <v>47013101</v>
      </c>
      <c r="D2" s="40" t="str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本気でいくから…本気でかかってきなさいっ！</v>
      </c>
      <c r="E2" s="40" t="str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状態異常耐性+_x000D_回復&amp;体力タイプのユニットの_x000D_攻撃力大UP&amp;スキルゲージを4ターン減少</v>
      </c>
      <c r="F2" s="186">
        <v>47013101</v>
      </c>
      <c r="G2" s="42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2" s="42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2" s="42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2" s="42" t="str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" s="42" t="str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" s="42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2" s="42" t="str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" s="42" t="str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" s="42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2" s="41"/>
      <c r="Q2" s="41"/>
      <c r="R2" s="41"/>
    </row>
    <row r="3" spans="1:18" ht="21" customHeight="1" x14ac:dyDescent="0.15">
      <c r="A3" s="33" t="str">
        <f t="shared" si="0"/>
        <v>47013001_47013102</v>
      </c>
      <c r="B3" s="42">
        <v>47013001</v>
      </c>
      <c r="C3" s="186">
        <v>47013102</v>
      </c>
      <c r="D3" s="40" t="str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さあ、盛り上がっていくわよ！</v>
      </c>
      <c r="E3" s="40" t="str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10ターン緑パネルドロップ率DOWN+_x000D_全体攻撃+行動頻度UP</v>
      </c>
      <c r="F3" s="186">
        <v>47013102</v>
      </c>
      <c r="G3" s="42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" s="42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3" s="42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" s="42" t="str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" s="42" t="str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" s="42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" s="42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3" s="42" t="str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" s="42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" s="41"/>
      <c r="Q3" s="41"/>
      <c r="R3" s="41"/>
    </row>
    <row r="4" spans="1:18" ht="21" customHeight="1" x14ac:dyDescent="0.15">
      <c r="A4" s="33" t="str">
        <f t="shared" si="0"/>
        <v>47013001_47013103</v>
      </c>
      <c r="B4" s="42">
        <v>47013001</v>
      </c>
      <c r="C4" s="186">
        <v>47013103</v>
      </c>
      <c r="D4" s="40" t="str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みんなまとめて撃ち抜いちゃうから！</v>
      </c>
      <c r="E4" s="40" t="str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緑パネルを赤ボムパネルに変換+_x000D_赤パネルを黄パネルに変換+_x000D_6回連続攻撃</v>
      </c>
      <c r="F4" s="186">
        <v>47013103</v>
      </c>
      <c r="G4" s="42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" s="42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200</v>
      </c>
      <c r="I4" s="42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" s="42" t="str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" s="42" t="str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" s="42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4" s="42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2</v>
      </c>
      <c r="N4" s="42" t="str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" s="42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" s="41"/>
      <c r="Q4" s="41"/>
      <c r="R4" s="41"/>
    </row>
    <row r="5" spans="1:18" ht="21" customHeight="1" x14ac:dyDescent="0.15">
      <c r="A5" s="33" t="str">
        <f t="shared" si="0"/>
        <v>47013001_47013104</v>
      </c>
      <c r="B5" s="42">
        <v>47013001</v>
      </c>
      <c r="C5" s="186">
        <v>47013104</v>
      </c>
      <c r="D5" s="40" t="str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これが私の本領発揮！ね！</v>
      </c>
      <c r="E5" s="40" t="str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属性パネルを赤ボムパネルに7個変換+単体攻撃</v>
      </c>
      <c r="F5" s="186">
        <v>47013104</v>
      </c>
      <c r="G5" s="42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" s="42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5" s="42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85</v>
      </c>
      <c r="J5" s="42" t="str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" s="42" t="str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" s="42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5" s="42" t="str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" s="42" t="str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" s="42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85</v>
      </c>
      <c r="P5" s="41"/>
      <c r="Q5" s="41"/>
      <c r="R5" s="41"/>
    </row>
    <row r="6" spans="1:18" ht="21" customHeight="1" x14ac:dyDescent="0.15">
      <c r="A6" s="33" t="str">
        <f t="shared" si="0"/>
        <v>47013001_47013105</v>
      </c>
      <c r="B6" s="42">
        <v>47013001</v>
      </c>
      <c r="C6" s="186">
        <v>47013105</v>
      </c>
      <c r="D6" s="40" t="str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バクハツしちゃいなさい！</v>
      </c>
      <c r="E6" s="40" t="str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属性パネルを赤ボムパネルに3個変換+_x000D_属性パネルを赤のCBPに2個変換+_x000D_2回連続攻撃</v>
      </c>
      <c r="F6" s="186">
        <v>47013105</v>
      </c>
      <c r="G6" s="42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" s="42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6" s="42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30</v>
      </c>
      <c r="J6" s="42" t="str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" s="42" t="str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" s="42" t="str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6" s="42" t="str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" s="42" t="str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" s="42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30</v>
      </c>
      <c r="P6" s="41"/>
      <c r="Q6" s="41"/>
      <c r="R6" s="41"/>
    </row>
    <row r="7" spans="1:18" ht="21" customHeight="1" x14ac:dyDescent="0.15">
      <c r="A7" s="33" t="str">
        <f t="shared" si="0"/>
        <v>47013001_47013106</v>
      </c>
      <c r="B7" s="42">
        <v>47013001</v>
      </c>
      <c r="C7" s="186">
        <v>47013106</v>
      </c>
      <c r="D7" s="40" t="str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真っ赤に染めてあげる！</v>
      </c>
      <c r="E7" s="40" t="str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緑パネルと青パネルを赤パネルに変換+_x000D_4回連続攻撃</v>
      </c>
      <c r="F7" s="186">
        <v>47013106</v>
      </c>
      <c r="G7" s="42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" s="42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7" s="42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60</v>
      </c>
      <c r="J7" s="42" t="str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" s="42" t="str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" s="42" t="str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7" s="42" t="str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" s="42" t="str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" s="42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60</v>
      </c>
      <c r="P7" s="41"/>
      <c r="Q7" s="41"/>
      <c r="R7" s="41"/>
    </row>
    <row r="8" spans="1:18" ht="21" customHeight="1" x14ac:dyDescent="0.15">
      <c r="A8" s="33" t="str">
        <f t="shared" si="0"/>
        <v>47013001_47013107</v>
      </c>
      <c r="B8" s="42">
        <v>47013001</v>
      </c>
      <c r="C8" s="186">
        <v>47013107</v>
      </c>
      <c r="D8" s="40" t="str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ヘル・ファイア</v>
      </c>
      <c r="E8" s="40" t="str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黄&amp;緑&amp;青パネルを吸収して攻撃</v>
      </c>
      <c r="F8" s="186">
        <v>47013107</v>
      </c>
      <c r="G8" s="42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" s="42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8" s="42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" s="42" t="str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" s="42" t="str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" s="42" t="str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8" s="42" t="str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" s="42" t="str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" s="42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" s="41"/>
      <c r="Q8" s="41"/>
      <c r="R8" s="41"/>
    </row>
    <row r="9" spans="1:18" ht="21" customHeight="1" x14ac:dyDescent="0.15">
      <c r="A9" s="33" t="str">
        <f t="shared" si="0"/>
        <v>47013002_47013201</v>
      </c>
      <c r="B9" s="187">
        <v>47013002</v>
      </c>
      <c r="C9" s="188">
        <v>47013201</v>
      </c>
      <c r="D9" s="40" t="str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ここはイッパツ派手に暴れようぜ！</v>
      </c>
      <c r="E9" s="40" t="str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状態異常耐性+_x000D_5ターン超高確率で_x000D_緑パネルがお邪魔パネルとしてドロップ</v>
      </c>
      <c r="F9" s="188">
        <v>47013201</v>
      </c>
      <c r="G9" s="42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9" s="42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9" s="42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" s="42" t="str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" s="42" t="str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" s="42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9" s="42" t="str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9" s="42" t="str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" s="42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" s="41"/>
      <c r="Q9" s="41"/>
      <c r="R9" s="41"/>
    </row>
    <row r="10" spans="1:18" ht="21" customHeight="1" x14ac:dyDescent="0.15">
      <c r="A10" s="33" t="str">
        <f t="shared" si="0"/>
        <v>47013002_47013202</v>
      </c>
      <c r="B10" s="187">
        <v>47013002</v>
      </c>
      <c r="C10" s="188">
        <v>47013202</v>
      </c>
      <c r="D10" s="40" t="str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いいねぇ、お前となら楽しめそうだ！</v>
      </c>
      <c r="E10" s="40" t="str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10ターン青パネルドロップ率DOWN+_x000D_4回連続攻撃</v>
      </c>
      <c r="F10" s="188">
        <v>47013202</v>
      </c>
      <c r="G10" s="42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0" s="42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10" s="42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10" s="42" t="str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0" s="42" t="str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0" s="42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10" s="42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10" s="42" t="str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0" s="42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10" s="41"/>
      <c r="Q10" s="41"/>
      <c r="R10" s="41"/>
    </row>
    <row r="11" spans="1:18" ht="21" customHeight="1" x14ac:dyDescent="0.15">
      <c r="A11" s="33" t="str">
        <f t="shared" si="0"/>
        <v>47013002_47013203</v>
      </c>
      <c r="B11" s="187">
        <v>47013002</v>
      </c>
      <c r="C11" s="188">
        <v>47013203</v>
      </c>
      <c r="D11" s="40" t="str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こうするとやっかいだろ？</v>
      </c>
      <c r="E11" s="40" t="str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特定エリアを黄&amp;緑&amp;青のダメージパネルに変換+_x000D_単体攻撃+1ターン行動頻度UP</v>
      </c>
      <c r="F11" s="188">
        <v>47013203</v>
      </c>
      <c r="G11" s="42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1" s="42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11" s="42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25</v>
      </c>
      <c r="J11" s="42" t="str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1" s="42" t="str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1" s="42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11" s="42" t="str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1" s="42" t="str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1" s="42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25</v>
      </c>
      <c r="P11" s="41"/>
      <c r="Q11" s="41"/>
      <c r="R11" s="41"/>
    </row>
    <row r="12" spans="1:18" ht="21" customHeight="1" x14ac:dyDescent="0.15">
      <c r="A12" s="33" t="str">
        <f t="shared" si="0"/>
        <v>47013002_47013204</v>
      </c>
      <c r="B12" s="187">
        <v>47013002</v>
      </c>
      <c r="C12" s="188">
        <v>47013204</v>
      </c>
      <c r="D12" s="40" t="str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こいつは俺がいただくぜ！</v>
      </c>
      <c r="E12" s="40" t="str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お邪魔パネルを吸収して攻撃+_x000D_1ターン行動頻度UP</v>
      </c>
      <c r="F12" s="188">
        <v>47013204</v>
      </c>
      <c r="G12" s="42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2" s="42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12" s="42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30</v>
      </c>
      <c r="J12" s="42" t="str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2" s="42" t="str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2" s="42" t="str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12" s="42" t="str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2" s="42" t="str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2" s="42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30</v>
      </c>
      <c r="P12" s="41"/>
      <c r="Q12" s="41"/>
      <c r="R12" s="41"/>
    </row>
    <row r="13" spans="1:18" ht="21" customHeight="1" x14ac:dyDescent="0.15">
      <c r="A13" s="33" t="str">
        <f t="shared" si="0"/>
        <v>47013002_47013205</v>
      </c>
      <c r="B13" s="187">
        <v>47013002</v>
      </c>
      <c r="C13" s="188">
        <v>47013205</v>
      </c>
      <c r="D13" s="40" t="str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お前の力…見せてみろ！</v>
      </c>
      <c r="E13" s="40" t="str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黄パネルを先頭ユニットのSCパネルに2個変換+_x000D_5回連続攻撃</v>
      </c>
      <c r="F13" s="188">
        <v>47013205</v>
      </c>
      <c r="G13" s="42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3" s="42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13" s="42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48</v>
      </c>
      <c r="J13" s="42" t="str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3" s="42" t="str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3" s="42" t="str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13" s="42" t="str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3" s="42" t="str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3" s="42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48</v>
      </c>
      <c r="P13" s="41"/>
      <c r="Q13" s="41"/>
      <c r="R13" s="41"/>
    </row>
    <row r="14" spans="1:18" ht="21" customHeight="1" x14ac:dyDescent="0.15">
      <c r="A14" s="33" t="str">
        <f t="shared" si="0"/>
        <v>47013002_47013206</v>
      </c>
      <c r="B14" s="187">
        <v>47013002</v>
      </c>
      <c r="C14" s="188">
        <v>47013206</v>
      </c>
      <c r="D14" s="40" t="str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独眼流秘技・閃撃</v>
      </c>
      <c r="E14" s="40" t="str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特定エリアを黄パネルに変換+全体攻撃</v>
      </c>
      <c r="F14" s="188">
        <v>47013206</v>
      </c>
      <c r="G14" s="42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4" s="42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14" s="42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14" s="42" t="str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4" s="42" t="str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4" s="42" t="str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14" s="42" t="str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4" s="42" t="str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4" s="42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14" s="41"/>
      <c r="Q14" s="41"/>
      <c r="R14" s="41"/>
    </row>
    <row r="15" spans="1:18" ht="21" customHeight="1" x14ac:dyDescent="0.15">
      <c r="A15" s="33" t="str">
        <f t="shared" si="0"/>
        <v>47013002_47013207</v>
      </c>
      <c r="B15" s="187">
        <v>47013002</v>
      </c>
      <c r="C15" s="188">
        <v>47013207</v>
      </c>
      <c r="D15" s="40" t="str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ハハッ　命知らずなヤツだ！</v>
      </c>
      <c r="E15" s="40" t="str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緑パネルプロテクト+クリティカル！</v>
      </c>
      <c r="F15" s="188">
        <v>47013207</v>
      </c>
      <c r="G15" s="42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5" s="42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300</v>
      </c>
      <c r="I15" s="42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15" s="42" t="str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5" s="42" t="str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5" s="42" t="str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15" s="42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4</v>
      </c>
      <c r="N15" s="42" t="str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5" s="42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15" s="41"/>
      <c r="Q15" s="41"/>
      <c r="R15" s="41"/>
    </row>
    <row r="16" spans="1:18" ht="21" customHeight="1" x14ac:dyDescent="0.15">
      <c r="A16" s="33" t="str">
        <f t="shared" si="0"/>
        <v>47013003_47013301</v>
      </c>
      <c r="B16" s="42">
        <v>47013003</v>
      </c>
      <c r="C16" s="189">
        <v>47013301</v>
      </c>
      <c r="D16" s="40" t="str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いいぜ…久しぶりにマジになるか！</v>
      </c>
      <c r="E16" s="40" t="str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状態異常耐性</v>
      </c>
      <c r="F16" s="189">
        <v>47013301</v>
      </c>
      <c r="G16" s="42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16" s="42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16" s="42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16" s="42" t="str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6" s="42" t="str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6" s="42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16" s="42" t="str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6" s="42" t="str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6" s="42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16" s="41"/>
      <c r="Q16" s="41"/>
      <c r="R16" s="41"/>
    </row>
    <row r="17" spans="1:18" ht="21" customHeight="1" x14ac:dyDescent="0.15">
      <c r="A17" s="33" t="str">
        <f t="shared" si="0"/>
        <v>47013003_47013302</v>
      </c>
      <c r="B17" s="42">
        <v>47013003</v>
      </c>
      <c r="C17" s="189">
        <v>47013302</v>
      </c>
      <c r="D17" s="40" t="str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さあ！こいつでどうだ！</v>
      </c>
      <c r="E17" s="40" t="str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特定エリアを黄&amp;緑&amp;青のダメージパネルに変換+_x000D_単体攻撃</v>
      </c>
      <c r="F17" s="189">
        <v>47013302</v>
      </c>
      <c r="G17" s="42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7" s="42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17" s="42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17" s="42" t="str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7" s="42" t="str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7" s="42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17" s="42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17" s="42" t="str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7" s="42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17" s="41"/>
      <c r="Q17" s="41"/>
      <c r="R17" s="41"/>
    </row>
    <row r="18" spans="1:18" ht="21" customHeight="1" x14ac:dyDescent="0.15">
      <c r="A18" s="33" t="str">
        <f t="shared" si="0"/>
        <v>47013003_47013303</v>
      </c>
      <c r="B18" s="42">
        <v>47013003</v>
      </c>
      <c r="C18" s="189">
        <v>47013303</v>
      </c>
      <c r="D18" s="40" t="str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これが俺の真骨頂だ！</v>
      </c>
      <c r="E18" s="40" t="str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属性パネルを黄ボムパネルに20個変換+_x000D_5回連続攻撃+_x000D_1ターンタップ回数を2UP</v>
      </c>
      <c r="F18" s="189">
        <v>47013303</v>
      </c>
      <c r="G18" s="42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8" s="42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18" s="42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80</v>
      </c>
      <c r="J18" s="42" t="str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8" s="42" t="str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8" s="42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18" s="42" t="str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8" s="42" t="str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8" s="42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80</v>
      </c>
      <c r="P18" s="41"/>
      <c r="Q18" s="41"/>
      <c r="R18" s="41"/>
    </row>
    <row r="19" spans="1:18" ht="21" customHeight="1" x14ac:dyDescent="0.15">
      <c r="A19" s="33" t="str">
        <f t="shared" si="0"/>
        <v>47013003_47013304</v>
      </c>
      <c r="B19" s="42">
        <v>47013003</v>
      </c>
      <c r="C19" s="189">
        <v>47013304</v>
      </c>
      <c r="D19" s="40" t="str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最高だ！_x000D_疼きが止まらねぇぜ！</v>
      </c>
      <c r="E19" s="40" t="str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属性パネルを黄ボムパネルに8個変換+_x000D_属性パネルを黄のCBPに2個変換+_x000D_2回連続攻撃</v>
      </c>
      <c r="F19" s="189">
        <v>47013304</v>
      </c>
      <c r="G19" s="42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9" s="42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19" s="42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28</v>
      </c>
      <c r="J19" s="42" t="str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9" s="42" t="str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9" s="42" t="str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19" s="42" t="str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9" s="42" t="str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19" s="42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28</v>
      </c>
      <c r="P19" s="41"/>
      <c r="Q19" s="41"/>
      <c r="R19" s="41"/>
    </row>
    <row r="20" spans="1:18" ht="21" customHeight="1" x14ac:dyDescent="0.15">
      <c r="A20" s="33" t="str">
        <f t="shared" si="0"/>
        <v>47013003_47013305</v>
      </c>
      <c r="B20" s="42">
        <v>47013003</v>
      </c>
      <c r="C20" s="189">
        <v>47013305</v>
      </c>
      <c r="D20" s="40" t="str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独眼流秘技・閃撃</v>
      </c>
      <c r="E20" s="40" t="str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特定エリアを黄パネルに変換+全体攻撃</v>
      </c>
      <c r="F20" s="189">
        <v>47013305</v>
      </c>
      <c r="G20" s="42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20" s="42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20" s="42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55</v>
      </c>
      <c r="J20" s="42" t="str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0" s="42" t="str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0" s="42" t="str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20" s="42" t="str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0" s="42" t="str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0" s="42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55</v>
      </c>
      <c r="P20" s="41"/>
      <c r="Q20" s="41"/>
      <c r="R20" s="41"/>
    </row>
    <row r="21" spans="1:18" ht="21" customHeight="1" x14ac:dyDescent="0.15">
      <c r="A21" s="33" t="str">
        <f t="shared" si="0"/>
        <v>47013003_47013306</v>
      </c>
      <c r="B21" s="42">
        <v>47013003</v>
      </c>
      <c r="C21" s="189">
        <v>47013306</v>
      </c>
      <c r="D21" s="40" t="str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独眼流秘技・破天</v>
      </c>
      <c r="E21" s="40" t="str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黄&amp;緑&amp;青パネルを吸収して攻撃</v>
      </c>
      <c r="F21" s="189">
        <v>47013306</v>
      </c>
      <c r="G21" s="42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21" s="42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21" s="42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21" s="42" t="str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1" s="42" t="str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1" s="42" t="str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21" s="42" t="str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1" s="42" t="str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1" s="42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21" s="41"/>
      <c r="Q21" s="41"/>
      <c r="R21" s="41"/>
    </row>
    <row r="22" spans="1:18" ht="21" customHeight="1" x14ac:dyDescent="0.15">
      <c r="A22" s="33" t="str">
        <f t="shared" si="0"/>
        <v>47013003_47013307</v>
      </c>
      <c r="B22" s="42">
        <v>47013003</v>
      </c>
      <c r="C22" s="189">
        <v>47013307</v>
      </c>
      <c r="D22" s="40" t="str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独眼流秘技・天撃</v>
      </c>
      <c r="E22" s="40" t="str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青パネルをお邪魔パネルに6個変換+_x000D_クリティカル！</v>
      </c>
      <c r="F22" s="189">
        <v>47013307</v>
      </c>
      <c r="G22" s="42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22" s="42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300</v>
      </c>
      <c r="I22" s="42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22" s="42" t="str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2" s="42" t="str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2" s="42" t="str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22" s="42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6</v>
      </c>
      <c r="N22" s="42" t="str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2" s="42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22" s="41"/>
      <c r="Q22" s="41"/>
      <c r="R22" s="41"/>
    </row>
    <row r="23" spans="1:18" ht="21" customHeight="1" x14ac:dyDescent="0.15">
      <c r="A23" s="33" t="str">
        <f t="shared" si="0"/>
        <v>47013004_47013401</v>
      </c>
      <c r="B23" s="187">
        <v>47013004</v>
      </c>
      <c r="C23" s="190">
        <v>47013401</v>
      </c>
      <c r="D23" s="40" t="str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私に刃向かうとは愚かな…_x000D_よかろう…せいぜい足掻いてみせろ！</v>
      </c>
      <c r="E23" s="40" t="str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状態異常耐性+10ターン赤パネルドロップ率DOWN+_x000D_7ターン回復&amp;体力タイプのユニットの_x000D_ボムの爆風を30%UP</v>
      </c>
      <c r="F23" s="190">
        <v>47013401</v>
      </c>
      <c r="G23" s="42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23" s="42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23" s="42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23" s="42" t="str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3" s="42" t="str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3" s="42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23" s="42" t="str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3" s="42" t="str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3" s="42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23" s="41"/>
      <c r="Q23" s="41"/>
      <c r="R23" s="41"/>
    </row>
    <row r="24" spans="1:18" ht="21" customHeight="1" x14ac:dyDescent="0.15">
      <c r="A24" s="33" t="str">
        <f t="shared" si="0"/>
        <v>47013004_47013402</v>
      </c>
      <c r="B24" s="187">
        <v>47013004</v>
      </c>
      <c r="C24" s="190">
        <v>47013402</v>
      </c>
      <c r="D24" s="40" t="str">
        <f ca="1">VLOOKUP($C24,OFFSET([3]enemy_skills!$A$1,0,0,COUNTA([3]enemy_skills!$A:$A),MATCH(D$1,[3]enemy_skills!$1:$1,0)-MATCH("enemy_skill_id",[3]enemy_skills!$1:$1,0)+1),MATCH(D$1,[3]enemy_skills!$1:$1,0)-MATCH("enemy_skill_id",[3]enemy_skills!$1:$1,0)+1,FALSE)</f>
        <v>貴様らも私に刃向かうか？_x000D_よかろう…せいぜい華々しく散れ！</v>
      </c>
      <c r="E24" s="40" t="str">
        <f ca="1">VLOOKUP($C24,OFFSET([3]enemy_skills!$A$1,0,0,COUNTA([3]enemy_skills!$A:$A),MATCH(E$1,[3]enemy_skills!$1:$1,0)-MATCH("enemy_skill_id",[3]enemy_skills!$1:$1,0)+1),MATCH(E$1,[3]enemy_skills!$1:$1,0)-MATCH("enemy_skill_id",[3]enemy_skills!$1:$1,0)+1,FALSE)</f>
        <v>状態異常耐性+10ターン赤パネルドロップ率DOWN+_x000D_7ターン回復&amp;体力タイプのユニットの_x000D_ボムの爆風を30%UP</v>
      </c>
      <c r="F24" s="190">
        <v>47013402</v>
      </c>
      <c r="G24" s="42">
        <f ca="1">VLOOKUP($F24,OFFSET([3]enemy_skill_triggers!$A$1,0,0,COUNTA([3]enemy_skill_triggers!$A:$A),MATCH(G$1,[3]enemy_skill_triggers!$1:$1,0)-MATCH($F$1,[3]enemy_skill_triggers!$1:$1,0)+1),MATCH(G$1,[3]enemy_skill_triggers!$1:$1,0)-MATCH($F$1,[3]enemy_skill_triggers!$1:$1,0)+1,FALSE)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24" s="42">
        <f ca="1">VLOOKUP($F24,OFFSET([3]enemy_skill_triggers!$A$1,0,0,COUNTA([3]enemy_skill_triggers!$A:$A),MATCH(H$1,[3]enemy_skill_triggers!$1:$1,0)-MATCH($F$1,[3]enemy_skill_triggers!$1:$1,0)+1),MATCH(H$1,[3]enemy_skill_triggers!$1:$1,0)-MATCH($F$1,[3]enemy_skill_triggers!$1:$1,0)+1,FALSE)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510</v>
      </c>
      <c r="I24" s="42">
        <f ca="1">VLOOKUP($F24,OFFSET([3]enemy_skill_triggers!$A$1,0,0,COUNTA([3]enemy_skill_triggers!$A:$A),MATCH(I$1,[3]enemy_skill_triggers!$1:$1,0)-MATCH($F$1,[3]enemy_skill_triggers!$1:$1,0)+1),MATCH(I$1,[3]enemy_skill_triggers!$1:$1,0)-MATCH($F$1,[3]enemy_skill_triggers!$1:$1,0)+1,FALSE)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24" s="42" t="str">
        <f ca="1">VLOOKUP($F24,OFFSET([3]enemy_skill_triggers!$A$1,0,0,COUNTA([3]enemy_skill_triggers!$A:$A),MATCH(J$1,[3]enemy_skill_triggers!$1:$1,0)-MATCH($F$1,[3]enemy_skill_triggers!$1:$1,0)+1),MATCH(J$1,[3]enemy_skill_triggers!$1:$1,0)-MATCH($F$1,[3]enemy_skill_triggers!$1:$1,0)+1,FALSE)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4" s="42" t="str">
        <f ca="1">VLOOKUP($F24,OFFSET([3]enemy_skill_triggers!$A$1,0,0,COUNTA([3]enemy_skill_triggers!$A:$A),MATCH(K$1,[3]enemy_skill_triggers!$1:$1,0)-MATCH($F$1,[3]enemy_skill_triggers!$1:$1,0)+1),MATCH(K$1,[3]enemy_skill_triggers!$1:$1,0)-MATCH($F$1,[3]enemy_skill_triggers!$1:$1,0)+1,FALSE)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4" s="42">
        <f ca="1">VLOOKUP($F24,OFFSET([3]enemy_skill_triggers!$A$1,0,0,COUNTA([3]enemy_skill_triggers!$A:$A),MATCH(L$1,[3]enemy_skill_triggers!$1:$1,0)-MATCH($F$1,[3]enemy_skill_triggers!$1:$1,0)+1),MATCH(L$1,[3]enemy_skill_triggers!$1:$1,0)-MATCH($F$1,[3]enemy_skill_triggers!$1:$1,0)+1,FALSE)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24" s="42" t="str">
        <f ca="1">VLOOKUP($F24,OFFSET([3]enemy_skill_triggers!$A$1,0,0,COUNTA([3]enemy_skill_triggers!$A:$A),MATCH(M$1,[3]enemy_skill_triggers!$1:$1,0)-MATCH($F$1,[3]enemy_skill_triggers!$1:$1,0)+1),MATCH(M$1,[3]enemy_skill_triggers!$1:$1,0)-MATCH($F$1,[3]enemy_skill_triggers!$1:$1,0)+1,FALSE)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4" s="42">
        <f ca="1">VLOOKUP($F24,OFFSET([3]enemy_skill_triggers!$A$1,0,0,COUNTA([3]enemy_skill_triggers!$A:$A),MATCH(N$1,[3]enemy_skill_triggers!$1:$1,0)-MATCH($F$1,[3]enemy_skill_triggers!$1:$1,0)+1),MATCH(N$1,[3]enemy_skill_triggers!$1:$1,0)-MATCH($F$1,[3]enemy_skill_triggers!$1:$1,0)+1,FALSE)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1490</v>
      </c>
      <c r="O24" s="42">
        <f ca="1">VLOOKUP($F24,OFFSET([3]enemy_skill_triggers!$A$1,0,0,COUNTA([3]enemy_skill_triggers!$A:$A),MATCH(O$1,[3]enemy_skill_triggers!$1:$1,0)-MATCH($F$1,[3]enemy_skill_triggers!$1:$1,0)+1),MATCH(O$1,[3]enemy_skill_triggers!$1:$1,0)-MATCH($F$1,[3]enemy_skill_triggers!$1:$1,0)+1,FALSE)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24" s="41"/>
      <c r="Q24" s="41"/>
      <c r="R24" s="41"/>
    </row>
    <row r="25" spans="1:18" ht="21" customHeight="1" x14ac:dyDescent="0.15">
      <c r="A25" s="33" t="str">
        <f t="shared" si="0"/>
        <v>47013004_47013402</v>
      </c>
      <c r="B25" s="187">
        <v>47013004</v>
      </c>
      <c r="C25" s="190">
        <v>47013402</v>
      </c>
      <c r="D25" s="40" t="str">
        <f ca="1">VLOOKUP($C25,OFFSET([3]enemy_skills!$A$1,0,0,COUNTA([3]enemy_skills!$A:$A),MATCH(D$1,[3]enemy_skills!$1:$1,0)-MATCH("enemy_skill_id",[3]enemy_skills!$1:$1,0)+1),MATCH(D$1,[3]enemy_skills!$1:$1,0)-MATCH("enemy_skill_id",[3]enemy_skills!$1:$1,0)+1,FALSE)</f>
        <v>貴様らも私に刃向かうか？_x000D_よかろう…せいぜい華々しく散れ！</v>
      </c>
      <c r="E25" s="40" t="str">
        <f ca="1">VLOOKUP($C25,OFFSET([3]enemy_skills!$A$1,0,0,COUNTA([3]enemy_skills!$A:$A),MATCH(E$1,[3]enemy_skills!$1:$1,0)-MATCH("enemy_skill_id",[3]enemy_skills!$1:$1,0)+1),MATCH(E$1,[3]enemy_skills!$1:$1,0)-MATCH("enemy_skill_id",[3]enemy_skills!$1:$1,0)+1,FALSE)</f>
        <v>状態異常耐性+10ターン赤パネルドロップ率DOWN+_x000D_7ターン回復&amp;体力タイプのユニットの_x000D_ボムの爆風を30%UP</v>
      </c>
      <c r="F25" s="191">
        <v>47013412</v>
      </c>
      <c r="G25" s="42">
        <f ca="1">VLOOKUP($F25,OFFSET([3]enemy_skill_triggers!$A$1,0,0,COUNTA([3]enemy_skill_triggers!$A:$A),MATCH(G$1,[3]enemy_skill_triggers!$1:$1,0)-MATCH($F$1,[3]enemy_skill_triggers!$1:$1,0)+1),MATCH(G$1,[3]enemy_skill_triggers!$1:$1,0)-MATCH($F$1,[3]enemy_skill_triggers!$1:$1,0)+1,FALSE)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25" s="42">
        <f ca="1">VLOOKUP($F25,OFFSET([3]enemy_skill_triggers!$A$1,0,0,COUNTA([3]enemy_skill_triggers!$A:$A),MATCH(H$1,[3]enemy_skill_triggers!$1:$1,0)-MATCH($F$1,[3]enemy_skill_triggers!$1:$1,0)+1),MATCH(H$1,[3]enemy_skill_triggers!$1:$1,0)-MATCH($F$1,[3]enemy_skill_triggers!$1:$1,0)+1,FALSE)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520</v>
      </c>
      <c r="I25" s="42">
        <f ca="1">VLOOKUP($F25,OFFSET([3]enemy_skill_triggers!$A$1,0,0,COUNTA([3]enemy_skill_triggers!$A:$A),MATCH(I$1,[3]enemy_skill_triggers!$1:$1,0)-MATCH($F$1,[3]enemy_skill_triggers!$1:$1,0)+1),MATCH(I$1,[3]enemy_skill_triggers!$1:$1,0)-MATCH($F$1,[3]enemy_skill_triggers!$1:$1,0)+1,FALSE)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25" s="42" t="str">
        <f ca="1">VLOOKUP($F25,OFFSET([3]enemy_skill_triggers!$A$1,0,0,COUNTA([3]enemy_skill_triggers!$A:$A),MATCH(J$1,[3]enemy_skill_triggers!$1:$1,0)-MATCH($F$1,[3]enemy_skill_triggers!$1:$1,0)+1),MATCH(J$1,[3]enemy_skill_triggers!$1:$1,0)-MATCH($F$1,[3]enemy_skill_triggers!$1:$1,0)+1,FALSE)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5" s="42" t="str">
        <f ca="1">VLOOKUP($F25,OFFSET([3]enemy_skill_triggers!$A$1,0,0,COUNTA([3]enemy_skill_triggers!$A:$A),MATCH(K$1,[3]enemy_skill_triggers!$1:$1,0)-MATCH($F$1,[3]enemy_skill_triggers!$1:$1,0)+1),MATCH(K$1,[3]enemy_skill_triggers!$1:$1,0)-MATCH($F$1,[3]enemy_skill_triggers!$1:$1,0)+1,FALSE)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5" s="42">
        <f ca="1">VLOOKUP($F25,OFFSET([3]enemy_skill_triggers!$A$1,0,0,COUNTA([3]enemy_skill_triggers!$A:$A),MATCH(L$1,[3]enemy_skill_triggers!$1:$1,0)-MATCH($F$1,[3]enemy_skill_triggers!$1:$1,0)+1),MATCH(L$1,[3]enemy_skill_triggers!$1:$1,0)-MATCH($F$1,[3]enemy_skill_triggers!$1:$1,0)+1,FALSE)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25" s="42" t="str">
        <f ca="1">VLOOKUP($F25,OFFSET([3]enemy_skill_triggers!$A$1,0,0,COUNTA([3]enemy_skill_triggers!$A:$A),MATCH(M$1,[3]enemy_skill_triggers!$1:$1,0)-MATCH($F$1,[3]enemy_skill_triggers!$1:$1,0)+1),MATCH(M$1,[3]enemy_skill_triggers!$1:$1,0)-MATCH($F$1,[3]enemy_skill_triggers!$1:$1,0)+1,FALSE)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5" s="42">
        <f ca="1">VLOOKUP($F25,OFFSET([3]enemy_skill_triggers!$A$1,0,0,COUNTA([3]enemy_skill_triggers!$A:$A),MATCH(N$1,[3]enemy_skill_triggers!$1:$1,0)-MATCH($F$1,[3]enemy_skill_triggers!$1:$1,0)+1),MATCH(N$1,[3]enemy_skill_triggers!$1:$1,0)-MATCH($F$1,[3]enemy_skill_triggers!$1:$1,0)+1,FALSE)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1491</v>
      </c>
      <c r="O25" s="42">
        <f ca="1">VLOOKUP($F25,OFFSET([3]enemy_skill_triggers!$A$1,0,0,COUNTA([3]enemy_skill_triggers!$A:$A),MATCH(O$1,[3]enemy_skill_triggers!$1:$1,0)-MATCH($F$1,[3]enemy_skill_triggers!$1:$1,0)+1),MATCH(O$1,[3]enemy_skill_triggers!$1:$1,0)-MATCH($F$1,[3]enemy_skill_triggers!$1:$1,0)+1,FALSE)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25" s="41"/>
      <c r="Q25" s="41"/>
      <c r="R25" s="41"/>
    </row>
    <row r="26" spans="1:18" ht="21" customHeight="1" x14ac:dyDescent="0.15">
      <c r="A26" s="33" t="str">
        <f t="shared" si="0"/>
        <v>47013004_47013403</v>
      </c>
      <c r="B26" s="187">
        <v>47013004</v>
      </c>
      <c r="C26" s="190">
        <v>47013403</v>
      </c>
      <c r="D26" s="40" t="str">
        <f ca="1">VLOOKUP($C26,OFFSET([3]enemy_skills!$A$1,0,0,COUNTA([3]enemy_skills!$A:$A),MATCH(D$1,[3]enemy_skills!$1:$1,0)-MATCH("enemy_skill_id",[3]enemy_skills!$1:$1,0)+1),MATCH(D$1,[3]enemy_skills!$1:$1,0)-MATCH("enemy_skill_id",[3]enemy_skills!$1:$1,0)+1,FALSE)</f>
        <v>まずは小手調べといこうか、哀れな駒どもよ</v>
      </c>
      <c r="E26" s="40" t="str">
        <f ca="1">VLOOKUP($C26,OFFSET([3]enemy_skills!$A$1,0,0,COUNTA([3]enemy_skills!$A:$A),MATCH(E$1,[3]enemy_skills!$1:$1,0)-MATCH("enemy_skill_id",[3]enemy_skills!$1:$1,0)+1),MATCH(E$1,[3]enemy_skills!$1:$1,0)-MATCH("enemy_skill_id",[3]enemy_skills!$1:$1,0)+1,FALSE)</f>
        <v>5ターン超高確率で_x000D_属性パネルが赤ボムパネルとしてドロップ+_x000D_全体攻撃+1ターン行動頻度UP</v>
      </c>
      <c r="F26" s="190">
        <v>47013403</v>
      </c>
      <c r="G26" s="42">
        <f ca="1">VLOOKUP($F26,OFFSET([3]enemy_skill_triggers!$A$1,0,0,COUNTA([3]enemy_skill_triggers!$A:$A),MATCH(G$1,[3]enemy_skill_triggers!$1:$1,0)-MATCH($F$1,[3]enemy_skill_triggers!$1:$1,0)+1),MATCH(G$1,[3]enemy_skill_triggers!$1:$1,0)-MATCH($F$1,[3]enemy_skill_triggers!$1:$1,0)+1,FALSE)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26" s="42">
        <f ca="1">VLOOKUP($F26,OFFSET([3]enemy_skill_triggers!$A$1,0,0,COUNTA([3]enemy_skill_triggers!$A:$A),MATCH(H$1,[3]enemy_skill_triggers!$1:$1,0)-MATCH($F$1,[3]enemy_skill_triggers!$1:$1,0)+1),MATCH(H$1,[3]enemy_skill_triggers!$1:$1,0)-MATCH($F$1,[3]enemy_skill_triggers!$1:$1,0)+1,FALSE)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26" s="42">
        <f ca="1">VLOOKUP($F26,OFFSET([3]enemy_skill_triggers!$A$1,0,0,COUNTA([3]enemy_skill_triggers!$A:$A),MATCH(I$1,[3]enemy_skill_triggers!$1:$1,0)-MATCH($F$1,[3]enemy_skill_triggers!$1:$1,0)+1),MATCH(I$1,[3]enemy_skill_triggers!$1:$1,0)-MATCH($F$1,[3]enemy_skill_triggers!$1:$1,0)+1,FALSE)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26" s="42" t="str">
        <f ca="1">VLOOKUP($F26,OFFSET([3]enemy_skill_triggers!$A$1,0,0,COUNTA([3]enemy_skill_triggers!$A:$A),MATCH(J$1,[3]enemy_skill_triggers!$1:$1,0)-MATCH($F$1,[3]enemy_skill_triggers!$1:$1,0)+1),MATCH(J$1,[3]enemy_skill_triggers!$1:$1,0)-MATCH($F$1,[3]enemy_skill_triggers!$1:$1,0)+1,FALSE)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6" s="42" t="str">
        <f ca="1">VLOOKUP($F26,OFFSET([3]enemy_skill_triggers!$A$1,0,0,COUNTA([3]enemy_skill_triggers!$A:$A),MATCH(K$1,[3]enemy_skill_triggers!$1:$1,0)-MATCH($F$1,[3]enemy_skill_triggers!$1:$1,0)+1),MATCH(K$1,[3]enemy_skill_triggers!$1:$1,0)-MATCH($F$1,[3]enemy_skill_triggers!$1:$1,0)+1,FALSE)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6" s="42">
        <f ca="1">VLOOKUP($F26,OFFSET([3]enemy_skill_triggers!$A$1,0,0,COUNTA([3]enemy_skill_triggers!$A:$A),MATCH(L$1,[3]enemy_skill_triggers!$1:$1,0)-MATCH($F$1,[3]enemy_skill_triggers!$1:$1,0)+1),MATCH(L$1,[3]enemy_skill_triggers!$1:$1,0)-MATCH($F$1,[3]enemy_skill_triggers!$1:$1,0)+1,FALSE)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26" s="42">
        <f ca="1">VLOOKUP($F26,OFFSET([3]enemy_skill_triggers!$A$1,0,0,COUNTA([3]enemy_skill_triggers!$A:$A),MATCH(M$1,[3]enemy_skill_triggers!$1:$1,0)-MATCH($F$1,[3]enemy_skill_triggers!$1:$1,0)+1),MATCH(M$1,[3]enemy_skill_triggers!$1:$1,0)-MATCH($F$1,[3]enemy_skill_triggers!$1:$1,0)+1,FALSE)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26" s="42" t="str">
        <f ca="1">VLOOKUP($F26,OFFSET([3]enemy_skill_triggers!$A$1,0,0,COUNTA([3]enemy_skill_triggers!$A:$A),MATCH(N$1,[3]enemy_skill_triggers!$1:$1,0)-MATCH($F$1,[3]enemy_skill_triggers!$1:$1,0)+1),MATCH(N$1,[3]enemy_skill_triggers!$1:$1,0)-MATCH($F$1,[3]enemy_skill_triggers!$1:$1,0)+1,FALSE)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6" s="42">
        <f ca="1">VLOOKUP($F26,OFFSET([3]enemy_skill_triggers!$A$1,0,0,COUNTA([3]enemy_skill_triggers!$A:$A),MATCH(O$1,[3]enemy_skill_triggers!$1:$1,0)-MATCH($F$1,[3]enemy_skill_triggers!$1:$1,0)+1),MATCH(O$1,[3]enemy_skill_triggers!$1:$1,0)-MATCH($F$1,[3]enemy_skill_triggers!$1:$1,0)+1,FALSE)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26" s="41"/>
      <c r="Q26" s="41"/>
      <c r="R26" s="41"/>
    </row>
    <row r="27" spans="1:18" ht="21" customHeight="1" x14ac:dyDescent="0.15">
      <c r="A27" s="33" t="str">
        <f t="shared" si="0"/>
        <v>47013004_47013404</v>
      </c>
      <c r="B27" s="187">
        <v>47013004</v>
      </c>
      <c r="C27" s="190">
        <v>47013404</v>
      </c>
      <c r="D27" s="40" t="str">
        <f ca="1">VLOOKUP($C27,OFFSET([3]enemy_skills!$A$1,0,0,COUNTA([3]enemy_skills!$A:$A),MATCH(D$1,[3]enemy_skills!$1:$1,0)-MATCH("enemy_skill_id",[3]enemy_skills!$1:$1,0)+1),MATCH(D$1,[3]enemy_skills!$1:$1,0)-MATCH("enemy_skill_id",[3]enemy_skills!$1:$1,0)+1,FALSE)</f>
        <v>クク…手ほどきが必要か？</v>
      </c>
      <c r="E27" s="40" t="str">
        <f ca="1">VLOOKUP($C27,OFFSET([3]enemy_skills!$A$1,0,0,COUNTA([3]enemy_skills!$A:$A),MATCH(E$1,[3]enemy_skills!$1:$1,0)-MATCH("enemy_skill_id",[3]enemy_skills!$1:$1,0)+1),MATCH(E$1,[3]enemy_skills!$1:$1,0)-MATCH("enemy_skill_id",[3]enemy_skills!$1:$1,0)+1,FALSE)</f>
        <v>ボムパネル強化(効果激烈)+_x000D_5回連続攻撃</v>
      </c>
      <c r="F27" s="190">
        <v>47013404</v>
      </c>
      <c r="G27" s="42">
        <f ca="1">VLOOKUP($F27,OFFSET([3]enemy_skill_triggers!$A$1,0,0,COUNTA([3]enemy_skill_triggers!$A:$A),MATCH(G$1,[3]enemy_skill_triggers!$1:$1,0)-MATCH($F$1,[3]enemy_skill_triggers!$1:$1,0)+1),MATCH(G$1,[3]enemy_skill_triggers!$1:$1,0)-MATCH($F$1,[3]enemy_skill_triggers!$1:$1,0)+1,FALSE)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27" s="42">
        <f ca="1">VLOOKUP($F27,OFFSET([3]enemy_skill_triggers!$A$1,0,0,COUNTA([3]enemy_skill_triggers!$A:$A),MATCH(H$1,[3]enemy_skill_triggers!$1:$1,0)-MATCH($F$1,[3]enemy_skill_triggers!$1:$1,0)+1),MATCH(H$1,[3]enemy_skill_triggers!$1:$1,0)-MATCH($F$1,[3]enemy_skill_triggers!$1:$1,0)+1,FALSE)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27" s="42">
        <f ca="1">VLOOKUP($F27,OFFSET([3]enemy_skill_triggers!$A$1,0,0,COUNTA([3]enemy_skill_triggers!$A:$A),MATCH(I$1,[3]enemy_skill_triggers!$1:$1,0)-MATCH($F$1,[3]enemy_skill_triggers!$1:$1,0)+1),MATCH(I$1,[3]enemy_skill_triggers!$1:$1,0)-MATCH($F$1,[3]enemy_skill_triggers!$1:$1,0)+1,FALSE)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85</v>
      </c>
      <c r="J27" s="42" t="str">
        <f ca="1">VLOOKUP($F27,OFFSET([3]enemy_skill_triggers!$A$1,0,0,COUNTA([3]enemy_skill_triggers!$A:$A),MATCH(J$1,[3]enemy_skill_triggers!$1:$1,0)-MATCH($F$1,[3]enemy_skill_triggers!$1:$1,0)+1),MATCH(J$1,[3]enemy_skill_triggers!$1:$1,0)-MATCH($F$1,[3]enemy_skill_triggers!$1:$1,0)+1,FALSE)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7" s="42" t="str">
        <f ca="1">VLOOKUP($F27,OFFSET([3]enemy_skill_triggers!$A$1,0,0,COUNTA([3]enemy_skill_triggers!$A:$A),MATCH(K$1,[3]enemy_skill_triggers!$1:$1,0)-MATCH($F$1,[3]enemy_skill_triggers!$1:$1,0)+1),MATCH(K$1,[3]enemy_skill_triggers!$1:$1,0)-MATCH($F$1,[3]enemy_skill_triggers!$1:$1,0)+1,FALSE)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7" s="42">
        <f ca="1">VLOOKUP($F27,OFFSET([3]enemy_skill_triggers!$A$1,0,0,COUNTA([3]enemy_skill_triggers!$A:$A),MATCH(L$1,[3]enemy_skill_triggers!$1:$1,0)-MATCH($F$1,[3]enemy_skill_triggers!$1:$1,0)+1),MATCH(L$1,[3]enemy_skill_triggers!$1:$1,0)-MATCH($F$1,[3]enemy_skill_triggers!$1:$1,0)+1,FALSE)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27" s="42" t="str">
        <f ca="1">VLOOKUP($F27,OFFSET([3]enemy_skill_triggers!$A$1,0,0,COUNTA([3]enemy_skill_triggers!$A:$A),MATCH(M$1,[3]enemy_skill_triggers!$1:$1,0)-MATCH($F$1,[3]enemy_skill_triggers!$1:$1,0)+1),MATCH(M$1,[3]enemy_skill_triggers!$1:$1,0)-MATCH($F$1,[3]enemy_skill_triggers!$1:$1,0)+1,FALSE)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7" s="42" t="str">
        <f ca="1">VLOOKUP($F27,OFFSET([3]enemy_skill_triggers!$A$1,0,0,COUNTA([3]enemy_skill_triggers!$A:$A),MATCH(N$1,[3]enemy_skill_triggers!$1:$1,0)-MATCH($F$1,[3]enemy_skill_triggers!$1:$1,0)+1),MATCH(N$1,[3]enemy_skill_triggers!$1:$1,0)-MATCH($F$1,[3]enemy_skill_triggers!$1:$1,0)+1,FALSE)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7" s="42">
        <f ca="1">VLOOKUP($F27,OFFSET([3]enemy_skill_triggers!$A$1,0,0,COUNTA([3]enemy_skill_triggers!$A:$A),MATCH(O$1,[3]enemy_skill_triggers!$1:$1,0)-MATCH($F$1,[3]enemy_skill_triggers!$1:$1,0)+1),MATCH(O$1,[3]enemy_skill_triggers!$1:$1,0)-MATCH($F$1,[3]enemy_skill_triggers!$1:$1,0)+1,FALSE)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85</v>
      </c>
      <c r="P27" s="41"/>
      <c r="Q27" s="41"/>
      <c r="R27" s="41"/>
    </row>
    <row r="28" spans="1:18" ht="21" customHeight="1" x14ac:dyDescent="0.15">
      <c r="A28" s="33" t="str">
        <f t="shared" si="0"/>
        <v>47013004_47013405</v>
      </c>
      <c r="B28" s="187">
        <v>47013004</v>
      </c>
      <c r="C28" s="190">
        <v>47013405</v>
      </c>
      <c r="D28" s="40" t="str">
        <f ca="1">VLOOKUP($C28,OFFSET([3]enemy_skills!$A$1,0,0,COUNTA([3]enemy_skills!$A:$A),MATCH(D$1,[3]enemy_skills!$1:$1,0)-MATCH("enemy_skill_id",[3]enemy_skills!$1:$1,0)+1),MATCH(D$1,[3]enemy_skills!$1:$1,0)-MATCH("enemy_skill_id",[3]enemy_skills!$1:$1,0)+1,FALSE)</f>
        <v>その程度か？　私を退屈させるな</v>
      </c>
      <c r="E28" s="40" t="str">
        <f ca="1">VLOOKUP($C28,OFFSET([3]enemy_skills!$A$1,0,0,COUNTA([3]enemy_skills!$A:$A),MATCH(E$1,[3]enemy_skills!$1:$1,0)-MATCH("enemy_skill_id",[3]enemy_skills!$1:$1,0)+1),MATCH(E$1,[3]enemy_skills!$1:$1,0)-MATCH("enemy_skill_id",[3]enemy_skills!$1:$1,0)+1,FALSE)</f>
        <v>属性パネルを黄&amp;緑&amp;青のボムパネルに2個ずつ変換+_x000D_属性パネルを黄&amp;緑&amp;青のCBPに1個ずつ変換+_x000D_3回連続攻撃</v>
      </c>
      <c r="F28" s="190">
        <v>47013405</v>
      </c>
      <c r="G28" s="42">
        <f ca="1">VLOOKUP($F28,OFFSET([3]enemy_skill_triggers!$A$1,0,0,COUNTA([3]enemy_skill_triggers!$A:$A),MATCH(G$1,[3]enemy_skill_triggers!$1:$1,0)-MATCH($F$1,[3]enemy_skill_triggers!$1:$1,0)+1),MATCH(G$1,[3]enemy_skill_triggers!$1:$1,0)-MATCH($F$1,[3]enemy_skill_triggers!$1:$1,0)+1,FALSE)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28" s="42">
        <f ca="1">VLOOKUP($F28,OFFSET([3]enemy_skill_triggers!$A$1,0,0,COUNTA([3]enemy_skill_triggers!$A:$A),MATCH(H$1,[3]enemy_skill_triggers!$1:$1,0)-MATCH($F$1,[3]enemy_skill_triggers!$1:$1,0)+1),MATCH(H$1,[3]enemy_skill_triggers!$1:$1,0)-MATCH($F$1,[3]enemy_skill_triggers!$1:$1,0)+1,FALSE)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28" s="42">
        <f ca="1">VLOOKUP($F28,OFFSET([3]enemy_skill_triggers!$A$1,0,0,COUNTA([3]enemy_skill_triggers!$A:$A),MATCH(I$1,[3]enemy_skill_triggers!$1:$1,0)-MATCH($F$1,[3]enemy_skill_triggers!$1:$1,0)+1),MATCH(I$1,[3]enemy_skill_triggers!$1:$1,0)-MATCH($F$1,[3]enemy_skill_triggers!$1:$1,0)+1,FALSE)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38</v>
      </c>
      <c r="J28" s="42" t="str">
        <f ca="1">VLOOKUP($F28,OFFSET([3]enemy_skill_triggers!$A$1,0,0,COUNTA([3]enemy_skill_triggers!$A:$A),MATCH(J$1,[3]enemy_skill_triggers!$1:$1,0)-MATCH($F$1,[3]enemy_skill_triggers!$1:$1,0)+1),MATCH(J$1,[3]enemy_skill_triggers!$1:$1,0)-MATCH($F$1,[3]enemy_skill_triggers!$1:$1,0)+1,FALSE)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8" s="42" t="str">
        <f ca="1">VLOOKUP($F28,OFFSET([3]enemy_skill_triggers!$A$1,0,0,COUNTA([3]enemy_skill_triggers!$A:$A),MATCH(K$1,[3]enemy_skill_triggers!$1:$1,0)-MATCH($F$1,[3]enemy_skill_triggers!$1:$1,0)+1),MATCH(K$1,[3]enemy_skill_triggers!$1:$1,0)-MATCH($F$1,[3]enemy_skill_triggers!$1:$1,0)+1,FALSE)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8" s="42" t="str">
        <f ca="1">VLOOKUP($F28,OFFSET([3]enemy_skill_triggers!$A$1,0,0,COUNTA([3]enemy_skill_triggers!$A:$A),MATCH(L$1,[3]enemy_skill_triggers!$1:$1,0)-MATCH($F$1,[3]enemy_skill_triggers!$1:$1,0)+1),MATCH(L$1,[3]enemy_skill_triggers!$1:$1,0)-MATCH($F$1,[3]enemy_skill_triggers!$1:$1,0)+1,FALSE)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28" s="42" t="str">
        <f ca="1">VLOOKUP($F28,OFFSET([3]enemy_skill_triggers!$A$1,0,0,COUNTA([3]enemy_skill_triggers!$A:$A),MATCH(M$1,[3]enemy_skill_triggers!$1:$1,0)-MATCH($F$1,[3]enemy_skill_triggers!$1:$1,0)+1),MATCH(M$1,[3]enemy_skill_triggers!$1:$1,0)-MATCH($F$1,[3]enemy_skill_triggers!$1:$1,0)+1,FALSE)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8" s="42" t="str">
        <f ca="1">VLOOKUP($F28,OFFSET([3]enemy_skill_triggers!$A$1,0,0,COUNTA([3]enemy_skill_triggers!$A:$A),MATCH(N$1,[3]enemy_skill_triggers!$1:$1,0)-MATCH($F$1,[3]enemy_skill_triggers!$1:$1,0)+1),MATCH(N$1,[3]enemy_skill_triggers!$1:$1,0)-MATCH($F$1,[3]enemy_skill_triggers!$1:$1,0)+1,FALSE)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8" s="42">
        <f ca="1">VLOOKUP($F28,OFFSET([3]enemy_skill_triggers!$A$1,0,0,COUNTA([3]enemy_skill_triggers!$A:$A),MATCH(O$1,[3]enemy_skill_triggers!$1:$1,0)-MATCH($F$1,[3]enemy_skill_triggers!$1:$1,0)+1),MATCH(O$1,[3]enemy_skill_triggers!$1:$1,0)-MATCH($F$1,[3]enemy_skill_triggers!$1:$1,0)+1,FALSE)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38</v>
      </c>
      <c r="P28" s="41"/>
      <c r="Q28" s="41"/>
      <c r="R28" s="41"/>
    </row>
    <row r="29" spans="1:18" ht="21" customHeight="1" x14ac:dyDescent="0.15">
      <c r="A29" s="33" t="str">
        <f t="shared" si="0"/>
        <v>47013004_47013406</v>
      </c>
      <c r="B29" s="187">
        <v>47013004</v>
      </c>
      <c r="C29" s="190">
        <v>47013406</v>
      </c>
      <c r="D29" s="40" t="str">
        <f ca="1">VLOOKUP($C29,OFFSET([3]enemy_skills!$A$1,0,0,COUNTA([3]enemy_skills!$A:$A),MATCH(D$1,[3]enemy_skills!$1:$1,0)-MATCH("enemy_skill_id",[3]enemy_skills!$1:$1,0)+1),MATCH(D$1,[3]enemy_skills!$1:$1,0)-MATCH("enemy_skill_id",[3]enemy_skills!$1:$1,0)+1,FALSE)</f>
        <v>使えぬ駒は棄てるだけだ</v>
      </c>
      <c r="E29" s="40" t="str">
        <f ca="1">VLOOKUP($C29,OFFSET([3]enemy_skills!$A$1,0,0,COUNTA([3]enemy_skills!$A:$A),MATCH(E$1,[3]enemy_skills!$1:$1,0)-MATCH("enemy_skill_id",[3]enemy_skills!$1:$1,0)+1),MATCH(E$1,[3]enemy_skills!$1:$1,0)-MATCH("enemy_skill_id",[3]enemy_skills!$1:$1,0)+1,FALSE)</f>
        <v>赤パネルを緑パネルに変換+_x000D_青パネルを黄パネルに変換+_x000D_2回連続攻撃</v>
      </c>
      <c r="F29" s="190">
        <v>47013406</v>
      </c>
      <c r="G29" s="42">
        <f ca="1">VLOOKUP($F29,OFFSET([3]enemy_skill_triggers!$A$1,0,0,COUNTA([3]enemy_skill_triggers!$A:$A),MATCH(G$1,[3]enemy_skill_triggers!$1:$1,0)-MATCH($F$1,[3]enemy_skill_triggers!$1:$1,0)+1),MATCH(G$1,[3]enemy_skill_triggers!$1:$1,0)-MATCH($F$1,[3]enemy_skill_triggers!$1:$1,0)+1,FALSE)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29" s="42">
        <f ca="1">VLOOKUP($F29,OFFSET([3]enemy_skill_triggers!$A$1,0,0,COUNTA([3]enemy_skill_triggers!$A:$A),MATCH(H$1,[3]enemy_skill_triggers!$1:$1,0)-MATCH($F$1,[3]enemy_skill_triggers!$1:$1,0)+1),MATCH(H$1,[3]enemy_skill_triggers!$1:$1,0)-MATCH($F$1,[3]enemy_skill_triggers!$1:$1,0)+1,FALSE)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29" s="42">
        <f ca="1">VLOOKUP($F29,OFFSET([3]enemy_skill_triggers!$A$1,0,0,COUNTA([3]enemy_skill_triggers!$A:$A),MATCH(I$1,[3]enemy_skill_triggers!$1:$1,0)-MATCH($F$1,[3]enemy_skill_triggers!$1:$1,0)+1),MATCH(I$1,[3]enemy_skill_triggers!$1:$1,0)-MATCH($F$1,[3]enemy_skill_triggers!$1:$1,0)+1,FALSE)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53</v>
      </c>
      <c r="J29" s="42" t="str">
        <f ca="1">VLOOKUP($F29,OFFSET([3]enemy_skill_triggers!$A$1,0,0,COUNTA([3]enemy_skill_triggers!$A:$A),MATCH(J$1,[3]enemy_skill_triggers!$1:$1,0)-MATCH($F$1,[3]enemy_skill_triggers!$1:$1,0)+1),MATCH(J$1,[3]enemy_skill_triggers!$1:$1,0)-MATCH($F$1,[3]enemy_skill_triggers!$1:$1,0)+1,FALSE)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29" s="42" t="str">
        <f ca="1">VLOOKUP($F29,OFFSET([3]enemy_skill_triggers!$A$1,0,0,COUNTA([3]enemy_skill_triggers!$A:$A),MATCH(K$1,[3]enemy_skill_triggers!$1:$1,0)-MATCH($F$1,[3]enemy_skill_triggers!$1:$1,0)+1),MATCH(K$1,[3]enemy_skill_triggers!$1:$1,0)-MATCH($F$1,[3]enemy_skill_triggers!$1:$1,0)+1,FALSE)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29" s="42" t="str">
        <f ca="1">VLOOKUP($F29,OFFSET([3]enemy_skill_triggers!$A$1,0,0,COUNTA([3]enemy_skill_triggers!$A:$A),MATCH(L$1,[3]enemy_skill_triggers!$1:$1,0)-MATCH($F$1,[3]enemy_skill_triggers!$1:$1,0)+1),MATCH(L$1,[3]enemy_skill_triggers!$1:$1,0)-MATCH($F$1,[3]enemy_skill_triggers!$1:$1,0)+1,FALSE)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29" s="42" t="str">
        <f ca="1">VLOOKUP($F29,OFFSET([3]enemy_skill_triggers!$A$1,0,0,COUNTA([3]enemy_skill_triggers!$A:$A),MATCH(M$1,[3]enemy_skill_triggers!$1:$1,0)-MATCH($F$1,[3]enemy_skill_triggers!$1:$1,0)+1),MATCH(M$1,[3]enemy_skill_triggers!$1:$1,0)-MATCH($F$1,[3]enemy_skill_triggers!$1:$1,0)+1,FALSE)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29" s="42" t="str">
        <f ca="1">VLOOKUP($F29,OFFSET([3]enemy_skill_triggers!$A$1,0,0,COUNTA([3]enemy_skill_triggers!$A:$A),MATCH(N$1,[3]enemy_skill_triggers!$1:$1,0)-MATCH($F$1,[3]enemy_skill_triggers!$1:$1,0)+1),MATCH(N$1,[3]enemy_skill_triggers!$1:$1,0)-MATCH($F$1,[3]enemy_skill_triggers!$1:$1,0)+1,FALSE)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29" s="42">
        <f ca="1">VLOOKUP($F29,OFFSET([3]enemy_skill_triggers!$A$1,0,0,COUNTA([3]enemy_skill_triggers!$A:$A),MATCH(O$1,[3]enemy_skill_triggers!$1:$1,0)-MATCH($F$1,[3]enemy_skill_triggers!$1:$1,0)+1),MATCH(O$1,[3]enemy_skill_triggers!$1:$1,0)-MATCH($F$1,[3]enemy_skill_triggers!$1:$1,0)+1,FALSE)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53</v>
      </c>
      <c r="P29" s="41"/>
      <c r="Q29" s="41"/>
      <c r="R29" s="41"/>
    </row>
    <row r="30" spans="1:18" ht="21" customHeight="1" x14ac:dyDescent="0.15">
      <c r="A30" s="33" t="str">
        <f t="shared" si="0"/>
        <v>47013004_47013407</v>
      </c>
      <c r="B30" s="187">
        <v>47013004</v>
      </c>
      <c r="C30" s="190">
        <v>47013407</v>
      </c>
      <c r="D30" s="40" t="str">
        <f ca="1">VLOOKUP($C30,OFFSET([3]enemy_skills!$A$1,0,0,COUNTA([3]enemy_skills!$A:$A),MATCH(D$1,[3]enemy_skills!$1:$1,0)-MATCH("enemy_skill_id",[3]enemy_skills!$1:$1,0)+1),MATCH(D$1,[3]enemy_skills!$1:$1,0)-MATCH("enemy_skill_id",[3]enemy_skills!$1:$1,0)+1,FALSE)</f>
        <v>貴様らの代わりなどいくらでも用意できる</v>
      </c>
      <c r="E30" s="40" t="str">
        <f ca="1">VLOOKUP($C30,OFFSET([3]enemy_skills!$A$1,0,0,COUNTA([3]enemy_skills!$A:$A),MATCH(E$1,[3]enemy_skills!$1:$1,0)-MATCH("enemy_skill_id",[3]enemy_skills!$1:$1,0)+1),MATCH(E$1,[3]enemy_skills!$1:$1,0)-MATCH("enemy_skill_id",[3]enemy_skills!$1:$1,0)+1,FALSE)</f>
        <v>緑パネルと青パネルを吸収して攻撃</v>
      </c>
      <c r="F30" s="190">
        <v>47013407</v>
      </c>
      <c r="G30" s="42">
        <f ca="1">VLOOKUP($F30,OFFSET([3]enemy_skill_triggers!$A$1,0,0,COUNTA([3]enemy_skill_triggers!$A:$A),MATCH(G$1,[3]enemy_skill_triggers!$1:$1,0)-MATCH($F$1,[3]enemy_skill_triggers!$1:$1,0)+1),MATCH(G$1,[3]enemy_skill_triggers!$1:$1,0)-MATCH($F$1,[3]enemy_skill_triggers!$1:$1,0)+1,FALSE)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0" s="42">
        <f ca="1">VLOOKUP($F30,OFFSET([3]enemy_skill_triggers!$A$1,0,0,COUNTA([3]enemy_skill_triggers!$A:$A),MATCH(H$1,[3]enemy_skill_triggers!$1:$1,0)-MATCH($F$1,[3]enemy_skill_triggers!$1:$1,0)+1),MATCH(H$1,[3]enemy_skill_triggers!$1:$1,0)-MATCH($F$1,[3]enemy_skill_triggers!$1:$1,0)+1,FALSE)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30" s="42">
        <f ca="1">VLOOKUP($F30,OFFSET([3]enemy_skill_triggers!$A$1,0,0,COUNTA([3]enemy_skill_triggers!$A:$A),MATCH(I$1,[3]enemy_skill_triggers!$1:$1,0)-MATCH($F$1,[3]enemy_skill_triggers!$1:$1,0)+1),MATCH(I$1,[3]enemy_skill_triggers!$1:$1,0)-MATCH($F$1,[3]enemy_skill_triggers!$1:$1,0)+1,FALSE)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0" s="42" t="str">
        <f ca="1">VLOOKUP($F30,OFFSET([3]enemy_skill_triggers!$A$1,0,0,COUNTA([3]enemy_skill_triggers!$A:$A),MATCH(J$1,[3]enemy_skill_triggers!$1:$1,0)-MATCH($F$1,[3]enemy_skill_triggers!$1:$1,0)+1),MATCH(J$1,[3]enemy_skill_triggers!$1:$1,0)-MATCH($F$1,[3]enemy_skill_triggers!$1:$1,0)+1,FALSE)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0" s="42" t="str">
        <f ca="1">VLOOKUP($F30,OFFSET([3]enemy_skill_triggers!$A$1,0,0,COUNTA([3]enemy_skill_triggers!$A:$A),MATCH(K$1,[3]enemy_skill_triggers!$1:$1,0)-MATCH($F$1,[3]enemy_skill_triggers!$1:$1,0)+1),MATCH(K$1,[3]enemy_skill_triggers!$1:$1,0)-MATCH($F$1,[3]enemy_skill_triggers!$1:$1,0)+1,FALSE)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0" s="42" t="str">
        <f ca="1">VLOOKUP($F30,OFFSET([3]enemy_skill_triggers!$A$1,0,0,COUNTA([3]enemy_skill_triggers!$A:$A),MATCH(L$1,[3]enemy_skill_triggers!$1:$1,0)-MATCH($F$1,[3]enemy_skill_triggers!$1:$1,0)+1),MATCH(L$1,[3]enemy_skill_triggers!$1:$1,0)-MATCH($F$1,[3]enemy_skill_triggers!$1:$1,0)+1,FALSE)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30" s="42" t="str">
        <f ca="1">VLOOKUP($F30,OFFSET([3]enemy_skill_triggers!$A$1,0,0,COUNTA([3]enemy_skill_triggers!$A:$A),MATCH(M$1,[3]enemy_skill_triggers!$1:$1,0)-MATCH($F$1,[3]enemy_skill_triggers!$1:$1,0)+1),MATCH(M$1,[3]enemy_skill_triggers!$1:$1,0)-MATCH($F$1,[3]enemy_skill_triggers!$1:$1,0)+1,FALSE)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0" s="42" t="str">
        <f ca="1">VLOOKUP($F30,OFFSET([3]enemy_skill_triggers!$A$1,0,0,COUNTA([3]enemy_skill_triggers!$A:$A),MATCH(N$1,[3]enemy_skill_triggers!$1:$1,0)-MATCH($F$1,[3]enemy_skill_triggers!$1:$1,0)+1),MATCH(N$1,[3]enemy_skill_triggers!$1:$1,0)-MATCH($F$1,[3]enemy_skill_triggers!$1:$1,0)+1,FALSE)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0" s="42">
        <f ca="1">VLOOKUP($F30,OFFSET([3]enemy_skill_triggers!$A$1,0,0,COUNTA([3]enemy_skill_triggers!$A:$A),MATCH(O$1,[3]enemy_skill_triggers!$1:$1,0)-MATCH($F$1,[3]enemy_skill_triggers!$1:$1,0)+1),MATCH(O$1,[3]enemy_skill_triggers!$1:$1,0)-MATCH($F$1,[3]enemy_skill_triggers!$1:$1,0)+1,FALSE)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0" s="41"/>
      <c r="Q30" s="41"/>
      <c r="R30" s="41"/>
    </row>
    <row r="31" spans="1:18" ht="21" customHeight="1" x14ac:dyDescent="0.15">
      <c r="A31" s="33" t="str">
        <f t="shared" si="0"/>
        <v>47013005_47013501</v>
      </c>
      <c r="B31" s="42">
        <v>47013005</v>
      </c>
      <c r="C31" s="191">
        <v>47013501</v>
      </c>
      <c r="D31" s="40" t="str">
        <f ca="1">VLOOKUP($C31,OFFSET([3]enemy_skills!$A$1,0,0,COUNTA([3]enemy_skills!$A:$A),MATCH(D$1,[3]enemy_skills!$1:$1,0)-MATCH("enemy_skill_id",[3]enemy_skills!$1:$1,0)+1),MATCH(D$1,[3]enemy_skills!$1:$1,0)-MATCH("enemy_skill_id",[3]enemy_skills!$1:$1,0)+1,FALSE)</f>
        <v>駒の分際で私に刃向かったこと…_x000D_存分に後悔させてやろう！</v>
      </c>
      <c r="E31" s="40" t="str">
        <f ca="1">VLOOKUP($C31,OFFSET([3]enemy_skills!$A$1,0,0,COUNTA([3]enemy_skills!$A:$A),MATCH(E$1,[3]enemy_skills!$1:$1,0)-MATCH("enemy_skill_id",[3]enemy_skills!$1:$1,0)+1),MATCH(E$1,[3]enemy_skills!$1:$1,0)-MATCH("enemy_skill_id",[3]enemy_skills!$1:$1,0)+1,FALSE)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状態異常耐性+_x000D_10ターン黄パネルドロップ率DOWN+_x000D_特定エリアを緑&amp;青のダメージパネルに変換</v>
      </c>
      <c r="F31" s="191">
        <v>47013501</v>
      </c>
      <c r="G31" s="42">
        <f ca="1">VLOOKUP($F31,OFFSET([3]enemy_skill_triggers!$A$1,0,0,COUNTA([3]enemy_skill_triggers!$A:$A),MATCH(G$1,[3]enemy_skill_triggers!$1:$1,0)-MATCH($F$1,[3]enemy_skill_triggers!$1:$1,0)+1),MATCH(G$1,[3]enemy_skill_triggers!$1:$1,0)-MATCH($F$1,[3]enemy_skill_triggers!$1:$1,0)+1,FALSE)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31" s="42">
        <f ca="1">VLOOKUP($F31,OFFSET([3]enemy_skill_triggers!$A$1,0,0,COUNTA([3]enemy_skill_triggers!$A:$A),MATCH(H$1,[3]enemy_skill_triggers!$1:$1,0)-MATCH($F$1,[3]enemy_skill_triggers!$1:$1,0)+1),MATCH(H$1,[3]enemy_skill_triggers!$1:$1,0)-MATCH($F$1,[3]enemy_skill_triggers!$1:$1,0)+1,FALSE)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31" s="42">
        <f ca="1">VLOOKUP($F31,OFFSET([3]enemy_skill_triggers!$A$1,0,0,COUNTA([3]enemy_skill_triggers!$A:$A),MATCH(I$1,[3]enemy_skill_triggers!$1:$1,0)-MATCH($F$1,[3]enemy_skill_triggers!$1:$1,0)+1),MATCH(I$1,[3]enemy_skill_triggers!$1:$1,0)-MATCH($F$1,[3]enemy_skill_triggers!$1:$1,0)+1,FALSE)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1" s="42" t="str">
        <f ca="1">VLOOKUP($F31,OFFSET([3]enemy_skill_triggers!$A$1,0,0,COUNTA([3]enemy_skill_triggers!$A:$A),MATCH(J$1,[3]enemy_skill_triggers!$1:$1,0)-MATCH($F$1,[3]enemy_skill_triggers!$1:$1,0)+1),MATCH(J$1,[3]enemy_skill_triggers!$1:$1,0)-MATCH($F$1,[3]enemy_skill_triggers!$1:$1,0)+1,FALSE)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1" s="42" t="str">
        <f ca="1">VLOOKUP($F31,OFFSET([3]enemy_skill_triggers!$A$1,0,0,COUNTA([3]enemy_skill_triggers!$A:$A),MATCH(K$1,[3]enemy_skill_triggers!$1:$1,0)-MATCH($F$1,[3]enemy_skill_triggers!$1:$1,0)+1),MATCH(K$1,[3]enemy_skill_triggers!$1:$1,0)-MATCH($F$1,[3]enemy_skill_triggers!$1:$1,0)+1,FALSE)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1" s="42">
        <f ca="1">VLOOKUP($F31,OFFSET([3]enemy_skill_triggers!$A$1,0,0,COUNTA([3]enemy_skill_triggers!$A:$A),MATCH(L$1,[3]enemy_skill_triggers!$1:$1,0)-MATCH($F$1,[3]enemy_skill_triggers!$1:$1,0)+1),MATCH(L$1,[3]enemy_skill_triggers!$1:$1,0)-MATCH($F$1,[3]enemy_skill_triggers!$1:$1,0)+1,FALSE)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1" s="42" t="str">
        <f ca="1">VLOOKUP($F31,OFFSET([3]enemy_skill_triggers!$A$1,0,0,COUNTA([3]enemy_skill_triggers!$A:$A),MATCH(M$1,[3]enemy_skill_triggers!$1:$1,0)-MATCH($F$1,[3]enemy_skill_triggers!$1:$1,0)+1),MATCH(M$1,[3]enemy_skill_triggers!$1:$1,0)-MATCH($F$1,[3]enemy_skill_triggers!$1:$1,0)+1,FALSE)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1" s="42" t="str">
        <f ca="1">VLOOKUP($F31,OFFSET([3]enemy_skill_triggers!$A$1,0,0,COUNTA([3]enemy_skill_triggers!$A:$A),MATCH(N$1,[3]enemy_skill_triggers!$1:$1,0)-MATCH($F$1,[3]enemy_skill_triggers!$1:$1,0)+1),MATCH(N$1,[3]enemy_skill_triggers!$1:$1,0)-MATCH($F$1,[3]enemy_skill_triggers!$1:$1,0)+1,FALSE)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1" s="42">
        <f ca="1">VLOOKUP($F31,OFFSET([3]enemy_skill_triggers!$A$1,0,0,COUNTA([3]enemy_skill_triggers!$A:$A),MATCH(O$1,[3]enemy_skill_triggers!$1:$1,0)-MATCH($F$1,[3]enemy_skill_triggers!$1:$1,0)+1),MATCH(O$1,[3]enemy_skill_triggers!$1:$1,0)-MATCH($F$1,[3]enemy_skill_triggers!$1:$1,0)+1,FALSE)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1" s="41"/>
      <c r="Q31" s="41"/>
      <c r="R31" s="41"/>
    </row>
    <row r="32" spans="1:18" ht="21" customHeight="1" x14ac:dyDescent="0.15">
      <c r="A32" s="33" t="str">
        <f t="shared" si="0"/>
        <v>47013005_47013502</v>
      </c>
      <c r="B32" s="42">
        <v>47013005</v>
      </c>
      <c r="C32" s="191">
        <v>47013502</v>
      </c>
      <c r="D32" s="40" t="str">
        <f ca="1">VLOOKUP($C32,OFFSET([3]enemy_skills!$A$1,0,0,COUNTA([3]enemy_skills!$A:$A),MATCH(D$1,[3]enemy_skills!$1:$1,0)-MATCH("enemy_skill_id",[3]enemy_skills!$1:$1,0)+1),MATCH(D$1,[3]enemy_skills!$1:$1,0)-MATCH("enemy_skill_id",[3]enemy_skills!$1:$1,0)+1,FALSE)</f>
        <v>さあ、命乞いの時間は必要か？</v>
      </c>
      <c r="E32" s="40" t="str">
        <f ca="1">VLOOKUP($C32,OFFSET([3]enemy_skills!$A$1,0,0,COUNTA([3]enemy_skills!$A:$A),MATCH(E$1,[3]enemy_skills!$1:$1,0)-MATCH("enemy_skill_id",[3]enemy_skills!$1:$1,0)+1),MATCH(E$1,[3]enemy_skills!$1:$1,0)-MATCH("enemy_skill_id",[3]enemy_skills!$1:$1,0)+1,FALSE)</f>
        <v>属性パネルを黄パネルに最大10個変換+_x000D_属性パネルをマグネットパネル(黄→ハート)に1個変換</v>
      </c>
      <c r="F32" s="191">
        <v>47013502</v>
      </c>
      <c r="G32" s="42">
        <f ca="1">VLOOKUP($F32,OFFSET([3]enemy_skill_triggers!$A$1,0,0,COUNTA([3]enemy_skill_triggers!$A:$A),MATCH(G$1,[3]enemy_skill_triggers!$1:$1,0)-MATCH($F$1,[3]enemy_skill_triggers!$1:$1,0)+1),MATCH(G$1,[3]enemy_skill_triggers!$1:$1,0)-MATCH($F$1,[3]enemy_skill_triggers!$1:$1,0)+1,FALSE)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2" s="42">
        <f ca="1">VLOOKUP($F32,OFFSET([3]enemy_skill_triggers!$A$1,0,0,COUNTA([3]enemy_skill_triggers!$A:$A),MATCH(H$1,[3]enemy_skill_triggers!$1:$1,0)-MATCH($F$1,[3]enemy_skill_triggers!$1:$1,0)+1),MATCH(H$1,[3]enemy_skill_triggers!$1:$1,0)-MATCH($F$1,[3]enemy_skill_triggers!$1:$1,0)+1,FALSE)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270</v>
      </c>
      <c r="I32" s="42">
        <f ca="1">VLOOKUP($F32,OFFSET([3]enemy_skill_triggers!$A$1,0,0,COUNTA([3]enemy_skill_triggers!$A:$A),MATCH(I$1,[3]enemy_skill_triggers!$1:$1,0)-MATCH($F$1,[3]enemy_skill_triggers!$1:$1,0)+1),MATCH(I$1,[3]enemy_skill_triggers!$1:$1,0)-MATCH($F$1,[3]enemy_skill_triggers!$1:$1,0)+1,FALSE)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2" s="42" t="str">
        <f ca="1">VLOOKUP($F32,OFFSET([3]enemy_skill_triggers!$A$1,0,0,COUNTA([3]enemy_skill_triggers!$A:$A),MATCH(J$1,[3]enemy_skill_triggers!$1:$1,0)-MATCH($F$1,[3]enemy_skill_triggers!$1:$1,0)+1),MATCH(J$1,[3]enemy_skill_triggers!$1:$1,0)-MATCH($F$1,[3]enemy_skill_triggers!$1:$1,0)+1,FALSE)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2" s="42" t="str">
        <f ca="1">VLOOKUP($F32,OFFSET([3]enemy_skill_triggers!$A$1,0,0,COUNTA([3]enemy_skill_triggers!$A:$A),MATCH(K$1,[3]enemy_skill_triggers!$1:$1,0)-MATCH($F$1,[3]enemy_skill_triggers!$1:$1,0)+1),MATCH(K$1,[3]enemy_skill_triggers!$1:$1,0)-MATCH($F$1,[3]enemy_skill_triggers!$1:$1,0)+1,FALSE)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2" s="42">
        <f ca="1">VLOOKUP($F32,OFFSET([3]enemy_skill_triggers!$A$1,0,0,COUNTA([3]enemy_skill_triggers!$A:$A),MATCH(L$1,[3]enemy_skill_triggers!$1:$1,0)-MATCH($F$1,[3]enemy_skill_triggers!$1:$1,0)+1),MATCH(L$1,[3]enemy_skill_triggers!$1:$1,0)-MATCH($F$1,[3]enemy_skill_triggers!$1:$1,0)+1,FALSE)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2" s="42" t="str">
        <f ca="1">VLOOKUP($F32,OFFSET([3]enemy_skill_triggers!$A$1,0,0,COUNTA([3]enemy_skill_triggers!$A:$A),MATCH(M$1,[3]enemy_skill_triggers!$1:$1,0)-MATCH($F$1,[3]enemy_skill_triggers!$1:$1,0)+1),MATCH(M$1,[3]enemy_skill_triggers!$1:$1,0)-MATCH($F$1,[3]enemy_skill_triggers!$1:$1,0)+1,FALSE)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2" s="42" t="str">
        <f ca="1">VLOOKUP($F32,OFFSET([3]enemy_skill_triggers!$A$1,0,0,COUNTA([3]enemy_skill_triggers!$A:$A),MATCH(N$1,[3]enemy_skill_triggers!$1:$1,0)-MATCH($F$1,[3]enemy_skill_triggers!$1:$1,0)+1),MATCH(N$1,[3]enemy_skill_triggers!$1:$1,0)-MATCH($F$1,[3]enemy_skill_triggers!$1:$1,0)+1,FALSE)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2" s="42">
        <f ca="1">VLOOKUP($F32,OFFSET([3]enemy_skill_triggers!$A$1,0,0,COUNTA([3]enemy_skill_triggers!$A:$A),MATCH(O$1,[3]enemy_skill_triggers!$1:$1,0)-MATCH($F$1,[3]enemy_skill_triggers!$1:$1,0)+1),MATCH(O$1,[3]enemy_skill_triggers!$1:$1,0)-MATCH($F$1,[3]enemy_skill_triggers!$1:$1,0)+1,FALSE)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2" s="41"/>
      <c r="Q32" s="41"/>
      <c r="R32" s="41"/>
    </row>
    <row r="33" spans="1:18" ht="21" customHeight="1" x14ac:dyDescent="0.15">
      <c r="A33" s="33" t="str">
        <f t="shared" si="0"/>
        <v>47013005_47013503</v>
      </c>
      <c r="B33" s="42">
        <v>47013005</v>
      </c>
      <c r="C33" s="191">
        <v>47013503</v>
      </c>
      <c r="D33" s="40" t="str">
        <f ca="1">VLOOKUP($C33,OFFSET([3]enemy_skills!$A$1,0,0,COUNTA([3]enemy_skills!$A:$A),MATCH(D$1,[3]enemy_skills!$1:$1,0)-MATCH("enemy_skill_id",[3]enemy_skills!$1:$1,0)+1),MATCH(D$1,[3]enemy_skills!$1:$1,0)-MATCH("enemy_skill_id",[3]enemy_skills!$1:$1,0)+1,FALSE)</f>
        <v>増幅する罪</v>
      </c>
      <c r="E33" s="40" t="str">
        <f ca="1">VLOOKUP($C33,OFFSET([3]enemy_skills!$A$1,0,0,COUNTA([3]enemy_skills!$A:$A),MATCH(E$1,[3]enemy_skills!$1:$1,0)-MATCH("enemy_skill_id",[3]enemy_skills!$1:$1,0)+1),MATCH(E$1,[3]enemy_skills!$1:$1,0)-MATCH("enemy_skill_id",[3]enemy_skills!$1:$1,0)+1,FALSE)</f>
        <v>Cパネル強化(効果超大)+2回連続攻撃</v>
      </c>
      <c r="F33" s="191">
        <v>47013503</v>
      </c>
      <c r="G33" s="42">
        <f ca="1">VLOOKUP($F33,OFFSET([3]enemy_skill_triggers!$A$1,0,0,COUNTA([3]enemy_skill_triggers!$A:$A),MATCH(G$1,[3]enemy_skill_triggers!$1:$1,0)-MATCH($F$1,[3]enemy_skill_triggers!$1:$1,0)+1),MATCH(G$1,[3]enemy_skill_triggers!$1:$1,0)-MATCH($F$1,[3]enemy_skill_triggers!$1:$1,0)+1,FALSE)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3" s="42">
        <f ca="1">VLOOKUP($F33,OFFSET([3]enemy_skill_triggers!$A$1,0,0,COUNTA([3]enemy_skill_triggers!$A:$A),MATCH(H$1,[3]enemy_skill_triggers!$1:$1,0)-MATCH($F$1,[3]enemy_skill_triggers!$1:$1,0)+1),MATCH(H$1,[3]enemy_skill_triggers!$1:$1,0)-MATCH($F$1,[3]enemy_skill_triggers!$1:$1,0)+1,FALSE)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260</v>
      </c>
      <c r="I33" s="42">
        <f ca="1">VLOOKUP($F33,OFFSET([3]enemy_skill_triggers!$A$1,0,0,COUNTA([3]enemy_skill_triggers!$A:$A),MATCH(I$1,[3]enemy_skill_triggers!$1:$1,0)-MATCH($F$1,[3]enemy_skill_triggers!$1:$1,0)+1),MATCH(I$1,[3]enemy_skill_triggers!$1:$1,0)-MATCH($F$1,[3]enemy_skill_triggers!$1:$1,0)+1,FALSE)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3" s="42" t="str">
        <f ca="1">VLOOKUP($F33,OFFSET([3]enemy_skill_triggers!$A$1,0,0,COUNTA([3]enemy_skill_triggers!$A:$A),MATCH(J$1,[3]enemy_skill_triggers!$1:$1,0)-MATCH($F$1,[3]enemy_skill_triggers!$1:$1,0)+1),MATCH(J$1,[3]enemy_skill_triggers!$1:$1,0)-MATCH($F$1,[3]enemy_skill_triggers!$1:$1,0)+1,FALSE)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3" s="42" t="str">
        <f ca="1">VLOOKUP($F33,OFFSET([3]enemy_skill_triggers!$A$1,0,0,COUNTA([3]enemy_skill_triggers!$A:$A),MATCH(K$1,[3]enemy_skill_triggers!$1:$1,0)-MATCH($F$1,[3]enemy_skill_triggers!$1:$1,0)+1),MATCH(K$1,[3]enemy_skill_triggers!$1:$1,0)-MATCH($F$1,[3]enemy_skill_triggers!$1:$1,0)+1,FALSE)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3" s="42">
        <f ca="1">VLOOKUP($F33,OFFSET([3]enemy_skill_triggers!$A$1,0,0,COUNTA([3]enemy_skill_triggers!$A:$A),MATCH(L$1,[3]enemy_skill_triggers!$1:$1,0)-MATCH($F$1,[3]enemy_skill_triggers!$1:$1,0)+1),MATCH(L$1,[3]enemy_skill_triggers!$1:$1,0)-MATCH($F$1,[3]enemy_skill_triggers!$1:$1,0)+1,FALSE)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3" s="42" t="str">
        <f ca="1">VLOOKUP($F33,OFFSET([3]enemy_skill_triggers!$A$1,0,0,COUNTA([3]enemy_skill_triggers!$A:$A),MATCH(M$1,[3]enemy_skill_triggers!$1:$1,0)-MATCH($F$1,[3]enemy_skill_triggers!$1:$1,0)+1),MATCH(M$1,[3]enemy_skill_triggers!$1:$1,0)-MATCH($F$1,[3]enemy_skill_triggers!$1:$1,0)+1,FALSE)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3" s="42" t="str">
        <f ca="1">VLOOKUP($F33,OFFSET([3]enemy_skill_triggers!$A$1,0,0,COUNTA([3]enemy_skill_triggers!$A:$A),MATCH(N$1,[3]enemy_skill_triggers!$1:$1,0)-MATCH($F$1,[3]enemy_skill_triggers!$1:$1,0)+1),MATCH(N$1,[3]enemy_skill_triggers!$1:$1,0)-MATCH($F$1,[3]enemy_skill_triggers!$1:$1,0)+1,FALSE)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3" s="42">
        <f ca="1">VLOOKUP($F33,OFFSET([3]enemy_skill_triggers!$A$1,0,0,COUNTA([3]enemy_skill_triggers!$A:$A),MATCH(O$1,[3]enemy_skill_triggers!$1:$1,0)-MATCH($F$1,[3]enemy_skill_triggers!$1:$1,0)+1),MATCH(O$1,[3]enemy_skill_triggers!$1:$1,0)-MATCH($F$1,[3]enemy_skill_triggers!$1:$1,0)+1,FALSE)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3" s="41"/>
      <c r="Q33" s="41"/>
      <c r="R33" s="41"/>
    </row>
    <row r="34" spans="1:18" ht="21" customHeight="1" x14ac:dyDescent="0.15">
      <c r="A34" s="33" t="str">
        <f t="shared" si="0"/>
        <v>47013005_47013504</v>
      </c>
      <c r="B34" s="42">
        <v>47013005</v>
      </c>
      <c r="C34" s="191">
        <v>47013504</v>
      </c>
      <c r="D34" s="40" t="str">
        <f ca="1">VLOOKUP($C34,OFFSET([3]enemy_skills!$A$1,0,0,COUNTA([3]enemy_skills!$A:$A),MATCH(D$1,[3]enemy_skills!$1:$1,0)-MATCH("enemy_skill_id",[3]enemy_skills!$1:$1,0)+1),MATCH(D$1,[3]enemy_skills!$1:$1,0)-MATCH("enemy_skill_id",[3]enemy_skills!$1:$1,0)+1,FALSE)</f>
        <v>贖罪の雨</v>
      </c>
      <c r="E34" s="40" t="str">
        <f ca="1">VLOOKUP($C34,OFFSET([3]enemy_skills!$A$1,0,0,COUNTA([3]enemy_skills!$A:$A),MATCH(E$1,[3]enemy_skills!$1:$1,0)-MATCH("enemy_skill_id",[3]enemy_skills!$1:$1,0)+1),MATCH(E$1,[3]enemy_skills!$1:$1,0)-MATCH("enemy_skill_id",[3]enemy_skills!$1:$1,0)+1,FALSE)</f>
        <v>Cパネルを吸収して攻撃</v>
      </c>
      <c r="F34" s="191">
        <v>47013504</v>
      </c>
      <c r="G34" s="42">
        <f ca="1">VLOOKUP($F34,OFFSET([3]enemy_skill_triggers!$A$1,0,0,COUNTA([3]enemy_skill_triggers!$A:$A),MATCH(G$1,[3]enemy_skill_triggers!$1:$1,0)-MATCH($F$1,[3]enemy_skill_triggers!$1:$1,0)+1),MATCH(G$1,[3]enemy_skill_triggers!$1:$1,0)-MATCH($F$1,[3]enemy_skill_triggers!$1:$1,0)+1,FALSE)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4" s="42">
        <f ca="1">VLOOKUP($F34,OFFSET([3]enemy_skill_triggers!$A$1,0,0,COUNTA([3]enemy_skill_triggers!$A:$A),MATCH(H$1,[3]enemy_skill_triggers!$1:$1,0)-MATCH($F$1,[3]enemy_skill_triggers!$1:$1,0)+1),MATCH(H$1,[3]enemy_skill_triggers!$1:$1,0)-MATCH($F$1,[3]enemy_skill_triggers!$1:$1,0)+1,FALSE)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250</v>
      </c>
      <c r="I34" s="42">
        <f ca="1">VLOOKUP($F34,OFFSET([3]enemy_skill_triggers!$A$1,0,0,COUNTA([3]enemy_skill_triggers!$A:$A),MATCH(I$1,[3]enemy_skill_triggers!$1:$1,0)-MATCH($F$1,[3]enemy_skill_triggers!$1:$1,0)+1),MATCH(I$1,[3]enemy_skill_triggers!$1:$1,0)-MATCH($F$1,[3]enemy_skill_triggers!$1:$1,0)+1,FALSE)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4" s="42" t="str">
        <f ca="1">VLOOKUP($F34,OFFSET([3]enemy_skill_triggers!$A$1,0,0,COUNTA([3]enemy_skill_triggers!$A:$A),MATCH(J$1,[3]enemy_skill_triggers!$1:$1,0)-MATCH($F$1,[3]enemy_skill_triggers!$1:$1,0)+1),MATCH(J$1,[3]enemy_skill_triggers!$1:$1,0)-MATCH($F$1,[3]enemy_skill_triggers!$1:$1,0)+1,FALSE)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4" s="42" t="str">
        <f ca="1">VLOOKUP($F34,OFFSET([3]enemy_skill_triggers!$A$1,0,0,COUNTA([3]enemy_skill_triggers!$A:$A),MATCH(K$1,[3]enemy_skill_triggers!$1:$1,0)-MATCH($F$1,[3]enemy_skill_triggers!$1:$1,0)+1),MATCH(K$1,[3]enemy_skill_triggers!$1:$1,0)-MATCH($F$1,[3]enemy_skill_triggers!$1:$1,0)+1,FALSE)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4" s="42">
        <f ca="1">VLOOKUP($F34,OFFSET([3]enemy_skill_triggers!$A$1,0,0,COUNTA([3]enemy_skill_triggers!$A:$A),MATCH(L$1,[3]enemy_skill_triggers!$1:$1,0)-MATCH($F$1,[3]enemy_skill_triggers!$1:$1,0)+1),MATCH(L$1,[3]enemy_skill_triggers!$1:$1,0)-MATCH($F$1,[3]enemy_skill_triggers!$1:$1,0)+1,FALSE)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4" s="42" t="str">
        <f ca="1">VLOOKUP($F34,OFFSET([3]enemy_skill_triggers!$A$1,0,0,COUNTA([3]enemy_skill_triggers!$A:$A),MATCH(M$1,[3]enemy_skill_triggers!$1:$1,0)-MATCH($F$1,[3]enemy_skill_triggers!$1:$1,0)+1),MATCH(M$1,[3]enemy_skill_triggers!$1:$1,0)-MATCH($F$1,[3]enemy_skill_triggers!$1:$1,0)+1,FALSE)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4" s="42" t="str">
        <f ca="1">VLOOKUP($F34,OFFSET([3]enemy_skill_triggers!$A$1,0,0,COUNTA([3]enemy_skill_triggers!$A:$A),MATCH(N$1,[3]enemy_skill_triggers!$1:$1,0)-MATCH($F$1,[3]enemy_skill_triggers!$1:$1,0)+1),MATCH(N$1,[3]enemy_skill_triggers!$1:$1,0)-MATCH($F$1,[3]enemy_skill_triggers!$1:$1,0)+1,FALSE)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4" s="42">
        <f ca="1">VLOOKUP($F34,OFFSET([3]enemy_skill_triggers!$A$1,0,0,COUNTA([3]enemy_skill_triggers!$A:$A),MATCH(O$1,[3]enemy_skill_triggers!$1:$1,0)-MATCH($F$1,[3]enemy_skill_triggers!$1:$1,0)+1),MATCH(O$1,[3]enemy_skill_triggers!$1:$1,0)-MATCH($F$1,[3]enemy_skill_triggers!$1:$1,0)+1,FALSE)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4" s="41"/>
      <c r="Q34" s="41"/>
      <c r="R34" s="41"/>
    </row>
    <row r="35" spans="1:18" ht="21" customHeight="1" x14ac:dyDescent="0.15">
      <c r="A35" s="33" t="str">
        <f t="shared" si="0"/>
        <v>47013005_47013505</v>
      </c>
      <c r="B35" s="42">
        <v>47013005</v>
      </c>
      <c r="C35" s="191">
        <v>47013505</v>
      </c>
      <c r="D35" s="40" t="str">
        <f ca="1">VLOOKUP($C35,OFFSET([3]enemy_skills!$A$1,0,0,COUNTA([3]enemy_skills!$A:$A),MATCH(D$1,[3]enemy_skills!$1:$1,0)-MATCH("enemy_skill_id",[3]enemy_skills!$1:$1,0)+1),MATCH(D$1,[3]enemy_skills!$1:$1,0)-MATCH("enemy_skill_id",[3]enemy_skills!$1:$1,0)+1,FALSE)</f>
        <v>罪深き者どもよ…私が等しく裁いてやろう</v>
      </c>
      <c r="E35" s="40" t="str">
        <f ca="1">VLOOKUP($C35,OFFSET([3]enemy_skills!$A$1,0,0,COUNTA([3]enemy_skills!$A:$A),MATCH(E$1,[3]enemy_skills!$1:$1,0)-MATCH("enemy_skill_id",[3]enemy_skills!$1:$1,0)+1),MATCH(E$1,[3]enemy_skills!$1:$1,0)-MATCH("enemy_skill_id",[3]enemy_skills!$1:$1,0)+1,FALSE)</f>
        <v>緑パネルと青パネルを黄パネルに変換+_x000D_全体攻撃</v>
      </c>
      <c r="F35" s="191">
        <v>47013505</v>
      </c>
      <c r="G35" s="42">
        <f ca="1">VLOOKUP($F35,OFFSET([3]enemy_skill_triggers!$A$1,0,0,COUNTA([3]enemy_skill_triggers!$A:$A),MATCH(G$1,[3]enemy_skill_triggers!$1:$1,0)-MATCH($F$1,[3]enemy_skill_triggers!$1:$1,0)+1),MATCH(G$1,[3]enemy_skill_triggers!$1:$1,0)-MATCH($F$1,[3]enemy_skill_triggers!$1:$1,0)+1,FALSE)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5" s="42">
        <f ca="1">VLOOKUP($F35,OFFSET([3]enemy_skill_triggers!$A$1,0,0,COUNTA([3]enemy_skill_triggers!$A:$A),MATCH(H$1,[3]enemy_skill_triggers!$1:$1,0)-MATCH($F$1,[3]enemy_skill_triggers!$1:$1,0)+1),MATCH(H$1,[3]enemy_skill_triggers!$1:$1,0)-MATCH($F$1,[3]enemy_skill_triggers!$1:$1,0)+1,FALSE)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240</v>
      </c>
      <c r="I35" s="42">
        <f ca="1">VLOOKUP($F35,OFFSET([3]enemy_skill_triggers!$A$1,0,0,COUNTA([3]enemy_skill_triggers!$A:$A),MATCH(I$1,[3]enemy_skill_triggers!$1:$1,0)-MATCH($F$1,[3]enemy_skill_triggers!$1:$1,0)+1),MATCH(I$1,[3]enemy_skill_triggers!$1:$1,0)-MATCH($F$1,[3]enemy_skill_triggers!$1:$1,0)+1,FALSE)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5" s="42" t="str">
        <f ca="1">VLOOKUP($F35,OFFSET([3]enemy_skill_triggers!$A$1,0,0,COUNTA([3]enemy_skill_triggers!$A:$A),MATCH(J$1,[3]enemy_skill_triggers!$1:$1,0)-MATCH($F$1,[3]enemy_skill_triggers!$1:$1,0)+1),MATCH(J$1,[3]enemy_skill_triggers!$1:$1,0)-MATCH($F$1,[3]enemy_skill_triggers!$1:$1,0)+1,FALSE)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5" s="42" t="str">
        <f ca="1">VLOOKUP($F35,OFFSET([3]enemy_skill_triggers!$A$1,0,0,COUNTA([3]enemy_skill_triggers!$A:$A),MATCH(K$1,[3]enemy_skill_triggers!$1:$1,0)-MATCH($F$1,[3]enemy_skill_triggers!$1:$1,0)+1),MATCH(K$1,[3]enemy_skill_triggers!$1:$1,0)-MATCH($F$1,[3]enemy_skill_triggers!$1:$1,0)+1,FALSE)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5" s="42">
        <f ca="1">VLOOKUP($F35,OFFSET([3]enemy_skill_triggers!$A$1,0,0,COUNTA([3]enemy_skill_triggers!$A:$A),MATCH(L$1,[3]enemy_skill_triggers!$1:$1,0)-MATCH($F$1,[3]enemy_skill_triggers!$1:$1,0)+1),MATCH(L$1,[3]enemy_skill_triggers!$1:$1,0)-MATCH($F$1,[3]enemy_skill_triggers!$1:$1,0)+1,FALSE)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5" s="42" t="str">
        <f ca="1">VLOOKUP($F35,OFFSET([3]enemy_skill_triggers!$A$1,0,0,COUNTA([3]enemy_skill_triggers!$A:$A),MATCH(M$1,[3]enemy_skill_triggers!$1:$1,0)-MATCH($F$1,[3]enemy_skill_triggers!$1:$1,0)+1),MATCH(M$1,[3]enemy_skill_triggers!$1:$1,0)-MATCH($F$1,[3]enemy_skill_triggers!$1:$1,0)+1,FALSE)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5" s="42" t="str">
        <f ca="1">VLOOKUP($F35,OFFSET([3]enemy_skill_triggers!$A$1,0,0,COUNTA([3]enemy_skill_triggers!$A:$A),MATCH(N$1,[3]enemy_skill_triggers!$1:$1,0)-MATCH($F$1,[3]enemy_skill_triggers!$1:$1,0)+1),MATCH(N$1,[3]enemy_skill_triggers!$1:$1,0)-MATCH($F$1,[3]enemy_skill_triggers!$1:$1,0)+1,FALSE)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5" s="42">
        <f ca="1">VLOOKUP($F35,OFFSET([3]enemy_skill_triggers!$A$1,0,0,COUNTA([3]enemy_skill_triggers!$A:$A),MATCH(O$1,[3]enemy_skill_triggers!$1:$1,0)-MATCH($F$1,[3]enemy_skill_triggers!$1:$1,0)+1),MATCH(O$1,[3]enemy_skill_triggers!$1:$1,0)-MATCH($F$1,[3]enemy_skill_triggers!$1:$1,0)+1,FALSE)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5" s="41"/>
      <c r="Q35" s="41"/>
      <c r="R35" s="41"/>
    </row>
    <row r="36" spans="1:18" ht="21" customHeight="1" x14ac:dyDescent="0.15">
      <c r="A36" s="33" t="str">
        <f t="shared" si="0"/>
        <v>47013005_47013506</v>
      </c>
      <c r="B36" s="42">
        <v>47013005</v>
      </c>
      <c r="C36" s="191">
        <v>47013506</v>
      </c>
      <c r="D36" s="40" t="str">
        <f ca="1">VLOOKUP($C36,OFFSET([3]enemy_skills!$A$1,0,0,COUNTA([3]enemy_skills!$A:$A),MATCH(D$1,[3]enemy_skills!$1:$1,0)-MATCH("enemy_skill_id",[3]enemy_skills!$1:$1,0)+1),MATCH(D$1,[3]enemy_skills!$1:$1,0)-MATCH("enemy_skill_id",[3]enemy_skills!$1:$1,0)+1,FALSE)</f>
        <v>増幅する罪</v>
      </c>
      <c r="E36" s="40" t="str">
        <f ca="1">VLOOKUP($C36,OFFSET([3]enemy_skills!$A$1,0,0,COUNTA([3]enemy_skills!$A:$A),MATCH(E$1,[3]enemy_skills!$1:$1,0)-MATCH("enemy_skill_id",[3]enemy_skills!$1:$1,0)+1),MATCH(E$1,[3]enemy_skills!$1:$1,0)-MATCH("enemy_skill_id",[3]enemy_skills!$1:$1,0)+1,FALSE)</f>
        <v>Cパネル強化(効果激烈)+3回連続攻撃</v>
      </c>
      <c r="F36" s="191">
        <v>47013506</v>
      </c>
      <c r="G36" s="42">
        <f ca="1">VLOOKUP($F36,OFFSET([3]enemy_skill_triggers!$A$1,0,0,COUNTA([3]enemy_skill_triggers!$A:$A),MATCH(G$1,[3]enemy_skill_triggers!$1:$1,0)-MATCH($F$1,[3]enemy_skill_triggers!$1:$1,0)+1),MATCH(G$1,[3]enemy_skill_triggers!$1:$1,0)-MATCH($F$1,[3]enemy_skill_triggers!$1:$1,0)+1,FALSE)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6" s="42">
        <f ca="1">VLOOKUP($F36,OFFSET([3]enemy_skill_triggers!$A$1,0,0,COUNTA([3]enemy_skill_triggers!$A:$A),MATCH(H$1,[3]enemy_skill_triggers!$1:$1,0)-MATCH($F$1,[3]enemy_skill_triggers!$1:$1,0)+1),MATCH(H$1,[3]enemy_skill_triggers!$1:$1,0)-MATCH($F$1,[3]enemy_skill_triggers!$1:$1,0)+1,FALSE)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230</v>
      </c>
      <c r="I36" s="42">
        <f ca="1">VLOOKUP($F36,OFFSET([3]enemy_skill_triggers!$A$1,0,0,COUNTA([3]enemy_skill_triggers!$A:$A),MATCH(I$1,[3]enemy_skill_triggers!$1:$1,0)-MATCH($F$1,[3]enemy_skill_triggers!$1:$1,0)+1),MATCH(I$1,[3]enemy_skill_triggers!$1:$1,0)-MATCH($F$1,[3]enemy_skill_triggers!$1:$1,0)+1,FALSE)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6" s="42" t="str">
        <f ca="1">VLOOKUP($F36,OFFSET([3]enemy_skill_triggers!$A$1,0,0,COUNTA([3]enemy_skill_triggers!$A:$A),MATCH(J$1,[3]enemy_skill_triggers!$1:$1,0)-MATCH($F$1,[3]enemy_skill_triggers!$1:$1,0)+1),MATCH(J$1,[3]enemy_skill_triggers!$1:$1,0)-MATCH($F$1,[3]enemy_skill_triggers!$1:$1,0)+1,FALSE)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6" s="42" t="str">
        <f ca="1">VLOOKUP($F36,OFFSET([3]enemy_skill_triggers!$A$1,0,0,COUNTA([3]enemy_skill_triggers!$A:$A),MATCH(K$1,[3]enemy_skill_triggers!$1:$1,0)-MATCH($F$1,[3]enemy_skill_triggers!$1:$1,0)+1),MATCH(K$1,[3]enemy_skill_triggers!$1:$1,0)-MATCH($F$1,[3]enemy_skill_triggers!$1:$1,0)+1,FALSE)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6" s="42">
        <f ca="1">VLOOKUP($F36,OFFSET([3]enemy_skill_triggers!$A$1,0,0,COUNTA([3]enemy_skill_triggers!$A:$A),MATCH(L$1,[3]enemy_skill_triggers!$1:$1,0)-MATCH($F$1,[3]enemy_skill_triggers!$1:$1,0)+1),MATCH(L$1,[3]enemy_skill_triggers!$1:$1,0)-MATCH($F$1,[3]enemy_skill_triggers!$1:$1,0)+1,FALSE)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6" s="42" t="str">
        <f ca="1">VLOOKUP($F36,OFFSET([3]enemy_skill_triggers!$A$1,0,0,COUNTA([3]enemy_skill_triggers!$A:$A),MATCH(M$1,[3]enemy_skill_triggers!$1:$1,0)-MATCH($F$1,[3]enemy_skill_triggers!$1:$1,0)+1),MATCH(M$1,[3]enemy_skill_triggers!$1:$1,0)-MATCH($F$1,[3]enemy_skill_triggers!$1:$1,0)+1,FALSE)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6" s="42" t="str">
        <f ca="1">VLOOKUP($F36,OFFSET([3]enemy_skill_triggers!$A$1,0,0,COUNTA([3]enemy_skill_triggers!$A:$A),MATCH(N$1,[3]enemy_skill_triggers!$1:$1,0)-MATCH($F$1,[3]enemy_skill_triggers!$1:$1,0)+1),MATCH(N$1,[3]enemy_skill_triggers!$1:$1,0)-MATCH($F$1,[3]enemy_skill_triggers!$1:$1,0)+1,FALSE)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6" s="42">
        <f ca="1">VLOOKUP($F36,OFFSET([3]enemy_skill_triggers!$A$1,0,0,COUNTA([3]enemy_skill_triggers!$A:$A),MATCH(O$1,[3]enemy_skill_triggers!$1:$1,0)-MATCH($F$1,[3]enemy_skill_triggers!$1:$1,0)+1),MATCH(O$1,[3]enemy_skill_triggers!$1:$1,0)-MATCH($F$1,[3]enemy_skill_triggers!$1:$1,0)+1,FALSE)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6" s="41"/>
      <c r="Q36" s="41"/>
      <c r="R36" s="41"/>
    </row>
    <row r="37" spans="1:18" ht="21" customHeight="1" x14ac:dyDescent="0.15">
      <c r="A37" s="33" t="str">
        <f t="shared" si="0"/>
        <v>47013005_47013507</v>
      </c>
      <c r="B37" s="42">
        <v>47013005</v>
      </c>
      <c r="C37" s="191">
        <v>47013507</v>
      </c>
      <c r="D37" s="40" t="str">
        <f ca="1">VLOOKUP($C37,OFFSET([3]enemy_skills!$A$1,0,0,COUNTA([3]enemy_skills!$A:$A),MATCH(D$1,[3]enemy_skills!$1:$1,0)-MATCH("enemy_skill_id",[3]enemy_skills!$1:$1,0)+1),MATCH(D$1,[3]enemy_skills!$1:$1,0)-MATCH("enemy_skill_id",[3]enemy_skills!$1:$1,0)+1,FALSE)</f>
        <v>断罪の雨</v>
      </c>
      <c r="E37" s="40" t="str">
        <f ca="1">VLOOKUP($C37,OFFSET([3]enemy_skills!$A$1,0,0,COUNTA([3]enemy_skills!$A:$A),MATCH(E$1,[3]enemy_skills!$1:$1,0)-MATCH("enemy_skill_id",[3]enemy_skills!$1:$1,0)+1),MATCH(E$1,[3]enemy_skills!$1:$1,0)-MATCH("enemy_skill_id",[3]enemy_skills!$1:$1,0)+1,FALSE)</f>
        <v>Cパネルを吸収して攻撃</v>
      </c>
      <c r="F37" s="191">
        <v>47013507</v>
      </c>
      <c r="G37" s="42">
        <f ca="1">VLOOKUP($F37,OFFSET([3]enemy_skill_triggers!$A$1,0,0,COUNTA([3]enemy_skill_triggers!$A:$A),MATCH(G$1,[3]enemy_skill_triggers!$1:$1,0)-MATCH($F$1,[3]enemy_skill_triggers!$1:$1,0)+1),MATCH(G$1,[3]enemy_skill_triggers!$1:$1,0)-MATCH($F$1,[3]enemy_skill_triggers!$1:$1,0)+1,FALSE)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7" s="42">
        <f ca="1">VLOOKUP($F37,OFFSET([3]enemy_skill_triggers!$A$1,0,0,COUNTA([3]enemy_skill_triggers!$A:$A),MATCH(H$1,[3]enemy_skill_triggers!$1:$1,0)-MATCH($F$1,[3]enemy_skill_triggers!$1:$1,0)+1),MATCH(H$1,[3]enemy_skill_triggers!$1:$1,0)-MATCH($F$1,[3]enemy_skill_triggers!$1:$1,0)+1,FALSE)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220</v>
      </c>
      <c r="I37" s="42">
        <f ca="1">VLOOKUP($F37,OFFSET([3]enemy_skill_triggers!$A$1,0,0,COUNTA([3]enemy_skill_triggers!$A:$A),MATCH(I$1,[3]enemy_skill_triggers!$1:$1,0)-MATCH($F$1,[3]enemy_skill_triggers!$1:$1,0)+1),MATCH(I$1,[3]enemy_skill_triggers!$1:$1,0)-MATCH($F$1,[3]enemy_skill_triggers!$1:$1,0)+1,FALSE)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7" s="42" t="str">
        <f ca="1">VLOOKUP($F37,OFFSET([3]enemy_skill_triggers!$A$1,0,0,COUNTA([3]enemy_skill_triggers!$A:$A),MATCH(J$1,[3]enemy_skill_triggers!$1:$1,0)-MATCH($F$1,[3]enemy_skill_triggers!$1:$1,0)+1),MATCH(J$1,[3]enemy_skill_triggers!$1:$1,0)-MATCH($F$1,[3]enemy_skill_triggers!$1:$1,0)+1,FALSE)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7" s="42" t="str">
        <f ca="1">VLOOKUP($F37,OFFSET([3]enemy_skill_triggers!$A$1,0,0,COUNTA([3]enemy_skill_triggers!$A:$A),MATCH(K$1,[3]enemy_skill_triggers!$1:$1,0)-MATCH($F$1,[3]enemy_skill_triggers!$1:$1,0)+1),MATCH(K$1,[3]enemy_skill_triggers!$1:$1,0)-MATCH($F$1,[3]enemy_skill_triggers!$1:$1,0)+1,FALSE)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7" s="42">
        <f ca="1">VLOOKUP($F37,OFFSET([3]enemy_skill_triggers!$A$1,0,0,COUNTA([3]enemy_skill_triggers!$A:$A),MATCH(L$1,[3]enemy_skill_triggers!$1:$1,0)-MATCH($F$1,[3]enemy_skill_triggers!$1:$1,0)+1),MATCH(L$1,[3]enemy_skill_triggers!$1:$1,0)-MATCH($F$1,[3]enemy_skill_triggers!$1:$1,0)+1,FALSE)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7" s="42" t="str">
        <f ca="1">VLOOKUP($F37,OFFSET([3]enemy_skill_triggers!$A$1,0,0,COUNTA([3]enemy_skill_triggers!$A:$A),MATCH(M$1,[3]enemy_skill_triggers!$1:$1,0)-MATCH($F$1,[3]enemy_skill_triggers!$1:$1,0)+1),MATCH(M$1,[3]enemy_skill_triggers!$1:$1,0)-MATCH($F$1,[3]enemy_skill_triggers!$1:$1,0)+1,FALSE)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7" s="42" t="str">
        <f ca="1">VLOOKUP($F37,OFFSET([3]enemy_skill_triggers!$A$1,0,0,COUNTA([3]enemy_skill_triggers!$A:$A),MATCH(N$1,[3]enemy_skill_triggers!$1:$1,0)-MATCH($F$1,[3]enemy_skill_triggers!$1:$1,0)+1),MATCH(N$1,[3]enemy_skill_triggers!$1:$1,0)-MATCH($F$1,[3]enemy_skill_triggers!$1:$1,0)+1,FALSE)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7" s="42">
        <f ca="1">VLOOKUP($F37,OFFSET([3]enemy_skill_triggers!$A$1,0,0,COUNTA([3]enemy_skill_triggers!$A:$A),MATCH(O$1,[3]enemy_skill_triggers!$1:$1,0)-MATCH($F$1,[3]enemy_skill_triggers!$1:$1,0)+1),MATCH(O$1,[3]enemy_skill_triggers!$1:$1,0)-MATCH($F$1,[3]enemy_skill_triggers!$1:$1,0)+1,FALSE)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7" s="41"/>
      <c r="Q37" s="41"/>
      <c r="R37" s="41"/>
    </row>
    <row r="38" spans="1:18" ht="21" customHeight="1" x14ac:dyDescent="0.15">
      <c r="A38" s="33" t="str">
        <f t="shared" si="0"/>
        <v>47013005_47013508</v>
      </c>
      <c r="B38" s="42">
        <v>47013005</v>
      </c>
      <c r="C38" s="191">
        <v>47013508</v>
      </c>
      <c r="D38" s="40" t="str">
        <f ca="1">VLOOKUP($C38,OFFSET([3]enemy_skills!$A$1,0,0,COUNTA([3]enemy_skills!$A:$A),MATCH(D$1,[3]enemy_skills!$1:$1,0)-MATCH("enemy_skill_id",[3]enemy_skills!$1:$1,0)+1),MATCH(D$1,[3]enemy_skills!$1:$1,0)-MATCH("enemy_skill_id",[3]enemy_skills!$1:$1,0)+1,FALSE)</f>
        <v>たかが駒の分際で…私に勝てるとでも？</v>
      </c>
      <c r="E38" s="40" t="str">
        <f ca="1">VLOOKUP($C38,OFFSET([3]enemy_skills!$A$1,0,0,COUNTA([3]enemy_skills!$A:$A),MATCH(E$1,[3]enemy_skills!$1:$1,0)-MATCH("enemy_skill_id",[3]enemy_skills!$1:$1,0)+1),MATCH(E$1,[3]enemy_skills!$1:$1,0)-MATCH("enemy_skill_id",[3]enemy_skills!$1:$1,0)+1,FALSE)</f>
        <v>特定エリアを黄&amp;緑&amp;青のダメージパネルに変換</v>
      </c>
      <c r="F38" s="191">
        <v>47013508</v>
      </c>
      <c r="G38" s="42">
        <f ca="1">VLOOKUP($F38,OFFSET([3]enemy_skill_triggers!$A$1,0,0,COUNTA([3]enemy_skill_triggers!$A:$A),MATCH(G$1,[3]enemy_skill_triggers!$1:$1,0)-MATCH($F$1,[3]enemy_skill_triggers!$1:$1,0)+1),MATCH(G$1,[3]enemy_skill_triggers!$1:$1,0)-MATCH($F$1,[3]enemy_skill_triggers!$1:$1,0)+1,FALSE)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8" s="42">
        <f ca="1">VLOOKUP($F38,OFFSET([3]enemy_skill_triggers!$A$1,0,0,COUNTA([3]enemy_skill_triggers!$A:$A),MATCH(H$1,[3]enemy_skill_triggers!$1:$1,0)-MATCH($F$1,[3]enemy_skill_triggers!$1:$1,0)+1),MATCH(H$1,[3]enemy_skill_triggers!$1:$1,0)-MATCH($F$1,[3]enemy_skill_triggers!$1:$1,0)+1,FALSE)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38" s="42">
        <f ca="1">VLOOKUP($F38,OFFSET([3]enemy_skill_triggers!$A$1,0,0,COUNTA([3]enemy_skill_triggers!$A:$A),MATCH(I$1,[3]enemy_skill_triggers!$1:$1,0)-MATCH($F$1,[3]enemy_skill_triggers!$1:$1,0)+1),MATCH(I$1,[3]enemy_skill_triggers!$1:$1,0)-MATCH($F$1,[3]enemy_skill_triggers!$1:$1,0)+1,FALSE)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38" s="42" t="str">
        <f ca="1">VLOOKUP($F38,OFFSET([3]enemy_skill_triggers!$A$1,0,0,COUNTA([3]enemy_skill_triggers!$A:$A),MATCH(J$1,[3]enemy_skill_triggers!$1:$1,0)-MATCH($F$1,[3]enemy_skill_triggers!$1:$1,0)+1),MATCH(J$1,[3]enemy_skill_triggers!$1:$1,0)-MATCH($F$1,[3]enemy_skill_triggers!$1:$1,0)+1,FALSE)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8" s="42" t="str">
        <f ca="1">VLOOKUP($F38,OFFSET([3]enemy_skill_triggers!$A$1,0,0,COUNTA([3]enemy_skill_triggers!$A:$A),MATCH(K$1,[3]enemy_skill_triggers!$1:$1,0)-MATCH($F$1,[3]enemy_skill_triggers!$1:$1,0)+1),MATCH(K$1,[3]enemy_skill_triggers!$1:$1,0)-MATCH($F$1,[3]enemy_skill_triggers!$1:$1,0)+1,FALSE)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8" s="42">
        <f ca="1">VLOOKUP($F38,OFFSET([3]enemy_skill_triggers!$A$1,0,0,COUNTA([3]enemy_skill_triggers!$A:$A),MATCH(L$1,[3]enemy_skill_triggers!$1:$1,0)-MATCH($F$1,[3]enemy_skill_triggers!$1:$1,0)+1),MATCH(L$1,[3]enemy_skill_triggers!$1:$1,0)-MATCH($F$1,[3]enemy_skill_triggers!$1:$1,0)+1,FALSE)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38" s="42" t="str">
        <f ca="1">VLOOKUP($F38,OFFSET([3]enemy_skill_triggers!$A$1,0,0,COUNTA([3]enemy_skill_triggers!$A:$A),MATCH(M$1,[3]enemy_skill_triggers!$1:$1,0)-MATCH($F$1,[3]enemy_skill_triggers!$1:$1,0)+1),MATCH(M$1,[3]enemy_skill_triggers!$1:$1,0)-MATCH($F$1,[3]enemy_skill_triggers!$1:$1,0)+1,FALSE)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8" s="42" t="str">
        <f ca="1">VLOOKUP($F38,OFFSET([3]enemy_skill_triggers!$A$1,0,0,COUNTA([3]enemy_skill_triggers!$A:$A),MATCH(N$1,[3]enemy_skill_triggers!$1:$1,0)-MATCH($F$1,[3]enemy_skill_triggers!$1:$1,0)+1),MATCH(N$1,[3]enemy_skill_triggers!$1:$1,0)-MATCH($F$1,[3]enemy_skill_triggers!$1:$1,0)+1,FALSE)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8" s="42">
        <f ca="1">VLOOKUP($F38,OFFSET([3]enemy_skill_triggers!$A$1,0,0,COUNTA([3]enemy_skill_triggers!$A:$A),MATCH(O$1,[3]enemy_skill_triggers!$1:$1,0)-MATCH($F$1,[3]enemy_skill_triggers!$1:$1,0)+1),MATCH(O$1,[3]enemy_skill_triggers!$1:$1,0)-MATCH($F$1,[3]enemy_skill_triggers!$1:$1,0)+1,FALSE)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38" s="41"/>
      <c r="Q38" s="41"/>
      <c r="R38" s="41"/>
    </row>
    <row r="39" spans="1:18" ht="21" customHeight="1" x14ac:dyDescent="0.15">
      <c r="A39" s="33" t="str">
        <f t="shared" si="0"/>
        <v>47013005_47013509</v>
      </c>
      <c r="B39" s="42">
        <v>47013005</v>
      </c>
      <c r="C39" s="191">
        <v>47013509</v>
      </c>
      <c r="D39" s="40" t="str">
        <f ca="1">VLOOKUP($C39,OFFSET([3]enemy_skills!$A$1,0,0,COUNTA([3]enemy_skills!$A:$A),MATCH(D$1,[3]enemy_skills!$1:$1,0)-MATCH("enemy_skill_id",[3]enemy_skills!$1:$1,0)+1),MATCH(D$1,[3]enemy_skills!$1:$1,0)-MATCH("enemy_skill_id",[3]enemy_skills!$1:$1,0)+1,FALSE)</f>
        <v>増幅する罪</v>
      </c>
      <c r="E39" s="40" t="str">
        <f ca="1">VLOOKUP($C39,OFFSET([3]enemy_skills!$A$1,0,0,COUNTA([3]enemy_skills!$A:$A),MATCH(E$1,[3]enemy_skills!$1:$1,0)-MATCH("enemy_skill_id",[3]enemy_skills!$1:$1,0)+1),MATCH(E$1,[3]enemy_skills!$1:$1,0)-MATCH("enemy_skill_id",[3]enemy_skills!$1:$1,0)+1,FALSE)</f>
        <v>Cパネル強化(効果超大)+2回連続攻撃</v>
      </c>
      <c r="F39" s="191">
        <v>47013509</v>
      </c>
      <c r="G39" s="42">
        <f ca="1">VLOOKUP($F39,OFFSET([3]enemy_skill_triggers!$A$1,0,0,COUNTA([3]enemy_skill_triggers!$A:$A),MATCH(G$1,[3]enemy_skill_triggers!$1:$1,0)-MATCH($F$1,[3]enemy_skill_triggers!$1:$1,0)+1),MATCH(G$1,[3]enemy_skill_triggers!$1:$1,0)-MATCH($F$1,[3]enemy_skill_triggers!$1:$1,0)+1,FALSE)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39" s="42">
        <f ca="1">VLOOKUP($F39,OFFSET([3]enemy_skill_triggers!$A$1,0,0,COUNTA([3]enemy_skill_triggers!$A:$A),MATCH(H$1,[3]enemy_skill_triggers!$1:$1,0)-MATCH($F$1,[3]enemy_skill_triggers!$1:$1,0)+1),MATCH(H$1,[3]enemy_skill_triggers!$1:$1,0)-MATCH($F$1,[3]enemy_skill_triggers!$1:$1,0)+1,FALSE)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39" s="42">
        <f ca="1">VLOOKUP($F39,OFFSET([3]enemy_skill_triggers!$A$1,0,0,COUNTA([3]enemy_skill_triggers!$A:$A),MATCH(I$1,[3]enemy_skill_triggers!$1:$1,0)-MATCH($F$1,[3]enemy_skill_triggers!$1:$1,0)+1),MATCH(I$1,[3]enemy_skill_triggers!$1:$1,0)-MATCH($F$1,[3]enemy_skill_triggers!$1:$1,0)+1,FALSE)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37</v>
      </c>
      <c r="J39" s="42" t="str">
        <f ca="1">VLOOKUP($F39,OFFSET([3]enemy_skill_triggers!$A$1,0,0,COUNTA([3]enemy_skill_triggers!$A:$A),MATCH(J$1,[3]enemy_skill_triggers!$1:$1,0)-MATCH($F$1,[3]enemy_skill_triggers!$1:$1,0)+1),MATCH(J$1,[3]enemy_skill_triggers!$1:$1,0)-MATCH($F$1,[3]enemy_skill_triggers!$1:$1,0)+1,FALSE)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39" s="42" t="str">
        <f ca="1">VLOOKUP($F39,OFFSET([3]enemy_skill_triggers!$A$1,0,0,COUNTA([3]enemy_skill_triggers!$A:$A),MATCH(K$1,[3]enemy_skill_triggers!$1:$1,0)-MATCH($F$1,[3]enemy_skill_triggers!$1:$1,0)+1),MATCH(K$1,[3]enemy_skill_triggers!$1:$1,0)-MATCH($F$1,[3]enemy_skill_triggers!$1:$1,0)+1,FALSE)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39" s="42" t="str">
        <f ca="1">VLOOKUP($F39,OFFSET([3]enemy_skill_triggers!$A$1,0,0,COUNTA([3]enemy_skill_triggers!$A:$A),MATCH(L$1,[3]enemy_skill_triggers!$1:$1,0)-MATCH($F$1,[3]enemy_skill_triggers!$1:$1,0)+1),MATCH(L$1,[3]enemy_skill_triggers!$1:$1,0)-MATCH($F$1,[3]enemy_skill_triggers!$1:$1,0)+1,FALSE)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39" s="42" t="str">
        <f ca="1">VLOOKUP($F39,OFFSET([3]enemy_skill_triggers!$A$1,0,0,COUNTA([3]enemy_skill_triggers!$A:$A),MATCH(M$1,[3]enemy_skill_triggers!$1:$1,0)-MATCH($F$1,[3]enemy_skill_triggers!$1:$1,0)+1),MATCH(M$1,[3]enemy_skill_triggers!$1:$1,0)-MATCH($F$1,[3]enemy_skill_triggers!$1:$1,0)+1,FALSE)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39" s="42" t="str">
        <f ca="1">VLOOKUP($F39,OFFSET([3]enemy_skill_triggers!$A$1,0,0,COUNTA([3]enemy_skill_triggers!$A:$A),MATCH(N$1,[3]enemy_skill_triggers!$1:$1,0)-MATCH($F$1,[3]enemy_skill_triggers!$1:$1,0)+1),MATCH(N$1,[3]enemy_skill_triggers!$1:$1,0)-MATCH($F$1,[3]enemy_skill_triggers!$1:$1,0)+1,FALSE)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39" s="42">
        <f ca="1">VLOOKUP($F39,OFFSET([3]enemy_skill_triggers!$A$1,0,0,COUNTA([3]enemy_skill_triggers!$A:$A),MATCH(O$1,[3]enemy_skill_triggers!$1:$1,0)-MATCH($F$1,[3]enemy_skill_triggers!$1:$1,0)+1),MATCH(O$1,[3]enemy_skill_triggers!$1:$1,0)-MATCH($F$1,[3]enemy_skill_triggers!$1:$1,0)+1,FALSE)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37</v>
      </c>
      <c r="P39" s="41"/>
      <c r="Q39" s="41"/>
      <c r="R39" s="41"/>
    </row>
    <row r="40" spans="1:18" ht="21" customHeight="1" x14ac:dyDescent="0.15">
      <c r="A40" s="33" t="str">
        <f t="shared" si="0"/>
        <v>47013005_47013510</v>
      </c>
      <c r="B40" s="42">
        <v>47013005</v>
      </c>
      <c r="C40" s="191">
        <v>47013510</v>
      </c>
      <c r="D40" s="40" t="str">
        <f ca="1">VLOOKUP($C40,OFFSET([3]enemy_skills!$A$1,0,0,COUNTA([3]enemy_skills!$A:$A),MATCH(D$1,[3]enemy_skills!$1:$1,0)-MATCH("enemy_skill_id",[3]enemy_skills!$1:$1,0)+1),MATCH(D$1,[3]enemy_skills!$1:$1,0)-MATCH("enemy_skill_id",[3]enemy_skills!$1:$1,0)+1,FALSE)</f>
        <v>贖罪の雨</v>
      </c>
      <c r="E40" s="40" t="str">
        <f ca="1">VLOOKUP($C40,OFFSET([3]enemy_skills!$A$1,0,0,COUNTA([3]enemy_skills!$A:$A),MATCH(E$1,[3]enemy_skills!$1:$1,0)-MATCH("enemy_skill_id",[3]enemy_skills!$1:$1,0)+1),MATCH(E$1,[3]enemy_skills!$1:$1,0)-MATCH("enemy_skill_id",[3]enemy_skills!$1:$1,0)+1,FALSE)</f>
        <v>Cパネルを吸収して攻撃</v>
      </c>
      <c r="F40" s="191">
        <v>47013510</v>
      </c>
      <c r="G40" s="42">
        <f ca="1">VLOOKUP($F40,OFFSET([3]enemy_skill_triggers!$A$1,0,0,COUNTA([3]enemy_skill_triggers!$A:$A),MATCH(G$1,[3]enemy_skill_triggers!$1:$1,0)-MATCH($F$1,[3]enemy_skill_triggers!$1:$1,0)+1),MATCH(G$1,[3]enemy_skill_triggers!$1:$1,0)-MATCH($F$1,[3]enemy_skill_triggers!$1:$1,0)+1,FALSE)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0" s="42">
        <f ca="1">VLOOKUP($F40,OFFSET([3]enemy_skill_triggers!$A$1,0,0,COUNTA([3]enemy_skill_triggers!$A:$A),MATCH(H$1,[3]enemy_skill_triggers!$1:$1,0)-MATCH($F$1,[3]enemy_skill_triggers!$1:$1,0)+1),MATCH(H$1,[3]enemy_skill_triggers!$1:$1,0)-MATCH($F$1,[3]enemy_skill_triggers!$1:$1,0)+1,FALSE)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40" s="42">
        <f ca="1">VLOOKUP($F40,OFFSET([3]enemy_skill_triggers!$A$1,0,0,COUNTA([3]enemy_skill_triggers!$A:$A),MATCH(I$1,[3]enemy_skill_triggers!$1:$1,0)-MATCH($F$1,[3]enemy_skill_triggers!$1:$1,0)+1),MATCH(I$1,[3]enemy_skill_triggers!$1:$1,0)-MATCH($F$1,[3]enemy_skill_triggers!$1:$1,0)+1,FALSE)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45</v>
      </c>
      <c r="J40" s="42" t="str">
        <f ca="1">VLOOKUP($F40,OFFSET([3]enemy_skill_triggers!$A$1,0,0,COUNTA([3]enemy_skill_triggers!$A:$A),MATCH(J$1,[3]enemy_skill_triggers!$1:$1,0)-MATCH($F$1,[3]enemy_skill_triggers!$1:$1,0)+1),MATCH(J$1,[3]enemy_skill_triggers!$1:$1,0)-MATCH($F$1,[3]enemy_skill_triggers!$1:$1,0)+1,FALSE)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0" s="42" t="str">
        <f ca="1">VLOOKUP($F40,OFFSET([3]enemy_skill_triggers!$A$1,0,0,COUNTA([3]enemy_skill_triggers!$A:$A),MATCH(K$1,[3]enemy_skill_triggers!$1:$1,0)-MATCH($F$1,[3]enemy_skill_triggers!$1:$1,0)+1),MATCH(K$1,[3]enemy_skill_triggers!$1:$1,0)-MATCH($F$1,[3]enemy_skill_triggers!$1:$1,0)+1,FALSE)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0" s="42" t="str">
        <f ca="1">VLOOKUP($F40,OFFSET([3]enemy_skill_triggers!$A$1,0,0,COUNTA([3]enemy_skill_triggers!$A:$A),MATCH(L$1,[3]enemy_skill_triggers!$1:$1,0)-MATCH($F$1,[3]enemy_skill_triggers!$1:$1,0)+1),MATCH(L$1,[3]enemy_skill_triggers!$1:$1,0)-MATCH($F$1,[3]enemy_skill_triggers!$1:$1,0)+1,FALSE)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40" s="42" t="str">
        <f ca="1">VLOOKUP($F40,OFFSET([3]enemy_skill_triggers!$A$1,0,0,COUNTA([3]enemy_skill_triggers!$A:$A),MATCH(M$1,[3]enemy_skill_triggers!$1:$1,0)-MATCH($F$1,[3]enemy_skill_triggers!$1:$1,0)+1),MATCH(M$1,[3]enemy_skill_triggers!$1:$1,0)-MATCH($F$1,[3]enemy_skill_triggers!$1:$1,0)+1,FALSE)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40" s="42" t="str">
        <f ca="1">VLOOKUP($F40,OFFSET([3]enemy_skill_triggers!$A$1,0,0,COUNTA([3]enemy_skill_triggers!$A:$A),MATCH(N$1,[3]enemy_skill_triggers!$1:$1,0)-MATCH($F$1,[3]enemy_skill_triggers!$1:$1,0)+1),MATCH(N$1,[3]enemy_skill_triggers!$1:$1,0)-MATCH($F$1,[3]enemy_skill_triggers!$1:$1,0)+1,FALSE)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0" s="42">
        <f ca="1">VLOOKUP($F40,OFFSET([3]enemy_skill_triggers!$A$1,0,0,COUNTA([3]enemy_skill_triggers!$A:$A),MATCH(O$1,[3]enemy_skill_triggers!$1:$1,0)-MATCH($F$1,[3]enemy_skill_triggers!$1:$1,0)+1),MATCH(O$1,[3]enemy_skill_triggers!$1:$1,0)-MATCH($F$1,[3]enemy_skill_triggers!$1:$1,0)+1,FALSE)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45</v>
      </c>
      <c r="P40" s="41"/>
      <c r="Q40" s="41"/>
      <c r="R40" s="41"/>
    </row>
    <row r="41" spans="1:18" ht="21" customHeight="1" x14ac:dyDescent="0.15">
      <c r="A41" s="33" t="str">
        <f t="shared" si="0"/>
        <v>47013005_47013511</v>
      </c>
      <c r="B41" s="42">
        <v>47013005</v>
      </c>
      <c r="C41" s="191">
        <v>47013511</v>
      </c>
      <c r="D41" s="40" t="str">
        <f ca="1">VLOOKUP($C41,OFFSET([3]enemy_skills!$A$1,0,0,COUNTA([3]enemy_skills!$A:$A),MATCH(D$1,[3]enemy_skills!$1:$1,0)-MATCH("enemy_skill_id",[3]enemy_skills!$1:$1,0)+1),MATCH(D$1,[3]enemy_skills!$1:$1,0)-MATCH("enemy_skill_id",[3]enemy_skills!$1:$1,0)+1,FALSE)</f>
        <v>さあ…裁きの時間だ！</v>
      </c>
      <c r="E41" s="40" t="str">
        <f ca="1">VLOOKUP($C41,OFFSET([3]enemy_skills!$A$1,0,0,COUNTA([3]enemy_skills!$A:$A),MATCH(E$1,[3]enemy_skills!$1:$1,0)-MATCH("enemy_skill_id",[3]enemy_skills!$1:$1,0)+1),MATCH(E$1,[3]enemy_skills!$1:$1,0)-MATCH("enemy_skill_id",[3]enemy_skills!$1:$1,0)+1,FALSE)</f>
        <v>属性パネルを_x000D_マグネットパネル(緑→黄→ハート)に1個変換+_x000D_クリティカル！</v>
      </c>
      <c r="F41" s="191">
        <v>47013511</v>
      </c>
      <c r="G41" s="42">
        <f ca="1">VLOOKUP($F41,OFFSET([3]enemy_skill_triggers!$A$1,0,0,COUNTA([3]enemy_skill_triggers!$A:$A),MATCH(G$1,[3]enemy_skill_triggers!$1:$1,0)-MATCH($F$1,[3]enemy_skill_triggers!$1:$1,0)+1),MATCH(G$1,[3]enemy_skill_triggers!$1:$1,0)-MATCH($F$1,[3]enemy_skill_triggers!$1:$1,0)+1,FALSE)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1" s="42">
        <f ca="1">VLOOKUP($F41,OFFSET([3]enemy_skill_triggers!$A$1,0,0,COUNTA([3]enemy_skill_triggers!$A:$A),MATCH(H$1,[3]enemy_skill_triggers!$1:$1,0)-MATCH($F$1,[3]enemy_skill_triggers!$1:$1,0)+1),MATCH(H$1,[3]enemy_skill_triggers!$1:$1,0)-MATCH($F$1,[3]enemy_skill_triggers!$1:$1,0)+1,FALSE)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41" s="42">
        <f ca="1">VLOOKUP($F41,OFFSET([3]enemy_skill_triggers!$A$1,0,0,COUNTA([3]enemy_skill_triggers!$A:$A),MATCH(I$1,[3]enemy_skill_triggers!$1:$1,0)-MATCH($F$1,[3]enemy_skill_triggers!$1:$1,0)+1),MATCH(I$1,[3]enemy_skill_triggers!$1:$1,0)-MATCH($F$1,[3]enemy_skill_triggers!$1:$1,0)+1,FALSE)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1" s="42" t="str">
        <f ca="1">VLOOKUP($F41,OFFSET([3]enemy_skill_triggers!$A$1,0,0,COUNTA([3]enemy_skill_triggers!$A:$A),MATCH(J$1,[3]enemy_skill_triggers!$1:$1,0)-MATCH($F$1,[3]enemy_skill_triggers!$1:$1,0)+1),MATCH(J$1,[3]enemy_skill_triggers!$1:$1,0)-MATCH($F$1,[3]enemy_skill_triggers!$1:$1,0)+1,FALSE)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1" s="42" t="str">
        <f ca="1">VLOOKUP($F41,OFFSET([3]enemy_skill_triggers!$A$1,0,0,COUNTA([3]enemy_skill_triggers!$A:$A),MATCH(K$1,[3]enemy_skill_triggers!$1:$1,0)-MATCH($F$1,[3]enemy_skill_triggers!$1:$1,0)+1),MATCH(K$1,[3]enemy_skill_triggers!$1:$1,0)-MATCH($F$1,[3]enemy_skill_triggers!$1:$1,0)+1,FALSE)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1" s="42" t="str">
        <f ca="1">VLOOKUP($F41,OFFSET([3]enemy_skill_triggers!$A$1,0,0,COUNTA([3]enemy_skill_triggers!$A:$A),MATCH(L$1,[3]enemy_skill_triggers!$1:$1,0)-MATCH($F$1,[3]enemy_skill_triggers!$1:$1,0)+1),MATCH(L$1,[3]enemy_skill_triggers!$1:$1,0)-MATCH($F$1,[3]enemy_skill_triggers!$1:$1,0)+1,FALSE)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41" s="42" t="str">
        <f ca="1">VLOOKUP($F41,OFFSET([3]enemy_skill_triggers!$A$1,0,0,COUNTA([3]enemy_skill_triggers!$A:$A),MATCH(M$1,[3]enemy_skill_triggers!$1:$1,0)-MATCH($F$1,[3]enemy_skill_triggers!$1:$1,0)+1),MATCH(M$1,[3]enemy_skill_triggers!$1:$1,0)-MATCH($F$1,[3]enemy_skill_triggers!$1:$1,0)+1,FALSE)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41" s="42" t="str">
        <f ca="1">VLOOKUP($F41,OFFSET([3]enemy_skill_triggers!$A$1,0,0,COUNTA([3]enemy_skill_triggers!$A:$A),MATCH(N$1,[3]enemy_skill_triggers!$1:$1,0)-MATCH($F$1,[3]enemy_skill_triggers!$1:$1,0)+1),MATCH(N$1,[3]enemy_skill_triggers!$1:$1,0)-MATCH($F$1,[3]enemy_skill_triggers!$1:$1,0)+1,FALSE)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1" s="42">
        <f ca="1">VLOOKUP($F41,OFFSET([3]enemy_skill_triggers!$A$1,0,0,COUNTA([3]enemy_skill_triggers!$A:$A),MATCH(O$1,[3]enemy_skill_triggers!$1:$1,0)-MATCH($F$1,[3]enemy_skill_triggers!$1:$1,0)+1),MATCH(O$1,[3]enemy_skill_triggers!$1:$1,0)-MATCH($F$1,[3]enemy_skill_triggers!$1:$1,0)+1,FALSE)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1" s="41"/>
      <c r="Q41" s="41"/>
      <c r="R41" s="41"/>
    </row>
    <row r="42" spans="1:18" ht="21" customHeight="1" x14ac:dyDescent="0.15">
      <c r="A42" s="33" t="str">
        <f t="shared" si="0"/>
        <v>47013006_47013601</v>
      </c>
      <c r="B42" s="187">
        <v>47013006</v>
      </c>
      <c r="C42" s="192">
        <v>47013601</v>
      </c>
      <c r="D42" s="40" t="str">
        <f ca="1">VLOOKUP($C42,OFFSET([3]enemy_skills!$A$1,0,0,COUNTA([3]enemy_skills!$A:$A),MATCH(D$1,[3]enemy_skills!$1:$1,0)-MATCH("enemy_skill_id",[3]enemy_skills!$1:$1,0)+1),MATCH(D$1,[3]enemy_skills!$1:$1,0)-MATCH("enemy_skill_id",[3]enemy_skills!$1:$1,0)+1,FALSE)</f>
        <v>その程度か、哀れな駒どもよ！_x000D_さあ踊れ！私を失望させるな！！</v>
      </c>
      <c r="E42" s="40" t="str">
        <f ca="1">VLOOKUP($C42,OFFSET([3]enemy_skills!$A$1,0,0,COUNTA([3]enemy_skills!$A:$A),MATCH(E$1,[3]enemy_skills!$1:$1,0)-MATCH("enemy_skill_id",[3]enemy_skills!$1:$1,0)+1),MATCH(E$1,[3]enemy_skills!$1:$1,0)-MATCH("enemy_skill_id",[3]enemy_skills!$1:$1,0)+1,FALSE)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状態異常耐性+_x000D_全ユニットが攻撃に参加+_x000D_回復&amp;体力タイプのユニットの_x000D_ボムの爆風を40%UP&amp;スキルゲージMAX！</v>
      </c>
      <c r="F42" s="192">
        <v>47013601</v>
      </c>
      <c r="G42" s="42">
        <f ca="1">VLOOKUP($F42,OFFSET([3]enemy_skill_triggers!$A$1,0,0,COUNTA([3]enemy_skill_triggers!$A:$A),MATCH(G$1,[3]enemy_skill_triggers!$1:$1,0)-MATCH($F$1,[3]enemy_skill_triggers!$1:$1,0)+1),MATCH(G$1,[3]enemy_skill_triggers!$1:$1,0)-MATCH($F$1,[3]enemy_skill_triggers!$1:$1,0)+1,FALSE)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42" s="42">
        <f ca="1">VLOOKUP($F42,OFFSET([3]enemy_skill_triggers!$A$1,0,0,COUNTA([3]enemy_skill_triggers!$A:$A),MATCH(H$1,[3]enemy_skill_triggers!$1:$1,0)-MATCH($F$1,[3]enemy_skill_triggers!$1:$1,0)+1),MATCH(H$1,[3]enemy_skill_triggers!$1:$1,0)-MATCH($F$1,[3]enemy_skill_triggers!$1:$1,0)+1,FALSE)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42" s="42">
        <f ca="1">VLOOKUP($F42,OFFSET([3]enemy_skill_triggers!$A$1,0,0,COUNTA([3]enemy_skill_triggers!$A:$A),MATCH(I$1,[3]enemy_skill_triggers!$1:$1,0)-MATCH($F$1,[3]enemy_skill_triggers!$1:$1,0)+1),MATCH(I$1,[3]enemy_skill_triggers!$1:$1,0)-MATCH($F$1,[3]enemy_skill_triggers!$1:$1,0)+1,FALSE)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2" s="42" t="str">
        <f ca="1">VLOOKUP($F42,OFFSET([3]enemy_skill_triggers!$A$1,0,0,COUNTA([3]enemy_skill_triggers!$A:$A),MATCH(J$1,[3]enemy_skill_triggers!$1:$1,0)-MATCH($F$1,[3]enemy_skill_triggers!$1:$1,0)+1),MATCH(J$1,[3]enemy_skill_triggers!$1:$1,0)-MATCH($F$1,[3]enemy_skill_triggers!$1:$1,0)+1,FALSE)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2" s="42" t="str">
        <f ca="1">VLOOKUP($F42,OFFSET([3]enemy_skill_triggers!$A$1,0,0,COUNTA([3]enemy_skill_triggers!$A:$A),MATCH(K$1,[3]enemy_skill_triggers!$1:$1,0)-MATCH($F$1,[3]enemy_skill_triggers!$1:$1,0)+1),MATCH(K$1,[3]enemy_skill_triggers!$1:$1,0)-MATCH($F$1,[3]enemy_skill_triggers!$1:$1,0)+1,FALSE)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2" s="42">
        <f ca="1">VLOOKUP($F42,OFFSET([3]enemy_skill_triggers!$A$1,0,0,COUNTA([3]enemy_skill_triggers!$A:$A),MATCH(L$1,[3]enemy_skill_triggers!$1:$1,0)-MATCH($F$1,[3]enemy_skill_triggers!$1:$1,0)+1),MATCH(L$1,[3]enemy_skill_triggers!$1:$1,0)-MATCH($F$1,[3]enemy_skill_triggers!$1:$1,0)+1,FALSE)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42" s="42" t="str">
        <f ca="1">VLOOKUP($F42,OFFSET([3]enemy_skill_triggers!$A$1,0,0,COUNTA([3]enemy_skill_triggers!$A:$A),MATCH(M$1,[3]enemy_skill_triggers!$1:$1,0)-MATCH($F$1,[3]enemy_skill_triggers!$1:$1,0)+1),MATCH(M$1,[3]enemy_skill_triggers!$1:$1,0)-MATCH($F$1,[3]enemy_skill_triggers!$1:$1,0)+1,FALSE)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42" s="42" t="str">
        <f ca="1">VLOOKUP($F42,OFFSET([3]enemy_skill_triggers!$A$1,0,0,COUNTA([3]enemy_skill_triggers!$A:$A),MATCH(N$1,[3]enemy_skill_triggers!$1:$1,0)-MATCH($F$1,[3]enemy_skill_triggers!$1:$1,0)+1),MATCH(N$1,[3]enemy_skill_triggers!$1:$1,0)-MATCH($F$1,[3]enemy_skill_triggers!$1:$1,0)+1,FALSE)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2" s="42">
        <f ca="1">VLOOKUP($F42,OFFSET([3]enemy_skill_triggers!$A$1,0,0,COUNTA([3]enemy_skill_triggers!$A:$A),MATCH(O$1,[3]enemy_skill_triggers!$1:$1,0)-MATCH($F$1,[3]enemy_skill_triggers!$1:$1,0)+1),MATCH(O$1,[3]enemy_skill_triggers!$1:$1,0)-MATCH($F$1,[3]enemy_skill_triggers!$1:$1,0)+1,FALSE)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2" s="41"/>
      <c r="Q42" s="41"/>
      <c r="R42" s="41"/>
    </row>
    <row r="43" spans="1:18" ht="21" customHeight="1" x14ac:dyDescent="0.15">
      <c r="A43" s="33" t="str">
        <f t="shared" si="0"/>
        <v>47013006_47013602</v>
      </c>
      <c r="B43" s="187">
        <v>47013006</v>
      </c>
      <c r="C43" s="192">
        <v>47013602</v>
      </c>
      <c r="D43" s="40" t="str">
        <f ca="1">VLOOKUP($C43,OFFSET([3]enemy_skills!$A$1,0,0,COUNTA([3]enemy_skills!$A:$A),MATCH(D$1,[3]enemy_skills!$1:$1,0)-MATCH("enemy_skill_id",[3]enemy_skills!$1:$1,0)+1),MATCH(D$1,[3]enemy_skills!$1:$1,0)-MATCH("enemy_skill_id",[3]enemy_skills!$1:$1,0)+1,FALSE)</f>
        <v>この私が直々に相手をしてやっているのだ_x000D_光栄に思え！</v>
      </c>
      <c r="E43" s="40" t="str">
        <f ca="1">VLOOKUP($C43,OFFSET([3]enemy_skills!$A$1,0,0,COUNTA([3]enemy_skills!$A:$A),MATCH(E$1,[3]enemy_skills!$1:$1,0)-MATCH("enemy_skill_id",[3]enemy_skills!$1:$1,0)+1),MATCH(E$1,[3]enemy_skills!$1:$1,0)-MATCH("enemy_skill_id",[3]enemy_skills!$1:$1,0)+1,FALSE)</f>
        <v>4ターン超高確率で_x000D_黄パネルがお邪魔パネルとしてドロップ+_x000D_特定エリアを緑ボムパネルに変換</v>
      </c>
      <c r="F43" s="192">
        <v>47013602</v>
      </c>
      <c r="G43" s="42">
        <f ca="1">VLOOKUP($F43,OFFSET([3]enemy_skill_triggers!$A$1,0,0,COUNTA([3]enemy_skill_triggers!$A:$A),MATCH(G$1,[3]enemy_skill_triggers!$1:$1,0)-MATCH($F$1,[3]enemy_skill_triggers!$1:$1,0)+1),MATCH(G$1,[3]enemy_skill_triggers!$1:$1,0)-MATCH($F$1,[3]enemy_skill_triggers!$1:$1,0)+1,FALSE)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3" s="42">
        <f ca="1">VLOOKUP($F43,OFFSET([3]enemy_skill_triggers!$A$1,0,0,COUNTA([3]enemy_skill_triggers!$A:$A),MATCH(H$1,[3]enemy_skill_triggers!$1:$1,0)-MATCH($F$1,[3]enemy_skill_triggers!$1:$1,0)+1),MATCH(H$1,[3]enemy_skill_triggers!$1:$1,0)-MATCH($F$1,[3]enemy_skill_triggers!$1:$1,0)+1,FALSE)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43" s="42">
        <f ca="1">VLOOKUP($F43,OFFSET([3]enemy_skill_triggers!$A$1,0,0,COUNTA([3]enemy_skill_triggers!$A:$A),MATCH(I$1,[3]enemy_skill_triggers!$1:$1,0)-MATCH($F$1,[3]enemy_skill_triggers!$1:$1,0)+1),MATCH(I$1,[3]enemy_skill_triggers!$1:$1,0)-MATCH($F$1,[3]enemy_skill_triggers!$1:$1,0)+1,FALSE)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3" s="42" t="str">
        <f ca="1">VLOOKUP($F43,OFFSET([3]enemy_skill_triggers!$A$1,0,0,COUNTA([3]enemy_skill_triggers!$A:$A),MATCH(J$1,[3]enemy_skill_triggers!$1:$1,0)-MATCH($F$1,[3]enemy_skill_triggers!$1:$1,0)+1),MATCH(J$1,[3]enemy_skill_triggers!$1:$1,0)-MATCH($F$1,[3]enemy_skill_triggers!$1:$1,0)+1,FALSE)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3" s="42" t="str">
        <f ca="1">VLOOKUP($F43,OFFSET([3]enemy_skill_triggers!$A$1,0,0,COUNTA([3]enemy_skill_triggers!$A:$A),MATCH(K$1,[3]enemy_skill_triggers!$1:$1,0)-MATCH($F$1,[3]enemy_skill_triggers!$1:$1,0)+1),MATCH(K$1,[3]enemy_skill_triggers!$1:$1,0)-MATCH($F$1,[3]enemy_skill_triggers!$1:$1,0)+1,FALSE)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3" s="42">
        <f ca="1">VLOOKUP($F43,OFFSET([3]enemy_skill_triggers!$A$1,0,0,COUNTA([3]enemy_skill_triggers!$A:$A),MATCH(L$1,[3]enemy_skill_triggers!$1:$1,0)-MATCH($F$1,[3]enemy_skill_triggers!$1:$1,0)+1),MATCH(L$1,[3]enemy_skill_triggers!$1:$1,0)-MATCH($F$1,[3]enemy_skill_triggers!$1:$1,0)+1,FALSE)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43" s="42">
        <f ca="1">VLOOKUP($F43,OFFSET([3]enemy_skill_triggers!$A$1,0,0,COUNTA([3]enemy_skill_triggers!$A:$A),MATCH(M$1,[3]enemy_skill_triggers!$1:$1,0)-MATCH($F$1,[3]enemy_skill_triggers!$1:$1,0)+1),MATCH(M$1,[3]enemy_skill_triggers!$1:$1,0)-MATCH($F$1,[3]enemy_skill_triggers!$1:$1,0)+1,FALSE)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43" s="42" t="str">
        <f ca="1">VLOOKUP($F43,OFFSET([3]enemy_skill_triggers!$A$1,0,0,COUNTA([3]enemy_skill_triggers!$A:$A),MATCH(N$1,[3]enemy_skill_triggers!$1:$1,0)-MATCH($F$1,[3]enemy_skill_triggers!$1:$1,0)+1),MATCH(N$1,[3]enemy_skill_triggers!$1:$1,0)-MATCH($F$1,[3]enemy_skill_triggers!$1:$1,0)+1,FALSE)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3" s="42">
        <f ca="1">VLOOKUP($F43,OFFSET([3]enemy_skill_triggers!$A$1,0,0,COUNTA([3]enemy_skill_triggers!$A:$A),MATCH(O$1,[3]enemy_skill_triggers!$1:$1,0)-MATCH($F$1,[3]enemy_skill_triggers!$1:$1,0)+1),MATCH(O$1,[3]enemy_skill_triggers!$1:$1,0)-MATCH($F$1,[3]enemy_skill_triggers!$1:$1,0)+1,FALSE)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3" s="41"/>
      <c r="Q43" s="41"/>
      <c r="R43" s="41"/>
    </row>
    <row r="44" spans="1:18" ht="21" customHeight="1" x14ac:dyDescent="0.15">
      <c r="A44" s="33" t="str">
        <f t="shared" si="0"/>
        <v>47013006_47013603</v>
      </c>
      <c r="B44" s="187">
        <v>47013006</v>
      </c>
      <c r="C44" s="192">
        <v>47013603</v>
      </c>
      <c r="D44" s="40" t="str">
        <f ca="1">VLOOKUP($C44,OFFSET([3]enemy_skills!$A$1,0,0,COUNTA([3]enemy_skills!$A:$A),MATCH(D$1,[3]enemy_skills!$1:$1,0)-MATCH("enemy_skill_id",[3]enemy_skills!$1:$1,0)+1),MATCH(D$1,[3]enemy_skills!$1:$1,0)-MATCH("enemy_skill_id",[3]enemy_skills!$1:$1,0)+1,FALSE)</f>
        <v>おのれ…駒の分際で…_x000D_よくも私に傷を…ッ！</v>
      </c>
      <c r="E44" s="40" t="str">
        <f ca="1">VLOOKUP($C44,OFFSET([3]enemy_skills!$A$1,0,0,COUNTA([3]enemy_skills!$A:$A),MATCH(E$1,[3]enemy_skills!$1:$1,0)-MATCH("enemy_skill_id",[3]enemy_skills!$1:$1,0)+1),MATCH(E$1,[3]enemy_skills!$1:$1,0)-MATCH("enemy_skill_id",[3]enemy_skills!$1:$1,0)+1,FALSE)</f>
        <v>特定エリアを緑ボムパネルに変換+_x000D_全体攻撃</v>
      </c>
      <c r="F44" s="192">
        <v>47013603</v>
      </c>
      <c r="G44" s="42">
        <f ca="1">VLOOKUP($F44,OFFSET([3]enemy_skill_triggers!$A$1,0,0,COUNTA([3]enemy_skill_triggers!$A:$A),MATCH(G$1,[3]enemy_skill_triggers!$1:$1,0)-MATCH($F$1,[3]enemy_skill_triggers!$1:$1,0)+1),MATCH(G$1,[3]enemy_skill_triggers!$1:$1,0)-MATCH($F$1,[3]enemy_skill_triggers!$1:$1,0)+1,FALSE)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4" s="42">
        <f ca="1">VLOOKUP($F44,OFFSET([3]enemy_skill_triggers!$A$1,0,0,COUNTA([3]enemy_skill_triggers!$A:$A),MATCH(H$1,[3]enemy_skill_triggers!$1:$1,0)-MATCH($F$1,[3]enemy_skill_triggers!$1:$1,0)+1),MATCH(H$1,[3]enemy_skill_triggers!$1:$1,0)-MATCH($F$1,[3]enemy_skill_triggers!$1:$1,0)+1,FALSE)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44" s="42">
        <f ca="1">VLOOKUP($F44,OFFSET([3]enemy_skill_triggers!$A$1,0,0,COUNTA([3]enemy_skill_triggers!$A:$A),MATCH(I$1,[3]enemy_skill_triggers!$1:$1,0)-MATCH($F$1,[3]enemy_skill_triggers!$1:$1,0)+1),MATCH(I$1,[3]enemy_skill_triggers!$1:$1,0)-MATCH($F$1,[3]enemy_skill_triggers!$1:$1,0)+1,FALSE)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4" s="42" t="str">
        <f ca="1">VLOOKUP($F44,OFFSET([3]enemy_skill_triggers!$A$1,0,0,COUNTA([3]enemy_skill_triggers!$A:$A),MATCH(J$1,[3]enemy_skill_triggers!$1:$1,0)-MATCH($F$1,[3]enemy_skill_triggers!$1:$1,0)+1),MATCH(J$1,[3]enemy_skill_triggers!$1:$1,0)-MATCH($F$1,[3]enemy_skill_triggers!$1:$1,0)+1,FALSE)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4" s="42" t="str">
        <f ca="1">VLOOKUP($F44,OFFSET([3]enemy_skill_triggers!$A$1,0,0,COUNTA([3]enemy_skill_triggers!$A:$A),MATCH(K$1,[3]enemy_skill_triggers!$1:$1,0)-MATCH($F$1,[3]enemy_skill_triggers!$1:$1,0)+1),MATCH(K$1,[3]enemy_skill_triggers!$1:$1,0)-MATCH($F$1,[3]enemy_skill_triggers!$1:$1,0)+1,FALSE)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4" s="42" t="str">
        <f ca="1">VLOOKUP($F44,OFFSET([3]enemy_skill_triggers!$A$1,0,0,COUNTA([3]enemy_skill_triggers!$A:$A),MATCH(L$1,[3]enemy_skill_triggers!$1:$1,0)-MATCH($F$1,[3]enemy_skill_triggers!$1:$1,0)+1),MATCH(L$1,[3]enemy_skill_triggers!$1:$1,0)-MATCH($F$1,[3]enemy_skill_triggers!$1:$1,0)+1,FALSE)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44" s="42">
        <f ca="1">VLOOKUP($F44,OFFSET([3]enemy_skill_triggers!$A$1,0,0,COUNTA([3]enemy_skill_triggers!$A:$A),MATCH(M$1,[3]enemy_skill_triggers!$1:$1,0)-MATCH($F$1,[3]enemy_skill_triggers!$1:$1,0)+1),MATCH(M$1,[3]enemy_skill_triggers!$1:$1,0)-MATCH($F$1,[3]enemy_skill_triggers!$1:$1,0)+1,FALSE)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44" s="42" t="str">
        <f ca="1">VLOOKUP($F44,OFFSET([3]enemy_skill_triggers!$A$1,0,0,COUNTA([3]enemy_skill_triggers!$A:$A),MATCH(N$1,[3]enemy_skill_triggers!$1:$1,0)-MATCH($F$1,[3]enemy_skill_triggers!$1:$1,0)+1),MATCH(N$1,[3]enemy_skill_triggers!$1:$1,0)-MATCH($F$1,[3]enemy_skill_triggers!$1:$1,0)+1,FALSE)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4" s="42">
        <f ca="1">VLOOKUP($F44,OFFSET([3]enemy_skill_triggers!$A$1,0,0,COUNTA([3]enemy_skill_triggers!$A:$A),MATCH(O$1,[3]enemy_skill_triggers!$1:$1,0)-MATCH($F$1,[3]enemy_skill_triggers!$1:$1,0)+1),MATCH(O$1,[3]enemy_skill_triggers!$1:$1,0)-MATCH($F$1,[3]enemy_skill_triggers!$1:$1,0)+1,FALSE)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4" s="41"/>
      <c r="Q44" s="41"/>
      <c r="R44" s="41"/>
    </row>
    <row r="45" spans="1:18" ht="21" customHeight="1" x14ac:dyDescent="0.15">
      <c r="A45" s="33" t="str">
        <f t="shared" si="0"/>
        <v>47013006_47013604</v>
      </c>
      <c r="B45" s="187">
        <v>47013006</v>
      </c>
      <c r="C45" s="192">
        <v>47013604</v>
      </c>
      <c r="D45" s="40" t="str">
        <f ca="1">VLOOKUP($C45,OFFSET([3]enemy_skills!$A$1,0,0,COUNTA([3]enemy_skills!$A:$A),MATCH(D$1,[3]enemy_skills!$1:$1,0)-MATCH("enemy_skill_id",[3]enemy_skills!$1:$1,0)+1),MATCH(D$1,[3]enemy_skills!$1:$1,0)-MATCH("enemy_skill_id",[3]enemy_skills!$1:$1,0)+1,FALSE)</f>
        <v>敗北は貴様らにこそふさわしい</v>
      </c>
      <c r="E45" s="40" t="str">
        <f ca="1">VLOOKUP($C45,OFFSET([3]enemy_skills!$A$1,0,0,COUNTA([3]enemy_skills!$A:$A),MATCH(E$1,[3]enemy_skills!$1:$1,0)-MATCH("enemy_skill_id",[3]enemy_skills!$1:$1,0)+1),MATCH(E$1,[3]enemy_skills!$1:$1,0)-MATCH("enemy_skill_id",[3]enemy_skills!$1:$1,0)+1,FALSE)</f>
        <v>黄パネルと青パネルを緑パネルに変換+_x000D_全体攻撃</v>
      </c>
      <c r="F45" s="192">
        <v>47013604</v>
      </c>
      <c r="G45" s="42">
        <f ca="1">VLOOKUP($F45,OFFSET([3]enemy_skill_triggers!$A$1,0,0,COUNTA([3]enemy_skill_triggers!$A:$A),MATCH(G$1,[3]enemy_skill_triggers!$1:$1,0)-MATCH($F$1,[3]enemy_skill_triggers!$1:$1,0)+1),MATCH(G$1,[3]enemy_skill_triggers!$1:$1,0)-MATCH($F$1,[3]enemy_skill_triggers!$1:$1,0)+1,FALSE)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5" s="42">
        <f ca="1">VLOOKUP($F45,OFFSET([3]enemy_skill_triggers!$A$1,0,0,COUNTA([3]enemy_skill_triggers!$A:$A),MATCH(H$1,[3]enemy_skill_triggers!$1:$1,0)-MATCH($F$1,[3]enemy_skill_triggers!$1:$1,0)+1),MATCH(H$1,[3]enemy_skill_triggers!$1:$1,0)-MATCH($F$1,[3]enemy_skill_triggers!$1:$1,0)+1,FALSE)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45" s="42">
        <f ca="1">VLOOKUP($F45,OFFSET([3]enemy_skill_triggers!$A$1,0,0,COUNTA([3]enemy_skill_triggers!$A:$A),MATCH(I$1,[3]enemy_skill_triggers!$1:$1,0)-MATCH($F$1,[3]enemy_skill_triggers!$1:$1,0)+1),MATCH(I$1,[3]enemy_skill_triggers!$1:$1,0)-MATCH($F$1,[3]enemy_skill_triggers!$1:$1,0)+1,FALSE)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5" s="42" t="str">
        <f ca="1">VLOOKUP($F45,OFFSET([3]enemy_skill_triggers!$A$1,0,0,COUNTA([3]enemy_skill_triggers!$A:$A),MATCH(J$1,[3]enemy_skill_triggers!$1:$1,0)-MATCH($F$1,[3]enemy_skill_triggers!$1:$1,0)+1),MATCH(J$1,[3]enemy_skill_triggers!$1:$1,0)-MATCH($F$1,[3]enemy_skill_triggers!$1:$1,0)+1,FALSE)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5" s="42" t="str">
        <f ca="1">VLOOKUP($F45,OFFSET([3]enemy_skill_triggers!$A$1,0,0,COUNTA([3]enemy_skill_triggers!$A:$A),MATCH(K$1,[3]enemy_skill_triggers!$1:$1,0)-MATCH($F$1,[3]enemy_skill_triggers!$1:$1,0)+1),MATCH(K$1,[3]enemy_skill_triggers!$1:$1,0)-MATCH($F$1,[3]enemy_skill_triggers!$1:$1,0)+1,FALSE)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5" s="42" t="str">
        <f ca="1">VLOOKUP($F45,OFFSET([3]enemy_skill_triggers!$A$1,0,0,COUNTA([3]enemy_skill_triggers!$A:$A),MATCH(L$1,[3]enemy_skill_triggers!$1:$1,0)-MATCH($F$1,[3]enemy_skill_triggers!$1:$1,0)+1),MATCH(L$1,[3]enemy_skill_triggers!$1:$1,0)-MATCH($F$1,[3]enemy_skill_triggers!$1:$1,0)+1,FALSE)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45" s="42">
        <f ca="1">VLOOKUP($F45,OFFSET([3]enemy_skill_triggers!$A$1,0,0,COUNTA([3]enemy_skill_triggers!$A:$A),MATCH(M$1,[3]enemy_skill_triggers!$1:$1,0)-MATCH($F$1,[3]enemy_skill_triggers!$1:$1,0)+1),MATCH(M$1,[3]enemy_skill_triggers!$1:$1,0)-MATCH($F$1,[3]enemy_skill_triggers!$1:$1,0)+1,FALSE)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2</v>
      </c>
      <c r="N45" s="42" t="str">
        <f ca="1">VLOOKUP($F45,OFFSET([3]enemy_skill_triggers!$A$1,0,0,COUNTA([3]enemy_skill_triggers!$A:$A),MATCH(N$1,[3]enemy_skill_triggers!$1:$1,0)-MATCH($F$1,[3]enemy_skill_triggers!$1:$1,0)+1),MATCH(N$1,[3]enemy_skill_triggers!$1:$1,0)-MATCH($F$1,[3]enemy_skill_triggers!$1:$1,0)+1,FALSE)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5" s="42">
        <f ca="1">VLOOKUP($F45,OFFSET([3]enemy_skill_triggers!$A$1,0,0,COUNTA([3]enemy_skill_triggers!$A:$A),MATCH(O$1,[3]enemy_skill_triggers!$1:$1,0)-MATCH($F$1,[3]enemy_skill_triggers!$1:$1,0)+1),MATCH(O$1,[3]enemy_skill_triggers!$1:$1,0)-MATCH($F$1,[3]enemy_skill_triggers!$1:$1,0)+1,FALSE)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5" s="41"/>
      <c r="Q45" s="41"/>
      <c r="R45" s="41"/>
    </row>
    <row r="46" spans="1:18" ht="21" customHeight="1" x14ac:dyDescent="0.15">
      <c r="A46" s="33" t="str">
        <f t="shared" si="0"/>
        <v>47013006_47013605</v>
      </c>
      <c r="B46" s="187">
        <v>47013006</v>
      </c>
      <c r="C46" s="192">
        <v>47013605</v>
      </c>
      <c r="D46" s="40" t="str">
        <f ca="1">VLOOKUP($C46,OFFSET([3]enemy_skills!$A$1,0,0,COUNTA([3]enemy_skills!$A:$A),MATCH(D$1,[3]enemy_skills!$1:$1,0)-MATCH("enemy_skill_id",[3]enemy_skills!$1:$1,0)+1),MATCH(D$1,[3]enemy_skills!$1:$1,0)-MATCH("enemy_skill_id",[3]enemy_skills!$1:$1,0)+1,FALSE)</f>
        <v>さあ、私の力の前にひれ伏せ！跪け！</v>
      </c>
      <c r="E46" s="40" t="str">
        <f ca="1">VLOOKUP($C46,OFFSET([3]enemy_skills!$A$1,0,0,COUNTA([3]enemy_skills!$A:$A),MATCH(E$1,[3]enemy_skills!$1:$1,0)-MATCH("enemy_skill_id",[3]enemy_skills!$1:$1,0)+1),MATCH(E$1,[3]enemy_skills!$1:$1,0)-MATCH("enemy_skill_id",[3]enemy_skills!$1:$1,0)+1,FALSE)</f>
        <v>属性パネルを赤&amp;黄&amp;青ボムパネルに1個ずつ変換+_x000D_属性パネルをCBPに3個変換+_x000D_3回連続攻撃</v>
      </c>
      <c r="F46" s="192">
        <v>47013605</v>
      </c>
      <c r="G46" s="42">
        <f ca="1">VLOOKUP($F46,OFFSET([3]enemy_skill_triggers!$A$1,0,0,COUNTA([3]enemy_skill_triggers!$A:$A),MATCH(G$1,[3]enemy_skill_triggers!$1:$1,0)-MATCH($F$1,[3]enemy_skill_triggers!$1:$1,0)+1),MATCH(G$1,[3]enemy_skill_triggers!$1:$1,0)-MATCH($F$1,[3]enemy_skill_triggers!$1:$1,0)+1,FALSE)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6" s="42">
        <f ca="1">VLOOKUP($F46,OFFSET([3]enemy_skill_triggers!$A$1,0,0,COUNTA([3]enemy_skill_triggers!$A:$A),MATCH(H$1,[3]enemy_skill_triggers!$1:$1,0)-MATCH($F$1,[3]enemy_skill_triggers!$1:$1,0)+1),MATCH(H$1,[3]enemy_skill_triggers!$1:$1,0)-MATCH($F$1,[3]enemy_skill_triggers!$1:$1,0)+1,FALSE)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150</v>
      </c>
      <c r="I46" s="42">
        <f ca="1">VLOOKUP($F46,OFFSET([3]enemy_skill_triggers!$A$1,0,0,COUNTA([3]enemy_skill_triggers!$A:$A),MATCH(I$1,[3]enemy_skill_triggers!$1:$1,0)-MATCH($F$1,[3]enemy_skill_triggers!$1:$1,0)+1),MATCH(I$1,[3]enemy_skill_triggers!$1:$1,0)-MATCH($F$1,[3]enemy_skill_triggers!$1:$1,0)+1,FALSE)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6" s="42" t="str">
        <f ca="1">VLOOKUP($F46,OFFSET([3]enemy_skill_triggers!$A$1,0,0,COUNTA([3]enemy_skill_triggers!$A:$A),MATCH(J$1,[3]enemy_skill_triggers!$1:$1,0)-MATCH($F$1,[3]enemy_skill_triggers!$1:$1,0)+1),MATCH(J$1,[3]enemy_skill_triggers!$1:$1,0)-MATCH($F$1,[3]enemy_skill_triggers!$1:$1,0)+1,FALSE)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6" s="42" t="str">
        <f ca="1">VLOOKUP($F46,OFFSET([3]enemy_skill_triggers!$A$1,0,0,COUNTA([3]enemy_skill_triggers!$A:$A),MATCH(K$1,[3]enemy_skill_triggers!$1:$1,0)-MATCH($F$1,[3]enemy_skill_triggers!$1:$1,0)+1),MATCH(K$1,[3]enemy_skill_triggers!$1:$1,0)-MATCH($F$1,[3]enemy_skill_triggers!$1:$1,0)+1,FALSE)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6" s="42" t="str">
        <f ca="1">VLOOKUP($F46,OFFSET([3]enemy_skill_triggers!$A$1,0,0,COUNTA([3]enemy_skill_triggers!$A:$A),MATCH(L$1,[3]enemy_skill_triggers!$1:$1,0)-MATCH($F$1,[3]enemy_skill_triggers!$1:$1,0)+1),MATCH(L$1,[3]enemy_skill_triggers!$1:$1,0)-MATCH($F$1,[3]enemy_skill_triggers!$1:$1,0)+1,FALSE)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46" s="42">
        <f ca="1">VLOOKUP($F46,OFFSET([3]enemy_skill_triggers!$A$1,0,0,COUNTA([3]enemy_skill_triggers!$A:$A),MATCH(M$1,[3]enemy_skill_triggers!$1:$1,0)-MATCH($F$1,[3]enemy_skill_triggers!$1:$1,0)+1),MATCH(M$1,[3]enemy_skill_triggers!$1:$1,0)-MATCH($F$1,[3]enemy_skill_triggers!$1:$1,0)+1,FALSE)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3</v>
      </c>
      <c r="N46" s="42" t="str">
        <f ca="1">VLOOKUP($F46,OFFSET([3]enemy_skill_triggers!$A$1,0,0,COUNTA([3]enemy_skill_triggers!$A:$A),MATCH(N$1,[3]enemy_skill_triggers!$1:$1,0)-MATCH($F$1,[3]enemy_skill_triggers!$1:$1,0)+1),MATCH(N$1,[3]enemy_skill_triggers!$1:$1,0)-MATCH($F$1,[3]enemy_skill_triggers!$1:$1,0)+1,FALSE)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6" s="42">
        <f ca="1">VLOOKUP($F46,OFFSET([3]enemy_skill_triggers!$A$1,0,0,COUNTA([3]enemy_skill_triggers!$A:$A),MATCH(O$1,[3]enemy_skill_triggers!$1:$1,0)-MATCH($F$1,[3]enemy_skill_triggers!$1:$1,0)+1),MATCH(O$1,[3]enemy_skill_triggers!$1:$1,0)-MATCH($F$1,[3]enemy_skill_triggers!$1:$1,0)+1,FALSE)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6" s="41"/>
      <c r="Q46" s="41"/>
      <c r="R46" s="41"/>
    </row>
    <row r="47" spans="1:18" ht="21" customHeight="1" x14ac:dyDescent="0.15">
      <c r="A47" s="33" t="str">
        <f t="shared" si="0"/>
        <v>47013006_47013606</v>
      </c>
      <c r="B47" s="187">
        <v>47013006</v>
      </c>
      <c r="C47" s="192">
        <v>47013606</v>
      </c>
      <c r="D47" s="40" t="str">
        <f ca="1">VLOOKUP($C47,OFFSET([3]enemy_skills!$A$1,0,0,COUNTA([3]enemy_skills!$A:$A),MATCH(D$1,[3]enemy_skills!$1:$1,0)-MATCH("enemy_skill_id",[3]enemy_skills!$1:$1,0)+1),MATCH(D$1,[3]enemy_skills!$1:$1,0)-MATCH("enemy_skill_id",[3]enemy_skills!$1:$1,0)+1,FALSE)</f>
        <v>泣け！叫べ！踊り狂え！</v>
      </c>
      <c r="E47" s="40" t="str">
        <f ca="1">VLOOKUP($C47,OFFSET([3]enemy_skills!$A$1,0,0,COUNTA([3]enemy_skills!$A:$A),MATCH(E$1,[3]enemy_skills!$1:$1,0)-MATCH("enemy_skill_id",[3]enemy_skills!$1:$1,0)+1),MATCH(E$1,[3]enemy_skills!$1:$1,0)-MATCH("enemy_skill_id",[3]enemy_skills!$1:$1,0)+1,FALSE)</f>
        <v>黄パネルと青パネルを緑パネルに変換+_x000D_全体攻撃</v>
      </c>
      <c r="F47" s="192">
        <v>47013606</v>
      </c>
      <c r="G47" s="42">
        <f ca="1">VLOOKUP($F47,OFFSET([3]enemy_skill_triggers!$A$1,0,0,COUNTA([3]enemy_skill_triggers!$A:$A),MATCH(G$1,[3]enemy_skill_triggers!$1:$1,0)-MATCH($F$1,[3]enemy_skill_triggers!$1:$1,0)+1),MATCH(G$1,[3]enemy_skill_triggers!$1:$1,0)-MATCH($F$1,[3]enemy_skill_triggers!$1:$1,0)+1,FALSE)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7" s="42">
        <f ca="1">VLOOKUP($F47,OFFSET([3]enemy_skill_triggers!$A$1,0,0,COUNTA([3]enemy_skill_triggers!$A:$A),MATCH(H$1,[3]enemy_skill_triggers!$1:$1,0)-MATCH($F$1,[3]enemy_skill_triggers!$1:$1,0)+1),MATCH(H$1,[3]enemy_skill_triggers!$1:$1,0)-MATCH($F$1,[3]enemy_skill_triggers!$1:$1,0)+1,FALSE)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160</v>
      </c>
      <c r="I47" s="42">
        <f ca="1">VLOOKUP($F47,OFFSET([3]enemy_skill_triggers!$A$1,0,0,COUNTA([3]enemy_skill_triggers!$A:$A),MATCH(I$1,[3]enemy_skill_triggers!$1:$1,0)-MATCH($F$1,[3]enemy_skill_triggers!$1:$1,0)+1),MATCH(I$1,[3]enemy_skill_triggers!$1:$1,0)-MATCH($F$1,[3]enemy_skill_triggers!$1:$1,0)+1,FALSE)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7" s="42" t="str">
        <f ca="1">VLOOKUP($F47,OFFSET([3]enemy_skill_triggers!$A$1,0,0,COUNTA([3]enemy_skill_triggers!$A:$A),MATCH(J$1,[3]enemy_skill_triggers!$1:$1,0)-MATCH($F$1,[3]enemy_skill_triggers!$1:$1,0)+1),MATCH(J$1,[3]enemy_skill_triggers!$1:$1,0)-MATCH($F$1,[3]enemy_skill_triggers!$1:$1,0)+1,FALSE)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7" s="42" t="str">
        <f ca="1">VLOOKUP($F47,OFFSET([3]enemy_skill_triggers!$A$1,0,0,COUNTA([3]enemy_skill_triggers!$A:$A),MATCH(K$1,[3]enemy_skill_triggers!$1:$1,0)-MATCH($F$1,[3]enemy_skill_triggers!$1:$1,0)+1),MATCH(K$1,[3]enemy_skill_triggers!$1:$1,0)-MATCH($F$1,[3]enemy_skill_triggers!$1:$1,0)+1,FALSE)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7" s="42" t="str">
        <f ca="1">VLOOKUP($F47,OFFSET([3]enemy_skill_triggers!$A$1,0,0,COUNTA([3]enemy_skill_triggers!$A:$A),MATCH(L$1,[3]enemy_skill_triggers!$1:$1,0)-MATCH($F$1,[3]enemy_skill_triggers!$1:$1,0)+1),MATCH(L$1,[3]enemy_skill_triggers!$1:$1,0)-MATCH($F$1,[3]enemy_skill_triggers!$1:$1,0)+1,FALSE)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47" s="42">
        <f ca="1">VLOOKUP($F47,OFFSET([3]enemy_skill_triggers!$A$1,0,0,COUNTA([3]enemy_skill_triggers!$A:$A),MATCH(M$1,[3]enemy_skill_triggers!$1:$1,0)-MATCH($F$1,[3]enemy_skill_triggers!$1:$1,0)+1),MATCH(M$1,[3]enemy_skill_triggers!$1:$1,0)-MATCH($F$1,[3]enemy_skill_triggers!$1:$1,0)+1,FALSE)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4</v>
      </c>
      <c r="N47" s="42" t="str">
        <f ca="1">VLOOKUP($F47,OFFSET([3]enemy_skill_triggers!$A$1,0,0,COUNTA([3]enemy_skill_triggers!$A:$A),MATCH(N$1,[3]enemy_skill_triggers!$1:$1,0)-MATCH($F$1,[3]enemy_skill_triggers!$1:$1,0)+1),MATCH(N$1,[3]enemy_skill_triggers!$1:$1,0)-MATCH($F$1,[3]enemy_skill_triggers!$1:$1,0)+1,FALSE)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7" s="42">
        <f ca="1">VLOOKUP($F47,OFFSET([3]enemy_skill_triggers!$A$1,0,0,COUNTA([3]enemy_skill_triggers!$A:$A),MATCH(O$1,[3]enemy_skill_triggers!$1:$1,0)-MATCH($F$1,[3]enemy_skill_triggers!$1:$1,0)+1),MATCH(O$1,[3]enemy_skill_triggers!$1:$1,0)-MATCH($F$1,[3]enemy_skill_triggers!$1:$1,0)+1,FALSE)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7" s="41"/>
      <c r="Q47" s="41"/>
      <c r="R47" s="41"/>
    </row>
    <row r="48" spans="1:18" ht="21" customHeight="1" x14ac:dyDescent="0.15">
      <c r="A48" s="33" t="str">
        <f t="shared" si="0"/>
        <v>47013006_47013607</v>
      </c>
      <c r="B48" s="187">
        <v>47013006</v>
      </c>
      <c r="C48" s="192">
        <v>47013607</v>
      </c>
      <c r="D48" s="40" t="str">
        <f ca="1">VLOOKUP($C48,OFFSET([3]enemy_skills!$A$1,0,0,COUNTA([3]enemy_skills!$A:$A),MATCH(D$1,[3]enemy_skills!$1:$1,0)-MATCH("enemy_skill_id",[3]enemy_skills!$1:$1,0)+1),MATCH(D$1,[3]enemy_skills!$1:$1,0)-MATCH("enemy_skill_id",[3]enemy_skills!$1:$1,0)+1,FALSE)</f>
        <v>そうだ！全ては私の意のままに…！！</v>
      </c>
      <c r="E48" s="40" t="str">
        <f ca="1">VLOOKUP($C48,OFFSET([3]enemy_skills!$A$1,0,0,COUNTA([3]enemy_skills!$A:$A),MATCH(E$1,[3]enemy_skills!$1:$1,0)-MATCH("enemy_skill_id",[3]enemy_skills!$1:$1,0)+1),MATCH(E$1,[3]enemy_skills!$1:$1,0)-MATCH("enemy_skill_id",[3]enemy_skills!$1:$1,0)+1,FALSE)</f>
        <v>属性パネルを5色のボムパネルに1個ずつ変換+_x000D_属性パネルをCBPに3個変換+クリティカル！</v>
      </c>
      <c r="F48" s="192">
        <v>47013607</v>
      </c>
      <c r="G48" s="42">
        <f ca="1">VLOOKUP($F48,OFFSET([3]enemy_skill_triggers!$A$1,0,0,COUNTA([3]enemy_skill_triggers!$A:$A),MATCH(G$1,[3]enemy_skill_triggers!$1:$1,0)-MATCH($F$1,[3]enemy_skill_triggers!$1:$1,0)+1),MATCH(G$1,[3]enemy_skill_triggers!$1:$1,0)-MATCH($F$1,[3]enemy_skill_triggers!$1:$1,0)+1,FALSE)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8" s="42">
        <f ca="1">VLOOKUP($F48,OFFSET([3]enemy_skill_triggers!$A$1,0,0,COUNTA([3]enemy_skill_triggers!$A:$A),MATCH(H$1,[3]enemy_skill_triggers!$1:$1,0)-MATCH($F$1,[3]enemy_skill_triggers!$1:$1,0)+1),MATCH(H$1,[3]enemy_skill_triggers!$1:$1,0)-MATCH($F$1,[3]enemy_skill_triggers!$1:$1,0)+1,FALSE)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170</v>
      </c>
      <c r="I48" s="42">
        <f ca="1">VLOOKUP($F48,OFFSET([3]enemy_skill_triggers!$A$1,0,0,COUNTA([3]enemy_skill_triggers!$A:$A),MATCH(I$1,[3]enemy_skill_triggers!$1:$1,0)-MATCH($F$1,[3]enemy_skill_triggers!$1:$1,0)+1),MATCH(I$1,[3]enemy_skill_triggers!$1:$1,0)-MATCH($F$1,[3]enemy_skill_triggers!$1:$1,0)+1,FALSE)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8" s="42" t="str">
        <f ca="1">VLOOKUP($F48,OFFSET([3]enemy_skill_triggers!$A$1,0,0,COUNTA([3]enemy_skill_triggers!$A:$A),MATCH(J$1,[3]enemy_skill_triggers!$1:$1,0)-MATCH($F$1,[3]enemy_skill_triggers!$1:$1,0)+1),MATCH(J$1,[3]enemy_skill_triggers!$1:$1,0)-MATCH($F$1,[3]enemy_skill_triggers!$1:$1,0)+1,FALSE)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8" s="42" t="str">
        <f ca="1">VLOOKUP($F48,OFFSET([3]enemy_skill_triggers!$A$1,0,0,COUNTA([3]enemy_skill_triggers!$A:$A),MATCH(K$1,[3]enemy_skill_triggers!$1:$1,0)-MATCH($F$1,[3]enemy_skill_triggers!$1:$1,0)+1),MATCH(K$1,[3]enemy_skill_triggers!$1:$1,0)-MATCH($F$1,[3]enemy_skill_triggers!$1:$1,0)+1,FALSE)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8" s="42" t="str">
        <f ca="1">VLOOKUP($F48,OFFSET([3]enemy_skill_triggers!$A$1,0,0,COUNTA([3]enemy_skill_triggers!$A:$A),MATCH(L$1,[3]enemy_skill_triggers!$1:$1,0)-MATCH($F$1,[3]enemy_skill_triggers!$1:$1,0)+1),MATCH(L$1,[3]enemy_skill_triggers!$1:$1,0)-MATCH($F$1,[3]enemy_skill_triggers!$1:$1,0)+1,FALSE)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48" s="42">
        <f ca="1">VLOOKUP($F48,OFFSET([3]enemy_skill_triggers!$A$1,0,0,COUNTA([3]enemy_skill_triggers!$A:$A),MATCH(M$1,[3]enemy_skill_triggers!$1:$1,0)-MATCH($F$1,[3]enemy_skill_triggers!$1:$1,0)+1),MATCH(M$1,[3]enemy_skill_triggers!$1:$1,0)-MATCH($F$1,[3]enemy_skill_triggers!$1:$1,0)+1,FALSE)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5</v>
      </c>
      <c r="N48" s="42" t="str">
        <f ca="1">VLOOKUP($F48,OFFSET([3]enemy_skill_triggers!$A$1,0,0,COUNTA([3]enemy_skill_triggers!$A:$A),MATCH(N$1,[3]enemy_skill_triggers!$1:$1,0)-MATCH($F$1,[3]enemy_skill_triggers!$1:$1,0)+1),MATCH(N$1,[3]enemy_skill_triggers!$1:$1,0)-MATCH($F$1,[3]enemy_skill_triggers!$1:$1,0)+1,FALSE)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48" s="42">
        <f ca="1">VLOOKUP($F48,OFFSET([3]enemy_skill_triggers!$A$1,0,0,COUNTA([3]enemy_skill_triggers!$A:$A),MATCH(O$1,[3]enemy_skill_triggers!$1:$1,0)-MATCH($F$1,[3]enemy_skill_triggers!$1:$1,0)+1),MATCH(O$1,[3]enemy_skill_triggers!$1:$1,0)-MATCH($F$1,[3]enemy_skill_triggers!$1:$1,0)+1,FALSE)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8" s="41"/>
      <c r="Q48" s="41"/>
      <c r="R48" s="41"/>
    </row>
    <row r="49" spans="1:18" ht="21" customHeight="1" x14ac:dyDescent="0.15">
      <c r="A49" s="33" t="str">
        <f t="shared" si="0"/>
        <v>47013006_47013610</v>
      </c>
      <c r="B49" s="187">
        <v>47013006</v>
      </c>
      <c r="C49" s="192">
        <v>47013610</v>
      </c>
      <c r="D49" s="40" t="str">
        <f ca="1">VLOOKUP($C49,OFFSET([3]enemy_skills!$A$1,0,0,COUNTA([3]enemy_skills!$A:$A),MATCH(D$1,[3]enemy_skills!$1:$1,0)-MATCH("enemy_skill_id",[3]enemy_skills!$1:$1,0)+1),MATCH(D$1,[3]enemy_skills!$1:$1,0)-MATCH("enemy_skill_id",[3]enemy_skills!$1:$1,0)+1,FALSE)</f>
        <v>グッ…馬鹿な…！_x000D_貴様らごときニ…コノ私が…！！</v>
      </c>
      <c r="E49" s="40" t="str">
        <f ca="1">VLOOKUP($C49,OFFSET([3]enemy_skills!$A$1,0,0,COUNTA([3]enemy_skills!$A:$A),MATCH(E$1,[3]enemy_skills!$1:$1,0)-MATCH("enemy_skill_id",[3]enemy_skills!$1:$1,0)+1),MATCH(E$1,[3]enemy_skills!$1:$1,0)-MATCH("enemy_skill_id",[3]enemy_skills!$1:$1,0)+1,FALSE)</f>
        <v>私ハ…マタ消サレルのか…_x000D_ああ…自我が…薄レテいく……</v>
      </c>
      <c r="F49" s="192">
        <v>47013610</v>
      </c>
      <c r="G49" s="42">
        <f ca="1">VLOOKUP($F49,OFFSET([3]enemy_skill_triggers!$A$1,0,0,COUNTA([3]enemy_skill_triggers!$A:$A),MATCH(G$1,[3]enemy_skill_triggers!$1:$1,0)-MATCH($F$1,[3]enemy_skill_triggers!$1:$1,0)+1),MATCH(G$1,[3]enemy_skill_triggers!$1:$1,0)-MATCH($F$1,[3]enemy_skill_triggers!$1:$1,0)+1,FALSE)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49" s="42">
        <f ca="1">VLOOKUP($F49,OFFSET([3]enemy_skill_triggers!$A$1,0,0,COUNTA([3]enemy_skill_triggers!$A:$A),MATCH(H$1,[3]enemy_skill_triggers!$1:$1,0)-MATCH($F$1,[3]enemy_skill_triggers!$1:$1,0)+1),MATCH(H$1,[3]enemy_skill_triggers!$1:$1,0)-MATCH($F$1,[3]enemy_skill_triggers!$1:$1,0)+1,FALSE)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600</v>
      </c>
      <c r="I49" s="42">
        <f ca="1">VLOOKUP($F49,OFFSET([3]enemy_skill_triggers!$A$1,0,0,COUNTA([3]enemy_skill_triggers!$A:$A),MATCH(I$1,[3]enemy_skill_triggers!$1:$1,0)-MATCH($F$1,[3]enemy_skill_triggers!$1:$1,0)+1),MATCH(I$1,[3]enemy_skill_triggers!$1:$1,0)-MATCH($F$1,[3]enemy_skill_triggers!$1:$1,0)+1,FALSE)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49" s="42" t="str">
        <f ca="1">VLOOKUP($F49,OFFSET([3]enemy_skill_triggers!$A$1,0,0,COUNTA([3]enemy_skill_triggers!$A:$A),MATCH(J$1,[3]enemy_skill_triggers!$1:$1,0)-MATCH($F$1,[3]enemy_skill_triggers!$1:$1,0)+1),MATCH(J$1,[3]enemy_skill_triggers!$1:$1,0)-MATCH($F$1,[3]enemy_skill_triggers!$1:$1,0)+1,FALSE)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49" s="42" t="str">
        <f ca="1">VLOOKUP($F49,OFFSET([3]enemy_skill_triggers!$A$1,0,0,COUNTA([3]enemy_skill_triggers!$A:$A),MATCH(K$1,[3]enemy_skill_triggers!$1:$1,0)-MATCH($F$1,[3]enemy_skill_triggers!$1:$1,0)+1),MATCH(K$1,[3]enemy_skill_triggers!$1:$1,0)-MATCH($F$1,[3]enemy_skill_triggers!$1:$1,0)+1,FALSE)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49" s="42">
        <f ca="1">VLOOKUP($F49,OFFSET([3]enemy_skill_triggers!$A$1,0,0,COUNTA([3]enemy_skill_triggers!$A:$A),MATCH(L$1,[3]enemy_skill_triggers!$1:$1,0)-MATCH($F$1,[3]enemy_skill_triggers!$1:$1,0)+1),MATCH(L$1,[3]enemy_skill_triggers!$1:$1,0)-MATCH($F$1,[3]enemy_skill_triggers!$1:$1,0)+1,FALSE)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0</v>
      </c>
      <c r="M49" s="42" t="str">
        <f ca="1">VLOOKUP($F49,OFFSET([3]enemy_skill_triggers!$A$1,0,0,COUNTA([3]enemy_skill_triggers!$A:$A),MATCH(M$1,[3]enemy_skill_triggers!$1:$1,0)-MATCH($F$1,[3]enemy_skill_triggers!$1:$1,0)+1),MATCH(M$1,[3]enemy_skill_triggers!$1:$1,0)-MATCH($F$1,[3]enemy_skill_triggers!$1:$1,0)+1,FALSE)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49" s="42">
        <f ca="1">VLOOKUP($F49,OFFSET([3]enemy_skill_triggers!$A$1,0,0,COUNTA([3]enemy_skill_triggers!$A:$A),MATCH(N$1,[3]enemy_skill_triggers!$1:$1,0)-MATCH($F$1,[3]enemy_skill_triggers!$1:$1,0)+1),MATCH(N$1,[3]enemy_skill_triggers!$1:$1,0)-MATCH($F$1,[3]enemy_skill_triggers!$1:$1,0)+1,FALSE)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0</v>
      </c>
      <c r="O49" s="42">
        <f ca="1">VLOOKUP($F49,OFFSET([3]enemy_skill_triggers!$A$1,0,0,COUNTA([3]enemy_skill_triggers!$A:$A),MATCH(O$1,[3]enemy_skill_triggers!$1:$1,0)-MATCH($F$1,[3]enemy_skill_triggers!$1:$1,0)+1),MATCH(O$1,[3]enemy_skill_triggers!$1:$1,0)-MATCH($F$1,[3]enemy_skill_triggers!$1:$1,0)+1,FALSE)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49" s="41"/>
      <c r="Q49" s="41"/>
      <c r="R49" s="41"/>
    </row>
    <row r="50" spans="1:18" ht="21" customHeight="1" x14ac:dyDescent="0.15">
      <c r="A50" s="33" t="str">
        <f t="shared" si="0"/>
        <v>47013006_47013611</v>
      </c>
      <c r="B50" s="187">
        <v>47013006</v>
      </c>
      <c r="C50" s="193">
        <v>47013611</v>
      </c>
      <c r="D50" s="40" t="str">
        <f ca="1">VLOOKUP($C50,OFFSET([3]enemy_skills!$A$1,0,0,COUNTA([3]enemy_skills!$A:$A),MATCH(D$1,[3]enemy_skills!$1:$1,0)-MATCH("enemy_skill_id",[3]enemy_skills!$1:$1,0)+1),MATCH(D$1,[3]enemy_skills!$1:$1,0)-MATCH("enemy_skill_id",[3]enemy_skills!$1:$1,0)+1,FALSE)</f>
        <v>馬鹿な…貴様らごときに…コノ私が…_x000D_ア…ア…自我が…薄レテいく…</v>
      </c>
      <c r="E50" s="40" t="str">
        <f ca="1">VLOOKUP($C50,OFFSET([3]enemy_skills!$A$1,0,0,COUNTA([3]enemy_skills!$A:$A),MATCH(E$1,[3]enemy_skills!$1:$1,0)-MATCH("enemy_skill_id",[3]enemy_skills!$1:$1,0)+1),MATCH(E$1,[3]enemy_skills!$1:$1,0)-MATCH("enemy_skill_id",[3]enemy_skills!$1:$1,0)+1,FALSE)</f>
        <v>私ハ…マタ棄テラレルのカ…_x000D_ワタシノ存在意義…イキル…意味ヲ…</v>
      </c>
      <c r="F50" s="193">
        <v>47013611</v>
      </c>
      <c r="G50" s="42">
        <f ca="1">VLOOKUP($F50,OFFSET([3]enemy_skill_triggers!$A$1,0,0,COUNTA([3]enemy_skill_triggers!$A:$A),MATCH(G$1,[3]enemy_skill_triggers!$1:$1,0)-MATCH($F$1,[3]enemy_skill_triggers!$1:$1,0)+1),MATCH(G$1,[3]enemy_skill_triggers!$1:$1,0)-MATCH($F$1,[3]enemy_skill_triggers!$1:$1,0)+1,FALSE)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0" s="42">
        <f ca="1">VLOOKUP($F50,OFFSET([3]enemy_skill_triggers!$A$1,0,0,COUNTA([3]enemy_skill_triggers!$A:$A),MATCH(H$1,[3]enemy_skill_triggers!$1:$1,0)-MATCH($F$1,[3]enemy_skill_triggers!$1:$1,0)+1),MATCH(H$1,[3]enemy_skill_triggers!$1:$1,0)-MATCH($F$1,[3]enemy_skill_triggers!$1:$1,0)+1,FALSE)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610</v>
      </c>
      <c r="I50" s="42">
        <f ca="1">VLOOKUP($F50,OFFSET([3]enemy_skill_triggers!$A$1,0,0,COUNTA([3]enemy_skill_triggers!$A:$A),MATCH(I$1,[3]enemy_skill_triggers!$1:$1,0)-MATCH($F$1,[3]enemy_skill_triggers!$1:$1,0)+1),MATCH(I$1,[3]enemy_skill_triggers!$1:$1,0)-MATCH($F$1,[3]enemy_skill_triggers!$1:$1,0)+1,FALSE)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50" s="42" t="str">
        <f ca="1">VLOOKUP($F50,OFFSET([3]enemy_skill_triggers!$A$1,0,0,COUNTA([3]enemy_skill_triggers!$A:$A),MATCH(J$1,[3]enemy_skill_triggers!$1:$1,0)-MATCH($F$1,[3]enemy_skill_triggers!$1:$1,0)+1),MATCH(J$1,[3]enemy_skill_triggers!$1:$1,0)-MATCH($F$1,[3]enemy_skill_triggers!$1:$1,0)+1,FALSE)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0" s="42" t="str">
        <f ca="1">VLOOKUP($F50,OFFSET([3]enemy_skill_triggers!$A$1,0,0,COUNTA([3]enemy_skill_triggers!$A:$A),MATCH(K$1,[3]enemy_skill_triggers!$1:$1,0)-MATCH($F$1,[3]enemy_skill_triggers!$1:$1,0)+1),MATCH(K$1,[3]enemy_skill_triggers!$1:$1,0)-MATCH($F$1,[3]enemy_skill_triggers!$1:$1,0)+1,FALSE)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0" s="42">
        <f ca="1">VLOOKUP($F50,OFFSET([3]enemy_skill_triggers!$A$1,0,0,COUNTA([3]enemy_skill_triggers!$A:$A),MATCH(L$1,[3]enemy_skill_triggers!$1:$1,0)-MATCH($F$1,[3]enemy_skill_triggers!$1:$1,0)+1),MATCH(L$1,[3]enemy_skill_triggers!$1:$1,0)-MATCH($F$1,[3]enemy_skill_triggers!$1:$1,0)+1,FALSE)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0</v>
      </c>
      <c r="M50" s="42" t="str">
        <f ca="1">VLOOKUP($F50,OFFSET([3]enemy_skill_triggers!$A$1,0,0,COUNTA([3]enemy_skill_triggers!$A:$A),MATCH(M$1,[3]enemy_skill_triggers!$1:$1,0)-MATCH($F$1,[3]enemy_skill_triggers!$1:$1,0)+1),MATCH(M$1,[3]enemy_skill_triggers!$1:$1,0)-MATCH($F$1,[3]enemy_skill_triggers!$1:$1,0)+1,FALSE)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0" s="42">
        <f ca="1">VLOOKUP($F50,OFFSET([3]enemy_skill_triggers!$A$1,0,0,COUNTA([3]enemy_skill_triggers!$A:$A),MATCH(N$1,[3]enemy_skill_triggers!$1:$1,0)-MATCH($F$1,[3]enemy_skill_triggers!$1:$1,0)+1),MATCH(N$1,[3]enemy_skill_triggers!$1:$1,0)-MATCH($F$1,[3]enemy_skill_triggers!$1:$1,0)+1,FALSE)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1490</v>
      </c>
      <c r="O50" s="42">
        <f ca="1">VLOOKUP($F50,OFFSET([3]enemy_skill_triggers!$A$1,0,0,COUNTA([3]enemy_skill_triggers!$A:$A),MATCH(O$1,[3]enemy_skill_triggers!$1:$1,0)-MATCH($F$1,[3]enemy_skill_triggers!$1:$1,0)+1),MATCH(O$1,[3]enemy_skill_triggers!$1:$1,0)-MATCH($F$1,[3]enemy_skill_triggers!$1:$1,0)+1,FALSE)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50" s="41"/>
      <c r="Q50" s="41"/>
      <c r="R50" s="41"/>
    </row>
    <row r="51" spans="1:18" ht="21" customHeight="1" thickBot="1" x14ac:dyDescent="0.2">
      <c r="A51" s="33" t="str">
        <f t="shared" si="0"/>
        <v>47013006_47013611</v>
      </c>
      <c r="B51" s="194">
        <v>47013006</v>
      </c>
      <c r="C51" s="195">
        <v>47013611</v>
      </c>
      <c r="D51" s="196" t="str">
        <f ca="1">VLOOKUP($C51,OFFSET([3]enemy_skills!$A$1,0,0,COUNTA([3]enemy_skills!$A:$A),MATCH(D$1,[3]enemy_skills!$1:$1,0)-MATCH("enemy_skill_id",[3]enemy_skills!$1:$1,0)+1),MATCH(D$1,[3]enemy_skills!$1:$1,0)-MATCH("enemy_skill_id",[3]enemy_skills!$1:$1,0)+1,FALSE)</f>
        <v>馬鹿な…貴様らごときに…コノ私が…_x000D_ア…ア…自我が…薄レテいく…</v>
      </c>
      <c r="E51" s="196" t="str">
        <f ca="1">VLOOKUP($C51,OFFSET([3]enemy_skills!$A$1,0,0,COUNTA([3]enemy_skills!$A:$A),MATCH(E$1,[3]enemy_skills!$1:$1,0)-MATCH("enemy_skill_id",[3]enemy_skills!$1:$1,0)+1),MATCH(E$1,[3]enemy_skills!$1:$1,0)-MATCH("enemy_skill_id",[3]enemy_skills!$1:$1,0)+1,FALSE)</f>
        <v>私ハ…マタ棄テラレルのカ…_x000D_ワタシノ存在意義…イキル…意味ヲ…</v>
      </c>
      <c r="F51" s="195">
        <v>47013612</v>
      </c>
      <c r="G51" s="197">
        <f ca="1">VLOOKUP($F51,OFFSET([3]enemy_skill_triggers!$A$1,0,0,COUNTA([3]enemy_skill_triggers!$A:$A),MATCH(G$1,[3]enemy_skill_triggers!$1:$1,0)-MATCH($F$1,[3]enemy_skill_triggers!$1:$1,0)+1),MATCH(G$1,[3]enemy_skill_triggers!$1:$1,0)-MATCH($F$1,[3]enemy_skill_triggers!$1:$1,0)+1,FALSE)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1" s="197">
        <f ca="1">VLOOKUP($F51,OFFSET([3]enemy_skill_triggers!$A$1,0,0,COUNTA([3]enemy_skill_triggers!$A:$A),MATCH(H$1,[3]enemy_skill_triggers!$1:$1,0)-MATCH($F$1,[3]enemy_skill_triggers!$1:$1,0)+1),MATCH(H$1,[3]enemy_skill_triggers!$1:$1,0)-MATCH($F$1,[3]enemy_skill_triggers!$1:$1,0)+1,FALSE)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620</v>
      </c>
      <c r="I51" s="197">
        <f ca="1">VLOOKUP($F51,OFFSET([3]enemy_skill_triggers!$A$1,0,0,COUNTA([3]enemy_skill_triggers!$A:$A),MATCH(I$1,[3]enemy_skill_triggers!$1:$1,0)-MATCH($F$1,[3]enemy_skill_triggers!$1:$1,0)+1),MATCH(I$1,[3]enemy_skill_triggers!$1:$1,0)-MATCH($F$1,[3]enemy_skill_triggers!$1:$1,0)+1,FALSE)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51" s="197" t="str">
        <f ca="1">VLOOKUP($F51,OFFSET([3]enemy_skill_triggers!$A$1,0,0,COUNTA([3]enemy_skill_triggers!$A:$A),MATCH(J$1,[3]enemy_skill_triggers!$1:$1,0)-MATCH($F$1,[3]enemy_skill_triggers!$1:$1,0)+1),MATCH(J$1,[3]enemy_skill_triggers!$1:$1,0)-MATCH($F$1,[3]enemy_skill_triggers!$1:$1,0)+1,FALSE)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1" s="197" t="str">
        <f ca="1">VLOOKUP($F51,OFFSET([3]enemy_skill_triggers!$A$1,0,0,COUNTA([3]enemy_skill_triggers!$A:$A),MATCH(K$1,[3]enemy_skill_triggers!$1:$1,0)-MATCH($F$1,[3]enemy_skill_triggers!$1:$1,0)+1),MATCH(K$1,[3]enemy_skill_triggers!$1:$1,0)-MATCH($F$1,[3]enemy_skill_triggers!$1:$1,0)+1,FALSE)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1" s="197">
        <f ca="1">VLOOKUP($F51,OFFSET([3]enemy_skill_triggers!$A$1,0,0,COUNTA([3]enemy_skill_triggers!$A:$A),MATCH(L$1,[3]enemy_skill_triggers!$1:$1,0)-MATCH($F$1,[3]enemy_skill_triggers!$1:$1,0)+1),MATCH(L$1,[3]enemy_skill_triggers!$1:$1,0)-MATCH($F$1,[3]enemy_skill_triggers!$1:$1,0)+1,FALSE)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0</v>
      </c>
      <c r="M51" s="197" t="str">
        <f ca="1">VLOOKUP($F51,OFFSET([3]enemy_skill_triggers!$A$1,0,0,COUNTA([3]enemy_skill_triggers!$A:$A),MATCH(M$1,[3]enemy_skill_triggers!$1:$1,0)-MATCH($F$1,[3]enemy_skill_triggers!$1:$1,0)+1),MATCH(M$1,[3]enemy_skill_triggers!$1:$1,0)-MATCH($F$1,[3]enemy_skill_triggers!$1:$1,0)+1,FALSE)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1" s="197">
        <f ca="1">VLOOKUP($F51,OFFSET([3]enemy_skill_triggers!$A$1,0,0,COUNTA([3]enemy_skill_triggers!$A:$A),MATCH(N$1,[3]enemy_skill_triggers!$1:$1,0)-MATCH($F$1,[3]enemy_skill_triggers!$1:$1,0)+1),MATCH(N$1,[3]enemy_skill_triggers!$1:$1,0)-MATCH($F$1,[3]enemy_skill_triggers!$1:$1,0)+1,FALSE)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1491</v>
      </c>
      <c r="O51" s="197">
        <f ca="1">VLOOKUP($F51,OFFSET([3]enemy_skill_triggers!$A$1,0,0,COUNTA([3]enemy_skill_triggers!$A:$A),MATCH(O$1,[3]enemy_skill_triggers!$1:$1,0)-MATCH($F$1,[3]enemy_skill_triggers!$1:$1,0)+1),MATCH(O$1,[3]enemy_skill_triggers!$1:$1,0)-MATCH($F$1,[3]enemy_skill_triggers!$1:$1,0)+1,FALSE)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51" s="41"/>
      <c r="Q51" s="41"/>
      <c r="R51" s="41"/>
    </row>
    <row r="52" spans="1:18" ht="21" customHeight="1" thickTop="1" x14ac:dyDescent="0.15">
      <c r="A52" s="33" t="str">
        <f t="shared" si="0"/>
        <v>47013011_47013111</v>
      </c>
      <c r="B52" s="198">
        <v>47013011</v>
      </c>
      <c r="C52" s="199">
        <v>47013111</v>
      </c>
      <c r="D52" s="200" t="str">
        <f ca="1">VLOOKUP($C52,OFFSET([3]enemy_skills!$A$1,0,0,COUNTA([3]enemy_skills!$A:$A),MATCH(D$1,[3]enemy_skills!$1:$1,0)-MATCH("enemy_skill_id",[3]enemy_skills!$1:$1,0)+1),MATCH(D$1,[3]enemy_skills!$1:$1,0)-MATCH("enemy_skill_id",[3]enemy_skills!$1:$1,0)+1,FALSE)</f>
        <v>本気でいくから…本気でかかってきなさいっ！</v>
      </c>
      <c r="E52" s="200" t="str">
        <f ca="1">VLOOKUP($C52,OFFSET([3]enemy_skills!$A$1,0,0,COUNTA([3]enemy_skills!$A:$A),MATCH(E$1,[3]enemy_skills!$1:$1,0)-MATCH("enemy_skill_id",[3]enemy_skills!$1:$1,0)+1),MATCH(E$1,[3]enemy_skills!$1:$1,0)-MATCH("enemy_skill_id",[3]enemy_skills!$1:$1,0)+1,FALSE)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状態異常耐性+_x000D_回復&amp;体力タイプのユニットの_x000D_攻撃力大UP&amp;スキルゲージを5ターン減少</v>
      </c>
      <c r="F52" s="201">
        <v>47013101</v>
      </c>
      <c r="G52" s="198">
        <f ca="1">VLOOKUP($F52,OFFSET([3]enemy_skill_triggers!$A$1,0,0,COUNTA([3]enemy_skill_triggers!$A:$A),MATCH(G$1,[3]enemy_skill_triggers!$1:$1,0)-MATCH($F$1,[3]enemy_skill_triggers!$1:$1,0)+1),MATCH(G$1,[3]enemy_skill_triggers!$1:$1,0)-MATCH($F$1,[3]enemy_skill_triggers!$1:$1,0)+1,FALSE)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52" s="198">
        <f ca="1">VLOOKUP($F52,OFFSET([3]enemy_skill_triggers!$A$1,0,0,COUNTA([3]enemy_skill_triggers!$A:$A),MATCH(H$1,[3]enemy_skill_triggers!$1:$1,0)-MATCH($F$1,[3]enemy_skill_triggers!$1:$1,0)+1),MATCH(H$1,[3]enemy_skill_triggers!$1:$1,0)-MATCH($F$1,[3]enemy_skill_triggers!$1:$1,0)+1,FALSE)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52" s="198">
        <f ca="1">VLOOKUP($F52,OFFSET([3]enemy_skill_triggers!$A$1,0,0,COUNTA([3]enemy_skill_triggers!$A:$A),MATCH(I$1,[3]enemy_skill_triggers!$1:$1,0)-MATCH($F$1,[3]enemy_skill_triggers!$1:$1,0)+1),MATCH(I$1,[3]enemy_skill_triggers!$1:$1,0)-MATCH($F$1,[3]enemy_skill_triggers!$1:$1,0)+1,FALSE)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52" s="198" t="str">
        <f ca="1">VLOOKUP($F52,OFFSET([3]enemy_skill_triggers!$A$1,0,0,COUNTA([3]enemy_skill_triggers!$A:$A),MATCH(J$1,[3]enemy_skill_triggers!$1:$1,0)-MATCH($F$1,[3]enemy_skill_triggers!$1:$1,0)+1),MATCH(J$1,[3]enemy_skill_triggers!$1:$1,0)-MATCH($F$1,[3]enemy_skill_triggers!$1:$1,0)+1,FALSE)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2" s="198" t="str">
        <f ca="1">VLOOKUP($F52,OFFSET([3]enemy_skill_triggers!$A$1,0,0,COUNTA([3]enemy_skill_triggers!$A:$A),MATCH(K$1,[3]enemy_skill_triggers!$1:$1,0)-MATCH($F$1,[3]enemy_skill_triggers!$1:$1,0)+1),MATCH(K$1,[3]enemy_skill_triggers!$1:$1,0)-MATCH($F$1,[3]enemy_skill_triggers!$1:$1,0)+1,FALSE)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2" s="198">
        <f ca="1">VLOOKUP($F52,OFFSET([3]enemy_skill_triggers!$A$1,0,0,COUNTA([3]enemy_skill_triggers!$A:$A),MATCH(L$1,[3]enemy_skill_triggers!$1:$1,0)-MATCH($F$1,[3]enemy_skill_triggers!$1:$1,0)+1),MATCH(L$1,[3]enemy_skill_triggers!$1:$1,0)-MATCH($F$1,[3]enemy_skill_triggers!$1:$1,0)+1,FALSE)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52" s="198" t="str">
        <f ca="1">VLOOKUP($F52,OFFSET([3]enemy_skill_triggers!$A$1,0,0,COUNTA([3]enemy_skill_triggers!$A:$A),MATCH(M$1,[3]enemy_skill_triggers!$1:$1,0)-MATCH($F$1,[3]enemy_skill_triggers!$1:$1,0)+1),MATCH(M$1,[3]enemy_skill_triggers!$1:$1,0)-MATCH($F$1,[3]enemy_skill_triggers!$1:$1,0)+1,FALSE)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2" s="198" t="str">
        <f ca="1">VLOOKUP($F52,OFFSET([3]enemy_skill_triggers!$A$1,0,0,COUNTA([3]enemy_skill_triggers!$A:$A),MATCH(N$1,[3]enemy_skill_triggers!$1:$1,0)-MATCH($F$1,[3]enemy_skill_triggers!$1:$1,0)+1),MATCH(N$1,[3]enemy_skill_triggers!$1:$1,0)-MATCH($F$1,[3]enemy_skill_triggers!$1:$1,0)+1,FALSE)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2" s="198">
        <f ca="1">VLOOKUP($F52,OFFSET([3]enemy_skill_triggers!$A$1,0,0,COUNTA([3]enemy_skill_triggers!$A:$A),MATCH(O$1,[3]enemy_skill_triggers!$1:$1,0)-MATCH($F$1,[3]enemy_skill_triggers!$1:$1,0)+1),MATCH(O$1,[3]enemy_skill_triggers!$1:$1,0)-MATCH($F$1,[3]enemy_skill_triggers!$1:$1,0)+1,FALSE)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52" s="41"/>
      <c r="Q52" s="41"/>
      <c r="R52" s="41"/>
    </row>
    <row r="53" spans="1:18" ht="21" customHeight="1" x14ac:dyDescent="0.15">
      <c r="A53" s="33" t="str">
        <f t="shared" si="0"/>
        <v>47013011_47013102</v>
      </c>
      <c r="B53" s="42">
        <v>47013011</v>
      </c>
      <c r="C53" s="186">
        <v>47013102</v>
      </c>
      <c r="D53" s="202" t="str">
        <f ca="1">VLOOKUP($C53,OFFSET([3]enemy_skills!$A$1,0,0,COUNTA([3]enemy_skills!$A:$A),MATCH(D$1,[3]enemy_skills!$1:$1,0)-MATCH("enemy_skill_id",[3]enemy_skills!$1:$1,0)+1),MATCH(D$1,[3]enemy_skills!$1:$1,0)-MATCH("enemy_skill_id",[3]enemy_skills!$1:$1,0)+1,FALSE)</f>
        <v>さあ、盛り上がっていくわよ！</v>
      </c>
      <c r="E53" s="202" t="str">
        <f ca="1">VLOOKUP($C53,OFFSET([3]enemy_skills!$A$1,0,0,COUNTA([3]enemy_skills!$A:$A),MATCH(E$1,[3]enemy_skills!$1:$1,0)-MATCH("enemy_skill_id",[3]enemy_skills!$1:$1,0)+1),MATCH(E$1,[3]enemy_skills!$1:$1,0)-MATCH("enemy_skill_id",[3]enemy_skills!$1:$1,0)+1,FALSE)</f>
        <v>10ターン緑パネルドロップ率DOWN+_x000D_全体攻撃+行動頻度UP</v>
      </c>
      <c r="F53" s="186">
        <v>47013102</v>
      </c>
      <c r="G53" s="42">
        <f ca="1">VLOOKUP($F53,OFFSET([3]enemy_skill_triggers!$A$1,0,0,COUNTA([3]enemy_skill_triggers!$A:$A),MATCH(G$1,[3]enemy_skill_triggers!$1:$1,0)-MATCH($F$1,[3]enemy_skill_triggers!$1:$1,0)+1),MATCH(G$1,[3]enemy_skill_triggers!$1:$1,0)-MATCH($F$1,[3]enemy_skill_triggers!$1:$1,0)+1,FALSE)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3" s="42">
        <f ca="1">VLOOKUP($F53,OFFSET([3]enemy_skill_triggers!$A$1,0,0,COUNTA([3]enemy_skill_triggers!$A:$A),MATCH(H$1,[3]enemy_skill_triggers!$1:$1,0)-MATCH($F$1,[3]enemy_skill_triggers!$1:$1,0)+1),MATCH(H$1,[3]enemy_skill_triggers!$1:$1,0)-MATCH($F$1,[3]enemy_skill_triggers!$1:$1,0)+1,FALSE)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53" s="42">
        <f ca="1">VLOOKUP($F53,OFFSET([3]enemy_skill_triggers!$A$1,0,0,COUNTA([3]enemy_skill_triggers!$A:$A),MATCH(I$1,[3]enemy_skill_triggers!$1:$1,0)-MATCH($F$1,[3]enemy_skill_triggers!$1:$1,0)+1),MATCH(I$1,[3]enemy_skill_triggers!$1:$1,0)-MATCH($F$1,[3]enemy_skill_triggers!$1:$1,0)+1,FALSE)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53" s="42" t="str">
        <f ca="1">VLOOKUP($F53,OFFSET([3]enemy_skill_triggers!$A$1,0,0,COUNTA([3]enemy_skill_triggers!$A:$A),MATCH(J$1,[3]enemy_skill_triggers!$1:$1,0)-MATCH($F$1,[3]enemy_skill_triggers!$1:$1,0)+1),MATCH(J$1,[3]enemy_skill_triggers!$1:$1,0)-MATCH($F$1,[3]enemy_skill_triggers!$1:$1,0)+1,FALSE)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3" s="42" t="str">
        <f ca="1">VLOOKUP($F53,OFFSET([3]enemy_skill_triggers!$A$1,0,0,COUNTA([3]enemy_skill_triggers!$A:$A),MATCH(K$1,[3]enemy_skill_triggers!$1:$1,0)-MATCH($F$1,[3]enemy_skill_triggers!$1:$1,0)+1),MATCH(K$1,[3]enemy_skill_triggers!$1:$1,0)-MATCH($F$1,[3]enemy_skill_triggers!$1:$1,0)+1,FALSE)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3" s="42">
        <f ca="1">VLOOKUP($F53,OFFSET([3]enemy_skill_triggers!$A$1,0,0,COUNTA([3]enemy_skill_triggers!$A:$A),MATCH(L$1,[3]enemy_skill_triggers!$1:$1,0)-MATCH($F$1,[3]enemy_skill_triggers!$1:$1,0)+1),MATCH(L$1,[3]enemy_skill_triggers!$1:$1,0)-MATCH($F$1,[3]enemy_skill_triggers!$1:$1,0)+1,FALSE)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53" s="42">
        <f ca="1">VLOOKUP($F53,OFFSET([3]enemy_skill_triggers!$A$1,0,0,COUNTA([3]enemy_skill_triggers!$A:$A),MATCH(M$1,[3]enemy_skill_triggers!$1:$1,0)-MATCH($F$1,[3]enemy_skill_triggers!$1:$1,0)+1),MATCH(M$1,[3]enemy_skill_triggers!$1:$1,0)-MATCH($F$1,[3]enemy_skill_triggers!$1:$1,0)+1,FALSE)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53" s="42" t="str">
        <f ca="1">VLOOKUP($F53,OFFSET([3]enemy_skill_triggers!$A$1,0,0,COUNTA([3]enemy_skill_triggers!$A:$A),MATCH(N$1,[3]enemy_skill_triggers!$1:$1,0)-MATCH($F$1,[3]enemy_skill_triggers!$1:$1,0)+1),MATCH(N$1,[3]enemy_skill_triggers!$1:$1,0)-MATCH($F$1,[3]enemy_skill_triggers!$1:$1,0)+1,FALSE)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3" s="42">
        <f ca="1">VLOOKUP($F53,OFFSET([3]enemy_skill_triggers!$A$1,0,0,COUNTA([3]enemy_skill_triggers!$A:$A),MATCH(O$1,[3]enemy_skill_triggers!$1:$1,0)-MATCH($F$1,[3]enemy_skill_triggers!$1:$1,0)+1),MATCH(O$1,[3]enemy_skill_triggers!$1:$1,0)-MATCH($F$1,[3]enemy_skill_triggers!$1:$1,0)+1,FALSE)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53" s="41"/>
      <c r="Q53" s="41"/>
      <c r="R53" s="41"/>
    </row>
    <row r="54" spans="1:18" ht="21" customHeight="1" x14ac:dyDescent="0.15">
      <c r="A54" s="33" t="str">
        <f t="shared" si="0"/>
        <v>47013011_47013103</v>
      </c>
      <c r="B54" s="42">
        <v>47013011</v>
      </c>
      <c r="C54" s="186">
        <v>47013103</v>
      </c>
      <c r="D54" s="202" t="str">
        <f ca="1">VLOOKUP($C54,OFFSET([3]enemy_skills!$A$1,0,0,COUNTA([3]enemy_skills!$A:$A),MATCH(D$1,[3]enemy_skills!$1:$1,0)-MATCH("enemy_skill_id",[3]enemy_skills!$1:$1,0)+1),MATCH(D$1,[3]enemy_skills!$1:$1,0)-MATCH("enemy_skill_id",[3]enemy_skills!$1:$1,0)+1,FALSE)</f>
        <v>みんなまとめて撃ち抜いちゃうから！</v>
      </c>
      <c r="E54" s="202" t="str">
        <f ca="1">VLOOKUP($C54,OFFSET([3]enemy_skills!$A$1,0,0,COUNTA([3]enemy_skills!$A:$A),MATCH(E$1,[3]enemy_skills!$1:$1,0)-MATCH("enemy_skill_id",[3]enemy_skills!$1:$1,0)+1),MATCH(E$1,[3]enemy_skills!$1:$1,0)-MATCH("enemy_skill_id",[3]enemy_skills!$1:$1,0)+1,FALSE)</f>
        <v>緑パネルを赤ボムパネルに変換+_x000D_赤パネルを黄パネルに変換+_x000D_6回連続攻撃</v>
      </c>
      <c r="F54" s="186">
        <v>47013103</v>
      </c>
      <c r="G54" s="42">
        <f ca="1">VLOOKUP($F54,OFFSET([3]enemy_skill_triggers!$A$1,0,0,COUNTA([3]enemy_skill_triggers!$A:$A),MATCH(G$1,[3]enemy_skill_triggers!$1:$1,0)-MATCH($F$1,[3]enemy_skill_triggers!$1:$1,0)+1),MATCH(G$1,[3]enemy_skill_triggers!$1:$1,0)-MATCH($F$1,[3]enemy_skill_triggers!$1:$1,0)+1,FALSE)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4" s="42">
        <f ca="1">VLOOKUP($F54,OFFSET([3]enemy_skill_triggers!$A$1,0,0,COUNTA([3]enemy_skill_triggers!$A:$A),MATCH(H$1,[3]enemy_skill_triggers!$1:$1,0)-MATCH($F$1,[3]enemy_skill_triggers!$1:$1,0)+1),MATCH(H$1,[3]enemy_skill_triggers!$1:$1,0)-MATCH($F$1,[3]enemy_skill_triggers!$1:$1,0)+1,FALSE)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200</v>
      </c>
      <c r="I54" s="42">
        <f ca="1">VLOOKUP($F54,OFFSET([3]enemy_skill_triggers!$A$1,0,0,COUNTA([3]enemy_skill_triggers!$A:$A),MATCH(I$1,[3]enemy_skill_triggers!$1:$1,0)-MATCH($F$1,[3]enemy_skill_triggers!$1:$1,0)+1),MATCH(I$1,[3]enemy_skill_triggers!$1:$1,0)-MATCH($F$1,[3]enemy_skill_triggers!$1:$1,0)+1,FALSE)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54" s="42" t="str">
        <f ca="1">VLOOKUP($F54,OFFSET([3]enemy_skill_triggers!$A$1,0,0,COUNTA([3]enemy_skill_triggers!$A:$A),MATCH(J$1,[3]enemy_skill_triggers!$1:$1,0)-MATCH($F$1,[3]enemy_skill_triggers!$1:$1,0)+1),MATCH(J$1,[3]enemy_skill_triggers!$1:$1,0)-MATCH($F$1,[3]enemy_skill_triggers!$1:$1,0)+1,FALSE)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4" s="42" t="str">
        <f ca="1">VLOOKUP($F54,OFFSET([3]enemy_skill_triggers!$A$1,0,0,COUNTA([3]enemy_skill_triggers!$A:$A),MATCH(K$1,[3]enemy_skill_triggers!$1:$1,0)-MATCH($F$1,[3]enemy_skill_triggers!$1:$1,0)+1),MATCH(K$1,[3]enemy_skill_triggers!$1:$1,0)-MATCH($F$1,[3]enemy_skill_triggers!$1:$1,0)+1,FALSE)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4" s="42">
        <f ca="1">VLOOKUP($F54,OFFSET([3]enemy_skill_triggers!$A$1,0,0,COUNTA([3]enemy_skill_triggers!$A:$A),MATCH(L$1,[3]enemy_skill_triggers!$1:$1,0)-MATCH($F$1,[3]enemy_skill_triggers!$1:$1,0)+1),MATCH(L$1,[3]enemy_skill_triggers!$1:$1,0)-MATCH($F$1,[3]enemy_skill_triggers!$1:$1,0)+1,FALSE)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54" s="42">
        <f ca="1">VLOOKUP($F54,OFFSET([3]enemy_skill_triggers!$A$1,0,0,COUNTA([3]enemy_skill_triggers!$A:$A),MATCH(M$1,[3]enemy_skill_triggers!$1:$1,0)-MATCH($F$1,[3]enemy_skill_triggers!$1:$1,0)+1),MATCH(M$1,[3]enemy_skill_triggers!$1:$1,0)-MATCH($F$1,[3]enemy_skill_triggers!$1:$1,0)+1,FALSE)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2</v>
      </c>
      <c r="N54" s="42" t="str">
        <f ca="1">VLOOKUP($F54,OFFSET([3]enemy_skill_triggers!$A$1,0,0,COUNTA([3]enemy_skill_triggers!$A:$A),MATCH(N$1,[3]enemy_skill_triggers!$1:$1,0)-MATCH($F$1,[3]enemy_skill_triggers!$1:$1,0)+1),MATCH(N$1,[3]enemy_skill_triggers!$1:$1,0)-MATCH($F$1,[3]enemy_skill_triggers!$1:$1,0)+1,FALSE)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4" s="42">
        <f ca="1">VLOOKUP($F54,OFFSET([3]enemy_skill_triggers!$A$1,0,0,COUNTA([3]enemy_skill_triggers!$A:$A),MATCH(O$1,[3]enemy_skill_triggers!$1:$1,0)-MATCH($F$1,[3]enemy_skill_triggers!$1:$1,0)+1),MATCH(O$1,[3]enemy_skill_triggers!$1:$1,0)-MATCH($F$1,[3]enemy_skill_triggers!$1:$1,0)+1,FALSE)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54" s="41"/>
      <c r="Q54" s="41"/>
      <c r="R54" s="41"/>
    </row>
    <row r="55" spans="1:18" ht="21" customHeight="1" x14ac:dyDescent="0.15">
      <c r="A55" s="33" t="str">
        <f t="shared" si="0"/>
        <v>47013011_47013104</v>
      </c>
      <c r="B55" s="42">
        <v>47013011</v>
      </c>
      <c r="C55" s="186">
        <v>47013104</v>
      </c>
      <c r="D55" s="202" t="str">
        <f ca="1">VLOOKUP($C55,OFFSET([3]enemy_skills!$A$1,0,0,COUNTA([3]enemy_skills!$A:$A),MATCH(D$1,[3]enemy_skills!$1:$1,0)-MATCH("enemy_skill_id",[3]enemy_skills!$1:$1,0)+1),MATCH(D$1,[3]enemy_skills!$1:$1,0)-MATCH("enemy_skill_id",[3]enemy_skills!$1:$1,0)+1,FALSE)</f>
        <v>これが私の本領発揮！ね！</v>
      </c>
      <c r="E55" s="202" t="str">
        <f ca="1">VLOOKUP($C55,OFFSET([3]enemy_skills!$A$1,0,0,COUNTA([3]enemy_skills!$A:$A),MATCH(E$1,[3]enemy_skills!$1:$1,0)-MATCH("enemy_skill_id",[3]enemy_skills!$1:$1,0)+1),MATCH(E$1,[3]enemy_skills!$1:$1,0)-MATCH("enemy_skill_id",[3]enemy_skills!$1:$1,0)+1,FALSE)</f>
        <v>属性パネルを赤ボムパネルに7個変換+単体攻撃</v>
      </c>
      <c r="F55" s="186">
        <v>47013104</v>
      </c>
      <c r="G55" s="42">
        <f ca="1">VLOOKUP($F55,OFFSET([3]enemy_skill_triggers!$A$1,0,0,COUNTA([3]enemy_skill_triggers!$A:$A),MATCH(G$1,[3]enemy_skill_triggers!$1:$1,0)-MATCH($F$1,[3]enemy_skill_triggers!$1:$1,0)+1),MATCH(G$1,[3]enemy_skill_triggers!$1:$1,0)-MATCH($F$1,[3]enemy_skill_triggers!$1:$1,0)+1,FALSE)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5" s="42">
        <f ca="1">VLOOKUP($F55,OFFSET([3]enemy_skill_triggers!$A$1,0,0,COUNTA([3]enemy_skill_triggers!$A:$A),MATCH(H$1,[3]enemy_skill_triggers!$1:$1,0)-MATCH($F$1,[3]enemy_skill_triggers!$1:$1,0)+1),MATCH(H$1,[3]enemy_skill_triggers!$1:$1,0)-MATCH($F$1,[3]enemy_skill_triggers!$1:$1,0)+1,FALSE)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55" s="42">
        <f ca="1">VLOOKUP($F55,OFFSET([3]enemy_skill_triggers!$A$1,0,0,COUNTA([3]enemy_skill_triggers!$A:$A),MATCH(I$1,[3]enemy_skill_triggers!$1:$1,0)-MATCH($F$1,[3]enemy_skill_triggers!$1:$1,0)+1),MATCH(I$1,[3]enemy_skill_triggers!$1:$1,0)-MATCH($F$1,[3]enemy_skill_triggers!$1:$1,0)+1,FALSE)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85</v>
      </c>
      <c r="J55" s="42" t="str">
        <f ca="1">VLOOKUP($F55,OFFSET([3]enemy_skill_triggers!$A$1,0,0,COUNTA([3]enemy_skill_triggers!$A:$A),MATCH(J$1,[3]enemy_skill_triggers!$1:$1,0)-MATCH($F$1,[3]enemy_skill_triggers!$1:$1,0)+1),MATCH(J$1,[3]enemy_skill_triggers!$1:$1,0)-MATCH($F$1,[3]enemy_skill_triggers!$1:$1,0)+1,FALSE)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5" s="42" t="str">
        <f ca="1">VLOOKUP($F55,OFFSET([3]enemy_skill_triggers!$A$1,0,0,COUNTA([3]enemy_skill_triggers!$A:$A),MATCH(K$1,[3]enemy_skill_triggers!$1:$1,0)-MATCH($F$1,[3]enemy_skill_triggers!$1:$1,0)+1),MATCH(K$1,[3]enemy_skill_triggers!$1:$1,0)-MATCH($F$1,[3]enemy_skill_triggers!$1:$1,0)+1,FALSE)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5" s="42">
        <f ca="1">VLOOKUP($F55,OFFSET([3]enemy_skill_triggers!$A$1,0,0,COUNTA([3]enemy_skill_triggers!$A:$A),MATCH(L$1,[3]enemy_skill_triggers!$1:$1,0)-MATCH($F$1,[3]enemy_skill_triggers!$1:$1,0)+1),MATCH(L$1,[3]enemy_skill_triggers!$1:$1,0)-MATCH($F$1,[3]enemy_skill_triggers!$1:$1,0)+1,FALSE)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55" s="42" t="str">
        <f ca="1">VLOOKUP($F55,OFFSET([3]enemy_skill_triggers!$A$1,0,0,COUNTA([3]enemy_skill_triggers!$A:$A),MATCH(M$1,[3]enemy_skill_triggers!$1:$1,0)-MATCH($F$1,[3]enemy_skill_triggers!$1:$1,0)+1),MATCH(M$1,[3]enemy_skill_triggers!$1:$1,0)-MATCH($F$1,[3]enemy_skill_triggers!$1:$1,0)+1,FALSE)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5" s="42" t="str">
        <f ca="1">VLOOKUP($F55,OFFSET([3]enemy_skill_triggers!$A$1,0,0,COUNTA([3]enemy_skill_triggers!$A:$A),MATCH(N$1,[3]enemy_skill_triggers!$1:$1,0)-MATCH($F$1,[3]enemy_skill_triggers!$1:$1,0)+1),MATCH(N$1,[3]enemy_skill_triggers!$1:$1,0)-MATCH($F$1,[3]enemy_skill_triggers!$1:$1,0)+1,FALSE)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5" s="42">
        <f ca="1">VLOOKUP($F55,OFFSET([3]enemy_skill_triggers!$A$1,0,0,COUNTA([3]enemy_skill_triggers!$A:$A),MATCH(O$1,[3]enemy_skill_triggers!$1:$1,0)-MATCH($F$1,[3]enemy_skill_triggers!$1:$1,0)+1),MATCH(O$1,[3]enemy_skill_triggers!$1:$1,0)-MATCH($F$1,[3]enemy_skill_triggers!$1:$1,0)+1,FALSE)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85</v>
      </c>
      <c r="P55" s="41"/>
      <c r="Q55" s="41"/>
      <c r="R55" s="41"/>
    </row>
    <row r="56" spans="1:18" ht="21" customHeight="1" x14ac:dyDescent="0.15">
      <c r="A56" s="33" t="str">
        <f t="shared" si="0"/>
        <v>47013011_47013105</v>
      </c>
      <c r="B56" s="42">
        <v>47013011</v>
      </c>
      <c r="C56" s="186">
        <v>47013105</v>
      </c>
      <c r="D56" s="202" t="str">
        <f ca="1">VLOOKUP($C56,OFFSET([3]enemy_skills!$A$1,0,0,COUNTA([3]enemy_skills!$A:$A),MATCH(D$1,[3]enemy_skills!$1:$1,0)-MATCH("enemy_skill_id",[3]enemy_skills!$1:$1,0)+1),MATCH(D$1,[3]enemy_skills!$1:$1,0)-MATCH("enemy_skill_id",[3]enemy_skills!$1:$1,0)+1,FALSE)</f>
        <v>バクハツしちゃいなさい！</v>
      </c>
      <c r="E56" s="202" t="str">
        <f ca="1">VLOOKUP($C56,OFFSET([3]enemy_skills!$A$1,0,0,COUNTA([3]enemy_skills!$A:$A),MATCH(E$1,[3]enemy_skills!$1:$1,0)-MATCH("enemy_skill_id",[3]enemy_skills!$1:$1,0)+1),MATCH(E$1,[3]enemy_skills!$1:$1,0)-MATCH("enemy_skill_id",[3]enemy_skills!$1:$1,0)+1,FALSE)</f>
        <v>属性パネルを赤ボムパネルに3個変換+_x000D_属性パネルを赤のCBPに2個変換+_x000D_2回連続攻撃</v>
      </c>
      <c r="F56" s="186">
        <v>47013105</v>
      </c>
      <c r="G56" s="42">
        <f ca="1">VLOOKUP($F56,OFFSET([3]enemy_skill_triggers!$A$1,0,0,COUNTA([3]enemy_skill_triggers!$A:$A),MATCH(G$1,[3]enemy_skill_triggers!$1:$1,0)-MATCH($F$1,[3]enemy_skill_triggers!$1:$1,0)+1),MATCH(G$1,[3]enemy_skill_triggers!$1:$1,0)-MATCH($F$1,[3]enemy_skill_triggers!$1:$1,0)+1,FALSE)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6" s="42">
        <f ca="1">VLOOKUP($F56,OFFSET([3]enemy_skill_triggers!$A$1,0,0,COUNTA([3]enemy_skill_triggers!$A:$A),MATCH(H$1,[3]enemy_skill_triggers!$1:$1,0)-MATCH($F$1,[3]enemy_skill_triggers!$1:$1,0)+1),MATCH(H$1,[3]enemy_skill_triggers!$1:$1,0)-MATCH($F$1,[3]enemy_skill_triggers!$1:$1,0)+1,FALSE)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56" s="42">
        <f ca="1">VLOOKUP($F56,OFFSET([3]enemy_skill_triggers!$A$1,0,0,COUNTA([3]enemy_skill_triggers!$A:$A),MATCH(I$1,[3]enemy_skill_triggers!$1:$1,0)-MATCH($F$1,[3]enemy_skill_triggers!$1:$1,0)+1),MATCH(I$1,[3]enemy_skill_triggers!$1:$1,0)-MATCH($F$1,[3]enemy_skill_triggers!$1:$1,0)+1,FALSE)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30</v>
      </c>
      <c r="J56" s="42" t="str">
        <f ca="1">VLOOKUP($F56,OFFSET([3]enemy_skill_triggers!$A$1,0,0,COUNTA([3]enemy_skill_triggers!$A:$A),MATCH(J$1,[3]enemy_skill_triggers!$1:$1,0)-MATCH($F$1,[3]enemy_skill_triggers!$1:$1,0)+1),MATCH(J$1,[3]enemy_skill_triggers!$1:$1,0)-MATCH($F$1,[3]enemy_skill_triggers!$1:$1,0)+1,FALSE)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6" s="42" t="str">
        <f ca="1">VLOOKUP($F56,OFFSET([3]enemy_skill_triggers!$A$1,0,0,COUNTA([3]enemy_skill_triggers!$A:$A),MATCH(K$1,[3]enemy_skill_triggers!$1:$1,0)-MATCH($F$1,[3]enemy_skill_triggers!$1:$1,0)+1),MATCH(K$1,[3]enemy_skill_triggers!$1:$1,0)-MATCH($F$1,[3]enemy_skill_triggers!$1:$1,0)+1,FALSE)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6" s="42" t="str">
        <f ca="1">VLOOKUP($F56,OFFSET([3]enemy_skill_triggers!$A$1,0,0,COUNTA([3]enemy_skill_triggers!$A:$A),MATCH(L$1,[3]enemy_skill_triggers!$1:$1,0)-MATCH($F$1,[3]enemy_skill_triggers!$1:$1,0)+1),MATCH(L$1,[3]enemy_skill_triggers!$1:$1,0)-MATCH($F$1,[3]enemy_skill_triggers!$1:$1,0)+1,FALSE)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56" s="42" t="str">
        <f ca="1">VLOOKUP($F56,OFFSET([3]enemy_skill_triggers!$A$1,0,0,COUNTA([3]enemy_skill_triggers!$A:$A),MATCH(M$1,[3]enemy_skill_triggers!$1:$1,0)-MATCH($F$1,[3]enemy_skill_triggers!$1:$1,0)+1),MATCH(M$1,[3]enemy_skill_triggers!$1:$1,0)-MATCH($F$1,[3]enemy_skill_triggers!$1:$1,0)+1,FALSE)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6" s="42" t="str">
        <f ca="1">VLOOKUP($F56,OFFSET([3]enemy_skill_triggers!$A$1,0,0,COUNTA([3]enemy_skill_triggers!$A:$A),MATCH(N$1,[3]enemy_skill_triggers!$1:$1,0)-MATCH($F$1,[3]enemy_skill_triggers!$1:$1,0)+1),MATCH(N$1,[3]enemy_skill_triggers!$1:$1,0)-MATCH($F$1,[3]enemy_skill_triggers!$1:$1,0)+1,FALSE)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6" s="42">
        <f ca="1">VLOOKUP($F56,OFFSET([3]enemy_skill_triggers!$A$1,0,0,COUNTA([3]enemy_skill_triggers!$A:$A),MATCH(O$1,[3]enemy_skill_triggers!$1:$1,0)-MATCH($F$1,[3]enemy_skill_triggers!$1:$1,0)+1),MATCH(O$1,[3]enemy_skill_triggers!$1:$1,0)-MATCH($F$1,[3]enemy_skill_triggers!$1:$1,0)+1,FALSE)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30</v>
      </c>
      <c r="P56" s="41"/>
      <c r="Q56" s="41"/>
      <c r="R56" s="41"/>
    </row>
    <row r="57" spans="1:18" ht="21" customHeight="1" x14ac:dyDescent="0.15">
      <c r="A57" s="33" t="str">
        <f t="shared" si="0"/>
        <v>47013011_47013106</v>
      </c>
      <c r="B57" s="42">
        <v>47013011</v>
      </c>
      <c r="C57" s="186">
        <v>47013106</v>
      </c>
      <c r="D57" s="202" t="str">
        <f ca="1">VLOOKUP($C57,OFFSET([3]enemy_skills!$A$1,0,0,COUNTA([3]enemy_skills!$A:$A),MATCH(D$1,[3]enemy_skills!$1:$1,0)-MATCH("enemy_skill_id",[3]enemy_skills!$1:$1,0)+1),MATCH(D$1,[3]enemy_skills!$1:$1,0)-MATCH("enemy_skill_id",[3]enemy_skills!$1:$1,0)+1,FALSE)</f>
        <v>真っ赤に染めてあげる！</v>
      </c>
      <c r="E57" s="202" t="str">
        <f ca="1">VLOOKUP($C57,OFFSET([3]enemy_skills!$A$1,0,0,COUNTA([3]enemy_skills!$A:$A),MATCH(E$1,[3]enemy_skills!$1:$1,0)-MATCH("enemy_skill_id",[3]enemy_skills!$1:$1,0)+1),MATCH(E$1,[3]enemy_skills!$1:$1,0)-MATCH("enemy_skill_id",[3]enemy_skills!$1:$1,0)+1,FALSE)</f>
        <v>緑パネルと青パネルを赤パネルに変換+_x000D_4回連続攻撃</v>
      </c>
      <c r="F57" s="186">
        <v>47013106</v>
      </c>
      <c r="G57" s="42">
        <f ca="1">VLOOKUP($F57,OFFSET([3]enemy_skill_triggers!$A$1,0,0,COUNTA([3]enemy_skill_triggers!$A:$A),MATCH(G$1,[3]enemy_skill_triggers!$1:$1,0)-MATCH($F$1,[3]enemy_skill_triggers!$1:$1,0)+1),MATCH(G$1,[3]enemy_skill_triggers!$1:$1,0)-MATCH($F$1,[3]enemy_skill_triggers!$1:$1,0)+1,FALSE)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7" s="42">
        <f ca="1">VLOOKUP($F57,OFFSET([3]enemy_skill_triggers!$A$1,0,0,COUNTA([3]enemy_skill_triggers!$A:$A),MATCH(H$1,[3]enemy_skill_triggers!$1:$1,0)-MATCH($F$1,[3]enemy_skill_triggers!$1:$1,0)+1),MATCH(H$1,[3]enemy_skill_triggers!$1:$1,0)-MATCH($F$1,[3]enemy_skill_triggers!$1:$1,0)+1,FALSE)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57" s="42">
        <f ca="1">VLOOKUP($F57,OFFSET([3]enemy_skill_triggers!$A$1,0,0,COUNTA([3]enemy_skill_triggers!$A:$A),MATCH(I$1,[3]enemy_skill_triggers!$1:$1,0)-MATCH($F$1,[3]enemy_skill_triggers!$1:$1,0)+1),MATCH(I$1,[3]enemy_skill_triggers!$1:$1,0)-MATCH($F$1,[3]enemy_skill_triggers!$1:$1,0)+1,FALSE)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60</v>
      </c>
      <c r="J57" s="42" t="str">
        <f ca="1">VLOOKUP($F57,OFFSET([3]enemy_skill_triggers!$A$1,0,0,COUNTA([3]enemy_skill_triggers!$A:$A),MATCH(J$1,[3]enemy_skill_triggers!$1:$1,0)-MATCH($F$1,[3]enemy_skill_triggers!$1:$1,0)+1),MATCH(J$1,[3]enemy_skill_triggers!$1:$1,0)-MATCH($F$1,[3]enemy_skill_triggers!$1:$1,0)+1,FALSE)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7" s="42" t="str">
        <f ca="1">VLOOKUP($F57,OFFSET([3]enemy_skill_triggers!$A$1,0,0,COUNTA([3]enemy_skill_triggers!$A:$A),MATCH(K$1,[3]enemy_skill_triggers!$1:$1,0)-MATCH($F$1,[3]enemy_skill_triggers!$1:$1,0)+1),MATCH(K$1,[3]enemy_skill_triggers!$1:$1,0)-MATCH($F$1,[3]enemy_skill_triggers!$1:$1,0)+1,FALSE)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7" s="42" t="str">
        <f ca="1">VLOOKUP($F57,OFFSET([3]enemy_skill_triggers!$A$1,0,0,COUNTA([3]enemy_skill_triggers!$A:$A),MATCH(L$1,[3]enemy_skill_triggers!$1:$1,0)-MATCH($F$1,[3]enemy_skill_triggers!$1:$1,0)+1),MATCH(L$1,[3]enemy_skill_triggers!$1:$1,0)-MATCH($F$1,[3]enemy_skill_triggers!$1:$1,0)+1,FALSE)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57" s="42" t="str">
        <f ca="1">VLOOKUP($F57,OFFSET([3]enemy_skill_triggers!$A$1,0,0,COUNTA([3]enemy_skill_triggers!$A:$A),MATCH(M$1,[3]enemy_skill_triggers!$1:$1,0)-MATCH($F$1,[3]enemy_skill_triggers!$1:$1,0)+1),MATCH(M$1,[3]enemy_skill_triggers!$1:$1,0)-MATCH($F$1,[3]enemy_skill_triggers!$1:$1,0)+1,FALSE)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7" s="42" t="str">
        <f ca="1">VLOOKUP($F57,OFFSET([3]enemy_skill_triggers!$A$1,0,0,COUNTA([3]enemy_skill_triggers!$A:$A),MATCH(N$1,[3]enemy_skill_triggers!$1:$1,0)-MATCH($F$1,[3]enemy_skill_triggers!$1:$1,0)+1),MATCH(N$1,[3]enemy_skill_triggers!$1:$1,0)-MATCH($F$1,[3]enemy_skill_triggers!$1:$1,0)+1,FALSE)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7" s="42">
        <f ca="1">VLOOKUP($F57,OFFSET([3]enemy_skill_triggers!$A$1,0,0,COUNTA([3]enemy_skill_triggers!$A:$A),MATCH(O$1,[3]enemy_skill_triggers!$1:$1,0)-MATCH($F$1,[3]enemy_skill_triggers!$1:$1,0)+1),MATCH(O$1,[3]enemy_skill_triggers!$1:$1,0)-MATCH($F$1,[3]enemy_skill_triggers!$1:$1,0)+1,FALSE)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60</v>
      </c>
      <c r="P57" s="41"/>
      <c r="Q57" s="41"/>
      <c r="R57" s="41"/>
    </row>
    <row r="58" spans="1:18" ht="21" customHeight="1" x14ac:dyDescent="0.15">
      <c r="A58" s="33" t="str">
        <f t="shared" si="0"/>
        <v>47013011_47013107</v>
      </c>
      <c r="B58" s="42">
        <v>47013011</v>
      </c>
      <c r="C58" s="186">
        <v>47013107</v>
      </c>
      <c r="D58" s="202" t="str">
        <f ca="1">VLOOKUP($C58,OFFSET([3]enemy_skills!$A$1,0,0,COUNTA([3]enemy_skills!$A:$A),MATCH(D$1,[3]enemy_skills!$1:$1,0)-MATCH("enemy_skill_id",[3]enemy_skills!$1:$1,0)+1),MATCH(D$1,[3]enemy_skills!$1:$1,0)-MATCH("enemy_skill_id",[3]enemy_skills!$1:$1,0)+1,FALSE)</f>
        <v>ヘル・ファイア</v>
      </c>
      <c r="E58" s="202" t="str">
        <f ca="1">VLOOKUP($C58,OFFSET([3]enemy_skills!$A$1,0,0,COUNTA([3]enemy_skills!$A:$A),MATCH(E$1,[3]enemy_skills!$1:$1,0)-MATCH("enemy_skill_id",[3]enemy_skills!$1:$1,0)+1),MATCH(E$1,[3]enemy_skills!$1:$1,0)-MATCH("enemy_skill_id",[3]enemy_skills!$1:$1,0)+1,FALSE)</f>
        <v>黄&amp;緑&amp;青パネルを吸収して攻撃</v>
      </c>
      <c r="F58" s="186">
        <v>47013107</v>
      </c>
      <c r="G58" s="42">
        <f ca="1">VLOOKUP($F58,OFFSET([3]enemy_skill_triggers!$A$1,0,0,COUNTA([3]enemy_skill_triggers!$A:$A),MATCH(G$1,[3]enemy_skill_triggers!$1:$1,0)-MATCH($F$1,[3]enemy_skill_triggers!$1:$1,0)+1),MATCH(G$1,[3]enemy_skill_triggers!$1:$1,0)-MATCH($F$1,[3]enemy_skill_triggers!$1:$1,0)+1,FALSE)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58" s="42">
        <f ca="1">VLOOKUP($F58,OFFSET([3]enemy_skill_triggers!$A$1,0,0,COUNTA([3]enemy_skill_triggers!$A:$A),MATCH(H$1,[3]enemy_skill_triggers!$1:$1,0)-MATCH($F$1,[3]enemy_skill_triggers!$1:$1,0)+1),MATCH(H$1,[3]enemy_skill_triggers!$1:$1,0)-MATCH($F$1,[3]enemy_skill_triggers!$1:$1,0)+1,FALSE)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58" s="42">
        <f ca="1">VLOOKUP($F58,OFFSET([3]enemy_skill_triggers!$A$1,0,0,COUNTA([3]enemy_skill_triggers!$A:$A),MATCH(I$1,[3]enemy_skill_triggers!$1:$1,0)-MATCH($F$1,[3]enemy_skill_triggers!$1:$1,0)+1),MATCH(I$1,[3]enemy_skill_triggers!$1:$1,0)-MATCH($F$1,[3]enemy_skill_triggers!$1:$1,0)+1,FALSE)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58" s="42" t="str">
        <f ca="1">VLOOKUP($F58,OFFSET([3]enemy_skill_triggers!$A$1,0,0,COUNTA([3]enemy_skill_triggers!$A:$A),MATCH(J$1,[3]enemy_skill_triggers!$1:$1,0)-MATCH($F$1,[3]enemy_skill_triggers!$1:$1,0)+1),MATCH(J$1,[3]enemy_skill_triggers!$1:$1,0)-MATCH($F$1,[3]enemy_skill_triggers!$1:$1,0)+1,FALSE)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8" s="42" t="str">
        <f ca="1">VLOOKUP($F58,OFFSET([3]enemy_skill_triggers!$A$1,0,0,COUNTA([3]enemy_skill_triggers!$A:$A),MATCH(K$1,[3]enemy_skill_triggers!$1:$1,0)-MATCH($F$1,[3]enemy_skill_triggers!$1:$1,0)+1),MATCH(K$1,[3]enemy_skill_triggers!$1:$1,0)-MATCH($F$1,[3]enemy_skill_triggers!$1:$1,0)+1,FALSE)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8" s="42" t="str">
        <f ca="1">VLOOKUP($F58,OFFSET([3]enemy_skill_triggers!$A$1,0,0,COUNTA([3]enemy_skill_triggers!$A:$A),MATCH(L$1,[3]enemy_skill_triggers!$1:$1,0)-MATCH($F$1,[3]enemy_skill_triggers!$1:$1,0)+1),MATCH(L$1,[3]enemy_skill_triggers!$1:$1,0)-MATCH($F$1,[3]enemy_skill_triggers!$1:$1,0)+1,FALSE)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58" s="42" t="str">
        <f ca="1">VLOOKUP($F58,OFFSET([3]enemy_skill_triggers!$A$1,0,0,COUNTA([3]enemy_skill_triggers!$A:$A),MATCH(M$1,[3]enemy_skill_triggers!$1:$1,0)-MATCH($F$1,[3]enemy_skill_triggers!$1:$1,0)+1),MATCH(M$1,[3]enemy_skill_triggers!$1:$1,0)-MATCH($F$1,[3]enemy_skill_triggers!$1:$1,0)+1,FALSE)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8" s="42" t="str">
        <f ca="1">VLOOKUP($F58,OFFSET([3]enemy_skill_triggers!$A$1,0,0,COUNTA([3]enemy_skill_triggers!$A:$A),MATCH(N$1,[3]enemy_skill_triggers!$1:$1,0)-MATCH($F$1,[3]enemy_skill_triggers!$1:$1,0)+1),MATCH(N$1,[3]enemy_skill_triggers!$1:$1,0)-MATCH($F$1,[3]enemy_skill_triggers!$1:$1,0)+1,FALSE)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8" s="42">
        <f ca="1">VLOOKUP($F58,OFFSET([3]enemy_skill_triggers!$A$1,0,0,COUNTA([3]enemy_skill_triggers!$A:$A),MATCH(O$1,[3]enemy_skill_triggers!$1:$1,0)-MATCH($F$1,[3]enemy_skill_triggers!$1:$1,0)+1),MATCH(O$1,[3]enemy_skill_triggers!$1:$1,0)-MATCH($F$1,[3]enemy_skill_triggers!$1:$1,0)+1,FALSE)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58" s="41"/>
      <c r="Q58" s="41"/>
      <c r="R58" s="41"/>
    </row>
    <row r="59" spans="1:18" ht="21" customHeight="1" x14ac:dyDescent="0.15">
      <c r="A59" s="33" t="str">
        <f t="shared" si="0"/>
        <v>47013012_47013211</v>
      </c>
      <c r="B59" s="187">
        <v>47013012</v>
      </c>
      <c r="C59" s="199">
        <v>47013211</v>
      </c>
      <c r="D59" s="202" t="str">
        <f ca="1">VLOOKUP($C59,OFFSET([3]enemy_skills!$A$1,0,0,COUNTA([3]enemy_skills!$A:$A),MATCH(D$1,[3]enemy_skills!$1:$1,0)-MATCH("enemy_skill_id",[3]enemy_skills!$1:$1,0)+1),MATCH(D$1,[3]enemy_skills!$1:$1,0)-MATCH("enemy_skill_id",[3]enemy_skills!$1:$1,0)+1,FALSE)</f>
        <v>ここはイッパツ派手に暴れようぜ！</v>
      </c>
      <c r="E59" s="202" t="str">
        <f ca="1">VLOOKUP($C59,OFFSET([3]enemy_skills!$A$1,0,0,COUNTA([3]enemy_skills!$A:$A),MATCH(E$1,[3]enemy_skills!$1:$1,0)-MATCH("enemy_skill_id",[3]enemy_skills!$1:$1,0)+1),MATCH(E$1,[3]enemy_skills!$1:$1,0)-MATCH("enemy_skill_id",[3]enemy_skills!$1:$1,0)+1,FALSE)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状態異常耐性+_x000D_5ターン高確率で_x000D_緑パネルがお邪魔パネルとしてドロップ</v>
      </c>
      <c r="F59" s="188">
        <v>47013201</v>
      </c>
      <c r="G59" s="42">
        <f ca="1">VLOOKUP($F59,OFFSET([3]enemy_skill_triggers!$A$1,0,0,COUNTA([3]enemy_skill_triggers!$A:$A),MATCH(G$1,[3]enemy_skill_triggers!$1:$1,0)-MATCH($F$1,[3]enemy_skill_triggers!$1:$1,0)+1),MATCH(G$1,[3]enemy_skill_triggers!$1:$1,0)-MATCH($F$1,[3]enemy_skill_triggers!$1:$1,0)+1,FALSE)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59" s="42">
        <f ca="1">VLOOKUP($F59,OFFSET([3]enemy_skill_triggers!$A$1,0,0,COUNTA([3]enemy_skill_triggers!$A:$A),MATCH(H$1,[3]enemy_skill_triggers!$1:$1,0)-MATCH($F$1,[3]enemy_skill_triggers!$1:$1,0)+1),MATCH(H$1,[3]enemy_skill_triggers!$1:$1,0)-MATCH($F$1,[3]enemy_skill_triggers!$1:$1,0)+1,FALSE)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59" s="42">
        <f ca="1">VLOOKUP($F59,OFFSET([3]enemy_skill_triggers!$A$1,0,0,COUNTA([3]enemy_skill_triggers!$A:$A),MATCH(I$1,[3]enemy_skill_triggers!$1:$1,0)-MATCH($F$1,[3]enemy_skill_triggers!$1:$1,0)+1),MATCH(I$1,[3]enemy_skill_triggers!$1:$1,0)-MATCH($F$1,[3]enemy_skill_triggers!$1:$1,0)+1,FALSE)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59" s="42" t="str">
        <f ca="1">VLOOKUP($F59,OFFSET([3]enemy_skill_triggers!$A$1,0,0,COUNTA([3]enemy_skill_triggers!$A:$A),MATCH(J$1,[3]enemy_skill_triggers!$1:$1,0)-MATCH($F$1,[3]enemy_skill_triggers!$1:$1,0)+1),MATCH(J$1,[3]enemy_skill_triggers!$1:$1,0)-MATCH($F$1,[3]enemy_skill_triggers!$1:$1,0)+1,FALSE)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59" s="42" t="str">
        <f ca="1">VLOOKUP($F59,OFFSET([3]enemy_skill_triggers!$A$1,0,0,COUNTA([3]enemy_skill_triggers!$A:$A),MATCH(K$1,[3]enemy_skill_triggers!$1:$1,0)-MATCH($F$1,[3]enemy_skill_triggers!$1:$1,0)+1),MATCH(K$1,[3]enemy_skill_triggers!$1:$1,0)-MATCH($F$1,[3]enemy_skill_triggers!$1:$1,0)+1,FALSE)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59" s="42">
        <f ca="1">VLOOKUP($F59,OFFSET([3]enemy_skill_triggers!$A$1,0,0,COUNTA([3]enemy_skill_triggers!$A:$A),MATCH(L$1,[3]enemy_skill_triggers!$1:$1,0)-MATCH($F$1,[3]enemy_skill_triggers!$1:$1,0)+1),MATCH(L$1,[3]enemy_skill_triggers!$1:$1,0)-MATCH($F$1,[3]enemy_skill_triggers!$1:$1,0)+1,FALSE)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59" s="42" t="str">
        <f ca="1">VLOOKUP($F59,OFFSET([3]enemy_skill_triggers!$A$1,0,0,COUNTA([3]enemy_skill_triggers!$A:$A),MATCH(M$1,[3]enemy_skill_triggers!$1:$1,0)-MATCH($F$1,[3]enemy_skill_triggers!$1:$1,0)+1),MATCH(M$1,[3]enemy_skill_triggers!$1:$1,0)-MATCH($F$1,[3]enemy_skill_triggers!$1:$1,0)+1,FALSE)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59" s="42" t="str">
        <f ca="1">VLOOKUP($F59,OFFSET([3]enemy_skill_triggers!$A$1,0,0,COUNTA([3]enemy_skill_triggers!$A:$A),MATCH(N$1,[3]enemy_skill_triggers!$1:$1,0)-MATCH($F$1,[3]enemy_skill_triggers!$1:$1,0)+1),MATCH(N$1,[3]enemy_skill_triggers!$1:$1,0)-MATCH($F$1,[3]enemy_skill_triggers!$1:$1,0)+1,FALSE)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59" s="42">
        <f ca="1">VLOOKUP($F59,OFFSET([3]enemy_skill_triggers!$A$1,0,0,COUNTA([3]enemy_skill_triggers!$A:$A),MATCH(O$1,[3]enemy_skill_triggers!$1:$1,0)-MATCH($F$1,[3]enemy_skill_triggers!$1:$1,0)+1),MATCH(O$1,[3]enemy_skill_triggers!$1:$1,0)-MATCH($F$1,[3]enemy_skill_triggers!$1:$1,0)+1,FALSE)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59" s="41"/>
      <c r="Q59" s="41"/>
      <c r="R59" s="41"/>
    </row>
    <row r="60" spans="1:18" ht="21" customHeight="1" x14ac:dyDescent="0.15">
      <c r="A60" s="33" t="str">
        <f t="shared" si="0"/>
        <v>47013012_47013202</v>
      </c>
      <c r="B60" s="187">
        <v>47013012</v>
      </c>
      <c r="C60" s="188">
        <v>47013202</v>
      </c>
      <c r="D60" s="202" t="str">
        <f ca="1">VLOOKUP($C60,OFFSET([3]enemy_skills!$A$1,0,0,COUNTA([3]enemy_skills!$A:$A),MATCH(D$1,[3]enemy_skills!$1:$1,0)-MATCH("enemy_skill_id",[3]enemy_skills!$1:$1,0)+1),MATCH(D$1,[3]enemy_skills!$1:$1,0)-MATCH("enemy_skill_id",[3]enemy_skills!$1:$1,0)+1,FALSE)</f>
        <v>いいねぇ、お前となら楽しめそうだ！</v>
      </c>
      <c r="E60" s="202" t="str">
        <f ca="1">VLOOKUP($C60,OFFSET([3]enemy_skills!$A$1,0,0,COUNTA([3]enemy_skills!$A:$A),MATCH(E$1,[3]enemy_skills!$1:$1,0)-MATCH("enemy_skill_id",[3]enemy_skills!$1:$1,0)+1),MATCH(E$1,[3]enemy_skills!$1:$1,0)-MATCH("enemy_skill_id",[3]enemy_skills!$1:$1,0)+1,FALSE)</f>
        <v>10ターン青パネルドロップ率DOWN+_x000D_4回連続攻撃</v>
      </c>
      <c r="F60" s="188">
        <v>47013202</v>
      </c>
      <c r="G60" s="42">
        <f ca="1">VLOOKUP($F60,OFFSET([3]enemy_skill_triggers!$A$1,0,0,COUNTA([3]enemy_skill_triggers!$A:$A),MATCH(G$1,[3]enemy_skill_triggers!$1:$1,0)-MATCH($F$1,[3]enemy_skill_triggers!$1:$1,0)+1),MATCH(G$1,[3]enemy_skill_triggers!$1:$1,0)-MATCH($F$1,[3]enemy_skill_triggers!$1:$1,0)+1,FALSE)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0" s="42">
        <f ca="1">VLOOKUP($F60,OFFSET([3]enemy_skill_triggers!$A$1,0,0,COUNTA([3]enemy_skill_triggers!$A:$A),MATCH(H$1,[3]enemy_skill_triggers!$1:$1,0)-MATCH($F$1,[3]enemy_skill_triggers!$1:$1,0)+1),MATCH(H$1,[3]enemy_skill_triggers!$1:$1,0)-MATCH($F$1,[3]enemy_skill_triggers!$1:$1,0)+1,FALSE)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60" s="42">
        <f ca="1">VLOOKUP($F60,OFFSET([3]enemy_skill_triggers!$A$1,0,0,COUNTA([3]enemy_skill_triggers!$A:$A),MATCH(I$1,[3]enemy_skill_triggers!$1:$1,0)-MATCH($F$1,[3]enemy_skill_triggers!$1:$1,0)+1),MATCH(I$1,[3]enemy_skill_triggers!$1:$1,0)-MATCH($F$1,[3]enemy_skill_triggers!$1:$1,0)+1,FALSE)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60" s="42" t="str">
        <f ca="1">VLOOKUP($F60,OFFSET([3]enemy_skill_triggers!$A$1,0,0,COUNTA([3]enemy_skill_triggers!$A:$A),MATCH(J$1,[3]enemy_skill_triggers!$1:$1,0)-MATCH($F$1,[3]enemy_skill_triggers!$1:$1,0)+1),MATCH(J$1,[3]enemy_skill_triggers!$1:$1,0)-MATCH($F$1,[3]enemy_skill_triggers!$1:$1,0)+1,FALSE)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0" s="42" t="str">
        <f ca="1">VLOOKUP($F60,OFFSET([3]enemy_skill_triggers!$A$1,0,0,COUNTA([3]enemy_skill_triggers!$A:$A),MATCH(K$1,[3]enemy_skill_triggers!$1:$1,0)-MATCH($F$1,[3]enemy_skill_triggers!$1:$1,0)+1),MATCH(K$1,[3]enemy_skill_triggers!$1:$1,0)-MATCH($F$1,[3]enemy_skill_triggers!$1:$1,0)+1,FALSE)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0" s="42">
        <f ca="1">VLOOKUP($F60,OFFSET([3]enemy_skill_triggers!$A$1,0,0,COUNTA([3]enemy_skill_triggers!$A:$A),MATCH(L$1,[3]enemy_skill_triggers!$1:$1,0)-MATCH($F$1,[3]enemy_skill_triggers!$1:$1,0)+1),MATCH(L$1,[3]enemy_skill_triggers!$1:$1,0)-MATCH($F$1,[3]enemy_skill_triggers!$1:$1,0)+1,FALSE)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60" s="42">
        <f ca="1">VLOOKUP($F60,OFFSET([3]enemy_skill_triggers!$A$1,0,0,COUNTA([3]enemy_skill_triggers!$A:$A),MATCH(M$1,[3]enemy_skill_triggers!$1:$1,0)-MATCH($F$1,[3]enemy_skill_triggers!$1:$1,0)+1),MATCH(M$1,[3]enemy_skill_triggers!$1:$1,0)-MATCH($F$1,[3]enemy_skill_triggers!$1:$1,0)+1,FALSE)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60" s="42" t="str">
        <f ca="1">VLOOKUP($F60,OFFSET([3]enemy_skill_triggers!$A$1,0,0,COUNTA([3]enemy_skill_triggers!$A:$A),MATCH(N$1,[3]enemy_skill_triggers!$1:$1,0)-MATCH($F$1,[3]enemy_skill_triggers!$1:$1,0)+1),MATCH(N$1,[3]enemy_skill_triggers!$1:$1,0)-MATCH($F$1,[3]enemy_skill_triggers!$1:$1,0)+1,FALSE)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0" s="42">
        <f ca="1">VLOOKUP($F60,OFFSET([3]enemy_skill_triggers!$A$1,0,0,COUNTA([3]enemy_skill_triggers!$A:$A),MATCH(O$1,[3]enemy_skill_triggers!$1:$1,0)-MATCH($F$1,[3]enemy_skill_triggers!$1:$1,0)+1),MATCH(O$1,[3]enemy_skill_triggers!$1:$1,0)-MATCH($F$1,[3]enemy_skill_triggers!$1:$1,0)+1,FALSE)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60" s="41"/>
      <c r="Q60" s="41"/>
      <c r="R60" s="41"/>
    </row>
    <row r="61" spans="1:18" ht="21" customHeight="1" x14ac:dyDescent="0.15">
      <c r="A61" s="33" t="str">
        <f t="shared" si="0"/>
        <v>47013012_47013213</v>
      </c>
      <c r="B61" s="187">
        <v>47013012</v>
      </c>
      <c r="C61" s="199">
        <v>47013213</v>
      </c>
      <c r="D61" s="202" t="str">
        <f ca="1">VLOOKUP($C61,OFFSET([3]enemy_skills!$A$1,0,0,COUNTA([3]enemy_skills!$A:$A),MATCH(D$1,[3]enemy_skills!$1:$1,0)-MATCH("enemy_skill_id",[3]enemy_skills!$1:$1,0)+1),MATCH(D$1,[3]enemy_skills!$1:$1,0)-MATCH("enemy_skill_id",[3]enemy_skills!$1:$1,0)+1,FALSE)</f>
        <v>こうするとやっかいだろ？</v>
      </c>
      <c r="E61" s="202" t="str">
        <f ca="1">VLOOKUP($C61,OFFSET([3]enemy_skills!$A$1,0,0,COUNTA([3]enemy_skills!$A:$A),MATCH(E$1,[3]enemy_skills!$1:$1,0)-MATCH("enemy_skill_id",[3]enemy_skills!$1:$1,0)+1),MATCH(E$1,[3]enemy_skills!$1:$1,0)-MATCH("enemy_skill_id",[3]enemy_skills!$1:$1,0)+1,FALSE)</f>
        <v>特定エリアを黄&amp;緑&amp;青のダメージパネルに変換+_x000D_単体攻撃+1ターン行動頻度UP</v>
      </c>
      <c r="F61" s="188">
        <v>47013203</v>
      </c>
      <c r="G61" s="42">
        <f ca="1">VLOOKUP($F61,OFFSET([3]enemy_skill_triggers!$A$1,0,0,COUNTA([3]enemy_skill_triggers!$A:$A),MATCH(G$1,[3]enemy_skill_triggers!$1:$1,0)-MATCH($F$1,[3]enemy_skill_triggers!$1:$1,0)+1),MATCH(G$1,[3]enemy_skill_triggers!$1:$1,0)-MATCH($F$1,[3]enemy_skill_triggers!$1:$1,0)+1,FALSE)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1" s="42">
        <f ca="1">VLOOKUP($F61,OFFSET([3]enemy_skill_triggers!$A$1,0,0,COUNTA([3]enemy_skill_triggers!$A:$A),MATCH(H$1,[3]enemy_skill_triggers!$1:$1,0)-MATCH($F$1,[3]enemy_skill_triggers!$1:$1,0)+1),MATCH(H$1,[3]enemy_skill_triggers!$1:$1,0)-MATCH($F$1,[3]enemy_skill_triggers!$1:$1,0)+1,FALSE)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61" s="42">
        <f ca="1">VLOOKUP($F61,OFFSET([3]enemy_skill_triggers!$A$1,0,0,COUNTA([3]enemy_skill_triggers!$A:$A),MATCH(I$1,[3]enemy_skill_triggers!$1:$1,0)-MATCH($F$1,[3]enemy_skill_triggers!$1:$1,0)+1),MATCH(I$1,[3]enemy_skill_triggers!$1:$1,0)-MATCH($F$1,[3]enemy_skill_triggers!$1:$1,0)+1,FALSE)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25</v>
      </c>
      <c r="J61" s="42" t="str">
        <f ca="1">VLOOKUP($F61,OFFSET([3]enemy_skill_triggers!$A$1,0,0,COUNTA([3]enemy_skill_triggers!$A:$A),MATCH(J$1,[3]enemy_skill_triggers!$1:$1,0)-MATCH($F$1,[3]enemy_skill_triggers!$1:$1,0)+1),MATCH(J$1,[3]enemy_skill_triggers!$1:$1,0)-MATCH($F$1,[3]enemy_skill_triggers!$1:$1,0)+1,FALSE)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1" s="42" t="str">
        <f ca="1">VLOOKUP($F61,OFFSET([3]enemy_skill_triggers!$A$1,0,0,COUNTA([3]enemy_skill_triggers!$A:$A),MATCH(K$1,[3]enemy_skill_triggers!$1:$1,0)-MATCH($F$1,[3]enemy_skill_triggers!$1:$1,0)+1),MATCH(K$1,[3]enemy_skill_triggers!$1:$1,0)-MATCH($F$1,[3]enemy_skill_triggers!$1:$1,0)+1,FALSE)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1" s="42">
        <f ca="1">VLOOKUP($F61,OFFSET([3]enemy_skill_triggers!$A$1,0,0,COUNTA([3]enemy_skill_triggers!$A:$A),MATCH(L$1,[3]enemy_skill_triggers!$1:$1,0)-MATCH($F$1,[3]enemy_skill_triggers!$1:$1,0)+1),MATCH(L$1,[3]enemy_skill_triggers!$1:$1,0)-MATCH($F$1,[3]enemy_skill_triggers!$1:$1,0)+1,FALSE)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61" s="42" t="str">
        <f ca="1">VLOOKUP($F61,OFFSET([3]enemy_skill_triggers!$A$1,0,0,COUNTA([3]enemy_skill_triggers!$A:$A),MATCH(M$1,[3]enemy_skill_triggers!$1:$1,0)-MATCH($F$1,[3]enemy_skill_triggers!$1:$1,0)+1),MATCH(M$1,[3]enemy_skill_triggers!$1:$1,0)-MATCH($F$1,[3]enemy_skill_triggers!$1:$1,0)+1,FALSE)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1" s="42" t="str">
        <f ca="1">VLOOKUP($F61,OFFSET([3]enemy_skill_triggers!$A$1,0,0,COUNTA([3]enemy_skill_triggers!$A:$A),MATCH(N$1,[3]enemy_skill_triggers!$1:$1,0)-MATCH($F$1,[3]enemy_skill_triggers!$1:$1,0)+1),MATCH(N$1,[3]enemy_skill_triggers!$1:$1,0)-MATCH($F$1,[3]enemy_skill_triggers!$1:$1,0)+1,FALSE)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1" s="42">
        <f ca="1">VLOOKUP($F61,OFFSET([3]enemy_skill_triggers!$A$1,0,0,COUNTA([3]enemy_skill_triggers!$A:$A),MATCH(O$1,[3]enemy_skill_triggers!$1:$1,0)-MATCH($F$1,[3]enemy_skill_triggers!$1:$1,0)+1),MATCH(O$1,[3]enemy_skill_triggers!$1:$1,0)-MATCH($F$1,[3]enemy_skill_triggers!$1:$1,0)+1,FALSE)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25</v>
      </c>
      <c r="P61" s="41"/>
      <c r="Q61" s="41"/>
      <c r="R61" s="41"/>
    </row>
    <row r="62" spans="1:18" ht="21" customHeight="1" x14ac:dyDescent="0.15">
      <c r="A62" s="33" t="str">
        <f t="shared" si="0"/>
        <v>47013012_47013204</v>
      </c>
      <c r="B62" s="187">
        <v>47013012</v>
      </c>
      <c r="C62" s="188">
        <v>47013204</v>
      </c>
      <c r="D62" s="202" t="str">
        <f ca="1">VLOOKUP($C62,OFFSET([3]enemy_skills!$A$1,0,0,COUNTA([3]enemy_skills!$A:$A),MATCH(D$1,[3]enemy_skills!$1:$1,0)-MATCH("enemy_skill_id",[3]enemy_skills!$1:$1,0)+1),MATCH(D$1,[3]enemy_skills!$1:$1,0)-MATCH("enemy_skill_id",[3]enemy_skills!$1:$1,0)+1,FALSE)</f>
        <v>こいつは俺がいただくぜ！</v>
      </c>
      <c r="E62" s="202" t="str">
        <f ca="1">VLOOKUP($C62,OFFSET([3]enemy_skills!$A$1,0,0,COUNTA([3]enemy_skills!$A:$A),MATCH(E$1,[3]enemy_skills!$1:$1,0)-MATCH("enemy_skill_id",[3]enemy_skills!$1:$1,0)+1),MATCH(E$1,[3]enemy_skills!$1:$1,0)-MATCH("enemy_skill_id",[3]enemy_skills!$1:$1,0)+1,FALSE)</f>
        <v>お邪魔パネルを吸収して攻撃+_x000D_1ターン行動頻度UP</v>
      </c>
      <c r="F62" s="188">
        <v>47013204</v>
      </c>
      <c r="G62" s="42">
        <f ca="1">VLOOKUP($F62,OFFSET([3]enemy_skill_triggers!$A$1,0,0,COUNTA([3]enemy_skill_triggers!$A:$A),MATCH(G$1,[3]enemy_skill_triggers!$1:$1,0)-MATCH($F$1,[3]enemy_skill_triggers!$1:$1,0)+1),MATCH(G$1,[3]enemy_skill_triggers!$1:$1,0)-MATCH($F$1,[3]enemy_skill_triggers!$1:$1,0)+1,FALSE)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2" s="42">
        <f ca="1">VLOOKUP($F62,OFFSET([3]enemy_skill_triggers!$A$1,0,0,COUNTA([3]enemy_skill_triggers!$A:$A),MATCH(H$1,[3]enemy_skill_triggers!$1:$1,0)-MATCH($F$1,[3]enemy_skill_triggers!$1:$1,0)+1),MATCH(H$1,[3]enemy_skill_triggers!$1:$1,0)-MATCH($F$1,[3]enemy_skill_triggers!$1:$1,0)+1,FALSE)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62" s="42">
        <f ca="1">VLOOKUP($F62,OFFSET([3]enemy_skill_triggers!$A$1,0,0,COUNTA([3]enemy_skill_triggers!$A:$A),MATCH(I$1,[3]enemy_skill_triggers!$1:$1,0)-MATCH($F$1,[3]enemy_skill_triggers!$1:$1,0)+1),MATCH(I$1,[3]enemy_skill_triggers!$1:$1,0)-MATCH($F$1,[3]enemy_skill_triggers!$1:$1,0)+1,FALSE)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30</v>
      </c>
      <c r="J62" s="42" t="str">
        <f ca="1">VLOOKUP($F62,OFFSET([3]enemy_skill_triggers!$A$1,0,0,COUNTA([3]enemy_skill_triggers!$A:$A),MATCH(J$1,[3]enemy_skill_triggers!$1:$1,0)-MATCH($F$1,[3]enemy_skill_triggers!$1:$1,0)+1),MATCH(J$1,[3]enemy_skill_triggers!$1:$1,0)-MATCH($F$1,[3]enemy_skill_triggers!$1:$1,0)+1,FALSE)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2" s="42" t="str">
        <f ca="1">VLOOKUP($F62,OFFSET([3]enemy_skill_triggers!$A$1,0,0,COUNTA([3]enemy_skill_triggers!$A:$A),MATCH(K$1,[3]enemy_skill_triggers!$1:$1,0)-MATCH($F$1,[3]enemy_skill_triggers!$1:$1,0)+1),MATCH(K$1,[3]enemy_skill_triggers!$1:$1,0)-MATCH($F$1,[3]enemy_skill_triggers!$1:$1,0)+1,FALSE)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2" s="42" t="str">
        <f ca="1">VLOOKUP($F62,OFFSET([3]enemy_skill_triggers!$A$1,0,0,COUNTA([3]enemy_skill_triggers!$A:$A),MATCH(L$1,[3]enemy_skill_triggers!$1:$1,0)-MATCH($F$1,[3]enemy_skill_triggers!$1:$1,0)+1),MATCH(L$1,[3]enemy_skill_triggers!$1:$1,0)-MATCH($F$1,[3]enemy_skill_triggers!$1:$1,0)+1,FALSE)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62" s="42" t="str">
        <f ca="1">VLOOKUP($F62,OFFSET([3]enemy_skill_triggers!$A$1,0,0,COUNTA([3]enemy_skill_triggers!$A:$A),MATCH(M$1,[3]enemy_skill_triggers!$1:$1,0)-MATCH($F$1,[3]enemy_skill_triggers!$1:$1,0)+1),MATCH(M$1,[3]enemy_skill_triggers!$1:$1,0)-MATCH($F$1,[3]enemy_skill_triggers!$1:$1,0)+1,FALSE)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2" s="42" t="str">
        <f ca="1">VLOOKUP($F62,OFFSET([3]enemy_skill_triggers!$A$1,0,0,COUNTA([3]enemy_skill_triggers!$A:$A),MATCH(N$1,[3]enemy_skill_triggers!$1:$1,0)-MATCH($F$1,[3]enemy_skill_triggers!$1:$1,0)+1),MATCH(N$1,[3]enemy_skill_triggers!$1:$1,0)-MATCH($F$1,[3]enemy_skill_triggers!$1:$1,0)+1,FALSE)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2" s="42">
        <f ca="1">VLOOKUP($F62,OFFSET([3]enemy_skill_triggers!$A$1,0,0,COUNTA([3]enemy_skill_triggers!$A:$A),MATCH(O$1,[3]enemy_skill_triggers!$1:$1,0)-MATCH($F$1,[3]enemy_skill_triggers!$1:$1,0)+1),MATCH(O$1,[3]enemy_skill_triggers!$1:$1,0)-MATCH($F$1,[3]enemy_skill_triggers!$1:$1,0)+1,FALSE)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30</v>
      </c>
      <c r="P62" s="41"/>
      <c r="Q62" s="41"/>
      <c r="R62" s="41"/>
    </row>
    <row r="63" spans="1:18" ht="21" customHeight="1" x14ac:dyDescent="0.15">
      <c r="A63" s="33" t="str">
        <f t="shared" si="0"/>
        <v>47013012_47013205</v>
      </c>
      <c r="B63" s="187">
        <v>47013012</v>
      </c>
      <c r="C63" s="188">
        <v>47013205</v>
      </c>
      <c r="D63" s="202" t="str">
        <f ca="1">VLOOKUP($C63,OFFSET([3]enemy_skills!$A$1,0,0,COUNTA([3]enemy_skills!$A:$A),MATCH(D$1,[3]enemy_skills!$1:$1,0)-MATCH("enemy_skill_id",[3]enemy_skills!$1:$1,0)+1),MATCH(D$1,[3]enemy_skills!$1:$1,0)-MATCH("enemy_skill_id",[3]enemy_skills!$1:$1,0)+1,FALSE)</f>
        <v>お前の力…見せてみろ！</v>
      </c>
      <c r="E63" s="202" t="str">
        <f ca="1">VLOOKUP($C63,OFFSET([3]enemy_skills!$A$1,0,0,COUNTA([3]enemy_skills!$A:$A),MATCH(E$1,[3]enemy_skills!$1:$1,0)-MATCH("enemy_skill_id",[3]enemy_skills!$1:$1,0)+1),MATCH(E$1,[3]enemy_skills!$1:$1,0)-MATCH("enemy_skill_id",[3]enemy_skills!$1:$1,0)+1,FALSE)</f>
        <v>黄パネルを先頭ユニットのSCパネルに2個変換+_x000D_5回連続攻撃</v>
      </c>
      <c r="F63" s="188">
        <v>47013205</v>
      </c>
      <c r="G63" s="42">
        <f ca="1">VLOOKUP($F63,OFFSET([3]enemy_skill_triggers!$A$1,0,0,COUNTA([3]enemy_skill_triggers!$A:$A),MATCH(G$1,[3]enemy_skill_triggers!$1:$1,0)-MATCH($F$1,[3]enemy_skill_triggers!$1:$1,0)+1),MATCH(G$1,[3]enemy_skill_triggers!$1:$1,0)-MATCH($F$1,[3]enemy_skill_triggers!$1:$1,0)+1,FALSE)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3" s="42">
        <f ca="1">VLOOKUP($F63,OFFSET([3]enemy_skill_triggers!$A$1,0,0,COUNTA([3]enemy_skill_triggers!$A:$A),MATCH(H$1,[3]enemy_skill_triggers!$1:$1,0)-MATCH($F$1,[3]enemy_skill_triggers!$1:$1,0)+1),MATCH(H$1,[3]enemy_skill_triggers!$1:$1,0)-MATCH($F$1,[3]enemy_skill_triggers!$1:$1,0)+1,FALSE)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63" s="42">
        <f ca="1">VLOOKUP($F63,OFFSET([3]enemy_skill_triggers!$A$1,0,0,COUNTA([3]enemy_skill_triggers!$A:$A),MATCH(I$1,[3]enemy_skill_triggers!$1:$1,0)-MATCH($F$1,[3]enemy_skill_triggers!$1:$1,0)+1),MATCH(I$1,[3]enemy_skill_triggers!$1:$1,0)-MATCH($F$1,[3]enemy_skill_triggers!$1:$1,0)+1,FALSE)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48</v>
      </c>
      <c r="J63" s="42" t="str">
        <f ca="1">VLOOKUP($F63,OFFSET([3]enemy_skill_triggers!$A$1,0,0,COUNTA([3]enemy_skill_triggers!$A:$A),MATCH(J$1,[3]enemy_skill_triggers!$1:$1,0)-MATCH($F$1,[3]enemy_skill_triggers!$1:$1,0)+1),MATCH(J$1,[3]enemy_skill_triggers!$1:$1,0)-MATCH($F$1,[3]enemy_skill_triggers!$1:$1,0)+1,FALSE)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3" s="42" t="str">
        <f ca="1">VLOOKUP($F63,OFFSET([3]enemy_skill_triggers!$A$1,0,0,COUNTA([3]enemy_skill_triggers!$A:$A),MATCH(K$1,[3]enemy_skill_triggers!$1:$1,0)-MATCH($F$1,[3]enemy_skill_triggers!$1:$1,0)+1),MATCH(K$1,[3]enemy_skill_triggers!$1:$1,0)-MATCH($F$1,[3]enemy_skill_triggers!$1:$1,0)+1,FALSE)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3" s="42" t="str">
        <f ca="1">VLOOKUP($F63,OFFSET([3]enemy_skill_triggers!$A$1,0,0,COUNTA([3]enemy_skill_triggers!$A:$A),MATCH(L$1,[3]enemy_skill_triggers!$1:$1,0)-MATCH($F$1,[3]enemy_skill_triggers!$1:$1,0)+1),MATCH(L$1,[3]enemy_skill_triggers!$1:$1,0)-MATCH($F$1,[3]enemy_skill_triggers!$1:$1,0)+1,FALSE)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63" s="42" t="str">
        <f ca="1">VLOOKUP($F63,OFFSET([3]enemy_skill_triggers!$A$1,0,0,COUNTA([3]enemy_skill_triggers!$A:$A),MATCH(M$1,[3]enemy_skill_triggers!$1:$1,0)-MATCH($F$1,[3]enemy_skill_triggers!$1:$1,0)+1),MATCH(M$1,[3]enemy_skill_triggers!$1:$1,0)-MATCH($F$1,[3]enemy_skill_triggers!$1:$1,0)+1,FALSE)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3" s="42" t="str">
        <f ca="1">VLOOKUP($F63,OFFSET([3]enemy_skill_triggers!$A$1,0,0,COUNTA([3]enemy_skill_triggers!$A:$A),MATCH(N$1,[3]enemy_skill_triggers!$1:$1,0)-MATCH($F$1,[3]enemy_skill_triggers!$1:$1,0)+1),MATCH(N$1,[3]enemy_skill_triggers!$1:$1,0)-MATCH($F$1,[3]enemy_skill_triggers!$1:$1,0)+1,FALSE)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3" s="42">
        <f ca="1">VLOOKUP($F63,OFFSET([3]enemy_skill_triggers!$A$1,0,0,COUNTA([3]enemy_skill_triggers!$A:$A),MATCH(O$1,[3]enemy_skill_triggers!$1:$1,0)-MATCH($F$1,[3]enemy_skill_triggers!$1:$1,0)+1),MATCH(O$1,[3]enemy_skill_triggers!$1:$1,0)-MATCH($F$1,[3]enemy_skill_triggers!$1:$1,0)+1,FALSE)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48</v>
      </c>
      <c r="P63" s="41"/>
      <c r="Q63" s="41"/>
      <c r="R63" s="41"/>
    </row>
    <row r="64" spans="1:18" ht="21" customHeight="1" x14ac:dyDescent="0.15">
      <c r="A64" s="33" t="str">
        <f t="shared" si="0"/>
        <v>47013012_47013206</v>
      </c>
      <c r="B64" s="187">
        <v>47013012</v>
      </c>
      <c r="C64" s="188">
        <v>47013206</v>
      </c>
      <c r="D64" s="202" t="str">
        <f ca="1">VLOOKUP($C64,OFFSET([3]enemy_skills!$A$1,0,0,COUNTA([3]enemy_skills!$A:$A),MATCH(D$1,[3]enemy_skills!$1:$1,0)-MATCH("enemy_skill_id",[3]enemy_skills!$1:$1,0)+1),MATCH(D$1,[3]enemy_skills!$1:$1,0)-MATCH("enemy_skill_id",[3]enemy_skills!$1:$1,0)+1,FALSE)</f>
        <v>独眼流秘技・閃撃</v>
      </c>
      <c r="E64" s="202" t="str">
        <f ca="1">VLOOKUP($C64,OFFSET([3]enemy_skills!$A$1,0,0,COUNTA([3]enemy_skills!$A:$A),MATCH(E$1,[3]enemy_skills!$1:$1,0)-MATCH("enemy_skill_id",[3]enemy_skills!$1:$1,0)+1),MATCH(E$1,[3]enemy_skills!$1:$1,0)-MATCH("enemy_skill_id",[3]enemy_skills!$1:$1,0)+1,FALSE)</f>
        <v>特定エリアを黄パネルに変換+全体攻撃</v>
      </c>
      <c r="F64" s="188">
        <v>47013206</v>
      </c>
      <c r="G64" s="42">
        <f ca="1">VLOOKUP($F64,OFFSET([3]enemy_skill_triggers!$A$1,0,0,COUNTA([3]enemy_skill_triggers!$A:$A),MATCH(G$1,[3]enemy_skill_triggers!$1:$1,0)-MATCH($F$1,[3]enemy_skill_triggers!$1:$1,0)+1),MATCH(G$1,[3]enemy_skill_triggers!$1:$1,0)-MATCH($F$1,[3]enemy_skill_triggers!$1:$1,0)+1,FALSE)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4" s="42">
        <f ca="1">VLOOKUP($F64,OFFSET([3]enemy_skill_triggers!$A$1,0,0,COUNTA([3]enemy_skill_triggers!$A:$A),MATCH(H$1,[3]enemy_skill_triggers!$1:$1,0)-MATCH($F$1,[3]enemy_skill_triggers!$1:$1,0)+1),MATCH(H$1,[3]enemy_skill_triggers!$1:$1,0)-MATCH($F$1,[3]enemy_skill_triggers!$1:$1,0)+1,FALSE)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64" s="42">
        <f ca="1">VLOOKUP($F64,OFFSET([3]enemy_skill_triggers!$A$1,0,0,COUNTA([3]enemy_skill_triggers!$A:$A),MATCH(I$1,[3]enemy_skill_triggers!$1:$1,0)-MATCH($F$1,[3]enemy_skill_triggers!$1:$1,0)+1),MATCH(I$1,[3]enemy_skill_triggers!$1:$1,0)-MATCH($F$1,[3]enemy_skill_triggers!$1:$1,0)+1,FALSE)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64" s="42" t="str">
        <f ca="1">VLOOKUP($F64,OFFSET([3]enemy_skill_triggers!$A$1,0,0,COUNTA([3]enemy_skill_triggers!$A:$A),MATCH(J$1,[3]enemy_skill_triggers!$1:$1,0)-MATCH($F$1,[3]enemy_skill_triggers!$1:$1,0)+1),MATCH(J$1,[3]enemy_skill_triggers!$1:$1,0)-MATCH($F$1,[3]enemy_skill_triggers!$1:$1,0)+1,FALSE)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4" s="42" t="str">
        <f ca="1">VLOOKUP($F64,OFFSET([3]enemy_skill_triggers!$A$1,0,0,COUNTA([3]enemy_skill_triggers!$A:$A),MATCH(K$1,[3]enemy_skill_triggers!$1:$1,0)-MATCH($F$1,[3]enemy_skill_triggers!$1:$1,0)+1),MATCH(K$1,[3]enemy_skill_triggers!$1:$1,0)-MATCH($F$1,[3]enemy_skill_triggers!$1:$1,0)+1,FALSE)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4" s="42" t="str">
        <f ca="1">VLOOKUP($F64,OFFSET([3]enemy_skill_triggers!$A$1,0,0,COUNTA([3]enemy_skill_triggers!$A:$A),MATCH(L$1,[3]enemy_skill_triggers!$1:$1,0)-MATCH($F$1,[3]enemy_skill_triggers!$1:$1,0)+1),MATCH(L$1,[3]enemy_skill_triggers!$1:$1,0)-MATCH($F$1,[3]enemy_skill_triggers!$1:$1,0)+1,FALSE)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64" s="42" t="str">
        <f ca="1">VLOOKUP($F64,OFFSET([3]enemy_skill_triggers!$A$1,0,0,COUNTA([3]enemy_skill_triggers!$A:$A),MATCH(M$1,[3]enemy_skill_triggers!$1:$1,0)-MATCH($F$1,[3]enemy_skill_triggers!$1:$1,0)+1),MATCH(M$1,[3]enemy_skill_triggers!$1:$1,0)-MATCH($F$1,[3]enemy_skill_triggers!$1:$1,0)+1,FALSE)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4" s="42" t="str">
        <f ca="1">VLOOKUP($F64,OFFSET([3]enemy_skill_triggers!$A$1,0,0,COUNTA([3]enemy_skill_triggers!$A:$A),MATCH(N$1,[3]enemy_skill_triggers!$1:$1,0)-MATCH($F$1,[3]enemy_skill_triggers!$1:$1,0)+1),MATCH(N$1,[3]enemy_skill_triggers!$1:$1,0)-MATCH($F$1,[3]enemy_skill_triggers!$1:$1,0)+1,FALSE)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4" s="42">
        <f ca="1">VLOOKUP($F64,OFFSET([3]enemy_skill_triggers!$A$1,0,0,COUNTA([3]enemy_skill_triggers!$A:$A),MATCH(O$1,[3]enemy_skill_triggers!$1:$1,0)-MATCH($F$1,[3]enemy_skill_triggers!$1:$1,0)+1),MATCH(O$1,[3]enemy_skill_triggers!$1:$1,0)-MATCH($F$1,[3]enemy_skill_triggers!$1:$1,0)+1,FALSE)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64" s="41"/>
      <c r="Q64" s="41"/>
      <c r="R64" s="41"/>
    </row>
    <row r="65" spans="1:18" ht="21" customHeight="1" x14ac:dyDescent="0.15">
      <c r="A65" s="33" t="str">
        <f t="shared" si="0"/>
        <v>47013012_47013207</v>
      </c>
      <c r="B65" s="187">
        <v>47013012</v>
      </c>
      <c r="C65" s="188">
        <v>47013207</v>
      </c>
      <c r="D65" s="202" t="str">
        <f ca="1">VLOOKUP($C65,OFFSET([3]enemy_skills!$A$1,0,0,COUNTA([3]enemy_skills!$A:$A),MATCH(D$1,[3]enemy_skills!$1:$1,0)-MATCH("enemy_skill_id",[3]enemy_skills!$1:$1,0)+1),MATCH(D$1,[3]enemy_skills!$1:$1,0)-MATCH("enemy_skill_id",[3]enemy_skills!$1:$1,0)+1,FALSE)</f>
        <v>ハハッ　命知らずなヤツだ！</v>
      </c>
      <c r="E65" s="202" t="str">
        <f ca="1">VLOOKUP($C65,OFFSET([3]enemy_skills!$A$1,0,0,COUNTA([3]enemy_skills!$A:$A),MATCH(E$1,[3]enemy_skills!$1:$1,0)-MATCH("enemy_skill_id",[3]enemy_skills!$1:$1,0)+1),MATCH(E$1,[3]enemy_skills!$1:$1,0)-MATCH("enemy_skill_id",[3]enemy_skills!$1:$1,0)+1,FALSE)</f>
        <v>緑パネルプロテクト+クリティカル！</v>
      </c>
      <c r="F65" s="188">
        <v>47013207</v>
      </c>
      <c r="G65" s="42">
        <f ca="1">VLOOKUP($F65,OFFSET([3]enemy_skill_triggers!$A$1,0,0,COUNTA([3]enemy_skill_triggers!$A:$A),MATCH(G$1,[3]enemy_skill_triggers!$1:$1,0)-MATCH($F$1,[3]enemy_skill_triggers!$1:$1,0)+1),MATCH(G$1,[3]enemy_skill_triggers!$1:$1,0)-MATCH($F$1,[3]enemy_skill_triggers!$1:$1,0)+1,FALSE)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5" s="42">
        <f ca="1">VLOOKUP($F65,OFFSET([3]enemy_skill_triggers!$A$1,0,0,COUNTA([3]enemy_skill_triggers!$A:$A),MATCH(H$1,[3]enemy_skill_triggers!$1:$1,0)-MATCH($F$1,[3]enemy_skill_triggers!$1:$1,0)+1),MATCH(H$1,[3]enemy_skill_triggers!$1:$1,0)-MATCH($F$1,[3]enemy_skill_triggers!$1:$1,0)+1,FALSE)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300</v>
      </c>
      <c r="I65" s="42">
        <f ca="1">VLOOKUP($F65,OFFSET([3]enemy_skill_triggers!$A$1,0,0,COUNTA([3]enemy_skill_triggers!$A:$A),MATCH(I$1,[3]enemy_skill_triggers!$1:$1,0)-MATCH($F$1,[3]enemy_skill_triggers!$1:$1,0)+1),MATCH(I$1,[3]enemy_skill_triggers!$1:$1,0)-MATCH($F$1,[3]enemy_skill_triggers!$1:$1,0)+1,FALSE)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65" s="42" t="str">
        <f ca="1">VLOOKUP($F65,OFFSET([3]enemy_skill_triggers!$A$1,0,0,COUNTA([3]enemy_skill_triggers!$A:$A),MATCH(J$1,[3]enemy_skill_triggers!$1:$1,0)-MATCH($F$1,[3]enemy_skill_triggers!$1:$1,0)+1),MATCH(J$1,[3]enemy_skill_triggers!$1:$1,0)-MATCH($F$1,[3]enemy_skill_triggers!$1:$1,0)+1,FALSE)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5" s="42" t="str">
        <f ca="1">VLOOKUP($F65,OFFSET([3]enemy_skill_triggers!$A$1,0,0,COUNTA([3]enemy_skill_triggers!$A:$A),MATCH(K$1,[3]enemy_skill_triggers!$1:$1,0)-MATCH($F$1,[3]enemy_skill_triggers!$1:$1,0)+1),MATCH(K$1,[3]enemy_skill_triggers!$1:$1,0)-MATCH($F$1,[3]enemy_skill_triggers!$1:$1,0)+1,FALSE)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5" s="42" t="str">
        <f ca="1">VLOOKUP($F65,OFFSET([3]enemy_skill_triggers!$A$1,0,0,COUNTA([3]enemy_skill_triggers!$A:$A),MATCH(L$1,[3]enemy_skill_triggers!$1:$1,0)-MATCH($F$1,[3]enemy_skill_triggers!$1:$1,0)+1),MATCH(L$1,[3]enemy_skill_triggers!$1:$1,0)-MATCH($F$1,[3]enemy_skill_triggers!$1:$1,0)+1,FALSE)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65" s="42">
        <f ca="1">VLOOKUP($F65,OFFSET([3]enemy_skill_triggers!$A$1,0,0,COUNTA([3]enemy_skill_triggers!$A:$A),MATCH(M$1,[3]enemy_skill_triggers!$1:$1,0)-MATCH($F$1,[3]enemy_skill_triggers!$1:$1,0)+1),MATCH(M$1,[3]enemy_skill_triggers!$1:$1,0)-MATCH($F$1,[3]enemy_skill_triggers!$1:$1,0)+1,FALSE)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4</v>
      </c>
      <c r="N65" s="42" t="str">
        <f ca="1">VLOOKUP($F65,OFFSET([3]enemy_skill_triggers!$A$1,0,0,COUNTA([3]enemy_skill_triggers!$A:$A),MATCH(N$1,[3]enemy_skill_triggers!$1:$1,0)-MATCH($F$1,[3]enemy_skill_triggers!$1:$1,0)+1),MATCH(N$1,[3]enemy_skill_triggers!$1:$1,0)-MATCH($F$1,[3]enemy_skill_triggers!$1:$1,0)+1,FALSE)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5" s="42">
        <f ca="1">VLOOKUP($F65,OFFSET([3]enemy_skill_triggers!$A$1,0,0,COUNTA([3]enemy_skill_triggers!$A:$A),MATCH(O$1,[3]enemy_skill_triggers!$1:$1,0)-MATCH($F$1,[3]enemy_skill_triggers!$1:$1,0)+1),MATCH(O$1,[3]enemy_skill_triggers!$1:$1,0)-MATCH($F$1,[3]enemy_skill_triggers!$1:$1,0)+1,FALSE)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65" s="41"/>
      <c r="Q65" s="41"/>
      <c r="R65" s="41"/>
    </row>
    <row r="66" spans="1:18" ht="21" customHeight="1" x14ac:dyDescent="0.15">
      <c r="A66" s="33" t="str">
        <f t="shared" ref="A66:A101" si="1">B66&amp;"_"&amp;C66</f>
        <v>47013013_47013311</v>
      </c>
      <c r="B66" s="42">
        <v>47013013</v>
      </c>
      <c r="C66" s="203">
        <v>47013311</v>
      </c>
      <c r="D66" s="202" t="str">
        <f ca="1">VLOOKUP($C66,OFFSET([3]enemy_skills!$A$1,0,0,COUNTA([3]enemy_skills!$A:$A),MATCH(D$1,[3]enemy_skills!$1:$1,0)-MATCH("enemy_skill_id",[3]enemy_skills!$1:$1,0)+1),MATCH(D$1,[3]enemy_skills!$1:$1,0)-MATCH("enemy_skill_id",[3]enemy_skills!$1:$1,0)+1,FALSE)</f>
        <v>いいぜ…久しぶりにマジになるか！</v>
      </c>
      <c r="E66" s="202" t="str">
        <f ca="1">VLOOKUP($C66,OFFSET([3]enemy_skills!$A$1,0,0,COUNTA([3]enemy_skills!$A:$A),MATCH(E$1,[3]enemy_skills!$1:$1,0)-MATCH("enemy_skill_id",[3]enemy_skills!$1:$1,0)+1),MATCH(E$1,[3]enemy_skills!$1:$1,0)-MATCH("enemy_skill_id",[3]enemy_skills!$1:$1,0)+1,FALSE)</f>
        <v>状態異常耐性</v>
      </c>
      <c r="F66" s="189">
        <v>47013301</v>
      </c>
      <c r="G66" s="42">
        <f ca="1">VLOOKUP($F66,OFFSET([3]enemy_skill_triggers!$A$1,0,0,COUNTA([3]enemy_skill_triggers!$A:$A),MATCH(G$1,[3]enemy_skill_triggers!$1:$1,0)-MATCH($F$1,[3]enemy_skill_triggers!$1:$1,0)+1),MATCH(G$1,[3]enemy_skill_triggers!$1:$1,0)-MATCH($F$1,[3]enemy_skill_triggers!$1:$1,0)+1,FALSE)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66" s="42">
        <f ca="1">VLOOKUP($F66,OFFSET([3]enemy_skill_triggers!$A$1,0,0,COUNTA([3]enemy_skill_triggers!$A:$A),MATCH(H$1,[3]enemy_skill_triggers!$1:$1,0)-MATCH($F$1,[3]enemy_skill_triggers!$1:$1,0)+1),MATCH(H$1,[3]enemy_skill_triggers!$1:$1,0)-MATCH($F$1,[3]enemy_skill_triggers!$1:$1,0)+1,FALSE)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66" s="42">
        <f ca="1">VLOOKUP($F66,OFFSET([3]enemy_skill_triggers!$A$1,0,0,COUNTA([3]enemy_skill_triggers!$A:$A),MATCH(I$1,[3]enemy_skill_triggers!$1:$1,0)-MATCH($F$1,[3]enemy_skill_triggers!$1:$1,0)+1),MATCH(I$1,[3]enemy_skill_triggers!$1:$1,0)-MATCH($F$1,[3]enemy_skill_triggers!$1:$1,0)+1,FALSE)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66" s="42" t="str">
        <f ca="1">VLOOKUP($F66,OFFSET([3]enemy_skill_triggers!$A$1,0,0,COUNTA([3]enemy_skill_triggers!$A:$A),MATCH(J$1,[3]enemy_skill_triggers!$1:$1,0)-MATCH($F$1,[3]enemy_skill_triggers!$1:$1,0)+1),MATCH(J$1,[3]enemy_skill_triggers!$1:$1,0)-MATCH($F$1,[3]enemy_skill_triggers!$1:$1,0)+1,FALSE)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6" s="42" t="str">
        <f ca="1">VLOOKUP($F66,OFFSET([3]enemy_skill_triggers!$A$1,0,0,COUNTA([3]enemy_skill_triggers!$A:$A),MATCH(K$1,[3]enemy_skill_triggers!$1:$1,0)-MATCH($F$1,[3]enemy_skill_triggers!$1:$1,0)+1),MATCH(K$1,[3]enemy_skill_triggers!$1:$1,0)-MATCH($F$1,[3]enemy_skill_triggers!$1:$1,0)+1,FALSE)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6" s="42">
        <f ca="1">VLOOKUP($F66,OFFSET([3]enemy_skill_triggers!$A$1,0,0,COUNTA([3]enemy_skill_triggers!$A:$A),MATCH(L$1,[3]enemy_skill_triggers!$1:$1,0)-MATCH($F$1,[3]enemy_skill_triggers!$1:$1,0)+1),MATCH(L$1,[3]enemy_skill_triggers!$1:$1,0)-MATCH($F$1,[3]enemy_skill_triggers!$1:$1,0)+1,FALSE)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66" s="42" t="str">
        <f ca="1">VLOOKUP($F66,OFFSET([3]enemy_skill_triggers!$A$1,0,0,COUNTA([3]enemy_skill_triggers!$A:$A),MATCH(M$1,[3]enemy_skill_triggers!$1:$1,0)-MATCH($F$1,[3]enemy_skill_triggers!$1:$1,0)+1),MATCH(M$1,[3]enemy_skill_triggers!$1:$1,0)-MATCH($F$1,[3]enemy_skill_triggers!$1:$1,0)+1,FALSE)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6" s="42" t="str">
        <f ca="1">VLOOKUP($F66,OFFSET([3]enemy_skill_triggers!$A$1,0,0,COUNTA([3]enemy_skill_triggers!$A:$A),MATCH(N$1,[3]enemy_skill_triggers!$1:$1,0)-MATCH($F$1,[3]enemy_skill_triggers!$1:$1,0)+1),MATCH(N$1,[3]enemy_skill_triggers!$1:$1,0)-MATCH($F$1,[3]enemy_skill_triggers!$1:$1,0)+1,FALSE)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6" s="42">
        <f ca="1">VLOOKUP($F66,OFFSET([3]enemy_skill_triggers!$A$1,0,0,COUNTA([3]enemy_skill_triggers!$A:$A),MATCH(O$1,[3]enemy_skill_triggers!$1:$1,0)-MATCH($F$1,[3]enemy_skill_triggers!$1:$1,0)+1),MATCH(O$1,[3]enemy_skill_triggers!$1:$1,0)-MATCH($F$1,[3]enemy_skill_triggers!$1:$1,0)+1,FALSE)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66" s="41"/>
      <c r="Q66" s="41"/>
      <c r="R66" s="41"/>
    </row>
    <row r="67" spans="1:18" ht="21" customHeight="1" x14ac:dyDescent="0.15">
      <c r="A67" s="33" t="str">
        <f t="shared" si="1"/>
        <v>47013013_47013312</v>
      </c>
      <c r="B67" s="42">
        <v>47013013</v>
      </c>
      <c r="C67" s="203">
        <v>47013312</v>
      </c>
      <c r="D67" s="202" t="str">
        <f ca="1">VLOOKUP($C67,OFFSET([3]enemy_skills!$A$1,0,0,COUNTA([3]enemy_skills!$A:$A),MATCH(D$1,[3]enemy_skills!$1:$1,0)-MATCH("enemy_skill_id",[3]enemy_skills!$1:$1,0)+1),MATCH(D$1,[3]enemy_skills!$1:$1,0)-MATCH("enemy_skill_id",[3]enemy_skills!$1:$1,0)+1,FALSE)</f>
        <v>さあ！こいつでどうだ！</v>
      </c>
      <c r="E67" s="202" t="str">
        <f ca="1">VLOOKUP($C67,OFFSET([3]enemy_skills!$A$1,0,0,COUNTA([3]enemy_skills!$A:$A),MATCH(E$1,[3]enemy_skills!$1:$1,0)-MATCH("enemy_skill_id",[3]enemy_skills!$1:$1,0)+1),MATCH(E$1,[3]enemy_skills!$1:$1,0)-MATCH("enemy_skill_id",[3]enemy_skills!$1:$1,0)+1,FALSE)</f>
        <v>特定エリアを黄&amp;緑&amp;青のダメージパネルに変換+_x000D_単体攻撃</v>
      </c>
      <c r="F67" s="189">
        <v>47013302</v>
      </c>
      <c r="G67" s="42">
        <f ca="1">VLOOKUP($F67,OFFSET([3]enemy_skill_triggers!$A$1,0,0,COUNTA([3]enemy_skill_triggers!$A:$A),MATCH(G$1,[3]enemy_skill_triggers!$1:$1,0)-MATCH($F$1,[3]enemy_skill_triggers!$1:$1,0)+1),MATCH(G$1,[3]enemy_skill_triggers!$1:$1,0)-MATCH($F$1,[3]enemy_skill_triggers!$1:$1,0)+1,FALSE)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7" s="42">
        <f ca="1">VLOOKUP($F67,OFFSET([3]enemy_skill_triggers!$A$1,0,0,COUNTA([3]enemy_skill_triggers!$A:$A),MATCH(H$1,[3]enemy_skill_triggers!$1:$1,0)-MATCH($F$1,[3]enemy_skill_triggers!$1:$1,0)+1),MATCH(H$1,[3]enemy_skill_triggers!$1:$1,0)-MATCH($F$1,[3]enemy_skill_triggers!$1:$1,0)+1,FALSE)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67" s="42">
        <f ca="1">VLOOKUP($F67,OFFSET([3]enemy_skill_triggers!$A$1,0,0,COUNTA([3]enemy_skill_triggers!$A:$A),MATCH(I$1,[3]enemy_skill_triggers!$1:$1,0)-MATCH($F$1,[3]enemy_skill_triggers!$1:$1,0)+1),MATCH(I$1,[3]enemy_skill_triggers!$1:$1,0)-MATCH($F$1,[3]enemy_skill_triggers!$1:$1,0)+1,FALSE)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67" s="42" t="str">
        <f ca="1">VLOOKUP($F67,OFFSET([3]enemy_skill_triggers!$A$1,0,0,COUNTA([3]enemy_skill_triggers!$A:$A),MATCH(J$1,[3]enemy_skill_triggers!$1:$1,0)-MATCH($F$1,[3]enemy_skill_triggers!$1:$1,0)+1),MATCH(J$1,[3]enemy_skill_triggers!$1:$1,0)-MATCH($F$1,[3]enemy_skill_triggers!$1:$1,0)+1,FALSE)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7" s="42" t="str">
        <f ca="1">VLOOKUP($F67,OFFSET([3]enemy_skill_triggers!$A$1,0,0,COUNTA([3]enemy_skill_triggers!$A:$A),MATCH(K$1,[3]enemy_skill_triggers!$1:$1,0)-MATCH($F$1,[3]enemy_skill_triggers!$1:$1,0)+1),MATCH(K$1,[3]enemy_skill_triggers!$1:$1,0)-MATCH($F$1,[3]enemy_skill_triggers!$1:$1,0)+1,FALSE)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7" s="42">
        <f ca="1">VLOOKUP($F67,OFFSET([3]enemy_skill_triggers!$A$1,0,0,COUNTA([3]enemy_skill_triggers!$A:$A),MATCH(L$1,[3]enemy_skill_triggers!$1:$1,0)-MATCH($F$1,[3]enemy_skill_triggers!$1:$1,0)+1),MATCH(L$1,[3]enemy_skill_triggers!$1:$1,0)-MATCH($F$1,[3]enemy_skill_triggers!$1:$1,0)+1,FALSE)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67" s="42">
        <f ca="1">VLOOKUP($F67,OFFSET([3]enemy_skill_triggers!$A$1,0,0,COUNTA([3]enemy_skill_triggers!$A:$A),MATCH(M$1,[3]enemy_skill_triggers!$1:$1,0)-MATCH($F$1,[3]enemy_skill_triggers!$1:$1,0)+1),MATCH(M$1,[3]enemy_skill_triggers!$1:$1,0)-MATCH($F$1,[3]enemy_skill_triggers!$1:$1,0)+1,FALSE)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67" s="42" t="str">
        <f ca="1">VLOOKUP($F67,OFFSET([3]enemy_skill_triggers!$A$1,0,0,COUNTA([3]enemy_skill_triggers!$A:$A),MATCH(N$1,[3]enemy_skill_triggers!$1:$1,0)-MATCH($F$1,[3]enemy_skill_triggers!$1:$1,0)+1),MATCH(N$1,[3]enemy_skill_triggers!$1:$1,0)-MATCH($F$1,[3]enemy_skill_triggers!$1:$1,0)+1,FALSE)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7" s="42">
        <f ca="1">VLOOKUP($F67,OFFSET([3]enemy_skill_triggers!$A$1,0,0,COUNTA([3]enemy_skill_triggers!$A:$A),MATCH(O$1,[3]enemy_skill_triggers!$1:$1,0)-MATCH($F$1,[3]enemy_skill_triggers!$1:$1,0)+1),MATCH(O$1,[3]enemy_skill_triggers!$1:$1,0)-MATCH($F$1,[3]enemy_skill_triggers!$1:$1,0)+1,FALSE)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67" s="41"/>
      <c r="Q67" s="41"/>
      <c r="R67" s="41"/>
    </row>
    <row r="68" spans="1:18" ht="21" customHeight="1" x14ac:dyDescent="0.15">
      <c r="A68" s="33" t="str">
        <f t="shared" si="1"/>
        <v>47013013_47013303</v>
      </c>
      <c r="B68" s="42">
        <v>47013013</v>
      </c>
      <c r="C68" s="189">
        <v>47013303</v>
      </c>
      <c r="D68" s="202" t="str">
        <f ca="1">VLOOKUP($C68,OFFSET([3]enemy_skills!$A$1,0,0,COUNTA([3]enemy_skills!$A:$A),MATCH(D$1,[3]enemy_skills!$1:$1,0)-MATCH("enemy_skill_id",[3]enemy_skills!$1:$1,0)+1),MATCH(D$1,[3]enemy_skills!$1:$1,0)-MATCH("enemy_skill_id",[3]enemy_skills!$1:$1,0)+1,FALSE)</f>
        <v>これが俺の真骨頂だ！</v>
      </c>
      <c r="E68" s="202" t="str">
        <f ca="1">VLOOKUP($C68,OFFSET([3]enemy_skills!$A$1,0,0,COUNTA([3]enemy_skills!$A:$A),MATCH(E$1,[3]enemy_skills!$1:$1,0)-MATCH("enemy_skill_id",[3]enemy_skills!$1:$1,0)+1),MATCH(E$1,[3]enemy_skills!$1:$1,0)-MATCH("enemy_skill_id",[3]enemy_skills!$1:$1,0)+1,FALSE)</f>
        <v>属性パネルを黄ボムパネルに20個変換+_x000D_5回連続攻撃+_x000D_1ターンタップ回数を2UP</v>
      </c>
      <c r="F68" s="189">
        <v>47013303</v>
      </c>
      <c r="G68" s="42">
        <f ca="1">VLOOKUP($F68,OFFSET([3]enemy_skill_triggers!$A$1,0,0,COUNTA([3]enemy_skill_triggers!$A:$A),MATCH(G$1,[3]enemy_skill_triggers!$1:$1,0)-MATCH($F$1,[3]enemy_skill_triggers!$1:$1,0)+1),MATCH(G$1,[3]enemy_skill_triggers!$1:$1,0)-MATCH($F$1,[3]enemy_skill_triggers!$1:$1,0)+1,FALSE)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8" s="42">
        <f ca="1">VLOOKUP($F68,OFFSET([3]enemy_skill_triggers!$A$1,0,0,COUNTA([3]enemy_skill_triggers!$A:$A),MATCH(H$1,[3]enemy_skill_triggers!$1:$1,0)-MATCH($F$1,[3]enemy_skill_triggers!$1:$1,0)+1),MATCH(H$1,[3]enemy_skill_triggers!$1:$1,0)-MATCH($F$1,[3]enemy_skill_triggers!$1:$1,0)+1,FALSE)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68" s="42">
        <f ca="1">VLOOKUP($F68,OFFSET([3]enemy_skill_triggers!$A$1,0,0,COUNTA([3]enemy_skill_triggers!$A:$A),MATCH(I$1,[3]enemy_skill_triggers!$1:$1,0)-MATCH($F$1,[3]enemy_skill_triggers!$1:$1,0)+1),MATCH(I$1,[3]enemy_skill_triggers!$1:$1,0)-MATCH($F$1,[3]enemy_skill_triggers!$1:$1,0)+1,FALSE)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80</v>
      </c>
      <c r="J68" s="42" t="str">
        <f ca="1">VLOOKUP($F68,OFFSET([3]enemy_skill_triggers!$A$1,0,0,COUNTA([3]enemy_skill_triggers!$A:$A),MATCH(J$1,[3]enemy_skill_triggers!$1:$1,0)-MATCH($F$1,[3]enemy_skill_triggers!$1:$1,0)+1),MATCH(J$1,[3]enemy_skill_triggers!$1:$1,0)-MATCH($F$1,[3]enemy_skill_triggers!$1:$1,0)+1,FALSE)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8" s="42" t="str">
        <f ca="1">VLOOKUP($F68,OFFSET([3]enemy_skill_triggers!$A$1,0,0,COUNTA([3]enemy_skill_triggers!$A:$A),MATCH(K$1,[3]enemy_skill_triggers!$1:$1,0)-MATCH($F$1,[3]enemy_skill_triggers!$1:$1,0)+1),MATCH(K$1,[3]enemy_skill_triggers!$1:$1,0)-MATCH($F$1,[3]enemy_skill_triggers!$1:$1,0)+1,FALSE)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8" s="42">
        <f ca="1">VLOOKUP($F68,OFFSET([3]enemy_skill_triggers!$A$1,0,0,COUNTA([3]enemy_skill_triggers!$A:$A),MATCH(L$1,[3]enemy_skill_triggers!$1:$1,0)-MATCH($F$1,[3]enemy_skill_triggers!$1:$1,0)+1),MATCH(L$1,[3]enemy_skill_triggers!$1:$1,0)-MATCH($F$1,[3]enemy_skill_triggers!$1:$1,0)+1,FALSE)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68" s="42" t="str">
        <f ca="1">VLOOKUP($F68,OFFSET([3]enemy_skill_triggers!$A$1,0,0,COUNTA([3]enemy_skill_triggers!$A:$A),MATCH(M$1,[3]enemy_skill_triggers!$1:$1,0)-MATCH($F$1,[3]enemy_skill_triggers!$1:$1,0)+1),MATCH(M$1,[3]enemy_skill_triggers!$1:$1,0)-MATCH($F$1,[3]enemy_skill_triggers!$1:$1,0)+1,FALSE)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8" s="42" t="str">
        <f ca="1">VLOOKUP($F68,OFFSET([3]enemy_skill_triggers!$A$1,0,0,COUNTA([3]enemy_skill_triggers!$A:$A),MATCH(N$1,[3]enemy_skill_triggers!$1:$1,0)-MATCH($F$1,[3]enemy_skill_triggers!$1:$1,0)+1),MATCH(N$1,[3]enemy_skill_triggers!$1:$1,0)-MATCH($F$1,[3]enemy_skill_triggers!$1:$1,0)+1,FALSE)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8" s="42">
        <f ca="1">VLOOKUP($F68,OFFSET([3]enemy_skill_triggers!$A$1,0,0,COUNTA([3]enemy_skill_triggers!$A:$A),MATCH(O$1,[3]enemy_skill_triggers!$1:$1,0)-MATCH($F$1,[3]enemy_skill_triggers!$1:$1,0)+1),MATCH(O$1,[3]enemy_skill_triggers!$1:$1,0)-MATCH($F$1,[3]enemy_skill_triggers!$1:$1,0)+1,FALSE)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80</v>
      </c>
      <c r="P68" s="41"/>
      <c r="Q68" s="41"/>
      <c r="R68" s="41"/>
    </row>
    <row r="69" spans="1:18" ht="21" customHeight="1" x14ac:dyDescent="0.15">
      <c r="A69" s="33" t="str">
        <f t="shared" si="1"/>
        <v>47013013_47013304</v>
      </c>
      <c r="B69" s="42">
        <v>47013013</v>
      </c>
      <c r="C69" s="189">
        <v>47013304</v>
      </c>
      <c r="D69" s="202" t="str">
        <f ca="1">VLOOKUP($C69,OFFSET([3]enemy_skills!$A$1,0,0,COUNTA([3]enemy_skills!$A:$A),MATCH(D$1,[3]enemy_skills!$1:$1,0)-MATCH("enemy_skill_id",[3]enemy_skills!$1:$1,0)+1),MATCH(D$1,[3]enemy_skills!$1:$1,0)-MATCH("enemy_skill_id",[3]enemy_skills!$1:$1,0)+1,FALSE)</f>
        <v>最高だ！_x000D_疼きが止まらねぇぜ！</v>
      </c>
      <c r="E69" s="202" t="str">
        <f ca="1">VLOOKUP($C69,OFFSET([3]enemy_skills!$A$1,0,0,COUNTA([3]enemy_skills!$A:$A),MATCH(E$1,[3]enemy_skills!$1:$1,0)-MATCH("enemy_skill_id",[3]enemy_skills!$1:$1,0)+1),MATCH(E$1,[3]enemy_skills!$1:$1,0)-MATCH("enemy_skill_id",[3]enemy_skills!$1:$1,0)+1,FALSE)</f>
        <v>属性パネルを黄ボムパネルに8個変換+_x000D_属性パネルを黄のCBPに2個変換+_x000D_2回連続攻撃</v>
      </c>
      <c r="F69" s="189">
        <v>47013304</v>
      </c>
      <c r="G69" s="42">
        <f ca="1">VLOOKUP($F69,OFFSET([3]enemy_skill_triggers!$A$1,0,0,COUNTA([3]enemy_skill_triggers!$A:$A),MATCH(G$1,[3]enemy_skill_triggers!$1:$1,0)-MATCH($F$1,[3]enemy_skill_triggers!$1:$1,0)+1),MATCH(G$1,[3]enemy_skill_triggers!$1:$1,0)-MATCH($F$1,[3]enemy_skill_triggers!$1:$1,0)+1,FALSE)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69" s="42">
        <f ca="1">VLOOKUP($F69,OFFSET([3]enemy_skill_triggers!$A$1,0,0,COUNTA([3]enemy_skill_triggers!$A:$A),MATCH(H$1,[3]enemy_skill_triggers!$1:$1,0)-MATCH($F$1,[3]enemy_skill_triggers!$1:$1,0)+1),MATCH(H$1,[3]enemy_skill_triggers!$1:$1,0)-MATCH($F$1,[3]enemy_skill_triggers!$1:$1,0)+1,FALSE)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69" s="42">
        <f ca="1">VLOOKUP($F69,OFFSET([3]enemy_skill_triggers!$A$1,0,0,COUNTA([3]enemy_skill_triggers!$A:$A),MATCH(I$1,[3]enemy_skill_triggers!$1:$1,0)-MATCH($F$1,[3]enemy_skill_triggers!$1:$1,0)+1),MATCH(I$1,[3]enemy_skill_triggers!$1:$1,0)-MATCH($F$1,[3]enemy_skill_triggers!$1:$1,0)+1,FALSE)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28</v>
      </c>
      <c r="J69" s="42" t="str">
        <f ca="1">VLOOKUP($F69,OFFSET([3]enemy_skill_triggers!$A$1,0,0,COUNTA([3]enemy_skill_triggers!$A:$A),MATCH(J$1,[3]enemy_skill_triggers!$1:$1,0)-MATCH($F$1,[3]enemy_skill_triggers!$1:$1,0)+1),MATCH(J$1,[3]enemy_skill_triggers!$1:$1,0)-MATCH($F$1,[3]enemy_skill_triggers!$1:$1,0)+1,FALSE)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69" s="42" t="str">
        <f ca="1">VLOOKUP($F69,OFFSET([3]enemy_skill_triggers!$A$1,0,0,COUNTA([3]enemy_skill_triggers!$A:$A),MATCH(K$1,[3]enemy_skill_triggers!$1:$1,0)-MATCH($F$1,[3]enemy_skill_triggers!$1:$1,0)+1),MATCH(K$1,[3]enemy_skill_triggers!$1:$1,0)-MATCH($F$1,[3]enemy_skill_triggers!$1:$1,0)+1,FALSE)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69" s="42" t="str">
        <f ca="1">VLOOKUP($F69,OFFSET([3]enemy_skill_triggers!$A$1,0,0,COUNTA([3]enemy_skill_triggers!$A:$A),MATCH(L$1,[3]enemy_skill_triggers!$1:$1,0)-MATCH($F$1,[3]enemy_skill_triggers!$1:$1,0)+1),MATCH(L$1,[3]enemy_skill_triggers!$1:$1,0)-MATCH($F$1,[3]enemy_skill_triggers!$1:$1,0)+1,FALSE)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69" s="42" t="str">
        <f ca="1">VLOOKUP($F69,OFFSET([3]enemy_skill_triggers!$A$1,0,0,COUNTA([3]enemy_skill_triggers!$A:$A),MATCH(M$1,[3]enemy_skill_triggers!$1:$1,0)-MATCH($F$1,[3]enemy_skill_triggers!$1:$1,0)+1),MATCH(M$1,[3]enemy_skill_triggers!$1:$1,0)-MATCH($F$1,[3]enemy_skill_triggers!$1:$1,0)+1,FALSE)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69" s="42" t="str">
        <f ca="1">VLOOKUP($F69,OFFSET([3]enemy_skill_triggers!$A$1,0,0,COUNTA([3]enemy_skill_triggers!$A:$A),MATCH(N$1,[3]enemy_skill_triggers!$1:$1,0)-MATCH($F$1,[3]enemy_skill_triggers!$1:$1,0)+1),MATCH(N$1,[3]enemy_skill_triggers!$1:$1,0)-MATCH($F$1,[3]enemy_skill_triggers!$1:$1,0)+1,FALSE)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69" s="42">
        <f ca="1">VLOOKUP($F69,OFFSET([3]enemy_skill_triggers!$A$1,0,0,COUNTA([3]enemy_skill_triggers!$A:$A),MATCH(O$1,[3]enemy_skill_triggers!$1:$1,0)-MATCH($F$1,[3]enemy_skill_triggers!$1:$1,0)+1),MATCH(O$1,[3]enemy_skill_triggers!$1:$1,0)-MATCH($F$1,[3]enemy_skill_triggers!$1:$1,0)+1,FALSE)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28</v>
      </c>
      <c r="P69" s="41"/>
      <c r="Q69" s="41"/>
      <c r="R69" s="41"/>
    </row>
    <row r="70" spans="1:18" ht="21" customHeight="1" x14ac:dyDescent="0.15">
      <c r="A70" s="33" t="str">
        <f t="shared" si="1"/>
        <v>47013013_47013305</v>
      </c>
      <c r="B70" s="42">
        <v>47013013</v>
      </c>
      <c r="C70" s="189">
        <v>47013305</v>
      </c>
      <c r="D70" s="202" t="str">
        <f ca="1">VLOOKUP($C70,OFFSET([3]enemy_skills!$A$1,0,0,COUNTA([3]enemy_skills!$A:$A),MATCH(D$1,[3]enemy_skills!$1:$1,0)-MATCH("enemy_skill_id",[3]enemy_skills!$1:$1,0)+1),MATCH(D$1,[3]enemy_skills!$1:$1,0)-MATCH("enemy_skill_id",[3]enemy_skills!$1:$1,0)+1,FALSE)</f>
        <v>独眼流秘技・閃撃</v>
      </c>
      <c r="E70" s="202" t="str">
        <f ca="1">VLOOKUP($C70,OFFSET([3]enemy_skills!$A$1,0,0,COUNTA([3]enemy_skills!$A:$A),MATCH(E$1,[3]enemy_skills!$1:$1,0)-MATCH("enemy_skill_id",[3]enemy_skills!$1:$1,0)+1),MATCH(E$1,[3]enemy_skills!$1:$1,0)-MATCH("enemy_skill_id",[3]enemy_skills!$1:$1,0)+1,FALSE)</f>
        <v>特定エリアを黄パネルに変換+全体攻撃</v>
      </c>
      <c r="F70" s="189">
        <v>47013305</v>
      </c>
      <c r="G70" s="42">
        <f ca="1">VLOOKUP($F70,OFFSET([3]enemy_skill_triggers!$A$1,0,0,COUNTA([3]enemy_skill_triggers!$A:$A),MATCH(G$1,[3]enemy_skill_triggers!$1:$1,0)-MATCH($F$1,[3]enemy_skill_triggers!$1:$1,0)+1),MATCH(G$1,[3]enemy_skill_triggers!$1:$1,0)-MATCH($F$1,[3]enemy_skill_triggers!$1:$1,0)+1,FALSE)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0" s="42">
        <f ca="1">VLOOKUP($F70,OFFSET([3]enemy_skill_triggers!$A$1,0,0,COUNTA([3]enemy_skill_triggers!$A:$A),MATCH(H$1,[3]enemy_skill_triggers!$1:$1,0)-MATCH($F$1,[3]enemy_skill_triggers!$1:$1,0)+1),MATCH(H$1,[3]enemy_skill_triggers!$1:$1,0)-MATCH($F$1,[3]enemy_skill_triggers!$1:$1,0)+1,FALSE)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70" s="42">
        <f ca="1">VLOOKUP($F70,OFFSET([3]enemy_skill_triggers!$A$1,0,0,COUNTA([3]enemy_skill_triggers!$A:$A),MATCH(I$1,[3]enemy_skill_triggers!$1:$1,0)-MATCH($F$1,[3]enemy_skill_triggers!$1:$1,0)+1),MATCH(I$1,[3]enemy_skill_triggers!$1:$1,0)-MATCH($F$1,[3]enemy_skill_triggers!$1:$1,0)+1,FALSE)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55</v>
      </c>
      <c r="J70" s="42" t="str">
        <f ca="1">VLOOKUP($F70,OFFSET([3]enemy_skill_triggers!$A$1,0,0,COUNTA([3]enemy_skill_triggers!$A:$A),MATCH(J$1,[3]enemy_skill_triggers!$1:$1,0)-MATCH($F$1,[3]enemy_skill_triggers!$1:$1,0)+1),MATCH(J$1,[3]enemy_skill_triggers!$1:$1,0)-MATCH($F$1,[3]enemy_skill_triggers!$1:$1,0)+1,FALSE)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0" s="42" t="str">
        <f ca="1">VLOOKUP($F70,OFFSET([3]enemy_skill_triggers!$A$1,0,0,COUNTA([3]enemy_skill_triggers!$A:$A),MATCH(K$1,[3]enemy_skill_triggers!$1:$1,0)-MATCH($F$1,[3]enemy_skill_triggers!$1:$1,0)+1),MATCH(K$1,[3]enemy_skill_triggers!$1:$1,0)-MATCH($F$1,[3]enemy_skill_triggers!$1:$1,0)+1,FALSE)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0" s="42" t="str">
        <f ca="1">VLOOKUP($F70,OFFSET([3]enemy_skill_triggers!$A$1,0,0,COUNTA([3]enemy_skill_triggers!$A:$A),MATCH(L$1,[3]enemy_skill_triggers!$1:$1,0)-MATCH($F$1,[3]enemy_skill_triggers!$1:$1,0)+1),MATCH(L$1,[3]enemy_skill_triggers!$1:$1,0)-MATCH($F$1,[3]enemy_skill_triggers!$1:$1,0)+1,FALSE)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70" s="42" t="str">
        <f ca="1">VLOOKUP($F70,OFFSET([3]enemy_skill_triggers!$A$1,0,0,COUNTA([3]enemy_skill_triggers!$A:$A),MATCH(M$1,[3]enemy_skill_triggers!$1:$1,0)-MATCH($F$1,[3]enemy_skill_triggers!$1:$1,0)+1),MATCH(M$1,[3]enemy_skill_triggers!$1:$1,0)-MATCH($F$1,[3]enemy_skill_triggers!$1:$1,0)+1,FALSE)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0" s="42" t="str">
        <f ca="1">VLOOKUP($F70,OFFSET([3]enemy_skill_triggers!$A$1,0,0,COUNTA([3]enemy_skill_triggers!$A:$A),MATCH(N$1,[3]enemy_skill_triggers!$1:$1,0)-MATCH($F$1,[3]enemy_skill_triggers!$1:$1,0)+1),MATCH(N$1,[3]enemy_skill_triggers!$1:$1,0)-MATCH($F$1,[3]enemy_skill_triggers!$1:$1,0)+1,FALSE)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0" s="42">
        <f ca="1">VLOOKUP($F70,OFFSET([3]enemy_skill_triggers!$A$1,0,0,COUNTA([3]enemy_skill_triggers!$A:$A),MATCH(O$1,[3]enemy_skill_triggers!$1:$1,0)-MATCH($F$1,[3]enemy_skill_triggers!$1:$1,0)+1),MATCH(O$1,[3]enemy_skill_triggers!$1:$1,0)-MATCH($F$1,[3]enemy_skill_triggers!$1:$1,0)+1,FALSE)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55</v>
      </c>
      <c r="P70" s="41"/>
      <c r="Q70" s="41"/>
      <c r="R70" s="41"/>
    </row>
    <row r="71" spans="1:18" ht="21" customHeight="1" x14ac:dyDescent="0.15">
      <c r="A71" s="33" t="str">
        <f t="shared" si="1"/>
        <v>47013013_47013306</v>
      </c>
      <c r="B71" s="42">
        <v>47013013</v>
      </c>
      <c r="C71" s="189">
        <v>47013306</v>
      </c>
      <c r="D71" s="202" t="str">
        <f ca="1">VLOOKUP($C71,OFFSET([3]enemy_skills!$A$1,0,0,COUNTA([3]enemy_skills!$A:$A),MATCH(D$1,[3]enemy_skills!$1:$1,0)-MATCH("enemy_skill_id",[3]enemy_skills!$1:$1,0)+1),MATCH(D$1,[3]enemy_skills!$1:$1,0)-MATCH("enemy_skill_id",[3]enemy_skills!$1:$1,0)+1,FALSE)</f>
        <v>独眼流秘技・破天</v>
      </c>
      <c r="E71" s="202" t="str">
        <f ca="1">VLOOKUP($C71,OFFSET([3]enemy_skills!$A$1,0,0,COUNTA([3]enemy_skills!$A:$A),MATCH(E$1,[3]enemy_skills!$1:$1,0)-MATCH("enemy_skill_id",[3]enemy_skills!$1:$1,0)+1),MATCH(E$1,[3]enemy_skills!$1:$1,0)-MATCH("enemy_skill_id",[3]enemy_skills!$1:$1,0)+1,FALSE)</f>
        <v>黄&amp;緑&amp;青パネルを吸収して攻撃</v>
      </c>
      <c r="F71" s="189">
        <v>47013306</v>
      </c>
      <c r="G71" s="42">
        <f ca="1">VLOOKUP($F71,OFFSET([3]enemy_skill_triggers!$A$1,0,0,COUNTA([3]enemy_skill_triggers!$A:$A),MATCH(G$1,[3]enemy_skill_triggers!$1:$1,0)-MATCH($F$1,[3]enemy_skill_triggers!$1:$1,0)+1),MATCH(G$1,[3]enemy_skill_triggers!$1:$1,0)-MATCH($F$1,[3]enemy_skill_triggers!$1:$1,0)+1,FALSE)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1" s="42">
        <f ca="1">VLOOKUP($F71,OFFSET([3]enemy_skill_triggers!$A$1,0,0,COUNTA([3]enemy_skill_triggers!$A:$A),MATCH(H$1,[3]enemy_skill_triggers!$1:$1,0)-MATCH($F$1,[3]enemy_skill_triggers!$1:$1,0)+1),MATCH(H$1,[3]enemy_skill_triggers!$1:$1,0)-MATCH($F$1,[3]enemy_skill_triggers!$1:$1,0)+1,FALSE)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71" s="42">
        <f ca="1">VLOOKUP($F71,OFFSET([3]enemy_skill_triggers!$A$1,0,0,COUNTA([3]enemy_skill_triggers!$A:$A),MATCH(I$1,[3]enemy_skill_triggers!$1:$1,0)-MATCH($F$1,[3]enemy_skill_triggers!$1:$1,0)+1),MATCH(I$1,[3]enemy_skill_triggers!$1:$1,0)-MATCH($F$1,[3]enemy_skill_triggers!$1:$1,0)+1,FALSE)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71" s="42" t="str">
        <f ca="1">VLOOKUP($F71,OFFSET([3]enemy_skill_triggers!$A$1,0,0,COUNTA([3]enemy_skill_triggers!$A:$A),MATCH(J$1,[3]enemy_skill_triggers!$1:$1,0)-MATCH($F$1,[3]enemy_skill_triggers!$1:$1,0)+1),MATCH(J$1,[3]enemy_skill_triggers!$1:$1,0)-MATCH($F$1,[3]enemy_skill_triggers!$1:$1,0)+1,FALSE)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1" s="42" t="str">
        <f ca="1">VLOOKUP($F71,OFFSET([3]enemy_skill_triggers!$A$1,0,0,COUNTA([3]enemy_skill_triggers!$A:$A),MATCH(K$1,[3]enemy_skill_triggers!$1:$1,0)-MATCH($F$1,[3]enemy_skill_triggers!$1:$1,0)+1),MATCH(K$1,[3]enemy_skill_triggers!$1:$1,0)-MATCH($F$1,[3]enemy_skill_triggers!$1:$1,0)+1,FALSE)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1" s="42" t="str">
        <f ca="1">VLOOKUP($F71,OFFSET([3]enemy_skill_triggers!$A$1,0,0,COUNTA([3]enemy_skill_triggers!$A:$A),MATCH(L$1,[3]enemy_skill_triggers!$1:$1,0)-MATCH($F$1,[3]enemy_skill_triggers!$1:$1,0)+1),MATCH(L$1,[3]enemy_skill_triggers!$1:$1,0)-MATCH($F$1,[3]enemy_skill_triggers!$1:$1,0)+1,FALSE)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71" s="42" t="str">
        <f ca="1">VLOOKUP($F71,OFFSET([3]enemy_skill_triggers!$A$1,0,0,COUNTA([3]enemy_skill_triggers!$A:$A),MATCH(M$1,[3]enemy_skill_triggers!$1:$1,0)-MATCH($F$1,[3]enemy_skill_triggers!$1:$1,0)+1),MATCH(M$1,[3]enemy_skill_triggers!$1:$1,0)-MATCH($F$1,[3]enemy_skill_triggers!$1:$1,0)+1,FALSE)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1" s="42" t="str">
        <f ca="1">VLOOKUP($F71,OFFSET([3]enemy_skill_triggers!$A$1,0,0,COUNTA([3]enemy_skill_triggers!$A:$A),MATCH(N$1,[3]enemy_skill_triggers!$1:$1,0)-MATCH($F$1,[3]enemy_skill_triggers!$1:$1,0)+1),MATCH(N$1,[3]enemy_skill_triggers!$1:$1,0)-MATCH($F$1,[3]enemy_skill_triggers!$1:$1,0)+1,FALSE)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1" s="42">
        <f ca="1">VLOOKUP($F71,OFFSET([3]enemy_skill_triggers!$A$1,0,0,COUNTA([3]enemy_skill_triggers!$A:$A),MATCH(O$1,[3]enemy_skill_triggers!$1:$1,0)-MATCH($F$1,[3]enemy_skill_triggers!$1:$1,0)+1),MATCH(O$1,[3]enemy_skill_triggers!$1:$1,0)-MATCH($F$1,[3]enemy_skill_triggers!$1:$1,0)+1,FALSE)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71" s="41"/>
      <c r="Q71" s="41"/>
      <c r="R71" s="41"/>
    </row>
    <row r="72" spans="1:18" ht="21" customHeight="1" x14ac:dyDescent="0.15">
      <c r="A72" s="33" t="str">
        <f t="shared" si="1"/>
        <v>47013013_47013307</v>
      </c>
      <c r="B72" s="42">
        <v>47013013</v>
      </c>
      <c r="C72" s="189">
        <v>47013307</v>
      </c>
      <c r="D72" s="202" t="str">
        <f ca="1">VLOOKUP($C72,OFFSET([3]enemy_skills!$A$1,0,0,COUNTA([3]enemy_skills!$A:$A),MATCH(D$1,[3]enemy_skills!$1:$1,0)-MATCH("enemy_skill_id",[3]enemy_skills!$1:$1,0)+1),MATCH(D$1,[3]enemy_skills!$1:$1,0)-MATCH("enemy_skill_id",[3]enemy_skills!$1:$1,0)+1,FALSE)</f>
        <v>独眼流秘技・天撃</v>
      </c>
      <c r="E72" s="202" t="str">
        <f ca="1">VLOOKUP($C72,OFFSET([3]enemy_skills!$A$1,0,0,COUNTA([3]enemy_skills!$A:$A),MATCH(E$1,[3]enemy_skills!$1:$1,0)-MATCH("enemy_skill_id",[3]enemy_skills!$1:$1,0)+1),MATCH(E$1,[3]enemy_skills!$1:$1,0)-MATCH("enemy_skill_id",[3]enemy_skills!$1:$1,0)+1,FALSE)</f>
        <v>青パネルをお邪魔パネルに6個変換+_x000D_クリティカル！</v>
      </c>
      <c r="F72" s="189">
        <v>47013307</v>
      </c>
      <c r="G72" s="42">
        <f ca="1">VLOOKUP($F72,OFFSET([3]enemy_skill_triggers!$A$1,0,0,COUNTA([3]enemy_skill_triggers!$A:$A),MATCH(G$1,[3]enemy_skill_triggers!$1:$1,0)-MATCH($F$1,[3]enemy_skill_triggers!$1:$1,0)+1),MATCH(G$1,[3]enemy_skill_triggers!$1:$1,0)-MATCH($F$1,[3]enemy_skill_triggers!$1:$1,0)+1,FALSE)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2" s="42">
        <f ca="1">VLOOKUP($F72,OFFSET([3]enemy_skill_triggers!$A$1,0,0,COUNTA([3]enemy_skill_triggers!$A:$A),MATCH(H$1,[3]enemy_skill_triggers!$1:$1,0)-MATCH($F$1,[3]enemy_skill_triggers!$1:$1,0)+1),MATCH(H$1,[3]enemy_skill_triggers!$1:$1,0)-MATCH($F$1,[3]enemy_skill_triggers!$1:$1,0)+1,FALSE)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300</v>
      </c>
      <c r="I72" s="42">
        <f ca="1">VLOOKUP($F72,OFFSET([3]enemy_skill_triggers!$A$1,0,0,COUNTA([3]enemy_skill_triggers!$A:$A),MATCH(I$1,[3]enemy_skill_triggers!$1:$1,0)-MATCH($F$1,[3]enemy_skill_triggers!$1:$1,0)+1),MATCH(I$1,[3]enemy_skill_triggers!$1:$1,0)-MATCH($F$1,[3]enemy_skill_triggers!$1:$1,0)+1,FALSE)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72" s="42" t="str">
        <f ca="1">VLOOKUP($F72,OFFSET([3]enemy_skill_triggers!$A$1,0,0,COUNTA([3]enemy_skill_triggers!$A:$A),MATCH(J$1,[3]enemy_skill_triggers!$1:$1,0)-MATCH($F$1,[3]enemy_skill_triggers!$1:$1,0)+1),MATCH(J$1,[3]enemy_skill_triggers!$1:$1,0)-MATCH($F$1,[3]enemy_skill_triggers!$1:$1,0)+1,FALSE)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2" s="42" t="str">
        <f ca="1">VLOOKUP($F72,OFFSET([3]enemy_skill_triggers!$A$1,0,0,COUNTA([3]enemy_skill_triggers!$A:$A),MATCH(K$1,[3]enemy_skill_triggers!$1:$1,0)-MATCH($F$1,[3]enemy_skill_triggers!$1:$1,0)+1),MATCH(K$1,[3]enemy_skill_triggers!$1:$1,0)-MATCH($F$1,[3]enemy_skill_triggers!$1:$1,0)+1,FALSE)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2" s="42" t="str">
        <f ca="1">VLOOKUP($F72,OFFSET([3]enemy_skill_triggers!$A$1,0,0,COUNTA([3]enemy_skill_triggers!$A:$A),MATCH(L$1,[3]enemy_skill_triggers!$1:$1,0)-MATCH($F$1,[3]enemy_skill_triggers!$1:$1,0)+1),MATCH(L$1,[3]enemy_skill_triggers!$1:$1,0)-MATCH($F$1,[3]enemy_skill_triggers!$1:$1,0)+1,FALSE)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72" s="42">
        <f ca="1">VLOOKUP($F72,OFFSET([3]enemy_skill_triggers!$A$1,0,0,COUNTA([3]enemy_skill_triggers!$A:$A),MATCH(M$1,[3]enemy_skill_triggers!$1:$1,0)-MATCH($F$1,[3]enemy_skill_triggers!$1:$1,0)+1),MATCH(M$1,[3]enemy_skill_triggers!$1:$1,0)-MATCH($F$1,[3]enemy_skill_triggers!$1:$1,0)+1,FALSE)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6</v>
      </c>
      <c r="N72" s="42" t="str">
        <f ca="1">VLOOKUP($F72,OFFSET([3]enemy_skill_triggers!$A$1,0,0,COUNTA([3]enemy_skill_triggers!$A:$A),MATCH(N$1,[3]enemy_skill_triggers!$1:$1,0)-MATCH($F$1,[3]enemy_skill_triggers!$1:$1,0)+1),MATCH(N$1,[3]enemy_skill_triggers!$1:$1,0)-MATCH($F$1,[3]enemy_skill_triggers!$1:$1,0)+1,FALSE)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2" s="42">
        <f ca="1">VLOOKUP($F72,OFFSET([3]enemy_skill_triggers!$A$1,0,0,COUNTA([3]enemy_skill_triggers!$A:$A),MATCH(O$1,[3]enemy_skill_triggers!$1:$1,0)-MATCH($F$1,[3]enemy_skill_triggers!$1:$1,0)+1),MATCH(O$1,[3]enemy_skill_triggers!$1:$1,0)-MATCH($F$1,[3]enemy_skill_triggers!$1:$1,0)+1,FALSE)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72" s="41"/>
      <c r="Q72" s="41"/>
      <c r="R72" s="41"/>
    </row>
    <row r="73" spans="1:18" ht="21" customHeight="1" x14ac:dyDescent="0.15">
      <c r="A73" s="33" t="str">
        <f t="shared" si="1"/>
        <v>47013014_47013401</v>
      </c>
      <c r="B73" s="187">
        <v>47013014</v>
      </c>
      <c r="C73" s="190">
        <v>47013401</v>
      </c>
      <c r="D73" s="202" t="str">
        <f ca="1">VLOOKUP($C73,OFFSET([3]enemy_skills!$A$1,0,0,COUNTA([3]enemy_skills!$A:$A),MATCH(D$1,[3]enemy_skills!$1:$1,0)-MATCH("enemy_skill_id",[3]enemy_skills!$1:$1,0)+1),MATCH(D$1,[3]enemy_skills!$1:$1,0)-MATCH("enemy_skill_id",[3]enemy_skills!$1:$1,0)+1,FALSE)</f>
        <v>私に刃向かうとは愚かな…_x000D_よかろう…せいぜい足掻いてみせろ！</v>
      </c>
      <c r="E73" s="202" t="str">
        <f ca="1">VLOOKUP($C73,OFFSET([3]enemy_skills!$A$1,0,0,COUNTA([3]enemy_skills!$A:$A),MATCH(E$1,[3]enemy_skills!$1:$1,0)-MATCH("enemy_skill_id",[3]enemy_skills!$1:$1,0)+1),MATCH(E$1,[3]enemy_skills!$1:$1,0)-MATCH("enemy_skill_id",[3]enemy_skills!$1:$1,0)+1,FALSE)</f>
        <v>状態異常耐性+10ターン赤パネルドロップ率DOWN+_x000D_7ターン回復&amp;体力タイプのユニットの_x000D_ボムの爆風を30%UP</v>
      </c>
      <c r="F73" s="190">
        <v>47013401</v>
      </c>
      <c r="G73" s="42">
        <f ca="1">VLOOKUP($F73,OFFSET([3]enemy_skill_triggers!$A$1,0,0,COUNTA([3]enemy_skill_triggers!$A:$A),MATCH(G$1,[3]enemy_skill_triggers!$1:$1,0)-MATCH($F$1,[3]enemy_skill_triggers!$1:$1,0)+1),MATCH(G$1,[3]enemy_skill_triggers!$1:$1,0)-MATCH($F$1,[3]enemy_skill_triggers!$1:$1,0)+1,FALSE)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73" s="42">
        <f ca="1">VLOOKUP($F73,OFFSET([3]enemy_skill_triggers!$A$1,0,0,COUNTA([3]enemy_skill_triggers!$A:$A),MATCH(H$1,[3]enemy_skill_triggers!$1:$1,0)-MATCH($F$1,[3]enemy_skill_triggers!$1:$1,0)+1),MATCH(H$1,[3]enemy_skill_triggers!$1:$1,0)-MATCH($F$1,[3]enemy_skill_triggers!$1:$1,0)+1,FALSE)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73" s="42">
        <f ca="1">VLOOKUP($F73,OFFSET([3]enemy_skill_triggers!$A$1,0,0,COUNTA([3]enemy_skill_triggers!$A:$A),MATCH(I$1,[3]enemy_skill_triggers!$1:$1,0)-MATCH($F$1,[3]enemy_skill_triggers!$1:$1,0)+1),MATCH(I$1,[3]enemy_skill_triggers!$1:$1,0)-MATCH($F$1,[3]enemy_skill_triggers!$1:$1,0)+1,FALSE)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73" s="42" t="str">
        <f ca="1">VLOOKUP($F73,OFFSET([3]enemy_skill_triggers!$A$1,0,0,COUNTA([3]enemy_skill_triggers!$A:$A),MATCH(J$1,[3]enemy_skill_triggers!$1:$1,0)-MATCH($F$1,[3]enemy_skill_triggers!$1:$1,0)+1),MATCH(J$1,[3]enemy_skill_triggers!$1:$1,0)-MATCH($F$1,[3]enemy_skill_triggers!$1:$1,0)+1,FALSE)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3" s="42" t="str">
        <f ca="1">VLOOKUP($F73,OFFSET([3]enemy_skill_triggers!$A$1,0,0,COUNTA([3]enemy_skill_triggers!$A:$A),MATCH(K$1,[3]enemy_skill_triggers!$1:$1,0)-MATCH($F$1,[3]enemy_skill_triggers!$1:$1,0)+1),MATCH(K$1,[3]enemy_skill_triggers!$1:$1,0)-MATCH($F$1,[3]enemy_skill_triggers!$1:$1,0)+1,FALSE)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3" s="42">
        <f ca="1">VLOOKUP($F73,OFFSET([3]enemy_skill_triggers!$A$1,0,0,COUNTA([3]enemy_skill_triggers!$A:$A),MATCH(L$1,[3]enemy_skill_triggers!$1:$1,0)-MATCH($F$1,[3]enemy_skill_triggers!$1:$1,0)+1),MATCH(L$1,[3]enemy_skill_triggers!$1:$1,0)-MATCH($F$1,[3]enemy_skill_triggers!$1:$1,0)+1,FALSE)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73" s="42" t="str">
        <f ca="1">VLOOKUP($F73,OFFSET([3]enemy_skill_triggers!$A$1,0,0,COUNTA([3]enemy_skill_triggers!$A:$A),MATCH(M$1,[3]enemy_skill_triggers!$1:$1,0)-MATCH($F$1,[3]enemy_skill_triggers!$1:$1,0)+1),MATCH(M$1,[3]enemy_skill_triggers!$1:$1,0)-MATCH($F$1,[3]enemy_skill_triggers!$1:$1,0)+1,FALSE)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3" s="42" t="str">
        <f ca="1">VLOOKUP($F73,OFFSET([3]enemy_skill_triggers!$A$1,0,0,COUNTA([3]enemy_skill_triggers!$A:$A),MATCH(N$1,[3]enemy_skill_triggers!$1:$1,0)-MATCH($F$1,[3]enemy_skill_triggers!$1:$1,0)+1),MATCH(N$1,[3]enemy_skill_triggers!$1:$1,0)-MATCH($F$1,[3]enemy_skill_triggers!$1:$1,0)+1,FALSE)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3" s="42">
        <f ca="1">VLOOKUP($F73,OFFSET([3]enemy_skill_triggers!$A$1,0,0,COUNTA([3]enemy_skill_triggers!$A:$A),MATCH(O$1,[3]enemy_skill_triggers!$1:$1,0)-MATCH($F$1,[3]enemy_skill_triggers!$1:$1,0)+1),MATCH(O$1,[3]enemy_skill_triggers!$1:$1,0)-MATCH($F$1,[3]enemy_skill_triggers!$1:$1,0)+1,FALSE)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73" s="41"/>
      <c r="Q73" s="41"/>
      <c r="R73" s="41"/>
    </row>
    <row r="74" spans="1:18" ht="21" customHeight="1" x14ac:dyDescent="0.15">
      <c r="A74" s="33" t="str">
        <f t="shared" si="1"/>
        <v>47013014_47013402</v>
      </c>
      <c r="B74" s="187">
        <v>47013014</v>
      </c>
      <c r="C74" s="190">
        <v>47013402</v>
      </c>
      <c r="D74" s="202" t="str">
        <f ca="1">VLOOKUP($C74,OFFSET([3]enemy_skills!$A$1,0,0,COUNTA([3]enemy_skills!$A:$A),MATCH(D$1,[3]enemy_skills!$1:$1,0)-MATCH("enemy_skill_id",[3]enemy_skills!$1:$1,0)+1),MATCH(D$1,[3]enemy_skills!$1:$1,0)-MATCH("enemy_skill_id",[3]enemy_skills!$1:$1,0)+1,FALSE)</f>
        <v>貴様らも私に刃向かうか？_x000D_よかろう…せいぜい華々しく散れ！</v>
      </c>
      <c r="E74" s="202" t="str">
        <f ca="1">VLOOKUP($C74,OFFSET([3]enemy_skills!$A$1,0,0,COUNTA([3]enemy_skills!$A:$A),MATCH(E$1,[3]enemy_skills!$1:$1,0)-MATCH("enemy_skill_id",[3]enemy_skills!$1:$1,0)+1),MATCH(E$1,[3]enemy_skills!$1:$1,0)-MATCH("enemy_skill_id",[3]enemy_skills!$1:$1,0)+1,FALSE)</f>
        <v>状態異常耐性+10ターン赤パネルドロップ率DOWN+_x000D_7ターン回復&amp;体力タイプのユニットの_x000D_ボムの爆風を30%UP</v>
      </c>
      <c r="F74" s="190">
        <v>47013402</v>
      </c>
      <c r="G74" s="42">
        <f ca="1">VLOOKUP($F74,OFFSET([3]enemy_skill_triggers!$A$1,0,0,COUNTA([3]enemy_skill_triggers!$A:$A),MATCH(G$1,[3]enemy_skill_triggers!$1:$1,0)-MATCH($F$1,[3]enemy_skill_triggers!$1:$1,0)+1),MATCH(G$1,[3]enemy_skill_triggers!$1:$1,0)-MATCH($F$1,[3]enemy_skill_triggers!$1:$1,0)+1,FALSE)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74" s="42">
        <f ca="1">VLOOKUP($F74,OFFSET([3]enemy_skill_triggers!$A$1,0,0,COUNTA([3]enemy_skill_triggers!$A:$A),MATCH(H$1,[3]enemy_skill_triggers!$1:$1,0)-MATCH($F$1,[3]enemy_skill_triggers!$1:$1,0)+1),MATCH(H$1,[3]enemy_skill_triggers!$1:$1,0)-MATCH($F$1,[3]enemy_skill_triggers!$1:$1,0)+1,FALSE)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510</v>
      </c>
      <c r="I74" s="42">
        <f ca="1">VLOOKUP($F74,OFFSET([3]enemy_skill_triggers!$A$1,0,0,COUNTA([3]enemy_skill_triggers!$A:$A),MATCH(I$1,[3]enemy_skill_triggers!$1:$1,0)-MATCH($F$1,[3]enemy_skill_triggers!$1:$1,0)+1),MATCH(I$1,[3]enemy_skill_triggers!$1:$1,0)-MATCH($F$1,[3]enemy_skill_triggers!$1:$1,0)+1,FALSE)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74" s="42" t="str">
        <f ca="1">VLOOKUP($F74,OFFSET([3]enemy_skill_triggers!$A$1,0,0,COUNTA([3]enemy_skill_triggers!$A:$A),MATCH(J$1,[3]enemy_skill_triggers!$1:$1,0)-MATCH($F$1,[3]enemy_skill_triggers!$1:$1,0)+1),MATCH(J$1,[3]enemy_skill_triggers!$1:$1,0)-MATCH($F$1,[3]enemy_skill_triggers!$1:$1,0)+1,FALSE)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4" s="42" t="str">
        <f ca="1">VLOOKUP($F74,OFFSET([3]enemy_skill_triggers!$A$1,0,0,COUNTA([3]enemy_skill_triggers!$A:$A),MATCH(K$1,[3]enemy_skill_triggers!$1:$1,0)-MATCH($F$1,[3]enemy_skill_triggers!$1:$1,0)+1),MATCH(K$1,[3]enemy_skill_triggers!$1:$1,0)-MATCH($F$1,[3]enemy_skill_triggers!$1:$1,0)+1,FALSE)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4" s="42">
        <f ca="1">VLOOKUP($F74,OFFSET([3]enemy_skill_triggers!$A$1,0,0,COUNTA([3]enemy_skill_triggers!$A:$A),MATCH(L$1,[3]enemy_skill_triggers!$1:$1,0)-MATCH($F$1,[3]enemy_skill_triggers!$1:$1,0)+1),MATCH(L$1,[3]enemy_skill_triggers!$1:$1,0)-MATCH($F$1,[3]enemy_skill_triggers!$1:$1,0)+1,FALSE)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74" s="42" t="str">
        <f ca="1">VLOOKUP($F74,OFFSET([3]enemy_skill_triggers!$A$1,0,0,COUNTA([3]enemy_skill_triggers!$A:$A),MATCH(M$1,[3]enemy_skill_triggers!$1:$1,0)-MATCH($F$1,[3]enemy_skill_triggers!$1:$1,0)+1),MATCH(M$1,[3]enemy_skill_triggers!$1:$1,0)-MATCH($F$1,[3]enemy_skill_triggers!$1:$1,0)+1,FALSE)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4" s="42">
        <f ca="1">VLOOKUP($F74,OFFSET([3]enemy_skill_triggers!$A$1,0,0,COUNTA([3]enemy_skill_triggers!$A:$A),MATCH(N$1,[3]enemy_skill_triggers!$1:$1,0)-MATCH($F$1,[3]enemy_skill_triggers!$1:$1,0)+1),MATCH(N$1,[3]enemy_skill_triggers!$1:$1,0)-MATCH($F$1,[3]enemy_skill_triggers!$1:$1,0)+1,FALSE)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1490</v>
      </c>
      <c r="O74" s="42">
        <f ca="1">VLOOKUP($F74,OFFSET([3]enemy_skill_triggers!$A$1,0,0,COUNTA([3]enemy_skill_triggers!$A:$A),MATCH(O$1,[3]enemy_skill_triggers!$1:$1,0)-MATCH($F$1,[3]enemy_skill_triggers!$1:$1,0)+1),MATCH(O$1,[3]enemy_skill_triggers!$1:$1,0)-MATCH($F$1,[3]enemy_skill_triggers!$1:$1,0)+1,FALSE)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74" s="41"/>
      <c r="Q74" s="41"/>
      <c r="R74" s="41"/>
    </row>
    <row r="75" spans="1:18" ht="21" customHeight="1" x14ac:dyDescent="0.15">
      <c r="A75" s="33" t="str">
        <f t="shared" si="1"/>
        <v>47013014_47013402</v>
      </c>
      <c r="B75" s="187">
        <v>47013014</v>
      </c>
      <c r="C75" s="190">
        <v>47013402</v>
      </c>
      <c r="D75" s="202" t="str">
        <f ca="1">VLOOKUP($C75,OFFSET([3]enemy_skills!$A$1,0,0,COUNTA([3]enemy_skills!$A:$A),MATCH(D$1,[3]enemy_skills!$1:$1,0)-MATCH("enemy_skill_id",[3]enemy_skills!$1:$1,0)+1),MATCH(D$1,[3]enemy_skills!$1:$1,0)-MATCH("enemy_skill_id",[3]enemy_skills!$1:$1,0)+1,FALSE)</f>
        <v>貴様らも私に刃向かうか？_x000D_よかろう…せいぜい華々しく散れ！</v>
      </c>
      <c r="E75" s="202" t="str">
        <f ca="1">VLOOKUP($C75,OFFSET([3]enemy_skills!$A$1,0,0,COUNTA([3]enemy_skills!$A:$A),MATCH(E$1,[3]enemy_skills!$1:$1,0)-MATCH("enemy_skill_id",[3]enemy_skills!$1:$1,0)+1),MATCH(E$1,[3]enemy_skills!$1:$1,0)-MATCH("enemy_skill_id",[3]enemy_skills!$1:$1,0)+1,FALSE)</f>
        <v>状態異常耐性+10ターン赤パネルドロップ率DOWN+_x000D_7ターン回復&amp;体力タイプのユニットの_x000D_ボムの爆風を30%UP</v>
      </c>
      <c r="F75" s="191">
        <v>47013412</v>
      </c>
      <c r="G75" s="42">
        <f ca="1">VLOOKUP($F75,OFFSET([3]enemy_skill_triggers!$A$1,0,0,COUNTA([3]enemy_skill_triggers!$A:$A),MATCH(G$1,[3]enemy_skill_triggers!$1:$1,0)-MATCH($F$1,[3]enemy_skill_triggers!$1:$1,0)+1),MATCH(G$1,[3]enemy_skill_triggers!$1:$1,0)-MATCH($F$1,[3]enemy_skill_triggers!$1:$1,0)+1,FALSE)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75" s="42">
        <f ca="1">VLOOKUP($F75,OFFSET([3]enemy_skill_triggers!$A$1,0,0,COUNTA([3]enemy_skill_triggers!$A:$A),MATCH(H$1,[3]enemy_skill_triggers!$1:$1,0)-MATCH($F$1,[3]enemy_skill_triggers!$1:$1,0)+1),MATCH(H$1,[3]enemy_skill_triggers!$1:$1,0)-MATCH($F$1,[3]enemy_skill_triggers!$1:$1,0)+1,FALSE)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520</v>
      </c>
      <c r="I75" s="42">
        <f ca="1">VLOOKUP($F75,OFFSET([3]enemy_skill_triggers!$A$1,0,0,COUNTA([3]enemy_skill_triggers!$A:$A),MATCH(I$1,[3]enemy_skill_triggers!$1:$1,0)-MATCH($F$1,[3]enemy_skill_triggers!$1:$1,0)+1),MATCH(I$1,[3]enemy_skill_triggers!$1:$1,0)-MATCH($F$1,[3]enemy_skill_triggers!$1:$1,0)+1,FALSE)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75" s="42" t="str">
        <f ca="1">VLOOKUP($F75,OFFSET([3]enemy_skill_triggers!$A$1,0,0,COUNTA([3]enemy_skill_triggers!$A:$A),MATCH(J$1,[3]enemy_skill_triggers!$1:$1,0)-MATCH($F$1,[3]enemy_skill_triggers!$1:$1,0)+1),MATCH(J$1,[3]enemy_skill_triggers!$1:$1,0)-MATCH($F$1,[3]enemy_skill_triggers!$1:$1,0)+1,FALSE)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5" s="42" t="str">
        <f ca="1">VLOOKUP($F75,OFFSET([3]enemy_skill_triggers!$A$1,0,0,COUNTA([3]enemy_skill_triggers!$A:$A),MATCH(K$1,[3]enemy_skill_triggers!$1:$1,0)-MATCH($F$1,[3]enemy_skill_triggers!$1:$1,0)+1),MATCH(K$1,[3]enemy_skill_triggers!$1:$1,0)-MATCH($F$1,[3]enemy_skill_triggers!$1:$1,0)+1,FALSE)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5" s="42">
        <f ca="1">VLOOKUP($F75,OFFSET([3]enemy_skill_triggers!$A$1,0,0,COUNTA([3]enemy_skill_triggers!$A:$A),MATCH(L$1,[3]enemy_skill_triggers!$1:$1,0)-MATCH($F$1,[3]enemy_skill_triggers!$1:$1,0)+1),MATCH(L$1,[3]enemy_skill_triggers!$1:$1,0)-MATCH($F$1,[3]enemy_skill_triggers!$1:$1,0)+1,FALSE)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75" s="42" t="str">
        <f ca="1">VLOOKUP($F75,OFFSET([3]enemy_skill_triggers!$A$1,0,0,COUNTA([3]enemy_skill_triggers!$A:$A),MATCH(M$1,[3]enemy_skill_triggers!$1:$1,0)-MATCH($F$1,[3]enemy_skill_triggers!$1:$1,0)+1),MATCH(M$1,[3]enemy_skill_triggers!$1:$1,0)-MATCH($F$1,[3]enemy_skill_triggers!$1:$1,0)+1,FALSE)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5" s="42">
        <f ca="1">VLOOKUP($F75,OFFSET([3]enemy_skill_triggers!$A$1,0,0,COUNTA([3]enemy_skill_triggers!$A:$A),MATCH(N$1,[3]enemy_skill_triggers!$1:$1,0)-MATCH($F$1,[3]enemy_skill_triggers!$1:$1,0)+1),MATCH(N$1,[3]enemy_skill_triggers!$1:$1,0)-MATCH($F$1,[3]enemy_skill_triggers!$1:$1,0)+1,FALSE)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1491</v>
      </c>
      <c r="O75" s="42">
        <f ca="1">VLOOKUP($F75,OFFSET([3]enemy_skill_triggers!$A$1,0,0,COUNTA([3]enemy_skill_triggers!$A:$A),MATCH(O$1,[3]enemy_skill_triggers!$1:$1,0)-MATCH($F$1,[3]enemy_skill_triggers!$1:$1,0)+1),MATCH(O$1,[3]enemy_skill_triggers!$1:$1,0)-MATCH($F$1,[3]enemy_skill_triggers!$1:$1,0)+1,FALSE)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75" s="41"/>
      <c r="Q75" s="41"/>
      <c r="R75" s="41"/>
    </row>
    <row r="76" spans="1:18" ht="21" customHeight="1" x14ac:dyDescent="0.15">
      <c r="A76" s="33" t="str">
        <f t="shared" si="1"/>
        <v>47013014_47013403</v>
      </c>
      <c r="B76" s="187">
        <v>47013014</v>
      </c>
      <c r="C76" s="190">
        <v>47013403</v>
      </c>
      <c r="D76" s="202" t="str">
        <f ca="1">VLOOKUP($C76,OFFSET([3]enemy_skills!$A$1,0,0,COUNTA([3]enemy_skills!$A:$A),MATCH(D$1,[3]enemy_skills!$1:$1,0)-MATCH("enemy_skill_id",[3]enemy_skills!$1:$1,0)+1),MATCH(D$1,[3]enemy_skills!$1:$1,0)-MATCH("enemy_skill_id",[3]enemy_skills!$1:$1,0)+1,FALSE)</f>
        <v>まずは小手調べといこうか、哀れな駒どもよ</v>
      </c>
      <c r="E76" s="202" t="str">
        <f ca="1">VLOOKUP($C76,OFFSET([3]enemy_skills!$A$1,0,0,COUNTA([3]enemy_skills!$A:$A),MATCH(E$1,[3]enemy_skills!$1:$1,0)-MATCH("enemy_skill_id",[3]enemy_skills!$1:$1,0)+1),MATCH(E$1,[3]enemy_skills!$1:$1,0)-MATCH("enemy_skill_id",[3]enemy_skills!$1:$1,0)+1,FALSE)</f>
        <v>5ターン超高確率で_x000D_属性パネルが赤ボムパネルとしてドロップ+_x000D_全体攻撃+1ターン行動頻度UP</v>
      </c>
      <c r="F76" s="190">
        <v>47013403</v>
      </c>
      <c r="G76" s="42">
        <f ca="1">VLOOKUP($F76,OFFSET([3]enemy_skill_triggers!$A$1,0,0,COUNTA([3]enemy_skill_triggers!$A:$A),MATCH(G$1,[3]enemy_skill_triggers!$1:$1,0)-MATCH($F$1,[3]enemy_skill_triggers!$1:$1,0)+1),MATCH(G$1,[3]enemy_skill_triggers!$1:$1,0)-MATCH($F$1,[3]enemy_skill_triggers!$1:$1,0)+1,FALSE)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6" s="42">
        <f ca="1">VLOOKUP($F76,OFFSET([3]enemy_skill_triggers!$A$1,0,0,COUNTA([3]enemy_skill_triggers!$A:$A),MATCH(H$1,[3]enemy_skill_triggers!$1:$1,0)-MATCH($F$1,[3]enemy_skill_triggers!$1:$1,0)+1),MATCH(H$1,[3]enemy_skill_triggers!$1:$1,0)-MATCH($F$1,[3]enemy_skill_triggers!$1:$1,0)+1,FALSE)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76" s="42">
        <f ca="1">VLOOKUP($F76,OFFSET([3]enemy_skill_triggers!$A$1,0,0,COUNTA([3]enemy_skill_triggers!$A:$A),MATCH(I$1,[3]enemy_skill_triggers!$1:$1,0)-MATCH($F$1,[3]enemy_skill_triggers!$1:$1,0)+1),MATCH(I$1,[3]enemy_skill_triggers!$1:$1,0)-MATCH($F$1,[3]enemy_skill_triggers!$1:$1,0)+1,FALSE)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76" s="42" t="str">
        <f ca="1">VLOOKUP($F76,OFFSET([3]enemy_skill_triggers!$A$1,0,0,COUNTA([3]enemy_skill_triggers!$A:$A),MATCH(J$1,[3]enemy_skill_triggers!$1:$1,0)-MATCH($F$1,[3]enemy_skill_triggers!$1:$1,0)+1),MATCH(J$1,[3]enemy_skill_triggers!$1:$1,0)-MATCH($F$1,[3]enemy_skill_triggers!$1:$1,0)+1,FALSE)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6" s="42" t="str">
        <f ca="1">VLOOKUP($F76,OFFSET([3]enemy_skill_triggers!$A$1,0,0,COUNTA([3]enemy_skill_triggers!$A:$A),MATCH(K$1,[3]enemy_skill_triggers!$1:$1,0)-MATCH($F$1,[3]enemy_skill_triggers!$1:$1,0)+1),MATCH(K$1,[3]enemy_skill_triggers!$1:$1,0)-MATCH($F$1,[3]enemy_skill_triggers!$1:$1,0)+1,FALSE)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6" s="42">
        <f ca="1">VLOOKUP($F76,OFFSET([3]enemy_skill_triggers!$A$1,0,0,COUNTA([3]enemy_skill_triggers!$A:$A),MATCH(L$1,[3]enemy_skill_triggers!$1:$1,0)-MATCH($F$1,[3]enemy_skill_triggers!$1:$1,0)+1),MATCH(L$1,[3]enemy_skill_triggers!$1:$1,0)-MATCH($F$1,[3]enemy_skill_triggers!$1:$1,0)+1,FALSE)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76" s="42">
        <f ca="1">VLOOKUP($F76,OFFSET([3]enemy_skill_triggers!$A$1,0,0,COUNTA([3]enemy_skill_triggers!$A:$A),MATCH(M$1,[3]enemy_skill_triggers!$1:$1,0)-MATCH($F$1,[3]enemy_skill_triggers!$1:$1,0)+1),MATCH(M$1,[3]enemy_skill_triggers!$1:$1,0)-MATCH($F$1,[3]enemy_skill_triggers!$1:$1,0)+1,FALSE)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76" s="42" t="str">
        <f ca="1">VLOOKUP($F76,OFFSET([3]enemy_skill_triggers!$A$1,0,0,COUNTA([3]enemy_skill_triggers!$A:$A),MATCH(N$1,[3]enemy_skill_triggers!$1:$1,0)-MATCH($F$1,[3]enemy_skill_triggers!$1:$1,0)+1),MATCH(N$1,[3]enemy_skill_triggers!$1:$1,0)-MATCH($F$1,[3]enemy_skill_triggers!$1:$1,0)+1,FALSE)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6" s="42">
        <f ca="1">VLOOKUP($F76,OFFSET([3]enemy_skill_triggers!$A$1,0,0,COUNTA([3]enemy_skill_triggers!$A:$A),MATCH(O$1,[3]enemy_skill_triggers!$1:$1,0)-MATCH($F$1,[3]enemy_skill_triggers!$1:$1,0)+1),MATCH(O$1,[3]enemy_skill_triggers!$1:$1,0)-MATCH($F$1,[3]enemy_skill_triggers!$1:$1,0)+1,FALSE)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76" s="41"/>
      <c r="Q76" s="41"/>
      <c r="R76" s="41"/>
    </row>
    <row r="77" spans="1:18" ht="21" customHeight="1" x14ac:dyDescent="0.15">
      <c r="A77" s="33" t="str">
        <f t="shared" si="1"/>
        <v>47013014_47013404</v>
      </c>
      <c r="B77" s="187">
        <v>47013014</v>
      </c>
      <c r="C77" s="190">
        <v>47013404</v>
      </c>
      <c r="D77" s="202" t="str">
        <f ca="1">VLOOKUP($C77,OFFSET([3]enemy_skills!$A$1,0,0,COUNTA([3]enemy_skills!$A:$A),MATCH(D$1,[3]enemy_skills!$1:$1,0)-MATCH("enemy_skill_id",[3]enemy_skills!$1:$1,0)+1),MATCH(D$1,[3]enemy_skills!$1:$1,0)-MATCH("enemy_skill_id",[3]enemy_skills!$1:$1,0)+1,FALSE)</f>
        <v>クク…手ほどきが必要か？</v>
      </c>
      <c r="E77" s="202" t="str">
        <f ca="1">VLOOKUP($C77,OFFSET([3]enemy_skills!$A$1,0,0,COUNTA([3]enemy_skills!$A:$A),MATCH(E$1,[3]enemy_skills!$1:$1,0)-MATCH("enemy_skill_id",[3]enemy_skills!$1:$1,0)+1),MATCH(E$1,[3]enemy_skills!$1:$1,0)-MATCH("enemy_skill_id",[3]enemy_skills!$1:$1,0)+1,FALSE)</f>
        <v>ボムパネル強化(効果激烈)+_x000D_5回連続攻撃</v>
      </c>
      <c r="F77" s="190">
        <v>47013404</v>
      </c>
      <c r="G77" s="42">
        <f ca="1">VLOOKUP($F77,OFFSET([3]enemy_skill_triggers!$A$1,0,0,COUNTA([3]enemy_skill_triggers!$A:$A),MATCH(G$1,[3]enemy_skill_triggers!$1:$1,0)-MATCH($F$1,[3]enemy_skill_triggers!$1:$1,0)+1),MATCH(G$1,[3]enemy_skill_triggers!$1:$1,0)-MATCH($F$1,[3]enemy_skill_triggers!$1:$1,0)+1,FALSE)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7" s="42">
        <f ca="1">VLOOKUP($F77,OFFSET([3]enemy_skill_triggers!$A$1,0,0,COUNTA([3]enemy_skill_triggers!$A:$A),MATCH(H$1,[3]enemy_skill_triggers!$1:$1,0)-MATCH($F$1,[3]enemy_skill_triggers!$1:$1,0)+1),MATCH(H$1,[3]enemy_skill_triggers!$1:$1,0)-MATCH($F$1,[3]enemy_skill_triggers!$1:$1,0)+1,FALSE)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77" s="42">
        <f ca="1">VLOOKUP($F77,OFFSET([3]enemy_skill_triggers!$A$1,0,0,COUNTA([3]enemy_skill_triggers!$A:$A),MATCH(I$1,[3]enemy_skill_triggers!$1:$1,0)-MATCH($F$1,[3]enemy_skill_triggers!$1:$1,0)+1),MATCH(I$1,[3]enemy_skill_triggers!$1:$1,0)-MATCH($F$1,[3]enemy_skill_triggers!$1:$1,0)+1,FALSE)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85</v>
      </c>
      <c r="J77" s="42" t="str">
        <f ca="1">VLOOKUP($F77,OFFSET([3]enemy_skill_triggers!$A$1,0,0,COUNTA([3]enemy_skill_triggers!$A:$A),MATCH(J$1,[3]enemy_skill_triggers!$1:$1,0)-MATCH($F$1,[3]enemy_skill_triggers!$1:$1,0)+1),MATCH(J$1,[3]enemy_skill_triggers!$1:$1,0)-MATCH($F$1,[3]enemy_skill_triggers!$1:$1,0)+1,FALSE)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7" s="42" t="str">
        <f ca="1">VLOOKUP($F77,OFFSET([3]enemy_skill_triggers!$A$1,0,0,COUNTA([3]enemy_skill_triggers!$A:$A),MATCH(K$1,[3]enemy_skill_triggers!$1:$1,0)-MATCH($F$1,[3]enemy_skill_triggers!$1:$1,0)+1),MATCH(K$1,[3]enemy_skill_triggers!$1:$1,0)-MATCH($F$1,[3]enemy_skill_triggers!$1:$1,0)+1,FALSE)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7" s="42">
        <f ca="1">VLOOKUP($F77,OFFSET([3]enemy_skill_triggers!$A$1,0,0,COUNTA([3]enemy_skill_triggers!$A:$A),MATCH(L$1,[3]enemy_skill_triggers!$1:$1,0)-MATCH($F$1,[3]enemy_skill_triggers!$1:$1,0)+1),MATCH(L$1,[3]enemy_skill_triggers!$1:$1,0)-MATCH($F$1,[3]enemy_skill_triggers!$1:$1,0)+1,FALSE)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77" s="42" t="str">
        <f ca="1">VLOOKUP($F77,OFFSET([3]enemy_skill_triggers!$A$1,0,0,COUNTA([3]enemy_skill_triggers!$A:$A),MATCH(M$1,[3]enemy_skill_triggers!$1:$1,0)-MATCH($F$1,[3]enemy_skill_triggers!$1:$1,0)+1),MATCH(M$1,[3]enemy_skill_triggers!$1:$1,0)-MATCH($F$1,[3]enemy_skill_triggers!$1:$1,0)+1,FALSE)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7" s="42" t="str">
        <f ca="1">VLOOKUP($F77,OFFSET([3]enemy_skill_triggers!$A$1,0,0,COUNTA([3]enemy_skill_triggers!$A:$A),MATCH(N$1,[3]enemy_skill_triggers!$1:$1,0)-MATCH($F$1,[3]enemy_skill_triggers!$1:$1,0)+1),MATCH(N$1,[3]enemy_skill_triggers!$1:$1,0)-MATCH($F$1,[3]enemy_skill_triggers!$1:$1,0)+1,FALSE)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7" s="42">
        <f ca="1">VLOOKUP($F77,OFFSET([3]enemy_skill_triggers!$A$1,0,0,COUNTA([3]enemy_skill_triggers!$A:$A),MATCH(O$1,[3]enemy_skill_triggers!$1:$1,0)-MATCH($F$1,[3]enemy_skill_triggers!$1:$1,0)+1),MATCH(O$1,[3]enemy_skill_triggers!$1:$1,0)-MATCH($F$1,[3]enemy_skill_triggers!$1:$1,0)+1,FALSE)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85</v>
      </c>
      <c r="P77" s="41"/>
      <c r="Q77" s="41"/>
      <c r="R77" s="41"/>
    </row>
    <row r="78" spans="1:18" ht="21" customHeight="1" x14ac:dyDescent="0.15">
      <c r="A78" s="33" t="str">
        <f t="shared" si="1"/>
        <v>47013014_47013405</v>
      </c>
      <c r="B78" s="187">
        <v>47013014</v>
      </c>
      <c r="C78" s="190">
        <v>47013405</v>
      </c>
      <c r="D78" s="202" t="str">
        <f ca="1">VLOOKUP($C78,OFFSET([3]enemy_skills!$A$1,0,0,COUNTA([3]enemy_skills!$A:$A),MATCH(D$1,[3]enemy_skills!$1:$1,0)-MATCH("enemy_skill_id",[3]enemy_skills!$1:$1,0)+1),MATCH(D$1,[3]enemy_skills!$1:$1,0)-MATCH("enemy_skill_id",[3]enemy_skills!$1:$1,0)+1,FALSE)</f>
        <v>その程度か？　私を退屈させるな</v>
      </c>
      <c r="E78" s="202" t="str">
        <f ca="1">VLOOKUP($C78,OFFSET([3]enemy_skills!$A$1,0,0,COUNTA([3]enemy_skills!$A:$A),MATCH(E$1,[3]enemy_skills!$1:$1,0)-MATCH("enemy_skill_id",[3]enemy_skills!$1:$1,0)+1),MATCH(E$1,[3]enemy_skills!$1:$1,0)-MATCH("enemy_skill_id",[3]enemy_skills!$1:$1,0)+1,FALSE)</f>
        <v>属性パネルを黄&amp;緑&amp;青のボムパネルに2個ずつ変換+_x000D_属性パネルを黄&amp;緑&amp;青のCBPに1個ずつ変換+_x000D_3回連続攻撃</v>
      </c>
      <c r="F78" s="190">
        <v>47013405</v>
      </c>
      <c r="G78" s="42">
        <f ca="1">VLOOKUP($F78,OFFSET([3]enemy_skill_triggers!$A$1,0,0,COUNTA([3]enemy_skill_triggers!$A:$A),MATCH(G$1,[3]enemy_skill_triggers!$1:$1,0)-MATCH($F$1,[3]enemy_skill_triggers!$1:$1,0)+1),MATCH(G$1,[3]enemy_skill_triggers!$1:$1,0)-MATCH($F$1,[3]enemy_skill_triggers!$1:$1,0)+1,FALSE)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8" s="42">
        <f ca="1">VLOOKUP($F78,OFFSET([3]enemy_skill_triggers!$A$1,0,0,COUNTA([3]enemy_skill_triggers!$A:$A),MATCH(H$1,[3]enemy_skill_triggers!$1:$1,0)-MATCH($F$1,[3]enemy_skill_triggers!$1:$1,0)+1),MATCH(H$1,[3]enemy_skill_triggers!$1:$1,0)-MATCH($F$1,[3]enemy_skill_triggers!$1:$1,0)+1,FALSE)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78" s="42">
        <f ca="1">VLOOKUP($F78,OFFSET([3]enemy_skill_triggers!$A$1,0,0,COUNTA([3]enemy_skill_triggers!$A:$A),MATCH(I$1,[3]enemy_skill_triggers!$1:$1,0)-MATCH($F$1,[3]enemy_skill_triggers!$1:$1,0)+1),MATCH(I$1,[3]enemy_skill_triggers!$1:$1,0)-MATCH($F$1,[3]enemy_skill_triggers!$1:$1,0)+1,FALSE)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38</v>
      </c>
      <c r="J78" s="42" t="str">
        <f ca="1">VLOOKUP($F78,OFFSET([3]enemy_skill_triggers!$A$1,0,0,COUNTA([3]enemy_skill_triggers!$A:$A),MATCH(J$1,[3]enemy_skill_triggers!$1:$1,0)-MATCH($F$1,[3]enemy_skill_triggers!$1:$1,0)+1),MATCH(J$1,[3]enemy_skill_triggers!$1:$1,0)-MATCH($F$1,[3]enemy_skill_triggers!$1:$1,0)+1,FALSE)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8" s="42" t="str">
        <f ca="1">VLOOKUP($F78,OFFSET([3]enemy_skill_triggers!$A$1,0,0,COUNTA([3]enemy_skill_triggers!$A:$A),MATCH(K$1,[3]enemy_skill_triggers!$1:$1,0)-MATCH($F$1,[3]enemy_skill_triggers!$1:$1,0)+1),MATCH(K$1,[3]enemy_skill_triggers!$1:$1,0)-MATCH($F$1,[3]enemy_skill_triggers!$1:$1,0)+1,FALSE)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8" s="42" t="str">
        <f ca="1">VLOOKUP($F78,OFFSET([3]enemy_skill_triggers!$A$1,0,0,COUNTA([3]enemy_skill_triggers!$A:$A),MATCH(L$1,[3]enemy_skill_triggers!$1:$1,0)-MATCH($F$1,[3]enemy_skill_triggers!$1:$1,0)+1),MATCH(L$1,[3]enemy_skill_triggers!$1:$1,0)-MATCH($F$1,[3]enemy_skill_triggers!$1:$1,0)+1,FALSE)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78" s="42" t="str">
        <f ca="1">VLOOKUP($F78,OFFSET([3]enemy_skill_triggers!$A$1,0,0,COUNTA([3]enemy_skill_triggers!$A:$A),MATCH(M$1,[3]enemy_skill_triggers!$1:$1,0)-MATCH($F$1,[3]enemy_skill_triggers!$1:$1,0)+1),MATCH(M$1,[3]enemy_skill_triggers!$1:$1,0)-MATCH($F$1,[3]enemy_skill_triggers!$1:$1,0)+1,FALSE)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8" s="42" t="str">
        <f ca="1">VLOOKUP($F78,OFFSET([3]enemy_skill_triggers!$A$1,0,0,COUNTA([3]enemy_skill_triggers!$A:$A),MATCH(N$1,[3]enemy_skill_triggers!$1:$1,0)-MATCH($F$1,[3]enemy_skill_triggers!$1:$1,0)+1),MATCH(N$1,[3]enemy_skill_triggers!$1:$1,0)-MATCH($F$1,[3]enemy_skill_triggers!$1:$1,0)+1,FALSE)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8" s="42">
        <f ca="1">VLOOKUP($F78,OFFSET([3]enemy_skill_triggers!$A$1,0,0,COUNTA([3]enemy_skill_triggers!$A:$A),MATCH(O$1,[3]enemy_skill_triggers!$1:$1,0)-MATCH($F$1,[3]enemy_skill_triggers!$1:$1,0)+1),MATCH(O$1,[3]enemy_skill_triggers!$1:$1,0)-MATCH($F$1,[3]enemy_skill_triggers!$1:$1,0)+1,FALSE)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38</v>
      </c>
      <c r="P78" s="41"/>
      <c r="Q78" s="41"/>
      <c r="R78" s="41"/>
    </row>
    <row r="79" spans="1:18" ht="21" customHeight="1" x14ac:dyDescent="0.15">
      <c r="A79" s="33" t="str">
        <f t="shared" si="1"/>
        <v>47013014_47013406</v>
      </c>
      <c r="B79" s="187">
        <v>47013014</v>
      </c>
      <c r="C79" s="190">
        <v>47013406</v>
      </c>
      <c r="D79" s="202" t="str">
        <f ca="1">VLOOKUP($C79,OFFSET([3]enemy_skills!$A$1,0,0,COUNTA([3]enemy_skills!$A:$A),MATCH(D$1,[3]enemy_skills!$1:$1,0)-MATCH("enemy_skill_id",[3]enemy_skills!$1:$1,0)+1),MATCH(D$1,[3]enemy_skills!$1:$1,0)-MATCH("enemy_skill_id",[3]enemy_skills!$1:$1,0)+1,FALSE)</f>
        <v>使えぬ駒は棄てるだけだ</v>
      </c>
      <c r="E79" s="202" t="str">
        <f ca="1">VLOOKUP($C79,OFFSET([3]enemy_skills!$A$1,0,0,COUNTA([3]enemy_skills!$A:$A),MATCH(E$1,[3]enemy_skills!$1:$1,0)-MATCH("enemy_skill_id",[3]enemy_skills!$1:$1,0)+1),MATCH(E$1,[3]enemy_skills!$1:$1,0)-MATCH("enemy_skill_id",[3]enemy_skills!$1:$1,0)+1,FALSE)</f>
        <v>赤パネルを緑パネルに変換+_x000D_青パネルを黄パネルに変換+_x000D_2回連続攻撃</v>
      </c>
      <c r="F79" s="190">
        <v>47013406</v>
      </c>
      <c r="G79" s="42">
        <f ca="1">VLOOKUP($F79,OFFSET([3]enemy_skill_triggers!$A$1,0,0,COUNTA([3]enemy_skill_triggers!$A:$A),MATCH(G$1,[3]enemy_skill_triggers!$1:$1,0)-MATCH($F$1,[3]enemy_skill_triggers!$1:$1,0)+1),MATCH(G$1,[3]enemy_skill_triggers!$1:$1,0)-MATCH($F$1,[3]enemy_skill_triggers!$1:$1,0)+1,FALSE)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79" s="42">
        <f ca="1">VLOOKUP($F79,OFFSET([3]enemy_skill_triggers!$A$1,0,0,COUNTA([3]enemy_skill_triggers!$A:$A),MATCH(H$1,[3]enemy_skill_triggers!$1:$1,0)-MATCH($F$1,[3]enemy_skill_triggers!$1:$1,0)+1),MATCH(H$1,[3]enemy_skill_triggers!$1:$1,0)-MATCH($F$1,[3]enemy_skill_triggers!$1:$1,0)+1,FALSE)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79" s="42">
        <f ca="1">VLOOKUP($F79,OFFSET([3]enemy_skill_triggers!$A$1,0,0,COUNTA([3]enemy_skill_triggers!$A:$A),MATCH(I$1,[3]enemy_skill_triggers!$1:$1,0)-MATCH($F$1,[3]enemy_skill_triggers!$1:$1,0)+1),MATCH(I$1,[3]enemy_skill_triggers!$1:$1,0)-MATCH($F$1,[3]enemy_skill_triggers!$1:$1,0)+1,FALSE)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53</v>
      </c>
      <c r="J79" s="42" t="str">
        <f ca="1">VLOOKUP($F79,OFFSET([3]enemy_skill_triggers!$A$1,0,0,COUNTA([3]enemy_skill_triggers!$A:$A),MATCH(J$1,[3]enemy_skill_triggers!$1:$1,0)-MATCH($F$1,[3]enemy_skill_triggers!$1:$1,0)+1),MATCH(J$1,[3]enemy_skill_triggers!$1:$1,0)-MATCH($F$1,[3]enemy_skill_triggers!$1:$1,0)+1,FALSE)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79" s="42" t="str">
        <f ca="1">VLOOKUP($F79,OFFSET([3]enemy_skill_triggers!$A$1,0,0,COUNTA([3]enemy_skill_triggers!$A:$A),MATCH(K$1,[3]enemy_skill_triggers!$1:$1,0)-MATCH($F$1,[3]enemy_skill_triggers!$1:$1,0)+1),MATCH(K$1,[3]enemy_skill_triggers!$1:$1,0)-MATCH($F$1,[3]enemy_skill_triggers!$1:$1,0)+1,FALSE)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79" s="42" t="str">
        <f ca="1">VLOOKUP($F79,OFFSET([3]enemy_skill_triggers!$A$1,0,0,COUNTA([3]enemy_skill_triggers!$A:$A),MATCH(L$1,[3]enemy_skill_triggers!$1:$1,0)-MATCH($F$1,[3]enemy_skill_triggers!$1:$1,0)+1),MATCH(L$1,[3]enemy_skill_triggers!$1:$1,0)-MATCH($F$1,[3]enemy_skill_triggers!$1:$1,0)+1,FALSE)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79" s="42" t="str">
        <f ca="1">VLOOKUP($F79,OFFSET([3]enemy_skill_triggers!$A$1,0,0,COUNTA([3]enemy_skill_triggers!$A:$A),MATCH(M$1,[3]enemy_skill_triggers!$1:$1,0)-MATCH($F$1,[3]enemy_skill_triggers!$1:$1,0)+1),MATCH(M$1,[3]enemy_skill_triggers!$1:$1,0)-MATCH($F$1,[3]enemy_skill_triggers!$1:$1,0)+1,FALSE)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79" s="42" t="str">
        <f ca="1">VLOOKUP($F79,OFFSET([3]enemy_skill_triggers!$A$1,0,0,COUNTA([3]enemy_skill_triggers!$A:$A),MATCH(N$1,[3]enemy_skill_triggers!$1:$1,0)-MATCH($F$1,[3]enemy_skill_triggers!$1:$1,0)+1),MATCH(N$1,[3]enemy_skill_triggers!$1:$1,0)-MATCH($F$1,[3]enemy_skill_triggers!$1:$1,0)+1,FALSE)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79" s="42">
        <f ca="1">VLOOKUP($F79,OFFSET([3]enemy_skill_triggers!$A$1,0,0,COUNTA([3]enemy_skill_triggers!$A:$A),MATCH(O$1,[3]enemy_skill_triggers!$1:$1,0)-MATCH($F$1,[3]enemy_skill_triggers!$1:$1,0)+1),MATCH(O$1,[3]enemy_skill_triggers!$1:$1,0)-MATCH($F$1,[3]enemy_skill_triggers!$1:$1,0)+1,FALSE)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53</v>
      </c>
      <c r="P79" s="41"/>
      <c r="Q79" s="41"/>
      <c r="R79" s="41"/>
    </row>
    <row r="80" spans="1:18" ht="21" customHeight="1" x14ac:dyDescent="0.15">
      <c r="A80" s="33" t="str">
        <f t="shared" si="1"/>
        <v>47013014_47013407</v>
      </c>
      <c r="B80" s="187">
        <v>47013014</v>
      </c>
      <c r="C80" s="190">
        <v>47013407</v>
      </c>
      <c r="D80" s="202" t="str">
        <f ca="1">VLOOKUP($C80,OFFSET([3]enemy_skills!$A$1,0,0,COUNTA([3]enemy_skills!$A:$A),MATCH(D$1,[3]enemy_skills!$1:$1,0)-MATCH("enemy_skill_id",[3]enemy_skills!$1:$1,0)+1),MATCH(D$1,[3]enemy_skills!$1:$1,0)-MATCH("enemy_skill_id",[3]enemy_skills!$1:$1,0)+1,FALSE)</f>
        <v>貴様らの代わりなどいくらでも用意できる</v>
      </c>
      <c r="E80" s="202" t="str">
        <f ca="1">VLOOKUP($C80,OFFSET([3]enemy_skills!$A$1,0,0,COUNTA([3]enemy_skills!$A:$A),MATCH(E$1,[3]enemy_skills!$1:$1,0)-MATCH("enemy_skill_id",[3]enemy_skills!$1:$1,0)+1),MATCH(E$1,[3]enemy_skills!$1:$1,0)-MATCH("enemy_skill_id",[3]enemy_skills!$1:$1,0)+1,FALSE)</f>
        <v>緑パネルと青パネルを吸収して攻撃</v>
      </c>
      <c r="F80" s="190">
        <v>47013407</v>
      </c>
      <c r="G80" s="42">
        <f ca="1">VLOOKUP($F80,OFFSET([3]enemy_skill_triggers!$A$1,0,0,COUNTA([3]enemy_skill_triggers!$A:$A),MATCH(G$1,[3]enemy_skill_triggers!$1:$1,0)-MATCH($F$1,[3]enemy_skill_triggers!$1:$1,0)+1),MATCH(G$1,[3]enemy_skill_triggers!$1:$1,0)-MATCH($F$1,[3]enemy_skill_triggers!$1:$1,0)+1,FALSE)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0" s="42">
        <f ca="1">VLOOKUP($F80,OFFSET([3]enemy_skill_triggers!$A$1,0,0,COUNTA([3]enemy_skill_triggers!$A:$A),MATCH(H$1,[3]enemy_skill_triggers!$1:$1,0)-MATCH($F$1,[3]enemy_skill_triggers!$1:$1,0)+1),MATCH(H$1,[3]enemy_skill_triggers!$1:$1,0)-MATCH($F$1,[3]enemy_skill_triggers!$1:$1,0)+1,FALSE)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80" s="42">
        <f ca="1">VLOOKUP($F80,OFFSET([3]enemy_skill_triggers!$A$1,0,0,COUNTA([3]enemy_skill_triggers!$A:$A),MATCH(I$1,[3]enemy_skill_triggers!$1:$1,0)-MATCH($F$1,[3]enemy_skill_triggers!$1:$1,0)+1),MATCH(I$1,[3]enemy_skill_triggers!$1:$1,0)-MATCH($F$1,[3]enemy_skill_triggers!$1:$1,0)+1,FALSE)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0" s="42" t="str">
        <f ca="1">VLOOKUP($F80,OFFSET([3]enemy_skill_triggers!$A$1,0,0,COUNTA([3]enemy_skill_triggers!$A:$A),MATCH(J$1,[3]enemy_skill_triggers!$1:$1,0)-MATCH($F$1,[3]enemy_skill_triggers!$1:$1,0)+1),MATCH(J$1,[3]enemy_skill_triggers!$1:$1,0)-MATCH($F$1,[3]enemy_skill_triggers!$1:$1,0)+1,FALSE)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0" s="42" t="str">
        <f ca="1">VLOOKUP($F80,OFFSET([3]enemy_skill_triggers!$A$1,0,0,COUNTA([3]enemy_skill_triggers!$A:$A),MATCH(K$1,[3]enemy_skill_triggers!$1:$1,0)-MATCH($F$1,[3]enemy_skill_triggers!$1:$1,0)+1),MATCH(K$1,[3]enemy_skill_triggers!$1:$1,0)-MATCH($F$1,[3]enemy_skill_triggers!$1:$1,0)+1,FALSE)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0" s="42" t="str">
        <f ca="1">VLOOKUP($F80,OFFSET([3]enemy_skill_triggers!$A$1,0,0,COUNTA([3]enemy_skill_triggers!$A:$A),MATCH(L$1,[3]enemy_skill_triggers!$1:$1,0)-MATCH($F$1,[3]enemy_skill_triggers!$1:$1,0)+1),MATCH(L$1,[3]enemy_skill_triggers!$1:$1,0)-MATCH($F$1,[3]enemy_skill_triggers!$1:$1,0)+1,FALSE)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80" s="42" t="str">
        <f ca="1">VLOOKUP($F80,OFFSET([3]enemy_skill_triggers!$A$1,0,0,COUNTA([3]enemy_skill_triggers!$A:$A),MATCH(M$1,[3]enemy_skill_triggers!$1:$1,0)-MATCH($F$1,[3]enemy_skill_triggers!$1:$1,0)+1),MATCH(M$1,[3]enemy_skill_triggers!$1:$1,0)-MATCH($F$1,[3]enemy_skill_triggers!$1:$1,0)+1,FALSE)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0" s="42" t="str">
        <f ca="1">VLOOKUP($F80,OFFSET([3]enemy_skill_triggers!$A$1,0,0,COUNTA([3]enemy_skill_triggers!$A:$A),MATCH(N$1,[3]enemy_skill_triggers!$1:$1,0)-MATCH($F$1,[3]enemy_skill_triggers!$1:$1,0)+1),MATCH(N$1,[3]enemy_skill_triggers!$1:$1,0)-MATCH($F$1,[3]enemy_skill_triggers!$1:$1,0)+1,FALSE)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0" s="42">
        <f ca="1">VLOOKUP($F80,OFFSET([3]enemy_skill_triggers!$A$1,0,0,COUNTA([3]enemy_skill_triggers!$A:$A),MATCH(O$1,[3]enemy_skill_triggers!$1:$1,0)-MATCH($F$1,[3]enemy_skill_triggers!$1:$1,0)+1),MATCH(O$1,[3]enemy_skill_triggers!$1:$1,0)-MATCH($F$1,[3]enemy_skill_triggers!$1:$1,0)+1,FALSE)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0" s="41"/>
      <c r="Q80" s="41"/>
      <c r="R80" s="41"/>
    </row>
    <row r="81" spans="1:18" ht="21" customHeight="1" x14ac:dyDescent="0.15">
      <c r="A81" s="33" t="str">
        <f t="shared" si="1"/>
        <v>47013015_47013521</v>
      </c>
      <c r="B81" s="42">
        <v>47013015</v>
      </c>
      <c r="C81" s="199">
        <v>47013521</v>
      </c>
      <c r="D81" s="202" t="str">
        <f ca="1">VLOOKUP($C81,OFFSET([3]enemy_skills!$A$1,0,0,COUNTA([3]enemy_skills!$A:$A),MATCH(D$1,[3]enemy_skills!$1:$1,0)-MATCH("enemy_skill_id",[3]enemy_skills!$1:$1,0)+1),MATCH(D$1,[3]enemy_skills!$1:$1,0)-MATCH("enemy_skill_id",[3]enemy_skills!$1:$1,0)+1,FALSE)</f>
        <v>駒の分際で私に刃向かったこと…_x000D_存分に後悔させてやろう！</v>
      </c>
      <c r="E81" s="202" t="str">
        <f ca="1">VLOOKUP($C81,OFFSET([3]enemy_skills!$A$1,0,0,COUNTA([3]enemy_skills!$A:$A),MATCH(E$1,[3]enemy_skills!$1:$1,0)-MATCH("enemy_skill_id",[3]enemy_skills!$1:$1,0)+1),MATCH(E$1,[3]enemy_skills!$1:$1,0)-MATCH("enemy_skill_id",[3]enemy_skills!$1:$1,0)+1,FALSE)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状態異常耐性+_x000D_10ターン黄パネルドロップ率DOWN+_x000D_特定エリアを緑&amp;青のダメージパネルに変換</v>
      </c>
      <c r="F81" s="191">
        <v>47013501</v>
      </c>
      <c r="G81" s="42">
        <f ca="1">VLOOKUP($F81,OFFSET([3]enemy_skill_triggers!$A$1,0,0,COUNTA([3]enemy_skill_triggers!$A:$A),MATCH(G$1,[3]enemy_skill_triggers!$1:$1,0)-MATCH($F$1,[3]enemy_skill_triggers!$1:$1,0)+1),MATCH(G$1,[3]enemy_skill_triggers!$1:$1,0)-MATCH($F$1,[3]enemy_skill_triggers!$1:$1,0)+1,FALSE)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81" s="42">
        <f ca="1">VLOOKUP($F81,OFFSET([3]enemy_skill_triggers!$A$1,0,0,COUNTA([3]enemy_skill_triggers!$A:$A),MATCH(H$1,[3]enemy_skill_triggers!$1:$1,0)-MATCH($F$1,[3]enemy_skill_triggers!$1:$1,0)+1),MATCH(H$1,[3]enemy_skill_triggers!$1:$1,0)-MATCH($F$1,[3]enemy_skill_triggers!$1:$1,0)+1,FALSE)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81" s="42">
        <f ca="1">VLOOKUP($F81,OFFSET([3]enemy_skill_triggers!$A$1,0,0,COUNTA([3]enemy_skill_triggers!$A:$A),MATCH(I$1,[3]enemy_skill_triggers!$1:$1,0)-MATCH($F$1,[3]enemy_skill_triggers!$1:$1,0)+1),MATCH(I$1,[3]enemy_skill_triggers!$1:$1,0)-MATCH($F$1,[3]enemy_skill_triggers!$1:$1,0)+1,FALSE)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1" s="42" t="str">
        <f ca="1">VLOOKUP($F81,OFFSET([3]enemy_skill_triggers!$A$1,0,0,COUNTA([3]enemy_skill_triggers!$A:$A),MATCH(J$1,[3]enemy_skill_triggers!$1:$1,0)-MATCH($F$1,[3]enemy_skill_triggers!$1:$1,0)+1),MATCH(J$1,[3]enemy_skill_triggers!$1:$1,0)-MATCH($F$1,[3]enemy_skill_triggers!$1:$1,0)+1,FALSE)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1" s="42" t="str">
        <f ca="1">VLOOKUP($F81,OFFSET([3]enemy_skill_triggers!$A$1,0,0,COUNTA([3]enemy_skill_triggers!$A:$A),MATCH(K$1,[3]enemy_skill_triggers!$1:$1,0)-MATCH($F$1,[3]enemy_skill_triggers!$1:$1,0)+1),MATCH(K$1,[3]enemy_skill_triggers!$1:$1,0)-MATCH($F$1,[3]enemy_skill_triggers!$1:$1,0)+1,FALSE)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1" s="42">
        <f ca="1">VLOOKUP($F81,OFFSET([3]enemy_skill_triggers!$A$1,0,0,COUNTA([3]enemy_skill_triggers!$A:$A),MATCH(L$1,[3]enemy_skill_triggers!$1:$1,0)-MATCH($F$1,[3]enemy_skill_triggers!$1:$1,0)+1),MATCH(L$1,[3]enemy_skill_triggers!$1:$1,0)-MATCH($F$1,[3]enemy_skill_triggers!$1:$1,0)+1,FALSE)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1" s="42" t="str">
        <f ca="1">VLOOKUP($F81,OFFSET([3]enemy_skill_triggers!$A$1,0,0,COUNTA([3]enemy_skill_triggers!$A:$A),MATCH(M$1,[3]enemy_skill_triggers!$1:$1,0)-MATCH($F$1,[3]enemy_skill_triggers!$1:$1,0)+1),MATCH(M$1,[3]enemy_skill_triggers!$1:$1,0)-MATCH($F$1,[3]enemy_skill_triggers!$1:$1,0)+1,FALSE)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1" s="42" t="str">
        <f ca="1">VLOOKUP($F81,OFFSET([3]enemy_skill_triggers!$A$1,0,0,COUNTA([3]enemy_skill_triggers!$A:$A),MATCH(N$1,[3]enemy_skill_triggers!$1:$1,0)-MATCH($F$1,[3]enemy_skill_triggers!$1:$1,0)+1),MATCH(N$1,[3]enemy_skill_triggers!$1:$1,0)-MATCH($F$1,[3]enemy_skill_triggers!$1:$1,0)+1,FALSE)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1" s="42">
        <f ca="1">VLOOKUP($F81,OFFSET([3]enemy_skill_triggers!$A$1,0,0,COUNTA([3]enemy_skill_triggers!$A:$A),MATCH(O$1,[3]enemy_skill_triggers!$1:$1,0)-MATCH($F$1,[3]enemy_skill_triggers!$1:$1,0)+1),MATCH(O$1,[3]enemy_skill_triggers!$1:$1,0)-MATCH($F$1,[3]enemy_skill_triggers!$1:$1,0)+1,FALSE)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1" s="41"/>
      <c r="Q81" s="41"/>
      <c r="R81" s="41"/>
    </row>
    <row r="82" spans="1:18" ht="21" customHeight="1" x14ac:dyDescent="0.15">
      <c r="A82" s="33" t="str">
        <f t="shared" si="1"/>
        <v>47013015_47013522</v>
      </c>
      <c r="B82" s="42">
        <v>47013015</v>
      </c>
      <c r="C82" s="199">
        <v>47013522</v>
      </c>
      <c r="D82" s="202" t="str">
        <f ca="1">VLOOKUP($C82,OFFSET([3]enemy_skills!$A$1,0,0,COUNTA([3]enemy_skills!$A:$A),MATCH(D$1,[3]enemy_skills!$1:$1,0)-MATCH("enemy_skill_id",[3]enemy_skills!$1:$1,0)+1),MATCH(D$1,[3]enemy_skills!$1:$1,0)-MATCH("enemy_skill_id",[3]enemy_skills!$1:$1,0)+1,FALSE)</f>
        <v>さあ、命乞いの時間は必要か？</v>
      </c>
      <c r="E82" s="202" t="str">
        <f ca="1">VLOOKUP($C82,OFFSET([3]enemy_skills!$A$1,0,0,COUNTA([3]enemy_skills!$A:$A),MATCH(E$1,[3]enemy_skills!$1:$1,0)-MATCH("enemy_skill_id",[3]enemy_skills!$1:$1,0)+1),MATCH(E$1,[3]enemy_skills!$1:$1,0)-MATCH("enemy_skill_id",[3]enemy_skills!$1:$1,0)+1,FALSE)</f>
        <v>属性パネルを黄パネルに最大10個変換+_x000D_属性パネルをマグネットパネル(黄→ハート)に1個変換</v>
      </c>
      <c r="F82" s="191">
        <v>47013502</v>
      </c>
      <c r="G82" s="42">
        <f ca="1">VLOOKUP($F82,OFFSET([3]enemy_skill_triggers!$A$1,0,0,COUNTA([3]enemy_skill_triggers!$A:$A),MATCH(G$1,[3]enemy_skill_triggers!$1:$1,0)-MATCH($F$1,[3]enemy_skill_triggers!$1:$1,0)+1),MATCH(G$1,[3]enemy_skill_triggers!$1:$1,0)-MATCH($F$1,[3]enemy_skill_triggers!$1:$1,0)+1,FALSE)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2" s="42">
        <f ca="1">VLOOKUP($F82,OFFSET([3]enemy_skill_triggers!$A$1,0,0,COUNTA([3]enemy_skill_triggers!$A:$A),MATCH(H$1,[3]enemy_skill_triggers!$1:$1,0)-MATCH($F$1,[3]enemy_skill_triggers!$1:$1,0)+1),MATCH(H$1,[3]enemy_skill_triggers!$1:$1,0)-MATCH($F$1,[3]enemy_skill_triggers!$1:$1,0)+1,FALSE)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270</v>
      </c>
      <c r="I82" s="42">
        <f ca="1">VLOOKUP($F82,OFFSET([3]enemy_skill_triggers!$A$1,0,0,COUNTA([3]enemy_skill_triggers!$A:$A),MATCH(I$1,[3]enemy_skill_triggers!$1:$1,0)-MATCH($F$1,[3]enemy_skill_triggers!$1:$1,0)+1),MATCH(I$1,[3]enemy_skill_triggers!$1:$1,0)-MATCH($F$1,[3]enemy_skill_triggers!$1:$1,0)+1,FALSE)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2" s="42" t="str">
        <f ca="1">VLOOKUP($F82,OFFSET([3]enemy_skill_triggers!$A$1,0,0,COUNTA([3]enemy_skill_triggers!$A:$A),MATCH(J$1,[3]enemy_skill_triggers!$1:$1,0)-MATCH($F$1,[3]enemy_skill_triggers!$1:$1,0)+1),MATCH(J$1,[3]enemy_skill_triggers!$1:$1,0)-MATCH($F$1,[3]enemy_skill_triggers!$1:$1,0)+1,FALSE)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2" s="42" t="str">
        <f ca="1">VLOOKUP($F82,OFFSET([3]enemy_skill_triggers!$A$1,0,0,COUNTA([3]enemy_skill_triggers!$A:$A),MATCH(K$1,[3]enemy_skill_triggers!$1:$1,0)-MATCH($F$1,[3]enemy_skill_triggers!$1:$1,0)+1),MATCH(K$1,[3]enemy_skill_triggers!$1:$1,0)-MATCH($F$1,[3]enemy_skill_triggers!$1:$1,0)+1,FALSE)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2" s="42">
        <f ca="1">VLOOKUP($F82,OFFSET([3]enemy_skill_triggers!$A$1,0,0,COUNTA([3]enemy_skill_triggers!$A:$A),MATCH(L$1,[3]enemy_skill_triggers!$1:$1,0)-MATCH($F$1,[3]enemy_skill_triggers!$1:$1,0)+1),MATCH(L$1,[3]enemy_skill_triggers!$1:$1,0)-MATCH($F$1,[3]enemy_skill_triggers!$1:$1,0)+1,FALSE)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2" s="42" t="str">
        <f ca="1">VLOOKUP($F82,OFFSET([3]enemy_skill_triggers!$A$1,0,0,COUNTA([3]enemy_skill_triggers!$A:$A),MATCH(M$1,[3]enemy_skill_triggers!$1:$1,0)-MATCH($F$1,[3]enemy_skill_triggers!$1:$1,0)+1),MATCH(M$1,[3]enemy_skill_triggers!$1:$1,0)-MATCH($F$1,[3]enemy_skill_triggers!$1:$1,0)+1,FALSE)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2" s="42" t="str">
        <f ca="1">VLOOKUP($F82,OFFSET([3]enemy_skill_triggers!$A$1,0,0,COUNTA([3]enemy_skill_triggers!$A:$A),MATCH(N$1,[3]enemy_skill_triggers!$1:$1,0)-MATCH($F$1,[3]enemy_skill_triggers!$1:$1,0)+1),MATCH(N$1,[3]enemy_skill_triggers!$1:$1,0)-MATCH($F$1,[3]enemy_skill_triggers!$1:$1,0)+1,FALSE)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2" s="42">
        <f ca="1">VLOOKUP($F82,OFFSET([3]enemy_skill_triggers!$A$1,0,0,COUNTA([3]enemy_skill_triggers!$A:$A),MATCH(O$1,[3]enemy_skill_triggers!$1:$1,0)-MATCH($F$1,[3]enemy_skill_triggers!$1:$1,0)+1),MATCH(O$1,[3]enemy_skill_triggers!$1:$1,0)-MATCH($F$1,[3]enemy_skill_triggers!$1:$1,0)+1,FALSE)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2" s="41"/>
      <c r="Q82" s="41"/>
      <c r="R82" s="41"/>
    </row>
    <row r="83" spans="1:18" ht="21" customHeight="1" x14ac:dyDescent="0.15">
      <c r="A83" s="33" t="str">
        <f t="shared" si="1"/>
        <v>47013015_47013503</v>
      </c>
      <c r="B83" s="42">
        <v>47013015</v>
      </c>
      <c r="C83" s="191">
        <v>47013503</v>
      </c>
      <c r="D83" s="202" t="str">
        <f ca="1">VLOOKUP($C83,OFFSET([3]enemy_skills!$A$1,0,0,COUNTA([3]enemy_skills!$A:$A),MATCH(D$1,[3]enemy_skills!$1:$1,0)-MATCH("enemy_skill_id",[3]enemy_skills!$1:$1,0)+1),MATCH(D$1,[3]enemy_skills!$1:$1,0)-MATCH("enemy_skill_id",[3]enemy_skills!$1:$1,0)+1,FALSE)</f>
        <v>増幅する罪</v>
      </c>
      <c r="E83" s="202" t="str">
        <f ca="1">VLOOKUP($C83,OFFSET([3]enemy_skills!$A$1,0,0,COUNTA([3]enemy_skills!$A:$A),MATCH(E$1,[3]enemy_skills!$1:$1,0)-MATCH("enemy_skill_id",[3]enemy_skills!$1:$1,0)+1),MATCH(E$1,[3]enemy_skills!$1:$1,0)-MATCH("enemy_skill_id",[3]enemy_skills!$1:$1,0)+1,FALSE)</f>
        <v>Cパネル強化(効果超大)+2回連続攻撃</v>
      </c>
      <c r="F83" s="191">
        <v>47013503</v>
      </c>
      <c r="G83" s="42">
        <f ca="1">VLOOKUP($F83,OFFSET([3]enemy_skill_triggers!$A$1,0,0,COUNTA([3]enemy_skill_triggers!$A:$A),MATCH(G$1,[3]enemy_skill_triggers!$1:$1,0)-MATCH($F$1,[3]enemy_skill_triggers!$1:$1,0)+1),MATCH(G$1,[3]enemy_skill_triggers!$1:$1,0)-MATCH($F$1,[3]enemy_skill_triggers!$1:$1,0)+1,FALSE)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3" s="42">
        <f ca="1">VLOOKUP($F83,OFFSET([3]enemy_skill_triggers!$A$1,0,0,COUNTA([3]enemy_skill_triggers!$A:$A),MATCH(H$1,[3]enemy_skill_triggers!$1:$1,0)-MATCH($F$1,[3]enemy_skill_triggers!$1:$1,0)+1),MATCH(H$1,[3]enemy_skill_triggers!$1:$1,0)-MATCH($F$1,[3]enemy_skill_triggers!$1:$1,0)+1,FALSE)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260</v>
      </c>
      <c r="I83" s="42">
        <f ca="1">VLOOKUP($F83,OFFSET([3]enemy_skill_triggers!$A$1,0,0,COUNTA([3]enemy_skill_triggers!$A:$A),MATCH(I$1,[3]enemy_skill_triggers!$1:$1,0)-MATCH($F$1,[3]enemy_skill_triggers!$1:$1,0)+1),MATCH(I$1,[3]enemy_skill_triggers!$1:$1,0)-MATCH($F$1,[3]enemy_skill_triggers!$1:$1,0)+1,FALSE)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3" s="42" t="str">
        <f ca="1">VLOOKUP($F83,OFFSET([3]enemy_skill_triggers!$A$1,0,0,COUNTA([3]enemy_skill_triggers!$A:$A),MATCH(J$1,[3]enemy_skill_triggers!$1:$1,0)-MATCH($F$1,[3]enemy_skill_triggers!$1:$1,0)+1),MATCH(J$1,[3]enemy_skill_triggers!$1:$1,0)-MATCH($F$1,[3]enemy_skill_triggers!$1:$1,0)+1,FALSE)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3" s="42" t="str">
        <f ca="1">VLOOKUP($F83,OFFSET([3]enemy_skill_triggers!$A$1,0,0,COUNTA([3]enemy_skill_triggers!$A:$A),MATCH(K$1,[3]enemy_skill_triggers!$1:$1,0)-MATCH($F$1,[3]enemy_skill_triggers!$1:$1,0)+1),MATCH(K$1,[3]enemy_skill_triggers!$1:$1,0)-MATCH($F$1,[3]enemy_skill_triggers!$1:$1,0)+1,FALSE)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3" s="42">
        <f ca="1">VLOOKUP($F83,OFFSET([3]enemy_skill_triggers!$A$1,0,0,COUNTA([3]enemy_skill_triggers!$A:$A),MATCH(L$1,[3]enemy_skill_triggers!$1:$1,0)-MATCH($F$1,[3]enemy_skill_triggers!$1:$1,0)+1),MATCH(L$1,[3]enemy_skill_triggers!$1:$1,0)-MATCH($F$1,[3]enemy_skill_triggers!$1:$1,0)+1,FALSE)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3" s="42" t="str">
        <f ca="1">VLOOKUP($F83,OFFSET([3]enemy_skill_triggers!$A$1,0,0,COUNTA([3]enemy_skill_triggers!$A:$A),MATCH(M$1,[3]enemy_skill_triggers!$1:$1,0)-MATCH($F$1,[3]enemy_skill_triggers!$1:$1,0)+1),MATCH(M$1,[3]enemy_skill_triggers!$1:$1,0)-MATCH($F$1,[3]enemy_skill_triggers!$1:$1,0)+1,FALSE)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3" s="42" t="str">
        <f ca="1">VLOOKUP($F83,OFFSET([3]enemy_skill_triggers!$A$1,0,0,COUNTA([3]enemy_skill_triggers!$A:$A),MATCH(N$1,[3]enemy_skill_triggers!$1:$1,0)-MATCH($F$1,[3]enemy_skill_triggers!$1:$1,0)+1),MATCH(N$1,[3]enemy_skill_triggers!$1:$1,0)-MATCH($F$1,[3]enemy_skill_triggers!$1:$1,0)+1,FALSE)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3" s="42">
        <f ca="1">VLOOKUP($F83,OFFSET([3]enemy_skill_triggers!$A$1,0,0,COUNTA([3]enemy_skill_triggers!$A:$A),MATCH(O$1,[3]enemy_skill_triggers!$1:$1,0)-MATCH($F$1,[3]enemy_skill_triggers!$1:$1,0)+1),MATCH(O$1,[3]enemy_skill_triggers!$1:$1,0)-MATCH($F$1,[3]enemy_skill_triggers!$1:$1,0)+1,FALSE)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3" s="41"/>
      <c r="Q83" s="41"/>
      <c r="R83" s="41"/>
    </row>
    <row r="84" spans="1:18" ht="21" customHeight="1" x14ac:dyDescent="0.15">
      <c r="A84" s="33" t="str">
        <f t="shared" si="1"/>
        <v>47013015_47013504</v>
      </c>
      <c r="B84" s="42">
        <v>47013015</v>
      </c>
      <c r="C84" s="191">
        <v>47013504</v>
      </c>
      <c r="D84" s="202" t="str">
        <f ca="1">VLOOKUP($C84,OFFSET([3]enemy_skills!$A$1,0,0,COUNTA([3]enemy_skills!$A:$A),MATCH(D$1,[3]enemy_skills!$1:$1,0)-MATCH("enemy_skill_id",[3]enemy_skills!$1:$1,0)+1),MATCH(D$1,[3]enemy_skills!$1:$1,0)-MATCH("enemy_skill_id",[3]enemy_skills!$1:$1,0)+1,FALSE)</f>
        <v>贖罪の雨</v>
      </c>
      <c r="E84" s="202" t="str">
        <f ca="1">VLOOKUP($C84,OFFSET([3]enemy_skills!$A$1,0,0,COUNTA([3]enemy_skills!$A:$A),MATCH(E$1,[3]enemy_skills!$1:$1,0)-MATCH("enemy_skill_id",[3]enemy_skills!$1:$1,0)+1),MATCH(E$1,[3]enemy_skills!$1:$1,0)-MATCH("enemy_skill_id",[3]enemy_skills!$1:$1,0)+1,FALSE)</f>
        <v>Cパネルを吸収して攻撃</v>
      </c>
      <c r="F84" s="191">
        <v>47013504</v>
      </c>
      <c r="G84" s="42">
        <f ca="1">VLOOKUP($F84,OFFSET([3]enemy_skill_triggers!$A$1,0,0,COUNTA([3]enemy_skill_triggers!$A:$A),MATCH(G$1,[3]enemy_skill_triggers!$1:$1,0)-MATCH($F$1,[3]enemy_skill_triggers!$1:$1,0)+1),MATCH(G$1,[3]enemy_skill_triggers!$1:$1,0)-MATCH($F$1,[3]enemy_skill_triggers!$1:$1,0)+1,FALSE)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4" s="42">
        <f ca="1">VLOOKUP($F84,OFFSET([3]enemy_skill_triggers!$A$1,0,0,COUNTA([3]enemy_skill_triggers!$A:$A),MATCH(H$1,[3]enemy_skill_triggers!$1:$1,0)-MATCH($F$1,[3]enemy_skill_triggers!$1:$1,0)+1),MATCH(H$1,[3]enemy_skill_triggers!$1:$1,0)-MATCH($F$1,[3]enemy_skill_triggers!$1:$1,0)+1,FALSE)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250</v>
      </c>
      <c r="I84" s="42">
        <f ca="1">VLOOKUP($F84,OFFSET([3]enemy_skill_triggers!$A$1,0,0,COUNTA([3]enemy_skill_triggers!$A:$A),MATCH(I$1,[3]enemy_skill_triggers!$1:$1,0)-MATCH($F$1,[3]enemy_skill_triggers!$1:$1,0)+1),MATCH(I$1,[3]enemy_skill_triggers!$1:$1,0)-MATCH($F$1,[3]enemy_skill_triggers!$1:$1,0)+1,FALSE)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4" s="42" t="str">
        <f ca="1">VLOOKUP($F84,OFFSET([3]enemy_skill_triggers!$A$1,0,0,COUNTA([3]enemy_skill_triggers!$A:$A),MATCH(J$1,[3]enemy_skill_triggers!$1:$1,0)-MATCH($F$1,[3]enemy_skill_triggers!$1:$1,0)+1),MATCH(J$1,[3]enemy_skill_triggers!$1:$1,0)-MATCH($F$1,[3]enemy_skill_triggers!$1:$1,0)+1,FALSE)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4" s="42" t="str">
        <f ca="1">VLOOKUP($F84,OFFSET([3]enemy_skill_triggers!$A$1,0,0,COUNTA([3]enemy_skill_triggers!$A:$A),MATCH(K$1,[3]enemy_skill_triggers!$1:$1,0)-MATCH($F$1,[3]enemy_skill_triggers!$1:$1,0)+1),MATCH(K$1,[3]enemy_skill_triggers!$1:$1,0)-MATCH($F$1,[3]enemy_skill_triggers!$1:$1,0)+1,FALSE)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4" s="42">
        <f ca="1">VLOOKUP($F84,OFFSET([3]enemy_skill_triggers!$A$1,0,0,COUNTA([3]enemy_skill_triggers!$A:$A),MATCH(L$1,[3]enemy_skill_triggers!$1:$1,0)-MATCH($F$1,[3]enemy_skill_triggers!$1:$1,0)+1),MATCH(L$1,[3]enemy_skill_triggers!$1:$1,0)-MATCH($F$1,[3]enemy_skill_triggers!$1:$1,0)+1,FALSE)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4" s="42" t="str">
        <f ca="1">VLOOKUP($F84,OFFSET([3]enemy_skill_triggers!$A$1,0,0,COUNTA([3]enemy_skill_triggers!$A:$A),MATCH(M$1,[3]enemy_skill_triggers!$1:$1,0)-MATCH($F$1,[3]enemy_skill_triggers!$1:$1,0)+1),MATCH(M$1,[3]enemy_skill_triggers!$1:$1,0)-MATCH($F$1,[3]enemy_skill_triggers!$1:$1,0)+1,FALSE)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4" s="42" t="str">
        <f ca="1">VLOOKUP($F84,OFFSET([3]enemy_skill_triggers!$A$1,0,0,COUNTA([3]enemy_skill_triggers!$A:$A),MATCH(N$1,[3]enemy_skill_triggers!$1:$1,0)-MATCH($F$1,[3]enemy_skill_triggers!$1:$1,0)+1),MATCH(N$1,[3]enemy_skill_triggers!$1:$1,0)-MATCH($F$1,[3]enemy_skill_triggers!$1:$1,0)+1,FALSE)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4" s="42">
        <f ca="1">VLOOKUP($F84,OFFSET([3]enemy_skill_triggers!$A$1,0,0,COUNTA([3]enemy_skill_triggers!$A:$A),MATCH(O$1,[3]enemy_skill_triggers!$1:$1,0)-MATCH($F$1,[3]enemy_skill_triggers!$1:$1,0)+1),MATCH(O$1,[3]enemy_skill_triggers!$1:$1,0)-MATCH($F$1,[3]enemy_skill_triggers!$1:$1,0)+1,FALSE)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4" s="41"/>
      <c r="Q84" s="41"/>
      <c r="R84" s="41"/>
    </row>
    <row r="85" spans="1:18" ht="21" customHeight="1" x14ac:dyDescent="0.15">
      <c r="A85" s="33" t="str">
        <f t="shared" si="1"/>
        <v>47013015_47013505</v>
      </c>
      <c r="B85" s="42">
        <v>47013015</v>
      </c>
      <c r="C85" s="191">
        <v>47013505</v>
      </c>
      <c r="D85" s="202" t="str">
        <f ca="1">VLOOKUP($C85,OFFSET([3]enemy_skills!$A$1,0,0,COUNTA([3]enemy_skills!$A:$A),MATCH(D$1,[3]enemy_skills!$1:$1,0)-MATCH("enemy_skill_id",[3]enemy_skills!$1:$1,0)+1),MATCH(D$1,[3]enemy_skills!$1:$1,0)-MATCH("enemy_skill_id",[3]enemy_skills!$1:$1,0)+1,FALSE)</f>
        <v>罪深き者どもよ…私が等しく裁いてやろう</v>
      </c>
      <c r="E85" s="202" t="str">
        <f ca="1">VLOOKUP($C85,OFFSET([3]enemy_skills!$A$1,0,0,COUNTA([3]enemy_skills!$A:$A),MATCH(E$1,[3]enemy_skills!$1:$1,0)-MATCH("enemy_skill_id",[3]enemy_skills!$1:$1,0)+1),MATCH(E$1,[3]enemy_skills!$1:$1,0)-MATCH("enemy_skill_id",[3]enemy_skills!$1:$1,0)+1,FALSE)</f>
        <v>緑パネルと青パネルを黄パネルに変換+_x000D_全体攻撃</v>
      </c>
      <c r="F85" s="191">
        <v>47013505</v>
      </c>
      <c r="G85" s="42">
        <f ca="1">VLOOKUP($F85,OFFSET([3]enemy_skill_triggers!$A$1,0,0,COUNTA([3]enemy_skill_triggers!$A:$A),MATCH(G$1,[3]enemy_skill_triggers!$1:$1,0)-MATCH($F$1,[3]enemy_skill_triggers!$1:$1,0)+1),MATCH(G$1,[3]enemy_skill_triggers!$1:$1,0)-MATCH($F$1,[3]enemy_skill_triggers!$1:$1,0)+1,FALSE)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5" s="42">
        <f ca="1">VLOOKUP($F85,OFFSET([3]enemy_skill_triggers!$A$1,0,0,COUNTA([3]enemy_skill_triggers!$A:$A),MATCH(H$1,[3]enemy_skill_triggers!$1:$1,0)-MATCH($F$1,[3]enemy_skill_triggers!$1:$1,0)+1),MATCH(H$1,[3]enemy_skill_triggers!$1:$1,0)-MATCH($F$1,[3]enemy_skill_triggers!$1:$1,0)+1,FALSE)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240</v>
      </c>
      <c r="I85" s="42">
        <f ca="1">VLOOKUP($F85,OFFSET([3]enemy_skill_triggers!$A$1,0,0,COUNTA([3]enemy_skill_triggers!$A:$A),MATCH(I$1,[3]enemy_skill_triggers!$1:$1,0)-MATCH($F$1,[3]enemy_skill_triggers!$1:$1,0)+1),MATCH(I$1,[3]enemy_skill_triggers!$1:$1,0)-MATCH($F$1,[3]enemy_skill_triggers!$1:$1,0)+1,FALSE)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5" s="42" t="str">
        <f ca="1">VLOOKUP($F85,OFFSET([3]enemy_skill_triggers!$A$1,0,0,COUNTA([3]enemy_skill_triggers!$A:$A),MATCH(J$1,[3]enemy_skill_triggers!$1:$1,0)-MATCH($F$1,[3]enemy_skill_triggers!$1:$1,0)+1),MATCH(J$1,[3]enemy_skill_triggers!$1:$1,0)-MATCH($F$1,[3]enemy_skill_triggers!$1:$1,0)+1,FALSE)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5" s="42" t="str">
        <f ca="1">VLOOKUP($F85,OFFSET([3]enemy_skill_triggers!$A$1,0,0,COUNTA([3]enemy_skill_triggers!$A:$A),MATCH(K$1,[3]enemy_skill_triggers!$1:$1,0)-MATCH($F$1,[3]enemy_skill_triggers!$1:$1,0)+1),MATCH(K$1,[3]enemy_skill_triggers!$1:$1,0)-MATCH($F$1,[3]enemy_skill_triggers!$1:$1,0)+1,FALSE)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5" s="42">
        <f ca="1">VLOOKUP($F85,OFFSET([3]enemy_skill_triggers!$A$1,0,0,COUNTA([3]enemy_skill_triggers!$A:$A),MATCH(L$1,[3]enemy_skill_triggers!$1:$1,0)-MATCH($F$1,[3]enemy_skill_triggers!$1:$1,0)+1),MATCH(L$1,[3]enemy_skill_triggers!$1:$1,0)-MATCH($F$1,[3]enemy_skill_triggers!$1:$1,0)+1,FALSE)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5" s="42" t="str">
        <f ca="1">VLOOKUP($F85,OFFSET([3]enemy_skill_triggers!$A$1,0,0,COUNTA([3]enemy_skill_triggers!$A:$A),MATCH(M$1,[3]enemy_skill_triggers!$1:$1,0)-MATCH($F$1,[3]enemy_skill_triggers!$1:$1,0)+1),MATCH(M$1,[3]enemy_skill_triggers!$1:$1,0)-MATCH($F$1,[3]enemy_skill_triggers!$1:$1,0)+1,FALSE)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5" s="42" t="str">
        <f ca="1">VLOOKUP($F85,OFFSET([3]enemy_skill_triggers!$A$1,0,0,COUNTA([3]enemy_skill_triggers!$A:$A),MATCH(N$1,[3]enemy_skill_triggers!$1:$1,0)-MATCH($F$1,[3]enemy_skill_triggers!$1:$1,0)+1),MATCH(N$1,[3]enemy_skill_triggers!$1:$1,0)-MATCH($F$1,[3]enemy_skill_triggers!$1:$1,0)+1,FALSE)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5" s="42">
        <f ca="1">VLOOKUP($F85,OFFSET([3]enemy_skill_triggers!$A$1,0,0,COUNTA([3]enemy_skill_triggers!$A:$A),MATCH(O$1,[3]enemy_skill_triggers!$1:$1,0)-MATCH($F$1,[3]enemy_skill_triggers!$1:$1,0)+1),MATCH(O$1,[3]enemy_skill_triggers!$1:$1,0)-MATCH($F$1,[3]enemy_skill_triggers!$1:$1,0)+1,FALSE)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5" s="41"/>
      <c r="Q85" s="41"/>
      <c r="R85" s="41"/>
    </row>
    <row r="86" spans="1:18" ht="21" customHeight="1" x14ac:dyDescent="0.15">
      <c r="A86" s="33" t="str">
        <f t="shared" si="1"/>
        <v>47013015_47013506</v>
      </c>
      <c r="B86" s="42">
        <v>47013015</v>
      </c>
      <c r="C86" s="191">
        <v>47013506</v>
      </c>
      <c r="D86" s="202" t="str">
        <f ca="1">VLOOKUP($C86,OFFSET([3]enemy_skills!$A$1,0,0,COUNTA([3]enemy_skills!$A:$A),MATCH(D$1,[3]enemy_skills!$1:$1,0)-MATCH("enemy_skill_id",[3]enemy_skills!$1:$1,0)+1),MATCH(D$1,[3]enemy_skills!$1:$1,0)-MATCH("enemy_skill_id",[3]enemy_skills!$1:$1,0)+1,FALSE)</f>
        <v>増幅する罪</v>
      </c>
      <c r="E86" s="202" t="str">
        <f ca="1">VLOOKUP($C86,OFFSET([3]enemy_skills!$A$1,0,0,COUNTA([3]enemy_skills!$A:$A),MATCH(E$1,[3]enemy_skills!$1:$1,0)-MATCH("enemy_skill_id",[3]enemy_skills!$1:$1,0)+1),MATCH(E$1,[3]enemy_skills!$1:$1,0)-MATCH("enemy_skill_id",[3]enemy_skills!$1:$1,0)+1,FALSE)</f>
        <v>Cパネル強化(効果激烈)+3回連続攻撃</v>
      </c>
      <c r="F86" s="191">
        <v>47013506</v>
      </c>
      <c r="G86" s="42">
        <f ca="1">VLOOKUP($F86,OFFSET([3]enemy_skill_triggers!$A$1,0,0,COUNTA([3]enemy_skill_triggers!$A:$A),MATCH(G$1,[3]enemy_skill_triggers!$1:$1,0)-MATCH($F$1,[3]enemy_skill_triggers!$1:$1,0)+1),MATCH(G$1,[3]enemy_skill_triggers!$1:$1,0)-MATCH($F$1,[3]enemy_skill_triggers!$1:$1,0)+1,FALSE)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6" s="42">
        <f ca="1">VLOOKUP($F86,OFFSET([3]enemy_skill_triggers!$A$1,0,0,COUNTA([3]enemy_skill_triggers!$A:$A),MATCH(H$1,[3]enemy_skill_triggers!$1:$1,0)-MATCH($F$1,[3]enemy_skill_triggers!$1:$1,0)+1),MATCH(H$1,[3]enemy_skill_triggers!$1:$1,0)-MATCH($F$1,[3]enemy_skill_triggers!$1:$1,0)+1,FALSE)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230</v>
      </c>
      <c r="I86" s="42">
        <f ca="1">VLOOKUP($F86,OFFSET([3]enemy_skill_triggers!$A$1,0,0,COUNTA([3]enemy_skill_triggers!$A:$A),MATCH(I$1,[3]enemy_skill_triggers!$1:$1,0)-MATCH($F$1,[3]enemy_skill_triggers!$1:$1,0)+1),MATCH(I$1,[3]enemy_skill_triggers!$1:$1,0)-MATCH($F$1,[3]enemy_skill_triggers!$1:$1,0)+1,FALSE)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6" s="42" t="str">
        <f ca="1">VLOOKUP($F86,OFFSET([3]enemy_skill_triggers!$A$1,0,0,COUNTA([3]enemy_skill_triggers!$A:$A),MATCH(J$1,[3]enemy_skill_triggers!$1:$1,0)-MATCH($F$1,[3]enemy_skill_triggers!$1:$1,0)+1),MATCH(J$1,[3]enemy_skill_triggers!$1:$1,0)-MATCH($F$1,[3]enemy_skill_triggers!$1:$1,0)+1,FALSE)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6" s="42" t="str">
        <f ca="1">VLOOKUP($F86,OFFSET([3]enemy_skill_triggers!$A$1,0,0,COUNTA([3]enemy_skill_triggers!$A:$A),MATCH(K$1,[3]enemy_skill_triggers!$1:$1,0)-MATCH($F$1,[3]enemy_skill_triggers!$1:$1,0)+1),MATCH(K$1,[3]enemy_skill_triggers!$1:$1,0)-MATCH($F$1,[3]enemy_skill_triggers!$1:$1,0)+1,FALSE)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6" s="42">
        <f ca="1">VLOOKUP($F86,OFFSET([3]enemy_skill_triggers!$A$1,0,0,COUNTA([3]enemy_skill_triggers!$A:$A),MATCH(L$1,[3]enemy_skill_triggers!$1:$1,0)-MATCH($F$1,[3]enemy_skill_triggers!$1:$1,0)+1),MATCH(L$1,[3]enemy_skill_triggers!$1:$1,0)-MATCH($F$1,[3]enemy_skill_triggers!$1:$1,0)+1,FALSE)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6" s="42" t="str">
        <f ca="1">VLOOKUP($F86,OFFSET([3]enemy_skill_triggers!$A$1,0,0,COUNTA([3]enemy_skill_triggers!$A:$A),MATCH(M$1,[3]enemy_skill_triggers!$1:$1,0)-MATCH($F$1,[3]enemy_skill_triggers!$1:$1,0)+1),MATCH(M$1,[3]enemy_skill_triggers!$1:$1,0)-MATCH($F$1,[3]enemy_skill_triggers!$1:$1,0)+1,FALSE)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6" s="42" t="str">
        <f ca="1">VLOOKUP($F86,OFFSET([3]enemy_skill_triggers!$A$1,0,0,COUNTA([3]enemy_skill_triggers!$A:$A),MATCH(N$1,[3]enemy_skill_triggers!$1:$1,0)-MATCH($F$1,[3]enemy_skill_triggers!$1:$1,0)+1),MATCH(N$1,[3]enemy_skill_triggers!$1:$1,0)-MATCH($F$1,[3]enemy_skill_triggers!$1:$1,0)+1,FALSE)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6" s="42">
        <f ca="1">VLOOKUP($F86,OFFSET([3]enemy_skill_triggers!$A$1,0,0,COUNTA([3]enemy_skill_triggers!$A:$A),MATCH(O$1,[3]enemy_skill_triggers!$1:$1,0)-MATCH($F$1,[3]enemy_skill_triggers!$1:$1,0)+1),MATCH(O$1,[3]enemy_skill_triggers!$1:$1,0)-MATCH($F$1,[3]enemy_skill_triggers!$1:$1,0)+1,FALSE)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6" s="41"/>
      <c r="Q86" s="41"/>
      <c r="R86" s="41"/>
    </row>
    <row r="87" spans="1:18" ht="21" customHeight="1" x14ac:dyDescent="0.15">
      <c r="A87" s="33" t="str">
        <f t="shared" si="1"/>
        <v>47013015_47013507</v>
      </c>
      <c r="B87" s="42">
        <v>47013015</v>
      </c>
      <c r="C87" s="191">
        <v>47013507</v>
      </c>
      <c r="D87" s="202" t="str">
        <f ca="1">VLOOKUP($C87,OFFSET([3]enemy_skills!$A$1,0,0,COUNTA([3]enemy_skills!$A:$A),MATCH(D$1,[3]enemy_skills!$1:$1,0)-MATCH("enemy_skill_id",[3]enemy_skills!$1:$1,0)+1),MATCH(D$1,[3]enemy_skills!$1:$1,0)-MATCH("enemy_skill_id",[3]enemy_skills!$1:$1,0)+1,FALSE)</f>
        <v>断罪の雨</v>
      </c>
      <c r="E87" s="202" t="str">
        <f ca="1">VLOOKUP($C87,OFFSET([3]enemy_skills!$A$1,0,0,COUNTA([3]enemy_skills!$A:$A),MATCH(E$1,[3]enemy_skills!$1:$1,0)-MATCH("enemy_skill_id",[3]enemy_skills!$1:$1,0)+1),MATCH(E$1,[3]enemy_skills!$1:$1,0)-MATCH("enemy_skill_id",[3]enemy_skills!$1:$1,0)+1,FALSE)</f>
        <v>Cパネルを吸収して攻撃</v>
      </c>
      <c r="F87" s="191">
        <v>47013507</v>
      </c>
      <c r="G87" s="42">
        <f ca="1">VLOOKUP($F87,OFFSET([3]enemy_skill_triggers!$A$1,0,0,COUNTA([3]enemy_skill_triggers!$A:$A),MATCH(G$1,[3]enemy_skill_triggers!$1:$1,0)-MATCH($F$1,[3]enemy_skill_triggers!$1:$1,0)+1),MATCH(G$1,[3]enemy_skill_triggers!$1:$1,0)-MATCH($F$1,[3]enemy_skill_triggers!$1:$1,0)+1,FALSE)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7" s="42">
        <f ca="1">VLOOKUP($F87,OFFSET([3]enemy_skill_triggers!$A$1,0,0,COUNTA([3]enemy_skill_triggers!$A:$A),MATCH(H$1,[3]enemy_skill_triggers!$1:$1,0)-MATCH($F$1,[3]enemy_skill_triggers!$1:$1,0)+1),MATCH(H$1,[3]enemy_skill_triggers!$1:$1,0)-MATCH($F$1,[3]enemy_skill_triggers!$1:$1,0)+1,FALSE)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220</v>
      </c>
      <c r="I87" s="42">
        <f ca="1">VLOOKUP($F87,OFFSET([3]enemy_skill_triggers!$A$1,0,0,COUNTA([3]enemy_skill_triggers!$A:$A),MATCH(I$1,[3]enemy_skill_triggers!$1:$1,0)-MATCH($F$1,[3]enemy_skill_triggers!$1:$1,0)+1),MATCH(I$1,[3]enemy_skill_triggers!$1:$1,0)-MATCH($F$1,[3]enemy_skill_triggers!$1:$1,0)+1,FALSE)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7" s="42" t="str">
        <f ca="1">VLOOKUP($F87,OFFSET([3]enemy_skill_triggers!$A$1,0,0,COUNTA([3]enemy_skill_triggers!$A:$A),MATCH(J$1,[3]enemy_skill_triggers!$1:$1,0)-MATCH($F$1,[3]enemy_skill_triggers!$1:$1,0)+1),MATCH(J$1,[3]enemy_skill_triggers!$1:$1,0)-MATCH($F$1,[3]enemy_skill_triggers!$1:$1,0)+1,FALSE)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7" s="42" t="str">
        <f ca="1">VLOOKUP($F87,OFFSET([3]enemy_skill_triggers!$A$1,0,0,COUNTA([3]enemy_skill_triggers!$A:$A),MATCH(K$1,[3]enemy_skill_triggers!$1:$1,0)-MATCH($F$1,[3]enemy_skill_triggers!$1:$1,0)+1),MATCH(K$1,[3]enemy_skill_triggers!$1:$1,0)-MATCH($F$1,[3]enemy_skill_triggers!$1:$1,0)+1,FALSE)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7" s="42">
        <f ca="1">VLOOKUP($F87,OFFSET([3]enemy_skill_triggers!$A$1,0,0,COUNTA([3]enemy_skill_triggers!$A:$A),MATCH(L$1,[3]enemy_skill_triggers!$1:$1,0)-MATCH($F$1,[3]enemy_skill_triggers!$1:$1,0)+1),MATCH(L$1,[3]enemy_skill_triggers!$1:$1,0)-MATCH($F$1,[3]enemy_skill_triggers!$1:$1,0)+1,FALSE)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7" s="42" t="str">
        <f ca="1">VLOOKUP($F87,OFFSET([3]enemy_skill_triggers!$A$1,0,0,COUNTA([3]enemy_skill_triggers!$A:$A),MATCH(M$1,[3]enemy_skill_triggers!$1:$1,0)-MATCH($F$1,[3]enemy_skill_triggers!$1:$1,0)+1),MATCH(M$1,[3]enemy_skill_triggers!$1:$1,0)-MATCH($F$1,[3]enemy_skill_triggers!$1:$1,0)+1,FALSE)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7" s="42" t="str">
        <f ca="1">VLOOKUP($F87,OFFSET([3]enemy_skill_triggers!$A$1,0,0,COUNTA([3]enemy_skill_triggers!$A:$A),MATCH(N$1,[3]enemy_skill_triggers!$1:$1,0)-MATCH($F$1,[3]enemy_skill_triggers!$1:$1,0)+1),MATCH(N$1,[3]enemy_skill_triggers!$1:$1,0)-MATCH($F$1,[3]enemy_skill_triggers!$1:$1,0)+1,FALSE)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7" s="42">
        <f ca="1">VLOOKUP($F87,OFFSET([3]enemy_skill_triggers!$A$1,0,0,COUNTA([3]enemy_skill_triggers!$A:$A),MATCH(O$1,[3]enemy_skill_triggers!$1:$1,0)-MATCH($F$1,[3]enemy_skill_triggers!$1:$1,0)+1),MATCH(O$1,[3]enemy_skill_triggers!$1:$1,0)-MATCH($F$1,[3]enemy_skill_triggers!$1:$1,0)+1,FALSE)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7" s="41"/>
      <c r="Q87" s="41"/>
      <c r="R87" s="41"/>
    </row>
    <row r="88" spans="1:18" ht="21" customHeight="1" x14ac:dyDescent="0.15">
      <c r="A88" s="33" t="str">
        <f t="shared" si="1"/>
        <v>47013015_47013528</v>
      </c>
      <c r="B88" s="42">
        <v>47013015</v>
      </c>
      <c r="C88" s="199">
        <v>47013528</v>
      </c>
      <c r="D88" s="202" t="str">
        <f ca="1">VLOOKUP($C88,OFFSET([3]enemy_skills!$A$1,0,0,COUNTA([3]enemy_skills!$A:$A),MATCH(D$1,[3]enemy_skills!$1:$1,0)-MATCH("enemy_skill_id",[3]enemy_skills!$1:$1,0)+1),MATCH(D$1,[3]enemy_skills!$1:$1,0)-MATCH("enemy_skill_id",[3]enemy_skills!$1:$1,0)+1,FALSE)</f>
        <v>たかが駒の分際で…私に勝てるとでも？</v>
      </c>
      <c r="E88" s="202" t="str">
        <f ca="1">VLOOKUP($C88,OFFSET([3]enemy_skills!$A$1,0,0,COUNTA([3]enemy_skills!$A:$A),MATCH(E$1,[3]enemy_skills!$1:$1,0)-MATCH("enemy_skill_id",[3]enemy_skills!$1:$1,0)+1),MATCH(E$1,[3]enemy_skills!$1:$1,0)-MATCH("enemy_skill_id",[3]enemy_skills!$1:$1,0)+1,FALSE)</f>
        <v>特定エリアを黄&amp;緑&amp;青のダメージパネルに変換</v>
      </c>
      <c r="F88" s="191">
        <v>47013508</v>
      </c>
      <c r="G88" s="42">
        <f ca="1">VLOOKUP($F88,OFFSET([3]enemy_skill_triggers!$A$1,0,0,COUNTA([3]enemy_skill_triggers!$A:$A),MATCH(G$1,[3]enemy_skill_triggers!$1:$1,0)-MATCH($F$1,[3]enemy_skill_triggers!$1:$1,0)+1),MATCH(G$1,[3]enemy_skill_triggers!$1:$1,0)-MATCH($F$1,[3]enemy_skill_triggers!$1:$1,0)+1,FALSE)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8" s="42">
        <f ca="1">VLOOKUP($F88,OFFSET([3]enemy_skill_triggers!$A$1,0,0,COUNTA([3]enemy_skill_triggers!$A:$A),MATCH(H$1,[3]enemy_skill_triggers!$1:$1,0)-MATCH($F$1,[3]enemy_skill_triggers!$1:$1,0)+1),MATCH(H$1,[3]enemy_skill_triggers!$1:$1,0)-MATCH($F$1,[3]enemy_skill_triggers!$1:$1,0)+1,FALSE)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210</v>
      </c>
      <c r="I88" s="42">
        <f ca="1">VLOOKUP($F88,OFFSET([3]enemy_skill_triggers!$A$1,0,0,COUNTA([3]enemy_skill_triggers!$A:$A),MATCH(I$1,[3]enemy_skill_triggers!$1:$1,0)-MATCH($F$1,[3]enemy_skill_triggers!$1:$1,0)+1),MATCH(I$1,[3]enemy_skill_triggers!$1:$1,0)-MATCH($F$1,[3]enemy_skill_triggers!$1:$1,0)+1,FALSE)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88" s="42" t="str">
        <f ca="1">VLOOKUP($F88,OFFSET([3]enemy_skill_triggers!$A$1,0,0,COUNTA([3]enemy_skill_triggers!$A:$A),MATCH(J$1,[3]enemy_skill_triggers!$1:$1,0)-MATCH($F$1,[3]enemy_skill_triggers!$1:$1,0)+1),MATCH(J$1,[3]enemy_skill_triggers!$1:$1,0)-MATCH($F$1,[3]enemy_skill_triggers!$1:$1,0)+1,FALSE)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8" s="42" t="str">
        <f ca="1">VLOOKUP($F88,OFFSET([3]enemy_skill_triggers!$A$1,0,0,COUNTA([3]enemy_skill_triggers!$A:$A),MATCH(K$1,[3]enemy_skill_triggers!$1:$1,0)-MATCH($F$1,[3]enemy_skill_triggers!$1:$1,0)+1),MATCH(K$1,[3]enemy_skill_triggers!$1:$1,0)-MATCH($F$1,[3]enemy_skill_triggers!$1:$1,0)+1,FALSE)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8" s="42">
        <f ca="1">VLOOKUP($F88,OFFSET([3]enemy_skill_triggers!$A$1,0,0,COUNTA([3]enemy_skill_triggers!$A:$A),MATCH(L$1,[3]enemy_skill_triggers!$1:$1,0)-MATCH($F$1,[3]enemy_skill_triggers!$1:$1,0)+1),MATCH(L$1,[3]enemy_skill_triggers!$1:$1,0)-MATCH($F$1,[3]enemy_skill_triggers!$1:$1,0)+1,FALSE)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88" s="42" t="str">
        <f ca="1">VLOOKUP($F88,OFFSET([3]enemy_skill_triggers!$A$1,0,0,COUNTA([3]enemy_skill_triggers!$A:$A),MATCH(M$1,[3]enemy_skill_triggers!$1:$1,0)-MATCH($F$1,[3]enemy_skill_triggers!$1:$1,0)+1),MATCH(M$1,[3]enemy_skill_triggers!$1:$1,0)-MATCH($F$1,[3]enemy_skill_triggers!$1:$1,0)+1,FALSE)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8" s="42" t="str">
        <f ca="1">VLOOKUP($F88,OFFSET([3]enemy_skill_triggers!$A$1,0,0,COUNTA([3]enemy_skill_triggers!$A:$A),MATCH(N$1,[3]enemy_skill_triggers!$1:$1,0)-MATCH($F$1,[3]enemy_skill_triggers!$1:$1,0)+1),MATCH(N$1,[3]enemy_skill_triggers!$1:$1,0)-MATCH($F$1,[3]enemy_skill_triggers!$1:$1,0)+1,FALSE)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8" s="42">
        <f ca="1">VLOOKUP($F88,OFFSET([3]enemy_skill_triggers!$A$1,0,0,COUNTA([3]enemy_skill_triggers!$A:$A),MATCH(O$1,[3]enemy_skill_triggers!$1:$1,0)-MATCH($F$1,[3]enemy_skill_triggers!$1:$1,0)+1),MATCH(O$1,[3]enemy_skill_triggers!$1:$1,0)-MATCH($F$1,[3]enemy_skill_triggers!$1:$1,0)+1,FALSE)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88" s="41"/>
      <c r="Q88" s="41"/>
      <c r="R88" s="41"/>
    </row>
    <row r="89" spans="1:18" ht="21" customHeight="1" x14ac:dyDescent="0.15">
      <c r="A89" s="33" t="str">
        <f t="shared" si="1"/>
        <v>47013015_47013509</v>
      </c>
      <c r="B89" s="42">
        <v>47013015</v>
      </c>
      <c r="C89" s="191">
        <v>47013509</v>
      </c>
      <c r="D89" s="202" t="str">
        <f ca="1">VLOOKUP($C89,OFFSET([3]enemy_skills!$A$1,0,0,COUNTA([3]enemy_skills!$A:$A),MATCH(D$1,[3]enemy_skills!$1:$1,0)-MATCH("enemy_skill_id",[3]enemy_skills!$1:$1,0)+1),MATCH(D$1,[3]enemy_skills!$1:$1,0)-MATCH("enemy_skill_id",[3]enemy_skills!$1:$1,0)+1,FALSE)</f>
        <v>増幅する罪</v>
      </c>
      <c r="E89" s="202" t="str">
        <f ca="1">VLOOKUP($C89,OFFSET([3]enemy_skills!$A$1,0,0,COUNTA([3]enemy_skills!$A:$A),MATCH(E$1,[3]enemy_skills!$1:$1,0)-MATCH("enemy_skill_id",[3]enemy_skills!$1:$1,0)+1),MATCH(E$1,[3]enemy_skills!$1:$1,0)-MATCH("enemy_skill_id",[3]enemy_skills!$1:$1,0)+1,FALSE)</f>
        <v>Cパネル強化(効果超大)+2回連続攻撃</v>
      </c>
      <c r="F89" s="191">
        <v>47013509</v>
      </c>
      <c r="G89" s="42">
        <f ca="1">VLOOKUP($F89,OFFSET([3]enemy_skill_triggers!$A$1,0,0,COUNTA([3]enemy_skill_triggers!$A:$A),MATCH(G$1,[3]enemy_skill_triggers!$1:$1,0)-MATCH($F$1,[3]enemy_skill_triggers!$1:$1,0)+1),MATCH(G$1,[3]enemy_skill_triggers!$1:$1,0)-MATCH($F$1,[3]enemy_skill_triggers!$1:$1,0)+1,FALSE)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89" s="42">
        <f ca="1">VLOOKUP($F89,OFFSET([3]enemy_skill_triggers!$A$1,0,0,COUNTA([3]enemy_skill_triggers!$A:$A),MATCH(H$1,[3]enemy_skill_triggers!$1:$1,0)-MATCH($F$1,[3]enemy_skill_triggers!$1:$1,0)+1),MATCH(H$1,[3]enemy_skill_triggers!$1:$1,0)-MATCH($F$1,[3]enemy_skill_triggers!$1:$1,0)+1,FALSE)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130</v>
      </c>
      <c r="I89" s="42">
        <f ca="1">VLOOKUP($F89,OFFSET([3]enemy_skill_triggers!$A$1,0,0,COUNTA([3]enemy_skill_triggers!$A:$A),MATCH(I$1,[3]enemy_skill_triggers!$1:$1,0)-MATCH($F$1,[3]enemy_skill_triggers!$1:$1,0)+1),MATCH(I$1,[3]enemy_skill_triggers!$1:$1,0)-MATCH($F$1,[3]enemy_skill_triggers!$1:$1,0)+1,FALSE)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37</v>
      </c>
      <c r="J89" s="42" t="str">
        <f ca="1">VLOOKUP($F89,OFFSET([3]enemy_skill_triggers!$A$1,0,0,COUNTA([3]enemy_skill_triggers!$A:$A),MATCH(J$1,[3]enemy_skill_triggers!$1:$1,0)-MATCH($F$1,[3]enemy_skill_triggers!$1:$1,0)+1),MATCH(J$1,[3]enemy_skill_triggers!$1:$1,0)-MATCH($F$1,[3]enemy_skill_triggers!$1:$1,0)+1,FALSE)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89" s="42" t="str">
        <f ca="1">VLOOKUP($F89,OFFSET([3]enemy_skill_triggers!$A$1,0,0,COUNTA([3]enemy_skill_triggers!$A:$A),MATCH(K$1,[3]enemy_skill_triggers!$1:$1,0)-MATCH($F$1,[3]enemy_skill_triggers!$1:$1,0)+1),MATCH(K$1,[3]enemy_skill_triggers!$1:$1,0)-MATCH($F$1,[3]enemy_skill_triggers!$1:$1,0)+1,FALSE)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89" s="42" t="str">
        <f ca="1">VLOOKUP($F89,OFFSET([3]enemy_skill_triggers!$A$1,0,0,COUNTA([3]enemy_skill_triggers!$A:$A),MATCH(L$1,[3]enemy_skill_triggers!$1:$1,0)-MATCH($F$1,[3]enemy_skill_triggers!$1:$1,0)+1),MATCH(L$1,[3]enemy_skill_triggers!$1:$1,0)-MATCH($F$1,[3]enemy_skill_triggers!$1:$1,0)+1,FALSE)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89" s="42" t="str">
        <f ca="1">VLOOKUP($F89,OFFSET([3]enemy_skill_triggers!$A$1,0,0,COUNTA([3]enemy_skill_triggers!$A:$A),MATCH(M$1,[3]enemy_skill_triggers!$1:$1,0)-MATCH($F$1,[3]enemy_skill_triggers!$1:$1,0)+1),MATCH(M$1,[3]enemy_skill_triggers!$1:$1,0)-MATCH($F$1,[3]enemy_skill_triggers!$1:$1,0)+1,FALSE)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89" s="42" t="str">
        <f ca="1">VLOOKUP($F89,OFFSET([3]enemy_skill_triggers!$A$1,0,0,COUNTA([3]enemy_skill_triggers!$A:$A),MATCH(N$1,[3]enemy_skill_triggers!$1:$1,0)-MATCH($F$1,[3]enemy_skill_triggers!$1:$1,0)+1),MATCH(N$1,[3]enemy_skill_triggers!$1:$1,0)-MATCH($F$1,[3]enemy_skill_triggers!$1:$1,0)+1,FALSE)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89" s="42">
        <f ca="1">VLOOKUP($F89,OFFSET([3]enemy_skill_triggers!$A$1,0,0,COUNTA([3]enemy_skill_triggers!$A:$A),MATCH(O$1,[3]enemy_skill_triggers!$1:$1,0)-MATCH($F$1,[3]enemy_skill_triggers!$1:$1,0)+1),MATCH(O$1,[3]enemy_skill_triggers!$1:$1,0)-MATCH($F$1,[3]enemy_skill_triggers!$1:$1,0)+1,FALSE)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37</v>
      </c>
      <c r="P89" s="41"/>
      <c r="Q89" s="41"/>
      <c r="R89" s="41"/>
    </row>
    <row r="90" spans="1:18" ht="21" customHeight="1" x14ac:dyDescent="0.15">
      <c r="A90" s="33" t="str">
        <f t="shared" si="1"/>
        <v>47013015_47013510</v>
      </c>
      <c r="B90" s="42">
        <v>47013015</v>
      </c>
      <c r="C90" s="191">
        <v>47013510</v>
      </c>
      <c r="D90" s="202" t="str">
        <f ca="1">VLOOKUP($C90,OFFSET([3]enemy_skills!$A$1,0,0,COUNTA([3]enemy_skills!$A:$A),MATCH(D$1,[3]enemy_skills!$1:$1,0)-MATCH("enemy_skill_id",[3]enemy_skills!$1:$1,0)+1),MATCH(D$1,[3]enemy_skills!$1:$1,0)-MATCH("enemy_skill_id",[3]enemy_skills!$1:$1,0)+1,FALSE)</f>
        <v>贖罪の雨</v>
      </c>
      <c r="E90" s="202" t="str">
        <f ca="1">VLOOKUP($C90,OFFSET([3]enemy_skills!$A$1,0,0,COUNTA([3]enemy_skills!$A:$A),MATCH(E$1,[3]enemy_skills!$1:$1,0)-MATCH("enemy_skill_id",[3]enemy_skills!$1:$1,0)+1),MATCH(E$1,[3]enemy_skills!$1:$1,0)-MATCH("enemy_skill_id",[3]enemy_skills!$1:$1,0)+1,FALSE)</f>
        <v>Cパネルを吸収して攻撃</v>
      </c>
      <c r="F90" s="191">
        <v>47013510</v>
      </c>
      <c r="G90" s="42">
        <f ca="1">VLOOKUP($F90,OFFSET([3]enemy_skill_triggers!$A$1,0,0,COUNTA([3]enemy_skill_triggers!$A:$A),MATCH(G$1,[3]enemy_skill_triggers!$1:$1,0)-MATCH($F$1,[3]enemy_skill_triggers!$1:$1,0)+1),MATCH(G$1,[3]enemy_skill_triggers!$1:$1,0)-MATCH($F$1,[3]enemy_skill_triggers!$1:$1,0)+1,FALSE)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0" s="42">
        <f ca="1">VLOOKUP($F90,OFFSET([3]enemy_skill_triggers!$A$1,0,0,COUNTA([3]enemy_skill_triggers!$A:$A),MATCH(H$1,[3]enemy_skill_triggers!$1:$1,0)-MATCH($F$1,[3]enemy_skill_triggers!$1:$1,0)+1),MATCH(H$1,[3]enemy_skill_triggers!$1:$1,0)-MATCH($F$1,[3]enemy_skill_triggers!$1:$1,0)+1,FALSE)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90" s="42">
        <f ca="1">VLOOKUP($F90,OFFSET([3]enemy_skill_triggers!$A$1,0,0,COUNTA([3]enemy_skill_triggers!$A:$A),MATCH(I$1,[3]enemy_skill_triggers!$1:$1,0)-MATCH($F$1,[3]enemy_skill_triggers!$1:$1,0)+1),MATCH(I$1,[3]enemy_skill_triggers!$1:$1,0)-MATCH($F$1,[3]enemy_skill_triggers!$1:$1,0)+1,FALSE)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45</v>
      </c>
      <c r="J90" s="42" t="str">
        <f ca="1">VLOOKUP($F90,OFFSET([3]enemy_skill_triggers!$A$1,0,0,COUNTA([3]enemy_skill_triggers!$A:$A),MATCH(J$1,[3]enemy_skill_triggers!$1:$1,0)-MATCH($F$1,[3]enemy_skill_triggers!$1:$1,0)+1),MATCH(J$1,[3]enemy_skill_triggers!$1:$1,0)-MATCH($F$1,[3]enemy_skill_triggers!$1:$1,0)+1,FALSE)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0" s="42" t="str">
        <f ca="1">VLOOKUP($F90,OFFSET([3]enemy_skill_triggers!$A$1,0,0,COUNTA([3]enemy_skill_triggers!$A:$A),MATCH(K$1,[3]enemy_skill_triggers!$1:$1,0)-MATCH($F$1,[3]enemy_skill_triggers!$1:$1,0)+1),MATCH(K$1,[3]enemy_skill_triggers!$1:$1,0)-MATCH($F$1,[3]enemy_skill_triggers!$1:$1,0)+1,FALSE)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0" s="42" t="str">
        <f ca="1">VLOOKUP($F90,OFFSET([3]enemy_skill_triggers!$A$1,0,0,COUNTA([3]enemy_skill_triggers!$A:$A),MATCH(L$1,[3]enemy_skill_triggers!$1:$1,0)-MATCH($F$1,[3]enemy_skill_triggers!$1:$1,0)+1),MATCH(L$1,[3]enemy_skill_triggers!$1:$1,0)-MATCH($F$1,[3]enemy_skill_triggers!$1:$1,0)+1,FALSE)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90" s="42" t="str">
        <f ca="1">VLOOKUP($F90,OFFSET([3]enemy_skill_triggers!$A$1,0,0,COUNTA([3]enemy_skill_triggers!$A:$A),MATCH(M$1,[3]enemy_skill_triggers!$1:$1,0)-MATCH($F$1,[3]enemy_skill_triggers!$1:$1,0)+1),MATCH(M$1,[3]enemy_skill_triggers!$1:$1,0)-MATCH($F$1,[3]enemy_skill_triggers!$1:$1,0)+1,FALSE)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90" s="42" t="str">
        <f ca="1">VLOOKUP($F90,OFFSET([3]enemy_skill_triggers!$A$1,0,0,COUNTA([3]enemy_skill_triggers!$A:$A),MATCH(N$1,[3]enemy_skill_triggers!$1:$1,0)-MATCH($F$1,[3]enemy_skill_triggers!$1:$1,0)+1),MATCH(N$1,[3]enemy_skill_triggers!$1:$1,0)-MATCH($F$1,[3]enemy_skill_triggers!$1:$1,0)+1,FALSE)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0" s="42">
        <f ca="1">VLOOKUP($F90,OFFSET([3]enemy_skill_triggers!$A$1,0,0,COUNTA([3]enemy_skill_triggers!$A:$A),MATCH(O$1,[3]enemy_skill_triggers!$1:$1,0)-MATCH($F$1,[3]enemy_skill_triggers!$1:$1,0)+1),MATCH(O$1,[3]enemy_skill_triggers!$1:$1,0)-MATCH($F$1,[3]enemy_skill_triggers!$1:$1,0)+1,FALSE)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45</v>
      </c>
      <c r="P90" s="41"/>
      <c r="Q90" s="41"/>
      <c r="R90" s="41"/>
    </row>
    <row r="91" spans="1:18" ht="21" customHeight="1" x14ac:dyDescent="0.15">
      <c r="A91" s="33" t="str">
        <f t="shared" si="1"/>
        <v>47013015_47013511</v>
      </c>
      <c r="B91" s="42">
        <v>47013015</v>
      </c>
      <c r="C91" s="191">
        <v>47013511</v>
      </c>
      <c r="D91" s="202" t="str">
        <f ca="1">VLOOKUP($C91,OFFSET([3]enemy_skills!$A$1,0,0,COUNTA([3]enemy_skills!$A:$A),MATCH(D$1,[3]enemy_skills!$1:$1,0)-MATCH("enemy_skill_id",[3]enemy_skills!$1:$1,0)+1),MATCH(D$1,[3]enemy_skills!$1:$1,0)-MATCH("enemy_skill_id",[3]enemy_skills!$1:$1,0)+1,FALSE)</f>
        <v>さあ…裁きの時間だ！</v>
      </c>
      <c r="E91" s="202" t="str">
        <f ca="1">VLOOKUP($C91,OFFSET([3]enemy_skills!$A$1,0,0,COUNTA([3]enemy_skills!$A:$A),MATCH(E$1,[3]enemy_skills!$1:$1,0)-MATCH("enemy_skill_id",[3]enemy_skills!$1:$1,0)+1),MATCH(E$1,[3]enemy_skills!$1:$1,0)-MATCH("enemy_skill_id",[3]enemy_skills!$1:$1,0)+1,FALSE)</f>
        <v>属性パネルを_x000D_マグネットパネル(緑→黄→ハート)に1個変換+_x000D_クリティカル！</v>
      </c>
      <c r="F91" s="191">
        <v>47013511</v>
      </c>
      <c r="G91" s="42">
        <f ca="1">VLOOKUP($F91,OFFSET([3]enemy_skill_triggers!$A$1,0,0,COUNTA([3]enemy_skill_triggers!$A:$A),MATCH(G$1,[3]enemy_skill_triggers!$1:$1,0)-MATCH($F$1,[3]enemy_skill_triggers!$1:$1,0)+1),MATCH(G$1,[3]enemy_skill_triggers!$1:$1,0)-MATCH($F$1,[3]enemy_skill_triggers!$1:$1,0)+1,FALSE)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1" s="42">
        <f ca="1">VLOOKUP($F91,OFFSET([3]enemy_skill_triggers!$A$1,0,0,COUNTA([3]enemy_skill_triggers!$A:$A),MATCH(H$1,[3]enemy_skill_triggers!$1:$1,0)-MATCH($F$1,[3]enemy_skill_triggers!$1:$1,0)+1),MATCH(H$1,[3]enemy_skill_triggers!$1:$1,0)-MATCH($F$1,[3]enemy_skill_triggers!$1:$1,0)+1,FALSE)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91" s="42">
        <f ca="1">VLOOKUP($F91,OFFSET([3]enemy_skill_triggers!$A$1,0,0,COUNTA([3]enemy_skill_triggers!$A:$A),MATCH(I$1,[3]enemy_skill_triggers!$1:$1,0)-MATCH($F$1,[3]enemy_skill_triggers!$1:$1,0)+1),MATCH(I$1,[3]enemy_skill_triggers!$1:$1,0)-MATCH($F$1,[3]enemy_skill_triggers!$1:$1,0)+1,FALSE)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1" s="42" t="str">
        <f ca="1">VLOOKUP($F91,OFFSET([3]enemy_skill_triggers!$A$1,0,0,COUNTA([3]enemy_skill_triggers!$A:$A),MATCH(J$1,[3]enemy_skill_triggers!$1:$1,0)-MATCH($F$1,[3]enemy_skill_triggers!$1:$1,0)+1),MATCH(J$1,[3]enemy_skill_triggers!$1:$1,0)-MATCH($F$1,[3]enemy_skill_triggers!$1:$1,0)+1,FALSE)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1" s="42" t="str">
        <f ca="1">VLOOKUP($F91,OFFSET([3]enemy_skill_triggers!$A$1,0,0,COUNTA([3]enemy_skill_triggers!$A:$A),MATCH(K$1,[3]enemy_skill_triggers!$1:$1,0)-MATCH($F$1,[3]enemy_skill_triggers!$1:$1,0)+1),MATCH(K$1,[3]enemy_skill_triggers!$1:$1,0)-MATCH($F$1,[3]enemy_skill_triggers!$1:$1,0)+1,FALSE)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1" s="42" t="str">
        <f ca="1">VLOOKUP($F91,OFFSET([3]enemy_skill_triggers!$A$1,0,0,COUNTA([3]enemy_skill_triggers!$A:$A),MATCH(L$1,[3]enemy_skill_triggers!$1:$1,0)-MATCH($F$1,[3]enemy_skill_triggers!$1:$1,0)+1),MATCH(L$1,[3]enemy_skill_triggers!$1:$1,0)-MATCH($F$1,[3]enemy_skill_triggers!$1:$1,0)+1,FALSE)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91" s="42" t="str">
        <f ca="1">VLOOKUP($F91,OFFSET([3]enemy_skill_triggers!$A$1,0,0,COUNTA([3]enemy_skill_triggers!$A:$A),MATCH(M$1,[3]enemy_skill_triggers!$1:$1,0)-MATCH($F$1,[3]enemy_skill_triggers!$1:$1,0)+1),MATCH(M$1,[3]enemy_skill_triggers!$1:$1,0)-MATCH($F$1,[3]enemy_skill_triggers!$1:$1,0)+1,FALSE)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91" s="42" t="str">
        <f ca="1">VLOOKUP($F91,OFFSET([3]enemy_skill_triggers!$A$1,0,0,COUNTA([3]enemy_skill_triggers!$A:$A),MATCH(N$1,[3]enemy_skill_triggers!$1:$1,0)-MATCH($F$1,[3]enemy_skill_triggers!$1:$1,0)+1),MATCH(N$1,[3]enemy_skill_triggers!$1:$1,0)-MATCH($F$1,[3]enemy_skill_triggers!$1:$1,0)+1,FALSE)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1" s="42">
        <f ca="1">VLOOKUP($F91,OFFSET([3]enemy_skill_triggers!$A$1,0,0,COUNTA([3]enemy_skill_triggers!$A:$A),MATCH(O$1,[3]enemy_skill_triggers!$1:$1,0)-MATCH($F$1,[3]enemy_skill_triggers!$1:$1,0)+1),MATCH(O$1,[3]enemy_skill_triggers!$1:$1,0)-MATCH($F$1,[3]enemy_skill_triggers!$1:$1,0)+1,FALSE)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1" s="41"/>
      <c r="Q91" s="41"/>
      <c r="R91" s="41"/>
    </row>
    <row r="92" spans="1:18" ht="21" customHeight="1" x14ac:dyDescent="0.15">
      <c r="A92" s="33" t="str">
        <f t="shared" si="1"/>
        <v>47013016_47013621</v>
      </c>
      <c r="B92" s="187">
        <v>47013016</v>
      </c>
      <c r="C92" s="199">
        <v>47013621</v>
      </c>
      <c r="D92" s="202" t="str">
        <f ca="1">VLOOKUP($C92,OFFSET([3]enemy_skills!$A$1,0,0,COUNTA([3]enemy_skills!$A:$A),MATCH(D$1,[3]enemy_skills!$1:$1,0)-MATCH("enemy_skill_id",[3]enemy_skills!$1:$1,0)+1),MATCH(D$1,[3]enemy_skills!$1:$1,0)-MATCH("enemy_skill_id",[3]enemy_skills!$1:$1,0)+1,FALSE)</f>
        <v>その程度か、哀れな駒どもよ！_x000D_さあ踊れ！私を失望させるな！！</v>
      </c>
      <c r="E92" s="202" t="str">
        <f ca="1">VLOOKUP($C92,OFFSET([3]enemy_skills!$A$1,0,0,COUNTA([3]enemy_skills!$A:$A),MATCH(E$1,[3]enemy_skills!$1:$1,0)-MATCH("enemy_skill_id",[3]enemy_skills!$1:$1,0)+1),MATCH(E$1,[3]enemy_skills!$1:$1,0)-MATCH("enemy_skill_id",[3]enemy_skills!$1:$1,0)+1,FALSE)</f>
        <v>状態異常耐性+_x000D_全ユニットが攻撃に参加+_x000D_回復&amp;体力タイプのユニットの_x000D_ボムの爆風を40%UP&amp;スキルゲージMAX！</v>
      </c>
      <c r="F92" s="192">
        <v>47013601</v>
      </c>
      <c r="G92" s="42">
        <f ca="1">VLOOKUP($F92,OFFSET([3]enemy_skill_triggers!$A$1,0,0,COUNTA([3]enemy_skill_triggers!$A:$A),MATCH(G$1,[3]enemy_skill_triggers!$1:$1,0)-MATCH($F$1,[3]enemy_skill_triggers!$1:$1,0)+1),MATCH(G$1,[3]enemy_skill_triggers!$1:$1,0)-MATCH($F$1,[3]enemy_skill_triggers!$1:$1,0)+1,FALSE)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1</v>
      </c>
      <c r="H92" s="42">
        <f ca="1">VLOOKUP($F92,OFFSET([3]enemy_skill_triggers!$A$1,0,0,COUNTA([3]enemy_skill_triggers!$A:$A),MATCH(H$1,[3]enemy_skill_triggers!$1:$1,0)-MATCH($F$1,[3]enemy_skill_triggers!$1:$1,0)+1),MATCH(H$1,[3]enemy_skill_triggers!$1:$1,0)-MATCH($F$1,[3]enemy_skill_triggers!$1:$1,0)+1,FALSE)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500</v>
      </c>
      <c r="I92" s="42">
        <f ca="1">VLOOKUP($F92,OFFSET([3]enemy_skill_triggers!$A$1,0,0,COUNTA([3]enemy_skill_triggers!$A:$A),MATCH(I$1,[3]enemy_skill_triggers!$1:$1,0)-MATCH($F$1,[3]enemy_skill_triggers!$1:$1,0)+1),MATCH(I$1,[3]enemy_skill_triggers!$1:$1,0)-MATCH($F$1,[3]enemy_skill_triggers!$1:$1,0)+1,FALSE)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2" s="42" t="str">
        <f ca="1">VLOOKUP($F92,OFFSET([3]enemy_skill_triggers!$A$1,0,0,COUNTA([3]enemy_skill_triggers!$A:$A),MATCH(J$1,[3]enemy_skill_triggers!$1:$1,0)-MATCH($F$1,[3]enemy_skill_triggers!$1:$1,0)+1),MATCH(J$1,[3]enemy_skill_triggers!$1:$1,0)-MATCH($F$1,[3]enemy_skill_triggers!$1:$1,0)+1,FALSE)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2" s="42" t="str">
        <f ca="1">VLOOKUP($F92,OFFSET([3]enemy_skill_triggers!$A$1,0,0,COUNTA([3]enemy_skill_triggers!$A:$A),MATCH(K$1,[3]enemy_skill_triggers!$1:$1,0)-MATCH($F$1,[3]enemy_skill_triggers!$1:$1,0)+1),MATCH(K$1,[3]enemy_skill_triggers!$1:$1,0)-MATCH($F$1,[3]enemy_skill_triggers!$1:$1,0)+1,FALSE)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2" s="42">
        <f ca="1">VLOOKUP($F92,OFFSET([3]enemy_skill_triggers!$A$1,0,0,COUNTA([3]enemy_skill_triggers!$A:$A),MATCH(L$1,[3]enemy_skill_triggers!$1:$1,0)-MATCH($F$1,[3]enemy_skill_triggers!$1:$1,0)+1),MATCH(L$1,[3]enemy_skill_triggers!$1:$1,0)-MATCH($F$1,[3]enemy_skill_triggers!$1:$1,0)+1,FALSE)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92" s="42" t="str">
        <f ca="1">VLOOKUP($F92,OFFSET([3]enemy_skill_triggers!$A$1,0,0,COUNTA([3]enemy_skill_triggers!$A:$A),MATCH(M$1,[3]enemy_skill_triggers!$1:$1,0)-MATCH($F$1,[3]enemy_skill_triggers!$1:$1,0)+1),MATCH(M$1,[3]enemy_skill_triggers!$1:$1,0)-MATCH($F$1,[3]enemy_skill_triggers!$1:$1,0)+1,FALSE)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92" s="42" t="str">
        <f ca="1">VLOOKUP($F92,OFFSET([3]enemy_skill_triggers!$A$1,0,0,COUNTA([3]enemy_skill_triggers!$A:$A),MATCH(N$1,[3]enemy_skill_triggers!$1:$1,0)-MATCH($F$1,[3]enemy_skill_triggers!$1:$1,0)+1),MATCH(N$1,[3]enemy_skill_triggers!$1:$1,0)-MATCH($F$1,[3]enemy_skill_triggers!$1:$1,0)+1,FALSE)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2" s="42">
        <f ca="1">VLOOKUP($F92,OFFSET([3]enemy_skill_triggers!$A$1,0,0,COUNTA([3]enemy_skill_triggers!$A:$A),MATCH(O$1,[3]enemy_skill_triggers!$1:$1,0)-MATCH($F$1,[3]enemy_skill_triggers!$1:$1,0)+1),MATCH(O$1,[3]enemy_skill_triggers!$1:$1,0)-MATCH($F$1,[3]enemy_skill_triggers!$1:$1,0)+1,FALSE)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2" s="41"/>
      <c r="Q92" s="41"/>
      <c r="R92" s="41"/>
    </row>
    <row r="93" spans="1:18" ht="21" customHeight="1" x14ac:dyDescent="0.15">
      <c r="A93" s="33" t="str">
        <f t="shared" si="1"/>
        <v>47013016_47013622</v>
      </c>
      <c r="B93" s="187">
        <v>47013016</v>
      </c>
      <c r="C93" s="199">
        <v>47013622</v>
      </c>
      <c r="D93" s="202" t="str">
        <f ca="1">VLOOKUP($C93,OFFSET([3]enemy_skills!$A$1,0,0,COUNTA([3]enemy_skills!$A:$A),MATCH(D$1,[3]enemy_skills!$1:$1,0)-MATCH("enemy_skill_id",[3]enemy_skills!$1:$1,0)+1),MATCH(D$1,[3]enemy_skills!$1:$1,0)-MATCH("enemy_skill_id",[3]enemy_skills!$1:$1,0)+1,FALSE)</f>
        <v>この私が直々に相手をしてやっているのだ_x000D_光栄に思え！</v>
      </c>
      <c r="E93" s="202" t="str">
        <f ca="1">VLOOKUP($C93,OFFSET([3]enemy_skills!$A$1,0,0,COUNTA([3]enemy_skills!$A:$A),MATCH(E$1,[3]enemy_skills!$1:$1,0)-MATCH("enemy_skill_id",[3]enemy_skills!$1:$1,0)+1),MATCH(E$1,[3]enemy_skills!$1:$1,0)-MATCH("enemy_skill_id",[3]enemy_skills!$1:$1,0)+1,FALSE)</f>
        <v>4ターン高確率で_x000D_黄パネルがお邪魔パネルとしてドロップ+_x000D_特定エリアを緑ボムパネルに変換</v>
      </c>
      <c r="F93" s="192">
        <v>47013602</v>
      </c>
      <c r="G93" s="42">
        <f ca="1">VLOOKUP($F93,OFFSET([3]enemy_skill_triggers!$A$1,0,0,COUNTA([3]enemy_skill_triggers!$A:$A),MATCH(G$1,[3]enemy_skill_triggers!$1:$1,0)-MATCH($F$1,[3]enemy_skill_triggers!$1:$1,0)+1),MATCH(G$1,[3]enemy_skill_triggers!$1:$1,0)-MATCH($F$1,[3]enemy_skill_triggers!$1:$1,0)+1,FALSE)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3" s="42">
        <f ca="1">VLOOKUP($F93,OFFSET([3]enemy_skill_triggers!$A$1,0,0,COUNTA([3]enemy_skill_triggers!$A:$A),MATCH(H$1,[3]enemy_skill_triggers!$1:$1,0)-MATCH($F$1,[3]enemy_skill_triggers!$1:$1,0)+1),MATCH(H$1,[3]enemy_skill_triggers!$1:$1,0)-MATCH($F$1,[3]enemy_skill_triggers!$1:$1,0)+1,FALSE)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120</v>
      </c>
      <c r="I93" s="42">
        <f ca="1">VLOOKUP($F93,OFFSET([3]enemy_skill_triggers!$A$1,0,0,COUNTA([3]enemy_skill_triggers!$A:$A),MATCH(I$1,[3]enemy_skill_triggers!$1:$1,0)-MATCH($F$1,[3]enemy_skill_triggers!$1:$1,0)+1),MATCH(I$1,[3]enemy_skill_triggers!$1:$1,0)-MATCH($F$1,[3]enemy_skill_triggers!$1:$1,0)+1,FALSE)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3" s="42" t="str">
        <f ca="1">VLOOKUP($F93,OFFSET([3]enemy_skill_triggers!$A$1,0,0,COUNTA([3]enemy_skill_triggers!$A:$A),MATCH(J$1,[3]enemy_skill_triggers!$1:$1,0)-MATCH($F$1,[3]enemy_skill_triggers!$1:$1,0)+1),MATCH(J$1,[3]enemy_skill_triggers!$1:$1,0)-MATCH($F$1,[3]enemy_skill_triggers!$1:$1,0)+1,FALSE)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3" s="42" t="str">
        <f ca="1">VLOOKUP($F93,OFFSET([3]enemy_skill_triggers!$A$1,0,0,COUNTA([3]enemy_skill_triggers!$A:$A),MATCH(K$1,[3]enemy_skill_triggers!$1:$1,0)-MATCH($F$1,[3]enemy_skill_triggers!$1:$1,0)+1),MATCH(K$1,[3]enemy_skill_triggers!$1:$1,0)-MATCH($F$1,[3]enemy_skill_triggers!$1:$1,0)+1,FALSE)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3" s="42">
        <f ca="1">VLOOKUP($F93,OFFSET([3]enemy_skill_triggers!$A$1,0,0,COUNTA([3]enemy_skill_triggers!$A:$A),MATCH(L$1,[3]enemy_skill_triggers!$1:$1,0)-MATCH($F$1,[3]enemy_skill_triggers!$1:$1,0)+1),MATCH(L$1,[3]enemy_skill_triggers!$1:$1,0)-MATCH($F$1,[3]enemy_skill_triggers!$1:$1,0)+1,FALSE)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1</v>
      </c>
      <c r="M93" s="42">
        <f ca="1">VLOOKUP($F93,OFFSET([3]enemy_skill_triggers!$A$1,0,0,COUNTA([3]enemy_skill_triggers!$A:$A),MATCH(M$1,[3]enemy_skill_triggers!$1:$1,0)-MATCH($F$1,[3]enemy_skill_triggers!$1:$1,0)+1),MATCH(M$1,[3]enemy_skill_triggers!$1:$1,0)-MATCH($F$1,[3]enemy_skill_triggers!$1:$1,0)+1,FALSE)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93" s="42" t="str">
        <f ca="1">VLOOKUP($F93,OFFSET([3]enemy_skill_triggers!$A$1,0,0,COUNTA([3]enemy_skill_triggers!$A:$A),MATCH(N$1,[3]enemy_skill_triggers!$1:$1,0)-MATCH($F$1,[3]enemy_skill_triggers!$1:$1,0)+1),MATCH(N$1,[3]enemy_skill_triggers!$1:$1,0)-MATCH($F$1,[3]enemy_skill_triggers!$1:$1,0)+1,FALSE)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3" s="42">
        <f ca="1">VLOOKUP($F93,OFFSET([3]enemy_skill_triggers!$A$1,0,0,COUNTA([3]enemy_skill_triggers!$A:$A),MATCH(O$1,[3]enemy_skill_triggers!$1:$1,0)-MATCH($F$1,[3]enemy_skill_triggers!$1:$1,0)+1),MATCH(O$1,[3]enemy_skill_triggers!$1:$1,0)-MATCH($F$1,[3]enemy_skill_triggers!$1:$1,0)+1,FALSE)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3" s="41"/>
      <c r="Q93" s="41"/>
      <c r="R93" s="41"/>
    </row>
    <row r="94" spans="1:18" ht="21" customHeight="1" x14ac:dyDescent="0.15">
      <c r="A94" s="33" t="str">
        <f t="shared" si="1"/>
        <v>47013016_47013603</v>
      </c>
      <c r="B94" s="187">
        <v>47013016</v>
      </c>
      <c r="C94" s="192">
        <v>47013603</v>
      </c>
      <c r="D94" s="202" t="str">
        <f ca="1">VLOOKUP($C94,OFFSET([3]enemy_skills!$A$1,0,0,COUNTA([3]enemy_skills!$A:$A),MATCH(D$1,[3]enemy_skills!$1:$1,0)-MATCH("enemy_skill_id",[3]enemy_skills!$1:$1,0)+1),MATCH(D$1,[3]enemy_skills!$1:$1,0)-MATCH("enemy_skill_id",[3]enemy_skills!$1:$1,0)+1,FALSE)</f>
        <v>おのれ…駒の分際で…_x000D_よくも私に傷を…ッ！</v>
      </c>
      <c r="E94" s="202" t="str">
        <f ca="1">VLOOKUP($C94,OFFSET([3]enemy_skills!$A$1,0,0,COUNTA([3]enemy_skills!$A:$A),MATCH(E$1,[3]enemy_skills!$1:$1,0)-MATCH("enemy_skill_id",[3]enemy_skills!$1:$1,0)+1),MATCH(E$1,[3]enemy_skills!$1:$1,0)-MATCH("enemy_skill_id",[3]enemy_skills!$1:$1,0)+1,FALSE)</f>
        <v>特定エリアを緑ボムパネルに変換+_x000D_全体攻撃</v>
      </c>
      <c r="F94" s="192">
        <v>47013603</v>
      </c>
      <c r="G94" s="42">
        <f ca="1">VLOOKUP($F94,OFFSET([3]enemy_skill_triggers!$A$1,0,0,COUNTA([3]enemy_skill_triggers!$A:$A),MATCH(G$1,[3]enemy_skill_triggers!$1:$1,0)-MATCH($F$1,[3]enemy_skill_triggers!$1:$1,0)+1),MATCH(G$1,[3]enemy_skill_triggers!$1:$1,0)-MATCH($F$1,[3]enemy_skill_triggers!$1:$1,0)+1,FALSE)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4" s="42">
        <f ca="1">VLOOKUP($F94,OFFSET([3]enemy_skill_triggers!$A$1,0,0,COUNTA([3]enemy_skill_triggers!$A:$A),MATCH(H$1,[3]enemy_skill_triggers!$1:$1,0)-MATCH($F$1,[3]enemy_skill_triggers!$1:$1,0)+1),MATCH(H$1,[3]enemy_skill_triggers!$1:$1,0)-MATCH($F$1,[3]enemy_skill_triggers!$1:$1,0)+1,FALSE)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110</v>
      </c>
      <c r="I94" s="42">
        <f ca="1">VLOOKUP($F94,OFFSET([3]enemy_skill_triggers!$A$1,0,0,COUNTA([3]enemy_skill_triggers!$A:$A),MATCH(I$1,[3]enemy_skill_triggers!$1:$1,0)-MATCH($F$1,[3]enemy_skill_triggers!$1:$1,0)+1),MATCH(I$1,[3]enemy_skill_triggers!$1:$1,0)-MATCH($F$1,[3]enemy_skill_triggers!$1:$1,0)+1,FALSE)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4" s="42" t="str">
        <f ca="1">VLOOKUP($F94,OFFSET([3]enemy_skill_triggers!$A$1,0,0,COUNTA([3]enemy_skill_triggers!$A:$A),MATCH(J$1,[3]enemy_skill_triggers!$1:$1,0)-MATCH($F$1,[3]enemy_skill_triggers!$1:$1,0)+1),MATCH(J$1,[3]enemy_skill_triggers!$1:$1,0)-MATCH($F$1,[3]enemy_skill_triggers!$1:$1,0)+1,FALSE)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4" s="42" t="str">
        <f ca="1">VLOOKUP($F94,OFFSET([3]enemy_skill_triggers!$A$1,0,0,COUNTA([3]enemy_skill_triggers!$A:$A),MATCH(K$1,[3]enemy_skill_triggers!$1:$1,0)-MATCH($F$1,[3]enemy_skill_triggers!$1:$1,0)+1),MATCH(K$1,[3]enemy_skill_triggers!$1:$1,0)-MATCH($F$1,[3]enemy_skill_triggers!$1:$1,0)+1,FALSE)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4" s="42" t="str">
        <f ca="1">VLOOKUP($F94,OFFSET([3]enemy_skill_triggers!$A$1,0,0,COUNTA([3]enemy_skill_triggers!$A:$A),MATCH(L$1,[3]enemy_skill_triggers!$1:$1,0)-MATCH($F$1,[3]enemy_skill_triggers!$1:$1,0)+1),MATCH(L$1,[3]enemy_skill_triggers!$1:$1,0)-MATCH($F$1,[3]enemy_skill_triggers!$1:$1,0)+1,FALSE)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94" s="42">
        <f ca="1">VLOOKUP($F94,OFFSET([3]enemy_skill_triggers!$A$1,0,0,COUNTA([3]enemy_skill_triggers!$A:$A),MATCH(M$1,[3]enemy_skill_triggers!$1:$1,0)-MATCH($F$1,[3]enemy_skill_triggers!$1:$1,0)+1),MATCH(M$1,[3]enemy_skill_triggers!$1:$1,0)-MATCH($F$1,[3]enemy_skill_triggers!$1:$1,0)+1,FALSE)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1</v>
      </c>
      <c r="N94" s="42" t="str">
        <f ca="1">VLOOKUP($F94,OFFSET([3]enemy_skill_triggers!$A$1,0,0,COUNTA([3]enemy_skill_triggers!$A:$A),MATCH(N$1,[3]enemy_skill_triggers!$1:$1,0)-MATCH($F$1,[3]enemy_skill_triggers!$1:$1,0)+1),MATCH(N$1,[3]enemy_skill_triggers!$1:$1,0)-MATCH($F$1,[3]enemy_skill_triggers!$1:$1,0)+1,FALSE)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4" s="42">
        <f ca="1">VLOOKUP($F94,OFFSET([3]enemy_skill_triggers!$A$1,0,0,COUNTA([3]enemy_skill_triggers!$A:$A),MATCH(O$1,[3]enemy_skill_triggers!$1:$1,0)-MATCH($F$1,[3]enemy_skill_triggers!$1:$1,0)+1),MATCH(O$1,[3]enemy_skill_triggers!$1:$1,0)-MATCH($F$1,[3]enemy_skill_triggers!$1:$1,0)+1,FALSE)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4" s="41"/>
      <c r="Q94" s="41"/>
      <c r="R94" s="41"/>
    </row>
    <row r="95" spans="1:18" ht="21" customHeight="1" x14ac:dyDescent="0.15">
      <c r="A95" s="33" t="str">
        <f t="shared" si="1"/>
        <v>47013016_47013604</v>
      </c>
      <c r="B95" s="187">
        <v>47013016</v>
      </c>
      <c r="C95" s="192">
        <v>47013604</v>
      </c>
      <c r="D95" s="202" t="str">
        <f ca="1">VLOOKUP($C95,OFFSET([3]enemy_skills!$A$1,0,0,COUNTA([3]enemy_skills!$A:$A),MATCH(D$1,[3]enemy_skills!$1:$1,0)-MATCH("enemy_skill_id",[3]enemy_skills!$1:$1,0)+1),MATCH(D$1,[3]enemy_skills!$1:$1,0)-MATCH("enemy_skill_id",[3]enemy_skills!$1:$1,0)+1,FALSE)</f>
        <v>敗北は貴様らにこそふさわしい</v>
      </c>
      <c r="E95" s="202" t="str">
        <f ca="1">VLOOKUP($C95,OFFSET([3]enemy_skills!$A$1,0,0,COUNTA([3]enemy_skills!$A:$A),MATCH(E$1,[3]enemy_skills!$1:$1,0)-MATCH("enemy_skill_id",[3]enemy_skills!$1:$1,0)+1),MATCH(E$1,[3]enemy_skills!$1:$1,0)-MATCH("enemy_skill_id",[3]enemy_skills!$1:$1,0)+1,FALSE)</f>
        <v>黄パネルと青パネルを緑パネルに変換+_x000D_全体攻撃</v>
      </c>
      <c r="F95" s="192">
        <v>47013604</v>
      </c>
      <c r="G95" s="42">
        <f ca="1">VLOOKUP($F95,OFFSET([3]enemy_skill_triggers!$A$1,0,0,COUNTA([3]enemy_skill_triggers!$A:$A),MATCH(G$1,[3]enemy_skill_triggers!$1:$1,0)-MATCH($F$1,[3]enemy_skill_triggers!$1:$1,0)+1),MATCH(G$1,[3]enemy_skill_triggers!$1:$1,0)-MATCH($F$1,[3]enemy_skill_triggers!$1:$1,0)+1,FALSE)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5" s="42">
        <f ca="1">VLOOKUP($F95,OFFSET([3]enemy_skill_triggers!$A$1,0,0,COUNTA([3]enemy_skill_triggers!$A:$A),MATCH(H$1,[3]enemy_skill_triggers!$1:$1,0)-MATCH($F$1,[3]enemy_skill_triggers!$1:$1,0)+1),MATCH(H$1,[3]enemy_skill_triggers!$1:$1,0)-MATCH($F$1,[3]enemy_skill_triggers!$1:$1,0)+1,FALSE)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140</v>
      </c>
      <c r="I95" s="42">
        <f ca="1">VLOOKUP($F95,OFFSET([3]enemy_skill_triggers!$A$1,0,0,COUNTA([3]enemy_skill_triggers!$A:$A),MATCH(I$1,[3]enemy_skill_triggers!$1:$1,0)-MATCH($F$1,[3]enemy_skill_triggers!$1:$1,0)+1),MATCH(I$1,[3]enemy_skill_triggers!$1:$1,0)-MATCH($F$1,[3]enemy_skill_triggers!$1:$1,0)+1,FALSE)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5" s="42" t="str">
        <f ca="1">VLOOKUP($F95,OFFSET([3]enemy_skill_triggers!$A$1,0,0,COUNTA([3]enemy_skill_triggers!$A:$A),MATCH(J$1,[3]enemy_skill_triggers!$1:$1,0)-MATCH($F$1,[3]enemy_skill_triggers!$1:$1,0)+1),MATCH(J$1,[3]enemy_skill_triggers!$1:$1,0)-MATCH($F$1,[3]enemy_skill_triggers!$1:$1,0)+1,FALSE)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5" s="42" t="str">
        <f ca="1">VLOOKUP($F95,OFFSET([3]enemy_skill_triggers!$A$1,0,0,COUNTA([3]enemy_skill_triggers!$A:$A),MATCH(K$1,[3]enemy_skill_triggers!$1:$1,0)-MATCH($F$1,[3]enemy_skill_triggers!$1:$1,0)+1),MATCH(K$1,[3]enemy_skill_triggers!$1:$1,0)-MATCH($F$1,[3]enemy_skill_triggers!$1:$1,0)+1,FALSE)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5" s="42" t="str">
        <f ca="1">VLOOKUP($F95,OFFSET([3]enemy_skill_triggers!$A$1,0,0,COUNTA([3]enemy_skill_triggers!$A:$A),MATCH(L$1,[3]enemy_skill_triggers!$1:$1,0)-MATCH($F$1,[3]enemy_skill_triggers!$1:$1,0)+1),MATCH(L$1,[3]enemy_skill_triggers!$1:$1,0)-MATCH($F$1,[3]enemy_skill_triggers!$1:$1,0)+1,FALSE)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95" s="42">
        <f ca="1">VLOOKUP($F95,OFFSET([3]enemy_skill_triggers!$A$1,0,0,COUNTA([3]enemy_skill_triggers!$A:$A),MATCH(M$1,[3]enemy_skill_triggers!$1:$1,0)-MATCH($F$1,[3]enemy_skill_triggers!$1:$1,0)+1),MATCH(M$1,[3]enemy_skill_triggers!$1:$1,0)-MATCH($F$1,[3]enemy_skill_triggers!$1:$1,0)+1,FALSE)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2</v>
      </c>
      <c r="N95" s="42" t="str">
        <f ca="1">VLOOKUP($F95,OFFSET([3]enemy_skill_triggers!$A$1,0,0,COUNTA([3]enemy_skill_triggers!$A:$A),MATCH(N$1,[3]enemy_skill_triggers!$1:$1,0)-MATCH($F$1,[3]enemy_skill_triggers!$1:$1,0)+1),MATCH(N$1,[3]enemy_skill_triggers!$1:$1,0)-MATCH($F$1,[3]enemy_skill_triggers!$1:$1,0)+1,FALSE)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5" s="42">
        <f ca="1">VLOOKUP($F95,OFFSET([3]enemy_skill_triggers!$A$1,0,0,COUNTA([3]enemy_skill_triggers!$A:$A),MATCH(O$1,[3]enemy_skill_triggers!$1:$1,0)-MATCH($F$1,[3]enemy_skill_triggers!$1:$1,0)+1),MATCH(O$1,[3]enemy_skill_triggers!$1:$1,0)-MATCH($F$1,[3]enemy_skill_triggers!$1:$1,0)+1,FALSE)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5" s="41"/>
      <c r="Q95" s="41"/>
      <c r="R95" s="41"/>
    </row>
    <row r="96" spans="1:18" ht="21" customHeight="1" x14ac:dyDescent="0.15">
      <c r="A96" s="33" t="str">
        <f t="shared" si="1"/>
        <v>47013016_47013605</v>
      </c>
      <c r="B96" s="187">
        <v>47013016</v>
      </c>
      <c r="C96" s="192">
        <v>47013605</v>
      </c>
      <c r="D96" s="202" t="str">
        <f ca="1">VLOOKUP($C96,OFFSET([3]enemy_skills!$A$1,0,0,COUNTA([3]enemy_skills!$A:$A),MATCH(D$1,[3]enemy_skills!$1:$1,0)-MATCH("enemy_skill_id",[3]enemy_skills!$1:$1,0)+1),MATCH(D$1,[3]enemy_skills!$1:$1,0)-MATCH("enemy_skill_id",[3]enemy_skills!$1:$1,0)+1,FALSE)</f>
        <v>さあ、私の力の前にひれ伏せ！跪け！</v>
      </c>
      <c r="E96" s="202" t="str">
        <f ca="1">VLOOKUP($C96,OFFSET([3]enemy_skills!$A$1,0,0,COUNTA([3]enemy_skills!$A:$A),MATCH(E$1,[3]enemy_skills!$1:$1,0)-MATCH("enemy_skill_id",[3]enemy_skills!$1:$1,0)+1),MATCH(E$1,[3]enemy_skills!$1:$1,0)-MATCH("enemy_skill_id",[3]enemy_skills!$1:$1,0)+1,FALSE)</f>
        <v>属性パネルを赤&amp;黄&amp;青ボムパネルに1個ずつ変換+_x000D_属性パネルをCBPに3個変換+_x000D_3回連続攻撃</v>
      </c>
      <c r="F96" s="192">
        <v>47013605</v>
      </c>
      <c r="G96" s="42">
        <f ca="1">VLOOKUP($F96,OFFSET([3]enemy_skill_triggers!$A$1,0,0,COUNTA([3]enemy_skill_triggers!$A:$A),MATCH(G$1,[3]enemy_skill_triggers!$1:$1,0)-MATCH($F$1,[3]enemy_skill_triggers!$1:$1,0)+1),MATCH(G$1,[3]enemy_skill_triggers!$1:$1,0)-MATCH($F$1,[3]enemy_skill_triggers!$1:$1,0)+1,FALSE)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6" s="42">
        <f ca="1">VLOOKUP($F96,OFFSET([3]enemy_skill_triggers!$A$1,0,0,COUNTA([3]enemy_skill_triggers!$A:$A),MATCH(H$1,[3]enemy_skill_triggers!$1:$1,0)-MATCH($F$1,[3]enemy_skill_triggers!$1:$1,0)+1),MATCH(H$1,[3]enemy_skill_triggers!$1:$1,0)-MATCH($F$1,[3]enemy_skill_triggers!$1:$1,0)+1,FALSE)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150</v>
      </c>
      <c r="I96" s="42">
        <f ca="1">VLOOKUP($F96,OFFSET([3]enemy_skill_triggers!$A$1,0,0,COUNTA([3]enemy_skill_triggers!$A:$A),MATCH(I$1,[3]enemy_skill_triggers!$1:$1,0)-MATCH($F$1,[3]enemy_skill_triggers!$1:$1,0)+1),MATCH(I$1,[3]enemy_skill_triggers!$1:$1,0)-MATCH($F$1,[3]enemy_skill_triggers!$1:$1,0)+1,FALSE)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6" s="42" t="str">
        <f ca="1">VLOOKUP($F96,OFFSET([3]enemy_skill_triggers!$A$1,0,0,COUNTA([3]enemy_skill_triggers!$A:$A),MATCH(J$1,[3]enemy_skill_triggers!$1:$1,0)-MATCH($F$1,[3]enemy_skill_triggers!$1:$1,0)+1),MATCH(J$1,[3]enemy_skill_triggers!$1:$1,0)-MATCH($F$1,[3]enemy_skill_triggers!$1:$1,0)+1,FALSE)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6" s="42" t="str">
        <f ca="1">VLOOKUP($F96,OFFSET([3]enemy_skill_triggers!$A$1,0,0,COUNTA([3]enemy_skill_triggers!$A:$A),MATCH(K$1,[3]enemy_skill_triggers!$1:$1,0)-MATCH($F$1,[3]enemy_skill_triggers!$1:$1,0)+1),MATCH(K$1,[3]enemy_skill_triggers!$1:$1,0)-MATCH($F$1,[3]enemy_skill_triggers!$1:$1,0)+1,FALSE)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6" s="42" t="str">
        <f ca="1">VLOOKUP($F96,OFFSET([3]enemy_skill_triggers!$A$1,0,0,COUNTA([3]enemy_skill_triggers!$A:$A),MATCH(L$1,[3]enemy_skill_triggers!$1:$1,0)-MATCH($F$1,[3]enemy_skill_triggers!$1:$1,0)+1),MATCH(L$1,[3]enemy_skill_triggers!$1:$1,0)-MATCH($F$1,[3]enemy_skill_triggers!$1:$1,0)+1,FALSE)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96" s="42">
        <f ca="1">VLOOKUP($F96,OFFSET([3]enemy_skill_triggers!$A$1,0,0,COUNTA([3]enemy_skill_triggers!$A:$A),MATCH(M$1,[3]enemy_skill_triggers!$1:$1,0)-MATCH($F$1,[3]enemy_skill_triggers!$1:$1,0)+1),MATCH(M$1,[3]enemy_skill_triggers!$1:$1,0)-MATCH($F$1,[3]enemy_skill_triggers!$1:$1,0)+1,FALSE)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3</v>
      </c>
      <c r="N96" s="42" t="str">
        <f ca="1">VLOOKUP($F96,OFFSET([3]enemy_skill_triggers!$A$1,0,0,COUNTA([3]enemy_skill_triggers!$A:$A),MATCH(N$1,[3]enemy_skill_triggers!$1:$1,0)-MATCH($F$1,[3]enemy_skill_triggers!$1:$1,0)+1),MATCH(N$1,[3]enemy_skill_triggers!$1:$1,0)-MATCH($F$1,[3]enemy_skill_triggers!$1:$1,0)+1,FALSE)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6" s="42">
        <f ca="1">VLOOKUP($F96,OFFSET([3]enemy_skill_triggers!$A$1,0,0,COUNTA([3]enemy_skill_triggers!$A:$A),MATCH(O$1,[3]enemy_skill_triggers!$1:$1,0)-MATCH($F$1,[3]enemy_skill_triggers!$1:$1,0)+1),MATCH(O$1,[3]enemy_skill_triggers!$1:$1,0)-MATCH($F$1,[3]enemy_skill_triggers!$1:$1,0)+1,FALSE)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6" s="41"/>
      <c r="Q96" s="41"/>
      <c r="R96" s="41"/>
    </row>
    <row r="97" spans="1:18" ht="21" customHeight="1" x14ac:dyDescent="0.15">
      <c r="A97" s="33" t="str">
        <f t="shared" si="1"/>
        <v>47013016_47013606</v>
      </c>
      <c r="B97" s="187">
        <v>47013016</v>
      </c>
      <c r="C97" s="192">
        <v>47013606</v>
      </c>
      <c r="D97" s="202" t="str">
        <f ca="1">VLOOKUP($C97,OFFSET([3]enemy_skills!$A$1,0,0,COUNTA([3]enemy_skills!$A:$A),MATCH(D$1,[3]enemy_skills!$1:$1,0)-MATCH("enemy_skill_id",[3]enemy_skills!$1:$1,0)+1),MATCH(D$1,[3]enemy_skills!$1:$1,0)-MATCH("enemy_skill_id",[3]enemy_skills!$1:$1,0)+1,FALSE)</f>
        <v>泣け！叫べ！踊り狂え！</v>
      </c>
      <c r="E97" s="202" t="str">
        <f ca="1">VLOOKUP($C97,OFFSET([3]enemy_skills!$A$1,0,0,COUNTA([3]enemy_skills!$A:$A),MATCH(E$1,[3]enemy_skills!$1:$1,0)-MATCH("enemy_skill_id",[3]enemy_skills!$1:$1,0)+1),MATCH(E$1,[3]enemy_skills!$1:$1,0)-MATCH("enemy_skill_id",[3]enemy_skills!$1:$1,0)+1,FALSE)</f>
        <v>黄パネルと青パネルを緑パネルに変換+_x000D_全体攻撃</v>
      </c>
      <c r="F97" s="192">
        <v>47013606</v>
      </c>
      <c r="G97" s="42">
        <f ca="1">VLOOKUP($F97,OFFSET([3]enemy_skill_triggers!$A$1,0,0,COUNTA([3]enemy_skill_triggers!$A:$A),MATCH(G$1,[3]enemy_skill_triggers!$1:$1,0)-MATCH($F$1,[3]enemy_skill_triggers!$1:$1,0)+1),MATCH(G$1,[3]enemy_skill_triggers!$1:$1,0)-MATCH($F$1,[3]enemy_skill_triggers!$1:$1,0)+1,FALSE)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7" s="42">
        <f ca="1">VLOOKUP($F97,OFFSET([3]enemy_skill_triggers!$A$1,0,0,COUNTA([3]enemy_skill_triggers!$A:$A),MATCH(H$1,[3]enemy_skill_triggers!$1:$1,0)-MATCH($F$1,[3]enemy_skill_triggers!$1:$1,0)+1),MATCH(H$1,[3]enemy_skill_triggers!$1:$1,0)-MATCH($F$1,[3]enemy_skill_triggers!$1:$1,0)+1,FALSE)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160</v>
      </c>
      <c r="I97" s="42">
        <f ca="1">VLOOKUP($F97,OFFSET([3]enemy_skill_triggers!$A$1,0,0,COUNTA([3]enemy_skill_triggers!$A:$A),MATCH(I$1,[3]enemy_skill_triggers!$1:$1,0)-MATCH($F$1,[3]enemy_skill_triggers!$1:$1,0)+1),MATCH(I$1,[3]enemy_skill_triggers!$1:$1,0)-MATCH($F$1,[3]enemy_skill_triggers!$1:$1,0)+1,FALSE)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7" s="42" t="str">
        <f ca="1">VLOOKUP($F97,OFFSET([3]enemy_skill_triggers!$A$1,0,0,COUNTA([3]enemy_skill_triggers!$A:$A),MATCH(J$1,[3]enemy_skill_triggers!$1:$1,0)-MATCH($F$1,[3]enemy_skill_triggers!$1:$1,0)+1),MATCH(J$1,[3]enemy_skill_triggers!$1:$1,0)-MATCH($F$1,[3]enemy_skill_triggers!$1:$1,0)+1,FALSE)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7" s="42" t="str">
        <f ca="1">VLOOKUP($F97,OFFSET([3]enemy_skill_triggers!$A$1,0,0,COUNTA([3]enemy_skill_triggers!$A:$A),MATCH(K$1,[3]enemy_skill_triggers!$1:$1,0)-MATCH($F$1,[3]enemy_skill_triggers!$1:$1,0)+1),MATCH(K$1,[3]enemy_skill_triggers!$1:$1,0)-MATCH($F$1,[3]enemy_skill_triggers!$1:$1,0)+1,FALSE)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7" s="42" t="str">
        <f ca="1">VLOOKUP($F97,OFFSET([3]enemy_skill_triggers!$A$1,0,0,COUNTA([3]enemy_skill_triggers!$A:$A),MATCH(L$1,[3]enemy_skill_triggers!$1:$1,0)-MATCH($F$1,[3]enemy_skill_triggers!$1:$1,0)+1),MATCH(L$1,[3]enemy_skill_triggers!$1:$1,0)-MATCH($F$1,[3]enemy_skill_triggers!$1:$1,0)+1,FALSE)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97" s="42">
        <f ca="1">VLOOKUP($F97,OFFSET([3]enemy_skill_triggers!$A$1,0,0,COUNTA([3]enemy_skill_triggers!$A:$A),MATCH(M$1,[3]enemy_skill_triggers!$1:$1,0)-MATCH($F$1,[3]enemy_skill_triggers!$1:$1,0)+1),MATCH(M$1,[3]enemy_skill_triggers!$1:$1,0)-MATCH($F$1,[3]enemy_skill_triggers!$1:$1,0)+1,FALSE)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4</v>
      </c>
      <c r="N97" s="42" t="str">
        <f ca="1">VLOOKUP($F97,OFFSET([3]enemy_skill_triggers!$A$1,0,0,COUNTA([3]enemy_skill_triggers!$A:$A),MATCH(N$1,[3]enemy_skill_triggers!$1:$1,0)-MATCH($F$1,[3]enemy_skill_triggers!$1:$1,0)+1),MATCH(N$1,[3]enemy_skill_triggers!$1:$1,0)-MATCH($F$1,[3]enemy_skill_triggers!$1:$1,0)+1,FALSE)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7" s="42">
        <f ca="1">VLOOKUP($F97,OFFSET([3]enemy_skill_triggers!$A$1,0,0,COUNTA([3]enemy_skill_triggers!$A:$A),MATCH(O$1,[3]enemy_skill_triggers!$1:$1,0)-MATCH($F$1,[3]enemy_skill_triggers!$1:$1,0)+1),MATCH(O$1,[3]enemy_skill_triggers!$1:$1,0)-MATCH($F$1,[3]enemy_skill_triggers!$1:$1,0)+1,FALSE)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7" s="41"/>
      <c r="Q97" s="41"/>
      <c r="R97" s="41"/>
    </row>
    <row r="98" spans="1:18" ht="21" customHeight="1" x14ac:dyDescent="0.15">
      <c r="A98" s="33" t="str">
        <f t="shared" si="1"/>
        <v>47013016_47013607</v>
      </c>
      <c r="B98" s="187">
        <v>47013016</v>
      </c>
      <c r="C98" s="192">
        <v>47013607</v>
      </c>
      <c r="D98" s="202" t="str">
        <f ca="1">VLOOKUP($C98,OFFSET([3]enemy_skills!$A$1,0,0,COUNTA([3]enemy_skills!$A:$A),MATCH(D$1,[3]enemy_skills!$1:$1,0)-MATCH("enemy_skill_id",[3]enemy_skills!$1:$1,0)+1),MATCH(D$1,[3]enemy_skills!$1:$1,0)-MATCH("enemy_skill_id",[3]enemy_skills!$1:$1,0)+1,FALSE)</f>
        <v>そうだ！全ては私の意のままに…！！</v>
      </c>
      <c r="E98" s="202" t="str">
        <f ca="1">VLOOKUP($C98,OFFSET([3]enemy_skills!$A$1,0,0,COUNTA([3]enemy_skills!$A:$A),MATCH(E$1,[3]enemy_skills!$1:$1,0)-MATCH("enemy_skill_id",[3]enemy_skills!$1:$1,0)+1),MATCH(E$1,[3]enemy_skills!$1:$1,0)-MATCH("enemy_skill_id",[3]enemy_skills!$1:$1,0)+1,FALSE)</f>
        <v>属性パネルを5色のボムパネルに1個ずつ変換+_x000D_属性パネルをCBPに3個変換+クリティカル！</v>
      </c>
      <c r="F98" s="192">
        <v>47013607</v>
      </c>
      <c r="G98" s="42">
        <f ca="1">VLOOKUP($F98,OFFSET([3]enemy_skill_triggers!$A$1,0,0,COUNTA([3]enemy_skill_triggers!$A:$A),MATCH(G$1,[3]enemy_skill_triggers!$1:$1,0)-MATCH($F$1,[3]enemy_skill_triggers!$1:$1,0)+1),MATCH(G$1,[3]enemy_skill_triggers!$1:$1,0)-MATCH($F$1,[3]enemy_skill_triggers!$1:$1,0)+1,FALSE)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8" s="42">
        <f ca="1">VLOOKUP($F98,OFFSET([3]enemy_skill_triggers!$A$1,0,0,COUNTA([3]enemy_skill_triggers!$A:$A),MATCH(H$1,[3]enemy_skill_triggers!$1:$1,0)-MATCH($F$1,[3]enemy_skill_triggers!$1:$1,0)+1),MATCH(H$1,[3]enemy_skill_triggers!$1:$1,0)-MATCH($F$1,[3]enemy_skill_triggers!$1:$1,0)+1,FALSE)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170</v>
      </c>
      <c r="I98" s="42">
        <f ca="1">VLOOKUP($F98,OFFSET([3]enemy_skill_triggers!$A$1,0,0,COUNTA([3]enemy_skill_triggers!$A:$A),MATCH(I$1,[3]enemy_skill_triggers!$1:$1,0)-MATCH($F$1,[3]enemy_skill_triggers!$1:$1,0)+1),MATCH(I$1,[3]enemy_skill_triggers!$1:$1,0)-MATCH($F$1,[3]enemy_skill_triggers!$1:$1,0)+1,FALSE)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8" s="42" t="str">
        <f ca="1">VLOOKUP($F98,OFFSET([3]enemy_skill_triggers!$A$1,0,0,COUNTA([3]enemy_skill_triggers!$A:$A),MATCH(J$1,[3]enemy_skill_triggers!$1:$1,0)-MATCH($F$1,[3]enemy_skill_triggers!$1:$1,0)+1),MATCH(J$1,[3]enemy_skill_triggers!$1:$1,0)-MATCH($F$1,[3]enemy_skill_triggers!$1:$1,0)+1,FALSE)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8" s="42" t="str">
        <f ca="1">VLOOKUP($F98,OFFSET([3]enemy_skill_triggers!$A$1,0,0,COUNTA([3]enemy_skill_triggers!$A:$A),MATCH(K$1,[3]enemy_skill_triggers!$1:$1,0)-MATCH($F$1,[3]enemy_skill_triggers!$1:$1,0)+1),MATCH(K$1,[3]enemy_skill_triggers!$1:$1,0)-MATCH($F$1,[3]enemy_skill_triggers!$1:$1,0)+1,FALSE)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8" s="42" t="str">
        <f ca="1">VLOOKUP($F98,OFFSET([3]enemy_skill_triggers!$A$1,0,0,COUNTA([3]enemy_skill_triggers!$A:$A),MATCH(L$1,[3]enemy_skill_triggers!$1:$1,0)-MATCH($F$1,[3]enemy_skill_triggers!$1:$1,0)+1),MATCH(L$1,[3]enemy_skill_triggers!$1:$1,0)-MATCH($F$1,[3]enemy_skill_triggers!$1:$1,0)+1,FALSE)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null</v>
      </c>
      <c r="M98" s="42">
        <f ca="1">VLOOKUP($F98,OFFSET([3]enemy_skill_triggers!$A$1,0,0,COUNTA([3]enemy_skill_triggers!$A:$A),MATCH(M$1,[3]enemy_skill_triggers!$1:$1,0)-MATCH($F$1,[3]enemy_skill_triggers!$1:$1,0)+1),MATCH(M$1,[3]enemy_skill_triggers!$1:$1,0)-MATCH($F$1,[3]enemy_skill_triggers!$1:$1,0)+1,FALSE)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5</v>
      </c>
      <c r="N98" s="42" t="str">
        <f ca="1">VLOOKUP($F98,OFFSET([3]enemy_skill_triggers!$A$1,0,0,COUNTA([3]enemy_skill_triggers!$A:$A),MATCH(N$1,[3]enemy_skill_triggers!$1:$1,0)-MATCH($F$1,[3]enemy_skill_triggers!$1:$1,0)+1),MATCH(N$1,[3]enemy_skill_triggers!$1:$1,0)-MATCH($F$1,[3]enemy_skill_triggers!$1:$1,0)+1,FALSE)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null</v>
      </c>
      <c r="O98" s="42">
        <f ca="1">VLOOKUP($F98,OFFSET([3]enemy_skill_triggers!$A$1,0,0,COUNTA([3]enemy_skill_triggers!$A:$A),MATCH(O$1,[3]enemy_skill_triggers!$1:$1,0)-MATCH($F$1,[3]enemy_skill_triggers!$1:$1,0)+1),MATCH(O$1,[3]enemy_skill_triggers!$1:$1,0)-MATCH($F$1,[3]enemy_skill_triggers!$1:$1,0)+1,FALSE)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8" s="41"/>
      <c r="Q98" s="41"/>
      <c r="R98" s="41"/>
    </row>
    <row r="99" spans="1:18" ht="21" customHeight="1" x14ac:dyDescent="0.15">
      <c r="A99" s="33" t="str">
        <f t="shared" si="1"/>
        <v>47013016_47013610</v>
      </c>
      <c r="B99" s="187">
        <v>47013016</v>
      </c>
      <c r="C99" s="192">
        <v>47013610</v>
      </c>
      <c r="D99" s="202" t="str">
        <f ca="1">VLOOKUP($C99,OFFSET([3]enemy_skills!$A$1,0,0,COUNTA([3]enemy_skills!$A:$A),MATCH(D$1,[3]enemy_skills!$1:$1,0)-MATCH("enemy_skill_id",[3]enemy_skills!$1:$1,0)+1),MATCH(D$1,[3]enemy_skills!$1:$1,0)-MATCH("enemy_skill_id",[3]enemy_skills!$1:$1,0)+1,FALSE)</f>
        <v>グッ…馬鹿な…！_x000D_貴様らごときニ…コノ私が…！！</v>
      </c>
      <c r="E99" s="202" t="str">
        <f ca="1">VLOOKUP($C99,OFFSET([3]enemy_skills!$A$1,0,0,COUNTA([3]enemy_skills!$A:$A),MATCH(E$1,[3]enemy_skills!$1:$1,0)-MATCH("enemy_skill_id",[3]enemy_skills!$1:$1,0)+1),MATCH(E$1,[3]enemy_skills!$1:$1,0)-MATCH("enemy_skill_id",[3]enemy_skills!$1:$1,0)+1,FALSE)</f>
        <v>私ハ…マタ消サレルのか…_x000D_ああ…自我が…薄レテいく……</v>
      </c>
      <c r="F99" s="192">
        <v>47013610</v>
      </c>
      <c r="G99" s="42">
        <f ca="1">VLOOKUP($F99,OFFSET([3]enemy_skill_triggers!$A$1,0,0,COUNTA([3]enemy_skill_triggers!$A:$A),MATCH(G$1,[3]enemy_skill_triggers!$1:$1,0)-MATCH($F$1,[3]enemy_skill_triggers!$1:$1,0)+1),MATCH(G$1,[3]enemy_skill_triggers!$1:$1,0)-MATCH($F$1,[3]enemy_skill_triggers!$1:$1,0)+1,FALSE)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99" s="42">
        <f ca="1">VLOOKUP($F99,OFFSET([3]enemy_skill_triggers!$A$1,0,0,COUNTA([3]enemy_skill_triggers!$A:$A),MATCH(H$1,[3]enemy_skill_triggers!$1:$1,0)-MATCH($F$1,[3]enemy_skill_triggers!$1:$1,0)+1),MATCH(H$1,[3]enemy_skill_triggers!$1:$1,0)-MATCH($F$1,[3]enemy_skill_triggers!$1:$1,0)+1,FALSE)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600</v>
      </c>
      <c r="I99" s="42">
        <f ca="1">VLOOKUP($F99,OFFSET([3]enemy_skill_triggers!$A$1,0,0,COUNTA([3]enemy_skill_triggers!$A:$A),MATCH(I$1,[3]enemy_skill_triggers!$1:$1,0)-MATCH($F$1,[3]enemy_skill_triggers!$1:$1,0)+1),MATCH(I$1,[3]enemy_skill_triggers!$1:$1,0)-MATCH($F$1,[3]enemy_skill_triggers!$1:$1,0)+1,FALSE)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99" s="42" t="str">
        <f ca="1">VLOOKUP($F99,OFFSET([3]enemy_skill_triggers!$A$1,0,0,COUNTA([3]enemy_skill_triggers!$A:$A),MATCH(J$1,[3]enemy_skill_triggers!$1:$1,0)-MATCH($F$1,[3]enemy_skill_triggers!$1:$1,0)+1),MATCH(J$1,[3]enemy_skill_triggers!$1:$1,0)-MATCH($F$1,[3]enemy_skill_triggers!$1:$1,0)+1,FALSE)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99" s="42" t="str">
        <f ca="1">VLOOKUP($F99,OFFSET([3]enemy_skill_triggers!$A$1,0,0,COUNTA([3]enemy_skill_triggers!$A:$A),MATCH(K$1,[3]enemy_skill_triggers!$1:$1,0)-MATCH($F$1,[3]enemy_skill_triggers!$1:$1,0)+1),MATCH(K$1,[3]enemy_skill_triggers!$1:$1,0)-MATCH($F$1,[3]enemy_skill_triggers!$1:$1,0)+1,FALSE)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99" s="42">
        <f ca="1">VLOOKUP($F99,OFFSET([3]enemy_skill_triggers!$A$1,0,0,COUNTA([3]enemy_skill_triggers!$A:$A),MATCH(L$1,[3]enemy_skill_triggers!$1:$1,0)-MATCH($F$1,[3]enemy_skill_triggers!$1:$1,0)+1),MATCH(L$1,[3]enemy_skill_triggers!$1:$1,0)-MATCH($F$1,[3]enemy_skill_triggers!$1:$1,0)+1,FALSE)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0</v>
      </c>
      <c r="M99" s="42" t="str">
        <f ca="1">VLOOKUP($F99,OFFSET([3]enemy_skill_triggers!$A$1,0,0,COUNTA([3]enemy_skill_triggers!$A:$A),MATCH(M$1,[3]enemy_skill_triggers!$1:$1,0)-MATCH($F$1,[3]enemy_skill_triggers!$1:$1,0)+1),MATCH(M$1,[3]enemy_skill_triggers!$1:$1,0)-MATCH($F$1,[3]enemy_skill_triggers!$1:$1,0)+1,FALSE)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99" s="42">
        <f ca="1">VLOOKUP($F99,OFFSET([3]enemy_skill_triggers!$A$1,0,0,COUNTA([3]enemy_skill_triggers!$A:$A),MATCH(N$1,[3]enemy_skill_triggers!$1:$1,0)-MATCH($F$1,[3]enemy_skill_triggers!$1:$1,0)+1),MATCH(N$1,[3]enemy_skill_triggers!$1:$1,0)-MATCH($F$1,[3]enemy_skill_triggers!$1:$1,0)+1,FALSE)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0</v>
      </c>
      <c r="O99" s="42">
        <f ca="1">VLOOKUP($F99,OFFSET([3]enemy_skill_triggers!$A$1,0,0,COUNTA([3]enemy_skill_triggers!$A:$A),MATCH(O$1,[3]enemy_skill_triggers!$1:$1,0)-MATCH($F$1,[3]enemy_skill_triggers!$1:$1,0)+1),MATCH(O$1,[3]enemy_skill_triggers!$1:$1,0)-MATCH($F$1,[3]enemy_skill_triggers!$1:$1,0)+1,FALSE)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99" s="41"/>
      <c r="Q99" s="41"/>
      <c r="R99" s="41"/>
    </row>
    <row r="100" spans="1:18" ht="21" customHeight="1" x14ac:dyDescent="0.15">
      <c r="A100" s="33" t="str">
        <f t="shared" si="1"/>
        <v>47013016_47013611</v>
      </c>
      <c r="B100" s="187">
        <v>47013016</v>
      </c>
      <c r="C100" s="192">
        <v>47013611</v>
      </c>
      <c r="D100" s="202" t="str">
        <f ca="1">VLOOKUP($C100,OFFSET([3]enemy_skills!$A$1,0,0,COUNTA([3]enemy_skills!$A:$A),MATCH(D$1,[3]enemy_skills!$1:$1,0)-MATCH("enemy_skill_id",[3]enemy_skills!$1:$1,0)+1),MATCH(D$1,[3]enemy_skills!$1:$1,0)-MATCH("enemy_skill_id",[3]enemy_skills!$1:$1,0)+1,FALSE)</f>
        <v>馬鹿な…貴様らごときに…コノ私が…_x000D_ア…ア…自我が…薄レテいく…</v>
      </c>
      <c r="E100" s="202" t="str">
        <f ca="1">VLOOKUP($C100,OFFSET([3]enemy_skills!$A$1,0,0,COUNTA([3]enemy_skills!$A:$A),MATCH(E$1,[3]enemy_skills!$1:$1,0)-MATCH("enemy_skill_id",[3]enemy_skills!$1:$1,0)+1),MATCH(E$1,[3]enemy_skills!$1:$1,0)-MATCH("enemy_skill_id",[3]enemy_skills!$1:$1,0)+1,FALSE)</f>
        <v>私ハ…マタ棄テラレルのカ…_x000D_ワタシノ存在意義…イキル…意味ヲ…</v>
      </c>
      <c r="F100" s="192">
        <v>47013611</v>
      </c>
      <c r="G100" s="42">
        <f ca="1">VLOOKUP($F100,OFFSET([3]enemy_skill_triggers!$A$1,0,0,COUNTA([3]enemy_skill_triggers!$A:$A),MATCH(G$1,[3]enemy_skill_triggers!$1:$1,0)-MATCH($F$1,[3]enemy_skill_triggers!$1:$1,0)+1),MATCH(G$1,[3]enemy_skill_triggers!$1:$1,0)-MATCH($F$1,[3]enemy_skill_triggers!$1:$1,0)+1,FALSE)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00" s="42">
        <f ca="1">VLOOKUP($F100,OFFSET([3]enemy_skill_triggers!$A$1,0,0,COUNTA([3]enemy_skill_triggers!$A:$A),MATCH(H$1,[3]enemy_skill_triggers!$1:$1,0)-MATCH($F$1,[3]enemy_skill_triggers!$1:$1,0)+1),MATCH(H$1,[3]enemy_skill_triggers!$1:$1,0)-MATCH($F$1,[3]enemy_skill_triggers!$1:$1,0)+1,FALSE)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610</v>
      </c>
      <c r="I100" s="42">
        <f ca="1">VLOOKUP($F100,OFFSET([3]enemy_skill_triggers!$A$1,0,0,COUNTA([3]enemy_skill_triggers!$A:$A),MATCH(I$1,[3]enemy_skill_triggers!$1:$1,0)-MATCH($F$1,[3]enemy_skill_triggers!$1:$1,0)+1),MATCH(I$1,[3]enemy_skill_triggers!$1:$1,0)-MATCH($F$1,[3]enemy_skill_triggers!$1:$1,0)+1,FALSE)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100" s="42" t="str">
        <f ca="1">VLOOKUP($F100,OFFSET([3]enemy_skill_triggers!$A$1,0,0,COUNTA([3]enemy_skill_triggers!$A:$A),MATCH(J$1,[3]enemy_skill_triggers!$1:$1,0)-MATCH($F$1,[3]enemy_skill_triggers!$1:$1,0)+1),MATCH(J$1,[3]enemy_skill_triggers!$1:$1,0)-MATCH($F$1,[3]enemy_skill_triggers!$1:$1,0)+1,FALSE)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00" s="42" t="str">
        <f ca="1">VLOOKUP($F100,OFFSET([3]enemy_skill_triggers!$A$1,0,0,COUNTA([3]enemy_skill_triggers!$A:$A),MATCH(K$1,[3]enemy_skill_triggers!$1:$1,0)-MATCH($F$1,[3]enemy_skill_triggers!$1:$1,0)+1),MATCH(K$1,[3]enemy_skill_triggers!$1:$1,0)-MATCH($F$1,[3]enemy_skill_triggers!$1:$1,0)+1,FALSE)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00" s="42">
        <f ca="1">VLOOKUP($F100,OFFSET([3]enemy_skill_triggers!$A$1,0,0,COUNTA([3]enemy_skill_triggers!$A:$A),MATCH(L$1,[3]enemy_skill_triggers!$1:$1,0)-MATCH($F$1,[3]enemy_skill_triggers!$1:$1,0)+1),MATCH(L$1,[3]enemy_skill_triggers!$1:$1,0)-MATCH($F$1,[3]enemy_skill_triggers!$1:$1,0)+1,FALSE)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0</v>
      </c>
      <c r="M100" s="42" t="str">
        <f ca="1">VLOOKUP($F100,OFFSET([3]enemy_skill_triggers!$A$1,0,0,COUNTA([3]enemy_skill_triggers!$A:$A),MATCH(M$1,[3]enemy_skill_triggers!$1:$1,0)-MATCH($F$1,[3]enemy_skill_triggers!$1:$1,0)+1),MATCH(M$1,[3]enemy_skill_triggers!$1:$1,0)-MATCH($F$1,[3]enemy_skill_triggers!$1:$1,0)+1,FALSE)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00" s="42">
        <f ca="1">VLOOKUP($F100,OFFSET([3]enemy_skill_triggers!$A$1,0,0,COUNTA([3]enemy_skill_triggers!$A:$A),MATCH(N$1,[3]enemy_skill_triggers!$1:$1,0)-MATCH($F$1,[3]enemy_skill_triggers!$1:$1,0)+1),MATCH(N$1,[3]enemy_skill_triggers!$1:$1,0)-MATCH($F$1,[3]enemy_skill_triggers!$1:$1,0)+1,FALSE)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1490</v>
      </c>
      <c r="O100" s="42">
        <f ca="1">VLOOKUP($F100,OFFSET([3]enemy_skill_triggers!$A$1,0,0,COUNTA([3]enemy_skill_triggers!$A:$A),MATCH(O$1,[3]enemy_skill_triggers!$1:$1,0)-MATCH($F$1,[3]enemy_skill_triggers!$1:$1,0)+1),MATCH(O$1,[3]enemy_skill_triggers!$1:$1,0)-MATCH($F$1,[3]enemy_skill_triggers!$1:$1,0)+1,FALSE)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100" s="41"/>
      <c r="Q100" s="41"/>
      <c r="R100" s="41"/>
    </row>
    <row r="101" spans="1:18" ht="21" customHeight="1" x14ac:dyDescent="0.15">
      <c r="A101" s="33" t="str">
        <f t="shared" si="1"/>
        <v>47013016_47013611</v>
      </c>
      <c r="B101" s="187">
        <v>47013016</v>
      </c>
      <c r="C101" s="192">
        <v>47013611</v>
      </c>
      <c r="D101" s="202" t="str">
        <f ca="1">VLOOKUP($C101,OFFSET([3]enemy_skills!$A$1,0,0,COUNTA([3]enemy_skills!$A:$A),MATCH(D$1,[3]enemy_skills!$1:$1,0)-MATCH("enemy_skill_id",[3]enemy_skills!$1:$1,0)+1),MATCH(D$1,[3]enemy_skills!$1:$1,0)-MATCH("enemy_skill_id",[3]enemy_skills!$1:$1,0)+1,FALSE)</f>
        <v>馬鹿な…貴様らごときに…コノ私が…_x000D_ア…ア…自我が…薄レテいく…</v>
      </c>
      <c r="E101" s="202" t="str">
        <f ca="1">VLOOKUP($C101,OFFSET([3]enemy_skills!$A$1,0,0,COUNTA([3]enemy_skills!$A:$A),MATCH(E$1,[3]enemy_skills!$1:$1,0)-MATCH("enemy_skill_id",[3]enemy_skills!$1:$1,0)+1),MATCH(E$1,[3]enemy_skills!$1:$1,0)-MATCH("enemy_skill_id",[3]enemy_skills!$1:$1,0)+1,FALSE)</f>
        <v>私ハ…マタ棄テラレルのカ…_x000D_ワタシノ存在意義…イキル…意味ヲ…</v>
      </c>
      <c r="F101" s="192">
        <v>47013612</v>
      </c>
      <c r="G101" s="42">
        <f ca="1">VLOOKUP($F101,OFFSET([3]enemy_skill_triggers!$A$1,0,0,COUNTA([3]enemy_skill_triggers!$A:$A),MATCH(G$1,[3]enemy_skill_triggers!$1:$1,0)-MATCH($F$1,[3]enemy_skill_triggers!$1:$1,0)+1),MATCH(G$1,[3]enemy_skill_triggers!$1:$1,0)-MATCH($F$1,[3]enemy_skill_triggers!$1:$1,0)+1,FALSE)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0</v>
      </c>
      <c r="H101" s="42">
        <f ca="1">VLOOKUP($F101,OFFSET([3]enemy_skill_triggers!$A$1,0,0,COUNTA([3]enemy_skill_triggers!$A:$A),MATCH(H$1,[3]enemy_skill_triggers!$1:$1,0)-MATCH($F$1,[3]enemy_skill_triggers!$1:$1,0)+1),MATCH(H$1,[3]enemy_skill_triggers!$1:$1,0)-MATCH($F$1,[3]enemy_skill_triggers!$1:$1,0)+1,FALSE)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620</v>
      </c>
      <c r="I101" s="42">
        <f ca="1">VLOOKUP($F101,OFFSET([3]enemy_skill_triggers!$A$1,0,0,COUNTA([3]enemy_skill_triggers!$A:$A),MATCH(I$1,[3]enemy_skill_triggers!$1:$1,0)-MATCH($F$1,[3]enemy_skill_triggers!$1:$1,0)+1),MATCH(I$1,[3]enemy_skill_triggers!$1:$1,0)-MATCH($F$1,[3]enemy_skill_triggers!$1:$1,0)+1,FALSE)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100</v>
      </c>
      <c r="J101" s="42" t="str">
        <f ca="1">VLOOKUP($F101,OFFSET([3]enemy_skill_triggers!$A$1,0,0,COUNTA([3]enemy_skill_triggers!$A:$A),MATCH(J$1,[3]enemy_skill_triggers!$1:$1,0)-MATCH($F$1,[3]enemy_skill_triggers!$1:$1,0)+1),MATCH(J$1,[3]enemy_skill_triggers!$1:$1,0)-MATCH($F$1,[3]enemy_skill_triggers!$1:$1,0)+1,FALSE)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null</v>
      </c>
      <c r="K101" s="42" t="str">
        <f ca="1">VLOOKUP($F101,OFFSET([3]enemy_skill_triggers!$A$1,0,0,COUNTA([3]enemy_skill_triggers!$A:$A),MATCH(K$1,[3]enemy_skill_triggers!$1:$1,0)-MATCH($F$1,[3]enemy_skill_triggers!$1:$1,0)+1),MATCH(K$1,[3]enemy_skill_triggers!$1:$1,0)-MATCH($F$1,[3]enemy_skill_triggers!$1:$1,0)+1,FALSE)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null</v>
      </c>
      <c r="L101" s="42">
        <f ca="1">VLOOKUP($F101,OFFSET([3]enemy_skill_triggers!$A$1,0,0,COUNTA([3]enemy_skill_triggers!$A:$A),MATCH(L$1,[3]enemy_skill_triggers!$1:$1,0)-MATCH($F$1,[3]enemy_skill_triggers!$1:$1,0)+1),MATCH(L$1,[3]enemy_skill_triggers!$1:$1,0)-MATCH($F$1,[3]enemy_skill_triggers!$1:$1,0)+1,FALSE)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0</v>
      </c>
      <c r="M101" s="42" t="str">
        <f ca="1">VLOOKUP($F101,OFFSET([3]enemy_skill_triggers!$A$1,0,0,COUNTA([3]enemy_skill_triggers!$A:$A),MATCH(M$1,[3]enemy_skill_triggers!$1:$1,0)-MATCH($F$1,[3]enemy_skill_triggers!$1:$1,0)+1),MATCH(M$1,[3]enemy_skill_triggers!$1:$1,0)-MATCH($F$1,[3]enemy_skill_triggers!$1:$1,0)+1,FALSE)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null</v>
      </c>
      <c r="N101" s="42">
        <f ca="1">VLOOKUP($F101,OFFSET([3]enemy_skill_triggers!$A$1,0,0,COUNTA([3]enemy_skill_triggers!$A:$A),MATCH(N$1,[3]enemy_skill_triggers!$1:$1,0)-MATCH($F$1,[3]enemy_skill_triggers!$1:$1,0)+1),MATCH(N$1,[3]enemy_skill_triggers!$1:$1,0)-MATCH($F$1,[3]enemy_skill_triggers!$1:$1,0)+1,FALSE)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1491</v>
      </c>
      <c r="O101" s="42">
        <f ca="1">VLOOKUP($F101,OFFSET([3]enemy_skill_triggers!$A$1,0,0,COUNTA([3]enemy_skill_triggers!$A:$A),MATCH(O$1,[3]enemy_skill_triggers!$1:$1,0)-MATCH($F$1,[3]enemy_skill_triggers!$1:$1,0)+1),MATCH(O$1,[3]enemy_skill_triggers!$1:$1,0)-MATCH($F$1,[3]enemy_skill_triggers!$1:$1,0)+1,FALSE)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100</v>
      </c>
      <c r="P101" s="41"/>
      <c r="Q101" s="41"/>
      <c r="R101" s="41"/>
    </row>
  </sheetData>
  <autoFilter ref="A1:R1"/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rgb="FF0000FF"/>
  </sheetPr>
  <dimension ref="A1:AB59"/>
  <sheetViews>
    <sheetView showGridLines="0" workbookViewId="0">
      <pane ySplit="1" topLeftCell="A2" activePane="bottomLeft" state="frozenSplit"/>
      <selection pane="bottomLeft" activeCell="B6" sqref="B6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86.33203125" style="43" customWidth="1"/>
    <col min="3" max="4" width="6.6640625" style="43" customWidth="1"/>
    <col min="5" max="5" width="32" style="43" customWidth="1"/>
    <col min="6" max="6" width="45.33203125" style="43" customWidth="1"/>
    <col min="7" max="7" width="52" style="43" hidden="1" customWidth="1" outlineLevel="1"/>
    <col min="8" max="8" width="18.33203125" style="43" hidden="1" customWidth="1" outlineLevel="1"/>
    <col min="9" max="11" width="18.6640625" style="43" hidden="1" customWidth="1" outlineLevel="1"/>
    <col min="12" max="12" width="23.6640625" style="43" customWidth="1" collapsed="1"/>
    <col min="13" max="18" width="23.6640625" style="43" hidden="1" customWidth="1" outlineLevel="1"/>
    <col min="19" max="19" width="23.6640625" style="43" customWidth="1" collapsed="1"/>
    <col min="20" max="24" width="23.6640625" style="43" hidden="1" customWidth="1" outlineLevel="1"/>
    <col min="25" max="25" width="23.6640625" style="43" customWidth="1" collapsed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31</v>
      </c>
      <c r="B1" s="34" t="s">
        <v>315</v>
      </c>
      <c r="C1" s="34" t="s">
        <v>32</v>
      </c>
      <c r="D1" s="34" t="s">
        <v>316</v>
      </c>
      <c r="E1" s="34" t="s">
        <v>317</v>
      </c>
      <c r="F1" s="34" t="s">
        <v>318</v>
      </c>
      <c r="G1" s="35" t="s">
        <v>45</v>
      </c>
      <c r="H1" s="35" t="s">
        <v>51</v>
      </c>
      <c r="I1" s="35" t="s">
        <v>53</v>
      </c>
      <c r="J1" s="35" t="s">
        <v>52</v>
      </c>
      <c r="K1" s="35" t="s">
        <v>54</v>
      </c>
      <c r="L1" s="35" t="s">
        <v>46</v>
      </c>
      <c r="M1" s="35" t="s">
        <v>44</v>
      </c>
      <c r="N1" s="35" t="s">
        <v>47</v>
      </c>
      <c r="O1" s="35" t="s">
        <v>55</v>
      </c>
      <c r="P1" s="35" t="s">
        <v>56</v>
      </c>
      <c r="Q1" s="35" t="s">
        <v>57</v>
      </c>
      <c r="R1" s="35" t="s">
        <v>58</v>
      </c>
      <c r="S1" s="35" t="s">
        <v>48</v>
      </c>
      <c r="T1" s="35" t="s">
        <v>49</v>
      </c>
      <c r="U1" s="35" t="s">
        <v>59</v>
      </c>
      <c r="V1" s="35" t="s">
        <v>60</v>
      </c>
      <c r="W1" s="35" t="s">
        <v>61</v>
      </c>
      <c r="X1" s="35" t="s">
        <v>62</v>
      </c>
      <c r="Y1" s="35" t="s">
        <v>50</v>
      </c>
      <c r="Z1" s="35" t="s">
        <v>28</v>
      </c>
      <c r="AA1" s="35" t="s">
        <v>29</v>
      </c>
      <c r="AB1" s="35" t="s">
        <v>30</v>
      </c>
    </row>
    <row r="2" spans="1:28" ht="42" customHeight="1" x14ac:dyDescent="0.15">
      <c r="A2" s="186">
        <v>47013101</v>
      </c>
      <c r="B2" s="204" t="s">
        <v>319</v>
      </c>
      <c r="C2" s="205">
        <v>3</v>
      </c>
      <c r="D2" s="44" t="s">
        <v>320</v>
      </c>
      <c r="E2" s="45" t="s">
        <v>321</v>
      </c>
      <c r="F2" s="45" t="s">
        <v>322</v>
      </c>
      <c r="G2" s="54" t="str">
        <f t="shared" ref="G2:G59" si="0">IFERROR(LEFT(B2,FIND("],",B2)),B2)</f>
        <v>[effect:enemy_message, val1:2.4, val2:4.8]</v>
      </c>
      <c r="H2" s="54">
        <f t="shared" ref="H2:H59" si="1">FIND("effect:",G2)+7</f>
        <v>9</v>
      </c>
      <c r="I2" s="54">
        <f t="shared" ref="I2:I59" si="2">IFERROR(FIND(",",G2),LEN(G2))</f>
        <v>22</v>
      </c>
      <c r="J2" s="54" t="e">
        <f t="shared" ref="J2:J59" si="3">FIND("target:",G2)+7</f>
        <v>#VALUE!</v>
      </c>
      <c r="K2" s="54">
        <f t="shared" ref="K2:K59" si="4">FIND(",",G2,I2+1)</f>
        <v>32</v>
      </c>
      <c r="L2" s="54" t="str">
        <f>IFERROR(VLOOKUP(MID(G2,J2,K2-J2),[6]skilldef!$C:$D,2,FALSE),"-") &amp; " / " &amp; IFERROR(VLOOKUP(MID(G2,H2,I2-H2),[6]skilldef!$A:$B,2,FALSE),"-")</f>
        <v>- / -</v>
      </c>
      <c r="M2" s="54" t="str">
        <f t="shared" ref="M2:M59" si="5">IFERROR(RIGHT(B2,LEN(B2)-FIND("],",B2)-1),"none")</f>
        <v>[effect:tolerance, target:myself, turn:-1, count:-1, tolerance_effect:all, animation:enemy_tolerance],[effect:enhance_unit, target:unit_hp/unit_heal, turn:-1, status:attack, val:2000, calc:add],[effect:sp_boost, target:unit_hp/unit_heal, val:4, animation:sp_boost_one02],[effect:fix_speed, target:myself, turn:2]</v>
      </c>
      <c r="N2" s="42" t="str">
        <f>IFERROR(LEFT(M2,FIND("],",M2)+S12),M2)</f>
        <v>[effect:tolerance, target:myself, turn:-1, count:-1, tolerance_effect:all, animation:enemy_tolerance],[effect:enhance_unit, target:unit_hp/unit_heal, turn:-1, status:attack, val:2000, calc:add],[effect:sp_boost, target:unit_hp/unit_heal, val:4, animation:sp_boost_one02],[effect:fix_speed, target:myself, turn:2]</v>
      </c>
      <c r="O2" s="54">
        <f t="shared" ref="O2:O59" si="6">FIND("effect:",N2)+7</f>
        <v>9</v>
      </c>
      <c r="P2" s="54">
        <f t="shared" ref="P2:P59" si="7">IFERROR(FIND(",",N2),LEN(N2))</f>
        <v>18</v>
      </c>
      <c r="Q2" s="54">
        <f t="shared" ref="Q2:Q59" si="8">FIND("target:",N2)+7</f>
        <v>27</v>
      </c>
      <c r="R2" s="54">
        <f t="shared" ref="R2:R59" si="9">FIND(",",N2,P2+1)</f>
        <v>33</v>
      </c>
      <c r="S2" s="54" t="str">
        <f>IFERROR(VLOOKUP(MID(N2,Q2,R2-Q2),[6]skilldef!$C:$D,2,FALSE),"-") &amp; " / " &amp; IFERROR(VLOOKUP(MID(N2,O2,P2-O2),[6]skilldef!$A:$B,2,FALSE),"-")</f>
        <v>自分自身に / 状態異常耐性</v>
      </c>
      <c r="T2" s="42" t="str">
        <f t="shared" ref="T2:T59" si="10">IFERROR(RIGHT(M2,LEN(M2)-FIND("],",M2)-1),"none")</f>
        <v>[effect:enhance_unit, target:unit_hp/unit_heal, turn:-1, status:attack, val:2000, calc:add],[effect:sp_boost, target:unit_hp/unit_heal, val:4, animation:sp_boost_one02],[effect:fix_speed, target:myself, turn:2]</v>
      </c>
      <c r="U2" s="54">
        <f t="shared" ref="U2:U59" si="11">FIND("effect:",T2)+7</f>
        <v>9</v>
      </c>
      <c r="V2" s="54">
        <f t="shared" ref="V2:V59" si="12">IFERROR(FIND(",",T2),LEN(T2))</f>
        <v>21</v>
      </c>
      <c r="W2" s="54">
        <f t="shared" ref="W2:W59" si="13">FIND("target:",T2)+7</f>
        <v>30</v>
      </c>
      <c r="X2" s="54">
        <f t="shared" ref="X2:X59" si="14">FIND(",",T2,V2+1)</f>
        <v>47</v>
      </c>
      <c r="Y2" s="54" t="str">
        <f>IFERROR(VLOOKUP(MID(T2,W2,X2-W2),[6]skilldef!$C:$D,2,FALSE),"-") &amp; " / " &amp; IFERROR(VLOOKUP(MID(T2,U2,V2-U2),[6]skilldef!$A:$B,2,FALSE),"-")</f>
        <v>- / -</v>
      </c>
      <c r="Z2" s="44"/>
      <c r="AA2" s="46"/>
      <c r="AB2" s="44"/>
    </row>
    <row r="3" spans="1:28" ht="42" customHeight="1" x14ac:dyDescent="0.15">
      <c r="A3" s="206">
        <v>47013111</v>
      </c>
      <c r="B3" s="207" t="s">
        <v>323</v>
      </c>
      <c r="C3" s="205">
        <v>3</v>
      </c>
      <c r="D3" s="208" t="s">
        <v>320</v>
      </c>
      <c r="E3" s="209" t="s">
        <v>321</v>
      </c>
      <c r="F3" s="209" t="s">
        <v>324</v>
      </c>
      <c r="G3" s="54" t="str">
        <f t="shared" si="0"/>
        <v>[effect:enemy_message, val1:2.4, val2:4.8]</v>
      </c>
      <c r="H3" s="54">
        <f t="shared" si="1"/>
        <v>9</v>
      </c>
      <c r="I3" s="54">
        <f t="shared" si="2"/>
        <v>22</v>
      </c>
      <c r="J3" s="54" t="e">
        <f t="shared" si="3"/>
        <v>#VALUE!</v>
      </c>
      <c r="K3" s="54">
        <f t="shared" si="4"/>
        <v>32</v>
      </c>
      <c r="L3" s="54" t="str">
        <f>IFERROR(VLOOKUP(MID(G3,J3,K3-J3),[6]skilldef!$C:$D,2,FALSE),"-") &amp; " / " &amp; IFERROR(VLOOKUP(MID(G3,H3,I3-H3),[6]skilldef!$A:$B,2,FALSE),"-")</f>
        <v>- / -</v>
      </c>
      <c r="M3" s="54" t="str">
        <f t="shared" si="5"/>
        <v>[effect:tolerance, target:myself, turn:-1, count:-1, tolerance_effect:all, animation:enemy_tolerance],[effect:enhance_unit, target:unit_hp/unit_heal, turn:-1, status:attack, val:2000, calc:add],[effect:sp_boost, target:unit_hp/unit_heal, val:5, animation:sp_boost_one02],[effect:fix_speed, target:myself, turn:2]</v>
      </c>
      <c r="N3" s="42" t="str">
        <f>IFERROR(LEFT(M3,FIND("],",M3)+S13),M3)</f>
        <v>[effect:tolerance, target:myself, turn:-1, count:-1, tolerance_effect:all, animation:enemy_tolerance],[effect:enhance_unit, target:unit_hp/unit_heal, turn:-1, status:attack, val:2000, calc:add],[effect:sp_boost, target:unit_hp/unit_heal, val:5, animation:sp_boost_one02],[effect:fix_speed, target:myself, turn:2]</v>
      </c>
      <c r="O3" s="54">
        <f t="shared" si="6"/>
        <v>9</v>
      </c>
      <c r="P3" s="54">
        <f t="shared" si="7"/>
        <v>18</v>
      </c>
      <c r="Q3" s="54">
        <f t="shared" si="8"/>
        <v>27</v>
      </c>
      <c r="R3" s="54">
        <f t="shared" si="9"/>
        <v>33</v>
      </c>
      <c r="S3" s="54" t="str">
        <f>IFERROR(VLOOKUP(MID(N3,Q3,R3-Q3),[6]skilldef!$C:$D,2,FALSE),"-") &amp; " / " &amp; IFERROR(VLOOKUP(MID(N3,O3,P3-O3),[6]skilldef!$A:$B,2,FALSE),"-")</f>
        <v>自分自身に / 状態異常耐性</v>
      </c>
      <c r="T3" s="42" t="str">
        <f t="shared" si="10"/>
        <v>[effect:enhance_unit, target:unit_hp/unit_heal, turn:-1, status:attack, val:2000, calc:add],[effect:sp_boost, target:unit_hp/unit_heal, val:5, animation:sp_boost_one02],[effect:fix_speed, target:myself, turn:2]</v>
      </c>
      <c r="U3" s="54">
        <f t="shared" si="11"/>
        <v>9</v>
      </c>
      <c r="V3" s="54">
        <f t="shared" si="12"/>
        <v>21</v>
      </c>
      <c r="W3" s="54">
        <f t="shared" si="13"/>
        <v>30</v>
      </c>
      <c r="X3" s="54">
        <f t="shared" si="14"/>
        <v>47</v>
      </c>
      <c r="Y3" s="54" t="str">
        <f>IFERROR(VLOOKUP(MID(T3,W3,X3-W3),[6]skilldef!$C:$D,2,FALSE),"-") &amp; " / " &amp; IFERROR(VLOOKUP(MID(T3,U3,V3-U3),[6]skilldef!$A:$B,2,FALSE),"-")</f>
        <v>- / -</v>
      </c>
      <c r="Z3" s="44"/>
      <c r="AA3" s="46"/>
      <c r="AB3" s="44"/>
    </row>
    <row r="4" spans="1:28" ht="28" customHeight="1" x14ac:dyDescent="0.15">
      <c r="A4" s="186">
        <v>47013102</v>
      </c>
      <c r="B4" s="204" t="s">
        <v>325</v>
      </c>
      <c r="C4" s="205">
        <v>3</v>
      </c>
      <c r="D4" s="44" t="s">
        <v>326</v>
      </c>
      <c r="E4" s="45" t="s">
        <v>327</v>
      </c>
      <c r="F4" s="45" t="s">
        <v>328</v>
      </c>
      <c r="G4" s="54" t="str">
        <f t="shared" si="0"/>
        <v>[effect:enemy_message, val1:1.4, val2:3.5]</v>
      </c>
      <c r="H4" s="54">
        <f t="shared" si="1"/>
        <v>9</v>
      </c>
      <c r="I4" s="54">
        <f t="shared" si="2"/>
        <v>22</v>
      </c>
      <c r="J4" s="54" t="e">
        <f t="shared" si="3"/>
        <v>#VALUE!</v>
      </c>
      <c r="K4" s="54">
        <f t="shared" si="4"/>
        <v>32</v>
      </c>
      <c r="L4" s="54" t="str">
        <f>IFERROR(VLOOKUP(MID(G4,J4,K4-J4),[6]skilldef!$C:$D,2,FALSE),"-") &amp; " / " &amp; IFERROR(VLOOKUP(MID(G4,H4,I4-H4),[6]skilldef!$A:$B,2,FALSE),"-")</f>
        <v>- / -</v>
      </c>
      <c r="M4" s="54" t="str">
        <f t="shared" si="5"/>
        <v>[effect:change_panel_ratio, turn:10, block_type:green, val:0.07, animation:block_incidence04],[effect:freq_turn, target:myself, turn:-1, val:1, animation:enemy_freq_turn],[effect:spread, val:0.22]</v>
      </c>
      <c r="N4" s="42" t="str">
        <f>IFERROR(LEFT(M4,FIND("],",M4)+S13),M4)</f>
        <v>[effect:change_panel_ratio, turn:10, block_type:green, val:0.07, animation:block_incidence04],[effect:freq_turn, target:myself, turn:-1, val:1, animation:enemy_freq_turn],[effect:spread, val:0.22]</v>
      </c>
      <c r="O4" s="54">
        <f t="shared" si="6"/>
        <v>9</v>
      </c>
      <c r="P4" s="54">
        <f t="shared" si="7"/>
        <v>27</v>
      </c>
      <c r="Q4" s="54">
        <f t="shared" si="8"/>
        <v>121</v>
      </c>
      <c r="R4" s="54">
        <f t="shared" si="9"/>
        <v>36</v>
      </c>
      <c r="S4" s="54" t="str">
        <f>IFERROR(VLOOKUP(MID(N4,Q4,R4-Q4),[6]skilldef!$C:$D,2,FALSE),"-") &amp; " / " &amp; IFERROR(VLOOKUP(MID(N4,O4,P4-O4),[6]skilldef!$A:$B,2,FALSE),"-")</f>
        <v>- / -</v>
      </c>
      <c r="T4" s="42" t="str">
        <f t="shared" si="10"/>
        <v>[effect:freq_turn, target:myself, turn:-1, val:1, animation:enemy_freq_turn],[effect:spread, val:0.22]</v>
      </c>
      <c r="U4" s="54">
        <f t="shared" si="11"/>
        <v>9</v>
      </c>
      <c r="V4" s="54">
        <f t="shared" si="12"/>
        <v>18</v>
      </c>
      <c r="W4" s="54">
        <f t="shared" si="13"/>
        <v>27</v>
      </c>
      <c r="X4" s="54">
        <f t="shared" si="14"/>
        <v>33</v>
      </c>
      <c r="Y4" s="54" t="str">
        <f>IFERROR(VLOOKUP(MID(T4,W4,X4-W4),[6]skilldef!$C:$D,2,FALSE),"-") &amp; " / " &amp; IFERROR(VLOOKUP(MID(T4,U4,V4-U4),[6]skilldef!$A:$B,2,FALSE),"-")</f>
        <v>自分自身に / 攻撃頻度がUP</v>
      </c>
      <c r="Z4" s="44"/>
      <c r="AA4" s="46"/>
      <c r="AB4" s="44"/>
    </row>
    <row r="5" spans="1:28" ht="46" customHeight="1" x14ac:dyDescent="0.15">
      <c r="A5" s="186">
        <v>47013103</v>
      </c>
      <c r="B5" s="204" t="s">
        <v>329</v>
      </c>
      <c r="C5" s="205">
        <v>3</v>
      </c>
      <c r="D5" s="44" t="s">
        <v>320</v>
      </c>
      <c r="E5" s="45" t="s">
        <v>330</v>
      </c>
      <c r="F5" s="45" t="s">
        <v>331</v>
      </c>
      <c r="G5" s="54" t="str">
        <f t="shared" si="0"/>
        <v>[effect:enemy_message, val1:1.7, val2:3.9]</v>
      </c>
      <c r="H5" s="54">
        <f t="shared" si="1"/>
        <v>9</v>
      </c>
      <c r="I5" s="54">
        <f t="shared" si="2"/>
        <v>22</v>
      </c>
      <c r="J5" s="54" t="e">
        <f t="shared" si="3"/>
        <v>#VALUE!</v>
      </c>
      <c r="K5" s="54">
        <f t="shared" si="4"/>
        <v>32</v>
      </c>
      <c r="L5" s="54" t="str">
        <f>IFERROR(VLOOKUP(MID(G5,J5,K5-J5),[6]skilldef!$C:$D,2,FALSE),"-") &amp; " / " &amp; IFERROR(VLOOKUP(MID(G5,H5,I5-H5),[6]skilldef!$A:$B,2,FALSE),"-")</f>
        <v>- / -</v>
      </c>
      <c r="M5" s="54" t="str">
        <f t="shared" si="5"/>
        <v>[effect:force_change_block, new_block:crack_bomb, target:block_green, color:block_red, count:0, val:12, animation:change_block],[effect:force_change_block, new_block:block_yellow, target:block_red, count:0, val:0, animation:change_block],[effect:rush, count:6, val:0.12]</v>
      </c>
      <c r="N5" s="42" t="str">
        <f>IFERROR(LEFT(M5,FIND("],",M5)+S15),M5)</f>
        <v>[effect:force_change_block, new_block:crack_bomb, target:block_green, color:block_red, count:0, val:12, animation:change_block],[effect:force_change_block, new_block:block_yellow, target:block_red, count:0, val:0, animation:change_block],[effect:rush, count:6, val:0.12]</v>
      </c>
      <c r="O5" s="54">
        <f t="shared" si="6"/>
        <v>9</v>
      </c>
      <c r="P5" s="54">
        <f t="shared" si="7"/>
        <v>27</v>
      </c>
      <c r="Q5" s="54">
        <f t="shared" si="8"/>
        <v>58</v>
      </c>
      <c r="R5" s="54">
        <f t="shared" si="9"/>
        <v>49</v>
      </c>
      <c r="S5" s="54" t="str">
        <f>IFERROR(VLOOKUP(MID(N5,Q5,R5-Q5),[6]skilldef!$C:$D,2,FALSE),"-") &amp; " / " &amp; IFERROR(VLOOKUP(MID(N5,O5,P5-O5),[6]skilldef!$A:$B,2,FALSE),"-")</f>
        <v>- / -</v>
      </c>
      <c r="T5" s="42" t="str">
        <f t="shared" si="10"/>
        <v>[effect:force_change_block, new_block:block_yellow, target:block_red, count:0, val:0, animation:change_block],[effect:rush, count:6, val:0.12]</v>
      </c>
      <c r="U5" s="54">
        <f t="shared" si="11"/>
        <v>9</v>
      </c>
      <c r="V5" s="54">
        <f t="shared" si="12"/>
        <v>27</v>
      </c>
      <c r="W5" s="54">
        <f t="shared" si="13"/>
        <v>60</v>
      </c>
      <c r="X5" s="54">
        <f t="shared" si="14"/>
        <v>51</v>
      </c>
      <c r="Y5" s="54" t="str">
        <f>IFERROR(VLOOKUP(MID(T5,W5,X5-W5),[6]skilldef!$C:$D,2,FALSE),"-") &amp; " / " &amp; IFERROR(VLOOKUP(MID(T5,U5,V5-U5),[6]skilldef!$A:$B,2,FALSE),"-")</f>
        <v>- / -</v>
      </c>
      <c r="Z5" s="44"/>
      <c r="AA5" s="46"/>
      <c r="AB5" s="44"/>
    </row>
    <row r="6" spans="1:28" ht="44" customHeight="1" x14ac:dyDescent="0.15">
      <c r="A6" s="186">
        <v>47013104</v>
      </c>
      <c r="B6" s="204" t="s">
        <v>332</v>
      </c>
      <c r="C6" s="205">
        <v>3</v>
      </c>
      <c r="D6" s="44" t="s">
        <v>333</v>
      </c>
      <c r="E6" s="45" t="s">
        <v>334</v>
      </c>
      <c r="F6" s="45" t="s">
        <v>335</v>
      </c>
      <c r="G6" s="54" t="str">
        <f>IFERROR(LEFT(B6,FIND("],",B6)),B6)</f>
        <v>[effect:enemy_message, val1:1.2, val2:2.7]</v>
      </c>
      <c r="H6" s="54">
        <f>FIND("effect:",G6)+7</f>
        <v>9</v>
      </c>
      <c r="I6" s="54">
        <f>IFERROR(FIND(",",G6),LEN(G6))</f>
        <v>22</v>
      </c>
      <c r="J6" s="54" t="e">
        <f>FIND("target:",G6)+7</f>
        <v>#VALUE!</v>
      </c>
      <c r="K6" s="54">
        <f>FIND(",",G6,I6+1)</f>
        <v>32</v>
      </c>
      <c r="L6" s="54" t="str">
        <f>IFERROR(VLOOKUP(MID(G6,J6,K6-J6),[6]skilldef!$C:$D,2,FALSE),"-") &amp; " / " &amp; IFERROR(VLOOKUP(MID(G6,H6,I6-H6),[6]skilldef!$A:$B,2,FALSE),"-")</f>
        <v>- / -</v>
      </c>
      <c r="M6" s="54" t="str">
        <f>IFERROR(RIGHT(B6,LEN(B6)-FIND("],",B6)-1),"none")</f>
        <v>[effect:force_change_block, new_block:crack_bomb, target:normal, color:block_red, count:7, val:20, animation:change_block],[effect:rush, count:1, val:0.95]</v>
      </c>
      <c r="N6" s="42" t="str">
        <f>IFERROR(LEFT(M6,FIND("],",M6)+S19),M6)</f>
        <v>[effect:force_change_block, new_block:crack_bomb, target:normal, color:block_red, count:7, val:20, animation:change_block],[effect:rush, count:1, val:0.95]</v>
      </c>
      <c r="O6" s="54">
        <f>FIND("effect:",N6)+7</f>
        <v>9</v>
      </c>
      <c r="P6" s="54">
        <f>IFERROR(FIND(",",N6),LEN(N6))</f>
        <v>27</v>
      </c>
      <c r="Q6" s="54">
        <f>FIND("target:",N6)+7</f>
        <v>58</v>
      </c>
      <c r="R6" s="54">
        <f>FIND(",",N6,P6+1)</f>
        <v>49</v>
      </c>
      <c r="S6" s="54" t="str">
        <f>IFERROR(VLOOKUP(MID(N6,Q6,R6-Q6),[6]skilldef!$C:$D,2,FALSE),"-") &amp; " / " &amp; IFERROR(VLOOKUP(MID(N6,O6,P6-O6),[6]skilldef!$A:$B,2,FALSE),"-")</f>
        <v>- / -</v>
      </c>
      <c r="T6" s="42" t="str">
        <f>IFERROR(RIGHT(M6,LEN(M6)-FIND("],",M6)-1),"none")</f>
        <v>[effect:rush, count:1, val:0.95]</v>
      </c>
      <c r="U6" s="54">
        <f>FIND("effect:",T6)+7</f>
        <v>9</v>
      </c>
      <c r="V6" s="54">
        <f>IFERROR(FIND(",",T6),LEN(T6))</f>
        <v>13</v>
      </c>
      <c r="W6" s="54" t="e">
        <f>FIND("target:",T6)+7</f>
        <v>#VALUE!</v>
      </c>
      <c r="X6" s="54">
        <f>FIND(",",T6,V6+1)</f>
        <v>22</v>
      </c>
      <c r="Y6" s="54" t="str">
        <f>IFERROR(VLOOKUP(MID(T6,W6,X6-W6),[6]skilldef!$C:$D,2,FALSE),"-") &amp; " / " &amp; IFERROR(VLOOKUP(MID(T6,U6,V6-U6),[6]skilldef!$A:$B,2,FALSE),"-")</f>
        <v>- / 連続攻撃</v>
      </c>
      <c r="Z6" s="44"/>
      <c r="AA6" s="46"/>
      <c r="AB6" s="44"/>
    </row>
    <row r="7" spans="1:28" ht="45" customHeight="1" x14ac:dyDescent="0.15">
      <c r="A7" s="186">
        <v>47013105</v>
      </c>
      <c r="B7" s="204" t="s">
        <v>336</v>
      </c>
      <c r="C7" s="205">
        <v>3</v>
      </c>
      <c r="D7" s="44" t="s">
        <v>333</v>
      </c>
      <c r="E7" s="45" t="s">
        <v>337</v>
      </c>
      <c r="F7" s="45" t="s">
        <v>338</v>
      </c>
      <c r="G7" s="54" t="str">
        <f>IFERROR(LEFT(B7,FIND("],",B7)),B7)</f>
        <v>[effect:enemy_message, val1:1.2, val2:4.6]</v>
      </c>
      <c r="H7" s="54">
        <f>FIND("effect:",G7)+7</f>
        <v>9</v>
      </c>
      <c r="I7" s="54">
        <f>IFERROR(FIND(",",G7),LEN(G7))</f>
        <v>22</v>
      </c>
      <c r="J7" s="54" t="e">
        <f>FIND("target:",G7)+7</f>
        <v>#VALUE!</v>
      </c>
      <c r="K7" s="54">
        <f>FIND(",",G7,I7+1)</f>
        <v>32</v>
      </c>
      <c r="L7" s="54" t="str">
        <f>IFERROR(VLOOKUP(MID(G7,J7,K7-J7),[6]skilldef!$C:$D,2,FALSE),"-") &amp; " / " &amp; IFERROR(VLOOKUP(MID(G7,H7,I7-H7),[6]skilldef!$A:$B,2,FALSE),"-")</f>
        <v>- / -</v>
      </c>
      <c r="M7" s="54" t="str">
        <f>IFERROR(RIGHT(B7,LEN(B7)-FIND("],",B7)-1),"none")</f>
        <v>[effect:force_change_block, new_block:crack_bomb, target:normal, color:block_red, count:3, val:19, animation:change_block],[effect:force_change_block, new_block:color_break, target:normal, color:block_red, count:2, val:0, animation:change_block],[effect:rush, count:2, val:0.38]</v>
      </c>
      <c r="N7" s="42" t="str">
        <f>IFERROR(LEFT(M7,FIND("],",M7)+S18),M7)</f>
        <v>[effect:force_change_block, new_block:crack_bomb, target:normal, color:block_red, count:3, val:19, animation:change_block],[effect:force_change_block, new_block:color_break, target:normal, color:block_red, count:2, val:0, animation:change_block],[effect:rush, count:2, val:0.38]</v>
      </c>
      <c r="O7" s="54">
        <f>FIND("effect:",N7)+7</f>
        <v>9</v>
      </c>
      <c r="P7" s="54">
        <f>IFERROR(FIND(",",N7),LEN(N7))</f>
        <v>27</v>
      </c>
      <c r="Q7" s="54">
        <f>FIND("target:",N7)+7</f>
        <v>58</v>
      </c>
      <c r="R7" s="54">
        <f>FIND(",",N7,P7+1)</f>
        <v>49</v>
      </c>
      <c r="S7" s="54" t="str">
        <f>IFERROR(VLOOKUP(MID(N7,Q7,R7-Q7),[6]skilldef!$C:$D,2,FALSE),"-") &amp; " / " &amp; IFERROR(VLOOKUP(MID(N7,O7,P7-O7),[6]skilldef!$A:$B,2,FALSE),"-")</f>
        <v>- / -</v>
      </c>
      <c r="T7" s="42" t="str">
        <f>IFERROR(RIGHT(M7,LEN(M7)-FIND("],",M7)-1),"none")</f>
        <v>[effect:force_change_block, new_block:color_break, target:normal, color:block_red, count:2, val:0, animation:change_block],[effect:rush, count:2, val:0.38]</v>
      </c>
      <c r="U7" s="54">
        <f>FIND("effect:",T7)+7</f>
        <v>9</v>
      </c>
      <c r="V7" s="54">
        <f>IFERROR(FIND(",",T7),LEN(T7))</f>
        <v>27</v>
      </c>
      <c r="W7" s="54">
        <f>FIND("target:",T7)+7</f>
        <v>59</v>
      </c>
      <c r="X7" s="54">
        <f>FIND(",",T7,V7+1)</f>
        <v>50</v>
      </c>
      <c r="Y7" s="54" t="str">
        <f>IFERROR(VLOOKUP(MID(T7,W7,X7-W7),[6]skilldef!$C:$D,2,FALSE),"-") &amp; " / " &amp; IFERROR(VLOOKUP(MID(T7,U7,V7-U7),[6]skilldef!$A:$B,2,FALSE),"-")</f>
        <v>- / -</v>
      </c>
      <c r="Z7" s="44"/>
      <c r="AA7" s="46"/>
      <c r="AB7" s="44"/>
    </row>
    <row r="8" spans="1:28" ht="28" customHeight="1" x14ac:dyDescent="0.15">
      <c r="A8" s="186">
        <v>47013106</v>
      </c>
      <c r="B8" s="204" t="s">
        <v>339</v>
      </c>
      <c r="C8" s="205">
        <v>3</v>
      </c>
      <c r="D8" s="44" t="s">
        <v>333</v>
      </c>
      <c r="E8" s="45" t="s">
        <v>340</v>
      </c>
      <c r="F8" s="45" t="s">
        <v>341</v>
      </c>
      <c r="G8" s="54" t="str">
        <f t="shared" si="0"/>
        <v>[effect:enemy_message, val1:1.2, val2:2.9]</v>
      </c>
      <c r="H8" s="54">
        <f t="shared" si="1"/>
        <v>9</v>
      </c>
      <c r="I8" s="54">
        <f t="shared" si="2"/>
        <v>22</v>
      </c>
      <c r="J8" s="54" t="e">
        <f t="shared" si="3"/>
        <v>#VALUE!</v>
      </c>
      <c r="K8" s="54">
        <f t="shared" si="4"/>
        <v>32</v>
      </c>
      <c r="L8" s="54" t="str">
        <f>IFERROR(VLOOKUP(MID(G8,J8,K8-J8),[6]skilldef!$C:$D,2,FALSE),"-") &amp; " / " &amp; IFERROR(VLOOKUP(MID(G8,H8,I8-H8),[6]skilldef!$A:$B,2,FALSE),"-")</f>
        <v>- / -</v>
      </c>
      <c r="M8" s="54" t="str">
        <f t="shared" si="5"/>
        <v>[effect:force_change_block, new_block:block_red, target:block_green, count:0, val:0, animation:change_block],[effect:force_change_block, new_block:block_red, target:block_blue, count:0, val:0, animation:change_block],[effect:rush, count:4, val:0.19]</v>
      </c>
      <c r="N8" s="42" t="str">
        <f>IFERROR(LEFT(M8,FIND("],",M8)+S16),M8)</f>
        <v>[effect:force_change_block, new_block:block_red, target:block_green, count:0, val:0, animation:change_block],[effect:force_change_block, new_block:block_red, target:block_blue, count:0, val:0, animation:change_block],[effect:rush, count:4, val:0.19]</v>
      </c>
      <c r="O8" s="54">
        <f t="shared" si="6"/>
        <v>9</v>
      </c>
      <c r="P8" s="54">
        <f t="shared" si="7"/>
        <v>27</v>
      </c>
      <c r="Q8" s="54">
        <f t="shared" si="8"/>
        <v>57</v>
      </c>
      <c r="R8" s="54">
        <f t="shared" si="9"/>
        <v>48</v>
      </c>
      <c r="S8" s="54" t="str">
        <f>IFERROR(VLOOKUP(MID(N8,Q8,R8-Q8),[6]skilldef!$C:$D,2,FALSE),"-") &amp; " / " &amp; IFERROR(VLOOKUP(MID(N8,O8,P8-O8),[6]skilldef!$A:$B,2,FALSE),"-")</f>
        <v>- / -</v>
      </c>
      <c r="T8" s="42" t="str">
        <f t="shared" si="10"/>
        <v>[effect:force_change_block, new_block:block_red, target:block_blue, count:0, val:0, animation:change_block],[effect:rush, count:4, val:0.19]</v>
      </c>
      <c r="U8" s="54">
        <f t="shared" si="11"/>
        <v>9</v>
      </c>
      <c r="V8" s="54">
        <f t="shared" si="12"/>
        <v>27</v>
      </c>
      <c r="W8" s="54">
        <f t="shared" si="13"/>
        <v>57</v>
      </c>
      <c r="X8" s="54">
        <f t="shared" si="14"/>
        <v>48</v>
      </c>
      <c r="Y8" s="54" t="str">
        <f>IFERROR(VLOOKUP(MID(T8,W8,X8-W8),[6]skilldef!$C:$D,2,FALSE),"-") &amp; " / " &amp; IFERROR(VLOOKUP(MID(T8,U8,V8-U8),[6]skilldef!$A:$B,2,FALSE),"-")</f>
        <v>- / -</v>
      </c>
      <c r="Z8" s="44"/>
      <c r="AA8" s="46"/>
      <c r="AB8" s="44"/>
    </row>
    <row r="9" spans="1:28" ht="28" customHeight="1" x14ac:dyDescent="0.15">
      <c r="A9" s="186">
        <v>47013107</v>
      </c>
      <c r="B9" s="204" t="s">
        <v>342</v>
      </c>
      <c r="C9" s="205">
        <v>3</v>
      </c>
      <c r="D9" s="44" t="s">
        <v>333</v>
      </c>
      <c r="E9" s="45" t="s">
        <v>343</v>
      </c>
      <c r="F9" s="45" t="s">
        <v>344</v>
      </c>
      <c r="G9" s="54" t="str">
        <f t="shared" si="0"/>
        <v>[effect:enemy_message, val1:1.2, val2:2.0]</v>
      </c>
      <c r="H9" s="54">
        <f t="shared" si="1"/>
        <v>9</v>
      </c>
      <c r="I9" s="54">
        <f t="shared" si="2"/>
        <v>22</v>
      </c>
      <c r="J9" s="54" t="e">
        <f t="shared" si="3"/>
        <v>#VALUE!</v>
      </c>
      <c r="K9" s="54">
        <f t="shared" si="4"/>
        <v>32</v>
      </c>
      <c r="L9" s="54" t="str">
        <f>IFERROR(VLOOKUP(MID(G9,J9,K9-J9),[6]skilldef!$C:$D,2,FALSE),"-") &amp; " / " &amp; IFERROR(VLOOKUP(MID(G9,H9,I9-H9),[6]skilldef!$A:$B,2,FALSE),"-")</f>
        <v>- / -</v>
      </c>
      <c r="M9" s="54" t="str">
        <f t="shared" si="5"/>
        <v>[effect:break_attack, target:unit_one, val:0.02, lowest_val:2000, count:-1, color:red, block01:block_yellow, block02:block_blue, block03:block_green]</v>
      </c>
      <c r="N9" s="42" t="str">
        <f>IFERROR(LEFT(M9,FIND("],",M9)+S17),M9)</f>
        <v>[effect:break_attack, target:unit_one, val:0.02, lowest_val:2000, count:-1, color:red, block01:block_yellow, block02:block_blue, block03:block_green]</v>
      </c>
      <c r="O9" s="54">
        <f t="shared" si="6"/>
        <v>9</v>
      </c>
      <c r="P9" s="54">
        <f t="shared" si="7"/>
        <v>21</v>
      </c>
      <c r="Q9" s="54">
        <f t="shared" si="8"/>
        <v>30</v>
      </c>
      <c r="R9" s="54">
        <f t="shared" si="9"/>
        <v>38</v>
      </c>
      <c r="S9" s="54" t="str">
        <f>IFERROR(VLOOKUP(MID(N9,Q9,R9-Q9),[6]skilldef!$C:$D,2,FALSE),"-") &amp; " / " &amp; IFERROR(VLOOKUP(MID(N9,O9,P9-O9),[6]skilldef!$A:$B,2,FALSE),"-")</f>
        <v>味方単体に / -</v>
      </c>
      <c r="T9" s="42" t="str">
        <f t="shared" si="10"/>
        <v>none</v>
      </c>
      <c r="U9" s="54" t="e">
        <f t="shared" si="11"/>
        <v>#VALUE!</v>
      </c>
      <c r="V9" s="54">
        <f t="shared" si="12"/>
        <v>4</v>
      </c>
      <c r="W9" s="54" t="e">
        <f t="shared" si="13"/>
        <v>#VALUE!</v>
      </c>
      <c r="X9" s="54" t="e">
        <f t="shared" si="14"/>
        <v>#VALUE!</v>
      </c>
      <c r="Y9" s="54" t="str">
        <f>IFERROR(VLOOKUP(MID(T9,W9,X9-W9),[6]skilldef!$C:$D,2,FALSE),"-") &amp; " / " &amp; IFERROR(VLOOKUP(MID(T9,U9,V9-U9),[6]skilldef!$A:$B,2,FALSE),"-")</f>
        <v>- / -</v>
      </c>
      <c r="Z9" s="44"/>
      <c r="AA9" s="46"/>
      <c r="AB9" s="44"/>
    </row>
    <row r="10" spans="1:28" ht="43" customHeight="1" x14ac:dyDescent="0.15">
      <c r="A10" s="188">
        <v>47013201</v>
      </c>
      <c r="B10" s="210" t="s">
        <v>345</v>
      </c>
      <c r="C10" s="211">
        <v>3</v>
      </c>
      <c r="D10" s="212" t="s">
        <v>333</v>
      </c>
      <c r="E10" s="213" t="s">
        <v>346</v>
      </c>
      <c r="F10" s="213" t="s">
        <v>347</v>
      </c>
      <c r="G10" s="54" t="str">
        <f t="shared" si="0"/>
        <v>[effect:enemy_message, val1:1.9, val2:3.9]</v>
      </c>
      <c r="H10" s="54">
        <f t="shared" si="1"/>
        <v>9</v>
      </c>
      <c r="I10" s="54">
        <f t="shared" si="2"/>
        <v>22</v>
      </c>
      <c r="J10" s="54" t="e">
        <f t="shared" si="3"/>
        <v>#VALUE!</v>
      </c>
      <c r="K10" s="54">
        <f t="shared" si="4"/>
        <v>32</v>
      </c>
      <c r="L10" s="54" t="str">
        <f>IFERROR(VLOOKUP(MID(G10,J10,K10-J10),[6]skilldef!$C:$D,2,FALSE),"-") &amp; " / " &amp; IFERROR(VLOOKUP(MID(G10,H10,I10-H10),[6]skilldef!$A:$B,2,FALSE),"-")</f>
        <v>- / -</v>
      </c>
      <c r="M10" s="54" t="str">
        <f t="shared" si="5"/>
        <v>[effect:tolerance, target:myself, turn:-1, count:-1, tolerance_effect:all, animation:enemy_tolerance],[effect:drop_block, block_type:jammer, color:block_green, val:0, rate:0.3, turn:5, animation:jammer_influence04],[effect:fix_speed, target:myself, turn:2]</v>
      </c>
      <c r="N10" s="42" t="str">
        <f>IFERROR(LEFT(M10,FIND("],",M10)+#REF!),M10)</f>
        <v>[effect:tolerance, target:myself, turn:-1, count:-1, tolerance_effect:all, animation:enemy_tolerance],[effect:drop_block, block_type:jammer, color:block_green, val:0, rate:0.3, turn:5, animation:jammer_influence04],[effect:fix_speed, target:myself, turn:2]</v>
      </c>
      <c r="O10" s="54">
        <f t="shared" si="6"/>
        <v>9</v>
      </c>
      <c r="P10" s="54">
        <f t="shared" si="7"/>
        <v>18</v>
      </c>
      <c r="Q10" s="54">
        <f t="shared" si="8"/>
        <v>27</v>
      </c>
      <c r="R10" s="54">
        <f t="shared" si="9"/>
        <v>33</v>
      </c>
      <c r="S10" s="54" t="str">
        <f>IFERROR(VLOOKUP(MID(N10,Q10,R10-Q10),[6]skilldef!$C:$D,2,FALSE),"-") &amp; " / " &amp; IFERROR(VLOOKUP(MID(N10,O10,P10-O10),[6]skilldef!$A:$B,2,FALSE),"-")</f>
        <v>自分自身に / 状態異常耐性</v>
      </c>
      <c r="T10" s="42" t="str">
        <f t="shared" si="10"/>
        <v>[effect:drop_block, block_type:jammer, color:block_green, val:0, rate:0.3, turn:5, animation:jammer_influence04],[effect:fix_speed, target:myself, turn:2]</v>
      </c>
      <c r="U10" s="54">
        <f t="shared" si="11"/>
        <v>9</v>
      </c>
      <c r="V10" s="54">
        <f t="shared" si="12"/>
        <v>19</v>
      </c>
      <c r="W10" s="54">
        <f t="shared" si="13"/>
        <v>140</v>
      </c>
      <c r="X10" s="54">
        <f t="shared" si="14"/>
        <v>38</v>
      </c>
      <c r="Y10" s="54" t="str">
        <f>IFERROR(VLOOKUP(MID(T10,W10,X10-W10),[6]skilldef!$C:$D,2,FALSE),"-") &amp; " / " &amp; IFERROR(VLOOKUP(MID(T10,U10,V10-U10),[6]skilldef!$A:$B,2,FALSE),"-")</f>
        <v>- / 特定ブロックの割合ドロップ</v>
      </c>
      <c r="Z10" s="44"/>
      <c r="AA10" s="46"/>
      <c r="AB10" s="44"/>
    </row>
    <row r="11" spans="1:28" ht="43" customHeight="1" x14ac:dyDescent="0.15">
      <c r="A11" s="214">
        <v>47013211</v>
      </c>
      <c r="B11" s="215" t="s">
        <v>348</v>
      </c>
      <c r="C11" s="211">
        <v>3</v>
      </c>
      <c r="D11" s="216" t="s">
        <v>320</v>
      </c>
      <c r="E11" s="217" t="s">
        <v>346</v>
      </c>
      <c r="F11" s="217" t="s">
        <v>349</v>
      </c>
      <c r="G11" s="54" t="str">
        <f t="shared" si="0"/>
        <v>[effect:enemy_message, val1:1.9, val2:3.8]</v>
      </c>
      <c r="H11" s="54">
        <f t="shared" si="1"/>
        <v>9</v>
      </c>
      <c r="I11" s="54">
        <f t="shared" si="2"/>
        <v>22</v>
      </c>
      <c r="J11" s="54" t="e">
        <f t="shared" si="3"/>
        <v>#VALUE!</v>
      </c>
      <c r="K11" s="54">
        <f t="shared" si="4"/>
        <v>32</v>
      </c>
      <c r="L11" s="54" t="str">
        <f>IFERROR(VLOOKUP(MID(G11,J11,K11-J11),[6]skilldef!$C:$D,2,FALSE),"-") &amp; " / " &amp; IFERROR(VLOOKUP(MID(G11,H11,I11-H11),[6]skilldef!$A:$B,2,FALSE),"-")</f>
        <v>- / -</v>
      </c>
      <c r="M11" s="54" t="str">
        <f t="shared" si="5"/>
        <v>[effect:tolerance, target:myself, turn:-1, count:-1, tolerance_effect:all, animation:enemy_tolerance],[effect:drop_block, block_type:jammer, color:block_green, val:0, rate:0.2, turn:5, animation:jammer_influence04],[effect:fix_speed, target:myself, turn:2]</v>
      </c>
      <c r="N11" s="42" t="str">
        <f>IFERROR(LEFT(M11,FIND("],",M11)+#REF!),M11)</f>
        <v>[effect:tolerance, target:myself, turn:-1, count:-1, tolerance_effect:all, animation:enemy_tolerance],[effect:drop_block, block_type:jammer, color:block_green, val:0, rate:0.2, turn:5, animation:jammer_influence04],[effect:fix_speed, target:myself, turn:2]</v>
      </c>
      <c r="O11" s="54">
        <f t="shared" si="6"/>
        <v>9</v>
      </c>
      <c r="P11" s="54">
        <f t="shared" si="7"/>
        <v>18</v>
      </c>
      <c r="Q11" s="54">
        <f t="shared" si="8"/>
        <v>27</v>
      </c>
      <c r="R11" s="54">
        <f t="shared" si="9"/>
        <v>33</v>
      </c>
      <c r="S11" s="54" t="str">
        <f>IFERROR(VLOOKUP(MID(N11,Q11,R11-Q11),[6]skilldef!$C:$D,2,FALSE),"-") &amp; " / " &amp; IFERROR(VLOOKUP(MID(N11,O11,P11-O11),[6]skilldef!$A:$B,2,FALSE),"-")</f>
        <v>自分自身に / 状態異常耐性</v>
      </c>
      <c r="T11" s="42" t="str">
        <f t="shared" si="10"/>
        <v>[effect:drop_block, block_type:jammer, color:block_green, val:0, rate:0.2, turn:5, animation:jammer_influence04],[effect:fix_speed, target:myself, turn:2]</v>
      </c>
      <c r="U11" s="54">
        <f t="shared" si="11"/>
        <v>9</v>
      </c>
      <c r="V11" s="54">
        <f t="shared" si="12"/>
        <v>19</v>
      </c>
      <c r="W11" s="54">
        <f t="shared" si="13"/>
        <v>140</v>
      </c>
      <c r="X11" s="54">
        <f t="shared" si="14"/>
        <v>38</v>
      </c>
      <c r="Y11" s="54" t="str">
        <f>IFERROR(VLOOKUP(MID(T11,W11,X11-W11),[6]skilldef!$C:$D,2,FALSE),"-") &amp; " / " &amp; IFERROR(VLOOKUP(MID(T11,U11,V11-U11),[6]skilldef!$A:$B,2,FALSE),"-")</f>
        <v>- / 特定ブロックの割合ドロップ</v>
      </c>
      <c r="Z11" s="44"/>
      <c r="AA11" s="46"/>
      <c r="AB11" s="44"/>
    </row>
    <row r="12" spans="1:28" ht="28" customHeight="1" x14ac:dyDescent="0.15">
      <c r="A12" s="188">
        <v>47013202</v>
      </c>
      <c r="B12" s="204" t="s">
        <v>350</v>
      </c>
      <c r="C12" s="205">
        <v>3</v>
      </c>
      <c r="D12" s="44" t="s">
        <v>320</v>
      </c>
      <c r="E12" s="45" t="s">
        <v>351</v>
      </c>
      <c r="F12" s="45" t="s">
        <v>352</v>
      </c>
      <c r="G12" s="54" t="str">
        <f t="shared" si="0"/>
        <v>[effect:enemy_message, val1:1.7, val2:3.0]</v>
      </c>
      <c r="H12" s="54">
        <f t="shared" si="1"/>
        <v>9</v>
      </c>
      <c r="I12" s="54">
        <f t="shared" si="2"/>
        <v>22</v>
      </c>
      <c r="J12" s="54" t="e">
        <f t="shared" si="3"/>
        <v>#VALUE!</v>
      </c>
      <c r="K12" s="54">
        <f t="shared" si="4"/>
        <v>32</v>
      </c>
      <c r="L12" s="54" t="str">
        <f>IFERROR(VLOOKUP(MID(G12,J12,K12-J12),[6]skilldef!$C:$D,2,FALSE),"-") &amp; " / " &amp; IFERROR(VLOOKUP(MID(G12,H12,I12-H12),[6]skilldef!$A:$B,2,FALSE),"-")</f>
        <v>- / -</v>
      </c>
      <c r="M12" s="54" t="str">
        <f t="shared" si="5"/>
        <v>[effect:change_panel_ratio, turn:10, block_type:blue, val:0.07, animation:block_incidence04],[effect:rush, count:4, val:0.34]</v>
      </c>
      <c r="N12" s="42" t="str">
        <f>IFERROR(LEFT(M12,FIND("],",M12)+S26),M12)</f>
        <v>[effect:change_panel_ratio, turn:10, block_type:blue, val:0.07, animation:block_incidence04],[effect:rush, count:4, val:0.34]</v>
      </c>
      <c r="O12" s="54">
        <f t="shared" si="6"/>
        <v>9</v>
      </c>
      <c r="P12" s="54">
        <f t="shared" si="7"/>
        <v>27</v>
      </c>
      <c r="Q12" s="54" t="e">
        <f t="shared" si="8"/>
        <v>#VALUE!</v>
      </c>
      <c r="R12" s="54">
        <f t="shared" si="9"/>
        <v>36</v>
      </c>
      <c r="S12" s="54" t="str">
        <f>IFERROR(VLOOKUP(MID(N12,Q12,R12-Q12),[6]skilldef!$C:$D,2,FALSE),"-") &amp; " / " &amp; IFERROR(VLOOKUP(MID(N12,O12,P12-O12),[6]skilldef!$A:$B,2,FALSE),"-")</f>
        <v>- / -</v>
      </c>
      <c r="T12" s="42" t="str">
        <f t="shared" si="10"/>
        <v>[effect:rush, count:4, val:0.34]</v>
      </c>
      <c r="U12" s="54">
        <f t="shared" si="11"/>
        <v>9</v>
      </c>
      <c r="V12" s="54">
        <f t="shared" si="12"/>
        <v>13</v>
      </c>
      <c r="W12" s="54" t="e">
        <f t="shared" si="13"/>
        <v>#VALUE!</v>
      </c>
      <c r="X12" s="54">
        <f t="shared" si="14"/>
        <v>22</v>
      </c>
      <c r="Y12" s="54" t="str">
        <f>IFERROR(VLOOKUP(MID(T12,W12,X12-W12),[6]skilldef!$C:$D,2,FALSE),"-") &amp; " / " &amp; IFERROR(VLOOKUP(MID(T12,U12,V12-U12),[6]skilldef!$A:$B,2,FALSE),"-")</f>
        <v>- / 連続攻撃</v>
      </c>
      <c r="Z12" s="44"/>
      <c r="AA12" s="46"/>
      <c r="AB12" s="44"/>
    </row>
    <row r="13" spans="1:28" ht="46" customHeight="1" x14ac:dyDescent="0.15">
      <c r="A13" s="188">
        <v>47013203</v>
      </c>
      <c r="B13" s="204" t="s">
        <v>353</v>
      </c>
      <c r="C13" s="205">
        <v>3</v>
      </c>
      <c r="D13" s="44" t="s">
        <v>333</v>
      </c>
      <c r="E13" s="45" t="s">
        <v>354</v>
      </c>
      <c r="F13" s="218" t="s">
        <v>355</v>
      </c>
      <c r="G13" s="54" t="str">
        <f t="shared" si="0"/>
        <v>[effect:enemy_message, val1:1.2, val2:4.3]</v>
      </c>
      <c r="H13" s="54">
        <f t="shared" si="1"/>
        <v>9</v>
      </c>
      <c r="I13" s="54">
        <f t="shared" si="2"/>
        <v>22</v>
      </c>
      <c r="J13" s="54" t="e">
        <f t="shared" si="3"/>
        <v>#VALUE!</v>
      </c>
      <c r="K13" s="54">
        <f t="shared" si="4"/>
        <v>32</v>
      </c>
      <c r="L13" s="54" t="str">
        <f>IFERROR(VLOOKUP(MID(G13,J13,K13-J13),[6]skilldef!$C:$D,2,FALSE),"-") &amp; " / " &amp; IFERROR(VLOOKUP(MID(G13,H13,I13-H13),[6]skilldef!$A:$B,2,FALSE),"-")</f>
        <v>- / -</v>
      </c>
      <c r="M13" s="54" t="str">
        <f t="shared" si="5"/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v>
      </c>
      <c r="N13" s="42" t="str">
        <f>IFERROR(LEFT(M13,FIND("],",M13)+S24),M13)</f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v>
      </c>
      <c r="O13" s="54">
        <f t="shared" si="6"/>
        <v>9</v>
      </c>
      <c r="P13" s="54">
        <f t="shared" si="7"/>
        <v>27</v>
      </c>
      <c r="Q13" s="54">
        <f t="shared" si="8"/>
        <v>144</v>
      </c>
      <c r="R13" s="54">
        <f t="shared" si="9"/>
        <v>43</v>
      </c>
      <c r="S13" s="54" t="str">
        <f>IFERROR(VLOOKUP(MID(N13,Q13,R13-Q13),[6]skilldef!$C:$D,2,FALSE),"-") &amp; " / " &amp; IFERROR(VLOOKUP(MID(N13,O13,P13-O13),[6]skilldef!$A:$B,2,FALSE),"-")</f>
        <v>- / -</v>
      </c>
      <c r="T13" s="42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v>
      </c>
      <c r="U13" s="54">
        <f t="shared" si="11"/>
        <v>9</v>
      </c>
      <c r="V13" s="54">
        <f t="shared" si="12"/>
        <v>27</v>
      </c>
      <c r="W13" s="54">
        <f t="shared" si="13"/>
        <v>144</v>
      </c>
      <c r="X13" s="54">
        <f t="shared" si="14"/>
        <v>43</v>
      </c>
      <c r="Y13" s="54" t="str">
        <f>IFERROR(VLOOKUP(MID(T13,W13,X13-W13),[6]skilldef!$C:$D,2,FALSE),"-") &amp; " / " &amp; IFERROR(VLOOKUP(MID(T13,U13,V13-U13),[6]skilldef!$A:$B,2,FALSE),"-")</f>
        <v>- / -</v>
      </c>
      <c r="Z13" s="44"/>
      <c r="AA13" s="46"/>
      <c r="AB13" s="44"/>
    </row>
    <row r="14" spans="1:28" ht="46" customHeight="1" x14ac:dyDescent="0.15">
      <c r="A14" s="214">
        <v>47013213</v>
      </c>
      <c r="B14" s="207" t="s">
        <v>356</v>
      </c>
      <c r="C14" s="205">
        <v>3</v>
      </c>
      <c r="D14" s="208" t="s">
        <v>333</v>
      </c>
      <c r="E14" s="209" t="s">
        <v>354</v>
      </c>
      <c r="F14" s="209" t="s">
        <v>355</v>
      </c>
      <c r="G14" s="54" t="str">
        <f t="shared" si="0"/>
        <v>[effect:enemy_message, val1:1.2, val2:4.3]</v>
      </c>
      <c r="H14" s="54">
        <f t="shared" si="1"/>
        <v>9</v>
      </c>
      <c r="I14" s="54">
        <f t="shared" si="2"/>
        <v>22</v>
      </c>
      <c r="J14" s="54" t="e">
        <f t="shared" si="3"/>
        <v>#VALUE!</v>
      </c>
      <c r="K14" s="54">
        <f t="shared" si="4"/>
        <v>32</v>
      </c>
      <c r="L14" s="54" t="str">
        <f>IFERROR(VLOOKUP(MID(G14,J14,K14-J14),[6]skilldef!$C:$D,2,FALSE),"-") &amp; " / " &amp; IFERROR(VLOOKUP(MID(G14,H14,I14-H14),[6]skilldef!$A:$B,2,FALSE),"-")</f>
        <v>- / -</v>
      </c>
      <c r="M14" s="54" t="str">
        <f t="shared" si="5"/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v>
      </c>
      <c r="N14" s="42" t="str">
        <f>IFERROR(LEFT(M14,FIND("],",M14)+S25),M14)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v>
      </c>
      <c r="O14" s="54">
        <f t="shared" si="6"/>
        <v>9</v>
      </c>
      <c r="P14" s="54">
        <f t="shared" si="7"/>
        <v>27</v>
      </c>
      <c r="Q14" s="54">
        <f t="shared" si="8"/>
        <v>144</v>
      </c>
      <c r="R14" s="54">
        <f t="shared" si="9"/>
        <v>43</v>
      </c>
      <c r="S14" s="54" t="str">
        <f>IFERROR(VLOOKUP(MID(N14,Q14,R14-Q14),[6]skilldef!$C:$D,2,FALSE),"-") &amp; " / " &amp; IFERROR(VLOOKUP(MID(N14,O14,P14-O14),[6]skilldef!$A:$B,2,FALSE),"-")</f>
        <v>- / -</v>
      </c>
      <c r="T14" s="42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v>
      </c>
      <c r="U14" s="54">
        <f t="shared" si="11"/>
        <v>9</v>
      </c>
      <c r="V14" s="54">
        <f t="shared" si="12"/>
        <v>27</v>
      </c>
      <c r="W14" s="54">
        <f t="shared" si="13"/>
        <v>144</v>
      </c>
      <c r="X14" s="54">
        <f t="shared" si="14"/>
        <v>43</v>
      </c>
      <c r="Y14" s="54" t="str">
        <f>IFERROR(VLOOKUP(MID(T14,W14,X14-W14),[6]skilldef!$C:$D,2,FALSE),"-") &amp; " / " &amp; IFERROR(VLOOKUP(MID(T14,U14,V14-U14),[6]skilldef!$A:$B,2,FALSE),"-")</f>
        <v>- / -</v>
      </c>
      <c r="Z14" s="44"/>
      <c r="AA14" s="46"/>
      <c r="AB14" s="44"/>
    </row>
    <row r="15" spans="1:28" ht="28" customHeight="1" x14ac:dyDescent="0.15">
      <c r="A15" s="188">
        <v>47013204</v>
      </c>
      <c r="B15" s="204" t="s">
        <v>357</v>
      </c>
      <c r="C15" s="205">
        <v>3</v>
      </c>
      <c r="D15" s="44" t="s">
        <v>326</v>
      </c>
      <c r="E15" s="45" t="s">
        <v>358</v>
      </c>
      <c r="F15" s="45" t="s">
        <v>359</v>
      </c>
      <c r="G15" s="54" t="str">
        <f t="shared" si="0"/>
        <v>[effect:enemy_message, val1:1.2, val2:2.9]</v>
      </c>
      <c r="H15" s="54">
        <f t="shared" si="1"/>
        <v>9</v>
      </c>
      <c r="I15" s="54">
        <f t="shared" si="2"/>
        <v>22</v>
      </c>
      <c r="J15" s="54" t="e">
        <f t="shared" si="3"/>
        <v>#VALUE!</v>
      </c>
      <c r="K15" s="54">
        <f t="shared" si="4"/>
        <v>32</v>
      </c>
      <c r="L15" s="54" t="str">
        <f>IFERROR(VLOOKUP(MID(G15,J15,K15-J15),[6]skilldef!$C:$D,2,FALSE),"-") &amp; " / " &amp; IFERROR(VLOOKUP(MID(G15,H15,I15-H15),[6]skilldef!$A:$B,2,FALSE),"-")</f>
        <v>- / -</v>
      </c>
      <c r="M15" s="54" t="str">
        <f t="shared" si="5"/>
        <v>[effect:break_attack, target:unit_one, val:0.03, lowest_val:5000, count:-1, color:yellow, block01:jammer],[effect:freq_turn, target:myself, turn:1, val:1, animation:enemy_freq_turn]</v>
      </c>
      <c r="N15" s="42" t="str">
        <f>IFERROR(LEFT(M15,FIND("],",M15)+S27),M15)</f>
        <v>[effect:break_attack, target:unit_one, val:0.03, lowest_val:5000, count:-1, color:yellow, block01:jammer],[effect:freq_turn, target:myself, turn:1, val:1, animation:enemy_freq_turn]</v>
      </c>
      <c r="O15" s="54">
        <f t="shared" si="6"/>
        <v>9</v>
      </c>
      <c r="P15" s="54">
        <f t="shared" si="7"/>
        <v>21</v>
      </c>
      <c r="Q15" s="54">
        <f t="shared" si="8"/>
        <v>30</v>
      </c>
      <c r="R15" s="54">
        <f t="shared" si="9"/>
        <v>38</v>
      </c>
      <c r="S15" s="54" t="str">
        <f>IFERROR(VLOOKUP(MID(N15,Q15,R15-Q15),[6]skilldef!$C:$D,2,FALSE),"-") &amp; " / " &amp; IFERROR(VLOOKUP(MID(N15,O15,P15-O15),[6]skilldef!$A:$B,2,FALSE),"-")</f>
        <v>味方単体に / -</v>
      </c>
      <c r="T15" s="42" t="str">
        <f t="shared" si="10"/>
        <v>[effect:freq_turn, target:myself, turn:1, val:1, animation:enemy_freq_turn]</v>
      </c>
      <c r="U15" s="54">
        <f t="shared" si="11"/>
        <v>9</v>
      </c>
      <c r="V15" s="54">
        <f t="shared" si="12"/>
        <v>18</v>
      </c>
      <c r="W15" s="54">
        <f t="shared" si="13"/>
        <v>27</v>
      </c>
      <c r="X15" s="54">
        <f t="shared" si="14"/>
        <v>33</v>
      </c>
      <c r="Y15" s="54" t="str">
        <f>IFERROR(VLOOKUP(MID(T15,W15,X15-W15),[6]skilldef!$C:$D,2,FALSE),"-") &amp; " / " &amp; IFERROR(VLOOKUP(MID(T15,U15,V15-U15),[6]skilldef!$A:$B,2,FALSE),"-")</f>
        <v>自分自身に / 攻撃頻度がUP</v>
      </c>
      <c r="Z15" s="44"/>
      <c r="AA15" s="46"/>
      <c r="AB15" s="44"/>
    </row>
    <row r="16" spans="1:28" ht="28" customHeight="1" x14ac:dyDescent="0.15">
      <c r="A16" s="188">
        <v>47013205</v>
      </c>
      <c r="B16" s="204" t="s">
        <v>360</v>
      </c>
      <c r="C16" s="205">
        <v>3</v>
      </c>
      <c r="D16" s="44" t="s">
        <v>361</v>
      </c>
      <c r="E16" s="45" t="s">
        <v>362</v>
      </c>
      <c r="F16" s="45" t="s">
        <v>363</v>
      </c>
      <c r="G16" s="54" t="str">
        <f t="shared" si="0"/>
        <v>[effect:enemy_message, val1:1.2, val2:3.4]</v>
      </c>
      <c r="H16" s="54">
        <f t="shared" si="1"/>
        <v>9</v>
      </c>
      <c r="I16" s="54">
        <f t="shared" si="2"/>
        <v>22</v>
      </c>
      <c r="J16" s="54" t="e">
        <f t="shared" si="3"/>
        <v>#VALUE!</v>
      </c>
      <c r="K16" s="54">
        <f t="shared" si="4"/>
        <v>32</v>
      </c>
      <c r="L16" s="54" t="str">
        <f>IFERROR(VLOOKUP(MID(G16,J16,K16-J16),[6]skilldef!$C:$D,2,FALSE),"-") &amp; " / " &amp; IFERROR(VLOOKUP(MID(G16,H16,I16-H16),[6]skilldef!$A:$B,2,FALSE),"-")</f>
        <v>- / -</v>
      </c>
      <c r="M16" s="54" t="str">
        <f t="shared" si="5"/>
        <v>[effect:force_change_block, new_block:crash, target:block_yellow, count:2, val:15, animation:change_block],[effect:rush, count:5, val:0.22]</v>
      </c>
      <c r="N16" s="42" t="str">
        <f>IFERROR(LEFT(M16,FIND("],",M16)+#REF!),M16)</f>
        <v>[effect:force_change_block, new_block:crash, target:block_yellow, count:2, val:15, animation:change_block],[effect:rush, count:5, val:0.22]</v>
      </c>
      <c r="O16" s="54">
        <f t="shared" si="6"/>
        <v>9</v>
      </c>
      <c r="P16" s="54">
        <f t="shared" si="7"/>
        <v>27</v>
      </c>
      <c r="Q16" s="54">
        <f t="shared" si="8"/>
        <v>53</v>
      </c>
      <c r="R16" s="54">
        <f t="shared" si="9"/>
        <v>44</v>
      </c>
      <c r="S16" s="54" t="str">
        <f>IFERROR(VLOOKUP(MID(N16,Q16,R16-Q16),[6]skilldef!$C:$D,2,FALSE),"-") &amp; " / " &amp; IFERROR(VLOOKUP(MID(N16,O16,P16-O16),[6]skilldef!$A:$B,2,FALSE),"-")</f>
        <v>- / -</v>
      </c>
      <c r="T16" s="42" t="str">
        <f t="shared" si="10"/>
        <v>[effect:rush, count:5, val:0.22]</v>
      </c>
      <c r="U16" s="54">
        <f t="shared" si="11"/>
        <v>9</v>
      </c>
      <c r="V16" s="54">
        <f t="shared" si="12"/>
        <v>13</v>
      </c>
      <c r="W16" s="54" t="e">
        <f t="shared" si="13"/>
        <v>#VALUE!</v>
      </c>
      <c r="X16" s="54">
        <f t="shared" si="14"/>
        <v>22</v>
      </c>
      <c r="Y16" s="54" t="str">
        <f>IFERROR(VLOOKUP(MID(T16,W16,X16-W16),[6]skilldef!$C:$D,2,FALSE),"-") &amp; " / " &amp; IFERROR(VLOOKUP(MID(T16,U16,V16-U16),[6]skilldef!$A:$B,2,FALSE),"-")</f>
        <v>- / 連続攻撃</v>
      </c>
      <c r="Z16" s="44"/>
      <c r="AA16" s="46"/>
      <c r="AB16" s="44"/>
    </row>
    <row r="17" spans="1:28" ht="28" customHeight="1" x14ac:dyDescent="0.15">
      <c r="A17" s="188">
        <v>47013206</v>
      </c>
      <c r="B17" s="204" t="s">
        <v>364</v>
      </c>
      <c r="C17" s="205">
        <v>3</v>
      </c>
      <c r="D17" s="44" t="s">
        <v>333</v>
      </c>
      <c r="E17" s="45" t="s">
        <v>365</v>
      </c>
      <c r="F17" s="45" t="s">
        <v>366</v>
      </c>
      <c r="G17" s="54" t="str">
        <f t="shared" si="0"/>
        <v>[effect:enemy_message, val1:1.2, val2:2.3]</v>
      </c>
      <c r="H17" s="54">
        <f t="shared" si="1"/>
        <v>9</v>
      </c>
      <c r="I17" s="54">
        <f t="shared" si="2"/>
        <v>22</v>
      </c>
      <c r="J17" s="54" t="e">
        <f t="shared" si="3"/>
        <v>#VALUE!</v>
      </c>
      <c r="K17" s="54">
        <f t="shared" si="4"/>
        <v>32</v>
      </c>
      <c r="L17" s="54" t="str">
        <f>IFERROR(VLOOKUP(MID(G17,J17,K17-J17),[6]skilldef!$C:$D,2,FALSE),"-") &amp; " / " &amp; IFERROR(VLOOKUP(MID(G17,H17,I17-H17),[6]skilldef!$A:$B,2,FALSE),"-")</f>
        <v>- / -</v>
      </c>
      <c r="M17" s="54" t="str">
        <f t="shared" si="5"/>
        <v>[effect:change_range_block, block_change:1, base_type:0, square_count:5, position01:5, value_h01:2.0, value_w01:5.0, new_block:block_yellow, target:block_all, ignore01:block_positive, count:0, val:0, animation:change_block],[effect:spread, val:0.29]</v>
      </c>
      <c r="N17" s="42" t="str">
        <f>IFERROR(LEFT(M17,FIND("],",M17)+S28),M17)</f>
        <v>[effect:change_range_block, block_change:1, base_type:0, square_count:5, position01:5, value_h01:2.0, value_w01:5.0, new_block:block_yellow, target:block_all, ignore01:block_positive, count:0, val:0, animation:change_block],[effect:spread, val:0.29]</v>
      </c>
      <c r="O17" s="54">
        <f t="shared" si="6"/>
        <v>9</v>
      </c>
      <c r="P17" s="54">
        <f t="shared" si="7"/>
        <v>27</v>
      </c>
      <c r="Q17" s="54">
        <f t="shared" si="8"/>
        <v>149</v>
      </c>
      <c r="R17" s="54">
        <f t="shared" si="9"/>
        <v>43</v>
      </c>
      <c r="S17" s="54" t="str">
        <f>IFERROR(VLOOKUP(MID(N17,Q17,R17-Q17),[6]skilldef!$C:$D,2,FALSE),"-") &amp; " / " &amp; IFERROR(VLOOKUP(MID(N17,O17,P17-O17),[6]skilldef!$A:$B,2,FALSE),"-")</f>
        <v>- / -</v>
      </c>
      <c r="T17" s="42" t="str">
        <f t="shared" si="10"/>
        <v>[effect:spread, val:0.29]</v>
      </c>
      <c r="U17" s="54">
        <f t="shared" si="11"/>
        <v>9</v>
      </c>
      <c r="V17" s="54">
        <f t="shared" si="12"/>
        <v>15</v>
      </c>
      <c r="W17" s="54" t="e">
        <f t="shared" si="13"/>
        <v>#VALUE!</v>
      </c>
      <c r="X17" s="54" t="e">
        <f t="shared" si="14"/>
        <v>#VALUE!</v>
      </c>
      <c r="Y17" s="54" t="str">
        <f>IFERROR(VLOOKUP(MID(T17,W17,X17-W17),[6]skilldef!$C:$D,2,FALSE),"-") &amp; " / " &amp; IFERROR(VLOOKUP(MID(T17,U17,V17-U17),[6]skilldef!$A:$B,2,FALSE),"-")</f>
        <v>- / 全体攻撃</v>
      </c>
      <c r="Z17" s="44"/>
      <c r="AA17" s="46"/>
      <c r="AB17" s="44"/>
    </row>
    <row r="18" spans="1:28" ht="28" customHeight="1" x14ac:dyDescent="0.15">
      <c r="A18" s="188">
        <v>47013207</v>
      </c>
      <c r="B18" s="204" t="s">
        <v>367</v>
      </c>
      <c r="C18" s="205">
        <v>3</v>
      </c>
      <c r="D18" s="44" t="s">
        <v>368</v>
      </c>
      <c r="E18" s="45" t="s">
        <v>369</v>
      </c>
      <c r="F18" s="45" t="s">
        <v>370</v>
      </c>
      <c r="G18" s="54" t="str">
        <f t="shared" si="0"/>
        <v>[effect:enemy_message, val1:1.3, val2:2.2]</v>
      </c>
      <c r="H18" s="54">
        <f t="shared" si="1"/>
        <v>9</v>
      </c>
      <c r="I18" s="54">
        <f t="shared" si="2"/>
        <v>22</v>
      </c>
      <c r="J18" s="54" t="e">
        <f t="shared" si="3"/>
        <v>#VALUE!</v>
      </c>
      <c r="K18" s="54">
        <f t="shared" si="4"/>
        <v>32</v>
      </c>
      <c r="L18" s="54" t="str">
        <f>IFERROR(VLOOKUP(MID(G18,J18,K18-J18),[6]skilldef!$C:$D,2,FALSE),"-") &amp; " / " &amp; IFERROR(VLOOKUP(MID(G18,H18,I18-H18),[6]skilldef!$A:$B,2,FALSE),"-")</f>
        <v>- / -</v>
      </c>
      <c r="M18" s="54" t="str">
        <f t="shared" si="5"/>
        <v>[effect:panel_freeze, target:normal, color:block_green, count:-1],[effect:critical, val:1.28, animation:enemy_critical]</v>
      </c>
      <c r="N18" s="42" t="str">
        <f>IFERROR(LEFT(M18,FIND("],",M18)+S30),M18)</f>
        <v>[effect:panel_freeze, target:normal, color:block_green, count:-1],[effect:critical, val:1.28, animation:enemy_critical]</v>
      </c>
      <c r="O18" s="54">
        <f t="shared" si="6"/>
        <v>9</v>
      </c>
      <c r="P18" s="54">
        <f t="shared" si="7"/>
        <v>21</v>
      </c>
      <c r="Q18" s="54">
        <f t="shared" si="8"/>
        <v>30</v>
      </c>
      <c r="R18" s="54">
        <f t="shared" si="9"/>
        <v>36</v>
      </c>
      <c r="S18" s="54" t="str">
        <f>IFERROR(VLOOKUP(MID(N18,Q18,R18-Q18),[6]skilldef!$C:$D,2,FALSE),"-") &amp; " / " &amp; IFERROR(VLOOKUP(MID(N18,O18,P18-O18),[6]skilldef!$A:$B,2,FALSE),"-")</f>
        <v>- / -</v>
      </c>
      <c r="T18" s="42" t="str">
        <f t="shared" si="10"/>
        <v>[effect:critical, val:1.28, animation:enemy_critical]</v>
      </c>
      <c r="U18" s="54">
        <f t="shared" si="11"/>
        <v>9</v>
      </c>
      <c r="V18" s="54">
        <f t="shared" si="12"/>
        <v>17</v>
      </c>
      <c r="W18" s="54" t="e">
        <f t="shared" si="13"/>
        <v>#VALUE!</v>
      </c>
      <c r="X18" s="54">
        <f t="shared" si="14"/>
        <v>27</v>
      </c>
      <c r="Y18" s="54" t="str">
        <f>IFERROR(VLOOKUP(MID(T18,W18,X18-W18),[6]skilldef!$C:$D,2,FALSE),"-") &amp; " / " &amp; IFERROR(VLOOKUP(MID(T18,U18,V18-U18),[6]skilldef!$A:$B,2,FALSE),"-")</f>
        <v>- / 大攻撃</v>
      </c>
      <c r="Z18" s="44"/>
      <c r="AA18" s="46"/>
      <c r="AB18" s="44"/>
    </row>
    <row r="19" spans="1:28" ht="28" customHeight="1" x14ac:dyDescent="0.15">
      <c r="A19" s="189">
        <v>47013301</v>
      </c>
      <c r="B19" s="204" t="s">
        <v>371</v>
      </c>
      <c r="C19" s="205">
        <v>3</v>
      </c>
      <c r="D19" s="44" t="s">
        <v>372</v>
      </c>
      <c r="E19" s="45" t="s">
        <v>373</v>
      </c>
      <c r="F19" s="45" t="s">
        <v>374</v>
      </c>
      <c r="G19" s="54" t="str">
        <f t="shared" si="0"/>
        <v>[effect:enemy_message, val1:1.9, val2:1.7]</v>
      </c>
      <c r="H19" s="54">
        <f t="shared" si="1"/>
        <v>9</v>
      </c>
      <c r="I19" s="54">
        <f t="shared" si="2"/>
        <v>22</v>
      </c>
      <c r="J19" s="54" t="e">
        <f t="shared" si="3"/>
        <v>#VALUE!</v>
      </c>
      <c r="K19" s="54">
        <f t="shared" si="4"/>
        <v>32</v>
      </c>
      <c r="L19" s="54" t="str">
        <f>IFERROR(VLOOKUP(MID(G19,J19,K19-J19),[6]skilldef!$C:$D,2,FALSE),"-") &amp; " / " &amp; IFERROR(VLOOKUP(MID(G19,H19,I19-H19),[6]skilldef!$A:$B,2,FALSE),"-")</f>
        <v>- / -</v>
      </c>
      <c r="M19" s="54" t="str">
        <f t="shared" si="5"/>
        <v>[effect:tolerance, target:myself, turn:-1, count:-1, tolerance_effect:all, animation:enemy_tolerance],[effect:fix_speed, target:myself, turn:1]</v>
      </c>
      <c r="N19" s="42" t="str">
        <f>IFERROR(LEFT(M19,FIND("],",M19)+S31),M19)</f>
        <v>[effect:tolerance, target:myself, turn:-1, count:-1, tolerance_effect:all, animation:enemy_tolerance],[effect:fix_speed, target:myself, turn:1]</v>
      </c>
      <c r="O19" s="54">
        <f t="shared" si="6"/>
        <v>9</v>
      </c>
      <c r="P19" s="54">
        <f t="shared" si="7"/>
        <v>18</v>
      </c>
      <c r="Q19" s="54">
        <f t="shared" si="8"/>
        <v>27</v>
      </c>
      <c r="R19" s="54">
        <f t="shared" si="9"/>
        <v>33</v>
      </c>
      <c r="S19" s="54" t="str">
        <f>IFERROR(VLOOKUP(MID(N19,Q19,R19-Q19),[6]skilldef!$C:$D,2,FALSE),"-") &amp; " / " &amp; IFERROR(VLOOKUP(MID(N19,O19,P19-O19),[6]skilldef!$A:$B,2,FALSE),"-")</f>
        <v>自分自身に / 状態異常耐性</v>
      </c>
      <c r="T19" s="42" t="str">
        <f t="shared" si="10"/>
        <v>[effect:fix_speed, target:myself, turn:1]</v>
      </c>
      <c r="U19" s="54">
        <f t="shared" si="11"/>
        <v>9</v>
      </c>
      <c r="V19" s="54">
        <f t="shared" si="12"/>
        <v>18</v>
      </c>
      <c r="W19" s="54">
        <f t="shared" si="13"/>
        <v>27</v>
      </c>
      <c r="X19" s="54">
        <f t="shared" si="14"/>
        <v>33</v>
      </c>
      <c r="Y19" s="54" t="str">
        <f>IFERROR(VLOOKUP(MID(T19,W19,X19-W19),[6]skilldef!$C:$D,2,FALSE),"-") &amp; " / " &amp; IFERROR(VLOOKUP(MID(T19,U19,V19-U19),[6]skilldef!$A:$B,2,FALSE),"-")</f>
        <v>自分自身に / 行動値設定</v>
      </c>
      <c r="Z19" s="44"/>
      <c r="AA19" s="46"/>
      <c r="AB19" s="44"/>
    </row>
    <row r="20" spans="1:28" ht="28" customHeight="1" x14ac:dyDescent="0.15">
      <c r="A20" s="206">
        <v>47013311</v>
      </c>
      <c r="B20" s="207" t="s">
        <v>375</v>
      </c>
      <c r="C20" s="205">
        <v>3</v>
      </c>
      <c r="D20" s="208" t="s">
        <v>372</v>
      </c>
      <c r="E20" s="209" t="s">
        <v>373</v>
      </c>
      <c r="F20" s="209" t="s">
        <v>374</v>
      </c>
      <c r="G20" s="54" t="str">
        <f t="shared" si="0"/>
        <v>[effect:enemy_message, val1:1.9, val2:1.2]</v>
      </c>
      <c r="H20" s="54">
        <f t="shared" si="1"/>
        <v>9</v>
      </c>
      <c r="I20" s="54">
        <f t="shared" si="2"/>
        <v>22</v>
      </c>
      <c r="J20" s="54" t="e">
        <f t="shared" si="3"/>
        <v>#VALUE!</v>
      </c>
      <c r="K20" s="54">
        <f t="shared" si="4"/>
        <v>32</v>
      </c>
      <c r="L20" s="54" t="str">
        <f>IFERROR(VLOOKUP(MID(G20,J20,K20-J20),[6]skilldef!$C:$D,2,FALSE),"-") &amp; " / " &amp; IFERROR(VLOOKUP(MID(G20,H20,I20-H20),[6]skilldef!$A:$B,2,FALSE),"-")</f>
        <v>- / -</v>
      </c>
      <c r="M20" s="54" t="str">
        <f t="shared" si="5"/>
        <v>[effect:tolerance, target:myself, turn:-1, count:-1, tolerance_effect:all, animation:enemy_tolerance],[effect:fix_speed, target:myself, turn:1]</v>
      </c>
      <c r="N20" s="42" t="str">
        <f>IFERROR(LEFT(M20,FIND("],",M20)+S32),M20)</f>
        <v>[effect:tolerance, target:myself, turn:-1, count:-1, tolerance_effect:all, animation:enemy_tolerance],[effect:fix_speed, target:myself, turn:1]</v>
      </c>
      <c r="O20" s="54">
        <f t="shared" si="6"/>
        <v>9</v>
      </c>
      <c r="P20" s="54">
        <f t="shared" si="7"/>
        <v>18</v>
      </c>
      <c r="Q20" s="54">
        <f t="shared" si="8"/>
        <v>27</v>
      </c>
      <c r="R20" s="54">
        <f t="shared" si="9"/>
        <v>33</v>
      </c>
      <c r="S20" s="54" t="str">
        <f>IFERROR(VLOOKUP(MID(N20,Q20,R20-Q20),[6]skilldef!$C:$D,2,FALSE),"-") &amp; " / " &amp; IFERROR(VLOOKUP(MID(N20,O20,P20-O20),[6]skilldef!$A:$B,2,FALSE),"-")</f>
        <v>自分自身に / 状態異常耐性</v>
      </c>
      <c r="T20" s="42" t="str">
        <f t="shared" si="10"/>
        <v>[effect:fix_speed, target:myself, turn:1]</v>
      </c>
      <c r="U20" s="54">
        <f t="shared" si="11"/>
        <v>9</v>
      </c>
      <c r="V20" s="54">
        <f t="shared" si="12"/>
        <v>18</v>
      </c>
      <c r="W20" s="54">
        <f t="shared" si="13"/>
        <v>27</v>
      </c>
      <c r="X20" s="54">
        <f t="shared" si="14"/>
        <v>33</v>
      </c>
      <c r="Y20" s="54" t="str">
        <f>IFERROR(VLOOKUP(MID(T20,W20,X20-W20),[6]skilldef!$C:$D,2,FALSE),"-") &amp; " / " &amp; IFERROR(VLOOKUP(MID(T20,U20,V20-U20),[6]skilldef!$A:$B,2,FALSE),"-")</f>
        <v>自分自身に / 行動値設定</v>
      </c>
      <c r="Z20" s="44"/>
      <c r="AA20" s="46"/>
      <c r="AB20" s="44"/>
    </row>
    <row r="21" spans="1:28" ht="41" customHeight="1" x14ac:dyDescent="0.15">
      <c r="A21" s="189">
        <v>47013302</v>
      </c>
      <c r="B21" s="204" t="s">
        <v>376</v>
      </c>
      <c r="C21" s="205">
        <v>3</v>
      </c>
      <c r="D21" s="44" t="s">
        <v>372</v>
      </c>
      <c r="E21" s="45" t="s">
        <v>377</v>
      </c>
      <c r="F21" s="218" t="s">
        <v>378</v>
      </c>
      <c r="G21" s="54" t="str">
        <f t="shared" si="0"/>
        <v>[effect:enemy_message, val1:1.2, val2:3.2]</v>
      </c>
      <c r="H21" s="54">
        <f t="shared" si="1"/>
        <v>9</v>
      </c>
      <c r="I21" s="54">
        <f t="shared" si="2"/>
        <v>22</v>
      </c>
      <c r="J21" s="54" t="e">
        <f t="shared" si="3"/>
        <v>#VALUE!</v>
      </c>
      <c r="K21" s="54">
        <f t="shared" si="4"/>
        <v>32</v>
      </c>
      <c r="L21" s="54" t="str">
        <f>IFERROR(VLOOKUP(MID(G21,J21,K21-J21),[6]skilldef!$C:$D,2,FALSE),"-") &amp; " / " &amp; IFERROR(VLOOKUP(MID(G21,H21,I21-H21),[6]skilldef!$A:$B,2,FALSE),"-")</f>
        <v>- / -</v>
      </c>
      <c r="M21" s="54" t="str">
        <f t="shared" si="5"/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v>
      </c>
      <c r="N21" s="42" t="str">
        <f>IFERROR(LEFT(M21,FIND("],",M21)+S33),M21)</f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v>
      </c>
      <c r="O21" s="54">
        <f t="shared" si="6"/>
        <v>9</v>
      </c>
      <c r="P21" s="54">
        <f t="shared" si="7"/>
        <v>27</v>
      </c>
      <c r="Q21" s="54">
        <f t="shared" si="8"/>
        <v>144</v>
      </c>
      <c r="R21" s="54">
        <f t="shared" si="9"/>
        <v>43</v>
      </c>
      <c r="S21" s="54" t="str">
        <f>IFERROR(VLOOKUP(MID(N21,Q21,R21-Q21),[6]skilldef!$C:$D,2,FALSE),"-") &amp; " / " &amp; IFERROR(VLOOKUP(MID(N21,O21,P21-O21),[6]skilldef!$A:$B,2,FALSE),"-")</f>
        <v>- / -</v>
      </c>
      <c r="T21" s="42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v>
      </c>
      <c r="U21" s="54">
        <f t="shared" si="11"/>
        <v>9</v>
      </c>
      <c r="V21" s="54">
        <f t="shared" si="12"/>
        <v>27</v>
      </c>
      <c r="W21" s="54">
        <f t="shared" si="13"/>
        <v>144</v>
      </c>
      <c r="X21" s="54">
        <f t="shared" si="14"/>
        <v>43</v>
      </c>
      <c r="Y21" s="54" t="str">
        <f>IFERROR(VLOOKUP(MID(T21,W21,X21-W21),[6]skilldef!$C:$D,2,FALSE),"-") &amp; " / " &amp; IFERROR(VLOOKUP(MID(T21,U21,V21-U21),[6]skilldef!$A:$B,2,FALSE),"-")</f>
        <v>- / -</v>
      </c>
      <c r="Z21" s="44"/>
      <c r="AA21" s="46"/>
      <c r="AB21" s="44"/>
    </row>
    <row r="22" spans="1:28" ht="41" customHeight="1" x14ac:dyDescent="0.15">
      <c r="A22" s="206">
        <v>47013312</v>
      </c>
      <c r="B22" s="207" t="s">
        <v>379</v>
      </c>
      <c r="C22" s="205">
        <v>3</v>
      </c>
      <c r="D22" s="208" t="s">
        <v>380</v>
      </c>
      <c r="E22" s="209" t="s">
        <v>377</v>
      </c>
      <c r="F22" s="209" t="s">
        <v>381</v>
      </c>
      <c r="G22" s="54" t="str">
        <f t="shared" si="0"/>
        <v>[effect:enemy_message, val1:1.2, val2:3.2]</v>
      </c>
      <c r="H22" s="54">
        <f t="shared" si="1"/>
        <v>9</v>
      </c>
      <c r="I22" s="54">
        <f t="shared" si="2"/>
        <v>22</v>
      </c>
      <c r="J22" s="54" t="e">
        <f t="shared" si="3"/>
        <v>#VALUE!</v>
      </c>
      <c r="K22" s="54">
        <f t="shared" si="4"/>
        <v>32</v>
      </c>
      <c r="L22" s="54" t="str">
        <f>IFERROR(VLOOKUP(MID(G22,J22,K22-J22),[6]skilldef!$C:$D,2,FALSE),"-") &amp; " / " &amp; IFERROR(VLOOKUP(MID(G22,H22,I22-H22),[6]skilldef!$A:$B,2,FALSE),"-")</f>
        <v>- / -</v>
      </c>
      <c r="M22" s="54" t="str">
        <f t="shared" si="5"/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v>
      </c>
      <c r="N22" s="42" t="str">
        <f>IFERROR(LEFT(M22,FIND("],",M22)+S34),M22)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v>
      </c>
      <c r="O22" s="54">
        <f t="shared" si="6"/>
        <v>9</v>
      </c>
      <c r="P22" s="54">
        <f t="shared" si="7"/>
        <v>27</v>
      </c>
      <c r="Q22" s="54">
        <f t="shared" si="8"/>
        <v>144</v>
      </c>
      <c r="R22" s="54">
        <f t="shared" si="9"/>
        <v>43</v>
      </c>
      <c r="S22" s="54" t="str">
        <f>IFERROR(VLOOKUP(MID(N22,Q22,R22-Q22),[6]skilldef!$C:$D,2,FALSE),"-") &amp; " / " &amp; IFERROR(VLOOKUP(MID(N22,O22,P22-O22),[6]skilldef!$A:$B,2,FALSE),"-")</f>
        <v>- / -</v>
      </c>
      <c r="T22" s="42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v>
      </c>
      <c r="U22" s="54">
        <f t="shared" si="11"/>
        <v>9</v>
      </c>
      <c r="V22" s="54">
        <f t="shared" si="12"/>
        <v>27</v>
      </c>
      <c r="W22" s="54">
        <f t="shared" si="13"/>
        <v>144</v>
      </c>
      <c r="X22" s="54">
        <f t="shared" si="14"/>
        <v>43</v>
      </c>
      <c r="Y22" s="54" t="str">
        <f>IFERROR(VLOOKUP(MID(T22,W22,X22-W22),[6]skilldef!$C:$D,2,FALSE),"-") &amp; " / " &amp; IFERROR(VLOOKUP(MID(T22,U22,V22-U22),[6]skilldef!$A:$B,2,FALSE),"-")</f>
        <v>- / -</v>
      </c>
      <c r="Z22" s="44"/>
      <c r="AA22" s="46"/>
      <c r="AB22" s="44"/>
    </row>
    <row r="23" spans="1:28" ht="45" customHeight="1" x14ac:dyDescent="0.15">
      <c r="A23" s="189">
        <v>47013303</v>
      </c>
      <c r="B23" s="204" t="s">
        <v>382</v>
      </c>
      <c r="C23" s="205">
        <v>3</v>
      </c>
      <c r="D23" s="44" t="s">
        <v>368</v>
      </c>
      <c r="E23" s="45" t="s">
        <v>383</v>
      </c>
      <c r="F23" s="45" t="s">
        <v>384</v>
      </c>
      <c r="G23" s="54" t="str">
        <f t="shared" si="0"/>
        <v>[effect:enemy_message, val1:1.2, val2:4.4]</v>
      </c>
      <c r="H23" s="54">
        <f t="shared" si="1"/>
        <v>9</v>
      </c>
      <c r="I23" s="54">
        <f t="shared" si="2"/>
        <v>22</v>
      </c>
      <c r="J23" s="54" t="e">
        <f t="shared" si="3"/>
        <v>#VALUE!</v>
      </c>
      <c r="K23" s="54">
        <f t="shared" si="4"/>
        <v>32</v>
      </c>
      <c r="L23" s="54" t="str">
        <f>IFERROR(VLOOKUP(MID(G23,J23,K23-J23),[6]skilldef!$C:$D,2,FALSE),"-") &amp; " / " &amp; IFERROR(VLOOKUP(MID(G23,H23,I23-H23),[6]skilldef!$A:$B,2,FALSE),"-")</f>
        <v>- / -</v>
      </c>
      <c r="M23" s="54" t="str">
        <f t="shared" si="5"/>
        <v>[effect:force_change_block, new_block:crack_bomb, target:normal, color:block_yellow, count:20, val:12, animation:change_block],[effect:enhance_unit, target:unit_all, turn:1, status:action, val:2, calc:add],[effect:rush, count:5, val:0.22]</v>
      </c>
      <c r="N23" s="42" t="str">
        <f>IFERROR(LEFT(M23,FIND("],",M23)+S34),M23)</f>
        <v>[effect:force_change_block, new_block:crack_bomb, target:normal, color:block_yellow, count:20, val:12, animation:change_block],[effect:enhance_unit, target:unit_all, turn:1, status:action, val:2, calc:add],[effect:rush, count:5, val:0.22]</v>
      </c>
      <c r="O23" s="54">
        <f t="shared" si="6"/>
        <v>9</v>
      </c>
      <c r="P23" s="54">
        <f t="shared" si="7"/>
        <v>27</v>
      </c>
      <c r="Q23" s="54">
        <f t="shared" si="8"/>
        <v>58</v>
      </c>
      <c r="R23" s="54">
        <f t="shared" si="9"/>
        <v>49</v>
      </c>
      <c r="S23" s="54" t="str">
        <f>IFERROR(VLOOKUP(MID(N23,Q23,R23-Q23),[6]skilldef!$C:$D,2,FALSE),"-") &amp; " / " &amp; IFERROR(VLOOKUP(MID(N23,O23,P23-O23),[6]skilldef!$A:$B,2,FALSE),"-")</f>
        <v>- / -</v>
      </c>
      <c r="T23" s="42" t="str">
        <f t="shared" si="10"/>
        <v>[effect:enhance_unit, target:unit_all, turn:1, status:action, val:2, calc:add],[effect:rush, count:5, val:0.22]</v>
      </c>
      <c r="U23" s="54">
        <f t="shared" si="11"/>
        <v>9</v>
      </c>
      <c r="V23" s="54">
        <f t="shared" si="12"/>
        <v>21</v>
      </c>
      <c r="W23" s="54">
        <f t="shared" si="13"/>
        <v>30</v>
      </c>
      <c r="X23" s="54">
        <f t="shared" si="14"/>
        <v>38</v>
      </c>
      <c r="Y23" s="54" t="str">
        <f>IFERROR(VLOOKUP(MID(T23,W23,X23-W23),[6]skilldef!$C:$D,2,FALSE),"-") &amp; " / " &amp; IFERROR(VLOOKUP(MID(T23,U23,V23-U23),[6]skilldef!$A:$B,2,FALSE),"-")</f>
        <v>味方全体に / -</v>
      </c>
      <c r="Z23" s="44"/>
      <c r="AA23" s="46"/>
      <c r="AB23" s="44"/>
    </row>
    <row r="24" spans="1:28" ht="43" customHeight="1" x14ac:dyDescent="0.15">
      <c r="A24" s="189">
        <v>47013304</v>
      </c>
      <c r="B24" s="204" t="s">
        <v>385</v>
      </c>
      <c r="C24" s="205">
        <v>3</v>
      </c>
      <c r="D24" s="44" t="s">
        <v>368</v>
      </c>
      <c r="E24" s="45" t="s">
        <v>386</v>
      </c>
      <c r="F24" s="45" t="s">
        <v>387</v>
      </c>
      <c r="G24" s="54" t="str">
        <f>IFERROR(LEFT(B24,FIND("],",B24)),B24)</f>
        <v>[effect:enemy_message, val1:1.4, val2:4.6]</v>
      </c>
      <c r="H24" s="54">
        <f>FIND("effect:",G24)+7</f>
        <v>9</v>
      </c>
      <c r="I24" s="54">
        <f>IFERROR(FIND(",",G24),LEN(G24))</f>
        <v>22</v>
      </c>
      <c r="J24" s="54" t="e">
        <f>FIND("target:",G24)+7</f>
        <v>#VALUE!</v>
      </c>
      <c r="K24" s="54">
        <f>FIND(",",G24,I24+1)</f>
        <v>32</v>
      </c>
      <c r="L24" s="54" t="str">
        <f>IFERROR(VLOOKUP(MID(G24,J24,K24-J24),[6]skilldef!$C:$D,2,FALSE),"-") &amp; " / " &amp; IFERROR(VLOOKUP(MID(G24,H24,I24-H24),[6]skilldef!$A:$B,2,FALSE),"-")</f>
        <v>- / -</v>
      </c>
      <c r="M24" s="54" t="str">
        <f>IFERROR(RIGHT(B24,LEN(B24)-FIND("],",B24)-1),"none")</f>
        <v>[effect:force_change_block, new_block:crack_bomb, target:normal, color:block_yellow, count:1, val:25, animation:change_block],[effect:force_change_block,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v>
      </c>
      <c r="N24" s="42" t="str">
        <f>IFERROR(LEFT(M24,FIND("],",M24)+#REF!),M24)</f>
        <v>[effect:force_change_block, new_block:crack_bomb, target:normal, color:block_yellow, count:1, val:25, animation:change_block],[effect:force_change_block,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v>
      </c>
      <c r="O24" s="54">
        <f>FIND("effect:",N24)+7</f>
        <v>9</v>
      </c>
      <c r="P24" s="54">
        <f>IFERROR(FIND(",",N24),LEN(N24))</f>
        <v>27</v>
      </c>
      <c r="Q24" s="54">
        <f>FIND("target:",N24)+7</f>
        <v>58</v>
      </c>
      <c r="R24" s="54">
        <f>FIND(",",N24,P24+1)</f>
        <v>49</v>
      </c>
      <c r="S24" s="54" t="str">
        <f>IFERROR(VLOOKUP(MID(N24,Q24,R24-Q24),[6]skilldef!$C:$D,2,FALSE),"-") &amp; " / " &amp; IFERROR(VLOOKUP(MID(N24,O24,P24-O24),[6]skilldef!$A:$B,2,FALSE),"-")</f>
        <v>- / -</v>
      </c>
      <c r="T24" s="42" t="str">
        <f>IFERROR(RIGHT(M24,LEN(M24)-FIND("],",M24)-1),"none")</f>
        <v>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v>
      </c>
      <c r="U24" s="54">
        <f>FIND("effect:",T24)+7</f>
        <v>9</v>
      </c>
      <c r="V24" s="54">
        <f>IFERROR(FIND(",",T24),LEN(T24))</f>
        <v>27</v>
      </c>
      <c r="W24" s="54">
        <f>FIND("target:",T24)+7</f>
        <v>58</v>
      </c>
      <c r="X24" s="54">
        <f>FIND(",",T24,V24+1)</f>
        <v>49</v>
      </c>
      <c r="Y24" s="54" t="str">
        <f>IFERROR(VLOOKUP(MID(T24,W24,X24-W24),[6]skilldef!$C:$D,2,FALSE),"-") &amp; " / " &amp; IFERROR(VLOOKUP(MID(T24,U24,V24-U24),[6]skilldef!$A:$B,2,FALSE),"-")</f>
        <v>- / -</v>
      </c>
      <c r="Z24" s="44"/>
      <c r="AA24" s="46"/>
      <c r="AB24" s="44"/>
    </row>
    <row r="25" spans="1:28" ht="28" customHeight="1" x14ac:dyDescent="0.15">
      <c r="A25" s="189">
        <v>47013305</v>
      </c>
      <c r="B25" s="204" t="s">
        <v>388</v>
      </c>
      <c r="C25" s="205">
        <v>3</v>
      </c>
      <c r="D25" s="44" t="s">
        <v>389</v>
      </c>
      <c r="E25" s="45" t="s">
        <v>365</v>
      </c>
      <c r="F25" s="45" t="s">
        <v>366</v>
      </c>
      <c r="G25" s="54" t="str">
        <f t="shared" ref="G25" si="15">IFERROR(LEFT(B25,FIND("],",B25)),B25)</f>
        <v>[effect:enemy_message, val1:1.2, val2:2.3]</v>
      </c>
      <c r="H25" s="54">
        <f t="shared" ref="H25" si="16">FIND("effect:",G25)+7</f>
        <v>9</v>
      </c>
      <c r="I25" s="54">
        <f t="shared" ref="I25" si="17">IFERROR(FIND(",",G25),LEN(G25))</f>
        <v>22</v>
      </c>
      <c r="J25" s="54" t="e">
        <f t="shared" ref="J25" si="18">FIND("target:",G25)+7</f>
        <v>#VALUE!</v>
      </c>
      <c r="K25" s="54">
        <f t="shared" ref="K25" si="19">FIND(",",G25,I25+1)</f>
        <v>32</v>
      </c>
      <c r="L25" s="54" t="str">
        <f>IFERROR(VLOOKUP(MID(G25,J25,K25-J25),[6]skilldef!$C:$D,2,FALSE),"-") &amp; " / " &amp; IFERROR(VLOOKUP(MID(G25,H25,I25-H25),[6]skilldef!$A:$B,2,FALSE),"-")</f>
        <v>- / -</v>
      </c>
      <c r="M25" s="54" t="str">
        <f t="shared" ref="M25" si="20">IFERROR(RIGHT(B25,LEN(B25)-FIND("],",B25)-1),"none")</f>
        <v>[effect:change_range_block, block_change:1, base_type:0, square_count:5, position01:5, value_h01:3.0, value_w01:5.0, new_block:block_yellow, target:block_all, ignore01:block_positive, count:0, val:0, animation:change_block],[effect:spread, val:0.23]</v>
      </c>
      <c r="N25" s="42" t="str">
        <f>IFERROR(LEFT(M25,FIND("],",M25)+S31),M25)</f>
        <v>[effect:change_range_block, block_change:1, base_type:0, square_count:5, position01:5, value_h01:3.0, value_w01:5.0, new_block:block_yellow, target:block_all, ignore01:block_positive, count:0, val:0, animation:change_block],[effect:spread, val:0.23]</v>
      </c>
      <c r="O25" s="54">
        <f t="shared" ref="O25" si="21">FIND("effect:",N25)+7</f>
        <v>9</v>
      </c>
      <c r="P25" s="54">
        <f t="shared" ref="P25" si="22">IFERROR(FIND(",",N25),LEN(N25))</f>
        <v>27</v>
      </c>
      <c r="Q25" s="54">
        <f t="shared" ref="Q25" si="23">FIND("target:",N25)+7</f>
        <v>149</v>
      </c>
      <c r="R25" s="54">
        <f t="shared" ref="R25" si="24">FIND(",",N25,P25+1)</f>
        <v>43</v>
      </c>
      <c r="S25" s="54" t="str">
        <f>IFERROR(VLOOKUP(MID(N25,Q25,R25-Q25),[6]skilldef!$C:$D,2,FALSE),"-") &amp; " / " &amp; IFERROR(VLOOKUP(MID(N25,O25,P25-O25),[6]skilldef!$A:$B,2,FALSE),"-")</f>
        <v>- / -</v>
      </c>
      <c r="T25" s="42" t="str">
        <f t="shared" ref="T25" si="25">IFERROR(RIGHT(M25,LEN(M25)-FIND("],",M25)-1),"none")</f>
        <v>[effect:spread, val:0.23]</v>
      </c>
      <c r="U25" s="54">
        <f t="shared" ref="U25" si="26">FIND("effect:",T25)+7</f>
        <v>9</v>
      </c>
      <c r="V25" s="54">
        <f t="shared" ref="V25" si="27">IFERROR(FIND(",",T25),LEN(T25))</f>
        <v>15</v>
      </c>
      <c r="W25" s="54" t="e">
        <f t="shared" ref="W25" si="28">FIND("target:",T25)+7</f>
        <v>#VALUE!</v>
      </c>
      <c r="X25" s="54" t="e">
        <f t="shared" ref="X25" si="29">FIND(",",T25,V25+1)</f>
        <v>#VALUE!</v>
      </c>
      <c r="Y25" s="54" t="str">
        <f>IFERROR(VLOOKUP(MID(T25,W25,X25-W25),[6]skilldef!$C:$D,2,FALSE),"-") &amp; " / " &amp; IFERROR(VLOOKUP(MID(T25,U25,V25-U25),[6]skilldef!$A:$B,2,FALSE),"-")</f>
        <v>- / 全体攻撃</v>
      </c>
      <c r="Z25" s="44"/>
      <c r="AA25" s="46"/>
      <c r="AB25" s="44"/>
    </row>
    <row r="26" spans="1:28" ht="28" customHeight="1" x14ac:dyDescent="0.15">
      <c r="A26" s="189">
        <v>47013306</v>
      </c>
      <c r="B26" s="204" t="s">
        <v>390</v>
      </c>
      <c r="C26" s="205">
        <v>3</v>
      </c>
      <c r="D26" s="44" t="s">
        <v>372</v>
      </c>
      <c r="E26" s="45" t="s">
        <v>391</v>
      </c>
      <c r="F26" s="45" t="s">
        <v>344</v>
      </c>
      <c r="G26" s="54" t="str">
        <f t="shared" si="0"/>
        <v>[effect:enemy_message, val1:1.2, val2:2.0]</v>
      </c>
      <c r="H26" s="54">
        <f t="shared" si="1"/>
        <v>9</v>
      </c>
      <c r="I26" s="54">
        <f t="shared" si="2"/>
        <v>22</v>
      </c>
      <c r="J26" s="54" t="e">
        <f t="shared" si="3"/>
        <v>#VALUE!</v>
      </c>
      <c r="K26" s="54">
        <f t="shared" si="4"/>
        <v>32</v>
      </c>
      <c r="L26" s="54" t="str">
        <f>IFERROR(VLOOKUP(MID(G26,J26,K26-J26),[6]skilldef!$C:$D,2,FALSE),"-") &amp; " / " &amp; IFERROR(VLOOKUP(MID(G26,H26,I26-H26),[6]skilldef!$A:$B,2,FALSE),"-")</f>
        <v>- / -</v>
      </c>
      <c r="M26" s="54" t="str">
        <f t="shared" si="5"/>
        <v>[effect:break_attack, target:unit_all, val:0.01, lowest_val:200, count:-1, color:yellow, block01:block_yellow, block02:block_blue, block03:block_green]</v>
      </c>
      <c r="N26" s="42" t="str">
        <f>IFERROR(LEFT(M26,FIND("],",M26)+S32),M26)</f>
        <v>[effect:break_attack, target:unit_all, val:0.01, lowest_val:200, count:-1, color:yellow, block01:block_yellow, block02:block_blue, block03:block_green]</v>
      </c>
      <c r="O26" s="54">
        <f t="shared" si="6"/>
        <v>9</v>
      </c>
      <c r="P26" s="54">
        <f t="shared" si="7"/>
        <v>21</v>
      </c>
      <c r="Q26" s="54">
        <f t="shared" si="8"/>
        <v>30</v>
      </c>
      <c r="R26" s="54">
        <f t="shared" si="9"/>
        <v>38</v>
      </c>
      <c r="S26" s="54" t="str">
        <f>IFERROR(VLOOKUP(MID(N26,Q26,R26-Q26),[6]skilldef!$C:$D,2,FALSE),"-") &amp; " / " &amp; IFERROR(VLOOKUP(MID(N26,O26,P26-O26),[6]skilldef!$A:$B,2,FALSE),"-")</f>
        <v>味方全体に / -</v>
      </c>
      <c r="T26" s="42" t="str">
        <f t="shared" si="10"/>
        <v>none</v>
      </c>
      <c r="U26" s="54" t="e">
        <f t="shared" si="11"/>
        <v>#VALUE!</v>
      </c>
      <c r="V26" s="54">
        <f t="shared" si="12"/>
        <v>4</v>
      </c>
      <c r="W26" s="54" t="e">
        <f t="shared" si="13"/>
        <v>#VALUE!</v>
      </c>
      <c r="X26" s="54" t="e">
        <f t="shared" si="14"/>
        <v>#VALUE!</v>
      </c>
      <c r="Y26" s="54" t="str">
        <f>IFERROR(VLOOKUP(MID(T26,W26,X26-W26),[6]skilldef!$C:$D,2,FALSE),"-") &amp; " / " &amp; IFERROR(VLOOKUP(MID(T26,U26,V26-U26),[6]skilldef!$A:$B,2,FALSE),"-")</f>
        <v>- / -</v>
      </c>
      <c r="Z26" s="44"/>
      <c r="AA26" s="46"/>
      <c r="AB26" s="44"/>
    </row>
    <row r="27" spans="1:28" ht="28" customHeight="1" thickBot="1" x14ac:dyDescent="0.2">
      <c r="A27" s="219">
        <v>47013307</v>
      </c>
      <c r="B27" s="220" t="s">
        <v>392</v>
      </c>
      <c r="C27" s="221">
        <v>3</v>
      </c>
      <c r="D27" s="222" t="s">
        <v>393</v>
      </c>
      <c r="E27" s="223" t="s">
        <v>394</v>
      </c>
      <c r="F27" s="223" t="s">
        <v>395</v>
      </c>
      <c r="G27" s="54" t="str">
        <f t="shared" si="0"/>
        <v>[effect:enemy_message, val1:1.2, val2:2.9]</v>
      </c>
      <c r="H27" s="54">
        <f t="shared" si="1"/>
        <v>9</v>
      </c>
      <c r="I27" s="54">
        <f t="shared" si="2"/>
        <v>22</v>
      </c>
      <c r="J27" s="54" t="e">
        <f t="shared" si="3"/>
        <v>#VALUE!</v>
      </c>
      <c r="K27" s="54">
        <f t="shared" si="4"/>
        <v>32</v>
      </c>
      <c r="L27" s="54" t="str">
        <f>IFERROR(VLOOKUP(MID(G27,J27,K27-J27),[6]skilldef!$C:$D,2,FALSE),"-") &amp; " / " &amp; IFERROR(VLOOKUP(MID(G27,H27,I27-H27),[6]skilldef!$A:$B,2,FALSE),"-")</f>
        <v>- / -</v>
      </c>
      <c r="M27" s="54" t="str">
        <f t="shared" si="5"/>
        <v>[effect:force_change_block, new_block:jammer, target:block_blue, count:6, val:0, animation:change_block],[effect:critical, val:1.1, animation:enemy_critical]</v>
      </c>
      <c r="N27" s="42" t="str">
        <f>IFERROR(LEFT(M27,FIND("],",M27)+S35),M27)</f>
        <v>[effect:force_change_block, new_block:jammer, target:block_blue, count:6, val:0, animation:change_block],[effect:critical, val:1.1, animation:enemy_critical]</v>
      </c>
      <c r="O27" s="54">
        <f t="shared" si="6"/>
        <v>9</v>
      </c>
      <c r="P27" s="54">
        <f t="shared" si="7"/>
        <v>27</v>
      </c>
      <c r="Q27" s="54">
        <f t="shared" si="8"/>
        <v>54</v>
      </c>
      <c r="R27" s="54">
        <f t="shared" si="9"/>
        <v>45</v>
      </c>
      <c r="S27" s="54" t="str">
        <f>IFERROR(VLOOKUP(MID(N27,Q27,R27-Q27),[6]skilldef!$C:$D,2,FALSE),"-") &amp; " / " &amp; IFERROR(VLOOKUP(MID(N27,O27,P27-O27),[6]skilldef!$A:$B,2,FALSE),"-")</f>
        <v>- / -</v>
      </c>
      <c r="T27" s="42" t="str">
        <f t="shared" si="10"/>
        <v>[effect:critical, val:1.1, animation:enemy_critical]</v>
      </c>
      <c r="U27" s="54">
        <f t="shared" si="11"/>
        <v>9</v>
      </c>
      <c r="V27" s="54">
        <f t="shared" si="12"/>
        <v>17</v>
      </c>
      <c r="W27" s="54" t="e">
        <f t="shared" si="13"/>
        <v>#VALUE!</v>
      </c>
      <c r="X27" s="54">
        <f t="shared" si="14"/>
        <v>26</v>
      </c>
      <c r="Y27" s="54" t="str">
        <f>IFERROR(VLOOKUP(MID(T27,W27,X27-W27),[6]skilldef!$C:$D,2,FALSE),"-") &amp; " / " &amp; IFERROR(VLOOKUP(MID(T27,U27,V27-U27),[6]skilldef!$A:$B,2,FALSE),"-")</f>
        <v>- / 大攻撃</v>
      </c>
      <c r="Z27" s="44"/>
      <c r="AA27" s="46"/>
      <c r="AB27" s="44"/>
    </row>
    <row r="28" spans="1:28" ht="42" customHeight="1" thickTop="1" x14ac:dyDescent="0.15">
      <c r="A28" s="190">
        <v>47013401</v>
      </c>
      <c r="B28" s="210" t="s">
        <v>396</v>
      </c>
      <c r="C28" s="211">
        <v>3</v>
      </c>
      <c r="D28" s="212" t="s">
        <v>393</v>
      </c>
      <c r="E28" s="213" t="s">
        <v>397</v>
      </c>
      <c r="F28" s="213" t="s">
        <v>398</v>
      </c>
      <c r="G28" s="54" t="str">
        <f t="shared" si="0"/>
        <v>[effect:enemy_message, val1:3.2, val2:6.0]</v>
      </c>
      <c r="H28" s="54">
        <f t="shared" si="1"/>
        <v>9</v>
      </c>
      <c r="I28" s="54">
        <f t="shared" si="2"/>
        <v>22</v>
      </c>
      <c r="J28" s="54" t="e">
        <f t="shared" si="3"/>
        <v>#VALUE!</v>
      </c>
      <c r="K28" s="54">
        <f t="shared" si="4"/>
        <v>32</v>
      </c>
      <c r="L28" s="54" t="str">
        <f>IFERROR(VLOOKUP(MID(G28,J28,K28-J28),[6]skilldef!$C:$D,2,FALSE),"-") &amp; " / " &amp; IFERROR(VLOOKUP(MID(G28,H28,I28-H28),[6]skilldef!$A:$B,2,FALSE),"-")</f>
        <v>- / -</v>
      </c>
      <c r="M28" s="54" t="str">
        <f t="shared" si="5"/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N28" s="42" t="str">
        <f>IFERROR(LEFT(M28,FIND("],",M28)+S39),M28)</f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O28" s="54">
        <f t="shared" si="6"/>
        <v>9</v>
      </c>
      <c r="P28" s="54">
        <f t="shared" si="7"/>
        <v>18</v>
      </c>
      <c r="Q28" s="54">
        <f t="shared" si="8"/>
        <v>27</v>
      </c>
      <c r="R28" s="54">
        <f t="shared" si="9"/>
        <v>33</v>
      </c>
      <c r="S28" s="54" t="str">
        <f>IFERROR(VLOOKUP(MID(N28,Q28,R28-Q28),[6]skilldef!$C:$D,2,FALSE),"-") &amp; " / " &amp; IFERROR(VLOOKUP(MID(N28,O28,P28-O28),[6]skilldef!$A:$B,2,FALSE),"-")</f>
        <v>自分自身に / 状態異常耐性</v>
      </c>
      <c r="T28" s="42" t="str">
        <f t="shared" si="10"/>
        <v>[effect:change_panel_ratio, turn:10, block_type:red, val:0.07, animation:block_incidence04],[effect:change_bomb_range, target:unit_hp/unit_heal, val:1.3, rate:1, turn:7, animation:bomb_big],[effect:fix_speed, target:myself, turn:2]</v>
      </c>
      <c r="U28" s="54">
        <f t="shared" si="11"/>
        <v>9</v>
      </c>
      <c r="V28" s="54">
        <f t="shared" si="12"/>
        <v>27</v>
      </c>
      <c r="W28" s="54">
        <f t="shared" si="13"/>
        <v>127</v>
      </c>
      <c r="X28" s="54">
        <f t="shared" si="14"/>
        <v>36</v>
      </c>
      <c r="Y28" s="54" t="str">
        <f>IFERROR(VLOOKUP(MID(T28,W28,X28-W28),[6]skilldef!$C:$D,2,FALSE),"-") &amp; " / " &amp; IFERROR(VLOOKUP(MID(T28,U28,V28-U28),[6]skilldef!$A:$B,2,FALSE),"-")</f>
        <v>- / -</v>
      </c>
      <c r="Z28" s="44"/>
      <c r="AA28" s="46"/>
      <c r="AB28" s="44"/>
    </row>
    <row r="29" spans="1:28" ht="42" customHeight="1" x14ac:dyDescent="0.15">
      <c r="A29" s="190">
        <v>47013402</v>
      </c>
      <c r="B29" s="210" t="s">
        <v>399</v>
      </c>
      <c r="C29" s="211">
        <v>3</v>
      </c>
      <c r="D29" s="212" t="s">
        <v>393</v>
      </c>
      <c r="E29" s="213" t="s">
        <v>400</v>
      </c>
      <c r="F29" s="213" t="s">
        <v>398</v>
      </c>
      <c r="G29" s="54" t="str">
        <f t="shared" si="0"/>
        <v>[effect:enemy_message, val1:3.1, val2:6.0]</v>
      </c>
      <c r="H29" s="54">
        <f t="shared" si="1"/>
        <v>9</v>
      </c>
      <c r="I29" s="54">
        <f t="shared" si="2"/>
        <v>22</v>
      </c>
      <c r="J29" s="54" t="e">
        <f t="shared" si="3"/>
        <v>#VALUE!</v>
      </c>
      <c r="K29" s="54">
        <f t="shared" si="4"/>
        <v>32</v>
      </c>
      <c r="L29" s="54" t="str">
        <f>IFERROR(VLOOKUP(MID(G29,J29,K29-J29),[6]skilldef!$C:$D,2,FALSE),"-") &amp; " / " &amp; IFERROR(VLOOKUP(MID(G29,H29,I29-H29),[6]skilldef!$A:$B,2,FALSE),"-")</f>
        <v>- / -</v>
      </c>
      <c r="M29" s="54" t="str">
        <f t="shared" si="5"/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N29" s="42" t="str">
        <f>IFERROR(LEFT(M29,FIND("],",M29)+S40),M29)</f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O29" s="54">
        <f t="shared" si="6"/>
        <v>9</v>
      </c>
      <c r="P29" s="54">
        <f t="shared" si="7"/>
        <v>18</v>
      </c>
      <c r="Q29" s="54">
        <f t="shared" si="8"/>
        <v>27</v>
      </c>
      <c r="R29" s="54">
        <f t="shared" si="9"/>
        <v>33</v>
      </c>
      <c r="S29" s="54" t="str">
        <f>IFERROR(VLOOKUP(MID(N29,Q29,R29-Q29),[6]skilldef!$C:$D,2,FALSE),"-") &amp; " / " &amp; IFERROR(VLOOKUP(MID(N29,O29,P29-O29),[6]skilldef!$A:$B,2,FALSE),"-")</f>
        <v>自分自身に / 状態異常耐性</v>
      </c>
      <c r="T29" s="42" t="str">
        <f t="shared" si="10"/>
        <v>[effect:change_panel_ratio, turn:10, block_type:red, val:0.07, animation:block_incidence04],[effect:change_bomb_range, target:unit_hp/unit_heal, val:1.3, rate:1, turn:7, animation:bomb_big],[effect:fix_speed, target:myself, turn:2]</v>
      </c>
      <c r="U29" s="54">
        <f t="shared" si="11"/>
        <v>9</v>
      </c>
      <c r="V29" s="54">
        <f t="shared" si="12"/>
        <v>27</v>
      </c>
      <c r="W29" s="54">
        <f t="shared" si="13"/>
        <v>127</v>
      </c>
      <c r="X29" s="54">
        <f t="shared" si="14"/>
        <v>36</v>
      </c>
      <c r="Y29" s="54" t="str">
        <f>IFERROR(VLOOKUP(MID(T29,W29,X29-W29),[6]skilldef!$C:$D,2,FALSE),"-") &amp; " / " &amp; IFERROR(VLOOKUP(MID(T29,U29,V29-U29),[6]skilldef!$A:$B,2,FALSE),"-")</f>
        <v>- / -</v>
      </c>
      <c r="Z29" s="44"/>
      <c r="AA29" s="46"/>
      <c r="AB29" s="44"/>
    </row>
    <row r="30" spans="1:28" ht="43" customHeight="1" x14ac:dyDescent="0.15">
      <c r="A30" s="190">
        <v>47013403</v>
      </c>
      <c r="B30" s="204" t="s">
        <v>401</v>
      </c>
      <c r="C30" s="205">
        <v>3</v>
      </c>
      <c r="D30" s="44" t="s">
        <v>393</v>
      </c>
      <c r="E30" s="213" t="s">
        <v>402</v>
      </c>
      <c r="F30" s="45" t="s">
        <v>403</v>
      </c>
      <c r="G30" s="54" t="str">
        <f t="shared" si="0"/>
        <v>[effect:enemy_message, val1:2.0, val2:4.9]</v>
      </c>
      <c r="H30" s="54">
        <f t="shared" si="1"/>
        <v>9</v>
      </c>
      <c r="I30" s="54">
        <f t="shared" si="2"/>
        <v>22</v>
      </c>
      <c r="J30" s="54" t="e">
        <f t="shared" si="3"/>
        <v>#VALUE!</v>
      </c>
      <c r="K30" s="54">
        <f t="shared" si="4"/>
        <v>32</v>
      </c>
      <c r="L30" s="54" t="str">
        <f>IFERROR(VLOOKUP(MID(G30,J30,K30-J30),[6]skilldef!$C:$D,2,FALSE),"-") &amp; " / " &amp; IFERROR(VLOOKUP(MID(G30,H30,I30-H30),[6]skilldef!$A:$B,2,FALSE),"-")</f>
        <v>- / -</v>
      </c>
      <c r="M30" s="54" t="str">
        <f t="shared" si="5"/>
        <v>[effect:drop_block, block_type:crack_bomb, block_color:block_red, color:block_all, val:12, rate:0.1, turn:5, animation:bomb_influence04],[effect:spread, val:0.28],[effect:freq_turn, target:myself, turn:1, val:1, animation:enemy_freq_turn]</v>
      </c>
      <c r="N30" s="42" t="str">
        <f>IFERROR(LEFT(M30,FIND("],",M30)+S40),M30)</f>
        <v>[effect:drop_block, block_type:crack_bomb, block_color:block_red, color:block_all, val:12, rate:0.1, turn:5, animation:bomb_influence04],[effect:spread, val:0.28],[effect:freq_turn, target:myself, turn:1, val:1, animation:enemy_freq_turn]</v>
      </c>
      <c r="O30" s="54">
        <f t="shared" si="6"/>
        <v>9</v>
      </c>
      <c r="P30" s="54">
        <f t="shared" si="7"/>
        <v>19</v>
      </c>
      <c r="Q30" s="54">
        <f t="shared" si="8"/>
        <v>190</v>
      </c>
      <c r="R30" s="54">
        <f t="shared" si="9"/>
        <v>42</v>
      </c>
      <c r="S30" s="54" t="str">
        <f>IFERROR(VLOOKUP(MID(N30,Q30,R30-Q30),[6]skilldef!$C:$D,2,FALSE),"-") &amp; " / " &amp; IFERROR(VLOOKUP(MID(N30,O30,P30-O30),[6]skilldef!$A:$B,2,FALSE),"-")</f>
        <v>- / 特定ブロックの割合ドロップ</v>
      </c>
      <c r="T30" s="42" t="str">
        <f t="shared" si="10"/>
        <v>[effect:spread, val:0.28],[effect:freq_turn, target:myself, turn:1, val:1, animation:enemy_freq_turn]</v>
      </c>
      <c r="U30" s="54">
        <f t="shared" si="11"/>
        <v>9</v>
      </c>
      <c r="V30" s="54">
        <f t="shared" si="12"/>
        <v>15</v>
      </c>
      <c r="W30" s="54">
        <f t="shared" si="13"/>
        <v>53</v>
      </c>
      <c r="X30" s="54">
        <f t="shared" si="14"/>
        <v>26</v>
      </c>
      <c r="Y30" s="54" t="str">
        <f>IFERROR(VLOOKUP(MID(T30,W30,X30-W30),[6]skilldef!$C:$D,2,FALSE),"-") &amp; " / " &amp; IFERROR(VLOOKUP(MID(T30,U30,V30-U30),[6]skilldef!$A:$B,2,FALSE),"-")</f>
        <v>- / 全体攻撃</v>
      </c>
      <c r="Z30" s="44"/>
      <c r="AA30" s="46"/>
      <c r="AB30" s="44"/>
    </row>
    <row r="31" spans="1:28" ht="28" customHeight="1" x14ac:dyDescent="0.15">
      <c r="A31" s="190">
        <v>47013404</v>
      </c>
      <c r="B31" s="204" t="s">
        <v>404</v>
      </c>
      <c r="C31" s="205">
        <v>3</v>
      </c>
      <c r="D31" s="44" t="s">
        <v>393</v>
      </c>
      <c r="E31" s="213" t="s">
        <v>405</v>
      </c>
      <c r="F31" s="45" t="s">
        <v>406</v>
      </c>
      <c r="G31" s="54" t="str">
        <f t="shared" si="0"/>
        <v>[effect:enemy_message, val1:1.2, val2:2.5]</v>
      </c>
      <c r="H31" s="54">
        <f t="shared" si="1"/>
        <v>9</v>
      </c>
      <c r="I31" s="54">
        <f t="shared" si="2"/>
        <v>22</v>
      </c>
      <c r="J31" s="54" t="e">
        <f t="shared" si="3"/>
        <v>#VALUE!</v>
      </c>
      <c r="K31" s="54">
        <f t="shared" si="4"/>
        <v>32</v>
      </c>
      <c r="L31" s="54" t="str">
        <f>IFERROR(VLOOKUP(MID(G31,J31,K31-J31),[6]skilldef!$C:$D,2,FALSE),"-") &amp; " / " &amp; IFERROR(VLOOKUP(MID(G31,H31,I31-H31),[6]skilldef!$A:$B,2,FALSE),"-")</f>
        <v>- / -</v>
      </c>
      <c r="M31" s="54" t="str">
        <f t="shared" si="5"/>
        <v>[effect:scale_bomb, val:12, count:-1, animation:change_block],[effect:rush, count:5, val:0.14]</v>
      </c>
      <c r="N31" s="42" t="str">
        <f>IFERROR(LEFT(M31,FIND("],",M31)+S41),M31)</f>
        <v>[effect:scale_bomb, val:12, count:-1, animation:change_block],[effect:rush, count:5, val:0.14]</v>
      </c>
      <c r="O31" s="54">
        <f t="shared" si="6"/>
        <v>9</v>
      </c>
      <c r="P31" s="54">
        <f t="shared" si="7"/>
        <v>19</v>
      </c>
      <c r="Q31" s="54" t="e">
        <f t="shared" si="8"/>
        <v>#VALUE!</v>
      </c>
      <c r="R31" s="54">
        <f t="shared" si="9"/>
        <v>27</v>
      </c>
      <c r="S31" s="54" t="str">
        <f>IFERROR(VLOOKUP(MID(N31,Q31,R31-Q31),[6]skilldef!$C:$D,2,FALSE),"-") &amp; " / " &amp; IFERROR(VLOOKUP(MID(N31,O31,P31-O31),[6]skilldef!$A:$B,2,FALSE),"-")</f>
        <v>- / -</v>
      </c>
      <c r="T31" s="42" t="str">
        <f t="shared" si="10"/>
        <v>[effect:rush, count:5, val:0.14]</v>
      </c>
      <c r="U31" s="54">
        <f t="shared" si="11"/>
        <v>9</v>
      </c>
      <c r="V31" s="54">
        <f t="shared" si="12"/>
        <v>13</v>
      </c>
      <c r="W31" s="54" t="e">
        <f t="shared" si="13"/>
        <v>#VALUE!</v>
      </c>
      <c r="X31" s="54">
        <f t="shared" si="14"/>
        <v>22</v>
      </c>
      <c r="Y31" s="54" t="str">
        <f>IFERROR(VLOOKUP(MID(T31,W31,X31-W31),[6]skilldef!$C:$D,2,FALSE),"-") &amp; " / " &amp; IFERROR(VLOOKUP(MID(T31,U31,V31-U31),[6]skilldef!$A:$B,2,FALSE),"-")</f>
        <v>- / 連続攻撃</v>
      </c>
      <c r="Z31" s="44"/>
      <c r="AA31" s="46"/>
      <c r="AB31" s="44"/>
    </row>
    <row r="32" spans="1:28" ht="43" customHeight="1" x14ac:dyDescent="0.15">
      <c r="A32" s="190">
        <v>47013405</v>
      </c>
      <c r="B32" s="204" t="s">
        <v>407</v>
      </c>
      <c r="C32" s="205">
        <v>3</v>
      </c>
      <c r="D32" s="44" t="s">
        <v>393</v>
      </c>
      <c r="E32" s="213" t="s">
        <v>408</v>
      </c>
      <c r="F32" s="45" t="s">
        <v>409</v>
      </c>
      <c r="G32" s="54" t="str">
        <f>IFERROR(LEFT(B32,FIND("],",B32)),B32)</f>
        <v>[effect:enemy_message, val1:1.5, val2:5.9]</v>
      </c>
      <c r="H32" s="54">
        <f>FIND("effect:",G32)+7</f>
        <v>9</v>
      </c>
      <c r="I32" s="54">
        <f>IFERROR(FIND(",",G32),LEN(G32))</f>
        <v>22</v>
      </c>
      <c r="J32" s="54" t="e">
        <f>FIND("target:",G32)+7</f>
        <v>#VALUE!</v>
      </c>
      <c r="K32" s="54">
        <f>FIND(",",G32,I32+1)</f>
        <v>32</v>
      </c>
      <c r="L32" s="54" t="str">
        <f>IFERROR(VLOOKUP(MID(G32,J32,K32-J32),[6]skilldef!$C:$D,2,FALSE),"-") &amp; " / " &amp; IFERROR(VLOOKUP(MID(G32,H32,I32-H32),[6]skilldef!$A:$B,2,FALSE),"-")</f>
        <v>- / -</v>
      </c>
      <c r="M32" s="54" t="str">
        <f>IFERROR(RIGHT(B32,LEN(B32)-FIND("],",B32)-1),"none")</f>
        <v>[effect:force_change_block, new_block:crack_bomb, target:normal, color:block_yellow, count:2, val:22, animation:change_block],[effect:force_change_block,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v>
      </c>
      <c r="N32" s="42" t="str">
        <f>IFERROR(LEFT(M32,FIND("],",M32)+#REF!),M32)</f>
        <v>[effect:force_change_block, new_block:crack_bomb, target:normal, color:block_yellow, count:2, val:22, animation:change_block],[effect:force_change_block,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v>
      </c>
      <c r="O32" s="54">
        <f>FIND("effect:",N32)+7</f>
        <v>9</v>
      </c>
      <c r="P32" s="54">
        <f>IFERROR(FIND(",",N32),LEN(N32))</f>
        <v>27</v>
      </c>
      <c r="Q32" s="54">
        <f>FIND("target:",N32)+7</f>
        <v>58</v>
      </c>
      <c r="R32" s="54">
        <f>FIND(",",N32,P32+1)</f>
        <v>49</v>
      </c>
      <c r="S32" s="54" t="str">
        <f>IFERROR(VLOOKUP(MID(N32,Q32,R32-Q32),[6]skilldef!$C:$D,2,FALSE),"-") &amp; " / " &amp; IFERROR(VLOOKUP(MID(N32,O32,P32-O32),[6]skilldef!$A:$B,2,FALSE),"-")</f>
        <v>- / -</v>
      </c>
      <c r="T32" s="42" t="str">
        <f>IFERROR(RIGHT(M32,LEN(M32)-FIND("],",M32)-1),"none")</f>
        <v>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v>
      </c>
      <c r="U32" s="54">
        <f>FIND("effect:",T32)+7</f>
        <v>9</v>
      </c>
      <c r="V32" s="54">
        <f>IFERROR(FIND(",",T32),LEN(T32))</f>
        <v>27</v>
      </c>
      <c r="W32" s="54">
        <f>FIND("target:",T32)+7</f>
        <v>58</v>
      </c>
      <c r="X32" s="54">
        <f>FIND(",",T32,V32+1)</f>
        <v>49</v>
      </c>
      <c r="Y32" s="54" t="str">
        <f>IFERROR(VLOOKUP(MID(T32,W32,X32-W32),[6]skilldef!$C:$D,2,FALSE),"-") &amp; " / " &amp; IFERROR(VLOOKUP(MID(T32,U32,V32-U32),[6]skilldef!$A:$B,2,FALSE),"-")</f>
        <v>- / -</v>
      </c>
      <c r="Z32" s="44"/>
      <c r="AA32" s="46"/>
      <c r="AB32" s="44"/>
    </row>
    <row r="33" spans="1:28" ht="43" customHeight="1" x14ac:dyDescent="0.15">
      <c r="A33" s="190">
        <v>47013406</v>
      </c>
      <c r="B33" s="204" t="s">
        <v>410</v>
      </c>
      <c r="C33" s="205">
        <v>3</v>
      </c>
      <c r="D33" s="44" t="s">
        <v>411</v>
      </c>
      <c r="E33" s="213" t="s">
        <v>412</v>
      </c>
      <c r="F33" s="45" t="s">
        <v>413</v>
      </c>
      <c r="G33" s="54" t="str">
        <f t="shared" si="0"/>
        <v>[effect:enemy_message, val1:1.2, val2:3.7]</v>
      </c>
      <c r="H33" s="54">
        <f t="shared" si="1"/>
        <v>9</v>
      </c>
      <c r="I33" s="54">
        <f t="shared" si="2"/>
        <v>22</v>
      </c>
      <c r="J33" s="54" t="e">
        <f t="shared" si="3"/>
        <v>#VALUE!</v>
      </c>
      <c r="K33" s="54">
        <f t="shared" si="4"/>
        <v>32</v>
      </c>
      <c r="L33" s="54" t="str">
        <f>IFERROR(VLOOKUP(MID(G33,J33,K33-J33),[6]skilldef!$C:$D,2,FALSE),"-") &amp; " / " &amp; IFERROR(VLOOKUP(MID(G33,H33,I33-H33),[6]skilldef!$A:$B,2,FALSE),"-")</f>
        <v>- / -</v>
      </c>
      <c r="M33" s="54" t="str">
        <f t="shared" si="5"/>
        <v>[effect:force_change_block, new_block:block_green, target:block_red, count:0, val:0, animation:change_block],[effect:force_change_block, new_block:block_yellow, target:block_blue, count:0, val:0, animation:change_block],[effect:rush, count:2, val:0.35]</v>
      </c>
      <c r="N33" s="42" t="str">
        <f>IFERROR(LEFT(M33,FIND("],",M33)+S42),M33)</f>
        <v>[effect:force_change_block, new_block:block_green, target:block_red, count:0, val:0, animation:change_block],[effect:force_change_block, new_block:block_yellow, target:block_blue, count:0, val:0, animation:change_block],[effect:rush, count:2, val:0.35]</v>
      </c>
      <c r="O33" s="54">
        <f t="shared" si="6"/>
        <v>9</v>
      </c>
      <c r="P33" s="54">
        <f t="shared" si="7"/>
        <v>27</v>
      </c>
      <c r="Q33" s="54">
        <f t="shared" si="8"/>
        <v>59</v>
      </c>
      <c r="R33" s="54">
        <f t="shared" si="9"/>
        <v>50</v>
      </c>
      <c r="S33" s="54" t="str">
        <f>IFERROR(VLOOKUP(MID(N33,Q33,R33-Q33),[6]skilldef!$C:$D,2,FALSE),"-") &amp; " / " &amp; IFERROR(VLOOKUP(MID(N33,O33,P33-O33),[6]skilldef!$A:$B,2,FALSE),"-")</f>
        <v>- / -</v>
      </c>
      <c r="T33" s="42" t="str">
        <f t="shared" si="10"/>
        <v>[effect:force_change_block, new_block:block_yellow, target:block_blue, count:0, val:0, animation:change_block],[effect:rush, count:2, val:0.35]</v>
      </c>
      <c r="U33" s="54">
        <f t="shared" si="11"/>
        <v>9</v>
      </c>
      <c r="V33" s="54">
        <f t="shared" si="12"/>
        <v>27</v>
      </c>
      <c r="W33" s="54">
        <f t="shared" si="13"/>
        <v>60</v>
      </c>
      <c r="X33" s="54">
        <f t="shared" si="14"/>
        <v>51</v>
      </c>
      <c r="Y33" s="54" t="str">
        <f>IFERROR(VLOOKUP(MID(T33,W33,X33-W33),[6]skilldef!$C:$D,2,FALSE),"-") &amp; " / " &amp; IFERROR(VLOOKUP(MID(T33,U33,V33-U33),[6]skilldef!$A:$B,2,FALSE),"-")</f>
        <v>- / -</v>
      </c>
      <c r="Z33" s="44"/>
      <c r="AA33" s="46"/>
      <c r="AB33" s="44"/>
    </row>
    <row r="34" spans="1:28" ht="28" customHeight="1" x14ac:dyDescent="0.15">
      <c r="A34" s="190">
        <v>47013407</v>
      </c>
      <c r="B34" s="204" t="s">
        <v>414</v>
      </c>
      <c r="C34" s="205">
        <v>3</v>
      </c>
      <c r="D34" s="44" t="s">
        <v>368</v>
      </c>
      <c r="E34" s="213" t="s">
        <v>415</v>
      </c>
      <c r="F34" s="45" t="s">
        <v>416</v>
      </c>
      <c r="G34" s="54" t="str">
        <f t="shared" si="0"/>
        <v>[effect:enemy_message, val1:1.9, val2:2.1]</v>
      </c>
      <c r="H34" s="54">
        <f t="shared" si="1"/>
        <v>9</v>
      </c>
      <c r="I34" s="54">
        <f t="shared" si="2"/>
        <v>22</v>
      </c>
      <c r="J34" s="54" t="e">
        <f t="shared" si="3"/>
        <v>#VALUE!</v>
      </c>
      <c r="K34" s="54">
        <f t="shared" si="4"/>
        <v>32</v>
      </c>
      <c r="L34" s="54" t="str">
        <f>IFERROR(VLOOKUP(MID(G34,J34,K34-J34),[6]skilldef!$C:$D,2,FALSE),"-") &amp; " / " &amp; IFERROR(VLOOKUP(MID(G34,H34,I34-H34),[6]skilldef!$A:$B,2,FALSE),"-")</f>
        <v>- / -</v>
      </c>
      <c r="M34" s="54" t="str">
        <f t="shared" si="5"/>
        <v>[effect:break_attack, target:unit_all, val:0.01, lowest_val:100, count:-1, color:green, block01:block_green, block02:block_blue]</v>
      </c>
      <c r="N34" s="42" t="str">
        <f>IFERROR(LEFT(M34,FIND("],",M34)+S43),M34)</f>
        <v>[effect:break_attack, target:unit_all, val:0.01, lowest_val:100, count:-1, color:green, block01:block_green, block02:block_blue]</v>
      </c>
      <c r="O34" s="54">
        <f t="shared" si="6"/>
        <v>9</v>
      </c>
      <c r="P34" s="54">
        <f t="shared" si="7"/>
        <v>21</v>
      </c>
      <c r="Q34" s="54">
        <f t="shared" si="8"/>
        <v>30</v>
      </c>
      <c r="R34" s="54">
        <f t="shared" si="9"/>
        <v>38</v>
      </c>
      <c r="S34" s="54" t="str">
        <f>IFERROR(VLOOKUP(MID(N34,Q34,R34-Q34),[6]skilldef!$C:$D,2,FALSE),"-") &amp; " / " &amp; IFERROR(VLOOKUP(MID(N34,O34,P34-O34),[6]skilldef!$A:$B,2,FALSE),"-")</f>
        <v>味方全体に / -</v>
      </c>
      <c r="T34" s="42" t="str">
        <f t="shared" si="10"/>
        <v>none</v>
      </c>
      <c r="U34" s="54" t="e">
        <f t="shared" si="11"/>
        <v>#VALUE!</v>
      </c>
      <c r="V34" s="54">
        <f t="shared" si="12"/>
        <v>4</v>
      </c>
      <c r="W34" s="54" t="e">
        <f t="shared" si="13"/>
        <v>#VALUE!</v>
      </c>
      <c r="X34" s="54" t="e">
        <f t="shared" si="14"/>
        <v>#VALUE!</v>
      </c>
      <c r="Y34" s="54" t="str">
        <f>IFERROR(VLOOKUP(MID(T34,W34,X34-W34),[6]skilldef!$C:$D,2,FALSE),"-") &amp; " / " &amp; IFERROR(VLOOKUP(MID(T34,U34,V34-U34),[6]skilldef!$A:$B,2,FALSE),"-")</f>
        <v>- / -</v>
      </c>
      <c r="Z34" s="44"/>
      <c r="AA34" s="46"/>
      <c r="AB34" s="44"/>
    </row>
    <row r="35" spans="1:28" ht="59" customHeight="1" x14ac:dyDescent="0.15">
      <c r="A35" s="191">
        <v>47013501</v>
      </c>
      <c r="B35" s="204" t="s">
        <v>417</v>
      </c>
      <c r="C35" s="205">
        <v>3</v>
      </c>
      <c r="D35" s="44" t="s">
        <v>411</v>
      </c>
      <c r="E35" s="213" t="s">
        <v>418</v>
      </c>
      <c r="F35" s="218" t="s">
        <v>419</v>
      </c>
      <c r="G35" s="54" t="str">
        <f t="shared" si="0"/>
        <v>[effect:enemy_message, val1:3.0, val2:5.1]</v>
      </c>
      <c r="H35" s="54">
        <f t="shared" si="1"/>
        <v>9</v>
      </c>
      <c r="I35" s="54">
        <f t="shared" si="2"/>
        <v>22</v>
      </c>
      <c r="J35" s="54" t="e">
        <f t="shared" si="3"/>
        <v>#VALUE!</v>
      </c>
      <c r="K35" s="54">
        <f t="shared" si="4"/>
        <v>32</v>
      </c>
      <c r="L35" s="54" t="str">
        <f>IFERROR(VLOOKUP(MID(G35,J35,K35-J35),[6]skilldef!$C:$D,2,FALSE),"-") &amp; " / " &amp; IFERROR(VLOOKUP(MID(G35,H35,I35-H35),[6]skilldef!$A:$B,2,FALSE),"-")</f>
        <v>- / -</v>
      </c>
      <c r="M35" s="54" t="str">
        <f t="shared" si="5"/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v>
      </c>
      <c r="N35" s="42" t="str">
        <f>IFERROR(LEFT(M35,FIND("],",M35)+S49),M35)</f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v>
      </c>
      <c r="O35" s="54">
        <f t="shared" si="6"/>
        <v>9</v>
      </c>
      <c r="P35" s="54">
        <f t="shared" si="7"/>
        <v>18</v>
      </c>
      <c r="Q35" s="54">
        <f t="shared" si="8"/>
        <v>27</v>
      </c>
      <c r="R35" s="54">
        <f t="shared" si="9"/>
        <v>33</v>
      </c>
      <c r="S35" s="54" t="str">
        <f>IFERROR(VLOOKUP(MID(N35,Q35,R35-Q35),[6]skilldef!$C:$D,2,FALSE),"-") &amp; " / " &amp; IFERROR(VLOOKUP(MID(N35,O35,P35-O35),[6]skilldef!$A:$B,2,FALSE),"-")</f>
        <v>自分自身に / 状態異常耐性</v>
      </c>
      <c r="T35" s="42" t="str">
        <f t="shared" si="10"/>
        <v>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v>
      </c>
      <c r="U35" s="54">
        <f t="shared" si="11"/>
        <v>9</v>
      </c>
      <c r="V35" s="54">
        <f t="shared" si="12"/>
        <v>27</v>
      </c>
      <c r="W35" s="54">
        <f t="shared" si="13"/>
        <v>239</v>
      </c>
      <c r="X35" s="54">
        <f t="shared" si="14"/>
        <v>36</v>
      </c>
      <c r="Y35" s="54" t="str">
        <f>IFERROR(VLOOKUP(MID(T35,W35,X35-W35),[6]skilldef!$C:$D,2,FALSE),"-") &amp; " / " &amp; IFERROR(VLOOKUP(MID(T35,U35,V35-U35),[6]skilldef!$A:$B,2,FALSE),"-")</f>
        <v>- / -</v>
      </c>
      <c r="Z35" s="44"/>
      <c r="AA35" s="46"/>
      <c r="AB35" s="44"/>
    </row>
    <row r="36" spans="1:28" ht="59" customHeight="1" x14ac:dyDescent="0.15">
      <c r="A36" s="214">
        <v>47013521</v>
      </c>
      <c r="B36" s="207" t="s">
        <v>420</v>
      </c>
      <c r="C36" s="205">
        <v>3</v>
      </c>
      <c r="D36" s="208" t="s">
        <v>393</v>
      </c>
      <c r="E36" s="217" t="s">
        <v>421</v>
      </c>
      <c r="F36" s="209" t="s">
        <v>422</v>
      </c>
      <c r="G36" s="54" t="str">
        <f t="shared" si="0"/>
        <v>[effect:enemy_message, val1:3.0, val2:5.1]</v>
      </c>
      <c r="H36" s="54">
        <f t="shared" si="1"/>
        <v>9</v>
      </c>
      <c r="I36" s="54">
        <f t="shared" si="2"/>
        <v>22</v>
      </c>
      <c r="J36" s="54" t="e">
        <f t="shared" si="3"/>
        <v>#VALUE!</v>
      </c>
      <c r="K36" s="54">
        <f t="shared" si="4"/>
        <v>32</v>
      </c>
      <c r="L36" s="54" t="str">
        <f>IFERROR(VLOOKUP(MID(G36,J36,K36-J36),[6]skilldef!$C:$D,2,FALSE),"-") &amp; " / " &amp; IFERROR(VLOOKUP(MID(G36,H36,I36-H36),[6]skilldef!$A:$B,2,FALSE),"-")</f>
        <v>- / -</v>
      </c>
      <c r="M36" s="54" t="str">
        <f t="shared" si="5"/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v>
      </c>
      <c r="N36" s="42" t="str">
        <f>IFERROR(LEFT(M36,FIND("],",M36)+S51),M36)</f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v>
      </c>
      <c r="O36" s="54">
        <f t="shared" si="6"/>
        <v>9</v>
      </c>
      <c r="P36" s="54">
        <f t="shared" si="7"/>
        <v>18</v>
      </c>
      <c r="Q36" s="54">
        <f t="shared" si="8"/>
        <v>27</v>
      </c>
      <c r="R36" s="54">
        <f t="shared" si="9"/>
        <v>33</v>
      </c>
      <c r="S36" s="54" t="str">
        <f>IFERROR(VLOOKUP(MID(N36,Q36,R36-Q36),[6]skilldef!$C:$D,2,FALSE),"-") &amp; " / " &amp; IFERROR(VLOOKUP(MID(N36,O36,P36-O36),[6]skilldef!$A:$B,2,FALSE),"-")</f>
        <v>自分自身に / 状態異常耐性</v>
      </c>
      <c r="T36" s="42" t="str">
        <f t="shared" si="10"/>
        <v>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v>
      </c>
      <c r="U36" s="54">
        <f t="shared" si="11"/>
        <v>9</v>
      </c>
      <c r="V36" s="54">
        <f t="shared" si="12"/>
        <v>27</v>
      </c>
      <c r="W36" s="54">
        <f t="shared" si="13"/>
        <v>239</v>
      </c>
      <c r="X36" s="54">
        <f t="shared" si="14"/>
        <v>36</v>
      </c>
      <c r="Y36" s="54" t="str">
        <f>IFERROR(VLOOKUP(MID(T36,W36,X36-W36),[6]skilldef!$C:$D,2,FALSE),"-") &amp; " / " &amp; IFERROR(VLOOKUP(MID(T36,U36,V36-U36),[6]skilldef!$A:$B,2,FALSE),"-")</f>
        <v>- / -</v>
      </c>
      <c r="Z36" s="44"/>
      <c r="AA36" s="46"/>
      <c r="AB36" s="44"/>
    </row>
    <row r="37" spans="1:28" ht="43" customHeight="1" x14ac:dyDescent="0.15">
      <c r="A37" s="191">
        <v>47013502</v>
      </c>
      <c r="B37" s="204" t="s">
        <v>423</v>
      </c>
      <c r="C37" s="205">
        <v>3</v>
      </c>
      <c r="D37" s="44" t="s">
        <v>411</v>
      </c>
      <c r="E37" s="213" t="s">
        <v>424</v>
      </c>
      <c r="F37" s="45" t="s">
        <v>425</v>
      </c>
      <c r="G37" s="54" t="str">
        <f t="shared" si="0"/>
        <v>[effect:enemy_message, val1:1.4, val2:5.0]</v>
      </c>
      <c r="H37" s="54">
        <f t="shared" si="1"/>
        <v>9</v>
      </c>
      <c r="I37" s="54">
        <f t="shared" si="2"/>
        <v>22</v>
      </c>
      <c r="J37" s="54" t="e">
        <f t="shared" si="3"/>
        <v>#VALUE!</v>
      </c>
      <c r="K37" s="54">
        <f t="shared" si="4"/>
        <v>32</v>
      </c>
      <c r="L37" s="54" t="str">
        <f>IFERROR(VLOOKUP(MID(G37,J37,K37-J37),[6]skilldef!$C:$D,2,FALSE),"-") &amp; " / " &amp; IFERROR(VLOOKUP(MID(G37,H37,I37-H37),[6]skilldef!$A:$B,2,FALSE),"-")</f>
        <v>- / -</v>
      </c>
      <c r="M37" s="54" t="str">
        <f t="shared" si="5"/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N37" s="42" t="str">
        <f>IFERROR(LEFT(M37,FIND("],",M37)+S51),M37)</f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O37" s="54">
        <f t="shared" si="6"/>
        <v>9</v>
      </c>
      <c r="P37" s="54">
        <f t="shared" si="7"/>
        <v>27</v>
      </c>
      <c r="Q37" s="54">
        <f t="shared" si="8"/>
        <v>60</v>
      </c>
      <c r="R37" s="54">
        <f t="shared" si="9"/>
        <v>51</v>
      </c>
      <c r="S37" s="54" t="str">
        <f>IFERROR(VLOOKUP(MID(N37,Q37,R37-Q37),[6]skilldef!$C:$D,2,FALSE),"-") &amp; " / " &amp; IFERROR(VLOOKUP(MID(N37,O37,P37-O37),[6]skilldef!$A:$B,2,FALSE),"-")</f>
        <v>- / -</v>
      </c>
      <c r="T37" s="42" t="str">
        <f t="shared" si="10"/>
        <v>[effect:force_change_magnet, target:normal, color:block_yellow, count:1, red:0, green:0, blue:0, yellow:1, heart:1, reverse:0, generate:0, turn:2, animation:change_block]</v>
      </c>
      <c r="U37" s="54">
        <f t="shared" si="11"/>
        <v>9</v>
      </c>
      <c r="V37" s="54">
        <f t="shared" si="12"/>
        <v>28</v>
      </c>
      <c r="W37" s="54">
        <f t="shared" si="13"/>
        <v>37</v>
      </c>
      <c r="X37" s="54">
        <f t="shared" si="14"/>
        <v>43</v>
      </c>
      <c r="Y37" s="54" t="str">
        <f>IFERROR(VLOOKUP(MID(T37,W37,X37-W37),[6]skilldef!$C:$D,2,FALSE),"-") &amp; " / " &amp; IFERROR(VLOOKUP(MID(T37,U37,V37-U37),[6]skilldef!$A:$B,2,FALSE),"-")</f>
        <v>- / -</v>
      </c>
      <c r="Z37" s="44"/>
      <c r="AA37" s="46"/>
      <c r="AB37" s="44"/>
    </row>
    <row r="38" spans="1:28" ht="43" customHeight="1" x14ac:dyDescent="0.15">
      <c r="A38" s="214">
        <v>47013522</v>
      </c>
      <c r="B38" s="207" t="s">
        <v>426</v>
      </c>
      <c r="C38" s="205">
        <v>3</v>
      </c>
      <c r="D38" s="208" t="s">
        <v>333</v>
      </c>
      <c r="E38" s="217" t="s">
        <v>424</v>
      </c>
      <c r="F38" s="209" t="s">
        <v>427</v>
      </c>
      <c r="G38" s="54" t="str">
        <f t="shared" si="0"/>
        <v>[effect:enemy_message, val1:1.4, val2:5.0]</v>
      </c>
      <c r="H38" s="54">
        <f t="shared" si="1"/>
        <v>9</v>
      </c>
      <c r="I38" s="54">
        <f t="shared" si="2"/>
        <v>22</v>
      </c>
      <c r="J38" s="54" t="e">
        <f t="shared" si="3"/>
        <v>#VALUE!</v>
      </c>
      <c r="K38" s="54">
        <f t="shared" si="4"/>
        <v>32</v>
      </c>
      <c r="L38" s="54" t="str">
        <f>IFERROR(VLOOKUP(MID(G38,J38,K38-J38),[6]skilldef!$C:$D,2,FALSE),"-") &amp; " / " &amp; IFERROR(VLOOKUP(MID(G38,H38,I38-H38),[6]skilldef!$A:$B,2,FALSE),"-")</f>
        <v>- / -</v>
      </c>
      <c r="M38" s="54" t="str">
        <f t="shared" si="5"/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N38" s="42" t="str">
        <f>IFERROR(LEFT(M38,FIND("],",M38)+S53),M38)</f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O38" s="54">
        <f t="shared" si="6"/>
        <v>9</v>
      </c>
      <c r="P38" s="54">
        <f t="shared" si="7"/>
        <v>27</v>
      </c>
      <c r="Q38" s="54">
        <f t="shared" si="8"/>
        <v>60</v>
      </c>
      <c r="R38" s="54">
        <f t="shared" si="9"/>
        <v>51</v>
      </c>
      <c r="S38" s="54" t="str">
        <f>IFERROR(VLOOKUP(MID(N38,Q38,R38-Q38),[6]skilldef!$C:$D,2,FALSE),"-") &amp; " / " &amp; IFERROR(VLOOKUP(MID(N38,O38,P38-O38),[6]skilldef!$A:$B,2,FALSE),"-")</f>
        <v>- / -</v>
      </c>
      <c r="T38" s="42" t="str">
        <f t="shared" si="10"/>
        <v>[effect:force_change_magnet, target:normal, color:block_yellow, count:1, red:0, green:0, blue:0, yellow:1, heart:1, reverse:0, generate:0, turn:2, animation:change_block]</v>
      </c>
      <c r="U38" s="54">
        <f t="shared" si="11"/>
        <v>9</v>
      </c>
      <c r="V38" s="54">
        <f t="shared" si="12"/>
        <v>28</v>
      </c>
      <c r="W38" s="54">
        <f t="shared" si="13"/>
        <v>37</v>
      </c>
      <c r="X38" s="54">
        <f t="shared" si="14"/>
        <v>43</v>
      </c>
      <c r="Y38" s="54" t="str">
        <f>IFERROR(VLOOKUP(MID(T38,W38,X38-W38),[6]skilldef!$C:$D,2,FALSE),"-") &amp; " / " &amp; IFERROR(VLOOKUP(MID(T38,U38,V38-U38),[6]skilldef!$A:$B,2,FALSE),"-")</f>
        <v>- / -</v>
      </c>
      <c r="Z38" s="44"/>
      <c r="AA38" s="46"/>
      <c r="AB38" s="44"/>
    </row>
    <row r="39" spans="1:28" ht="28" customHeight="1" x14ac:dyDescent="0.15">
      <c r="A39" s="191">
        <v>47013503</v>
      </c>
      <c r="B39" s="204" t="s">
        <v>428</v>
      </c>
      <c r="C39" s="205">
        <v>3</v>
      </c>
      <c r="D39" s="44" t="s">
        <v>429</v>
      </c>
      <c r="E39" s="213" t="s">
        <v>430</v>
      </c>
      <c r="F39" s="45" t="s">
        <v>431</v>
      </c>
      <c r="G39" s="54" t="str">
        <f t="shared" si="0"/>
        <v>[effect:enemy_message, val1:1.2, val2:2.4]</v>
      </c>
      <c r="H39" s="54">
        <f t="shared" si="1"/>
        <v>9</v>
      </c>
      <c r="I39" s="54">
        <f t="shared" si="2"/>
        <v>22</v>
      </c>
      <c r="J39" s="54" t="e">
        <f t="shared" si="3"/>
        <v>#VALUE!</v>
      </c>
      <c r="K39" s="54">
        <f t="shared" si="4"/>
        <v>32</v>
      </c>
      <c r="L39" s="54" t="str">
        <f>IFERROR(VLOOKUP(MID(G39,J39,K39-J39),[6]skilldef!$C:$D,2,FALSE),"-") &amp; " / " &amp; IFERROR(VLOOKUP(MID(G39,H39,I39-H39),[6]skilldef!$A:$B,2,FALSE),"-")</f>
        <v>- / -</v>
      </c>
      <c r="M39" s="54" t="str">
        <f t="shared" si="5"/>
        <v>[effect:rush, count:2, val:0.45],[effect:crash_growth, val:6, count:-1, animation:change_block]</v>
      </c>
      <c r="N39" s="42" t="str">
        <f>IFERROR(LEFT(M39,FIND("],",M39)+#REF!),M39)</f>
        <v>[effect:rush, count:2, val:0.45],[effect:crash_growth, val:6, count:-1, animation:change_block]</v>
      </c>
      <c r="O39" s="54">
        <f t="shared" si="6"/>
        <v>9</v>
      </c>
      <c r="P39" s="54">
        <f t="shared" si="7"/>
        <v>13</v>
      </c>
      <c r="Q39" s="54" t="e">
        <f t="shared" si="8"/>
        <v>#VALUE!</v>
      </c>
      <c r="R39" s="54">
        <f t="shared" si="9"/>
        <v>22</v>
      </c>
      <c r="S39" s="54" t="str">
        <f>IFERROR(VLOOKUP(MID(N39,Q39,R39-Q39),[6]skilldef!$C:$D,2,FALSE),"-") &amp; " / " &amp; IFERROR(VLOOKUP(MID(N39,O39,P39-O39),[6]skilldef!$A:$B,2,FALSE),"-")</f>
        <v>- / 連続攻撃</v>
      </c>
      <c r="T39" s="42" t="str">
        <f t="shared" si="10"/>
        <v>[effect:crash_growth, val:6, count:-1, animation:change_block]</v>
      </c>
      <c r="U39" s="54">
        <f t="shared" si="11"/>
        <v>9</v>
      </c>
      <c r="V39" s="54">
        <f t="shared" si="12"/>
        <v>21</v>
      </c>
      <c r="W39" s="54" t="e">
        <f t="shared" si="13"/>
        <v>#VALUE!</v>
      </c>
      <c r="X39" s="54">
        <f t="shared" si="14"/>
        <v>28</v>
      </c>
      <c r="Y39" s="54" t="str">
        <f>IFERROR(VLOOKUP(MID(T39,W39,X39-W39),[6]skilldef!$C:$D,2,FALSE),"-") &amp; " / " &amp; IFERROR(VLOOKUP(MID(T39,U39,V39-U39),[6]skilldef!$A:$B,2,FALSE),"-")</f>
        <v>- / -</v>
      </c>
      <c r="Z39" s="44"/>
      <c r="AA39" s="46"/>
      <c r="AB39" s="44"/>
    </row>
    <row r="40" spans="1:28" ht="28" customHeight="1" x14ac:dyDescent="0.15">
      <c r="A40" s="191">
        <v>47013504</v>
      </c>
      <c r="B40" s="204" t="s">
        <v>432</v>
      </c>
      <c r="C40" s="205">
        <v>3</v>
      </c>
      <c r="D40" s="44" t="s">
        <v>411</v>
      </c>
      <c r="E40" s="213" t="s">
        <v>433</v>
      </c>
      <c r="F40" s="45" t="s">
        <v>434</v>
      </c>
      <c r="G40" s="54" t="str">
        <f t="shared" si="0"/>
        <v>[effect:enemy_message, val1:1.2, val2:1.7]</v>
      </c>
      <c r="H40" s="54">
        <f t="shared" si="1"/>
        <v>9</v>
      </c>
      <c r="I40" s="54">
        <f t="shared" si="2"/>
        <v>22</v>
      </c>
      <c r="J40" s="54" t="e">
        <f t="shared" si="3"/>
        <v>#VALUE!</v>
      </c>
      <c r="K40" s="54">
        <f t="shared" si="4"/>
        <v>32</v>
      </c>
      <c r="L40" s="54" t="str">
        <f>IFERROR(VLOOKUP(MID(G40,J40,K40-J40),[6]skilldef!$C:$D,2,FALSE),"-") &amp; " / " &amp; IFERROR(VLOOKUP(MID(G40,H40,I40-H40),[6]skilldef!$A:$B,2,FALSE),"-")</f>
        <v>- / -</v>
      </c>
      <c r="M40" s="54" t="str">
        <f t="shared" si="5"/>
        <v>[effect:break_attack, target:unit_one, val:0.15, lowest_val:7500, count:-1, color:green, block01:crash]</v>
      </c>
      <c r="N40" s="42" t="str">
        <f>IFERROR(LEFT(M40,FIND("],",M40)+S54),M40)</f>
        <v>[effect:break_attack, target:unit_one, val:0.15, lowest_val:7500, count:-1, color:green, block01:crash]</v>
      </c>
      <c r="O40" s="54">
        <f t="shared" si="6"/>
        <v>9</v>
      </c>
      <c r="P40" s="54">
        <f t="shared" si="7"/>
        <v>21</v>
      </c>
      <c r="Q40" s="54">
        <f t="shared" si="8"/>
        <v>30</v>
      </c>
      <c r="R40" s="54">
        <f t="shared" si="9"/>
        <v>38</v>
      </c>
      <c r="S40" s="54" t="str">
        <f>IFERROR(VLOOKUP(MID(N40,Q40,R40-Q40),[6]skilldef!$C:$D,2,FALSE),"-") &amp; " / " &amp; IFERROR(VLOOKUP(MID(N40,O40,P40-O40),[6]skilldef!$A:$B,2,FALSE),"-")</f>
        <v>味方単体に / -</v>
      </c>
      <c r="T40" s="42" t="str">
        <f t="shared" si="10"/>
        <v>none</v>
      </c>
      <c r="U40" s="54" t="e">
        <f t="shared" si="11"/>
        <v>#VALUE!</v>
      </c>
      <c r="V40" s="54">
        <f t="shared" si="12"/>
        <v>4</v>
      </c>
      <c r="W40" s="54" t="e">
        <f t="shared" si="13"/>
        <v>#VALUE!</v>
      </c>
      <c r="X40" s="54" t="e">
        <f t="shared" si="14"/>
        <v>#VALUE!</v>
      </c>
      <c r="Y40" s="54" t="str">
        <f>IFERROR(VLOOKUP(MID(T40,W40,X40-W40),[6]skilldef!$C:$D,2,FALSE),"-") &amp; " / " &amp; IFERROR(VLOOKUP(MID(T40,U40,V40-U40),[6]skilldef!$A:$B,2,FALSE),"-")</f>
        <v>- / -</v>
      </c>
      <c r="Z40" s="44"/>
      <c r="AA40" s="46"/>
      <c r="AB40" s="44"/>
    </row>
    <row r="41" spans="1:28" ht="28" customHeight="1" x14ac:dyDescent="0.15">
      <c r="A41" s="191">
        <v>47013505</v>
      </c>
      <c r="B41" s="204" t="s">
        <v>435</v>
      </c>
      <c r="C41" s="205">
        <v>3</v>
      </c>
      <c r="D41" s="44" t="s">
        <v>393</v>
      </c>
      <c r="E41" s="213" t="s">
        <v>436</v>
      </c>
      <c r="F41" s="45" t="s">
        <v>437</v>
      </c>
      <c r="G41" s="54" t="str">
        <f t="shared" si="0"/>
        <v>[effect:enemy_message, val1:1.9, val2:2.7]</v>
      </c>
      <c r="H41" s="54">
        <f t="shared" si="1"/>
        <v>9</v>
      </c>
      <c r="I41" s="54">
        <f t="shared" si="2"/>
        <v>22</v>
      </c>
      <c r="J41" s="54" t="e">
        <f t="shared" si="3"/>
        <v>#VALUE!</v>
      </c>
      <c r="K41" s="54">
        <f t="shared" si="4"/>
        <v>32</v>
      </c>
      <c r="L41" s="54" t="str">
        <f>IFERROR(VLOOKUP(MID(G41,J41,K41-J41),[6]skilldef!$C:$D,2,FALSE),"-") &amp; " / " &amp; IFERROR(VLOOKUP(MID(G41,H41,I41-H41),[6]skilldef!$A:$B,2,FALSE),"-")</f>
        <v>- / -</v>
      </c>
      <c r="M41" s="54" t="str">
        <f t="shared" si="5"/>
        <v>[effect:force_change_block, new_block:block_yellow, target:block_green, count:0, val:0, animation:change_block],[effect:force_change_block, new_block:block_yellow, target:block_blue, count:0, val:0, animation:change_block],[effect:spread, val:0.17]</v>
      </c>
      <c r="N41" s="42" t="str">
        <f>IFERROR(LEFT(M41,FIND("],",M41)+S55),M41)</f>
        <v>[effect:force_change_block, new_block:block_yellow, target:block_green, count:0, val:0, animation:change_block],[effect:force_change_block, new_block:block_yellow, target:block_blue, count:0, val:0, animation:change_block],[effect:spread, val:0.17]</v>
      </c>
      <c r="O41" s="54">
        <f t="shared" si="6"/>
        <v>9</v>
      </c>
      <c r="P41" s="54">
        <f t="shared" si="7"/>
        <v>27</v>
      </c>
      <c r="Q41" s="54">
        <f t="shared" si="8"/>
        <v>60</v>
      </c>
      <c r="R41" s="54">
        <f t="shared" si="9"/>
        <v>51</v>
      </c>
      <c r="S41" s="54" t="str">
        <f>IFERROR(VLOOKUP(MID(N41,Q41,R41-Q41),[6]skilldef!$C:$D,2,FALSE),"-") &amp; " / " &amp; IFERROR(VLOOKUP(MID(N41,O41,P41-O41),[6]skilldef!$A:$B,2,FALSE),"-")</f>
        <v>- / -</v>
      </c>
      <c r="T41" s="42" t="str">
        <f t="shared" si="10"/>
        <v>[effect:force_change_block, new_block:block_yellow, target:block_blue, count:0, val:0, animation:change_block],[effect:spread, val:0.17]</v>
      </c>
      <c r="U41" s="54">
        <f t="shared" si="11"/>
        <v>9</v>
      </c>
      <c r="V41" s="54">
        <f t="shared" si="12"/>
        <v>27</v>
      </c>
      <c r="W41" s="54">
        <f t="shared" si="13"/>
        <v>60</v>
      </c>
      <c r="X41" s="54">
        <f t="shared" si="14"/>
        <v>51</v>
      </c>
      <c r="Y41" s="54" t="str">
        <f>IFERROR(VLOOKUP(MID(T41,W41,X41-W41),[6]skilldef!$C:$D,2,FALSE),"-") &amp; " / " &amp; IFERROR(VLOOKUP(MID(T41,U41,V41-U41),[6]skilldef!$A:$B,2,FALSE),"-")</f>
        <v>- / -</v>
      </c>
      <c r="Z41" s="44"/>
      <c r="AA41" s="46"/>
      <c r="AB41" s="44"/>
    </row>
    <row r="42" spans="1:28" ht="28" customHeight="1" x14ac:dyDescent="0.15">
      <c r="A42" s="191">
        <v>47013506</v>
      </c>
      <c r="B42" s="204" t="s">
        <v>438</v>
      </c>
      <c r="C42" s="205">
        <v>3</v>
      </c>
      <c r="D42" s="44" t="s">
        <v>393</v>
      </c>
      <c r="E42" s="213" t="s">
        <v>430</v>
      </c>
      <c r="F42" s="45" t="s">
        <v>439</v>
      </c>
      <c r="G42" s="54" t="str">
        <f t="shared" si="0"/>
        <v>[effect:enemy_message, val1:1.2, val2:2.4]</v>
      </c>
      <c r="H42" s="54">
        <f t="shared" si="1"/>
        <v>9</v>
      </c>
      <c r="I42" s="54">
        <f t="shared" si="2"/>
        <v>22</v>
      </c>
      <c r="J42" s="54" t="e">
        <f t="shared" si="3"/>
        <v>#VALUE!</v>
      </c>
      <c r="K42" s="54">
        <f t="shared" si="4"/>
        <v>32</v>
      </c>
      <c r="L42" s="54" t="str">
        <f>IFERROR(VLOOKUP(MID(G42,J42,K42-J42),[6]skilldef!$C:$D,2,FALSE),"-") &amp; " / " &amp; IFERROR(VLOOKUP(MID(G42,H42,I42-H42),[6]skilldef!$A:$B,2,FALSE),"-")</f>
        <v>- / -</v>
      </c>
      <c r="M42" s="54" t="str">
        <f t="shared" si="5"/>
        <v>[effect:rush, count:3, val:0.32],[effect:crash_growth, val:12, count:-1, animation:change_block]</v>
      </c>
      <c r="N42" s="42" t="str">
        <f>IFERROR(LEFT(M42,FIND("],",M42)+S56),M42)</f>
        <v>[effect:rush, count:3, val:0.32],[effect:crash_growth, val:12, count:-1, animation:change_block]</v>
      </c>
      <c r="O42" s="54">
        <f t="shared" si="6"/>
        <v>9</v>
      </c>
      <c r="P42" s="54">
        <f t="shared" si="7"/>
        <v>13</v>
      </c>
      <c r="Q42" s="54" t="e">
        <f t="shared" si="8"/>
        <v>#VALUE!</v>
      </c>
      <c r="R42" s="54">
        <f t="shared" si="9"/>
        <v>22</v>
      </c>
      <c r="S42" s="54" t="str">
        <f>IFERROR(VLOOKUP(MID(N42,Q42,R42-Q42),[6]skilldef!$C:$D,2,FALSE),"-") &amp; " / " &amp; IFERROR(VLOOKUP(MID(N42,O42,P42-O42),[6]skilldef!$A:$B,2,FALSE),"-")</f>
        <v>- / 連続攻撃</v>
      </c>
      <c r="T42" s="42" t="str">
        <f t="shared" si="10"/>
        <v>[effect:crash_growth, val:12, count:-1, animation:change_block]</v>
      </c>
      <c r="U42" s="54">
        <f t="shared" si="11"/>
        <v>9</v>
      </c>
      <c r="V42" s="54">
        <f t="shared" si="12"/>
        <v>21</v>
      </c>
      <c r="W42" s="54" t="e">
        <f t="shared" si="13"/>
        <v>#VALUE!</v>
      </c>
      <c r="X42" s="54">
        <f t="shared" si="14"/>
        <v>29</v>
      </c>
      <c r="Y42" s="54" t="str">
        <f>IFERROR(VLOOKUP(MID(T42,W42,X42-W42),[6]skilldef!$C:$D,2,FALSE),"-") &amp; " / " &amp; IFERROR(VLOOKUP(MID(T42,U42,V42-U42),[6]skilldef!$A:$B,2,FALSE),"-")</f>
        <v>- / -</v>
      </c>
      <c r="Z42" s="44"/>
      <c r="AA42" s="46"/>
      <c r="AB42" s="44"/>
    </row>
    <row r="43" spans="1:28" ht="28" customHeight="1" x14ac:dyDescent="0.15">
      <c r="A43" s="191">
        <v>47013507</v>
      </c>
      <c r="B43" s="204" t="s">
        <v>440</v>
      </c>
      <c r="C43" s="205">
        <v>3</v>
      </c>
      <c r="D43" s="44" t="s">
        <v>333</v>
      </c>
      <c r="E43" s="213" t="s">
        <v>441</v>
      </c>
      <c r="F43" s="45" t="s">
        <v>434</v>
      </c>
      <c r="G43" s="54" t="str">
        <f t="shared" si="0"/>
        <v>[effect:enemy_message, val1:1.2, val2:1.7]</v>
      </c>
      <c r="H43" s="54">
        <f t="shared" si="1"/>
        <v>9</v>
      </c>
      <c r="I43" s="54">
        <f t="shared" si="2"/>
        <v>22</v>
      </c>
      <c r="J43" s="54" t="e">
        <f t="shared" si="3"/>
        <v>#VALUE!</v>
      </c>
      <c r="K43" s="54">
        <f t="shared" si="4"/>
        <v>32</v>
      </c>
      <c r="L43" s="54" t="str">
        <f>IFERROR(VLOOKUP(MID(G43,J43,K43-J43),[6]skilldef!$C:$D,2,FALSE),"-") &amp; " / " &amp; IFERROR(VLOOKUP(MID(G43,H43,I43-H43),[6]skilldef!$A:$B,2,FALSE),"-")</f>
        <v>- / -</v>
      </c>
      <c r="M43" s="54" t="str">
        <f t="shared" si="5"/>
        <v>[effect:break_attack, target:unit_one, val:0.17, lowest_val:7500, count:-1, color:green, block01:crash]</v>
      </c>
      <c r="N43" s="42" t="str">
        <f>IFERROR(LEFT(M43,FIND("],",M43)+S57),M43)</f>
        <v>[effect:break_attack, target:unit_one, val:0.17, lowest_val:7500, count:-1, color:green, block01:crash]</v>
      </c>
      <c r="O43" s="54">
        <f t="shared" si="6"/>
        <v>9</v>
      </c>
      <c r="P43" s="54">
        <f t="shared" si="7"/>
        <v>21</v>
      </c>
      <c r="Q43" s="54">
        <f t="shared" si="8"/>
        <v>30</v>
      </c>
      <c r="R43" s="54">
        <f t="shared" si="9"/>
        <v>38</v>
      </c>
      <c r="S43" s="54" t="str">
        <f>IFERROR(VLOOKUP(MID(N43,Q43,R43-Q43),[6]skilldef!$C:$D,2,FALSE),"-") &amp; " / " &amp; IFERROR(VLOOKUP(MID(N43,O43,P43-O43),[6]skilldef!$A:$B,2,FALSE),"-")</f>
        <v>味方単体に / -</v>
      </c>
      <c r="T43" s="42" t="str">
        <f t="shared" si="10"/>
        <v>none</v>
      </c>
      <c r="U43" s="54" t="e">
        <f t="shared" si="11"/>
        <v>#VALUE!</v>
      </c>
      <c r="V43" s="54">
        <f t="shared" si="12"/>
        <v>4</v>
      </c>
      <c r="W43" s="54" t="e">
        <f t="shared" si="13"/>
        <v>#VALUE!</v>
      </c>
      <c r="X43" s="54" t="e">
        <f t="shared" si="14"/>
        <v>#VALUE!</v>
      </c>
      <c r="Y43" s="54" t="str">
        <f>IFERROR(VLOOKUP(MID(T43,W43,X43-W43),[6]skilldef!$C:$D,2,FALSE),"-") &amp; " / " &amp; IFERROR(VLOOKUP(MID(T43,U43,V43-U43),[6]skilldef!$A:$B,2,FALSE),"-")</f>
        <v>- / -</v>
      </c>
      <c r="Z43" s="44"/>
      <c r="AA43" s="46"/>
      <c r="AB43" s="44"/>
    </row>
    <row r="44" spans="1:28" ht="28" customHeight="1" x14ac:dyDescent="0.15">
      <c r="A44" s="191">
        <v>47013508</v>
      </c>
      <c r="B44" s="204" t="s">
        <v>442</v>
      </c>
      <c r="C44" s="205">
        <v>3</v>
      </c>
      <c r="D44" s="44" t="s">
        <v>393</v>
      </c>
      <c r="E44" s="213" t="s">
        <v>443</v>
      </c>
      <c r="F44" s="218" t="s">
        <v>444</v>
      </c>
      <c r="G44" s="54" t="str">
        <f t="shared" si="0"/>
        <v>[effect:enemy_message, val1:1.8, val2:2.7]</v>
      </c>
      <c r="H44" s="54">
        <f t="shared" si="1"/>
        <v>9</v>
      </c>
      <c r="I44" s="54">
        <f t="shared" si="2"/>
        <v>22</v>
      </c>
      <c r="J44" s="54" t="e">
        <f t="shared" si="3"/>
        <v>#VALUE!</v>
      </c>
      <c r="K44" s="54">
        <f t="shared" si="4"/>
        <v>32</v>
      </c>
      <c r="L44" s="54" t="str">
        <f>IFERROR(VLOOKUP(MID(G44,J44,K44-J44),[6]skilldef!$C:$D,2,FALSE),"-") &amp; " / " &amp; IFERROR(VLOOKUP(MID(G44,H44,I44-H44),[6]skilldef!$A:$B,2,FALSE),"-")</f>
        <v>- / -</v>
      </c>
      <c r="M44" s="54" t="str">
        <f t="shared" si="5"/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v>
      </c>
      <c r="N44" s="42" t="str">
        <f>IFERROR(LEFT(M44,FIND("],",M44)+#REF!),M44)</f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v>
      </c>
      <c r="O44" s="54">
        <f t="shared" si="6"/>
        <v>9</v>
      </c>
      <c r="P44" s="54">
        <f t="shared" si="7"/>
        <v>27</v>
      </c>
      <c r="Q44" s="54">
        <f t="shared" si="8"/>
        <v>144</v>
      </c>
      <c r="R44" s="54">
        <f t="shared" si="9"/>
        <v>43</v>
      </c>
      <c r="S44" s="54" t="str">
        <f>IFERROR(VLOOKUP(MID(N44,Q44,R44-Q44),[6]skilldef!$C:$D,2,FALSE),"-") &amp; " / " &amp; IFERROR(VLOOKUP(MID(N44,O44,P44-O44),[6]skilldef!$A:$B,2,FALSE),"-")</f>
        <v>- / -</v>
      </c>
      <c r="T44" s="42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v>
      </c>
      <c r="U44" s="54">
        <f t="shared" si="11"/>
        <v>9</v>
      </c>
      <c r="V44" s="54">
        <f t="shared" si="12"/>
        <v>27</v>
      </c>
      <c r="W44" s="54">
        <f t="shared" si="13"/>
        <v>144</v>
      </c>
      <c r="X44" s="54">
        <f t="shared" si="14"/>
        <v>43</v>
      </c>
      <c r="Y44" s="54" t="str">
        <f>IFERROR(VLOOKUP(MID(T44,W44,X44-W44),[6]skilldef!$C:$D,2,FALSE),"-") &amp; " / " &amp; IFERROR(VLOOKUP(MID(T44,U44,V44-U44),[6]skilldef!$A:$B,2,FALSE),"-")</f>
        <v>- / -</v>
      </c>
      <c r="Z44" s="44"/>
      <c r="AA44" s="46"/>
      <c r="AB44" s="44"/>
    </row>
    <row r="45" spans="1:28" ht="28" customHeight="1" x14ac:dyDescent="0.15">
      <c r="A45" s="214">
        <v>47013528</v>
      </c>
      <c r="B45" s="207" t="s">
        <v>445</v>
      </c>
      <c r="C45" s="205">
        <v>3</v>
      </c>
      <c r="D45" s="208" t="s">
        <v>411</v>
      </c>
      <c r="E45" s="217" t="s">
        <v>443</v>
      </c>
      <c r="F45" s="209" t="s">
        <v>446</v>
      </c>
      <c r="G45" s="54" t="str">
        <f t="shared" si="0"/>
        <v>[effect:enemy_message, val1:1.8, val2:2.7]</v>
      </c>
      <c r="H45" s="54">
        <f t="shared" si="1"/>
        <v>9</v>
      </c>
      <c r="I45" s="54">
        <f t="shared" si="2"/>
        <v>22</v>
      </c>
      <c r="J45" s="54" t="e">
        <f t="shared" si="3"/>
        <v>#VALUE!</v>
      </c>
      <c r="K45" s="54">
        <f t="shared" si="4"/>
        <v>32</v>
      </c>
      <c r="L45" s="54" t="str">
        <f>IFERROR(VLOOKUP(MID(G45,J45,K45-J45),[6]skilldef!$C:$D,2,FALSE),"-") &amp; " / " &amp; IFERROR(VLOOKUP(MID(G45,H45,I45-H45),[6]skilldef!$A:$B,2,FALSE),"-")</f>
        <v>- / -</v>
      </c>
      <c r="M45" s="54" t="str">
        <f t="shared" si="5"/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v>
      </c>
      <c r="N45" s="42" t="str">
        <f>IFERROR(LEFT(M45,FIND("],",M45)+#REF!),M45)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v>
      </c>
      <c r="O45" s="54">
        <f t="shared" si="6"/>
        <v>9</v>
      </c>
      <c r="P45" s="54">
        <f t="shared" si="7"/>
        <v>27</v>
      </c>
      <c r="Q45" s="54">
        <f t="shared" si="8"/>
        <v>144</v>
      </c>
      <c r="R45" s="54">
        <f t="shared" si="9"/>
        <v>43</v>
      </c>
      <c r="S45" s="54" t="str">
        <f>IFERROR(VLOOKUP(MID(N45,Q45,R45-Q45),[6]skilldef!$C:$D,2,FALSE),"-") &amp; " / " &amp; IFERROR(VLOOKUP(MID(N45,O45,P45-O45),[6]skilldef!$A:$B,2,FALSE),"-")</f>
        <v>- / -</v>
      </c>
      <c r="T45" s="42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v>
      </c>
      <c r="U45" s="54">
        <f t="shared" si="11"/>
        <v>9</v>
      </c>
      <c r="V45" s="54">
        <f t="shared" si="12"/>
        <v>27</v>
      </c>
      <c r="W45" s="54">
        <f t="shared" si="13"/>
        <v>144</v>
      </c>
      <c r="X45" s="54">
        <f t="shared" si="14"/>
        <v>43</v>
      </c>
      <c r="Y45" s="54" t="str">
        <f>IFERROR(VLOOKUP(MID(T45,W45,X45-W45),[6]skilldef!$C:$D,2,FALSE),"-") &amp; " / " &amp; IFERROR(VLOOKUP(MID(T45,U45,V45-U45),[6]skilldef!$A:$B,2,FALSE),"-")</f>
        <v>- / -</v>
      </c>
      <c r="Z45" s="44"/>
      <c r="AA45" s="46"/>
      <c r="AB45" s="44"/>
    </row>
    <row r="46" spans="1:28" ht="28" customHeight="1" x14ac:dyDescent="0.15">
      <c r="A46" s="191">
        <v>47013509</v>
      </c>
      <c r="B46" s="204" t="s">
        <v>447</v>
      </c>
      <c r="C46" s="205">
        <v>3</v>
      </c>
      <c r="D46" s="44" t="s">
        <v>411</v>
      </c>
      <c r="E46" s="45" t="s">
        <v>430</v>
      </c>
      <c r="F46" s="45" t="s">
        <v>431</v>
      </c>
      <c r="G46" s="54" t="str">
        <f t="shared" si="0"/>
        <v>[effect:enemy_message, val1:1.2, val2:2.4]</v>
      </c>
      <c r="H46" s="54">
        <f t="shared" si="1"/>
        <v>9</v>
      </c>
      <c r="I46" s="54">
        <f t="shared" si="2"/>
        <v>22</v>
      </c>
      <c r="J46" s="54" t="e">
        <f t="shared" si="3"/>
        <v>#VALUE!</v>
      </c>
      <c r="K46" s="54">
        <f t="shared" si="4"/>
        <v>32</v>
      </c>
      <c r="L46" s="54" t="str">
        <f>IFERROR(VLOOKUP(MID(G46,J46,K46-J46),[6]skilldef!$C:$D,2,FALSE),"-") &amp; " / " &amp; IFERROR(VLOOKUP(MID(G46,H46,I46-H46),[6]skilldef!$A:$B,2,FALSE),"-")</f>
        <v>- / -</v>
      </c>
      <c r="M46" s="54" t="str">
        <f t="shared" si="5"/>
        <v>[effect:rush, count:2, val:0.41],[effect:crash_growth, val:6, count:-1, animation:change_block]</v>
      </c>
      <c r="N46" s="42" t="str">
        <f>IFERROR(LEFT(M46,FIND("],",M46)+S57),M46)</f>
        <v>[effect:rush, count:2, val:0.41],[effect:crash_growth, val:6, count:-1, animation:change_block]</v>
      </c>
      <c r="O46" s="54">
        <f t="shared" si="6"/>
        <v>9</v>
      </c>
      <c r="P46" s="54">
        <f t="shared" si="7"/>
        <v>13</v>
      </c>
      <c r="Q46" s="54" t="e">
        <f t="shared" si="8"/>
        <v>#VALUE!</v>
      </c>
      <c r="R46" s="54">
        <f t="shared" si="9"/>
        <v>22</v>
      </c>
      <c r="S46" s="54" t="str">
        <f>IFERROR(VLOOKUP(MID(N46,Q46,R46-Q46),[6]skilldef!$C:$D,2,FALSE),"-") &amp; " / " &amp; IFERROR(VLOOKUP(MID(N46,O46,P46-O46),[6]skilldef!$A:$B,2,FALSE),"-")</f>
        <v>- / 連続攻撃</v>
      </c>
      <c r="T46" s="42" t="str">
        <f t="shared" si="10"/>
        <v>[effect:crash_growth, val:6, count:-1, animation:change_block]</v>
      </c>
      <c r="U46" s="54">
        <f t="shared" si="11"/>
        <v>9</v>
      </c>
      <c r="V46" s="54">
        <f t="shared" si="12"/>
        <v>21</v>
      </c>
      <c r="W46" s="54" t="e">
        <f t="shared" si="13"/>
        <v>#VALUE!</v>
      </c>
      <c r="X46" s="54">
        <f t="shared" si="14"/>
        <v>28</v>
      </c>
      <c r="Y46" s="54" t="str">
        <f>IFERROR(VLOOKUP(MID(T46,W46,X46-W46),[6]skilldef!$C:$D,2,FALSE),"-") &amp; " / " &amp; IFERROR(VLOOKUP(MID(T46,U46,V46-U46),[6]skilldef!$A:$B,2,FALSE),"-")</f>
        <v>- / -</v>
      </c>
      <c r="Z46" s="44"/>
      <c r="AA46" s="46"/>
      <c r="AB46" s="44"/>
    </row>
    <row r="47" spans="1:28" ht="28" customHeight="1" x14ac:dyDescent="0.15">
      <c r="A47" s="191">
        <v>47013510</v>
      </c>
      <c r="B47" s="204" t="s">
        <v>448</v>
      </c>
      <c r="C47" s="205">
        <v>3</v>
      </c>
      <c r="D47" s="44" t="s">
        <v>320</v>
      </c>
      <c r="E47" s="45" t="s">
        <v>433</v>
      </c>
      <c r="F47" s="45" t="s">
        <v>434</v>
      </c>
      <c r="G47" s="54" t="str">
        <f t="shared" si="0"/>
        <v>[effect:enemy_message, val1:1.2, val2:1.7]</v>
      </c>
      <c r="H47" s="54">
        <f t="shared" si="1"/>
        <v>9</v>
      </c>
      <c r="I47" s="54">
        <f t="shared" si="2"/>
        <v>22</v>
      </c>
      <c r="J47" s="54" t="e">
        <f t="shared" si="3"/>
        <v>#VALUE!</v>
      </c>
      <c r="K47" s="54">
        <f t="shared" si="4"/>
        <v>32</v>
      </c>
      <c r="L47" s="54" t="str">
        <f>IFERROR(VLOOKUP(MID(G47,J47,K47-J47),[6]skilldef!$C:$D,2,FALSE),"-") &amp; " / " &amp; IFERROR(VLOOKUP(MID(G47,H47,I47-H47),[6]skilldef!$A:$B,2,FALSE),"-")</f>
        <v>- / -</v>
      </c>
      <c r="M47" s="54" t="str">
        <f t="shared" si="5"/>
        <v>[effect:break_attack, target:unit_one, val:0.15, lowest_val:7000, count:-1, color:green, block01:crash]</v>
      </c>
      <c r="N47" s="42" t="str">
        <f>IFERROR(LEFT(M47,FIND("],",M47)+#REF!),M47)</f>
        <v>[effect:break_attack, target:unit_one, val:0.15, lowest_val:7000, count:-1, color:green, block01:crash]</v>
      </c>
      <c r="O47" s="54">
        <f t="shared" si="6"/>
        <v>9</v>
      </c>
      <c r="P47" s="54">
        <f t="shared" si="7"/>
        <v>21</v>
      </c>
      <c r="Q47" s="54">
        <f t="shared" si="8"/>
        <v>30</v>
      </c>
      <c r="R47" s="54">
        <f t="shared" si="9"/>
        <v>38</v>
      </c>
      <c r="S47" s="54" t="str">
        <f>IFERROR(VLOOKUP(MID(N47,Q47,R47-Q47),[6]skilldef!$C:$D,2,FALSE),"-") &amp; " / " &amp; IFERROR(VLOOKUP(MID(N47,O47,P47-O47),[6]skilldef!$A:$B,2,FALSE),"-")</f>
        <v>味方単体に / -</v>
      </c>
      <c r="T47" s="42" t="str">
        <f t="shared" si="10"/>
        <v>none</v>
      </c>
      <c r="U47" s="54" t="e">
        <f t="shared" si="11"/>
        <v>#VALUE!</v>
      </c>
      <c r="V47" s="54">
        <f t="shared" si="12"/>
        <v>4</v>
      </c>
      <c r="W47" s="54" t="e">
        <f t="shared" si="13"/>
        <v>#VALUE!</v>
      </c>
      <c r="X47" s="54" t="e">
        <f t="shared" si="14"/>
        <v>#VALUE!</v>
      </c>
      <c r="Y47" s="54" t="str">
        <f>IFERROR(VLOOKUP(MID(T47,W47,X47-W47),[6]skilldef!$C:$D,2,FALSE),"-") &amp; " / " &amp; IFERROR(VLOOKUP(MID(T47,U47,V47-U47),[6]skilldef!$A:$B,2,FALSE),"-")</f>
        <v>- / -</v>
      </c>
      <c r="Z47" s="44"/>
      <c r="AA47" s="46"/>
      <c r="AB47" s="44"/>
    </row>
    <row r="48" spans="1:28" ht="42" customHeight="1" x14ac:dyDescent="0.15">
      <c r="A48" s="191">
        <v>47013511</v>
      </c>
      <c r="B48" s="204" t="s">
        <v>449</v>
      </c>
      <c r="C48" s="205">
        <v>3</v>
      </c>
      <c r="D48" s="44" t="s">
        <v>333</v>
      </c>
      <c r="E48" s="213" t="s">
        <v>450</v>
      </c>
      <c r="F48" s="45" t="s">
        <v>451</v>
      </c>
      <c r="G48" s="54" t="str">
        <f>IFERROR(LEFT(B48,FIND("],",B48)),B48)</f>
        <v>[effect:enemy_message, val1:1.2, val2:4.1]</v>
      </c>
      <c r="H48" s="54">
        <f>FIND("effect:",G48)+7</f>
        <v>9</v>
      </c>
      <c r="I48" s="54">
        <f>IFERROR(FIND(",",G48),LEN(G48))</f>
        <v>22</v>
      </c>
      <c r="J48" s="54" t="e">
        <f>FIND("target:",G48)+7</f>
        <v>#VALUE!</v>
      </c>
      <c r="K48" s="54">
        <f>FIND(",",G48,I48+1)</f>
        <v>32</v>
      </c>
      <c r="L48" s="54" t="str">
        <f>IFERROR(VLOOKUP(MID(G48,J48,K48-J48),[6]skilldef!$C:$D,2,FALSE),"-") &amp; " / " &amp; IFERROR(VLOOKUP(MID(G48,H48,I48-H48),[6]skilldef!$A:$B,2,FALSE),"-")</f>
        <v>- / -</v>
      </c>
      <c r="M48" s="54" t="str">
        <f>IFERROR(RIGHT(B48,LEN(B48)-FIND("],",B48)-1),"none")</f>
        <v>[effect:force_change_magnet, target:normal, color:block_green, count:1, red:0, green:1, blue:0, yellow:1, heart:1, reverse:0, generate:0, turn:3, animation:change_block],[effect:critical, val:1.12, animation:enemy_critical]</v>
      </c>
      <c r="N48" s="42" t="str">
        <f>IFERROR(LEFT(M48,FIND("],",M48)+#REF!),M48)</f>
        <v>[effect:force_change_magnet, target:normal, color:block_green, count:1, red:0, green:1, blue:0, yellow:1, heart:1, reverse:0, generate:0, turn:3, animation:change_block],[effect:critical, val:1.12, animation:enemy_critical]</v>
      </c>
      <c r="O48" s="54">
        <f>FIND("effect:",N48)+7</f>
        <v>9</v>
      </c>
      <c r="P48" s="54">
        <f>IFERROR(FIND(",",N48),LEN(N48))</f>
        <v>28</v>
      </c>
      <c r="Q48" s="54">
        <f>FIND("target:",N48)+7</f>
        <v>37</v>
      </c>
      <c r="R48" s="54">
        <f>FIND(",",N48,P48+1)</f>
        <v>43</v>
      </c>
      <c r="S48" s="54" t="str">
        <f>IFERROR(VLOOKUP(MID(N48,Q48,R48-Q48),[6]skilldef!$C:$D,2,FALSE),"-") &amp; " / " &amp; IFERROR(VLOOKUP(MID(N48,O48,P48-O48),[6]skilldef!$A:$B,2,FALSE),"-")</f>
        <v>- / -</v>
      </c>
      <c r="T48" s="42" t="str">
        <f>IFERROR(RIGHT(M48,LEN(M48)-FIND("],",M48)-1),"none")</f>
        <v>[effect:critical, val:1.12, animation:enemy_critical]</v>
      </c>
      <c r="U48" s="54">
        <f>FIND("effect:",T48)+7</f>
        <v>9</v>
      </c>
      <c r="V48" s="54">
        <f>IFERROR(FIND(",",T48),LEN(T48))</f>
        <v>17</v>
      </c>
      <c r="W48" s="54" t="e">
        <f>FIND("target:",T48)+7</f>
        <v>#VALUE!</v>
      </c>
      <c r="X48" s="54">
        <f>FIND(",",T48,V48+1)</f>
        <v>27</v>
      </c>
      <c r="Y48" s="54" t="str">
        <f>IFERROR(VLOOKUP(MID(T48,W48,X48-W48),[6]skilldef!$C:$D,2,FALSE),"-") &amp; " / " &amp; IFERROR(VLOOKUP(MID(T48,U48,V48-U48),[6]skilldef!$A:$B,2,FALSE),"-")</f>
        <v>- / 大攻撃</v>
      </c>
      <c r="Z48" s="44"/>
      <c r="AA48" s="46"/>
      <c r="AB48" s="44"/>
    </row>
    <row r="49" spans="1:28" ht="59" customHeight="1" x14ac:dyDescent="0.15">
      <c r="A49" s="192">
        <v>47013601</v>
      </c>
      <c r="B49" s="204" t="s">
        <v>452</v>
      </c>
      <c r="C49" s="205">
        <v>3</v>
      </c>
      <c r="D49" s="44" t="s">
        <v>411</v>
      </c>
      <c r="E49" s="45" t="s">
        <v>453</v>
      </c>
      <c r="F49" s="224" t="s">
        <v>454</v>
      </c>
      <c r="G49" s="54" t="str">
        <f t="shared" si="0"/>
        <v>[effect:enemy_message, val1:3.2, val2:6.0]</v>
      </c>
      <c r="H49" s="54">
        <f t="shared" si="1"/>
        <v>9</v>
      </c>
      <c r="I49" s="54">
        <f t="shared" si="2"/>
        <v>22</v>
      </c>
      <c r="J49" s="54" t="e">
        <f t="shared" si="3"/>
        <v>#VALUE!</v>
      </c>
      <c r="K49" s="54">
        <f t="shared" si="4"/>
        <v>32</v>
      </c>
      <c r="L49" s="54" t="str">
        <f>IFERROR(VLOOKUP(MID(G49,J49,K49-J49),[6]skilldef!$C:$D,2,FALSE),"-") &amp; " / " &amp; IFERROR(VLOOKUP(MID(G49,H49,I49-H49),[6]skilldef!$A:$B,2,FALSE),"-")</f>
        <v>- / -</v>
      </c>
      <c r="M49" s="54" t="str">
        <f t="shared" si="5"/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N49" s="42" t="str">
        <f>IFERROR(LEFT(M49,FIND("],",M49)+#REF!),M49)</f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O49" s="54">
        <f t="shared" si="6"/>
        <v>9</v>
      </c>
      <c r="P49" s="54">
        <f t="shared" si="7"/>
        <v>18</v>
      </c>
      <c r="Q49" s="54">
        <f t="shared" si="8"/>
        <v>27</v>
      </c>
      <c r="R49" s="54">
        <f t="shared" si="9"/>
        <v>33</v>
      </c>
      <c r="S49" s="54" t="str">
        <f>IFERROR(VLOOKUP(MID(N49,Q49,R49-Q49),[6]skilldef!$C:$D,2,FALSE),"-") &amp; " / " &amp; IFERROR(VLOOKUP(MID(N49,O49,P49-O49),[6]skilldef!$A:$B,2,FALSE),"-")</f>
        <v>自分自身に / 状態異常耐性</v>
      </c>
      <c r="T49" s="42" t="str">
        <f t="shared" si="10"/>
        <v>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U49" s="54">
        <f t="shared" si="11"/>
        <v>9</v>
      </c>
      <c r="V49" s="54">
        <f t="shared" si="12"/>
        <v>23</v>
      </c>
      <c r="W49" s="54">
        <f t="shared" si="13"/>
        <v>32</v>
      </c>
      <c r="X49" s="54">
        <f t="shared" si="14"/>
        <v>40</v>
      </c>
      <c r="Y49" s="54" t="str">
        <f>IFERROR(VLOOKUP(MID(T49,W49,X49-W49),[6]skilldef!$C:$D,2,FALSE),"-") &amp; " / " &amp; IFERROR(VLOOKUP(MID(T49,U49,V49-U49),[6]skilldef!$A:$B,2,FALSE),"-")</f>
        <v>味方全体に / -</v>
      </c>
      <c r="Z49" s="44"/>
      <c r="AA49" s="46"/>
      <c r="AB49" s="44"/>
    </row>
    <row r="50" spans="1:28" ht="59" customHeight="1" x14ac:dyDescent="0.15">
      <c r="A50" s="214">
        <v>47013621</v>
      </c>
      <c r="B50" s="207" t="s">
        <v>452</v>
      </c>
      <c r="C50" s="205">
        <v>3</v>
      </c>
      <c r="D50" s="208" t="s">
        <v>411</v>
      </c>
      <c r="E50" s="209" t="s">
        <v>453</v>
      </c>
      <c r="F50" s="209" t="s">
        <v>454</v>
      </c>
      <c r="G50" s="54" t="str">
        <f t="shared" si="0"/>
        <v>[effect:enemy_message, val1:3.2, val2:6.0]</v>
      </c>
      <c r="H50" s="54">
        <f t="shared" si="1"/>
        <v>9</v>
      </c>
      <c r="I50" s="54">
        <f t="shared" si="2"/>
        <v>22</v>
      </c>
      <c r="J50" s="54" t="e">
        <f t="shared" si="3"/>
        <v>#VALUE!</v>
      </c>
      <c r="K50" s="54">
        <f t="shared" si="4"/>
        <v>32</v>
      </c>
      <c r="L50" s="54" t="str">
        <f>IFERROR(VLOOKUP(MID(G50,J50,K50-J50),[6]skilldef!$C:$D,2,FALSE),"-") &amp; " / " &amp; IFERROR(VLOOKUP(MID(G50,H50,I50-H50),[6]skilldef!$A:$B,2,FALSE),"-")</f>
        <v>- / -</v>
      </c>
      <c r="M50" s="54" t="str">
        <f t="shared" si="5"/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N50" s="42" t="str">
        <f>IFERROR(LEFT(M50,FIND("],",M50)+#REF!),M50)</f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O50" s="54">
        <f t="shared" si="6"/>
        <v>9</v>
      </c>
      <c r="P50" s="54">
        <f t="shared" si="7"/>
        <v>18</v>
      </c>
      <c r="Q50" s="54">
        <f t="shared" si="8"/>
        <v>27</v>
      </c>
      <c r="R50" s="54">
        <f t="shared" si="9"/>
        <v>33</v>
      </c>
      <c r="S50" s="54" t="str">
        <f>IFERROR(VLOOKUP(MID(N50,Q50,R50-Q50),[6]skilldef!$C:$D,2,FALSE),"-") &amp; " / " &amp; IFERROR(VLOOKUP(MID(N50,O50,P50-O50),[6]skilldef!$A:$B,2,FALSE),"-")</f>
        <v>自分自身に / 状態異常耐性</v>
      </c>
      <c r="T50" s="42" t="str">
        <f t="shared" si="10"/>
        <v>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U50" s="54">
        <f t="shared" si="11"/>
        <v>9</v>
      </c>
      <c r="V50" s="54">
        <f t="shared" si="12"/>
        <v>23</v>
      </c>
      <c r="W50" s="54">
        <f t="shared" si="13"/>
        <v>32</v>
      </c>
      <c r="X50" s="54">
        <f t="shared" si="14"/>
        <v>40</v>
      </c>
      <c r="Y50" s="54" t="str">
        <f>IFERROR(VLOOKUP(MID(T50,W50,X50-W50),[6]skilldef!$C:$D,2,FALSE),"-") &amp; " / " &amp; IFERROR(VLOOKUP(MID(T50,U50,V50-U50),[6]skilldef!$A:$B,2,FALSE),"-")</f>
        <v>味方全体に / -</v>
      </c>
      <c r="Z50" s="44"/>
      <c r="AA50" s="46"/>
      <c r="AB50" s="44"/>
    </row>
    <row r="51" spans="1:28" ht="43" customHeight="1" x14ac:dyDescent="0.15">
      <c r="A51" s="192">
        <v>47013602</v>
      </c>
      <c r="B51" s="204" t="s">
        <v>455</v>
      </c>
      <c r="C51" s="205">
        <v>3</v>
      </c>
      <c r="D51" s="44" t="s">
        <v>411</v>
      </c>
      <c r="E51" s="213" t="s">
        <v>456</v>
      </c>
      <c r="F51" s="45" t="s">
        <v>457</v>
      </c>
      <c r="G51" s="54" t="str">
        <f t="shared" si="0"/>
        <v>[effect:enemy_message, val1:2.5, val2:4.8]</v>
      </c>
      <c r="H51" s="54">
        <f t="shared" si="1"/>
        <v>9</v>
      </c>
      <c r="I51" s="54">
        <f t="shared" si="2"/>
        <v>22</v>
      </c>
      <c r="J51" s="54" t="e">
        <f t="shared" si="3"/>
        <v>#VALUE!</v>
      </c>
      <c r="K51" s="54">
        <f t="shared" si="4"/>
        <v>32</v>
      </c>
      <c r="L51" s="54" t="str">
        <f>IFERROR(VLOOKUP(MID(G51,J51,K51-J51),[6]skilldef!$C:$D,2,FALSE),"-") &amp; " / " &amp; IFERROR(VLOOKUP(MID(G51,H51,I51-H51),[6]skilldef!$A:$B,2,FALSE),"-")</f>
        <v>- / -</v>
      </c>
      <c r="M51" s="54" t="str">
        <f t="shared" si="5"/>
        <v>[effect:drop_block, block_type:jammer, color:block_yellow, val:0, rate:0.3,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N51" s="42" t="str">
        <f>IFERROR(LEFT(M51,FIND("],",M51)+#REF!),M51)</f>
        <v>[effect:drop_block, block_type:jammer, color:block_yellow, val:0, rate:0.3,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O51" s="54">
        <f t="shared" si="6"/>
        <v>9</v>
      </c>
      <c r="P51" s="54">
        <f t="shared" si="7"/>
        <v>19</v>
      </c>
      <c r="Q51" s="54">
        <f t="shared" si="8"/>
        <v>261</v>
      </c>
      <c r="R51" s="54">
        <f t="shared" si="9"/>
        <v>38</v>
      </c>
      <c r="S51" s="54" t="str">
        <f>IFERROR(VLOOKUP(MID(N51,Q51,R51-Q51),[6]skilldef!$C:$D,2,FALSE),"-") &amp; " / " &amp; IFERROR(VLOOKUP(MID(N51,O51,P51-O51),[6]skilldef!$A:$B,2,FALSE),"-")</f>
        <v>- / 特定ブロックの割合ドロップ</v>
      </c>
      <c r="T51" s="42" t="str">
        <f t="shared" si="10"/>
        <v>[effect:change_range_block, block_change:1, base_type:0, square_count:5, position01:5, value_h01:2.0, value_w01:5.0, new_block:crack_bomb, target:block_all, ignore01:block_positive, color:block_green, count:0, val:17, animation:change_block]</v>
      </c>
      <c r="U51" s="54">
        <f t="shared" si="11"/>
        <v>9</v>
      </c>
      <c r="V51" s="54">
        <f t="shared" si="12"/>
        <v>27</v>
      </c>
      <c r="W51" s="54">
        <f t="shared" si="13"/>
        <v>147</v>
      </c>
      <c r="X51" s="54">
        <f t="shared" si="14"/>
        <v>43</v>
      </c>
      <c r="Y51" s="54" t="str">
        <f>IFERROR(VLOOKUP(MID(T51,W51,X51-W51),[6]skilldef!$C:$D,2,FALSE),"-") &amp; " / " &amp; IFERROR(VLOOKUP(MID(T51,U51,V51-U51),[6]skilldef!$A:$B,2,FALSE),"-")</f>
        <v>- / -</v>
      </c>
      <c r="Z51" s="44"/>
      <c r="AA51" s="46"/>
      <c r="AB51" s="44"/>
    </row>
    <row r="52" spans="1:28" ht="43" customHeight="1" x14ac:dyDescent="0.15">
      <c r="A52" s="214">
        <v>47013622</v>
      </c>
      <c r="B52" s="207" t="s">
        <v>458</v>
      </c>
      <c r="C52" s="205">
        <v>3</v>
      </c>
      <c r="D52" s="208" t="s">
        <v>393</v>
      </c>
      <c r="E52" s="217" t="s">
        <v>456</v>
      </c>
      <c r="F52" s="209" t="s">
        <v>459</v>
      </c>
      <c r="G52" s="54" t="str">
        <f t="shared" si="0"/>
        <v>[effect:enemy_message, val1:2.5, val2:4.8]</v>
      </c>
      <c r="H52" s="54">
        <f t="shared" si="1"/>
        <v>9</v>
      </c>
      <c r="I52" s="54">
        <f t="shared" si="2"/>
        <v>22</v>
      </c>
      <c r="J52" s="54" t="e">
        <f t="shared" si="3"/>
        <v>#VALUE!</v>
      </c>
      <c r="K52" s="54">
        <f t="shared" si="4"/>
        <v>32</v>
      </c>
      <c r="L52" s="54" t="str">
        <f>IFERROR(VLOOKUP(MID(G52,J52,K52-J52),[6]skilldef!$C:$D,2,FALSE),"-") &amp; " / " &amp; IFERROR(VLOOKUP(MID(G52,H52,I52-H52),[6]skilldef!$A:$B,2,FALSE),"-")</f>
        <v>- / -</v>
      </c>
      <c r="M52" s="54" t="str">
        <f t="shared" si="5"/>
        <v>[effect:drop_block, block_type:jammer, color:block_yellow, val:0, rate:0.2,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N52" s="42" t="str">
        <f>IFERROR(LEFT(M52,FIND("],",M52)+#REF!),M52)</f>
        <v>[effect:drop_block, block_type:jammer, color:block_yellow, val:0, rate:0.2,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O52" s="54">
        <f t="shared" si="6"/>
        <v>9</v>
      </c>
      <c r="P52" s="54">
        <f t="shared" si="7"/>
        <v>19</v>
      </c>
      <c r="Q52" s="54">
        <f t="shared" si="8"/>
        <v>261</v>
      </c>
      <c r="R52" s="54">
        <f t="shared" si="9"/>
        <v>38</v>
      </c>
      <c r="S52" s="54" t="str">
        <f>IFERROR(VLOOKUP(MID(N52,Q52,R52-Q52),[6]skilldef!$C:$D,2,FALSE),"-") &amp; " / " &amp; IFERROR(VLOOKUP(MID(N52,O52,P52-O52),[6]skilldef!$A:$B,2,FALSE),"-")</f>
        <v>- / 特定ブロックの割合ドロップ</v>
      </c>
      <c r="T52" s="42" t="str">
        <f t="shared" si="10"/>
        <v>[effect:change_range_block, block_change:1, base_type:0, square_count:5, position01:5, value_h01:2.0, value_w01:5.0, new_block:crack_bomb, target:block_all, ignore01:block_positive, color:block_green, count:0, val:17, animation:change_block]</v>
      </c>
      <c r="U52" s="54">
        <f t="shared" si="11"/>
        <v>9</v>
      </c>
      <c r="V52" s="54">
        <f t="shared" si="12"/>
        <v>27</v>
      </c>
      <c r="W52" s="54">
        <f t="shared" si="13"/>
        <v>147</v>
      </c>
      <c r="X52" s="54">
        <f t="shared" si="14"/>
        <v>43</v>
      </c>
      <c r="Y52" s="54" t="str">
        <f>IFERROR(VLOOKUP(MID(T52,W52,X52-W52),[6]skilldef!$C:$D,2,FALSE),"-") &amp; " / " &amp; IFERROR(VLOOKUP(MID(T52,U52,V52-U52),[6]skilldef!$A:$B,2,FALSE),"-")</f>
        <v>- / -</v>
      </c>
      <c r="Z52" s="44"/>
      <c r="AA52" s="46"/>
      <c r="AB52" s="44"/>
    </row>
    <row r="53" spans="1:28" ht="28" customHeight="1" x14ac:dyDescent="0.15">
      <c r="A53" s="192">
        <v>47013603</v>
      </c>
      <c r="B53" s="204" t="s">
        <v>460</v>
      </c>
      <c r="C53" s="205">
        <v>3</v>
      </c>
      <c r="D53" s="44" t="s">
        <v>461</v>
      </c>
      <c r="E53" s="213" t="s">
        <v>462</v>
      </c>
      <c r="F53" s="45" t="s">
        <v>463</v>
      </c>
      <c r="G53" s="54" t="str">
        <f t="shared" si="0"/>
        <v>[effect:enemy_message, val1:2.0, val2:2.5]</v>
      </c>
      <c r="H53" s="54">
        <f t="shared" si="1"/>
        <v>9</v>
      </c>
      <c r="I53" s="54">
        <f t="shared" si="2"/>
        <v>22</v>
      </c>
      <c r="J53" s="54" t="e">
        <f t="shared" si="3"/>
        <v>#VALUE!</v>
      </c>
      <c r="K53" s="54">
        <f t="shared" si="4"/>
        <v>32</v>
      </c>
      <c r="L53" s="54" t="str">
        <f>IFERROR(VLOOKUP(MID(G53,J53,K53-J53),[6]skilldef!$C:$D,2,FALSE),"-") &amp; " / " &amp; IFERROR(VLOOKUP(MID(G53,H53,I53-H53),[6]skilldef!$A:$B,2,FALSE),"-")</f>
        <v>- / -</v>
      </c>
      <c r="M53" s="54" t="str">
        <f t="shared" si="5"/>
        <v>[effect:change_range_block, block_change:1, base_type:0, square_count:5, position01:5, value_h01:2.0, value_w01:5.0, new_block:crack_bomb, target:block_all, ignore01:block_positive, color:block_green, count:0, val:17, animation:change_block],[effect:spread, val:0.32]</v>
      </c>
      <c r="N53" s="42" t="str">
        <f>IFERROR(LEFT(M53,FIND("],",M53)+#REF!),M53)</f>
        <v>[effect:change_range_block, block_change:1, base_type:0, square_count:5, position01:5, value_h01:2.0, value_w01:5.0, new_block:crack_bomb, target:block_all, ignore01:block_positive, color:block_green, count:0, val:17, animation:change_block],[effect:spread, val:0.32]</v>
      </c>
      <c r="O53" s="54">
        <f t="shared" si="6"/>
        <v>9</v>
      </c>
      <c r="P53" s="54">
        <f t="shared" si="7"/>
        <v>27</v>
      </c>
      <c r="Q53" s="54">
        <f t="shared" si="8"/>
        <v>147</v>
      </c>
      <c r="R53" s="54">
        <f t="shared" si="9"/>
        <v>43</v>
      </c>
      <c r="S53" s="54" t="str">
        <f>IFERROR(VLOOKUP(MID(N53,Q53,R53-Q53),[6]skilldef!$C:$D,2,FALSE),"-") &amp; " / " &amp; IFERROR(VLOOKUP(MID(N53,O53,P53-O53),[6]skilldef!$A:$B,2,FALSE),"-")</f>
        <v>- / -</v>
      </c>
      <c r="T53" s="42" t="str">
        <f t="shared" si="10"/>
        <v>[effect:spread, val:0.32]</v>
      </c>
      <c r="U53" s="54">
        <f t="shared" si="11"/>
        <v>9</v>
      </c>
      <c r="V53" s="54">
        <f t="shared" si="12"/>
        <v>15</v>
      </c>
      <c r="W53" s="54" t="e">
        <f t="shared" si="13"/>
        <v>#VALUE!</v>
      </c>
      <c r="X53" s="54" t="e">
        <f t="shared" si="14"/>
        <v>#VALUE!</v>
      </c>
      <c r="Y53" s="54" t="str">
        <f>IFERROR(VLOOKUP(MID(T53,W53,X53-W53),[6]skilldef!$C:$D,2,FALSE),"-") &amp; " / " &amp; IFERROR(VLOOKUP(MID(T53,U53,V53-U53),[6]skilldef!$A:$B,2,FALSE),"-")</f>
        <v>- / 全体攻撃</v>
      </c>
      <c r="Z53" s="44"/>
      <c r="AA53" s="46"/>
      <c r="AB53" s="44"/>
    </row>
    <row r="54" spans="1:28" ht="28" customHeight="1" x14ac:dyDescent="0.15">
      <c r="A54" s="192">
        <v>47013604</v>
      </c>
      <c r="B54" s="204" t="s">
        <v>464</v>
      </c>
      <c r="C54" s="205">
        <v>3</v>
      </c>
      <c r="D54" s="44" t="s">
        <v>411</v>
      </c>
      <c r="E54" s="213" t="s">
        <v>465</v>
      </c>
      <c r="F54" s="45" t="s">
        <v>466</v>
      </c>
      <c r="G54" s="54" t="str">
        <f t="shared" si="0"/>
        <v>[effect:enemy_message, val1:1.4, val2:2.7]</v>
      </c>
      <c r="H54" s="54">
        <f t="shared" si="1"/>
        <v>9</v>
      </c>
      <c r="I54" s="54">
        <f t="shared" si="2"/>
        <v>22</v>
      </c>
      <c r="J54" s="54" t="e">
        <f t="shared" si="3"/>
        <v>#VALUE!</v>
      </c>
      <c r="K54" s="54">
        <f t="shared" si="4"/>
        <v>32</v>
      </c>
      <c r="L54" s="54" t="str">
        <f>IFERROR(VLOOKUP(MID(G54,J54,K54-J54),[6]skilldef!$C:$D,2,FALSE),"-") &amp; " / " &amp; IFERROR(VLOOKUP(MID(G54,H54,I54-H54),[6]skilldef!$A:$B,2,FALSE),"-")</f>
        <v>- / -</v>
      </c>
      <c r="M54" s="54" t="str">
        <f t="shared" si="5"/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val:0.33]</v>
      </c>
      <c r="N54" s="42" t="str">
        <f>IFERROR(LEFT(M54,FIND("],",M54)+#REF!),M54)</f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val:0.33]</v>
      </c>
      <c r="O54" s="54">
        <f t="shared" si="6"/>
        <v>9</v>
      </c>
      <c r="P54" s="54">
        <f t="shared" si="7"/>
        <v>27</v>
      </c>
      <c r="Q54" s="54">
        <f t="shared" si="8"/>
        <v>59</v>
      </c>
      <c r="R54" s="54">
        <f t="shared" si="9"/>
        <v>50</v>
      </c>
      <c r="S54" s="54" t="str">
        <f>IFERROR(VLOOKUP(MID(N54,Q54,R54-Q54),[6]skilldef!$C:$D,2,FALSE),"-") &amp; " / " &amp; IFERROR(VLOOKUP(MID(N54,O54,P54-O54),[6]skilldef!$A:$B,2,FALSE),"-")</f>
        <v>- / -</v>
      </c>
      <c r="T54" s="42" t="str">
        <f t="shared" si="10"/>
        <v>[effect:force_change_block, new_block:block_green, target:block_blue, ignore01:block_positive, count:0, val:0, animation:change_block],[effect:spread, val:0.33]</v>
      </c>
      <c r="U54" s="54">
        <f t="shared" si="11"/>
        <v>9</v>
      </c>
      <c r="V54" s="54">
        <f t="shared" si="12"/>
        <v>27</v>
      </c>
      <c r="W54" s="54">
        <f t="shared" si="13"/>
        <v>59</v>
      </c>
      <c r="X54" s="54">
        <f t="shared" si="14"/>
        <v>50</v>
      </c>
      <c r="Y54" s="54" t="str">
        <f>IFERROR(VLOOKUP(MID(T54,W54,X54-W54),[6]skilldef!$C:$D,2,FALSE),"-") &amp; " / " &amp; IFERROR(VLOOKUP(MID(T54,U54,V54-U54),[6]skilldef!$A:$B,2,FALSE),"-")</f>
        <v>- / -</v>
      </c>
      <c r="Z54" s="44"/>
      <c r="AA54" s="46"/>
      <c r="AB54" s="44"/>
    </row>
    <row r="55" spans="1:28" ht="46" customHeight="1" x14ac:dyDescent="0.15">
      <c r="A55" s="192">
        <v>47013605</v>
      </c>
      <c r="B55" s="204" t="s">
        <v>467</v>
      </c>
      <c r="C55" s="205">
        <v>3</v>
      </c>
      <c r="D55" s="44" t="s">
        <v>393</v>
      </c>
      <c r="E55" s="213" t="s">
        <v>468</v>
      </c>
      <c r="F55" s="45" t="s">
        <v>469</v>
      </c>
      <c r="G55" s="54" t="str">
        <f t="shared" si="0"/>
        <v>[effect:enemy_message, val1:1.7, val2:5.0]</v>
      </c>
      <c r="H55" s="54">
        <f t="shared" si="1"/>
        <v>9</v>
      </c>
      <c r="I55" s="54">
        <f t="shared" si="2"/>
        <v>22</v>
      </c>
      <c r="J55" s="54" t="e">
        <f t="shared" si="3"/>
        <v>#VALUE!</v>
      </c>
      <c r="K55" s="54">
        <f t="shared" si="4"/>
        <v>32</v>
      </c>
      <c r="L55" s="54" t="str">
        <f>IFERROR(VLOOKUP(MID(G55,J55,K55-J55),[6]skilldef!$C:$D,2,FALSE),"-") &amp; " / " &amp; IFERROR(VLOOKUP(MID(G55,H55,I55-H55),[6]skilldef!$A:$B,2,FALSE),"-")</f>
        <v>- / -</v>
      </c>
      <c r="M55" s="54" t="str">
        <f t="shared" si="5"/>
        <v>[effect:force_change_block, new_block:crack_bomb, target:normal, color:block_red, count:1, val:22, animation:change_block],[effect:force_change_block,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v>
      </c>
      <c r="N55" s="42" t="str">
        <f>IFERROR(LEFT(M55,FIND("],",M55)+#REF!),M55)</f>
        <v>[effect:force_change_block, new_block:crack_bomb, target:normal, color:block_red, count:1, val:22, animation:change_block],[effect:force_change_block,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v>
      </c>
      <c r="O55" s="54">
        <f t="shared" si="6"/>
        <v>9</v>
      </c>
      <c r="P55" s="54">
        <f t="shared" si="7"/>
        <v>27</v>
      </c>
      <c r="Q55" s="54">
        <f t="shared" si="8"/>
        <v>58</v>
      </c>
      <c r="R55" s="54">
        <f t="shared" si="9"/>
        <v>49</v>
      </c>
      <c r="S55" s="54" t="str">
        <f>IFERROR(VLOOKUP(MID(N55,Q55,R55-Q55),[6]skilldef!$C:$D,2,FALSE),"-") &amp; " / " &amp; IFERROR(VLOOKUP(MID(N55,O55,P55-O55),[6]skilldef!$A:$B,2,FALSE),"-")</f>
        <v>- / -</v>
      </c>
      <c r="T55" s="42" t="str">
        <f t="shared" si="10"/>
        <v>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v>
      </c>
      <c r="U55" s="54">
        <f t="shared" si="11"/>
        <v>9</v>
      </c>
      <c r="V55" s="54">
        <f t="shared" si="12"/>
        <v>27</v>
      </c>
      <c r="W55" s="54">
        <f t="shared" si="13"/>
        <v>58</v>
      </c>
      <c r="X55" s="54">
        <f t="shared" si="14"/>
        <v>49</v>
      </c>
      <c r="Y55" s="54" t="str">
        <f>IFERROR(VLOOKUP(MID(T55,W55,X55-W55),[6]skilldef!$C:$D,2,FALSE),"-") &amp; " / " &amp; IFERROR(VLOOKUP(MID(T55,U55,V55-U55),[6]skilldef!$A:$B,2,FALSE),"-")</f>
        <v>- / -</v>
      </c>
      <c r="Z55" s="44"/>
      <c r="AA55" s="46"/>
      <c r="AB55" s="44"/>
    </row>
    <row r="56" spans="1:28" ht="28" customHeight="1" x14ac:dyDescent="0.15">
      <c r="A56" s="192">
        <v>47013606</v>
      </c>
      <c r="B56" s="204" t="s">
        <v>470</v>
      </c>
      <c r="C56" s="205">
        <v>3</v>
      </c>
      <c r="D56" s="44" t="s">
        <v>333</v>
      </c>
      <c r="E56" s="213" t="s">
        <v>471</v>
      </c>
      <c r="F56" s="45" t="s">
        <v>466</v>
      </c>
      <c r="G56" s="54" t="str">
        <f t="shared" si="0"/>
        <v>[effect:enemy_message, val1:1.2, val2:2.7]</v>
      </c>
      <c r="H56" s="54">
        <f t="shared" si="1"/>
        <v>9</v>
      </c>
      <c r="I56" s="54">
        <f t="shared" si="2"/>
        <v>22</v>
      </c>
      <c r="J56" s="54" t="e">
        <f t="shared" si="3"/>
        <v>#VALUE!</v>
      </c>
      <c r="K56" s="54">
        <f t="shared" si="4"/>
        <v>32</v>
      </c>
      <c r="L56" s="54" t="str">
        <f>IFERROR(VLOOKUP(MID(G56,J56,K56-J56),[6]skilldef!$C:$D,2,FALSE),"-") &amp; " / " &amp; IFERROR(VLOOKUP(MID(G56,H56,I56-H56),[6]skilldef!$A:$B,2,FALSE),"-")</f>
        <v>- / -</v>
      </c>
      <c r="M56" s="54" t="str">
        <f t="shared" si="5"/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val:0.34]</v>
      </c>
      <c r="N56" s="42" t="str">
        <f>IFERROR(LEFT(M56,FIND("],",M56)+#REF!),M56)</f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val:0.34]</v>
      </c>
      <c r="O56" s="54">
        <f t="shared" si="6"/>
        <v>9</v>
      </c>
      <c r="P56" s="54">
        <f t="shared" si="7"/>
        <v>27</v>
      </c>
      <c r="Q56" s="54">
        <f t="shared" si="8"/>
        <v>59</v>
      </c>
      <c r="R56" s="54">
        <f t="shared" si="9"/>
        <v>50</v>
      </c>
      <c r="S56" s="54" t="str">
        <f>IFERROR(VLOOKUP(MID(N56,Q56,R56-Q56),[6]skilldef!$C:$D,2,FALSE),"-") &amp; " / " &amp; IFERROR(VLOOKUP(MID(N56,O56,P56-O56),[6]skilldef!$A:$B,2,FALSE),"-")</f>
        <v>- / -</v>
      </c>
      <c r="T56" s="42" t="str">
        <f t="shared" si="10"/>
        <v>[effect:force_change_block, new_block:block_green, target:block_blue, ignore01:block_positive, count:0, val:0, animation:change_block],[effect:spread, val:0.34]</v>
      </c>
      <c r="U56" s="54">
        <f t="shared" si="11"/>
        <v>9</v>
      </c>
      <c r="V56" s="54">
        <f t="shared" si="12"/>
        <v>27</v>
      </c>
      <c r="W56" s="54">
        <f t="shared" si="13"/>
        <v>59</v>
      </c>
      <c r="X56" s="54">
        <f t="shared" si="14"/>
        <v>50</v>
      </c>
      <c r="Y56" s="54" t="str">
        <f>IFERROR(VLOOKUP(MID(T56,W56,X56-W56),[6]skilldef!$C:$D,2,FALSE),"-") &amp; " / " &amp; IFERROR(VLOOKUP(MID(T56,U56,V56-U56),[6]skilldef!$A:$B,2,FALSE),"-")</f>
        <v>- / -</v>
      </c>
      <c r="Z56" s="44"/>
      <c r="AA56" s="46"/>
      <c r="AB56" s="44"/>
    </row>
    <row r="57" spans="1:28" ht="46" customHeight="1" x14ac:dyDescent="0.15">
      <c r="A57" s="192">
        <v>47013607</v>
      </c>
      <c r="B57" s="204" t="s">
        <v>472</v>
      </c>
      <c r="C57" s="205">
        <v>3</v>
      </c>
      <c r="D57" s="44" t="s">
        <v>411</v>
      </c>
      <c r="E57" s="213" t="s">
        <v>473</v>
      </c>
      <c r="F57" s="45" t="s">
        <v>474</v>
      </c>
      <c r="G57" s="54" t="str">
        <f t="shared" si="0"/>
        <v>[effect:enemy_message, val1:1.7, val2:4.9]</v>
      </c>
      <c r="H57" s="54">
        <f t="shared" si="1"/>
        <v>9</v>
      </c>
      <c r="I57" s="54">
        <f t="shared" si="2"/>
        <v>22</v>
      </c>
      <c r="J57" s="54" t="e">
        <f t="shared" si="3"/>
        <v>#VALUE!</v>
      </c>
      <c r="K57" s="54">
        <f t="shared" si="4"/>
        <v>32</v>
      </c>
      <c r="L57" s="54" t="str">
        <f>IFERROR(VLOOKUP(MID(G57,J57,K57-J57),[6]skilldef!$C:$D,2,FALSE),"-") &amp; " / " &amp; IFERROR(VLOOKUP(MID(G57,H57,I57-H57),[6]skilldef!$A:$B,2,FALSE),"-")</f>
        <v>- / -</v>
      </c>
      <c r="M57" s="54" t="str">
        <f t="shared" si="5"/>
        <v>[effect:force_change_block, new_block:crack_bomb, target:normal, color:block_red, count:1, val:20, animation:change_block],[effect:force_change_block,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v>
      </c>
      <c r="N57" s="42" t="str">
        <f>IFERROR(LEFT(M57,FIND("],",M57)+#REF!),M57)</f>
        <v>[effect:force_change_block, new_block:crack_bomb, target:normal, color:block_red, count:1, val:20, animation:change_block],[effect:force_change_block,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v>
      </c>
      <c r="O57" s="54">
        <f t="shared" si="6"/>
        <v>9</v>
      </c>
      <c r="P57" s="54">
        <f t="shared" si="7"/>
        <v>27</v>
      </c>
      <c r="Q57" s="54">
        <f t="shared" si="8"/>
        <v>58</v>
      </c>
      <c r="R57" s="54">
        <f t="shared" si="9"/>
        <v>49</v>
      </c>
      <c r="S57" s="54" t="str">
        <f>IFERROR(VLOOKUP(MID(N57,Q57,R57-Q57),[6]skilldef!$C:$D,2,FALSE),"-") &amp; " / " &amp; IFERROR(VLOOKUP(MID(N57,O57,P57-O57),[6]skilldef!$A:$B,2,FALSE),"-")</f>
        <v>- / -</v>
      </c>
      <c r="T57" s="42" t="str">
        <f t="shared" si="10"/>
        <v>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v>
      </c>
      <c r="U57" s="54">
        <f t="shared" si="11"/>
        <v>9</v>
      </c>
      <c r="V57" s="54">
        <f t="shared" si="12"/>
        <v>27</v>
      </c>
      <c r="W57" s="54">
        <f t="shared" si="13"/>
        <v>58</v>
      </c>
      <c r="X57" s="54">
        <f t="shared" si="14"/>
        <v>49</v>
      </c>
      <c r="Y57" s="54" t="str">
        <f>IFERROR(VLOOKUP(MID(T57,W57,X57-W57),[6]skilldef!$C:$D,2,FALSE),"-") &amp; " / " &amp; IFERROR(VLOOKUP(MID(T57,U57,V57-U57),[6]skilldef!$A:$B,2,FALSE),"-")</f>
        <v>- / -</v>
      </c>
      <c r="Z57" s="44"/>
      <c r="AA57" s="46"/>
      <c r="AB57" s="44"/>
    </row>
    <row r="58" spans="1:28" ht="28" customHeight="1" x14ac:dyDescent="0.15">
      <c r="A58" s="192">
        <v>47013610</v>
      </c>
      <c r="B58" s="225" t="s">
        <v>475</v>
      </c>
      <c r="C58" s="226">
        <v>3</v>
      </c>
      <c r="D58" s="227" t="s">
        <v>333</v>
      </c>
      <c r="E58" s="228" t="s">
        <v>476</v>
      </c>
      <c r="F58" s="228" t="s">
        <v>477</v>
      </c>
      <c r="G58" s="54" t="str">
        <f t="shared" si="0"/>
        <v>[effect:enemy_message, val1:2.8, val2:3.1]</v>
      </c>
      <c r="H58" s="54">
        <f t="shared" si="1"/>
        <v>9</v>
      </c>
      <c r="I58" s="54">
        <f t="shared" si="2"/>
        <v>22</v>
      </c>
      <c r="J58" s="54" t="e">
        <f t="shared" si="3"/>
        <v>#VALUE!</v>
      </c>
      <c r="K58" s="54">
        <f t="shared" si="4"/>
        <v>32</v>
      </c>
      <c r="L58" s="54" t="str">
        <f>IFERROR(VLOOKUP(MID(G58,J58,K58-J58),[6]skilldef!$C:$D,2,FALSE),"-") &amp; " / " &amp; IFERROR(VLOOKUP(MID(G58,H58,I58-H58),[6]skilldef!$A:$B,2,FALSE),"-")</f>
        <v>- / -</v>
      </c>
      <c r="M58" s="54" t="str">
        <f t="shared" si="5"/>
        <v>none</v>
      </c>
      <c r="N58" s="42" t="str">
        <f>IFERROR(LEFT(M58,FIND("],",M58)+S61),M58)</f>
        <v>none</v>
      </c>
      <c r="O58" s="54" t="e">
        <f t="shared" si="6"/>
        <v>#VALUE!</v>
      </c>
      <c r="P58" s="54">
        <f t="shared" si="7"/>
        <v>4</v>
      </c>
      <c r="Q58" s="54" t="e">
        <f t="shared" si="8"/>
        <v>#VALUE!</v>
      </c>
      <c r="R58" s="54" t="e">
        <f t="shared" si="9"/>
        <v>#VALUE!</v>
      </c>
      <c r="S58" s="54" t="str">
        <f>IFERROR(VLOOKUP(MID(N58,Q58,R58-Q58),[6]skilldef!$C:$D,2,FALSE),"-") &amp; " / " &amp; IFERROR(VLOOKUP(MID(N58,O58,P58-O58),[6]skilldef!$A:$B,2,FALSE),"-")</f>
        <v>- / -</v>
      </c>
      <c r="T58" s="42" t="str">
        <f t="shared" si="10"/>
        <v>none</v>
      </c>
      <c r="U58" s="54" t="e">
        <f t="shared" si="11"/>
        <v>#VALUE!</v>
      </c>
      <c r="V58" s="54">
        <f t="shared" si="12"/>
        <v>4</v>
      </c>
      <c r="W58" s="54" t="e">
        <f t="shared" si="13"/>
        <v>#VALUE!</v>
      </c>
      <c r="X58" s="54" t="e">
        <f t="shared" si="14"/>
        <v>#VALUE!</v>
      </c>
      <c r="Y58" s="54" t="str">
        <f>IFERROR(VLOOKUP(MID(T58,W58,X58-W58),[6]skilldef!$C:$D,2,FALSE),"-") &amp; " / " &amp; IFERROR(VLOOKUP(MID(T58,U58,V58-U58),[6]skilldef!$A:$B,2,FALSE),"-")</f>
        <v>- / -</v>
      </c>
      <c r="Z58" s="44"/>
      <c r="AA58" s="46"/>
      <c r="AB58" s="44"/>
    </row>
    <row r="59" spans="1:28" ht="28" customHeight="1" x14ac:dyDescent="0.15">
      <c r="A59" s="192">
        <v>47013611</v>
      </c>
      <c r="B59" s="225" t="s">
        <v>478</v>
      </c>
      <c r="C59" s="226">
        <v>3</v>
      </c>
      <c r="D59" s="227" t="s">
        <v>333</v>
      </c>
      <c r="E59" s="228" t="s">
        <v>479</v>
      </c>
      <c r="F59" s="228" t="s">
        <v>480</v>
      </c>
      <c r="G59" s="54" t="str">
        <f t="shared" si="0"/>
        <v>[effect:enemy_message, val1:3.6, val2:3.5]</v>
      </c>
      <c r="H59" s="54">
        <f t="shared" si="1"/>
        <v>9</v>
      </c>
      <c r="I59" s="54">
        <f t="shared" si="2"/>
        <v>22</v>
      </c>
      <c r="J59" s="54" t="e">
        <f t="shared" si="3"/>
        <v>#VALUE!</v>
      </c>
      <c r="K59" s="54">
        <f t="shared" si="4"/>
        <v>32</v>
      </c>
      <c r="L59" s="54" t="str">
        <f>IFERROR(VLOOKUP(MID(G59,J59,K59-J59),[6]skilldef!$C:$D,2,FALSE),"-") &amp; " / " &amp; IFERROR(VLOOKUP(MID(G59,H59,I59-H59),[6]skilldef!$A:$B,2,FALSE),"-")</f>
        <v>- / -</v>
      </c>
      <c r="M59" s="54" t="str">
        <f t="shared" si="5"/>
        <v>none</v>
      </c>
      <c r="N59" s="42" t="str">
        <f>IFERROR(LEFT(M59,FIND("],",M59)+S62),M59)</f>
        <v>none</v>
      </c>
      <c r="O59" s="54" t="e">
        <f t="shared" si="6"/>
        <v>#VALUE!</v>
      </c>
      <c r="P59" s="54">
        <f t="shared" si="7"/>
        <v>4</v>
      </c>
      <c r="Q59" s="54" t="e">
        <f t="shared" si="8"/>
        <v>#VALUE!</v>
      </c>
      <c r="R59" s="54" t="e">
        <f t="shared" si="9"/>
        <v>#VALUE!</v>
      </c>
      <c r="S59" s="54" t="str">
        <f>IFERROR(VLOOKUP(MID(N59,Q59,R59-Q59),[6]skilldef!$C:$D,2,FALSE),"-") &amp; " / " &amp; IFERROR(VLOOKUP(MID(N59,O59,P59-O59),[6]skilldef!$A:$B,2,FALSE),"-")</f>
        <v>- / -</v>
      </c>
      <c r="T59" s="42" t="str">
        <f t="shared" si="10"/>
        <v>none</v>
      </c>
      <c r="U59" s="54" t="e">
        <f t="shared" si="11"/>
        <v>#VALUE!</v>
      </c>
      <c r="V59" s="54">
        <f t="shared" si="12"/>
        <v>4</v>
      </c>
      <c r="W59" s="54" t="e">
        <f t="shared" si="13"/>
        <v>#VALUE!</v>
      </c>
      <c r="X59" s="54" t="e">
        <f t="shared" si="14"/>
        <v>#VALUE!</v>
      </c>
      <c r="Y59" s="54" t="str">
        <f>IFERROR(VLOOKUP(MID(T59,W59,X59-W59),[6]skilldef!$C:$D,2,FALSE),"-") &amp; " / " &amp; IFERROR(VLOOKUP(MID(T59,U59,V59-U59),[6]skilldef!$A:$B,2,FALSE),"-")</f>
        <v>- / -</v>
      </c>
      <c r="Z59" s="44"/>
      <c r="AA59" s="46"/>
      <c r="AB59" s="44"/>
    </row>
  </sheetData>
  <autoFilter ref="A1:AB1"/>
  <phoneticPr fontId="10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>
    <tabColor rgb="FF0000FF"/>
  </sheetPr>
  <dimension ref="A1:M51"/>
  <sheetViews>
    <sheetView showGridLines="0" workbookViewId="0">
      <pane ySplit="1" topLeftCell="A2" activePane="bottomLeft" state="frozenSplit"/>
      <selection pane="bottomLeft" activeCell="F13" sqref="F13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2" width="14.83203125" style="39" customWidth="1"/>
    <col min="13" max="13" width="65.1640625" style="39" customWidth="1"/>
    <col min="14" max="16384" width="12.83203125" style="39"/>
  </cols>
  <sheetData>
    <row r="1" spans="1:13" ht="21" customHeight="1" x14ac:dyDescent="0.15">
      <c r="A1" s="36" t="s">
        <v>481</v>
      </c>
      <c r="B1" s="36" t="s">
        <v>482</v>
      </c>
      <c r="C1" s="36" t="s">
        <v>483</v>
      </c>
      <c r="D1" s="36" t="s">
        <v>484</v>
      </c>
      <c r="E1" s="36" t="s">
        <v>485</v>
      </c>
      <c r="F1" s="47" t="s">
        <v>486</v>
      </c>
      <c r="G1" s="47" t="s">
        <v>487</v>
      </c>
      <c r="H1" s="36" t="s">
        <v>488</v>
      </c>
      <c r="I1" s="36" t="s">
        <v>489</v>
      </c>
      <c r="J1" s="36" t="s">
        <v>490</v>
      </c>
      <c r="K1" s="48" t="s">
        <v>33</v>
      </c>
    </row>
    <row r="2" spans="1:13" ht="21" customHeight="1" x14ac:dyDescent="0.15">
      <c r="A2" s="186">
        <v>47013101</v>
      </c>
      <c r="B2" s="41">
        <v>1</v>
      </c>
      <c r="C2" s="41">
        <v>500</v>
      </c>
      <c r="D2" s="41">
        <v>100</v>
      </c>
      <c r="E2" s="41" t="s">
        <v>491</v>
      </c>
      <c r="F2" s="41" t="s">
        <v>491</v>
      </c>
      <c r="G2" s="41">
        <v>1</v>
      </c>
      <c r="H2" s="41" t="s">
        <v>491</v>
      </c>
      <c r="I2" s="41" t="s">
        <v>491</v>
      </c>
      <c r="J2" s="42">
        <f t="shared" ref="J2:J51" si="0">D2</f>
        <v>100</v>
      </c>
      <c r="L2" s="44" t="s">
        <v>492</v>
      </c>
      <c r="M2" s="44" t="s">
        <v>493</v>
      </c>
    </row>
    <row r="3" spans="1:13" ht="21" customHeight="1" x14ac:dyDescent="0.15">
      <c r="A3" s="186">
        <v>47013102</v>
      </c>
      <c r="B3" s="41">
        <v>0</v>
      </c>
      <c r="C3" s="41">
        <v>210</v>
      </c>
      <c r="D3" s="41">
        <v>100</v>
      </c>
      <c r="E3" s="41" t="s">
        <v>491</v>
      </c>
      <c r="F3" s="41" t="s">
        <v>491</v>
      </c>
      <c r="G3" s="41">
        <v>1</v>
      </c>
      <c r="H3" s="41">
        <v>1</v>
      </c>
      <c r="I3" s="41" t="s">
        <v>491</v>
      </c>
      <c r="J3" s="42">
        <f t="shared" si="0"/>
        <v>100</v>
      </c>
      <c r="L3" s="44" t="s">
        <v>494</v>
      </c>
      <c r="M3" s="44" t="s">
        <v>495</v>
      </c>
    </row>
    <row r="4" spans="1:13" ht="21" customHeight="1" x14ac:dyDescent="0.15">
      <c r="A4" s="186">
        <v>47013103</v>
      </c>
      <c r="B4" s="41">
        <v>0</v>
      </c>
      <c r="C4" s="41">
        <v>200</v>
      </c>
      <c r="D4" s="41">
        <v>100</v>
      </c>
      <c r="E4" s="41" t="s">
        <v>491</v>
      </c>
      <c r="F4" s="41" t="s">
        <v>491</v>
      </c>
      <c r="G4" s="41">
        <v>1</v>
      </c>
      <c r="H4" s="41">
        <v>2</v>
      </c>
      <c r="I4" s="41" t="s">
        <v>491</v>
      </c>
      <c r="J4" s="42">
        <f t="shared" si="0"/>
        <v>100</v>
      </c>
      <c r="L4" s="44" t="s">
        <v>496</v>
      </c>
      <c r="M4" s="44" t="s">
        <v>497</v>
      </c>
    </row>
    <row r="5" spans="1:13" ht="21" customHeight="1" x14ac:dyDescent="0.15">
      <c r="A5" s="186">
        <v>47013104</v>
      </c>
      <c r="B5" s="41">
        <v>0</v>
      </c>
      <c r="C5" s="41">
        <v>140</v>
      </c>
      <c r="D5" s="41">
        <v>85</v>
      </c>
      <c r="E5" s="41" t="s">
        <v>491</v>
      </c>
      <c r="F5" s="41" t="s">
        <v>491</v>
      </c>
      <c r="G5" s="41">
        <v>1</v>
      </c>
      <c r="H5" s="41" t="s">
        <v>491</v>
      </c>
      <c r="I5" s="41" t="s">
        <v>491</v>
      </c>
      <c r="J5" s="42">
        <f t="shared" si="0"/>
        <v>85</v>
      </c>
      <c r="L5" s="44" t="s">
        <v>498</v>
      </c>
      <c r="M5" s="44" t="s">
        <v>499</v>
      </c>
    </row>
    <row r="6" spans="1:13" ht="21" customHeight="1" x14ac:dyDescent="0.15">
      <c r="A6" s="186">
        <v>47013105</v>
      </c>
      <c r="B6" s="41">
        <v>0</v>
      </c>
      <c r="C6" s="41">
        <v>130</v>
      </c>
      <c r="D6" s="41">
        <v>30</v>
      </c>
      <c r="E6" s="41" t="s">
        <v>500</v>
      </c>
      <c r="F6" s="41" t="s">
        <v>500</v>
      </c>
      <c r="G6" s="41" t="s">
        <v>500</v>
      </c>
      <c r="H6" s="41" t="s">
        <v>500</v>
      </c>
      <c r="I6" s="41" t="s">
        <v>500</v>
      </c>
      <c r="J6" s="42">
        <f t="shared" si="0"/>
        <v>30</v>
      </c>
      <c r="L6" s="44" t="s">
        <v>501</v>
      </c>
      <c r="M6" s="44" t="s">
        <v>502</v>
      </c>
    </row>
    <row r="7" spans="1:13" ht="21" customHeight="1" x14ac:dyDescent="0.15">
      <c r="A7" s="186">
        <v>47013106</v>
      </c>
      <c r="B7" s="41">
        <v>0</v>
      </c>
      <c r="C7" s="41">
        <v>120</v>
      </c>
      <c r="D7" s="41">
        <v>60</v>
      </c>
      <c r="E7" s="41" t="s">
        <v>491</v>
      </c>
      <c r="F7" s="41" t="s">
        <v>491</v>
      </c>
      <c r="G7" s="41" t="s">
        <v>491</v>
      </c>
      <c r="H7" s="41" t="s">
        <v>491</v>
      </c>
      <c r="I7" s="41" t="s">
        <v>491</v>
      </c>
      <c r="J7" s="42">
        <f t="shared" si="0"/>
        <v>60</v>
      </c>
      <c r="L7" s="44" t="s">
        <v>503</v>
      </c>
      <c r="M7" s="44" t="s">
        <v>504</v>
      </c>
    </row>
    <row r="8" spans="1:13" ht="21" customHeight="1" x14ac:dyDescent="0.15">
      <c r="A8" s="186">
        <v>47013107</v>
      </c>
      <c r="B8" s="41">
        <v>0</v>
      </c>
      <c r="C8" s="41">
        <v>110</v>
      </c>
      <c r="D8" s="41">
        <v>100</v>
      </c>
      <c r="E8" s="41" t="s">
        <v>491</v>
      </c>
      <c r="F8" s="41" t="s">
        <v>491</v>
      </c>
      <c r="G8" s="41" t="s">
        <v>491</v>
      </c>
      <c r="H8" s="41" t="s">
        <v>491</v>
      </c>
      <c r="I8" s="41" t="s">
        <v>491</v>
      </c>
      <c r="J8" s="42">
        <f t="shared" si="0"/>
        <v>100</v>
      </c>
      <c r="L8" s="44" t="s">
        <v>505</v>
      </c>
      <c r="M8" s="44" t="s">
        <v>506</v>
      </c>
    </row>
    <row r="9" spans="1:13" ht="21" customHeight="1" x14ac:dyDescent="0.15">
      <c r="A9" s="188">
        <v>47013201</v>
      </c>
      <c r="B9" s="229">
        <v>1</v>
      </c>
      <c r="C9" s="229">
        <v>500</v>
      </c>
      <c r="D9" s="229">
        <v>100</v>
      </c>
      <c r="E9" s="229" t="s">
        <v>500</v>
      </c>
      <c r="F9" s="229" t="s">
        <v>500</v>
      </c>
      <c r="G9" s="229">
        <v>1</v>
      </c>
      <c r="H9" s="229" t="s">
        <v>500</v>
      </c>
      <c r="I9" s="229" t="s">
        <v>500</v>
      </c>
      <c r="J9" s="198">
        <f t="shared" si="0"/>
        <v>100</v>
      </c>
      <c r="L9" s="212" t="s">
        <v>507</v>
      </c>
      <c r="M9" s="212" t="s">
        <v>508</v>
      </c>
    </row>
    <row r="10" spans="1:13" ht="21" customHeight="1" x14ac:dyDescent="0.15">
      <c r="A10" s="188">
        <v>47013202</v>
      </c>
      <c r="B10" s="41">
        <v>0</v>
      </c>
      <c r="C10" s="41">
        <v>210</v>
      </c>
      <c r="D10" s="41">
        <v>100</v>
      </c>
      <c r="E10" s="41" t="s">
        <v>279</v>
      </c>
      <c r="F10" s="41" t="s">
        <v>279</v>
      </c>
      <c r="G10" s="41">
        <v>1</v>
      </c>
      <c r="H10" s="41">
        <v>1</v>
      </c>
      <c r="I10" s="41" t="s">
        <v>279</v>
      </c>
      <c r="J10" s="42">
        <f t="shared" si="0"/>
        <v>100</v>
      </c>
      <c r="L10" s="44" t="s">
        <v>509</v>
      </c>
      <c r="M10" s="44" t="s">
        <v>510</v>
      </c>
    </row>
    <row r="11" spans="1:13" ht="21" customHeight="1" x14ac:dyDescent="0.15">
      <c r="A11" s="188">
        <v>47013203</v>
      </c>
      <c r="B11" s="41">
        <v>0</v>
      </c>
      <c r="C11" s="41">
        <v>140</v>
      </c>
      <c r="D11" s="41">
        <v>25</v>
      </c>
      <c r="E11" s="41" t="s">
        <v>500</v>
      </c>
      <c r="F11" s="41" t="s">
        <v>500</v>
      </c>
      <c r="G11" s="41">
        <v>1</v>
      </c>
      <c r="H11" s="41" t="s">
        <v>500</v>
      </c>
      <c r="I11" s="41" t="s">
        <v>500</v>
      </c>
      <c r="J11" s="42">
        <f t="shared" si="0"/>
        <v>25</v>
      </c>
      <c r="L11" s="44" t="s">
        <v>511</v>
      </c>
      <c r="M11" s="44" t="s">
        <v>512</v>
      </c>
    </row>
    <row r="12" spans="1:13" ht="21" customHeight="1" x14ac:dyDescent="0.15">
      <c r="A12" s="188">
        <v>47013204</v>
      </c>
      <c r="B12" s="41">
        <v>0</v>
      </c>
      <c r="C12" s="41">
        <v>130</v>
      </c>
      <c r="D12" s="41">
        <v>30</v>
      </c>
      <c r="E12" s="41" t="s">
        <v>491</v>
      </c>
      <c r="F12" s="41" t="s">
        <v>491</v>
      </c>
      <c r="G12" s="41" t="s">
        <v>491</v>
      </c>
      <c r="H12" s="41" t="s">
        <v>491</v>
      </c>
      <c r="I12" s="41" t="s">
        <v>491</v>
      </c>
      <c r="J12" s="42">
        <f t="shared" si="0"/>
        <v>30</v>
      </c>
      <c r="L12" s="44" t="s">
        <v>513</v>
      </c>
      <c r="M12" s="44" t="s">
        <v>514</v>
      </c>
    </row>
    <row r="13" spans="1:13" ht="21" customHeight="1" x14ac:dyDescent="0.15">
      <c r="A13" s="188">
        <v>47013205</v>
      </c>
      <c r="B13" s="41">
        <v>0</v>
      </c>
      <c r="C13" s="41">
        <v>120</v>
      </c>
      <c r="D13" s="41">
        <v>48</v>
      </c>
      <c r="E13" s="41" t="s">
        <v>491</v>
      </c>
      <c r="F13" s="41" t="s">
        <v>491</v>
      </c>
      <c r="G13" s="41" t="s">
        <v>491</v>
      </c>
      <c r="H13" s="41" t="s">
        <v>491</v>
      </c>
      <c r="I13" s="41" t="s">
        <v>491</v>
      </c>
      <c r="J13" s="42">
        <f t="shared" si="0"/>
        <v>48</v>
      </c>
      <c r="L13" s="44" t="s">
        <v>513</v>
      </c>
      <c r="M13" s="44" t="s">
        <v>515</v>
      </c>
    </row>
    <row r="14" spans="1:13" ht="21" customHeight="1" x14ac:dyDescent="0.15">
      <c r="A14" s="188">
        <v>47013206</v>
      </c>
      <c r="B14" s="41">
        <v>0</v>
      </c>
      <c r="C14" s="41">
        <v>110</v>
      </c>
      <c r="D14" s="41">
        <v>100</v>
      </c>
      <c r="E14" s="41" t="s">
        <v>491</v>
      </c>
      <c r="F14" s="41" t="s">
        <v>491</v>
      </c>
      <c r="G14" s="41" t="s">
        <v>491</v>
      </c>
      <c r="H14" s="41" t="s">
        <v>491</v>
      </c>
      <c r="I14" s="41" t="s">
        <v>491</v>
      </c>
      <c r="J14" s="42">
        <f t="shared" si="0"/>
        <v>100</v>
      </c>
      <c r="L14" s="44" t="s">
        <v>513</v>
      </c>
      <c r="M14" s="44" t="s">
        <v>516</v>
      </c>
    </row>
    <row r="15" spans="1:13" ht="21" customHeight="1" x14ac:dyDescent="0.15">
      <c r="A15" s="188">
        <v>47013207</v>
      </c>
      <c r="B15" s="41">
        <v>0</v>
      </c>
      <c r="C15" s="41">
        <v>300</v>
      </c>
      <c r="D15" s="41">
        <v>100</v>
      </c>
      <c r="E15" s="41" t="s">
        <v>491</v>
      </c>
      <c r="F15" s="41" t="s">
        <v>491</v>
      </c>
      <c r="G15" s="41" t="s">
        <v>491</v>
      </c>
      <c r="H15" s="41">
        <v>4</v>
      </c>
      <c r="I15" s="41" t="s">
        <v>491</v>
      </c>
      <c r="J15" s="42">
        <f t="shared" si="0"/>
        <v>100</v>
      </c>
      <c r="L15" s="44" t="s">
        <v>517</v>
      </c>
      <c r="M15" s="44" t="s">
        <v>518</v>
      </c>
    </row>
    <row r="16" spans="1:13" ht="21" customHeight="1" x14ac:dyDescent="0.15">
      <c r="A16" s="189">
        <v>47013301</v>
      </c>
      <c r="B16" s="41">
        <v>1</v>
      </c>
      <c r="C16" s="41">
        <v>500</v>
      </c>
      <c r="D16" s="41">
        <v>100</v>
      </c>
      <c r="E16" s="41" t="s">
        <v>491</v>
      </c>
      <c r="F16" s="41" t="s">
        <v>491</v>
      </c>
      <c r="G16" s="41">
        <v>1</v>
      </c>
      <c r="H16" s="41" t="s">
        <v>491</v>
      </c>
      <c r="I16" s="41" t="s">
        <v>491</v>
      </c>
      <c r="J16" s="42">
        <f t="shared" si="0"/>
        <v>100</v>
      </c>
      <c r="L16" s="44" t="s">
        <v>519</v>
      </c>
      <c r="M16" s="44" t="s">
        <v>520</v>
      </c>
    </row>
    <row r="17" spans="1:13" ht="21" customHeight="1" x14ac:dyDescent="0.15">
      <c r="A17" s="189">
        <v>47013302</v>
      </c>
      <c r="B17" s="41">
        <v>0</v>
      </c>
      <c r="C17" s="41">
        <v>210</v>
      </c>
      <c r="D17" s="41">
        <v>100</v>
      </c>
      <c r="E17" s="41" t="s">
        <v>491</v>
      </c>
      <c r="F17" s="41" t="s">
        <v>491</v>
      </c>
      <c r="G17" s="41">
        <v>1</v>
      </c>
      <c r="H17" s="41">
        <v>1</v>
      </c>
      <c r="I17" s="41" t="s">
        <v>491</v>
      </c>
      <c r="J17" s="42">
        <f t="shared" si="0"/>
        <v>100</v>
      </c>
      <c r="L17" s="44" t="s">
        <v>521</v>
      </c>
      <c r="M17" s="44" t="s">
        <v>522</v>
      </c>
    </row>
    <row r="18" spans="1:13" ht="21" customHeight="1" x14ac:dyDescent="0.15">
      <c r="A18" s="189">
        <v>47013303</v>
      </c>
      <c r="B18" s="41">
        <v>0</v>
      </c>
      <c r="C18" s="41">
        <v>140</v>
      </c>
      <c r="D18" s="41">
        <v>80</v>
      </c>
      <c r="E18" s="41" t="s">
        <v>491</v>
      </c>
      <c r="F18" s="41" t="s">
        <v>491</v>
      </c>
      <c r="G18" s="41">
        <v>1</v>
      </c>
      <c r="H18" s="41" t="s">
        <v>491</v>
      </c>
      <c r="I18" s="41" t="s">
        <v>491</v>
      </c>
      <c r="J18" s="42">
        <f t="shared" si="0"/>
        <v>80</v>
      </c>
      <c r="L18" s="44" t="s">
        <v>523</v>
      </c>
      <c r="M18" s="44" t="s">
        <v>524</v>
      </c>
    </row>
    <row r="19" spans="1:13" ht="21" customHeight="1" x14ac:dyDescent="0.15">
      <c r="A19" s="189">
        <v>47013304</v>
      </c>
      <c r="B19" s="41">
        <v>0</v>
      </c>
      <c r="C19" s="41">
        <v>130</v>
      </c>
      <c r="D19" s="41">
        <v>28</v>
      </c>
      <c r="E19" s="41" t="s">
        <v>491</v>
      </c>
      <c r="F19" s="41" t="s">
        <v>491</v>
      </c>
      <c r="G19" s="41" t="s">
        <v>491</v>
      </c>
      <c r="H19" s="41" t="s">
        <v>491</v>
      </c>
      <c r="I19" s="41" t="s">
        <v>491</v>
      </c>
      <c r="J19" s="42">
        <f t="shared" si="0"/>
        <v>28</v>
      </c>
      <c r="L19" s="44" t="s">
        <v>525</v>
      </c>
      <c r="M19" s="44" t="s">
        <v>526</v>
      </c>
    </row>
    <row r="20" spans="1:13" ht="21" customHeight="1" x14ac:dyDescent="0.15">
      <c r="A20" s="189">
        <v>47013305</v>
      </c>
      <c r="B20" s="41">
        <v>0</v>
      </c>
      <c r="C20" s="41">
        <v>120</v>
      </c>
      <c r="D20" s="41">
        <v>55</v>
      </c>
      <c r="E20" s="41" t="s">
        <v>491</v>
      </c>
      <c r="F20" s="41" t="s">
        <v>491</v>
      </c>
      <c r="G20" s="41" t="s">
        <v>491</v>
      </c>
      <c r="H20" s="41" t="s">
        <v>491</v>
      </c>
      <c r="I20" s="41" t="s">
        <v>491</v>
      </c>
      <c r="J20" s="42">
        <f t="shared" si="0"/>
        <v>55</v>
      </c>
      <c r="L20" s="44" t="s">
        <v>525</v>
      </c>
      <c r="M20" s="44" t="s">
        <v>527</v>
      </c>
    </row>
    <row r="21" spans="1:13" ht="21" customHeight="1" x14ac:dyDescent="0.15">
      <c r="A21" s="189">
        <v>47013306</v>
      </c>
      <c r="B21" s="41">
        <v>0</v>
      </c>
      <c r="C21" s="41">
        <v>110</v>
      </c>
      <c r="D21" s="41">
        <v>100</v>
      </c>
      <c r="E21" s="41" t="s">
        <v>491</v>
      </c>
      <c r="F21" s="41" t="s">
        <v>491</v>
      </c>
      <c r="G21" s="41" t="s">
        <v>491</v>
      </c>
      <c r="H21" s="41" t="s">
        <v>491</v>
      </c>
      <c r="I21" s="41" t="s">
        <v>491</v>
      </c>
      <c r="J21" s="42">
        <f t="shared" si="0"/>
        <v>100</v>
      </c>
      <c r="L21" s="44" t="s">
        <v>525</v>
      </c>
      <c r="M21" s="44" t="s">
        <v>528</v>
      </c>
    </row>
    <row r="22" spans="1:13" ht="21" customHeight="1" x14ac:dyDescent="0.15">
      <c r="A22" s="189">
        <v>47013307</v>
      </c>
      <c r="B22" s="41">
        <v>0</v>
      </c>
      <c r="C22" s="41">
        <v>300</v>
      </c>
      <c r="D22" s="41">
        <v>100</v>
      </c>
      <c r="E22" s="41" t="s">
        <v>491</v>
      </c>
      <c r="F22" s="41" t="s">
        <v>491</v>
      </c>
      <c r="G22" s="41" t="s">
        <v>491</v>
      </c>
      <c r="H22" s="41">
        <v>6</v>
      </c>
      <c r="I22" s="41" t="s">
        <v>491</v>
      </c>
      <c r="J22" s="42">
        <f t="shared" si="0"/>
        <v>100</v>
      </c>
      <c r="L22" s="44" t="s">
        <v>529</v>
      </c>
      <c r="M22" s="44" t="s">
        <v>530</v>
      </c>
    </row>
    <row r="23" spans="1:13" ht="21" customHeight="1" x14ac:dyDescent="0.15">
      <c r="A23" s="190">
        <v>47013401</v>
      </c>
      <c r="B23" s="229">
        <v>1</v>
      </c>
      <c r="C23" s="229">
        <v>500</v>
      </c>
      <c r="D23" s="229">
        <v>100</v>
      </c>
      <c r="E23" s="229" t="s">
        <v>491</v>
      </c>
      <c r="F23" s="229" t="s">
        <v>491</v>
      </c>
      <c r="G23" s="229">
        <v>1</v>
      </c>
      <c r="H23" s="229" t="s">
        <v>491</v>
      </c>
      <c r="I23" s="229" t="s">
        <v>491</v>
      </c>
      <c r="J23" s="198">
        <f t="shared" si="0"/>
        <v>100</v>
      </c>
      <c r="L23" s="212" t="s">
        <v>531</v>
      </c>
      <c r="M23" s="212" t="s">
        <v>532</v>
      </c>
    </row>
    <row r="24" spans="1:13" ht="21" customHeight="1" x14ac:dyDescent="0.15">
      <c r="A24" s="190">
        <v>47013402</v>
      </c>
      <c r="B24" s="41">
        <v>1</v>
      </c>
      <c r="C24" s="41">
        <v>510</v>
      </c>
      <c r="D24" s="41">
        <v>100</v>
      </c>
      <c r="E24" s="41" t="s">
        <v>491</v>
      </c>
      <c r="F24" s="41" t="s">
        <v>491</v>
      </c>
      <c r="G24" s="41">
        <v>1</v>
      </c>
      <c r="H24" s="41" t="s">
        <v>491</v>
      </c>
      <c r="I24" s="186">
        <v>1490</v>
      </c>
      <c r="J24" s="42">
        <f t="shared" si="0"/>
        <v>100</v>
      </c>
      <c r="L24" s="212" t="s">
        <v>533</v>
      </c>
      <c r="M24" s="212" t="s">
        <v>532</v>
      </c>
    </row>
    <row r="25" spans="1:13" ht="21" customHeight="1" x14ac:dyDescent="0.15">
      <c r="A25" s="191">
        <v>47013412</v>
      </c>
      <c r="B25" s="41">
        <v>1</v>
      </c>
      <c r="C25" s="41">
        <v>520</v>
      </c>
      <c r="D25" s="41">
        <v>100</v>
      </c>
      <c r="E25" s="41" t="s">
        <v>491</v>
      </c>
      <c r="F25" s="41" t="s">
        <v>491</v>
      </c>
      <c r="G25" s="41">
        <v>1</v>
      </c>
      <c r="H25" s="41" t="s">
        <v>491</v>
      </c>
      <c r="I25" s="186">
        <v>1491</v>
      </c>
      <c r="J25" s="42">
        <f t="shared" si="0"/>
        <v>100</v>
      </c>
      <c r="L25" s="212" t="s">
        <v>533</v>
      </c>
      <c r="M25" s="212" t="s">
        <v>532</v>
      </c>
    </row>
    <row r="26" spans="1:13" ht="21" customHeight="1" x14ac:dyDescent="0.15">
      <c r="A26" s="190">
        <v>47013403</v>
      </c>
      <c r="B26" s="41">
        <v>0</v>
      </c>
      <c r="C26" s="41">
        <v>210</v>
      </c>
      <c r="D26" s="41">
        <v>100</v>
      </c>
      <c r="E26" s="41" t="s">
        <v>491</v>
      </c>
      <c r="F26" s="41" t="s">
        <v>491</v>
      </c>
      <c r="G26" s="41">
        <v>1</v>
      </c>
      <c r="H26" s="41">
        <v>1</v>
      </c>
      <c r="I26" s="41" t="s">
        <v>491</v>
      </c>
      <c r="J26" s="42">
        <f t="shared" si="0"/>
        <v>100</v>
      </c>
      <c r="L26" s="212" t="s">
        <v>534</v>
      </c>
      <c r="M26" s="44" t="s">
        <v>535</v>
      </c>
    </row>
    <row r="27" spans="1:13" ht="21" customHeight="1" x14ac:dyDescent="0.15">
      <c r="A27" s="190">
        <v>47013404</v>
      </c>
      <c r="B27" s="41">
        <v>0</v>
      </c>
      <c r="C27" s="41">
        <v>140</v>
      </c>
      <c r="D27" s="41">
        <v>85</v>
      </c>
      <c r="E27" s="41" t="s">
        <v>491</v>
      </c>
      <c r="F27" s="41" t="s">
        <v>491</v>
      </c>
      <c r="G27" s="41">
        <v>1</v>
      </c>
      <c r="H27" s="41" t="s">
        <v>491</v>
      </c>
      <c r="I27" s="41" t="s">
        <v>491</v>
      </c>
      <c r="J27" s="42">
        <f t="shared" si="0"/>
        <v>85</v>
      </c>
      <c r="L27" s="212" t="s">
        <v>536</v>
      </c>
      <c r="M27" s="44" t="s">
        <v>537</v>
      </c>
    </row>
    <row r="28" spans="1:13" ht="21" customHeight="1" x14ac:dyDescent="0.15">
      <c r="A28" s="190">
        <v>47013405</v>
      </c>
      <c r="B28" s="41">
        <v>0</v>
      </c>
      <c r="C28" s="41">
        <v>130</v>
      </c>
      <c r="D28" s="41">
        <v>38</v>
      </c>
      <c r="E28" s="41" t="s">
        <v>491</v>
      </c>
      <c r="F28" s="41" t="s">
        <v>491</v>
      </c>
      <c r="G28" s="41" t="s">
        <v>491</v>
      </c>
      <c r="H28" s="41" t="s">
        <v>491</v>
      </c>
      <c r="I28" s="41" t="s">
        <v>491</v>
      </c>
      <c r="J28" s="42">
        <f t="shared" si="0"/>
        <v>38</v>
      </c>
      <c r="L28" s="212" t="s">
        <v>538</v>
      </c>
      <c r="M28" s="44" t="s">
        <v>539</v>
      </c>
    </row>
    <row r="29" spans="1:13" ht="21" customHeight="1" x14ac:dyDescent="0.15">
      <c r="A29" s="190">
        <v>47013406</v>
      </c>
      <c r="B29" s="41">
        <v>0</v>
      </c>
      <c r="C29" s="41">
        <v>120</v>
      </c>
      <c r="D29" s="41">
        <v>53</v>
      </c>
      <c r="E29" s="41" t="s">
        <v>253</v>
      </c>
      <c r="F29" s="41" t="s">
        <v>253</v>
      </c>
      <c r="G29" s="41" t="s">
        <v>253</v>
      </c>
      <c r="H29" s="41" t="s">
        <v>253</v>
      </c>
      <c r="I29" s="41" t="s">
        <v>253</v>
      </c>
      <c r="J29" s="42">
        <f t="shared" si="0"/>
        <v>53</v>
      </c>
      <c r="L29" s="212" t="s">
        <v>540</v>
      </c>
      <c r="M29" s="44" t="s">
        <v>541</v>
      </c>
    </row>
    <row r="30" spans="1:13" ht="21" customHeight="1" x14ac:dyDescent="0.15">
      <c r="A30" s="190">
        <v>47013407</v>
      </c>
      <c r="B30" s="41">
        <v>0</v>
      </c>
      <c r="C30" s="41">
        <v>110</v>
      </c>
      <c r="D30" s="41">
        <v>100</v>
      </c>
      <c r="E30" s="41" t="s">
        <v>491</v>
      </c>
      <c r="F30" s="41" t="s">
        <v>491</v>
      </c>
      <c r="G30" s="41" t="s">
        <v>491</v>
      </c>
      <c r="H30" s="41" t="s">
        <v>491</v>
      </c>
      <c r="I30" s="41" t="s">
        <v>491</v>
      </c>
      <c r="J30" s="42">
        <f t="shared" si="0"/>
        <v>100</v>
      </c>
      <c r="L30" s="212" t="s">
        <v>540</v>
      </c>
      <c r="M30" s="44" t="s">
        <v>542</v>
      </c>
    </row>
    <row r="31" spans="1:13" ht="21" customHeight="1" x14ac:dyDescent="0.15">
      <c r="A31" s="191">
        <v>47013501</v>
      </c>
      <c r="B31" s="41">
        <v>1</v>
      </c>
      <c r="C31" s="41">
        <v>500</v>
      </c>
      <c r="D31" s="41">
        <v>100</v>
      </c>
      <c r="E31" s="41" t="s">
        <v>491</v>
      </c>
      <c r="F31" s="41" t="s">
        <v>491</v>
      </c>
      <c r="G31" s="41">
        <v>1</v>
      </c>
      <c r="H31" s="41" t="s">
        <v>491</v>
      </c>
      <c r="I31" s="41" t="s">
        <v>491</v>
      </c>
      <c r="J31" s="42">
        <f t="shared" si="0"/>
        <v>100</v>
      </c>
      <c r="L31" s="212" t="s">
        <v>543</v>
      </c>
      <c r="M31" s="44" t="s">
        <v>544</v>
      </c>
    </row>
    <row r="32" spans="1:13" ht="21" customHeight="1" x14ac:dyDescent="0.15">
      <c r="A32" s="191">
        <v>47013502</v>
      </c>
      <c r="B32" s="41">
        <v>0</v>
      </c>
      <c r="C32" s="41">
        <v>270</v>
      </c>
      <c r="D32" s="41">
        <v>100</v>
      </c>
      <c r="E32" s="41" t="s">
        <v>491</v>
      </c>
      <c r="F32" s="41" t="s">
        <v>491</v>
      </c>
      <c r="G32" s="41">
        <v>1</v>
      </c>
      <c r="H32" s="41" t="s">
        <v>491</v>
      </c>
      <c r="I32" s="41" t="s">
        <v>491</v>
      </c>
      <c r="J32" s="42">
        <f t="shared" si="0"/>
        <v>100</v>
      </c>
      <c r="L32" s="212" t="s">
        <v>545</v>
      </c>
      <c r="M32" s="44" t="s">
        <v>546</v>
      </c>
    </row>
    <row r="33" spans="1:13" ht="21" customHeight="1" x14ac:dyDescent="0.15">
      <c r="A33" s="191">
        <v>47013503</v>
      </c>
      <c r="B33" s="41">
        <v>0</v>
      </c>
      <c r="C33" s="41">
        <v>260</v>
      </c>
      <c r="D33" s="41">
        <v>100</v>
      </c>
      <c r="E33" s="41" t="s">
        <v>491</v>
      </c>
      <c r="F33" s="41" t="s">
        <v>491</v>
      </c>
      <c r="G33" s="41">
        <v>1</v>
      </c>
      <c r="H33" s="41" t="s">
        <v>491</v>
      </c>
      <c r="I33" s="41" t="s">
        <v>491</v>
      </c>
      <c r="J33" s="42">
        <f t="shared" si="0"/>
        <v>100</v>
      </c>
      <c r="L33" s="212" t="s">
        <v>547</v>
      </c>
      <c r="M33" s="44" t="s">
        <v>548</v>
      </c>
    </row>
    <row r="34" spans="1:13" ht="21" customHeight="1" x14ac:dyDescent="0.15">
      <c r="A34" s="191">
        <v>47013504</v>
      </c>
      <c r="B34" s="41">
        <v>0</v>
      </c>
      <c r="C34" s="41">
        <v>250</v>
      </c>
      <c r="D34" s="41">
        <v>100</v>
      </c>
      <c r="E34" s="41" t="s">
        <v>491</v>
      </c>
      <c r="F34" s="41" t="s">
        <v>491</v>
      </c>
      <c r="G34" s="41">
        <v>1</v>
      </c>
      <c r="H34" s="41" t="s">
        <v>491</v>
      </c>
      <c r="I34" s="41" t="s">
        <v>491</v>
      </c>
      <c r="J34" s="42">
        <f t="shared" si="0"/>
        <v>100</v>
      </c>
      <c r="L34" s="212" t="s">
        <v>549</v>
      </c>
      <c r="M34" s="44" t="s">
        <v>550</v>
      </c>
    </row>
    <row r="35" spans="1:13" ht="21" customHeight="1" x14ac:dyDescent="0.15">
      <c r="A35" s="191">
        <v>47013505</v>
      </c>
      <c r="B35" s="41">
        <v>0</v>
      </c>
      <c r="C35" s="41">
        <v>240</v>
      </c>
      <c r="D35" s="41">
        <v>100</v>
      </c>
      <c r="E35" s="41" t="s">
        <v>491</v>
      </c>
      <c r="F35" s="41" t="s">
        <v>491</v>
      </c>
      <c r="G35" s="41">
        <v>1</v>
      </c>
      <c r="H35" s="41" t="s">
        <v>491</v>
      </c>
      <c r="I35" s="41" t="s">
        <v>491</v>
      </c>
      <c r="J35" s="42">
        <f t="shared" si="0"/>
        <v>100</v>
      </c>
      <c r="L35" s="212" t="s">
        <v>551</v>
      </c>
      <c r="M35" s="44" t="s">
        <v>552</v>
      </c>
    </row>
    <row r="36" spans="1:13" ht="21" customHeight="1" x14ac:dyDescent="0.15">
      <c r="A36" s="191">
        <v>47013506</v>
      </c>
      <c r="B36" s="41">
        <v>0</v>
      </c>
      <c r="C36" s="41">
        <v>230</v>
      </c>
      <c r="D36" s="41">
        <v>100</v>
      </c>
      <c r="E36" s="41" t="s">
        <v>491</v>
      </c>
      <c r="F36" s="41" t="s">
        <v>491</v>
      </c>
      <c r="G36" s="41">
        <v>1</v>
      </c>
      <c r="H36" s="41" t="s">
        <v>491</v>
      </c>
      <c r="I36" s="41" t="s">
        <v>491</v>
      </c>
      <c r="J36" s="42">
        <f t="shared" si="0"/>
        <v>100</v>
      </c>
      <c r="L36" s="212" t="s">
        <v>553</v>
      </c>
      <c r="M36" s="44" t="s">
        <v>554</v>
      </c>
    </row>
    <row r="37" spans="1:13" ht="21" customHeight="1" x14ac:dyDescent="0.15">
      <c r="A37" s="191">
        <v>47013507</v>
      </c>
      <c r="B37" s="41">
        <v>0</v>
      </c>
      <c r="C37" s="41">
        <v>220</v>
      </c>
      <c r="D37" s="41">
        <v>100</v>
      </c>
      <c r="E37" s="41" t="s">
        <v>491</v>
      </c>
      <c r="F37" s="41" t="s">
        <v>491</v>
      </c>
      <c r="G37" s="41">
        <v>1</v>
      </c>
      <c r="H37" s="41" t="s">
        <v>491</v>
      </c>
      <c r="I37" s="41" t="s">
        <v>491</v>
      </c>
      <c r="J37" s="42">
        <f t="shared" si="0"/>
        <v>100</v>
      </c>
      <c r="L37" s="212" t="s">
        <v>555</v>
      </c>
      <c r="M37" s="44" t="s">
        <v>550</v>
      </c>
    </row>
    <row r="38" spans="1:13" ht="21" customHeight="1" x14ac:dyDescent="0.15">
      <c r="A38" s="191">
        <v>47013508</v>
      </c>
      <c r="B38" s="41">
        <v>0</v>
      </c>
      <c r="C38" s="41">
        <v>210</v>
      </c>
      <c r="D38" s="41">
        <v>100</v>
      </c>
      <c r="E38" s="41" t="s">
        <v>491</v>
      </c>
      <c r="F38" s="41" t="s">
        <v>491</v>
      </c>
      <c r="G38" s="41">
        <v>1</v>
      </c>
      <c r="H38" s="41" t="s">
        <v>491</v>
      </c>
      <c r="I38" s="41" t="s">
        <v>491</v>
      </c>
      <c r="J38" s="42">
        <f t="shared" si="0"/>
        <v>100</v>
      </c>
      <c r="L38" s="212" t="s">
        <v>556</v>
      </c>
      <c r="M38" s="44" t="s">
        <v>557</v>
      </c>
    </row>
    <row r="39" spans="1:13" ht="21" customHeight="1" x14ac:dyDescent="0.15">
      <c r="A39" s="191">
        <v>47013509</v>
      </c>
      <c r="B39" s="41">
        <v>0</v>
      </c>
      <c r="C39" s="41">
        <v>130</v>
      </c>
      <c r="D39" s="41">
        <v>37</v>
      </c>
      <c r="E39" s="41" t="s">
        <v>491</v>
      </c>
      <c r="F39" s="41" t="s">
        <v>491</v>
      </c>
      <c r="G39" s="41" t="s">
        <v>491</v>
      </c>
      <c r="H39" s="41" t="s">
        <v>491</v>
      </c>
      <c r="I39" s="41" t="s">
        <v>491</v>
      </c>
      <c r="J39" s="42">
        <f t="shared" si="0"/>
        <v>37</v>
      </c>
      <c r="L39" s="44" t="s">
        <v>558</v>
      </c>
      <c r="M39" s="44" t="s">
        <v>548</v>
      </c>
    </row>
    <row r="40" spans="1:13" ht="21" customHeight="1" x14ac:dyDescent="0.15">
      <c r="A40" s="191">
        <v>47013510</v>
      </c>
      <c r="B40" s="41">
        <v>0</v>
      </c>
      <c r="C40" s="41">
        <v>120</v>
      </c>
      <c r="D40" s="41">
        <v>45</v>
      </c>
      <c r="E40" s="41" t="s">
        <v>491</v>
      </c>
      <c r="F40" s="41" t="s">
        <v>491</v>
      </c>
      <c r="G40" s="41" t="s">
        <v>491</v>
      </c>
      <c r="H40" s="41" t="s">
        <v>491</v>
      </c>
      <c r="I40" s="41" t="s">
        <v>491</v>
      </c>
      <c r="J40" s="42">
        <f t="shared" si="0"/>
        <v>45</v>
      </c>
      <c r="L40" s="44" t="s">
        <v>559</v>
      </c>
      <c r="M40" s="44" t="s">
        <v>550</v>
      </c>
    </row>
    <row r="41" spans="1:13" ht="21" customHeight="1" x14ac:dyDescent="0.15">
      <c r="A41" s="191">
        <v>47013511</v>
      </c>
      <c r="B41" s="41">
        <v>0</v>
      </c>
      <c r="C41" s="41">
        <v>110</v>
      </c>
      <c r="D41" s="41">
        <v>100</v>
      </c>
      <c r="E41" s="41" t="s">
        <v>491</v>
      </c>
      <c r="F41" s="41" t="s">
        <v>491</v>
      </c>
      <c r="G41" s="41" t="s">
        <v>491</v>
      </c>
      <c r="H41" s="41" t="s">
        <v>491</v>
      </c>
      <c r="I41" s="41" t="s">
        <v>491</v>
      </c>
      <c r="J41" s="42">
        <f t="shared" si="0"/>
        <v>100</v>
      </c>
      <c r="L41" s="44" t="s">
        <v>559</v>
      </c>
      <c r="M41" s="44" t="s">
        <v>550</v>
      </c>
    </row>
    <row r="42" spans="1:13" ht="21" customHeight="1" x14ac:dyDescent="0.15">
      <c r="A42" s="192">
        <v>47013601</v>
      </c>
      <c r="B42" s="41">
        <v>1</v>
      </c>
      <c r="C42" s="41">
        <v>500</v>
      </c>
      <c r="D42" s="41">
        <v>100</v>
      </c>
      <c r="E42" s="41" t="s">
        <v>491</v>
      </c>
      <c r="F42" s="41" t="s">
        <v>491</v>
      </c>
      <c r="G42" s="41">
        <v>1</v>
      </c>
      <c r="H42" s="41" t="s">
        <v>491</v>
      </c>
      <c r="I42" s="41" t="s">
        <v>491</v>
      </c>
      <c r="J42" s="42">
        <f t="shared" si="0"/>
        <v>100</v>
      </c>
      <c r="L42" s="45" t="s">
        <v>560</v>
      </c>
      <c r="M42" s="45" t="s">
        <v>561</v>
      </c>
    </row>
    <row r="43" spans="1:13" ht="21" customHeight="1" x14ac:dyDescent="0.15">
      <c r="A43" s="192">
        <v>47013602</v>
      </c>
      <c r="B43" s="41">
        <v>0</v>
      </c>
      <c r="C43" s="41">
        <v>120</v>
      </c>
      <c r="D43" s="41">
        <v>100</v>
      </c>
      <c r="E43" s="41" t="s">
        <v>491</v>
      </c>
      <c r="F43" s="41" t="s">
        <v>491</v>
      </c>
      <c r="G43" s="41">
        <v>1</v>
      </c>
      <c r="H43" s="41">
        <v>1</v>
      </c>
      <c r="I43" s="41" t="s">
        <v>491</v>
      </c>
      <c r="J43" s="42">
        <f t="shared" si="0"/>
        <v>100</v>
      </c>
      <c r="L43" s="213" t="s">
        <v>562</v>
      </c>
      <c r="M43" s="45" t="s">
        <v>563</v>
      </c>
    </row>
    <row r="44" spans="1:13" ht="21" customHeight="1" x14ac:dyDescent="0.15">
      <c r="A44" s="192">
        <v>47013603</v>
      </c>
      <c r="B44" s="41">
        <v>0</v>
      </c>
      <c r="C44" s="41">
        <v>110</v>
      </c>
      <c r="D44" s="41">
        <v>100</v>
      </c>
      <c r="E44" s="41" t="s">
        <v>491</v>
      </c>
      <c r="F44" s="41" t="s">
        <v>491</v>
      </c>
      <c r="G44" s="41" t="s">
        <v>491</v>
      </c>
      <c r="H44" s="41">
        <v>1</v>
      </c>
      <c r="I44" s="41" t="s">
        <v>491</v>
      </c>
      <c r="J44" s="42">
        <f t="shared" si="0"/>
        <v>100</v>
      </c>
      <c r="L44" s="213" t="s">
        <v>564</v>
      </c>
      <c r="M44" s="45" t="s">
        <v>565</v>
      </c>
    </row>
    <row r="45" spans="1:13" ht="21" customHeight="1" x14ac:dyDescent="0.15">
      <c r="A45" s="192">
        <v>47013604</v>
      </c>
      <c r="B45" s="41">
        <v>0</v>
      </c>
      <c r="C45" s="41">
        <v>140</v>
      </c>
      <c r="D45" s="41">
        <v>100</v>
      </c>
      <c r="E45" s="41" t="s">
        <v>491</v>
      </c>
      <c r="F45" s="41" t="s">
        <v>491</v>
      </c>
      <c r="G45" s="41" t="s">
        <v>491</v>
      </c>
      <c r="H45" s="41">
        <v>2</v>
      </c>
      <c r="I45" s="41" t="s">
        <v>491</v>
      </c>
      <c r="J45" s="42">
        <f t="shared" si="0"/>
        <v>100</v>
      </c>
      <c r="L45" s="213" t="s">
        <v>566</v>
      </c>
      <c r="M45" s="45" t="s">
        <v>567</v>
      </c>
    </row>
    <row r="46" spans="1:13" ht="21" customHeight="1" x14ac:dyDescent="0.15">
      <c r="A46" s="192">
        <v>47013605</v>
      </c>
      <c r="B46" s="41">
        <v>0</v>
      </c>
      <c r="C46" s="41">
        <v>150</v>
      </c>
      <c r="D46" s="41">
        <v>100</v>
      </c>
      <c r="E46" s="41" t="s">
        <v>491</v>
      </c>
      <c r="F46" s="41" t="s">
        <v>491</v>
      </c>
      <c r="G46" s="41" t="s">
        <v>491</v>
      </c>
      <c r="H46" s="41">
        <v>3</v>
      </c>
      <c r="I46" s="41" t="s">
        <v>491</v>
      </c>
      <c r="J46" s="42">
        <f t="shared" si="0"/>
        <v>100</v>
      </c>
      <c r="L46" s="213" t="s">
        <v>568</v>
      </c>
      <c r="M46" s="45" t="s">
        <v>569</v>
      </c>
    </row>
    <row r="47" spans="1:13" ht="21" customHeight="1" x14ac:dyDescent="0.15">
      <c r="A47" s="192">
        <v>47013606</v>
      </c>
      <c r="B47" s="41">
        <v>0</v>
      </c>
      <c r="C47" s="41">
        <v>160</v>
      </c>
      <c r="D47" s="41">
        <v>100</v>
      </c>
      <c r="E47" s="41" t="s">
        <v>570</v>
      </c>
      <c r="F47" s="41" t="s">
        <v>570</v>
      </c>
      <c r="G47" s="41" t="s">
        <v>570</v>
      </c>
      <c r="H47" s="41">
        <v>4</v>
      </c>
      <c r="I47" s="41" t="s">
        <v>570</v>
      </c>
      <c r="J47" s="42">
        <f t="shared" si="0"/>
        <v>100</v>
      </c>
      <c r="L47" s="213" t="s">
        <v>571</v>
      </c>
      <c r="M47" s="45" t="s">
        <v>572</v>
      </c>
    </row>
    <row r="48" spans="1:13" ht="21" customHeight="1" x14ac:dyDescent="0.15">
      <c r="A48" s="192">
        <v>47013607</v>
      </c>
      <c r="B48" s="41">
        <v>0</v>
      </c>
      <c r="C48" s="41">
        <v>170</v>
      </c>
      <c r="D48" s="41">
        <v>100</v>
      </c>
      <c r="E48" s="41" t="s">
        <v>570</v>
      </c>
      <c r="F48" s="41" t="s">
        <v>570</v>
      </c>
      <c r="G48" s="41" t="s">
        <v>570</v>
      </c>
      <c r="H48" s="41">
        <v>5</v>
      </c>
      <c r="I48" s="41" t="s">
        <v>570</v>
      </c>
      <c r="J48" s="42">
        <f t="shared" si="0"/>
        <v>100</v>
      </c>
      <c r="L48" s="213" t="s">
        <v>573</v>
      </c>
      <c r="M48" s="45" t="s">
        <v>574</v>
      </c>
    </row>
    <row r="49" spans="1:13" ht="21" customHeight="1" x14ac:dyDescent="0.15">
      <c r="A49" s="192">
        <v>47013610</v>
      </c>
      <c r="B49" s="41">
        <v>0</v>
      </c>
      <c r="C49" s="41">
        <v>600</v>
      </c>
      <c r="D49" s="41">
        <v>100</v>
      </c>
      <c r="E49" s="41" t="s">
        <v>491</v>
      </c>
      <c r="F49" s="41" t="s">
        <v>491</v>
      </c>
      <c r="G49" s="41">
        <v>0</v>
      </c>
      <c r="H49" s="41" t="s">
        <v>491</v>
      </c>
      <c r="I49" s="41">
        <v>0</v>
      </c>
      <c r="J49" s="42">
        <f t="shared" si="0"/>
        <v>100</v>
      </c>
      <c r="L49" s="227" t="s">
        <v>575</v>
      </c>
      <c r="M49" s="228" t="s">
        <v>576</v>
      </c>
    </row>
    <row r="50" spans="1:13" ht="21" customHeight="1" x14ac:dyDescent="0.15">
      <c r="A50" s="192">
        <v>47013611</v>
      </c>
      <c r="B50" s="41">
        <v>0</v>
      </c>
      <c r="C50" s="41">
        <v>610</v>
      </c>
      <c r="D50" s="41">
        <v>100</v>
      </c>
      <c r="E50" s="41" t="s">
        <v>491</v>
      </c>
      <c r="F50" s="41" t="s">
        <v>491</v>
      </c>
      <c r="G50" s="41">
        <v>0</v>
      </c>
      <c r="H50" s="41" t="s">
        <v>491</v>
      </c>
      <c r="I50" s="186">
        <v>1490</v>
      </c>
      <c r="J50" s="42">
        <f t="shared" si="0"/>
        <v>100</v>
      </c>
      <c r="L50" s="227" t="s">
        <v>577</v>
      </c>
      <c r="M50" s="228" t="s">
        <v>576</v>
      </c>
    </row>
    <row r="51" spans="1:13" ht="21" customHeight="1" x14ac:dyDescent="0.15">
      <c r="A51" s="192">
        <v>47013612</v>
      </c>
      <c r="B51" s="41">
        <v>0</v>
      </c>
      <c r="C51" s="41">
        <v>620</v>
      </c>
      <c r="D51" s="41">
        <v>100</v>
      </c>
      <c r="E51" s="41" t="s">
        <v>491</v>
      </c>
      <c r="F51" s="41" t="s">
        <v>491</v>
      </c>
      <c r="G51" s="41">
        <v>0</v>
      </c>
      <c r="H51" s="41" t="s">
        <v>491</v>
      </c>
      <c r="I51" s="186">
        <v>1491</v>
      </c>
      <c r="J51" s="42">
        <f t="shared" si="0"/>
        <v>100</v>
      </c>
      <c r="L51" s="227" t="s">
        <v>577</v>
      </c>
      <c r="M51" s="228" t="s">
        <v>578</v>
      </c>
    </row>
  </sheetData>
  <autoFilter ref="A1:G1"/>
  <phoneticPr fontId="10"/>
  <conditionalFormatting sqref="K52:K1048576 K1:K21 K26:K38 K45:K49 K23:K24 K42:K43">
    <cfRule type="duplicateValues" dxfId="8" priority="8"/>
  </conditionalFormatting>
  <conditionalFormatting sqref="K25">
    <cfRule type="duplicateValues" dxfId="7" priority="7"/>
  </conditionalFormatting>
  <conditionalFormatting sqref="K50">
    <cfRule type="duplicateValues" dxfId="6" priority="6"/>
  </conditionalFormatting>
  <conditionalFormatting sqref="K51">
    <cfRule type="duplicateValues" dxfId="5" priority="5"/>
  </conditionalFormatting>
  <conditionalFormatting sqref="K39">
    <cfRule type="duplicateValues" dxfId="4" priority="4"/>
  </conditionalFormatting>
  <conditionalFormatting sqref="K44">
    <cfRule type="duplicateValues" dxfId="3" priority="3"/>
  </conditionalFormatting>
  <conditionalFormatting sqref="K22">
    <cfRule type="duplicateValues" dxfId="2" priority="2"/>
  </conditionalFormatting>
  <conditionalFormatting sqref="K40">
    <cfRule type="duplicateValues" dxfId="1" priority="9"/>
  </conditionalFormatting>
  <conditionalFormatting sqref="K4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</sheetPr>
  <dimension ref="A1:R18"/>
  <sheetViews>
    <sheetView workbookViewId="0">
      <selection activeCell="H12" sqref="H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230" t="s">
        <v>580</v>
      </c>
      <c r="B1" s="230" t="s">
        <v>581</v>
      </c>
      <c r="C1" s="231" t="s">
        <v>582</v>
      </c>
      <c r="D1" s="232" t="s">
        <v>583</v>
      </c>
      <c r="E1" s="233" t="s">
        <v>584</v>
      </c>
      <c r="F1" s="230" t="s">
        <v>585</v>
      </c>
      <c r="G1" s="230" t="s">
        <v>586</v>
      </c>
      <c r="H1" s="230" t="s">
        <v>587</v>
      </c>
      <c r="I1" s="230" t="s">
        <v>588</v>
      </c>
      <c r="J1" s="230" t="s">
        <v>589</v>
      </c>
      <c r="K1" s="230" t="s">
        <v>590</v>
      </c>
      <c r="L1" s="230" t="s">
        <v>591</v>
      </c>
      <c r="M1" s="230" t="s">
        <v>592</v>
      </c>
      <c r="N1" s="230" t="s">
        <v>593</v>
      </c>
      <c r="O1" s="230" t="s">
        <v>594</v>
      </c>
      <c r="P1" s="230" t="s">
        <v>595</v>
      </c>
      <c r="Q1" s="230" t="s">
        <v>596</v>
      </c>
      <c r="R1" s="230" t="s">
        <v>597</v>
      </c>
    </row>
    <row r="2" spans="1:18" x14ac:dyDescent="0.15">
      <c r="A2" s="51">
        <v>47013</v>
      </c>
      <c r="B2" s="51">
        <v>1</v>
      </c>
      <c r="C2" s="234" t="str">
        <f>A2&amp; "_"&amp;B2</f>
        <v>47013_1</v>
      </c>
      <c r="D2" s="1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33">
        <v>1</v>
      </c>
      <c r="F2" s="235" t="s">
        <v>64</v>
      </c>
      <c r="G2" s="235">
        <v>40000</v>
      </c>
      <c r="H2" s="235" t="s">
        <v>172</v>
      </c>
      <c r="I2" s="235">
        <v>1</v>
      </c>
      <c r="J2" s="235">
        <v>1</v>
      </c>
      <c r="K2" s="235">
        <v>0</v>
      </c>
      <c r="L2" s="235">
        <v>0</v>
      </c>
      <c r="M2" s="235">
        <v>0</v>
      </c>
      <c r="N2" s="235">
        <v>0</v>
      </c>
      <c r="O2" s="235">
        <v>1</v>
      </c>
      <c r="P2" s="235">
        <v>150</v>
      </c>
      <c r="Q2" s="51" t="s">
        <v>598</v>
      </c>
      <c r="R2" s="51" t="s">
        <v>599</v>
      </c>
    </row>
    <row r="3" spans="1:18" x14ac:dyDescent="0.15">
      <c r="A3" s="51">
        <v>47013</v>
      </c>
      <c r="B3" s="51">
        <v>1</v>
      </c>
      <c r="C3" s="234" t="str">
        <f t="shared" ref="C3:C18" si="0">A3&amp; "_"&amp;B3</f>
        <v>47013_1</v>
      </c>
      <c r="D3" s="1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35">
        <v>2</v>
      </c>
      <c r="F3" s="236" t="s">
        <v>188</v>
      </c>
      <c r="G3" s="236">
        <v>30</v>
      </c>
      <c r="H3" s="236" t="s">
        <v>172</v>
      </c>
      <c r="I3" s="236">
        <v>1</v>
      </c>
      <c r="J3" s="236">
        <v>1</v>
      </c>
      <c r="K3" s="236">
        <v>0</v>
      </c>
      <c r="L3" s="236">
        <v>0</v>
      </c>
      <c r="M3" s="236">
        <v>0</v>
      </c>
      <c r="N3" s="236">
        <v>0</v>
      </c>
      <c r="O3" s="236">
        <v>1</v>
      </c>
      <c r="P3" s="236">
        <v>150</v>
      </c>
      <c r="Q3" s="51" t="s">
        <v>598</v>
      </c>
      <c r="R3" s="51" t="s">
        <v>599</v>
      </c>
    </row>
    <row r="4" spans="1:18" x14ac:dyDescent="0.15">
      <c r="A4" s="51">
        <v>47013</v>
      </c>
      <c r="B4" s="51">
        <v>1</v>
      </c>
      <c r="C4" s="234" t="str">
        <f t="shared" si="0"/>
        <v>47013_1</v>
      </c>
      <c r="D4" s="1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35">
        <v>3</v>
      </c>
      <c r="F4" s="236" t="s">
        <v>174</v>
      </c>
      <c r="G4" s="237">
        <v>1035</v>
      </c>
      <c r="H4" s="236">
        <v>1</v>
      </c>
      <c r="I4" s="236">
        <v>1</v>
      </c>
      <c r="J4" s="236">
        <v>1</v>
      </c>
      <c r="K4" s="236">
        <v>0</v>
      </c>
      <c r="L4" s="236">
        <v>0</v>
      </c>
      <c r="M4" s="236">
        <v>0</v>
      </c>
      <c r="N4" s="236">
        <v>0</v>
      </c>
      <c r="O4" s="236">
        <v>1</v>
      </c>
      <c r="P4" s="236">
        <v>100</v>
      </c>
      <c r="Q4" s="51" t="s">
        <v>598</v>
      </c>
      <c r="R4" s="51" t="s">
        <v>599</v>
      </c>
    </row>
    <row r="5" spans="1:18" x14ac:dyDescent="0.15">
      <c r="A5" s="51">
        <v>47013</v>
      </c>
      <c r="B5" s="51">
        <v>1</v>
      </c>
      <c r="C5" s="234" t="str">
        <f t="shared" si="0"/>
        <v>47013_1</v>
      </c>
      <c r="D5" s="1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35">
        <v>4</v>
      </c>
      <c r="F5" s="236" t="s">
        <v>174</v>
      </c>
      <c r="G5" s="236">
        <v>337</v>
      </c>
      <c r="H5" s="236">
        <v>1</v>
      </c>
      <c r="I5" s="236">
        <v>1</v>
      </c>
      <c r="J5" s="236">
        <v>1</v>
      </c>
      <c r="K5" s="236">
        <v>0</v>
      </c>
      <c r="L5" s="236">
        <v>0</v>
      </c>
      <c r="M5" s="236">
        <v>0</v>
      </c>
      <c r="N5" s="236">
        <v>0</v>
      </c>
      <c r="O5" s="236">
        <v>1</v>
      </c>
      <c r="P5" s="236">
        <v>28</v>
      </c>
      <c r="Q5" s="51" t="s">
        <v>598</v>
      </c>
      <c r="R5" s="51" t="s">
        <v>599</v>
      </c>
    </row>
    <row r="6" spans="1:18" x14ac:dyDescent="0.15">
      <c r="A6" s="51">
        <v>47013</v>
      </c>
      <c r="B6" s="51">
        <v>1</v>
      </c>
      <c r="C6" s="234" t="str">
        <f t="shared" si="0"/>
        <v>47013_1</v>
      </c>
      <c r="D6" s="1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35">
        <v>5</v>
      </c>
      <c r="F6" s="236" t="s">
        <v>174</v>
      </c>
      <c r="G6" s="236">
        <v>338</v>
      </c>
      <c r="H6" s="236">
        <v>1</v>
      </c>
      <c r="I6" s="236">
        <v>1</v>
      </c>
      <c r="J6" s="236">
        <v>1</v>
      </c>
      <c r="K6" s="236">
        <v>0</v>
      </c>
      <c r="L6" s="236">
        <v>0</v>
      </c>
      <c r="M6" s="236">
        <v>0</v>
      </c>
      <c r="N6" s="236">
        <v>0</v>
      </c>
      <c r="O6" s="236">
        <v>1</v>
      </c>
      <c r="P6" s="236">
        <v>112</v>
      </c>
      <c r="Q6" s="51" t="s">
        <v>598</v>
      </c>
      <c r="R6" s="51" t="s">
        <v>599</v>
      </c>
    </row>
    <row r="7" spans="1:18" x14ac:dyDescent="0.15">
      <c r="A7" s="51">
        <v>47013</v>
      </c>
      <c r="B7" s="51">
        <v>1</v>
      </c>
      <c r="C7" s="234" t="str">
        <f t="shared" si="0"/>
        <v>47013_1</v>
      </c>
      <c r="D7" s="1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35">
        <v>6</v>
      </c>
      <c r="F7" s="236" t="s">
        <v>174</v>
      </c>
      <c r="G7" s="236">
        <v>350</v>
      </c>
      <c r="H7" s="236">
        <v>1</v>
      </c>
      <c r="I7" s="236">
        <v>1</v>
      </c>
      <c r="J7" s="236">
        <v>1</v>
      </c>
      <c r="K7" s="236">
        <v>0</v>
      </c>
      <c r="L7" s="236">
        <v>0</v>
      </c>
      <c r="M7" s="236">
        <v>0</v>
      </c>
      <c r="N7" s="236">
        <v>0</v>
      </c>
      <c r="O7" s="236">
        <v>1</v>
      </c>
      <c r="P7" s="236">
        <v>150</v>
      </c>
      <c r="Q7" s="51" t="s">
        <v>598</v>
      </c>
      <c r="R7" s="51" t="s">
        <v>599</v>
      </c>
    </row>
    <row r="8" spans="1:18" x14ac:dyDescent="0.15">
      <c r="A8" s="51">
        <v>47013</v>
      </c>
      <c r="B8" s="51">
        <v>1</v>
      </c>
      <c r="C8" s="234" t="str">
        <f t="shared" si="0"/>
        <v>47013_1</v>
      </c>
      <c r="D8" s="1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35">
        <v>7</v>
      </c>
      <c r="F8" s="236" t="s">
        <v>174</v>
      </c>
      <c r="G8" s="236">
        <v>121</v>
      </c>
      <c r="H8" s="236">
        <v>1</v>
      </c>
      <c r="I8" s="236">
        <v>1</v>
      </c>
      <c r="J8" s="236">
        <v>1</v>
      </c>
      <c r="K8" s="236">
        <v>0</v>
      </c>
      <c r="L8" s="236">
        <v>0</v>
      </c>
      <c r="M8" s="236">
        <v>0</v>
      </c>
      <c r="N8" s="236">
        <v>0</v>
      </c>
      <c r="O8" s="236">
        <v>1</v>
      </c>
      <c r="P8" s="236">
        <v>100</v>
      </c>
      <c r="Q8" s="51" t="s">
        <v>598</v>
      </c>
      <c r="R8" s="51" t="s">
        <v>599</v>
      </c>
    </row>
    <row r="9" spans="1:18" x14ac:dyDescent="0.15">
      <c r="A9" s="51">
        <v>47013</v>
      </c>
      <c r="B9" s="51">
        <v>1</v>
      </c>
      <c r="C9" s="234" t="str">
        <f t="shared" si="0"/>
        <v>47013_1</v>
      </c>
      <c r="D9" s="16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35">
        <v>8</v>
      </c>
      <c r="F9" s="236" t="s">
        <v>174</v>
      </c>
      <c r="G9" s="236">
        <v>122</v>
      </c>
      <c r="H9" s="236">
        <v>1</v>
      </c>
      <c r="I9" s="236">
        <v>1</v>
      </c>
      <c r="J9" s="236">
        <v>1</v>
      </c>
      <c r="K9" s="236">
        <v>0</v>
      </c>
      <c r="L9" s="236">
        <v>0</v>
      </c>
      <c r="M9" s="236">
        <v>0</v>
      </c>
      <c r="N9" s="236">
        <v>0</v>
      </c>
      <c r="O9" s="236">
        <v>1</v>
      </c>
      <c r="P9" s="236">
        <v>100</v>
      </c>
      <c r="Q9" s="51" t="s">
        <v>598</v>
      </c>
      <c r="R9" s="51" t="s">
        <v>599</v>
      </c>
    </row>
    <row r="10" spans="1:18" x14ac:dyDescent="0.15">
      <c r="A10" s="51">
        <v>47013</v>
      </c>
      <c r="B10" s="51">
        <v>1</v>
      </c>
      <c r="C10" s="234" t="str">
        <f t="shared" si="0"/>
        <v>47013_1</v>
      </c>
      <c r="D10" s="16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35">
        <v>9</v>
      </c>
      <c r="F10" s="236" t="s">
        <v>174</v>
      </c>
      <c r="G10" s="236">
        <v>123</v>
      </c>
      <c r="H10" s="236">
        <v>1</v>
      </c>
      <c r="I10" s="236">
        <v>1</v>
      </c>
      <c r="J10" s="236">
        <v>1</v>
      </c>
      <c r="K10" s="236">
        <v>0</v>
      </c>
      <c r="L10" s="236">
        <v>0</v>
      </c>
      <c r="M10" s="236">
        <v>0</v>
      </c>
      <c r="N10" s="236">
        <v>0</v>
      </c>
      <c r="O10" s="236">
        <v>1</v>
      </c>
      <c r="P10" s="236">
        <v>100</v>
      </c>
      <c r="Q10" s="51" t="s">
        <v>598</v>
      </c>
      <c r="R10" s="51" t="s">
        <v>599</v>
      </c>
    </row>
    <row r="11" spans="1:18" x14ac:dyDescent="0.15">
      <c r="A11" s="51">
        <v>47013</v>
      </c>
      <c r="B11" s="51">
        <v>1</v>
      </c>
      <c r="C11" s="234" t="str">
        <f t="shared" si="0"/>
        <v>47013_1</v>
      </c>
      <c r="D11" s="16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35">
        <v>10</v>
      </c>
      <c r="F11" s="236" t="s">
        <v>174</v>
      </c>
      <c r="G11" s="236">
        <v>125</v>
      </c>
      <c r="H11" s="236">
        <v>1</v>
      </c>
      <c r="I11" s="236">
        <v>1</v>
      </c>
      <c r="J11" s="236">
        <v>1</v>
      </c>
      <c r="K11" s="236">
        <v>0</v>
      </c>
      <c r="L11" s="236">
        <v>0</v>
      </c>
      <c r="M11" s="236">
        <v>0</v>
      </c>
      <c r="N11" s="236">
        <v>0</v>
      </c>
      <c r="O11" s="236">
        <v>1</v>
      </c>
      <c r="P11" s="236">
        <v>10</v>
      </c>
      <c r="Q11" s="51" t="s">
        <v>598</v>
      </c>
      <c r="R11" s="51" t="s">
        <v>599</v>
      </c>
    </row>
    <row r="12" spans="1:18" x14ac:dyDescent="0.15">
      <c r="A12" s="51">
        <v>47013</v>
      </c>
      <c r="B12" s="52">
        <v>2</v>
      </c>
      <c r="C12" s="234" t="str">
        <f t="shared" si="0"/>
        <v>47013_2</v>
      </c>
      <c r="D12" s="1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38">
        <v>11</v>
      </c>
      <c r="F12" s="239" t="s">
        <v>174</v>
      </c>
      <c r="G12" s="240">
        <v>1035</v>
      </c>
      <c r="H12" s="239">
        <v>1</v>
      </c>
      <c r="I12" s="239">
        <v>1</v>
      </c>
      <c r="J12" s="239">
        <v>1</v>
      </c>
      <c r="K12" s="239">
        <v>0</v>
      </c>
      <c r="L12" s="239">
        <v>0</v>
      </c>
      <c r="M12" s="239">
        <v>0</v>
      </c>
      <c r="N12" s="239">
        <v>0</v>
      </c>
      <c r="O12" s="239">
        <v>1</v>
      </c>
      <c r="P12" s="239">
        <v>500</v>
      </c>
      <c r="Q12" s="52" t="s">
        <v>598</v>
      </c>
      <c r="R12" s="52" t="s">
        <v>599</v>
      </c>
    </row>
    <row r="13" spans="1:18" x14ac:dyDescent="0.15">
      <c r="A13" s="51">
        <v>47013</v>
      </c>
      <c r="B13" s="52">
        <v>2</v>
      </c>
      <c r="C13" s="234" t="str">
        <f t="shared" si="0"/>
        <v>47013_2</v>
      </c>
      <c r="D13" s="16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38">
        <v>12</v>
      </c>
      <c r="F13" s="239" t="s">
        <v>174</v>
      </c>
      <c r="G13" s="239">
        <v>338</v>
      </c>
      <c r="H13" s="239">
        <v>1</v>
      </c>
      <c r="I13" s="239">
        <v>1</v>
      </c>
      <c r="J13" s="239">
        <v>1</v>
      </c>
      <c r="K13" s="239">
        <v>0</v>
      </c>
      <c r="L13" s="239">
        <v>0</v>
      </c>
      <c r="M13" s="239">
        <v>0</v>
      </c>
      <c r="N13" s="239">
        <v>0</v>
      </c>
      <c r="O13" s="239">
        <v>1</v>
      </c>
      <c r="P13" s="239">
        <v>50</v>
      </c>
      <c r="Q13" s="52" t="s">
        <v>598</v>
      </c>
      <c r="R13" s="52" t="s">
        <v>599</v>
      </c>
    </row>
    <row r="14" spans="1:18" x14ac:dyDescent="0.15">
      <c r="A14" s="51">
        <v>47013</v>
      </c>
      <c r="B14" s="52">
        <v>2</v>
      </c>
      <c r="C14" s="234" t="str">
        <f t="shared" si="0"/>
        <v>47013_2</v>
      </c>
      <c r="D14" s="16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38">
        <v>13</v>
      </c>
      <c r="F14" s="239" t="s">
        <v>174</v>
      </c>
      <c r="G14" s="239">
        <v>350</v>
      </c>
      <c r="H14" s="239">
        <v>1</v>
      </c>
      <c r="I14" s="239">
        <v>1</v>
      </c>
      <c r="J14" s="239">
        <v>1</v>
      </c>
      <c r="K14" s="239">
        <v>0</v>
      </c>
      <c r="L14" s="239">
        <v>0</v>
      </c>
      <c r="M14" s="239">
        <v>0</v>
      </c>
      <c r="N14" s="239">
        <v>0</v>
      </c>
      <c r="O14" s="239">
        <v>1</v>
      </c>
      <c r="P14" s="239">
        <v>120</v>
      </c>
      <c r="Q14" s="52" t="s">
        <v>598</v>
      </c>
      <c r="R14" s="52" t="s">
        <v>599</v>
      </c>
    </row>
    <row r="15" spans="1:18" x14ac:dyDescent="0.15">
      <c r="A15" s="51">
        <v>47013</v>
      </c>
      <c r="B15" s="52">
        <v>2</v>
      </c>
      <c r="C15" s="234" t="str">
        <f t="shared" si="0"/>
        <v>47013_2</v>
      </c>
      <c r="D15" s="16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38">
        <v>14</v>
      </c>
      <c r="F15" s="239" t="s">
        <v>174</v>
      </c>
      <c r="G15" s="239">
        <v>607</v>
      </c>
      <c r="H15" s="239">
        <v>1</v>
      </c>
      <c r="I15" s="239">
        <v>1</v>
      </c>
      <c r="J15" s="239">
        <v>1</v>
      </c>
      <c r="K15" s="239">
        <v>0</v>
      </c>
      <c r="L15" s="239">
        <v>0</v>
      </c>
      <c r="M15" s="239">
        <v>0</v>
      </c>
      <c r="N15" s="239">
        <v>0</v>
      </c>
      <c r="O15" s="239">
        <v>1</v>
      </c>
      <c r="P15" s="239">
        <v>100</v>
      </c>
      <c r="Q15" s="52" t="s">
        <v>598</v>
      </c>
      <c r="R15" s="52" t="s">
        <v>599</v>
      </c>
    </row>
    <row r="16" spans="1:18" x14ac:dyDescent="0.15">
      <c r="A16" s="51">
        <v>47013</v>
      </c>
      <c r="B16" s="52">
        <v>2</v>
      </c>
      <c r="C16" s="234" t="str">
        <f t="shared" si="0"/>
        <v>47013_2</v>
      </c>
      <c r="D16" s="16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38">
        <v>15</v>
      </c>
      <c r="F16" s="239" t="s">
        <v>174</v>
      </c>
      <c r="G16" s="239">
        <v>608</v>
      </c>
      <c r="H16" s="239">
        <v>1</v>
      </c>
      <c r="I16" s="239">
        <v>1</v>
      </c>
      <c r="J16" s="239">
        <v>1</v>
      </c>
      <c r="K16" s="239">
        <v>0</v>
      </c>
      <c r="L16" s="239">
        <v>0</v>
      </c>
      <c r="M16" s="239">
        <v>0</v>
      </c>
      <c r="N16" s="239">
        <v>0</v>
      </c>
      <c r="O16" s="239">
        <v>1</v>
      </c>
      <c r="P16" s="239">
        <v>100</v>
      </c>
      <c r="Q16" s="52" t="s">
        <v>598</v>
      </c>
      <c r="R16" s="52" t="s">
        <v>599</v>
      </c>
    </row>
    <row r="17" spans="1:18" x14ac:dyDescent="0.15">
      <c r="A17" s="51">
        <v>47013</v>
      </c>
      <c r="B17" s="52">
        <v>2</v>
      </c>
      <c r="C17" s="234" t="str">
        <f t="shared" si="0"/>
        <v>47013_2</v>
      </c>
      <c r="D17" s="16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38">
        <v>16</v>
      </c>
      <c r="F17" s="239" t="s">
        <v>174</v>
      </c>
      <c r="G17" s="239">
        <v>609</v>
      </c>
      <c r="H17" s="239">
        <v>1</v>
      </c>
      <c r="I17" s="239">
        <v>1</v>
      </c>
      <c r="J17" s="239">
        <v>1</v>
      </c>
      <c r="K17" s="239">
        <v>0</v>
      </c>
      <c r="L17" s="239">
        <v>0</v>
      </c>
      <c r="M17" s="239">
        <v>0</v>
      </c>
      <c r="N17" s="239">
        <v>0</v>
      </c>
      <c r="O17" s="239">
        <v>1</v>
      </c>
      <c r="P17" s="239">
        <v>100</v>
      </c>
      <c r="Q17" s="52" t="s">
        <v>598</v>
      </c>
      <c r="R17" s="52" t="s">
        <v>599</v>
      </c>
    </row>
    <row r="18" spans="1:18" x14ac:dyDescent="0.15">
      <c r="A18" s="51">
        <v>47013</v>
      </c>
      <c r="B18" s="52">
        <v>2</v>
      </c>
      <c r="C18" s="234" t="str">
        <f t="shared" si="0"/>
        <v>47013_2</v>
      </c>
      <c r="D18" s="16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38">
        <v>17</v>
      </c>
      <c r="F18" s="239" t="s">
        <v>174</v>
      </c>
      <c r="G18" s="239">
        <v>125</v>
      </c>
      <c r="H18" s="239">
        <v>1</v>
      </c>
      <c r="I18" s="239">
        <v>1</v>
      </c>
      <c r="J18" s="239">
        <v>1</v>
      </c>
      <c r="K18" s="239">
        <v>0</v>
      </c>
      <c r="L18" s="239">
        <v>0</v>
      </c>
      <c r="M18" s="239">
        <v>0</v>
      </c>
      <c r="N18" s="239">
        <v>0</v>
      </c>
      <c r="O18" s="239">
        <v>1</v>
      </c>
      <c r="P18" s="239">
        <v>30</v>
      </c>
      <c r="Q18" s="52" t="s">
        <v>598</v>
      </c>
      <c r="R18" s="52" t="s">
        <v>599</v>
      </c>
    </row>
  </sheetData>
  <phoneticPr fontId="10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8"/>
  <sheetViews>
    <sheetView showGridLines="0" workbookViewId="0">
      <pane ySplit="1" topLeftCell="A10" activePane="bottomLeft" state="frozen"/>
      <selection pane="bottomLeft" activeCell="B22" sqref="B22"/>
    </sheetView>
  </sheetViews>
  <sheetFormatPr baseColWidth="12" defaultColWidth="13" defaultRowHeight="15" outlineLevelCol="1" x14ac:dyDescent="0.15"/>
  <cols>
    <col min="1" max="1" width="13" style="65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8" t="s">
        <v>67</v>
      </c>
      <c r="B1" s="57" t="s">
        <v>63</v>
      </c>
      <c r="C1" s="59" t="s">
        <v>68</v>
      </c>
      <c r="D1" s="59" t="s">
        <v>20</v>
      </c>
      <c r="E1" s="57" t="s">
        <v>69</v>
      </c>
      <c r="F1" s="59" t="s">
        <v>16</v>
      </c>
      <c r="G1" s="59" t="s">
        <v>20</v>
      </c>
      <c r="H1" s="57" t="s">
        <v>70</v>
      </c>
      <c r="I1" s="66" t="s">
        <v>71</v>
      </c>
      <c r="J1" s="67" t="s">
        <v>72</v>
      </c>
      <c r="K1" s="61" t="s">
        <v>42</v>
      </c>
      <c r="L1" s="60" t="s">
        <v>66</v>
      </c>
      <c r="M1" s="68" t="s">
        <v>65</v>
      </c>
      <c r="N1" s="62" t="s">
        <v>73</v>
      </c>
    </row>
    <row r="2" spans="1:14" ht="72" customHeight="1" x14ac:dyDescent="0.15">
      <c r="A2" s="241" t="s">
        <v>600</v>
      </c>
      <c r="B2" s="63">
        <f>[3]floors!$C$2</f>
        <v>47013</v>
      </c>
      <c r="C2" s="242" t="str">
        <f ca="1">VLOOKUP($B2,OFFSET([2]quests!$A$1,0,0,COUNTA([2]quests!$A:$A),MATCH(C$1,[2]quests!$1:$1,0)-MATCH($B$1,[2]quests!$1:$1,0)+1),MATCH(C$1,[2]quests!$1:$1,0)-MATCH($B$1,[2]quests!$1:$1,0)+1,FALSE)</f>
        <v>スカルズ襲来！</v>
      </c>
      <c r="D2" s="242" t="str">
        <f ca="1">VLOOKUP($B2,OFFSET([2]quests!$A$1,0,0,COUNTA([2]quests!$A:$A),MATCH(D$1,[2]quests!$1:$1,0)-MATCH($B$1,[2]quests!$1:$1,0)+1),MATCH(D$1,[2]quests!$1:$1,0)-MATCH($B$1,[2]quests!$1:$1,0)+1,FALSE)</f>
        <v>1000億パネル破壊記念イベント</v>
      </c>
      <c r="E2" s="243">
        <v>1</v>
      </c>
      <c r="F2" s="242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【超絶級】スカルズ襲来！</v>
      </c>
      <c r="G2" s="242" t="str">
        <f ca="1">VLOOKUP($B2&amp;"_"&amp;$E2,OFFSET([2]stages!$A$1,0,0,COUNTA([2]stages!$A:$A),MATCH(G$1,[2]stages!$2:$2,0)-MATCH("temp_stage",[2]stages!$2:$2,0)+1),MATCH(G$1,[2]stages!$2:$2,0)-MATCH("temp_stage",[2]stages!$2:$2,0)+1,FALSE)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2" s="244">
        <v>1</v>
      </c>
      <c r="I2" s="245">
        <f t="shared" ref="I2:I17" si="0">ROW()-1</f>
        <v>1</v>
      </c>
      <c r="J2" s="246" t="str">
        <f t="shared" ref="J2:J17" si="1">B2&amp;TEXT(I2,"00")</f>
        <v>4701301</v>
      </c>
      <c r="K2" s="243" t="s">
        <v>601</v>
      </c>
      <c r="L2" s="247" t="s">
        <v>602</v>
      </c>
      <c r="M2" s="248" t="s">
        <v>603</v>
      </c>
      <c r="N2" s="51" t="s">
        <v>604</v>
      </c>
    </row>
    <row r="3" spans="1:14" ht="72" customHeight="1" x14ac:dyDescent="0.15">
      <c r="A3" s="241" t="s">
        <v>600</v>
      </c>
      <c r="B3" s="63">
        <f>[3]floors!$C$2</f>
        <v>47013</v>
      </c>
      <c r="C3" s="64" t="str">
        <f ca="1">VLOOKUP($B3,OFFSET([2]quests!$A$1,0,0,COUNTA([2]quests!$A:$A),MATCH(C$1,[2]quests!$1:$1,0)-MATCH($B$1,[2]quests!$1:$1,0)+1),MATCH(C$1,[2]quests!$1:$1,0)-MATCH($B$1,[2]quests!$1:$1,0)+1,FALSE)</f>
        <v>スカルズ襲来！</v>
      </c>
      <c r="D3" s="64" t="str">
        <f ca="1">VLOOKUP($B3,OFFSET([2]quests!$A$1,0,0,COUNTA([2]quests!$A:$A),MATCH(D$1,[2]quests!$1:$1,0)-MATCH($B$1,[2]quests!$1:$1,0)+1),MATCH(D$1,[2]quests!$1:$1,0)-MATCH($B$1,[2]quests!$1:$1,0)+1,FALSE)</f>
        <v>1000億パネル破壊記念イベント</v>
      </c>
      <c r="E3" s="243">
        <v>1</v>
      </c>
      <c r="F3" s="6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【超絶級】スカルズ襲来！</v>
      </c>
      <c r="G3" s="64" t="str">
        <f ca="1">VLOOKUP($B3&amp;"_"&amp;$E3,OFFSET([2]stages!$A$1,0,0,COUNTA([2]stages!$A:$A),MATCH(G$1,[2]stages!$2:$2,0)-MATCH("temp_stage",[2]stages!$2:$2,0)+1),MATCH(G$1,[2]stages!$2:$2,0)-MATCH("temp_stage",[2]stages!$2:$2,0)+1,FALSE)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3" s="249">
        <v>2</v>
      </c>
      <c r="I3" s="245">
        <f t="shared" si="0"/>
        <v>2</v>
      </c>
      <c r="J3" s="246" t="str">
        <f t="shared" si="1"/>
        <v>4701302</v>
      </c>
      <c r="K3" s="243" t="s">
        <v>605</v>
      </c>
      <c r="L3" s="247" t="s">
        <v>602</v>
      </c>
      <c r="M3" s="248" t="s">
        <v>606</v>
      </c>
      <c r="N3" s="51" t="s">
        <v>607</v>
      </c>
    </row>
    <row r="4" spans="1:14" ht="72" customHeight="1" x14ac:dyDescent="0.15">
      <c r="A4" s="241" t="s">
        <v>600</v>
      </c>
      <c r="B4" s="63">
        <f>[3]floors!$C$2</f>
        <v>47013</v>
      </c>
      <c r="C4" s="64" t="str">
        <f ca="1">VLOOKUP($B4,OFFSET([2]quests!$A$1,0,0,COUNTA([2]quests!$A:$A),MATCH(C$1,[2]quests!$1:$1,0)-MATCH($B$1,[2]quests!$1:$1,0)+1),MATCH(C$1,[2]quests!$1:$1,0)-MATCH($B$1,[2]quests!$1:$1,0)+1,FALSE)</f>
        <v>スカルズ襲来！</v>
      </c>
      <c r="D4" s="64" t="str">
        <f ca="1">VLOOKUP($B4,OFFSET([2]quests!$A$1,0,0,COUNTA([2]quests!$A:$A),MATCH(D$1,[2]quests!$1:$1,0)-MATCH($B$1,[2]quests!$1:$1,0)+1),MATCH(D$1,[2]quests!$1:$1,0)-MATCH($B$1,[2]quests!$1:$1,0)+1,FALSE)</f>
        <v>1000億パネル破壊記念イベント</v>
      </c>
      <c r="E4" s="243">
        <v>1</v>
      </c>
      <c r="F4" s="6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【超絶級】スカルズ襲来！</v>
      </c>
      <c r="G4" s="64" t="str">
        <f ca="1">VLOOKUP($B4&amp;"_"&amp;$E4,OFFSET([2]stages!$A$1,0,0,COUNTA([2]stages!$A:$A),MATCH(G$1,[2]stages!$2:$2,0)-MATCH("temp_stage",[2]stages!$2:$2,0)+1),MATCH(G$1,[2]stages!$2:$2,0)-MATCH("temp_stage",[2]stages!$2:$2,0)+1,FALSE)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4" s="249">
        <v>3</v>
      </c>
      <c r="I4" s="245">
        <f t="shared" si="0"/>
        <v>3</v>
      </c>
      <c r="J4" s="246" t="str">
        <f t="shared" si="1"/>
        <v>4701303</v>
      </c>
      <c r="K4" s="243" t="s">
        <v>579</v>
      </c>
      <c r="L4" s="247" t="s">
        <v>602</v>
      </c>
      <c r="M4" s="248" t="s">
        <v>608</v>
      </c>
      <c r="N4" s="51" t="s">
        <v>609</v>
      </c>
    </row>
    <row r="5" spans="1:14" ht="72" customHeight="1" x14ac:dyDescent="0.15">
      <c r="A5" s="241" t="s">
        <v>600</v>
      </c>
      <c r="B5" s="63">
        <f>[3]floors!$C$2</f>
        <v>47013</v>
      </c>
      <c r="C5" s="64" t="str">
        <f ca="1">VLOOKUP($B5,OFFSET([2]quests!$A$1,0,0,COUNTA([2]quests!$A:$A),MATCH(C$1,[2]quests!$1:$1,0)-MATCH($B$1,[2]quests!$1:$1,0)+1),MATCH(C$1,[2]quests!$1:$1,0)-MATCH($B$1,[2]quests!$1:$1,0)+1,FALSE)</f>
        <v>スカルズ襲来！</v>
      </c>
      <c r="D5" s="64" t="str">
        <f ca="1">VLOOKUP($B5,OFFSET([2]quests!$A$1,0,0,COUNTA([2]quests!$A:$A),MATCH(D$1,[2]quests!$1:$1,0)-MATCH($B$1,[2]quests!$1:$1,0)+1),MATCH(D$1,[2]quests!$1:$1,0)-MATCH($B$1,[2]quests!$1:$1,0)+1,FALSE)</f>
        <v>1000億パネル破壊記念イベント</v>
      </c>
      <c r="E5" s="243">
        <v>1</v>
      </c>
      <c r="F5" s="6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【超絶級】スカルズ襲来！</v>
      </c>
      <c r="G5" s="64" t="str">
        <f ca="1">VLOOKUP($B5&amp;"_"&amp;$E5,OFFSET([2]stages!$A$1,0,0,COUNTA([2]stages!$A:$A),MATCH(G$1,[2]stages!$2:$2,0)-MATCH("temp_stage",[2]stages!$2:$2,0)+1),MATCH(G$1,[2]stages!$2:$2,0)-MATCH("temp_stage",[2]stages!$2:$2,0)+1,FALSE)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5" s="249">
        <v>3</v>
      </c>
      <c r="I5" s="245">
        <f t="shared" si="0"/>
        <v>4</v>
      </c>
      <c r="J5" s="246" t="str">
        <f t="shared" si="1"/>
        <v>4701304</v>
      </c>
      <c r="K5" s="243" t="s">
        <v>610</v>
      </c>
      <c r="L5" s="247" t="s">
        <v>602</v>
      </c>
      <c r="M5" s="248" t="s">
        <v>611</v>
      </c>
      <c r="N5" s="51" t="s">
        <v>612</v>
      </c>
    </row>
    <row r="6" spans="1:14" ht="72" customHeight="1" x14ac:dyDescent="0.15">
      <c r="A6" s="241" t="s">
        <v>600</v>
      </c>
      <c r="B6" s="63">
        <f>[3]floors!$C$2</f>
        <v>47013</v>
      </c>
      <c r="C6" s="64" t="str">
        <f ca="1">VLOOKUP($B6,OFFSET([2]quests!$A$1,0,0,COUNTA([2]quests!$A:$A),MATCH(C$1,[2]quests!$1:$1,0)-MATCH($B$1,[2]quests!$1:$1,0)+1),MATCH(C$1,[2]quests!$1:$1,0)-MATCH($B$1,[2]quests!$1:$1,0)+1,FALSE)</f>
        <v>スカルズ襲来！</v>
      </c>
      <c r="D6" s="64" t="str">
        <f ca="1">VLOOKUP($B6,OFFSET([2]quests!$A$1,0,0,COUNTA([2]quests!$A:$A),MATCH(D$1,[2]quests!$1:$1,0)-MATCH($B$1,[2]quests!$1:$1,0)+1),MATCH(D$1,[2]quests!$1:$1,0)-MATCH($B$1,[2]quests!$1:$1,0)+1,FALSE)</f>
        <v>1000億パネル破壊記念イベント</v>
      </c>
      <c r="E6" s="243">
        <v>1</v>
      </c>
      <c r="F6" s="6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【超絶級】スカルズ襲来！</v>
      </c>
      <c r="G6" s="64" t="str">
        <f ca="1">VLOOKUP($B6&amp;"_"&amp;$E6,OFFSET([2]stages!$A$1,0,0,COUNTA([2]stages!$A:$A),MATCH(G$1,[2]stages!$2:$2,0)-MATCH("temp_stage",[2]stages!$2:$2,0)+1),MATCH(G$1,[2]stages!$2:$2,0)-MATCH("temp_stage",[2]stages!$2:$2,0)+1,FALSE)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6" s="249">
        <v>3</v>
      </c>
      <c r="I6" s="245">
        <f t="shared" si="0"/>
        <v>5</v>
      </c>
      <c r="J6" s="246" t="str">
        <f t="shared" si="1"/>
        <v>4701305</v>
      </c>
      <c r="K6" s="243" t="s">
        <v>613</v>
      </c>
      <c r="L6" s="247" t="s">
        <v>602</v>
      </c>
      <c r="M6" s="248" t="s">
        <v>614</v>
      </c>
      <c r="N6" s="51" t="s">
        <v>615</v>
      </c>
    </row>
    <row r="7" spans="1:14" ht="72" customHeight="1" x14ac:dyDescent="0.15">
      <c r="A7" s="241" t="s">
        <v>616</v>
      </c>
      <c r="B7" s="63">
        <f>[3]floors!$C$2</f>
        <v>47013</v>
      </c>
      <c r="C7" s="64" t="str">
        <f ca="1">VLOOKUP($B7,OFFSET([2]quests!$A$1,0,0,COUNTA([2]quests!$A:$A),MATCH(C$1,[2]quests!$1:$1,0)-MATCH($B$1,[2]quests!$1:$1,0)+1),MATCH(C$1,[2]quests!$1:$1,0)-MATCH($B$1,[2]quests!$1:$1,0)+1,FALSE)</f>
        <v>スカルズ襲来！</v>
      </c>
      <c r="D7" s="64" t="str">
        <f ca="1">VLOOKUP($B7,OFFSET([2]quests!$A$1,0,0,COUNTA([2]quests!$A:$A),MATCH(D$1,[2]quests!$1:$1,0)-MATCH($B$1,[2]quests!$1:$1,0)+1),MATCH(D$1,[2]quests!$1:$1,0)-MATCH($B$1,[2]quests!$1:$1,0)+1,FALSE)</f>
        <v>1000億パネル破壊記念イベント</v>
      </c>
      <c r="E7" s="243">
        <v>1</v>
      </c>
      <c r="F7" s="6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【超絶級】スカルズ襲来！</v>
      </c>
      <c r="G7" s="64" t="str">
        <f ca="1">VLOOKUP($B7&amp;"_"&amp;$E7,OFFSET([2]stages!$A$1,0,0,COUNTA([2]stages!$A:$A),MATCH(G$1,[2]stages!$2:$2,0)-MATCH("temp_stage",[2]stages!$2:$2,0)+1),MATCH(G$1,[2]stages!$2:$2,0)-MATCH("temp_stage",[2]stages!$2:$2,0)+1,FALSE)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7" s="249">
        <v>0</v>
      </c>
      <c r="I7" s="245">
        <f t="shared" si="0"/>
        <v>6</v>
      </c>
      <c r="J7" s="246" t="str">
        <f t="shared" si="1"/>
        <v>4701306</v>
      </c>
      <c r="K7" s="243" t="s">
        <v>613</v>
      </c>
      <c r="L7" s="247" t="s">
        <v>617</v>
      </c>
      <c r="M7" s="248" t="s">
        <v>618</v>
      </c>
      <c r="N7" s="51" t="s">
        <v>615</v>
      </c>
    </row>
    <row r="8" spans="1:14" ht="72" customHeight="1" x14ac:dyDescent="0.15">
      <c r="A8" s="241" t="s">
        <v>616</v>
      </c>
      <c r="B8" s="63">
        <f>[3]floors!$C$2</f>
        <v>47013</v>
      </c>
      <c r="C8" s="64" t="str">
        <f ca="1">VLOOKUP($B8,OFFSET([2]quests!$A$1,0,0,COUNTA([2]quests!$A:$A),MATCH(C$1,[2]quests!$1:$1,0)-MATCH($B$1,[2]quests!$1:$1,0)+1),MATCH(C$1,[2]quests!$1:$1,0)-MATCH($B$1,[2]quests!$1:$1,0)+1,FALSE)</f>
        <v>スカルズ襲来！</v>
      </c>
      <c r="D8" s="64" t="str">
        <f ca="1">VLOOKUP($B8,OFFSET([2]quests!$A$1,0,0,COUNTA([2]quests!$A:$A),MATCH(D$1,[2]quests!$1:$1,0)-MATCH($B$1,[2]quests!$1:$1,0)+1),MATCH(D$1,[2]quests!$1:$1,0)-MATCH($B$1,[2]quests!$1:$1,0)+1,FALSE)</f>
        <v>1000億パネル破壊記念イベント</v>
      </c>
      <c r="E8" s="243">
        <v>1</v>
      </c>
      <c r="F8" s="6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【超絶級】スカルズ襲来！</v>
      </c>
      <c r="G8" s="64" t="str">
        <f ca="1">VLOOKUP($B8&amp;"_"&amp;$E8,OFFSET([2]stages!$A$1,0,0,COUNTA([2]stages!$A:$A),MATCH(G$1,[2]stages!$2:$2,0)-MATCH("temp_stage",[2]stages!$2:$2,0)+1),MATCH(G$1,[2]stages!$2:$2,0)-MATCH("temp_stage",[2]stages!$2:$2,0)+1,FALSE)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8" s="249">
        <v>0</v>
      </c>
      <c r="I8" s="245">
        <f t="shared" si="0"/>
        <v>7</v>
      </c>
      <c r="J8" s="246" t="str">
        <f t="shared" si="1"/>
        <v>4701307</v>
      </c>
      <c r="K8" s="243" t="s">
        <v>613</v>
      </c>
      <c r="L8" s="247" t="s">
        <v>619</v>
      </c>
      <c r="M8" s="248" t="s">
        <v>620</v>
      </c>
      <c r="N8" s="51" t="s">
        <v>615</v>
      </c>
    </row>
    <row r="9" spans="1:14" ht="72" customHeight="1" thickBot="1" x14ac:dyDescent="0.2">
      <c r="A9" s="250" t="s">
        <v>616</v>
      </c>
      <c r="B9" s="251">
        <f>[3]floors!$C$2</f>
        <v>47013</v>
      </c>
      <c r="C9" s="252" t="str">
        <f ca="1">VLOOKUP($B9,OFFSET([2]quests!$A$1,0,0,COUNTA([2]quests!$A:$A),MATCH(C$1,[2]quests!$1:$1,0)-MATCH($B$1,[2]quests!$1:$1,0)+1),MATCH(C$1,[2]quests!$1:$1,0)-MATCH($B$1,[2]quests!$1:$1,0)+1,FALSE)</f>
        <v>スカルズ襲来！</v>
      </c>
      <c r="D9" s="252" t="str">
        <f ca="1">VLOOKUP($B9,OFFSET([2]quests!$A$1,0,0,COUNTA([2]quests!$A:$A),MATCH(D$1,[2]quests!$1:$1,0)-MATCH($B$1,[2]quests!$1:$1,0)+1),MATCH(D$1,[2]quests!$1:$1,0)-MATCH($B$1,[2]quests!$1:$1,0)+1,FALSE)</f>
        <v>1000億パネル破壊記念イベント</v>
      </c>
      <c r="E9" s="253">
        <v>1</v>
      </c>
      <c r="F9" s="252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【超絶級】スカルズ襲来！</v>
      </c>
      <c r="G9" s="252" t="str">
        <f ca="1">VLOOKUP($B9&amp;"_"&amp;$E9,OFFSET([2]stages!$A$1,0,0,COUNTA([2]stages!$A:$A),MATCH(G$1,[2]stages!$2:$2,0)-MATCH("temp_stage",[2]stages!$2:$2,0)+1),MATCH(G$1,[2]stages!$2:$2,0)-MATCH("temp_stage",[2]stages!$2:$2,0)+1,FALSE)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9" s="254">
        <v>0</v>
      </c>
      <c r="I9" s="255">
        <f t="shared" si="0"/>
        <v>8</v>
      </c>
      <c r="J9" s="256" t="str">
        <f t="shared" si="1"/>
        <v>4701308</v>
      </c>
      <c r="K9" s="253" t="s">
        <v>613</v>
      </c>
      <c r="L9" s="257" t="s">
        <v>621</v>
      </c>
      <c r="M9" s="258" t="s">
        <v>622</v>
      </c>
      <c r="N9" s="131" t="s">
        <v>615</v>
      </c>
    </row>
    <row r="10" spans="1:14" ht="72" customHeight="1" thickTop="1" x14ac:dyDescent="0.15">
      <c r="A10" s="259" t="s">
        <v>600</v>
      </c>
      <c r="B10" s="260">
        <f>[3]floors!$C$2</f>
        <v>47013</v>
      </c>
      <c r="C10" s="64" t="str">
        <f ca="1">VLOOKUP($B10,OFFSET([2]quests!$A$1,0,0,COUNTA([2]quests!$A:$A),MATCH(C$1,[2]quests!$1:$1,0)-MATCH($B$1,[2]quests!$1:$1,0)+1),MATCH(C$1,[2]quests!$1:$1,0)-MATCH($B$1,[2]quests!$1:$1,0)+1,FALSE)</f>
        <v>スカルズ襲来！</v>
      </c>
      <c r="D10" s="64" t="str">
        <f ca="1">VLOOKUP($B10,OFFSET([2]quests!$A$1,0,0,COUNTA([2]quests!$A:$A),MATCH(D$1,[2]quests!$1:$1,0)-MATCH($B$1,[2]quests!$1:$1,0)+1),MATCH(D$1,[2]quests!$1:$1,0)-MATCH($B$1,[2]quests!$1:$1,0)+1,FALSE)</f>
        <v>1000億パネル破壊記念イベント</v>
      </c>
      <c r="E10" s="261">
        <v>2</v>
      </c>
      <c r="F10" s="6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0" s="64" t="str">
        <f ca="1">VLOOKUP($B10&amp;"_"&amp;$E10,OFFSET([2]stages!$A$1,0,0,COUNTA([2]stages!$A:$A),MATCH(G$1,[2]stages!$2:$2,0)-MATCH("temp_stage",[2]stages!$2:$2,0)+1),MATCH(G$1,[2]stages!$2:$2,0)-MATCH("temp_stage",[2]stages!$2:$2,0)+1,FALSE)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0" s="244">
        <v>1</v>
      </c>
      <c r="I10" s="262">
        <f t="shared" si="0"/>
        <v>9</v>
      </c>
      <c r="J10" s="263" t="str">
        <f t="shared" si="1"/>
        <v>4701309</v>
      </c>
      <c r="K10" s="261" t="s">
        <v>613</v>
      </c>
      <c r="L10" s="247" t="s">
        <v>602</v>
      </c>
      <c r="M10" s="248" t="s">
        <v>623</v>
      </c>
      <c r="N10" s="134" t="s">
        <v>615</v>
      </c>
    </row>
    <row r="11" spans="1:14" ht="72" customHeight="1" x14ac:dyDescent="0.15">
      <c r="A11" s="241" t="s">
        <v>600</v>
      </c>
      <c r="B11" s="63">
        <f>[3]floors!$C$2</f>
        <v>47013</v>
      </c>
      <c r="C11" s="64" t="str">
        <f ca="1">VLOOKUP($B11,OFFSET([2]quests!$A$1,0,0,COUNTA([2]quests!$A:$A),MATCH(C$1,[2]quests!$1:$1,0)-MATCH($B$1,[2]quests!$1:$1,0)+1),MATCH(C$1,[2]quests!$1:$1,0)-MATCH($B$1,[2]quests!$1:$1,0)+1,FALSE)</f>
        <v>スカルズ襲来！</v>
      </c>
      <c r="D11" s="64" t="str">
        <f ca="1">VLOOKUP($B11,OFFSET([2]quests!$A$1,0,0,COUNTA([2]quests!$A:$A),MATCH(D$1,[2]quests!$1:$1,0)-MATCH($B$1,[2]quests!$1:$1,0)+1),MATCH(D$1,[2]quests!$1:$1,0)-MATCH($B$1,[2]quests!$1:$1,0)+1,FALSE)</f>
        <v>1000億パネル破壊記念イベント</v>
      </c>
      <c r="E11" s="243">
        <v>2</v>
      </c>
      <c r="F11" s="6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1" s="64" t="str">
        <f ca="1">VLOOKUP($B11&amp;"_"&amp;$E11,OFFSET([2]stages!$A$1,0,0,COUNTA([2]stages!$A:$A),MATCH(G$1,[2]stages!$2:$2,0)-MATCH("temp_stage",[2]stages!$2:$2,0)+1),MATCH(G$1,[2]stages!$2:$2,0)-MATCH("temp_stage",[2]stages!$2:$2,0)+1,FALSE)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1" s="249">
        <v>2</v>
      </c>
      <c r="I11" s="245">
        <f t="shared" si="0"/>
        <v>10</v>
      </c>
      <c r="J11" s="246" t="str">
        <f t="shared" si="1"/>
        <v>4701310</v>
      </c>
      <c r="K11" s="243" t="s">
        <v>613</v>
      </c>
      <c r="L11" s="247" t="s">
        <v>602</v>
      </c>
      <c r="M11" s="248" t="s">
        <v>624</v>
      </c>
      <c r="N11" s="51" t="s">
        <v>615</v>
      </c>
    </row>
    <row r="12" spans="1:14" ht="72" customHeight="1" x14ac:dyDescent="0.15">
      <c r="A12" s="241" t="s">
        <v>600</v>
      </c>
      <c r="B12" s="63">
        <f>[3]floors!$C$2</f>
        <v>47013</v>
      </c>
      <c r="C12" s="64" t="str">
        <f ca="1">VLOOKUP($B12,OFFSET([2]quests!$A$1,0,0,COUNTA([2]quests!$A:$A),MATCH(C$1,[2]quests!$1:$1,0)-MATCH($B$1,[2]quests!$1:$1,0)+1),MATCH(C$1,[2]quests!$1:$1,0)-MATCH($B$1,[2]quests!$1:$1,0)+1,FALSE)</f>
        <v>スカルズ襲来！</v>
      </c>
      <c r="D12" s="64" t="str">
        <f ca="1">VLOOKUP($B12,OFFSET([2]quests!$A$1,0,0,COUNTA([2]quests!$A:$A),MATCH(D$1,[2]quests!$1:$1,0)-MATCH($B$1,[2]quests!$1:$1,0)+1),MATCH(D$1,[2]quests!$1:$1,0)-MATCH($B$1,[2]quests!$1:$1,0)+1,FALSE)</f>
        <v>1000億パネル破壊記念イベント</v>
      </c>
      <c r="E12" s="243">
        <v>2</v>
      </c>
      <c r="F12" s="6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2" s="64" t="str">
        <f ca="1">VLOOKUP($B12&amp;"_"&amp;$E12,OFFSET([2]stages!$A$1,0,0,COUNTA([2]stages!$A:$A),MATCH(G$1,[2]stages!$2:$2,0)-MATCH("temp_stage",[2]stages!$2:$2,0)+1),MATCH(G$1,[2]stages!$2:$2,0)-MATCH("temp_stage",[2]stages!$2:$2,0)+1,FALSE)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2" s="249">
        <v>3</v>
      </c>
      <c r="I12" s="245">
        <f t="shared" si="0"/>
        <v>11</v>
      </c>
      <c r="J12" s="246" t="str">
        <f t="shared" si="1"/>
        <v>4701311</v>
      </c>
      <c r="K12" s="243" t="s">
        <v>613</v>
      </c>
      <c r="L12" s="247" t="s">
        <v>602</v>
      </c>
      <c r="M12" s="248" t="s">
        <v>625</v>
      </c>
      <c r="N12" s="51" t="s">
        <v>615</v>
      </c>
    </row>
    <row r="13" spans="1:14" ht="72" customHeight="1" x14ac:dyDescent="0.15">
      <c r="A13" s="241" t="s">
        <v>600</v>
      </c>
      <c r="B13" s="63">
        <f>[3]floors!$C$2</f>
        <v>47013</v>
      </c>
      <c r="C13" s="64" t="str">
        <f ca="1">VLOOKUP($B13,OFFSET([2]quests!$A$1,0,0,COUNTA([2]quests!$A:$A),MATCH(C$1,[2]quests!$1:$1,0)-MATCH($B$1,[2]quests!$1:$1,0)+1),MATCH(C$1,[2]quests!$1:$1,0)-MATCH($B$1,[2]quests!$1:$1,0)+1,FALSE)</f>
        <v>スカルズ襲来！</v>
      </c>
      <c r="D13" s="64" t="str">
        <f ca="1">VLOOKUP($B13,OFFSET([2]quests!$A$1,0,0,COUNTA([2]quests!$A:$A),MATCH(D$1,[2]quests!$1:$1,0)-MATCH($B$1,[2]quests!$1:$1,0)+1),MATCH(D$1,[2]quests!$1:$1,0)-MATCH($B$1,[2]quests!$1:$1,0)+1,FALSE)</f>
        <v>1000億パネル破壊記念イベント</v>
      </c>
      <c r="E13" s="243">
        <v>2</v>
      </c>
      <c r="F13" s="6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3" s="64" t="str">
        <f ca="1">VLOOKUP($B13&amp;"_"&amp;$E13,OFFSET([2]stages!$A$1,0,0,COUNTA([2]stages!$A:$A),MATCH(G$1,[2]stages!$2:$2,0)-MATCH("temp_stage",[2]stages!$2:$2,0)+1),MATCH(G$1,[2]stages!$2:$2,0)-MATCH("temp_stage",[2]stages!$2:$2,0)+1,FALSE)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3" s="249">
        <v>3</v>
      </c>
      <c r="I13" s="245">
        <f t="shared" si="0"/>
        <v>12</v>
      </c>
      <c r="J13" s="246" t="str">
        <f t="shared" si="1"/>
        <v>4701312</v>
      </c>
      <c r="K13" s="243" t="s">
        <v>613</v>
      </c>
      <c r="L13" s="247" t="s">
        <v>602</v>
      </c>
      <c r="M13" s="248" t="s">
        <v>626</v>
      </c>
      <c r="N13" s="51" t="s">
        <v>615</v>
      </c>
    </row>
    <row r="14" spans="1:14" ht="72" customHeight="1" x14ac:dyDescent="0.15">
      <c r="A14" s="241" t="s">
        <v>600</v>
      </c>
      <c r="B14" s="63">
        <f>[3]floors!$C$2</f>
        <v>47013</v>
      </c>
      <c r="C14" s="64" t="str">
        <f ca="1">VLOOKUP($B14,OFFSET([2]quests!$A$1,0,0,COUNTA([2]quests!$A:$A),MATCH(C$1,[2]quests!$1:$1,0)-MATCH($B$1,[2]quests!$1:$1,0)+1),MATCH(C$1,[2]quests!$1:$1,0)-MATCH($B$1,[2]quests!$1:$1,0)+1,FALSE)</f>
        <v>スカルズ襲来！</v>
      </c>
      <c r="D14" s="64" t="str">
        <f ca="1">VLOOKUP($B14,OFFSET([2]quests!$A$1,0,0,COUNTA([2]quests!$A:$A),MATCH(D$1,[2]quests!$1:$1,0)-MATCH($B$1,[2]quests!$1:$1,0)+1),MATCH(D$1,[2]quests!$1:$1,0)-MATCH($B$1,[2]quests!$1:$1,0)+1,FALSE)</f>
        <v>1000億パネル破壊記念イベント</v>
      </c>
      <c r="E14" s="243">
        <v>2</v>
      </c>
      <c r="F14" s="6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4" s="64" t="str">
        <f ca="1">VLOOKUP($B14&amp;"_"&amp;$E14,OFFSET([2]stages!$A$1,0,0,COUNTA([2]stages!$A:$A),MATCH(G$1,[2]stages!$2:$2,0)-MATCH("temp_stage",[2]stages!$2:$2,0)+1),MATCH(G$1,[2]stages!$2:$2,0)-MATCH("temp_stage",[2]stages!$2:$2,0)+1,FALSE)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4" s="249">
        <v>3</v>
      </c>
      <c r="I14" s="245">
        <f t="shared" si="0"/>
        <v>13</v>
      </c>
      <c r="J14" s="246" t="str">
        <f t="shared" si="1"/>
        <v>4701313</v>
      </c>
      <c r="K14" s="243" t="s">
        <v>320</v>
      </c>
      <c r="L14" s="247" t="s">
        <v>602</v>
      </c>
      <c r="M14" s="248" t="s">
        <v>627</v>
      </c>
      <c r="N14" s="51" t="s">
        <v>628</v>
      </c>
    </row>
    <row r="15" spans="1:14" ht="72" customHeight="1" x14ac:dyDescent="0.15">
      <c r="A15" s="241" t="s">
        <v>616</v>
      </c>
      <c r="B15" s="63">
        <f>[3]floors!$C$2</f>
        <v>47013</v>
      </c>
      <c r="C15" s="64" t="str">
        <f ca="1">VLOOKUP($B15,OFFSET([2]quests!$A$1,0,0,COUNTA([2]quests!$A:$A),MATCH(C$1,[2]quests!$1:$1,0)-MATCH($B$1,[2]quests!$1:$1,0)+1),MATCH(C$1,[2]quests!$1:$1,0)-MATCH($B$1,[2]quests!$1:$1,0)+1,FALSE)</f>
        <v>スカルズ襲来！</v>
      </c>
      <c r="D15" s="64" t="str">
        <f ca="1">VLOOKUP($B15,OFFSET([2]quests!$A$1,0,0,COUNTA([2]quests!$A:$A),MATCH(D$1,[2]quests!$1:$1,0)-MATCH($B$1,[2]quests!$1:$1,0)+1),MATCH(D$1,[2]quests!$1:$1,0)-MATCH($B$1,[2]quests!$1:$1,0)+1,FALSE)</f>
        <v>1000億パネル破壊記念イベント</v>
      </c>
      <c r="E15" s="243">
        <v>2</v>
      </c>
      <c r="F15" s="6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5" s="64" t="str">
        <f ca="1">VLOOKUP($B15&amp;"_"&amp;$E15,OFFSET([2]stages!$A$1,0,0,COUNTA([2]stages!$A:$A),MATCH(G$1,[2]stages!$2:$2,0)-MATCH("temp_stage",[2]stages!$2:$2,0)+1),MATCH(G$1,[2]stages!$2:$2,0)-MATCH("temp_stage",[2]stages!$2:$2,0)+1,FALSE)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5" s="249">
        <v>0</v>
      </c>
      <c r="I15" s="245">
        <f t="shared" si="0"/>
        <v>14</v>
      </c>
      <c r="J15" s="246" t="str">
        <f t="shared" si="1"/>
        <v>4701314</v>
      </c>
      <c r="K15" s="243" t="s">
        <v>333</v>
      </c>
      <c r="L15" s="247" t="s">
        <v>629</v>
      </c>
      <c r="M15" s="248" t="s">
        <v>630</v>
      </c>
      <c r="N15" s="51" t="s">
        <v>631</v>
      </c>
    </row>
    <row r="16" spans="1:14" ht="72" customHeight="1" x14ac:dyDescent="0.15">
      <c r="A16" s="241" t="s">
        <v>616</v>
      </c>
      <c r="B16" s="63">
        <f>[3]floors!$C$2</f>
        <v>47013</v>
      </c>
      <c r="C16" s="64" t="str">
        <f ca="1">VLOOKUP($B16,OFFSET([2]quests!$A$1,0,0,COUNTA([2]quests!$A:$A),MATCH(C$1,[2]quests!$1:$1,0)-MATCH($B$1,[2]quests!$1:$1,0)+1),MATCH(C$1,[2]quests!$1:$1,0)-MATCH($B$1,[2]quests!$1:$1,0)+1,FALSE)</f>
        <v>スカルズ襲来！</v>
      </c>
      <c r="D16" s="64" t="str">
        <f ca="1">VLOOKUP($B16,OFFSET([2]quests!$A$1,0,0,COUNTA([2]quests!$A:$A),MATCH(D$1,[2]quests!$1:$1,0)-MATCH($B$1,[2]quests!$1:$1,0)+1),MATCH(D$1,[2]quests!$1:$1,0)-MATCH($B$1,[2]quests!$1:$1,0)+1,FALSE)</f>
        <v>1000億パネル破壊記念イベント</v>
      </c>
      <c r="E16" s="243">
        <v>2</v>
      </c>
      <c r="F16" s="6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6" s="64" t="str">
        <f ca="1">VLOOKUP($B16&amp;"_"&amp;$E16,OFFSET([2]stages!$A$1,0,0,COUNTA([2]stages!$A:$A),MATCH(G$1,[2]stages!$2:$2,0)-MATCH("temp_stage",[2]stages!$2:$2,0)+1),MATCH(G$1,[2]stages!$2:$2,0)-MATCH("temp_stage",[2]stages!$2:$2,0)+1,FALSE)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6" s="249">
        <v>0</v>
      </c>
      <c r="I16" s="245">
        <f t="shared" si="0"/>
        <v>15</v>
      </c>
      <c r="J16" s="246" t="str">
        <f t="shared" si="1"/>
        <v>4701315</v>
      </c>
      <c r="K16" s="243" t="s">
        <v>389</v>
      </c>
      <c r="L16" s="247" t="s">
        <v>632</v>
      </c>
      <c r="M16" s="248" t="s">
        <v>633</v>
      </c>
      <c r="N16" s="51" t="s">
        <v>634</v>
      </c>
    </row>
    <row r="17" spans="1:14" ht="72" customHeight="1" thickBot="1" x14ac:dyDescent="0.2">
      <c r="A17" s="241" t="s">
        <v>616</v>
      </c>
      <c r="B17" s="63">
        <f>[3]floors!$C$2</f>
        <v>47013</v>
      </c>
      <c r="C17" s="64" t="str">
        <f ca="1">VLOOKUP($B17,OFFSET([2]quests!$A$1,0,0,COUNTA([2]quests!$A:$A),MATCH(C$1,[2]quests!$1:$1,0)-MATCH($B$1,[2]quests!$1:$1,0)+1),MATCH(C$1,[2]quests!$1:$1,0)-MATCH($B$1,[2]quests!$1:$1,0)+1,FALSE)</f>
        <v>スカルズ襲来！</v>
      </c>
      <c r="D17" s="64" t="str">
        <f ca="1">VLOOKUP($B17,OFFSET([2]quests!$A$1,0,0,COUNTA([2]quests!$A:$A),MATCH(D$1,[2]quests!$1:$1,0)-MATCH($B$1,[2]quests!$1:$1,0)+1),MATCH(D$1,[2]quests!$1:$1,0)-MATCH($B$1,[2]quests!$1:$1,0)+1,FALSE)</f>
        <v>1000億パネル破壊記念イベント</v>
      </c>
      <c r="E17" s="243">
        <v>2</v>
      </c>
      <c r="F17" s="6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7" s="64" t="str">
        <f ca="1">VLOOKUP($B17&amp;"_"&amp;$E17,OFFSET([2]stages!$A$1,0,0,COUNTA([2]stages!$A:$A),MATCH(G$1,[2]stages!$2:$2,0)-MATCH("temp_stage",[2]stages!$2:$2,0)+1),MATCH(G$1,[2]stages!$2:$2,0)-MATCH("temp_stage",[2]stages!$2:$2,0)+1,FALSE)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7" s="249">
        <v>0</v>
      </c>
      <c r="I17" s="245">
        <f t="shared" si="0"/>
        <v>16</v>
      </c>
      <c r="J17" s="246" t="str">
        <f t="shared" si="1"/>
        <v>4701316</v>
      </c>
      <c r="K17" s="243" t="s">
        <v>333</v>
      </c>
      <c r="L17" s="247" t="s">
        <v>635</v>
      </c>
      <c r="M17" s="258" t="s">
        <v>636</v>
      </c>
      <c r="N17" s="51" t="s">
        <v>631</v>
      </c>
    </row>
    <row r="18" spans="1:14" ht="16" thickTop="1" x14ac:dyDescent="0.15"/>
  </sheetData>
  <phoneticPr fontId="10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score_attack_expanded_floors</vt:lpstr>
      <vt:lpstr>score_attack_expanded_stages</vt:lpstr>
      <vt:lpstr>score_attack_params_damage_give</vt:lpstr>
      <vt:lpstr>score_attack_params_heal</vt:lpstr>
      <vt:lpstr>stage_evaluations</vt:lpstr>
      <vt:lpstr>stage_evaluation_gifts</vt:lpstr>
      <vt:lpstr>ranking_ACH</vt:lpstr>
      <vt:lpstr>unit_bonus_conditions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2017-05-01T12:15:38Z</dcterms:modified>
</cp:coreProperties>
</file>