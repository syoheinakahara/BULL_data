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0" yWindow="460" windowWidth="28800" windowHeight="1630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1" i="16"/>
  <c r="C12" i="16"/>
  <c r="C10" i="16"/>
  <c r="C9" i="16"/>
  <c r="C8" i="16"/>
  <c r="C7" i="16"/>
  <c r="C6" i="16"/>
  <c r="C5" i="16"/>
  <c r="C4" i="16"/>
  <c r="C3" i="16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AD5" i="1"/>
  <c r="AF5" i="1"/>
  <c r="AI5" i="1"/>
  <c r="AG5" i="1"/>
  <c r="AE5" i="1"/>
  <c r="AC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D4" i="1"/>
  <c r="AF4" i="1"/>
  <c r="AI4" i="1"/>
  <c r="AG4" i="1"/>
  <c r="AE4" i="1"/>
  <c r="AC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F3" i="1"/>
  <c r="AI3" i="1"/>
  <c r="AG3" i="1"/>
  <c r="AE3" i="1"/>
  <c r="AC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D2" i="1"/>
  <c r="AF2" i="1"/>
  <c r="AI2" i="1"/>
  <c r="AG2" i="1"/>
  <c r="AE2" i="1"/>
  <c r="AC2" i="1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E2" i="9"/>
  <c r="D2" i="9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C5" i="18"/>
  <c r="D5" i="18"/>
  <c r="I2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G2" i="21"/>
  <c r="F2" i="21"/>
  <c r="D2" i="21"/>
  <c r="C2" i="21"/>
  <c r="G2" i="2"/>
  <c r="A2" i="2"/>
  <c r="G3" i="2"/>
  <c r="A3" i="2"/>
  <c r="C8" i="18"/>
  <c r="D8" i="18"/>
  <c r="C7" i="18"/>
  <c r="D7" i="18"/>
  <c r="C6" i="18"/>
  <c r="D6" i="18"/>
  <c r="C4" i="18"/>
  <c r="D4" i="18"/>
  <c r="C3" i="18"/>
  <c r="D3" i="18"/>
  <c r="C2" i="18"/>
  <c r="D2" i="18"/>
  <c r="N3" i="22"/>
  <c r="N2" i="22"/>
  <c r="A5" i="1"/>
  <c r="A4" i="1"/>
  <c r="H3" i="2"/>
  <c r="E3" i="2"/>
  <c r="D3" i="2"/>
  <c r="B3" i="2"/>
  <c r="G3" i="22"/>
  <c r="F3" i="22"/>
  <c r="D3" i="22"/>
  <c r="C3" i="22"/>
  <c r="A3" i="22"/>
  <c r="E13" i="16"/>
  <c r="G2" i="22"/>
  <c r="F2" i="22"/>
  <c r="D2" i="22"/>
  <c r="C2" i="22"/>
  <c r="A2" i="22"/>
  <c r="E12" i="16"/>
  <c r="E11" i="16"/>
  <c r="E10" i="16"/>
  <c r="E9" i="16"/>
  <c r="E8" i="16"/>
  <c r="E7" i="16"/>
  <c r="E6" i="16"/>
  <c r="E5" i="16"/>
  <c r="E4" i="16"/>
  <c r="E3" i="16"/>
  <c r="E2" i="16"/>
  <c r="A3" i="1"/>
  <c r="A2" i="1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<sst xmlns="http://schemas.openxmlformats.org/spreadsheetml/2006/main" count="568" uniqueCount="323">
  <si>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</si>
  <si>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</si>
  <si>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</si>
  <si>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</si>
  <si>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</si>
  <si>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</si>
  <si>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</si>
  <si>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</si>
  <si>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</si>
  <si>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</si>
  <si>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</si>
  <si>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</si>
  <si>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</si>
  <si>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</si>
  <si>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</si>
  <si>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</si>
  <si>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</si>
  <si>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</si>
  <si>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</si>
  <si>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</si>
  <si>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</si>
  <si>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</si>
  <si>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</si>
  <si>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</si>
  <si>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</si>
  <si>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</si>
  <si>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</si>
  <si>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</si>
  <si>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</si>
  <si>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</si>
  <si>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</si>
  <si>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</si>
  <si>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</si>
  <si>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</si>
  <si>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</si>
  <si>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</si>
  <si>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</si>
  <si>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</si>
  <si>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</si>
  <si>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</si>
  <si>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</si>
  <si>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</si>
  <si>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</si>
  <si>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</si>
  <si>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</si>
  <si>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</si>
  <si>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</si>
  <si>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</si>
  <si>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</si>
  <si>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</si>
  <si>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</si>
  <si>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</si>
  <si>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</si>
  <si>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</si>
  <si>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</si>
  <si>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</si>
  <si>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</si>
  <si>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</si>
  <si>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</si>
  <si>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</si>
  <si>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</si>
  <si>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</si>
  <si>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</si>
  <si>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</si>
  <si>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</si>
  <si>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</si>
  <si>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</si>
  <si>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</si>
  <si>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</si>
  <si>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</si>
  <si>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</si>
  <si>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</si>
  <si>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</si>
  <si>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</si>
  <si>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</si>
  <si>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</si>
  <si>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</si>
  <si>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</si>
  <si>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</si>
  <si>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</si>
  <si>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</si>
  <si>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</si>
  <si>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</si>
  <si>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</si>
  <si>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</si>
  <si>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</si>
  <si>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</si>
  <si>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</si>
  <si>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</si>
  <si>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</si>
  <si>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</si>
  <si>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</si>
  <si>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</si>
  <si>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</si>
  <si>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</si>
  <si>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</si>
  <si>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</si>
  <si>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</si>
  <si>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</si>
  <si>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</si>
  <si>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</si>
  <si>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</si>
  <si>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</si>
  <si>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</si>
  <si>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</si>
  <si>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</si>
  <si>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</si>
  <si>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</si>
  <si>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</si>
  <si>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</si>
  <si>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</si>
  <si>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</si>
  <si>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</si>
  <si>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</si>
  <si>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</si>
  <si>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</si>
  <si>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</si>
  <si>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</si>
  <si>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</si>
  <si>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</si>
  <si>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</si>
  <si>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</si>
  <si>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</si>
  <si>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</si>
  <si>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</si>
  <si>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</si>
  <si>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</si>
  <si>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</si>
  <si>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</si>
  <si>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</si>
  <si>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</si>
  <si>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</si>
  <si>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</si>
  <si>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</si>
  <si>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</si>
  <si>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</si>
  <si>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</si>
  <si>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</si>
  <si>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</si>
  <si>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</si>
  <si>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</si>
  <si>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</si>
  <si>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</si>
  <si>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</si>
  <si>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</si>
  <si>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</si>
  <si>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</si>
  <si>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</si>
  <si>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</si>
  <si>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</si>
  <si>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</si>
  <si>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</si>
  <si>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</si>
  <si>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</si>
  <si>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</si>
  <si>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</si>
  <si>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</si>
  <si>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</si>
  <si>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</si>
  <si>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</si>
  <si>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</si>
  <si>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</si>
  <si>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</si>
  <si>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</si>
  <si>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</si>
  <si>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</si>
  <si>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</si>
  <si>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</si>
  <si>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</si>
  <si>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</si>
  <si>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</si>
  <si>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</si>
  <si>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</si>
  <si>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</si>
  <si>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</si>
  <si>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</si>
  <si>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</si>
  <si>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</si>
  <si>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</si>
  <si>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</si>
  <si>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</si>
  <si>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</si>
  <si>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</si>
  <si>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</si>
  <si>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</si>
  <si>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</si>
  <si>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</si>
  <si>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</si>
  <si>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</si>
  <si>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</si>
  <si>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</si>
  <si>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</si>
  <si>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</si>
  <si>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</si>
  <si>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</si>
  <si>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</si>
  <si>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</si>
  <si>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</si>
  <si>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</si>
  <si>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</si>
  <si>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</si>
  <si>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</si>
  <si>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</si>
  <si>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</si>
  <si>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</si>
  <si>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</si>
  <si>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</si>
  <si>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</si>
  <si>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</si>
  <si>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</si>
  <si>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</si>
  <si>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</si>
  <si>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</si>
  <si>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</si>
  <si>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</si>
  <si>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</si>
  <si>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</si>
  <si>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</si>
  <si>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</si>
  <si>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</si>
  <si>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</si>
  <si>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</si>
  <si>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</si>
  <si>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</si>
  <si>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</si>
  <si>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</si>
  <si>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</si>
  <si>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</si>
  <si>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</si>
  <si>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</si>
  <si>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</si>
  <si>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</si>
  <si>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</si>
  <si>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</si>
  <si>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</si>
  <si>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</si>
  <si>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</si>
  <si>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</si>
  <si>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</si>
  <si>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</si>
  <si>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</si>
  <si>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</si>
  <si>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</si>
  <si>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</si>
  <si>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</si>
  <si>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汝、選ばれし者か</t>
    <phoneticPr fontId="5"/>
  </si>
  <si>
    <t>コスト29以上＆ヒューマン以外キラー</t>
    <phoneticPr fontId="5"/>
  </si>
  <si>
    <t>old</t>
  </si>
  <si>
    <t>singleonly</t>
    <phoneticPr fontId="5"/>
  </si>
  <si>
    <t>clear</t>
    <phoneticPr fontId="5"/>
  </si>
  <si>
    <t>bit</t>
    <phoneticPr fontId="5"/>
  </si>
  <si>
    <t>singleonly</t>
    <phoneticPr fontId="5"/>
  </si>
  <si>
    <t>clear</t>
    <phoneticPr fontId="5"/>
  </si>
  <si>
    <t>bit</t>
    <phoneticPr fontId="5"/>
  </si>
  <si>
    <t>null</t>
    <phoneticPr fontId="5"/>
  </si>
  <si>
    <t>unit</t>
    <phoneticPr fontId="5"/>
  </si>
  <si>
    <t>comment</t>
    <phoneticPr fontId="7"/>
  </si>
  <si>
    <t>NULL</t>
    <phoneticPr fontId="5"/>
  </si>
  <si>
    <t>ja</t>
    <phoneticPr fontId="5"/>
  </si>
  <si>
    <t>ja</t>
    <phoneticPr fontId="5"/>
  </si>
  <si>
    <t>カエデは10ターン目に
強力な連続攻撃を使用します
予兆が見えたら
防御力UPなどで対抗しましょう</t>
    <rPh sb="27" eb="29">
      <t>ヨチョウガ</t>
    </rPh>
    <rPh sb="30" eb="31">
      <t>ミエタラ</t>
    </rPh>
    <phoneticPr fontId="5"/>
  </si>
  <si>
    <t>ガエルは放置していると
初回行動で即死級の攻撃を放ちます
先に狙うべき相手を見極めましょう</t>
    <rPh sb="4" eb="6">
      <t>ホウチ</t>
    </rPh>
    <rPh sb="12" eb="16">
      <t>ショカイコウドウデ</t>
    </rPh>
    <rPh sb="17" eb="20">
      <t>ソクシキュウノ</t>
    </rPh>
    <rPh sb="21" eb="23">
      <t>コウゲキ</t>
    </rPh>
    <rPh sb="24" eb="25">
      <t>ハナチマス</t>
    </rPh>
    <rPh sb="30" eb="31">
      <t>サキニ</t>
    </rPh>
    <rPh sb="32" eb="33">
      <t>ネラウベキ</t>
    </rPh>
    <rPh sb="36" eb="38">
      <t>アイテヲ</t>
    </rPh>
    <rPh sb="39" eb="41">
      <t>ミキワメマショウ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</si>
  <si>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</si>
  <si>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</si>
  <si>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</si>
  <si>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</si>
  <si>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塔の結界</t>
    <rPh sb="0" eb="1">
      <t>トウノ</t>
    </rPh>
    <rPh sb="2" eb="4">
      <t>ケッカイ</t>
    </rPh>
    <phoneticPr fontId="5"/>
  </si>
  <si>
    <t>パンダウォール</t>
    <phoneticPr fontId="5"/>
  </si>
  <si>
    <t>5ターン敵全体の防御力大UP</t>
    <rPh sb="5" eb="7">
      <t>ゼンタイ</t>
    </rPh>
    <rPh sb="11" eb="12">
      <t>ダイ</t>
    </rPh>
    <phoneticPr fontId="5"/>
  </si>
  <si>
    <t>パンダジャミング</t>
    <phoneticPr fontId="5"/>
  </si>
  <si>
    <t>雄叫び</t>
    <phoneticPr fontId="5"/>
  </si>
  <si>
    <t>うわァ！？なんだ！？</t>
    <phoneticPr fontId="5"/>
  </si>
  <si>
    <t>チカの毒薬が散らばってダメージを受けた！</t>
    <rPh sb="3" eb="5">
      <t>ドクヤクガ</t>
    </rPh>
    <rPh sb="6" eb="7">
      <t>チラバッテ</t>
    </rPh>
    <rPh sb="16" eb="17">
      <t>ウケタ</t>
    </rPh>
    <phoneticPr fontId="5"/>
  </si>
  <si>
    <t>アンチフレイムカプセル</t>
    <phoneticPr fontId="5"/>
  </si>
  <si>
    <t>赤属性のユニットに大ダメージの全体攻撃</t>
    <rPh sb="0" eb="3">
      <t>アカゾクセイ</t>
    </rPh>
    <rPh sb="9" eb="10">
      <t>ダイダメージ</t>
    </rPh>
    <rPh sb="15" eb="17">
      <t>ゼンタイ</t>
    </rPh>
    <rPh sb="17" eb="19">
      <t>コウゲキ</t>
    </rPh>
    <phoneticPr fontId="5"/>
  </si>
  <si>
    <t>イビルポイズン</t>
    <phoneticPr fontId="5"/>
  </si>
  <si>
    <t>リバースドーピング</t>
    <phoneticPr fontId="5"/>
  </si>
  <si>
    <t>むっ…データにノイズが…</t>
    <phoneticPr fontId="5"/>
  </si>
  <si>
    <t>ギガンの発した電流でダメージを受けた！</t>
    <rPh sb="4" eb="5">
      <t>ハッシタ</t>
    </rPh>
    <rPh sb="7" eb="9">
      <t>デンリュウ</t>
    </rPh>
    <rPh sb="15" eb="16">
      <t>ウケタ</t>
    </rPh>
    <phoneticPr fontId="5"/>
  </si>
  <si>
    <t>何も知らねェくせに…</t>
    <rPh sb="0" eb="1">
      <t>ナニモ</t>
    </rPh>
    <rPh sb="2" eb="3">
      <t>シラネェ</t>
    </rPh>
    <phoneticPr fontId="5"/>
  </si>
  <si>
    <t>状態異常耐性</t>
    <phoneticPr fontId="5"/>
  </si>
  <si>
    <t>スプレッドマーカー</t>
    <phoneticPr fontId="5"/>
  </si>
  <si>
    <t>スプレーマシンガン</t>
    <phoneticPr fontId="5"/>
  </si>
  <si>
    <t>5回連続攻撃</t>
    <rPh sb="1" eb="2">
      <t>カイ</t>
    </rPh>
    <phoneticPr fontId="5"/>
  </si>
  <si>
    <t>ja</t>
    <phoneticPr fontId="5"/>
  </si>
  <si>
    <t>試させてもらうぜ</t>
    <phoneticPr fontId="5"/>
  </si>
  <si>
    <t>次のターン強力な連続攻撃</t>
    <rPh sb="0" eb="1">
      <t>ツギノターン</t>
    </rPh>
    <rPh sb="5" eb="7">
      <t>キョウリョクナ</t>
    </rPh>
    <rPh sb="8" eb="12">
      <t>レンゾクコウゲキ</t>
    </rPh>
    <phoneticPr fontId="5"/>
  </si>
  <si>
    <t>ミラージュグラフィティ</t>
    <phoneticPr fontId="5"/>
  </si>
  <si>
    <t>強力な6回連続攻撃</t>
    <rPh sb="0" eb="2">
      <t>キョウリョクナ</t>
    </rPh>
    <rPh sb="4" eb="5">
      <t>カイ</t>
    </rPh>
    <rPh sb="5" eb="7">
      <t>レンゾク</t>
    </rPh>
    <rPh sb="7" eb="9">
      <t>コウゲキ</t>
    </rPh>
    <phoneticPr fontId="5"/>
  </si>
  <si>
    <t>我が砕棒の威力を見よ！</t>
    <rPh sb="0" eb="1">
      <t>ワガ</t>
    </rPh>
    <rPh sb="2" eb="3">
      <t>クダク</t>
    </rPh>
    <rPh sb="3" eb="4">
      <t>ボウ</t>
    </rPh>
    <rPh sb="5" eb="7">
      <t>イリョク</t>
    </rPh>
    <rPh sb="8" eb="9">
      <t>ミヨ</t>
    </rPh>
    <phoneticPr fontId="5"/>
  </si>
  <si>
    <t>うおおおおぉぉぉぉ！！！</t>
    <phoneticPr fontId="5"/>
  </si>
  <si>
    <t>即死級の攻撃！</t>
    <rPh sb="0" eb="3">
      <t>ソクシキュウ</t>
    </rPh>
    <rPh sb="4" eb="6">
      <t>コウゲキ</t>
    </rPh>
    <phoneticPr fontId="5"/>
  </si>
  <si>
    <t>「塔の結界」はコスト31以上のユニットに
即死級のダメージを与えます
注意しましょう</t>
    <rPh sb="1" eb="2">
      <t>トウノ</t>
    </rPh>
    <rPh sb="3" eb="5">
      <t>ケッカイ</t>
    </rPh>
    <phoneticPr fontId="5"/>
  </si>
  <si>
    <t>ja</t>
    <phoneticPr fontId="5"/>
  </si>
  <si>
    <t>状態異常耐性</t>
    <phoneticPr fontId="5"/>
  </si>
  <si>
    <t>[effect:enhance_enemy, target:enemy_all, turn:5, status:defense, val:3000, calc:add, animation:enemy_enhance_defense],[effect:enemy_message, val1:1.4, val2:1.8]</t>
    <phoneticPr fontId="5"/>
  </si>
  <si>
    <t>[effect:degrade_fever, val:1000, animation:fevergauge_down],[effect:enhance_enemy, target:myself, turn:3, status:defense, val:3000, calc:add, animation:enemy_enhance_defense],[effect:enemy_message, val1:1.4, val2:2]</t>
    <phoneticPr fontId="5"/>
  </si>
  <si>
    <t>[effect:suicide, val:0.5, dead_type:suicide, target:myself, animation:enemy_suicide],[effect:enemy_message, val1:1.4, val2:1.8]</t>
    <phoneticPr fontId="5"/>
  </si>
  <si>
    <t>[effect:suicide, val:0.5, dead_type:suicide, target:myself, animation:enemy_suicide],[effect:enemy_message, val1:1.4, val2:1.8]</t>
    <phoneticPr fontId="5"/>
  </si>
  <si>
    <t>[effect:force_change_block, new_block:jammer, target:block_all, count:4, val:0],[effect:spread, val:0.3],[effect:enemy_message, val1:1.4, val2:1.8]</t>
    <phoneticPr fontId="5"/>
  </si>
  <si>
    <t>[effect:rush, count:6, val:1],[effect:enemy_message, val1:1.4, val2:1.6]</t>
    <phoneticPr fontId="5"/>
  </si>
  <si>
    <t>[effect:rush, count:5, val:0.56],[effect:enemy_message, val1:1.4, val2:1.6]</t>
    <phoneticPr fontId="5"/>
  </si>
  <si>
    <t>[effect:tolerance, target:myself, turn:-1, tolerance_effect:all, count:-1, animation:enemy_tolerance],[effect:fix_speed, target:myself, turn:1],[effect:enemy_message, val1:1.4, val2:1.6]</t>
    <phoneticPr fontId="5"/>
  </si>
  <si>
    <t>[effect:tolerance, target:myself, turn:-1, tolerance_effect:all, count:-1, animation:enemy_tolerance],[effect:fix_speed, target:myself, turn:8],[effect:enemy_message, val1:1.4, val2:2]</t>
    <phoneticPr fontId="5"/>
  </si>
  <si>
    <t>[effect:enhance_enemy, target:enemy_all, turn:-1, status:attack, val:0.3, calc:mul, animation:enemy_enhance_attack],[effect:degrade_unit, target:unit_all, turn:-1, status:attack, val:0.5, calc:mul],[effect:enemy_message, val1:1.4, val2:2]</t>
    <phoneticPr fontId="5"/>
  </si>
  <si>
    <t>[effect:enemy_message, val1:1.4, val2:1.8]</t>
    <phoneticPr fontId="5"/>
  </si>
  <si>
    <t>このフロア突破できるか？</t>
    <phoneticPr fontId="5"/>
  </si>
  <si>
    <t>[effect:force_change_block, new_block:jammer, target:block_all, count:10, val:0, animation:change_block],[effect:enemy_message, val1:1.4, val2:2.1]</t>
    <phoneticPr fontId="5"/>
  </si>
  <si>
    <t>状態異常耐性+
コスト31以上のユニットに大ダメージ</t>
    <rPh sb="0" eb="2">
      <t>ジョウタイイジョウ</t>
    </rPh>
    <rPh sb="2" eb="4">
      <t>イジョウ</t>
    </rPh>
    <rPh sb="4" eb="6">
      <t>タイセイ</t>
    </rPh>
    <rPh sb="21" eb="22">
      <t>ダイダメージ</t>
    </rPh>
    <phoneticPr fontId="5"/>
  </si>
  <si>
    <t>敵全体の攻撃力大UP+
全ユニットの攻撃力50%DOWN</t>
    <rPh sb="6" eb="7">
      <t>チカラ</t>
    </rPh>
    <rPh sb="7" eb="8">
      <t>ダイ</t>
    </rPh>
    <rPh sb="12" eb="13">
      <t>ゼン</t>
    </rPh>
    <phoneticPr fontId="5"/>
  </si>
  <si>
    <t>状態異常耐性+
8ターン後に即死級攻撃</t>
    <rPh sb="14" eb="17">
      <t>ソクシキュウ</t>
    </rPh>
    <rPh sb="17" eb="19">
      <t>コウゲキ</t>
    </rPh>
    <phoneticPr fontId="5"/>
  </si>
  <si>
    <t>[effect:damage_anti_color, target:unit_all, color:red, val1:1.0, val2:0.5],[effect:enemy_message, val1:1.4, val2:1.8]</t>
    <phoneticPr fontId="5"/>
  </si>
  <si>
    <t>ランダムでお邪魔パネル4個生成+全体攻撃</t>
    <rPh sb="16" eb="18">
      <t>ゼンタイ</t>
    </rPh>
    <rPh sb="18" eb="19">
      <t>コウゲキ</t>
    </rPh>
    <phoneticPr fontId="5"/>
  </si>
  <si>
    <t>[effect:damage_fix_absolute, target:unit_all, val:22500],[effect:enemy_message, val1:1.4, val2]</t>
    <phoneticPr fontId="5"/>
  </si>
  <si>
    <t>フィーバーゲージ減少+3ターン防御力大UP</t>
    <rPh sb="8" eb="10">
      <t>ゲンショウ</t>
    </rPh>
    <rPh sb="18" eb="19">
      <t>ダイ</t>
    </rPh>
    <phoneticPr fontId="5"/>
  </si>
  <si>
    <t>お邪魔パネルを最大10個生成</t>
    <phoneticPr fontId="5"/>
  </si>
  <si>
    <t>[effect:tolerance, target:myself, turn:-1, tolerance_effect:all, count:-1, animation:enemy_tolerance],[effect:damage_anti_cost, target:unit_all, lower:31, val1:99, val2:0.01, cost_type:unit],[effect:damage_anti_cost, target:unit_all, lower:31, val1:99, val2:0.01, cost_type:unit],[effect:fix_speed, target:myself, turn:2],[effect:enemy_message, val1:1.4, val2:2.2]</t>
    <phoneticPr fontId="5"/>
  </si>
  <si>
    <t>8ターン全体ウィルス+全体攻撃</t>
    <phoneticPr fontId="5"/>
  </si>
  <si>
    <t>レッサとギガンは8ターン毎にパネルを
お邪魔パネルに変換します 
お邪魔パネルを変換するスキルや
フィーバーを使って対処しましょう</t>
    <phoneticPr fontId="5"/>
  </si>
  <si>
    <t>13301_5</t>
    <phoneticPr fontId="5"/>
  </si>
  <si>
    <t>[effect:force_change_block, new_block:jammer, target:block_all, count:10, val:0, animation:change_block],[effect:fix_speed, target:myself, turn:1],[effect:enemy_message, val1:1.4, val2:2.4]</t>
    <phoneticPr fontId="5"/>
  </si>
  <si>
    <t>お邪魔パネルを最大10個生成+
攻撃頻度が1に変化</t>
    <rPh sb="23" eb="25">
      <t>ヘンカ</t>
    </rPh>
    <phoneticPr fontId="5"/>
  </si>
  <si>
    <t>[effect:virus, target:unit_all, turn:8, rate:1, val:0.1, calc_type:target_one, animation:enemy_virus],[effect:spread, val:0.3],[effect:enemy_message, val1:1.4, val2:1.8]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</si>
</sst>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14" borderId="7" xfId="0" applyFont="1" applyFill="1" applyBorder="1"/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176" fontId="4" fillId="32" borderId="3" xfId="0" applyNumberFormat="1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vertical="center"/>
    </xf>
    <xf numFmtId="177" fontId="8" fillId="32" borderId="4" xfId="0" applyNumberFormat="1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13300_8-1</v>
          </cell>
        </row>
        <row r="3">
          <cell r="A3" t="str">
            <v>13300_8-2</v>
          </cell>
        </row>
      </sheetData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13300400</v>
          </cell>
        </row>
        <row r="3">
          <cell r="B3">
            <v>13300400</v>
          </cell>
        </row>
        <row r="4">
          <cell r="B4">
            <v>13300400</v>
          </cell>
        </row>
        <row r="5">
          <cell r="B5">
            <v>13300400</v>
          </cell>
        </row>
        <row r="6">
          <cell r="B6">
            <v>13300400</v>
          </cell>
        </row>
        <row r="7">
          <cell r="B7">
            <v>13300400</v>
          </cell>
        </row>
        <row r="8">
          <cell r="B8">
            <v>13300410</v>
          </cell>
        </row>
        <row r="9">
          <cell r="B9">
            <v>13300410</v>
          </cell>
        </row>
        <row r="10">
          <cell r="B10">
            <v>13300410</v>
          </cell>
        </row>
        <row r="11">
          <cell r="B11">
            <v>13300410</v>
          </cell>
        </row>
        <row r="12">
          <cell r="B12">
            <v>13300410</v>
          </cell>
        </row>
        <row r="13">
          <cell r="B13">
            <v>13300420</v>
          </cell>
        </row>
        <row r="14">
          <cell r="B14">
            <v>13300420</v>
          </cell>
        </row>
        <row r="15">
          <cell r="B15">
            <v>13300420</v>
          </cell>
        </row>
        <row r="16">
          <cell r="B16">
            <v>13300420</v>
          </cell>
        </row>
        <row r="17">
          <cell r="B17">
            <v>13300420</v>
          </cell>
        </row>
        <row r="18">
          <cell r="B18">
            <v>13300430</v>
          </cell>
        </row>
        <row r="19">
          <cell r="B19">
            <v>13300430</v>
          </cell>
        </row>
      </sheetData>
      <sheetData sheetId="5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13300401</v>
          </cell>
        </row>
        <row r="3">
          <cell r="A3">
            <v>13300402</v>
          </cell>
        </row>
        <row r="4">
          <cell r="A4">
            <v>13300403</v>
          </cell>
        </row>
        <row r="5">
          <cell r="A5">
            <v>13300404</v>
          </cell>
        </row>
        <row r="6">
          <cell r="A6">
            <v>13300405</v>
          </cell>
        </row>
        <row r="7">
          <cell r="A7">
            <v>13300406</v>
          </cell>
        </row>
        <row r="8">
          <cell r="A8">
            <v>13300411</v>
          </cell>
        </row>
        <row r="9">
          <cell r="A9">
            <v>13300412</v>
          </cell>
        </row>
        <row r="10">
          <cell r="A10">
            <v>13300413</v>
          </cell>
        </row>
        <row r="11">
          <cell r="A11">
            <v>13300414</v>
          </cell>
        </row>
        <row r="12">
          <cell r="A12">
            <v>13300415</v>
          </cell>
        </row>
        <row r="13">
          <cell r="A13">
            <v>13300421</v>
          </cell>
        </row>
        <row r="14">
          <cell r="A14">
            <v>13300422</v>
          </cell>
        </row>
        <row r="15">
          <cell r="A15">
            <v>13300423</v>
          </cell>
        </row>
        <row r="16">
          <cell r="A16">
            <v>13300424</v>
          </cell>
        </row>
        <row r="17">
          <cell r="A17">
            <v>13300425</v>
          </cell>
        </row>
        <row r="18">
          <cell r="A18">
            <v>13300431</v>
          </cell>
        </row>
        <row r="19">
          <cell r="A19">
            <v>13300432</v>
          </cell>
        </row>
      </sheetData>
      <sheetData sheetId="6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13300401</v>
          </cell>
        </row>
        <row r="3">
          <cell r="A3">
            <v>13300402</v>
          </cell>
        </row>
        <row r="4">
          <cell r="A4">
            <v>13300403</v>
          </cell>
        </row>
        <row r="5">
          <cell r="A5">
            <v>13300404</v>
          </cell>
        </row>
        <row r="6">
          <cell r="A6">
            <v>13300405</v>
          </cell>
        </row>
        <row r="7">
          <cell r="A7">
            <v>13300406</v>
          </cell>
        </row>
        <row r="8">
          <cell r="A8">
            <v>13300411</v>
          </cell>
        </row>
        <row r="9">
          <cell r="A9">
            <v>13300412</v>
          </cell>
        </row>
        <row r="10">
          <cell r="A10">
            <v>13300413</v>
          </cell>
        </row>
        <row r="11">
          <cell r="A11">
            <v>13300414</v>
          </cell>
        </row>
        <row r="12">
          <cell r="A12">
            <v>13300415</v>
          </cell>
        </row>
        <row r="13">
          <cell r="A13">
            <v>13300421</v>
          </cell>
        </row>
        <row r="14">
          <cell r="A14">
            <v>13300422</v>
          </cell>
        </row>
        <row r="15">
          <cell r="A15">
            <v>13300423</v>
          </cell>
        </row>
        <row r="16">
          <cell r="A16">
            <v>13300424</v>
          </cell>
        </row>
        <row r="17">
          <cell r="A17">
            <v>13300425</v>
          </cell>
        </row>
        <row r="18">
          <cell r="A18">
            <v>13300431</v>
          </cell>
        </row>
        <row r="19">
          <cell r="A19">
            <v>13300432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J24" sqref="J2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127</v>
      </c>
      <c r="B1" s="53" t="s">
        <v>98</v>
      </c>
      <c r="C1" s="53" t="s">
        <v>99</v>
      </c>
      <c r="D1" s="53" t="s">
        <v>100</v>
      </c>
      <c r="E1" s="53" t="s">
        <v>101</v>
      </c>
      <c r="F1" s="53" t="s">
        <v>102</v>
      </c>
      <c r="G1" s="53" t="s">
        <v>103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247</v>
      </c>
      <c r="B2" s="55" t="s">
        <v>104</v>
      </c>
      <c r="C2" s="61" t="s">
        <v>319</v>
      </c>
      <c r="D2" s="55" t="s">
        <v>105</v>
      </c>
      <c r="E2" s="54" t="str">
        <f>B2&amp;C2&amp;D2</f>
        <v>floors_13301_5.tmp</v>
      </c>
      <c r="F2" s="55" t="s">
        <v>106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247</v>
      </c>
      <c r="B3" s="55" t="s">
        <v>107</v>
      </c>
      <c r="C3" s="61" t="str">
        <f t="shared" ref="C3:C13" si="0">C$2</f>
        <v>13301_5</v>
      </c>
      <c r="D3" s="55" t="s">
        <v>105</v>
      </c>
      <c r="E3" s="54" t="str">
        <f>B3&amp;C3&amp;D3</f>
        <v>enemy_habitats_13301_5.tmp</v>
      </c>
      <c r="F3" s="55" t="s">
        <v>108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174</v>
      </c>
    </row>
    <row r="4" spans="1:30" x14ac:dyDescent="0.15">
      <c r="A4" s="59" t="s">
        <v>247</v>
      </c>
      <c r="B4" s="55" t="s">
        <v>109</v>
      </c>
      <c r="C4" s="61" t="str">
        <f t="shared" si="0"/>
        <v>13301_5</v>
      </c>
      <c r="D4" s="55" t="s">
        <v>105</v>
      </c>
      <c r="E4" s="54" t="str">
        <f>B4&amp;C4&amp;D4</f>
        <v>enemy_habitat_S_13301_5.tmp</v>
      </c>
      <c r="F4" s="55" t="s">
        <v>110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247</v>
      </c>
      <c r="B5" s="55" t="s">
        <v>111</v>
      </c>
      <c r="C5" s="61" t="str">
        <f t="shared" si="0"/>
        <v>13301_5</v>
      </c>
      <c r="D5" s="55" t="s">
        <v>105</v>
      </c>
      <c r="E5" s="54" t="str">
        <f>B5&amp;C5&amp;D5</f>
        <v>enemy_skill_sets_13301_5.tmp</v>
      </c>
      <c r="F5" s="55" t="s">
        <v>112</v>
      </c>
      <c r="G5" s="57" t="s">
        <v>22</v>
      </c>
      <c r="H5" s="57" t="s">
        <v>97</v>
      </c>
      <c r="I5" s="57" t="s">
        <v>92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247</v>
      </c>
      <c r="B6" s="55" t="s">
        <v>113</v>
      </c>
      <c r="C6" s="61" t="str">
        <f t="shared" si="0"/>
        <v>13301_5</v>
      </c>
      <c r="D6" s="55" t="s">
        <v>114</v>
      </c>
      <c r="E6" s="54" t="str">
        <f t="shared" ref="E6:E10" si="1">B6&amp;C6&amp;D6</f>
        <v>enemy_skills_tmp_13301_5.tmp</v>
      </c>
      <c r="F6" s="55" t="s">
        <v>88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247</v>
      </c>
      <c r="B7" s="55" t="s">
        <v>115</v>
      </c>
      <c r="C7" s="61" t="str">
        <f t="shared" si="0"/>
        <v>13301_5</v>
      </c>
      <c r="D7" s="55" t="s">
        <v>105</v>
      </c>
      <c r="E7" s="54" t="str">
        <f>B7&amp;C7&amp;D7</f>
        <v>enemy_skills_i18n_13301_5.tmp</v>
      </c>
      <c r="F7" s="55" t="s">
        <v>116</v>
      </c>
      <c r="G7" s="56" t="s">
        <v>78</v>
      </c>
      <c r="H7" s="56" t="s">
        <v>89</v>
      </c>
      <c r="I7" s="56" t="s">
        <v>90</v>
      </c>
      <c r="J7" s="56" t="s">
        <v>91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247</v>
      </c>
      <c r="B8" s="55" t="s">
        <v>117</v>
      </c>
      <c r="C8" s="61" t="str">
        <f t="shared" si="0"/>
        <v>13301_5</v>
      </c>
      <c r="D8" s="55" t="s">
        <v>118</v>
      </c>
      <c r="E8" s="54" t="str">
        <f t="shared" si="1"/>
        <v>enemy_skill_triggers_13301_5.tmp</v>
      </c>
      <c r="F8" s="55" t="s">
        <v>119</v>
      </c>
      <c r="G8" s="56" t="s">
        <v>92</v>
      </c>
      <c r="H8" s="56" t="s">
        <v>93</v>
      </c>
      <c r="I8" s="56" t="s">
        <v>94</v>
      </c>
      <c r="J8" s="56" t="s">
        <v>95</v>
      </c>
      <c r="K8" s="56" t="s">
        <v>120</v>
      </c>
      <c r="L8" s="56" t="s">
        <v>96</v>
      </c>
      <c r="M8" s="56" t="s">
        <v>121</v>
      </c>
      <c r="N8" s="56" t="s">
        <v>122</v>
      </c>
      <c r="O8" s="56" t="s">
        <v>123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247</v>
      </c>
      <c r="B9" s="66" t="s">
        <v>173</v>
      </c>
      <c r="C9" s="61" t="str">
        <f t="shared" si="0"/>
        <v>13301_5</v>
      </c>
      <c r="D9" s="66" t="s">
        <v>167</v>
      </c>
      <c r="E9" s="67" t="str">
        <f t="shared" si="1"/>
        <v>stage_bug_bonuses_13301_5.tmp</v>
      </c>
      <c r="F9" s="66" t="s">
        <v>168</v>
      </c>
      <c r="G9" s="63" t="s">
        <v>147</v>
      </c>
      <c r="H9" s="63" t="s">
        <v>169</v>
      </c>
      <c r="I9" s="63" t="s">
        <v>170</v>
      </c>
      <c r="J9" s="65" t="s">
        <v>171</v>
      </c>
      <c r="K9" s="63" t="s">
        <v>172</v>
      </c>
      <c r="L9" s="63" t="s">
        <v>153</v>
      </c>
      <c r="M9" s="63" t="s">
        <v>154</v>
      </c>
      <c r="N9" s="63" t="s">
        <v>155</v>
      </c>
      <c r="O9" s="63" t="s">
        <v>156</v>
      </c>
      <c r="P9" s="63" t="s">
        <v>157</v>
      </c>
      <c r="Q9" s="63" t="s">
        <v>158</v>
      </c>
      <c r="R9" s="63" t="s">
        <v>159</v>
      </c>
      <c r="S9" s="63" t="s">
        <v>160</v>
      </c>
      <c r="T9" s="63" t="s">
        <v>161</v>
      </c>
      <c r="U9" s="63" t="s">
        <v>162</v>
      </c>
      <c r="V9" s="63" t="s">
        <v>163</v>
      </c>
      <c r="W9" s="63" t="s">
        <v>164</v>
      </c>
      <c r="X9" s="55"/>
      <c r="Y9" s="55"/>
      <c r="Z9" s="55"/>
      <c r="AA9" s="55"/>
      <c r="AB9" s="55"/>
      <c r="AC9" s="55"/>
      <c r="AD9" s="55"/>
    </row>
    <row r="10" spans="1:30" s="73" customFormat="1" x14ac:dyDescent="0.15">
      <c r="A10" s="59" t="s">
        <v>183</v>
      </c>
      <c r="B10" s="66" t="s">
        <v>195</v>
      </c>
      <c r="C10" s="61" t="str">
        <f t="shared" si="0"/>
        <v>13301_5</v>
      </c>
      <c r="D10" s="66" t="s">
        <v>176</v>
      </c>
      <c r="E10" s="67" t="str">
        <f t="shared" si="1"/>
        <v>stage_hints_data_c_13301_5.tmp</v>
      </c>
      <c r="F10" s="66" t="s">
        <v>203</v>
      </c>
      <c r="G10" s="71" t="s">
        <v>177</v>
      </c>
      <c r="H10" s="71" t="s">
        <v>169</v>
      </c>
      <c r="I10" s="72" t="s">
        <v>178</v>
      </c>
      <c r="J10" s="65" t="s">
        <v>179</v>
      </c>
      <c r="K10" s="65" t="s">
        <v>180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3" customFormat="1" x14ac:dyDescent="0.15">
      <c r="A11" s="59" t="s">
        <v>247</v>
      </c>
      <c r="B11" s="66" t="s">
        <v>196</v>
      </c>
      <c r="C11" s="61" t="str">
        <f t="shared" si="0"/>
        <v>13301_5</v>
      </c>
      <c r="D11" s="66" t="s">
        <v>167</v>
      </c>
      <c r="E11" s="67" t="str">
        <f t="shared" ref="E11:E13" si="2">B11&amp;C11&amp;D11</f>
        <v>stage_hints_data_f_13301_5.tmp</v>
      </c>
      <c r="F11" s="66" t="s">
        <v>204</v>
      </c>
      <c r="G11" s="71" t="s">
        <v>177</v>
      </c>
      <c r="H11" s="71" t="s">
        <v>169</v>
      </c>
      <c r="I11" s="72" t="s">
        <v>178</v>
      </c>
      <c r="J11" s="65" t="s">
        <v>179</v>
      </c>
      <c r="K11" s="65" t="s">
        <v>180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3" customFormat="1" x14ac:dyDescent="0.15">
      <c r="A12" s="59" t="s">
        <v>247</v>
      </c>
      <c r="B12" s="66" t="s">
        <v>197</v>
      </c>
      <c r="C12" s="61" t="str">
        <f t="shared" si="0"/>
        <v>13301_5</v>
      </c>
      <c r="D12" s="66" t="s">
        <v>167</v>
      </c>
      <c r="E12" s="67" t="str">
        <f t="shared" si="2"/>
        <v>stage_hints_i18n_13301_5.tmp</v>
      </c>
      <c r="F12" s="66" t="s">
        <v>205</v>
      </c>
      <c r="G12" s="72" t="s">
        <v>198</v>
      </c>
      <c r="H12" s="90" t="s">
        <v>199</v>
      </c>
      <c r="I12" s="71" t="s">
        <v>200</v>
      </c>
      <c r="J12" s="98" t="s">
        <v>201</v>
      </c>
      <c r="K12" s="65" t="s">
        <v>202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3" customFormat="1" x14ac:dyDescent="0.15">
      <c r="A13" s="59" t="s">
        <v>247</v>
      </c>
      <c r="B13" s="66" t="s">
        <v>242</v>
      </c>
      <c r="C13" s="61" t="str">
        <f t="shared" si="0"/>
        <v>13301_5</v>
      </c>
      <c r="D13" s="66" t="s">
        <v>223</v>
      </c>
      <c r="E13" s="67" t="str">
        <f t="shared" si="2"/>
        <v>stage_bonuses_13301_5.tmp</v>
      </c>
      <c r="F13" s="66" t="s">
        <v>222</v>
      </c>
      <c r="G13" s="71" t="s">
        <v>224</v>
      </c>
      <c r="H13" s="71" t="s">
        <v>225</v>
      </c>
      <c r="I13" s="71" t="s">
        <v>226</v>
      </c>
      <c r="J13" s="71" t="s">
        <v>227</v>
      </c>
      <c r="K13" s="71" t="s">
        <v>228</v>
      </c>
      <c r="L13" s="71" t="s">
        <v>229</v>
      </c>
      <c r="M13" s="71" t="s">
        <v>230</v>
      </c>
      <c r="N13" s="71" t="s">
        <v>231</v>
      </c>
      <c r="O13" s="71" t="s">
        <v>232</v>
      </c>
      <c r="P13" s="71" t="s">
        <v>233</v>
      </c>
      <c r="Q13" s="71" t="s">
        <v>234</v>
      </c>
      <c r="R13" s="71" t="s">
        <v>235</v>
      </c>
      <c r="S13" s="71" t="s">
        <v>236</v>
      </c>
      <c r="T13" s="71" t="s">
        <v>237</v>
      </c>
      <c r="U13" s="71" t="s">
        <v>238</v>
      </c>
      <c r="V13" s="71" t="s">
        <v>239</v>
      </c>
      <c r="W13" s="71" t="s">
        <v>240</v>
      </c>
      <c r="X13" s="71" t="s">
        <v>241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C4" sqref="C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13301_5-1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5</v>
      </c>
      <c r="G2" s="22" t="str">
        <f>C2&amp;"_"&amp;F2</f>
        <v>13301_5</v>
      </c>
      <c r="H2" s="15" t="str">
        <f ca="1">VLOOKUP($G2,OFFSET([2]stages!$A$1,0,0,COUNTA([2]stages!$A:$A),MATCH(H$1,[2]stages!$2:$2,0)-MATCH($G$1,[2]stages!$2:$2,0)+1),MATCH(H$1,[2]stages!$2:$2,0)-MATCH($G$1,[2]stages!$2:$2,0)+1,FALSE)</f>
        <v>5階 コスト30以下限定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13301_5-2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5</v>
      </c>
      <c r="G3" s="22" t="str">
        <f>C3&amp;"_"&amp;F3</f>
        <v>13301_5</v>
      </c>
      <c r="H3" s="15" t="str">
        <f ca="1">VLOOKUP($G3,OFFSET([2]stages!$A$1,0,0,COUNTA([2]stages!$A:$A),MATCH(H$1,[2]stages!$2:$2,0)-MATCH($G$1,[2]stages!$2:$2,0)+1),MATCH(H$1,[2]stages!$2:$2,0)-MATCH($G$1,[2]stages!$2:$2,0)+1,FALSE)</f>
        <v>5階 コスト30以下限定</v>
      </c>
      <c r="I3" s="20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tabSelected="1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P7" sqref="P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4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7.33203125" style="3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9" t="s">
        <v>243</v>
      </c>
      <c r="U1" s="24" t="s">
        <v>50</v>
      </c>
      <c r="V1" s="99" t="s">
        <v>244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175</v>
      </c>
    </row>
    <row r="2" spans="1:42" ht="21" customHeight="1" x14ac:dyDescent="0.15">
      <c r="A2" s="16" t="str">
        <f ca="1">B2&amp;"_"&amp;C2&amp;"-"&amp;G2&amp;"/"&amp;L2&amp;"&lt;lv"&amp;R2&amp;"&gt;s"&amp;AC2</f>
        <v>13301_5-1/454&lt;lv80&gt;s3</v>
      </c>
      <c r="B2" s="21">
        <v>13301</v>
      </c>
      <c r="C2" s="107">
        <v>5</v>
      </c>
      <c r="D2" s="15" t="str">
        <f>B2&amp;"_"&amp;C2</f>
        <v>13301_5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5階 コスト30以下限定</v>
      </c>
      <c r="G2" s="107">
        <v>1</v>
      </c>
      <c r="H2" s="15" t="str">
        <f>B2&amp;"_"&amp;C2&amp;"-"&amp;G2</f>
        <v>13301_5-1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6" t="s">
        <v>87</v>
      </c>
      <c r="L2" s="108">
        <v>454</v>
      </c>
      <c r="M2" s="17" t="str">
        <f ca="1">VLOOKUP($L2,OFFSET([4]enemies!$A$1,0,0,COUNTA([4]enemies!$A:$A),MATCH(M$1,[4]enemies!$1:$1,0)-MATCH($L$1,[4]enemies!$1:$1,0)+1),MATCH(M$1,[4]enemies!$1:$1,0)-MATCH($L$1,[4]enemies!$1:$1,0)+1,FALSE)</f>
        <v>二闘 レッサとギガン</v>
      </c>
      <c r="N2" s="17" t="str">
        <f ca="1">VLOOKUP($L2,OFFSET([4]enemies!$A$1,0,0,COUNTA([4]enemies!$A:$A),MATCH(N$1,[4]enemies!$1:$1,0)-MATCH($L$1,[4]enemies!$1:$1,0)+1),MATCH(N$1,[4]enemies!$1:$1,0)-MATCH($L$1,[4]enemies!$1:$1,0)+1,FALSE)</f>
        <v>green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Drop2N</v>
      </c>
      <c r="P2" s="17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7">
        <f ca="1">VLOOKUP($L2,OFFSET([4]enemies!$A$1,0,0,COUNTA([4]enemies!$A:$A),MATCH(Q$1,[4]enemies!$1:$1,0)-MATCH($L$1,[4]enemies!$1:$1,0)+1),MATCH(Q$1,[4]enemies!$1:$1,0)-MATCH($L$1,[4]enemies!$1:$1,0)+1,FALSE)</f>
        <v>30</v>
      </c>
      <c r="R2" s="5">
        <v>80</v>
      </c>
      <c r="S2" s="23">
        <v>1.1100000000000001</v>
      </c>
      <c r="T2" s="100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163500.78000000003</v>
      </c>
      <c r="U2" s="23">
        <v>0.4</v>
      </c>
      <c r="V2" s="100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2726</v>
      </c>
      <c r="W2" s="5">
        <v>0</v>
      </c>
      <c r="X2" s="4" t="e">
        <f ca="1">VLOOKUP($Y2,OFFSET([3]enemy_skill_sets!$B$1,0,0,COUNTA([3]enemy_skill_sets!$B:$B),MATCH(M$1,[3]enemy_skill_sets!$1:$1,0)-MATCH($Y$1,[3]enemy_skill_sets!$1:$1,0)+2),MATCH(M$1,[3]enemy_skill_sets!$1:$1,0)-MATCH($Y$1,[3]enemy_skill_sets!$1:$1,0)+2,FALSE)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2" s="60">
        <v>13301400</v>
      </c>
      <c r="Z2" s="6">
        <v>1</v>
      </c>
      <c r="AA2" s="6">
        <v>100</v>
      </c>
      <c r="AB2" s="6">
        <v>0</v>
      </c>
      <c r="AC2" s="17">
        <f ca="1">VLOOKUP($L2,OFFSET([4]enemies!$A$1,0,0,COUNTA([4]enemies!$A:$A),MATCH(AC$1,[4]enemies!$1:$1,0)-MATCH($L$1,[4]enemies!$1:$1,0)+1),MATCH(AC$1,[4]enemies!$1:$1,0)-MATCH($L$1,[4]enemies!$1:$1,0)+1,FALSE)</f>
        <v>3</v>
      </c>
      <c r="AD2" s="109">
        <f>L2</f>
        <v>454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二闘 レッサとギガン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4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Drop2N</v>
      </c>
      <c r="AH2" s="110">
        <v>1</v>
      </c>
      <c r="AI2" s="109">
        <f ca="1">AF2</f>
        <v>4</v>
      </c>
      <c r="AJ2" s="8">
        <v>0</v>
      </c>
      <c r="AK2" s="110">
        <v>0</v>
      </c>
      <c r="AL2" s="110">
        <v>0</v>
      </c>
      <c r="AM2" s="110">
        <v>0</v>
      </c>
      <c r="AN2" s="110">
        <v>0</v>
      </c>
      <c r="AO2" s="110">
        <v>1</v>
      </c>
      <c r="AP2" s="68">
        <v>1</v>
      </c>
    </row>
    <row r="3" spans="1:42" ht="21" customHeight="1" x14ac:dyDescent="0.15">
      <c r="A3" s="16" t="str">
        <f ca="1">B3&amp;"_"&amp;C3&amp;"-"&amp;G3&amp;"/"&amp;L3&amp;"&lt;lv"&amp;R3&amp;"&gt;s"&amp;AC3</f>
        <v>13301_5-1/301&lt;lv80&gt;s2</v>
      </c>
      <c r="B3" s="21">
        <v>13301</v>
      </c>
      <c r="C3" s="107">
        <v>5</v>
      </c>
      <c r="D3" s="15" t="str">
        <f>B3&amp;"_"&amp;C3</f>
        <v>13301_5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5階 コスト30以下限定</v>
      </c>
      <c r="G3" s="107">
        <v>1</v>
      </c>
      <c r="H3" s="15" t="str">
        <f>B3&amp;"_"&amp;C3&amp;"-"&amp;G3</f>
        <v>13301_5-1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6" t="s">
        <v>87</v>
      </c>
      <c r="L3" s="108">
        <v>301</v>
      </c>
      <c r="M3" s="17" t="str">
        <f ca="1">VLOOKUP($L3,OFFSET([4]enemies!$A$1,0,0,COUNTA([4]enemies!$A:$A),MATCH(M$1,[4]enemies!$1:$1,0)-MATCH($L$1,[4]enemies!$1:$1,0)+1),MATCH(M$1,[4]enemies!$1:$1,0)-MATCH($L$1,[4]enemies!$1:$1,0)+1,FALSE)</f>
        <v>宿痾の葬送 チカ</v>
      </c>
      <c r="N3" s="17" t="str">
        <f ca="1">VLOOKUP($L3,OFFSET([4]enemies!$A$1,0,0,COUNTA([4]enemies!$A:$A),MATCH(N$1,[4]enemies!$1:$1,0)-MATCH($L$1,[4]enemies!$1:$1,0)+1),MATCH(N$1,[4]enemies!$1:$1,0)-MATCH($L$1,[4]enemies!$1:$1,0)+1,FALSE)</f>
        <v>green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Drop2W</v>
      </c>
      <c r="P3" s="17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7">
        <f ca="1">VLOOKUP($L3,OFFSET([4]enemies!$A$1,0,0,COUNTA([4]enemies!$A:$A),MATCH(Q$1,[4]enemies!$1:$1,0)-MATCH($L$1,[4]enemies!$1:$1,0)+1),MATCH(Q$1,[4]enemies!$1:$1,0)-MATCH($L$1,[4]enemies!$1:$1,0)+1,FALSE)</f>
        <v>30</v>
      </c>
      <c r="R3" s="5">
        <v>80</v>
      </c>
      <c r="S3" s="23">
        <v>1.26</v>
      </c>
      <c r="T3" s="100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127997.1</v>
      </c>
      <c r="U3" s="23">
        <v>0.26</v>
      </c>
      <c r="V3" s="100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2084.6800000000003</v>
      </c>
      <c r="W3" s="5">
        <v>0</v>
      </c>
      <c r="X3" s="4" t="e">
        <f ca="1">VLOOKUP($Y3,OFFSET([3]enemy_skill_sets!$B$1,0,0,COUNTA([3]enemy_skill_sets!$B:$B),MATCH(M$1,[3]enemy_skill_sets!$1:$1,0)-MATCH($Y$1,[3]enemy_skill_sets!$1:$1,0)+2),MATCH(M$1,[3]enemy_skill_sets!$1:$1,0)-MATCH($Y$1,[3]enemy_skill_sets!$1:$1,0)+2,FALSE)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3" s="60">
        <v>13301410</v>
      </c>
      <c r="Z3" s="6">
        <v>1</v>
      </c>
      <c r="AA3" s="6">
        <v>100</v>
      </c>
      <c r="AB3" s="6">
        <v>0</v>
      </c>
      <c r="AC3" s="17">
        <f ca="1">VLOOKUP($L3,OFFSET([4]enemies!$A$1,0,0,COUNTA([4]enemies!$A:$A),MATCH(AC$1,[4]enemies!$1:$1,0)-MATCH($L$1,[4]enemies!$1:$1,0)+1),MATCH(AC$1,[4]enemies!$1:$1,0)-MATCH($L$1,[4]enemies!$1:$1,0)+1,FALSE)</f>
        <v>2</v>
      </c>
      <c r="AD3" s="109">
        <v>300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毒殺のチカ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3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Drop2W</v>
      </c>
      <c r="AH3" s="110">
        <v>1</v>
      </c>
      <c r="AI3" s="109">
        <f ca="1">AF3</f>
        <v>3</v>
      </c>
      <c r="AJ3" s="8">
        <v>0</v>
      </c>
      <c r="AK3" s="110">
        <v>0</v>
      </c>
      <c r="AL3" s="110">
        <v>0</v>
      </c>
      <c r="AM3" s="110">
        <v>0</v>
      </c>
      <c r="AN3" s="110">
        <v>0</v>
      </c>
      <c r="AO3" s="110">
        <v>1</v>
      </c>
      <c r="AP3" s="68">
        <v>1</v>
      </c>
    </row>
    <row r="4" spans="1:42" ht="21" customHeight="1" x14ac:dyDescent="0.15">
      <c r="A4" s="16" t="str">
        <f ca="1">B4&amp;"_"&amp;C4&amp;"-"&amp;G4&amp;"/"&amp;L4&amp;"&lt;lv"&amp;R4&amp;"&gt;s"&amp;AC4</f>
        <v>13301_5-2/420&lt;lv80&gt;s3</v>
      </c>
      <c r="B4" s="111">
        <v>13301</v>
      </c>
      <c r="C4" s="112">
        <v>5</v>
      </c>
      <c r="D4" s="15" t="str">
        <f>B4&amp;"_"&amp;C4</f>
        <v>13301_5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5階 コスト30以下限定</v>
      </c>
      <c r="G4" s="107">
        <v>2</v>
      </c>
      <c r="H4" s="15" t="str">
        <f>B4&amp;"_"&amp;C4&amp;"-"&amp;G4</f>
        <v>13301_5-2</v>
      </c>
      <c r="I4" s="4" t="e">
        <f ca="1">VLOOKUP($H4,OFFSET([3]floors!$A$1,0,0,COUNTA([3]floors!$A:$A),MATCH(I$1,[3]floors!$1:$1,0)-MATCH($H$1,[3]floors!$1:$1,0)+1),MATCH(I$1,[3]floors!$1:$1,0)-MATCH($H$1,[3]floors!$1:$1,0)+1,FALSE)</f>
        <v>#VALUE!</v>
      </c>
      <c r="J4" s="4" t="e">
        <f ca="1">VLOOKUP($H4,OFFSET([3]floors!$A$1,0,0,COUNTA([3]floors!$A:$A),MATCH(J$1,[3]floors!$1:$1,0)-MATCH($H$1,[3]floors!$1:$1,0)+1),MATCH(J$1,[3]floors!$1:$1,0)-MATCH($H$1,[3]floors!$1:$1,0)+1,FALSE)</f>
        <v>#VALUE!</v>
      </c>
      <c r="K4" s="36" t="s">
        <v>87</v>
      </c>
      <c r="L4" s="108">
        <v>420</v>
      </c>
      <c r="M4" s="17" t="str">
        <f ca="1">VLOOKUP($L4,OFFSET([4]enemies!$A$1,0,0,COUNTA([4]enemies!$A:$A),MATCH(M$1,[4]enemies!$1:$1,0)-MATCH($L$1,[4]enemies!$1:$1,0)+1),MATCH(M$1,[4]enemies!$1:$1,0)-MATCH($L$1,[4]enemies!$1:$1,0)+1,FALSE)</f>
        <v>カエデ</v>
      </c>
      <c r="N4" s="17" t="str">
        <f ca="1">VLOOKUP($L4,OFFSET([4]enemies!$A$1,0,0,COUNTA([4]enemies!$A:$A),MATCH(N$1,[4]enemies!$1:$1,0)-MATCH($L$1,[4]enemies!$1:$1,0)+1),MATCH(N$1,[4]enemies!$1:$1,0)-MATCH($L$1,[4]enemies!$1:$1,0)+1,FALSE)</f>
        <v>green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Drop2N</v>
      </c>
      <c r="P4" s="17" t="str">
        <f ca="1">VLOOKUP($L4,OFFSET([4]enemies!$A$1,0,0,COUNTA([4]enemies!$A:$A),MATCH(P$1,[4]enemies!$1:$1,0)-MATCH($L$1,[4]enemies!$1:$1,0)+1),MATCH(P$1,[4]enemies!$1:$1,0)-MATCH($L$1,[4]enemies!$1:$1,0)+1,FALSE)</f>
        <v>human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113">
        <v>80</v>
      </c>
      <c r="S4" s="114">
        <v>1.7</v>
      </c>
      <c r="T4" s="100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138155.6</v>
      </c>
      <c r="U4" s="114">
        <v>0.4</v>
      </c>
      <c r="V4" s="100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2501.6000000000004</v>
      </c>
      <c r="W4" s="5">
        <v>0</v>
      </c>
      <c r="X4" s="4" t="e">
        <f ca="1">VLOOKUP($Y4,OFFSET([3]enemy_skill_sets!$B$1,0,0,COUNTA([3]enemy_skill_sets!$B:$B),MATCH(M$1,[3]enemy_skill_sets!$1:$1,0)-MATCH($Y$1,[3]enemy_skill_sets!$1:$1,0)+2),MATCH(M$1,[3]enemy_skill_sets!$1:$1,0)-MATCH($Y$1,[3]enemy_skill_sets!$1:$1,0)+2,FALSE)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4" s="115">
        <v>13301420</v>
      </c>
      <c r="Z4" s="6">
        <v>1</v>
      </c>
      <c r="AA4" s="6">
        <v>100</v>
      </c>
      <c r="AB4" s="6">
        <v>0</v>
      </c>
      <c r="AC4" s="17">
        <f ca="1">VLOOKUP($L4,OFFSET([4]enemies!$A$1,0,0,COUNTA([4]enemies!$A:$A),MATCH(AC$1,[4]enemies!$1:$1,0)-MATCH($L$1,[4]enemies!$1:$1,0)+1),MATCH(AC$1,[4]enemies!$1:$1,0)-MATCH($L$1,[4]enemies!$1:$1,0)+1,FALSE)</f>
        <v>3</v>
      </c>
      <c r="AD4" s="109">
        <f>L4</f>
        <v>420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カエデ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Drop2N</v>
      </c>
      <c r="AH4" s="110">
        <v>1</v>
      </c>
      <c r="AI4" s="109">
        <f ca="1">AF4</f>
        <v>4</v>
      </c>
      <c r="AJ4" s="8">
        <v>0</v>
      </c>
      <c r="AK4" s="110">
        <v>0</v>
      </c>
      <c r="AL4" s="110">
        <v>0</v>
      </c>
      <c r="AM4" s="110">
        <v>0</v>
      </c>
      <c r="AN4" s="110">
        <v>0</v>
      </c>
      <c r="AO4" s="110">
        <v>1</v>
      </c>
      <c r="AP4" s="68">
        <v>1</v>
      </c>
    </row>
    <row r="5" spans="1:42" ht="21" customHeight="1" x14ac:dyDescent="0.15">
      <c r="A5" s="16" t="str">
        <f ca="1">B5&amp;"_"&amp;C5&amp;"-"&amp;G5&amp;"/"&amp;L5&amp;"&lt;lv"&amp;R5&amp;"&gt;s"&amp;AC5</f>
        <v>13301_5-2/274&lt;lv80&gt;s2</v>
      </c>
      <c r="B5" s="111">
        <v>13301</v>
      </c>
      <c r="C5" s="112">
        <v>5</v>
      </c>
      <c r="D5" s="15" t="str">
        <f>B5&amp;"_"&amp;C5</f>
        <v>13301_5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5階 コスト30以下限定</v>
      </c>
      <c r="G5" s="107">
        <v>2</v>
      </c>
      <c r="H5" s="15" t="str">
        <f>B5&amp;"_"&amp;C5&amp;"-"&amp;G5</f>
        <v>13301_5-2</v>
      </c>
      <c r="I5" s="4" t="e">
        <f ca="1">VLOOKUP($H5,OFFSET([3]floors!$A$1,0,0,COUNTA([3]floors!$A:$A),MATCH(I$1,[3]floors!$1:$1,0)-MATCH($H$1,[3]floors!$1:$1,0)+1),MATCH(I$1,[3]floors!$1:$1,0)-MATCH($H$1,[3]floors!$1:$1,0)+1,FALSE)</f>
        <v>#VALUE!</v>
      </c>
      <c r="J5" s="4" t="e">
        <f ca="1">VLOOKUP($H5,OFFSET([3]floors!$A$1,0,0,COUNTA([3]floors!$A:$A),MATCH(J$1,[3]floors!$1:$1,0)-MATCH($H$1,[3]floors!$1:$1,0)+1),MATCH(J$1,[3]floors!$1:$1,0)-MATCH($H$1,[3]floors!$1:$1,0)+1,FALSE)</f>
        <v>#VALUE!</v>
      </c>
      <c r="K5" s="36" t="s">
        <v>87</v>
      </c>
      <c r="L5" s="108">
        <v>274</v>
      </c>
      <c r="M5" s="17" t="str">
        <f ca="1">VLOOKUP($L5,OFFSET([4]enemies!$A$1,0,0,COUNTA([4]enemies!$A:$A),MATCH(M$1,[4]enemies!$1:$1,0)-MATCH($L$1,[4]enemies!$1:$1,0)+1),MATCH(M$1,[4]enemies!$1:$1,0)-MATCH($L$1,[4]enemies!$1:$1,0)+1,FALSE)</f>
        <v>砕棒のガエル</v>
      </c>
      <c r="N5" s="17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Drop2N</v>
      </c>
      <c r="P5" s="17" t="str">
        <f ca="1">VLOOKUP($L5,OFFSET([4]enemies!$A$1,0,0,COUNTA([4]enemies!$A:$A),MATCH(P$1,[4]enemies!$1:$1,0)-MATCH($L$1,[4]enemies!$1:$1,0)+1),MATCH(P$1,[4]enemies!$1:$1,0)-MATCH($L$1,[4]enemies!$1:$1,0)+1,FALSE)</f>
        <v>human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113">
        <v>80</v>
      </c>
      <c r="S5" s="114">
        <v>1.7</v>
      </c>
      <c r="T5" s="100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165921.69999999998</v>
      </c>
      <c r="U5" s="114">
        <v>1</v>
      </c>
      <c r="V5" s="100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10990</v>
      </c>
      <c r="W5" s="5">
        <v>0</v>
      </c>
      <c r="X5" s="4" t="e">
        <f ca="1">VLOOKUP($Y5,OFFSET([3]enemy_skill_sets!$B$1,0,0,COUNTA([3]enemy_skill_sets!$B:$B),MATCH(M$1,[3]enemy_skill_sets!$1:$1,0)-MATCH($Y$1,[3]enemy_skill_sets!$1:$1,0)+2),MATCH(M$1,[3]enemy_skill_sets!$1:$1,0)-MATCH($Y$1,[3]enemy_skill_sets!$1:$1,0)+2,FALSE)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5" s="115">
        <v>13301430</v>
      </c>
      <c r="Z5" s="6">
        <v>1</v>
      </c>
      <c r="AA5" s="6">
        <v>100</v>
      </c>
      <c r="AB5" s="6">
        <v>0</v>
      </c>
      <c r="AC5" s="17">
        <f ca="1">VLOOKUP($L5,OFFSET([4]enemies!$A$1,0,0,COUNTA([4]enemies!$A:$A),MATCH(AC$1,[4]enemies!$1:$1,0)-MATCH($L$1,[4]enemies!$1:$1,0)+1),MATCH(AC$1,[4]enemies!$1:$1,0)-MATCH($L$1,[4]enemies!$1:$1,0)+1,FALSE)</f>
        <v>2</v>
      </c>
      <c r="AD5" s="109">
        <f>L5</f>
        <v>274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砕棒のガエル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Drop2N</v>
      </c>
      <c r="AH5" s="110">
        <v>1</v>
      </c>
      <c r="AI5" s="109">
        <f ca="1">AF5</f>
        <v>4</v>
      </c>
      <c r="AJ5" s="8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1</v>
      </c>
      <c r="AP5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L10" sqref="L10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9" t="s">
        <v>243</v>
      </c>
      <c r="V1" s="24" t="s">
        <v>50</v>
      </c>
      <c r="W1" s="99" t="s">
        <v>244</v>
      </c>
      <c r="X1" s="24" t="s">
        <v>52</v>
      </c>
      <c r="Y1" s="26" t="s">
        <v>126</v>
      </c>
      <c r="Z1" s="27" t="s">
        <v>125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9"/>
  <sheetViews>
    <sheetView showGridLines="0" zoomScale="110" zoomScaleNormal="110" zoomScalePageLayoutView="110" workbookViewId="0">
      <pane xSplit="5" ySplit="1" topLeftCell="F2" activePane="bottomRight" state="frozen"/>
      <selection pane="topRight"/>
      <selection pane="bottomLeft"/>
      <selection pane="bottomRight" activeCell="F2" sqref="F2:F19"/>
    </sheetView>
  </sheetViews>
  <sheetFormatPr baseColWidth="12" defaultColWidth="12.83203125" defaultRowHeight="21" customHeight="1" outlineLevelCol="1" x14ac:dyDescent="0.15"/>
  <cols>
    <col min="1" max="1" width="15.33203125" style="37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:A19" si="0">B2&amp;"_"&amp;C2</f>
        <v>13301400_13301401</v>
      </c>
      <c r="B2" s="45">
        <v>13301400</v>
      </c>
      <c r="C2" s="45">
        <v>13301401</v>
      </c>
      <c r="D2" s="44" t="e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" s="44" t="e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" s="45">
        <v>13301401</v>
      </c>
      <c r="G2" s="46" t="e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" s="46" t="e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" s="46" t="e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" s="46" t="e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" s="46" t="e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" s="46" t="e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" s="46" t="e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" s="46" t="e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" s="46" t="e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" s="45"/>
      <c r="Q2" s="45"/>
      <c r="R2" s="45"/>
    </row>
    <row r="3" spans="1:18" ht="21" customHeight="1" x14ac:dyDescent="0.15">
      <c r="A3" s="37" t="str">
        <f t="shared" si="0"/>
        <v>13301400_13301402</v>
      </c>
      <c r="B3" s="45">
        <v>13301400</v>
      </c>
      <c r="C3" s="45">
        <v>13301402</v>
      </c>
      <c r="D3" s="44" t="e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" s="44" t="e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" s="45">
        <v>13301402</v>
      </c>
      <c r="G3" s="46" t="e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" s="46" t="e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" s="46" t="e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" s="46" t="e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" s="46" t="e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" s="46" t="e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" s="46" t="e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" s="46" t="e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" s="46" t="e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" s="45"/>
      <c r="Q3" s="45"/>
      <c r="R3" s="45"/>
    </row>
    <row r="4" spans="1:18" ht="21" customHeight="1" x14ac:dyDescent="0.15">
      <c r="A4" s="37" t="str">
        <f t="shared" si="0"/>
        <v>13301400_13301403</v>
      </c>
      <c r="B4" s="45">
        <v>13301400</v>
      </c>
      <c r="C4" s="45">
        <v>13301403</v>
      </c>
      <c r="D4" s="44" t="e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4" s="44" t="e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4" s="45">
        <v>13301403</v>
      </c>
      <c r="G4" s="46" t="e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4" s="46" t="e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4" s="46" t="e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4" s="46" t="e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4" s="46" t="e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4" s="46" t="e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4" s="46" t="e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4" s="46" t="e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4" s="46" t="e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4" s="45"/>
      <c r="Q4" s="45"/>
      <c r="R4" s="45"/>
    </row>
    <row r="5" spans="1:18" ht="21" customHeight="1" x14ac:dyDescent="0.15">
      <c r="A5" s="37" t="str">
        <f t="shared" si="0"/>
        <v>13301400_13301404</v>
      </c>
      <c r="B5" s="45">
        <v>13301400</v>
      </c>
      <c r="C5" s="45">
        <v>13301404</v>
      </c>
      <c r="D5" s="44" t="e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5" s="44" t="e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5" s="45">
        <v>13301404</v>
      </c>
      <c r="G5" s="46" t="e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5" s="46" t="e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5" s="46" t="e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5" s="46" t="e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5" s="46" t="e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5" s="46" t="e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5" s="46" t="e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5" s="46" t="e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5" s="46" t="e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5" s="45"/>
      <c r="Q5" s="45"/>
      <c r="R5" s="45"/>
    </row>
    <row r="6" spans="1:18" ht="21" customHeight="1" x14ac:dyDescent="0.15">
      <c r="A6" s="37" t="str">
        <f t="shared" si="0"/>
        <v>13301400_13301405</v>
      </c>
      <c r="B6" s="45">
        <v>13301400</v>
      </c>
      <c r="C6" s="45">
        <v>13301405</v>
      </c>
      <c r="D6" s="44" t="e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6" s="44" t="e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6" s="45">
        <v>13301405</v>
      </c>
      <c r="G6" s="46" t="e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6" s="46" t="e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6" s="46" t="e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6" s="46" t="e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6" s="46" t="e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6" s="46" t="e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6" s="46" t="e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6" s="46" t="e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6" s="46" t="e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6" s="45"/>
      <c r="Q6" s="45"/>
      <c r="R6" s="45"/>
    </row>
    <row r="7" spans="1:18" ht="21" customHeight="1" x14ac:dyDescent="0.15">
      <c r="A7" s="37" t="str">
        <f t="shared" si="0"/>
        <v>13301400_13301406</v>
      </c>
      <c r="B7" s="45">
        <v>13301400</v>
      </c>
      <c r="C7" s="45">
        <v>13301406</v>
      </c>
      <c r="D7" s="44" t="e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7" s="44" t="e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7" s="45">
        <v>13301406</v>
      </c>
      <c r="G7" s="46" t="e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7" s="46" t="e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7" s="46" t="e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7" s="46" t="e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7" s="46" t="e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7" s="46" t="e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7" s="46" t="e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7" s="46" t="e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7" s="46" t="e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7" s="45"/>
      <c r="Q7" s="45"/>
      <c r="R7" s="45"/>
    </row>
    <row r="8" spans="1:18" ht="21" customHeight="1" x14ac:dyDescent="0.15">
      <c r="A8" s="37" t="str">
        <f t="shared" si="0"/>
        <v>13301410_13301411</v>
      </c>
      <c r="B8" s="104">
        <v>13301410</v>
      </c>
      <c r="C8" s="104">
        <v>13301411</v>
      </c>
      <c r="D8" s="44" t="e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8" s="44" t="e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8" s="104">
        <v>13301411</v>
      </c>
      <c r="G8" s="46" t="e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8" s="46" t="e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8" s="46" t="e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8" s="46" t="e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8" s="46" t="e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8" s="46" t="e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8" s="46" t="e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8" s="46" t="e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8" s="46" t="e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8" s="45"/>
      <c r="Q8" s="45"/>
      <c r="R8" s="45"/>
    </row>
    <row r="9" spans="1:18" ht="21" customHeight="1" x14ac:dyDescent="0.15">
      <c r="A9" s="37" t="str">
        <f t="shared" si="0"/>
        <v>13301410_13301412</v>
      </c>
      <c r="B9" s="104">
        <v>13301410</v>
      </c>
      <c r="C9" s="104">
        <v>13301412</v>
      </c>
      <c r="D9" s="44" t="e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9" s="44" t="e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9" s="104">
        <v>13301412</v>
      </c>
      <c r="G9" s="46" t="e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9" s="46" t="e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9" s="46" t="e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9" s="46" t="e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9" s="46" t="e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9" s="46" t="e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9" s="46" t="e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9" s="46" t="e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9" s="46" t="e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9" s="45"/>
      <c r="Q9" s="45"/>
      <c r="R9" s="45"/>
    </row>
    <row r="10" spans="1:18" ht="21" customHeight="1" x14ac:dyDescent="0.15">
      <c r="A10" s="37" t="str">
        <f t="shared" si="0"/>
        <v>13301410_13301413</v>
      </c>
      <c r="B10" s="104">
        <v>13301410</v>
      </c>
      <c r="C10" s="104">
        <v>13301413</v>
      </c>
      <c r="D10" s="44" t="e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0" s="44" t="e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0" s="104">
        <v>13301413</v>
      </c>
      <c r="G10" s="46" t="e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0" s="46" t="e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0" s="46" t="e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0" s="46" t="e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0" s="46" t="e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0" s="46" t="e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0" s="46" t="e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0" s="46" t="e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0" s="46" t="e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0" s="45"/>
      <c r="Q10" s="45"/>
      <c r="R10" s="45"/>
    </row>
    <row r="11" spans="1:18" ht="21" customHeight="1" x14ac:dyDescent="0.15">
      <c r="A11" s="37" t="str">
        <f t="shared" si="0"/>
        <v>13301410_13301414</v>
      </c>
      <c r="B11" s="104">
        <v>13301410</v>
      </c>
      <c r="C11" s="104">
        <v>13301414</v>
      </c>
      <c r="D11" s="44" t="e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1" s="44" t="e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1" s="104">
        <v>13301414</v>
      </c>
      <c r="G11" s="46" t="e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1" s="46" t="e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1" s="46" t="e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1" s="46" t="e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1" s="46" t="e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1" s="46" t="e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1" s="46" t="e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1" s="46" t="e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1" s="46" t="e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1" s="45"/>
      <c r="Q11" s="45"/>
      <c r="R11" s="45"/>
    </row>
    <row r="12" spans="1:18" ht="21" customHeight="1" x14ac:dyDescent="0.15">
      <c r="A12" s="37" t="str">
        <f t="shared" si="0"/>
        <v>13301410_13301415</v>
      </c>
      <c r="B12" s="104">
        <v>13301410</v>
      </c>
      <c r="C12" s="104">
        <v>13301415</v>
      </c>
      <c r="D12" s="44" t="e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2" s="44" t="e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2" s="104">
        <v>13301415</v>
      </c>
      <c r="G12" s="46" t="e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2" s="46" t="e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2" s="46" t="e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2" s="46" t="e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2" s="46" t="e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2" s="46" t="e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2" s="46" t="e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2" s="46" t="e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2" s="46" t="e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2" s="45"/>
      <c r="Q12" s="45"/>
      <c r="R12" s="45"/>
    </row>
    <row r="13" spans="1:18" ht="21" customHeight="1" x14ac:dyDescent="0.15">
      <c r="A13" s="37" t="str">
        <f t="shared" si="0"/>
        <v>13301420_13301421</v>
      </c>
      <c r="B13" s="45">
        <v>13301420</v>
      </c>
      <c r="C13" s="45">
        <v>13301421</v>
      </c>
      <c r="D13" s="44" t="e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3" s="44" t="e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3" s="45">
        <v>13301421</v>
      </c>
      <c r="G13" s="46" t="e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3" s="46" t="e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3" s="46" t="e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3" s="46" t="e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3" s="46" t="e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3" s="46" t="e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3" s="46" t="e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3" s="46" t="e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3" s="46" t="e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3" s="45"/>
      <c r="Q13" s="45"/>
      <c r="R13" s="45"/>
    </row>
    <row r="14" spans="1:18" ht="21" customHeight="1" x14ac:dyDescent="0.15">
      <c r="A14" s="37" t="str">
        <f t="shared" si="0"/>
        <v>13301420_13301422</v>
      </c>
      <c r="B14" s="45">
        <v>13301420</v>
      </c>
      <c r="C14" s="45">
        <v>13301422</v>
      </c>
      <c r="D14" s="44" t="e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4" s="44" t="e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4" s="45">
        <v>13301422</v>
      </c>
      <c r="G14" s="46" t="e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4" s="46" t="e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4" s="46" t="e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4" s="46" t="e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4" s="46" t="e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4" s="46" t="e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4" s="46" t="e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4" s="46" t="e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4" s="46" t="e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4" s="45"/>
      <c r="Q14" s="45"/>
      <c r="R14" s="45"/>
    </row>
    <row r="15" spans="1:18" ht="21" customHeight="1" x14ac:dyDescent="0.15">
      <c r="A15" s="37" t="str">
        <f t="shared" si="0"/>
        <v>13301420_13301423</v>
      </c>
      <c r="B15" s="45">
        <v>13301420</v>
      </c>
      <c r="C15" s="45">
        <v>13301423</v>
      </c>
      <c r="D15" s="44" t="e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5" s="44" t="e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5" s="45">
        <v>13301423</v>
      </c>
      <c r="G15" s="46" t="e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5" s="46" t="e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5" s="46" t="e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5" s="46" t="e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5" s="46" t="e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5" s="46" t="e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5" s="46" t="e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5" s="46" t="e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5" s="46" t="e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5" s="45"/>
      <c r="Q15" s="45"/>
      <c r="R15" s="45"/>
    </row>
    <row r="16" spans="1:18" ht="21" customHeight="1" x14ac:dyDescent="0.15">
      <c r="A16" s="37" t="str">
        <f t="shared" si="0"/>
        <v>13301420_13301424</v>
      </c>
      <c r="B16" s="45">
        <v>13301420</v>
      </c>
      <c r="C16" s="45">
        <v>13301424</v>
      </c>
      <c r="D16" s="44" t="e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6" s="44" t="e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6" s="45">
        <v>13301424</v>
      </c>
      <c r="G16" s="46" t="e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6" s="46" t="e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6" s="46" t="e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6" s="46" t="e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6" s="46" t="e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6" s="46" t="e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6" s="46" t="e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6" s="46" t="e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6" s="46" t="e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6" s="45"/>
      <c r="Q16" s="45"/>
      <c r="R16" s="45"/>
    </row>
    <row r="17" spans="1:18" ht="21" customHeight="1" x14ac:dyDescent="0.15">
      <c r="A17" s="37" t="str">
        <f t="shared" si="0"/>
        <v>13301420_13301425</v>
      </c>
      <c r="B17" s="45">
        <v>13301420</v>
      </c>
      <c r="C17" s="45">
        <v>13301425</v>
      </c>
      <c r="D17" s="44" t="e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7" s="44" t="e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7" s="45">
        <v>13301425</v>
      </c>
      <c r="G17" s="46" t="e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7" s="46" t="e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7" s="46" t="e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7" s="46" t="e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7" s="46" t="e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7" s="46" t="e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7" s="46" t="e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7" s="46" t="e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7" s="46" t="e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7" s="45"/>
      <c r="Q17" s="45"/>
      <c r="R17" s="45"/>
    </row>
    <row r="18" spans="1:18" ht="21" customHeight="1" x14ac:dyDescent="0.15">
      <c r="A18" s="37" t="str">
        <f t="shared" si="0"/>
        <v>13301430_13301431</v>
      </c>
      <c r="B18" s="104">
        <v>13301430</v>
      </c>
      <c r="C18" s="104">
        <v>13301431</v>
      </c>
      <c r="D18" s="44" t="e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8" s="44" t="e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8" s="104">
        <v>13301431</v>
      </c>
      <c r="G18" s="46" t="e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8" s="46" t="e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8" s="46" t="e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8" s="46" t="e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8" s="46" t="e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8" s="46" t="e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8" s="46" t="e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8" s="46" t="e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8" s="46" t="e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8" s="45"/>
      <c r="Q18" s="45"/>
      <c r="R18" s="45"/>
    </row>
    <row r="19" spans="1:18" ht="21" customHeight="1" x14ac:dyDescent="0.15">
      <c r="A19" s="37" t="str">
        <f t="shared" si="0"/>
        <v>13301430_13301432</v>
      </c>
      <c r="B19" s="104">
        <v>13301430</v>
      </c>
      <c r="C19" s="104">
        <v>13301432</v>
      </c>
      <c r="D19" s="44" t="e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9" s="44" t="e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9" s="104">
        <v>13301432</v>
      </c>
      <c r="G19" s="46" t="e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9" s="46" t="e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9" s="46" t="e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9" s="46" t="e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9" s="46" t="e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9" s="46" t="e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9" s="46" t="e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9" s="46" t="e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9" s="46" t="e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9" s="45"/>
      <c r="Q19" s="45"/>
      <c r="R19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9"/>
  <sheetViews>
    <sheetView showGridLines="0" zoomScale="130" zoomScaleNormal="130" zoomScalePageLayoutView="130" workbookViewId="0">
      <pane ySplit="1" topLeftCell="A2" activePane="bottomLeft" state="frozenSplit"/>
      <selection pane="bottomLeft" activeCell="B6" sqref="B6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77.6640625" style="47" customWidth="1"/>
    <col min="3" max="3" width="3.5" style="47" customWidth="1"/>
    <col min="4" max="4" width="5.5" style="47" customWidth="1"/>
    <col min="5" max="5" width="20.33203125" style="47" bestFit="1" customWidth="1"/>
    <col min="6" max="6" width="57.332031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4.6640625" style="47" customWidth="1" collapsed="1"/>
    <col min="13" max="18" width="23.6640625" style="47" hidden="1" customWidth="1" outlineLevel="1"/>
    <col min="19" max="19" width="10.5" style="47" customWidth="1" collapsed="1"/>
    <col min="20" max="24" width="23.6640625" style="47" hidden="1" customWidth="1" outlineLevel="1"/>
    <col min="25" max="25" width="7.1640625" style="47" customWidth="1" collapsed="1"/>
    <col min="26" max="26" width="7.6640625" style="47" customWidth="1"/>
    <col min="27" max="27" width="7" style="47" customWidth="1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124</v>
      </c>
      <c r="E1" s="38" t="s">
        <v>81</v>
      </c>
      <c r="F1" s="38" t="s">
        <v>256</v>
      </c>
      <c r="G1" s="39" t="s">
        <v>129</v>
      </c>
      <c r="H1" s="39" t="s">
        <v>135</v>
      </c>
      <c r="I1" s="39" t="s">
        <v>137</v>
      </c>
      <c r="J1" s="39" t="s">
        <v>136</v>
      </c>
      <c r="K1" s="39" t="s">
        <v>138</v>
      </c>
      <c r="L1" s="39" t="s">
        <v>130</v>
      </c>
      <c r="M1" s="39" t="s">
        <v>128</v>
      </c>
      <c r="N1" s="39" t="s">
        <v>131</v>
      </c>
      <c r="O1" s="39" t="s">
        <v>139</v>
      </c>
      <c r="P1" s="39" t="s">
        <v>140</v>
      </c>
      <c r="Q1" s="39" t="s">
        <v>141</v>
      </c>
      <c r="R1" s="39" t="s">
        <v>142</v>
      </c>
      <c r="S1" s="39" t="s">
        <v>132</v>
      </c>
      <c r="T1" s="39" t="s">
        <v>133</v>
      </c>
      <c r="U1" s="39" t="s">
        <v>143</v>
      </c>
      <c r="V1" s="39" t="s">
        <v>144</v>
      </c>
      <c r="W1" s="39" t="s">
        <v>145</v>
      </c>
      <c r="X1" s="39" t="s">
        <v>146</v>
      </c>
      <c r="Y1" s="39" t="s">
        <v>134</v>
      </c>
      <c r="Z1" s="39" t="s">
        <v>75</v>
      </c>
      <c r="AA1" s="39" t="s">
        <v>76</v>
      </c>
      <c r="AB1" s="39" t="s">
        <v>77</v>
      </c>
    </row>
    <row r="2" spans="1:28" ht="39" customHeight="1" x14ac:dyDescent="0.15">
      <c r="A2" s="45">
        <v>13301401</v>
      </c>
      <c r="B2" s="45" t="s">
        <v>316</v>
      </c>
      <c r="C2" s="48">
        <v>3</v>
      </c>
      <c r="D2" s="48" t="s">
        <v>293</v>
      </c>
      <c r="E2" s="49" t="s">
        <v>266</v>
      </c>
      <c r="F2" s="49" t="s">
        <v>308</v>
      </c>
      <c r="G2" s="62" t="str">
        <f>IFERROR(LEFT(B2,FIND("],",B2)),B2)</f>
        <v>[effect:tolerance, target:myself, turn:-1, tolerance_effect:all, count:-1, animation:enemy_tolerance]</v>
      </c>
      <c r="H2" s="62">
        <f>FIND("effect:",G2)+7</f>
        <v>9</v>
      </c>
      <c r="I2" s="62">
        <f>IFERROR(FIND(",",G2),LEN(G2))</f>
        <v>18</v>
      </c>
      <c r="J2" s="62">
        <f>FIND("target:",G2)+7</f>
        <v>27</v>
      </c>
      <c r="K2" s="62">
        <f>FIND(",",G2,I2+1)</f>
        <v>33</v>
      </c>
      <c r="L2" s="62" t="str">
        <f>IFERROR(VLOOKUP(MID(G2,J2,K2-J2),[6]skilldef!$C:$D,2,FALSE),"-") &amp; " / " &amp; IFERROR(VLOOKUP(MID(G2,H2,I2-H2),[6]skilldef!$A:$B,2,FALSE),"-")</f>
        <v>自分自身に / 状態異常耐性</v>
      </c>
      <c r="M2" s="62" t="str">
        <f>IFERROR(RIGHT(B2,LEN(B2)-FIND("],",B2)-1),"none")</f>
        <v>[effect:damage_anti_cost, target:unit_all, lower:31, val1:99, val2:0.01, cost_type:unit],[effect:damage_anti_cost, target:unit_all, lower:31, val1:99, val2:0.01, cost_type:unit],[effect:fix_speed, target:myself, turn:2],[effect:enemy_message, val1:1.4, val2:2.2]</v>
      </c>
      <c r="N2" s="46" t="str">
        <f>IFERROR(LEFT(M2,FIND("],",M2)+S26),M2)</f>
        <v>[effect:damage_anti_cost, target:unit_all, lower:31, val1:99, val2:0.01, cost_type:unit]</v>
      </c>
      <c r="O2" s="62">
        <f>FIND("effect:",N2)+7</f>
        <v>9</v>
      </c>
      <c r="P2" s="62">
        <f>IFERROR(FIND(",",N2),LEN(N2))</f>
        <v>25</v>
      </c>
      <c r="Q2" s="62">
        <f>FIND("target:",N2)+7</f>
        <v>34</v>
      </c>
      <c r="R2" s="62">
        <f>FIND(",",N2,P2+1)</f>
        <v>42</v>
      </c>
      <c r="S2" s="62" t="str">
        <f>IFERROR(VLOOKUP(MID(N2,Q2,R2-Q2),[6]skilldef!$C:$D,2,FALSE),"-") &amp; " / " &amp; IFERROR(VLOOKUP(MID(N2,O2,P2-O2),[6]skilldef!$A:$B,2,FALSE),"-")</f>
        <v>味方全体に / -</v>
      </c>
      <c r="T2" s="46" t="str">
        <f>IFERROR(RIGHT(M2,LEN(M2)-FIND("],",M2)-1),"none")</f>
        <v>[effect:damage_anti_cost, target:unit_all, lower:31, val1:99, val2:0.01, cost_type:unit],[effect:fix_speed, target:myself, turn:2],[effect:enemy_message, val1:1.4, val2:2.2]</v>
      </c>
      <c r="U2" s="62">
        <f>FIND("effect:",T2)+7</f>
        <v>9</v>
      </c>
      <c r="V2" s="62">
        <f>IFERROR(FIND(",",T2),LEN(T2))</f>
        <v>25</v>
      </c>
      <c r="W2" s="62">
        <f>FIND("target:",T2)+7</f>
        <v>34</v>
      </c>
      <c r="X2" s="62">
        <f>FIND(",",T2,V2+1)</f>
        <v>42</v>
      </c>
      <c r="Y2" s="62" t="str">
        <f>IFERROR(VLOOKUP(MID(T2,W2,X2-W2),[6]skilldef!$C:$D,2,FALSE),"-") &amp; " / " &amp; IFERROR(VLOOKUP(MID(T2,U2,V2-U2),[6]skilldef!$A:$B,2,FALSE),"-")</f>
        <v>味方全体に / -</v>
      </c>
      <c r="Z2" s="48"/>
      <c r="AA2" s="50"/>
      <c r="AB2" s="48"/>
    </row>
    <row r="3" spans="1:28" ht="33" customHeight="1" x14ac:dyDescent="0.15">
      <c r="A3" s="45">
        <v>13301402</v>
      </c>
      <c r="B3" s="45" t="s">
        <v>295</v>
      </c>
      <c r="C3" s="48">
        <v>3</v>
      </c>
      <c r="D3" s="48" t="s">
        <v>258</v>
      </c>
      <c r="E3" s="49" t="s">
        <v>267</v>
      </c>
      <c r="F3" s="49" t="s">
        <v>268</v>
      </c>
      <c r="G3" s="62" t="str">
        <f t="shared" ref="G3:G19" si="0">IFERROR(LEFT(B3,FIND("],",B3)),B3)</f>
        <v>[effect:enhance_enemy, target:enemy_all, turn:5, status:defense, val:3000, calc:add, animation:enemy_enhance_defense]</v>
      </c>
      <c r="H3" s="62">
        <f t="shared" ref="H3:H19" si="1">FIND("effect:",G3)+7</f>
        <v>9</v>
      </c>
      <c r="I3" s="62">
        <f t="shared" ref="I3:I19" si="2">IFERROR(FIND(",",G3),LEN(G3))</f>
        <v>22</v>
      </c>
      <c r="J3" s="62">
        <f t="shared" ref="J3:J19" si="3">FIND("target:",G3)+7</f>
        <v>31</v>
      </c>
      <c r="K3" s="62">
        <f t="shared" ref="K3:K19" si="4">FIND(",",G3,I3+1)</f>
        <v>40</v>
      </c>
      <c r="L3" s="62" t="str">
        <f>IFERROR(VLOOKUP(MID(G3,J3,K3-J3),[6]skilldef!$C:$D,2,FALSE),"-") &amp; " / " &amp; IFERROR(VLOOKUP(MID(G3,H3,I3-H3),[6]skilldef!$A:$B,2,FALSE),"-")</f>
        <v>敵全体に / ステータス強化</v>
      </c>
      <c r="M3" s="62" t="str">
        <f t="shared" ref="M3:M19" si="5">IFERROR(RIGHT(B3,LEN(B3)-FIND("],",B3)-1),"none")</f>
        <v>[effect:enemy_message, val1:1.4, val2:1.8]</v>
      </c>
      <c r="N3" s="46" t="str">
        <f>IFERROR(LEFT(M3,FIND("],",M3)+S26),M3)</f>
        <v>[effect:enemy_message, val1:1.4, val2:1.8]</v>
      </c>
      <c r="O3" s="62">
        <f t="shared" ref="O3:O19" si="6">FIND("effect:",N3)+7</f>
        <v>9</v>
      </c>
      <c r="P3" s="62">
        <f t="shared" ref="P3:P19" si="7">IFERROR(FIND(",",N3),LEN(N3))</f>
        <v>22</v>
      </c>
      <c r="Q3" s="62" t="e">
        <f t="shared" ref="Q3:Q19" si="8">FIND("target:",N3)+7</f>
        <v>#VALUE!</v>
      </c>
      <c r="R3" s="62">
        <f t="shared" ref="R3:R19" si="9">FIND(",",N3,P3+1)</f>
        <v>32</v>
      </c>
      <c r="S3" s="62" t="str">
        <f>IFERROR(VLOOKUP(MID(N3,Q3,R3-Q3),[6]skilldef!$C:$D,2,FALSE),"-") &amp; " / " &amp; IFERROR(VLOOKUP(MID(N3,O3,P3-O3),[6]skilldef!$A:$B,2,FALSE),"-")</f>
        <v>- / -</v>
      </c>
      <c r="T3" s="46" t="str">
        <f t="shared" ref="T3:T19" si="10">IFERROR(RIGHT(M3,LEN(M3)-FIND("],",M3)-1),"none")</f>
        <v>none</v>
      </c>
      <c r="U3" s="62" t="e">
        <f t="shared" ref="U3:U19" si="11">FIND("effect:",T3)+7</f>
        <v>#VALUE!</v>
      </c>
      <c r="V3" s="62">
        <f t="shared" ref="V3:V19" si="12">IFERROR(FIND(",",T3),LEN(T3))</f>
        <v>4</v>
      </c>
      <c r="W3" s="62" t="e">
        <f t="shared" ref="W3:W19" si="13">FIND("target:",T3)+7</f>
        <v>#VALUE!</v>
      </c>
      <c r="X3" s="62" t="e">
        <f t="shared" ref="X3:X19" si="14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8"/>
      <c r="AA3" s="50"/>
      <c r="AB3" s="48"/>
    </row>
    <row r="4" spans="1:28" ht="31" customHeight="1" x14ac:dyDescent="0.15">
      <c r="A4" s="45">
        <v>13301403</v>
      </c>
      <c r="B4" s="45" t="s">
        <v>320</v>
      </c>
      <c r="C4" s="48">
        <v>3</v>
      </c>
      <c r="D4" s="48" t="s">
        <v>258</v>
      </c>
      <c r="E4" s="49" t="s">
        <v>269</v>
      </c>
      <c r="F4" s="49" t="s">
        <v>321</v>
      </c>
      <c r="G4" s="62" t="str">
        <f t="shared" si="0"/>
        <v>[effect:force_change_block, new_block:jammer, target:block_all, count:10, val:0, animation:change_block]</v>
      </c>
      <c r="H4" s="62">
        <f t="shared" si="1"/>
        <v>9</v>
      </c>
      <c r="I4" s="62">
        <f t="shared" si="2"/>
        <v>27</v>
      </c>
      <c r="J4" s="62">
        <f t="shared" si="3"/>
        <v>54</v>
      </c>
      <c r="K4" s="62">
        <f t="shared" si="4"/>
        <v>45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>[effect:fix_speed, target:myself, turn:1],[effect:enemy_message, val1:1.4, val2:2.4]</v>
      </c>
      <c r="N4" s="46" t="str">
        <f>IFERROR(LEFT(M4,FIND("],",M4)+S27),M4)</f>
        <v>[effect:fix_speed, target:myself, turn:1]</v>
      </c>
      <c r="O4" s="62">
        <f t="shared" si="6"/>
        <v>9</v>
      </c>
      <c r="P4" s="62">
        <f t="shared" si="7"/>
        <v>18</v>
      </c>
      <c r="Q4" s="62">
        <f t="shared" si="8"/>
        <v>27</v>
      </c>
      <c r="R4" s="62">
        <f t="shared" si="9"/>
        <v>33</v>
      </c>
      <c r="S4" s="62" t="str">
        <f>IFERROR(VLOOKUP(MID(N4,Q4,R4-Q4),[6]skilldef!$C:$D,2,FALSE),"-") &amp; " / " &amp; IFERROR(VLOOKUP(MID(N4,O4,P4-O4),[6]skilldef!$A:$B,2,FALSE),"-")</f>
        <v>自分自身に / 行動値設定</v>
      </c>
      <c r="T4" s="46" t="str">
        <f t="shared" si="10"/>
        <v>[effect:enemy_message, val1:1.4, val2:2.4]</v>
      </c>
      <c r="U4" s="62">
        <f t="shared" si="11"/>
        <v>9</v>
      </c>
      <c r="V4" s="62">
        <f t="shared" si="12"/>
        <v>22</v>
      </c>
      <c r="W4" s="62" t="e">
        <f t="shared" si="13"/>
        <v>#VALUE!</v>
      </c>
      <c r="X4" s="62">
        <f t="shared" si="14"/>
        <v>32</v>
      </c>
      <c r="Y4" s="62" t="str">
        <f>IFERROR(VLOOKUP(MID(T4,W4,X4-W4),[6]skilldef!$C:$D,2,FALSE),"-") &amp; " / " &amp; IFERROR(VLOOKUP(MID(T4,U4,V4-U4),[6]skilldef!$A:$B,2,FALSE),"-")</f>
        <v>- / -</v>
      </c>
      <c r="Z4" s="48"/>
      <c r="AA4" s="50"/>
      <c r="AB4" s="48"/>
    </row>
    <row r="5" spans="1:28" ht="31" customHeight="1" x14ac:dyDescent="0.15">
      <c r="A5" s="45">
        <v>13301404</v>
      </c>
      <c r="B5" s="45" t="s">
        <v>307</v>
      </c>
      <c r="C5" s="48">
        <v>3</v>
      </c>
      <c r="D5" s="48" t="s">
        <v>258</v>
      </c>
      <c r="E5" s="49" t="s">
        <v>269</v>
      </c>
      <c r="F5" s="49" t="s">
        <v>315</v>
      </c>
      <c r="G5" s="62" t="str">
        <f t="shared" si="0"/>
        <v>[effect:force_change_block, new_block:jammer, target:block_all, count:10, val:0, animation:change_block]</v>
      </c>
      <c r="H5" s="62">
        <f t="shared" si="1"/>
        <v>9</v>
      </c>
      <c r="I5" s="62">
        <f t="shared" si="2"/>
        <v>27</v>
      </c>
      <c r="J5" s="62">
        <f t="shared" si="3"/>
        <v>54</v>
      </c>
      <c r="K5" s="62">
        <f t="shared" si="4"/>
        <v>45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[effect:enemy_message, val1:1.4, val2:2.1]</v>
      </c>
      <c r="N5" s="46" t="str">
        <f>IFERROR(LEFT(M5,FIND("],",M5)+S28),M5)</f>
        <v>[effect:enemy_message, val1:1.4, val2:2.1]</v>
      </c>
      <c r="O5" s="62">
        <f t="shared" si="6"/>
        <v>9</v>
      </c>
      <c r="P5" s="62">
        <f t="shared" si="7"/>
        <v>22</v>
      </c>
      <c r="Q5" s="62" t="e">
        <f t="shared" si="8"/>
        <v>#VALUE!</v>
      </c>
      <c r="R5" s="62">
        <f t="shared" si="9"/>
        <v>32</v>
      </c>
      <c r="S5" s="62" t="str">
        <f>IFERROR(VLOOKUP(MID(N5,Q5,R5-Q5),[6]skilldef!$C:$D,2,FALSE),"-") &amp; " / " &amp; IFERROR(VLOOKUP(MID(N5,O5,P5-O5),[6]skilldef!$A:$B,2,FALSE),"-")</f>
        <v>- / -</v>
      </c>
      <c r="T5" s="46" t="str">
        <f t="shared" si="10"/>
        <v>none</v>
      </c>
      <c r="U5" s="62" t="e">
        <f t="shared" si="11"/>
        <v>#VALUE!</v>
      </c>
      <c r="V5" s="62">
        <f t="shared" si="12"/>
        <v>4</v>
      </c>
      <c r="W5" s="62" t="e">
        <f t="shared" si="13"/>
        <v>#VALUE!</v>
      </c>
      <c r="X5" s="62" t="e">
        <f t="shared" si="14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8"/>
      <c r="AA5" s="50"/>
      <c r="AB5" s="48"/>
    </row>
    <row r="6" spans="1:28" ht="32" customHeight="1" x14ac:dyDescent="0.15">
      <c r="A6" s="45">
        <v>13301405</v>
      </c>
      <c r="B6" s="45" t="s">
        <v>296</v>
      </c>
      <c r="C6" s="48">
        <v>3</v>
      </c>
      <c r="D6" s="48" t="s">
        <v>258</v>
      </c>
      <c r="E6" s="49" t="s">
        <v>270</v>
      </c>
      <c r="F6" s="49" t="s">
        <v>314</v>
      </c>
      <c r="G6" s="62" t="str">
        <f t="shared" si="0"/>
        <v>[effect:degrade_fever, val:1000, animation:fevergauge_down]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フィーバーゲージ減少</v>
      </c>
      <c r="M6" s="62" t="str">
        <f t="shared" si="5"/>
        <v>[effect:enhance_enemy, target:myself, turn:3, status:defense, val:3000, calc:add, animation:enemy_enhance_defense],[effect:enemy_message, val1:1.4, val2:2]</v>
      </c>
      <c r="N6" s="46" t="str">
        <f>IFERROR(LEFT(M6,FIND("],",M6)+S28),M6)</f>
        <v>[effect:enhance_enemy, target:myself, turn:3, status:defense, val:3000, calc:add, animation:enemy_enhance_defense]</v>
      </c>
      <c r="O6" s="62">
        <f t="shared" si="6"/>
        <v>9</v>
      </c>
      <c r="P6" s="62">
        <f t="shared" si="7"/>
        <v>22</v>
      </c>
      <c r="Q6" s="62">
        <f t="shared" si="8"/>
        <v>31</v>
      </c>
      <c r="R6" s="62">
        <f t="shared" si="9"/>
        <v>37</v>
      </c>
      <c r="S6" s="62" t="str">
        <f>IFERROR(VLOOKUP(MID(N6,Q6,R6-Q6),[6]skilldef!$C:$D,2,FALSE),"-") &amp; " / " &amp; IFERROR(VLOOKUP(MID(N6,O6,P6-O6),[6]skilldef!$A:$B,2,FALSE),"-")</f>
        <v>自分自身に / ステータス強化</v>
      </c>
      <c r="T6" s="46" t="str">
        <f t="shared" si="10"/>
        <v>[effect:enemy_message, val1:1.4, val2:2]</v>
      </c>
      <c r="U6" s="62">
        <f t="shared" si="11"/>
        <v>9</v>
      </c>
      <c r="V6" s="62">
        <f t="shared" si="12"/>
        <v>22</v>
      </c>
      <c r="W6" s="62" t="e">
        <f t="shared" si="13"/>
        <v>#VALUE!</v>
      </c>
      <c r="X6" s="62">
        <f t="shared" si="14"/>
        <v>32</v>
      </c>
      <c r="Y6" s="62" t="str">
        <f>IFERROR(VLOOKUP(MID(T6,W6,X6-W6),[6]skilldef!$C:$D,2,FALSE),"-") &amp; " / " &amp; IFERROR(VLOOKUP(MID(T6,U6,V6-U6),[6]skilldef!$A:$B,2,FALSE),"-")</f>
        <v>- / -</v>
      </c>
      <c r="Z6" s="48"/>
      <c r="AA6" s="50"/>
      <c r="AB6" s="48"/>
    </row>
    <row r="7" spans="1:28" ht="21" customHeight="1" x14ac:dyDescent="0.15">
      <c r="A7" s="45">
        <v>13301406</v>
      </c>
      <c r="B7" s="45" t="s">
        <v>297</v>
      </c>
      <c r="C7" s="48">
        <v>3</v>
      </c>
      <c r="D7" s="48" t="s">
        <v>258</v>
      </c>
      <c r="E7" s="49" t="s">
        <v>271</v>
      </c>
      <c r="F7" s="49" t="s">
        <v>272</v>
      </c>
      <c r="G7" s="62" t="str">
        <f t="shared" si="0"/>
        <v>[effect:suicide, val:0.5, dead_type:suicide, target:myself, animation:enemy_suicide]</v>
      </c>
      <c r="H7" s="62">
        <f t="shared" si="1"/>
        <v>9</v>
      </c>
      <c r="I7" s="62">
        <f t="shared" si="2"/>
        <v>16</v>
      </c>
      <c r="J7" s="62">
        <f t="shared" si="3"/>
        <v>53</v>
      </c>
      <c r="K7" s="62">
        <f t="shared" si="4"/>
        <v>25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[effect:enemy_message, val1:1.4, val2:1.8]</v>
      </c>
      <c r="N7" s="46" t="str">
        <f>IFERROR(LEFT(M7,FIND("],",M7)+S29),M7)</f>
        <v>[effect:enemy_message, val1:1.4, val2:1.8]</v>
      </c>
      <c r="O7" s="62">
        <f t="shared" si="6"/>
        <v>9</v>
      </c>
      <c r="P7" s="62">
        <f t="shared" si="7"/>
        <v>22</v>
      </c>
      <c r="Q7" s="62" t="e">
        <f t="shared" si="8"/>
        <v>#VALUE!</v>
      </c>
      <c r="R7" s="62">
        <f t="shared" si="9"/>
        <v>32</v>
      </c>
      <c r="S7" s="62" t="str">
        <f>IFERROR(VLOOKUP(MID(N7,Q7,R7-Q7),[6]skilldef!$C:$D,2,FALSE),"-") &amp; " / " &amp; IFERROR(VLOOKUP(MID(N7,O7,P7-O7),[6]skilldef!$A:$B,2,FALSE),"-")</f>
        <v>- / -</v>
      </c>
      <c r="T7" s="46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8"/>
      <c r="AA7" s="50"/>
      <c r="AB7" s="48"/>
    </row>
    <row r="8" spans="1:28" ht="21" customHeight="1" x14ac:dyDescent="0.15">
      <c r="A8" s="104">
        <v>13301411</v>
      </c>
      <c r="B8" s="104" t="s">
        <v>302</v>
      </c>
      <c r="C8" s="105">
        <v>3</v>
      </c>
      <c r="D8" s="105" t="s">
        <v>258</v>
      </c>
      <c r="E8" s="106" t="s">
        <v>306</v>
      </c>
      <c r="F8" s="106" t="s">
        <v>294</v>
      </c>
      <c r="G8" s="62" t="str">
        <f t="shared" si="0"/>
        <v>[effect:tolerance, target:myself, turn:-1, tolerance_effect:all, count:-1, animation:enemy_tolerance]</v>
      </c>
      <c r="H8" s="62">
        <f t="shared" si="1"/>
        <v>9</v>
      </c>
      <c r="I8" s="62">
        <f t="shared" si="2"/>
        <v>18</v>
      </c>
      <c r="J8" s="62">
        <f t="shared" si="3"/>
        <v>27</v>
      </c>
      <c r="K8" s="62">
        <f t="shared" si="4"/>
        <v>33</v>
      </c>
      <c r="L8" s="62" t="str">
        <f>IFERROR(VLOOKUP(MID(G8,J8,K8-J8),[6]skilldef!$C:$D,2,FALSE),"-") &amp; " / " &amp; IFERROR(VLOOKUP(MID(G8,H8,I8-H8),[6]skilldef!$A:$B,2,FALSE),"-")</f>
        <v>自分自身に / 状態異常耐性</v>
      </c>
      <c r="M8" s="62" t="str">
        <f t="shared" si="5"/>
        <v>[effect:fix_speed, target:myself, turn:1],[effect:enemy_message, val1:1.4, val2:1.6]</v>
      </c>
      <c r="N8" s="46" t="str">
        <f>IFERROR(LEFT(M8,FIND("],",M8)+S27),M8)</f>
        <v>[effect:fix_speed, target:myself, turn:1]</v>
      </c>
      <c r="O8" s="62">
        <f t="shared" si="6"/>
        <v>9</v>
      </c>
      <c r="P8" s="62">
        <f t="shared" si="7"/>
        <v>18</v>
      </c>
      <c r="Q8" s="62">
        <f t="shared" si="8"/>
        <v>27</v>
      </c>
      <c r="R8" s="62">
        <f t="shared" si="9"/>
        <v>33</v>
      </c>
      <c r="S8" s="62" t="str">
        <f>IFERROR(VLOOKUP(MID(N8,Q8,R8-Q8),[6]skilldef!$C:$D,2,FALSE),"-") &amp; " / " &amp; IFERROR(VLOOKUP(MID(N8,O8,P8-O8),[6]skilldef!$A:$B,2,FALSE),"-")</f>
        <v>自分自身に / 行動値設定</v>
      </c>
      <c r="T8" s="46" t="str">
        <f t="shared" si="10"/>
        <v>[effect:enemy_message, val1:1.4, val2:1.6]</v>
      </c>
      <c r="U8" s="62">
        <f t="shared" si="11"/>
        <v>9</v>
      </c>
      <c r="V8" s="62">
        <f t="shared" si="12"/>
        <v>22</v>
      </c>
      <c r="W8" s="62" t="e">
        <f t="shared" si="13"/>
        <v>#VALUE!</v>
      </c>
      <c r="X8" s="62">
        <f t="shared" si="14"/>
        <v>32</v>
      </c>
      <c r="Y8" s="62" t="str">
        <f>IFERROR(VLOOKUP(MID(T8,W8,X8-W8),[6]skilldef!$C:$D,2,FALSE),"-") &amp; " / " &amp; IFERROR(VLOOKUP(MID(T8,U8,V8-U8),[6]skilldef!$A:$B,2,FALSE),"-")</f>
        <v>- / -</v>
      </c>
      <c r="Z8" s="48"/>
      <c r="AA8" s="50"/>
      <c r="AB8" s="48"/>
    </row>
    <row r="9" spans="1:28" ht="21" customHeight="1" x14ac:dyDescent="0.15">
      <c r="A9" s="104">
        <v>13301412</v>
      </c>
      <c r="B9" s="104" t="s">
        <v>311</v>
      </c>
      <c r="C9" s="105">
        <v>3</v>
      </c>
      <c r="D9" s="105" t="s">
        <v>258</v>
      </c>
      <c r="E9" s="106" t="s">
        <v>273</v>
      </c>
      <c r="F9" s="106" t="s">
        <v>274</v>
      </c>
      <c r="G9" s="62" t="str">
        <f t="shared" si="0"/>
        <v>[effect:damage_anti_color, target:unit_all, color:red, val1:1.0, val2:0.5]</v>
      </c>
      <c r="H9" s="62">
        <f t="shared" si="1"/>
        <v>9</v>
      </c>
      <c r="I9" s="62">
        <f t="shared" si="2"/>
        <v>26</v>
      </c>
      <c r="J9" s="62">
        <f t="shared" si="3"/>
        <v>35</v>
      </c>
      <c r="K9" s="62">
        <f t="shared" si="4"/>
        <v>43</v>
      </c>
      <c r="L9" s="62" t="str">
        <f>IFERROR(VLOOKUP(MID(G9,J9,K9-J9),[6]skilldef!$C:$D,2,FALSE),"-") &amp; " / " &amp; IFERROR(VLOOKUP(MID(G9,H9,I9-H9),[6]skilldef!$A:$B,2,FALSE),"-")</f>
        <v>味方全体に / 属性キラー</v>
      </c>
      <c r="M9" s="62" t="str">
        <f t="shared" si="5"/>
        <v>[effect:enemy_message, val1:1.4, val2:1.8]</v>
      </c>
      <c r="N9" s="46" t="str">
        <f>IFERROR(LEFT(M9,FIND("],",M9)+S27),M9)</f>
        <v>[effect:enemy_message, val1:1.4, val2:1.8]</v>
      </c>
      <c r="O9" s="62">
        <f t="shared" si="6"/>
        <v>9</v>
      </c>
      <c r="P9" s="62">
        <f t="shared" si="7"/>
        <v>22</v>
      </c>
      <c r="Q9" s="62" t="e">
        <f t="shared" si="8"/>
        <v>#VALUE!</v>
      </c>
      <c r="R9" s="62">
        <f t="shared" si="9"/>
        <v>32</v>
      </c>
      <c r="S9" s="62" t="str">
        <f>IFERROR(VLOOKUP(MID(N9,Q9,R9-Q9),[6]skilldef!$C:$D,2,FALSE),"-") &amp; " / " &amp; IFERROR(VLOOKUP(MID(N9,O9,P9-O9),[6]skilldef!$A:$B,2,FALSE),"-")</f>
        <v>- / -</v>
      </c>
      <c r="T9" s="46" t="str">
        <f t="shared" si="10"/>
        <v>none</v>
      </c>
      <c r="U9" s="62" t="e">
        <f t="shared" si="11"/>
        <v>#VALUE!</v>
      </c>
      <c r="V9" s="62">
        <f t="shared" si="12"/>
        <v>4</v>
      </c>
      <c r="W9" s="62" t="e">
        <f t="shared" si="13"/>
        <v>#VALUE!</v>
      </c>
      <c r="X9" s="62" t="e">
        <f t="shared" si="14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8"/>
      <c r="AA9" s="50"/>
      <c r="AB9" s="48"/>
    </row>
    <row r="10" spans="1:28" ht="21" customHeight="1" x14ac:dyDescent="0.15">
      <c r="A10" s="104">
        <v>13301413</v>
      </c>
      <c r="B10" s="104" t="s">
        <v>322</v>
      </c>
      <c r="C10" s="105">
        <v>3</v>
      </c>
      <c r="D10" s="105" t="s">
        <v>258</v>
      </c>
      <c r="E10" s="106" t="s">
        <v>275</v>
      </c>
      <c r="F10" s="106" t="s">
        <v>317</v>
      </c>
      <c r="G10" s="62" t="str">
        <f t="shared" si="0"/>
        <v>[effect:virus, target:unit_all, turn:8, rate:1, val:0.1, calc_type:target_one, animation:enemy_virus]</v>
      </c>
      <c r="H10" s="62">
        <f t="shared" si="1"/>
        <v>9</v>
      </c>
      <c r="I10" s="62">
        <f t="shared" si="2"/>
        <v>14</v>
      </c>
      <c r="J10" s="62">
        <f t="shared" si="3"/>
        <v>23</v>
      </c>
      <c r="K10" s="62">
        <f t="shared" si="4"/>
        <v>31</v>
      </c>
      <c r="L10" s="62" t="str">
        <f>IFERROR(VLOOKUP(MID(G10,J10,K10-J10),[6]skilldef!$C:$D,2,FALSE),"-") &amp; " / " &amp; IFERROR(VLOOKUP(MID(G10,H10,I10-H10),[6]skilldef!$A:$B,2,FALSE),"-")</f>
        <v>味方全体に / ウィルス</v>
      </c>
      <c r="M10" s="62" t="str">
        <f t="shared" si="5"/>
        <v>[effect:spread, val:0.3],[effect:enemy_message, val1:1.4, val2:1.8]</v>
      </c>
      <c r="N10" s="46" t="str">
        <f>IFERROR(LEFT(M10,FIND("],",M10)+S28),M10)</f>
        <v>[effect:spread, val:0.3]</v>
      </c>
      <c r="O10" s="62">
        <f t="shared" si="6"/>
        <v>9</v>
      </c>
      <c r="P10" s="62">
        <f t="shared" si="7"/>
        <v>15</v>
      </c>
      <c r="Q10" s="62" t="e">
        <f t="shared" si="8"/>
        <v>#VALUE!</v>
      </c>
      <c r="R10" s="62" t="e">
        <f t="shared" si="9"/>
        <v>#VALUE!</v>
      </c>
      <c r="S10" s="62" t="str">
        <f>IFERROR(VLOOKUP(MID(N10,Q10,R10-Q10),[6]skilldef!$C:$D,2,FALSE),"-") &amp; " / " &amp; IFERROR(VLOOKUP(MID(N10,O10,P10-O10),[6]skilldef!$A:$B,2,FALSE),"-")</f>
        <v>- / 全体攻撃</v>
      </c>
      <c r="T10" s="46" t="str">
        <f t="shared" si="10"/>
        <v>[effect:enemy_message, val1:1.4, val2:1.8]</v>
      </c>
      <c r="U10" s="62">
        <f t="shared" si="11"/>
        <v>9</v>
      </c>
      <c r="V10" s="62">
        <f t="shared" si="12"/>
        <v>22</v>
      </c>
      <c r="W10" s="62" t="e">
        <f t="shared" si="13"/>
        <v>#VALUE!</v>
      </c>
      <c r="X10" s="62">
        <f t="shared" si="14"/>
        <v>32</v>
      </c>
      <c r="Y10" s="62" t="str">
        <f>IFERROR(VLOOKUP(MID(T10,W10,X10-W10),[6]skilldef!$C:$D,2,FALSE),"-") &amp; " / " &amp; IFERROR(VLOOKUP(MID(T10,U10,V10-U10),[6]skilldef!$A:$B,2,FALSE),"-")</f>
        <v>- / -</v>
      </c>
      <c r="Z10" s="48"/>
      <c r="AA10" s="50"/>
      <c r="AB10" s="48"/>
    </row>
    <row r="11" spans="1:28" ht="46" customHeight="1" x14ac:dyDescent="0.15">
      <c r="A11" s="104">
        <v>13301414</v>
      </c>
      <c r="B11" s="104" t="s">
        <v>304</v>
      </c>
      <c r="C11" s="105">
        <v>3</v>
      </c>
      <c r="D11" s="105" t="s">
        <v>258</v>
      </c>
      <c r="E11" s="106" t="s">
        <v>276</v>
      </c>
      <c r="F11" s="106" t="s">
        <v>309</v>
      </c>
      <c r="G11" s="62" t="str">
        <f t="shared" si="0"/>
        <v>[effect:enhance_enemy, target:enemy_all, turn:-1, status:attack, val:0.3, calc:mul, animation:enemy_enhance_attack]</v>
      </c>
      <c r="H11" s="62">
        <f t="shared" si="1"/>
        <v>9</v>
      </c>
      <c r="I11" s="62">
        <f t="shared" si="2"/>
        <v>22</v>
      </c>
      <c r="J11" s="62">
        <f t="shared" si="3"/>
        <v>31</v>
      </c>
      <c r="K11" s="62">
        <f t="shared" si="4"/>
        <v>40</v>
      </c>
      <c r="L11" s="62" t="str">
        <f>IFERROR(VLOOKUP(MID(G11,J11,K11-J11),[6]skilldef!$C:$D,2,FALSE),"-") &amp; " / " &amp; IFERROR(VLOOKUP(MID(G11,H11,I11-H11),[6]skilldef!$A:$B,2,FALSE),"-")</f>
        <v>敵全体に / ステータス強化</v>
      </c>
      <c r="M11" s="62" t="str">
        <f t="shared" si="5"/>
        <v>[effect:degrade_unit, target:unit_all, turn:-1, status:attack, val:0.5, calc:mul],[effect:enemy_message, val1:1.4, val2:2]</v>
      </c>
      <c r="N11" s="46" t="str">
        <f>IFERROR(LEFT(M11,FIND("],",M11)+S29),M11)</f>
        <v>[effect:degrade_unit, target:unit_all, turn:-1, status:attack, val:0.5, calc:mul]</v>
      </c>
      <c r="O11" s="62">
        <f t="shared" si="6"/>
        <v>9</v>
      </c>
      <c r="P11" s="62">
        <f t="shared" si="7"/>
        <v>21</v>
      </c>
      <c r="Q11" s="62">
        <f t="shared" si="8"/>
        <v>30</v>
      </c>
      <c r="R11" s="62">
        <f t="shared" si="9"/>
        <v>38</v>
      </c>
      <c r="S11" s="62" t="str">
        <f>IFERROR(VLOOKUP(MID(N11,Q11,R11-Q11),[6]skilldef!$C:$D,2,FALSE),"-") &amp; " / " &amp; IFERROR(VLOOKUP(MID(N11,O11,P11-O11),[6]skilldef!$A:$B,2,FALSE),"-")</f>
        <v>味方全体に / ステータスDOWN</v>
      </c>
      <c r="T11" s="46" t="str">
        <f t="shared" si="10"/>
        <v>[effect:enemy_message, val1:1.4, val2:2]</v>
      </c>
      <c r="U11" s="62">
        <f t="shared" si="11"/>
        <v>9</v>
      </c>
      <c r="V11" s="62">
        <f t="shared" si="12"/>
        <v>22</v>
      </c>
      <c r="W11" s="62" t="e">
        <f t="shared" si="13"/>
        <v>#VALUE!</v>
      </c>
      <c r="X11" s="62">
        <f t="shared" si="14"/>
        <v>32</v>
      </c>
      <c r="Y11" s="62" t="str">
        <f>IFERROR(VLOOKUP(MID(T11,W11,X11-W11),[6]skilldef!$C:$D,2,FALSE),"-") &amp; " / " &amp; IFERROR(VLOOKUP(MID(T11,U11,V11-U11),[6]skilldef!$A:$B,2,FALSE),"-")</f>
        <v>- / -</v>
      </c>
      <c r="Z11" s="48"/>
      <c r="AA11" s="50"/>
      <c r="AB11" s="48"/>
    </row>
    <row r="12" spans="1:28" ht="21" customHeight="1" x14ac:dyDescent="0.15">
      <c r="A12" s="104">
        <v>13301415</v>
      </c>
      <c r="B12" s="104" t="s">
        <v>298</v>
      </c>
      <c r="C12" s="105">
        <v>3</v>
      </c>
      <c r="D12" s="105" t="s">
        <v>258</v>
      </c>
      <c r="E12" s="106" t="s">
        <v>277</v>
      </c>
      <c r="F12" s="106" t="s">
        <v>278</v>
      </c>
      <c r="G12" s="62" t="str">
        <f t="shared" si="0"/>
        <v>[effect:suicide, val:0.5, dead_type:suicide, target:myself, animation:enemy_suicide]</v>
      </c>
      <c r="H12" s="62">
        <f t="shared" si="1"/>
        <v>9</v>
      </c>
      <c r="I12" s="62">
        <f t="shared" si="2"/>
        <v>16</v>
      </c>
      <c r="J12" s="62">
        <f t="shared" si="3"/>
        <v>53</v>
      </c>
      <c r="K12" s="62">
        <f t="shared" si="4"/>
        <v>25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>[effect:enemy_message, val1:1.4, val2:1.8]</v>
      </c>
      <c r="N12" s="46" t="str">
        <f>IFERROR(LEFT(M12,FIND("],",M12)+S30),M12)</f>
        <v>[effect:enemy_message, val1:1.4, val2:1.8]</v>
      </c>
      <c r="O12" s="62">
        <f t="shared" si="6"/>
        <v>9</v>
      </c>
      <c r="P12" s="62">
        <f t="shared" si="7"/>
        <v>22</v>
      </c>
      <c r="Q12" s="62" t="e">
        <f t="shared" si="8"/>
        <v>#VALUE!</v>
      </c>
      <c r="R12" s="62">
        <f t="shared" si="9"/>
        <v>32</v>
      </c>
      <c r="S12" s="62" t="str">
        <f>IFERROR(VLOOKUP(MID(N12,Q12,R12-Q12),[6]skilldef!$C:$D,2,FALSE),"-") &amp; " / " &amp; IFERROR(VLOOKUP(MID(N12,O12,P12-O12),[6]skilldef!$A:$B,2,FALSE),"-")</f>
        <v>- / -</v>
      </c>
      <c r="T12" s="46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8"/>
      <c r="AA12" s="50"/>
      <c r="AB12" s="48"/>
    </row>
    <row r="13" spans="1:28" ht="21" customHeight="1" x14ac:dyDescent="0.15">
      <c r="A13" s="45">
        <v>13301421</v>
      </c>
      <c r="B13" s="45" t="s">
        <v>302</v>
      </c>
      <c r="C13" s="48">
        <v>3</v>
      </c>
      <c r="D13" s="48" t="s">
        <v>258</v>
      </c>
      <c r="E13" s="49" t="s">
        <v>279</v>
      </c>
      <c r="F13" s="49" t="s">
        <v>280</v>
      </c>
      <c r="G13" s="62" t="str">
        <f t="shared" si="0"/>
        <v>[effect:tolerance, target:myself, turn:-1, tolerance_effect:all, count:-1, animation:enemy_tolerance]</v>
      </c>
      <c r="H13" s="62">
        <f t="shared" si="1"/>
        <v>9</v>
      </c>
      <c r="I13" s="62">
        <f t="shared" si="2"/>
        <v>18</v>
      </c>
      <c r="J13" s="62">
        <f t="shared" si="3"/>
        <v>27</v>
      </c>
      <c r="K13" s="62">
        <f t="shared" si="4"/>
        <v>33</v>
      </c>
      <c r="L13" s="62" t="str">
        <f>IFERROR(VLOOKUP(MID(G13,J13,K13-J13),[6]skilldef!$C:$D,2,FALSE),"-") &amp; " / " &amp; IFERROR(VLOOKUP(MID(G13,H13,I13-H13),[6]skilldef!$A:$B,2,FALSE),"-")</f>
        <v>自分自身に / 状態異常耐性</v>
      </c>
      <c r="M13" s="62" t="str">
        <f t="shared" si="5"/>
        <v>[effect:fix_speed, target:myself, turn:1],[effect:enemy_message, val1:1.4, val2:1.6]</v>
      </c>
      <c r="N13" s="46" t="str">
        <f>IFERROR(LEFT(M13,FIND("],",M13)+S25),M13)</f>
        <v>[effect:fix_speed, target:myself, turn:1]</v>
      </c>
      <c r="O13" s="62">
        <f t="shared" si="6"/>
        <v>9</v>
      </c>
      <c r="P13" s="62">
        <f t="shared" si="7"/>
        <v>18</v>
      </c>
      <c r="Q13" s="62">
        <f t="shared" si="8"/>
        <v>27</v>
      </c>
      <c r="R13" s="62">
        <f t="shared" si="9"/>
        <v>33</v>
      </c>
      <c r="S13" s="62" t="str">
        <f>IFERROR(VLOOKUP(MID(N13,Q13,R13-Q13),[6]skilldef!$C:$D,2,FALSE),"-") &amp; " / " &amp; IFERROR(VLOOKUP(MID(N13,O13,P13-O13),[6]skilldef!$A:$B,2,FALSE),"-")</f>
        <v>自分自身に / 行動値設定</v>
      </c>
      <c r="T13" s="46" t="str">
        <f t="shared" si="10"/>
        <v>[effect:enemy_message, val1:1.4, val2:1.6]</v>
      </c>
      <c r="U13" s="62">
        <f t="shared" si="11"/>
        <v>9</v>
      </c>
      <c r="V13" s="62">
        <f t="shared" si="12"/>
        <v>22</v>
      </c>
      <c r="W13" s="62" t="e">
        <f t="shared" si="13"/>
        <v>#VALUE!</v>
      </c>
      <c r="X13" s="62">
        <f t="shared" si="14"/>
        <v>32</v>
      </c>
      <c r="Y13" s="62" t="str">
        <f>IFERROR(VLOOKUP(MID(T13,W13,X13-W13),[6]skilldef!$C:$D,2,FALSE),"-") &amp; " / " &amp; IFERROR(VLOOKUP(MID(T13,U13,V13-U13),[6]skilldef!$A:$B,2,FALSE),"-")</f>
        <v>- / -</v>
      </c>
      <c r="Z13" s="48"/>
      <c r="AA13" s="50"/>
      <c r="AB13" s="48"/>
    </row>
    <row r="14" spans="1:28" ht="21" customHeight="1" x14ac:dyDescent="0.15">
      <c r="A14" s="45">
        <v>13301422</v>
      </c>
      <c r="B14" s="45" t="s">
        <v>299</v>
      </c>
      <c r="C14" s="48">
        <v>3</v>
      </c>
      <c r="D14" s="48" t="s">
        <v>258</v>
      </c>
      <c r="E14" s="49" t="s">
        <v>281</v>
      </c>
      <c r="F14" s="49" t="s">
        <v>312</v>
      </c>
      <c r="G14" s="62" t="str">
        <f t="shared" si="0"/>
        <v>[effect:force_change_block, new_block:jammer, target:block_all, count:4, val:0]</v>
      </c>
      <c r="H14" s="62">
        <f t="shared" si="1"/>
        <v>9</v>
      </c>
      <c r="I14" s="62">
        <f t="shared" si="2"/>
        <v>27</v>
      </c>
      <c r="J14" s="62">
        <f t="shared" si="3"/>
        <v>54</v>
      </c>
      <c r="K14" s="62">
        <f t="shared" si="4"/>
        <v>45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>[effect:spread, val:0.3],[effect:enemy_message, val1:1.4, val2:1.8]</v>
      </c>
      <c r="N14" s="46" t="str">
        <f>IFERROR(LEFT(M14,FIND("],",M14)+S26),M14)</f>
        <v>[effect:spread, val:0.3]</v>
      </c>
      <c r="O14" s="62">
        <f t="shared" si="6"/>
        <v>9</v>
      </c>
      <c r="P14" s="62">
        <f t="shared" si="7"/>
        <v>15</v>
      </c>
      <c r="Q14" s="62" t="e">
        <f t="shared" si="8"/>
        <v>#VALUE!</v>
      </c>
      <c r="R14" s="62" t="e">
        <f t="shared" si="9"/>
        <v>#VALUE!</v>
      </c>
      <c r="S14" s="62" t="str">
        <f>IFERROR(VLOOKUP(MID(N14,Q14,R14-Q14),[6]skilldef!$C:$D,2,FALSE),"-") &amp; " / " &amp; IFERROR(VLOOKUP(MID(N14,O14,P14-O14),[6]skilldef!$A:$B,2,FALSE),"-")</f>
        <v>- / 全体攻撃</v>
      </c>
      <c r="T14" s="46" t="str">
        <f t="shared" si="10"/>
        <v>[effect:enemy_message, val1:1.4, val2:1.8]</v>
      </c>
      <c r="U14" s="62">
        <f t="shared" si="11"/>
        <v>9</v>
      </c>
      <c r="V14" s="62">
        <f t="shared" si="12"/>
        <v>22</v>
      </c>
      <c r="W14" s="62" t="e">
        <f t="shared" si="13"/>
        <v>#VALUE!</v>
      </c>
      <c r="X14" s="62">
        <f t="shared" si="14"/>
        <v>32</v>
      </c>
      <c r="Y14" s="62" t="str">
        <f>IFERROR(VLOOKUP(MID(T14,W14,X14-W14),[6]skilldef!$C:$D,2,FALSE),"-") &amp; " / " &amp; IFERROR(VLOOKUP(MID(T14,U14,V14-U14),[6]skilldef!$A:$B,2,FALSE),"-")</f>
        <v>- / -</v>
      </c>
      <c r="Z14" s="48"/>
      <c r="AA14" s="50"/>
      <c r="AB14" s="48"/>
    </row>
    <row r="15" spans="1:28" ht="21" customHeight="1" x14ac:dyDescent="0.15">
      <c r="A15" s="45">
        <v>13301423</v>
      </c>
      <c r="B15" s="45" t="s">
        <v>301</v>
      </c>
      <c r="C15" s="48">
        <v>3</v>
      </c>
      <c r="D15" s="48" t="s">
        <v>258</v>
      </c>
      <c r="E15" s="49" t="s">
        <v>282</v>
      </c>
      <c r="F15" s="49" t="s">
        <v>283</v>
      </c>
      <c r="G15" s="62" t="str">
        <f t="shared" si="0"/>
        <v>[effect:rush, count:5, val:0.56]</v>
      </c>
      <c r="H15" s="62">
        <f t="shared" si="1"/>
        <v>9</v>
      </c>
      <c r="I15" s="62">
        <f t="shared" si="2"/>
        <v>13</v>
      </c>
      <c r="J15" s="62" t="e">
        <f t="shared" si="3"/>
        <v>#VALUE!</v>
      </c>
      <c r="K15" s="62">
        <f t="shared" si="4"/>
        <v>22</v>
      </c>
      <c r="L15" s="62" t="str">
        <f>IFERROR(VLOOKUP(MID(G15,J15,K15-J15),[6]skilldef!$C:$D,2,FALSE),"-") &amp; " / " &amp; IFERROR(VLOOKUP(MID(G15,H15,I15-H15),[6]skilldef!$A:$B,2,FALSE),"-")</f>
        <v>- / 連続攻撃</v>
      </c>
      <c r="M15" s="62" t="str">
        <f t="shared" si="5"/>
        <v>[effect:enemy_message, val1:1.4, val2:1.6]</v>
      </c>
      <c r="N15" s="46" t="str">
        <f>IFERROR(LEFT(M15,FIND("],",M15)+S27),M15)</f>
        <v>[effect:enemy_message, val1:1.4, val2:1.6]</v>
      </c>
      <c r="O15" s="62">
        <f t="shared" si="6"/>
        <v>9</v>
      </c>
      <c r="P15" s="62">
        <f t="shared" si="7"/>
        <v>22</v>
      </c>
      <c r="Q15" s="62" t="e">
        <f t="shared" si="8"/>
        <v>#VALUE!</v>
      </c>
      <c r="R15" s="62">
        <f t="shared" si="9"/>
        <v>32</v>
      </c>
      <c r="S15" s="62" t="str">
        <f>IFERROR(VLOOKUP(MID(N15,Q15,R15-Q15),[6]skilldef!$C:$D,2,FALSE),"-") &amp; " / " &amp; IFERROR(VLOOKUP(MID(N15,O15,P15-O15),[6]skilldef!$A:$B,2,FALSE),"-")</f>
        <v>- / -</v>
      </c>
      <c r="T15" s="46" t="str">
        <f t="shared" si="10"/>
        <v>none</v>
      </c>
      <c r="U15" s="62" t="e">
        <f t="shared" si="11"/>
        <v>#VALUE!</v>
      </c>
      <c r="V15" s="62">
        <f t="shared" si="12"/>
        <v>4</v>
      </c>
      <c r="W15" s="62" t="e">
        <f t="shared" si="13"/>
        <v>#VALUE!</v>
      </c>
      <c r="X15" s="62" t="e">
        <f t="shared" si="14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8"/>
      <c r="AA15" s="50"/>
      <c r="AB15" s="48"/>
    </row>
    <row r="16" spans="1:28" ht="21" customHeight="1" x14ac:dyDescent="0.15">
      <c r="A16" s="45">
        <v>13301424</v>
      </c>
      <c r="B16" s="45" t="s">
        <v>305</v>
      </c>
      <c r="C16" s="48">
        <v>3</v>
      </c>
      <c r="D16" s="48" t="s">
        <v>284</v>
      </c>
      <c r="E16" s="49" t="s">
        <v>285</v>
      </c>
      <c r="F16" s="49" t="s">
        <v>286</v>
      </c>
      <c r="G16" s="62" t="str">
        <f t="shared" si="0"/>
        <v>[effect:enemy_message, val1:1.4, val2:1.8]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5"/>
        <v>none</v>
      </c>
      <c r="N16" s="46" t="str">
        <f t="shared" ref="N16:N19" si="15">IFERROR(LEFT(M16,FIND("],",M16)+S27),M16)</f>
        <v>none</v>
      </c>
      <c r="O16" s="62" t="e">
        <f t="shared" si="6"/>
        <v>#VALUE!</v>
      </c>
      <c r="P16" s="62">
        <f t="shared" si="7"/>
        <v>4</v>
      </c>
      <c r="Q16" s="62" t="e">
        <f t="shared" si="8"/>
        <v>#VALUE!</v>
      </c>
      <c r="R16" s="62" t="e">
        <f t="shared" si="9"/>
        <v>#VALUE!</v>
      </c>
      <c r="S16" s="62" t="str">
        <f>IFERROR(VLOOKUP(MID(N16,Q16,R16-Q16),[6]skilldef!$C:$D,2,FALSE),"-") &amp; " / " &amp; IFERROR(VLOOKUP(MID(N16,O16,P16-O16),[6]skilldef!$A:$B,2,FALSE),"-")</f>
        <v>- / -</v>
      </c>
      <c r="T16" s="46" t="str">
        <f t="shared" si="10"/>
        <v>none</v>
      </c>
      <c r="U16" s="62" t="e">
        <f t="shared" si="11"/>
        <v>#VALUE!</v>
      </c>
      <c r="V16" s="62">
        <f t="shared" si="12"/>
        <v>4</v>
      </c>
      <c r="W16" s="62" t="e">
        <f t="shared" si="13"/>
        <v>#VALUE!</v>
      </c>
      <c r="X16" s="62" t="e">
        <f t="shared" si="14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8"/>
      <c r="AA16" s="50"/>
      <c r="AB16" s="48"/>
    </row>
    <row r="17" spans="1:28" ht="21" customHeight="1" x14ac:dyDescent="0.15">
      <c r="A17" s="45">
        <v>13301425</v>
      </c>
      <c r="B17" s="45" t="s">
        <v>300</v>
      </c>
      <c r="C17" s="48">
        <v>3</v>
      </c>
      <c r="D17" s="48" t="s">
        <v>258</v>
      </c>
      <c r="E17" s="49" t="s">
        <v>287</v>
      </c>
      <c r="F17" s="49" t="s">
        <v>288</v>
      </c>
      <c r="G17" s="62" t="str">
        <f t="shared" si="0"/>
        <v>[effect:rush, count:6, val:1]</v>
      </c>
      <c r="H17" s="62">
        <f t="shared" si="1"/>
        <v>9</v>
      </c>
      <c r="I17" s="62">
        <f t="shared" si="2"/>
        <v>13</v>
      </c>
      <c r="J17" s="62" t="e">
        <f t="shared" si="3"/>
        <v>#VALUE!</v>
      </c>
      <c r="K17" s="62">
        <f t="shared" si="4"/>
        <v>22</v>
      </c>
      <c r="L17" s="62" t="str">
        <f>IFERROR(VLOOKUP(MID(G17,J17,K17-J17),[6]skilldef!$C:$D,2,FALSE),"-") &amp; " / " &amp; IFERROR(VLOOKUP(MID(G17,H17,I17-H17),[6]skilldef!$A:$B,2,FALSE),"-")</f>
        <v>- / 連続攻撃</v>
      </c>
      <c r="M17" s="62" t="str">
        <f t="shared" si="5"/>
        <v>[effect:enemy_message, val1:1.4, val2:1.6]</v>
      </c>
      <c r="N17" s="46" t="str">
        <f t="shared" si="15"/>
        <v>[effect:enemy_message, val1:1.4, val2:1.6]</v>
      </c>
      <c r="O17" s="62">
        <f t="shared" si="6"/>
        <v>9</v>
      </c>
      <c r="P17" s="62">
        <f t="shared" si="7"/>
        <v>22</v>
      </c>
      <c r="Q17" s="62" t="e">
        <f t="shared" si="8"/>
        <v>#VALUE!</v>
      </c>
      <c r="R17" s="62">
        <f t="shared" si="9"/>
        <v>32</v>
      </c>
      <c r="S17" s="62" t="str">
        <f>IFERROR(VLOOKUP(MID(N17,Q17,R17-Q17),[6]skilldef!$C:$D,2,FALSE),"-") &amp; " / " &amp; IFERROR(VLOOKUP(MID(N17,O17,P17-O17),[6]skilldef!$A:$B,2,FALSE),"-")</f>
        <v>- / -</v>
      </c>
      <c r="T17" s="46" t="str">
        <f t="shared" si="10"/>
        <v>none</v>
      </c>
      <c r="U17" s="62" t="e">
        <f t="shared" si="11"/>
        <v>#VALUE!</v>
      </c>
      <c r="V17" s="62">
        <f t="shared" si="12"/>
        <v>4</v>
      </c>
      <c r="W17" s="62" t="e">
        <f t="shared" si="13"/>
        <v>#VALUE!</v>
      </c>
      <c r="X17" s="62" t="e">
        <f t="shared" si="14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8"/>
      <c r="AA17" s="50"/>
      <c r="AB17" s="48"/>
    </row>
    <row r="18" spans="1:28" ht="39" customHeight="1" x14ac:dyDescent="0.15">
      <c r="A18" s="104">
        <v>13301431</v>
      </c>
      <c r="B18" s="104" t="s">
        <v>303</v>
      </c>
      <c r="C18" s="105">
        <v>3</v>
      </c>
      <c r="D18" s="105" t="s">
        <v>258</v>
      </c>
      <c r="E18" s="106" t="s">
        <v>289</v>
      </c>
      <c r="F18" s="106" t="s">
        <v>310</v>
      </c>
      <c r="G18" s="62" t="str">
        <f t="shared" si="0"/>
        <v>[effect:tolerance, target:myself, turn:-1, tolerance_effect:all, count:-1, animation:enemy_tolerance]</v>
      </c>
      <c r="H18" s="62">
        <f t="shared" si="1"/>
        <v>9</v>
      </c>
      <c r="I18" s="62">
        <f t="shared" si="2"/>
        <v>18</v>
      </c>
      <c r="J18" s="62">
        <f t="shared" si="3"/>
        <v>27</v>
      </c>
      <c r="K18" s="62">
        <f t="shared" si="4"/>
        <v>33</v>
      </c>
      <c r="L18" s="62" t="str">
        <f>IFERROR(VLOOKUP(MID(G18,J18,K18-J18),[6]skilldef!$C:$D,2,FALSE),"-") &amp; " / " &amp; IFERROR(VLOOKUP(MID(G18,H18,I18-H18),[6]skilldef!$A:$B,2,FALSE),"-")</f>
        <v>自分自身に / 状態異常耐性</v>
      </c>
      <c r="M18" s="62" t="str">
        <f t="shared" si="5"/>
        <v>[effect:fix_speed, target:myself, turn:8],[effect:enemy_message, val1:1.4, val2:2]</v>
      </c>
      <c r="N18" s="46" t="str">
        <f t="shared" si="15"/>
        <v>[effect:fix_speed, target:myself, turn:8]</v>
      </c>
      <c r="O18" s="62">
        <f t="shared" si="6"/>
        <v>9</v>
      </c>
      <c r="P18" s="62">
        <f t="shared" si="7"/>
        <v>18</v>
      </c>
      <c r="Q18" s="62">
        <f t="shared" si="8"/>
        <v>27</v>
      </c>
      <c r="R18" s="62">
        <f t="shared" si="9"/>
        <v>33</v>
      </c>
      <c r="S18" s="62" t="str">
        <f>IFERROR(VLOOKUP(MID(N18,Q18,R18-Q18),[6]skilldef!$C:$D,2,FALSE),"-") &amp; " / " &amp; IFERROR(VLOOKUP(MID(N18,O18,P18-O18),[6]skilldef!$A:$B,2,FALSE),"-")</f>
        <v>自分自身に / 行動値設定</v>
      </c>
      <c r="T18" s="46" t="str">
        <f t="shared" si="10"/>
        <v>[effect:enemy_message, val1:1.4, val2:2]</v>
      </c>
      <c r="U18" s="62">
        <f t="shared" si="11"/>
        <v>9</v>
      </c>
      <c r="V18" s="62">
        <f t="shared" si="12"/>
        <v>22</v>
      </c>
      <c r="W18" s="62" t="e">
        <f t="shared" si="13"/>
        <v>#VALUE!</v>
      </c>
      <c r="X18" s="62">
        <f t="shared" si="14"/>
        <v>32</v>
      </c>
      <c r="Y18" s="62" t="str">
        <f>IFERROR(VLOOKUP(MID(T18,W18,X18-W18),[6]skilldef!$C:$D,2,FALSE),"-") &amp; " / " &amp; IFERROR(VLOOKUP(MID(T18,U18,V18-U18),[6]skilldef!$A:$B,2,FALSE),"-")</f>
        <v>- / -</v>
      </c>
      <c r="Z18" s="48"/>
      <c r="AA18" s="50"/>
      <c r="AB18" s="48"/>
    </row>
    <row r="19" spans="1:28" ht="21" customHeight="1" x14ac:dyDescent="0.15">
      <c r="A19" s="104">
        <v>13301432</v>
      </c>
      <c r="B19" s="104" t="s">
        <v>313</v>
      </c>
      <c r="C19" s="105">
        <v>3</v>
      </c>
      <c r="D19" s="105" t="s">
        <v>258</v>
      </c>
      <c r="E19" s="106" t="s">
        <v>290</v>
      </c>
      <c r="F19" s="106" t="s">
        <v>291</v>
      </c>
      <c r="G19" s="62" t="str">
        <f t="shared" si="0"/>
        <v>[effect:damage_fix_absolute, target:unit_all, val:22500]</v>
      </c>
      <c r="H19" s="62">
        <f t="shared" si="1"/>
        <v>9</v>
      </c>
      <c r="I19" s="62">
        <f t="shared" si="2"/>
        <v>28</v>
      </c>
      <c r="J19" s="62">
        <f t="shared" si="3"/>
        <v>37</v>
      </c>
      <c r="K19" s="62">
        <f t="shared" si="4"/>
        <v>45</v>
      </c>
      <c r="L19" s="62" t="str">
        <f>IFERROR(VLOOKUP(MID(G19,J19,K19-J19),[6]skilldef!$C:$D,2,FALSE),"-") &amp; " / " &amp; IFERROR(VLOOKUP(MID(G19,H19,I19-H19),[6]skilldef!$A:$B,2,FALSE),"-")</f>
        <v>味方全体に / -</v>
      </c>
      <c r="M19" s="62" t="str">
        <f t="shared" si="5"/>
        <v>[effect:enemy_message, val1:1.4, val2]</v>
      </c>
      <c r="N19" s="46" t="str">
        <f t="shared" si="15"/>
        <v>[effect:enemy_message, val1:1.4, val2]</v>
      </c>
      <c r="O19" s="62">
        <f t="shared" si="6"/>
        <v>9</v>
      </c>
      <c r="P19" s="62">
        <f t="shared" si="7"/>
        <v>22</v>
      </c>
      <c r="Q19" s="62" t="e">
        <f t="shared" si="8"/>
        <v>#VALUE!</v>
      </c>
      <c r="R19" s="62">
        <f t="shared" si="9"/>
        <v>32</v>
      </c>
      <c r="S19" s="62" t="str">
        <f>IFERROR(VLOOKUP(MID(N19,Q19,R19-Q19),[6]skilldef!$C:$D,2,FALSE),"-") &amp; " / " &amp; IFERROR(VLOOKUP(MID(N19,O19,P19-O19),[6]skilldef!$A:$B,2,FALSE),"-")</f>
        <v>- / -</v>
      </c>
      <c r="T19" s="46" t="str">
        <f t="shared" si="10"/>
        <v>none</v>
      </c>
      <c r="U19" s="62" t="e">
        <f t="shared" si="11"/>
        <v>#VALUE!</v>
      </c>
      <c r="V19" s="62">
        <f t="shared" si="12"/>
        <v>4</v>
      </c>
      <c r="W19" s="62" t="e">
        <f t="shared" si="13"/>
        <v>#VALUE!</v>
      </c>
      <c r="X19" s="62" t="e">
        <f t="shared" si="14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8"/>
      <c r="AA19" s="50"/>
      <c r="AB19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9"/>
  <sheetViews>
    <sheetView showGridLines="0" zoomScale="120" zoomScaleNormal="120" zoomScalePageLayoutView="120" workbookViewId="0">
      <pane ySplit="1" topLeftCell="A2" activePane="bottomLeft" state="frozenSplit"/>
      <selection pane="bottomLeft" activeCell="B20" sqref="B20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6.6640625" style="47" customWidth="1"/>
    <col min="5" max="5" width="7.33203125" style="47" customWidth="1"/>
    <col min="6" max="6" width="9.5" style="47" customWidth="1"/>
    <col min="7" max="7" width="15.6640625" style="47" bestFit="1" customWidth="1"/>
    <col min="8" max="8" width="18.83203125" style="47" customWidth="1"/>
    <col min="9" max="9" width="8.33203125" style="47" customWidth="1"/>
    <col min="10" max="10" width="14.6640625" style="47" bestFit="1" customWidth="1"/>
    <col min="11" max="11" width="22.83203125" style="37" bestFit="1" customWidth="1"/>
    <col min="12" max="12" width="18.83203125" style="43" bestFit="1" customWidth="1"/>
    <col min="13" max="13" width="27.1640625" style="43" bestFit="1" customWidth="1"/>
    <col min="14" max="16384" width="12.83203125" style="43"/>
  </cols>
  <sheetData>
    <row r="1" spans="1:13" ht="21" customHeight="1" x14ac:dyDescent="0.15">
      <c r="A1" s="40" t="s">
        <v>82</v>
      </c>
      <c r="B1" s="40" t="s">
        <v>83</v>
      </c>
      <c r="C1" s="40" t="s">
        <v>84</v>
      </c>
      <c r="D1" s="40" t="s">
        <v>85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86</v>
      </c>
    </row>
    <row r="2" spans="1:13" ht="21" customHeight="1" x14ac:dyDescent="0.15">
      <c r="A2" s="45">
        <v>13301401</v>
      </c>
      <c r="B2" s="45">
        <v>1</v>
      </c>
      <c r="C2" s="45" t="s">
        <v>263</v>
      </c>
      <c r="D2" s="45">
        <v>100</v>
      </c>
      <c r="E2" s="45" t="s">
        <v>264</v>
      </c>
      <c r="F2" s="45" t="s">
        <v>264</v>
      </c>
      <c r="G2" s="45">
        <v>1</v>
      </c>
      <c r="H2" s="45" t="s">
        <v>264</v>
      </c>
      <c r="I2" s="45" t="s">
        <v>264</v>
      </c>
      <c r="J2" s="46">
        <f t="shared" ref="J2:J19" si="0">D2</f>
        <v>100</v>
      </c>
      <c r="L2" s="49" t="s">
        <v>245</v>
      </c>
      <c r="M2" s="49" t="s">
        <v>246</v>
      </c>
    </row>
    <row r="3" spans="1:13" ht="21" customHeight="1" x14ac:dyDescent="0.15">
      <c r="A3" s="45">
        <v>13301402</v>
      </c>
      <c r="B3" s="45">
        <v>0</v>
      </c>
      <c r="C3" s="45">
        <v>120</v>
      </c>
      <c r="D3" s="45">
        <v>100</v>
      </c>
      <c r="E3" s="45" t="s">
        <v>265</v>
      </c>
      <c r="F3" s="45" t="s">
        <v>265</v>
      </c>
      <c r="G3" s="45">
        <v>1</v>
      </c>
      <c r="H3" s="45">
        <v>2</v>
      </c>
      <c r="I3" s="45" t="s">
        <v>265</v>
      </c>
      <c r="J3" s="46">
        <f t="shared" si="0"/>
        <v>100</v>
      </c>
    </row>
    <row r="4" spans="1:13" ht="21" customHeight="1" x14ac:dyDescent="0.15">
      <c r="A4" s="45">
        <v>13301403</v>
      </c>
      <c r="B4" s="45">
        <v>0</v>
      </c>
      <c r="C4" s="45">
        <v>110</v>
      </c>
      <c r="D4" s="45">
        <v>100</v>
      </c>
      <c r="E4" s="45" t="s">
        <v>265</v>
      </c>
      <c r="F4" s="45" t="s">
        <v>265</v>
      </c>
      <c r="G4" s="45">
        <v>1</v>
      </c>
      <c r="H4" s="45">
        <v>4</v>
      </c>
      <c r="I4" s="45" t="s">
        <v>265</v>
      </c>
      <c r="J4" s="46">
        <f t="shared" si="0"/>
        <v>100</v>
      </c>
    </row>
    <row r="5" spans="1:13" ht="21" customHeight="1" x14ac:dyDescent="0.15">
      <c r="A5" s="45">
        <v>13301404</v>
      </c>
      <c r="B5" s="45">
        <v>0</v>
      </c>
      <c r="C5" s="45">
        <v>100</v>
      </c>
      <c r="D5" s="45">
        <v>100</v>
      </c>
      <c r="E5" s="45" t="s">
        <v>265</v>
      </c>
      <c r="F5" s="45" t="s">
        <v>265</v>
      </c>
      <c r="G5" s="45" t="s">
        <v>265</v>
      </c>
      <c r="H5" s="45">
        <v>4</v>
      </c>
      <c r="I5" s="45" t="s">
        <v>265</v>
      </c>
      <c r="J5" s="46">
        <f t="shared" si="0"/>
        <v>100</v>
      </c>
    </row>
    <row r="6" spans="1:13" ht="21" customHeight="1" x14ac:dyDescent="0.15">
      <c r="A6" s="45">
        <v>13301405</v>
      </c>
      <c r="B6" s="45">
        <v>0</v>
      </c>
      <c r="C6" s="45">
        <v>130</v>
      </c>
      <c r="D6" s="45">
        <v>100</v>
      </c>
      <c r="E6" s="45">
        <v>30</v>
      </c>
      <c r="F6" s="45" t="s">
        <v>265</v>
      </c>
      <c r="G6" s="45">
        <v>1</v>
      </c>
      <c r="H6" s="45">
        <v>1</v>
      </c>
      <c r="I6" s="45" t="s">
        <v>265</v>
      </c>
      <c r="J6" s="46">
        <f t="shared" si="0"/>
        <v>100</v>
      </c>
    </row>
    <row r="7" spans="1:13" ht="21" customHeight="1" x14ac:dyDescent="0.15">
      <c r="A7" s="45">
        <v>13301406</v>
      </c>
      <c r="B7" s="45">
        <v>0</v>
      </c>
      <c r="C7" s="45">
        <v>140</v>
      </c>
      <c r="D7" s="45">
        <v>100</v>
      </c>
      <c r="E7" s="45" t="s">
        <v>265</v>
      </c>
      <c r="F7" s="45" t="s">
        <v>265</v>
      </c>
      <c r="G7" s="45">
        <v>1</v>
      </c>
      <c r="H7" s="45">
        <v>1</v>
      </c>
      <c r="I7" s="45">
        <v>301</v>
      </c>
      <c r="J7" s="46">
        <f t="shared" si="0"/>
        <v>100</v>
      </c>
    </row>
    <row r="8" spans="1:13" ht="21" customHeight="1" x14ac:dyDescent="0.15">
      <c r="A8" s="104">
        <v>13301411</v>
      </c>
      <c r="B8" s="104">
        <v>1</v>
      </c>
      <c r="C8" s="104" t="s">
        <v>87</v>
      </c>
      <c r="D8" s="104">
        <v>100</v>
      </c>
      <c r="E8" s="104" t="s">
        <v>87</v>
      </c>
      <c r="F8" s="104" t="s">
        <v>87</v>
      </c>
      <c r="G8" s="104">
        <v>1</v>
      </c>
      <c r="H8" s="104" t="s">
        <v>87</v>
      </c>
      <c r="I8" s="104" t="s">
        <v>87</v>
      </c>
      <c r="J8" s="46">
        <f t="shared" si="0"/>
        <v>100</v>
      </c>
    </row>
    <row r="9" spans="1:13" ht="21" customHeight="1" x14ac:dyDescent="0.15">
      <c r="A9" s="104">
        <v>13301412</v>
      </c>
      <c r="B9" s="104">
        <v>0</v>
      </c>
      <c r="C9" s="104">
        <v>100</v>
      </c>
      <c r="D9" s="104">
        <v>100</v>
      </c>
      <c r="E9" s="104" t="s">
        <v>87</v>
      </c>
      <c r="F9" s="104" t="s">
        <v>87</v>
      </c>
      <c r="G9" s="104" t="s">
        <v>87</v>
      </c>
      <c r="H9" s="104">
        <v>4</v>
      </c>
      <c r="I9" s="104" t="s">
        <v>87</v>
      </c>
      <c r="J9" s="46">
        <f t="shared" si="0"/>
        <v>100</v>
      </c>
    </row>
    <row r="10" spans="1:13" ht="21" customHeight="1" x14ac:dyDescent="0.15">
      <c r="A10" s="104">
        <v>13301413</v>
      </c>
      <c r="B10" s="104">
        <v>0</v>
      </c>
      <c r="C10" s="104">
        <v>110</v>
      </c>
      <c r="D10" s="104">
        <v>100</v>
      </c>
      <c r="E10" s="104" t="s">
        <v>87</v>
      </c>
      <c r="F10" s="104" t="s">
        <v>87</v>
      </c>
      <c r="G10" s="104" t="s">
        <v>87</v>
      </c>
      <c r="H10" s="104">
        <v>8</v>
      </c>
      <c r="I10" s="104" t="s">
        <v>87</v>
      </c>
      <c r="J10" s="46">
        <f t="shared" si="0"/>
        <v>100</v>
      </c>
    </row>
    <row r="11" spans="1:13" ht="21" customHeight="1" x14ac:dyDescent="0.15">
      <c r="A11" s="104">
        <v>13301414</v>
      </c>
      <c r="B11" s="104">
        <v>0</v>
      </c>
      <c r="C11" s="104">
        <v>120</v>
      </c>
      <c r="D11" s="104">
        <v>100</v>
      </c>
      <c r="E11" s="104">
        <v>50</v>
      </c>
      <c r="F11" s="104" t="s">
        <v>87</v>
      </c>
      <c r="G11" s="104">
        <v>1</v>
      </c>
      <c r="H11" s="104">
        <v>1</v>
      </c>
      <c r="I11" s="104" t="s">
        <v>87</v>
      </c>
      <c r="J11" s="46">
        <f t="shared" si="0"/>
        <v>100</v>
      </c>
    </row>
    <row r="12" spans="1:13" ht="21" customHeight="1" x14ac:dyDescent="0.15">
      <c r="A12" s="104">
        <v>13301415</v>
      </c>
      <c r="B12" s="104">
        <v>0</v>
      </c>
      <c r="C12" s="104">
        <v>130</v>
      </c>
      <c r="D12" s="104">
        <v>100</v>
      </c>
      <c r="E12" s="104" t="s">
        <v>87</v>
      </c>
      <c r="F12" s="104" t="s">
        <v>87</v>
      </c>
      <c r="G12" s="104">
        <v>1</v>
      </c>
      <c r="H12" s="104">
        <v>1</v>
      </c>
      <c r="I12" s="104">
        <v>454</v>
      </c>
      <c r="J12" s="46">
        <f t="shared" si="0"/>
        <v>100</v>
      </c>
    </row>
    <row r="13" spans="1:13" ht="21" customHeight="1" x14ac:dyDescent="0.15">
      <c r="A13" s="45">
        <v>13301421</v>
      </c>
      <c r="B13" s="45">
        <v>1</v>
      </c>
      <c r="C13" s="45" t="s">
        <v>87</v>
      </c>
      <c r="D13" s="45">
        <v>100</v>
      </c>
      <c r="E13" s="45" t="s">
        <v>87</v>
      </c>
      <c r="F13" s="45" t="s">
        <v>87</v>
      </c>
      <c r="G13" s="45">
        <v>1</v>
      </c>
      <c r="H13" s="45" t="s">
        <v>87</v>
      </c>
      <c r="I13" s="45" t="s">
        <v>87</v>
      </c>
      <c r="J13" s="46">
        <f t="shared" si="0"/>
        <v>100</v>
      </c>
    </row>
    <row r="14" spans="1:13" ht="21" customHeight="1" x14ac:dyDescent="0.15">
      <c r="A14" s="45">
        <v>13301422</v>
      </c>
      <c r="B14" s="45">
        <v>0</v>
      </c>
      <c r="C14" s="45">
        <v>100</v>
      </c>
      <c r="D14" s="45">
        <v>100</v>
      </c>
      <c r="E14" s="45" t="s">
        <v>87</v>
      </c>
      <c r="F14" s="45" t="s">
        <v>87</v>
      </c>
      <c r="G14" s="45" t="s">
        <v>87</v>
      </c>
      <c r="H14" s="45">
        <v>2</v>
      </c>
      <c r="I14" s="45" t="s">
        <v>87</v>
      </c>
      <c r="J14" s="46">
        <f t="shared" si="0"/>
        <v>100</v>
      </c>
    </row>
    <row r="15" spans="1:13" ht="21" customHeight="1" x14ac:dyDescent="0.15">
      <c r="A15" s="45">
        <v>13301423</v>
      </c>
      <c r="B15" s="45">
        <v>0</v>
      </c>
      <c r="C15" s="45">
        <v>110</v>
      </c>
      <c r="D15" s="45">
        <v>100</v>
      </c>
      <c r="E15" s="45" t="s">
        <v>87</v>
      </c>
      <c r="F15" s="45" t="s">
        <v>87</v>
      </c>
      <c r="G15" s="45" t="s">
        <v>87</v>
      </c>
      <c r="H15" s="45">
        <v>3</v>
      </c>
      <c r="I15" s="45" t="s">
        <v>87</v>
      </c>
      <c r="J15" s="46">
        <f t="shared" si="0"/>
        <v>100</v>
      </c>
    </row>
    <row r="16" spans="1:13" ht="21" customHeight="1" x14ac:dyDescent="0.15">
      <c r="A16" s="45">
        <v>13301424</v>
      </c>
      <c r="B16" s="45">
        <v>0</v>
      </c>
      <c r="C16" s="45">
        <v>120</v>
      </c>
      <c r="D16" s="45">
        <v>100</v>
      </c>
      <c r="E16" s="45" t="s">
        <v>87</v>
      </c>
      <c r="F16" s="45" t="s">
        <v>87</v>
      </c>
      <c r="G16" s="45">
        <v>1</v>
      </c>
      <c r="H16" s="45">
        <v>9</v>
      </c>
      <c r="I16" s="45" t="s">
        <v>87</v>
      </c>
      <c r="J16" s="46">
        <f t="shared" si="0"/>
        <v>100</v>
      </c>
    </row>
    <row r="17" spans="1:10" ht="21" customHeight="1" x14ac:dyDescent="0.15">
      <c r="A17" s="45">
        <v>13301425</v>
      </c>
      <c r="B17" s="45">
        <v>0</v>
      </c>
      <c r="C17" s="45">
        <v>130</v>
      </c>
      <c r="D17" s="45">
        <v>100</v>
      </c>
      <c r="E17" s="45" t="s">
        <v>87</v>
      </c>
      <c r="F17" s="45" t="s">
        <v>87</v>
      </c>
      <c r="G17" s="45">
        <v>1</v>
      </c>
      <c r="H17" s="45">
        <v>10</v>
      </c>
      <c r="I17" s="45" t="s">
        <v>87</v>
      </c>
      <c r="J17" s="46">
        <f t="shared" si="0"/>
        <v>100</v>
      </c>
    </row>
    <row r="18" spans="1:10" ht="21" customHeight="1" x14ac:dyDescent="0.15">
      <c r="A18" s="104">
        <v>13301431</v>
      </c>
      <c r="B18" s="104">
        <v>1</v>
      </c>
      <c r="C18" s="104" t="s">
        <v>87</v>
      </c>
      <c r="D18" s="104">
        <v>100</v>
      </c>
      <c r="E18" s="104" t="s">
        <v>87</v>
      </c>
      <c r="F18" s="104" t="s">
        <v>87</v>
      </c>
      <c r="G18" s="104">
        <v>1</v>
      </c>
      <c r="H18" s="104" t="s">
        <v>87</v>
      </c>
      <c r="I18" s="104" t="s">
        <v>87</v>
      </c>
      <c r="J18" s="46">
        <f t="shared" si="0"/>
        <v>100</v>
      </c>
    </row>
    <row r="19" spans="1:10" ht="21" customHeight="1" x14ac:dyDescent="0.15">
      <c r="A19" s="104">
        <v>13301432</v>
      </c>
      <c r="B19" s="104">
        <v>0</v>
      </c>
      <c r="C19" s="104">
        <v>100</v>
      </c>
      <c r="D19" s="104">
        <v>100</v>
      </c>
      <c r="E19" s="104" t="s">
        <v>87</v>
      </c>
      <c r="F19" s="104" t="s">
        <v>87</v>
      </c>
      <c r="G19" s="104">
        <v>1</v>
      </c>
      <c r="H19" s="104" t="s">
        <v>87</v>
      </c>
      <c r="I19" s="104" t="s">
        <v>87</v>
      </c>
      <c r="J19" s="46">
        <f t="shared" si="0"/>
        <v>100</v>
      </c>
    </row>
  </sheetData>
  <autoFilter ref="A1:G1"/>
  <phoneticPr fontId="5"/>
  <conditionalFormatting sqref="K1:K1048576">
    <cfRule type="duplicateValues" dxfId="0" priority="1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>
      <selection activeCell="D17" sqref="D1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147</v>
      </c>
      <c r="B1" s="63" t="s">
        <v>148</v>
      </c>
      <c r="C1" s="64" t="s">
        <v>149</v>
      </c>
      <c r="D1" s="70" t="s">
        <v>150</v>
      </c>
      <c r="E1" s="65" t="s">
        <v>151</v>
      </c>
      <c r="F1" s="63" t="s">
        <v>152</v>
      </c>
      <c r="G1" s="63" t="s">
        <v>153</v>
      </c>
      <c r="H1" s="63" t="s">
        <v>154</v>
      </c>
      <c r="I1" s="63" t="s">
        <v>155</v>
      </c>
      <c r="J1" s="63" t="s">
        <v>156</v>
      </c>
      <c r="K1" s="63" t="s">
        <v>157</v>
      </c>
      <c r="L1" s="63" t="s">
        <v>158</v>
      </c>
      <c r="M1" s="63" t="s">
        <v>159</v>
      </c>
      <c r="N1" s="63" t="s">
        <v>160</v>
      </c>
      <c r="O1" s="63" t="s">
        <v>161</v>
      </c>
      <c r="P1" s="63" t="s">
        <v>162</v>
      </c>
      <c r="Q1" s="63" t="s">
        <v>163</v>
      </c>
      <c r="R1" s="63" t="s">
        <v>164</v>
      </c>
    </row>
    <row r="2" spans="1:18" x14ac:dyDescent="0.15">
      <c r="A2" s="55">
        <v>13301</v>
      </c>
      <c r="B2" s="55">
        <v>5</v>
      </c>
      <c r="C2" s="69" t="str">
        <f>A2&amp; "_"&amp;B2</f>
        <v>13301_5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255</v>
      </c>
      <c r="G2" s="55">
        <v>121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80</v>
      </c>
      <c r="Q2" s="55" t="s">
        <v>165</v>
      </c>
      <c r="R2" s="55" t="s">
        <v>166</v>
      </c>
    </row>
    <row r="3" spans="1:18" x14ac:dyDescent="0.15">
      <c r="A3" s="55">
        <v>13301</v>
      </c>
      <c r="B3" s="55">
        <v>5</v>
      </c>
      <c r="C3" s="69" t="str">
        <f t="shared" ref="C3:C8" si="0">A3&amp; "_"&amp;B3</f>
        <v>13301_5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255</v>
      </c>
      <c r="G3" s="55">
        <v>607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190</v>
      </c>
      <c r="Q3" s="55" t="s">
        <v>165</v>
      </c>
      <c r="R3" s="55" t="s">
        <v>166</v>
      </c>
    </row>
    <row r="4" spans="1:18" x14ac:dyDescent="0.15">
      <c r="A4" s="55">
        <v>13301</v>
      </c>
      <c r="B4" s="55">
        <v>5</v>
      </c>
      <c r="C4" s="69" t="str">
        <f t="shared" si="0"/>
        <v>13301_5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255</v>
      </c>
      <c r="G4" s="55">
        <v>611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50</v>
      </c>
      <c r="Q4" s="55" t="s">
        <v>165</v>
      </c>
      <c r="R4" s="55" t="s">
        <v>166</v>
      </c>
    </row>
    <row r="5" spans="1:18" x14ac:dyDescent="0.15">
      <c r="A5" s="55">
        <v>13301</v>
      </c>
      <c r="B5" s="55">
        <v>5</v>
      </c>
      <c r="C5" s="69" t="str">
        <f t="shared" ref="C5" si="1">A5&amp; "_"&amp;B5</f>
        <v>13301_5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255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40</v>
      </c>
      <c r="Q5" s="55" t="s">
        <v>165</v>
      </c>
      <c r="R5" s="55" t="s">
        <v>166</v>
      </c>
    </row>
    <row r="6" spans="1:18" x14ac:dyDescent="0.15">
      <c r="A6" s="55">
        <v>13301</v>
      </c>
      <c r="B6" s="55">
        <v>5</v>
      </c>
      <c r="C6" s="69" t="str">
        <f t="shared" si="0"/>
        <v>13301_5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255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30</v>
      </c>
      <c r="Q6" s="55" t="s">
        <v>165</v>
      </c>
      <c r="R6" s="55" t="s">
        <v>166</v>
      </c>
    </row>
    <row r="7" spans="1:18" x14ac:dyDescent="0.15">
      <c r="A7" s="55">
        <v>13301</v>
      </c>
      <c r="B7" s="55">
        <v>5</v>
      </c>
      <c r="C7" s="69" t="str">
        <f t="shared" si="0"/>
        <v>13301_5</v>
      </c>
      <c r="D7" s="18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255</v>
      </c>
      <c r="G7" s="55">
        <v>346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30</v>
      </c>
      <c r="Q7" s="55" t="s">
        <v>165</v>
      </c>
      <c r="R7" s="55" t="s">
        <v>166</v>
      </c>
    </row>
    <row r="8" spans="1:18" x14ac:dyDescent="0.15">
      <c r="A8" s="55">
        <v>13301</v>
      </c>
      <c r="B8" s="55">
        <v>5</v>
      </c>
      <c r="C8" s="69" t="str">
        <f t="shared" si="0"/>
        <v>13301_5</v>
      </c>
      <c r="D8" s="18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255</v>
      </c>
      <c r="G8" s="55">
        <v>347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580</v>
      </c>
      <c r="Q8" s="55" t="s">
        <v>165</v>
      </c>
      <c r="R8" s="55" t="s">
        <v>166</v>
      </c>
    </row>
  </sheetData>
  <phoneticPr fontId="5"/>
  <dataValidations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E9" sqref="E9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184</v>
      </c>
      <c r="B1" s="71" t="s">
        <v>185</v>
      </c>
      <c r="C1" s="75" t="s">
        <v>186</v>
      </c>
      <c r="D1" s="75" t="s">
        <v>33</v>
      </c>
      <c r="E1" s="71" t="s">
        <v>187</v>
      </c>
      <c r="F1" s="75" t="s">
        <v>188</v>
      </c>
      <c r="G1" s="75" t="s">
        <v>33</v>
      </c>
      <c r="H1" s="71" t="s">
        <v>189</v>
      </c>
      <c r="I1" s="88" t="s">
        <v>191</v>
      </c>
      <c r="J1" s="77" t="s">
        <v>124</v>
      </c>
      <c r="K1" s="76" t="s">
        <v>182</v>
      </c>
      <c r="L1" s="89" t="s">
        <v>181</v>
      </c>
      <c r="M1" s="78" t="s">
        <v>192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"/>
  <sheetViews>
    <sheetView showGridLines="0" workbookViewId="0">
      <pane ySplit="1" topLeftCell="A2" activePane="bottomLeft" state="frozen"/>
      <selection pane="bottomLeft" activeCell="I7" sqref="I7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184</v>
      </c>
      <c r="B1" s="71" t="s">
        <v>147</v>
      </c>
      <c r="C1" s="75" t="s">
        <v>186</v>
      </c>
      <c r="D1" s="75" t="s">
        <v>33</v>
      </c>
      <c r="E1" s="71" t="s">
        <v>187</v>
      </c>
      <c r="F1" s="75" t="s">
        <v>18</v>
      </c>
      <c r="G1" s="75" t="s">
        <v>33</v>
      </c>
      <c r="H1" s="71" t="s">
        <v>189</v>
      </c>
      <c r="I1" s="86" t="s">
        <v>190</v>
      </c>
      <c r="J1" s="88" t="s">
        <v>191</v>
      </c>
      <c r="K1" s="77" t="s">
        <v>124</v>
      </c>
      <c r="L1" s="76" t="s">
        <v>182</v>
      </c>
      <c r="M1" s="89" t="s">
        <v>181</v>
      </c>
      <c r="N1" s="78" t="s">
        <v>192</v>
      </c>
    </row>
    <row r="2" spans="1:14" ht="56" x14ac:dyDescent="0.15">
      <c r="A2" s="79" t="s">
        <v>193</v>
      </c>
      <c r="B2" s="80">
        <v>13301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5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5階 コスト30以下限定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>
        <v>1</v>
      </c>
      <c r="I2" s="87">
        <f>ROW()-1</f>
        <v>1</v>
      </c>
      <c r="J2" s="103">
        <v>13301400</v>
      </c>
      <c r="K2" s="82" t="s">
        <v>258</v>
      </c>
      <c r="L2" s="84" t="s">
        <v>194</v>
      </c>
      <c r="M2" s="102" t="s">
        <v>292</v>
      </c>
      <c r="N2" s="55" t="s">
        <v>257</v>
      </c>
    </row>
    <row r="3" spans="1:14" ht="70" x14ac:dyDescent="0.15">
      <c r="A3" s="79" t="s">
        <v>193</v>
      </c>
      <c r="B3" s="80">
        <v>13301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5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5階 コスト30以下限定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>
        <v>1</v>
      </c>
      <c r="I3" s="87">
        <f>ROW()-1</f>
        <v>2</v>
      </c>
      <c r="J3" s="103">
        <v>13301401</v>
      </c>
      <c r="K3" s="82" t="s">
        <v>258</v>
      </c>
      <c r="L3" s="84" t="s">
        <v>194</v>
      </c>
      <c r="M3" s="102" t="s">
        <v>318</v>
      </c>
      <c r="N3" s="55" t="s">
        <v>257</v>
      </c>
    </row>
    <row r="4" spans="1:14" ht="70" x14ac:dyDescent="0.15">
      <c r="A4" s="79" t="s">
        <v>193</v>
      </c>
      <c r="B4" s="80">
        <v>13301</v>
      </c>
      <c r="C4" s="81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1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2">
        <v>5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5階 コスト30以下限定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3">
        <v>2</v>
      </c>
      <c r="I4" s="87">
        <f t="shared" ref="I4:I5" si="0">ROW()-1</f>
        <v>3</v>
      </c>
      <c r="J4" s="103">
        <v>13301402</v>
      </c>
      <c r="K4" s="82" t="s">
        <v>259</v>
      </c>
      <c r="L4" s="84" t="s">
        <v>194</v>
      </c>
      <c r="M4" s="102" t="s">
        <v>260</v>
      </c>
      <c r="N4" s="55" t="s">
        <v>257</v>
      </c>
    </row>
    <row r="5" spans="1:14" ht="56" x14ac:dyDescent="0.15">
      <c r="A5" s="79" t="s">
        <v>193</v>
      </c>
      <c r="B5" s="80">
        <v>13301</v>
      </c>
      <c r="C5" s="81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1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2">
        <v>5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5階 コスト30以下限定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3">
        <v>2</v>
      </c>
      <c r="I5" s="87">
        <f t="shared" si="0"/>
        <v>4</v>
      </c>
      <c r="J5" s="103">
        <v>13301403</v>
      </c>
      <c r="K5" s="82" t="s">
        <v>259</v>
      </c>
      <c r="L5" s="84" t="s">
        <v>194</v>
      </c>
      <c r="M5" s="102" t="s">
        <v>261</v>
      </c>
      <c r="N5" s="55" t="s">
        <v>262</v>
      </c>
    </row>
  </sheetData>
  <phoneticPr fontId="5"/>
  <dataValidations count="1">
    <dataValidation type="list" allowBlank="1" showInputMessage="1" showErrorMessage="1" sqref="A2:A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C13" sqref="C1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206</v>
      </c>
      <c r="B1" s="92" t="s">
        <v>207</v>
      </c>
      <c r="C1" s="75" t="s">
        <v>208</v>
      </c>
      <c r="D1" s="75" t="s">
        <v>33</v>
      </c>
      <c r="E1" s="92" t="s">
        <v>209</v>
      </c>
      <c r="F1" s="75" t="s">
        <v>210</v>
      </c>
      <c r="G1" s="75" t="s">
        <v>33</v>
      </c>
      <c r="H1" s="92" t="s">
        <v>211</v>
      </c>
      <c r="I1" s="92" t="s">
        <v>212</v>
      </c>
      <c r="J1" s="92" t="s">
        <v>213</v>
      </c>
      <c r="K1" s="71" t="s">
        <v>214</v>
      </c>
      <c r="L1" s="71" t="s">
        <v>215</v>
      </c>
      <c r="M1" s="71" t="s">
        <v>153</v>
      </c>
      <c r="N1" s="75" t="s">
        <v>16</v>
      </c>
      <c r="O1" s="71" t="s">
        <v>216</v>
      </c>
      <c r="P1" s="71" t="s">
        <v>56</v>
      </c>
      <c r="Q1" s="71" t="s">
        <v>217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218</v>
      </c>
      <c r="X1" s="71" t="s">
        <v>219</v>
      </c>
    </row>
    <row r="2" spans="1:24" x14ac:dyDescent="0.15">
      <c r="A2" s="93" t="str">
        <f>B2&amp;"_"&amp;E2&amp;"_"&amp;H2&amp;"_"&amp;I2&amp;"_"&amp;J2</f>
        <v>13301_5_singleonly_clear_1</v>
      </c>
      <c r="B2" s="80">
        <v>13301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5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5階 コスト30以下限定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 t="s">
        <v>248</v>
      </c>
      <c r="I2" s="82" t="s">
        <v>249</v>
      </c>
      <c r="J2" s="82">
        <v>1</v>
      </c>
      <c r="K2" s="82">
        <v>690</v>
      </c>
      <c r="L2" s="82" t="s">
        <v>250</v>
      </c>
      <c r="M2" s="82">
        <v>15000</v>
      </c>
      <c r="N2" s="94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2" t="s">
        <v>87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5" t="s">
        <v>220</v>
      </c>
      <c r="X2" s="96" t="s">
        <v>221</v>
      </c>
    </row>
    <row r="3" spans="1:24" x14ac:dyDescent="0.15">
      <c r="A3" s="93" t="str">
        <f>B3&amp;"_"&amp;E3&amp;"_"&amp;H3&amp;"_"&amp;I3&amp;"_"&amp;J3</f>
        <v>13301_5_singleonly_clear_2</v>
      </c>
      <c r="B3" s="80">
        <v>13301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5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5階 コスト30以下限定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 t="s">
        <v>251</v>
      </c>
      <c r="I3" s="82" t="s">
        <v>252</v>
      </c>
      <c r="J3" s="82">
        <v>2</v>
      </c>
      <c r="K3" s="82">
        <v>310</v>
      </c>
      <c r="L3" s="82" t="s">
        <v>253</v>
      </c>
      <c r="M3" s="82">
        <v>50000</v>
      </c>
      <c r="N3" s="94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2" t="s">
        <v>254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5" t="s">
        <v>220</v>
      </c>
      <c r="X3" s="96" t="s">
        <v>221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2016-11-14T00:27:41Z</dcterms:modified>
</cp:coreProperties>
</file>