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1120" yWindow="1120" windowWidth="24480" windowHeight="14880" tabRatio="721" activeTab="1"/>
  </bookViews>
  <sheets>
    <sheet name="output" sheetId="10" r:id="rId1"/>
    <sheet name="stage_hints" sheetId="3" r:id="rId2"/>
    <sheet name="Sheet1" sheetId="11" r:id="rId3"/>
  </sheets>
  <externalReferences>
    <externalReference r:id="rId4"/>
    <externalReference r:id="rId5"/>
  </externalReferences>
  <definedNames>
    <definedName name="_xlnm._FilterDatabase" localSheetId="1" hidden="1">stage_hints!$C$1:$M$1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3" l="1"/>
  <c r="M3" i="3"/>
  <c r="L4" i="3"/>
  <c r="M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L25" i="3"/>
  <c r="M25" i="3"/>
  <c r="L26" i="3"/>
  <c r="M26" i="3"/>
  <c r="L27" i="3"/>
  <c r="M27" i="3"/>
  <c r="L28" i="3"/>
  <c r="M28" i="3"/>
  <c r="L29" i="3"/>
  <c r="M29" i="3"/>
  <c r="L30" i="3"/>
  <c r="M30" i="3"/>
  <c r="L31" i="3"/>
  <c r="M31" i="3"/>
  <c r="L32" i="3"/>
  <c r="M32" i="3"/>
  <c r="L33" i="3"/>
  <c r="M33" i="3"/>
  <c r="L34" i="3"/>
  <c r="M34" i="3"/>
  <c r="L35" i="3"/>
  <c r="M35" i="3"/>
  <c r="L36" i="3"/>
  <c r="M36" i="3"/>
  <c r="L37" i="3"/>
  <c r="M37" i="3"/>
  <c r="L38" i="3"/>
  <c r="M38" i="3"/>
  <c r="L39" i="3"/>
  <c r="M39" i="3"/>
  <c r="L40" i="3"/>
  <c r="M40" i="3"/>
  <c r="L41" i="3"/>
  <c r="M41" i="3"/>
  <c r="L42" i="3"/>
  <c r="M42" i="3"/>
  <c r="L43" i="3"/>
  <c r="M43" i="3"/>
  <c r="L44" i="3"/>
  <c r="M44" i="3"/>
  <c r="L45" i="3"/>
  <c r="M45" i="3"/>
  <c r="L46" i="3"/>
  <c r="M46" i="3"/>
  <c r="L47" i="3"/>
  <c r="M47" i="3"/>
  <c r="L48" i="3"/>
  <c r="M48" i="3"/>
  <c r="L49" i="3"/>
  <c r="M49" i="3"/>
  <c r="L50" i="3"/>
  <c r="M50" i="3"/>
  <c r="L51" i="3"/>
  <c r="M51" i="3"/>
  <c r="L52" i="3"/>
  <c r="M52" i="3"/>
  <c r="L53" i="3"/>
  <c r="M53" i="3"/>
  <c r="L54" i="3"/>
  <c r="M54" i="3"/>
  <c r="L55" i="3"/>
  <c r="M55" i="3"/>
  <c r="L56" i="3"/>
  <c r="M56" i="3"/>
  <c r="L57" i="3"/>
  <c r="M57" i="3"/>
  <c r="L58" i="3"/>
  <c r="M58" i="3"/>
  <c r="L59" i="3"/>
  <c r="M59" i="3"/>
  <c r="L60" i="3"/>
  <c r="M60" i="3"/>
  <c r="L61" i="3"/>
  <c r="M61" i="3"/>
  <c r="L62" i="3"/>
  <c r="M62" i="3"/>
  <c r="L63" i="3"/>
  <c r="M63" i="3"/>
  <c r="L64" i="3"/>
  <c r="M64" i="3"/>
  <c r="L65" i="3"/>
  <c r="M65" i="3"/>
  <c r="L66" i="3"/>
  <c r="M66" i="3"/>
  <c r="L67" i="3"/>
  <c r="M67" i="3"/>
  <c r="L68" i="3"/>
  <c r="M68" i="3"/>
  <c r="L69" i="3"/>
  <c r="M69" i="3"/>
  <c r="L70" i="3"/>
  <c r="M70" i="3"/>
  <c r="L71" i="3"/>
  <c r="M71" i="3"/>
  <c r="L72" i="3"/>
  <c r="M72" i="3"/>
  <c r="L73" i="3"/>
  <c r="M73" i="3"/>
  <c r="L74" i="3"/>
  <c r="M74" i="3"/>
  <c r="L75" i="3"/>
  <c r="M75" i="3"/>
  <c r="L76" i="3"/>
  <c r="M76" i="3"/>
  <c r="L77" i="3"/>
  <c r="M77" i="3"/>
  <c r="L78" i="3"/>
  <c r="M78" i="3"/>
  <c r="L79" i="3"/>
  <c r="M79" i="3"/>
  <c r="L80" i="3"/>
  <c r="M80" i="3"/>
  <c r="L81" i="3"/>
  <c r="M81" i="3"/>
  <c r="L82" i="3"/>
  <c r="M82" i="3"/>
  <c r="L83" i="3"/>
  <c r="M83" i="3"/>
  <c r="L84" i="3"/>
  <c r="M84" i="3"/>
  <c r="L85" i="3"/>
  <c r="M85" i="3"/>
  <c r="L86" i="3"/>
  <c r="M86" i="3"/>
  <c r="L87" i="3"/>
  <c r="M87" i="3"/>
  <c r="L88" i="3"/>
  <c r="M88" i="3"/>
  <c r="L89" i="3"/>
  <c r="M89" i="3"/>
  <c r="L90" i="3"/>
  <c r="M90" i="3"/>
  <c r="L91" i="3"/>
  <c r="M91" i="3"/>
  <c r="L92" i="3"/>
  <c r="M92" i="3"/>
  <c r="L93" i="3"/>
  <c r="M93" i="3"/>
  <c r="L94" i="3"/>
  <c r="M94" i="3"/>
  <c r="L95" i="3"/>
  <c r="M95" i="3"/>
  <c r="L96" i="3"/>
  <c r="M96" i="3"/>
  <c r="L97" i="3"/>
  <c r="M97" i="3"/>
  <c r="L98" i="3"/>
  <c r="M98" i="3"/>
  <c r="L99" i="3"/>
  <c r="M99" i="3"/>
  <c r="L100" i="3"/>
  <c r="M100" i="3"/>
  <c r="L101" i="3"/>
  <c r="M101" i="3"/>
  <c r="L102" i="3"/>
  <c r="M102" i="3"/>
  <c r="L103" i="3"/>
  <c r="M103" i="3"/>
  <c r="L104" i="3"/>
  <c r="M104" i="3"/>
  <c r="L105" i="3"/>
  <c r="M105" i="3"/>
  <c r="L106" i="3"/>
  <c r="M106" i="3"/>
  <c r="L107" i="3"/>
  <c r="M107" i="3"/>
  <c r="L108" i="3"/>
  <c r="M108" i="3"/>
  <c r="L109" i="3"/>
  <c r="M109" i="3"/>
  <c r="L110" i="3"/>
  <c r="M110" i="3"/>
  <c r="L111" i="3"/>
  <c r="M111" i="3"/>
  <c r="L112" i="3"/>
  <c r="M112" i="3"/>
  <c r="L113" i="3"/>
  <c r="M113" i="3"/>
  <c r="L114" i="3"/>
  <c r="M114" i="3"/>
  <c r="L115" i="3"/>
  <c r="M115" i="3"/>
  <c r="L116" i="3"/>
  <c r="M116" i="3"/>
  <c r="L117" i="3"/>
  <c r="M117" i="3"/>
  <c r="L118" i="3"/>
  <c r="M118" i="3"/>
  <c r="L119" i="3"/>
  <c r="M119" i="3"/>
  <c r="L120" i="3"/>
  <c r="M120" i="3"/>
  <c r="L121" i="3"/>
  <c r="M121" i="3"/>
  <c r="L122" i="3"/>
  <c r="M122" i="3"/>
  <c r="L123" i="3"/>
  <c r="M123" i="3"/>
  <c r="L124" i="3"/>
  <c r="M124" i="3"/>
  <c r="L125" i="3"/>
  <c r="M125" i="3"/>
  <c r="L126" i="3"/>
  <c r="M126" i="3"/>
  <c r="L127" i="3"/>
  <c r="M127" i="3"/>
  <c r="L128" i="3"/>
  <c r="M128" i="3"/>
  <c r="L129" i="3"/>
  <c r="M129" i="3"/>
  <c r="L130" i="3"/>
  <c r="M130" i="3"/>
  <c r="L131" i="3"/>
  <c r="M131" i="3"/>
  <c r="L132" i="3"/>
  <c r="M132" i="3"/>
  <c r="M2" i="3"/>
  <c r="L2" i="3"/>
  <c r="H125" i="3"/>
  <c r="G125" i="3"/>
  <c r="E125" i="3"/>
  <c r="D125" i="3"/>
  <c r="A125" i="3"/>
  <c r="H111" i="3"/>
  <c r="G111" i="3"/>
  <c r="E111" i="3"/>
  <c r="D111" i="3"/>
  <c r="A111" i="3"/>
  <c r="H132" i="3"/>
  <c r="G132" i="3"/>
  <c r="E132" i="3"/>
  <c r="D132" i="3"/>
  <c r="A132" i="3"/>
  <c r="H131" i="3"/>
  <c r="G131" i="3"/>
  <c r="E131" i="3"/>
  <c r="D131" i="3"/>
  <c r="A131" i="3"/>
  <c r="H130" i="3"/>
  <c r="G130" i="3"/>
  <c r="E130" i="3"/>
  <c r="D130" i="3"/>
  <c r="A130" i="3"/>
  <c r="H129" i="3"/>
  <c r="G129" i="3"/>
  <c r="E129" i="3"/>
  <c r="D129" i="3"/>
  <c r="A129" i="3"/>
  <c r="H128" i="3"/>
  <c r="G128" i="3"/>
  <c r="E128" i="3"/>
  <c r="D128" i="3"/>
  <c r="A128" i="3"/>
  <c r="H127" i="3"/>
  <c r="G127" i="3"/>
  <c r="E127" i="3"/>
  <c r="D127" i="3"/>
  <c r="A127" i="3"/>
  <c r="H126" i="3"/>
  <c r="G126" i="3"/>
  <c r="E126" i="3"/>
  <c r="D126" i="3"/>
  <c r="A126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A124" i="3"/>
  <c r="G124" i="3"/>
  <c r="H124" i="3"/>
  <c r="H123" i="3"/>
  <c r="G123" i="3"/>
  <c r="A123" i="3"/>
  <c r="H122" i="3"/>
  <c r="G122" i="3"/>
  <c r="A122" i="3"/>
  <c r="H121" i="3"/>
  <c r="G121" i="3"/>
  <c r="A121" i="3"/>
  <c r="H120" i="3"/>
  <c r="G120" i="3"/>
  <c r="A120" i="3"/>
  <c r="H119" i="3"/>
  <c r="G119" i="3"/>
  <c r="A119" i="3"/>
  <c r="H118" i="3"/>
  <c r="G118" i="3"/>
  <c r="A118" i="3"/>
  <c r="H117" i="3"/>
  <c r="G117" i="3"/>
  <c r="A117" i="3"/>
  <c r="H116" i="3"/>
  <c r="G116" i="3"/>
  <c r="A116" i="3"/>
  <c r="H115" i="3"/>
  <c r="G115" i="3"/>
  <c r="A115" i="3"/>
  <c r="H114" i="3"/>
  <c r="G114" i="3"/>
  <c r="A114" i="3"/>
  <c r="H113" i="3"/>
  <c r="G113" i="3"/>
  <c r="A113" i="3"/>
  <c r="H112" i="3"/>
  <c r="G112" i="3"/>
  <c r="E112" i="3"/>
  <c r="D112" i="3"/>
  <c r="A112" i="3"/>
  <c r="D99" i="3"/>
  <c r="E99" i="3"/>
  <c r="G99" i="3"/>
  <c r="H99" i="3"/>
  <c r="D100" i="3"/>
  <c r="E100" i="3"/>
  <c r="G100" i="3"/>
  <c r="H100" i="3"/>
  <c r="D101" i="3"/>
  <c r="E101" i="3"/>
  <c r="G101" i="3"/>
  <c r="H101" i="3"/>
  <c r="D102" i="3"/>
  <c r="E102" i="3"/>
  <c r="G102" i="3"/>
  <c r="H102" i="3"/>
  <c r="D103" i="3"/>
  <c r="E103" i="3"/>
  <c r="G103" i="3"/>
  <c r="H103" i="3"/>
  <c r="D104" i="3"/>
  <c r="E104" i="3"/>
  <c r="G104" i="3"/>
  <c r="H104" i="3"/>
  <c r="D105" i="3"/>
  <c r="E105" i="3"/>
  <c r="G105" i="3"/>
  <c r="H105" i="3"/>
  <c r="D106" i="3"/>
  <c r="E106" i="3"/>
  <c r="G106" i="3"/>
  <c r="H106" i="3"/>
  <c r="D107" i="3"/>
  <c r="E107" i="3"/>
  <c r="G107" i="3"/>
  <c r="H107" i="3"/>
  <c r="D108" i="3"/>
  <c r="E108" i="3"/>
  <c r="G108" i="3"/>
  <c r="H108" i="3"/>
  <c r="D109" i="3"/>
  <c r="E109" i="3"/>
  <c r="G109" i="3"/>
  <c r="H109" i="3"/>
  <c r="D110" i="3"/>
  <c r="E110" i="3"/>
  <c r="G110" i="3"/>
  <c r="H110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H98" i="3"/>
  <c r="G98" i="3"/>
  <c r="E98" i="3"/>
  <c r="D98" i="3"/>
  <c r="A98" i="3"/>
  <c r="H97" i="3"/>
  <c r="G97" i="3"/>
  <c r="E97" i="3"/>
  <c r="D97" i="3"/>
  <c r="A97" i="3"/>
  <c r="A72" i="3"/>
  <c r="A96" i="3"/>
  <c r="D96" i="3"/>
  <c r="E96" i="3"/>
  <c r="G96" i="3"/>
  <c r="H96" i="3"/>
  <c r="H95" i="3"/>
  <c r="G95" i="3"/>
  <c r="E95" i="3"/>
  <c r="D95" i="3"/>
  <c r="A95" i="3"/>
  <c r="H94" i="3"/>
  <c r="G94" i="3"/>
  <c r="E94" i="3"/>
  <c r="D94" i="3"/>
  <c r="A94" i="3"/>
  <c r="H93" i="3"/>
  <c r="G93" i="3"/>
  <c r="E93" i="3"/>
  <c r="D93" i="3"/>
  <c r="A93" i="3"/>
  <c r="H92" i="3"/>
  <c r="G92" i="3"/>
  <c r="E92" i="3"/>
  <c r="D92" i="3"/>
  <c r="A92" i="3"/>
  <c r="H91" i="3"/>
  <c r="G91" i="3"/>
  <c r="E91" i="3"/>
  <c r="D91" i="3"/>
  <c r="A91" i="3"/>
  <c r="H90" i="3"/>
  <c r="G90" i="3"/>
  <c r="E90" i="3"/>
  <c r="D90" i="3"/>
  <c r="A90" i="3"/>
  <c r="H89" i="3"/>
  <c r="G89" i="3"/>
  <c r="E89" i="3"/>
  <c r="D89" i="3"/>
  <c r="A89" i="3"/>
  <c r="H88" i="3"/>
  <c r="G88" i="3"/>
  <c r="E88" i="3"/>
  <c r="D88" i="3"/>
  <c r="A88" i="3"/>
  <c r="H87" i="3"/>
  <c r="G87" i="3"/>
  <c r="E87" i="3"/>
  <c r="D87" i="3"/>
  <c r="A87" i="3"/>
  <c r="H86" i="3"/>
  <c r="G86" i="3"/>
  <c r="E86" i="3"/>
  <c r="D86" i="3"/>
  <c r="A86" i="3"/>
  <c r="H85" i="3"/>
  <c r="G85" i="3"/>
  <c r="E85" i="3"/>
  <c r="D85" i="3"/>
  <c r="A85" i="3"/>
  <c r="H84" i="3"/>
  <c r="G84" i="3"/>
  <c r="E84" i="3"/>
  <c r="D84" i="3"/>
  <c r="A84" i="3"/>
  <c r="A83" i="3"/>
  <c r="D83" i="3"/>
  <c r="E83" i="3"/>
  <c r="G83" i="3"/>
  <c r="H83" i="3"/>
  <c r="H82" i="3"/>
  <c r="G82" i="3"/>
  <c r="E82" i="3"/>
  <c r="D82" i="3"/>
  <c r="A82" i="3"/>
  <c r="H81" i="3"/>
  <c r="G81" i="3"/>
  <c r="E81" i="3"/>
  <c r="D81" i="3"/>
  <c r="A81" i="3"/>
  <c r="H80" i="3"/>
  <c r="G80" i="3"/>
  <c r="E80" i="3"/>
  <c r="D80" i="3"/>
  <c r="A80" i="3"/>
  <c r="H79" i="3"/>
  <c r="G79" i="3"/>
  <c r="E79" i="3"/>
  <c r="D79" i="3"/>
  <c r="A79" i="3"/>
  <c r="H78" i="3"/>
  <c r="G78" i="3"/>
  <c r="E78" i="3"/>
  <c r="D78" i="3"/>
  <c r="A78" i="3"/>
  <c r="H77" i="3"/>
  <c r="G77" i="3"/>
  <c r="E77" i="3"/>
  <c r="D77" i="3"/>
  <c r="A77" i="3"/>
  <c r="H76" i="3"/>
  <c r="G76" i="3"/>
  <c r="E76" i="3"/>
  <c r="D76" i="3"/>
  <c r="A76" i="3"/>
  <c r="H75" i="3"/>
  <c r="G75" i="3"/>
  <c r="E75" i="3"/>
  <c r="D75" i="3"/>
  <c r="A75" i="3"/>
  <c r="H74" i="3"/>
  <c r="G74" i="3"/>
  <c r="E74" i="3"/>
  <c r="D74" i="3"/>
  <c r="A74" i="3"/>
  <c r="H73" i="3"/>
  <c r="G73" i="3"/>
  <c r="E73" i="3"/>
  <c r="D73" i="3"/>
  <c r="A73" i="3"/>
  <c r="H72" i="3"/>
  <c r="G72" i="3"/>
  <c r="E72" i="3"/>
  <c r="D72" i="3"/>
  <c r="A71" i="3"/>
  <c r="D71" i="3"/>
  <c r="E71" i="3"/>
  <c r="G71" i="3"/>
  <c r="H71" i="3"/>
  <c r="H70" i="3"/>
  <c r="G70" i="3"/>
  <c r="E70" i="3"/>
  <c r="D70" i="3"/>
  <c r="A70" i="3"/>
  <c r="H69" i="3"/>
  <c r="G69" i="3"/>
  <c r="E69" i="3"/>
  <c r="D69" i="3"/>
  <c r="A69" i="3"/>
  <c r="H68" i="3"/>
  <c r="G68" i="3"/>
  <c r="E68" i="3"/>
  <c r="D68" i="3"/>
  <c r="A68" i="3"/>
  <c r="H67" i="3"/>
  <c r="G67" i="3"/>
  <c r="E67" i="3"/>
  <c r="D67" i="3"/>
  <c r="A67" i="3"/>
  <c r="H66" i="3"/>
  <c r="G66" i="3"/>
  <c r="E66" i="3"/>
  <c r="D66" i="3"/>
  <c r="A66" i="3"/>
  <c r="H65" i="3"/>
  <c r="G65" i="3"/>
  <c r="E65" i="3"/>
  <c r="D65" i="3"/>
  <c r="A65" i="3"/>
  <c r="H64" i="3"/>
  <c r="G64" i="3"/>
  <c r="E64" i="3"/>
  <c r="D64" i="3"/>
  <c r="A64" i="3"/>
  <c r="H63" i="3"/>
  <c r="G63" i="3"/>
  <c r="E63" i="3"/>
  <c r="D63" i="3"/>
  <c r="A63" i="3"/>
  <c r="H62" i="3"/>
  <c r="G62" i="3"/>
  <c r="E62" i="3"/>
  <c r="D62" i="3"/>
  <c r="A62" i="3"/>
  <c r="H61" i="3"/>
  <c r="G61" i="3"/>
  <c r="E61" i="3"/>
  <c r="D61" i="3"/>
  <c r="A61" i="3"/>
  <c r="A60" i="3"/>
  <c r="D60" i="3"/>
  <c r="E60" i="3"/>
  <c r="G60" i="3"/>
  <c r="H60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H59" i="3"/>
  <c r="G59" i="3"/>
  <c r="A59" i="3"/>
  <c r="H58" i="3"/>
  <c r="G58" i="3"/>
  <c r="A58" i="3"/>
  <c r="H57" i="3"/>
  <c r="G57" i="3"/>
  <c r="A57" i="3"/>
  <c r="H56" i="3"/>
  <c r="G56" i="3"/>
  <c r="A56" i="3"/>
  <c r="H55" i="3"/>
  <c r="G55" i="3"/>
  <c r="A55" i="3"/>
  <c r="H54" i="3"/>
  <c r="G54" i="3"/>
  <c r="A54" i="3"/>
  <c r="H53" i="3"/>
  <c r="G53" i="3"/>
  <c r="A53" i="3"/>
  <c r="H52" i="3"/>
  <c r="G52" i="3"/>
  <c r="A52" i="3"/>
  <c r="H51" i="3"/>
  <c r="G51" i="3"/>
  <c r="E51" i="3"/>
  <c r="D51" i="3"/>
  <c r="A51" i="3"/>
  <c r="A50" i="3"/>
  <c r="D50" i="3"/>
  <c r="E50" i="3"/>
  <c r="G50" i="3"/>
  <c r="H50" i="3"/>
  <c r="H49" i="3"/>
  <c r="G49" i="3"/>
  <c r="E49" i="3"/>
  <c r="D49" i="3"/>
  <c r="A49" i="3"/>
  <c r="H48" i="3"/>
  <c r="G48" i="3"/>
  <c r="E48" i="3"/>
  <c r="D48" i="3"/>
  <c r="A48" i="3"/>
  <c r="H47" i="3"/>
  <c r="G47" i="3"/>
  <c r="E47" i="3"/>
  <c r="D47" i="3"/>
  <c r="A47" i="3"/>
  <c r="H46" i="3"/>
  <c r="G46" i="3"/>
  <c r="E46" i="3"/>
  <c r="D46" i="3"/>
  <c r="A46" i="3"/>
  <c r="H45" i="3"/>
  <c r="G45" i="3"/>
  <c r="E45" i="3"/>
  <c r="D45" i="3"/>
  <c r="A45" i="3"/>
  <c r="H44" i="3"/>
  <c r="G44" i="3"/>
  <c r="E44" i="3"/>
  <c r="D44" i="3"/>
  <c r="A44" i="3"/>
  <c r="H43" i="3"/>
  <c r="G43" i="3"/>
  <c r="E43" i="3"/>
  <c r="D43" i="3"/>
  <c r="A43" i="3"/>
  <c r="H42" i="3"/>
  <c r="G42" i="3"/>
  <c r="E42" i="3"/>
  <c r="D42" i="3"/>
  <c r="A42" i="3"/>
  <c r="A41" i="3"/>
  <c r="D41" i="3"/>
  <c r="E41" i="3"/>
  <c r="G41" i="3"/>
  <c r="H41" i="3"/>
  <c r="H40" i="3"/>
  <c r="G40" i="3"/>
  <c r="E40" i="3"/>
  <c r="D40" i="3"/>
  <c r="A40" i="3"/>
  <c r="H39" i="3"/>
  <c r="G39" i="3"/>
  <c r="E39" i="3"/>
  <c r="D39" i="3"/>
  <c r="A39" i="3"/>
  <c r="H38" i="3"/>
  <c r="G38" i="3"/>
  <c r="E38" i="3"/>
  <c r="D38" i="3"/>
  <c r="A38" i="3"/>
  <c r="H37" i="3"/>
  <c r="G37" i="3"/>
  <c r="E37" i="3"/>
  <c r="D37" i="3"/>
  <c r="A37" i="3"/>
  <c r="H36" i="3"/>
  <c r="G36" i="3"/>
  <c r="E36" i="3"/>
  <c r="D36" i="3"/>
  <c r="A36" i="3"/>
  <c r="H35" i="3"/>
  <c r="G35" i="3"/>
  <c r="E35" i="3"/>
  <c r="D35" i="3"/>
  <c r="A35" i="3"/>
  <c r="H34" i="3"/>
  <c r="G34" i="3"/>
  <c r="E34" i="3"/>
  <c r="D34" i="3"/>
  <c r="A34" i="3"/>
  <c r="A33" i="3"/>
  <c r="D33" i="3"/>
  <c r="E33" i="3"/>
  <c r="G33" i="3"/>
  <c r="H33" i="3"/>
  <c r="H32" i="3"/>
  <c r="G32" i="3"/>
  <c r="E32" i="3"/>
  <c r="D32" i="3"/>
  <c r="A32" i="3"/>
  <c r="H31" i="3"/>
  <c r="G31" i="3"/>
  <c r="E31" i="3"/>
  <c r="D31" i="3"/>
  <c r="A31" i="3"/>
  <c r="H30" i="3"/>
  <c r="G30" i="3"/>
  <c r="E30" i="3"/>
  <c r="D30" i="3"/>
  <c r="A30" i="3"/>
  <c r="H29" i="3"/>
  <c r="G29" i="3"/>
  <c r="E29" i="3"/>
  <c r="D29" i="3"/>
  <c r="A29" i="3"/>
  <c r="H28" i="3"/>
  <c r="G28" i="3"/>
  <c r="E28" i="3"/>
  <c r="D28" i="3"/>
  <c r="A28" i="3"/>
  <c r="H27" i="3"/>
  <c r="G27" i="3"/>
  <c r="E27" i="3"/>
  <c r="D27" i="3"/>
  <c r="A27" i="3"/>
  <c r="A26" i="3"/>
  <c r="D26" i="3"/>
  <c r="E26" i="3"/>
  <c r="G26" i="3"/>
  <c r="H26" i="3"/>
  <c r="H25" i="3"/>
  <c r="G25" i="3"/>
  <c r="E25" i="3"/>
  <c r="D25" i="3"/>
  <c r="A25" i="3"/>
  <c r="H24" i="3"/>
  <c r="G24" i="3"/>
  <c r="E24" i="3"/>
  <c r="D24" i="3"/>
  <c r="A24" i="3"/>
  <c r="H23" i="3"/>
  <c r="G23" i="3"/>
  <c r="E23" i="3"/>
  <c r="D23" i="3"/>
  <c r="A23" i="3"/>
  <c r="H22" i="3"/>
  <c r="G22" i="3"/>
  <c r="E22" i="3"/>
  <c r="D22" i="3"/>
  <c r="A22" i="3"/>
  <c r="H21" i="3"/>
  <c r="G21" i="3"/>
  <c r="E21" i="3"/>
  <c r="D21" i="3"/>
  <c r="A21" i="3"/>
  <c r="A20" i="3"/>
  <c r="D20" i="3"/>
  <c r="E20" i="3"/>
  <c r="G20" i="3"/>
  <c r="H20" i="3"/>
  <c r="H19" i="3"/>
  <c r="G19" i="3"/>
  <c r="E19" i="3"/>
  <c r="D19" i="3"/>
  <c r="A19" i="3"/>
  <c r="H18" i="3"/>
  <c r="G18" i="3"/>
  <c r="E18" i="3"/>
  <c r="D18" i="3"/>
  <c r="A18" i="3"/>
  <c r="H17" i="3"/>
  <c r="G17" i="3"/>
  <c r="E17" i="3"/>
  <c r="D17" i="3"/>
  <c r="A17" i="3"/>
  <c r="H16" i="3"/>
  <c r="G16" i="3"/>
  <c r="E16" i="3"/>
  <c r="D16" i="3"/>
  <c r="A16" i="3"/>
  <c r="A15" i="3"/>
  <c r="D15" i="3"/>
  <c r="E15" i="3"/>
  <c r="G15" i="3"/>
  <c r="H15" i="3"/>
  <c r="A3" i="3"/>
  <c r="D3" i="3"/>
  <c r="E3" i="3"/>
  <c r="G3" i="3"/>
  <c r="H3" i="3"/>
  <c r="A4" i="3"/>
  <c r="D4" i="3"/>
  <c r="E4" i="3"/>
  <c r="G4" i="3"/>
  <c r="H4" i="3"/>
  <c r="A5" i="3"/>
  <c r="D5" i="3"/>
  <c r="E5" i="3"/>
  <c r="G5" i="3"/>
  <c r="H5" i="3"/>
  <c r="A6" i="3"/>
  <c r="D6" i="3"/>
  <c r="E6" i="3"/>
  <c r="G6" i="3"/>
  <c r="H6" i="3"/>
  <c r="A7" i="3"/>
  <c r="D7" i="3"/>
  <c r="E7" i="3"/>
  <c r="G7" i="3"/>
  <c r="H7" i="3"/>
  <c r="A8" i="3"/>
  <c r="D8" i="3"/>
  <c r="E8" i="3"/>
  <c r="G8" i="3"/>
  <c r="H8" i="3"/>
  <c r="A9" i="3"/>
  <c r="D9" i="3"/>
  <c r="E9" i="3"/>
  <c r="G9" i="3"/>
  <c r="H9" i="3"/>
  <c r="A10" i="3"/>
  <c r="D10" i="3"/>
  <c r="E10" i="3"/>
  <c r="G10" i="3"/>
  <c r="H10" i="3"/>
  <c r="A11" i="3"/>
  <c r="D11" i="3"/>
  <c r="E11" i="3"/>
  <c r="G11" i="3"/>
  <c r="H11" i="3"/>
  <c r="A12" i="3"/>
  <c r="D12" i="3"/>
  <c r="E12" i="3"/>
  <c r="G12" i="3"/>
  <c r="H12" i="3"/>
  <c r="A13" i="3"/>
  <c r="D13" i="3"/>
  <c r="E13" i="3"/>
  <c r="G13" i="3"/>
  <c r="H13" i="3"/>
  <c r="A14" i="3"/>
  <c r="D14" i="3"/>
  <c r="E14" i="3"/>
  <c r="G14" i="3"/>
  <c r="H14" i="3"/>
  <c r="A2" i="3"/>
  <c r="D2" i="3"/>
  <c r="E2" i="3"/>
  <c r="G2" i="3"/>
  <c r="H2" i="3"/>
  <c r="E3" i="10"/>
  <c r="E2" i="10"/>
</calcChain>
</file>

<file path=xl/sharedStrings.xml><?xml version="1.0" encoding="utf-8"?>
<sst xmlns="http://schemas.openxmlformats.org/spreadsheetml/2006/main" count="512" uniqueCount="116">
  <si>
    <t>stage_id</t>
    <phoneticPr fontId="5"/>
  </si>
  <si>
    <t>hint</t>
    <phoneticPr fontId="5"/>
  </si>
  <si>
    <t>temp_id</t>
    <phoneticPr fontId="5"/>
  </si>
  <si>
    <t>name</t>
    <phoneticPr fontId="5"/>
  </si>
  <si>
    <t>位置付け</t>
    <rPh sb="0" eb="3">
      <t>イチヅ</t>
    </rPh>
    <phoneticPr fontId="5"/>
  </si>
  <si>
    <t>quest_id</t>
    <phoneticPr fontId="5"/>
  </si>
  <si>
    <t>hint_id</t>
    <phoneticPr fontId="5"/>
  </si>
  <si>
    <t>language</t>
    <phoneticPr fontId="5"/>
  </si>
  <si>
    <t>hint</t>
    <phoneticPr fontId="5"/>
  </si>
  <si>
    <t>stage_hints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</si>
  <si>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</si>
  <si>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</si>
  <si>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</si>
  <si>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</si>
  <si>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</si>
  <si>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</si>
  <si>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language</t>
    <phoneticPr fontId="5"/>
  </si>
  <si>
    <t>ja</t>
    <phoneticPr fontId="5"/>
  </si>
  <si>
    <t>出力flg</t>
    <rPh sb="0" eb="2">
      <t>シュツリョク</t>
    </rPh>
    <phoneticPr fontId="5"/>
  </si>
  <si>
    <t>old</t>
    <phoneticPr fontId="38"/>
  </si>
  <si>
    <t>floor_id</t>
    <phoneticPr fontId="5"/>
  </si>
  <si>
    <t>floor_id</t>
    <phoneticPr fontId="5"/>
  </si>
  <si>
    <t>filename</t>
  </si>
  <si>
    <t>filename</t>
    <phoneticPr fontId="5"/>
  </si>
  <si>
    <t>NULL</t>
    <phoneticPr fontId="5"/>
  </si>
  <si>
    <t>title</t>
    <phoneticPr fontId="5"/>
  </si>
  <si>
    <t>title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</si>
  <si>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</si>
  <si>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</si>
  <si>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</si>
  <si>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</si>
  <si>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hint_type</t>
    <phoneticPr fontId="5"/>
  </si>
  <si>
    <t>hint_type</t>
    <phoneticPr fontId="5"/>
  </si>
  <si>
    <t>complete</t>
  </si>
  <si>
    <t>お気に入り登録</t>
  </si>
  <si>
    <t>マルチプレイが熱い！　その3</t>
  </si>
  <si>
    <t>title</t>
  </si>
  <si>
    <t>hint</t>
  </si>
  <si>
    <t>長くつなげて大ダメージ</t>
  </si>
  <si>
    <t>敵の属性に対抗しよう！</t>
  </si>
  <si>
    <t>ターゲット</t>
  </si>
  <si>
    <t>ボーナスクエスト</t>
  </si>
  <si>
    <t>ユニット強化</t>
  </si>
  <si>
    <t>強化の属性ボーナス</t>
  </si>
  <si>
    <t>メタルダックをつかって強化しよう！</t>
  </si>
  <si>
    <t>ゲリラを見逃すな！</t>
  </si>
  <si>
    <t>ゴールドダックを売却すると大量ビット</t>
  </si>
  <si>
    <t>土日クエストで大量ビットをGET！！</t>
  </si>
  <si>
    <t>ランク解放クエスト</t>
  </si>
  <si>
    <t>ユニットを覚醒させよう！</t>
  </si>
  <si>
    <t>覚醒するにはレベルをMAXに！</t>
  </si>
  <si>
    <t>覚醒素材をGETしよう！</t>
  </si>
  <si>
    <t>マルチプレイが熱い！　その1</t>
  </si>
  <si>
    <t>リンクガチャを引いてみよう</t>
  </si>
  <si>
    <t>マルチプレイが熱い！　その2</t>
  </si>
  <si>
    <t>チャレンジタワー</t>
  </si>
  <si>
    <t>スキルを有効に使おう</t>
  </si>
  <si>
    <t>フィーバーを使って一発逆転</t>
  </si>
  <si>
    <t>フィーバーは虹パネルを狙おう！</t>
  </si>
  <si>
    <t>リンゴをつかって限界突破！</t>
  </si>
  <si>
    <t>クリスタルリンゴはスキルLvUP！</t>
  </si>
  <si>
    <t>スキルLv</t>
  </si>
  <si>
    <t>ホーム画面からデッキを編成！</t>
  </si>
  <si>
    <t>詳細情報は長押しで！</t>
  </si>
  <si>
    <t>ステータスのバグって何？</t>
  </si>
  <si>
    <t>ステータスのバグを増やす方法</t>
  </si>
  <si>
    <t>連続攻撃をしてくる敵には</t>
  </si>
  <si>
    <t>カウンターブレイク！</t>
  </si>
  <si>
    <t>敵のDOWNを上書きしよう！</t>
  </si>
  <si>
    <t>敵のUPを上書きしよう！</t>
  </si>
  <si>
    <t>チャレンジタワーのボス</t>
  </si>
  <si>
    <t>限界突破の引継</t>
  </si>
  <si>
    <t>tips_all_id</t>
    <phoneticPr fontId="5"/>
  </si>
  <si>
    <t>イベントを見逃すな！</t>
  </si>
  <si>
    <t>quest_id</t>
  </si>
  <si>
    <t>stage_id</t>
  </si>
  <si>
    <t>hint_tmp_id</t>
  </si>
  <si>
    <t>chozetsu</t>
    <phoneticPr fontId="5"/>
  </si>
  <si>
    <t>パネルを長くつなげればつなげるほど
敵に大ダメージを与えることが出来ます！</t>
    <rPh sb="4" eb="5">
      <t>ナガ</t>
    </rPh>
    <rPh sb="18" eb="19">
      <t>テキ</t>
    </rPh>
    <rPh sb="20" eb="21">
      <t>ダイ</t>
    </rPh>
    <rPh sb="26" eb="27">
      <t>アタ</t>
    </rPh>
    <rPh sb="32" eb="34">
      <t>デキ</t>
    </rPh>
    <phoneticPr fontId="5"/>
  </si>
  <si>
    <t>赤には青、青には黄、黄には緑、緑には赤
効果を発揮できるパーティ編成がオススメです！</t>
    <rPh sb="0" eb="1">
      <t>アカ</t>
    </rPh>
    <rPh sb="3" eb="4">
      <t>アオ</t>
    </rPh>
    <rPh sb="5" eb="6">
      <t>アオ</t>
    </rPh>
    <rPh sb="8" eb="9">
      <t>キイロ</t>
    </rPh>
    <rPh sb="10" eb="11">
      <t>キイロ</t>
    </rPh>
    <rPh sb="13" eb="14">
      <t>ミドリ</t>
    </rPh>
    <rPh sb="15" eb="16">
      <t>ミドリ</t>
    </rPh>
    <rPh sb="18" eb="19">
      <t>アカ</t>
    </rPh>
    <rPh sb="20" eb="22">
      <t>コウカ</t>
    </rPh>
    <rPh sb="23" eb="25">
      <t>ハッキ</t>
    </rPh>
    <rPh sb="32" eb="34">
      <t>ヘンセイ</t>
    </rPh>
    <phoneticPr fontId="5"/>
  </si>
  <si>
    <t>敵ユニットにタッチすると
その敵を狙い撃ちできます！</t>
    <rPh sb="15" eb="16">
      <t>テキ</t>
    </rPh>
    <phoneticPr fontId="5"/>
  </si>
  <si>
    <t>ノーマルクエストを進めると
ボーナスクエストが登場します！
どんどん先に進んでボーナスをGETしましょう！</t>
    <rPh sb="9" eb="10">
      <t>スス</t>
    </rPh>
    <rPh sb="23" eb="25">
      <t>トウジョウ</t>
    </rPh>
    <rPh sb="34" eb="35">
      <t>サキ</t>
    </rPh>
    <rPh sb="36" eb="37">
      <t>スス</t>
    </rPh>
    <phoneticPr fontId="5"/>
  </si>
  <si>
    <t>ユニット強化の際に
同じ属性のユニットを素材にすると
経験値にボーナスがつきます！</t>
    <rPh sb="4" eb="6">
      <t>キョウカ</t>
    </rPh>
    <rPh sb="7" eb="8">
      <t>サイ</t>
    </rPh>
    <rPh sb="20" eb="22">
      <t>ソザイ</t>
    </rPh>
    <phoneticPr fontId="5"/>
  </si>
  <si>
    <t>メタルピヨピヨやメタルダックなどの
「メタルなアヒル」を素材にして
ユニット強化をすると大量の経験値が入ります！</t>
    <rPh sb="28" eb="30">
      <t>ソザイ</t>
    </rPh>
    <rPh sb="38" eb="40">
      <t>キョウカ</t>
    </rPh>
    <rPh sb="44" eb="46">
      <t>タイリョウ</t>
    </rPh>
    <rPh sb="47" eb="50">
      <t>ケイケンチ</t>
    </rPh>
    <rPh sb="51" eb="52">
      <t>ハイ</t>
    </rPh>
    <phoneticPr fontId="5"/>
  </si>
  <si>
    <t>時間限定ゲリラクエスト
「【緊急!!】アヒル捕獲作戦」ではメタルダック等
経験値素材ユニットが多く手に入ります。要チェックです！</t>
    <rPh sb="0" eb="4">
      <t>ジカンゲンテイ</t>
    </rPh>
    <rPh sb="47" eb="49">
      <t>オオk</t>
    </rPh>
    <rPh sb="49" eb="52">
      <t xml:space="preserve"> </t>
    </rPh>
    <rPh sb="56" eb="57">
      <t>ヨウ</t>
    </rPh>
    <phoneticPr fontId="5"/>
  </si>
  <si>
    <t>ゴールドピヨピヨやゴールドダックなどの
「金アヒル」をユニット売却すると
大量のビットが手に入ります！</t>
    <rPh sb="21" eb="22">
      <t>キンイロ</t>
    </rPh>
    <rPh sb="31" eb="33">
      <t>バイキャク</t>
    </rPh>
    <rPh sb="37" eb="39">
      <t>タイリョウ</t>
    </rPh>
    <rPh sb="44" eb="45">
      <t>テ</t>
    </rPh>
    <rPh sb="46" eb="47">
      <t>ハイ</t>
    </rPh>
    <phoneticPr fontId="5"/>
  </si>
  <si>
    <t>売却すると大量ビットが手に入る
「ゴールドダック」は土日限定の
「ゴールドカジノ」で手に入ります！</t>
    <rPh sb="0" eb="2">
      <t>バイキャク</t>
    </rPh>
    <rPh sb="5" eb="7">
      <t>タイリョウ</t>
    </rPh>
    <rPh sb="11" eb="12">
      <t>テ</t>
    </rPh>
    <rPh sb="13" eb="14">
      <t>ハイ</t>
    </rPh>
    <rPh sb="26" eb="28">
      <t>ドニチ</t>
    </rPh>
    <rPh sb="28" eb="30">
      <t>ゲンテイ</t>
    </rPh>
    <rPh sb="42" eb="43">
      <t>テ</t>
    </rPh>
    <rPh sb="44" eb="45">
      <t>ハイ</t>
    </rPh>
    <phoneticPr fontId="5"/>
  </si>
  <si>
    <t>一定ランクに到達すると
新たにクエストが開放される場合があります。
ランク開放クエストをクリアして報酬をGETしましょう！</t>
    <rPh sb="0" eb="2">
      <t>イッテイ</t>
    </rPh>
    <rPh sb="6" eb="8">
      <t>トウタツ</t>
    </rPh>
    <rPh sb="12" eb="13">
      <t>アラ</t>
    </rPh>
    <rPh sb="25" eb="27">
      <t>バアイ</t>
    </rPh>
    <rPh sb="37" eb="39">
      <t>カイホウ</t>
    </rPh>
    <rPh sb="49" eb="51">
      <t>ホウシュウ</t>
    </rPh>
    <phoneticPr fontId="5"/>
  </si>
  <si>
    <t>大事なユニットは
フォルダからお気に入り登録しましょう！</t>
  </si>
  <si>
    <t>ユニットを覚醒させると
これまでとは比べものにならない強さを獲得できます！</t>
    <rPh sb="5" eb="7">
      <t>カクセイ</t>
    </rPh>
    <rPh sb="18" eb="19">
      <t>クラ</t>
    </rPh>
    <rPh sb="27" eb="28">
      <t>ツヨ</t>
    </rPh>
    <rPh sb="30" eb="32">
      <t>カクトク</t>
    </rPh>
    <phoneticPr fontId="5"/>
  </si>
  <si>
    <t>ユニットの更なる力を引き出すのが覚醒！
覚醒するにはユニットのレベルを
最大まで上げる必要があります！</t>
    <rPh sb="5" eb="6">
      <t>サラ</t>
    </rPh>
    <rPh sb="8" eb="9">
      <t>チカラ</t>
    </rPh>
    <rPh sb="10" eb="11">
      <t>ヒ</t>
    </rPh>
    <rPh sb="12" eb="13">
      <t>ダ</t>
    </rPh>
    <rPh sb="16" eb="18">
      <t>カクセイ</t>
    </rPh>
    <rPh sb="20" eb="22">
      <t>カクセイ</t>
    </rPh>
    <rPh sb="36" eb="38">
      <t>サイダイ</t>
    </rPh>
    <rPh sb="40" eb="41">
      <t>ア</t>
    </rPh>
    <rPh sb="43" eb="45">
      <t>ヒツヨウ</t>
    </rPh>
    <phoneticPr fontId="5"/>
  </si>
  <si>
    <t>覚醒に必要な覚醒素材は
「曜日クエスト」で手に入ります！</t>
    <rPh sb="0" eb="2">
      <t>カクセイ</t>
    </rPh>
    <rPh sb="3" eb="5">
      <t>ヒツヨウ</t>
    </rPh>
    <rPh sb="6" eb="8">
      <t>カクセイ</t>
    </rPh>
    <rPh sb="8" eb="10">
      <t>ソザイ</t>
    </rPh>
    <rPh sb="13" eb="15">
      <t>ヨウビ</t>
    </rPh>
    <rPh sb="21" eb="22">
      <t>テ</t>
    </rPh>
    <rPh sb="23" eb="24">
      <t>ハイ</t>
    </rPh>
    <phoneticPr fontId="5"/>
  </si>
  <si>
    <t>全国の友達とマルチプレイをすると
初顔合わせボーナスで100人まで
ポリゴンがもらえます！</t>
    <rPh sb="0" eb="2">
      <t>ゼンコク</t>
    </rPh>
    <rPh sb="3" eb="5">
      <t>トモダチ</t>
    </rPh>
    <rPh sb="17" eb="20">
      <t>ハツカオア</t>
    </rPh>
    <rPh sb="30" eb="31">
      <t>ニン</t>
    </rPh>
    <phoneticPr fontId="5"/>
  </si>
  <si>
    <t>リンクガチャを回すと
メタルダックやゴールドダックが出現しやすいです。
リンクガチャを回して強化素材をGETしましょう！</t>
    <rPh sb="7" eb="10">
      <t>マワs</t>
    </rPh>
    <rPh sb="26" eb="28">
      <t>シュツゲン</t>
    </rPh>
    <rPh sb="43" eb="44">
      <t>マワ</t>
    </rPh>
    <rPh sb="46" eb="50">
      <t>キョウカソザイ</t>
    </rPh>
    <phoneticPr fontId="5"/>
  </si>
  <si>
    <t>マルチプレイはもらえるリンクが2倍！
マルチで遊んでリンクガチャを回しましょう！</t>
    <rPh sb="16" eb="17">
      <t>バイ</t>
    </rPh>
    <rPh sb="23" eb="24">
      <t>アソ</t>
    </rPh>
    <rPh sb="33" eb="34">
      <t>マワ</t>
    </rPh>
    <phoneticPr fontId="5"/>
  </si>
  <si>
    <t>イベントクエストの「チャレンジタワー」を
クリアすると報酬がもらえます！
報酬を手に入れながら頂上を目指しましょう！</t>
    <rPh sb="27" eb="29">
      <t>ホウシュウ</t>
    </rPh>
    <rPh sb="37" eb="39">
      <t>ホウシュウ</t>
    </rPh>
    <rPh sb="40" eb="41">
      <t>テ</t>
    </rPh>
    <rPh sb="42" eb="43">
      <t>イ</t>
    </rPh>
    <rPh sb="47" eb="49">
      <t>チョウジョウ</t>
    </rPh>
    <rPh sb="50" eb="52">
      <t>メザ</t>
    </rPh>
    <phoneticPr fontId="5"/>
  </si>
  <si>
    <t>ピンチの時はフィーバーで一発逆転を狙いましょう！</t>
    <rPh sb="4" eb="5">
      <t>トk</t>
    </rPh>
    <rPh sb="12" eb="16">
      <t>イッパツギャクテン</t>
    </rPh>
    <rPh sb="17" eb="18">
      <t>ネラ</t>
    </rPh>
    <phoneticPr fontId="5"/>
  </si>
  <si>
    <t>フィーバー中にたまに落ちてくる
虹色のパネルを壊すと
全てのパネルを壊すことができます！</t>
    <rPh sb="5" eb="6">
      <t>チュウ</t>
    </rPh>
    <rPh sb="10" eb="11">
      <t>オ</t>
    </rPh>
    <rPh sb="16" eb="18">
      <t>ニジイロ</t>
    </rPh>
    <rPh sb="23" eb="24">
      <t>コワ</t>
    </rPh>
    <rPh sb="27" eb="28">
      <t>スベ</t>
    </rPh>
    <rPh sb="34" eb="35">
      <t>コワ</t>
    </rPh>
    <phoneticPr fontId="5"/>
  </si>
  <si>
    <t>秘術の果実をユニット強化に使うと
スキルLvが上げることができます！
お気に入りユニットのスキルLvを上げてみましょう！</t>
    <rPh sb="0" eb="2">
      <t>ヒジュツ</t>
    </rPh>
    <rPh sb="3" eb="5">
      <t>カジツ</t>
    </rPh>
    <rPh sb="10" eb="12">
      <t>キョウカ</t>
    </rPh>
    <rPh sb="13" eb="16">
      <t>ツカ</t>
    </rPh>
    <rPh sb="23" eb="31">
      <t>アガr</t>
    </rPh>
    <rPh sb="36" eb="37">
      <t>キ</t>
    </rPh>
    <rPh sb="38" eb="39">
      <t>イ</t>
    </rPh>
    <rPh sb="51" eb="52">
      <t>ア</t>
    </rPh>
    <phoneticPr fontId="5"/>
  </si>
  <si>
    <t>スキルLvが上がると
より短いターンでスキルを打つことができます！</t>
  </si>
  <si>
    <t>ホーム画面でパーティを確認している時
ユニットの画像を長押しすると
パーティ構成画面に移動することができます！</t>
    <rPh sb="3" eb="5">
      <t>ガメン</t>
    </rPh>
    <rPh sb="11" eb="13">
      <t>カクニン</t>
    </rPh>
    <rPh sb="17" eb="18">
      <t>トキ</t>
    </rPh>
    <rPh sb="24" eb="26">
      <t>ガゾウ</t>
    </rPh>
    <rPh sb="27" eb="29">
      <t>ナガオ</t>
    </rPh>
    <rPh sb="38" eb="40">
      <t>コウセイ</t>
    </rPh>
    <rPh sb="40" eb="42">
      <t>ガメン</t>
    </rPh>
    <rPh sb="43" eb="45">
      <t>イドウ</t>
    </rPh>
    <phoneticPr fontId="5"/>
  </si>
  <si>
    <t>ユニット強化やユニット覚醒などの画面で
ユニットを長押しすれば
ユニットの詳細情報を見ることができます！</t>
    <rPh sb="4" eb="6">
      <t>キョウカ</t>
    </rPh>
    <rPh sb="11" eb="13">
      <t>カクセイ</t>
    </rPh>
    <rPh sb="16" eb="18">
      <t>ガメン</t>
    </rPh>
    <rPh sb="25" eb="27">
      <t>ナガオ</t>
    </rPh>
    <rPh sb="37" eb="39">
      <t>ショウサイ</t>
    </rPh>
    <rPh sb="39" eb="41">
      <t>ジョウホウ</t>
    </rPh>
    <rPh sb="42" eb="43">
      <t>ミ</t>
    </rPh>
    <phoneticPr fontId="5"/>
  </si>
  <si>
    <t>バグが高いとクエストの報酬確率がアップする！</t>
    <rPh sb="3" eb="4">
      <t>タカ</t>
    </rPh>
    <rPh sb="11" eb="15">
      <t>ホウシュウカクリツ</t>
    </rPh>
    <phoneticPr fontId="5"/>
  </si>
  <si>
    <t>同じユニット同士を使ってユニット強化をすると
バグを増やすことができます！</t>
    <rPh sb="0" eb="1">
      <t>オナ</t>
    </rPh>
    <rPh sb="6" eb="8">
      <t>ドウシ</t>
    </rPh>
    <rPh sb="9" eb="10">
      <t>ツカ</t>
    </rPh>
    <rPh sb="16" eb="18">
      <t>キョウカ</t>
    </rPh>
    <rPh sb="26" eb="27">
      <t>フ</t>
    </rPh>
    <phoneticPr fontId="5"/>
  </si>
  <si>
    <t>攻撃力DOWNの攻撃を受けたときは
攻撃力UPスキルを使うと効果を上書きできます！</t>
    <rPh sb="0" eb="3">
      <t>コウゲキリョク</t>
    </rPh>
    <rPh sb="8" eb="10">
      <t>コウゲキ</t>
    </rPh>
    <rPh sb="11" eb="12">
      <t>ウ</t>
    </rPh>
    <rPh sb="18" eb="21">
      <t>コウゲキリョク</t>
    </rPh>
    <rPh sb="27" eb="28">
      <t>ツカ</t>
    </rPh>
    <rPh sb="30" eb="32">
      <t>コウカ</t>
    </rPh>
    <rPh sb="33" eb="35">
      <t>ウワガ</t>
    </rPh>
    <phoneticPr fontId="5"/>
  </si>
  <si>
    <t>敵の攻撃力がUPしたときは
攻撃力DOWNスキルを使うと
効果を上書きできます！</t>
    <rPh sb="0" eb="1">
      <t>テキ</t>
    </rPh>
    <rPh sb="2" eb="5">
      <t>コウゲキリョク</t>
    </rPh>
    <rPh sb="14" eb="17">
      <t>コウゲキリョク</t>
    </rPh>
    <rPh sb="25" eb="26">
      <t>ツカ</t>
    </rPh>
    <rPh sb="29" eb="31">
      <t>コウカ</t>
    </rPh>
    <rPh sb="32" eb="34">
      <t>ウワガ</t>
    </rPh>
    <phoneticPr fontId="5"/>
  </si>
  <si>
    <t>チャレンジタワーのボス
（テスラ、シャルル、ボイル）は
一定確率でドロップします！</t>
    <rPh sb="28" eb="32">
      <t>イッテイカクリツ</t>
    </rPh>
    <phoneticPr fontId="5"/>
  </si>
  <si>
    <t>限界突破（+値）の引継ぎは同じユニットか
同じユニットの覚醒前後のみ可能です。
ユニット強化の際は注意しましょう！</t>
    <rPh sb="0" eb="4">
      <t>ゲンカイトッパ</t>
    </rPh>
    <rPh sb="6" eb="7">
      <t>アタイ</t>
    </rPh>
    <rPh sb="9" eb="11">
      <t>ヒキツ</t>
    </rPh>
    <rPh sb="13" eb="14">
      <t>オナ</t>
    </rPh>
    <rPh sb="21" eb="22">
      <t>オナ</t>
    </rPh>
    <rPh sb="28" eb="32">
      <t>カクセイケイ</t>
    </rPh>
    <rPh sb="34" eb="36">
      <t>カノウ</t>
    </rPh>
    <rPh sb="44" eb="46">
      <t>キョウカ</t>
    </rPh>
    <rPh sb="47" eb="48">
      <t>サイ</t>
    </rPh>
    <rPh sb="49" eb="51">
      <t>チュウイ</t>
    </rPh>
    <phoneticPr fontId="5"/>
  </si>
  <si>
    <t>ユニットは「ユニット強化」をすることで
経験値を取得しレベルアップできます。
「ユニット強化」でクエストを有利に進めましょう！</t>
    <rPh sb="10" eb="12">
      <t>キョウカ</t>
    </rPh>
    <rPh sb="20" eb="23">
      <t>ケイケンチ</t>
    </rPh>
    <rPh sb="24" eb="26">
      <t>シュトク</t>
    </rPh>
    <rPh sb="44" eb="46">
      <t>キョウカ</t>
    </rPh>
    <rPh sb="53" eb="55">
      <t>ユウリ</t>
    </rPh>
    <rPh sb="56" eb="57">
      <t>スス</t>
    </rPh>
    <phoneticPr fontId="5"/>
  </si>
  <si>
    <t>攻めの果実、生命の果実、癒しの果実は
ユニット強化に使うと
各パラメーターを上げることができます
合計＋99まで強化できますよ！</t>
    <rPh sb="0" eb="1">
      <t>セ</t>
    </rPh>
    <rPh sb="3" eb="5">
      <t>カジツ</t>
    </rPh>
    <rPh sb="6" eb="8">
      <t>セイメイ</t>
    </rPh>
    <rPh sb="9" eb="11">
      <t>カジツ</t>
    </rPh>
    <rPh sb="12" eb="13">
      <t>イヤ</t>
    </rPh>
    <rPh sb="15" eb="17">
      <t>カジツ</t>
    </rPh>
    <rPh sb="23" eb="25">
      <t>キョウカ</t>
    </rPh>
    <rPh sb="26" eb="29">
      <t>ツカ</t>
    </rPh>
    <rPh sb="30" eb="31">
      <t>カク</t>
    </rPh>
    <rPh sb="38" eb="39">
      <t>ア</t>
    </rPh>
    <rPh sb="49" eb="51">
      <t>ゴウケ</t>
    </rPh>
    <rPh sb="56" eb="58">
      <t>キョウカ</t>
    </rPh>
    <phoneticPr fontId="5"/>
  </si>
  <si>
    <t>各イベントでしか入手できない
ユニットがいるので要チェックです！</t>
    <phoneticPr fontId="5"/>
  </si>
  <si>
    <t>消すことの出来ないお邪魔パネルは
フィーバーを使うと下に落とすことができますよ！</t>
    <rPh sb="0" eb="1">
      <t>ケ</t>
    </rPh>
    <rPh sb="5" eb="7">
      <t>デキ</t>
    </rPh>
    <rPh sb="10" eb="12">
      <t>ジャマ</t>
    </rPh>
    <rPh sb="23" eb="24">
      <t>ツカ</t>
    </rPh>
    <rPh sb="26" eb="27">
      <t>シタ</t>
    </rPh>
    <rPh sb="28" eb="29">
      <t>オ</t>
    </rPh>
    <phoneticPr fontId="5"/>
  </si>
  <si>
    <t>カウンターを使ってくる敵には
「カウンターブレイク」のスキルが有効です
カウンターを解除して大ダメージを
与えることができます！</t>
    <rPh sb="6" eb="7">
      <t>ツカ</t>
    </rPh>
    <rPh sb="11" eb="12">
      <t>テキ</t>
    </rPh>
    <rPh sb="31" eb="33">
      <t>ユウコウ</t>
    </rPh>
    <rPh sb="42" eb="44">
      <t>カイジョ</t>
    </rPh>
    <rPh sb="46" eb="47">
      <t>ダイ</t>
    </rPh>
    <rPh sb="53" eb="54">
      <t>アタ</t>
    </rPh>
    <phoneticPr fontId="5"/>
  </si>
  <si>
    <t>マルチプレイへの参加はエナジー消費がありません！
どんどん参加してどんどんユニットをGETしましょう！</t>
    <phoneticPr fontId="5"/>
  </si>
  <si>
    <t>ユニットはターン経過で
スキルが使えるようになります。
「Skill OK」というアイコンが出たら
スキルを使うチャンス！</t>
    <rPh sb="8" eb="10">
      <t>ケイカ</t>
    </rPh>
    <rPh sb="16" eb="17">
      <t>ツカ</t>
    </rPh>
    <rPh sb="46" eb="47">
      <t>デ</t>
    </rPh>
    <rPh sb="54" eb="55">
      <t>ツカ</t>
    </rPh>
    <phoneticPr fontId="5"/>
  </si>
  <si>
    <t>skip</t>
    <phoneticPr fontId="3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</si>
</sst>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  <font>
      <sz val="12"/>
      <name val="ＭＳ Ｐゴシック"/>
      <charset val="128"/>
      <scheme val="minor"/>
    </font>
    <font>
      <sz val="10"/>
      <color rgb="FF00000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803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4" fillId="7" borderId="3" applyNumberFormat="0" applyAlignment="0" applyProtection="0"/>
    <xf numFmtId="0" fontId="15" fillId="8" borderId="0" applyNumberFormat="0" applyBorder="0" applyAlignment="0" applyProtection="0"/>
    <xf numFmtId="0" fontId="16" fillId="9" borderId="4" applyNumberFormat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5" applyNumberFormat="0" applyAlignment="0" applyProtection="0"/>
    <xf numFmtId="0" fontId="20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3" fillId="0" borderId="8" applyNumberFormat="0" applyFill="0" applyAlignment="0" applyProtection="0"/>
    <xf numFmtId="0" fontId="23" fillId="0" borderId="0" applyNumberFormat="0" applyFill="0" applyBorder="0" applyAlignment="0" applyProtection="0"/>
    <xf numFmtId="0" fontId="24" fillId="9" borderId="0" applyNumberFormat="0" applyBorder="0" applyAlignment="0" applyProtection="0"/>
    <xf numFmtId="0" fontId="24" fillId="8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7" borderId="0" applyNumberFormat="0" applyBorder="0" applyAlignment="0" applyProtection="0"/>
    <xf numFmtId="0" fontId="24" fillId="9" borderId="0" applyNumberFormat="0" applyBorder="0" applyAlignment="0" applyProtection="0"/>
    <xf numFmtId="0" fontId="24" fillId="14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5" borderId="0" applyNumberFormat="0" applyBorder="0" applyAlignment="0" applyProtection="0"/>
    <xf numFmtId="0" fontId="24" fillId="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6" borderId="0" applyNumberFormat="0" applyBorder="0" applyAlignment="0" applyProtection="0"/>
    <xf numFmtId="0" fontId="25" fillId="8" borderId="0" applyNumberFormat="0" applyBorder="0" applyAlignment="0" applyProtection="0"/>
    <xf numFmtId="0" fontId="17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2" borderId="0" applyNumberFormat="0" applyBorder="0" applyAlignment="0" applyProtection="0"/>
    <xf numFmtId="0" fontId="25" fillId="1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6" fillId="19" borderId="0" applyNumberFormat="0" applyBorder="0" applyAlignment="0" applyProtection="0"/>
    <xf numFmtId="0" fontId="15" fillId="8" borderId="0" applyNumberFormat="0" applyBorder="0" applyAlignment="0" applyProtection="0"/>
    <xf numFmtId="0" fontId="27" fillId="0" borderId="0"/>
    <xf numFmtId="0" fontId="28" fillId="0" borderId="9" applyNumberFormat="0" applyFill="0" applyAlignment="0" applyProtection="0"/>
    <xf numFmtId="0" fontId="29" fillId="9" borderId="10" applyNumberFormat="0" applyAlignment="0" applyProtection="0"/>
    <xf numFmtId="0" fontId="29" fillId="20" borderId="10" applyNumberFormat="0" applyAlignment="0" applyProtection="0"/>
    <xf numFmtId="0" fontId="16" fillId="8" borderId="4" applyNumberFormat="0" applyAlignment="0" applyProtection="0"/>
    <xf numFmtId="0" fontId="30" fillId="0" borderId="11" applyNumberFormat="0" applyFill="0" applyAlignment="0" applyProtection="0"/>
    <xf numFmtId="0" fontId="31" fillId="20" borderId="4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2" applyNumberFormat="0" applyFill="0" applyAlignment="0" applyProtection="0"/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36" fillId="0" borderId="0"/>
    <xf numFmtId="0" fontId="3" fillId="0" borderId="0"/>
    <xf numFmtId="0" fontId="3" fillId="0" borderId="0"/>
    <xf numFmtId="0" fontId="37" fillId="2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</cellStyleXfs>
  <cellXfs count="38">
    <xf numFmtId="0" fontId="0" fillId="0" borderId="0" xfId="0"/>
    <xf numFmtId="0" fontId="7" fillId="2" borderId="1" xfId="0" applyFont="1" applyFill="1" applyBorder="1" applyAlignment="1">
      <alignment horizontal="center"/>
    </xf>
    <xf numFmtId="56" fontId="7" fillId="3" borderId="1" xfId="0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2" xfId="0" applyFont="1" applyFill="1" applyBorder="1" applyAlignment="1">
      <alignment vertical="center"/>
    </xf>
    <xf numFmtId="0" fontId="8" fillId="0" borderId="1" xfId="0" applyFont="1" applyFill="1" applyBorder="1"/>
    <xf numFmtId="0" fontId="6" fillId="0" borderId="1" xfId="0" applyFont="1" applyFill="1" applyBorder="1"/>
    <xf numFmtId="0" fontId="7" fillId="5" borderId="1" xfId="0" applyFont="1" applyFill="1" applyBorder="1" applyAlignment="1">
      <alignment horizontal="center"/>
    </xf>
    <xf numFmtId="0" fontId="12" fillId="6" borderId="1" xfId="455" applyFont="1" applyFill="1" applyBorder="1"/>
    <xf numFmtId="0" fontId="3" fillId="6" borderId="1" xfId="455" applyFill="1" applyBorder="1"/>
    <xf numFmtId="0" fontId="3" fillId="0" borderId="0" xfId="455"/>
    <xf numFmtId="0" fontId="3" fillId="0" borderId="1" xfId="455" applyBorder="1"/>
    <xf numFmtId="0" fontId="7" fillId="2" borderId="1" xfId="456" applyFont="1" applyFill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0" fontId="12" fillId="6" borderId="1" xfId="0" applyFont="1" applyFill="1" applyBorder="1"/>
    <xf numFmtId="0" fontId="2" fillId="0" borderId="1" xfId="455" applyFont="1" applyBorder="1"/>
    <xf numFmtId="56" fontId="7" fillId="2" borderId="1" xfId="0" applyNumberFormat="1" applyFont="1" applyFill="1" applyBorder="1" applyAlignment="1">
      <alignment horizontal="center"/>
    </xf>
    <xf numFmtId="0" fontId="3" fillId="23" borderId="1" xfId="455" applyFill="1" applyBorder="1"/>
    <xf numFmtId="0" fontId="0" fillId="2" borderId="1" xfId="455" applyFont="1" applyFill="1" applyBorder="1"/>
    <xf numFmtId="0" fontId="13" fillId="0" borderId="2" xfId="0" applyFont="1" applyFill="1" applyBorder="1" applyAlignment="1">
      <alignment vertical="center"/>
    </xf>
    <xf numFmtId="0" fontId="3" fillId="2" borderId="0" xfId="455" applyFill="1"/>
    <xf numFmtId="0" fontId="0" fillId="3" borderId="1" xfId="0" applyFill="1" applyBorder="1"/>
    <xf numFmtId="0" fontId="0" fillId="0" borderId="1" xfId="0" applyBorder="1"/>
    <xf numFmtId="0" fontId="0" fillId="2" borderId="0" xfId="455" applyFont="1" applyFill="1"/>
    <xf numFmtId="0" fontId="0" fillId="0" borderId="1" xfId="455" applyFont="1" applyBorder="1"/>
    <xf numFmtId="0" fontId="7" fillId="24" borderId="1" xfId="0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0" xfId="0" applyFont="1" applyFill="1"/>
    <xf numFmtId="0" fontId="12" fillId="4" borderId="0" xfId="0" applyFont="1" applyFill="1" applyAlignment="1">
      <alignment horizontal="left" indent="1"/>
    </xf>
    <xf numFmtId="0" fontId="7" fillId="0" borderId="1" xfId="0" applyFont="1" applyBorder="1" applyAlignment="1">
      <alignment wrapText="1"/>
    </xf>
    <xf numFmtId="0" fontId="7" fillId="0" borderId="1" xfId="0" applyFont="1" applyFill="1" applyBorder="1" applyAlignment="1">
      <alignment wrapText="1"/>
    </xf>
    <xf numFmtId="0" fontId="41" fillId="0" borderId="13" xfId="0" applyFont="1" applyBorder="1" applyAlignment="1">
      <alignment wrapText="1"/>
    </xf>
    <xf numFmtId="0" fontId="7" fillId="0" borderId="1" xfId="0" applyFont="1" applyBorder="1"/>
    <xf numFmtId="0" fontId="7" fillId="0" borderId="14" xfId="0" applyFont="1" applyFill="1" applyBorder="1" applyAlignment="1">
      <alignment wrapText="1"/>
    </xf>
    <xf numFmtId="0" fontId="41" fillId="0" borderId="15" xfId="0" applyFont="1" applyBorder="1" applyAlignment="1">
      <alignment wrapText="1"/>
    </xf>
    <xf numFmtId="0" fontId="39" fillId="24" borderId="1" xfId="0" applyFont="1" applyFill="1" applyBorder="1"/>
    <xf numFmtId="38" fontId="7" fillId="24" borderId="1" xfId="802" applyFont="1" applyFill="1" applyBorder="1" applyAlignment="1"/>
  </cellXfs>
  <cellStyles count="803">
    <cellStyle name="" xfId="458"/>
    <cellStyle name="_" xfId="459"/>
    <cellStyle name="__" xfId="460"/>
    <cellStyle name="__÷" xfId="461"/>
    <cellStyle name="«¢" xfId="462"/>
    <cellStyle name="`FbN Z" xfId="463"/>
    <cellStyle name="^Cg" xfId="464"/>
    <cellStyle name="©oµ 1" xfId="465"/>
    <cellStyle name="©oµ 2" xfId="466"/>
    <cellStyle name="©oµ 3" xfId="467"/>
    <cellStyle name="©oµ 4" xfId="468"/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à¾¶" xfId="487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Ç¢" xfId="494"/>
    <cellStyle name="Ê" xfId="495"/>
    <cellStyle name="Excel Built-in Normal" xfId="496"/>
    <cellStyle name="N Z" xfId="497"/>
    <cellStyle name="o_" xfId="498"/>
    <cellStyle name="oÍ" xfId="499"/>
    <cellStyle name="üÍ" xfId="500"/>
    <cellStyle name="v" xfId="501"/>
    <cellStyle name="vZ" xfId="502"/>
    <cellStyle name="x¶" xfId="503"/>
    <cellStyle name="x÷" xfId="504"/>
    <cellStyle name="ýo_ 1" xfId="50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桁区切り 2" xfId="139"/>
    <cellStyle name="桁区切り 2 2" xfId="802"/>
    <cellStyle name="青字強調" xfId="506"/>
    <cellStyle name="赤字強調" xfId="507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無題1" xfId="51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attribute_red</v>
          </cell>
          <cell r="H1" t="str">
            <v>attribute_blue</v>
          </cell>
          <cell r="I1" t="str">
            <v>attribute_green</v>
          </cell>
          <cell r="J1" t="str">
            <v>attribute_yellow</v>
          </cell>
          <cell r="K1" t="str">
            <v>story</v>
          </cell>
          <cell r="L1" t="str">
            <v>story文字数</v>
          </cell>
          <cell r="M1" t="str">
            <v>位置付け</v>
          </cell>
          <cell r="N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11211</v>
          </cell>
        </row>
        <row r="67">
          <cell r="A67">
            <v>11212</v>
          </cell>
        </row>
        <row r="68">
          <cell r="A68">
            <v>11213</v>
          </cell>
        </row>
        <row r="69">
          <cell r="A69">
            <v>11214</v>
          </cell>
        </row>
        <row r="70">
          <cell r="A70">
            <v>11215</v>
          </cell>
        </row>
        <row r="71">
          <cell r="A71">
            <v>11216</v>
          </cell>
        </row>
        <row r="72">
          <cell r="A72">
            <v>11217</v>
          </cell>
        </row>
        <row r="73">
          <cell r="A73">
            <v>12001</v>
          </cell>
        </row>
        <row r="74">
          <cell r="A74">
            <v>12002</v>
          </cell>
        </row>
        <row r="75">
          <cell r="A75">
            <v>12003</v>
          </cell>
        </row>
        <row r="76">
          <cell r="A76">
            <v>11210</v>
          </cell>
        </row>
        <row r="77">
          <cell r="A77">
            <v>13001</v>
          </cell>
        </row>
        <row r="78">
          <cell r="A78">
            <v>20001</v>
          </cell>
        </row>
        <row r="79">
          <cell r="A79">
            <v>20002</v>
          </cell>
        </row>
        <row r="80">
          <cell r="A80">
            <v>20003</v>
          </cell>
        </row>
        <row r="81">
          <cell r="A81">
            <v>20004</v>
          </cell>
        </row>
        <row r="82">
          <cell r="A82">
            <v>20005</v>
          </cell>
        </row>
        <row r="83">
          <cell r="A83">
            <v>20006</v>
          </cell>
        </row>
        <row r="84">
          <cell r="A84">
            <v>20007</v>
          </cell>
        </row>
        <row r="85">
          <cell r="A85">
            <v>20008</v>
          </cell>
        </row>
        <row r="86">
          <cell r="A86">
            <v>20009</v>
          </cell>
        </row>
        <row r="87">
          <cell r="A87">
            <v>20010</v>
          </cell>
        </row>
        <row r="88">
          <cell r="A88">
            <v>20011</v>
          </cell>
        </row>
        <row r="89">
          <cell r="A89">
            <v>20012</v>
          </cell>
        </row>
        <row r="90">
          <cell r="A90">
            <v>30001</v>
          </cell>
        </row>
        <row r="91">
          <cell r="A91">
            <v>30002</v>
          </cell>
        </row>
        <row r="92">
          <cell r="A92">
            <v>30003</v>
          </cell>
        </row>
        <row r="93">
          <cell r="A93">
            <v>30004</v>
          </cell>
        </row>
        <row r="94">
          <cell r="A94">
            <v>30005</v>
          </cell>
        </row>
        <row r="95">
          <cell r="A95">
            <v>30006</v>
          </cell>
        </row>
        <row r="96">
          <cell r="A96">
            <v>30007</v>
          </cell>
        </row>
        <row r="97">
          <cell r="A97">
            <v>30008</v>
          </cell>
        </row>
        <row r="98">
          <cell r="A98">
            <v>30009</v>
          </cell>
        </row>
        <row r="99">
          <cell r="A99">
            <v>30010</v>
          </cell>
        </row>
        <row r="100">
          <cell r="A100">
            <v>30011</v>
          </cell>
        </row>
        <row r="101">
          <cell r="A101">
            <v>30012</v>
          </cell>
        </row>
        <row r="102">
          <cell r="A102">
            <v>30013</v>
          </cell>
        </row>
        <row r="103">
          <cell r="A103">
            <v>30014</v>
          </cell>
        </row>
        <row r="104">
          <cell r="A104">
            <v>30015</v>
          </cell>
        </row>
        <row r="105">
          <cell r="A105">
            <v>30016</v>
          </cell>
        </row>
        <row r="106">
          <cell r="A106">
            <v>30017</v>
          </cell>
        </row>
        <row r="107">
          <cell r="A107">
            <v>30018</v>
          </cell>
        </row>
        <row r="108">
          <cell r="A108">
            <v>30019</v>
          </cell>
        </row>
        <row r="109">
          <cell r="A109">
            <v>30020</v>
          </cell>
        </row>
        <row r="110">
          <cell r="A110">
            <v>30021</v>
          </cell>
        </row>
        <row r="111">
          <cell r="A111">
            <v>40001</v>
          </cell>
        </row>
        <row r="112">
          <cell r="A112">
            <v>40002</v>
          </cell>
        </row>
        <row r="113">
          <cell r="A113">
            <v>40003</v>
          </cell>
        </row>
        <row r="114">
          <cell r="A114">
            <v>40004</v>
          </cell>
        </row>
        <row r="115">
          <cell r="A115">
            <v>40005</v>
          </cell>
        </row>
        <row r="116">
          <cell r="A116">
            <v>40006</v>
          </cell>
        </row>
        <row r="117">
          <cell r="A117">
            <v>50001</v>
          </cell>
        </row>
        <row r="118">
          <cell r="A118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continue_limit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12001_1</v>
          </cell>
        </row>
        <row r="261">
          <cell r="A261" t="str">
            <v>12001_2</v>
          </cell>
        </row>
        <row r="262">
          <cell r="A262" t="str">
            <v>12001_3</v>
          </cell>
        </row>
        <row r="263">
          <cell r="A263" t="str">
            <v>12002_3</v>
          </cell>
        </row>
        <row r="264">
          <cell r="A264" t="str">
            <v>12002_2</v>
          </cell>
        </row>
        <row r="265">
          <cell r="A265" t="str">
            <v>12002_1</v>
          </cell>
        </row>
        <row r="266">
          <cell r="A266" t="str">
            <v>12003_1</v>
          </cell>
        </row>
        <row r="267">
          <cell r="A267" t="str">
            <v>12003_2</v>
          </cell>
        </row>
        <row r="268">
          <cell r="A268" t="str">
            <v>12003_3</v>
          </cell>
        </row>
        <row r="269">
          <cell r="A269" t="str">
            <v>12003_4</v>
          </cell>
        </row>
        <row r="270">
          <cell r="A270" t="str">
            <v>13001_1</v>
          </cell>
        </row>
        <row r="271">
          <cell r="A271" t="str">
            <v>13001_2</v>
          </cell>
        </row>
        <row r="272">
          <cell r="A272" t="str">
            <v>13001_3</v>
          </cell>
        </row>
        <row r="273">
          <cell r="A273" t="str">
            <v>13001_4</v>
          </cell>
        </row>
        <row r="274">
          <cell r="A274" t="str">
            <v>13001_5</v>
          </cell>
        </row>
        <row r="275">
          <cell r="A275" t="str">
            <v>13001_6</v>
          </cell>
        </row>
        <row r="276">
          <cell r="A276" t="str">
            <v>13001_7</v>
          </cell>
        </row>
        <row r="277">
          <cell r="A277" t="str">
            <v>13001_8</v>
          </cell>
        </row>
        <row r="278">
          <cell r="A278" t="str">
            <v>13001_9</v>
          </cell>
        </row>
        <row r="279">
          <cell r="A279" t="str">
            <v>13001_10</v>
          </cell>
        </row>
        <row r="280">
          <cell r="A280" t="str">
            <v>13001_11</v>
          </cell>
        </row>
        <row r="281">
          <cell r="A281" t="str">
            <v>13001_12</v>
          </cell>
        </row>
        <row r="282">
          <cell r="A282" t="str">
            <v>13001_13</v>
          </cell>
        </row>
        <row r="283">
          <cell r="A283" t="str">
            <v>13001_14</v>
          </cell>
        </row>
        <row r="284">
          <cell r="A284" t="str">
            <v>13001_15</v>
          </cell>
        </row>
        <row r="285">
          <cell r="A285" t="str">
            <v>13001_16</v>
          </cell>
        </row>
        <row r="286">
          <cell r="A286" t="str">
            <v>13001_17</v>
          </cell>
        </row>
        <row r="287">
          <cell r="A287" t="str">
            <v>13001_18</v>
          </cell>
        </row>
        <row r="288">
          <cell r="A288" t="str">
            <v>13001_19</v>
          </cell>
        </row>
        <row r="289">
          <cell r="A289" t="str">
            <v>13001_20</v>
          </cell>
        </row>
        <row r="290">
          <cell r="A290" t="str">
            <v>13001_21</v>
          </cell>
        </row>
        <row r="291">
          <cell r="A291" t="str">
            <v>13001_22</v>
          </cell>
        </row>
        <row r="292">
          <cell r="A292" t="str">
            <v>13001_23</v>
          </cell>
        </row>
        <row r="293">
          <cell r="A293" t="str">
            <v>13001_24</v>
          </cell>
        </row>
        <row r="294">
          <cell r="A294" t="str">
            <v>13001_25</v>
          </cell>
        </row>
        <row r="295">
          <cell r="A295" t="str">
            <v>20001_1</v>
          </cell>
        </row>
        <row r="296">
          <cell r="A296" t="str">
            <v>20001_2</v>
          </cell>
        </row>
        <row r="297">
          <cell r="A297" t="str">
            <v>20001_3</v>
          </cell>
        </row>
        <row r="298">
          <cell r="A298" t="str">
            <v>20002_1</v>
          </cell>
        </row>
        <row r="299">
          <cell r="A299" t="str">
            <v>20002_2</v>
          </cell>
        </row>
        <row r="300">
          <cell r="A300" t="str">
            <v>20002_3</v>
          </cell>
        </row>
        <row r="301">
          <cell r="A301" t="str">
            <v>20003_1</v>
          </cell>
        </row>
        <row r="302">
          <cell r="A302" t="str">
            <v>20003_2</v>
          </cell>
        </row>
        <row r="303">
          <cell r="A303" t="str">
            <v>20003_3</v>
          </cell>
        </row>
        <row r="304">
          <cell r="A304" t="str">
            <v>20004_1</v>
          </cell>
        </row>
        <row r="305">
          <cell r="A305" t="str">
            <v>20004_2</v>
          </cell>
        </row>
        <row r="306">
          <cell r="A306" t="str">
            <v>20004_3</v>
          </cell>
        </row>
        <row r="307">
          <cell r="A307" t="str">
            <v>20005_1</v>
          </cell>
        </row>
        <row r="308">
          <cell r="A308" t="str">
            <v>20005_2</v>
          </cell>
        </row>
        <row r="309">
          <cell r="A309" t="str">
            <v>20005_3</v>
          </cell>
        </row>
        <row r="310">
          <cell r="A310" t="str">
            <v>20006_1</v>
          </cell>
        </row>
        <row r="311">
          <cell r="A311" t="str">
            <v>20006_2</v>
          </cell>
        </row>
        <row r="312">
          <cell r="A312" t="str">
            <v>20006_3</v>
          </cell>
        </row>
        <row r="313">
          <cell r="A313" t="str">
            <v>20007_1</v>
          </cell>
        </row>
        <row r="314">
          <cell r="A314" t="str">
            <v>20007_2</v>
          </cell>
        </row>
        <row r="315">
          <cell r="A315" t="str">
            <v>20007_3</v>
          </cell>
        </row>
        <row r="316">
          <cell r="A316" t="str">
            <v>20008_1</v>
          </cell>
        </row>
        <row r="317">
          <cell r="A317" t="str">
            <v>20008_2</v>
          </cell>
        </row>
        <row r="318">
          <cell r="A318" t="str">
            <v>20008_3</v>
          </cell>
        </row>
        <row r="319">
          <cell r="A319" t="str">
            <v>20009_1</v>
          </cell>
        </row>
        <row r="320">
          <cell r="A320" t="str">
            <v>20009_2</v>
          </cell>
        </row>
        <row r="321">
          <cell r="A321" t="str">
            <v>20009_3</v>
          </cell>
        </row>
        <row r="322">
          <cell r="A322" t="str">
            <v>20010_1</v>
          </cell>
        </row>
        <row r="323">
          <cell r="A323" t="str">
            <v>20010_2</v>
          </cell>
        </row>
        <row r="324">
          <cell r="A324" t="str">
            <v>20010_3</v>
          </cell>
        </row>
        <row r="325">
          <cell r="A325" t="str">
            <v>20011_1</v>
          </cell>
        </row>
        <row r="326">
          <cell r="A326" t="str">
            <v>20011_2</v>
          </cell>
        </row>
        <row r="327">
          <cell r="A327" t="str">
            <v>20011_3</v>
          </cell>
        </row>
        <row r="328">
          <cell r="A328" t="str">
            <v>20012_1</v>
          </cell>
        </row>
        <row r="329">
          <cell r="A329" t="str">
            <v>20012_2</v>
          </cell>
        </row>
        <row r="330">
          <cell r="A330" t="str">
            <v>20012_3</v>
          </cell>
        </row>
        <row r="331">
          <cell r="A331" t="str">
            <v>30001_1</v>
          </cell>
        </row>
        <row r="332">
          <cell r="A332" t="str">
            <v>30001_2</v>
          </cell>
        </row>
        <row r="333">
          <cell r="A333" t="str">
            <v>30001_3</v>
          </cell>
        </row>
        <row r="334">
          <cell r="A334" t="str">
            <v>30002_1</v>
          </cell>
        </row>
        <row r="335">
          <cell r="A335" t="str">
            <v>30002_2</v>
          </cell>
        </row>
        <row r="336">
          <cell r="A336" t="str">
            <v>30002_3</v>
          </cell>
        </row>
        <row r="337">
          <cell r="A337" t="str">
            <v>30003_1</v>
          </cell>
        </row>
        <row r="338">
          <cell r="A338" t="str">
            <v>30003_2</v>
          </cell>
        </row>
        <row r="339">
          <cell r="A339" t="str">
            <v>30003_3</v>
          </cell>
        </row>
        <row r="340">
          <cell r="A340" t="str">
            <v>30004_1</v>
          </cell>
        </row>
        <row r="341">
          <cell r="A341" t="str">
            <v>30004_2</v>
          </cell>
        </row>
        <row r="342">
          <cell r="A342" t="str">
            <v>30004_3</v>
          </cell>
        </row>
        <row r="343">
          <cell r="A343" t="str">
            <v>30005_1</v>
          </cell>
        </row>
        <row r="344">
          <cell r="A344" t="str">
            <v>30005_2</v>
          </cell>
        </row>
        <row r="345">
          <cell r="A345" t="str">
            <v>30005_3</v>
          </cell>
        </row>
        <row r="346">
          <cell r="A346" t="str">
            <v>30006_1</v>
          </cell>
        </row>
        <row r="347">
          <cell r="A347" t="str">
            <v>30006_2</v>
          </cell>
        </row>
        <row r="348">
          <cell r="A348" t="str">
            <v>30006_3</v>
          </cell>
        </row>
        <row r="349">
          <cell r="A349" t="str">
            <v>30007_1</v>
          </cell>
        </row>
        <row r="350">
          <cell r="A350" t="str">
            <v>30007_2</v>
          </cell>
        </row>
        <row r="351">
          <cell r="A351" t="str">
            <v>30007_3</v>
          </cell>
        </row>
        <row r="352">
          <cell r="A352" t="str">
            <v>30008_1</v>
          </cell>
        </row>
        <row r="353">
          <cell r="A353" t="str">
            <v>30008_2</v>
          </cell>
        </row>
        <row r="354">
          <cell r="A354" t="str">
            <v>30008_3</v>
          </cell>
        </row>
        <row r="355">
          <cell r="A355" t="str">
            <v>30009_3</v>
          </cell>
        </row>
        <row r="356">
          <cell r="A356" t="str">
            <v>30009_1</v>
          </cell>
        </row>
        <row r="357">
          <cell r="A357" t="str">
            <v>30009_2</v>
          </cell>
        </row>
        <row r="358">
          <cell r="A358" t="str">
            <v>30010_1</v>
          </cell>
        </row>
        <row r="359">
          <cell r="A359" t="str">
            <v>30010_2</v>
          </cell>
        </row>
        <row r="360">
          <cell r="A360" t="str">
            <v>30010_3</v>
          </cell>
        </row>
        <row r="361">
          <cell r="A361" t="str">
            <v>30011_1</v>
          </cell>
        </row>
        <row r="362">
          <cell r="A362" t="str">
            <v>30011_2</v>
          </cell>
        </row>
        <row r="363">
          <cell r="A363" t="str">
            <v>30011_3</v>
          </cell>
        </row>
        <row r="364">
          <cell r="A364" t="str">
            <v>30012_1</v>
          </cell>
        </row>
        <row r="365">
          <cell r="A365" t="str">
            <v>30012_2</v>
          </cell>
        </row>
        <row r="366">
          <cell r="A366" t="str">
            <v>30012_3</v>
          </cell>
        </row>
        <row r="367">
          <cell r="A367" t="str">
            <v>30013_1</v>
          </cell>
        </row>
        <row r="368">
          <cell r="A368" t="str">
            <v>30013_2</v>
          </cell>
        </row>
        <row r="369">
          <cell r="A369" t="str">
            <v>30014_1</v>
          </cell>
        </row>
        <row r="370">
          <cell r="A370" t="str">
            <v>30014_2</v>
          </cell>
        </row>
        <row r="371">
          <cell r="A371" t="str">
            <v>30015_1</v>
          </cell>
        </row>
        <row r="372">
          <cell r="A372" t="str">
            <v>30015_2</v>
          </cell>
        </row>
        <row r="373">
          <cell r="A373" t="str">
            <v>30016_1</v>
          </cell>
        </row>
        <row r="374">
          <cell r="A374" t="str">
            <v>30016_2</v>
          </cell>
        </row>
        <row r="375">
          <cell r="A375" t="str">
            <v>30017_1</v>
          </cell>
        </row>
        <row r="376">
          <cell r="A376" t="str">
            <v>30017_2</v>
          </cell>
        </row>
        <row r="377">
          <cell r="A377" t="str">
            <v>30018_1</v>
          </cell>
        </row>
        <row r="378">
          <cell r="A378" t="str">
            <v>30018_2</v>
          </cell>
        </row>
        <row r="379">
          <cell r="A379" t="str">
            <v>30019_1</v>
          </cell>
        </row>
        <row r="380">
          <cell r="A380" t="str">
            <v>30019_2</v>
          </cell>
        </row>
        <row r="381">
          <cell r="A381" t="str">
            <v>30020_1</v>
          </cell>
        </row>
        <row r="382">
          <cell r="A382" t="str">
            <v>30020_2</v>
          </cell>
        </row>
        <row r="383">
          <cell r="A383" t="str">
            <v>30021_1</v>
          </cell>
        </row>
        <row r="384">
          <cell r="A384" t="str">
            <v>30021_2</v>
          </cell>
        </row>
        <row r="385">
          <cell r="A385" t="str">
            <v>30021_3</v>
          </cell>
        </row>
        <row r="386">
          <cell r="A386" t="str">
            <v>40001_1</v>
          </cell>
        </row>
        <row r="387">
          <cell r="A387" t="str">
            <v>40002_1</v>
          </cell>
        </row>
        <row r="388">
          <cell r="A388" t="str">
            <v>40002_2</v>
          </cell>
        </row>
        <row r="389">
          <cell r="A389" t="str">
            <v>40002_3</v>
          </cell>
        </row>
        <row r="390">
          <cell r="A390" t="str">
            <v>40003_1</v>
          </cell>
        </row>
        <row r="391">
          <cell r="A391" t="str">
            <v>40004_1</v>
          </cell>
        </row>
        <row r="392">
          <cell r="A392" t="str">
            <v>40005_1</v>
          </cell>
        </row>
        <row r="393">
          <cell r="A393" t="str">
            <v>40006_1</v>
          </cell>
        </row>
        <row r="394">
          <cell r="A394" t="str">
            <v>50001_1</v>
          </cell>
        </row>
        <row r="395">
          <cell r="A395" t="str">
            <v>65535_1</v>
          </cell>
        </row>
        <row r="396">
          <cell r="A396" t="str">
            <v>65535_2</v>
          </cell>
        </row>
        <row r="397">
          <cell r="A397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敵の属性に対抗しよう！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メタルダックをつかって強化しよう！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ゲリラを見逃すな！</v>
          </cell>
          <cell r="D9" t="str">
            <v>時間限定の「【緊急!!】アヒル捕獲作戦」では_x000D_経験値素材ユニットが多く手に入ります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ゴールドダックを売却すると大量ビット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土日クエストで大量ビットをGET！！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ランク開放クエスト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お気に入り登録</v>
          </cell>
          <cell r="D13" t="str">
            <v>大事なユニットは_x000D_フォルダから「お気に入り登録」しましょう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ユニットを覚醒させよう！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覚醒するにはレベルをMAXに！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覚醒素材をGETしよう！</v>
          </cell>
          <cell r="D16" t="str">
            <v>「曜日クエスト」では_x000D_覚醒に必要な覚醒素材が手に入ります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マルチプレイが熱い！　その1</v>
          </cell>
          <cell r="D17" t="str">
            <v>マルチプレイをすると_x000D_初顔合わせボーナスで_x000D_100人までポリゴンがもらえます</v>
          </cell>
        </row>
        <row r="18">
          <cell r="A18">
            <v>17</v>
          </cell>
          <cell r="B18" t="str">
            <v>ja</v>
          </cell>
          <cell r="C18" t="str">
            <v>リンクガチャを引いてみよう</v>
          </cell>
          <cell r="D18" t="str">
            <v>リンクガチャを回して_x000D_メタルダックやゴールドダックを獲得しましょう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マルチプレイが熱い！　その2</v>
          </cell>
          <cell r="D19" t="str">
            <v>マルチプレイなら_x000D_2倍のリンクがもらえます</v>
          </cell>
        </row>
        <row r="20">
          <cell r="A20">
            <v>19</v>
          </cell>
          <cell r="B20" t="str">
            <v>ja</v>
          </cell>
          <cell r="C20" t="str">
            <v>チャレンジタワー</v>
          </cell>
          <cell r="D20" t="str">
            <v>「チャレンジタワー」をクリアすると_x000D_各フロアごとに報酬がもらえます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マルチプレイが熱い！　その3</v>
          </cell>
          <cell r="D21" t="str">
            <v>マルチプレイへの参加は_x000D_エナジー消費がありません</v>
          </cell>
        </row>
        <row r="22">
          <cell r="A22">
            <v>21</v>
          </cell>
          <cell r="B22" t="str">
            <v>ja</v>
          </cell>
          <cell r="C22" t="str">
            <v>スキルを有効に使おう</v>
          </cell>
          <cell r="D22" t="str">
            <v>ターン経過でユニットは_x000D_強力なスキルが使えるようになります</v>
          </cell>
        </row>
        <row r="23">
          <cell r="A23">
            <v>22</v>
          </cell>
          <cell r="B23" t="str">
            <v>ja</v>
          </cell>
          <cell r="C23" t="str">
            <v>フィーバーを使って一発逆転</v>
          </cell>
          <cell r="D23" t="str">
            <v>ピンチの時はフィーバーで_x000D_一発逆転を狙いましょう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フィーバーは虹パネルを狙おう！</v>
          </cell>
          <cell r="D24" t="str">
            <v>フィーバー中は虹色のパネルを壊して_x000D_大ダメージを狙いましょう</v>
          </cell>
        </row>
        <row r="25">
          <cell r="A25">
            <v>24</v>
          </cell>
          <cell r="B25" t="str">
            <v>ja</v>
          </cell>
          <cell r="C25" t="str">
            <v>リンゴをつかって限界突破！</v>
          </cell>
          <cell r="D25" t="str">
            <v>赤りんご(攻撃力)、青りんご(回復力)、_x000D_緑りんご(体力)は_x000D_合計99個までステータスを上げられます</v>
          </cell>
        </row>
        <row r="26">
          <cell r="A26">
            <v>25</v>
          </cell>
          <cell r="B26" t="str">
            <v>ja</v>
          </cell>
          <cell r="C26" t="str">
            <v>クリスタルリンゴはスキルLvUP！</v>
          </cell>
          <cell r="D26" t="str">
            <v>「クリスタルのりんご」を強化に使うと_x000D_スキルLvを上げることができます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スキルLv</v>
          </cell>
          <cell r="D27" t="str">
            <v>スキルLvが上がると_x000D_短いターンでスキルを使うことができます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ホーム画面からデッキを編成！</v>
          </cell>
          <cell r="D28" t="str">
            <v>ホームでユニットを長押しすると_x000D_すぐにパーティ編成に移動できます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詳細情報は長押しで！</v>
          </cell>
          <cell r="D29" t="str">
            <v>ユニットのアイコンを長押しすると_x000D_ステータス情報を見ることができます</v>
          </cell>
        </row>
        <row r="30">
          <cell r="A30">
            <v>29</v>
          </cell>
          <cell r="B30" t="str">
            <v>ja</v>
          </cell>
          <cell r="C30" t="str">
            <v>ステータスのバグって何？</v>
          </cell>
          <cell r="D30" t="str">
            <v>「バグ」を上げると_x000D_報酬をもらえる確率がアップします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ステータスのバグを増やす方法</v>
          </cell>
          <cell r="D31" t="str">
            <v>同じユニット同士を強化すると_x000D_「バグ」を増やすことができます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イベントを見逃すな！</v>
          </cell>
          <cell r="D32" t="str">
            <v>特定のイベントでしか入手できない_x000D_ユニットがいるようです</v>
          </cell>
        </row>
        <row r="33">
          <cell r="A33">
            <v>38</v>
          </cell>
          <cell r="B33" t="str">
            <v>ja</v>
          </cell>
          <cell r="C33" t="str">
            <v>お邪魔はフィーバーで落とせ！</v>
          </cell>
          <cell r="D33" t="str">
            <v>消せない「お邪魔パネル」は_x000D_フィーバーで落としてしまいましょう</v>
          </cell>
        </row>
        <row r="34">
          <cell r="A34">
            <v>32</v>
          </cell>
          <cell r="B34" t="str">
            <v>ja</v>
          </cell>
          <cell r="C34" t="str">
            <v>連続攻撃をしてくる敵には</v>
          </cell>
          <cell r="D34" t="str">
            <v>敵の連続攻撃には「カウンター」スキルが有効！_x000D_ダメージ回数分の攻撃を返せます</v>
          </cell>
        </row>
        <row r="35">
          <cell r="A35">
            <v>33</v>
          </cell>
          <cell r="B35" t="str">
            <v>ja</v>
          </cell>
          <cell r="C35" t="str">
            <v>カウンターブレイク！</v>
          </cell>
          <cell r="D35" t="str">
            <v>敵のカウンターには「カウンターブレイク」！_x000D_カウンターを解除して攻撃をしかけましょう</v>
          </cell>
        </row>
        <row r="36">
          <cell r="A36">
            <v>34</v>
          </cell>
          <cell r="B36" t="str">
            <v>ja</v>
          </cell>
          <cell r="C36" t="str">
            <v>敵のDOWNを上書きしよう！</v>
          </cell>
          <cell r="D36" t="str">
            <v>攻撃力ダウンを受けたときは_x000D_攻撃力アップスキルで効果を上書きできます</v>
          </cell>
        </row>
        <row r="37">
          <cell r="A37">
            <v>35</v>
          </cell>
          <cell r="B37" t="str">
            <v>ja</v>
          </cell>
          <cell r="C37" t="str">
            <v>敵のUPを上書きしよう！</v>
          </cell>
          <cell r="D37" t="str">
            <v>敵の攻撃力がアップしたときは_x000D_攻撃力ダウンスキルで効果を上書きできます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チャレンジタワー15F、20F、25Fのボスは_x000D_一定確率でドロップするようです</v>
          </cell>
        </row>
        <row r="39">
          <cell r="A39">
            <v>37</v>
          </cell>
          <cell r="B39" t="str">
            <v>ja</v>
          </cell>
          <cell r="C39" t="str">
            <v>限界突破の引継</v>
          </cell>
          <cell r="D39" t="str">
            <v>限界突破の+値は同じユニットなら_x000D_覚醒前後でも強化で引き継がれます</v>
          </cell>
        </row>
        <row r="40">
          <cell r="A40">
            <v>65535</v>
          </cell>
          <cell r="B40" t="str">
            <v>ja</v>
          </cell>
          <cell r="C40" t="str">
            <v>文字数テスト</v>
          </cell>
          <cell r="D40" t="str">
            <v>チャレンジタワー15F、20F、25Fのボスは_x000D_一定確率でドロップするようです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3"/>
  <sheetViews>
    <sheetView workbookViewId="0">
      <selection activeCell="D15" sqref="D15"/>
    </sheetView>
  </sheetViews>
  <sheetFormatPr baseColWidth="12" defaultRowHeight="18" x14ac:dyDescent="0"/>
  <cols>
    <col min="1" max="1" width="12.83203125" style="10"/>
    <col min="2" max="2" width="17.1640625" style="10" bestFit="1" customWidth="1"/>
    <col min="3" max="4" width="12.83203125" style="10"/>
    <col min="5" max="5" width="20.5" style="10" bestFit="1" customWidth="1"/>
    <col min="6" max="6" width="16" style="10" bestFit="1" customWidth="1"/>
    <col min="7" max="16384" width="12.83203125" style="10"/>
  </cols>
  <sheetData>
    <row r="1" spans="1:11">
      <c r="A1" s="14" t="s">
        <v>18</v>
      </c>
      <c r="B1" s="8" t="s">
        <v>10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9"/>
      <c r="I1" s="9"/>
      <c r="J1" s="17"/>
      <c r="K1" s="17"/>
    </row>
    <row r="2" spans="1:11">
      <c r="A2" s="15" t="s">
        <v>19</v>
      </c>
      <c r="B2" s="24" t="s">
        <v>28</v>
      </c>
      <c r="C2" s="24" t="s">
        <v>77</v>
      </c>
      <c r="D2" s="24" t="s">
        <v>27</v>
      </c>
      <c r="E2" s="9" t="str">
        <f t="shared" ref="E2:E3" si="0">B2&amp;C2&amp;D2</f>
        <v>stage_hints_data_chozetsu.tmp</v>
      </c>
      <c r="F2" s="11" t="s">
        <v>9</v>
      </c>
      <c r="G2" s="1" t="s">
        <v>5</v>
      </c>
      <c r="H2" s="1" t="s">
        <v>0</v>
      </c>
      <c r="I2" s="16" t="s">
        <v>6</v>
      </c>
      <c r="J2" s="18" t="s">
        <v>20</v>
      </c>
      <c r="K2" s="23" t="s">
        <v>31</v>
      </c>
    </row>
    <row r="3" spans="1:11">
      <c r="A3" s="24" t="s">
        <v>115</v>
      </c>
      <c r="B3" s="24" t="s">
        <v>29</v>
      </c>
      <c r="C3" s="24" t="s">
        <v>77</v>
      </c>
      <c r="D3" s="24" t="s">
        <v>27</v>
      </c>
      <c r="E3" s="9" t="str">
        <f t="shared" si="0"/>
        <v>stage_hints_i18n_chozetsu.tmp</v>
      </c>
      <c r="F3" s="11" t="s">
        <v>9</v>
      </c>
      <c r="G3" s="16" t="s">
        <v>6</v>
      </c>
      <c r="H3" s="12" t="s">
        <v>7</v>
      </c>
      <c r="I3" s="1" t="s">
        <v>8</v>
      </c>
      <c r="J3" s="20" t="s">
        <v>22</v>
      </c>
      <c r="K3" s="23" t="s">
        <v>25</v>
      </c>
    </row>
  </sheetData>
  <phoneticPr fontId="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O132"/>
  <sheetViews>
    <sheetView showGridLines="0" tabSelected="1" workbookViewId="0">
      <pane ySplit="1" topLeftCell="A103" activePane="bottomLeft" state="frozen"/>
      <selection pane="bottomLeft" activeCell="L110" sqref="L110"/>
    </sheetView>
  </sheetViews>
  <sheetFormatPr baseColWidth="12" defaultColWidth="13" defaultRowHeight="18" outlineLevelCol="1" x14ac:dyDescent="0"/>
  <cols>
    <col min="2" max="2" width="13" style="28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2" width="11.1640625" customWidth="1"/>
    <col min="13" max="13" width="35.33203125" customWidth="1"/>
  </cols>
  <sheetData>
    <row r="1" spans="1:15">
      <c r="A1" s="3" t="s">
        <v>2</v>
      </c>
      <c r="B1" s="26" t="s">
        <v>32</v>
      </c>
      <c r="C1" s="1" t="s">
        <v>74</v>
      </c>
      <c r="D1" s="7" t="s">
        <v>3</v>
      </c>
      <c r="E1" s="7" t="s">
        <v>4</v>
      </c>
      <c r="F1" s="1" t="s">
        <v>75</v>
      </c>
      <c r="G1" s="7" t="s">
        <v>3</v>
      </c>
      <c r="H1" s="7" t="s">
        <v>4</v>
      </c>
      <c r="I1" s="1" t="s">
        <v>21</v>
      </c>
      <c r="J1" s="25" t="s">
        <v>30</v>
      </c>
      <c r="K1" s="13" t="s">
        <v>16</v>
      </c>
      <c r="L1" s="13" t="s">
        <v>26</v>
      </c>
      <c r="M1" s="2" t="s">
        <v>1</v>
      </c>
      <c r="N1" s="21" t="s">
        <v>23</v>
      </c>
      <c r="O1" t="s">
        <v>76</v>
      </c>
    </row>
    <row r="2" spans="1:15">
      <c r="A2" s="29" t="e">
        <f>C2&amp;"_"&amp;F2&amp;"_"&amp;#REF!</f>
        <v>#REF!</v>
      </c>
      <c r="B2" s="27" t="s">
        <v>33</v>
      </c>
      <c r="C2" s="5">
        <v>30009</v>
      </c>
      <c r="D2" s="4" t="str">
        <f ca="1">VLOOKUP($C2,OFFSET([1]quests!$A$1,0,0,COUNTA([1]quests!$A:$A),MATCH(D$1,[1]quests!$1:$1,0)-MATCH($C$1,[1]quests!$1:$1,0)+1),MATCH(D$1,[1]quests!$1:$1,0)-MATCH($C$1,[1]quests!$1:$1,0)+1,FALSE)</f>
        <v>復活の捕食者</v>
      </c>
      <c r="E2" s="4" t="str">
        <f ca="1">VLOOKUP($C2,OFFSET([1]quests!$A$1,0,0,COUNTA([1]quests!$A:$A),MATCH(E$1,[1]quests!$1:$1,0)-MATCH($C$1,[1]quests!$1:$1,0)+1),MATCH(E$1,[1]quests!$1:$1,0)-MATCH($C$1,[1]quests!$1:$1,0)+1,FALSE)</f>
        <v>ドロップイベント3（マルチ専用）</v>
      </c>
      <c r="F2" s="6">
        <v>2</v>
      </c>
      <c r="G2" s="4" t="str">
        <f ca="1">VLOOKUP($C2&amp;"_"&amp;$F2,OFFSET([1]stages!$A$1,0,0,COUNTA([1]stages!$A:$A),MATCH(G$1,[1]stages!$2:$2,0)-MATCH("temp_stage",[1]stages!$2:$2,0)+1),MATCH(G$1,[1]stages!$2:$2,0)-MATCH("temp_stage",[1]stages!$2:$2,0)+1,FALSE)</f>
        <v>【超絶級】復活の捕食者</v>
      </c>
      <c r="H2" s="4" t="str">
        <f ca="1">VLOOKUP($C2&amp;"_"&amp;$F2,OFFSET([1]stages!$A$1,0,0,COUNTA([1]stages!$A:$A),MATCH(H$1,[1]stages!$2:$2,0)-MATCH("temp_stage",[1]stages!$2:$2,0)+1),MATCH(H$1,[1]stages!$2:$2,0)-MATCH("temp_stage",[1]stages!$2:$2,0)+1,FALSE)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2" s="19">
        <v>0</v>
      </c>
      <c r="J2">
        <v>12</v>
      </c>
      <c r="K2" s="6" t="s">
        <v>17</v>
      </c>
      <c r="L2" s="36" t="str">
        <f>VLOOKUP(J2,[2]stage_hints!$A:$C,3,FALSE)</f>
        <v>お気に入り登録</v>
      </c>
      <c r="M2" s="37" t="str">
        <f>VLOOKUP(J2,[2]stage_hints!$A:$D,4,FALSE)</f>
        <v>大事なユニットは_x000D_フォルダから「お気に入り登録」しましょう</v>
      </c>
      <c r="N2" s="22" t="s">
        <v>24</v>
      </c>
      <c r="O2">
        <v>12</v>
      </c>
    </row>
    <row r="3" spans="1:15">
      <c r="A3" s="29" t="e">
        <f>C3&amp;"_"&amp;F3&amp;"_"&amp;#REF!</f>
        <v>#REF!</v>
      </c>
      <c r="B3" s="27" t="s">
        <v>33</v>
      </c>
      <c r="C3" s="5">
        <v>30009</v>
      </c>
      <c r="D3" s="4" t="str">
        <f ca="1">VLOOKUP($C3,OFFSET([1]quests!$A$1,0,0,COUNTA([1]quests!$A:$A),MATCH(D$1,[1]quests!$1:$1,0)-MATCH($C$1,[1]quests!$1:$1,0)+1),MATCH(D$1,[1]quests!$1:$1,0)-MATCH($C$1,[1]quests!$1:$1,0)+1,FALSE)</f>
        <v>復活の捕食者</v>
      </c>
      <c r="E3" s="4" t="str">
        <f ca="1">VLOOKUP($C3,OFFSET([1]quests!$A$1,0,0,COUNTA([1]quests!$A:$A),MATCH(E$1,[1]quests!$1:$1,0)-MATCH($C$1,[1]quests!$1:$1,0)+1),MATCH(E$1,[1]quests!$1:$1,0)-MATCH($C$1,[1]quests!$1:$1,0)+1,FALSE)</f>
        <v>ドロップイベント3（マルチ専用）</v>
      </c>
      <c r="F3" s="6">
        <v>2</v>
      </c>
      <c r="G3" s="4" t="str">
        <f ca="1">VLOOKUP($C3&amp;"_"&amp;$F3,OFFSET([1]stages!$A$1,0,0,COUNTA([1]stages!$A:$A),MATCH(G$1,[1]stages!$2:$2,0)-MATCH("temp_stage",[1]stages!$2:$2,0)+1),MATCH(G$1,[1]stages!$2:$2,0)-MATCH("temp_stage",[1]stages!$2:$2,0)+1,FALSE)</f>
        <v>【超絶級】復活の捕食者</v>
      </c>
      <c r="H3" s="4" t="str">
        <f ca="1">VLOOKUP($C3&amp;"_"&amp;$F3,OFFSET([1]stages!$A$1,0,0,COUNTA([1]stages!$A:$A),MATCH(H$1,[1]stages!$2:$2,0)-MATCH("temp_stage",[1]stages!$2:$2,0)+1),MATCH(H$1,[1]stages!$2:$2,0)-MATCH("temp_stage",[1]stages!$2:$2,0)+1,FALSE)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3" s="19">
        <v>0</v>
      </c>
      <c r="J3">
        <v>17</v>
      </c>
      <c r="K3" s="6" t="s">
        <v>17</v>
      </c>
      <c r="L3" s="36" t="str">
        <f>VLOOKUP(J3,[2]stage_hints!$A:$C,3,FALSE)</f>
        <v>リンクガチャを引いてみよう</v>
      </c>
      <c r="M3" s="37" t="str">
        <f>VLOOKUP(J3,[2]stage_hints!$A:$D,4,FALSE)</f>
        <v>リンクガチャを回して_x000D_メタルダックやゴールドダックを獲得しましょう</v>
      </c>
      <c r="N3" s="22" t="s">
        <v>24</v>
      </c>
      <c r="O3">
        <v>17</v>
      </c>
    </row>
    <row r="4" spans="1:15">
      <c r="A4" s="29" t="e">
        <f>C4&amp;"_"&amp;F4&amp;"_"&amp;#REF!</f>
        <v>#REF!</v>
      </c>
      <c r="B4" s="27" t="s">
        <v>33</v>
      </c>
      <c r="C4" s="5">
        <v>30009</v>
      </c>
      <c r="D4" s="4" t="str">
        <f ca="1">VLOOKUP($C4,OFFSET([1]quests!$A$1,0,0,COUNTA([1]quests!$A:$A),MATCH(D$1,[1]quests!$1:$1,0)-MATCH($C$1,[1]quests!$1:$1,0)+1),MATCH(D$1,[1]quests!$1:$1,0)-MATCH($C$1,[1]quests!$1:$1,0)+1,FALSE)</f>
        <v>復活の捕食者</v>
      </c>
      <c r="E4" s="4" t="str">
        <f ca="1">VLOOKUP($C4,OFFSET([1]quests!$A$1,0,0,COUNTA([1]quests!$A:$A),MATCH(E$1,[1]quests!$1:$1,0)-MATCH($C$1,[1]quests!$1:$1,0)+1),MATCH(E$1,[1]quests!$1:$1,0)-MATCH($C$1,[1]quests!$1:$1,0)+1,FALSE)</f>
        <v>ドロップイベント3（マルチ専用）</v>
      </c>
      <c r="F4" s="6">
        <v>2</v>
      </c>
      <c r="G4" s="4" t="str">
        <f ca="1">VLOOKUP($C4&amp;"_"&amp;$F4,OFFSET([1]stages!$A$1,0,0,COUNTA([1]stages!$A:$A),MATCH(G$1,[1]stages!$2:$2,0)-MATCH("temp_stage",[1]stages!$2:$2,0)+1),MATCH(G$1,[1]stages!$2:$2,0)-MATCH("temp_stage",[1]stages!$2:$2,0)+1,FALSE)</f>
        <v>【超絶級】復活の捕食者</v>
      </c>
      <c r="H4" s="4" t="str">
        <f ca="1">VLOOKUP($C4&amp;"_"&amp;$F4,OFFSET([1]stages!$A$1,0,0,COUNTA([1]stages!$A:$A),MATCH(H$1,[1]stages!$2:$2,0)-MATCH("temp_stage",[1]stages!$2:$2,0)+1),MATCH(H$1,[1]stages!$2:$2,0)-MATCH("temp_stage",[1]stages!$2:$2,0)+1,FALSE)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4" s="19">
        <v>0</v>
      </c>
      <c r="J4">
        <v>19</v>
      </c>
      <c r="K4" s="6" t="s">
        <v>17</v>
      </c>
      <c r="L4" s="36" t="str">
        <f>VLOOKUP(J4,[2]stage_hints!$A:$C,3,FALSE)</f>
        <v>チャレンジタワー</v>
      </c>
      <c r="M4" s="37" t="str">
        <f>VLOOKUP(J4,[2]stage_hints!$A:$D,4,FALSE)</f>
        <v>「チャレンジタワー」をクリアすると_x000D_各フロアごとに報酬がもらえます</v>
      </c>
      <c r="N4" s="22" t="s">
        <v>24</v>
      </c>
      <c r="O4">
        <v>19</v>
      </c>
    </row>
    <row r="5" spans="1:15">
      <c r="A5" s="29" t="e">
        <f>C5&amp;"_"&amp;F5&amp;"_"&amp;#REF!</f>
        <v>#REF!</v>
      </c>
      <c r="B5" s="27" t="s">
        <v>33</v>
      </c>
      <c r="C5" s="5">
        <v>30009</v>
      </c>
      <c r="D5" s="4" t="str">
        <f ca="1">VLOOKUP($C5,OFFSET([1]quests!$A$1,0,0,COUNTA([1]quests!$A:$A),MATCH(D$1,[1]quests!$1:$1,0)-MATCH($C$1,[1]quests!$1:$1,0)+1),MATCH(D$1,[1]quests!$1:$1,0)-MATCH($C$1,[1]quests!$1:$1,0)+1,FALSE)</f>
        <v>復活の捕食者</v>
      </c>
      <c r="E5" s="4" t="str">
        <f ca="1">VLOOKUP($C5,OFFSET([1]quests!$A$1,0,0,COUNTA([1]quests!$A:$A),MATCH(E$1,[1]quests!$1:$1,0)-MATCH($C$1,[1]quests!$1:$1,0)+1),MATCH(E$1,[1]quests!$1:$1,0)-MATCH($C$1,[1]quests!$1:$1,0)+1,FALSE)</f>
        <v>ドロップイベント3（マルチ専用）</v>
      </c>
      <c r="F5" s="6">
        <v>2</v>
      </c>
      <c r="G5" s="4" t="str">
        <f ca="1">VLOOKUP($C5&amp;"_"&amp;$F5,OFFSET([1]stages!$A$1,0,0,COUNTA([1]stages!$A:$A),MATCH(G$1,[1]stages!$2:$2,0)-MATCH("temp_stage",[1]stages!$2:$2,0)+1),MATCH(G$1,[1]stages!$2:$2,0)-MATCH("temp_stage",[1]stages!$2:$2,0)+1,FALSE)</f>
        <v>【超絶級】復活の捕食者</v>
      </c>
      <c r="H5" s="4" t="str">
        <f ca="1">VLOOKUP($C5&amp;"_"&amp;$F5,OFFSET([1]stages!$A$1,0,0,COUNTA([1]stages!$A:$A),MATCH(H$1,[1]stages!$2:$2,0)-MATCH("temp_stage",[1]stages!$2:$2,0)+1),MATCH(H$1,[1]stages!$2:$2,0)-MATCH("temp_stage",[1]stages!$2:$2,0)+1,FALSE)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5" s="19">
        <v>0</v>
      </c>
      <c r="J5">
        <v>21</v>
      </c>
      <c r="K5" s="6" t="s">
        <v>17</v>
      </c>
      <c r="L5" s="36" t="str">
        <f>VLOOKUP(J5,[2]stage_hints!$A:$C,3,FALSE)</f>
        <v>スキルを有効に使おう</v>
      </c>
      <c r="M5" s="37" t="str">
        <f>VLOOKUP(J5,[2]stage_hints!$A:$D,4,FALSE)</f>
        <v>ターン経過でユニットは_x000D_強力なスキルが使えるようになります</v>
      </c>
      <c r="N5" s="22" t="s">
        <v>24</v>
      </c>
      <c r="O5">
        <v>21</v>
      </c>
    </row>
    <row r="6" spans="1:15">
      <c r="A6" s="29" t="e">
        <f>C6&amp;"_"&amp;F6&amp;"_"&amp;#REF!</f>
        <v>#REF!</v>
      </c>
      <c r="B6" s="27" t="s">
        <v>33</v>
      </c>
      <c r="C6" s="5">
        <v>30009</v>
      </c>
      <c r="D6" s="4" t="str">
        <f ca="1">VLOOKUP($C6,OFFSET([1]quests!$A$1,0,0,COUNTA([1]quests!$A:$A),MATCH(D$1,[1]quests!$1:$1,0)-MATCH($C$1,[1]quests!$1:$1,0)+1),MATCH(D$1,[1]quests!$1:$1,0)-MATCH($C$1,[1]quests!$1:$1,0)+1,FALSE)</f>
        <v>復活の捕食者</v>
      </c>
      <c r="E6" s="4" t="str">
        <f ca="1">VLOOKUP($C6,OFFSET([1]quests!$A$1,0,0,COUNTA([1]quests!$A:$A),MATCH(E$1,[1]quests!$1:$1,0)-MATCH($C$1,[1]quests!$1:$1,0)+1),MATCH(E$1,[1]quests!$1:$1,0)-MATCH($C$1,[1]quests!$1:$1,0)+1,FALSE)</f>
        <v>ドロップイベント3（マルチ専用）</v>
      </c>
      <c r="F6" s="6">
        <v>2</v>
      </c>
      <c r="G6" s="4" t="str">
        <f ca="1">VLOOKUP($C6&amp;"_"&amp;$F6,OFFSET([1]stages!$A$1,0,0,COUNTA([1]stages!$A:$A),MATCH(G$1,[1]stages!$2:$2,0)-MATCH("temp_stage",[1]stages!$2:$2,0)+1),MATCH(G$1,[1]stages!$2:$2,0)-MATCH("temp_stage",[1]stages!$2:$2,0)+1,FALSE)</f>
        <v>【超絶級】復活の捕食者</v>
      </c>
      <c r="H6" s="4" t="str">
        <f ca="1">VLOOKUP($C6&amp;"_"&amp;$F6,OFFSET([1]stages!$A$1,0,0,COUNTA([1]stages!$A:$A),MATCH(H$1,[1]stages!$2:$2,0)-MATCH("temp_stage",[1]stages!$2:$2,0)+1),MATCH(H$1,[1]stages!$2:$2,0)-MATCH("temp_stage",[1]stages!$2:$2,0)+1,FALSE)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6" s="19">
        <v>0</v>
      </c>
      <c r="J6">
        <v>29</v>
      </c>
      <c r="K6" s="6" t="s">
        <v>17</v>
      </c>
      <c r="L6" s="36" t="str">
        <f>VLOOKUP(J6,[2]stage_hints!$A:$C,3,FALSE)</f>
        <v>ステータスのバグって何？</v>
      </c>
      <c r="M6" s="37" t="str">
        <f>VLOOKUP(J6,[2]stage_hints!$A:$D,4,FALSE)</f>
        <v>「バグ」を上げると_x000D_報酬をもらえる確率がアップします</v>
      </c>
      <c r="N6" s="22" t="s">
        <v>24</v>
      </c>
      <c r="O6">
        <v>29</v>
      </c>
    </row>
    <row r="7" spans="1:15">
      <c r="A7" s="29" t="e">
        <f>C7&amp;"_"&amp;F7&amp;"_"&amp;#REF!</f>
        <v>#REF!</v>
      </c>
      <c r="B7" s="27" t="s">
        <v>33</v>
      </c>
      <c r="C7" s="5">
        <v>30009</v>
      </c>
      <c r="D7" s="4" t="str">
        <f ca="1">VLOOKUP($C7,OFFSET([1]quests!$A$1,0,0,COUNTA([1]quests!$A:$A),MATCH(D$1,[1]quests!$1:$1,0)-MATCH($C$1,[1]quests!$1:$1,0)+1),MATCH(D$1,[1]quests!$1:$1,0)-MATCH($C$1,[1]quests!$1:$1,0)+1,FALSE)</f>
        <v>復活の捕食者</v>
      </c>
      <c r="E7" s="4" t="str">
        <f ca="1">VLOOKUP($C7,OFFSET([1]quests!$A$1,0,0,COUNTA([1]quests!$A:$A),MATCH(E$1,[1]quests!$1:$1,0)-MATCH($C$1,[1]quests!$1:$1,0)+1),MATCH(E$1,[1]quests!$1:$1,0)-MATCH($C$1,[1]quests!$1:$1,0)+1,FALSE)</f>
        <v>ドロップイベント3（マルチ専用）</v>
      </c>
      <c r="F7" s="6">
        <v>2</v>
      </c>
      <c r="G7" s="4" t="str">
        <f ca="1">VLOOKUP($C7&amp;"_"&amp;$F7,OFFSET([1]stages!$A$1,0,0,COUNTA([1]stages!$A:$A),MATCH(G$1,[1]stages!$2:$2,0)-MATCH("temp_stage",[1]stages!$2:$2,0)+1),MATCH(G$1,[1]stages!$2:$2,0)-MATCH("temp_stage",[1]stages!$2:$2,0)+1,FALSE)</f>
        <v>【超絶級】復活の捕食者</v>
      </c>
      <c r="H7" s="4" t="str">
        <f ca="1">VLOOKUP($C7&amp;"_"&amp;$F7,OFFSET([1]stages!$A$1,0,0,COUNTA([1]stages!$A:$A),MATCH(H$1,[1]stages!$2:$2,0)-MATCH("temp_stage",[1]stages!$2:$2,0)+1),MATCH(H$1,[1]stages!$2:$2,0)-MATCH("temp_stage",[1]stages!$2:$2,0)+1,FALSE)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7" s="19">
        <v>0</v>
      </c>
      <c r="J7">
        <v>30</v>
      </c>
      <c r="K7" s="6" t="s">
        <v>17</v>
      </c>
      <c r="L7" s="36" t="str">
        <f>VLOOKUP(J7,[2]stage_hints!$A:$C,3,FALSE)</f>
        <v>ステータスのバグを増やす方法</v>
      </c>
      <c r="M7" s="37" t="str">
        <f>VLOOKUP(J7,[2]stage_hints!$A:$D,4,FALSE)</f>
        <v>同じユニット同士を強化すると_x000D_「バグ」を増やすことができます</v>
      </c>
      <c r="N7" s="22" t="s">
        <v>24</v>
      </c>
      <c r="O7">
        <v>30</v>
      </c>
    </row>
    <row r="8" spans="1:15">
      <c r="A8" s="29" t="e">
        <f>C8&amp;"_"&amp;F8&amp;"_"&amp;#REF!</f>
        <v>#REF!</v>
      </c>
      <c r="B8" s="27" t="s">
        <v>33</v>
      </c>
      <c r="C8" s="5">
        <v>30009</v>
      </c>
      <c r="D8" s="4" t="str">
        <f ca="1">VLOOKUP($C8,OFFSET([1]quests!$A$1,0,0,COUNTA([1]quests!$A:$A),MATCH(D$1,[1]quests!$1:$1,0)-MATCH($C$1,[1]quests!$1:$1,0)+1),MATCH(D$1,[1]quests!$1:$1,0)-MATCH($C$1,[1]quests!$1:$1,0)+1,FALSE)</f>
        <v>復活の捕食者</v>
      </c>
      <c r="E8" s="4" t="str">
        <f ca="1">VLOOKUP($C8,OFFSET([1]quests!$A$1,0,0,COUNTA([1]quests!$A:$A),MATCH(E$1,[1]quests!$1:$1,0)-MATCH($C$1,[1]quests!$1:$1,0)+1),MATCH(E$1,[1]quests!$1:$1,0)-MATCH($C$1,[1]quests!$1:$1,0)+1,FALSE)</f>
        <v>ドロップイベント3（マルチ専用）</v>
      </c>
      <c r="F8" s="6">
        <v>2</v>
      </c>
      <c r="G8" s="4" t="str">
        <f ca="1">VLOOKUP($C8&amp;"_"&amp;$F8,OFFSET([1]stages!$A$1,0,0,COUNTA([1]stages!$A:$A),MATCH(G$1,[1]stages!$2:$2,0)-MATCH("temp_stage",[1]stages!$2:$2,0)+1),MATCH(G$1,[1]stages!$2:$2,0)-MATCH("temp_stage",[1]stages!$2:$2,0)+1,FALSE)</f>
        <v>【超絶級】復活の捕食者</v>
      </c>
      <c r="H8" s="4" t="str">
        <f ca="1">VLOOKUP($C8&amp;"_"&amp;$F8,OFFSET([1]stages!$A$1,0,0,COUNTA([1]stages!$A:$A),MATCH(H$1,[1]stages!$2:$2,0)-MATCH("temp_stage",[1]stages!$2:$2,0)+1),MATCH(H$1,[1]stages!$2:$2,0)-MATCH("temp_stage",[1]stages!$2:$2,0)+1,FALSE)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8" s="19">
        <v>0</v>
      </c>
      <c r="J8">
        <v>32</v>
      </c>
      <c r="K8" s="6" t="s">
        <v>17</v>
      </c>
      <c r="L8" s="36" t="str">
        <f>VLOOKUP(J8,[2]stage_hints!$A:$C,3,FALSE)</f>
        <v>連続攻撃をしてくる敵には</v>
      </c>
      <c r="M8" s="37" t="str">
        <f>VLOOKUP(J8,[2]stage_hints!$A:$D,4,FALSE)</f>
        <v>敵の連続攻撃には「カウンター」スキルが有効！_x000D_ダメージ回数分の攻撃を返せます</v>
      </c>
      <c r="N8" s="22" t="s">
        <v>24</v>
      </c>
      <c r="O8">
        <v>32</v>
      </c>
    </row>
    <row r="9" spans="1:15">
      <c r="A9" s="29" t="e">
        <f>C9&amp;"_"&amp;F9&amp;"_"&amp;#REF!</f>
        <v>#REF!</v>
      </c>
      <c r="B9" s="27" t="s">
        <v>33</v>
      </c>
      <c r="C9" s="5">
        <v>30009</v>
      </c>
      <c r="D9" s="4" t="str">
        <f ca="1">VLOOKUP($C9,OFFSET([1]quests!$A$1,0,0,COUNTA([1]quests!$A:$A),MATCH(D$1,[1]quests!$1:$1,0)-MATCH($C$1,[1]quests!$1:$1,0)+1),MATCH(D$1,[1]quests!$1:$1,0)-MATCH($C$1,[1]quests!$1:$1,0)+1,FALSE)</f>
        <v>復活の捕食者</v>
      </c>
      <c r="E9" s="4" t="str">
        <f ca="1">VLOOKUP($C9,OFFSET([1]quests!$A$1,0,0,COUNTA([1]quests!$A:$A),MATCH(E$1,[1]quests!$1:$1,0)-MATCH($C$1,[1]quests!$1:$1,0)+1),MATCH(E$1,[1]quests!$1:$1,0)-MATCH($C$1,[1]quests!$1:$1,0)+1,FALSE)</f>
        <v>ドロップイベント3（マルチ専用）</v>
      </c>
      <c r="F9" s="6">
        <v>2</v>
      </c>
      <c r="G9" s="4" t="str">
        <f ca="1">VLOOKUP($C9&amp;"_"&amp;$F9,OFFSET([1]stages!$A$1,0,0,COUNTA([1]stages!$A:$A),MATCH(G$1,[1]stages!$2:$2,0)-MATCH("temp_stage",[1]stages!$2:$2,0)+1),MATCH(G$1,[1]stages!$2:$2,0)-MATCH("temp_stage",[1]stages!$2:$2,0)+1,FALSE)</f>
        <v>【超絶級】復活の捕食者</v>
      </c>
      <c r="H9" s="4" t="str">
        <f ca="1">VLOOKUP($C9&amp;"_"&amp;$F9,OFFSET([1]stages!$A$1,0,0,COUNTA([1]stages!$A:$A),MATCH(H$1,[1]stages!$2:$2,0)-MATCH("temp_stage",[1]stages!$2:$2,0)+1),MATCH(H$1,[1]stages!$2:$2,0)-MATCH("temp_stage",[1]stages!$2:$2,0)+1,FALSE)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9" s="19">
        <v>0</v>
      </c>
      <c r="J9">
        <v>33</v>
      </c>
      <c r="K9" s="6" t="s">
        <v>17</v>
      </c>
      <c r="L9" s="36" t="str">
        <f>VLOOKUP(J9,[2]stage_hints!$A:$C,3,FALSE)</f>
        <v>カウンターブレイク！</v>
      </c>
      <c r="M9" s="37" t="str">
        <f>VLOOKUP(J9,[2]stage_hints!$A:$D,4,FALSE)</f>
        <v>敵のカウンターには「カウンターブレイク」！_x000D_カウンターを解除して攻撃をしかけましょう</v>
      </c>
      <c r="N9" s="22" t="s">
        <v>24</v>
      </c>
      <c r="O9">
        <v>33</v>
      </c>
    </row>
    <row r="10" spans="1:15">
      <c r="A10" s="29" t="e">
        <f>C10&amp;"_"&amp;F10&amp;"_"&amp;#REF!</f>
        <v>#REF!</v>
      </c>
      <c r="B10" s="27" t="s">
        <v>33</v>
      </c>
      <c r="C10" s="5">
        <v>30009</v>
      </c>
      <c r="D10" s="4" t="str">
        <f ca="1">VLOOKUP($C10,OFFSET([1]quests!$A$1,0,0,COUNTA([1]quests!$A:$A),MATCH(D$1,[1]quests!$1:$1,0)-MATCH($C$1,[1]quests!$1:$1,0)+1),MATCH(D$1,[1]quests!$1:$1,0)-MATCH($C$1,[1]quests!$1:$1,0)+1,FALSE)</f>
        <v>復活の捕食者</v>
      </c>
      <c r="E10" s="4" t="str">
        <f ca="1">VLOOKUP($C10,OFFSET([1]quests!$A$1,0,0,COUNTA([1]quests!$A:$A),MATCH(E$1,[1]quests!$1:$1,0)-MATCH($C$1,[1]quests!$1:$1,0)+1),MATCH(E$1,[1]quests!$1:$1,0)-MATCH($C$1,[1]quests!$1:$1,0)+1,FALSE)</f>
        <v>ドロップイベント3（マルチ専用）</v>
      </c>
      <c r="F10" s="6">
        <v>2</v>
      </c>
      <c r="G10" s="4" t="str">
        <f ca="1">VLOOKUP($C10&amp;"_"&amp;$F10,OFFSET([1]stages!$A$1,0,0,COUNTA([1]stages!$A:$A),MATCH(G$1,[1]stages!$2:$2,0)-MATCH("temp_stage",[1]stages!$2:$2,0)+1),MATCH(G$1,[1]stages!$2:$2,0)-MATCH("temp_stage",[1]stages!$2:$2,0)+1,FALSE)</f>
        <v>【超絶級】復活の捕食者</v>
      </c>
      <c r="H10" s="4" t="str">
        <f ca="1">VLOOKUP($C10&amp;"_"&amp;$F10,OFFSET([1]stages!$A$1,0,0,COUNTA([1]stages!$A:$A),MATCH(H$1,[1]stages!$2:$2,0)-MATCH("temp_stage",[1]stages!$2:$2,0)+1),MATCH(H$1,[1]stages!$2:$2,0)-MATCH("temp_stage",[1]stages!$2:$2,0)+1,FALSE)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0" s="19">
        <v>0</v>
      </c>
      <c r="J10">
        <v>34</v>
      </c>
      <c r="K10" s="6" t="s">
        <v>17</v>
      </c>
      <c r="L10" s="36" t="str">
        <f>VLOOKUP(J10,[2]stage_hints!$A:$C,3,FALSE)</f>
        <v>敵のDOWNを上書きしよう！</v>
      </c>
      <c r="M10" s="37" t="str">
        <f>VLOOKUP(J10,[2]stage_hints!$A:$D,4,FALSE)</f>
        <v>攻撃力ダウンを受けたときは_x000D_攻撃力アップスキルで効果を上書きできます</v>
      </c>
      <c r="N10" s="22" t="s">
        <v>24</v>
      </c>
      <c r="O10">
        <v>34</v>
      </c>
    </row>
    <row r="11" spans="1:15">
      <c r="A11" s="29" t="e">
        <f>C11&amp;"_"&amp;F11&amp;"_"&amp;#REF!</f>
        <v>#REF!</v>
      </c>
      <c r="B11" s="27" t="s">
        <v>33</v>
      </c>
      <c r="C11" s="5">
        <v>30009</v>
      </c>
      <c r="D11" s="4" t="str">
        <f ca="1">VLOOKUP($C11,OFFSET([1]quests!$A$1,0,0,COUNTA([1]quests!$A:$A),MATCH(D$1,[1]quests!$1:$1,0)-MATCH($C$1,[1]quests!$1:$1,0)+1),MATCH(D$1,[1]quests!$1:$1,0)-MATCH($C$1,[1]quests!$1:$1,0)+1,FALSE)</f>
        <v>復活の捕食者</v>
      </c>
      <c r="E11" s="4" t="str">
        <f ca="1">VLOOKUP($C11,OFFSET([1]quests!$A$1,0,0,COUNTA([1]quests!$A:$A),MATCH(E$1,[1]quests!$1:$1,0)-MATCH($C$1,[1]quests!$1:$1,0)+1),MATCH(E$1,[1]quests!$1:$1,0)-MATCH($C$1,[1]quests!$1:$1,0)+1,FALSE)</f>
        <v>ドロップイベント3（マルチ専用）</v>
      </c>
      <c r="F11" s="6">
        <v>2</v>
      </c>
      <c r="G11" s="4" t="str">
        <f ca="1">VLOOKUP($C11&amp;"_"&amp;$F11,OFFSET([1]stages!$A$1,0,0,COUNTA([1]stages!$A:$A),MATCH(G$1,[1]stages!$2:$2,0)-MATCH("temp_stage",[1]stages!$2:$2,0)+1),MATCH(G$1,[1]stages!$2:$2,0)-MATCH("temp_stage",[1]stages!$2:$2,0)+1,FALSE)</f>
        <v>【超絶級】復活の捕食者</v>
      </c>
      <c r="H11" s="4" t="str">
        <f ca="1">VLOOKUP($C11&amp;"_"&amp;$F11,OFFSET([1]stages!$A$1,0,0,COUNTA([1]stages!$A:$A),MATCH(H$1,[1]stages!$2:$2,0)-MATCH("temp_stage",[1]stages!$2:$2,0)+1),MATCH(H$1,[1]stages!$2:$2,0)-MATCH("temp_stage",[1]stages!$2:$2,0)+1,FALSE)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" s="19">
        <v>0</v>
      </c>
      <c r="J11">
        <v>35</v>
      </c>
      <c r="K11" s="6" t="s">
        <v>17</v>
      </c>
      <c r="L11" s="36" t="str">
        <f>VLOOKUP(J11,[2]stage_hints!$A:$C,3,FALSE)</f>
        <v>敵のUPを上書きしよう！</v>
      </c>
      <c r="M11" s="37" t="str">
        <f>VLOOKUP(J11,[2]stage_hints!$A:$D,4,FALSE)</f>
        <v>敵の攻撃力がアップしたときは_x000D_攻撃力ダウンスキルで効果を上書きできます</v>
      </c>
      <c r="N11" s="22" t="s">
        <v>24</v>
      </c>
      <c r="O11">
        <v>35</v>
      </c>
    </row>
    <row r="12" spans="1:15">
      <c r="A12" s="29" t="e">
        <f>C12&amp;"_"&amp;F12&amp;"_"&amp;#REF!</f>
        <v>#REF!</v>
      </c>
      <c r="B12" s="27" t="s">
        <v>33</v>
      </c>
      <c r="C12" s="5">
        <v>30009</v>
      </c>
      <c r="D12" s="4" t="str">
        <f ca="1">VLOOKUP($C12,OFFSET([1]quests!$A$1,0,0,COUNTA([1]quests!$A:$A),MATCH(D$1,[1]quests!$1:$1,0)-MATCH($C$1,[1]quests!$1:$1,0)+1),MATCH(D$1,[1]quests!$1:$1,0)-MATCH($C$1,[1]quests!$1:$1,0)+1,FALSE)</f>
        <v>復活の捕食者</v>
      </c>
      <c r="E12" s="4" t="str">
        <f ca="1">VLOOKUP($C12,OFFSET([1]quests!$A$1,0,0,COUNTA([1]quests!$A:$A),MATCH(E$1,[1]quests!$1:$1,0)-MATCH($C$1,[1]quests!$1:$1,0)+1),MATCH(E$1,[1]quests!$1:$1,0)-MATCH($C$1,[1]quests!$1:$1,0)+1,FALSE)</f>
        <v>ドロップイベント3（マルチ専用）</v>
      </c>
      <c r="F12" s="6">
        <v>2</v>
      </c>
      <c r="G12" s="4" t="str">
        <f ca="1">VLOOKUP($C12&amp;"_"&amp;$F12,OFFSET([1]stages!$A$1,0,0,COUNTA([1]stages!$A:$A),MATCH(G$1,[1]stages!$2:$2,0)-MATCH("temp_stage",[1]stages!$2:$2,0)+1),MATCH(G$1,[1]stages!$2:$2,0)-MATCH("temp_stage",[1]stages!$2:$2,0)+1,FALSE)</f>
        <v>【超絶級】復活の捕食者</v>
      </c>
      <c r="H12" s="4" t="str">
        <f ca="1">VLOOKUP($C12&amp;"_"&amp;$F12,OFFSET([1]stages!$A$1,0,0,COUNTA([1]stages!$A:$A),MATCH(H$1,[1]stages!$2:$2,0)-MATCH("temp_stage",[1]stages!$2:$2,0)+1),MATCH(H$1,[1]stages!$2:$2,0)-MATCH("temp_stage",[1]stages!$2:$2,0)+1,FALSE)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2" s="19">
        <v>0</v>
      </c>
      <c r="J12">
        <v>36</v>
      </c>
      <c r="K12" s="6" t="s">
        <v>17</v>
      </c>
      <c r="L12" s="36" t="str">
        <f>VLOOKUP(J12,[2]stage_hints!$A:$C,3,FALSE)</f>
        <v>チャレンジタワーのボス</v>
      </c>
      <c r="M12" s="37" t="str">
        <f>VLOOKUP(J12,[2]stage_hints!$A:$D,4,FALSE)</f>
        <v>チャレンジタワー15F、20F、25Fのボスは_x000D_一定確率でドロップするようです</v>
      </c>
      <c r="N12" s="22" t="s">
        <v>24</v>
      </c>
      <c r="O12">
        <v>36</v>
      </c>
    </row>
    <row r="13" spans="1:15">
      <c r="A13" s="29" t="e">
        <f>C13&amp;"_"&amp;F13&amp;"_"&amp;#REF!</f>
        <v>#REF!</v>
      </c>
      <c r="B13" s="27" t="s">
        <v>33</v>
      </c>
      <c r="C13" s="5">
        <v>30009</v>
      </c>
      <c r="D13" s="4" t="str">
        <f ca="1">VLOOKUP($C13,OFFSET([1]quests!$A$1,0,0,COUNTA([1]quests!$A:$A),MATCH(D$1,[1]quests!$1:$1,0)-MATCH($C$1,[1]quests!$1:$1,0)+1),MATCH(D$1,[1]quests!$1:$1,0)-MATCH($C$1,[1]quests!$1:$1,0)+1,FALSE)</f>
        <v>復活の捕食者</v>
      </c>
      <c r="E13" s="4" t="str">
        <f ca="1">VLOOKUP($C13,OFFSET([1]quests!$A$1,0,0,COUNTA([1]quests!$A:$A),MATCH(E$1,[1]quests!$1:$1,0)-MATCH($C$1,[1]quests!$1:$1,0)+1),MATCH(E$1,[1]quests!$1:$1,0)-MATCH($C$1,[1]quests!$1:$1,0)+1,FALSE)</f>
        <v>ドロップイベント3（マルチ専用）</v>
      </c>
      <c r="F13" s="6">
        <v>2</v>
      </c>
      <c r="G13" s="4" t="str">
        <f ca="1">VLOOKUP($C13&amp;"_"&amp;$F13,OFFSET([1]stages!$A$1,0,0,COUNTA([1]stages!$A:$A),MATCH(G$1,[1]stages!$2:$2,0)-MATCH("temp_stage",[1]stages!$2:$2,0)+1),MATCH(G$1,[1]stages!$2:$2,0)-MATCH("temp_stage",[1]stages!$2:$2,0)+1,FALSE)</f>
        <v>【超絶級】復活の捕食者</v>
      </c>
      <c r="H13" s="4" t="str">
        <f ca="1">VLOOKUP($C13&amp;"_"&amp;$F13,OFFSET([1]stages!$A$1,0,0,COUNTA([1]stages!$A:$A),MATCH(H$1,[1]stages!$2:$2,0)-MATCH("temp_stage",[1]stages!$2:$2,0)+1),MATCH(H$1,[1]stages!$2:$2,0)-MATCH("temp_stage",[1]stages!$2:$2,0)+1,FALSE)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3" s="19">
        <v>0</v>
      </c>
      <c r="J13">
        <v>37</v>
      </c>
      <c r="K13" s="6" t="s">
        <v>17</v>
      </c>
      <c r="L13" s="36" t="str">
        <f>VLOOKUP(J13,[2]stage_hints!$A:$C,3,FALSE)</f>
        <v>限界突破の引継</v>
      </c>
      <c r="M13" s="37" t="str">
        <f>VLOOKUP(J13,[2]stage_hints!$A:$D,4,FALSE)</f>
        <v>限界突破の+値は同じユニットなら_x000D_覚醒前後でも強化で引き継がれます</v>
      </c>
      <c r="N13" s="22" t="s">
        <v>24</v>
      </c>
      <c r="O13">
        <v>37</v>
      </c>
    </row>
    <row r="14" spans="1:15">
      <c r="A14" s="29" t="e">
        <f>C14&amp;"_"&amp;F14&amp;"_"&amp;#REF!</f>
        <v>#REF!</v>
      </c>
      <c r="B14" s="27" t="s">
        <v>33</v>
      </c>
      <c r="C14" s="5">
        <v>30010</v>
      </c>
      <c r="D14" s="4" t="str">
        <f ca="1">VLOOKUP($C14,OFFSET([1]quests!$A$1,0,0,COUNTA([1]quests!$A:$A),MATCH(D$1,[1]quests!$1:$1,0)-MATCH($C$1,[1]quests!$1:$1,0)+1),MATCH(D$1,[1]quests!$1:$1,0)-MATCH($C$1,[1]quests!$1:$1,0)+1,FALSE)</f>
        <v>最大最凶</v>
      </c>
      <c r="E14" s="4" t="str">
        <f ca="1">VLOOKUP($C14,OFFSET([1]quests!$A$1,0,0,COUNTA([1]quests!$A:$A),MATCH(E$1,[1]quests!$1:$1,0)-MATCH($C$1,[1]quests!$1:$1,0)+1),MATCH(E$1,[1]quests!$1:$1,0)-MATCH($C$1,[1]quests!$1:$1,0)+1,FALSE)</f>
        <v>ドロップイベント3（マルチ専用）</v>
      </c>
      <c r="F14" s="6">
        <v>3</v>
      </c>
      <c r="G14" s="4" t="str">
        <f ca="1">VLOOKUP($C14&amp;"_"&amp;$F14,OFFSET([1]stages!$A$1,0,0,COUNTA([1]stages!$A:$A),MATCH(G$1,[1]stages!$2:$2,0)-MATCH("temp_stage",[1]stages!$2:$2,0)+1),MATCH(G$1,[1]stages!$2:$2,0)-MATCH("temp_stage",[1]stages!$2:$2,0)+1,FALSE)</f>
        <v>【超絶級】最大最凶</v>
      </c>
      <c r="H14" s="4" t="str">
        <f ca="1">VLOOKUP($C14&amp;"_"&amp;$F14,OFFSET([1]stages!$A$1,0,0,COUNTA([1]stages!$A:$A),MATCH(H$1,[1]stages!$2:$2,0)-MATCH("temp_stage",[1]stages!$2:$2,0)+1),MATCH(H$1,[1]stages!$2:$2,0)-MATCH("temp_stage",[1]stages!$2:$2,0)+1,FALSE)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4" s="19">
        <v>0</v>
      </c>
      <c r="J14">
        <v>12</v>
      </c>
      <c r="K14" s="6" t="s">
        <v>17</v>
      </c>
      <c r="L14" s="36" t="str">
        <f>VLOOKUP(J14,[2]stage_hints!$A:$C,3,FALSE)</f>
        <v>お気に入り登録</v>
      </c>
      <c r="M14" s="37" t="str">
        <f>VLOOKUP(J14,[2]stage_hints!$A:$D,4,FALSE)</f>
        <v>大事なユニットは_x000D_フォルダから「お気に入り登録」しましょう</v>
      </c>
      <c r="N14" s="22" t="s">
        <v>24</v>
      </c>
      <c r="O14">
        <v>12</v>
      </c>
    </row>
    <row r="15" spans="1:15">
      <c r="A15" s="29" t="e">
        <f>C15&amp;"_"&amp;F15&amp;"_"&amp;#REF!</f>
        <v>#REF!</v>
      </c>
      <c r="B15" s="27" t="s">
        <v>33</v>
      </c>
      <c r="C15" s="5">
        <v>30010</v>
      </c>
      <c r="D15" s="4" t="str">
        <f ca="1">VLOOKUP($C15,OFFSET([1]quests!$A$1,0,0,COUNTA([1]quests!$A:$A),MATCH(D$1,[1]quests!$1:$1,0)-MATCH($C$1,[1]quests!$1:$1,0)+1),MATCH(D$1,[1]quests!$1:$1,0)-MATCH($C$1,[1]quests!$1:$1,0)+1,FALSE)</f>
        <v>最大最凶</v>
      </c>
      <c r="E15" s="4" t="str">
        <f ca="1">VLOOKUP($C15,OFFSET([1]quests!$A$1,0,0,COUNTA([1]quests!$A:$A),MATCH(E$1,[1]quests!$1:$1,0)-MATCH($C$1,[1]quests!$1:$1,0)+1),MATCH(E$1,[1]quests!$1:$1,0)-MATCH($C$1,[1]quests!$1:$1,0)+1,FALSE)</f>
        <v>ドロップイベント3（マルチ専用）</v>
      </c>
      <c r="F15" s="6">
        <v>3</v>
      </c>
      <c r="G15" s="4" t="str">
        <f ca="1">VLOOKUP($C15&amp;"_"&amp;$F15,OFFSET([1]stages!$A$1,0,0,COUNTA([1]stages!$A:$A),MATCH(G$1,[1]stages!$2:$2,0)-MATCH("temp_stage",[1]stages!$2:$2,0)+1),MATCH(G$1,[1]stages!$2:$2,0)-MATCH("temp_stage",[1]stages!$2:$2,0)+1,FALSE)</f>
        <v>【超絶級】最大最凶</v>
      </c>
      <c r="H15" s="4" t="str">
        <f ca="1">VLOOKUP($C15&amp;"_"&amp;$F15,OFFSET([1]stages!$A$1,0,0,COUNTA([1]stages!$A:$A),MATCH(H$1,[1]stages!$2:$2,0)-MATCH("temp_stage",[1]stages!$2:$2,0)+1),MATCH(H$1,[1]stages!$2:$2,0)-MATCH("temp_stage",[1]stages!$2:$2,0)+1,FALSE)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5" s="19">
        <v>0</v>
      </c>
      <c r="J15">
        <v>17</v>
      </c>
      <c r="K15" s="6" t="s">
        <v>17</v>
      </c>
      <c r="L15" s="36" t="str">
        <f>VLOOKUP(J15,[2]stage_hints!$A:$C,3,FALSE)</f>
        <v>リンクガチャを引いてみよう</v>
      </c>
      <c r="M15" s="37" t="str">
        <f>VLOOKUP(J15,[2]stage_hints!$A:$D,4,FALSE)</f>
        <v>リンクガチャを回して_x000D_メタルダックやゴールドダックを獲得しましょう</v>
      </c>
      <c r="N15" s="22" t="s">
        <v>24</v>
      </c>
      <c r="O15">
        <v>17</v>
      </c>
    </row>
    <row r="16" spans="1:15">
      <c r="A16" s="29" t="e">
        <f>C16&amp;"_"&amp;F16&amp;"_"&amp;#REF!</f>
        <v>#REF!</v>
      </c>
      <c r="B16" s="27" t="s">
        <v>33</v>
      </c>
      <c r="C16" s="5">
        <v>30010</v>
      </c>
      <c r="D16" s="4" t="str">
        <f ca="1">VLOOKUP($C16,OFFSET([1]quests!$A$1,0,0,COUNTA([1]quests!$A:$A),MATCH(D$1,[1]quests!$1:$1,0)-MATCH($C$1,[1]quests!$1:$1,0)+1),MATCH(D$1,[1]quests!$1:$1,0)-MATCH($C$1,[1]quests!$1:$1,0)+1,FALSE)</f>
        <v>最大最凶</v>
      </c>
      <c r="E16" s="4" t="str">
        <f ca="1">VLOOKUP($C16,OFFSET([1]quests!$A$1,0,0,COUNTA([1]quests!$A:$A),MATCH(E$1,[1]quests!$1:$1,0)-MATCH($C$1,[1]quests!$1:$1,0)+1),MATCH(E$1,[1]quests!$1:$1,0)-MATCH($C$1,[1]quests!$1:$1,0)+1,FALSE)</f>
        <v>ドロップイベント3（マルチ専用）</v>
      </c>
      <c r="F16" s="6">
        <v>3</v>
      </c>
      <c r="G16" s="4" t="str">
        <f ca="1">VLOOKUP($C16&amp;"_"&amp;$F16,OFFSET([1]stages!$A$1,0,0,COUNTA([1]stages!$A:$A),MATCH(G$1,[1]stages!$2:$2,0)-MATCH("temp_stage",[1]stages!$2:$2,0)+1),MATCH(G$1,[1]stages!$2:$2,0)-MATCH("temp_stage",[1]stages!$2:$2,0)+1,FALSE)</f>
        <v>【超絶級】最大最凶</v>
      </c>
      <c r="H16" s="4" t="str">
        <f ca="1">VLOOKUP($C16&amp;"_"&amp;$F16,OFFSET([1]stages!$A$1,0,0,COUNTA([1]stages!$A:$A),MATCH(H$1,[1]stages!$2:$2,0)-MATCH("temp_stage",[1]stages!$2:$2,0)+1),MATCH(H$1,[1]stages!$2:$2,0)-MATCH("temp_stage",[1]stages!$2:$2,0)+1,FALSE)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6" s="19">
        <v>0</v>
      </c>
      <c r="J16">
        <v>19</v>
      </c>
      <c r="K16" s="6" t="s">
        <v>17</v>
      </c>
      <c r="L16" s="36" t="str">
        <f>VLOOKUP(J16,[2]stage_hints!$A:$C,3,FALSE)</f>
        <v>チャレンジタワー</v>
      </c>
      <c r="M16" s="37" t="str">
        <f>VLOOKUP(J16,[2]stage_hints!$A:$D,4,FALSE)</f>
        <v>「チャレンジタワー」をクリアすると_x000D_各フロアごとに報酬がもらえます</v>
      </c>
      <c r="N16" s="22" t="s">
        <v>24</v>
      </c>
      <c r="O16">
        <v>19</v>
      </c>
    </row>
    <row r="17" spans="1:15">
      <c r="A17" s="29" t="e">
        <f>C17&amp;"_"&amp;F17&amp;"_"&amp;#REF!</f>
        <v>#REF!</v>
      </c>
      <c r="B17" s="27" t="s">
        <v>33</v>
      </c>
      <c r="C17" s="5">
        <v>30010</v>
      </c>
      <c r="D17" s="4" t="str">
        <f ca="1">VLOOKUP($C17,OFFSET([1]quests!$A$1,0,0,COUNTA([1]quests!$A:$A),MATCH(D$1,[1]quests!$1:$1,0)-MATCH($C$1,[1]quests!$1:$1,0)+1),MATCH(D$1,[1]quests!$1:$1,0)-MATCH($C$1,[1]quests!$1:$1,0)+1,FALSE)</f>
        <v>最大最凶</v>
      </c>
      <c r="E17" s="4" t="str">
        <f ca="1">VLOOKUP($C17,OFFSET([1]quests!$A$1,0,0,COUNTA([1]quests!$A:$A),MATCH(E$1,[1]quests!$1:$1,0)-MATCH($C$1,[1]quests!$1:$1,0)+1),MATCH(E$1,[1]quests!$1:$1,0)-MATCH($C$1,[1]quests!$1:$1,0)+1,FALSE)</f>
        <v>ドロップイベント3（マルチ専用）</v>
      </c>
      <c r="F17" s="6">
        <v>3</v>
      </c>
      <c r="G17" s="4" t="str">
        <f ca="1">VLOOKUP($C17&amp;"_"&amp;$F17,OFFSET([1]stages!$A$1,0,0,COUNTA([1]stages!$A:$A),MATCH(G$1,[1]stages!$2:$2,0)-MATCH("temp_stage",[1]stages!$2:$2,0)+1),MATCH(G$1,[1]stages!$2:$2,0)-MATCH("temp_stage",[1]stages!$2:$2,0)+1,FALSE)</f>
        <v>【超絶級】最大最凶</v>
      </c>
      <c r="H17" s="4" t="str">
        <f ca="1">VLOOKUP($C17&amp;"_"&amp;$F17,OFFSET([1]stages!$A$1,0,0,COUNTA([1]stages!$A:$A),MATCH(H$1,[1]stages!$2:$2,0)-MATCH("temp_stage",[1]stages!$2:$2,0)+1),MATCH(H$1,[1]stages!$2:$2,0)-MATCH("temp_stage",[1]stages!$2:$2,0)+1,FALSE)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7" s="19">
        <v>0</v>
      </c>
      <c r="J17">
        <v>21</v>
      </c>
      <c r="K17" s="6" t="s">
        <v>17</v>
      </c>
      <c r="L17" s="36" t="str">
        <f>VLOOKUP(J17,[2]stage_hints!$A:$C,3,FALSE)</f>
        <v>スキルを有効に使おう</v>
      </c>
      <c r="M17" s="37" t="str">
        <f>VLOOKUP(J17,[2]stage_hints!$A:$D,4,FALSE)</f>
        <v>ターン経過でユニットは_x000D_強力なスキルが使えるようになります</v>
      </c>
      <c r="N17" s="22" t="s">
        <v>24</v>
      </c>
      <c r="O17">
        <v>21</v>
      </c>
    </row>
    <row r="18" spans="1:15">
      <c r="A18" s="29" t="e">
        <f>C18&amp;"_"&amp;F18&amp;"_"&amp;#REF!</f>
        <v>#REF!</v>
      </c>
      <c r="B18" s="27" t="s">
        <v>33</v>
      </c>
      <c r="C18" s="5">
        <v>30010</v>
      </c>
      <c r="D18" s="4" t="str">
        <f ca="1">VLOOKUP($C18,OFFSET([1]quests!$A$1,0,0,COUNTA([1]quests!$A:$A),MATCH(D$1,[1]quests!$1:$1,0)-MATCH($C$1,[1]quests!$1:$1,0)+1),MATCH(D$1,[1]quests!$1:$1,0)-MATCH($C$1,[1]quests!$1:$1,0)+1,FALSE)</f>
        <v>最大最凶</v>
      </c>
      <c r="E18" s="4" t="str">
        <f ca="1">VLOOKUP($C18,OFFSET([1]quests!$A$1,0,0,COUNTA([1]quests!$A:$A),MATCH(E$1,[1]quests!$1:$1,0)-MATCH($C$1,[1]quests!$1:$1,0)+1),MATCH(E$1,[1]quests!$1:$1,0)-MATCH($C$1,[1]quests!$1:$1,0)+1,FALSE)</f>
        <v>ドロップイベント3（マルチ専用）</v>
      </c>
      <c r="F18" s="6">
        <v>3</v>
      </c>
      <c r="G18" s="4" t="str">
        <f ca="1">VLOOKUP($C18&amp;"_"&amp;$F18,OFFSET([1]stages!$A$1,0,0,COUNTA([1]stages!$A:$A),MATCH(G$1,[1]stages!$2:$2,0)-MATCH("temp_stage",[1]stages!$2:$2,0)+1),MATCH(G$1,[1]stages!$2:$2,0)-MATCH("temp_stage",[1]stages!$2:$2,0)+1,FALSE)</f>
        <v>【超絶級】最大最凶</v>
      </c>
      <c r="H18" s="4" t="str">
        <f ca="1">VLOOKUP($C18&amp;"_"&amp;$F18,OFFSET([1]stages!$A$1,0,0,COUNTA([1]stages!$A:$A),MATCH(H$1,[1]stages!$2:$2,0)-MATCH("temp_stage",[1]stages!$2:$2,0)+1),MATCH(H$1,[1]stages!$2:$2,0)-MATCH("temp_stage",[1]stages!$2:$2,0)+1,FALSE)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8" s="19">
        <v>0</v>
      </c>
      <c r="J18">
        <v>29</v>
      </c>
      <c r="K18" s="6" t="s">
        <v>17</v>
      </c>
      <c r="L18" s="36" t="str">
        <f>VLOOKUP(J18,[2]stage_hints!$A:$C,3,FALSE)</f>
        <v>ステータスのバグって何？</v>
      </c>
      <c r="M18" s="37" t="str">
        <f>VLOOKUP(J18,[2]stage_hints!$A:$D,4,FALSE)</f>
        <v>「バグ」を上げると_x000D_報酬をもらえる確率がアップします</v>
      </c>
      <c r="N18" s="22" t="s">
        <v>24</v>
      </c>
      <c r="O18">
        <v>29</v>
      </c>
    </row>
    <row r="19" spans="1:15">
      <c r="A19" s="29" t="e">
        <f>C19&amp;"_"&amp;F19&amp;"_"&amp;#REF!</f>
        <v>#REF!</v>
      </c>
      <c r="B19" s="27" t="s">
        <v>33</v>
      </c>
      <c r="C19" s="5">
        <v>30010</v>
      </c>
      <c r="D19" s="4" t="str">
        <f ca="1">VLOOKUP($C19,OFFSET([1]quests!$A$1,0,0,COUNTA([1]quests!$A:$A),MATCH(D$1,[1]quests!$1:$1,0)-MATCH($C$1,[1]quests!$1:$1,0)+1),MATCH(D$1,[1]quests!$1:$1,0)-MATCH($C$1,[1]quests!$1:$1,0)+1,FALSE)</f>
        <v>最大最凶</v>
      </c>
      <c r="E19" s="4" t="str">
        <f ca="1">VLOOKUP($C19,OFFSET([1]quests!$A$1,0,0,COUNTA([1]quests!$A:$A),MATCH(E$1,[1]quests!$1:$1,0)-MATCH($C$1,[1]quests!$1:$1,0)+1),MATCH(E$1,[1]quests!$1:$1,0)-MATCH($C$1,[1]quests!$1:$1,0)+1,FALSE)</f>
        <v>ドロップイベント3（マルチ専用）</v>
      </c>
      <c r="F19" s="6">
        <v>3</v>
      </c>
      <c r="G19" s="4" t="str">
        <f ca="1">VLOOKUP($C19&amp;"_"&amp;$F19,OFFSET([1]stages!$A$1,0,0,COUNTA([1]stages!$A:$A),MATCH(G$1,[1]stages!$2:$2,0)-MATCH("temp_stage",[1]stages!$2:$2,0)+1),MATCH(G$1,[1]stages!$2:$2,0)-MATCH("temp_stage",[1]stages!$2:$2,0)+1,FALSE)</f>
        <v>【超絶級】最大最凶</v>
      </c>
      <c r="H19" s="4" t="str">
        <f ca="1">VLOOKUP($C19&amp;"_"&amp;$F19,OFFSET([1]stages!$A$1,0,0,COUNTA([1]stages!$A:$A),MATCH(H$1,[1]stages!$2:$2,0)-MATCH("temp_stage",[1]stages!$2:$2,0)+1),MATCH(H$1,[1]stages!$2:$2,0)-MATCH("temp_stage",[1]stages!$2:$2,0)+1,FALSE)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9" s="19">
        <v>0</v>
      </c>
      <c r="J19">
        <v>30</v>
      </c>
      <c r="K19" s="6" t="s">
        <v>17</v>
      </c>
      <c r="L19" s="36" t="str">
        <f>VLOOKUP(J19,[2]stage_hints!$A:$C,3,FALSE)</f>
        <v>ステータスのバグを増やす方法</v>
      </c>
      <c r="M19" s="37" t="str">
        <f>VLOOKUP(J19,[2]stage_hints!$A:$D,4,FALSE)</f>
        <v>同じユニット同士を強化すると_x000D_「バグ」を増やすことができます</v>
      </c>
      <c r="N19" s="22" t="s">
        <v>24</v>
      </c>
      <c r="O19">
        <v>30</v>
      </c>
    </row>
    <row r="20" spans="1:15">
      <c r="A20" s="29" t="e">
        <f>C20&amp;"_"&amp;F20&amp;"_"&amp;#REF!</f>
        <v>#REF!</v>
      </c>
      <c r="B20" s="27" t="s">
        <v>33</v>
      </c>
      <c r="C20" s="5">
        <v>30010</v>
      </c>
      <c r="D20" s="4" t="str">
        <f ca="1">VLOOKUP($C20,OFFSET([1]quests!$A$1,0,0,COUNTA([1]quests!$A:$A),MATCH(D$1,[1]quests!$1:$1,0)-MATCH($C$1,[1]quests!$1:$1,0)+1),MATCH(D$1,[1]quests!$1:$1,0)-MATCH($C$1,[1]quests!$1:$1,0)+1,FALSE)</f>
        <v>最大最凶</v>
      </c>
      <c r="E20" s="4" t="str">
        <f ca="1">VLOOKUP($C20,OFFSET([1]quests!$A$1,0,0,COUNTA([1]quests!$A:$A),MATCH(E$1,[1]quests!$1:$1,0)-MATCH($C$1,[1]quests!$1:$1,0)+1),MATCH(E$1,[1]quests!$1:$1,0)-MATCH($C$1,[1]quests!$1:$1,0)+1,FALSE)</f>
        <v>ドロップイベント3（マルチ専用）</v>
      </c>
      <c r="F20" s="6">
        <v>3</v>
      </c>
      <c r="G20" s="4" t="str">
        <f ca="1">VLOOKUP($C20&amp;"_"&amp;$F20,OFFSET([1]stages!$A$1,0,0,COUNTA([1]stages!$A:$A),MATCH(G$1,[1]stages!$2:$2,0)-MATCH("temp_stage",[1]stages!$2:$2,0)+1),MATCH(G$1,[1]stages!$2:$2,0)-MATCH("temp_stage",[1]stages!$2:$2,0)+1,FALSE)</f>
        <v>【超絶級】最大最凶</v>
      </c>
      <c r="H20" s="4" t="str">
        <f ca="1">VLOOKUP($C20&amp;"_"&amp;$F20,OFFSET([1]stages!$A$1,0,0,COUNTA([1]stages!$A:$A),MATCH(H$1,[1]stages!$2:$2,0)-MATCH("temp_stage",[1]stages!$2:$2,0)+1),MATCH(H$1,[1]stages!$2:$2,0)-MATCH("temp_stage",[1]stages!$2:$2,0)+1,FALSE)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20" s="19">
        <v>0</v>
      </c>
      <c r="J20">
        <v>32</v>
      </c>
      <c r="K20" s="6" t="s">
        <v>17</v>
      </c>
      <c r="L20" s="36" t="str">
        <f>VLOOKUP(J20,[2]stage_hints!$A:$C,3,FALSE)</f>
        <v>連続攻撃をしてくる敵には</v>
      </c>
      <c r="M20" s="37" t="str">
        <f>VLOOKUP(J20,[2]stage_hints!$A:$D,4,FALSE)</f>
        <v>敵の連続攻撃には「カウンター」スキルが有効！_x000D_ダメージ回数分の攻撃を返せます</v>
      </c>
      <c r="N20" s="22" t="s">
        <v>24</v>
      </c>
      <c r="O20">
        <v>32</v>
      </c>
    </row>
    <row r="21" spans="1:15">
      <c r="A21" s="29" t="e">
        <f>C21&amp;"_"&amp;F21&amp;"_"&amp;#REF!</f>
        <v>#REF!</v>
      </c>
      <c r="B21" s="27" t="s">
        <v>33</v>
      </c>
      <c r="C21" s="5">
        <v>30010</v>
      </c>
      <c r="D21" s="4" t="str">
        <f ca="1">VLOOKUP($C21,OFFSET([1]quests!$A$1,0,0,COUNTA([1]quests!$A:$A),MATCH(D$1,[1]quests!$1:$1,0)-MATCH($C$1,[1]quests!$1:$1,0)+1),MATCH(D$1,[1]quests!$1:$1,0)-MATCH($C$1,[1]quests!$1:$1,0)+1,FALSE)</f>
        <v>最大最凶</v>
      </c>
      <c r="E21" s="4" t="str">
        <f ca="1">VLOOKUP($C21,OFFSET([1]quests!$A$1,0,0,COUNTA([1]quests!$A:$A),MATCH(E$1,[1]quests!$1:$1,0)-MATCH($C$1,[1]quests!$1:$1,0)+1),MATCH(E$1,[1]quests!$1:$1,0)-MATCH($C$1,[1]quests!$1:$1,0)+1,FALSE)</f>
        <v>ドロップイベント3（マルチ専用）</v>
      </c>
      <c r="F21" s="6">
        <v>3</v>
      </c>
      <c r="G21" s="4" t="str">
        <f ca="1">VLOOKUP($C21&amp;"_"&amp;$F21,OFFSET([1]stages!$A$1,0,0,COUNTA([1]stages!$A:$A),MATCH(G$1,[1]stages!$2:$2,0)-MATCH("temp_stage",[1]stages!$2:$2,0)+1),MATCH(G$1,[1]stages!$2:$2,0)-MATCH("temp_stage",[1]stages!$2:$2,0)+1,FALSE)</f>
        <v>【超絶級】最大最凶</v>
      </c>
      <c r="H21" s="4" t="str">
        <f ca="1">VLOOKUP($C21&amp;"_"&amp;$F21,OFFSET([1]stages!$A$1,0,0,COUNTA([1]stages!$A:$A),MATCH(H$1,[1]stages!$2:$2,0)-MATCH("temp_stage",[1]stages!$2:$2,0)+1),MATCH(H$1,[1]stages!$2:$2,0)-MATCH("temp_stage",[1]stages!$2:$2,0)+1,FALSE)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21" s="19">
        <v>0</v>
      </c>
      <c r="J21">
        <v>33</v>
      </c>
      <c r="K21" s="6" t="s">
        <v>17</v>
      </c>
      <c r="L21" s="36" t="str">
        <f>VLOOKUP(J21,[2]stage_hints!$A:$C,3,FALSE)</f>
        <v>カウンターブレイク！</v>
      </c>
      <c r="M21" s="37" t="str">
        <f>VLOOKUP(J21,[2]stage_hints!$A:$D,4,FALSE)</f>
        <v>敵のカウンターには「カウンターブレイク」！_x000D_カウンターを解除して攻撃をしかけましょう</v>
      </c>
      <c r="N21" s="22" t="s">
        <v>24</v>
      </c>
      <c r="O21">
        <v>33</v>
      </c>
    </row>
    <row r="22" spans="1:15">
      <c r="A22" s="29" t="e">
        <f>C22&amp;"_"&amp;F22&amp;"_"&amp;#REF!</f>
        <v>#REF!</v>
      </c>
      <c r="B22" s="27" t="s">
        <v>33</v>
      </c>
      <c r="C22" s="5">
        <v>30010</v>
      </c>
      <c r="D22" s="4" t="str">
        <f ca="1">VLOOKUP($C22,OFFSET([1]quests!$A$1,0,0,COUNTA([1]quests!$A:$A),MATCH(D$1,[1]quests!$1:$1,0)-MATCH($C$1,[1]quests!$1:$1,0)+1),MATCH(D$1,[1]quests!$1:$1,0)-MATCH($C$1,[1]quests!$1:$1,0)+1,FALSE)</f>
        <v>最大最凶</v>
      </c>
      <c r="E22" s="4" t="str">
        <f ca="1">VLOOKUP($C22,OFFSET([1]quests!$A$1,0,0,COUNTA([1]quests!$A:$A),MATCH(E$1,[1]quests!$1:$1,0)-MATCH($C$1,[1]quests!$1:$1,0)+1),MATCH(E$1,[1]quests!$1:$1,0)-MATCH($C$1,[1]quests!$1:$1,0)+1,FALSE)</f>
        <v>ドロップイベント3（マルチ専用）</v>
      </c>
      <c r="F22" s="6">
        <v>3</v>
      </c>
      <c r="G22" s="4" t="str">
        <f ca="1">VLOOKUP($C22&amp;"_"&amp;$F22,OFFSET([1]stages!$A$1,0,0,COUNTA([1]stages!$A:$A),MATCH(G$1,[1]stages!$2:$2,0)-MATCH("temp_stage",[1]stages!$2:$2,0)+1),MATCH(G$1,[1]stages!$2:$2,0)-MATCH("temp_stage",[1]stages!$2:$2,0)+1,FALSE)</f>
        <v>【超絶級】最大最凶</v>
      </c>
      <c r="H22" s="4" t="str">
        <f ca="1">VLOOKUP($C22&amp;"_"&amp;$F22,OFFSET([1]stages!$A$1,0,0,COUNTA([1]stages!$A:$A),MATCH(H$1,[1]stages!$2:$2,0)-MATCH("temp_stage",[1]stages!$2:$2,0)+1),MATCH(H$1,[1]stages!$2:$2,0)-MATCH("temp_stage",[1]stages!$2:$2,0)+1,FALSE)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22" s="19">
        <v>0</v>
      </c>
      <c r="J22">
        <v>34</v>
      </c>
      <c r="K22" s="6" t="s">
        <v>17</v>
      </c>
      <c r="L22" s="36" t="str">
        <f>VLOOKUP(J22,[2]stage_hints!$A:$C,3,FALSE)</f>
        <v>敵のDOWNを上書きしよう！</v>
      </c>
      <c r="M22" s="37" t="str">
        <f>VLOOKUP(J22,[2]stage_hints!$A:$D,4,FALSE)</f>
        <v>攻撃力ダウンを受けたときは_x000D_攻撃力アップスキルで効果を上書きできます</v>
      </c>
      <c r="N22" s="22" t="s">
        <v>24</v>
      </c>
      <c r="O22">
        <v>34</v>
      </c>
    </row>
    <row r="23" spans="1:15">
      <c r="A23" s="29" t="e">
        <f>C23&amp;"_"&amp;F23&amp;"_"&amp;#REF!</f>
        <v>#REF!</v>
      </c>
      <c r="B23" s="27" t="s">
        <v>33</v>
      </c>
      <c r="C23" s="5">
        <v>30010</v>
      </c>
      <c r="D23" s="4" t="str">
        <f ca="1">VLOOKUP($C23,OFFSET([1]quests!$A$1,0,0,COUNTA([1]quests!$A:$A),MATCH(D$1,[1]quests!$1:$1,0)-MATCH($C$1,[1]quests!$1:$1,0)+1),MATCH(D$1,[1]quests!$1:$1,0)-MATCH($C$1,[1]quests!$1:$1,0)+1,FALSE)</f>
        <v>最大最凶</v>
      </c>
      <c r="E23" s="4" t="str">
        <f ca="1">VLOOKUP($C23,OFFSET([1]quests!$A$1,0,0,COUNTA([1]quests!$A:$A),MATCH(E$1,[1]quests!$1:$1,0)-MATCH($C$1,[1]quests!$1:$1,0)+1),MATCH(E$1,[1]quests!$1:$1,0)-MATCH($C$1,[1]quests!$1:$1,0)+1,FALSE)</f>
        <v>ドロップイベント3（マルチ専用）</v>
      </c>
      <c r="F23" s="6">
        <v>3</v>
      </c>
      <c r="G23" s="4" t="str">
        <f ca="1">VLOOKUP($C23&amp;"_"&amp;$F23,OFFSET([1]stages!$A$1,0,0,COUNTA([1]stages!$A:$A),MATCH(G$1,[1]stages!$2:$2,0)-MATCH("temp_stage",[1]stages!$2:$2,0)+1),MATCH(G$1,[1]stages!$2:$2,0)-MATCH("temp_stage",[1]stages!$2:$2,0)+1,FALSE)</f>
        <v>【超絶級】最大最凶</v>
      </c>
      <c r="H23" s="4" t="str">
        <f ca="1">VLOOKUP($C23&amp;"_"&amp;$F23,OFFSET([1]stages!$A$1,0,0,COUNTA([1]stages!$A:$A),MATCH(H$1,[1]stages!$2:$2,0)-MATCH("temp_stage",[1]stages!$2:$2,0)+1),MATCH(H$1,[1]stages!$2:$2,0)-MATCH("temp_stage",[1]stages!$2:$2,0)+1,FALSE)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23" s="19">
        <v>0</v>
      </c>
      <c r="J23">
        <v>35</v>
      </c>
      <c r="K23" s="6" t="s">
        <v>17</v>
      </c>
      <c r="L23" s="36" t="str">
        <f>VLOOKUP(J23,[2]stage_hints!$A:$C,3,FALSE)</f>
        <v>敵のUPを上書きしよう！</v>
      </c>
      <c r="M23" s="37" t="str">
        <f>VLOOKUP(J23,[2]stage_hints!$A:$D,4,FALSE)</f>
        <v>敵の攻撃力がアップしたときは_x000D_攻撃力ダウンスキルで効果を上書きできます</v>
      </c>
      <c r="N23" s="22" t="s">
        <v>24</v>
      </c>
      <c r="O23">
        <v>35</v>
      </c>
    </row>
    <row r="24" spans="1:15">
      <c r="A24" s="29" t="e">
        <f>C24&amp;"_"&amp;F24&amp;"_"&amp;#REF!</f>
        <v>#REF!</v>
      </c>
      <c r="B24" s="27" t="s">
        <v>33</v>
      </c>
      <c r="C24" s="5">
        <v>30010</v>
      </c>
      <c r="D24" s="4" t="str">
        <f ca="1">VLOOKUP($C24,OFFSET([1]quests!$A$1,0,0,COUNTA([1]quests!$A:$A),MATCH(D$1,[1]quests!$1:$1,0)-MATCH($C$1,[1]quests!$1:$1,0)+1),MATCH(D$1,[1]quests!$1:$1,0)-MATCH($C$1,[1]quests!$1:$1,0)+1,FALSE)</f>
        <v>最大最凶</v>
      </c>
      <c r="E24" s="4" t="str">
        <f ca="1">VLOOKUP($C24,OFFSET([1]quests!$A$1,0,0,COUNTA([1]quests!$A:$A),MATCH(E$1,[1]quests!$1:$1,0)-MATCH($C$1,[1]quests!$1:$1,0)+1),MATCH(E$1,[1]quests!$1:$1,0)-MATCH($C$1,[1]quests!$1:$1,0)+1,FALSE)</f>
        <v>ドロップイベント3（マルチ専用）</v>
      </c>
      <c r="F24" s="6">
        <v>3</v>
      </c>
      <c r="G24" s="4" t="str">
        <f ca="1">VLOOKUP($C24&amp;"_"&amp;$F24,OFFSET([1]stages!$A$1,0,0,COUNTA([1]stages!$A:$A),MATCH(G$1,[1]stages!$2:$2,0)-MATCH("temp_stage",[1]stages!$2:$2,0)+1),MATCH(G$1,[1]stages!$2:$2,0)-MATCH("temp_stage",[1]stages!$2:$2,0)+1,FALSE)</f>
        <v>【超絶級】最大最凶</v>
      </c>
      <c r="H24" s="4" t="str">
        <f ca="1">VLOOKUP($C24&amp;"_"&amp;$F24,OFFSET([1]stages!$A$1,0,0,COUNTA([1]stages!$A:$A),MATCH(H$1,[1]stages!$2:$2,0)-MATCH("temp_stage",[1]stages!$2:$2,0)+1),MATCH(H$1,[1]stages!$2:$2,0)-MATCH("temp_stage",[1]stages!$2:$2,0)+1,FALSE)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24" s="19">
        <v>0</v>
      </c>
      <c r="J24">
        <v>36</v>
      </c>
      <c r="K24" s="6" t="s">
        <v>17</v>
      </c>
      <c r="L24" s="36" t="str">
        <f>VLOOKUP(J24,[2]stage_hints!$A:$C,3,FALSE)</f>
        <v>チャレンジタワーのボス</v>
      </c>
      <c r="M24" s="37" t="str">
        <f>VLOOKUP(J24,[2]stage_hints!$A:$D,4,FALSE)</f>
        <v>チャレンジタワー15F、20F、25Fのボスは_x000D_一定確率でドロップするようです</v>
      </c>
      <c r="N24" s="22" t="s">
        <v>24</v>
      </c>
      <c r="O24">
        <v>36</v>
      </c>
    </row>
    <row r="25" spans="1:15">
      <c r="A25" s="29" t="e">
        <f>C25&amp;"_"&amp;F25&amp;"_"&amp;#REF!</f>
        <v>#REF!</v>
      </c>
      <c r="B25" s="27" t="s">
        <v>33</v>
      </c>
      <c r="C25" s="5">
        <v>30010</v>
      </c>
      <c r="D25" s="4" t="str">
        <f ca="1">VLOOKUP($C25,OFFSET([1]quests!$A$1,0,0,COUNTA([1]quests!$A:$A),MATCH(D$1,[1]quests!$1:$1,0)-MATCH($C$1,[1]quests!$1:$1,0)+1),MATCH(D$1,[1]quests!$1:$1,0)-MATCH($C$1,[1]quests!$1:$1,0)+1,FALSE)</f>
        <v>最大最凶</v>
      </c>
      <c r="E25" s="4" t="str">
        <f ca="1">VLOOKUP($C25,OFFSET([1]quests!$A$1,0,0,COUNTA([1]quests!$A:$A),MATCH(E$1,[1]quests!$1:$1,0)-MATCH($C$1,[1]quests!$1:$1,0)+1),MATCH(E$1,[1]quests!$1:$1,0)-MATCH($C$1,[1]quests!$1:$1,0)+1,FALSE)</f>
        <v>ドロップイベント3（マルチ専用）</v>
      </c>
      <c r="F25" s="6">
        <v>3</v>
      </c>
      <c r="G25" s="4" t="str">
        <f ca="1">VLOOKUP($C25&amp;"_"&amp;$F25,OFFSET([1]stages!$A$1,0,0,COUNTA([1]stages!$A:$A),MATCH(G$1,[1]stages!$2:$2,0)-MATCH("temp_stage",[1]stages!$2:$2,0)+1),MATCH(G$1,[1]stages!$2:$2,0)-MATCH("temp_stage",[1]stages!$2:$2,0)+1,FALSE)</f>
        <v>【超絶級】最大最凶</v>
      </c>
      <c r="H25" s="4" t="str">
        <f ca="1">VLOOKUP($C25&amp;"_"&amp;$F25,OFFSET([1]stages!$A$1,0,0,COUNTA([1]stages!$A:$A),MATCH(H$1,[1]stages!$2:$2,0)-MATCH("temp_stage",[1]stages!$2:$2,0)+1),MATCH(H$1,[1]stages!$2:$2,0)-MATCH("temp_stage",[1]stages!$2:$2,0)+1,FALSE)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25" s="19">
        <v>0</v>
      </c>
      <c r="J25">
        <v>37</v>
      </c>
      <c r="K25" s="6" t="s">
        <v>17</v>
      </c>
      <c r="L25" s="36" t="str">
        <f>VLOOKUP(J25,[2]stage_hints!$A:$C,3,FALSE)</f>
        <v>限界突破の引継</v>
      </c>
      <c r="M25" s="37" t="str">
        <f>VLOOKUP(J25,[2]stage_hints!$A:$D,4,FALSE)</f>
        <v>限界突破の+値は同じユニットなら_x000D_覚醒前後でも強化で引き継がれます</v>
      </c>
      <c r="N25" s="22" t="s">
        <v>24</v>
      </c>
      <c r="O25">
        <v>37</v>
      </c>
    </row>
    <row r="26" spans="1:15">
      <c r="A26" s="29" t="e">
        <f>C26&amp;"_"&amp;F26&amp;"_"&amp;#REF!</f>
        <v>#REF!</v>
      </c>
      <c r="B26" s="27" t="s">
        <v>33</v>
      </c>
      <c r="C26" s="5">
        <v>30011</v>
      </c>
      <c r="D26" s="4" t="str">
        <f ca="1">VLOOKUP($C26,OFFSET([1]quests!$A$1,0,0,COUNTA([1]quests!$A:$A),MATCH(D$1,[1]quests!$1:$1,0)-MATCH($C$1,[1]quests!$1:$1,0)+1),MATCH(D$1,[1]quests!$1:$1,0)-MATCH($C$1,[1]quests!$1:$1,0)+1,FALSE)</f>
        <v>気怠い巨読者</v>
      </c>
      <c r="E26" s="4" t="str">
        <f ca="1">VLOOKUP($C26,OFFSET([1]quests!$A$1,0,0,COUNTA([1]quests!$A:$A),MATCH(E$1,[1]quests!$1:$1,0)-MATCH($C$1,[1]quests!$1:$1,0)+1),MATCH(E$1,[1]quests!$1:$1,0)-MATCH($C$1,[1]quests!$1:$1,0)+1,FALSE)</f>
        <v>ドロップイベント3（マルチ専用）</v>
      </c>
      <c r="F26" s="6">
        <v>3</v>
      </c>
      <c r="G26" s="4" t="str">
        <f ca="1">VLOOKUP($C26&amp;"_"&amp;$F26,OFFSET([1]stages!$A$1,0,0,COUNTA([1]stages!$A:$A),MATCH(G$1,[1]stages!$2:$2,0)-MATCH("temp_stage",[1]stages!$2:$2,0)+1),MATCH(G$1,[1]stages!$2:$2,0)-MATCH("temp_stage",[1]stages!$2:$2,0)+1,FALSE)</f>
        <v>【超絶級】気怠い巨読者</v>
      </c>
      <c r="H26" s="4" t="str">
        <f ca="1">VLOOKUP($C26&amp;"_"&amp;$F26,OFFSET([1]stages!$A$1,0,0,COUNTA([1]stages!$A:$A),MATCH(H$1,[1]stages!$2:$2,0)-MATCH("temp_stage",[1]stages!$2:$2,0)+1),MATCH(H$1,[1]stages!$2:$2,0)-MATCH("temp_stage",[1]stages!$2:$2,0)+1,FALSE)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26" s="19">
        <v>0</v>
      </c>
      <c r="J26">
        <v>12</v>
      </c>
      <c r="K26" s="6" t="s">
        <v>17</v>
      </c>
      <c r="L26" s="36" t="str">
        <f>VLOOKUP(J26,[2]stage_hints!$A:$C,3,FALSE)</f>
        <v>お気に入り登録</v>
      </c>
      <c r="M26" s="37" t="str">
        <f>VLOOKUP(J26,[2]stage_hints!$A:$D,4,FALSE)</f>
        <v>大事なユニットは_x000D_フォルダから「お気に入り登録」しましょう</v>
      </c>
      <c r="N26" s="22" t="s">
        <v>24</v>
      </c>
      <c r="O26">
        <v>12</v>
      </c>
    </row>
    <row r="27" spans="1:15">
      <c r="A27" s="29" t="e">
        <f>C27&amp;"_"&amp;F27&amp;"_"&amp;#REF!</f>
        <v>#REF!</v>
      </c>
      <c r="B27" s="27" t="s">
        <v>33</v>
      </c>
      <c r="C27" s="5">
        <v>30011</v>
      </c>
      <c r="D27" s="4" t="str">
        <f ca="1">VLOOKUP($C27,OFFSET([1]quests!$A$1,0,0,COUNTA([1]quests!$A:$A),MATCH(D$1,[1]quests!$1:$1,0)-MATCH($C$1,[1]quests!$1:$1,0)+1),MATCH(D$1,[1]quests!$1:$1,0)-MATCH($C$1,[1]quests!$1:$1,0)+1,FALSE)</f>
        <v>気怠い巨読者</v>
      </c>
      <c r="E27" s="4" t="str">
        <f ca="1">VLOOKUP($C27,OFFSET([1]quests!$A$1,0,0,COUNTA([1]quests!$A:$A),MATCH(E$1,[1]quests!$1:$1,0)-MATCH($C$1,[1]quests!$1:$1,0)+1),MATCH(E$1,[1]quests!$1:$1,0)-MATCH($C$1,[1]quests!$1:$1,0)+1,FALSE)</f>
        <v>ドロップイベント3（マルチ専用）</v>
      </c>
      <c r="F27" s="6">
        <v>3</v>
      </c>
      <c r="G27" s="4" t="str">
        <f ca="1">VLOOKUP($C27&amp;"_"&amp;$F27,OFFSET([1]stages!$A$1,0,0,COUNTA([1]stages!$A:$A),MATCH(G$1,[1]stages!$2:$2,0)-MATCH("temp_stage",[1]stages!$2:$2,0)+1),MATCH(G$1,[1]stages!$2:$2,0)-MATCH("temp_stage",[1]stages!$2:$2,0)+1,FALSE)</f>
        <v>【超絶級】気怠い巨読者</v>
      </c>
      <c r="H27" s="4" t="str">
        <f ca="1">VLOOKUP($C27&amp;"_"&amp;$F27,OFFSET([1]stages!$A$1,0,0,COUNTA([1]stages!$A:$A),MATCH(H$1,[1]stages!$2:$2,0)-MATCH("temp_stage",[1]stages!$2:$2,0)+1),MATCH(H$1,[1]stages!$2:$2,0)-MATCH("temp_stage",[1]stages!$2:$2,0)+1,FALSE)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27" s="19">
        <v>0</v>
      </c>
      <c r="J27">
        <v>17</v>
      </c>
      <c r="K27" s="6" t="s">
        <v>17</v>
      </c>
      <c r="L27" s="36" t="str">
        <f>VLOOKUP(J27,[2]stage_hints!$A:$C,3,FALSE)</f>
        <v>リンクガチャを引いてみよう</v>
      </c>
      <c r="M27" s="37" t="str">
        <f>VLOOKUP(J27,[2]stage_hints!$A:$D,4,FALSE)</f>
        <v>リンクガチャを回して_x000D_メタルダックやゴールドダックを獲得しましょう</v>
      </c>
      <c r="N27" s="22" t="s">
        <v>24</v>
      </c>
      <c r="O27">
        <v>17</v>
      </c>
    </row>
    <row r="28" spans="1:15">
      <c r="A28" s="29" t="e">
        <f>C28&amp;"_"&amp;F28&amp;"_"&amp;#REF!</f>
        <v>#REF!</v>
      </c>
      <c r="B28" s="27" t="s">
        <v>33</v>
      </c>
      <c r="C28" s="5">
        <v>30011</v>
      </c>
      <c r="D28" s="4" t="str">
        <f ca="1">VLOOKUP($C28,OFFSET([1]quests!$A$1,0,0,COUNTA([1]quests!$A:$A),MATCH(D$1,[1]quests!$1:$1,0)-MATCH($C$1,[1]quests!$1:$1,0)+1),MATCH(D$1,[1]quests!$1:$1,0)-MATCH($C$1,[1]quests!$1:$1,0)+1,FALSE)</f>
        <v>気怠い巨読者</v>
      </c>
      <c r="E28" s="4" t="str">
        <f ca="1">VLOOKUP($C28,OFFSET([1]quests!$A$1,0,0,COUNTA([1]quests!$A:$A),MATCH(E$1,[1]quests!$1:$1,0)-MATCH($C$1,[1]quests!$1:$1,0)+1),MATCH(E$1,[1]quests!$1:$1,0)-MATCH($C$1,[1]quests!$1:$1,0)+1,FALSE)</f>
        <v>ドロップイベント3（マルチ専用）</v>
      </c>
      <c r="F28" s="6">
        <v>3</v>
      </c>
      <c r="G28" s="4" t="str">
        <f ca="1">VLOOKUP($C28&amp;"_"&amp;$F28,OFFSET([1]stages!$A$1,0,0,COUNTA([1]stages!$A:$A),MATCH(G$1,[1]stages!$2:$2,0)-MATCH("temp_stage",[1]stages!$2:$2,0)+1),MATCH(G$1,[1]stages!$2:$2,0)-MATCH("temp_stage",[1]stages!$2:$2,0)+1,FALSE)</f>
        <v>【超絶級】気怠い巨読者</v>
      </c>
      <c r="H28" s="4" t="str">
        <f ca="1">VLOOKUP($C28&amp;"_"&amp;$F28,OFFSET([1]stages!$A$1,0,0,COUNTA([1]stages!$A:$A),MATCH(H$1,[1]stages!$2:$2,0)-MATCH("temp_stage",[1]stages!$2:$2,0)+1),MATCH(H$1,[1]stages!$2:$2,0)-MATCH("temp_stage",[1]stages!$2:$2,0)+1,FALSE)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28" s="19">
        <v>0</v>
      </c>
      <c r="J28">
        <v>19</v>
      </c>
      <c r="K28" s="6" t="s">
        <v>17</v>
      </c>
      <c r="L28" s="36" t="str">
        <f>VLOOKUP(J28,[2]stage_hints!$A:$C,3,FALSE)</f>
        <v>チャレンジタワー</v>
      </c>
      <c r="M28" s="37" t="str">
        <f>VLOOKUP(J28,[2]stage_hints!$A:$D,4,FALSE)</f>
        <v>「チャレンジタワー」をクリアすると_x000D_各フロアごとに報酬がもらえます</v>
      </c>
      <c r="N28" s="22" t="s">
        <v>24</v>
      </c>
      <c r="O28">
        <v>19</v>
      </c>
    </row>
    <row r="29" spans="1:15">
      <c r="A29" s="29" t="e">
        <f>C29&amp;"_"&amp;F29&amp;"_"&amp;#REF!</f>
        <v>#REF!</v>
      </c>
      <c r="B29" s="27" t="s">
        <v>33</v>
      </c>
      <c r="C29" s="5">
        <v>30011</v>
      </c>
      <c r="D29" s="4" t="str">
        <f ca="1">VLOOKUP($C29,OFFSET([1]quests!$A$1,0,0,COUNTA([1]quests!$A:$A),MATCH(D$1,[1]quests!$1:$1,0)-MATCH($C$1,[1]quests!$1:$1,0)+1),MATCH(D$1,[1]quests!$1:$1,0)-MATCH($C$1,[1]quests!$1:$1,0)+1,FALSE)</f>
        <v>気怠い巨読者</v>
      </c>
      <c r="E29" s="4" t="str">
        <f ca="1">VLOOKUP($C29,OFFSET([1]quests!$A$1,0,0,COUNTA([1]quests!$A:$A),MATCH(E$1,[1]quests!$1:$1,0)-MATCH($C$1,[1]quests!$1:$1,0)+1),MATCH(E$1,[1]quests!$1:$1,0)-MATCH($C$1,[1]quests!$1:$1,0)+1,FALSE)</f>
        <v>ドロップイベント3（マルチ専用）</v>
      </c>
      <c r="F29" s="6">
        <v>3</v>
      </c>
      <c r="G29" s="4" t="str">
        <f ca="1">VLOOKUP($C29&amp;"_"&amp;$F29,OFFSET([1]stages!$A$1,0,0,COUNTA([1]stages!$A:$A),MATCH(G$1,[1]stages!$2:$2,0)-MATCH("temp_stage",[1]stages!$2:$2,0)+1),MATCH(G$1,[1]stages!$2:$2,0)-MATCH("temp_stage",[1]stages!$2:$2,0)+1,FALSE)</f>
        <v>【超絶級】気怠い巨読者</v>
      </c>
      <c r="H29" s="4" t="str">
        <f ca="1">VLOOKUP($C29&amp;"_"&amp;$F29,OFFSET([1]stages!$A$1,0,0,COUNTA([1]stages!$A:$A),MATCH(H$1,[1]stages!$2:$2,0)-MATCH("temp_stage",[1]stages!$2:$2,0)+1),MATCH(H$1,[1]stages!$2:$2,0)-MATCH("temp_stage",[1]stages!$2:$2,0)+1,FALSE)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29" s="19">
        <v>0</v>
      </c>
      <c r="J29">
        <v>21</v>
      </c>
      <c r="K29" s="6" t="s">
        <v>17</v>
      </c>
      <c r="L29" s="36" t="str">
        <f>VLOOKUP(J29,[2]stage_hints!$A:$C,3,FALSE)</f>
        <v>スキルを有効に使おう</v>
      </c>
      <c r="M29" s="37" t="str">
        <f>VLOOKUP(J29,[2]stage_hints!$A:$D,4,FALSE)</f>
        <v>ターン経過でユニットは_x000D_強力なスキルが使えるようになります</v>
      </c>
      <c r="N29" s="22" t="s">
        <v>24</v>
      </c>
      <c r="O29">
        <v>21</v>
      </c>
    </row>
    <row r="30" spans="1:15">
      <c r="A30" s="29" t="e">
        <f>C30&amp;"_"&amp;F30&amp;"_"&amp;#REF!</f>
        <v>#REF!</v>
      </c>
      <c r="B30" s="27" t="s">
        <v>33</v>
      </c>
      <c r="C30" s="5">
        <v>30011</v>
      </c>
      <c r="D30" s="4" t="str">
        <f ca="1">VLOOKUP($C30,OFFSET([1]quests!$A$1,0,0,COUNTA([1]quests!$A:$A),MATCH(D$1,[1]quests!$1:$1,0)-MATCH($C$1,[1]quests!$1:$1,0)+1),MATCH(D$1,[1]quests!$1:$1,0)-MATCH($C$1,[1]quests!$1:$1,0)+1,FALSE)</f>
        <v>気怠い巨読者</v>
      </c>
      <c r="E30" s="4" t="str">
        <f ca="1">VLOOKUP($C30,OFFSET([1]quests!$A$1,0,0,COUNTA([1]quests!$A:$A),MATCH(E$1,[1]quests!$1:$1,0)-MATCH($C$1,[1]quests!$1:$1,0)+1),MATCH(E$1,[1]quests!$1:$1,0)-MATCH($C$1,[1]quests!$1:$1,0)+1,FALSE)</f>
        <v>ドロップイベント3（マルチ専用）</v>
      </c>
      <c r="F30" s="6">
        <v>3</v>
      </c>
      <c r="G30" s="4" t="str">
        <f ca="1">VLOOKUP($C30&amp;"_"&amp;$F30,OFFSET([1]stages!$A$1,0,0,COUNTA([1]stages!$A:$A),MATCH(G$1,[1]stages!$2:$2,0)-MATCH("temp_stage",[1]stages!$2:$2,0)+1),MATCH(G$1,[1]stages!$2:$2,0)-MATCH("temp_stage",[1]stages!$2:$2,0)+1,FALSE)</f>
        <v>【超絶級】気怠い巨読者</v>
      </c>
      <c r="H30" s="4" t="str">
        <f ca="1">VLOOKUP($C30&amp;"_"&amp;$F30,OFFSET([1]stages!$A$1,0,0,COUNTA([1]stages!$A:$A),MATCH(H$1,[1]stages!$2:$2,0)-MATCH("temp_stage",[1]stages!$2:$2,0)+1),MATCH(H$1,[1]stages!$2:$2,0)-MATCH("temp_stage",[1]stages!$2:$2,0)+1,FALSE)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30" s="19">
        <v>0</v>
      </c>
      <c r="J30">
        <v>29</v>
      </c>
      <c r="K30" s="6" t="s">
        <v>17</v>
      </c>
      <c r="L30" s="36" t="str">
        <f>VLOOKUP(J30,[2]stage_hints!$A:$C,3,FALSE)</f>
        <v>ステータスのバグって何？</v>
      </c>
      <c r="M30" s="37" t="str">
        <f>VLOOKUP(J30,[2]stage_hints!$A:$D,4,FALSE)</f>
        <v>「バグ」を上げると_x000D_報酬をもらえる確率がアップします</v>
      </c>
      <c r="N30" s="22" t="s">
        <v>24</v>
      </c>
      <c r="O30">
        <v>29</v>
      </c>
    </row>
    <row r="31" spans="1:15">
      <c r="A31" s="29" t="e">
        <f>C31&amp;"_"&amp;F31&amp;"_"&amp;#REF!</f>
        <v>#REF!</v>
      </c>
      <c r="B31" s="27" t="s">
        <v>33</v>
      </c>
      <c r="C31" s="5">
        <v>30011</v>
      </c>
      <c r="D31" s="4" t="str">
        <f ca="1">VLOOKUP($C31,OFFSET([1]quests!$A$1,0,0,COUNTA([1]quests!$A:$A),MATCH(D$1,[1]quests!$1:$1,0)-MATCH($C$1,[1]quests!$1:$1,0)+1),MATCH(D$1,[1]quests!$1:$1,0)-MATCH($C$1,[1]quests!$1:$1,0)+1,FALSE)</f>
        <v>気怠い巨読者</v>
      </c>
      <c r="E31" s="4" t="str">
        <f ca="1">VLOOKUP($C31,OFFSET([1]quests!$A$1,0,0,COUNTA([1]quests!$A:$A),MATCH(E$1,[1]quests!$1:$1,0)-MATCH($C$1,[1]quests!$1:$1,0)+1),MATCH(E$1,[1]quests!$1:$1,0)-MATCH($C$1,[1]quests!$1:$1,0)+1,FALSE)</f>
        <v>ドロップイベント3（マルチ専用）</v>
      </c>
      <c r="F31" s="6">
        <v>3</v>
      </c>
      <c r="G31" s="4" t="str">
        <f ca="1">VLOOKUP($C31&amp;"_"&amp;$F31,OFFSET([1]stages!$A$1,0,0,COUNTA([1]stages!$A:$A),MATCH(G$1,[1]stages!$2:$2,0)-MATCH("temp_stage",[1]stages!$2:$2,0)+1),MATCH(G$1,[1]stages!$2:$2,0)-MATCH("temp_stage",[1]stages!$2:$2,0)+1,FALSE)</f>
        <v>【超絶級】気怠い巨読者</v>
      </c>
      <c r="H31" s="4" t="str">
        <f ca="1">VLOOKUP($C31&amp;"_"&amp;$F31,OFFSET([1]stages!$A$1,0,0,COUNTA([1]stages!$A:$A),MATCH(H$1,[1]stages!$2:$2,0)-MATCH("temp_stage",[1]stages!$2:$2,0)+1),MATCH(H$1,[1]stages!$2:$2,0)-MATCH("temp_stage",[1]stages!$2:$2,0)+1,FALSE)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31" s="19">
        <v>0</v>
      </c>
      <c r="J31">
        <v>30</v>
      </c>
      <c r="K31" s="6" t="s">
        <v>17</v>
      </c>
      <c r="L31" s="36" t="str">
        <f>VLOOKUP(J31,[2]stage_hints!$A:$C,3,FALSE)</f>
        <v>ステータスのバグを増やす方法</v>
      </c>
      <c r="M31" s="37" t="str">
        <f>VLOOKUP(J31,[2]stage_hints!$A:$D,4,FALSE)</f>
        <v>同じユニット同士を強化すると_x000D_「バグ」を増やすことができます</v>
      </c>
      <c r="N31" s="22" t="s">
        <v>24</v>
      </c>
      <c r="O31">
        <v>30</v>
      </c>
    </row>
    <row r="32" spans="1:15">
      <c r="A32" s="29" t="e">
        <f>C32&amp;"_"&amp;F32&amp;"_"&amp;#REF!</f>
        <v>#REF!</v>
      </c>
      <c r="B32" s="27" t="s">
        <v>33</v>
      </c>
      <c r="C32" s="5">
        <v>30011</v>
      </c>
      <c r="D32" s="4" t="str">
        <f ca="1">VLOOKUP($C32,OFFSET([1]quests!$A$1,0,0,COUNTA([1]quests!$A:$A),MATCH(D$1,[1]quests!$1:$1,0)-MATCH($C$1,[1]quests!$1:$1,0)+1),MATCH(D$1,[1]quests!$1:$1,0)-MATCH($C$1,[1]quests!$1:$1,0)+1,FALSE)</f>
        <v>気怠い巨読者</v>
      </c>
      <c r="E32" s="4" t="str">
        <f ca="1">VLOOKUP($C32,OFFSET([1]quests!$A$1,0,0,COUNTA([1]quests!$A:$A),MATCH(E$1,[1]quests!$1:$1,0)-MATCH($C$1,[1]quests!$1:$1,0)+1),MATCH(E$1,[1]quests!$1:$1,0)-MATCH($C$1,[1]quests!$1:$1,0)+1,FALSE)</f>
        <v>ドロップイベント3（マルチ専用）</v>
      </c>
      <c r="F32" s="6">
        <v>3</v>
      </c>
      <c r="G32" s="4" t="str">
        <f ca="1">VLOOKUP($C32&amp;"_"&amp;$F32,OFFSET([1]stages!$A$1,0,0,COUNTA([1]stages!$A:$A),MATCH(G$1,[1]stages!$2:$2,0)-MATCH("temp_stage",[1]stages!$2:$2,0)+1),MATCH(G$1,[1]stages!$2:$2,0)-MATCH("temp_stage",[1]stages!$2:$2,0)+1,FALSE)</f>
        <v>【超絶級】気怠い巨読者</v>
      </c>
      <c r="H32" s="4" t="str">
        <f ca="1">VLOOKUP($C32&amp;"_"&amp;$F32,OFFSET([1]stages!$A$1,0,0,COUNTA([1]stages!$A:$A),MATCH(H$1,[1]stages!$2:$2,0)-MATCH("temp_stage",[1]stages!$2:$2,0)+1),MATCH(H$1,[1]stages!$2:$2,0)-MATCH("temp_stage",[1]stages!$2:$2,0)+1,FALSE)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32" s="19">
        <v>0</v>
      </c>
      <c r="J32">
        <v>32</v>
      </c>
      <c r="K32" s="6" t="s">
        <v>17</v>
      </c>
      <c r="L32" s="36" t="str">
        <f>VLOOKUP(J32,[2]stage_hints!$A:$C,3,FALSE)</f>
        <v>連続攻撃をしてくる敵には</v>
      </c>
      <c r="M32" s="37" t="str">
        <f>VLOOKUP(J32,[2]stage_hints!$A:$D,4,FALSE)</f>
        <v>敵の連続攻撃には「カウンター」スキルが有効！_x000D_ダメージ回数分の攻撃を返せます</v>
      </c>
      <c r="N32" s="22" t="s">
        <v>24</v>
      </c>
      <c r="O32">
        <v>32</v>
      </c>
    </row>
    <row r="33" spans="1:15">
      <c r="A33" s="29" t="e">
        <f>C33&amp;"_"&amp;F33&amp;"_"&amp;#REF!</f>
        <v>#REF!</v>
      </c>
      <c r="B33" s="27" t="s">
        <v>33</v>
      </c>
      <c r="C33" s="5">
        <v>30011</v>
      </c>
      <c r="D33" s="4" t="str">
        <f ca="1">VLOOKUP($C33,OFFSET([1]quests!$A$1,0,0,COUNTA([1]quests!$A:$A),MATCH(D$1,[1]quests!$1:$1,0)-MATCH($C$1,[1]quests!$1:$1,0)+1),MATCH(D$1,[1]quests!$1:$1,0)-MATCH($C$1,[1]quests!$1:$1,0)+1,FALSE)</f>
        <v>気怠い巨読者</v>
      </c>
      <c r="E33" s="4" t="str">
        <f ca="1">VLOOKUP($C33,OFFSET([1]quests!$A$1,0,0,COUNTA([1]quests!$A:$A),MATCH(E$1,[1]quests!$1:$1,0)-MATCH($C$1,[1]quests!$1:$1,0)+1),MATCH(E$1,[1]quests!$1:$1,0)-MATCH($C$1,[1]quests!$1:$1,0)+1,FALSE)</f>
        <v>ドロップイベント3（マルチ専用）</v>
      </c>
      <c r="F33" s="6">
        <v>3</v>
      </c>
      <c r="G33" s="4" t="str">
        <f ca="1">VLOOKUP($C33&amp;"_"&amp;$F33,OFFSET([1]stages!$A$1,0,0,COUNTA([1]stages!$A:$A),MATCH(G$1,[1]stages!$2:$2,0)-MATCH("temp_stage",[1]stages!$2:$2,0)+1),MATCH(G$1,[1]stages!$2:$2,0)-MATCH("temp_stage",[1]stages!$2:$2,0)+1,FALSE)</f>
        <v>【超絶級】気怠い巨読者</v>
      </c>
      <c r="H33" s="4" t="str">
        <f ca="1">VLOOKUP($C33&amp;"_"&amp;$F33,OFFSET([1]stages!$A$1,0,0,COUNTA([1]stages!$A:$A),MATCH(H$1,[1]stages!$2:$2,0)-MATCH("temp_stage",[1]stages!$2:$2,0)+1),MATCH(H$1,[1]stages!$2:$2,0)-MATCH("temp_stage",[1]stages!$2:$2,0)+1,FALSE)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33" s="19">
        <v>0</v>
      </c>
      <c r="J33">
        <v>33</v>
      </c>
      <c r="K33" s="6" t="s">
        <v>17</v>
      </c>
      <c r="L33" s="36" t="str">
        <f>VLOOKUP(J33,[2]stage_hints!$A:$C,3,FALSE)</f>
        <v>カウンターブレイク！</v>
      </c>
      <c r="M33" s="37" t="str">
        <f>VLOOKUP(J33,[2]stage_hints!$A:$D,4,FALSE)</f>
        <v>敵のカウンターには「カウンターブレイク」！_x000D_カウンターを解除して攻撃をしかけましょう</v>
      </c>
      <c r="N33" s="22" t="s">
        <v>24</v>
      </c>
      <c r="O33">
        <v>33</v>
      </c>
    </row>
    <row r="34" spans="1:15">
      <c r="A34" s="29" t="e">
        <f>C34&amp;"_"&amp;F34&amp;"_"&amp;#REF!</f>
        <v>#REF!</v>
      </c>
      <c r="B34" s="27" t="s">
        <v>33</v>
      </c>
      <c r="C34" s="5">
        <v>30011</v>
      </c>
      <c r="D34" s="4" t="str">
        <f ca="1">VLOOKUP($C34,OFFSET([1]quests!$A$1,0,0,COUNTA([1]quests!$A:$A),MATCH(D$1,[1]quests!$1:$1,0)-MATCH($C$1,[1]quests!$1:$1,0)+1),MATCH(D$1,[1]quests!$1:$1,0)-MATCH($C$1,[1]quests!$1:$1,0)+1,FALSE)</f>
        <v>気怠い巨読者</v>
      </c>
      <c r="E34" s="4" t="str">
        <f ca="1">VLOOKUP($C34,OFFSET([1]quests!$A$1,0,0,COUNTA([1]quests!$A:$A),MATCH(E$1,[1]quests!$1:$1,0)-MATCH($C$1,[1]quests!$1:$1,0)+1),MATCH(E$1,[1]quests!$1:$1,0)-MATCH($C$1,[1]quests!$1:$1,0)+1,FALSE)</f>
        <v>ドロップイベント3（マルチ専用）</v>
      </c>
      <c r="F34" s="6">
        <v>3</v>
      </c>
      <c r="G34" s="4" t="str">
        <f ca="1">VLOOKUP($C34&amp;"_"&amp;$F34,OFFSET([1]stages!$A$1,0,0,COUNTA([1]stages!$A:$A),MATCH(G$1,[1]stages!$2:$2,0)-MATCH("temp_stage",[1]stages!$2:$2,0)+1),MATCH(G$1,[1]stages!$2:$2,0)-MATCH("temp_stage",[1]stages!$2:$2,0)+1,FALSE)</f>
        <v>【超絶級】気怠い巨読者</v>
      </c>
      <c r="H34" s="4" t="str">
        <f ca="1">VLOOKUP($C34&amp;"_"&amp;$F34,OFFSET([1]stages!$A$1,0,0,COUNTA([1]stages!$A:$A),MATCH(H$1,[1]stages!$2:$2,0)-MATCH("temp_stage",[1]stages!$2:$2,0)+1),MATCH(H$1,[1]stages!$2:$2,0)-MATCH("temp_stage",[1]stages!$2:$2,0)+1,FALSE)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34" s="19">
        <v>0</v>
      </c>
      <c r="J34">
        <v>34</v>
      </c>
      <c r="K34" s="6" t="s">
        <v>17</v>
      </c>
      <c r="L34" s="36" t="str">
        <f>VLOOKUP(J34,[2]stage_hints!$A:$C,3,FALSE)</f>
        <v>敵のDOWNを上書きしよう！</v>
      </c>
      <c r="M34" s="37" t="str">
        <f>VLOOKUP(J34,[2]stage_hints!$A:$D,4,FALSE)</f>
        <v>攻撃力ダウンを受けたときは_x000D_攻撃力アップスキルで効果を上書きできます</v>
      </c>
      <c r="N34" s="22" t="s">
        <v>24</v>
      </c>
      <c r="O34">
        <v>34</v>
      </c>
    </row>
    <row r="35" spans="1:15">
      <c r="A35" s="29" t="e">
        <f>C35&amp;"_"&amp;F35&amp;"_"&amp;#REF!</f>
        <v>#REF!</v>
      </c>
      <c r="B35" s="27" t="s">
        <v>33</v>
      </c>
      <c r="C35" s="5">
        <v>30011</v>
      </c>
      <c r="D35" s="4" t="str">
        <f ca="1">VLOOKUP($C35,OFFSET([1]quests!$A$1,0,0,COUNTA([1]quests!$A:$A),MATCH(D$1,[1]quests!$1:$1,0)-MATCH($C$1,[1]quests!$1:$1,0)+1),MATCH(D$1,[1]quests!$1:$1,0)-MATCH($C$1,[1]quests!$1:$1,0)+1,FALSE)</f>
        <v>気怠い巨読者</v>
      </c>
      <c r="E35" s="4" t="str">
        <f ca="1">VLOOKUP($C35,OFFSET([1]quests!$A$1,0,0,COUNTA([1]quests!$A:$A),MATCH(E$1,[1]quests!$1:$1,0)-MATCH($C$1,[1]quests!$1:$1,0)+1),MATCH(E$1,[1]quests!$1:$1,0)-MATCH($C$1,[1]quests!$1:$1,0)+1,FALSE)</f>
        <v>ドロップイベント3（マルチ専用）</v>
      </c>
      <c r="F35" s="6">
        <v>3</v>
      </c>
      <c r="G35" s="4" t="str">
        <f ca="1">VLOOKUP($C35&amp;"_"&amp;$F35,OFFSET([1]stages!$A$1,0,0,COUNTA([1]stages!$A:$A),MATCH(G$1,[1]stages!$2:$2,0)-MATCH("temp_stage",[1]stages!$2:$2,0)+1),MATCH(G$1,[1]stages!$2:$2,0)-MATCH("temp_stage",[1]stages!$2:$2,0)+1,FALSE)</f>
        <v>【超絶級】気怠い巨読者</v>
      </c>
      <c r="H35" s="4" t="str">
        <f ca="1">VLOOKUP($C35&amp;"_"&amp;$F35,OFFSET([1]stages!$A$1,0,0,COUNTA([1]stages!$A:$A),MATCH(H$1,[1]stages!$2:$2,0)-MATCH("temp_stage",[1]stages!$2:$2,0)+1),MATCH(H$1,[1]stages!$2:$2,0)-MATCH("temp_stage",[1]stages!$2:$2,0)+1,FALSE)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35" s="19">
        <v>0</v>
      </c>
      <c r="J35">
        <v>35</v>
      </c>
      <c r="K35" s="6" t="s">
        <v>17</v>
      </c>
      <c r="L35" s="36" t="str">
        <f>VLOOKUP(J35,[2]stage_hints!$A:$C,3,FALSE)</f>
        <v>敵のUPを上書きしよう！</v>
      </c>
      <c r="M35" s="37" t="str">
        <f>VLOOKUP(J35,[2]stage_hints!$A:$D,4,FALSE)</f>
        <v>敵の攻撃力がアップしたときは_x000D_攻撃力ダウンスキルで効果を上書きできます</v>
      </c>
      <c r="N35" s="22" t="s">
        <v>24</v>
      </c>
      <c r="O35">
        <v>35</v>
      </c>
    </row>
    <row r="36" spans="1:15">
      <c r="A36" s="29" t="e">
        <f>C36&amp;"_"&amp;F36&amp;"_"&amp;#REF!</f>
        <v>#REF!</v>
      </c>
      <c r="B36" s="27" t="s">
        <v>33</v>
      </c>
      <c r="C36" s="5">
        <v>30011</v>
      </c>
      <c r="D36" s="4" t="str">
        <f ca="1">VLOOKUP($C36,OFFSET([1]quests!$A$1,0,0,COUNTA([1]quests!$A:$A),MATCH(D$1,[1]quests!$1:$1,0)-MATCH($C$1,[1]quests!$1:$1,0)+1),MATCH(D$1,[1]quests!$1:$1,0)-MATCH($C$1,[1]quests!$1:$1,0)+1,FALSE)</f>
        <v>気怠い巨読者</v>
      </c>
      <c r="E36" s="4" t="str">
        <f ca="1">VLOOKUP($C36,OFFSET([1]quests!$A$1,0,0,COUNTA([1]quests!$A:$A),MATCH(E$1,[1]quests!$1:$1,0)-MATCH($C$1,[1]quests!$1:$1,0)+1),MATCH(E$1,[1]quests!$1:$1,0)-MATCH($C$1,[1]quests!$1:$1,0)+1,FALSE)</f>
        <v>ドロップイベント3（マルチ専用）</v>
      </c>
      <c r="F36" s="6">
        <v>3</v>
      </c>
      <c r="G36" s="4" t="str">
        <f ca="1">VLOOKUP($C36&amp;"_"&amp;$F36,OFFSET([1]stages!$A$1,0,0,COUNTA([1]stages!$A:$A),MATCH(G$1,[1]stages!$2:$2,0)-MATCH("temp_stage",[1]stages!$2:$2,0)+1),MATCH(G$1,[1]stages!$2:$2,0)-MATCH("temp_stage",[1]stages!$2:$2,0)+1,FALSE)</f>
        <v>【超絶級】気怠い巨読者</v>
      </c>
      <c r="H36" s="4" t="str">
        <f ca="1">VLOOKUP($C36&amp;"_"&amp;$F36,OFFSET([1]stages!$A$1,0,0,COUNTA([1]stages!$A:$A),MATCH(H$1,[1]stages!$2:$2,0)-MATCH("temp_stage",[1]stages!$2:$2,0)+1),MATCH(H$1,[1]stages!$2:$2,0)-MATCH("temp_stage",[1]stages!$2:$2,0)+1,FALSE)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36" s="19">
        <v>0</v>
      </c>
      <c r="J36">
        <v>36</v>
      </c>
      <c r="K36" s="6" t="s">
        <v>17</v>
      </c>
      <c r="L36" s="36" t="str">
        <f>VLOOKUP(J36,[2]stage_hints!$A:$C,3,FALSE)</f>
        <v>チャレンジタワーのボス</v>
      </c>
      <c r="M36" s="37" t="str">
        <f>VLOOKUP(J36,[2]stage_hints!$A:$D,4,FALSE)</f>
        <v>チャレンジタワー15F、20F、25Fのボスは_x000D_一定確率でドロップするようです</v>
      </c>
      <c r="N36" s="22" t="s">
        <v>24</v>
      </c>
      <c r="O36">
        <v>36</v>
      </c>
    </row>
    <row r="37" spans="1:15">
      <c r="A37" s="29" t="e">
        <f>C37&amp;"_"&amp;F37&amp;"_"&amp;#REF!</f>
        <v>#REF!</v>
      </c>
      <c r="B37" s="27" t="s">
        <v>33</v>
      </c>
      <c r="C37" s="5">
        <v>30011</v>
      </c>
      <c r="D37" s="4" t="str">
        <f ca="1">VLOOKUP($C37,OFFSET([1]quests!$A$1,0,0,COUNTA([1]quests!$A:$A),MATCH(D$1,[1]quests!$1:$1,0)-MATCH($C$1,[1]quests!$1:$1,0)+1),MATCH(D$1,[1]quests!$1:$1,0)-MATCH($C$1,[1]quests!$1:$1,0)+1,FALSE)</f>
        <v>気怠い巨読者</v>
      </c>
      <c r="E37" s="4" t="str">
        <f ca="1">VLOOKUP($C37,OFFSET([1]quests!$A$1,0,0,COUNTA([1]quests!$A:$A),MATCH(E$1,[1]quests!$1:$1,0)-MATCH($C$1,[1]quests!$1:$1,0)+1),MATCH(E$1,[1]quests!$1:$1,0)-MATCH($C$1,[1]quests!$1:$1,0)+1,FALSE)</f>
        <v>ドロップイベント3（マルチ専用）</v>
      </c>
      <c r="F37" s="6">
        <v>3</v>
      </c>
      <c r="G37" s="4" t="str">
        <f ca="1">VLOOKUP($C37&amp;"_"&amp;$F37,OFFSET([1]stages!$A$1,0,0,COUNTA([1]stages!$A:$A),MATCH(G$1,[1]stages!$2:$2,0)-MATCH("temp_stage",[1]stages!$2:$2,0)+1),MATCH(G$1,[1]stages!$2:$2,0)-MATCH("temp_stage",[1]stages!$2:$2,0)+1,FALSE)</f>
        <v>【超絶級】気怠い巨読者</v>
      </c>
      <c r="H37" s="4" t="str">
        <f ca="1">VLOOKUP($C37&amp;"_"&amp;$F37,OFFSET([1]stages!$A$1,0,0,COUNTA([1]stages!$A:$A),MATCH(H$1,[1]stages!$2:$2,0)-MATCH("temp_stage",[1]stages!$2:$2,0)+1),MATCH(H$1,[1]stages!$2:$2,0)-MATCH("temp_stage",[1]stages!$2:$2,0)+1,FALSE)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37" s="19">
        <v>0</v>
      </c>
      <c r="J37">
        <v>37</v>
      </c>
      <c r="K37" s="6" t="s">
        <v>17</v>
      </c>
      <c r="L37" s="36" t="str">
        <f>VLOOKUP(J37,[2]stage_hints!$A:$C,3,FALSE)</f>
        <v>限界突破の引継</v>
      </c>
      <c r="M37" s="37" t="str">
        <f>VLOOKUP(J37,[2]stage_hints!$A:$D,4,FALSE)</f>
        <v>限界突破の+値は同じユニットなら_x000D_覚醒前後でも強化で引き継がれます</v>
      </c>
      <c r="N37" s="22" t="s">
        <v>24</v>
      </c>
      <c r="O37">
        <v>37</v>
      </c>
    </row>
    <row r="38" spans="1:15">
      <c r="A38" s="29" t="e">
        <f>C38&amp;"_"&amp;F38&amp;"_"&amp;#REF!</f>
        <v>#REF!</v>
      </c>
      <c r="B38" s="27" t="s">
        <v>33</v>
      </c>
      <c r="C38" s="5">
        <v>30012</v>
      </c>
      <c r="D38" s="4" t="str">
        <f ca="1">VLOOKUP($C38,OFFSET([1]quests!$A$1,0,0,COUNTA([1]quests!$A:$A),MATCH(D$1,[1]quests!$1:$1,0)-MATCH($C$1,[1]quests!$1:$1,0)+1),MATCH(D$1,[1]quests!$1:$1,0)-MATCH($C$1,[1]quests!$1:$1,0)+1,FALSE)</f>
        <v>底なしの胃袋</v>
      </c>
      <c r="E38" s="4" t="str">
        <f ca="1">VLOOKUP($C38,OFFSET([1]quests!$A$1,0,0,COUNTA([1]quests!$A:$A),MATCH(E$1,[1]quests!$1:$1,0)-MATCH($C$1,[1]quests!$1:$1,0)+1),MATCH(E$1,[1]quests!$1:$1,0)-MATCH($C$1,[1]quests!$1:$1,0)+1,FALSE)</f>
        <v>ドロップイベント3（マルチ専用）</v>
      </c>
      <c r="F38" s="6">
        <v>3</v>
      </c>
      <c r="G38" s="4" t="str">
        <f ca="1">VLOOKUP($C38&amp;"_"&amp;$F38,OFFSET([1]stages!$A$1,0,0,COUNTA([1]stages!$A:$A),MATCH(G$1,[1]stages!$2:$2,0)-MATCH("temp_stage",[1]stages!$2:$2,0)+1),MATCH(G$1,[1]stages!$2:$2,0)-MATCH("temp_stage",[1]stages!$2:$2,0)+1,FALSE)</f>
        <v>【超絶級】底なしの胃袋</v>
      </c>
      <c r="H38" s="4" t="str">
        <f ca="1">VLOOKUP($C38&amp;"_"&amp;$F38,OFFSET([1]stages!$A$1,0,0,COUNTA([1]stages!$A:$A),MATCH(H$1,[1]stages!$2:$2,0)-MATCH("temp_stage",[1]stages!$2:$2,0)+1),MATCH(H$1,[1]stages!$2:$2,0)-MATCH("temp_stage",[1]stages!$2:$2,0)+1,FALSE)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38" s="19">
        <v>0</v>
      </c>
      <c r="J38">
        <v>12</v>
      </c>
      <c r="K38" s="6" t="s">
        <v>17</v>
      </c>
      <c r="L38" s="36" t="str">
        <f>VLOOKUP(J38,[2]stage_hints!$A:$C,3,FALSE)</f>
        <v>お気に入り登録</v>
      </c>
      <c r="M38" s="37" t="str">
        <f>VLOOKUP(J38,[2]stage_hints!$A:$D,4,FALSE)</f>
        <v>大事なユニットは_x000D_フォルダから「お気に入り登録」しましょう</v>
      </c>
      <c r="N38" s="22" t="s">
        <v>24</v>
      </c>
      <c r="O38">
        <v>12</v>
      </c>
    </row>
    <row r="39" spans="1:15">
      <c r="A39" s="29" t="e">
        <f>C39&amp;"_"&amp;F39&amp;"_"&amp;#REF!</f>
        <v>#REF!</v>
      </c>
      <c r="B39" s="27" t="s">
        <v>33</v>
      </c>
      <c r="C39" s="5">
        <v>30012</v>
      </c>
      <c r="D39" s="4" t="str">
        <f ca="1">VLOOKUP($C39,OFFSET([1]quests!$A$1,0,0,COUNTA([1]quests!$A:$A),MATCH(D$1,[1]quests!$1:$1,0)-MATCH($C$1,[1]quests!$1:$1,0)+1),MATCH(D$1,[1]quests!$1:$1,0)-MATCH($C$1,[1]quests!$1:$1,0)+1,FALSE)</f>
        <v>底なしの胃袋</v>
      </c>
      <c r="E39" s="4" t="str">
        <f ca="1">VLOOKUP($C39,OFFSET([1]quests!$A$1,0,0,COUNTA([1]quests!$A:$A),MATCH(E$1,[1]quests!$1:$1,0)-MATCH($C$1,[1]quests!$1:$1,0)+1),MATCH(E$1,[1]quests!$1:$1,0)-MATCH($C$1,[1]quests!$1:$1,0)+1,FALSE)</f>
        <v>ドロップイベント3（マルチ専用）</v>
      </c>
      <c r="F39" s="6">
        <v>3</v>
      </c>
      <c r="G39" s="4" t="str">
        <f ca="1">VLOOKUP($C39&amp;"_"&amp;$F39,OFFSET([1]stages!$A$1,0,0,COUNTA([1]stages!$A:$A),MATCH(G$1,[1]stages!$2:$2,0)-MATCH("temp_stage",[1]stages!$2:$2,0)+1),MATCH(G$1,[1]stages!$2:$2,0)-MATCH("temp_stage",[1]stages!$2:$2,0)+1,FALSE)</f>
        <v>【超絶級】底なしの胃袋</v>
      </c>
      <c r="H39" s="4" t="str">
        <f ca="1">VLOOKUP($C39&amp;"_"&amp;$F39,OFFSET([1]stages!$A$1,0,0,COUNTA([1]stages!$A:$A),MATCH(H$1,[1]stages!$2:$2,0)-MATCH("temp_stage",[1]stages!$2:$2,0)+1),MATCH(H$1,[1]stages!$2:$2,0)-MATCH("temp_stage",[1]stages!$2:$2,0)+1,FALSE)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39" s="19">
        <v>0</v>
      </c>
      <c r="J39">
        <v>17</v>
      </c>
      <c r="K39" s="6" t="s">
        <v>17</v>
      </c>
      <c r="L39" s="36" t="str">
        <f>VLOOKUP(J39,[2]stage_hints!$A:$C,3,FALSE)</f>
        <v>リンクガチャを引いてみよう</v>
      </c>
      <c r="M39" s="37" t="str">
        <f>VLOOKUP(J39,[2]stage_hints!$A:$D,4,FALSE)</f>
        <v>リンクガチャを回して_x000D_メタルダックやゴールドダックを獲得しましょう</v>
      </c>
      <c r="N39" s="22" t="s">
        <v>24</v>
      </c>
      <c r="O39">
        <v>17</v>
      </c>
    </row>
    <row r="40" spans="1:15">
      <c r="A40" s="29" t="e">
        <f>C40&amp;"_"&amp;F40&amp;"_"&amp;#REF!</f>
        <v>#REF!</v>
      </c>
      <c r="B40" s="27" t="s">
        <v>33</v>
      </c>
      <c r="C40" s="5">
        <v>30012</v>
      </c>
      <c r="D40" s="4" t="str">
        <f ca="1">VLOOKUP($C40,OFFSET([1]quests!$A$1,0,0,COUNTA([1]quests!$A:$A),MATCH(D$1,[1]quests!$1:$1,0)-MATCH($C$1,[1]quests!$1:$1,0)+1),MATCH(D$1,[1]quests!$1:$1,0)-MATCH($C$1,[1]quests!$1:$1,0)+1,FALSE)</f>
        <v>底なしの胃袋</v>
      </c>
      <c r="E40" s="4" t="str">
        <f ca="1">VLOOKUP($C40,OFFSET([1]quests!$A$1,0,0,COUNTA([1]quests!$A:$A),MATCH(E$1,[1]quests!$1:$1,0)-MATCH($C$1,[1]quests!$1:$1,0)+1),MATCH(E$1,[1]quests!$1:$1,0)-MATCH($C$1,[1]quests!$1:$1,0)+1,FALSE)</f>
        <v>ドロップイベント3（マルチ専用）</v>
      </c>
      <c r="F40" s="6">
        <v>3</v>
      </c>
      <c r="G40" s="4" t="str">
        <f ca="1">VLOOKUP($C40&amp;"_"&amp;$F40,OFFSET([1]stages!$A$1,0,0,COUNTA([1]stages!$A:$A),MATCH(G$1,[1]stages!$2:$2,0)-MATCH("temp_stage",[1]stages!$2:$2,0)+1),MATCH(G$1,[1]stages!$2:$2,0)-MATCH("temp_stage",[1]stages!$2:$2,0)+1,FALSE)</f>
        <v>【超絶級】底なしの胃袋</v>
      </c>
      <c r="H40" s="4" t="str">
        <f ca="1">VLOOKUP($C40&amp;"_"&amp;$F40,OFFSET([1]stages!$A$1,0,0,COUNTA([1]stages!$A:$A),MATCH(H$1,[1]stages!$2:$2,0)-MATCH("temp_stage",[1]stages!$2:$2,0)+1),MATCH(H$1,[1]stages!$2:$2,0)-MATCH("temp_stage",[1]stages!$2:$2,0)+1,FALSE)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40" s="19">
        <v>0</v>
      </c>
      <c r="J40">
        <v>19</v>
      </c>
      <c r="K40" s="6" t="s">
        <v>17</v>
      </c>
      <c r="L40" s="36" t="str">
        <f>VLOOKUP(J40,[2]stage_hints!$A:$C,3,FALSE)</f>
        <v>チャレンジタワー</v>
      </c>
      <c r="M40" s="37" t="str">
        <f>VLOOKUP(J40,[2]stage_hints!$A:$D,4,FALSE)</f>
        <v>「チャレンジタワー」をクリアすると_x000D_各フロアごとに報酬がもらえます</v>
      </c>
      <c r="N40" s="22" t="s">
        <v>24</v>
      </c>
      <c r="O40">
        <v>19</v>
      </c>
    </row>
    <row r="41" spans="1:15">
      <c r="A41" s="29" t="e">
        <f>C41&amp;"_"&amp;F41&amp;"_"&amp;#REF!</f>
        <v>#REF!</v>
      </c>
      <c r="B41" s="27" t="s">
        <v>33</v>
      </c>
      <c r="C41" s="5">
        <v>30012</v>
      </c>
      <c r="D41" s="4" t="str">
        <f ca="1">VLOOKUP($C41,OFFSET([1]quests!$A$1,0,0,COUNTA([1]quests!$A:$A),MATCH(D$1,[1]quests!$1:$1,0)-MATCH($C$1,[1]quests!$1:$1,0)+1),MATCH(D$1,[1]quests!$1:$1,0)-MATCH($C$1,[1]quests!$1:$1,0)+1,FALSE)</f>
        <v>底なしの胃袋</v>
      </c>
      <c r="E41" s="4" t="str">
        <f ca="1">VLOOKUP($C41,OFFSET([1]quests!$A$1,0,0,COUNTA([1]quests!$A:$A),MATCH(E$1,[1]quests!$1:$1,0)-MATCH($C$1,[1]quests!$1:$1,0)+1),MATCH(E$1,[1]quests!$1:$1,0)-MATCH($C$1,[1]quests!$1:$1,0)+1,FALSE)</f>
        <v>ドロップイベント3（マルチ専用）</v>
      </c>
      <c r="F41" s="6">
        <v>3</v>
      </c>
      <c r="G41" s="4" t="str">
        <f ca="1">VLOOKUP($C41&amp;"_"&amp;$F41,OFFSET([1]stages!$A$1,0,0,COUNTA([1]stages!$A:$A),MATCH(G$1,[1]stages!$2:$2,0)-MATCH("temp_stage",[1]stages!$2:$2,0)+1),MATCH(G$1,[1]stages!$2:$2,0)-MATCH("temp_stage",[1]stages!$2:$2,0)+1,FALSE)</f>
        <v>【超絶級】底なしの胃袋</v>
      </c>
      <c r="H41" s="4" t="str">
        <f ca="1">VLOOKUP($C41&amp;"_"&amp;$F41,OFFSET([1]stages!$A$1,0,0,COUNTA([1]stages!$A:$A),MATCH(H$1,[1]stages!$2:$2,0)-MATCH("temp_stage",[1]stages!$2:$2,0)+1),MATCH(H$1,[1]stages!$2:$2,0)-MATCH("temp_stage",[1]stages!$2:$2,0)+1,FALSE)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41" s="19">
        <v>0</v>
      </c>
      <c r="J41">
        <v>21</v>
      </c>
      <c r="K41" s="6" t="s">
        <v>17</v>
      </c>
      <c r="L41" s="36" t="str">
        <f>VLOOKUP(J41,[2]stage_hints!$A:$C,3,FALSE)</f>
        <v>スキルを有効に使おう</v>
      </c>
      <c r="M41" s="37" t="str">
        <f>VLOOKUP(J41,[2]stage_hints!$A:$D,4,FALSE)</f>
        <v>ターン経過でユニットは_x000D_強力なスキルが使えるようになります</v>
      </c>
      <c r="N41" s="22" t="s">
        <v>24</v>
      </c>
      <c r="O41">
        <v>21</v>
      </c>
    </row>
    <row r="42" spans="1:15">
      <c r="A42" s="29" t="e">
        <f>C42&amp;"_"&amp;F42&amp;"_"&amp;#REF!</f>
        <v>#REF!</v>
      </c>
      <c r="B42" s="27" t="s">
        <v>33</v>
      </c>
      <c r="C42" s="5">
        <v>30012</v>
      </c>
      <c r="D42" s="4" t="str">
        <f ca="1">VLOOKUP($C42,OFFSET([1]quests!$A$1,0,0,COUNTA([1]quests!$A:$A),MATCH(D$1,[1]quests!$1:$1,0)-MATCH($C$1,[1]quests!$1:$1,0)+1),MATCH(D$1,[1]quests!$1:$1,0)-MATCH($C$1,[1]quests!$1:$1,0)+1,FALSE)</f>
        <v>底なしの胃袋</v>
      </c>
      <c r="E42" s="4" t="str">
        <f ca="1">VLOOKUP($C42,OFFSET([1]quests!$A$1,0,0,COUNTA([1]quests!$A:$A),MATCH(E$1,[1]quests!$1:$1,0)-MATCH($C$1,[1]quests!$1:$1,0)+1),MATCH(E$1,[1]quests!$1:$1,0)-MATCH($C$1,[1]quests!$1:$1,0)+1,FALSE)</f>
        <v>ドロップイベント3（マルチ専用）</v>
      </c>
      <c r="F42" s="6">
        <v>3</v>
      </c>
      <c r="G42" s="4" t="str">
        <f ca="1">VLOOKUP($C42&amp;"_"&amp;$F42,OFFSET([1]stages!$A$1,0,0,COUNTA([1]stages!$A:$A),MATCH(G$1,[1]stages!$2:$2,0)-MATCH("temp_stage",[1]stages!$2:$2,0)+1),MATCH(G$1,[1]stages!$2:$2,0)-MATCH("temp_stage",[1]stages!$2:$2,0)+1,FALSE)</f>
        <v>【超絶級】底なしの胃袋</v>
      </c>
      <c r="H42" s="4" t="str">
        <f ca="1">VLOOKUP($C42&amp;"_"&amp;$F42,OFFSET([1]stages!$A$1,0,0,COUNTA([1]stages!$A:$A),MATCH(H$1,[1]stages!$2:$2,0)-MATCH("temp_stage",[1]stages!$2:$2,0)+1),MATCH(H$1,[1]stages!$2:$2,0)-MATCH("temp_stage",[1]stages!$2:$2,0)+1,FALSE)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42" s="19">
        <v>0</v>
      </c>
      <c r="J42">
        <v>29</v>
      </c>
      <c r="K42" s="6" t="s">
        <v>17</v>
      </c>
      <c r="L42" s="36" t="str">
        <f>VLOOKUP(J42,[2]stage_hints!$A:$C,3,FALSE)</f>
        <v>ステータスのバグって何？</v>
      </c>
      <c r="M42" s="37" t="str">
        <f>VLOOKUP(J42,[2]stage_hints!$A:$D,4,FALSE)</f>
        <v>「バグ」を上げると_x000D_報酬をもらえる確率がアップします</v>
      </c>
      <c r="N42" s="22" t="s">
        <v>24</v>
      </c>
      <c r="O42">
        <v>29</v>
      </c>
    </row>
    <row r="43" spans="1:15">
      <c r="A43" s="29" t="e">
        <f>C43&amp;"_"&amp;F43&amp;"_"&amp;#REF!</f>
        <v>#REF!</v>
      </c>
      <c r="B43" s="27" t="s">
        <v>33</v>
      </c>
      <c r="C43" s="5">
        <v>30012</v>
      </c>
      <c r="D43" s="4" t="str">
        <f ca="1">VLOOKUP($C43,OFFSET([1]quests!$A$1,0,0,COUNTA([1]quests!$A:$A),MATCH(D$1,[1]quests!$1:$1,0)-MATCH($C$1,[1]quests!$1:$1,0)+1),MATCH(D$1,[1]quests!$1:$1,0)-MATCH($C$1,[1]quests!$1:$1,0)+1,FALSE)</f>
        <v>底なしの胃袋</v>
      </c>
      <c r="E43" s="4" t="str">
        <f ca="1">VLOOKUP($C43,OFFSET([1]quests!$A$1,0,0,COUNTA([1]quests!$A:$A),MATCH(E$1,[1]quests!$1:$1,0)-MATCH($C$1,[1]quests!$1:$1,0)+1),MATCH(E$1,[1]quests!$1:$1,0)-MATCH($C$1,[1]quests!$1:$1,0)+1,FALSE)</f>
        <v>ドロップイベント3（マルチ専用）</v>
      </c>
      <c r="F43" s="6">
        <v>3</v>
      </c>
      <c r="G43" s="4" t="str">
        <f ca="1">VLOOKUP($C43&amp;"_"&amp;$F43,OFFSET([1]stages!$A$1,0,0,COUNTA([1]stages!$A:$A),MATCH(G$1,[1]stages!$2:$2,0)-MATCH("temp_stage",[1]stages!$2:$2,0)+1),MATCH(G$1,[1]stages!$2:$2,0)-MATCH("temp_stage",[1]stages!$2:$2,0)+1,FALSE)</f>
        <v>【超絶級】底なしの胃袋</v>
      </c>
      <c r="H43" s="4" t="str">
        <f ca="1">VLOOKUP($C43&amp;"_"&amp;$F43,OFFSET([1]stages!$A$1,0,0,COUNTA([1]stages!$A:$A),MATCH(H$1,[1]stages!$2:$2,0)-MATCH("temp_stage",[1]stages!$2:$2,0)+1),MATCH(H$1,[1]stages!$2:$2,0)-MATCH("temp_stage",[1]stages!$2:$2,0)+1,FALSE)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43" s="19">
        <v>0</v>
      </c>
      <c r="J43">
        <v>30</v>
      </c>
      <c r="K43" s="6" t="s">
        <v>17</v>
      </c>
      <c r="L43" s="36" t="str">
        <f>VLOOKUP(J43,[2]stage_hints!$A:$C,3,FALSE)</f>
        <v>ステータスのバグを増やす方法</v>
      </c>
      <c r="M43" s="37" t="str">
        <f>VLOOKUP(J43,[2]stage_hints!$A:$D,4,FALSE)</f>
        <v>同じユニット同士を強化すると_x000D_「バグ」を増やすことができます</v>
      </c>
      <c r="N43" s="22" t="s">
        <v>24</v>
      </c>
      <c r="O43">
        <v>30</v>
      </c>
    </row>
    <row r="44" spans="1:15">
      <c r="A44" s="29" t="e">
        <f>C44&amp;"_"&amp;F44&amp;"_"&amp;#REF!</f>
        <v>#REF!</v>
      </c>
      <c r="B44" s="27" t="s">
        <v>33</v>
      </c>
      <c r="C44" s="5">
        <v>30012</v>
      </c>
      <c r="D44" s="4" t="str">
        <f ca="1">VLOOKUP($C44,OFFSET([1]quests!$A$1,0,0,COUNTA([1]quests!$A:$A),MATCH(D$1,[1]quests!$1:$1,0)-MATCH($C$1,[1]quests!$1:$1,0)+1),MATCH(D$1,[1]quests!$1:$1,0)-MATCH($C$1,[1]quests!$1:$1,0)+1,FALSE)</f>
        <v>底なしの胃袋</v>
      </c>
      <c r="E44" s="4" t="str">
        <f ca="1">VLOOKUP($C44,OFFSET([1]quests!$A$1,0,0,COUNTA([1]quests!$A:$A),MATCH(E$1,[1]quests!$1:$1,0)-MATCH($C$1,[1]quests!$1:$1,0)+1),MATCH(E$1,[1]quests!$1:$1,0)-MATCH($C$1,[1]quests!$1:$1,0)+1,FALSE)</f>
        <v>ドロップイベント3（マルチ専用）</v>
      </c>
      <c r="F44" s="6">
        <v>3</v>
      </c>
      <c r="G44" s="4" t="str">
        <f ca="1">VLOOKUP($C44&amp;"_"&amp;$F44,OFFSET([1]stages!$A$1,0,0,COUNTA([1]stages!$A:$A),MATCH(G$1,[1]stages!$2:$2,0)-MATCH("temp_stage",[1]stages!$2:$2,0)+1),MATCH(G$1,[1]stages!$2:$2,0)-MATCH("temp_stage",[1]stages!$2:$2,0)+1,FALSE)</f>
        <v>【超絶級】底なしの胃袋</v>
      </c>
      <c r="H44" s="4" t="str">
        <f ca="1">VLOOKUP($C44&amp;"_"&amp;$F44,OFFSET([1]stages!$A$1,0,0,COUNTA([1]stages!$A:$A),MATCH(H$1,[1]stages!$2:$2,0)-MATCH("temp_stage",[1]stages!$2:$2,0)+1),MATCH(H$1,[1]stages!$2:$2,0)-MATCH("temp_stage",[1]stages!$2:$2,0)+1,FALSE)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44" s="19">
        <v>0</v>
      </c>
      <c r="J44">
        <v>32</v>
      </c>
      <c r="K44" s="6" t="s">
        <v>17</v>
      </c>
      <c r="L44" s="36" t="str">
        <f>VLOOKUP(J44,[2]stage_hints!$A:$C,3,FALSE)</f>
        <v>連続攻撃をしてくる敵には</v>
      </c>
      <c r="M44" s="37" t="str">
        <f>VLOOKUP(J44,[2]stage_hints!$A:$D,4,FALSE)</f>
        <v>敵の連続攻撃には「カウンター」スキルが有効！_x000D_ダメージ回数分の攻撃を返せます</v>
      </c>
      <c r="N44" s="22" t="s">
        <v>24</v>
      </c>
      <c r="O44">
        <v>32</v>
      </c>
    </row>
    <row r="45" spans="1:15">
      <c r="A45" s="29" t="e">
        <f>C45&amp;"_"&amp;F45&amp;"_"&amp;#REF!</f>
        <v>#REF!</v>
      </c>
      <c r="B45" s="27" t="s">
        <v>33</v>
      </c>
      <c r="C45" s="5">
        <v>30012</v>
      </c>
      <c r="D45" s="4" t="str">
        <f ca="1">VLOOKUP($C45,OFFSET([1]quests!$A$1,0,0,COUNTA([1]quests!$A:$A),MATCH(D$1,[1]quests!$1:$1,0)-MATCH($C$1,[1]quests!$1:$1,0)+1),MATCH(D$1,[1]quests!$1:$1,0)-MATCH($C$1,[1]quests!$1:$1,0)+1,FALSE)</f>
        <v>底なしの胃袋</v>
      </c>
      <c r="E45" s="4" t="str">
        <f ca="1">VLOOKUP($C45,OFFSET([1]quests!$A$1,0,0,COUNTA([1]quests!$A:$A),MATCH(E$1,[1]quests!$1:$1,0)-MATCH($C$1,[1]quests!$1:$1,0)+1),MATCH(E$1,[1]quests!$1:$1,0)-MATCH($C$1,[1]quests!$1:$1,0)+1,FALSE)</f>
        <v>ドロップイベント3（マルチ専用）</v>
      </c>
      <c r="F45" s="6">
        <v>3</v>
      </c>
      <c r="G45" s="4" t="str">
        <f ca="1">VLOOKUP($C45&amp;"_"&amp;$F45,OFFSET([1]stages!$A$1,0,0,COUNTA([1]stages!$A:$A),MATCH(G$1,[1]stages!$2:$2,0)-MATCH("temp_stage",[1]stages!$2:$2,0)+1),MATCH(G$1,[1]stages!$2:$2,0)-MATCH("temp_stage",[1]stages!$2:$2,0)+1,FALSE)</f>
        <v>【超絶級】底なしの胃袋</v>
      </c>
      <c r="H45" s="4" t="str">
        <f ca="1">VLOOKUP($C45&amp;"_"&amp;$F45,OFFSET([1]stages!$A$1,0,0,COUNTA([1]stages!$A:$A),MATCH(H$1,[1]stages!$2:$2,0)-MATCH("temp_stage",[1]stages!$2:$2,0)+1),MATCH(H$1,[1]stages!$2:$2,0)-MATCH("temp_stage",[1]stages!$2:$2,0)+1,FALSE)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45" s="19">
        <v>0</v>
      </c>
      <c r="J45">
        <v>33</v>
      </c>
      <c r="K45" s="6" t="s">
        <v>17</v>
      </c>
      <c r="L45" s="36" t="str">
        <f>VLOOKUP(J45,[2]stage_hints!$A:$C,3,FALSE)</f>
        <v>カウンターブレイク！</v>
      </c>
      <c r="M45" s="37" t="str">
        <f>VLOOKUP(J45,[2]stage_hints!$A:$D,4,FALSE)</f>
        <v>敵のカウンターには「カウンターブレイク」！_x000D_カウンターを解除して攻撃をしかけましょう</v>
      </c>
      <c r="N45" s="22" t="s">
        <v>24</v>
      </c>
      <c r="O45">
        <v>33</v>
      </c>
    </row>
    <row r="46" spans="1:15">
      <c r="A46" s="29" t="e">
        <f>C46&amp;"_"&amp;F46&amp;"_"&amp;#REF!</f>
        <v>#REF!</v>
      </c>
      <c r="B46" s="27" t="s">
        <v>33</v>
      </c>
      <c r="C46" s="5">
        <v>30012</v>
      </c>
      <c r="D46" s="4" t="str">
        <f ca="1">VLOOKUP($C46,OFFSET([1]quests!$A$1,0,0,COUNTA([1]quests!$A:$A),MATCH(D$1,[1]quests!$1:$1,0)-MATCH($C$1,[1]quests!$1:$1,0)+1),MATCH(D$1,[1]quests!$1:$1,0)-MATCH($C$1,[1]quests!$1:$1,0)+1,FALSE)</f>
        <v>底なしの胃袋</v>
      </c>
      <c r="E46" s="4" t="str">
        <f ca="1">VLOOKUP($C46,OFFSET([1]quests!$A$1,0,0,COUNTA([1]quests!$A:$A),MATCH(E$1,[1]quests!$1:$1,0)-MATCH($C$1,[1]quests!$1:$1,0)+1),MATCH(E$1,[1]quests!$1:$1,0)-MATCH($C$1,[1]quests!$1:$1,0)+1,FALSE)</f>
        <v>ドロップイベント3（マルチ専用）</v>
      </c>
      <c r="F46" s="6">
        <v>3</v>
      </c>
      <c r="G46" s="4" t="str">
        <f ca="1">VLOOKUP($C46&amp;"_"&amp;$F46,OFFSET([1]stages!$A$1,0,0,COUNTA([1]stages!$A:$A),MATCH(G$1,[1]stages!$2:$2,0)-MATCH("temp_stage",[1]stages!$2:$2,0)+1),MATCH(G$1,[1]stages!$2:$2,0)-MATCH("temp_stage",[1]stages!$2:$2,0)+1,FALSE)</f>
        <v>【超絶級】底なしの胃袋</v>
      </c>
      <c r="H46" s="4" t="str">
        <f ca="1">VLOOKUP($C46&amp;"_"&amp;$F46,OFFSET([1]stages!$A$1,0,0,COUNTA([1]stages!$A:$A),MATCH(H$1,[1]stages!$2:$2,0)-MATCH("temp_stage",[1]stages!$2:$2,0)+1),MATCH(H$1,[1]stages!$2:$2,0)-MATCH("temp_stage",[1]stages!$2:$2,0)+1,FALSE)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46" s="19">
        <v>0</v>
      </c>
      <c r="J46">
        <v>34</v>
      </c>
      <c r="K46" s="6" t="s">
        <v>17</v>
      </c>
      <c r="L46" s="36" t="str">
        <f>VLOOKUP(J46,[2]stage_hints!$A:$C,3,FALSE)</f>
        <v>敵のDOWNを上書きしよう！</v>
      </c>
      <c r="M46" s="37" t="str">
        <f>VLOOKUP(J46,[2]stage_hints!$A:$D,4,FALSE)</f>
        <v>攻撃力ダウンを受けたときは_x000D_攻撃力アップスキルで効果を上書きできます</v>
      </c>
      <c r="N46" s="22" t="s">
        <v>24</v>
      </c>
      <c r="O46">
        <v>34</v>
      </c>
    </row>
    <row r="47" spans="1:15">
      <c r="A47" s="29" t="e">
        <f>C47&amp;"_"&amp;F47&amp;"_"&amp;#REF!</f>
        <v>#REF!</v>
      </c>
      <c r="B47" s="27" t="s">
        <v>33</v>
      </c>
      <c r="C47" s="5">
        <v>30012</v>
      </c>
      <c r="D47" s="4" t="str">
        <f ca="1">VLOOKUP($C47,OFFSET([1]quests!$A$1,0,0,COUNTA([1]quests!$A:$A),MATCH(D$1,[1]quests!$1:$1,0)-MATCH($C$1,[1]quests!$1:$1,0)+1),MATCH(D$1,[1]quests!$1:$1,0)-MATCH($C$1,[1]quests!$1:$1,0)+1,FALSE)</f>
        <v>底なしの胃袋</v>
      </c>
      <c r="E47" s="4" t="str">
        <f ca="1">VLOOKUP($C47,OFFSET([1]quests!$A$1,0,0,COUNTA([1]quests!$A:$A),MATCH(E$1,[1]quests!$1:$1,0)-MATCH($C$1,[1]quests!$1:$1,0)+1),MATCH(E$1,[1]quests!$1:$1,0)-MATCH($C$1,[1]quests!$1:$1,0)+1,FALSE)</f>
        <v>ドロップイベント3（マルチ専用）</v>
      </c>
      <c r="F47" s="6">
        <v>3</v>
      </c>
      <c r="G47" s="4" t="str">
        <f ca="1">VLOOKUP($C47&amp;"_"&amp;$F47,OFFSET([1]stages!$A$1,0,0,COUNTA([1]stages!$A:$A),MATCH(G$1,[1]stages!$2:$2,0)-MATCH("temp_stage",[1]stages!$2:$2,0)+1),MATCH(G$1,[1]stages!$2:$2,0)-MATCH("temp_stage",[1]stages!$2:$2,0)+1,FALSE)</f>
        <v>【超絶級】底なしの胃袋</v>
      </c>
      <c r="H47" s="4" t="str">
        <f ca="1">VLOOKUP($C47&amp;"_"&amp;$F47,OFFSET([1]stages!$A$1,0,0,COUNTA([1]stages!$A:$A),MATCH(H$1,[1]stages!$2:$2,0)-MATCH("temp_stage",[1]stages!$2:$2,0)+1),MATCH(H$1,[1]stages!$2:$2,0)-MATCH("temp_stage",[1]stages!$2:$2,0)+1,FALSE)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47" s="19">
        <v>0</v>
      </c>
      <c r="J47">
        <v>35</v>
      </c>
      <c r="K47" s="6" t="s">
        <v>17</v>
      </c>
      <c r="L47" s="36" t="str">
        <f>VLOOKUP(J47,[2]stage_hints!$A:$C,3,FALSE)</f>
        <v>敵のUPを上書きしよう！</v>
      </c>
      <c r="M47" s="37" t="str">
        <f>VLOOKUP(J47,[2]stage_hints!$A:$D,4,FALSE)</f>
        <v>敵の攻撃力がアップしたときは_x000D_攻撃力ダウンスキルで効果を上書きできます</v>
      </c>
      <c r="N47" s="22" t="s">
        <v>24</v>
      </c>
      <c r="O47">
        <v>35</v>
      </c>
    </row>
    <row r="48" spans="1:15">
      <c r="A48" s="29" t="e">
        <f>C48&amp;"_"&amp;F48&amp;"_"&amp;#REF!</f>
        <v>#REF!</v>
      </c>
      <c r="B48" s="27" t="s">
        <v>33</v>
      </c>
      <c r="C48" s="5">
        <v>30012</v>
      </c>
      <c r="D48" s="4" t="str">
        <f ca="1">VLOOKUP($C48,OFFSET([1]quests!$A$1,0,0,COUNTA([1]quests!$A:$A),MATCH(D$1,[1]quests!$1:$1,0)-MATCH($C$1,[1]quests!$1:$1,0)+1),MATCH(D$1,[1]quests!$1:$1,0)-MATCH($C$1,[1]quests!$1:$1,0)+1,FALSE)</f>
        <v>底なしの胃袋</v>
      </c>
      <c r="E48" s="4" t="str">
        <f ca="1">VLOOKUP($C48,OFFSET([1]quests!$A$1,0,0,COUNTA([1]quests!$A:$A),MATCH(E$1,[1]quests!$1:$1,0)-MATCH($C$1,[1]quests!$1:$1,0)+1),MATCH(E$1,[1]quests!$1:$1,0)-MATCH($C$1,[1]quests!$1:$1,0)+1,FALSE)</f>
        <v>ドロップイベント3（マルチ専用）</v>
      </c>
      <c r="F48" s="6">
        <v>3</v>
      </c>
      <c r="G48" s="4" t="str">
        <f ca="1">VLOOKUP($C48&amp;"_"&amp;$F48,OFFSET([1]stages!$A$1,0,0,COUNTA([1]stages!$A:$A),MATCH(G$1,[1]stages!$2:$2,0)-MATCH("temp_stage",[1]stages!$2:$2,0)+1),MATCH(G$1,[1]stages!$2:$2,0)-MATCH("temp_stage",[1]stages!$2:$2,0)+1,FALSE)</f>
        <v>【超絶級】底なしの胃袋</v>
      </c>
      <c r="H48" s="4" t="str">
        <f ca="1">VLOOKUP($C48&amp;"_"&amp;$F48,OFFSET([1]stages!$A$1,0,0,COUNTA([1]stages!$A:$A),MATCH(H$1,[1]stages!$2:$2,0)-MATCH("temp_stage",[1]stages!$2:$2,0)+1),MATCH(H$1,[1]stages!$2:$2,0)-MATCH("temp_stage",[1]stages!$2:$2,0)+1,FALSE)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48" s="19">
        <v>0</v>
      </c>
      <c r="J48">
        <v>36</v>
      </c>
      <c r="K48" s="6" t="s">
        <v>17</v>
      </c>
      <c r="L48" s="36" t="str">
        <f>VLOOKUP(J48,[2]stage_hints!$A:$C,3,FALSE)</f>
        <v>チャレンジタワーのボス</v>
      </c>
      <c r="M48" s="37" t="str">
        <f>VLOOKUP(J48,[2]stage_hints!$A:$D,4,FALSE)</f>
        <v>チャレンジタワー15F、20F、25Fのボスは_x000D_一定確率でドロップするようです</v>
      </c>
      <c r="N48" s="22" t="s">
        <v>24</v>
      </c>
      <c r="O48">
        <v>36</v>
      </c>
    </row>
    <row r="49" spans="1:15">
      <c r="A49" s="29" t="e">
        <f>C49&amp;"_"&amp;F49&amp;"_"&amp;#REF!</f>
        <v>#REF!</v>
      </c>
      <c r="B49" s="27" t="s">
        <v>33</v>
      </c>
      <c r="C49" s="5">
        <v>30012</v>
      </c>
      <c r="D49" s="4" t="str">
        <f ca="1">VLOOKUP($C49,OFFSET([1]quests!$A$1,0,0,COUNTA([1]quests!$A:$A),MATCH(D$1,[1]quests!$1:$1,0)-MATCH($C$1,[1]quests!$1:$1,0)+1),MATCH(D$1,[1]quests!$1:$1,0)-MATCH($C$1,[1]quests!$1:$1,0)+1,FALSE)</f>
        <v>底なしの胃袋</v>
      </c>
      <c r="E49" s="4" t="str">
        <f ca="1">VLOOKUP($C49,OFFSET([1]quests!$A$1,0,0,COUNTA([1]quests!$A:$A),MATCH(E$1,[1]quests!$1:$1,0)-MATCH($C$1,[1]quests!$1:$1,0)+1),MATCH(E$1,[1]quests!$1:$1,0)-MATCH($C$1,[1]quests!$1:$1,0)+1,FALSE)</f>
        <v>ドロップイベント3（マルチ専用）</v>
      </c>
      <c r="F49" s="6">
        <v>3</v>
      </c>
      <c r="G49" s="4" t="str">
        <f ca="1">VLOOKUP($C49&amp;"_"&amp;$F49,OFFSET([1]stages!$A$1,0,0,COUNTA([1]stages!$A:$A),MATCH(G$1,[1]stages!$2:$2,0)-MATCH("temp_stage",[1]stages!$2:$2,0)+1),MATCH(G$1,[1]stages!$2:$2,0)-MATCH("temp_stage",[1]stages!$2:$2,0)+1,FALSE)</f>
        <v>【超絶級】底なしの胃袋</v>
      </c>
      <c r="H49" s="4" t="str">
        <f ca="1">VLOOKUP($C49&amp;"_"&amp;$F49,OFFSET([1]stages!$A$1,0,0,COUNTA([1]stages!$A:$A),MATCH(H$1,[1]stages!$2:$2,0)-MATCH("temp_stage",[1]stages!$2:$2,0)+1),MATCH(H$1,[1]stages!$2:$2,0)-MATCH("temp_stage",[1]stages!$2:$2,0)+1,FALSE)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49" s="19">
        <v>0</v>
      </c>
      <c r="J49">
        <v>37</v>
      </c>
      <c r="K49" s="6" t="s">
        <v>17</v>
      </c>
      <c r="L49" s="36" t="str">
        <f>VLOOKUP(J49,[2]stage_hints!$A:$C,3,FALSE)</f>
        <v>限界突破の引継</v>
      </c>
      <c r="M49" s="37" t="str">
        <f>VLOOKUP(J49,[2]stage_hints!$A:$D,4,FALSE)</f>
        <v>限界突破の+値は同じユニットなら_x000D_覚醒前後でも強化で引き継がれます</v>
      </c>
      <c r="N49" s="22" t="s">
        <v>24</v>
      </c>
      <c r="O49">
        <v>37</v>
      </c>
    </row>
    <row r="50" spans="1:15">
      <c r="A50" s="29" t="e">
        <f>C50&amp;"_"&amp;F50&amp;"_"&amp;#REF!</f>
        <v>#REF!</v>
      </c>
      <c r="B50" s="27" t="s">
        <v>33</v>
      </c>
      <c r="C50" s="5">
        <v>30013</v>
      </c>
      <c r="D50" s="4" t="str">
        <f ca="1">VLOOKUP($C50,OFFSET([1]quests!$A$1,0,0,COUNTA([1]quests!$A:$A),MATCH(D$1,[1]quests!$1:$1,0)-MATCH($C$1,[1]quests!$1:$1,0)+1),MATCH(D$1,[1]quests!$1:$1,0)-MATCH($C$1,[1]quests!$1:$1,0)+1,FALSE)</f>
        <v>決戦・竜宮城</v>
      </c>
      <c r="E50" s="4" t="str">
        <f ca="1">VLOOKUP($C50,OFFSET([1]quests!$A$1,0,0,COUNTA([1]quests!$A:$A),MATCH(E$1,[1]quests!$1:$1,0)-MATCH($C$1,[1]quests!$1:$1,0)+1),MATCH(E$1,[1]quests!$1:$1,0)-MATCH($C$1,[1]quests!$1:$1,0)+1,FALSE)</f>
        <v>ドロップイベント4（マルチ専用）</v>
      </c>
      <c r="F50" s="6">
        <v>2</v>
      </c>
      <c r="G50" s="4" t="str">
        <f ca="1">VLOOKUP($C50&amp;"_"&amp;$F50,OFFSET([1]stages!$A$1,0,0,COUNTA([1]stages!$A:$A),MATCH(G$1,[1]stages!$2:$2,0)-MATCH("temp_stage",[1]stages!$2:$2,0)+1),MATCH(G$1,[1]stages!$2:$2,0)-MATCH("temp_stage",[1]stages!$2:$2,0)+1,FALSE)</f>
        <v>【超絶級】決戦・竜宮城</v>
      </c>
      <c r="H50" s="4" t="str">
        <f ca="1">VLOOKUP($C50&amp;"_"&amp;$F50,OFFSET([1]stages!$A$1,0,0,COUNTA([1]stages!$A:$A),MATCH(H$1,[1]stages!$2:$2,0)-MATCH("temp_stage",[1]stages!$2:$2,0)+1),MATCH(H$1,[1]stages!$2:$2,0)-MATCH("temp_stage",[1]stages!$2:$2,0)+1,FALSE)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50" s="19">
        <v>0</v>
      </c>
      <c r="J50">
        <v>12</v>
      </c>
      <c r="K50" s="6" t="s">
        <v>17</v>
      </c>
      <c r="L50" s="36" t="str">
        <f>VLOOKUP(J50,[2]stage_hints!$A:$C,3,FALSE)</f>
        <v>お気に入り登録</v>
      </c>
      <c r="M50" s="37" t="str">
        <f>VLOOKUP(J50,[2]stage_hints!$A:$D,4,FALSE)</f>
        <v>大事なユニットは_x000D_フォルダから「お気に入り登録」しましょう</v>
      </c>
      <c r="N50" s="22" t="s">
        <v>24</v>
      </c>
      <c r="O50">
        <v>12</v>
      </c>
    </row>
    <row r="51" spans="1:15">
      <c r="A51" s="29" t="e">
        <f>C51&amp;"_"&amp;F51&amp;"_"&amp;#REF!</f>
        <v>#REF!</v>
      </c>
      <c r="B51" s="27" t="s">
        <v>33</v>
      </c>
      <c r="C51" s="5">
        <v>30013</v>
      </c>
      <c r="D51" s="4" t="str">
        <f ca="1">VLOOKUP($C51,OFFSET([1]quests!$A$1,0,0,COUNTA([1]quests!$A:$A),MATCH(D$1,[1]quests!$1:$1,0)-MATCH($C$1,[1]quests!$1:$1,0)+1),MATCH(D$1,[1]quests!$1:$1,0)-MATCH($C$1,[1]quests!$1:$1,0)+1,FALSE)</f>
        <v>決戦・竜宮城</v>
      </c>
      <c r="E51" s="4" t="str">
        <f ca="1">VLOOKUP($C51,OFFSET([1]quests!$A$1,0,0,COUNTA([1]quests!$A:$A),MATCH(E$1,[1]quests!$1:$1,0)-MATCH($C$1,[1]quests!$1:$1,0)+1),MATCH(E$1,[1]quests!$1:$1,0)-MATCH($C$1,[1]quests!$1:$1,0)+1,FALSE)</f>
        <v>ドロップイベント4（マルチ専用）</v>
      </c>
      <c r="F51" s="6">
        <v>2</v>
      </c>
      <c r="G51" s="4" t="str">
        <f ca="1">VLOOKUP($C51&amp;"_"&amp;$F51,OFFSET([1]stages!$A$1,0,0,COUNTA([1]stages!$A:$A),MATCH(G$1,[1]stages!$2:$2,0)-MATCH("temp_stage",[1]stages!$2:$2,0)+1),MATCH(G$1,[1]stages!$2:$2,0)-MATCH("temp_stage",[1]stages!$2:$2,0)+1,FALSE)</f>
        <v>【超絶級】決戦・竜宮城</v>
      </c>
      <c r="H51" s="4" t="str">
        <f ca="1">VLOOKUP($C51&amp;"_"&amp;$F51,OFFSET([1]stages!$A$1,0,0,COUNTA([1]stages!$A:$A),MATCH(H$1,[1]stages!$2:$2,0)-MATCH("temp_stage",[1]stages!$2:$2,0)+1),MATCH(H$1,[1]stages!$2:$2,0)-MATCH("temp_stage",[1]stages!$2:$2,0)+1,FALSE)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51" s="19">
        <v>0</v>
      </c>
      <c r="J51">
        <v>17</v>
      </c>
      <c r="K51" s="6" t="s">
        <v>17</v>
      </c>
      <c r="L51" s="36" t="str">
        <f>VLOOKUP(J51,[2]stage_hints!$A:$C,3,FALSE)</f>
        <v>リンクガチャを引いてみよう</v>
      </c>
      <c r="M51" s="37" t="str">
        <f>VLOOKUP(J51,[2]stage_hints!$A:$D,4,FALSE)</f>
        <v>リンクガチャを回して_x000D_メタルダックやゴールドダックを獲得しましょう</v>
      </c>
      <c r="N51" s="22" t="s">
        <v>24</v>
      </c>
      <c r="O51">
        <v>17</v>
      </c>
    </row>
    <row r="52" spans="1:15">
      <c r="A52" s="29" t="e">
        <f>C52&amp;"_"&amp;F52&amp;"_"&amp;#REF!</f>
        <v>#REF!</v>
      </c>
      <c r="B52" s="27" t="s">
        <v>33</v>
      </c>
      <c r="C52" s="5">
        <v>30013</v>
      </c>
      <c r="D52" s="4" t="str">
        <f ca="1">VLOOKUP($C52,OFFSET([1]quests!$A$1,0,0,COUNTA([1]quests!$A:$A),MATCH(D$1,[1]quests!$1:$1,0)-MATCH($C$1,[1]quests!$1:$1,0)+1),MATCH(D$1,[1]quests!$1:$1,0)-MATCH($C$1,[1]quests!$1:$1,0)+1,FALSE)</f>
        <v>決戦・竜宮城</v>
      </c>
      <c r="E52" s="4" t="str">
        <f ca="1">VLOOKUP($C52,OFFSET([1]quests!$A$1,0,0,COUNTA([1]quests!$A:$A),MATCH(E$1,[1]quests!$1:$1,0)-MATCH($C$1,[1]quests!$1:$1,0)+1),MATCH(E$1,[1]quests!$1:$1,0)-MATCH($C$1,[1]quests!$1:$1,0)+1,FALSE)</f>
        <v>ドロップイベント4（マルチ専用）</v>
      </c>
      <c r="F52" s="6">
        <v>2</v>
      </c>
      <c r="G52" s="4" t="str">
        <f ca="1">VLOOKUP($C52&amp;"_"&amp;$F52,OFFSET([1]stages!$A$1,0,0,COUNTA([1]stages!$A:$A),MATCH(G$1,[1]stages!$2:$2,0)-MATCH("temp_stage",[1]stages!$2:$2,0)+1),MATCH(G$1,[1]stages!$2:$2,0)-MATCH("temp_stage",[1]stages!$2:$2,0)+1,FALSE)</f>
        <v>【超絶級】決戦・竜宮城</v>
      </c>
      <c r="H52" s="4" t="str">
        <f ca="1">VLOOKUP($C52&amp;"_"&amp;$F52,OFFSET([1]stages!$A$1,0,0,COUNTA([1]stages!$A:$A),MATCH(H$1,[1]stages!$2:$2,0)-MATCH("temp_stage",[1]stages!$2:$2,0)+1),MATCH(H$1,[1]stages!$2:$2,0)-MATCH("temp_stage",[1]stages!$2:$2,0)+1,FALSE)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52" s="19">
        <v>0</v>
      </c>
      <c r="J52">
        <v>19</v>
      </c>
      <c r="K52" s="6" t="s">
        <v>17</v>
      </c>
      <c r="L52" s="36" t="str">
        <f>VLOOKUP(J52,[2]stage_hints!$A:$C,3,FALSE)</f>
        <v>チャレンジタワー</v>
      </c>
      <c r="M52" s="37" t="str">
        <f>VLOOKUP(J52,[2]stage_hints!$A:$D,4,FALSE)</f>
        <v>「チャレンジタワー」をクリアすると_x000D_各フロアごとに報酬がもらえます</v>
      </c>
      <c r="N52" s="22" t="s">
        <v>24</v>
      </c>
      <c r="O52">
        <v>19</v>
      </c>
    </row>
    <row r="53" spans="1:15">
      <c r="A53" s="29" t="e">
        <f>C53&amp;"_"&amp;F53&amp;"_"&amp;#REF!</f>
        <v>#REF!</v>
      </c>
      <c r="B53" s="27" t="s">
        <v>33</v>
      </c>
      <c r="C53" s="5">
        <v>30013</v>
      </c>
      <c r="D53" s="4" t="str">
        <f ca="1">VLOOKUP($C53,OFFSET([1]quests!$A$1,0,0,COUNTA([1]quests!$A:$A),MATCH(D$1,[1]quests!$1:$1,0)-MATCH($C$1,[1]quests!$1:$1,0)+1),MATCH(D$1,[1]quests!$1:$1,0)-MATCH($C$1,[1]quests!$1:$1,0)+1,FALSE)</f>
        <v>決戦・竜宮城</v>
      </c>
      <c r="E53" s="4" t="str">
        <f ca="1">VLOOKUP($C53,OFFSET([1]quests!$A$1,0,0,COUNTA([1]quests!$A:$A),MATCH(E$1,[1]quests!$1:$1,0)-MATCH($C$1,[1]quests!$1:$1,0)+1),MATCH(E$1,[1]quests!$1:$1,0)-MATCH($C$1,[1]quests!$1:$1,0)+1,FALSE)</f>
        <v>ドロップイベント4（マルチ専用）</v>
      </c>
      <c r="F53" s="6">
        <v>2</v>
      </c>
      <c r="G53" s="4" t="str">
        <f ca="1">VLOOKUP($C53&amp;"_"&amp;$F53,OFFSET([1]stages!$A$1,0,0,COUNTA([1]stages!$A:$A),MATCH(G$1,[1]stages!$2:$2,0)-MATCH("temp_stage",[1]stages!$2:$2,0)+1),MATCH(G$1,[1]stages!$2:$2,0)-MATCH("temp_stage",[1]stages!$2:$2,0)+1,FALSE)</f>
        <v>【超絶級】決戦・竜宮城</v>
      </c>
      <c r="H53" s="4" t="str">
        <f ca="1">VLOOKUP($C53&amp;"_"&amp;$F53,OFFSET([1]stages!$A$1,0,0,COUNTA([1]stages!$A:$A),MATCH(H$1,[1]stages!$2:$2,0)-MATCH("temp_stage",[1]stages!$2:$2,0)+1),MATCH(H$1,[1]stages!$2:$2,0)-MATCH("temp_stage",[1]stages!$2:$2,0)+1,FALSE)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53" s="19">
        <v>0</v>
      </c>
      <c r="J53">
        <v>21</v>
      </c>
      <c r="K53" s="6" t="s">
        <v>17</v>
      </c>
      <c r="L53" s="36" t="str">
        <f>VLOOKUP(J53,[2]stage_hints!$A:$C,3,FALSE)</f>
        <v>スキルを有効に使おう</v>
      </c>
      <c r="M53" s="37" t="str">
        <f>VLOOKUP(J53,[2]stage_hints!$A:$D,4,FALSE)</f>
        <v>ターン経過でユニットは_x000D_強力なスキルが使えるようになります</v>
      </c>
      <c r="N53" s="22" t="s">
        <v>24</v>
      </c>
      <c r="O53">
        <v>21</v>
      </c>
    </row>
    <row r="54" spans="1:15">
      <c r="A54" s="29" t="e">
        <f>C54&amp;"_"&amp;F54&amp;"_"&amp;#REF!</f>
        <v>#REF!</v>
      </c>
      <c r="B54" s="27" t="s">
        <v>33</v>
      </c>
      <c r="C54" s="5">
        <v>30013</v>
      </c>
      <c r="D54" s="4" t="str">
        <f ca="1">VLOOKUP($C54,OFFSET([1]quests!$A$1,0,0,COUNTA([1]quests!$A:$A),MATCH(D$1,[1]quests!$1:$1,0)-MATCH($C$1,[1]quests!$1:$1,0)+1),MATCH(D$1,[1]quests!$1:$1,0)-MATCH($C$1,[1]quests!$1:$1,0)+1,FALSE)</f>
        <v>決戦・竜宮城</v>
      </c>
      <c r="E54" s="4" t="str">
        <f ca="1">VLOOKUP($C54,OFFSET([1]quests!$A$1,0,0,COUNTA([1]quests!$A:$A),MATCH(E$1,[1]quests!$1:$1,0)-MATCH($C$1,[1]quests!$1:$1,0)+1),MATCH(E$1,[1]quests!$1:$1,0)-MATCH($C$1,[1]quests!$1:$1,0)+1,FALSE)</f>
        <v>ドロップイベント4（マルチ専用）</v>
      </c>
      <c r="F54" s="6">
        <v>2</v>
      </c>
      <c r="G54" s="4" t="str">
        <f ca="1">VLOOKUP($C54&amp;"_"&amp;$F54,OFFSET([1]stages!$A$1,0,0,COUNTA([1]stages!$A:$A),MATCH(G$1,[1]stages!$2:$2,0)-MATCH("temp_stage",[1]stages!$2:$2,0)+1),MATCH(G$1,[1]stages!$2:$2,0)-MATCH("temp_stage",[1]stages!$2:$2,0)+1,FALSE)</f>
        <v>【超絶級】決戦・竜宮城</v>
      </c>
      <c r="H54" s="4" t="str">
        <f ca="1">VLOOKUP($C54&amp;"_"&amp;$F54,OFFSET([1]stages!$A$1,0,0,COUNTA([1]stages!$A:$A),MATCH(H$1,[1]stages!$2:$2,0)-MATCH("temp_stage",[1]stages!$2:$2,0)+1),MATCH(H$1,[1]stages!$2:$2,0)-MATCH("temp_stage",[1]stages!$2:$2,0)+1,FALSE)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54" s="19">
        <v>0</v>
      </c>
      <c r="J54">
        <v>29</v>
      </c>
      <c r="K54" s="6" t="s">
        <v>17</v>
      </c>
      <c r="L54" s="36" t="str">
        <f>VLOOKUP(J54,[2]stage_hints!$A:$C,3,FALSE)</f>
        <v>ステータスのバグって何？</v>
      </c>
      <c r="M54" s="37" t="str">
        <f>VLOOKUP(J54,[2]stage_hints!$A:$D,4,FALSE)</f>
        <v>「バグ」を上げると_x000D_報酬をもらえる確率がアップします</v>
      </c>
      <c r="N54" s="22" t="s">
        <v>24</v>
      </c>
      <c r="O54">
        <v>29</v>
      </c>
    </row>
    <row r="55" spans="1:15">
      <c r="A55" s="29" t="e">
        <f>C55&amp;"_"&amp;F55&amp;"_"&amp;#REF!</f>
        <v>#REF!</v>
      </c>
      <c r="B55" s="27" t="s">
        <v>33</v>
      </c>
      <c r="C55" s="5">
        <v>30013</v>
      </c>
      <c r="D55" s="4" t="str">
        <f ca="1">VLOOKUP($C55,OFFSET([1]quests!$A$1,0,0,COUNTA([1]quests!$A:$A),MATCH(D$1,[1]quests!$1:$1,0)-MATCH($C$1,[1]quests!$1:$1,0)+1),MATCH(D$1,[1]quests!$1:$1,0)-MATCH($C$1,[1]quests!$1:$1,0)+1,FALSE)</f>
        <v>決戦・竜宮城</v>
      </c>
      <c r="E55" s="4" t="str">
        <f ca="1">VLOOKUP($C55,OFFSET([1]quests!$A$1,0,0,COUNTA([1]quests!$A:$A),MATCH(E$1,[1]quests!$1:$1,0)-MATCH($C$1,[1]quests!$1:$1,0)+1),MATCH(E$1,[1]quests!$1:$1,0)-MATCH($C$1,[1]quests!$1:$1,0)+1,FALSE)</f>
        <v>ドロップイベント4（マルチ専用）</v>
      </c>
      <c r="F55" s="6">
        <v>2</v>
      </c>
      <c r="G55" s="4" t="str">
        <f ca="1">VLOOKUP($C55&amp;"_"&amp;$F55,OFFSET([1]stages!$A$1,0,0,COUNTA([1]stages!$A:$A),MATCH(G$1,[1]stages!$2:$2,0)-MATCH("temp_stage",[1]stages!$2:$2,0)+1),MATCH(G$1,[1]stages!$2:$2,0)-MATCH("temp_stage",[1]stages!$2:$2,0)+1,FALSE)</f>
        <v>【超絶級】決戦・竜宮城</v>
      </c>
      <c r="H55" s="4" t="str">
        <f ca="1">VLOOKUP($C55&amp;"_"&amp;$F55,OFFSET([1]stages!$A$1,0,0,COUNTA([1]stages!$A:$A),MATCH(H$1,[1]stages!$2:$2,0)-MATCH("temp_stage",[1]stages!$2:$2,0)+1),MATCH(H$1,[1]stages!$2:$2,0)-MATCH("temp_stage",[1]stages!$2:$2,0)+1,FALSE)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55" s="19">
        <v>0</v>
      </c>
      <c r="J55">
        <v>30</v>
      </c>
      <c r="K55" s="6" t="s">
        <v>17</v>
      </c>
      <c r="L55" s="36" t="str">
        <f>VLOOKUP(J55,[2]stage_hints!$A:$C,3,FALSE)</f>
        <v>ステータスのバグを増やす方法</v>
      </c>
      <c r="M55" s="37" t="str">
        <f>VLOOKUP(J55,[2]stage_hints!$A:$D,4,FALSE)</f>
        <v>同じユニット同士を強化すると_x000D_「バグ」を増やすことができます</v>
      </c>
      <c r="N55" s="22" t="s">
        <v>24</v>
      </c>
      <c r="O55">
        <v>30</v>
      </c>
    </row>
    <row r="56" spans="1:15">
      <c r="A56" s="29" t="e">
        <f>C56&amp;"_"&amp;F56&amp;"_"&amp;#REF!</f>
        <v>#REF!</v>
      </c>
      <c r="B56" s="27" t="s">
        <v>33</v>
      </c>
      <c r="C56" s="5">
        <v>30013</v>
      </c>
      <c r="D56" s="4" t="str">
        <f ca="1">VLOOKUP($C56,OFFSET([1]quests!$A$1,0,0,COUNTA([1]quests!$A:$A),MATCH(D$1,[1]quests!$1:$1,0)-MATCH($C$1,[1]quests!$1:$1,0)+1),MATCH(D$1,[1]quests!$1:$1,0)-MATCH($C$1,[1]quests!$1:$1,0)+1,FALSE)</f>
        <v>決戦・竜宮城</v>
      </c>
      <c r="E56" s="4" t="str">
        <f ca="1">VLOOKUP($C56,OFFSET([1]quests!$A$1,0,0,COUNTA([1]quests!$A:$A),MATCH(E$1,[1]quests!$1:$1,0)-MATCH($C$1,[1]quests!$1:$1,0)+1),MATCH(E$1,[1]quests!$1:$1,0)-MATCH($C$1,[1]quests!$1:$1,0)+1,FALSE)</f>
        <v>ドロップイベント4（マルチ専用）</v>
      </c>
      <c r="F56" s="6">
        <v>2</v>
      </c>
      <c r="G56" s="4" t="str">
        <f ca="1">VLOOKUP($C56&amp;"_"&amp;$F56,OFFSET([1]stages!$A$1,0,0,COUNTA([1]stages!$A:$A),MATCH(G$1,[1]stages!$2:$2,0)-MATCH("temp_stage",[1]stages!$2:$2,0)+1),MATCH(G$1,[1]stages!$2:$2,0)-MATCH("temp_stage",[1]stages!$2:$2,0)+1,FALSE)</f>
        <v>【超絶級】決戦・竜宮城</v>
      </c>
      <c r="H56" s="4" t="str">
        <f ca="1">VLOOKUP($C56&amp;"_"&amp;$F56,OFFSET([1]stages!$A$1,0,0,COUNTA([1]stages!$A:$A),MATCH(H$1,[1]stages!$2:$2,0)-MATCH("temp_stage",[1]stages!$2:$2,0)+1),MATCH(H$1,[1]stages!$2:$2,0)-MATCH("temp_stage",[1]stages!$2:$2,0)+1,FALSE)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56" s="19">
        <v>0</v>
      </c>
      <c r="J56">
        <v>32</v>
      </c>
      <c r="K56" s="6" t="s">
        <v>17</v>
      </c>
      <c r="L56" s="36" t="str">
        <f>VLOOKUP(J56,[2]stage_hints!$A:$C,3,FALSE)</f>
        <v>連続攻撃をしてくる敵には</v>
      </c>
      <c r="M56" s="37" t="str">
        <f>VLOOKUP(J56,[2]stage_hints!$A:$D,4,FALSE)</f>
        <v>敵の連続攻撃には「カウンター」スキルが有効！_x000D_ダメージ回数分の攻撃を返せます</v>
      </c>
      <c r="N56" s="22" t="s">
        <v>24</v>
      </c>
      <c r="O56">
        <v>32</v>
      </c>
    </row>
    <row r="57" spans="1:15">
      <c r="A57" s="29" t="e">
        <f>C57&amp;"_"&amp;F57&amp;"_"&amp;#REF!</f>
        <v>#REF!</v>
      </c>
      <c r="B57" s="27" t="s">
        <v>33</v>
      </c>
      <c r="C57" s="5">
        <v>30013</v>
      </c>
      <c r="D57" s="4" t="str">
        <f ca="1">VLOOKUP($C57,OFFSET([1]quests!$A$1,0,0,COUNTA([1]quests!$A:$A),MATCH(D$1,[1]quests!$1:$1,0)-MATCH($C$1,[1]quests!$1:$1,0)+1),MATCH(D$1,[1]quests!$1:$1,0)-MATCH($C$1,[1]quests!$1:$1,0)+1,FALSE)</f>
        <v>決戦・竜宮城</v>
      </c>
      <c r="E57" s="4" t="str">
        <f ca="1">VLOOKUP($C57,OFFSET([1]quests!$A$1,0,0,COUNTA([1]quests!$A:$A),MATCH(E$1,[1]quests!$1:$1,0)-MATCH($C$1,[1]quests!$1:$1,0)+1),MATCH(E$1,[1]quests!$1:$1,0)-MATCH($C$1,[1]quests!$1:$1,0)+1,FALSE)</f>
        <v>ドロップイベント4（マルチ専用）</v>
      </c>
      <c r="F57" s="6">
        <v>2</v>
      </c>
      <c r="G57" s="4" t="str">
        <f ca="1">VLOOKUP($C57&amp;"_"&amp;$F57,OFFSET([1]stages!$A$1,0,0,COUNTA([1]stages!$A:$A),MATCH(G$1,[1]stages!$2:$2,0)-MATCH("temp_stage",[1]stages!$2:$2,0)+1),MATCH(G$1,[1]stages!$2:$2,0)-MATCH("temp_stage",[1]stages!$2:$2,0)+1,FALSE)</f>
        <v>【超絶級】決戦・竜宮城</v>
      </c>
      <c r="H57" s="4" t="str">
        <f ca="1">VLOOKUP($C57&amp;"_"&amp;$F57,OFFSET([1]stages!$A$1,0,0,COUNTA([1]stages!$A:$A),MATCH(H$1,[1]stages!$2:$2,0)-MATCH("temp_stage",[1]stages!$2:$2,0)+1),MATCH(H$1,[1]stages!$2:$2,0)-MATCH("temp_stage",[1]stages!$2:$2,0)+1,FALSE)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57" s="19">
        <v>0</v>
      </c>
      <c r="J57">
        <v>33</v>
      </c>
      <c r="K57" s="6" t="s">
        <v>17</v>
      </c>
      <c r="L57" s="36" t="str">
        <f>VLOOKUP(J57,[2]stage_hints!$A:$C,3,FALSE)</f>
        <v>カウンターブレイク！</v>
      </c>
      <c r="M57" s="37" t="str">
        <f>VLOOKUP(J57,[2]stage_hints!$A:$D,4,FALSE)</f>
        <v>敵のカウンターには「カウンターブレイク」！_x000D_カウンターを解除して攻撃をしかけましょう</v>
      </c>
      <c r="N57" s="22" t="s">
        <v>24</v>
      </c>
      <c r="O57">
        <v>33</v>
      </c>
    </row>
    <row r="58" spans="1:15">
      <c r="A58" s="29" t="e">
        <f>C58&amp;"_"&amp;F58&amp;"_"&amp;#REF!</f>
        <v>#REF!</v>
      </c>
      <c r="B58" s="27" t="s">
        <v>33</v>
      </c>
      <c r="C58" s="5">
        <v>30013</v>
      </c>
      <c r="D58" s="4" t="str">
        <f ca="1">VLOOKUP($C58,OFFSET([1]quests!$A$1,0,0,COUNTA([1]quests!$A:$A),MATCH(D$1,[1]quests!$1:$1,0)-MATCH($C$1,[1]quests!$1:$1,0)+1),MATCH(D$1,[1]quests!$1:$1,0)-MATCH($C$1,[1]quests!$1:$1,0)+1,FALSE)</f>
        <v>決戦・竜宮城</v>
      </c>
      <c r="E58" s="4" t="str">
        <f ca="1">VLOOKUP($C58,OFFSET([1]quests!$A$1,0,0,COUNTA([1]quests!$A:$A),MATCH(E$1,[1]quests!$1:$1,0)-MATCH($C$1,[1]quests!$1:$1,0)+1),MATCH(E$1,[1]quests!$1:$1,0)-MATCH($C$1,[1]quests!$1:$1,0)+1,FALSE)</f>
        <v>ドロップイベント4（マルチ専用）</v>
      </c>
      <c r="F58" s="6">
        <v>2</v>
      </c>
      <c r="G58" s="4" t="str">
        <f ca="1">VLOOKUP($C58&amp;"_"&amp;$F58,OFFSET([1]stages!$A$1,0,0,COUNTA([1]stages!$A:$A),MATCH(G$1,[1]stages!$2:$2,0)-MATCH("temp_stage",[1]stages!$2:$2,0)+1),MATCH(G$1,[1]stages!$2:$2,0)-MATCH("temp_stage",[1]stages!$2:$2,0)+1,FALSE)</f>
        <v>【超絶級】決戦・竜宮城</v>
      </c>
      <c r="H58" s="4" t="str">
        <f ca="1">VLOOKUP($C58&amp;"_"&amp;$F58,OFFSET([1]stages!$A$1,0,0,COUNTA([1]stages!$A:$A),MATCH(H$1,[1]stages!$2:$2,0)-MATCH("temp_stage",[1]stages!$2:$2,0)+1),MATCH(H$1,[1]stages!$2:$2,0)-MATCH("temp_stage",[1]stages!$2:$2,0)+1,FALSE)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58" s="19">
        <v>0</v>
      </c>
      <c r="J58">
        <v>34</v>
      </c>
      <c r="K58" s="6" t="s">
        <v>17</v>
      </c>
      <c r="L58" s="36" t="str">
        <f>VLOOKUP(J58,[2]stage_hints!$A:$C,3,FALSE)</f>
        <v>敵のDOWNを上書きしよう！</v>
      </c>
      <c r="M58" s="37" t="str">
        <f>VLOOKUP(J58,[2]stage_hints!$A:$D,4,FALSE)</f>
        <v>攻撃力ダウンを受けたときは_x000D_攻撃力アップスキルで効果を上書きできます</v>
      </c>
      <c r="N58" s="22" t="s">
        <v>24</v>
      </c>
      <c r="O58">
        <v>34</v>
      </c>
    </row>
    <row r="59" spans="1:15">
      <c r="A59" s="29" t="e">
        <f>C59&amp;"_"&amp;F59&amp;"_"&amp;#REF!</f>
        <v>#REF!</v>
      </c>
      <c r="B59" s="27" t="s">
        <v>33</v>
      </c>
      <c r="C59" s="5">
        <v>30013</v>
      </c>
      <c r="D59" s="4" t="str">
        <f ca="1">VLOOKUP($C59,OFFSET([1]quests!$A$1,0,0,COUNTA([1]quests!$A:$A),MATCH(D$1,[1]quests!$1:$1,0)-MATCH($C$1,[1]quests!$1:$1,0)+1),MATCH(D$1,[1]quests!$1:$1,0)-MATCH($C$1,[1]quests!$1:$1,0)+1,FALSE)</f>
        <v>決戦・竜宮城</v>
      </c>
      <c r="E59" s="4" t="str">
        <f ca="1">VLOOKUP($C59,OFFSET([1]quests!$A$1,0,0,COUNTA([1]quests!$A:$A),MATCH(E$1,[1]quests!$1:$1,0)-MATCH($C$1,[1]quests!$1:$1,0)+1),MATCH(E$1,[1]quests!$1:$1,0)-MATCH($C$1,[1]quests!$1:$1,0)+1,FALSE)</f>
        <v>ドロップイベント4（マルチ専用）</v>
      </c>
      <c r="F59" s="6">
        <v>2</v>
      </c>
      <c r="G59" s="4" t="str">
        <f ca="1">VLOOKUP($C59&amp;"_"&amp;$F59,OFFSET([1]stages!$A$1,0,0,COUNTA([1]stages!$A:$A),MATCH(G$1,[1]stages!$2:$2,0)-MATCH("temp_stage",[1]stages!$2:$2,0)+1),MATCH(G$1,[1]stages!$2:$2,0)-MATCH("temp_stage",[1]stages!$2:$2,0)+1,FALSE)</f>
        <v>【超絶級】決戦・竜宮城</v>
      </c>
      <c r="H59" s="4" t="str">
        <f ca="1">VLOOKUP($C59&amp;"_"&amp;$F59,OFFSET([1]stages!$A$1,0,0,COUNTA([1]stages!$A:$A),MATCH(H$1,[1]stages!$2:$2,0)-MATCH("temp_stage",[1]stages!$2:$2,0)+1),MATCH(H$1,[1]stages!$2:$2,0)-MATCH("temp_stage",[1]stages!$2:$2,0)+1,FALSE)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59" s="19">
        <v>0</v>
      </c>
      <c r="J59">
        <v>35</v>
      </c>
      <c r="K59" s="6" t="s">
        <v>17</v>
      </c>
      <c r="L59" s="36" t="str">
        <f>VLOOKUP(J59,[2]stage_hints!$A:$C,3,FALSE)</f>
        <v>敵のUPを上書きしよう！</v>
      </c>
      <c r="M59" s="37" t="str">
        <f>VLOOKUP(J59,[2]stage_hints!$A:$D,4,FALSE)</f>
        <v>敵の攻撃力がアップしたときは_x000D_攻撃力ダウンスキルで効果を上書きできます</v>
      </c>
      <c r="N59" s="22" t="s">
        <v>24</v>
      </c>
      <c r="O59">
        <v>35</v>
      </c>
    </row>
    <row r="60" spans="1:15">
      <c r="A60" s="29" t="e">
        <f>C60&amp;"_"&amp;F60&amp;"_"&amp;#REF!</f>
        <v>#REF!</v>
      </c>
      <c r="B60" s="27" t="s">
        <v>33</v>
      </c>
      <c r="C60" s="5">
        <v>30013</v>
      </c>
      <c r="D60" s="4" t="str">
        <f ca="1">VLOOKUP($C60,OFFSET([1]quests!$A$1,0,0,COUNTA([1]quests!$A:$A),MATCH(D$1,[1]quests!$1:$1,0)-MATCH($C$1,[1]quests!$1:$1,0)+1),MATCH(D$1,[1]quests!$1:$1,0)-MATCH($C$1,[1]quests!$1:$1,0)+1,FALSE)</f>
        <v>決戦・竜宮城</v>
      </c>
      <c r="E60" s="4" t="str">
        <f ca="1">VLOOKUP($C60,OFFSET([1]quests!$A$1,0,0,COUNTA([1]quests!$A:$A),MATCH(E$1,[1]quests!$1:$1,0)-MATCH($C$1,[1]quests!$1:$1,0)+1),MATCH(E$1,[1]quests!$1:$1,0)-MATCH($C$1,[1]quests!$1:$1,0)+1,FALSE)</f>
        <v>ドロップイベント4（マルチ専用）</v>
      </c>
      <c r="F60" s="6">
        <v>2</v>
      </c>
      <c r="G60" s="4" t="str">
        <f ca="1">VLOOKUP($C60&amp;"_"&amp;$F60,OFFSET([1]stages!$A$1,0,0,COUNTA([1]stages!$A:$A),MATCH(G$1,[1]stages!$2:$2,0)-MATCH("temp_stage",[1]stages!$2:$2,0)+1),MATCH(G$1,[1]stages!$2:$2,0)-MATCH("temp_stage",[1]stages!$2:$2,0)+1,FALSE)</f>
        <v>【超絶級】決戦・竜宮城</v>
      </c>
      <c r="H60" s="4" t="str">
        <f ca="1">VLOOKUP($C60&amp;"_"&amp;$F60,OFFSET([1]stages!$A$1,0,0,COUNTA([1]stages!$A:$A),MATCH(H$1,[1]stages!$2:$2,0)-MATCH("temp_stage",[1]stages!$2:$2,0)+1),MATCH(H$1,[1]stages!$2:$2,0)-MATCH("temp_stage",[1]stages!$2:$2,0)+1,FALSE)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60" s="19">
        <v>0</v>
      </c>
      <c r="J60">
        <v>36</v>
      </c>
      <c r="K60" s="6" t="s">
        <v>17</v>
      </c>
      <c r="L60" s="36" t="str">
        <f>VLOOKUP(J60,[2]stage_hints!$A:$C,3,FALSE)</f>
        <v>チャレンジタワーのボス</v>
      </c>
      <c r="M60" s="37" t="str">
        <f>VLOOKUP(J60,[2]stage_hints!$A:$D,4,FALSE)</f>
        <v>チャレンジタワー15F、20F、25Fのボスは_x000D_一定確率でドロップするようです</v>
      </c>
      <c r="N60" s="22" t="s">
        <v>24</v>
      </c>
      <c r="O60">
        <v>36</v>
      </c>
    </row>
    <row r="61" spans="1:15">
      <c r="A61" s="29" t="e">
        <f>C61&amp;"_"&amp;F61&amp;"_"&amp;#REF!</f>
        <v>#REF!</v>
      </c>
      <c r="B61" s="27" t="s">
        <v>33</v>
      </c>
      <c r="C61" s="5">
        <v>30013</v>
      </c>
      <c r="D61" s="4" t="str">
        <f ca="1">VLOOKUP($C61,OFFSET([1]quests!$A$1,0,0,COUNTA([1]quests!$A:$A),MATCH(D$1,[1]quests!$1:$1,0)-MATCH($C$1,[1]quests!$1:$1,0)+1),MATCH(D$1,[1]quests!$1:$1,0)-MATCH($C$1,[1]quests!$1:$1,0)+1,FALSE)</f>
        <v>決戦・竜宮城</v>
      </c>
      <c r="E61" s="4" t="str">
        <f ca="1">VLOOKUP($C61,OFFSET([1]quests!$A$1,0,0,COUNTA([1]quests!$A:$A),MATCH(E$1,[1]quests!$1:$1,0)-MATCH($C$1,[1]quests!$1:$1,0)+1),MATCH(E$1,[1]quests!$1:$1,0)-MATCH($C$1,[1]quests!$1:$1,0)+1,FALSE)</f>
        <v>ドロップイベント4（マルチ専用）</v>
      </c>
      <c r="F61" s="6">
        <v>2</v>
      </c>
      <c r="G61" s="4" t="str">
        <f ca="1">VLOOKUP($C61&amp;"_"&amp;$F61,OFFSET([1]stages!$A$1,0,0,COUNTA([1]stages!$A:$A),MATCH(G$1,[1]stages!$2:$2,0)-MATCH("temp_stage",[1]stages!$2:$2,0)+1),MATCH(G$1,[1]stages!$2:$2,0)-MATCH("temp_stage",[1]stages!$2:$2,0)+1,FALSE)</f>
        <v>【超絶級】決戦・竜宮城</v>
      </c>
      <c r="H61" s="4" t="str">
        <f ca="1">VLOOKUP($C61&amp;"_"&amp;$F61,OFFSET([1]stages!$A$1,0,0,COUNTA([1]stages!$A:$A),MATCH(H$1,[1]stages!$2:$2,0)-MATCH("temp_stage",[1]stages!$2:$2,0)+1),MATCH(H$1,[1]stages!$2:$2,0)-MATCH("temp_stage",[1]stages!$2:$2,0)+1,FALSE)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61" s="19">
        <v>0</v>
      </c>
      <c r="J61">
        <v>37</v>
      </c>
      <c r="K61" s="6" t="s">
        <v>17</v>
      </c>
      <c r="L61" s="36" t="str">
        <f>VLOOKUP(J61,[2]stage_hints!$A:$C,3,FALSE)</f>
        <v>限界突破の引継</v>
      </c>
      <c r="M61" s="37" t="str">
        <f>VLOOKUP(J61,[2]stage_hints!$A:$D,4,FALSE)</f>
        <v>限界突破の+値は同じユニットなら_x000D_覚醒前後でも強化で引き継がれます</v>
      </c>
      <c r="N61" s="22" t="s">
        <v>24</v>
      </c>
      <c r="O61">
        <v>37</v>
      </c>
    </row>
    <row r="62" spans="1:15">
      <c r="A62" s="29" t="e">
        <f>C62&amp;"_"&amp;F62&amp;"_"&amp;#REF!</f>
        <v>#REF!</v>
      </c>
      <c r="B62" s="27" t="s">
        <v>33</v>
      </c>
      <c r="C62" s="5">
        <v>30014</v>
      </c>
      <c r="D62" s="4" t="str">
        <f ca="1">VLOOKUP($C62,OFFSET([1]quests!$A$1,0,0,COUNTA([1]quests!$A:$A),MATCH(D$1,[1]quests!$1:$1,0)-MATCH($C$1,[1]quests!$1:$1,0)+1),MATCH(D$1,[1]quests!$1:$1,0)-MATCH($C$1,[1]quests!$1:$1,0)+1,FALSE)</f>
        <v>親指を突き立てろ！</v>
      </c>
      <c r="E62" s="4" t="str">
        <f ca="1">VLOOKUP($C62,OFFSET([1]quests!$A$1,0,0,COUNTA([1]quests!$A:$A),MATCH(E$1,[1]quests!$1:$1,0)-MATCH($C$1,[1]quests!$1:$1,0)+1),MATCH(E$1,[1]quests!$1:$1,0)-MATCH($C$1,[1]quests!$1:$1,0)+1,FALSE)</f>
        <v>ドロップイベント4（マルチ専用）</v>
      </c>
      <c r="F62" s="6">
        <v>2</v>
      </c>
      <c r="G62" s="4" t="str">
        <f ca="1">VLOOKUP($C62&amp;"_"&amp;$F62,OFFSET([1]stages!$A$1,0,0,COUNTA([1]stages!$A:$A),MATCH(G$1,[1]stages!$2:$2,0)-MATCH("temp_stage",[1]stages!$2:$2,0)+1),MATCH(G$1,[1]stages!$2:$2,0)-MATCH("temp_stage",[1]stages!$2:$2,0)+1,FALSE)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62" s="4" t="str">
        <f ca="1">VLOOKUP($C62&amp;"_"&amp;$F62,OFFSET([1]stages!$A$1,0,0,COUNTA([1]stages!$A:$A),MATCH(H$1,[1]stages!$2:$2,0)-MATCH("temp_stage",[1]stages!$2:$2,0)+1),MATCH(H$1,[1]stages!$2:$2,0)-MATCH("temp_stage",[1]stages!$2:$2,0)+1,FALSE)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62" s="19">
        <v>0</v>
      </c>
      <c r="J62">
        <v>12</v>
      </c>
      <c r="K62" s="6" t="s">
        <v>17</v>
      </c>
      <c r="L62" s="36" t="str">
        <f>VLOOKUP(J62,[2]stage_hints!$A:$C,3,FALSE)</f>
        <v>お気に入り登録</v>
      </c>
      <c r="M62" s="37" t="str">
        <f>VLOOKUP(J62,[2]stage_hints!$A:$D,4,FALSE)</f>
        <v>大事なユニットは_x000D_フォルダから「お気に入り登録」しましょう</v>
      </c>
      <c r="N62" s="22" t="s">
        <v>24</v>
      </c>
      <c r="O62">
        <v>12</v>
      </c>
    </row>
    <row r="63" spans="1:15">
      <c r="A63" s="29" t="e">
        <f>C63&amp;"_"&amp;F63&amp;"_"&amp;#REF!</f>
        <v>#REF!</v>
      </c>
      <c r="B63" s="27" t="s">
        <v>33</v>
      </c>
      <c r="C63" s="5">
        <v>30014</v>
      </c>
      <c r="D63" s="4" t="str">
        <f ca="1">VLOOKUP($C63,OFFSET([1]quests!$A$1,0,0,COUNTA([1]quests!$A:$A),MATCH(D$1,[1]quests!$1:$1,0)-MATCH($C$1,[1]quests!$1:$1,0)+1),MATCH(D$1,[1]quests!$1:$1,0)-MATCH($C$1,[1]quests!$1:$1,0)+1,FALSE)</f>
        <v>親指を突き立てろ！</v>
      </c>
      <c r="E63" s="4" t="str">
        <f ca="1">VLOOKUP($C63,OFFSET([1]quests!$A$1,0,0,COUNTA([1]quests!$A:$A),MATCH(E$1,[1]quests!$1:$1,0)-MATCH($C$1,[1]quests!$1:$1,0)+1),MATCH(E$1,[1]quests!$1:$1,0)-MATCH($C$1,[1]quests!$1:$1,0)+1,FALSE)</f>
        <v>ドロップイベント4（マルチ専用）</v>
      </c>
      <c r="F63" s="6">
        <v>2</v>
      </c>
      <c r="G63" s="4" t="str">
        <f ca="1">VLOOKUP($C63&amp;"_"&amp;$F63,OFFSET([1]stages!$A$1,0,0,COUNTA([1]stages!$A:$A),MATCH(G$1,[1]stages!$2:$2,0)-MATCH("temp_stage",[1]stages!$2:$2,0)+1),MATCH(G$1,[1]stages!$2:$2,0)-MATCH("temp_stage",[1]stages!$2:$2,0)+1,FALSE)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63" s="4" t="str">
        <f ca="1">VLOOKUP($C63&amp;"_"&amp;$F63,OFFSET([1]stages!$A$1,0,0,COUNTA([1]stages!$A:$A),MATCH(H$1,[1]stages!$2:$2,0)-MATCH("temp_stage",[1]stages!$2:$2,0)+1),MATCH(H$1,[1]stages!$2:$2,0)-MATCH("temp_stage",[1]stages!$2:$2,0)+1,FALSE)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63" s="19">
        <v>0</v>
      </c>
      <c r="J63">
        <v>17</v>
      </c>
      <c r="K63" s="6" t="s">
        <v>17</v>
      </c>
      <c r="L63" s="36" t="str">
        <f>VLOOKUP(J63,[2]stage_hints!$A:$C,3,FALSE)</f>
        <v>リンクガチャを引いてみよう</v>
      </c>
      <c r="M63" s="37" t="str">
        <f>VLOOKUP(J63,[2]stage_hints!$A:$D,4,FALSE)</f>
        <v>リンクガチャを回して_x000D_メタルダックやゴールドダックを獲得しましょう</v>
      </c>
      <c r="N63" s="22" t="s">
        <v>24</v>
      </c>
      <c r="O63">
        <v>17</v>
      </c>
    </row>
    <row r="64" spans="1:15">
      <c r="A64" s="29" t="e">
        <f>C64&amp;"_"&amp;F64&amp;"_"&amp;#REF!</f>
        <v>#REF!</v>
      </c>
      <c r="B64" s="27" t="s">
        <v>33</v>
      </c>
      <c r="C64" s="5">
        <v>30014</v>
      </c>
      <c r="D64" s="4" t="str">
        <f ca="1">VLOOKUP($C64,OFFSET([1]quests!$A$1,0,0,COUNTA([1]quests!$A:$A),MATCH(D$1,[1]quests!$1:$1,0)-MATCH($C$1,[1]quests!$1:$1,0)+1),MATCH(D$1,[1]quests!$1:$1,0)-MATCH($C$1,[1]quests!$1:$1,0)+1,FALSE)</f>
        <v>親指を突き立てろ！</v>
      </c>
      <c r="E64" s="4" t="str">
        <f ca="1">VLOOKUP($C64,OFFSET([1]quests!$A$1,0,0,COUNTA([1]quests!$A:$A),MATCH(E$1,[1]quests!$1:$1,0)-MATCH($C$1,[1]quests!$1:$1,0)+1),MATCH(E$1,[1]quests!$1:$1,0)-MATCH($C$1,[1]quests!$1:$1,0)+1,FALSE)</f>
        <v>ドロップイベント4（マルチ専用）</v>
      </c>
      <c r="F64" s="6">
        <v>2</v>
      </c>
      <c r="G64" s="4" t="str">
        <f ca="1">VLOOKUP($C64&amp;"_"&amp;$F64,OFFSET([1]stages!$A$1,0,0,COUNTA([1]stages!$A:$A),MATCH(G$1,[1]stages!$2:$2,0)-MATCH("temp_stage",[1]stages!$2:$2,0)+1),MATCH(G$1,[1]stages!$2:$2,0)-MATCH("temp_stage",[1]stages!$2:$2,0)+1,FALSE)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64" s="4" t="str">
        <f ca="1">VLOOKUP($C64&amp;"_"&amp;$F64,OFFSET([1]stages!$A$1,0,0,COUNTA([1]stages!$A:$A),MATCH(H$1,[1]stages!$2:$2,0)-MATCH("temp_stage",[1]stages!$2:$2,0)+1),MATCH(H$1,[1]stages!$2:$2,0)-MATCH("temp_stage",[1]stages!$2:$2,0)+1,FALSE)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64" s="19">
        <v>0</v>
      </c>
      <c r="J64">
        <v>19</v>
      </c>
      <c r="K64" s="6" t="s">
        <v>17</v>
      </c>
      <c r="L64" s="36" t="str">
        <f>VLOOKUP(J64,[2]stage_hints!$A:$C,3,FALSE)</f>
        <v>チャレンジタワー</v>
      </c>
      <c r="M64" s="37" t="str">
        <f>VLOOKUP(J64,[2]stage_hints!$A:$D,4,FALSE)</f>
        <v>「チャレンジタワー」をクリアすると_x000D_各フロアごとに報酬がもらえます</v>
      </c>
      <c r="N64" s="22" t="s">
        <v>24</v>
      </c>
      <c r="O64">
        <v>19</v>
      </c>
    </row>
    <row r="65" spans="1:15">
      <c r="A65" s="29" t="e">
        <f>C65&amp;"_"&amp;F65&amp;"_"&amp;#REF!</f>
        <v>#REF!</v>
      </c>
      <c r="B65" s="27" t="s">
        <v>33</v>
      </c>
      <c r="C65" s="5">
        <v>30014</v>
      </c>
      <c r="D65" s="4" t="str">
        <f ca="1">VLOOKUP($C65,OFFSET([1]quests!$A$1,0,0,COUNTA([1]quests!$A:$A),MATCH(D$1,[1]quests!$1:$1,0)-MATCH($C$1,[1]quests!$1:$1,0)+1),MATCH(D$1,[1]quests!$1:$1,0)-MATCH($C$1,[1]quests!$1:$1,0)+1,FALSE)</f>
        <v>親指を突き立てろ！</v>
      </c>
      <c r="E65" s="4" t="str">
        <f ca="1">VLOOKUP($C65,OFFSET([1]quests!$A$1,0,0,COUNTA([1]quests!$A:$A),MATCH(E$1,[1]quests!$1:$1,0)-MATCH($C$1,[1]quests!$1:$1,0)+1),MATCH(E$1,[1]quests!$1:$1,0)-MATCH($C$1,[1]quests!$1:$1,0)+1,FALSE)</f>
        <v>ドロップイベント4（マルチ専用）</v>
      </c>
      <c r="F65" s="6">
        <v>2</v>
      </c>
      <c r="G65" s="4" t="str">
        <f ca="1">VLOOKUP($C65&amp;"_"&amp;$F65,OFFSET([1]stages!$A$1,0,0,COUNTA([1]stages!$A:$A),MATCH(G$1,[1]stages!$2:$2,0)-MATCH("temp_stage",[1]stages!$2:$2,0)+1),MATCH(G$1,[1]stages!$2:$2,0)-MATCH("temp_stage",[1]stages!$2:$2,0)+1,FALSE)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65" s="4" t="str">
        <f ca="1">VLOOKUP($C65&amp;"_"&amp;$F65,OFFSET([1]stages!$A$1,0,0,COUNTA([1]stages!$A:$A),MATCH(H$1,[1]stages!$2:$2,0)-MATCH("temp_stage",[1]stages!$2:$2,0)+1),MATCH(H$1,[1]stages!$2:$2,0)-MATCH("temp_stage",[1]stages!$2:$2,0)+1,FALSE)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65" s="19">
        <v>0</v>
      </c>
      <c r="J65">
        <v>21</v>
      </c>
      <c r="K65" s="6" t="s">
        <v>17</v>
      </c>
      <c r="L65" s="36" t="str">
        <f>VLOOKUP(J65,[2]stage_hints!$A:$C,3,FALSE)</f>
        <v>スキルを有効に使おう</v>
      </c>
      <c r="M65" s="37" t="str">
        <f>VLOOKUP(J65,[2]stage_hints!$A:$D,4,FALSE)</f>
        <v>ターン経過でユニットは_x000D_強力なスキルが使えるようになります</v>
      </c>
      <c r="N65" s="22" t="s">
        <v>24</v>
      </c>
      <c r="O65">
        <v>21</v>
      </c>
    </row>
    <row r="66" spans="1:15">
      <c r="A66" s="29" t="e">
        <f>C66&amp;"_"&amp;F66&amp;"_"&amp;#REF!</f>
        <v>#REF!</v>
      </c>
      <c r="B66" s="27" t="s">
        <v>33</v>
      </c>
      <c r="C66" s="5">
        <v>30014</v>
      </c>
      <c r="D66" s="4" t="str">
        <f ca="1">VLOOKUP($C66,OFFSET([1]quests!$A$1,0,0,COUNTA([1]quests!$A:$A),MATCH(D$1,[1]quests!$1:$1,0)-MATCH($C$1,[1]quests!$1:$1,0)+1),MATCH(D$1,[1]quests!$1:$1,0)-MATCH($C$1,[1]quests!$1:$1,0)+1,FALSE)</f>
        <v>親指を突き立てろ！</v>
      </c>
      <c r="E66" s="4" t="str">
        <f ca="1">VLOOKUP($C66,OFFSET([1]quests!$A$1,0,0,COUNTA([1]quests!$A:$A),MATCH(E$1,[1]quests!$1:$1,0)-MATCH($C$1,[1]quests!$1:$1,0)+1),MATCH(E$1,[1]quests!$1:$1,0)-MATCH($C$1,[1]quests!$1:$1,0)+1,FALSE)</f>
        <v>ドロップイベント4（マルチ専用）</v>
      </c>
      <c r="F66" s="6">
        <v>2</v>
      </c>
      <c r="G66" s="4" t="str">
        <f ca="1">VLOOKUP($C66&amp;"_"&amp;$F66,OFFSET([1]stages!$A$1,0,0,COUNTA([1]stages!$A:$A),MATCH(G$1,[1]stages!$2:$2,0)-MATCH("temp_stage",[1]stages!$2:$2,0)+1),MATCH(G$1,[1]stages!$2:$2,0)-MATCH("temp_stage",[1]stages!$2:$2,0)+1,FALSE)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66" s="4" t="str">
        <f ca="1">VLOOKUP($C66&amp;"_"&amp;$F66,OFFSET([1]stages!$A$1,0,0,COUNTA([1]stages!$A:$A),MATCH(H$1,[1]stages!$2:$2,0)-MATCH("temp_stage",[1]stages!$2:$2,0)+1),MATCH(H$1,[1]stages!$2:$2,0)-MATCH("temp_stage",[1]stages!$2:$2,0)+1,FALSE)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66" s="19">
        <v>0</v>
      </c>
      <c r="J66">
        <v>29</v>
      </c>
      <c r="K66" s="6" t="s">
        <v>17</v>
      </c>
      <c r="L66" s="36" t="str">
        <f>VLOOKUP(J66,[2]stage_hints!$A:$C,3,FALSE)</f>
        <v>ステータスのバグって何？</v>
      </c>
      <c r="M66" s="37" t="str">
        <f>VLOOKUP(J66,[2]stage_hints!$A:$D,4,FALSE)</f>
        <v>「バグ」を上げると_x000D_報酬をもらえる確率がアップします</v>
      </c>
      <c r="N66" s="22" t="s">
        <v>24</v>
      </c>
      <c r="O66">
        <v>29</v>
      </c>
    </row>
    <row r="67" spans="1:15">
      <c r="A67" s="29" t="e">
        <f>C67&amp;"_"&amp;F67&amp;"_"&amp;#REF!</f>
        <v>#REF!</v>
      </c>
      <c r="B67" s="27" t="s">
        <v>33</v>
      </c>
      <c r="C67" s="5">
        <v>30014</v>
      </c>
      <c r="D67" s="4" t="str">
        <f ca="1">VLOOKUP($C67,OFFSET([1]quests!$A$1,0,0,COUNTA([1]quests!$A:$A),MATCH(D$1,[1]quests!$1:$1,0)-MATCH($C$1,[1]quests!$1:$1,0)+1),MATCH(D$1,[1]quests!$1:$1,0)-MATCH($C$1,[1]quests!$1:$1,0)+1,FALSE)</f>
        <v>親指を突き立てろ！</v>
      </c>
      <c r="E67" s="4" t="str">
        <f ca="1">VLOOKUP($C67,OFFSET([1]quests!$A$1,0,0,COUNTA([1]quests!$A:$A),MATCH(E$1,[1]quests!$1:$1,0)-MATCH($C$1,[1]quests!$1:$1,0)+1),MATCH(E$1,[1]quests!$1:$1,0)-MATCH($C$1,[1]quests!$1:$1,0)+1,FALSE)</f>
        <v>ドロップイベント4（マルチ専用）</v>
      </c>
      <c r="F67" s="6">
        <v>2</v>
      </c>
      <c r="G67" s="4" t="str">
        <f ca="1">VLOOKUP($C67&amp;"_"&amp;$F67,OFFSET([1]stages!$A$1,0,0,COUNTA([1]stages!$A:$A),MATCH(G$1,[1]stages!$2:$2,0)-MATCH("temp_stage",[1]stages!$2:$2,0)+1),MATCH(G$1,[1]stages!$2:$2,0)-MATCH("temp_stage",[1]stages!$2:$2,0)+1,FALSE)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67" s="4" t="str">
        <f ca="1">VLOOKUP($C67&amp;"_"&amp;$F67,OFFSET([1]stages!$A$1,0,0,COUNTA([1]stages!$A:$A),MATCH(H$1,[1]stages!$2:$2,0)-MATCH("temp_stage",[1]stages!$2:$2,0)+1),MATCH(H$1,[1]stages!$2:$2,0)-MATCH("temp_stage",[1]stages!$2:$2,0)+1,FALSE)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67" s="19">
        <v>0</v>
      </c>
      <c r="J67">
        <v>30</v>
      </c>
      <c r="K67" s="6" t="s">
        <v>17</v>
      </c>
      <c r="L67" s="36" t="str">
        <f>VLOOKUP(J67,[2]stage_hints!$A:$C,3,FALSE)</f>
        <v>ステータスのバグを増やす方法</v>
      </c>
      <c r="M67" s="37" t="str">
        <f>VLOOKUP(J67,[2]stage_hints!$A:$D,4,FALSE)</f>
        <v>同じユニット同士を強化すると_x000D_「バグ」を増やすことができます</v>
      </c>
      <c r="N67" s="22" t="s">
        <v>24</v>
      </c>
      <c r="O67">
        <v>30</v>
      </c>
    </row>
    <row r="68" spans="1:15">
      <c r="A68" s="29" t="e">
        <f>C68&amp;"_"&amp;F68&amp;"_"&amp;#REF!</f>
        <v>#REF!</v>
      </c>
      <c r="B68" s="27" t="s">
        <v>33</v>
      </c>
      <c r="C68" s="5">
        <v>30014</v>
      </c>
      <c r="D68" s="4" t="str">
        <f ca="1">VLOOKUP($C68,OFFSET([1]quests!$A$1,0,0,COUNTA([1]quests!$A:$A),MATCH(D$1,[1]quests!$1:$1,0)-MATCH($C$1,[1]quests!$1:$1,0)+1),MATCH(D$1,[1]quests!$1:$1,0)-MATCH($C$1,[1]quests!$1:$1,0)+1,FALSE)</f>
        <v>親指を突き立てろ！</v>
      </c>
      <c r="E68" s="4" t="str">
        <f ca="1">VLOOKUP($C68,OFFSET([1]quests!$A$1,0,0,COUNTA([1]quests!$A:$A),MATCH(E$1,[1]quests!$1:$1,0)-MATCH($C$1,[1]quests!$1:$1,0)+1),MATCH(E$1,[1]quests!$1:$1,0)-MATCH($C$1,[1]quests!$1:$1,0)+1,FALSE)</f>
        <v>ドロップイベント4（マルチ専用）</v>
      </c>
      <c r="F68" s="6">
        <v>2</v>
      </c>
      <c r="G68" s="4" t="str">
        <f ca="1">VLOOKUP($C68&amp;"_"&amp;$F68,OFFSET([1]stages!$A$1,0,0,COUNTA([1]stages!$A:$A),MATCH(G$1,[1]stages!$2:$2,0)-MATCH("temp_stage",[1]stages!$2:$2,0)+1),MATCH(G$1,[1]stages!$2:$2,0)-MATCH("temp_stage",[1]stages!$2:$2,0)+1,FALSE)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68" s="4" t="str">
        <f ca="1">VLOOKUP($C68&amp;"_"&amp;$F68,OFFSET([1]stages!$A$1,0,0,COUNTA([1]stages!$A:$A),MATCH(H$1,[1]stages!$2:$2,0)-MATCH("temp_stage",[1]stages!$2:$2,0)+1),MATCH(H$1,[1]stages!$2:$2,0)-MATCH("temp_stage",[1]stages!$2:$2,0)+1,FALSE)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68" s="19">
        <v>0</v>
      </c>
      <c r="J68">
        <v>32</v>
      </c>
      <c r="K68" s="6" t="s">
        <v>17</v>
      </c>
      <c r="L68" s="36" t="str">
        <f>VLOOKUP(J68,[2]stage_hints!$A:$C,3,FALSE)</f>
        <v>連続攻撃をしてくる敵には</v>
      </c>
      <c r="M68" s="37" t="str">
        <f>VLOOKUP(J68,[2]stage_hints!$A:$D,4,FALSE)</f>
        <v>敵の連続攻撃には「カウンター」スキルが有効！_x000D_ダメージ回数分の攻撃を返せます</v>
      </c>
      <c r="N68" s="22" t="s">
        <v>24</v>
      </c>
      <c r="O68">
        <v>32</v>
      </c>
    </row>
    <row r="69" spans="1:15">
      <c r="A69" s="29" t="e">
        <f>C69&amp;"_"&amp;F69&amp;"_"&amp;#REF!</f>
        <v>#REF!</v>
      </c>
      <c r="B69" s="27" t="s">
        <v>33</v>
      </c>
      <c r="C69" s="5">
        <v>30014</v>
      </c>
      <c r="D69" s="4" t="str">
        <f ca="1">VLOOKUP($C69,OFFSET([1]quests!$A$1,0,0,COUNTA([1]quests!$A:$A),MATCH(D$1,[1]quests!$1:$1,0)-MATCH($C$1,[1]quests!$1:$1,0)+1),MATCH(D$1,[1]quests!$1:$1,0)-MATCH($C$1,[1]quests!$1:$1,0)+1,FALSE)</f>
        <v>親指を突き立てろ！</v>
      </c>
      <c r="E69" s="4" t="str">
        <f ca="1">VLOOKUP($C69,OFFSET([1]quests!$A$1,0,0,COUNTA([1]quests!$A:$A),MATCH(E$1,[1]quests!$1:$1,0)-MATCH($C$1,[1]quests!$1:$1,0)+1),MATCH(E$1,[1]quests!$1:$1,0)-MATCH($C$1,[1]quests!$1:$1,0)+1,FALSE)</f>
        <v>ドロップイベント4（マルチ専用）</v>
      </c>
      <c r="F69" s="6">
        <v>2</v>
      </c>
      <c r="G69" s="4" t="str">
        <f ca="1">VLOOKUP($C69&amp;"_"&amp;$F69,OFFSET([1]stages!$A$1,0,0,COUNTA([1]stages!$A:$A),MATCH(G$1,[1]stages!$2:$2,0)-MATCH("temp_stage",[1]stages!$2:$2,0)+1),MATCH(G$1,[1]stages!$2:$2,0)-MATCH("temp_stage",[1]stages!$2:$2,0)+1,FALSE)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69" s="4" t="str">
        <f ca="1">VLOOKUP($C69&amp;"_"&amp;$F69,OFFSET([1]stages!$A$1,0,0,COUNTA([1]stages!$A:$A),MATCH(H$1,[1]stages!$2:$2,0)-MATCH("temp_stage",[1]stages!$2:$2,0)+1),MATCH(H$1,[1]stages!$2:$2,0)-MATCH("temp_stage",[1]stages!$2:$2,0)+1,FALSE)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69" s="19">
        <v>0</v>
      </c>
      <c r="J69">
        <v>33</v>
      </c>
      <c r="K69" s="6" t="s">
        <v>17</v>
      </c>
      <c r="L69" s="36" t="str">
        <f>VLOOKUP(J69,[2]stage_hints!$A:$C,3,FALSE)</f>
        <v>カウンターブレイク！</v>
      </c>
      <c r="M69" s="37" t="str">
        <f>VLOOKUP(J69,[2]stage_hints!$A:$D,4,FALSE)</f>
        <v>敵のカウンターには「カウンターブレイク」！_x000D_カウンターを解除して攻撃をしかけましょう</v>
      </c>
      <c r="N69" s="22" t="s">
        <v>24</v>
      </c>
      <c r="O69">
        <v>33</v>
      </c>
    </row>
    <row r="70" spans="1:15">
      <c r="A70" s="29" t="e">
        <f>C70&amp;"_"&amp;F70&amp;"_"&amp;#REF!</f>
        <v>#REF!</v>
      </c>
      <c r="B70" s="27" t="s">
        <v>33</v>
      </c>
      <c r="C70" s="5">
        <v>30014</v>
      </c>
      <c r="D70" s="4" t="str">
        <f ca="1">VLOOKUP($C70,OFFSET([1]quests!$A$1,0,0,COUNTA([1]quests!$A:$A),MATCH(D$1,[1]quests!$1:$1,0)-MATCH($C$1,[1]quests!$1:$1,0)+1),MATCH(D$1,[1]quests!$1:$1,0)-MATCH($C$1,[1]quests!$1:$1,0)+1,FALSE)</f>
        <v>親指を突き立てろ！</v>
      </c>
      <c r="E70" s="4" t="str">
        <f ca="1">VLOOKUP($C70,OFFSET([1]quests!$A$1,0,0,COUNTA([1]quests!$A:$A),MATCH(E$1,[1]quests!$1:$1,0)-MATCH($C$1,[1]quests!$1:$1,0)+1),MATCH(E$1,[1]quests!$1:$1,0)-MATCH($C$1,[1]quests!$1:$1,0)+1,FALSE)</f>
        <v>ドロップイベント4（マルチ専用）</v>
      </c>
      <c r="F70" s="6">
        <v>2</v>
      </c>
      <c r="G70" s="4" t="str">
        <f ca="1">VLOOKUP($C70&amp;"_"&amp;$F70,OFFSET([1]stages!$A$1,0,0,COUNTA([1]stages!$A:$A),MATCH(G$1,[1]stages!$2:$2,0)-MATCH("temp_stage",[1]stages!$2:$2,0)+1),MATCH(G$1,[1]stages!$2:$2,0)-MATCH("temp_stage",[1]stages!$2:$2,0)+1,FALSE)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70" s="4" t="str">
        <f ca="1">VLOOKUP($C70&amp;"_"&amp;$F70,OFFSET([1]stages!$A$1,0,0,COUNTA([1]stages!$A:$A),MATCH(H$1,[1]stages!$2:$2,0)-MATCH("temp_stage",[1]stages!$2:$2,0)+1),MATCH(H$1,[1]stages!$2:$2,0)-MATCH("temp_stage",[1]stages!$2:$2,0)+1,FALSE)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70" s="19">
        <v>0</v>
      </c>
      <c r="J70">
        <v>34</v>
      </c>
      <c r="K70" s="6" t="s">
        <v>17</v>
      </c>
      <c r="L70" s="36" t="str">
        <f>VLOOKUP(J70,[2]stage_hints!$A:$C,3,FALSE)</f>
        <v>敵のDOWNを上書きしよう！</v>
      </c>
      <c r="M70" s="37" t="str">
        <f>VLOOKUP(J70,[2]stage_hints!$A:$D,4,FALSE)</f>
        <v>攻撃力ダウンを受けたときは_x000D_攻撃力アップスキルで効果を上書きできます</v>
      </c>
      <c r="N70" s="22" t="s">
        <v>24</v>
      </c>
      <c r="O70">
        <v>34</v>
      </c>
    </row>
    <row r="71" spans="1:15">
      <c r="A71" s="29" t="e">
        <f>C71&amp;"_"&amp;F71&amp;"_"&amp;#REF!</f>
        <v>#REF!</v>
      </c>
      <c r="B71" s="27" t="s">
        <v>33</v>
      </c>
      <c r="C71" s="5">
        <v>30014</v>
      </c>
      <c r="D71" s="4" t="str">
        <f ca="1">VLOOKUP($C71,OFFSET([1]quests!$A$1,0,0,COUNTA([1]quests!$A:$A),MATCH(D$1,[1]quests!$1:$1,0)-MATCH($C$1,[1]quests!$1:$1,0)+1),MATCH(D$1,[1]quests!$1:$1,0)-MATCH($C$1,[1]quests!$1:$1,0)+1,FALSE)</f>
        <v>親指を突き立てろ！</v>
      </c>
      <c r="E71" s="4" t="str">
        <f ca="1">VLOOKUP($C71,OFFSET([1]quests!$A$1,0,0,COUNTA([1]quests!$A:$A),MATCH(E$1,[1]quests!$1:$1,0)-MATCH($C$1,[1]quests!$1:$1,0)+1),MATCH(E$1,[1]quests!$1:$1,0)-MATCH($C$1,[1]quests!$1:$1,0)+1,FALSE)</f>
        <v>ドロップイベント4（マルチ専用）</v>
      </c>
      <c r="F71" s="6">
        <v>2</v>
      </c>
      <c r="G71" s="4" t="str">
        <f ca="1">VLOOKUP($C71&amp;"_"&amp;$F71,OFFSET([1]stages!$A$1,0,0,COUNTA([1]stages!$A:$A),MATCH(G$1,[1]stages!$2:$2,0)-MATCH("temp_stage",[1]stages!$2:$2,0)+1),MATCH(G$1,[1]stages!$2:$2,0)-MATCH("temp_stage",[1]stages!$2:$2,0)+1,FALSE)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71" s="4" t="str">
        <f ca="1">VLOOKUP($C71&amp;"_"&amp;$F71,OFFSET([1]stages!$A$1,0,0,COUNTA([1]stages!$A:$A),MATCH(H$1,[1]stages!$2:$2,0)-MATCH("temp_stage",[1]stages!$2:$2,0)+1),MATCH(H$1,[1]stages!$2:$2,0)-MATCH("temp_stage",[1]stages!$2:$2,0)+1,FALSE)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71" s="19">
        <v>0</v>
      </c>
      <c r="J71">
        <v>35</v>
      </c>
      <c r="K71" s="6" t="s">
        <v>17</v>
      </c>
      <c r="L71" s="36" t="str">
        <f>VLOOKUP(J71,[2]stage_hints!$A:$C,3,FALSE)</f>
        <v>敵のUPを上書きしよう！</v>
      </c>
      <c r="M71" s="37" t="str">
        <f>VLOOKUP(J71,[2]stage_hints!$A:$D,4,FALSE)</f>
        <v>敵の攻撃力がアップしたときは_x000D_攻撃力ダウンスキルで効果を上書きできます</v>
      </c>
      <c r="N71" s="22" t="s">
        <v>24</v>
      </c>
      <c r="O71">
        <v>35</v>
      </c>
    </row>
    <row r="72" spans="1:15">
      <c r="A72" s="29" t="e">
        <f>C72&amp;"_"&amp;F72&amp;"_"&amp;#REF!</f>
        <v>#REF!</v>
      </c>
      <c r="B72" s="27" t="s">
        <v>33</v>
      </c>
      <c r="C72" s="5">
        <v>30014</v>
      </c>
      <c r="D72" s="4" t="str">
        <f ca="1">VLOOKUP($C72,OFFSET([1]quests!$A$1,0,0,COUNTA([1]quests!$A:$A),MATCH(D$1,[1]quests!$1:$1,0)-MATCH($C$1,[1]quests!$1:$1,0)+1),MATCH(D$1,[1]quests!$1:$1,0)-MATCH($C$1,[1]quests!$1:$1,0)+1,FALSE)</f>
        <v>親指を突き立てろ！</v>
      </c>
      <c r="E72" s="4" t="str">
        <f ca="1">VLOOKUP($C72,OFFSET([1]quests!$A$1,0,0,COUNTA([1]quests!$A:$A),MATCH(E$1,[1]quests!$1:$1,0)-MATCH($C$1,[1]quests!$1:$1,0)+1),MATCH(E$1,[1]quests!$1:$1,0)-MATCH($C$1,[1]quests!$1:$1,0)+1,FALSE)</f>
        <v>ドロップイベント4（マルチ専用）</v>
      </c>
      <c r="F72" s="6">
        <v>2</v>
      </c>
      <c r="G72" s="4" t="str">
        <f ca="1">VLOOKUP($C72&amp;"_"&amp;$F72,OFFSET([1]stages!$A$1,0,0,COUNTA([1]stages!$A:$A),MATCH(G$1,[1]stages!$2:$2,0)-MATCH("temp_stage",[1]stages!$2:$2,0)+1),MATCH(G$1,[1]stages!$2:$2,0)-MATCH("temp_stage",[1]stages!$2:$2,0)+1,FALSE)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72" s="4" t="str">
        <f ca="1">VLOOKUP($C72&amp;"_"&amp;$F72,OFFSET([1]stages!$A$1,0,0,COUNTA([1]stages!$A:$A),MATCH(H$1,[1]stages!$2:$2,0)-MATCH("temp_stage",[1]stages!$2:$2,0)+1),MATCH(H$1,[1]stages!$2:$2,0)-MATCH("temp_stage",[1]stages!$2:$2,0)+1,FALSE)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72" s="19">
        <v>0</v>
      </c>
      <c r="J72">
        <v>36</v>
      </c>
      <c r="K72" s="6" t="s">
        <v>17</v>
      </c>
      <c r="L72" s="36" t="str">
        <f>VLOOKUP(J72,[2]stage_hints!$A:$C,3,FALSE)</f>
        <v>チャレンジタワーのボス</v>
      </c>
      <c r="M72" s="37" t="str">
        <f>VLOOKUP(J72,[2]stage_hints!$A:$D,4,FALSE)</f>
        <v>チャレンジタワー15F、20F、25Fのボスは_x000D_一定確率でドロップするようです</v>
      </c>
      <c r="N72" s="22" t="s">
        <v>24</v>
      </c>
      <c r="O72">
        <v>36</v>
      </c>
    </row>
    <row r="73" spans="1:15">
      <c r="A73" s="29" t="e">
        <f>C73&amp;"_"&amp;F73&amp;"_"&amp;#REF!</f>
        <v>#REF!</v>
      </c>
      <c r="B73" s="27" t="s">
        <v>33</v>
      </c>
      <c r="C73" s="5">
        <v>30014</v>
      </c>
      <c r="D73" s="4" t="str">
        <f ca="1">VLOOKUP($C73,OFFSET([1]quests!$A$1,0,0,COUNTA([1]quests!$A:$A),MATCH(D$1,[1]quests!$1:$1,0)-MATCH($C$1,[1]quests!$1:$1,0)+1),MATCH(D$1,[1]quests!$1:$1,0)-MATCH($C$1,[1]quests!$1:$1,0)+1,FALSE)</f>
        <v>親指を突き立てろ！</v>
      </c>
      <c r="E73" s="4" t="str">
        <f ca="1">VLOOKUP($C73,OFFSET([1]quests!$A$1,0,0,COUNTA([1]quests!$A:$A),MATCH(E$1,[1]quests!$1:$1,0)-MATCH($C$1,[1]quests!$1:$1,0)+1),MATCH(E$1,[1]quests!$1:$1,0)-MATCH($C$1,[1]quests!$1:$1,0)+1,FALSE)</f>
        <v>ドロップイベント4（マルチ専用）</v>
      </c>
      <c r="F73" s="6">
        <v>2</v>
      </c>
      <c r="G73" s="4" t="str">
        <f ca="1">VLOOKUP($C73&amp;"_"&amp;$F73,OFFSET([1]stages!$A$1,0,0,COUNTA([1]stages!$A:$A),MATCH(G$1,[1]stages!$2:$2,0)-MATCH("temp_stage",[1]stages!$2:$2,0)+1),MATCH(G$1,[1]stages!$2:$2,0)-MATCH("temp_stage",[1]stages!$2:$2,0)+1,FALSE)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73" s="4" t="str">
        <f ca="1">VLOOKUP($C73&amp;"_"&amp;$F73,OFFSET([1]stages!$A$1,0,0,COUNTA([1]stages!$A:$A),MATCH(H$1,[1]stages!$2:$2,0)-MATCH("temp_stage",[1]stages!$2:$2,0)+1),MATCH(H$1,[1]stages!$2:$2,0)-MATCH("temp_stage",[1]stages!$2:$2,0)+1,FALSE)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73" s="19">
        <v>0</v>
      </c>
      <c r="J73">
        <v>37</v>
      </c>
      <c r="K73" s="6" t="s">
        <v>17</v>
      </c>
      <c r="L73" s="36" t="str">
        <f>VLOOKUP(J73,[2]stage_hints!$A:$C,3,FALSE)</f>
        <v>限界突破の引継</v>
      </c>
      <c r="M73" s="37" t="str">
        <f>VLOOKUP(J73,[2]stage_hints!$A:$D,4,FALSE)</f>
        <v>限界突破の+値は同じユニットなら_x000D_覚醒前後でも強化で引き継がれます</v>
      </c>
      <c r="N73" s="22" t="s">
        <v>24</v>
      </c>
      <c r="O73">
        <v>37</v>
      </c>
    </row>
    <row r="74" spans="1:15">
      <c r="A74" s="29" t="e">
        <f>C74&amp;"_"&amp;F74&amp;"_"&amp;#REF!</f>
        <v>#REF!</v>
      </c>
      <c r="B74" s="27" t="s">
        <v>33</v>
      </c>
      <c r="C74" s="5">
        <v>30015</v>
      </c>
      <c r="D74" s="4" t="str">
        <f ca="1">VLOOKUP($C74,OFFSET([1]quests!$A$1,0,0,COUNTA([1]quests!$A:$A),MATCH(D$1,[1]quests!$1:$1,0)-MATCH($C$1,[1]quests!$1:$1,0)+1),MATCH(D$1,[1]quests!$1:$1,0)-MATCH($C$1,[1]quests!$1:$1,0)+1,FALSE)</f>
        <v>兄妹の大冒険</v>
      </c>
      <c r="E74" s="4" t="str">
        <f ca="1">VLOOKUP($C74,OFFSET([1]quests!$A$1,0,0,COUNTA([1]quests!$A:$A),MATCH(E$1,[1]quests!$1:$1,0)-MATCH($C$1,[1]quests!$1:$1,0)+1),MATCH(E$1,[1]quests!$1:$1,0)-MATCH($C$1,[1]quests!$1:$1,0)+1,FALSE)</f>
        <v>ドロップイベント4（マルチ専用）</v>
      </c>
      <c r="F74" s="6">
        <v>2</v>
      </c>
      <c r="G74" s="4" t="str">
        <f ca="1">VLOOKUP($C74&amp;"_"&amp;$F74,OFFSET([1]stages!$A$1,0,0,COUNTA([1]stages!$A:$A),MATCH(G$1,[1]stages!$2:$2,0)-MATCH("temp_stage",[1]stages!$2:$2,0)+1),MATCH(G$1,[1]stages!$2:$2,0)-MATCH("temp_stage",[1]stages!$2:$2,0)+1,FALSE)</f>
        <v>【超絶級】兄妹の大冒険</v>
      </c>
      <c r="H74" s="4" t="str">
        <f ca="1">VLOOKUP($C74&amp;"_"&amp;$F74,OFFSET([1]stages!$A$1,0,0,COUNTA([1]stages!$A:$A),MATCH(H$1,[1]stages!$2:$2,0)-MATCH("temp_stage",[1]stages!$2:$2,0)+1),MATCH(H$1,[1]stages!$2:$2,0)-MATCH("temp_stage",[1]stages!$2:$2,0)+1,FALSE)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74" s="19">
        <v>0</v>
      </c>
      <c r="J74">
        <v>12</v>
      </c>
      <c r="K74" s="6" t="s">
        <v>17</v>
      </c>
      <c r="L74" s="36" t="str">
        <f>VLOOKUP(J74,[2]stage_hints!$A:$C,3,FALSE)</f>
        <v>お気に入り登録</v>
      </c>
      <c r="M74" s="37" t="str">
        <f>VLOOKUP(J74,[2]stage_hints!$A:$D,4,FALSE)</f>
        <v>大事なユニットは_x000D_フォルダから「お気に入り登録」しましょう</v>
      </c>
      <c r="N74" s="22" t="s">
        <v>24</v>
      </c>
      <c r="O74">
        <v>12</v>
      </c>
    </row>
    <row r="75" spans="1:15">
      <c r="A75" s="29" t="e">
        <f>C75&amp;"_"&amp;F75&amp;"_"&amp;#REF!</f>
        <v>#REF!</v>
      </c>
      <c r="B75" s="27" t="s">
        <v>33</v>
      </c>
      <c r="C75" s="5">
        <v>30015</v>
      </c>
      <c r="D75" s="4" t="str">
        <f ca="1">VLOOKUP($C75,OFFSET([1]quests!$A$1,0,0,COUNTA([1]quests!$A:$A),MATCH(D$1,[1]quests!$1:$1,0)-MATCH($C$1,[1]quests!$1:$1,0)+1),MATCH(D$1,[1]quests!$1:$1,0)-MATCH($C$1,[1]quests!$1:$1,0)+1,FALSE)</f>
        <v>兄妹の大冒険</v>
      </c>
      <c r="E75" s="4" t="str">
        <f ca="1">VLOOKUP($C75,OFFSET([1]quests!$A$1,0,0,COUNTA([1]quests!$A:$A),MATCH(E$1,[1]quests!$1:$1,0)-MATCH($C$1,[1]quests!$1:$1,0)+1),MATCH(E$1,[1]quests!$1:$1,0)-MATCH($C$1,[1]quests!$1:$1,0)+1,FALSE)</f>
        <v>ドロップイベント4（マルチ専用）</v>
      </c>
      <c r="F75" s="6">
        <v>2</v>
      </c>
      <c r="G75" s="4" t="str">
        <f ca="1">VLOOKUP($C75&amp;"_"&amp;$F75,OFFSET([1]stages!$A$1,0,0,COUNTA([1]stages!$A:$A),MATCH(G$1,[1]stages!$2:$2,0)-MATCH("temp_stage",[1]stages!$2:$2,0)+1),MATCH(G$1,[1]stages!$2:$2,0)-MATCH("temp_stage",[1]stages!$2:$2,0)+1,FALSE)</f>
        <v>【超絶級】兄妹の大冒険</v>
      </c>
      <c r="H75" s="4" t="str">
        <f ca="1">VLOOKUP($C75&amp;"_"&amp;$F75,OFFSET([1]stages!$A$1,0,0,COUNTA([1]stages!$A:$A),MATCH(H$1,[1]stages!$2:$2,0)-MATCH("temp_stage",[1]stages!$2:$2,0)+1),MATCH(H$1,[1]stages!$2:$2,0)-MATCH("temp_stage",[1]stages!$2:$2,0)+1,FALSE)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75" s="19">
        <v>0</v>
      </c>
      <c r="J75">
        <v>17</v>
      </c>
      <c r="K75" s="6" t="s">
        <v>17</v>
      </c>
      <c r="L75" s="36" t="str">
        <f>VLOOKUP(J75,[2]stage_hints!$A:$C,3,FALSE)</f>
        <v>リンクガチャを引いてみよう</v>
      </c>
      <c r="M75" s="37" t="str">
        <f>VLOOKUP(J75,[2]stage_hints!$A:$D,4,FALSE)</f>
        <v>リンクガチャを回して_x000D_メタルダックやゴールドダックを獲得しましょう</v>
      </c>
      <c r="N75" s="22" t="s">
        <v>24</v>
      </c>
      <c r="O75">
        <v>17</v>
      </c>
    </row>
    <row r="76" spans="1:15">
      <c r="A76" s="29" t="e">
        <f>C76&amp;"_"&amp;F76&amp;"_"&amp;#REF!</f>
        <v>#REF!</v>
      </c>
      <c r="B76" s="27" t="s">
        <v>33</v>
      </c>
      <c r="C76" s="5">
        <v>30015</v>
      </c>
      <c r="D76" s="4" t="str">
        <f ca="1">VLOOKUP($C76,OFFSET([1]quests!$A$1,0,0,COUNTA([1]quests!$A:$A),MATCH(D$1,[1]quests!$1:$1,0)-MATCH($C$1,[1]quests!$1:$1,0)+1),MATCH(D$1,[1]quests!$1:$1,0)-MATCH($C$1,[1]quests!$1:$1,0)+1,FALSE)</f>
        <v>兄妹の大冒険</v>
      </c>
      <c r="E76" s="4" t="str">
        <f ca="1">VLOOKUP($C76,OFFSET([1]quests!$A$1,0,0,COUNTA([1]quests!$A:$A),MATCH(E$1,[1]quests!$1:$1,0)-MATCH($C$1,[1]quests!$1:$1,0)+1),MATCH(E$1,[1]quests!$1:$1,0)-MATCH($C$1,[1]quests!$1:$1,0)+1,FALSE)</f>
        <v>ドロップイベント4（マルチ専用）</v>
      </c>
      <c r="F76" s="6">
        <v>2</v>
      </c>
      <c r="G76" s="4" t="str">
        <f ca="1">VLOOKUP($C76&amp;"_"&amp;$F76,OFFSET([1]stages!$A$1,0,0,COUNTA([1]stages!$A:$A),MATCH(G$1,[1]stages!$2:$2,0)-MATCH("temp_stage",[1]stages!$2:$2,0)+1),MATCH(G$1,[1]stages!$2:$2,0)-MATCH("temp_stage",[1]stages!$2:$2,0)+1,FALSE)</f>
        <v>【超絶級】兄妹の大冒険</v>
      </c>
      <c r="H76" s="4" t="str">
        <f ca="1">VLOOKUP($C76&amp;"_"&amp;$F76,OFFSET([1]stages!$A$1,0,0,COUNTA([1]stages!$A:$A),MATCH(H$1,[1]stages!$2:$2,0)-MATCH("temp_stage",[1]stages!$2:$2,0)+1),MATCH(H$1,[1]stages!$2:$2,0)-MATCH("temp_stage",[1]stages!$2:$2,0)+1,FALSE)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76" s="19">
        <v>0</v>
      </c>
      <c r="J76">
        <v>19</v>
      </c>
      <c r="K76" s="6" t="s">
        <v>17</v>
      </c>
      <c r="L76" s="36" t="str">
        <f>VLOOKUP(J76,[2]stage_hints!$A:$C,3,FALSE)</f>
        <v>チャレンジタワー</v>
      </c>
      <c r="M76" s="37" t="str">
        <f>VLOOKUP(J76,[2]stage_hints!$A:$D,4,FALSE)</f>
        <v>「チャレンジタワー」をクリアすると_x000D_各フロアごとに報酬がもらえます</v>
      </c>
      <c r="N76" s="22" t="s">
        <v>24</v>
      </c>
      <c r="O76">
        <v>19</v>
      </c>
    </row>
    <row r="77" spans="1:15">
      <c r="A77" s="29" t="e">
        <f>C77&amp;"_"&amp;F77&amp;"_"&amp;#REF!</f>
        <v>#REF!</v>
      </c>
      <c r="B77" s="27" t="s">
        <v>33</v>
      </c>
      <c r="C77" s="5">
        <v>30015</v>
      </c>
      <c r="D77" s="4" t="str">
        <f ca="1">VLOOKUP($C77,OFFSET([1]quests!$A$1,0,0,COUNTA([1]quests!$A:$A),MATCH(D$1,[1]quests!$1:$1,0)-MATCH($C$1,[1]quests!$1:$1,0)+1),MATCH(D$1,[1]quests!$1:$1,0)-MATCH($C$1,[1]quests!$1:$1,0)+1,FALSE)</f>
        <v>兄妹の大冒険</v>
      </c>
      <c r="E77" s="4" t="str">
        <f ca="1">VLOOKUP($C77,OFFSET([1]quests!$A$1,0,0,COUNTA([1]quests!$A:$A),MATCH(E$1,[1]quests!$1:$1,0)-MATCH($C$1,[1]quests!$1:$1,0)+1),MATCH(E$1,[1]quests!$1:$1,0)-MATCH($C$1,[1]quests!$1:$1,0)+1,FALSE)</f>
        <v>ドロップイベント4（マルチ専用）</v>
      </c>
      <c r="F77" s="6">
        <v>2</v>
      </c>
      <c r="G77" s="4" t="str">
        <f ca="1">VLOOKUP($C77&amp;"_"&amp;$F77,OFFSET([1]stages!$A$1,0,0,COUNTA([1]stages!$A:$A),MATCH(G$1,[1]stages!$2:$2,0)-MATCH("temp_stage",[1]stages!$2:$2,0)+1),MATCH(G$1,[1]stages!$2:$2,0)-MATCH("temp_stage",[1]stages!$2:$2,0)+1,FALSE)</f>
        <v>【超絶級】兄妹の大冒険</v>
      </c>
      <c r="H77" s="4" t="str">
        <f ca="1">VLOOKUP($C77&amp;"_"&amp;$F77,OFFSET([1]stages!$A$1,0,0,COUNTA([1]stages!$A:$A),MATCH(H$1,[1]stages!$2:$2,0)-MATCH("temp_stage",[1]stages!$2:$2,0)+1),MATCH(H$1,[1]stages!$2:$2,0)-MATCH("temp_stage",[1]stages!$2:$2,0)+1,FALSE)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77" s="19">
        <v>0</v>
      </c>
      <c r="J77">
        <v>21</v>
      </c>
      <c r="K77" s="6" t="s">
        <v>17</v>
      </c>
      <c r="L77" s="36" t="str">
        <f>VLOOKUP(J77,[2]stage_hints!$A:$C,3,FALSE)</f>
        <v>スキルを有効に使おう</v>
      </c>
      <c r="M77" s="37" t="str">
        <f>VLOOKUP(J77,[2]stage_hints!$A:$D,4,FALSE)</f>
        <v>ターン経過でユニットは_x000D_強力なスキルが使えるようになります</v>
      </c>
      <c r="N77" s="22" t="s">
        <v>24</v>
      </c>
      <c r="O77">
        <v>21</v>
      </c>
    </row>
    <row r="78" spans="1:15">
      <c r="A78" s="29" t="e">
        <f>C78&amp;"_"&amp;F78&amp;"_"&amp;#REF!</f>
        <v>#REF!</v>
      </c>
      <c r="B78" s="27" t="s">
        <v>33</v>
      </c>
      <c r="C78" s="5">
        <v>30015</v>
      </c>
      <c r="D78" s="4" t="str">
        <f ca="1">VLOOKUP($C78,OFFSET([1]quests!$A$1,0,0,COUNTA([1]quests!$A:$A),MATCH(D$1,[1]quests!$1:$1,0)-MATCH($C$1,[1]quests!$1:$1,0)+1),MATCH(D$1,[1]quests!$1:$1,0)-MATCH($C$1,[1]quests!$1:$1,0)+1,FALSE)</f>
        <v>兄妹の大冒険</v>
      </c>
      <c r="E78" s="4" t="str">
        <f ca="1">VLOOKUP($C78,OFFSET([1]quests!$A$1,0,0,COUNTA([1]quests!$A:$A),MATCH(E$1,[1]quests!$1:$1,0)-MATCH($C$1,[1]quests!$1:$1,0)+1),MATCH(E$1,[1]quests!$1:$1,0)-MATCH($C$1,[1]quests!$1:$1,0)+1,FALSE)</f>
        <v>ドロップイベント4（マルチ専用）</v>
      </c>
      <c r="F78" s="6">
        <v>2</v>
      </c>
      <c r="G78" s="4" t="str">
        <f ca="1">VLOOKUP($C78&amp;"_"&amp;$F78,OFFSET([1]stages!$A$1,0,0,COUNTA([1]stages!$A:$A),MATCH(G$1,[1]stages!$2:$2,0)-MATCH("temp_stage",[1]stages!$2:$2,0)+1),MATCH(G$1,[1]stages!$2:$2,0)-MATCH("temp_stage",[1]stages!$2:$2,0)+1,FALSE)</f>
        <v>【超絶級】兄妹の大冒険</v>
      </c>
      <c r="H78" s="4" t="str">
        <f ca="1">VLOOKUP($C78&amp;"_"&amp;$F78,OFFSET([1]stages!$A$1,0,0,COUNTA([1]stages!$A:$A),MATCH(H$1,[1]stages!$2:$2,0)-MATCH("temp_stage",[1]stages!$2:$2,0)+1),MATCH(H$1,[1]stages!$2:$2,0)-MATCH("temp_stage",[1]stages!$2:$2,0)+1,FALSE)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78" s="19">
        <v>0</v>
      </c>
      <c r="J78">
        <v>29</v>
      </c>
      <c r="K78" s="6" t="s">
        <v>17</v>
      </c>
      <c r="L78" s="36" t="str">
        <f>VLOOKUP(J78,[2]stage_hints!$A:$C,3,FALSE)</f>
        <v>ステータスのバグって何？</v>
      </c>
      <c r="M78" s="37" t="str">
        <f>VLOOKUP(J78,[2]stage_hints!$A:$D,4,FALSE)</f>
        <v>「バグ」を上げると_x000D_報酬をもらえる確率がアップします</v>
      </c>
      <c r="N78" s="22" t="s">
        <v>24</v>
      </c>
      <c r="O78">
        <v>29</v>
      </c>
    </row>
    <row r="79" spans="1:15">
      <c r="A79" s="29" t="e">
        <f>C79&amp;"_"&amp;F79&amp;"_"&amp;#REF!</f>
        <v>#REF!</v>
      </c>
      <c r="B79" s="27" t="s">
        <v>33</v>
      </c>
      <c r="C79" s="5">
        <v>30015</v>
      </c>
      <c r="D79" s="4" t="str">
        <f ca="1">VLOOKUP($C79,OFFSET([1]quests!$A$1,0,0,COUNTA([1]quests!$A:$A),MATCH(D$1,[1]quests!$1:$1,0)-MATCH($C$1,[1]quests!$1:$1,0)+1),MATCH(D$1,[1]quests!$1:$1,0)-MATCH($C$1,[1]quests!$1:$1,0)+1,FALSE)</f>
        <v>兄妹の大冒険</v>
      </c>
      <c r="E79" s="4" t="str">
        <f ca="1">VLOOKUP($C79,OFFSET([1]quests!$A$1,0,0,COUNTA([1]quests!$A:$A),MATCH(E$1,[1]quests!$1:$1,0)-MATCH($C$1,[1]quests!$1:$1,0)+1),MATCH(E$1,[1]quests!$1:$1,0)-MATCH($C$1,[1]quests!$1:$1,0)+1,FALSE)</f>
        <v>ドロップイベント4（マルチ専用）</v>
      </c>
      <c r="F79" s="6">
        <v>2</v>
      </c>
      <c r="G79" s="4" t="str">
        <f ca="1">VLOOKUP($C79&amp;"_"&amp;$F79,OFFSET([1]stages!$A$1,0,0,COUNTA([1]stages!$A:$A),MATCH(G$1,[1]stages!$2:$2,0)-MATCH("temp_stage",[1]stages!$2:$2,0)+1),MATCH(G$1,[1]stages!$2:$2,0)-MATCH("temp_stage",[1]stages!$2:$2,0)+1,FALSE)</f>
        <v>【超絶級】兄妹の大冒険</v>
      </c>
      <c r="H79" s="4" t="str">
        <f ca="1">VLOOKUP($C79&amp;"_"&amp;$F79,OFFSET([1]stages!$A$1,0,0,COUNTA([1]stages!$A:$A),MATCH(H$1,[1]stages!$2:$2,0)-MATCH("temp_stage",[1]stages!$2:$2,0)+1),MATCH(H$1,[1]stages!$2:$2,0)-MATCH("temp_stage",[1]stages!$2:$2,0)+1,FALSE)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79" s="19">
        <v>0</v>
      </c>
      <c r="J79">
        <v>30</v>
      </c>
      <c r="K79" s="6" t="s">
        <v>17</v>
      </c>
      <c r="L79" s="36" t="str">
        <f>VLOOKUP(J79,[2]stage_hints!$A:$C,3,FALSE)</f>
        <v>ステータスのバグを増やす方法</v>
      </c>
      <c r="M79" s="37" t="str">
        <f>VLOOKUP(J79,[2]stage_hints!$A:$D,4,FALSE)</f>
        <v>同じユニット同士を強化すると_x000D_「バグ」を増やすことができます</v>
      </c>
      <c r="N79" s="22" t="s">
        <v>24</v>
      </c>
      <c r="O79">
        <v>30</v>
      </c>
    </row>
    <row r="80" spans="1:15">
      <c r="A80" s="29" t="e">
        <f>C80&amp;"_"&amp;F80&amp;"_"&amp;#REF!</f>
        <v>#REF!</v>
      </c>
      <c r="B80" s="27" t="s">
        <v>33</v>
      </c>
      <c r="C80" s="5">
        <v>30015</v>
      </c>
      <c r="D80" s="4" t="str">
        <f ca="1">VLOOKUP($C80,OFFSET([1]quests!$A$1,0,0,COUNTA([1]quests!$A:$A),MATCH(D$1,[1]quests!$1:$1,0)-MATCH($C$1,[1]quests!$1:$1,0)+1),MATCH(D$1,[1]quests!$1:$1,0)-MATCH($C$1,[1]quests!$1:$1,0)+1,FALSE)</f>
        <v>兄妹の大冒険</v>
      </c>
      <c r="E80" s="4" t="str">
        <f ca="1">VLOOKUP($C80,OFFSET([1]quests!$A$1,0,0,COUNTA([1]quests!$A:$A),MATCH(E$1,[1]quests!$1:$1,0)-MATCH($C$1,[1]quests!$1:$1,0)+1),MATCH(E$1,[1]quests!$1:$1,0)-MATCH($C$1,[1]quests!$1:$1,0)+1,FALSE)</f>
        <v>ドロップイベント4（マルチ専用）</v>
      </c>
      <c r="F80" s="6">
        <v>2</v>
      </c>
      <c r="G80" s="4" t="str">
        <f ca="1">VLOOKUP($C80&amp;"_"&amp;$F80,OFFSET([1]stages!$A$1,0,0,COUNTA([1]stages!$A:$A),MATCH(G$1,[1]stages!$2:$2,0)-MATCH("temp_stage",[1]stages!$2:$2,0)+1),MATCH(G$1,[1]stages!$2:$2,0)-MATCH("temp_stage",[1]stages!$2:$2,0)+1,FALSE)</f>
        <v>【超絶級】兄妹の大冒険</v>
      </c>
      <c r="H80" s="4" t="str">
        <f ca="1">VLOOKUP($C80&amp;"_"&amp;$F80,OFFSET([1]stages!$A$1,0,0,COUNTA([1]stages!$A:$A),MATCH(H$1,[1]stages!$2:$2,0)-MATCH("temp_stage",[1]stages!$2:$2,0)+1),MATCH(H$1,[1]stages!$2:$2,0)-MATCH("temp_stage",[1]stages!$2:$2,0)+1,FALSE)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80" s="19">
        <v>0</v>
      </c>
      <c r="J80">
        <v>32</v>
      </c>
      <c r="K80" s="6" t="s">
        <v>17</v>
      </c>
      <c r="L80" s="36" t="str">
        <f>VLOOKUP(J80,[2]stage_hints!$A:$C,3,FALSE)</f>
        <v>連続攻撃をしてくる敵には</v>
      </c>
      <c r="M80" s="37" t="str">
        <f>VLOOKUP(J80,[2]stage_hints!$A:$D,4,FALSE)</f>
        <v>敵の連続攻撃には「カウンター」スキルが有効！_x000D_ダメージ回数分の攻撃を返せます</v>
      </c>
      <c r="N80" s="22" t="s">
        <v>24</v>
      </c>
      <c r="O80">
        <v>32</v>
      </c>
    </row>
    <row r="81" spans="1:15">
      <c r="A81" s="29" t="e">
        <f>C81&amp;"_"&amp;F81&amp;"_"&amp;#REF!</f>
        <v>#REF!</v>
      </c>
      <c r="B81" s="27" t="s">
        <v>33</v>
      </c>
      <c r="C81" s="5">
        <v>30015</v>
      </c>
      <c r="D81" s="4" t="str">
        <f ca="1">VLOOKUP($C81,OFFSET([1]quests!$A$1,0,0,COUNTA([1]quests!$A:$A),MATCH(D$1,[1]quests!$1:$1,0)-MATCH($C$1,[1]quests!$1:$1,0)+1),MATCH(D$1,[1]quests!$1:$1,0)-MATCH($C$1,[1]quests!$1:$1,0)+1,FALSE)</f>
        <v>兄妹の大冒険</v>
      </c>
      <c r="E81" s="4" t="str">
        <f ca="1">VLOOKUP($C81,OFFSET([1]quests!$A$1,0,0,COUNTA([1]quests!$A:$A),MATCH(E$1,[1]quests!$1:$1,0)-MATCH($C$1,[1]quests!$1:$1,0)+1),MATCH(E$1,[1]quests!$1:$1,0)-MATCH($C$1,[1]quests!$1:$1,0)+1,FALSE)</f>
        <v>ドロップイベント4（マルチ専用）</v>
      </c>
      <c r="F81" s="6">
        <v>2</v>
      </c>
      <c r="G81" s="4" t="str">
        <f ca="1">VLOOKUP($C81&amp;"_"&amp;$F81,OFFSET([1]stages!$A$1,0,0,COUNTA([1]stages!$A:$A),MATCH(G$1,[1]stages!$2:$2,0)-MATCH("temp_stage",[1]stages!$2:$2,0)+1),MATCH(G$1,[1]stages!$2:$2,0)-MATCH("temp_stage",[1]stages!$2:$2,0)+1,FALSE)</f>
        <v>【超絶級】兄妹の大冒険</v>
      </c>
      <c r="H81" s="4" t="str">
        <f ca="1">VLOOKUP($C81&amp;"_"&amp;$F81,OFFSET([1]stages!$A$1,0,0,COUNTA([1]stages!$A:$A),MATCH(H$1,[1]stages!$2:$2,0)-MATCH("temp_stage",[1]stages!$2:$2,0)+1),MATCH(H$1,[1]stages!$2:$2,0)-MATCH("temp_stage",[1]stages!$2:$2,0)+1,FALSE)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81" s="19">
        <v>0</v>
      </c>
      <c r="J81">
        <v>33</v>
      </c>
      <c r="K81" s="6" t="s">
        <v>17</v>
      </c>
      <c r="L81" s="36" t="str">
        <f>VLOOKUP(J81,[2]stage_hints!$A:$C,3,FALSE)</f>
        <v>カウンターブレイク！</v>
      </c>
      <c r="M81" s="37" t="str">
        <f>VLOOKUP(J81,[2]stage_hints!$A:$D,4,FALSE)</f>
        <v>敵のカウンターには「カウンターブレイク」！_x000D_カウンターを解除して攻撃をしかけましょう</v>
      </c>
      <c r="N81" s="22" t="s">
        <v>24</v>
      </c>
      <c r="O81">
        <v>33</v>
      </c>
    </row>
    <row r="82" spans="1:15">
      <c r="A82" s="29" t="e">
        <f>C82&amp;"_"&amp;F82&amp;"_"&amp;#REF!</f>
        <v>#REF!</v>
      </c>
      <c r="B82" s="27" t="s">
        <v>33</v>
      </c>
      <c r="C82" s="5">
        <v>30015</v>
      </c>
      <c r="D82" s="4" t="str">
        <f ca="1">VLOOKUP($C82,OFFSET([1]quests!$A$1,0,0,COUNTA([1]quests!$A:$A),MATCH(D$1,[1]quests!$1:$1,0)-MATCH($C$1,[1]quests!$1:$1,0)+1),MATCH(D$1,[1]quests!$1:$1,0)-MATCH($C$1,[1]quests!$1:$1,0)+1,FALSE)</f>
        <v>兄妹の大冒険</v>
      </c>
      <c r="E82" s="4" t="str">
        <f ca="1">VLOOKUP($C82,OFFSET([1]quests!$A$1,0,0,COUNTA([1]quests!$A:$A),MATCH(E$1,[1]quests!$1:$1,0)-MATCH($C$1,[1]quests!$1:$1,0)+1),MATCH(E$1,[1]quests!$1:$1,0)-MATCH($C$1,[1]quests!$1:$1,0)+1,FALSE)</f>
        <v>ドロップイベント4（マルチ専用）</v>
      </c>
      <c r="F82" s="6">
        <v>2</v>
      </c>
      <c r="G82" s="4" t="str">
        <f ca="1">VLOOKUP($C82&amp;"_"&amp;$F82,OFFSET([1]stages!$A$1,0,0,COUNTA([1]stages!$A:$A),MATCH(G$1,[1]stages!$2:$2,0)-MATCH("temp_stage",[1]stages!$2:$2,0)+1),MATCH(G$1,[1]stages!$2:$2,0)-MATCH("temp_stage",[1]stages!$2:$2,0)+1,FALSE)</f>
        <v>【超絶級】兄妹の大冒険</v>
      </c>
      <c r="H82" s="4" t="str">
        <f ca="1">VLOOKUP($C82&amp;"_"&amp;$F82,OFFSET([1]stages!$A$1,0,0,COUNTA([1]stages!$A:$A),MATCH(H$1,[1]stages!$2:$2,0)-MATCH("temp_stage",[1]stages!$2:$2,0)+1),MATCH(H$1,[1]stages!$2:$2,0)-MATCH("temp_stage",[1]stages!$2:$2,0)+1,FALSE)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82" s="19">
        <v>0</v>
      </c>
      <c r="J82">
        <v>34</v>
      </c>
      <c r="K82" s="6" t="s">
        <v>17</v>
      </c>
      <c r="L82" s="36" t="str">
        <f>VLOOKUP(J82,[2]stage_hints!$A:$C,3,FALSE)</f>
        <v>敵のDOWNを上書きしよう！</v>
      </c>
      <c r="M82" s="37" t="str">
        <f>VLOOKUP(J82,[2]stage_hints!$A:$D,4,FALSE)</f>
        <v>攻撃力ダウンを受けたときは_x000D_攻撃力アップスキルで効果を上書きできます</v>
      </c>
      <c r="N82" s="22" t="s">
        <v>24</v>
      </c>
      <c r="O82">
        <v>34</v>
      </c>
    </row>
    <row r="83" spans="1:15">
      <c r="A83" s="29" t="e">
        <f>C83&amp;"_"&amp;F83&amp;"_"&amp;#REF!</f>
        <v>#REF!</v>
      </c>
      <c r="B83" s="27" t="s">
        <v>33</v>
      </c>
      <c r="C83" s="5">
        <v>30015</v>
      </c>
      <c r="D83" s="4" t="str">
        <f ca="1">VLOOKUP($C83,OFFSET([1]quests!$A$1,0,0,COUNTA([1]quests!$A:$A),MATCH(D$1,[1]quests!$1:$1,0)-MATCH($C$1,[1]quests!$1:$1,0)+1),MATCH(D$1,[1]quests!$1:$1,0)-MATCH($C$1,[1]quests!$1:$1,0)+1,FALSE)</f>
        <v>兄妹の大冒険</v>
      </c>
      <c r="E83" s="4" t="str">
        <f ca="1">VLOOKUP($C83,OFFSET([1]quests!$A$1,0,0,COUNTA([1]quests!$A:$A),MATCH(E$1,[1]quests!$1:$1,0)-MATCH($C$1,[1]quests!$1:$1,0)+1),MATCH(E$1,[1]quests!$1:$1,0)-MATCH($C$1,[1]quests!$1:$1,0)+1,FALSE)</f>
        <v>ドロップイベント4（マルチ専用）</v>
      </c>
      <c r="F83" s="6">
        <v>2</v>
      </c>
      <c r="G83" s="4" t="str">
        <f ca="1">VLOOKUP($C83&amp;"_"&amp;$F83,OFFSET([1]stages!$A$1,0,0,COUNTA([1]stages!$A:$A),MATCH(G$1,[1]stages!$2:$2,0)-MATCH("temp_stage",[1]stages!$2:$2,0)+1),MATCH(G$1,[1]stages!$2:$2,0)-MATCH("temp_stage",[1]stages!$2:$2,0)+1,FALSE)</f>
        <v>【超絶級】兄妹の大冒険</v>
      </c>
      <c r="H83" s="4" t="str">
        <f ca="1">VLOOKUP($C83&amp;"_"&amp;$F83,OFFSET([1]stages!$A$1,0,0,COUNTA([1]stages!$A:$A),MATCH(H$1,[1]stages!$2:$2,0)-MATCH("temp_stage",[1]stages!$2:$2,0)+1),MATCH(H$1,[1]stages!$2:$2,0)-MATCH("temp_stage",[1]stages!$2:$2,0)+1,FALSE)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83" s="19">
        <v>0</v>
      </c>
      <c r="J83">
        <v>35</v>
      </c>
      <c r="K83" s="6" t="s">
        <v>17</v>
      </c>
      <c r="L83" s="36" t="str">
        <f>VLOOKUP(J83,[2]stage_hints!$A:$C,3,FALSE)</f>
        <v>敵のUPを上書きしよう！</v>
      </c>
      <c r="M83" s="37" t="str">
        <f>VLOOKUP(J83,[2]stage_hints!$A:$D,4,FALSE)</f>
        <v>敵の攻撃力がアップしたときは_x000D_攻撃力ダウンスキルで効果を上書きできます</v>
      </c>
      <c r="N83" s="22" t="s">
        <v>24</v>
      </c>
      <c r="O83">
        <v>35</v>
      </c>
    </row>
    <row r="84" spans="1:15">
      <c r="A84" s="29" t="e">
        <f>C84&amp;"_"&amp;F84&amp;"_"&amp;#REF!</f>
        <v>#REF!</v>
      </c>
      <c r="B84" s="27" t="s">
        <v>33</v>
      </c>
      <c r="C84" s="5">
        <v>30015</v>
      </c>
      <c r="D84" s="4" t="str">
        <f ca="1">VLOOKUP($C84,OFFSET([1]quests!$A$1,0,0,COUNTA([1]quests!$A:$A),MATCH(D$1,[1]quests!$1:$1,0)-MATCH($C$1,[1]quests!$1:$1,0)+1),MATCH(D$1,[1]quests!$1:$1,0)-MATCH($C$1,[1]quests!$1:$1,0)+1,FALSE)</f>
        <v>兄妹の大冒険</v>
      </c>
      <c r="E84" s="4" t="str">
        <f ca="1">VLOOKUP($C84,OFFSET([1]quests!$A$1,0,0,COUNTA([1]quests!$A:$A),MATCH(E$1,[1]quests!$1:$1,0)-MATCH($C$1,[1]quests!$1:$1,0)+1),MATCH(E$1,[1]quests!$1:$1,0)-MATCH($C$1,[1]quests!$1:$1,0)+1,FALSE)</f>
        <v>ドロップイベント4（マルチ専用）</v>
      </c>
      <c r="F84" s="6">
        <v>2</v>
      </c>
      <c r="G84" s="4" t="str">
        <f ca="1">VLOOKUP($C84&amp;"_"&amp;$F84,OFFSET([1]stages!$A$1,0,0,COUNTA([1]stages!$A:$A),MATCH(G$1,[1]stages!$2:$2,0)-MATCH("temp_stage",[1]stages!$2:$2,0)+1),MATCH(G$1,[1]stages!$2:$2,0)-MATCH("temp_stage",[1]stages!$2:$2,0)+1,FALSE)</f>
        <v>【超絶級】兄妹の大冒険</v>
      </c>
      <c r="H84" s="4" t="str">
        <f ca="1">VLOOKUP($C84&amp;"_"&amp;$F84,OFFSET([1]stages!$A$1,0,0,COUNTA([1]stages!$A:$A),MATCH(H$1,[1]stages!$2:$2,0)-MATCH("temp_stage",[1]stages!$2:$2,0)+1),MATCH(H$1,[1]stages!$2:$2,0)-MATCH("temp_stage",[1]stages!$2:$2,0)+1,FALSE)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84" s="19">
        <v>0</v>
      </c>
      <c r="J84">
        <v>36</v>
      </c>
      <c r="K84" s="6" t="s">
        <v>17</v>
      </c>
      <c r="L84" s="36" t="str">
        <f>VLOOKUP(J84,[2]stage_hints!$A:$C,3,FALSE)</f>
        <v>チャレンジタワーのボス</v>
      </c>
      <c r="M84" s="37" t="str">
        <f>VLOOKUP(J84,[2]stage_hints!$A:$D,4,FALSE)</f>
        <v>チャレンジタワー15F、20F、25Fのボスは_x000D_一定確率でドロップするようです</v>
      </c>
      <c r="N84" s="22" t="s">
        <v>24</v>
      </c>
      <c r="O84">
        <v>36</v>
      </c>
    </row>
    <row r="85" spans="1:15">
      <c r="A85" s="29" t="e">
        <f>C85&amp;"_"&amp;F85&amp;"_"&amp;#REF!</f>
        <v>#REF!</v>
      </c>
      <c r="B85" s="27" t="s">
        <v>33</v>
      </c>
      <c r="C85" s="5">
        <v>30015</v>
      </c>
      <c r="D85" s="4" t="str">
        <f ca="1">VLOOKUP($C85,OFFSET([1]quests!$A$1,0,0,COUNTA([1]quests!$A:$A),MATCH(D$1,[1]quests!$1:$1,0)-MATCH($C$1,[1]quests!$1:$1,0)+1),MATCH(D$1,[1]quests!$1:$1,0)-MATCH($C$1,[1]quests!$1:$1,0)+1,FALSE)</f>
        <v>兄妹の大冒険</v>
      </c>
      <c r="E85" s="4" t="str">
        <f ca="1">VLOOKUP($C85,OFFSET([1]quests!$A$1,0,0,COUNTA([1]quests!$A:$A),MATCH(E$1,[1]quests!$1:$1,0)-MATCH($C$1,[1]quests!$1:$1,0)+1),MATCH(E$1,[1]quests!$1:$1,0)-MATCH($C$1,[1]quests!$1:$1,0)+1,FALSE)</f>
        <v>ドロップイベント4（マルチ専用）</v>
      </c>
      <c r="F85" s="6">
        <v>2</v>
      </c>
      <c r="G85" s="4" t="str">
        <f ca="1">VLOOKUP($C85&amp;"_"&amp;$F85,OFFSET([1]stages!$A$1,0,0,COUNTA([1]stages!$A:$A),MATCH(G$1,[1]stages!$2:$2,0)-MATCH("temp_stage",[1]stages!$2:$2,0)+1),MATCH(G$1,[1]stages!$2:$2,0)-MATCH("temp_stage",[1]stages!$2:$2,0)+1,FALSE)</f>
        <v>【超絶級】兄妹の大冒険</v>
      </c>
      <c r="H85" s="4" t="str">
        <f ca="1">VLOOKUP($C85&amp;"_"&amp;$F85,OFFSET([1]stages!$A$1,0,0,COUNTA([1]stages!$A:$A),MATCH(H$1,[1]stages!$2:$2,0)-MATCH("temp_stage",[1]stages!$2:$2,0)+1),MATCH(H$1,[1]stages!$2:$2,0)-MATCH("temp_stage",[1]stages!$2:$2,0)+1,FALSE)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85" s="19">
        <v>0</v>
      </c>
      <c r="J85">
        <v>37</v>
      </c>
      <c r="K85" s="6" t="s">
        <v>17</v>
      </c>
      <c r="L85" s="36" t="str">
        <f>VLOOKUP(J85,[2]stage_hints!$A:$C,3,FALSE)</f>
        <v>限界突破の引継</v>
      </c>
      <c r="M85" s="37" t="str">
        <f>VLOOKUP(J85,[2]stage_hints!$A:$D,4,FALSE)</f>
        <v>限界突破の+値は同じユニットなら_x000D_覚醒前後でも強化で引き継がれます</v>
      </c>
      <c r="N85" s="22" t="s">
        <v>24</v>
      </c>
      <c r="O85">
        <v>37</v>
      </c>
    </row>
    <row r="86" spans="1:15">
      <c r="A86" s="29" t="e">
        <f>C86&amp;"_"&amp;F86&amp;"_"&amp;#REF!</f>
        <v>#REF!</v>
      </c>
      <c r="B86" s="27" t="s">
        <v>33</v>
      </c>
      <c r="C86" s="5">
        <v>30016</v>
      </c>
      <c r="D86" s="4" t="str">
        <f ca="1">VLOOKUP($C86,OFFSET([1]quests!$A$1,0,0,COUNTA([1]quests!$A:$A),MATCH(D$1,[1]quests!$1:$1,0)-MATCH($C$1,[1]quests!$1:$1,0)+1),MATCH(D$1,[1]quests!$1:$1,0)-MATCH($C$1,[1]quests!$1:$1,0)+1,FALSE)</f>
        <v>私がワニの天敵よ？</v>
      </c>
      <c r="E86" s="4" t="str">
        <f ca="1">VLOOKUP($C86,OFFSET([1]quests!$A$1,0,0,COUNTA([1]quests!$A:$A),MATCH(E$1,[1]quests!$1:$1,0)-MATCH($C$1,[1]quests!$1:$1,0)+1),MATCH(E$1,[1]quests!$1:$1,0)-MATCH($C$1,[1]quests!$1:$1,0)+1,FALSE)</f>
        <v>ドロップイベント4（マルチ専用）</v>
      </c>
      <c r="F86" s="6">
        <v>2</v>
      </c>
      <c r="G86" s="4" t="str">
        <f ca="1">VLOOKUP($C86&amp;"_"&amp;$F86,OFFSET([1]stages!$A$1,0,0,COUNTA([1]stages!$A:$A),MATCH(G$1,[1]stages!$2:$2,0)-MATCH("temp_stage",[1]stages!$2:$2,0)+1),MATCH(G$1,[1]stages!$2:$2,0)-MATCH("temp_stage",[1]stages!$2:$2,0)+1,FALSE)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86" s="4" t="str">
        <f ca="1">VLOOKUP($C86&amp;"_"&amp;$F86,OFFSET([1]stages!$A$1,0,0,COUNTA([1]stages!$A:$A),MATCH(H$1,[1]stages!$2:$2,0)-MATCH("temp_stage",[1]stages!$2:$2,0)+1),MATCH(H$1,[1]stages!$2:$2,0)-MATCH("temp_stage",[1]stages!$2:$2,0)+1,FALSE)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86" s="19">
        <v>0</v>
      </c>
      <c r="J86">
        <v>12</v>
      </c>
      <c r="K86" s="6" t="s">
        <v>17</v>
      </c>
      <c r="L86" s="36" t="str">
        <f>VLOOKUP(J86,[2]stage_hints!$A:$C,3,FALSE)</f>
        <v>お気に入り登録</v>
      </c>
      <c r="M86" s="37" t="str">
        <f>VLOOKUP(J86,[2]stage_hints!$A:$D,4,FALSE)</f>
        <v>大事なユニットは_x000D_フォルダから「お気に入り登録」しましょう</v>
      </c>
      <c r="N86" s="22" t="s">
        <v>24</v>
      </c>
      <c r="O86">
        <v>12</v>
      </c>
    </row>
    <row r="87" spans="1:15">
      <c r="A87" s="29" t="e">
        <f>C87&amp;"_"&amp;F87&amp;"_"&amp;#REF!</f>
        <v>#REF!</v>
      </c>
      <c r="B87" s="27" t="s">
        <v>33</v>
      </c>
      <c r="C87" s="5">
        <v>30016</v>
      </c>
      <c r="D87" s="4" t="str">
        <f ca="1">VLOOKUP($C87,OFFSET([1]quests!$A$1,0,0,COUNTA([1]quests!$A:$A),MATCH(D$1,[1]quests!$1:$1,0)-MATCH($C$1,[1]quests!$1:$1,0)+1),MATCH(D$1,[1]quests!$1:$1,0)-MATCH($C$1,[1]quests!$1:$1,0)+1,FALSE)</f>
        <v>私がワニの天敵よ？</v>
      </c>
      <c r="E87" s="4" t="str">
        <f ca="1">VLOOKUP($C87,OFFSET([1]quests!$A$1,0,0,COUNTA([1]quests!$A:$A),MATCH(E$1,[1]quests!$1:$1,0)-MATCH($C$1,[1]quests!$1:$1,0)+1),MATCH(E$1,[1]quests!$1:$1,0)-MATCH($C$1,[1]quests!$1:$1,0)+1,FALSE)</f>
        <v>ドロップイベント4（マルチ専用）</v>
      </c>
      <c r="F87" s="6">
        <v>2</v>
      </c>
      <c r="G87" s="4" t="str">
        <f ca="1">VLOOKUP($C87&amp;"_"&amp;$F87,OFFSET([1]stages!$A$1,0,0,COUNTA([1]stages!$A:$A),MATCH(G$1,[1]stages!$2:$2,0)-MATCH("temp_stage",[1]stages!$2:$2,0)+1),MATCH(G$1,[1]stages!$2:$2,0)-MATCH("temp_stage",[1]stages!$2:$2,0)+1,FALSE)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87" s="4" t="str">
        <f ca="1">VLOOKUP($C87&amp;"_"&amp;$F87,OFFSET([1]stages!$A$1,0,0,COUNTA([1]stages!$A:$A),MATCH(H$1,[1]stages!$2:$2,0)-MATCH("temp_stage",[1]stages!$2:$2,0)+1),MATCH(H$1,[1]stages!$2:$2,0)-MATCH("temp_stage",[1]stages!$2:$2,0)+1,FALSE)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87" s="19">
        <v>0</v>
      </c>
      <c r="J87">
        <v>17</v>
      </c>
      <c r="K87" s="6" t="s">
        <v>17</v>
      </c>
      <c r="L87" s="36" t="str">
        <f>VLOOKUP(J87,[2]stage_hints!$A:$C,3,FALSE)</f>
        <v>リンクガチャを引いてみよう</v>
      </c>
      <c r="M87" s="37" t="str">
        <f>VLOOKUP(J87,[2]stage_hints!$A:$D,4,FALSE)</f>
        <v>リンクガチャを回して_x000D_メタルダックやゴールドダックを獲得しましょう</v>
      </c>
      <c r="N87" s="22" t="s">
        <v>24</v>
      </c>
      <c r="O87">
        <v>17</v>
      </c>
    </row>
    <row r="88" spans="1:15">
      <c r="A88" s="29" t="e">
        <f>C88&amp;"_"&amp;F88&amp;"_"&amp;#REF!</f>
        <v>#REF!</v>
      </c>
      <c r="B88" s="27" t="s">
        <v>33</v>
      </c>
      <c r="C88" s="5">
        <v>30016</v>
      </c>
      <c r="D88" s="4" t="str">
        <f ca="1">VLOOKUP($C88,OFFSET([1]quests!$A$1,0,0,COUNTA([1]quests!$A:$A),MATCH(D$1,[1]quests!$1:$1,0)-MATCH($C$1,[1]quests!$1:$1,0)+1),MATCH(D$1,[1]quests!$1:$1,0)-MATCH($C$1,[1]quests!$1:$1,0)+1,FALSE)</f>
        <v>私がワニの天敵よ？</v>
      </c>
      <c r="E88" s="4" t="str">
        <f ca="1">VLOOKUP($C88,OFFSET([1]quests!$A$1,0,0,COUNTA([1]quests!$A:$A),MATCH(E$1,[1]quests!$1:$1,0)-MATCH($C$1,[1]quests!$1:$1,0)+1),MATCH(E$1,[1]quests!$1:$1,0)-MATCH($C$1,[1]quests!$1:$1,0)+1,FALSE)</f>
        <v>ドロップイベント4（マルチ専用）</v>
      </c>
      <c r="F88" s="6">
        <v>2</v>
      </c>
      <c r="G88" s="4" t="str">
        <f ca="1">VLOOKUP($C88&amp;"_"&amp;$F88,OFFSET([1]stages!$A$1,0,0,COUNTA([1]stages!$A:$A),MATCH(G$1,[1]stages!$2:$2,0)-MATCH("temp_stage",[1]stages!$2:$2,0)+1),MATCH(G$1,[1]stages!$2:$2,0)-MATCH("temp_stage",[1]stages!$2:$2,0)+1,FALSE)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88" s="4" t="str">
        <f ca="1">VLOOKUP($C88&amp;"_"&amp;$F88,OFFSET([1]stages!$A$1,0,0,COUNTA([1]stages!$A:$A),MATCH(H$1,[1]stages!$2:$2,0)-MATCH("temp_stage",[1]stages!$2:$2,0)+1),MATCH(H$1,[1]stages!$2:$2,0)-MATCH("temp_stage",[1]stages!$2:$2,0)+1,FALSE)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88" s="19">
        <v>0</v>
      </c>
      <c r="J88">
        <v>19</v>
      </c>
      <c r="K88" s="6" t="s">
        <v>17</v>
      </c>
      <c r="L88" s="36" t="str">
        <f>VLOOKUP(J88,[2]stage_hints!$A:$C,3,FALSE)</f>
        <v>チャレンジタワー</v>
      </c>
      <c r="M88" s="37" t="str">
        <f>VLOOKUP(J88,[2]stage_hints!$A:$D,4,FALSE)</f>
        <v>「チャレンジタワー」をクリアすると_x000D_各フロアごとに報酬がもらえます</v>
      </c>
      <c r="N88" s="22" t="s">
        <v>24</v>
      </c>
      <c r="O88">
        <v>19</v>
      </c>
    </row>
    <row r="89" spans="1:15">
      <c r="A89" s="29" t="e">
        <f>C89&amp;"_"&amp;F89&amp;"_"&amp;#REF!</f>
        <v>#REF!</v>
      </c>
      <c r="B89" s="27" t="s">
        <v>33</v>
      </c>
      <c r="C89" s="5">
        <v>30016</v>
      </c>
      <c r="D89" s="4" t="str">
        <f ca="1">VLOOKUP($C89,OFFSET([1]quests!$A$1,0,0,COUNTA([1]quests!$A:$A),MATCH(D$1,[1]quests!$1:$1,0)-MATCH($C$1,[1]quests!$1:$1,0)+1),MATCH(D$1,[1]quests!$1:$1,0)-MATCH($C$1,[1]quests!$1:$1,0)+1,FALSE)</f>
        <v>私がワニの天敵よ？</v>
      </c>
      <c r="E89" s="4" t="str">
        <f ca="1">VLOOKUP($C89,OFFSET([1]quests!$A$1,0,0,COUNTA([1]quests!$A:$A),MATCH(E$1,[1]quests!$1:$1,0)-MATCH($C$1,[1]quests!$1:$1,0)+1),MATCH(E$1,[1]quests!$1:$1,0)-MATCH($C$1,[1]quests!$1:$1,0)+1,FALSE)</f>
        <v>ドロップイベント4（マルチ専用）</v>
      </c>
      <c r="F89" s="6">
        <v>2</v>
      </c>
      <c r="G89" s="4" t="str">
        <f ca="1">VLOOKUP($C89&amp;"_"&amp;$F89,OFFSET([1]stages!$A$1,0,0,COUNTA([1]stages!$A:$A),MATCH(G$1,[1]stages!$2:$2,0)-MATCH("temp_stage",[1]stages!$2:$2,0)+1),MATCH(G$1,[1]stages!$2:$2,0)-MATCH("temp_stage",[1]stages!$2:$2,0)+1,FALSE)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89" s="4" t="str">
        <f ca="1">VLOOKUP($C89&amp;"_"&amp;$F89,OFFSET([1]stages!$A$1,0,0,COUNTA([1]stages!$A:$A),MATCH(H$1,[1]stages!$2:$2,0)-MATCH("temp_stage",[1]stages!$2:$2,0)+1),MATCH(H$1,[1]stages!$2:$2,0)-MATCH("temp_stage",[1]stages!$2:$2,0)+1,FALSE)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89" s="19">
        <v>0</v>
      </c>
      <c r="J89">
        <v>21</v>
      </c>
      <c r="K89" s="6" t="s">
        <v>17</v>
      </c>
      <c r="L89" s="36" t="str">
        <f>VLOOKUP(J89,[2]stage_hints!$A:$C,3,FALSE)</f>
        <v>スキルを有効に使おう</v>
      </c>
      <c r="M89" s="37" t="str">
        <f>VLOOKUP(J89,[2]stage_hints!$A:$D,4,FALSE)</f>
        <v>ターン経過でユニットは_x000D_強力なスキルが使えるようになります</v>
      </c>
      <c r="N89" s="22" t="s">
        <v>24</v>
      </c>
      <c r="O89">
        <v>21</v>
      </c>
    </row>
    <row r="90" spans="1:15">
      <c r="A90" s="29" t="e">
        <f>C90&amp;"_"&amp;F90&amp;"_"&amp;#REF!</f>
        <v>#REF!</v>
      </c>
      <c r="B90" s="27" t="s">
        <v>33</v>
      </c>
      <c r="C90" s="5">
        <v>30016</v>
      </c>
      <c r="D90" s="4" t="str">
        <f ca="1">VLOOKUP($C90,OFFSET([1]quests!$A$1,0,0,COUNTA([1]quests!$A:$A),MATCH(D$1,[1]quests!$1:$1,0)-MATCH($C$1,[1]quests!$1:$1,0)+1),MATCH(D$1,[1]quests!$1:$1,0)-MATCH($C$1,[1]quests!$1:$1,0)+1,FALSE)</f>
        <v>私がワニの天敵よ？</v>
      </c>
      <c r="E90" s="4" t="str">
        <f ca="1">VLOOKUP($C90,OFFSET([1]quests!$A$1,0,0,COUNTA([1]quests!$A:$A),MATCH(E$1,[1]quests!$1:$1,0)-MATCH($C$1,[1]quests!$1:$1,0)+1),MATCH(E$1,[1]quests!$1:$1,0)-MATCH($C$1,[1]quests!$1:$1,0)+1,FALSE)</f>
        <v>ドロップイベント4（マルチ専用）</v>
      </c>
      <c r="F90" s="6">
        <v>2</v>
      </c>
      <c r="G90" s="4" t="str">
        <f ca="1">VLOOKUP($C90&amp;"_"&amp;$F90,OFFSET([1]stages!$A$1,0,0,COUNTA([1]stages!$A:$A),MATCH(G$1,[1]stages!$2:$2,0)-MATCH("temp_stage",[1]stages!$2:$2,0)+1),MATCH(G$1,[1]stages!$2:$2,0)-MATCH("temp_stage",[1]stages!$2:$2,0)+1,FALSE)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90" s="4" t="str">
        <f ca="1">VLOOKUP($C90&amp;"_"&amp;$F90,OFFSET([1]stages!$A$1,0,0,COUNTA([1]stages!$A:$A),MATCH(H$1,[1]stages!$2:$2,0)-MATCH("temp_stage",[1]stages!$2:$2,0)+1),MATCH(H$1,[1]stages!$2:$2,0)-MATCH("temp_stage",[1]stages!$2:$2,0)+1,FALSE)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90" s="19">
        <v>0</v>
      </c>
      <c r="J90">
        <v>29</v>
      </c>
      <c r="K90" s="6" t="s">
        <v>17</v>
      </c>
      <c r="L90" s="36" t="str">
        <f>VLOOKUP(J90,[2]stage_hints!$A:$C,3,FALSE)</f>
        <v>ステータスのバグって何？</v>
      </c>
      <c r="M90" s="37" t="str">
        <f>VLOOKUP(J90,[2]stage_hints!$A:$D,4,FALSE)</f>
        <v>「バグ」を上げると_x000D_報酬をもらえる確率がアップします</v>
      </c>
      <c r="N90" s="22" t="s">
        <v>24</v>
      </c>
      <c r="O90">
        <v>29</v>
      </c>
    </row>
    <row r="91" spans="1:15">
      <c r="A91" s="29" t="e">
        <f>C91&amp;"_"&amp;F91&amp;"_"&amp;#REF!</f>
        <v>#REF!</v>
      </c>
      <c r="B91" s="27" t="s">
        <v>33</v>
      </c>
      <c r="C91" s="5">
        <v>30016</v>
      </c>
      <c r="D91" s="4" t="str">
        <f ca="1">VLOOKUP($C91,OFFSET([1]quests!$A$1,0,0,COUNTA([1]quests!$A:$A),MATCH(D$1,[1]quests!$1:$1,0)-MATCH($C$1,[1]quests!$1:$1,0)+1),MATCH(D$1,[1]quests!$1:$1,0)-MATCH($C$1,[1]quests!$1:$1,0)+1,FALSE)</f>
        <v>私がワニの天敵よ？</v>
      </c>
      <c r="E91" s="4" t="str">
        <f ca="1">VLOOKUP($C91,OFFSET([1]quests!$A$1,0,0,COUNTA([1]quests!$A:$A),MATCH(E$1,[1]quests!$1:$1,0)-MATCH($C$1,[1]quests!$1:$1,0)+1),MATCH(E$1,[1]quests!$1:$1,0)-MATCH($C$1,[1]quests!$1:$1,0)+1,FALSE)</f>
        <v>ドロップイベント4（マルチ専用）</v>
      </c>
      <c r="F91" s="6">
        <v>2</v>
      </c>
      <c r="G91" s="4" t="str">
        <f ca="1">VLOOKUP($C91&amp;"_"&amp;$F91,OFFSET([1]stages!$A$1,0,0,COUNTA([1]stages!$A:$A),MATCH(G$1,[1]stages!$2:$2,0)-MATCH("temp_stage",[1]stages!$2:$2,0)+1),MATCH(G$1,[1]stages!$2:$2,0)-MATCH("temp_stage",[1]stages!$2:$2,0)+1,FALSE)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91" s="4" t="str">
        <f ca="1">VLOOKUP($C91&amp;"_"&amp;$F91,OFFSET([1]stages!$A$1,0,0,COUNTA([1]stages!$A:$A),MATCH(H$1,[1]stages!$2:$2,0)-MATCH("temp_stage",[1]stages!$2:$2,0)+1),MATCH(H$1,[1]stages!$2:$2,0)-MATCH("temp_stage",[1]stages!$2:$2,0)+1,FALSE)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91" s="19">
        <v>0</v>
      </c>
      <c r="J91">
        <v>30</v>
      </c>
      <c r="K91" s="6" t="s">
        <v>17</v>
      </c>
      <c r="L91" s="36" t="str">
        <f>VLOOKUP(J91,[2]stage_hints!$A:$C,3,FALSE)</f>
        <v>ステータスのバグを増やす方法</v>
      </c>
      <c r="M91" s="37" t="str">
        <f>VLOOKUP(J91,[2]stage_hints!$A:$D,4,FALSE)</f>
        <v>同じユニット同士を強化すると_x000D_「バグ」を増やすことができます</v>
      </c>
      <c r="N91" s="22" t="s">
        <v>24</v>
      </c>
      <c r="O91">
        <v>30</v>
      </c>
    </row>
    <row r="92" spans="1:15">
      <c r="A92" s="29" t="e">
        <f>C92&amp;"_"&amp;F92&amp;"_"&amp;#REF!</f>
        <v>#REF!</v>
      </c>
      <c r="B92" s="27" t="s">
        <v>33</v>
      </c>
      <c r="C92" s="5">
        <v>30016</v>
      </c>
      <c r="D92" s="4" t="str">
        <f ca="1">VLOOKUP($C92,OFFSET([1]quests!$A$1,0,0,COUNTA([1]quests!$A:$A),MATCH(D$1,[1]quests!$1:$1,0)-MATCH($C$1,[1]quests!$1:$1,0)+1),MATCH(D$1,[1]quests!$1:$1,0)-MATCH($C$1,[1]quests!$1:$1,0)+1,FALSE)</f>
        <v>私がワニの天敵よ？</v>
      </c>
      <c r="E92" s="4" t="str">
        <f ca="1">VLOOKUP($C92,OFFSET([1]quests!$A$1,0,0,COUNTA([1]quests!$A:$A),MATCH(E$1,[1]quests!$1:$1,0)-MATCH($C$1,[1]quests!$1:$1,0)+1),MATCH(E$1,[1]quests!$1:$1,0)-MATCH($C$1,[1]quests!$1:$1,0)+1,FALSE)</f>
        <v>ドロップイベント4（マルチ専用）</v>
      </c>
      <c r="F92" s="6">
        <v>2</v>
      </c>
      <c r="G92" s="4" t="str">
        <f ca="1">VLOOKUP($C92&amp;"_"&amp;$F92,OFFSET([1]stages!$A$1,0,0,COUNTA([1]stages!$A:$A),MATCH(G$1,[1]stages!$2:$2,0)-MATCH("temp_stage",[1]stages!$2:$2,0)+1),MATCH(G$1,[1]stages!$2:$2,0)-MATCH("temp_stage",[1]stages!$2:$2,0)+1,FALSE)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92" s="4" t="str">
        <f ca="1">VLOOKUP($C92&amp;"_"&amp;$F92,OFFSET([1]stages!$A$1,0,0,COUNTA([1]stages!$A:$A),MATCH(H$1,[1]stages!$2:$2,0)-MATCH("temp_stage",[1]stages!$2:$2,0)+1),MATCH(H$1,[1]stages!$2:$2,0)-MATCH("temp_stage",[1]stages!$2:$2,0)+1,FALSE)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92" s="19">
        <v>0</v>
      </c>
      <c r="J92">
        <v>32</v>
      </c>
      <c r="K92" s="6" t="s">
        <v>17</v>
      </c>
      <c r="L92" s="36" t="str">
        <f>VLOOKUP(J92,[2]stage_hints!$A:$C,3,FALSE)</f>
        <v>連続攻撃をしてくる敵には</v>
      </c>
      <c r="M92" s="37" t="str">
        <f>VLOOKUP(J92,[2]stage_hints!$A:$D,4,FALSE)</f>
        <v>敵の連続攻撃には「カウンター」スキルが有効！_x000D_ダメージ回数分の攻撃を返せます</v>
      </c>
      <c r="N92" s="22" t="s">
        <v>24</v>
      </c>
      <c r="O92">
        <v>32</v>
      </c>
    </row>
    <row r="93" spans="1:15">
      <c r="A93" s="29" t="e">
        <f>C93&amp;"_"&amp;F93&amp;"_"&amp;#REF!</f>
        <v>#REF!</v>
      </c>
      <c r="B93" s="27" t="s">
        <v>33</v>
      </c>
      <c r="C93" s="5">
        <v>30016</v>
      </c>
      <c r="D93" s="4" t="str">
        <f ca="1">VLOOKUP($C93,OFFSET([1]quests!$A$1,0,0,COUNTA([1]quests!$A:$A),MATCH(D$1,[1]quests!$1:$1,0)-MATCH($C$1,[1]quests!$1:$1,0)+1),MATCH(D$1,[1]quests!$1:$1,0)-MATCH($C$1,[1]quests!$1:$1,0)+1,FALSE)</f>
        <v>私がワニの天敵よ？</v>
      </c>
      <c r="E93" s="4" t="str">
        <f ca="1">VLOOKUP($C93,OFFSET([1]quests!$A$1,0,0,COUNTA([1]quests!$A:$A),MATCH(E$1,[1]quests!$1:$1,0)-MATCH($C$1,[1]quests!$1:$1,0)+1),MATCH(E$1,[1]quests!$1:$1,0)-MATCH($C$1,[1]quests!$1:$1,0)+1,FALSE)</f>
        <v>ドロップイベント4（マルチ専用）</v>
      </c>
      <c r="F93" s="6">
        <v>2</v>
      </c>
      <c r="G93" s="4" t="str">
        <f ca="1">VLOOKUP($C93&amp;"_"&amp;$F93,OFFSET([1]stages!$A$1,0,0,COUNTA([1]stages!$A:$A),MATCH(G$1,[1]stages!$2:$2,0)-MATCH("temp_stage",[1]stages!$2:$2,0)+1),MATCH(G$1,[1]stages!$2:$2,0)-MATCH("temp_stage",[1]stages!$2:$2,0)+1,FALSE)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93" s="4" t="str">
        <f ca="1">VLOOKUP($C93&amp;"_"&amp;$F93,OFFSET([1]stages!$A$1,0,0,COUNTA([1]stages!$A:$A),MATCH(H$1,[1]stages!$2:$2,0)-MATCH("temp_stage",[1]stages!$2:$2,0)+1),MATCH(H$1,[1]stages!$2:$2,0)-MATCH("temp_stage",[1]stages!$2:$2,0)+1,FALSE)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93" s="19">
        <v>0</v>
      </c>
      <c r="J93">
        <v>33</v>
      </c>
      <c r="K93" s="6" t="s">
        <v>17</v>
      </c>
      <c r="L93" s="36" t="str">
        <f>VLOOKUP(J93,[2]stage_hints!$A:$C,3,FALSE)</f>
        <v>カウンターブレイク！</v>
      </c>
      <c r="M93" s="37" t="str">
        <f>VLOOKUP(J93,[2]stage_hints!$A:$D,4,FALSE)</f>
        <v>敵のカウンターには「カウンターブレイク」！_x000D_カウンターを解除して攻撃をしかけましょう</v>
      </c>
      <c r="N93" s="22" t="s">
        <v>24</v>
      </c>
      <c r="O93">
        <v>33</v>
      </c>
    </row>
    <row r="94" spans="1:15">
      <c r="A94" s="29" t="e">
        <f>C94&amp;"_"&amp;F94&amp;"_"&amp;#REF!</f>
        <v>#REF!</v>
      </c>
      <c r="B94" s="27" t="s">
        <v>33</v>
      </c>
      <c r="C94" s="5">
        <v>30016</v>
      </c>
      <c r="D94" s="4" t="str">
        <f ca="1">VLOOKUP($C94,OFFSET([1]quests!$A$1,0,0,COUNTA([1]quests!$A:$A),MATCH(D$1,[1]quests!$1:$1,0)-MATCH($C$1,[1]quests!$1:$1,0)+1),MATCH(D$1,[1]quests!$1:$1,0)-MATCH($C$1,[1]quests!$1:$1,0)+1,FALSE)</f>
        <v>私がワニの天敵よ？</v>
      </c>
      <c r="E94" s="4" t="str">
        <f ca="1">VLOOKUP($C94,OFFSET([1]quests!$A$1,0,0,COUNTA([1]quests!$A:$A),MATCH(E$1,[1]quests!$1:$1,0)-MATCH($C$1,[1]quests!$1:$1,0)+1),MATCH(E$1,[1]quests!$1:$1,0)-MATCH($C$1,[1]quests!$1:$1,0)+1,FALSE)</f>
        <v>ドロップイベント4（マルチ専用）</v>
      </c>
      <c r="F94" s="6">
        <v>2</v>
      </c>
      <c r="G94" s="4" t="str">
        <f ca="1">VLOOKUP($C94&amp;"_"&amp;$F94,OFFSET([1]stages!$A$1,0,0,COUNTA([1]stages!$A:$A),MATCH(G$1,[1]stages!$2:$2,0)-MATCH("temp_stage",[1]stages!$2:$2,0)+1),MATCH(G$1,[1]stages!$2:$2,0)-MATCH("temp_stage",[1]stages!$2:$2,0)+1,FALSE)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94" s="4" t="str">
        <f ca="1">VLOOKUP($C94&amp;"_"&amp;$F94,OFFSET([1]stages!$A$1,0,0,COUNTA([1]stages!$A:$A),MATCH(H$1,[1]stages!$2:$2,0)-MATCH("temp_stage",[1]stages!$2:$2,0)+1),MATCH(H$1,[1]stages!$2:$2,0)-MATCH("temp_stage",[1]stages!$2:$2,0)+1,FALSE)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94" s="19">
        <v>0</v>
      </c>
      <c r="J94">
        <v>34</v>
      </c>
      <c r="K94" s="6" t="s">
        <v>17</v>
      </c>
      <c r="L94" s="36" t="str">
        <f>VLOOKUP(J94,[2]stage_hints!$A:$C,3,FALSE)</f>
        <v>敵のDOWNを上書きしよう！</v>
      </c>
      <c r="M94" s="37" t="str">
        <f>VLOOKUP(J94,[2]stage_hints!$A:$D,4,FALSE)</f>
        <v>攻撃力ダウンを受けたときは_x000D_攻撃力アップスキルで効果を上書きできます</v>
      </c>
      <c r="N94" s="22" t="s">
        <v>24</v>
      </c>
      <c r="O94">
        <v>34</v>
      </c>
    </row>
    <row r="95" spans="1:15">
      <c r="A95" s="29" t="e">
        <f>C95&amp;"_"&amp;F95&amp;"_"&amp;#REF!</f>
        <v>#REF!</v>
      </c>
      <c r="B95" s="27" t="s">
        <v>33</v>
      </c>
      <c r="C95" s="5">
        <v>30016</v>
      </c>
      <c r="D95" s="4" t="str">
        <f ca="1">VLOOKUP($C95,OFFSET([1]quests!$A$1,0,0,COUNTA([1]quests!$A:$A),MATCH(D$1,[1]quests!$1:$1,0)-MATCH($C$1,[1]quests!$1:$1,0)+1),MATCH(D$1,[1]quests!$1:$1,0)-MATCH($C$1,[1]quests!$1:$1,0)+1,FALSE)</f>
        <v>私がワニの天敵よ？</v>
      </c>
      <c r="E95" s="4" t="str">
        <f ca="1">VLOOKUP($C95,OFFSET([1]quests!$A$1,0,0,COUNTA([1]quests!$A:$A),MATCH(E$1,[1]quests!$1:$1,0)-MATCH($C$1,[1]quests!$1:$1,0)+1),MATCH(E$1,[1]quests!$1:$1,0)-MATCH($C$1,[1]quests!$1:$1,0)+1,FALSE)</f>
        <v>ドロップイベント4（マルチ専用）</v>
      </c>
      <c r="F95" s="6">
        <v>2</v>
      </c>
      <c r="G95" s="4" t="str">
        <f ca="1">VLOOKUP($C95&amp;"_"&amp;$F95,OFFSET([1]stages!$A$1,0,0,COUNTA([1]stages!$A:$A),MATCH(G$1,[1]stages!$2:$2,0)-MATCH("temp_stage",[1]stages!$2:$2,0)+1),MATCH(G$1,[1]stages!$2:$2,0)-MATCH("temp_stage",[1]stages!$2:$2,0)+1,FALSE)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95" s="4" t="str">
        <f ca="1">VLOOKUP($C95&amp;"_"&amp;$F95,OFFSET([1]stages!$A$1,0,0,COUNTA([1]stages!$A:$A),MATCH(H$1,[1]stages!$2:$2,0)-MATCH("temp_stage",[1]stages!$2:$2,0)+1),MATCH(H$1,[1]stages!$2:$2,0)-MATCH("temp_stage",[1]stages!$2:$2,0)+1,FALSE)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95" s="19">
        <v>0</v>
      </c>
      <c r="J95">
        <v>35</v>
      </c>
      <c r="K95" s="6" t="s">
        <v>17</v>
      </c>
      <c r="L95" s="36" t="str">
        <f>VLOOKUP(J95,[2]stage_hints!$A:$C,3,FALSE)</f>
        <v>敵のUPを上書きしよう！</v>
      </c>
      <c r="M95" s="37" t="str">
        <f>VLOOKUP(J95,[2]stage_hints!$A:$D,4,FALSE)</f>
        <v>敵の攻撃力がアップしたときは_x000D_攻撃力ダウンスキルで効果を上書きできます</v>
      </c>
      <c r="N95" s="22" t="s">
        <v>24</v>
      </c>
      <c r="O95">
        <v>35</v>
      </c>
    </row>
    <row r="96" spans="1:15">
      <c r="A96" s="29" t="e">
        <f>C96&amp;"_"&amp;F96&amp;"_"&amp;#REF!</f>
        <v>#REF!</v>
      </c>
      <c r="B96" s="27" t="s">
        <v>33</v>
      </c>
      <c r="C96" s="5">
        <v>30016</v>
      </c>
      <c r="D96" s="4" t="str">
        <f ca="1">VLOOKUP($C96,OFFSET([1]quests!$A$1,0,0,COUNTA([1]quests!$A:$A),MATCH(D$1,[1]quests!$1:$1,0)-MATCH($C$1,[1]quests!$1:$1,0)+1),MATCH(D$1,[1]quests!$1:$1,0)-MATCH($C$1,[1]quests!$1:$1,0)+1,FALSE)</f>
        <v>私がワニの天敵よ？</v>
      </c>
      <c r="E96" s="4" t="str">
        <f ca="1">VLOOKUP($C96,OFFSET([1]quests!$A$1,0,0,COUNTA([1]quests!$A:$A),MATCH(E$1,[1]quests!$1:$1,0)-MATCH($C$1,[1]quests!$1:$1,0)+1),MATCH(E$1,[1]quests!$1:$1,0)-MATCH($C$1,[1]quests!$1:$1,0)+1,FALSE)</f>
        <v>ドロップイベント4（マルチ専用）</v>
      </c>
      <c r="F96" s="6">
        <v>2</v>
      </c>
      <c r="G96" s="4" t="str">
        <f ca="1">VLOOKUP($C96&amp;"_"&amp;$F96,OFFSET([1]stages!$A$1,0,0,COUNTA([1]stages!$A:$A),MATCH(G$1,[1]stages!$2:$2,0)-MATCH("temp_stage",[1]stages!$2:$2,0)+1),MATCH(G$1,[1]stages!$2:$2,0)-MATCH("temp_stage",[1]stages!$2:$2,0)+1,FALSE)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96" s="4" t="str">
        <f ca="1">VLOOKUP($C96&amp;"_"&amp;$F96,OFFSET([1]stages!$A$1,0,0,COUNTA([1]stages!$A:$A),MATCH(H$1,[1]stages!$2:$2,0)-MATCH("temp_stage",[1]stages!$2:$2,0)+1),MATCH(H$1,[1]stages!$2:$2,0)-MATCH("temp_stage",[1]stages!$2:$2,0)+1,FALSE)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96" s="19">
        <v>0</v>
      </c>
      <c r="J96">
        <v>36</v>
      </c>
      <c r="K96" s="6" t="s">
        <v>17</v>
      </c>
      <c r="L96" s="36" t="str">
        <f>VLOOKUP(J96,[2]stage_hints!$A:$C,3,FALSE)</f>
        <v>チャレンジタワーのボス</v>
      </c>
      <c r="M96" s="37" t="str">
        <f>VLOOKUP(J96,[2]stage_hints!$A:$D,4,FALSE)</f>
        <v>チャレンジタワー15F、20F、25Fのボスは_x000D_一定確率でドロップするようです</v>
      </c>
      <c r="N96" s="22" t="s">
        <v>24</v>
      </c>
      <c r="O96">
        <v>36</v>
      </c>
    </row>
    <row r="97" spans="1:15">
      <c r="A97" s="29" t="e">
        <f>C97&amp;"_"&amp;F97&amp;"_"&amp;#REF!</f>
        <v>#REF!</v>
      </c>
      <c r="B97" s="27" t="s">
        <v>33</v>
      </c>
      <c r="C97" s="5">
        <v>30016</v>
      </c>
      <c r="D97" s="4" t="str">
        <f ca="1">VLOOKUP($C97,OFFSET([1]quests!$A$1,0,0,COUNTA([1]quests!$A:$A),MATCH(D$1,[1]quests!$1:$1,0)-MATCH($C$1,[1]quests!$1:$1,0)+1),MATCH(D$1,[1]quests!$1:$1,0)-MATCH($C$1,[1]quests!$1:$1,0)+1,FALSE)</f>
        <v>私がワニの天敵よ？</v>
      </c>
      <c r="E97" s="4" t="str">
        <f ca="1">VLOOKUP($C97,OFFSET([1]quests!$A$1,0,0,COUNTA([1]quests!$A:$A),MATCH(E$1,[1]quests!$1:$1,0)-MATCH($C$1,[1]quests!$1:$1,0)+1),MATCH(E$1,[1]quests!$1:$1,0)-MATCH($C$1,[1]quests!$1:$1,0)+1,FALSE)</f>
        <v>ドロップイベント4（マルチ専用）</v>
      </c>
      <c r="F97" s="6">
        <v>2</v>
      </c>
      <c r="G97" s="4" t="str">
        <f ca="1">VLOOKUP($C97&amp;"_"&amp;$F97,OFFSET([1]stages!$A$1,0,0,COUNTA([1]stages!$A:$A),MATCH(G$1,[1]stages!$2:$2,0)-MATCH("temp_stage",[1]stages!$2:$2,0)+1),MATCH(G$1,[1]stages!$2:$2,0)-MATCH("temp_stage",[1]stages!$2:$2,0)+1,FALSE)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97" s="4" t="str">
        <f ca="1">VLOOKUP($C97&amp;"_"&amp;$F97,OFFSET([1]stages!$A$1,0,0,COUNTA([1]stages!$A:$A),MATCH(H$1,[1]stages!$2:$2,0)-MATCH("temp_stage",[1]stages!$2:$2,0)+1),MATCH(H$1,[1]stages!$2:$2,0)-MATCH("temp_stage",[1]stages!$2:$2,0)+1,FALSE)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97" s="19">
        <v>0</v>
      </c>
      <c r="J97">
        <v>37</v>
      </c>
      <c r="K97" s="6" t="s">
        <v>17</v>
      </c>
      <c r="L97" s="36" t="str">
        <f>VLOOKUP(J97,[2]stage_hints!$A:$C,3,FALSE)</f>
        <v>限界突破の引継</v>
      </c>
      <c r="M97" s="37" t="str">
        <f>VLOOKUP(J97,[2]stage_hints!$A:$D,4,FALSE)</f>
        <v>限界突破の+値は同じユニットなら_x000D_覚醒前後でも強化で引き継がれます</v>
      </c>
      <c r="N97" s="22" t="s">
        <v>24</v>
      </c>
      <c r="O97">
        <v>37</v>
      </c>
    </row>
    <row r="98" spans="1:15">
      <c r="A98" s="29" t="e">
        <f>C98&amp;"_"&amp;F98&amp;"_"&amp;#REF!</f>
        <v>#REF!</v>
      </c>
      <c r="B98" s="27" t="s">
        <v>33</v>
      </c>
      <c r="C98" s="5">
        <v>30017</v>
      </c>
      <c r="D98" s="4" t="str">
        <f ca="1">VLOOKUP($C98,OFFSET([1]quests!$A$1,0,0,COUNTA([1]quests!$A:$A),MATCH(D$1,[1]quests!$1:$1,0)-MATCH($C$1,[1]quests!$1:$1,0)+1),MATCH(D$1,[1]quests!$1:$1,0)-MATCH($C$1,[1]quests!$1:$1,0)+1,FALSE)</f>
        <v>狩人の挽歌</v>
      </c>
      <c r="E98" s="4" t="str">
        <f ca="1">VLOOKUP($C98,OFFSET([1]quests!$A$1,0,0,COUNTA([1]quests!$A:$A),MATCH(E$1,[1]quests!$1:$1,0)-MATCH($C$1,[1]quests!$1:$1,0)+1),MATCH(E$1,[1]quests!$1:$1,0)-MATCH($C$1,[1]quests!$1:$1,0)+1,FALSE)</f>
        <v>ドロップイベント5（マルチ専用）</v>
      </c>
      <c r="F98" s="6">
        <v>2</v>
      </c>
      <c r="G98" s="4" t="str">
        <f ca="1">VLOOKUP($C98&amp;"_"&amp;$F98,OFFSET([1]stages!$A$1,0,0,COUNTA([1]stages!$A:$A),MATCH(G$1,[1]stages!$2:$2,0)-MATCH("temp_stage",[1]stages!$2:$2,0)+1),MATCH(G$1,[1]stages!$2:$2,0)-MATCH("temp_stage",[1]stages!$2:$2,0)+1,FALSE)</f>
        <v>【超絶級】狩人の挽歌</v>
      </c>
      <c r="H98" s="4" t="str">
        <f ca="1">VLOOKUP($C98&amp;"_"&amp;$F98,OFFSET([1]stages!$A$1,0,0,COUNTA([1]stages!$A:$A),MATCH(H$1,[1]stages!$2:$2,0)-MATCH("temp_stage",[1]stages!$2:$2,0)+1),MATCH(H$1,[1]stages!$2:$2,0)-MATCH("temp_stage",[1]stages!$2:$2,0)+1,FALSE)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98" s="19">
        <v>0</v>
      </c>
      <c r="J98">
        <v>12</v>
      </c>
      <c r="K98" s="6" t="s">
        <v>17</v>
      </c>
      <c r="L98" s="36" t="str">
        <f>VLOOKUP(J98,[2]stage_hints!$A:$C,3,FALSE)</f>
        <v>お気に入り登録</v>
      </c>
      <c r="M98" s="37" t="str">
        <f>VLOOKUP(J98,[2]stage_hints!$A:$D,4,FALSE)</f>
        <v>大事なユニットは_x000D_フォルダから「お気に入り登録」しましょう</v>
      </c>
      <c r="N98" s="22" t="s">
        <v>24</v>
      </c>
      <c r="O98">
        <v>12</v>
      </c>
    </row>
    <row r="99" spans="1:15">
      <c r="A99" s="29" t="e">
        <f>C99&amp;"_"&amp;F99&amp;"_"&amp;#REF!</f>
        <v>#REF!</v>
      </c>
      <c r="B99" s="27" t="s">
        <v>33</v>
      </c>
      <c r="C99" s="5">
        <v>30017</v>
      </c>
      <c r="D99" s="4" t="str">
        <f ca="1">VLOOKUP($C99,OFFSET([1]quests!$A$1,0,0,COUNTA([1]quests!$A:$A),MATCH(D$1,[1]quests!$1:$1,0)-MATCH($C$1,[1]quests!$1:$1,0)+1),MATCH(D$1,[1]quests!$1:$1,0)-MATCH($C$1,[1]quests!$1:$1,0)+1,FALSE)</f>
        <v>狩人の挽歌</v>
      </c>
      <c r="E99" s="4" t="str">
        <f ca="1">VLOOKUP($C99,OFFSET([1]quests!$A$1,0,0,COUNTA([1]quests!$A:$A),MATCH(E$1,[1]quests!$1:$1,0)-MATCH($C$1,[1]quests!$1:$1,0)+1),MATCH(E$1,[1]quests!$1:$1,0)-MATCH($C$1,[1]quests!$1:$1,0)+1,FALSE)</f>
        <v>ドロップイベント5（マルチ専用）</v>
      </c>
      <c r="F99" s="6">
        <v>2</v>
      </c>
      <c r="G99" s="4" t="str">
        <f ca="1">VLOOKUP($C99&amp;"_"&amp;$F99,OFFSET([1]stages!$A$1,0,0,COUNTA([1]stages!$A:$A),MATCH(G$1,[1]stages!$2:$2,0)-MATCH("temp_stage",[1]stages!$2:$2,0)+1),MATCH(G$1,[1]stages!$2:$2,0)-MATCH("temp_stage",[1]stages!$2:$2,0)+1,FALSE)</f>
        <v>【超絶級】狩人の挽歌</v>
      </c>
      <c r="H99" s="4" t="str">
        <f ca="1">VLOOKUP($C99&amp;"_"&amp;$F99,OFFSET([1]stages!$A$1,0,0,COUNTA([1]stages!$A:$A),MATCH(H$1,[1]stages!$2:$2,0)-MATCH("temp_stage",[1]stages!$2:$2,0)+1),MATCH(H$1,[1]stages!$2:$2,0)-MATCH("temp_stage",[1]stages!$2:$2,0)+1,FALSE)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99" s="19">
        <v>0</v>
      </c>
      <c r="J99">
        <v>17</v>
      </c>
      <c r="K99" s="6" t="s">
        <v>17</v>
      </c>
      <c r="L99" s="36" t="str">
        <f>VLOOKUP(J99,[2]stage_hints!$A:$C,3,FALSE)</f>
        <v>リンクガチャを引いてみよう</v>
      </c>
      <c r="M99" s="37" t="str">
        <f>VLOOKUP(J99,[2]stage_hints!$A:$D,4,FALSE)</f>
        <v>リンクガチャを回して_x000D_メタルダックやゴールドダックを獲得しましょう</v>
      </c>
      <c r="N99" s="22" t="s">
        <v>24</v>
      </c>
      <c r="O99">
        <v>17</v>
      </c>
    </row>
    <row r="100" spans="1:15">
      <c r="A100" s="29" t="e">
        <f>C100&amp;"_"&amp;F100&amp;"_"&amp;#REF!</f>
        <v>#REF!</v>
      </c>
      <c r="B100" s="27" t="s">
        <v>33</v>
      </c>
      <c r="C100" s="5">
        <v>30017</v>
      </c>
      <c r="D100" s="4" t="str">
        <f ca="1">VLOOKUP($C100,OFFSET([1]quests!$A$1,0,0,COUNTA([1]quests!$A:$A),MATCH(D$1,[1]quests!$1:$1,0)-MATCH($C$1,[1]quests!$1:$1,0)+1),MATCH(D$1,[1]quests!$1:$1,0)-MATCH($C$1,[1]quests!$1:$1,0)+1,FALSE)</f>
        <v>狩人の挽歌</v>
      </c>
      <c r="E100" s="4" t="str">
        <f ca="1">VLOOKUP($C100,OFFSET([1]quests!$A$1,0,0,COUNTA([1]quests!$A:$A),MATCH(E$1,[1]quests!$1:$1,0)-MATCH($C$1,[1]quests!$1:$1,0)+1),MATCH(E$1,[1]quests!$1:$1,0)-MATCH($C$1,[1]quests!$1:$1,0)+1,FALSE)</f>
        <v>ドロップイベント5（マルチ専用）</v>
      </c>
      <c r="F100" s="6">
        <v>2</v>
      </c>
      <c r="G100" s="4" t="str">
        <f ca="1">VLOOKUP($C100&amp;"_"&amp;$F100,OFFSET([1]stages!$A$1,0,0,COUNTA([1]stages!$A:$A),MATCH(G$1,[1]stages!$2:$2,0)-MATCH("temp_stage",[1]stages!$2:$2,0)+1),MATCH(G$1,[1]stages!$2:$2,0)-MATCH("temp_stage",[1]stages!$2:$2,0)+1,FALSE)</f>
        <v>【超絶級】狩人の挽歌</v>
      </c>
      <c r="H100" s="4" t="str">
        <f ca="1">VLOOKUP($C100&amp;"_"&amp;$F100,OFFSET([1]stages!$A$1,0,0,COUNTA([1]stages!$A:$A),MATCH(H$1,[1]stages!$2:$2,0)-MATCH("temp_stage",[1]stages!$2:$2,0)+1),MATCH(H$1,[1]stages!$2:$2,0)-MATCH("temp_stage",[1]stages!$2:$2,0)+1,FALSE)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00" s="19">
        <v>0</v>
      </c>
      <c r="J100">
        <v>19</v>
      </c>
      <c r="K100" s="6" t="s">
        <v>17</v>
      </c>
      <c r="L100" s="36" t="str">
        <f>VLOOKUP(J100,[2]stage_hints!$A:$C,3,FALSE)</f>
        <v>チャレンジタワー</v>
      </c>
      <c r="M100" s="37" t="str">
        <f>VLOOKUP(J100,[2]stage_hints!$A:$D,4,FALSE)</f>
        <v>「チャレンジタワー」をクリアすると_x000D_各フロアごとに報酬がもらえます</v>
      </c>
      <c r="N100" s="22" t="s">
        <v>24</v>
      </c>
      <c r="O100">
        <v>19</v>
      </c>
    </row>
    <row r="101" spans="1:15">
      <c r="A101" s="29" t="e">
        <f>C101&amp;"_"&amp;F101&amp;"_"&amp;#REF!</f>
        <v>#REF!</v>
      </c>
      <c r="B101" s="27" t="s">
        <v>33</v>
      </c>
      <c r="C101" s="5">
        <v>30017</v>
      </c>
      <c r="D101" s="4" t="str">
        <f ca="1">VLOOKUP($C101,OFFSET([1]quests!$A$1,0,0,COUNTA([1]quests!$A:$A),MATCH(D$1,[1]quests!$1:$1,0)-MATCH($C$1,[1]quests!$1:$1,0)+1),MATCH(D$1,[1]quests!$1:$1,0)-MATCH($C$1,[1]quests!$1:$1,0)+1,FALSE)</f>
        <v>狩人の挽歌</v>
      </c>
      <c r="E101" s="4" t="str">
        <f ca="1">VLOOKUP($C101,OFFSET([1]quests!$A$1,0,0,COUNTA([1]quests!$A:$A),MATCH(E$1,[1]quests!$1:$1,0)-MATCH($C$1,[1]quests!$1:$1,0)+1),MATCH(E$1,[1]quests!$1:$1,0)-MATCH($C$1,[1]quests!$1:$1,0)+1,FALSE)</f>
        <v>ドロップイベント5（マルチ専用）</v>
      </c>
      <c r="F101" s="6">
        <v>2</v>
      </c>
      <c r="G101" s="4" t="str">
        <f ca="1">VLOOKUP($C101&amp;"_"&amp;$F101,OFFSET([1]stages!$A$1,0,0,COUNTA([1]stages!$A:$A),MATCH(G$1,[1]stages!$2:$2,0)-MATCH("temp_stage",[1]stages!$2:$2,0)+1),MATCH(G$1,[1]stages!$2:$2,0)-MATCH("temp_stage",[1]stages!$2:$2,0)+1,FALSE)</f>
        <v>【超絶級】狩人の挽歌</v>
      </c>
      <c r="H101" s="4" t="str">
        <f ca="1">VLOOKUP($C101&amp;"_"&amp;$F101,OFFSET([1]stages!$A$1,0,0,COUNTA([1]stages!$A:$A),MATCH(H$1,[1]stages!$2:$2,0)-MATCH("temp_stage",[1]stages!$2:$2,0)+1),MATCH(H$1,[1]stages!$2:$2,0)-MATCH("temp_stage",[1]stages!$2:$2,0)+1,FALSE)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01" s="19">
        <v>0</v>
      </c>
      <c r="J101">
        <v>21</v>
      </c>
      <c r="K101" s="6" t="s">
        <v>17</v>
      </c>
      <c r="L101" s="36" t="str">
        <f>VLOOKUP(J101,[2]stage_hints!$A:$C,3,FALSE)</f>
        <v>スキルを有効に使おう</v>
      </c>
      <c r="M101" s="37" t="str">
        <f>VLOOKUP(J101,[2]stage_hints!$A:$D,4,FALSE)</f>
        <v>ターン経過でユニットは_x000D_強力なスキルが使えるようになります</v>
      </c>
      <c r="N101" s="22" t="s">
        <v>24</v>
      </c>
      <c r="O101">
        <v>21</v>
      </c>
    </row>
    <row r="102" spans="1:15">
      <c r="A102" s="29" t="e">
        <f>C102&amp;"_"&amp;F102&amp;"_"&amp;#REF!</f>
        <v>#REF!</v>
      </c>
      <c r="B102" s="27" t="s">
        <v>33</v>
      </c>
      <c r="C102" s="5">
        <v>30017</v>
      </c>
      <c r="D102" s="4" t="str">
        <f ca="1">VLOOKUP($C102,OFFSET([1]quests!$A$1,0,0,COUNTA([1]quests!$A:$A),MATCH(D$1,[1]quests!$1:$1,0)-MATCH($C$1,[1]quests!$1:$1,0)+1),MATCH(D$1,[1]quests!$1:$1,0)-MATCH($C$1,[1]quests!$1:$1,0)+1,FALSE)</f>
        <v>狩人の挽歌</v>
      </c>
      <c r="E102" s="4" t="str">
        <f ca="1">VLOOKUP($C102,OFFSET([1]quests!$A$1,0,0,COUNTA([1]quests!$A:$A),MATCH(E$1,[1]quests!$1:$1,0)-MATCH($C$1,[1]quests!$1:$1,0)+1),MATCH(E$1,[1]quests!$1:$1,0)-MATCH($C$1,[1]quests!$1:$1,0)+1,FALSE)</f>
        <v>ドロップイベント5（マルチ専用）</v>
      </c>
      <c r="F102" s="6">
        <v>2</v>
      </c>
      <c r="G102" s="4" t="str">
        <f ca="1">VLOOKUP($C102&amp;"_"&amp;$F102,OFFSET([1]stages!$A$1,0,0,COUNTA([1]stages!$A:$A),MATCH(G$1,[1]stages!$2:$2,0)-MATCH("temp_stage",[1]stages!$2:$2,0)+1),MATCH(G$1,[1]stages!$2:$2,0)-MATCH("temp_stage",[1]stages!$2:$2,0)+1,FALSE)</f>
        <v>【超絶級】狩人の挽歌</v>
      </c>
      <c r="H102" s="4" t="str">
        <f ca="1">VLOOKUP($C102&amp;"_"&amp;$F102,OFFSET([1]stages!$A$1,0,0,COUNTA([1]stages!$A:$A),MATCH(H$1,[1]stages!$2:$2,0)-MATCH("temp_stage",[1]stages!$2:$2,0)+1),MATCH(H$1,[1]stages!$2:$2,0)-MATCH("temp_stage",[1]stages!$2:$2,0)+1,FALSE)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02" s="19">
        <v>0</v>
      </c>
      <c r="J102">
        <v>29</v>
      </c>
      <c r="K102" s="6" t="s">
        <v>17</v>
      </c>
      <c r="L102" s="36" t="str">
        <f>VLOOKUP(J102,[2]stage_hints!$A:$C,3,FALSE)</f>
        <v>ステータスのバグって何？</v>
      </c>
      <c r="M102" s="37" t="str">
        <f>VLOOKUP(J102,[2]stage_hints!$A:$D,4,FALSE)</f>
        <v>「バグ」を上げると_x000D_報酬をもらえる確率がアップします</v>
      </c>
      <c r="N102" s="22" t="s">
        <v>24</v>
      </c>
      <c r="O102">
        <v>29</v>
      </c>
    </row>
    <row r="103" spans="1:15">
      <c r="A103" s="29" t="e">
        <f>C103&amp;"_"&amp;F103&amp;"_"&amp;#REF!</f>
        <v>#REF!</v>
      </c>
      <c r="B103" s="27" t="s">
        <v>33</v>
      </c>
      <c r="C103" s="5">
        <v>30017</v>
      </c>
      <c r="D103" s="4" t="str">
        <f ca="1">VLOOKUP($C103,OFFSET([1]quests!$A$1,0,0,COUNTA([1]quests!$A:$A),MATCH(D$1,[1]quests!$1:$1,0)-MATCH($C$1,[1]quests!$1:$1,0)+1),MATCH(D$1,[1]quests!$1:$1,0)-MATCH($C$1,[1]quests!$1:$1,0)+1,FALSE)</f>
        <v>狩人の挽歌</v>
      </c>
      <c r="E103" s="4" t="str">
        <f ca="1">VLOOKUP($C103,OFFSET([1]quests!$A$1,0,0,COUNTA([1]quests!$A:$A),MATCH(E$1,[1]quests!$1:$1,0)-MATCH($C$1,[1]quests!$1:$1,0)+1),MATCH(E$1,[1]quests!$1:$1,0)-MATCH($C$1,[1]quests!$1:$1,0)+1,FALSE)</f>
        <v>ドロップイベント5（マルチ専用）</v>
      </c>
      <c r="F103" s="6">
        <v>2</v>
      </c>
      <c r="G103" s="4" t="str">
        <f ca="1">VLOOKUP($C103&amp;"_"&amp;$F103,OFFSET([1]stages!$A$1,0,0,COUNTA([1]stages!$A:$A),MATCH(G$1,[1]stages!$2:$2,0)-MATCH("temp_stage",[1]stages!$2:$2,0)+1),MATCH(G$1,[1]stages!$2:$2,0)-MATCH("temp_stage",[1]stages!$2:$2,0)+1,FALSE)</f>
        <v>【超絶級】狩人の挽歌</v>
      </c>
      <c r="H103" s="4" t="str">
        <f ca="1">VLOOKUP($C103&amp;"_"&amp;$F103,OFFSET([1]stages!$A$1,0,0,COUNTA([1]stages!$A:$A),MATCH(H$1,[1]stages!$2:$2,0)-MATCH("temp_stage",[1]stages!$2:$2,0)+1),MATCH(H$1,[1]stages!$2:$2,0)-MATCH("temp_stage",[1]stages!$2:$2,0)+1,FALSE)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03" s="19">
        <v>0</v>
      </c>
      <c r="J103">
        <v>30</v>
      </c>
      <c r="K103" s="6" t="s">
        <v>17</v>
      </c>
      <c r="L103" s="36" t="str">
        <f>VLOOKUP(J103,[2]stage_hints!$A:$C,3,FALSE)</f>
        <v>ステータスのバグを増やす方法</v>
      </c>
      <c r="M103" s="37" t="str">
        <f>VLOOKUP(J103,[2]stage_hints!$A:$D,4,FALSE)</f>
        <v>同じユニット同士を強化すると_x000D_「バグ」を増やすことができます</v>
      </c>
      <c r="N103" s="22" t="s">
        <v>24</v>
      </c>
      <c r="O103">
        <v>30</v>
      </c>
    </row>
    <row r="104" spans="1:15">
      <c r="A104" s="29" t="e">
        <f>C104&amp;"_"&amp;F104&amp;"_"&amp;#REF!</f>
        <v>#REF!</v>
      </c>
      <c r="B104" s="27" t="s">
        <v>33</v>
      </c>
      <c r="C104" s="5">
        <v>30017</v>
      </c>
      <c r="D104" s="4" t="str">
        <f ca="1">VLOOKUP($C104,OFFSET([1]quests!$A$1,0,0,COUNTA([1]quests!$A:$A),MATCH(D$1,[1]quests!$1:$1,0)-MATCH($C$1,[1]quests!$1:$1,0)+1),MATCH(D$1,[1]quests!$1:$1,0)-MATCH($C$1,[1]quests!$1:$1,0)+1,FALSE)</f>
        <v>狩人の挽歌</v>
      </c>
      <c r="E104" s="4" t="str">
        <f ca="1">VLOOKUP($C104,OFFSET([1]quests!$A$1,0,0,COUNTA([1]quests!$A:$A),MATCH(E$1,[1]quests!$1:$1,0)-MATCH($C$1,[1]quests!$1:$1,0)+1),MATCH(E$1,[1]quests!$1:$1,0)-MATCH($C$1,[1]quests!$1:$1,0)+1,FALSE)</f>
        <v>ドロップイベント5（マルチ専用）</v>
      </c>
      <c r="F104" s="6">
        <v>2</v>
      </c>
      <c r="G104" s="4" t="str">
        <f ca="1">VLOOKUP($C104&amp;"_"&amp;$F104,OFFSET([1]stages!$A$1,0,0,COUNTA([1]stages!$A:$A),MATCH(G$1,[1]stages!$2:$2,0)-MATCH("temp_stage",[1]stages!$2:$2,0)+1),MATCH(G$1,[1]stages!$2:$2,0)-MATCH("temp_stage",[1]stages!$2:$2,0)+1,FALSE)</f>
        <v>【超絶級】狩人の挽歌</v>
      </c>
      <c r="H104" s="4" t="str">
        <f ca="1">VLOOKUP($C104&amp;"_"&amp;$F104,OFFSET([1]stages!$A$1,0,0,COUNTA([1]stages!$A:$A),MATCH(H$1,[1]stages!$2:$2,0)-MATCH("temp_stage",[1]stages!$2:$2,0)+1),MATCH(H$1,[1]stages!$2:$2,0)-MATCH("temp_stage",[1]stages!$2:$2,0)+1,FALSE)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04" s="19">
        <v>0</v>
      </c>
      <c r="J104">
        <v>32</v>
      </c>
      <c r="K104" s="6" t="s">
        <v>17</v>
      </c>
      <c r="L104" s="36" t="str">
        <f>VLOOKUP(J104,[2]stage_hints!$A:$C,3,FALSE)</f>
        <v>連続攻撃をしてくる敵には</v>
      </c>
      <c r="M104" s="37" t="str">
        <f>VLOOKUP(J104,[2]stage_hints!$A:$D,4,FALSE)</f>
        <v>敵の連続攻撃には「カウンター」スキルが有効！_x000D_ダメージ回数分の攻撃を返せます</v>
      </c>
      <c r="N104" s="22" t="s">
        <v>24</v>
      </c>
      <c r="O104">
        <v>32</v>
      </c>
    </row>
    <row r="105" spans="1:15">
      <c r="A105" s="29" t="e">
        <f>C105&amp;"_"&amp;F105&amp;"_"&amp;#REF!</f>
        <v>#REF!</v>
      </c>
      <c r="B105" s="27" t="s">
        <v>33</v>
      </c>
      <c r="C105" s="5">
        <v>30017</v>
      </c>
      <c r="D105" s="4" t="str">
        <f ca="1">VLOOKUP($C105,OFFSET([1]quests!$A$1,0,0,COUNTA([1]quests!$A:$A),MATCH(D$1,[1]quests!$1:$1,0)-MATCH($C$1,[1]quests!$1:$1,0)+1),MATCH(D$1,[1]quests!$1:$1,0)-MATCH($C$1,[1]quests!$1:$1,0)+1,FALSE)</f>
        <v>狩人の挽歌</v>
      </c>
      <c r="E105" s="4" t="str">
        <f ca="1">VLOOKUP($C105,OFFSET([1]quests!$A$1,0,0,COUNTA([1]quests!$A:$A),MATCH(E$1,[1]quests!$1:$1,0)-MATCH($C$1,[1]quests!$1:$1,0)+1),MATCH(E$1,[1]quests!$1:$1,0)-MATCH($C$1,[1]quests!$1:$1,0)+1,FALSE)</f>
        <v>ドロップイベント5（マルチ専用）</v>
      </c>
      <c r="F105" s="6">
        <v>2</v>
      </c>
      <c r="G105" s="4" t="str">
        <f ca="1">VLOOKUP($C105&amp;"_"&amp;$F105,OFFSET([1]stages!$A$1,0,0,COUNTA([1]stages!$A:$A),MATCH(G$1,[1]stages!$2:$2,0)-MATCH("temp_stage",[1]stages!$2:$2,0)+1),MATCH(G$1,[1]stages!$2:$2,0)-MATCH("temp_stage",[1]stages!$2:$2,0)+1,FALSE)</f>
        <v>【超絶級】狩人の挽歌</v>
      </c>
      <c r="H105" s="4" t="str">
        <f ca="1">VLOOKUP($C105&amp;"_"&amp;$F105,OFFSET([1]stages!$A$1,0,0,COUNTA([1]stages!$A:$A),MATCH(H$1,[1]stages!$2:$2,0)-MATCH("temp_stage",[1]stages!$2:$2,0)+1),MATCH(H$1,[1]stages!$2:$2,0)-MATCH("temp_stage",[1]stages!$2:$2,0)+1,FALSE)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05" s="19">
        <v>0</v>
      </c>
      <c r="J105">
        <v>33</v>
      </c>
      <c r="K105" s="6" t="s">
        <v>17</v>
      </c>
      <c r="L105" s="36" t="str">
        <f>VLOOKUP(J105,[2]stage_hints!$A:$C,3,FALSE)</f>
        <v>カウンターブレイク！</v>
      </c>
      <c r="M105" s="37" t="str">
        <f>VLOOKUP(J105,[2]stage_hints!$A:$D,4,FALSE)</f>
        <v>敵のカウンターには「カウンターブレイク」！_x000D_カウンターを解除して攻撃をしかけましょう</v>
      </c>
      <c r="N105" s="22" t="s">
        <v>24</v>
      </c>
      <c r="O105">
        <v>33</v>
      </c>
    </row>
    <row r="106" spans="1:15">
      <c r="A106" s="29" t="e">
        <f>C106&amp;"_"&amp;F106&amp;"_"&amp;#REF!</f>
        <v>#REF!</v>
      </c>
      <c r="B106" s="27" t="s">
        <v>33</v>
      </c>
      <c r="C106" s="5">
        <v>30017</v>
      </c>
      <c r="D106" s="4" t="str">
        <f ca="1">VLOOKUP($C106,OFFSET([1]quests!$A$1,0,0,COUNTA([1]quests!$A:$A),MATCH(D$1,[1]quests!$1:$1,0)-MATCH($C$1,[1]quests!$1:$1,0)+1),MATCH(D$1,[1]quests!$1:$1,0)-MATCH($C$1,[1]quests!$1:$1,0)+1,FALSE)</f>
        <v>狩人の挽歌</v>
      </c>
      <c r="E106" s="4" t="str">
        <f ca="1">VLOOKUP($C106,OFFSET([1]quests!$A$1,0,0,COUNTA([1]quests!$A:$A),MATCH(E$1,[1]quests!$1:$1,0)-MATCH($C$1,[1]quests!$1:$1,0)+1),MATCH(E$1,[1]quests!$1:$1,0)-MATCH($C$1,[1]quests!$1:$1,0)+1,FALSE)</f>
        <v>ドロップイベント5（マルチ専用）</v>
      </c>
      <c r="F106" s="6">
        <v>2</v>
      </c>
      <c r="G106" s="4" t="str">
        <f ca="1">VLOOKUP($C106&amp;"_"&amp;$F106,OFFSET([1]stages!$A$1,0,0,COUNTA([1]stages!$A:$A),MATCH(G$1,[1]stages!$2:$2,0)-MATCH("temp_stage",[1]stages!$2:$2,0)+1),MATCH(G$1,[1]stages!$2:$2,0)-MATCH("temp_stage",[1]stages!$2:$2,0)+1,FALSE)</f>
        <v>【超絶級】狩人の挽歌</v>
      </c>
      <c r="H106" s="4" t="str">
        <f ca="1">VLOOKUP($C106&amp;"_"&amp;$F106,OFFSET([1]stages!$A$1,0,0,COUNTA([1]stages!$A:$A),MATCH(H$1,[1]stages!$2:$2,0)-MATCH("temp_stage",[1]stages!$2:$2,0)+1),MATCH(H$1,[1]stages!$2:$2,0)-MATCH("temp_stage",[1]stages!$2:$2,0)+1,FALSE)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06" s="19">
        <v>0</v>
      </c>
      <c r="J106">
        <v>34</v>
      </c>
      <c r="K106" s="6" t="s">
        <v>17</v>
      </c>
      <c r="L106" s="36" t="str">
        <f>VLOOKUP(J106,[2]stage_hints!$A:$C,3,FALSE)</f>
        <v>敵のDOWNを上書きしよう！</v>
      </c>
      <c r="M106" s="37" t="str">
        <f>VLOOKUP(J106,[2]stage_hints!$A:$D,4,FALSE)</f>
        <v>攻撃力ダウンを受けたときは_x000D_攻撃力アップスキルで効果を上書きできます</v>
      </c>
      <c r="N106" s="22" t="s">
        <v>24</v>
      </c>
      <c r="O106">
        <v>34</v>
      </c>
    </row>
    <row r="107" spans="1:15">
      <c r="A107" s="29" t="e">
        <f>C107&amp;"_"&amp;F107&amp;"_"&amp;#REF!</f>
        <v>#REF!</v>
      </c>
      <c r="B107" s="27" t="s">
        <v>33</v>
      </c>
      <c r="C107" s="5">
        <v>30017</v>
      </c>
      <c r="D107" s="4" t="str">
        <f ca="1">VLOOKUP($C107,OFFSET([1]quests!$A$1,0,0,COUNTA([1]quests!$A:$A),MATCH(D$1,[1]quests!$1:$1,0)-MATCH($C$1,[1]quests!$1:$1,0)+1),MATCH(D$1,[1]quests!$1:$1,0)-MATCH($C$1,[1]quests!$1:$1,0)+1,FALSE)</f>
        <v>狩人の挽歌</v>
      </c>
      <c r="E107" s="4" t="str">
        <f ca="1">VLOOKUP($C107,OFFSET([1]quests!$A$1,0,0,COUNTA([1]quests!$A:$A),MATCH(E$1,[1]quests!$1:$1,0)-MATCH($C$1,[1]quests!$1:$1,0)+1),MATCH(E$1,[1]quests!$1:$1,0)-MATCH($C$1,[1]quests!$1:$1,0)+1,FALSE)</f>
        <v>ドロップイベント5（マルチ専用）</v>
      </c>
      <c r="F107" s="6">
        <v>2</v>
      </c>
      <c r="G107" s="4" t="str">
        <f ca="1">VLOOKUP($C107&amp;"_"&amp;$F107,OFFSET([1]stages!$A$1,0,0,COUNTA([1]stages!$A:$A),MATCH(G$1,[1]stages!$2:$2,0)-MATCH("temp_stage",[1]stages!$2:$2,0)+1),MATCH(G$1,[1]stages!$2:$2,0)-MATCH("temp_stage",[1]stages!$2:$2,0)+1,FALSE)</f>
        <v>【超絶級】狩人の挽歌</v>
      </c>
      <c r="H107" s="4" t="str">
        <f ca="1">VLOOKUP($C107&amp;"_"&amp;$F107,OFFSET([1]stages!$A$1,0,0,COUNTA([1]stages!$A:$A),MATCH(H$1,[1]stages!$2:$2,0)-MATCH("temp_stage",[1]stages!$2:$2,0)+1),MATCH(H$1,[1]stages!$2:$2,0)-MATCH("temp_stage",[1]stages!$2:$2,0)+1,FALSE)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07" s="19">
        <v>0</v>
      </c>
      <c r="J107">
        <v>35</v>
      </c>
      <c r="K107" s="6" t="s">
        <v>17</v>
      </c>
      <c r="L107" s="36" t="str">
        <f>VLOOKUP(J107,[2]stage_hints!$A:$C,3,FALSE)</f>
        <v>敵のUPを上書きしよう！</v>
      </c>
      <c r="M107" s="37" t="str">
        <f>VLOOKUP(J107,[2]stage_hints!$A:$D,4,FALSE)</f>
        <v>敵の攻撃力がアップしたときは_x000D_攻撃力ダウンスキルで効果を上書きできます</v>
      </c>
      <c r="N107" s="22" t="s">
        <v>24</v>
      </c>
      <c r="O107">
        <v>35</v>
      </c>
    </row>
    <row r="108" spans="1:15">
      <c r="A108" s="29" t="e">
        <f>C108&amp;"_"&amp;F108&amp;"_"&amp;#REF!</f>
        <v>#REF!</v>
      </c>
      <c r="B108" s="27" t="s">
        <v>33</v>
      </c>
      <c r="C108" s="5">
        <v>30017</v>
      </c>
      <c r="D108" s="4" t="str">
        <f ca="1">VLOOKUP($C108,OFFSET([1]quests!$A$1,0,0,COUNTA([1]quests!$A:$A),MATCH(D$1,[1]quests!$1:$1,0)-MATCH($C$1,[1]quests!$1:$1,0)+1),MATCH(D$1,[1]quests!$1:$1,0)-MATCH($C$1,[1]quests!$1:$1,0)+1,FALSE)</f>
        <v>狩人の挽歌</v>
      </c>
      <c r="E108" s="4" t="str">
        <f ca="1">VLOOKUP($C108,OFFSET([1]quests!$A$1,0,0,COUNTA([1]quests!$A:$A),MATCH(E$1,[1]quests!$1:$1,0)-MATCH($C$1,[1]quests!$1:$1,0)+1),MATCH(E$1,[1]quests!$1:$1,0)-MATCH($C$1,[1]quests!$1:$1,0)+1,FALSE)</f>
        <v>ドロップイベント5（マルチ専用）</v>
      </c>
      <c r="F108" s="6">
        <v>2</v>
      </c>
      <c r="G108" s="4" t="str">
        <f ca="1">VLOOKUP($C108&amp;"_"&amp;$F108,OFFSET([1]stages!$A$1,0,0,COUNTA([1]stages!$A:$A),MATCH(G$1,[1]stages!$2:$2,0)-MATCH("temp_stage",[1]stages!$2:$2,0)+1),MATCH(G$1,[1]stages!$2:$2,0)-MATCH("temp_stage",[1]stages!$2:$2,0)+1,FALSE)</f>
        <v>【超絶級】狩人の挽歌</v>
      </c>
      <c r="H108" s="4" t="str">
        <f ca="1">VLOOKUP($C108&amp;"_"&amp;$F108,OFFSET([1]stages!$A$1,0,0,COUNTA([1]stages!$A:$A),MATCH(H$1,[1]stages!$2:$2,0)-MATCH("temp_stage",[1]stages!$2:$2,0)+1),MATCH(H$1,[1]stages!$2:$2,0)-MATCH("temp_stage",[1]stages!$2:$2,0)+1,FALSE)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08" s="19">
        <v>0</v>
      </c>
      <c r="J108">
        <v>36</v>
      </c>
      <c r="K108" s="6" t="s">
        <v>17</v>
      </c>
      <c r="L108" s="36" t="str">
        <f>VLOOKUP(J108,[2]stage_hints!$A:$C,3,FALSE)</f>
        <v>チャレンジタワーのボス</v>
      </c>
      <c r="M108" s="37" t="str">
        <f>VLOOKUP(J108,[2]stage_hints!$A:$D,4,FALSE)</f>
        <v>チャレンジタワー15F、20F、25Fのボスは_x000D_一定確率でドロップするようです</v>
      </c>
      <c r="N108" s="22" t="s">
        <v>24</v>
      </c>
      <c r="O108">
        <v>36</v>
      </c>
    </row>
    <row r="109" spans="1:15">
      <c r="A109" s="29" t="e">
        <f>C109&amp;"_"&amp;F109&amp;"_"&amp;#REF!</f>
        <v>#REF!</v>
      </c>
      <c r="B109" s="27" t="s">
        <v>33</v>
      </c>
      <c r="C109" s="5">
        <v>30017</v>
      </c>
      <c r="D109" s="4" t="str">
        <f ca="1">VLOOKUP($C109,OFFSET([1]quests!$A$1,0,0,COUNTA([1]quests!$A:$A),MATCH(D$1,[1]quests!$1:$1,0)-MATCH($C$1,[1]quests!$1:$1,0)+1),MATCH(D$1,[1]quests!$1:$1,0)-MATCH($C$1,[1]quests!$1:$1,0)+1,FALSE)</f>
        <v>狩人の挽歌</v>
      </c>
      <c r="E109" s="4" t="str">
        <f ca="1">VLOOKUP($C109,OFFSET([1]quests!$A$1,0,0,COUNTA([1]quests!$A:$A),MATCH(E$1,[1]quests!$1:$1,0)-MATCH($C$1,[1]quests!$1:$1,0)+1),MATCH(E$1,[1]quests!$1:$1,0)-MATCH($C$1,[1]quests!$1:$1,0)+1,FALSE)</f>
        <v>ドロップイベント5（マルチ専用）</v>
      </c>
      <c r="F109" s="6">
        <v>2</v>
      </c>
      <c r="G109" s="4" t="str">
        <f ca="1">VLOOKUP($C109&amp;"_"&amp;$F109,OFFSET([1]stages!$A$1,0,0,COUNTA([1]stages!$A:$A),MATCH(G$1,[1]stages!$2:$2,0)-MATCH("temp_stage",[1]stages!$2:$2,0)+1),MATCH(G$1,[1]stages!$2:$2,0)-MATCH("temp_stage",[1]stages!$2:$2,0)+1,FALSE)</f>
        <v>【超絶級】狩人の挽歌</v>
      </c>
      <c r="H109" s="4" t="str">
        <f ca="1">VLOOKUP($C109&amp;"_"&amp;$F109,OFFSET([1]stages!$A$1,0,0,COUNTA([1]stages!$A:$A),MATCH(H$1,[1]stages!$2:$2,0)-MATCH("temp_stage",[1]stages!$2:$2,0)+1),MATCH(H$1,[1]stages!$2:$2,0)-MATCH("temp_stage",[1]stages!$2:$2,0)+1,FALSE)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09" s="19">
        <v>0</v>
      </c>
      <c r="J109">
        <v>37</v>
      </c>
      <c r="K109" s="6" t="s">
        <v>17</v>
      </c>
      <c r="L109" s="36" t="str">
        <f>VLOOKUP(J109,[2]stage_hints!$A:$C,3,FALSE)</f>
        <v>限界突破の引継</v>
      </c>
      <c r="M109" s="37" t="str">
        <f>VLOOKUP(J109,[2]stage_hints!$A:$D,4,FALSE)</f>
        <v>限界突破の+値は同じユニットなら_x000D_覚醒前後でも強化で引き継がれます</v>
      </c>
      <c r="N109" s="22" t="s">
        <v>24</v>
      </c>
      <c r="O109">
        <v>37</v>
      </c>
    </row>
    <row r="110" spans="1:15">
      <c r="A110" s="29" t="e">
        <f>C110&amp;"_"&amp;F110&amp;"_"&amp;#REF!</f>
        <v>#REF!</v>
      </c>
      <c r="B110" s="27" t="s">
        <v>33</v>
      </c>
      <c r="C110" s="5">
        <v>30018</v>
      </c>
      <c r="D110" s="4" t="str">
        <f ca="1">VLOOKUP($C110,OFFSET([1]quests!$A$1,0,0,COUNTA([1]quests!$A:$A),MATCH(D$1,[1]quests!$1:$1,0)-MATCH($C$1,[1]quests!$1:$1,0)+1),MATCH(D$1,[1]quests!$1:$1,0)-MATCH($C$1,[1]quests!$1:$1,0)+1,FALSE)</f>
        <v>バックストリートファイト</v>
      </c>
      <c r="E110" s="4" t="str">
        <f ca="1">VLOOKUP($C110,OFFSET([1]quests!$A$1,0,0,COUNTA([1]quests!$A:$A),MATCH(E$1,[1]quests!$1:$1,0)-MATCH($C$1,[1]quests!$1:$1,0)+1),MATCH(E$1,[1]quests!$1:$1,0)-MATCH($C$1,[1]quests!$1:$1,0)+1,FALSE)</f>
        <v>ドロップイベント5（マルチ専用）</v>
      </c>
      <c r="F110" s="6">
        <v>2</v>
      </c>
      <c r="G110" s="4" t="str">
        <f ca="1">VLOOKUP($C110&amp;"_"&amp;$F110,OFFSET([1]stages!$A$1,0,0,COUNTA([1]stages!$A:$A),MATCH(G$1,[1]stages!$2:$2,0)-MATCH("temp_stage",[1]stages!$2:$2,0)+1),MATCH(G$1,[1]stages!$2:$2,0)-MATCH("temp_stage",[1]stages!$2:$2,0)+1,FALSE)</f>
        <v>【超絶級】バックストリートファイト</v>
      </c>
      <c r="H110" s="4" t="str">
        <f ca="1">VLOOKUP($C110&amp;"_"&amp;$F110,OFFSET([1]stages!$A$1,0,0,COUNTA([1]stages!$A:$A),MATCH(H$1,[1]stages!$2:$2,0)-MATCH("temp_stage",[1]stages!$2:$2,0)+1),MATCH(H$1,[1]stages!$2:$2,0)-MATCH("temp_stage",[1]stages!$2:$2,0)+1,FALSE)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10" s="19">
        <v>0</v>
      </c>
      <c r="J110">
        <v>12</v>
      </c>
      <c r="K110" s="6" t="s">
        <v>17</v>
      </c>
      <c r="L110" s="36" t="str">
        <f>VLOOKUP(J110,[2]stage_hints!$A:$C,3,FALSE)</f>
        <v>お気に入り登録</v>
      </c>
      <c r="M110" s="37" t="str">
        <f>VLOOKUP(J110,[2]stage_hints!$A:$D,4,FALSE)</f>
        <v>大事なユニットは_x000D_フォルダから「お気に入り登録」しましょう</v>
      </c>
      <c r="N110" s="22" t="s">
        <v>24</v>
      </c>
      <c r="O110">
        <v>12</v>
      </c>
    </row>
    <row r="111" spans="1:15">
      <c r="A111" s="29" t="e">
        <f>C111&amp;"_"&amp;F111&amp;"_"&amp;#REF!</f>
        <v>#REF!</v>
      </c>
      <c r="B111" s="27" t="s">
        <v>33</v>
      </c>
      <c r="C111" s="5">
        <v>30018</v>
      </c>
      <c r="D111" s="4" t="str">
        <f ca="1">VLOOKUP($C111,OFFSET([1]quests!$A$1,0,0,COUNTA([1]quests!$A:$A),MATCH(D$1,[1]quests!$1:$1,0)-MATCH($C$1,[1]quests!$1:$1,0)+1),MATCH(D$1,[1]quests!$1:$1,0)-MATCH($C$1,[1]quests!$1:$1,0)+1,FALSE)</f>
        <v>バックストリートファイト</v>
      </c>
      <c r="E111" s="4" t="str">
        <f ca="1">VLOOKUP($C111,OFFSET([1]quests!$A$1,0,0,COUNTA([1]quests!$A:$A),MATCH(E$1,[1]quests!$1:$1,0)-MATCH($C$1,[1]quests!$1:$1,0)+1),MATCH(E$1,[1]quests!$1:$1,0)-MATCH($C$1,[1]quests!$1:$1,0)+1,FALSE)</f>
        <v>ドロップイベント5（マルチ専用）</v>
      </c>
      <c r="F111" s="6">
        <v>2</v>
      </c>
      <c r="G111" s="4" t="str">
        <f ca="1">VLOOKUP($C111&amp;"_"&amp;$F111,OFFSET([1]stages!$A$1,0,0,COUNTA([1]stages!$A:$A),MATCH(G$1,[1]stages!$2:$2,0)-MATCH("temp_stage",[1]stages!$2:$2,0)+1),MATCH(G$1,[1]stages!$2:$2,0)-MATCH("temp_stage",[1]stages!$2:$2,0)+1,FALSE)</f>
        <v>【超絶級】バックストリートファイト</v>
      </c>
      <c r="H111" s="4" t="str">
        <f ca="1">VLOOKUP($C111&amp;"_"&amp;$F111,OFFSET([1]stages!$A$1,0,0,COUNTA([1]stages!$A:$A),MATCH(H$1,[1]stages!$2:$2,0)-MATCH("temp_stage",[1]stages!$2:$2,0)+1),MATCH(H$1,[1]stages!$2:$2,0)-MATCH("temp_stage",[1]stages!$2:$2,0)+1,FALSE)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11" s="19">
        <v>0</v>
      </c>
      <c r="J111">
        <v>17</v>
      </c>
      <c r="K111" s="6" t="s">
        <v>17</v>
      </c>
      <c r="L111" s="36" t="str">
        <f>VLOOKUP(J111,[2]stage_hints!$A:$C,3,FALSE)</f>
        <v>リンクガチャを引いてみよう</v>
      </c>
      <c r="M111" s="37" t="str">
        <f>VLOOKUP(J111,[2]stage_hints!$A:$D,4,FALSE)</f>
        <v>リンクガチャを回して_x000D_メタルダックやゴールドダックを獲得しましょう</v>
      </c>
      <c r="N111" s="22" t="s">
        <v>24</v>
      </c>
      <c r="O111">
        <v>17</v>
      </c>
    </row>
    <row r="112" spans="1:15">
      <c r="A112" s="29" t="e">
        <f>C112&amp;"_"&amp;F112&amp;"_"&amp;#REF!</f>
        <v>#REF!</v>
      </c>
      <c r="B112" s="27" t="s">
        <v>33</v>
      </c>
      <c r="C112" s="5">
        <v>30018</v>
      </c>
      <c r="D112" s="4" t="str">
        <f ca="1">VLOOKUP($C112,OFFSET([1]quests!$A$1,0,0,COUNTA([1]quests!$A:$A),MATCH(D$1,[1]quests!$1:$1,0)-MATCH($C$1,[1]quests!$1:$1,0)+1),MATCH(D$1,[1]quests!$1:$1,0)-MATCH($C$1,[1]quests!$1:$1,0)+1,FALSE)</f>
        <v>バックストリートファイト</v>
      </c>
      <c r="E112" s="4" t="str">
        <f ca="1">VLOOKUP($C112,OFFSET([1]quests!$A$1,0,0,COUNTA([1]quests!$A:$A),MATCH(E$1,[1]quests!$1:$1,0)-MATCH($C$1,[1]quests!$1:$1,0)+1),MATCH(E$1,[1]quests!$1:$1,0)-MATCH($C$1,[1]quests!$1:$1,0)+1,FALSE)</f>
        <v>ドロップイベント5（マルチ専用）</v>
      </c>
      <c r="F112" s="6">
        <v>2</v>
      </c>
      <c r="G112" s="4" t="str">
        <f ca="1">VLOOKUP($C112&amp;"_"&amp;$F112,OFFSET([1]stages!$A$1,0,0,COUNTA([1]stages!$A:$A),MATCH(G$1,[1]stages!$2:$2,0)-MATCH("temp_stage",[1]stages!$2:$2,0)+1),MATCH(G$1,[1]stages!$2:$2,0)-MATCH("temp_stage",[1]stages!$2:$2,0)+1,FALSE)</f>
        <v>【超絶級】バックストリートファイト</v>
      </c>
      <c r="H112" s="4" t="str">
        <f ca="1">VLOOKUP($C112&amp;"_"&amp;$F112,OFFSET([1]stages!$A$1,0,0,COUNTA([1]stages!$A:$A),MATCH(H$1,[1]stages!$2:$2,0)-MATCH("temp_stage",[1]stages!$2:$2,0)+1),MATCH(H$1,[1]stages!$2:$2,0)-MATCH("temp_stage",[1]stages!$2:$2,0)+1,FALSE)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12" s="19">
        <v>0</v>
      </c>
      <c r="J112">
        <v>19</v>
      </c>
      <c r="K112" s="6" t="s">
        <v>17</v>
      </c>
      <c r="L112" s="36" t="str">
        <f>VLOOKUP(J112,[2]stage_hints!$A:$C,3,FALSE)</f>
        <v>チャレンジタワー</v>
      </c>
      <c r="M112" s="37" t="str">
        <f>VLOOKUP(J112,[2]stage_hints!$A:$D,4,FALSE)</f>
        <v>「チャレンジタワー」をクリアすると_x000D_各フロアごとに報酬がもらえます</v>
      </c>
      <c r="N112" s="22" t="s">
        <v>24</v>
      </c>
      <c r="O112">
        <v>19</v>
      </c>
    </row>
    <row r="113" spans="1:15">
      <c r="A113" s="29" t="e">
        <f>C113&amp;"_"&amp;F113&amp;"_"&amp;#REF!</f>
        <v>#REF!</v>
      </c>
      <c r="B113" s="27" t="s">
        <v>33</v>
      </c>
      <c r="C113" s="5">
        <v>30018</v>
      </c>
      <c r="D113" s="4" t="str">
        <f ca="1">VLOOKUP($C113,OFFSET([1]quests!$A$1,0,0,COUNTA([1]quests!$A:$A),MATCH(D$1,[1]quests!$1:$1,0)-MATCH($C$1,[1]quests!$1:$1,0)+1),MATCH(D$1,[1]quests!$1:$1,0)-MATCH($C$1,[1]quests!$1:$1,0)+1,FALSE)</f>
        <v>バックストリートファイト</v>
      </c>
      <c r="E113" s="4" t="str">
        <f ca="1">VLOOKUP($C113,OFFSET([1]quests!$A$1,0,0,COUNTA([1]quests!$A:$A),MATCH(E$1,[1]quests!$1:$1,0)-MATCH($C$1,[1]quests!$1:$1,0)+1),MATCH(E$1,[1]quests!$1:$1,0)-MATCH($C$1,[1]quests!$1:$1,0)+1,FALSE)</f>
        <v>ドロップイベント5（マルチ専用）</v>
      </c>
      <c r="F113" s="6">
        <v>2</v>
      </c>
      <c r="G113" s="4" t="str">
        <f ca="1">VLOOKUP($C113&amp;"_"&amp;$F113,OFFSET([1]stages!$A$1,0,0,COUNTA([1]stages!$A:$A),MATCH(G$1,[1]stages!$2:$2,0)-MATCH("temp_stage",[1]stages!$2:$2,0)+1),MATCH(G$1,[1]stages!$2:$2,0)-MATCH("temp_stage",[1]stages!$2:$2,0)+1,FALSE)</f>
        <v>【超絶級】バックストリートファイト</v>
      </c>
      <c r="H113" s="4" t="str">
        <f ca="1">VLOOKUP($C113&amp;"_"&amp;$F113,OFFSET([1]stages!$A$1,0,0,COUNTA([1]stages!$A:$A),MATCH(H$1,[1]stages!$2:$2,0)-MATCH("temp_stage",[1]stages!$2:$2,0)+1),MATCH(H$1,[1]stages!$2:$2,0)-MATCH("temp_stage",[1]stages!$2:$2,0)+1,FALSE)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13" s="19">
        <v>0</v>
      </c>
      <c r="J113">
        <v>21</v>
      </c>
      <c r="K113" s="6" t="s">
        <v>17</v>
      </c>
      <c r="L113" s="36" t="str">
        <f>VLOOKUP(J113,[2]stage_hints!$A:$C,3,FALSE)</f>
        <v>スキルを有効に使おう</v>
      </c>
      <c r="M113" s="37" t="str">
        <f>VLOOKUP(J113,[2]stage_hints!$A:$D,4,FALSE)</f>
        <v>ターン経過でユニットは_x000D_強力なスキルが使えるようになります</v>
      </c>
      <c r="N113" s="22" t="s">
        <v>24</v>
      </c>
      <c r="O113">
        <v>21</v>
      </c>
    </row>
    <row r="114" spans="1:15">
      <c r="A114" s="29" t="e">
        <f>C114&amp;"_"&amp;F114&amp;"_"&amp;#REF!</f>
        <v>#REF!</v>
      </c>
      <c r="B114" s="27" t="s">
        <v>33</v>
      </c>
      <c r="C114" s="5">
        <v>30018</v>
      </c>
      <c r="D114" s="4" t="str">
        <f ca="1">VLOOKUP($C114,OFFSET([1]quests!$A$1,0,0,COUNTA([1]quests!$A:$A),MATCH(D$1,[1]quests!$1:$1,0)-MATCH($C$1,[1]quests!$1:$1,0)+1),MATCH(D$1,[1]quests!$1:$1,0)-MATCH($C$1,[1]quests!$1:$1,0)+1,FALSE)</f>
        <v>バックストリートファイト</v>
      </c>
      <c r="E114" s="4" t="str">
        <f ca="1">VLOOKUP($C114,OFFSET([1]quests!$A$1,0,0,COUNTA([1]quests!$A:$A),MATCH(E$1,[1]quests!$1:$1,0)-MATCH($C$1,[1]quests!$1:$1,0)+1),MATCH(E$1,[1]quests!$1:$1,0)-MATCH($C$1,[1]quests!$1:$1,0)+1,FALSE)</f>
        <v>ドロップイベント5（マルチ専用）</v>
      </c>
      <c r="F114" s="6">
        <v>2</v>
      </c>
      <c r="G114" s="4" t="str">
        <f ca="1">VLOOKUP($C114&amp;"_"&amp;$F114,OFFSET([1]stages!$A$1,0,0,COUNTA([1]stages!$A:$A),MATCH(G$1,[1]stages!$2:$2,0)-MATCH("temp_stage",[1]stages!$2:$2,0)+1),MATCH(G$1,[1]stages!$2:$2,0)-MATCH("temp_stage",[1]stages!$2:$2,0)+1,FALSE)</f>
        <v>【超絶級】バックストリートファイト</v>
      </c>
      <c r="H114" s="4" t="str">
        <f ca="1">VLOOKUP($C114&amp;"_"&amp;$F114,OFFSET([1]stages!$A$1,0,0,COUNTA([1]stages!$A:$A),MATCH(H$1,[1]stages!$2:$2,0)-MATCH("temp_stage",[1]stages!$2:$2,0)+1),MATCH(H$1,[1]stages!$2:$2,0)-MATCH("temp_stage",[1]stages!$2:$2,0)+1,FALSE)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14" s="19">
        <v>0</v>
      </c>
      <c r="J114">
        <v>29</v>
      </c>
      <c r="K114" s="6" t="s">
        <v>17</v>
      </c>
      <c r="L114" s="36" t="str">
        <f>VLOOKUP(J114,[2]stage_hints!$A:$C,3,FALSE)</f>
        <v>ステータスのバグって何？</v>
      </c>
      <c r="M114" s="37" t="str">
        <f>VLOOKUP(J114,[2]stage_hints!$A:$D,4,FALSE)</f>
        <v>「バグ」を上げると_x000D_報酬をもらえる確率がアップします</v>
      </c>
      <c r="N114" s="22" t="s">
        <v>24</v>
      </c>
      <c r="O114">
        <v>29</v>
      </c>
    </row>
    <row r="115" spans="1:15">
      <c r="A115" s="29" t="e">
        <f>C115&amp;"_"&amp;F115&amp;"_"&amp;#REF!</f>
        <v>#REF!</v>
      </c>
      <c r="B115" s="27" t="s">
        <v>33</v>
      </c>
      <c r="C115" s="5">
        <v>30018</v>
      </c>
      <c r="D115" s="4" t="str">
        <f ca="1">VLOOKUP($C115,OFFSET([1]quests!$A$1,0,0,COUNTA([1]quests!$A:$A),MATCH(D$1,[1]quests!$1:$1,0)-MATCH($C$1,[1]quests!$1:$1,0)+1),MATCH(D$1,[1]quests!$1:$1,0)-MATCH($C$1,[1]quests!$1:$1,0)+1,FALSE)</f>
        <v>バックストリートファイト</v>
      </c>
      <c r="E115" s="4" t="str">
        <f ca="1">VLOOKUP($C115,OFFSET([1]quests!$A$1,0,0,COUNTA([1]quests!$A:$A),MATCH(E$1,[1]quests!$1:$1,0)-MATCH($C$1,[1]quests!$1:$1,0)+1),MATCH(E$1,[1]quests!$1:$1,0)-MATCH($C$1,[1]quests!$1:$1,0)+1,FALSE)</f>
        <v>ドロップイベント5（マルチ専用）</v>
      </c>
      <c r="F115" s="6">
        <v>2</v>
      </c>
      <c r="G115" s="4" t="str">
        <f ca="1">VLOOKUP($C115&amp;"_"&amp;$F115,OFFSET([1]stages!$A$1,0,0,COUNTA([1]stages!$A:$A),MATCH(G$1,[1]stages!$2:$2,0)-MATCH("temp_stage",[1]stages!$2:$2,0)+1),MATCH(G$1,[1]stages!$2:$2,0)-MATCH("temp_stage",[1]stages!$2:$2,0)+1,FALSE)</f>
        <v>【超絶級】バックストリートファイト</v>
      </c>
      <c r="H115" s="4" t="str">
        <f ca="1">VLOOKUP($C115&amp;"_"&amp;$F115,OFFSET([1]stages!$A$1,0,0,COUNTA([1]stages!$A:$A),MATCH(H$1,[1]stages!$2:$2,0)-MATCH("temp_stage",[1]stages!$2:$2,0)+1),MATCH(H$1,[1]stages!$2:$2,0)-MATCH("temp_stage",[1]stages!$2:$2,0)+1,FALSE)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15" s="19">
        <v>0</v>
      </c>
      <c r="J115">
        <v>30</v>
      </c>
      <c r="K115" s="6" t="s">
        <v>17</v>
      </c>
      <c r="L115" s="36" t="str">
        <f>VLOOKUP(J115,[2]stage_hints!$A:$C,3,FALSE)</f>
        <v>ステータスのバグを増やす方法</v>
      </c>
      <c r="M115" s="37" t="str">
        <f>VLOOKUP(J115,[2]stage_hints!$A:$D,4,FALSE)</f>
        <v>同じユニット同士を強化すると_x000D_「バグ」を増やすことができます</v>
      </c>
      <c r="N115" s="22" t="s">
        <v>24</v>
      </c>
      <c r="O115">
        <v>30</v>
      </c>
    </row>
    <row r="116" spans="1:15">
      <c r="A116" s="29" t="e">
        <f>C116&amp;"_"&amp;F116&amp;"_"&amp;#REF!</f>
        <v>#REF!</v>
      </c>
      <c r="B116" s="27" t="s">
        <v>33</v>
      </c>
      <c r="C116" s="5">
        <v>30018</v>
      </c>
      <c r="D116" s="4" t="str">
        <f ca="1">VLOOKUP($C116,OFFSET([1]quests!$A$1,0,0,COUNTA([1]quests!$A:$A),MATCH(D$1,[1]quests!$1:$1,0)-MATCH($C$1,[1]quests!$1:$1,0)+1),MATCH(D$1,[1]quests!$1:$1,0)-MATCH($C$1,[1]quests!$1:$1,0)+1,FALSE)</f>
        <v>バックストリートファイト</v>
      </c>
      <c r="E116" s="4" t="str">
        <f ca="1">VLOOKUP($C116,OFFSET([1]quests!$A$1,0,0,COUNTA([1]quests!$A:$A),MATCH(E$1,[1]quests!$1:$1,0)-MATCH($C$1,[1]quests!$1:$1,0)+1),MATCH(E$1,[1]quests!$1:$1,0)-MATCH($C$1,[1]quests!$1:$1,0)+1,FALSE)</f>
        <v>ドロップイベント5（マルチ専用）</v>
      </c>
      <c r="F116" s="6">
        <v>2</v>
      </c>
      <c r="G116" s="4" t="str">
        <f ca="1">VLOOKUP($C116&amp;"_"&amp;$F116,OFFSET([1]stages!$A$1,0,0,COUNTA([1]stages!$A:$A),MATCH(G$1,[1]stages!$2:$2,0)-MATCH("temp_stage",[1]stages!$2:$2,0)+1),MATCH(G$1,[1]stages!$2:$2,0)-MATCH("temp_stage",[1]stages!$2:$2,0)+1,FALSE)</f>
        <v>【超絶級】バックストリートファイト</v>
      </c>
      <c r="H116" s="4" t="str">
        <f ca="1">VLOOKUP($C116&amp;"_"&amp;$F116,OFFSET([1]stages!$A$1,0,0,COUNTA([1]stages!$A:$A),MATCH(H$1,[1]stages!$2:$2,0)-MATCH("temp_stage",[1]stages!$2:$2,0)+1),MATCH(H$1,[1]stages!$2:$2,0)-MATCH("temp_stage",[1]stages!$2:$2,0)+1,FALSE)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16" s="19">
        <v>0</v>
      </c>
      <c r="J116">
        <v>32</v>
      </c>
      <c r="K116" s="6" t="s">
        <v>17</v>
      </c>
      <c r="L116" s="36" t="str">
        <f>VLOOKUP(J116,[2]stage_hints!$A:$C,3,FALSE)</f>
        <v>連続攻撃をしてくる敵には</v>
      </c>
      <c r="M116" s="37" t="str">
        <f>VLOOKUP(J116,[2]stage_hints!$A:$D,4,FALSE)</f>
        <v>敵の連続攻撃には「カウンター」スキルが有効！_x000D_ダメージ回数分の攻撃を返せます</v>
      </c>
      <c r="N116" s="22" t="s">
        <v>24</v>
      </c>
      <c r="O116">
        <v>32</v>
      </c>
    </row>
    <row r="117" spans="1:15">
      <c r="A117" s="29" t="e">
        <f>C117&amp;"_"&amp;F117&amp;"_"&amp;#REF!</f>
        <v>#REF!</v>
      </c>
      <c r="B117" s="27" t="s">
        <v>33</v>
      </c>
      <c r="C117" s="5">
        <v>30018</v>
      </c>
      <c r="D117" s="4" t="str">
        <f ca="1">VLOOKUP($C117,OFFSET([1]quests!$A$1,0,0,COUNTA([1]quests!$A:$A),MATCH(D$1,[1]quests!$1:$1,0)-MATCH($C$1,[1]quests!$1:$1,0)+1),MATCH(D$1,[1]quests!$1:$1,0)-MATCH($C$1,[1]quests!$1:$1,0)+1,FALSE)</f>
        <v>バックストリートファイト</v>
      </c>
      <c r="E117" s="4" t="str">
        <f ca="1">VLOOKUP($C117,OFFSET([1]quests!$A$1,0,0,COUNTA([1]quests!$A:$A),MATCH(E$1,[1]quests!$1:$1,0)-MATCH($C$1,[1]quests!$1:$1,0)+1),MATCH(E$1,[1]quests!$1:$1,0)-MATCH($C$1,[1]quests!$1:$1,0)+1,FALSE)</f>
        <v>ドロップイベント5（マルチ専用）</v>
      </c>
      <c r="F117" s="6">
        <v>2</v>
      </c>
      <c r="G117" s="4" t="str">
        <f ca="1">VLOOKUP($C117&amp;"_"&amp;$F117,OFFSET([1]stages!$A$1,0,0,COUNTA([1]stages!$A:$A),MATCH(G$1,[1]stages!$2:$2,0)-MATCH("temp_stage",[1]stages!$2:$2,0)+1),MATCH(G$1,[1]stages!$2:$2,0)-MATCH("temp_stage",[1]stages!$2:$2,0)+1,FALSE)</f>
        <v>【超絶級】バックストリートファイト</v>
      </c>
      <c r="H117" s="4" t="str">
        <f ca="1">VLOOKUP($C117&amp;"_"&amp;$F117,OFFSET([1]stages!$A$1,0,0,COUNTA([1]stages!$A:$A),MATCH(H$1,[1]stages!$2:$2,0)-MATCH("temp_stage",[1]stages!$2:$2,0)+1),MATCH(H$1,[1]stages!$2:$2,0)-MATCH("temp_stage",[1]stages!$2:$2,0)+1,FALSE)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17" s="19">
        <v>0</v>
      </c>
      <c r="J117">
        <v>33</v>
      </c>
      <c r="K117" s="6" t="s">
        <v>17</v>
      </c>
      <c r="L117" s="36" t="str">
        <f>VLOOKUP(J117,[2]stage_hints!$A:$C,3,FALSE)</f>
        <v>カウンターブレイク！</v>
      </c>
      <c r="M117" s="37" t="str">
        <f>VLOOKUP(J117,[2]stage_hints!$A:$D,4,FALSE)</f>
        <v>敵のカウンターには「カウンターブレイク」！_x000D_カウンターを解除して攻撃をしかけましょう</v>
      </c>
      <c r="N117" s="22" t="s">
        <v>24</v>
      </c>
      <c r="O117">
        <v>33</v>
      </c>
    </row>
    <row r="118" spans="1:15">
      <c r="A118" s="29" t="e">
        <f>C118&amp;"_"&amp;F118&amp;"_"&amp;#REF!</f>
        <v>#REF!</v>
      </c>
      <c r="B118" s="27" t="s">
        <v>33</v>
      </c>
      <c r="C118" s="5">
        <v>30018</v>
      </c>
      <c r="D118" s="4" t="str">
        <f ca="1">VLOOKUP($C118,OFFSET([1]quests!$A$1,0,0,COUNTA([1]quests!$A:$A),MATCH(D$1,[1]quests!$1:$1,0)-MATCH($C$1,[1]quests!$1:$1,0)+1),MATCH(D$1,[1]quests!$1:$1,0)-MATCH($C$1,[1]quests!$1:$1,0)+1,FALSE)</f>
        <v>バックストリートファイト</v>
      </c>
      <c r="E118" s="4" t="str">
        <f ca="1">VLOOKUP($C118,OFFSET([1]quests!$A$1,0,0,COUNTA([1]quests!$A:$A),MATCH(E$1,[1]quests!$1:$1,0)-MATCH($C$1,[1]quests!$1:$1,0)+1),MATCH(E$1,[1]quests!$1:$1,0)-MATCH($C$1,[1]quests!$1:$1,0)+1,FALSE)</f>
        <v>ドロップイベント5（マルチ専用）</v>
      </c>
      <c r="F118" s="6">
        <v>2</v>
      </c>
      <c r="G118" s="4" t="str">
        <f ca="1">VLOOKUP($C118&amp;"_"&amp;$F118,OFFSET([1]stages!$A$1,0,0,COUNTA([1]stages!$A:$A),MATCH(G$1,[1]stages!$2:$2,0)-MATCH("temp_stage",[1]stages!$2:$2,0)+1),MATCH(G$1,[1]stages!$2:$2,0)-MATCH("temp_stage",[1]stages!$2:$2,0)+1,FALSE)</f>
        <v>【超絶級】バックストリートファイト</v>
      </c>
      <c r="H118" s="4" t="str">
        <f ca="1">VLOOKUP($C118&amp;"_"&amp;$F118,OFFSET([1]stages!$A$1,0,0,COUNTA([1]stages!$A:$A),MATCH(H$1,[1]stages!$2:$2,0)-MATCH("temp_stage",[1]stages!$2:$2,0)+1),MATCH(H$1,[1]stages!$2:$2,0)-MATCH("temp_stage",[1]stages!$2:$2,0)+1,FALSE)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18" s="19">
        <v>0</v>
      </c>
      <c r="J118">
        <v>34</v>
      </c>
      <c r="K118" s="6" t="s">
        <v>17</v>
      </c>
      <c r="L118" s="36" t="str">
        <f>VLOOKUP(J118,[2]stage_hints!$A:$C,3,FALSE)</f>
        <v>敵のDOWNを上書きしよう！</v>
      </c>
      <c r="M118" s="37" t="str">
        <f>VLOOKUP(J118,[2]stage_hints!$A:$D,4,FALSE)</f>
        <v>攻撃力ダウンを受けたときは_x000D_攻撃力アップスキルで効果を上書きできます</v>
      </c>
      <c r="N118" s="22" t="s">
        <v>24</v>
      </c>
      <c r="O118">
        <v>34</v>
      </c>
    </row>
    <row r="119" spans="1:15">
      <c r="A119" s="29" t="e">
        <f>C119&amp;"_"&amp;F119&amp;"_"&amp;#REF!</f>
        <v>#REF!</v>
      </c>
      <c r="B119" s="27" t="s">
        <v>33</v>
      </c>
      <c r="C119" s="5">
        <v>30018</v>
      </c>
      <c r="D119" s="4" t="str">
        <f ca="1">VLOOKUP($C119,OFFSET([1]quests!$A$1,0,0,COUNTA([1]quests!$A:$A),MATCH(D$1,[1]quests!$1:$1,0)-MATCH($C$1,[1]quests!$1:$1,0)+1),MATCH(D$1,[1]quests!$1:$1,0)-MATCH($C$1,[1]quests!$1:$1,0)+1,FALSE)</f>
        <v>バックストリートファイト</v>
      </c>
      <c r="E119" s="4" t="str">
        <f ca="1">VLOOKUP($C119,OFFSET([1]quests!$A$1,0,0,COUNTA([1]quests!$A:$A),MATCH(E$1,[1]quests!$1:$1,0)-MATCH($C$1,[1]quests!$1:$1,0)+1),MATCH(E$1,[1]quests!$1:$1,0)-MATCH($C$1,[1]quests!$1:$1,0)+1,FALSE)</f>
        <v>ドロップイベント5（マルチ専用）</v>
      </c>
      <c r="F119" s="6">
        <v>2</v>
      </c>
      <c r="G119" s="4" t="str">
        <f ca="1">VLOOKUP($C119&amp;"_"&amp;$F119,OFFSET([1]stages!$A$1,0,0,COUNTA([1]stages!$A:$A),MATCH(G$1,[1]stages!$2:$2,0)-MATCH("temp_stage",[1]stages!$2:$2,0)+1),MATCH(G$1,[1]stages!$2:$2,0)-MATCH("temp_stage",[1]stages!$2:$2,0)+1,FALSE)</f>
        <v>【超絶級】バックストリートファイト</v>
      </c>
      <c r="H119" s="4" t="str">
        <f ca="1">VLOOKUP($C119&amp;"_"&amp;$F119,OFFSET([1]stages!$A$1,0,0,COUNTA([1]stages!$A:$A),MATCH(H$1,[1]stages!$2:$2,0)-MATCH("temp_stage",[1]stages!$2:$2,0)+1),MATCH(H$1,[1]stages!$2:$2,0)-MATCH("temp_stage",[1]stages!$2:$2,0)+1,FALSE)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19" s="19">
        <v>0</v>
      </c>
      <c r="J119">
        <v>35</v>
      </c>
      <c r="K119" s="6" t="s">
        <v>17</v>
      </c>
      <c r="L119" s="36" t="str">
        <f>VLOOKUP(J119,[2]stage_hints!$A:$C,3,FALSE)</f>
        <v>敵のUPを上書きしよう！</v>
      </c>
      <c r="M119" s="37" t="str">
        <f>VLOOKUP(J119,[2]stage_hints!$A:$D,4,FALSE)</f>
        <v>敵の攻撃力がアップしたときは_x000D_攻撃力ダウンスキルで効果を上書きできます</v>
      </c>
      <c r="N119" s="22" t="s">
        <v>24</v>
      </c>
      <c r="O119">
        <v>35</v>
      </c>
    </row>
    <row r="120" spans="1:15">
      <c r="A120" s="29" t="e">
        <f>C120&amp;"_"&amp;F120&amp;"_"&amp;#REF!</f>
        <v>#REF!</v>
      </c>
      <c r="B120" s="27" t="s">
        <v>33</v>
      </c>
      <c r="C120" s="5">
        <v>30018</v>
      </c>
      <c r="D120" s="4" t="str">
        <f ca="1">VLOOKUP($C120,OFFSET([1]quests!$A$1,0,0,COUNTA([1]quests!$A:$A),MATCH(D$1,[1]quests!$1:$1,0)-MATCH($C$1,[1]quests!$1:$1,0)+1),MATCH(D$1,[1]quests!$1:$1,0)-MATCH($C$1,[1]quests!$1:$1,0)+1,FALSE)</f>
        <v>バックストリートファイト</v>
      </c>
      <c r="E120" s="4" t="str">
        <f ca="1">VLOOKUP($C120,OFFSET([1]quests!$A$1,0,0,COUNTA([1]quests!$A:$A),MATCH(E$1,[1]quests!$1:$1,0)-MATCH($C$1,[1]quests!$1:$1,0)+1),MATCH(E$1,[1]quests!$1:$1,0)-MATCH($C$1,[1]quests!$1:$1,0)+1,FALSE)</f>
        <v>ドロップイベント5（マルチ専用）</v>
      </c>
      <c r="F120" s="6">
        <v>2</v>
      </c>
      <c r="G120" s="4" t="str">
        <f ca="1">VLOOKUP($C120&amp;"_"&amp;$F120,OFFSET([1]stages!$A$1,0,0,COUNTA([1]stages!$A:$A),MATCH(G$1,[1]stages!$2:$2,0)-MATCH("temp_stage",[1]stages!$2:$2,0)+1),MATCH(G$1,[1]stages!$2:$2,0)-MATCH("temp_stage",[1]stages!$2:$2,0)+1,FALSE)</f>
        <v>【超絶級】バックストリートファイト</v>
      </c>
      <c r="H120" s="4" t="str">
        <f ca="1">VLOOKUP($C120&amp;"_"&amp;$F120,OFFSET([1]stages!$A$1,0,0,COUNTA([1]stages!$A:$A),MATCH(H$1,[1]stages!$2:$2,0)-MATCH("temp_stage",[1]stages!$2:$2,0)+1),MATCH(H$1,[1]stages!$2:$2,0)-MATCH("temp_stage",[1]stages!$2:$2,0)+1,FALSE)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20" s="19">
        <v>0</v>
      </c>
      <c r="J120">
        <v>36</v>
      </c>
      <c r="K120" s="6" t="s">
        <v>17</v>
      </c>
      <c r="L120" s="36" t="str">
        <f>VLOOKUP(J120,[2]stage_hints!$A:$C,3,FALSE)</f>
        <v>チャレンジタワーのボス</v>
      </c>
      <c r="M120" s="37" t="str">
        <f>VLOOKUP(J120,[2]stage_hints!$A:$D,4,FALSE)</f>
        <v>チャレンジタワー15F、20F、25Fのボスは_x000D_一定確率でドロップするようです</v>
      </c>
      <c r="N120" s="22" t="s">
        <v>24</v>
      </c>
      <c r="O120">
        <v>36</v>
      </c>
    </row>
    <row r="121" spans="1:15">
      <c r="A121" s="29" t="e">
        <f>C121&amp;"_"&amp;F121&amp;"_"&amp;#REF!</f>
        <v>#REF!</v>
      </c>
      <c r="B121" s="27" t="s">
        <v>33</v>
      </c>
      <c r="C121" s="5">
        <v>30018</v>
      </c>
      <c r="D121" s="4" t="str">
        <f ca="1">VLOOKUP($C121,OFFSET([1]quests!$A$1,0,0,COUNTA([1]quests!$A:$A),MATCH(D$1,[1]quests!$1:$1,0)-MATCH($C$1,[1]quests!$1:$1,0)+1),MATCH(D$1,[1]quests!$1:$1,0)-MATCH($C$1,[1]quests!$1:$1,0)+1,FALSE)</f>
        <v>バックストリートファイト</v>
      </c>
      <c r="E121" s="4" t="str">
        <f ca="1">VLOOKUP($C121,OFFSET([1]quests!$A$1,0,0,COUNTA([1]quests!$A:$A),MATCH(E$1,[1]quests!$1:$1,0)-MATCH($C$1,[1]quests!$1:$1,0)+1),MATCH(E$1,[1]quests!$1:$1,0)-MATCH($C$1,[1]quests!$1:$1,0)+1,FALSE)</f>
        <v>ドロップイベント5（マルチ専用）</v>
      </c>
      <c r="F121" s="6">
        <v>2</v>
      </c>
      <c r="G121" s="4" t="str">
        <f ca="1">VLOOKUP($C121&amp;"_"&amp;$F121,OFFSET([1]stages!$A$1,0,0,COUNTA([1]stages!$A:$A),MATCH(G$1,[1]stages!$2:$2,0)-MATCH("temp_stage",[1]stages!$2:$2,0)+1),MATCH(G$1,[1]stages!$2:$2,0)-MATCH("temp_stage",[1]stages!$2:$2,0)+1,FALSE)</f>
        <v>【超絶級】バックストリートファイト</v>
      </c>
      <c r="H121" s="4" t="str">
        <f ca="1">VLOOKUP($C121&amp;"_"&amp;$F121,OFFSET([1]stages!$A$1,0,0,COUNTA([1]stages!$A:$A),MATCH(H$1,[1]stages!$2:$2,0)-MATCH("temp_stage",[1]stages!$2:$2,0)+1),MATCH(H$1,[1]stages!$2:$2,0)-MATCH("temp_stage",[1]stages!$2:$2,0)+1,FALSE)</f>
        <v>ドロップイベント5（マルチ専用）</v>
      </c>
      <c r="I121" s="19">
        <v>0</v>
      </c>
      <c r="J121">
        <v>37</v>
      </c>
      <c r="K121" s="6" t="s">
        <v>17</v>
      </c>
      <c r="L121" s="36" t="str">
        <f>VLOOKUP(J121,[2]stage_hints!$A:$C,3,FALSE)</f>
        <v>限界突破の引継</v>
      </c>
      <c r="M121" s="37" t="str">
        <f>VLOOKUP(J121,[2]stage_hints!$A:$D,4,FALSE)</f>
        <v>限界突破の+値は同じユニットなら_x000D_覚醒前後でも強化で引き継がれます</v>
      </c>
      <c r="N121" s="22" t="s">
        <v>24</v>
      </c>
      <c r="O121">
        <v>37</v>
      </c>
    </row>
    <row r="122" spans="1:15">
      <c r="A122" s="29" t="e">
        <f>C122&amp;"_"&amp;F122&amp;"_"&amp;#REF!</f>
        <v>#REF!</v>
      </c>
      <c r="B122" s="27" t="s">
        <v>33</v>
      </c>
      <c r="C122" s="5">
        <v>40002</v>
      </c>
      <c r="D122" s="4" t="str">
        <f ca="1">VLOOKUP($C122,OFFSET([1]quests!$A$1,0,0,COUNTA([1]quests!$A:$A),MATCH(D$1,[1]quests!$1:$1,0)-MATCH($C$1,[1]quests!$1:$1,0)+1),MATCH(D$1,[1]quests!$1:$1,0)-MATCH($C$1,[1]quests!$1:$1,0)+1,FALSE)</f>
        <v>アザゼル襲来！</v>
      </c>
      <c r="E122" s="4" t="str">
        <f ca="1">VLOOKUP($C122,OFFSET([1]quests!$A$1,0,0,COUNTA([1]quests!$A:$A),MATCH(E$1,[1]quests!$1:$1,0)-MATCH($C$1,[1]quests!$1:$1,0)+1),MATCH(E$1,[1]quests!$1:$1,0)-MATCH($C$1,[1]quests!$1:$1,0)+1,FALSE)</f>
        <v>降臨2</v>
      </c>
      <c r="F122" s="6">
        <v>2</v>
      </c>
      <c r="G122" s="4" t="str">
        <f ca="1">VLOOKUP($C122&amp;"_"&amp;$F122,OFFSET([1]stages!$A$1,0,0,COUNTA([1]stages!$A:$A),MATCH(G$1,[1]stages!$2:$2,0)-MATCH("temp_stage",[1]stages!$2:$2,0)+1),MATCH(G$1,[1]stages!$2:$2,0)-MATCH("temp_stage",[1]stages!$2:$2,0)+1,FALSE)</f>
        <v>【超絶級】アザゼル襲来</v>
      </c>
      <c r="H122" s="4" t="str">
        <f ca="1">VLOOKUP($C122&amp;"_"&amp;$F122,OFFSET([1]stages!$A$1,0,0,COUNTA([1]stages!$A:$A),MATCH(H$1,[1]stages!$2:$2,0)-MATCH("temp_stage",[1]stages!$2:$2,0)+1),MATCH(H$1,[1]stages!$2:$2,0)-MATCH("temp_stage",[1]stages!$2:$2,0)+1,FALSE)</f>
        <v>降臨2</v>
      </c>
      <c r="I122" s="19">
        <v>0</v>
      </c>
      <c r="J122">
        <v>17</v>
      </c>
      <c r="K122" s="6" t="s">
        <v>17</v>
      </c>
      <c r="L122" s="36" t="str">
        <f>VLOOKUP(J122,[2]stage_hints!$A:$C,3,FALSE)</f>
        <v>リンクガチャを引いてみよう</v>
      </c>
      <c r="M122" s="37" t="str">
        <f>VLOOKUP(J122,[2]stage_hints!$A:$D,4,FALSE)</f>
        <v>リンクガチャを回して_x000D_メタルダックやゴールドダックを獲得しましょう</v>
      </c>
      <c r="N122" s="22" t="s">
        <v>24</v>
      </c>
      <c r="O122">
        <v>17</v>
      </c>
    </row>
    <row r="123" spans="1:15">
      <c r="A123" s="29" t="e">
        <f>C123&amp;"_"&amp;F123&amp;"_"&amp;#REF!</f>
        <v>#REF!</v>
      </c>
      <c r="B123" s="27" t="s">
        <v>33</v>
      </c>
      <c r="C123" s="5">
        <v>40002</v>
      </c>
      <c r="D123" s="4" t="str">
        <f ca="1">VLOOKUP($C123,OFFSET([1]quests!$A$1,0,0,COUNTA([1]quests!$A:$A),MATCH(D$1,[1]quests!$1:$1,0)-MATCH($C$1,[1]quests!$1:$1,0)+1),MATCH(D$1,[1]quests!$1:$1,0)-MATCH($C$1,[1]quests!$1:$1,0)+1,FALSE)</f>
        <v>アザゼル襲来！</v>
      </c>
      <c r="E123" s="4" t="str">
        <f ca="1">VLOOKUP($C123,OFFSET([1]quests!$A$1,0,0,COUNTA([1]quests!$A:$A),MATCH(E$1,[1]quests!$1:$1,0)-MATCH($C$1,[1]quests!$1:$1,0)+1),MATCH(E$1,[1]quests!$1:$1,0)-MATCH($C$1,[1]quests!$1:$1,0)+1,FALSE)</f>
        <v>降臨2</v>
      </c>
      <c r="F123" s="6">
        <v>2</v>
      </c>
      <c r="G123" s="4" t="str">
        <f ca="1">VLOOKUP($C123&amp;"_"&amp;$F123,OFFSET([1]stages!$A$1,0,0,COUNTA([1]stages!$A:$A),MATCH(G$1,[1]stages!$2:$2,0)-MATCH("temp_stage",[1]stages!$2:$2,0)+1),MATCH(G$1,[1]stages!$2:$2,0)-MATCH("temp_stage",[1]stages!$2:$2,0)+1,FALSE)</f>
        <v>【超絶級】アザゼル襲来</v>
      </c>
      <c r="H123" s="4" t="str">
        <f ca="1">VLOOKUP($C123&amp;"_"&amp;$F123,OFFSET([1]stages!$A$1,0,0,COUNTA([1]stages!$A:$A),MATCH(H$1,[1]stages!$2:$2,0)-MATCH("temp_stage",[1]stages!$2:$2,0)+1),MATCH(H$1,[1]stages!$2:$2,0)-MATCH("temp_stage",[1]stages!$2:$2,0)+1,FALSE)</f>
        <v>降臨2</v>
      </c>
      <c r="I123" s="19">
        <v>0</v>
      </c>
      <c r="J123">
        <v>19</v>
      </c>
      <c r="K123" s="6" t="s">
        <v>17</v>
      </c>
      <c r="L123" s="36" t="str">
        <f>VLOOKUP(J123,[2]stage_hints!$A:$C,3,FALSE)</f>
        <v>チャレンジタワー</v>
      </c>
      <c r="M123" s="37" t="str">
        <f>VLOOKUP(J123,[2]stage_hints!$A:$D,4,FALSE)</f>
        <v>「チャレンジタワー」をクリアすると_x000D_各フロアごとに報酬がもらえます</v>
      </c>
      <c r="N123" s="22" t="s">
        <v>24</v>
      </c>
      <c r="O123">
        <v>19</v>
      </c>
    </row>
    <row r="124" spans="1:15">
      <c r="A124" s="29" t="e">
        <f>C124&amp;"_"&amp;F124&amp;"_"&amp;#REF!</f>
        <v>#REF!</v>
      </c>
      <c r="B124" s="27" t="s">
        <v>33</v>
      </c>
      <c r="C124" s="5">
        <v>40002</v>
      </c>
      <c r="D124" s="4" t="str">
        <f ca="1">VLOOKUP($C124,OFFSET([1]quests!$A$1,0,0,COUNTA([1]quests!$A:$A),MATCH(D$1,[1]quests!$1:$1,0)-MATCH($C$1,[1]quests!$1:$1,0)+1),MATCH(D$1,[1]quests!$1:$1,0)-MATCH($C$1,[1]quests!$1:$1,0)+1,FALSE)</f>
        <v>アザゼル襲来！</v>
      </c>
      <c r="E124" s="4" t="str">
        <f ca="1">VLOOKUP($C124,OFFSET([1]quests!$A$1,0,0,COUNTA([1]quests!$A:$A),MATCH(E$1,[1]quests!$1:$1,0)-MATCH($C$1,[1]quests!$1:$1,0)+1),MATCH(E$1,[1]quests!$1:$1,0)-MATCH($C$1,[1]quests!$1:$1,0)+1,FALSE)</f>
        <v>降臨2</v>
      </c>
      <c r="F124" s="6">
        <v>2</v>
      </c>
      <c r="G124" s="4" t="str">
        <f ca="1">VLOOKUP($C124&amp;"_"&amp;$F124,OFFSET([1]stages!$A$1,0,0,COUNTA([1]stages!$A:$A),MATCH(G$1,[1]stages!$2:$2,0)-MATCH("temp_stage",[1]stages!$2:$2,0)+1),MATCH(G$1,[1]stages!$2:$2,0)-MATCH("temp_stage",[1]stages!$2:$2,0)+1,FALSE)</f>
        <v>【超絶級】アザゼル襲来</v>
      </c>
      <c r="H124" s="4" t="str">
        <f ca="1">VLOOKUP($C124&amp;"_"&amp;$F124,OFFSET([1]stages!$A$1,0,0,COUNTA([1]stages!$A:$A),MATCH(H$1,[1]stages!$2:$2,0)-MATCH("temp_stage",[1]stages!$2:$2,0)+1),MATCH(H$1,[1]stages!$2:$2,0)-MATCH("temp_stage",[1]stages!$2:$2,0)+1,FALSE)</f>
        <v>降臨2</v>
      </c>
      <c r="I124" s="19">
        <v>0</v>
      </c>
      <c r="J124">
        <v>21</v>
      </c>
      <c r="K124" s="6" t="s">
        <v>17</v>
      </c>
      <c r="L124" s="36" t="str">
        <f>VLOOKUP(J124,[2]stage_hints!$A:$C,3,FALSE)</f>
        <v>スキルを有効に使おう</v>
      </c>
      <c r="M124" s="37" t="str">
        <f>VLOOKUP(J124,[2]stage_hints!$A:$D,4,FALSE)</f>
        <v>ターン経過でユニットは_x000D_強力なスキルが使えるようになります</v>
      </c>
      <c r="N124" s="22" t="s">
        <v>24</v>
      </c>
      <c r="O124">
        <v>21</v>
      </c>
    </row>
    <row r="125" spans="1:15">
      <c r="A125" s="29" t="e">
        <f>C125&amp;"_"&amp;F125&amp;"_"&amp;#REF!</f>
        <v>#REF!</v>
      </c>
      <c r="B125" s="27" t="s">
        <v>33</v>
      </c>
      <c r="C125" s="5">
        <v>40002</v>
      </c>
      <c r="D125" s="4" t="str">
        <f ca="1">VLOOKUP($C125,OFFSET([1]quests!$A$1,0,0,COUNTA([1]quests!$A:$A),MATCH(D$1,[1]quests!$1:$1,0)-MATCH($C$1,[1]quests!$1:$1,0)+1),MATCH(D$1,[1]quests!$1:$1,0)-MATCH($C$1,[1]quests!$1:$1,0)+1,FALSE)</f>
        <v>アザゼル襲来！</v>
      </c>
      <c r="E125" s="4" t="str">
        <f ca="1">VLOOKUP($C125,OFFSET([1]quests!$A$1,0,0,COUNTA([1]quests!$A:$A),MATCH(E$1,[1]quests!$1:$1,0)-MATCH($C$1,[1]quests!$1:$1,0)+1),MATCH(E$1,[1]quests!$1:$1,0)-MATCH($C$1,[1]quests!$1:$1,0)+1,FALSE)</f>
        <v>降臨2</v>
      </c>
      <c r="F125" s="6">
        <v>2</v>
      </c>
      <c r="G125" s="4" t="str">
        <f ca="1">VLOOKUP($C125&amp;"_"&amp;$F125,OFFSET([1]stages!$A$1,0,0,COUNTA([1]stages!$A:$A),MATCH(G$1,[1]stages!$2:$2,0)-MATCH("temp_stage",[1]stages!$2:$2,0)+1),MATCH(G$1,[1]stages!$2:$2,0)-MATCH("temp_stage",[1]stages!$2:$2,0)+1,FALSE)</f>
        <v>【超絶級】アザゼル襲来</v>
      </c>
      <c r="H125" s="4" t="str">
        <f ca="1">VLOOKUP($C125&amp;"_"&amp;$F125,OFFSET([1]stages!$A$1,0,0,COUNTA([1]stages!$A:$A),MATCH(H$1,[1]stages!$2:$2,0)-MATCH("temp_stage",[1]stages!$2:$2,0)+1),MATCH(H$1,[1]stages!$2:$2,0)-MATCH("temp_stage",[1]stages!$2:$2,0)+1,FALSE)</f>
        <v>降臨2</v>
      </c>
      <c r="I125" s="19">
        <v>0</v>
      </c>
      <c r="J125">
        <v>29</v>
      </c>
      <c r="K125" s="6" t="s">
        <v>17</v>
      </c>
      <c r="L125" s="36" t="str">
        <f>VLOOKUP(J125,[2]stage_hints!$A:$C,3,FALSE)</f>
        <v>ステータスのバグって何？</v>
      </c>
      <c r="M125" s="37" t="str">
        <f>VLOOKUP(J125,[2]stage_hints!$A:$D,4,FALSE)</f>
        <v>「バグ」を上げると_x000D_報酬をもらえる確率がアップします</v>
      </c>
      <c r="N125" s="22" t="s">
        <v>24</v>
      </c>
      <c r="O125">
        <v>29</v>
      </c>
    </row>
    <row r="126" spans="1:15">
      <c r="A126" s="29" t="e">
        <f>C126&amp;"_"&amp;F126&amp;"_"&amp;#REF!</f>
        <v>#REF!</v>
      </c>
      <c r="B126" s="27" t="s">
        <v>33</v>
      </c>
      <c r="C126" s="5">
        <v>40002</v>
      </c>
      <c r="D126" s="4" t="str">
        <f ca="1">VLOOKUP($C126,OFFSET([1]quests!$A$1,0,0,COUNTA([1]quests!$A:$A),MATCH(D$1,[1]quests!$1:$1,0)-MATCH($C$1,[1]quests!$1:$1,0)+1),MATCH(D$1,[1]quests!$1:$1,0)-MATCH($C$1,[1]quests!$1:$1,0)+1,FALSE)</f>
        <v>アザゼル襲来！</v>
      </c>
      <c r="E126" s="4" t="str">
        <f ca="1">VLOOKUP($C126,OFFSET([1]quests!$A$1,0,0,COUNTA([1]quests!$A:$A),MATCH(E$1,[1]quests!$1:$1,0)-MATCH($C$1,[1]quests!$1:$1,0)+1),MATCH(E$1,[1]quests!$1:$1,0)-MATCH($C$1,[1]quests!$1:$1,0)+1,FALSE)</f>
        <v>降臨2</v>
      </c>
      <c r="F126" s="6">
        <v>2</v>
      </c>
      <c r="G126" s="4" t="str">
        <f ca="1">VLOOKUP($C126&amp;"_"&amp;$F126,OFFSET([1]stages!$A$1,0,0,COUNTA([1]stages!$A:$A),MATCH(G$1,[1]stages!$2:$2,0)-MATCH("temp_stage",[1]stages!$2:$2,0)+1),MATCH(G$1,[1]stages!$2:$2,0)-MATCH("temp_stage",[1]stages!$2:$2,0)+1,FALSE)</f>
        <v>【超絶級】アザゼル襲来</v>
      </c>
      <c r="H126" s="4" t="str">
        <f ca="1">VLOOKUP($C126&amp;"_"&amp;$F126,OFFSET([1]stages!$A$1,0,0,COUNTA([1]stages!$A:$A),MATCH(H$1,[1]stages!$2:$2,0)-MATCH("temp_stage",[1]stages!$2:$2,0)+1),MATCH(H$1,[1]stages!$2:$2,0)-MATCH("temp_stage",[1]stages!$2:$2,0)+1,FALSE)</f>
        <v>降臨2</v>
      </c>
      <c r="I126" s="19">
        <v>0</v>
      </c>
      <c r="J126">
        <v>30</v>
      </c>
      <c r="K126" s="6" t="s">
        <v>17</v>
      </c>
      <c r="L126" s="36" t="str">
        <f>VLOOKUP(J126,[2]stage_hints!$A:$C,3,FALSE)</f>
        <v>ステータスのバグを増やす方法</v>
      </c>
      <c r="M126" s="37" t="str">
        <f>VLOOKUP(J126,[2]stage_hints!$A:$D,4,FALSE)</f>
        <v>同じユニット同士を強化すると_x000D_「バグ」を増やすことができます</v>
      </c>
      <c r="N126" s="22" t="s">
        <v>24</v>
      </c>
      <c r="O126">
        <v>30</v>
      </c>
    </row>
    <row r="127" spans="1:15">
      <c r="A127" s="29" t="e">
        <f>C127&amp;"_"&amp;F127&amp;"_"&amp;#REF!</f>
        <v>#REF!</v>
      </c>
      <c r="B127" s="27" t="s">
        <v>33</v>
      </c>
      <c r="C127" s="5">
        <v>40002</v>
      </c>
      <c r="D127" s="4" t="str">
        <f ca="1">VLOOKUP($C127,OFFSET([1]quests!$A$1,0,0,COUNTA([1]quests!$A:$A),MATCH(D$1,[1]quests!$1:$1,0)-MATCH($C$1,[1]quests!$1:$1,0)+1),MATCH(D$1,[1]quests!$1:$1,0)-MATCH($C$1,[1]quests!$1:$1,0)+1,FALSE)</f>
        <v>アザゼル襲来！</v>
      </c>
      <c r="E127" s="4" t="str">
        <f ca="1">VLOOKUP($C127,OFFSET([1]quests!$A$1,0,0,COUNTA([1]quests!$A:$A),MATCH(E$1,[1]quests!$1:$1,0)-MATCH($C$1,[1]quests!$1:$1,0)+1),MATCH(E$1,[1]quests!$1:$1,0)-MATCH($C$1,[1]quests!$1:$1,0)+1,FALSE)</f>
        <v>降臨2</v>
      </c>
      <c r="F127" s="6">
        <v>2</v>
      </c>
      <c r="G127" s="4" t="str">
        <f ca="1">VLOOKUP($C127&amp;"_"&amp;$F127,OFFSET([1]stages!$A$1,0,0,COUNTA([1]stages!$A:$A),MATCH(G$1,[1]stages!$2:$2,0)-MATCH("temp_stage",[1]stages!$2:$2,0)+1),MATCH(G$1,[1]stages!$2:$2,0)-MATCH("temp_stage",[1]stages!$2:$2,0)+1,FALSE)</f>
        <v>【超絶級】アザゼル襲来</v>
      </c>
      <c r="H127" s="4" t="str">
        <f ca="1">VLOOKUP($C127&amp;"_"&amp;$F127,OFFSET([1]stages!$A$1,0,0,COUNTA([1]stages!$A:$A),MATCH(H$1,[1]stages!$2:$2,0)-MATCH("temp_stage",[1]stages!$2:$2,0)+1),MATCH(H$1,[1]stages!$2:$2,0)-MATCH("temp_stage",[1]stages!$2:$2,0)+1,FALSE)</f>
        <v>降臨2</v>
      </c>
      <c r="I127" s="19">
        <v>0</v>
      </c>
      <c r="J127">
        <v>32</v>
      </c>
      <c r="K127" s="6" t="s">
        <v>17</v>
      </c>
      <c r="L127" s="36" t="str">
        <f>VLOOKUP(J127,[2]stage_hints!$A:$C,3,FALSE)</f>
        <v>連続攻撃をしてくる敵には</v>
      </c>
      <c r="M127" s="37" t="str">
        <f>VLOOKUP(J127,[2]stage_hints!$A:$D,4,FALSE)</f>
        <v>敵の連続攻撃には「カウンター」スキルが有効！_x000D_ダメージ回数分の攻撃を返せます</v>
      </c>
      <c r="N127" s="22" t="s">
        <v>24</v>
      </c>
      <c r="O127">
        <v>32</v>
      </c>
    </row>
    <row r="128" spans="1:15">
      <c r="A128" s="29" t="e">
        <f>C128&amp;"_"&amp;F128&amp;"_"&amp;#REF!</f>
        <v>#REF!</v>
      </c>
      <c r="B128" s="27" t="s">
        <v>33</v>
      </c>
      <c r="C128" s="5">
        <v>40002</v>
      </c>
      <c r="D128" s="4" t="str">
        <f ca="1">VLOOKUP($C128,OFFSET([1]quests!$A$1,0,0,COUNTA([1]quests!$A:$A),MATCH(D$1,[1]quests!$1:$1,0)-MATCH($C$1,[1]quests!$1:$1,0)+1),MATCH(D$1,[1]quests!$1:$1,0)-MATCH($C$1,[1]quests!$1:$1,0)+1,FALSE)</f>
        <v>アザゼル襲来！</v>
      </c>
      <c r="E128" s="4" t="str">
        <f ca="1">VLOOKUP($C128,OFFSET([1]quests!$A$1,0,0,COUNTA([1]quests!$A:$A),MATCH(E$1,[1]quests!$1:$1,0)-MATCH($C$1,[1]quests!$1:$1,0)+1),MATCH(E$1,[1]quests!$1:$1,0)-MATCH($C$1,[1]quests!$1:$1,0)+1,FALSE)</f>
        <v>降臨2</v>
      </c>
      <c r="F128" s="6">
        <v>2</v>
      </c>
      <c r="G128" s="4" t="str">
        <f ca="1">VLOOKUP($C128&amp;"_"&amp;$F128,OFFSET([1]stages!$A$1,0,0,COUNTA([1]stages!$A:$A),MATCH(G$1,[1]stages!$2:$2,0)-MATCH("temp_stage",[1]stages!$2:$2,0)+1),MATCH(G$1,[1]stages!$2:$2,0)-MATCH("temp_stage",[1]stages!$2:$2,0)+1,FALSE)</f>
        <v>【超絶級】アザゼル襲来</v>
      </c>
      <c r="H128" s="4" t="str">
        <f ca="1">VLOOKUP($C128&amp;"_"&amp;$F128,OFFSET([1]stages!$A$1,0,0,COUNTA([1]stages!$A:$A),MATCH(H$1,[1]stages!$2:$2,0)-MATCH("temp_stage",[1]stages!$2:$2,0)+1),MATCH(H$1,[1]stages!$2:$2,0)-MATCH("temp_stage",[1]stages!$2:$2,0)+1,FALSE)</f>
        <v>降臨2</v>
      </c>
      <c r="I128" s="19">
        <v>0</v>
      </c>
      <c r="J128">
        <v>33</v>
      </c>
      <c r="K128" s="6" t="s">
        <v>17</v>
      </c>
      <c r="L128" s="36" t="str">
        <f>VLOOKUP(J128,[2]stage_hints!$A:$C,3,FALSE)</f>
        <v>カウンターブレイク！</v>
      </c>
      <c r="M128" s="37" t="str">
        <f>VLOOKUP(J128,[2]stage_hints!$A:$D,4,FALSE)</f>
        <v>敵のカウンターには「カウンターブレイク」！_x000D_カウンターを解除して攻撃をしかけましょう</v>
      </c>
      <c r="N128" s="22" t="s">
        <v>24</v>
      </c>
      <c r="O128">
        <v>33</v>
      </c>
    </row>
    <row r="129" spans="1:15">
      <c r="A129" s="29" t="e">
        <f>C129&amp;"_"&amp;F129&amp;"_"&amp;#REF!</f>
        <v>#REF!</v>
      </c>
      <c r="B129" s="27" t="s">
        <v>33</v>
      </c>
      <c r="C129" s="5">
        <v>40002</v>
      </c>
      <c r="D129" s="4" t="str">
        <f ca="1">VLOOKUP($C129,OFFSET([1]quests!$A$1,0,0,COUNTA([1]quests!$A:$A),MATCH(D$1,[1]quests!$1:$1,0)-MATCH($C$1,[1]quests!$1:$1,0)+1),MATCH(D$1,[1]quests!$1:$1,0)-MATCH($C$1,[1]quests!$1:$1,0)+1,FALSE)</f>
        <v>アザゼル襲来！</v>
      </c>
      <c r="E129" s="4" t="str">
        <f ca="1">VLOOKUP($C129,OFFSET([1]quests!$A$1,0,0,COUNTA([1]quests!$A:$A),MATCH(E$1,[1]quests!$1:$1,0)-MATCH($C$1,[1]quests!$1:$1,0)+1),MATCH(E$1,[1]quests!$1:$1,0)-MATCH($C$1,[1]quests!$1:$1,0)+1,FALSE)</f>
        <v>降臨2</v>
      </c>
      <c r="F129" s="6">
        <v>2</v>
      </c>
      <c r="G129" s="4" t="str">
        <f ca="1">VLOOKUP($C129&amp;"_"&amp;$F129,OFFSET([1]stages!$A$1,0,0,COUNTA([1]stages!$A:$A),MATCH(G$1,[1]stages!$2:$2,0)-MATCH("temp_stage",[1]stages!$2:$2,0)+1),MATCH(G$1,[1]stages!$2:$2,0)-MATCH("temp_stage",[1]stages!$2:$2,0)+1,FALSE)</f>
        <v>【超絶級】アザゼル襲来</v>
      </c>
      <c r="H129" s="4" t="str">
        <f ca="1">VLOOKUP($C129&amp;"_"&amp;$F129,OFFSET([1]stages!$A$1,0,0,COUNTA([1]stages!$A:$A),MATCH(H$1,[1]stages!$2:$2,0)-MATCH("temp_stage",[1]stages!$2:$2,0)+1),MATCH(H$1,[1]stages!$2:$2,0)-MATCH("temp_stage",[1]stages!$2:$2,0)+1,FALSE)</f>
        <v>降臨2</v>
      </c>
      <c r="I129" s="19">
        <v>0</v>
      </c>
      <c r="J129">
        <v>34</v>
      </c>
      <c r="K129" s="6" t="s">
        <v>17</v>
      </c>
      <c r="L129" s="36" t="str">
        <f>VLOOKUP(J129,[2]stage_hints!$A:$C,3,FALSE)</f>
        <v>敵のDOWNを上書きしよう！</v>
      </c>
      <c r="M129" s="37" t="str">
        <f>VLOOKUP(J129,[2]stage_hints!$A:$D,4,FALSE)</f>
        <v>攻撃力ダウンを受けたときは_x000D_攻撃力アップスキルで効果を上書きできます</v>
      </c>
      <c r="N129" s="22" t="s">
        <v>24</v>
      </c>
      <c r="O129">
        <v>34</v>
      </c>
    </row>
    <row r="130" spans="1:15">
      <c r="A130" s="29" t="e">
        <f>C130&amp;"_"&amp;F130&amp;"_"&amp;#REF!</f>
        <v>#REF!</v>
      </c>
      <c r="B130" s="27" t="s">
        <v>33</v>
      </c>
      <c r="C130" s="5">
        <v>40002</v>
      </c>
      <c r="D130" s="4" t="str">
        <f ca="1">VLOOKUP($C130,OFFSET([1]quests!$A$1,0,0,COUNTA([1]quests!$A:$A),MATCH(D$1,[1]quests!$1:$1,0)-MATCH($C$1,[1]quests!$1:$1,0)+1),MATCH(D$1,[1]quests!$1:$1,0)-MATCH($C$1,[1]quests!$1:$1,0)+1,FALSE)</f>
        <v>アザゼル襲来！</v>
      </c>
      <c r="E130" s="4" t="str">
        <f ca="1">VLOOKUP($C130,OFFSET([1]quests!$A$1,0,0,COUNTA([1]quests!$A:$A),MATCH(E$1,[1]quests!$1:$1,0)-MATCH($C$1,[1]quests!$1:$1,0)+1),MATCH(E$1,[1]quests!$1:$1,0)-MATCH($C$1,[1]quests!$1:$1,0)+1,FALSE)</f>
        <v>降臨2</v>
      </c>
      <c r="F130" s="6">
        <v>2</v>
      </c>
      <c r="G130" s="4" t="str">
        <f ca="1">VLOOKUP($C130&amp;"_"&amp;$F130,OFFSET([1]stages!$A$1,0,0,COUNTA([1]stages!$A:$A),MATCH(G$1,[1]stages!$2:$2,0)-MATCH("temp_stage",[1]stages!$2:$2,0)+1),MATCH(G$1,[1]stages!$2:$2,0)-MATCH("temp_stage",[1]stages!$2:$2,0)+1,FALSE)</f>
        <v>【超絶級】アザゼル襲来</v>
      </c>
      <c r="H130" s="4" t="str">
        <f ca="1">VLOOKUP($C130&amp;"_"&amp;$F130,OFFSET([1]stages!$A$1,0,0,COUNTA([1]stages!$A:$A),MATCH(H$1,[1]stages!$2:$2,0)-MATCH("temp_stage",[1]stages!$2:$2,0)+1),MATCH(H$1,[1]stages!$2:$2,0)-MATCH("temp_stage",[1]stages!$2:$2,0)+1,FALSE)</f>
        <v>降臨2</v>
      </c>
      <c r="I130" s="19">
        <v>0</v>
      </c>
      <c r="J130">
        <v>35</v>
      </c>
      <c r="K130" s="6" t="s">
        <v>17</v>
      </c>
      <c r="L130" s="36" t="str">
        <f>VLOOKUP(J130,[2]stage_hints!$A:$C,3,FALSE)</f>
        <v>敵のUPを上書きしよう！</v>
      </c>
      <c r="M130" s="37" t="str">
        <f>VLOOKUP(J130,[2]stage_hints!$A:$D,4,FALSE)</f>
        <v>敵の攻撃力がアップしたときは_x000D_攻撃力ダウンスキルで効果を上書きできます</v>
      </c>
      <c r="N130" s="22" t="s">
        <v>24</v>
      </c>
      <c r="O130">
        <v>35</v>
      </c>
    </row>
    <row r="131" spans="1:15">
      <c r="A131" s="29" t="e">
        <f>C131&amp;"_"&amp;F131&amp;"_"&amp;#REF!</f>
        <v>#REF!</v>
      </c>
      <c r="B131" s="27" t="s">
        <v>33</v>
      </c>
      <c r="C131" s="5">
        <v>40002</v>
      </c>
      <c r="D131" s="4" t="str">
        <f ca="1">VLOOKUP($C131,OFFSET([1]quests!$A$1,0,0,COUNTA([1]quests!$A:$A),MATCH(D$1,[1]quests!$1:$1,0)-MATCH($C$1,[1]quests!$1:$1,0)+1),MATCH(D$1,[1]quests!$1:$1,0)-MATCH($C$1,[1]quests!$1:$1,0)+1,FALSE)</f>
        <v>アザゼル襲来！</v>
      </c>
      <c r="E131" s="4" t="str">
        <f ca="1">VLOOKUP($C131,OFFSET([1]quests!$A$1,0,0,COUNTA([1]quests!$A:$A),MATCH(E$1,[1]quests!$1:$1,0)-MATCH($C$1,[1]quests!$1:$1,0)+1),MATCH(E$1,[1]quests!$1:$1,0)-MATCH($C$1,[1]quests!$1:$1,0)+1,FALSE)</f>
        <v>降臨2</v>
      </c>
      <c r="F131" s="6">
        <v>2</v>
      </c>
      <c r="G131" s="4" t="str">
        <f ca="1">VLOOKUP($C131&amp;"_"&amp;$F131,OFFSET([1]stages!$A$1,0,0,COUNTA([1]stages!$A:$A),MATCH(G$1,[1]stages!$2:$2,0)-MATCH("temp_stage",[1]stages!$2:$2,0)+1),MATCH(G$1,[1]stages!$2:$2,0)-MATCH("temp_stage",[1]stages!$2:$2,0)+1,FALSE)</f>
        <v>【超絶級】アザゼル襲来</v>
      </c>
      <c r="H131" s="4" t="str">
        <f ca="1">VLOOKUP($C131&amp;"_"&amp;$F131,OFFSET([1]stages!$A$1,0,0,COUNTA([1]stages!$A:$A),MATCH(H$1,[1]stages!$2:$2,0)-MATCH("temp_stage",[1]stages!$2:$2,0)+1),MATCH(H$1,[1]stages!$2:$2,0)-MATCH("temp_stage",[1]stages!$2:$2,0)+1,FALSE)</f>
        <v>降臨2</v>
      </c>
      <c r="I131" s="19">
        <v>0</v>
      </c>
      <c r="J131">
        <v>36</v>
      </c>
      <c r="K131" s="6" t="s">
        <v>17</v>
      </c>
      <c r="L131" s="36" t="str">
        <f>VLOOKUP(J131,[2]stage_hints!$A:$C,3,FALSE)</f>
        <v>チャレンジタワーのボス</v>
      </c>
      <c r="M131" s="37" t="str">
        <f>VLOOKUP(J131,[2]stage_hints!$A:$D,4,FALSE)</f>
        <v>チャレンジタワー15F、20F、25Fのボスは_x000D_一定確率でドロップするようです</v>
      </c>
      <c r="N131" s="22" t="s">
        <v>24</v>
      </c>
      <c r="O131">
        <v>36</v>
      </c>
    </row>
    <row r="132" spans="1:15">
      <c r="A132" s="29" t="e">
        <f>C132&amp;"_"&amp;F132&amp;"_"&amp;#REF!</f>
        <v>#REF!</v>
      </c>
      <c r="B132" s="27" t="s">
        <v>33</v>
      </c>
      <c r="C132" s="5">
        <v>40002</v>
      </c>
      <c r="D132" s="4" t="str">
        <f ca="1">VLOOKUP($C132,OFFSET([1]quests!$A$1,0,0,COUNTA([1]quests!$A:$A),MATCH(D$1,[1]quests!$1:$1,0)-MATCH($C$1,[1]quests!$1:$1,0)+1),MATCH(D$1,[1]quests!$1:$1,0)-MATCH($C$1,[1]quests!$1:$1,0)+1,FALSE)</f>
        <v>アザゼル襲来！</v>
      </c>
      <c r="E132" s="4" t="str">
        <f ca="1">VLOOKUP($C132,OFFSET([1]quests!$A$1,0,0,COUNTA([1]quests!$A:$A),MATCH(E$1,[1]quests!$1:$1,0)-MATCH($C$1,[1]quests!$1:$1,0)+1),MATCH(E$1,[1]quests!$1:$1,0)-MATCH($C$1,[1]quests!$1:$1,0)+1,FALSE)</f>
        <v>降臨2</v>
      </c>
      <c r="F132" s="6">
        <v>2</v>
      </c>
      <c r="G132" s="4" t="str">
        <f ca="1">VLOOKUP($C132&amp;"_"&amp;$F132,OFFSET([1]stages!$A$1,0,0,COUNTA([1]stages!$A:$A),MATCH(G$1,[1]stages!$2:$2,0)-MATCH("temp_stage",[1]stages!$2:$2,0)+1),MATCH(G$1,[1]stages!$2:$2,0)-MATCH("temp_stage",[1]stages!$2:$2,0)+1,FALSE)</f>
        <v>【超絶級】アザゼル襲来</v>
      </c>
      <c r="H132" s="4" t="str">
        <f ca="1">VLOOKUP($C132&amp;"_"&amp;$F132,OFFSET([1]stages!$A$1,0,0,COUNTA([1]stages!$A:$A),MATCH(H$1,[1]stages!$2:$2,0)-MATCH("temp_stage",[1]stages!$2:$2,0)+1),MATCH(H$1,[1]stages!$2:$2,0)-MATCH("temp_stage",[1]stages!$2:$2,0)+1,FALSE)</f>
        <v>降臨2</v>
      </c>
      <c r="I132" s="19">
        <v>0</v>
      </c>
      <c r="J132">
        <v>37</v>
      </c>
      <c r="K132" s="6" t="s">
        <v>17</v>
      </c>
      <c r="L132" s="36" t="str">
        <f>VLOOKUP(J132,[2]stage_hints!$A:$C,3,FALSE)</f>
        <v>限界突破の引継</v>
      </c>
      <c r="M132" s="37" t="str">
        <f>VLOOKUP(J132,[2]stage_hints!$A:$D,4,FALSE)</f>
        <v>限界突破の+値は同じユニットなら_x000D_覚醒前後でも強化で引き継がれます</v>
      </c>
      <c r="N132" s="22" t="s">
        <v>24</v>
      </c>
      <c r="O132">
        <v>37</v>
      </c>
    </row>
  </sheetData>
  <phoneticPr fontId="5"/>
  <dataValidations count="1">
    <dataValidation type="list" allowBlank="1" showInputMessage="1" showErrorMessage="1" sqref="B2:B13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38"/>
  <sheetViews>
    <sheetView topLeftCell="A12" workbookViewId="0">
      <selection activeCell="C17" sqref="C17"/>
    </sheetView>
  </sheetViews>
  <sheetFormatPr baseColWidth="12" defaultRowHeight="18" x14ac:dyDescent="0"/>
  <cols>
    <col min="3" max="3" width="75.33203125" customWidth="1"/>
  </cols>
  <sheetData>
    <row r="1" spans="1:3">
      <c r="A1" t="s">
        <v>72</v>
      </c>
      <c r="B1" t="s">
        <v>36</v>
      </c>
      <c r="C1" t="s">
        <v>37</v>
      </c>
    </row>
    <row r="2" spans="1:3" ht="29">
      <c r="A2">
        <v>1</v>
      </c>
      <c r="B2" t="s">
        <v>38</v>
      </c>
      <c r="C2" s="30" t="s">
        <v>78</v>
      </c>
    </row>
    <row r="3" spans="1:3" ht="29">
      <c r="A3">
        <v>2</v>
      </c>
      <c r="B3" t="s">
        <v>39</v>
      </c>
      <c r="C3" s="30" t="s">
        <v>79</v>
      </c>
    </row>
    <row r="4" spans="1:3" ht="29">
      <c r="A4">
        <v>3</v>
      </c>
      <c r="B4" t="s">
        <v>40</v>
      </c>
      <c r="C4" s="30" t="s">
        <v>80</v>
      </c>
    </row>
    <row r="5" spans="1:3" ht="42">
      <c r="A5">
        <v>4</v>
      </c>
      <c r="B5" t="s">
        <v>41</v>
      </c>
      <c r="C5" s="30" t="s">
        <v>81</v>
      </c>
    </row>
    <row r="6" spans="1:3" ht="42">
      <c r="A6">
        <v>5</v>
      </c>
      <c r="B6" t="s">
        <v>42</v>
      </c>
      <c r="C6" s="30" t="s">
        <v>108</v>
      </c>
    </row>
    <row r="7" spans="1:3" ht="42">
      <c r="A7">
        <v>6</v>
      </c>
      <c r="B7" t="s">
        <v>43</v>
      </c>
      <c r="C7" s="30" t="s">
        <v>82</v>
      </c>
    </row>
    <row r="8" spans="1:3" ht="42">
      <c r="A8">
        <v>7</v>
      </c>
      <c r="B8" t="s">
        <v>44</v>
      </c>
      <c r="C8" s="30" t="s">
        <v>83</v>
      </c>
    </row>
    <row r="9" spans="1:3" ht="42">
      <c r="A9">
        <v>8</v>
      </c>
      <c r="B9" t="s">
        <v>45</v>
      </c>
      <c r="C9" s="30" t="s">
        <v>84</v>
      </c>
    </row>
    <row r="10" spans="1:3" ht="42">
      <c r="A10">
        <v>9</v>
      </c>
      <c r="B10" t="s">
        <v>46</v>
      </c>
      <c r="C10" s="30" t="s">
        <v>85</v>
      </c>
    </row>
    <row r="11" spans="1:3" ht="42">
      <c r="A11">
        <v>10</v>
      </c>
      <c r="B11" t="s">
        <v>47</v>
      </c>
      <c r="C11" s="30" t="s">
        <v>86</v>
      </c>
    </row>
    <row r="12" spans="1:3" ht="42">
      <c r="A12">
        <v>11</v>
      </c>
      <c r="B12" t="s">
        <v>48</v>
      </c>
      <c r="C12" s="31" t="s">
        <v>87</v>
      </c>
    </row>
    <row r="13" spans="1:3" ht="29">
      <c r="A13">
        <v>12</v>
      </c>
      <c r="B13" t="s">
        <v>34</v>
      </c>
      <c r="C13" s="30" t="s">
        <v>88</v>
      </c>
    </row>
    <row r="14" spans="1:3" ht="29">
      <c r="A14">
        <v>13</v>
      </c>
      <c r="B14" t="s">
        <v>49</v>
      </c>
      <c r="C14" s="30" t="s">
        <v>89</v>
      </c>
    </row>
    <row r="15" spans="1:3" ht="42">
      <c r="A15">
        <v>14</v>
      </c>
      <c r="B15" t="s">
        <v>50</v>
      </c>
      <c r="C15" s="30" t="s">
        <v>90</v>
      </c>
    </row>
    <row r="16" spans="1:3" ht="29">
      <c r="A16">
        <v>15</v>
      </c>
      <c r="B16" t="s">
        <v>51</v>
      </c>
      <c r="C16" s="30" t="s">
        <v>91</v>
      </c>
    </row>
    <row r="17" spans="1:3" ht="42">
      <c r="A17">
        <v>16</v>
      </c>
      <c r="B17" t="s">
        <v>52</v>
      </c>
      <c r="C17" s="30" t="s">
        <v>92</v>
      </c>
    </row>
    <row r="18" spans="1:3" ht="42">
      <c r="A18">
        <v>17</v>
      </c>
      <c r="B18" t="s">
        <v>53</v>
      </c>
      <c r="C18" s="31" t="s">
        <v>93</v>
      </c>
    </row>
    <row r="19" spans="1:3" ht="29">
      <c r="A19">
        <v>18</v>
      </c>
      <c r="B19" t="s">
        <v>54</v>
      </c>
      <c r="C19" s="30" t="s">
        <v>94</v>
      </c>
    </row>
    <row r="20" spans="1:3" ht="42">
      <c r="A20">
        <v>19</v>
      </c>
      <c r="B20" t="s">
        <v>55</v>
      </c>
      <c r="C20" s="31" t="s">
        <v>95</v>
      </c>
    </row>
    <row r="21" spans="1:3" ht="29">
      <c r="A21">
        <v>20</v>
      </c>
      <c r="B21" t="s">
        <v>35</v>
      </c>
      <c r="C21" s="32" t="s">
        <v>113</v>
      </c>
    </row>
    <row r="22" spans="1:3" ht="55">
      <c r="A22">
        <v>21</v>
      </c>
      <c r="B22" t="s">
        <v>56</v>
      </c>
      <c r="C22" s="31" t="s">
        <v>114</v>
      </c>
    </row>
    <row r="23" spans="1:3">
      <c r="A23">
        <v>22</v>
      </c>
      <c r="B23" t="s">
        <v>57</v>
      </c>
      <c r="C23" s="31" t="s">
        <v>96</v>
      </c>
    </row>
    <row r="24" spans="1:3" ht="42">
      <c r="A24">
        <v>23</v>
      </c>
      <c r="B24" t="s">
        <v>58</v>
      </c>
      <c r="C24" s="31" t="s">
        <v>97</v>
      </c>
    </row>
    <row r="25" spans="1:3" ht="55">
      <c r="A25">
        <v>24</v>
      </c>
      <c r="B25" t="s">
        <v>59</v>
      </c>
      <c r="C25" s="31" t="s">
        <v>109</v>
      </c>
    </row>
    <row r="26" spans="1:3" ht="42">
      <c r="A26">
        <v>25</v>
      </c>
      <c r="B26" t="s">
        <v>60</v>
      </c>
      <c r="C26" s="31" t="s">
        <v>98</v>
      </c>
    </row>
    <row r="27" spans="1:3" ht="29">
      <c r="A27">
        <v>26</v>
      </c>
      <c r="B27" t="s">
        <v>61</v>
      </c>
      <c r="C27" s="31" t="s">
        <v>99</v>
      </c>
    </row>
    <row r="28" spans="1:3" ht="42">
      <c r="A28">
        <v>27</v>
      </c>
      <c r="B28" t="s">
        <v>62</v>
      </c>
      <c r="C28" s="30" t="s">
        <v>100</v>
      </c>
    </row>
    <row r="29" spans="1:3" ht="42">
      <c r="A29">
        <v>28</v>
      </c>
      <c r="B29" t="s">
        <v>63</v>
      </c>
      <c r="C29" s="30" t="s">
        <v>101</v>
      </c>
    </row>
    <row r="30" spans="1:3">
      <c r="A30">
        <v>29</v>
      </c>
      <c r="B30" t="s">
        <v>64</v>
      </c>
      <c r="C30" s="33" t="s">
        <v>102</v>
      </c>
    </row>
    <row r="31" spans="1:3" ht="29">
      <c r="A31">
        <v>30</v>
      </c>
      <c r="B31" t="s">
        <v>65</v>
      </c>
      <c r="C31" s="34" t="s">
        <v>103</v>
      </c>
    </row>
    <row r="32" spans="1:3" ht="29">
      <c r="A32">
        <v>31</v>
      </c>
      <c r="B32" t="s">
        <v>73</v>
      </c>
      <c r="C32" s="35" t="s">
        <v>110</v>
      </c>
    </row>
    <row r="33" spans="1:3" ht="29">
      <c r="A33">
        <v>32</v>
      </c>
      <c r="B33" t="s">
        <v>66</v>
      </c>
      <c r="C33" s="31" t="s">
        <v>111</v>
      </c>
    </row>
    <row r="34" spans="1:3" ht="55">
      <c r="A34">
        <v>33</v>
      </c>
      <c r="B34" t="s">
        <v>67</v>
      </c>
      <c r="C34" s="30" t="s">
        <v>112</v>
      </c>
    </row>
    <row r="35" spans="1:3" ht="29">
      <c r="A35">
        <v>34</v>
      </c>
      <c r="B35" t="s">
        <v>68</v>
      </c>
      <c r="C35" s="30" t="s">
        <v>104</v>
      </c>
    </row>
    <row r="36" spans="1:3" ht="42">
      <c r="A36">
        <v>35</v>
      </c>
      <c r="B36" t="s">
        <v>69</v>
      </c>
      <c r="C36" s="30" t="s">
        <v>105</v>
      </c>
    </row>
    <row r="37" spans="1:3" ht="42">
      <c r="A37">
        <v>36</v>
      </c>
      <c r="B37" t="s">
        <v>70</v>
      </c>
      <c r="C37" s="31" t="s">
        <v>106</v>
      </c>
    </row>
    <row r="38" spans="1:3" ht="42">
      <c r="A38">
        <v>37</v>
      </c>
      <c r="B38" t="s">
        <v>71</v>
      </c>
      <c r="C38" s="31" t="s">
        <v>107</v>
      </c>
    </row>
  </sheetData>
  <phoneticPr fontId="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stage_hints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加藤 雅大</cp:lastModifiedBy>
  <dcterms:created xsi:type="dcterms:W3CDTF">2013-10-07T08:00:17Z</dcterms:created>
  <dcterms:modified xsi:type="dcterms:W3CDTF">2015-12-24T10:24:44Z</dcterms:modified>
</cp:coreProperties>
</file>