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740" activeTab="9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enemy_habitat_S!$B$1:$Y$3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21" l="1"/>
  <c r="C19" i="21"/>
  <c r="D19" i="21"/>
  <c r="F19" i="21"/>
  <c r="G19" i="21"/>
  <c r="I19" i="21"/>
  <c r="J19" i="21"/>
  <c r="B13" i="21"/>
  <c r="C13" i="21"/>
  <c r="D13" i="21"/>
  <c r="F13" i="21"/>
  <c r="G13" i="21"/>
  <c r="I13" i="21"/>
  <c r="J13" i="21"/>
  <c r="B7" i="21"/>
  <c r="C7" i="21"/>
  <c r="D7" i="21"/>
  <c r="F7" i="21"/>
  <c r="G7" i="21"/>
  <c r="I7" i="21"/>
  <c r="J7" i="21"/>
  <c r="E2" i="9"/>
  <c r="V2" i="1"/>
  <c r="J7" i="11"/>
  <c r="J12" i="11"/>
  <c r="J13" i="11"/>
  <c r="J14" i="11"/>
  <c r="J15" i="11"/>
  <c r="J16" i="11"/>
  <c r="J17" i="11"/>
  <c r="J18" i="11"/>
  <c r="J19" i="11"/>
  <c r="J20" i="11"/>
  <c r="J21" i="11"/>
  <c r="J22" i="11"/>
  <c r="B17" i="21"/>
  <c r="I17" i="21"/>
  <c r="J17" i="21"/>
  <c r="G17" i="21"/>
  <c r="F17" i="21"/>
  <c r="D17" i="21"/>
  <c r="C17" i="21"/>
  <c r="B11" i="21"/>
  <c r="I11" i="21"/>
  <c r="J11" i="21"/>
  <c r="G11" i="21"/>
  <c r="F11" i="21"/>
  <c r="D11" i="21"/>
  <c r="C11" i="21"/>
  <c r="B5" i="21"/>
  <c r="I5" i="21"/>
  <c r="J5" i="21"/>
  <c r="G5" i="21"/>
  <c r="F5" i="21"/>
  <c r="D5" i="21"/>
  <c r="C5" i="21"/>
  <c r="A13" i="9"/>
  <c r="D13" i="9"/>
  <c r="E13" i="9"/>
  <c r="G13" i="9"/>
  <c r="H13" i="9"/>
  <c r="I13" i="9"/>
  <c r="J13" i="9"/>
  <c r="K13" i="9"/>
  <c r="L13" i="9"/>
  <c r="M13" i="9"/>
  <c r="N13" i="9"/>
  <c r="J4" i="11"/>
  <c r="O13" i="9"/>
  <c r="A4" i="9"/>
  <c r="D4" i="9"/>
  <c r="E4" i="9"/>
  <c r="G4" i="9"/>
  <c r="H4" i="9"/>
  <c r="I4" i="9"/>
  <c r="J4" i="9"/>
  <c r="K4" i="9"/>
  <c r="L4" i="9"/>
  <c r="M4" i="9"/>
  <c r="N4" i="9"/>
  <c r="O4" i="9"/>
  <c r="A22" i="9"/>
  <c r="D22" i="9"/>
  <c r="E22" i="9"/>
  <c r="G22" i="9"/>
  <c r="H22" i="9"/>
  <c r="I22" i="9"/>
  <c r="J22" i="9"/>
  <c r="K22" i="9"/>
  <c r="L22" i="9"/>
  <c r="M22" i="9"/>
  <c r="N22" i="9"/>
  <c r="J5" i="11"/>
  <c r="O22" i="9"/>
  <c r="W5" i="7"/>
  <c r="Y5" i="7"/>
  <c r="W6" i="7"/>
  <c r="Y6" i="7"/>
  <c r="W7" i="7"/>
  <c r="Y7" i="7"/>
  <c r="W8" i="7"/>
  <c r="Y8" i="7"/>
  <c r="W9" i="7"/>
  <c r="Y9" i="7"/>
  <c r="A5" i="7"/>
  <c r="A8" i="7"/>
  <c r="D5" i="7"/>
  <c r="E5" i="7"/>
  <c r="F5" i="7"/>
  <c r="D6" i="7"/>
  <c r="E6" i="7"/>
  <c r="F6" i="7"/>
  <c r="D7" i="7"/>
  <c r="E7" i="7"/>
  <c r="F7" i="7"/>
  <c r="D8" i="7"/>
  <c r="E8" i="7"/>
  <c r="F8" i="7"/>
  <c r="H5" i="7"/>
  <c r="I5" i="7"/>
  <c r="J5" i="7"/>
  <c r="H6" i="7"/>
  <c r="I6" i="7"/>
  <c r="J6" i="7"/>
  <c r="H7" i="7"/>
  <c r="I7" i="7"/>
  <c r="J7" i="7"/>
  <c r="H8" i="7"/>
  <c r="I8" i="7"/>
  <c r="J8" i="7"/>
  <c r="H9" i="7"/>
  <c r="I9" i="7"/>
  <c r="J9" i="7"/>
  <c r="N5" i="7"/>
  <c r="O5" i="7"/>
  <c r="P5" i="7"/>
  <c r="Q5" i="7"/>
  <c r="R5" i="7"/>
  <c r="N6" i="7"/>
  <c r="O6" i="7"/>
  <c r="P6" i="7"/>
  <c r="Q6" i="7"/>
  <c r="R6" i="7"/>
  <c r="N7" i="7"/>
  <c r="O7" i="7"/>
  <c r="P7" i="7"/>
  <c r="Q7" i="7"/>
  <c r="R7" i="7"/>
  <c r="N8" i="7"/>
  <c r="O8" i="7"/>
  <c r="P8" i="7"/>
  <c r="Q8" i="7"/>
  <c r="R8" i="7"/>
  <c r="Y2" i="7"/>
  <c r="W2" i="7"/>
  <c r="R2" i="7"/>
  <c r="Q2" i="7"/>
  <c r="P2" i="7"/>
  <c r="O2" i="7"/>
  <c r="N2" i="7"/>
  <c r="H2" i="7"/>
  <c r="J2" i="7"/>
  <c r="I2" i="7"/>
  <c r="D2" i="7"/>
  <c r="F2" i="7"/>
  <c r="E2" i="7"/>
  <c r="A2" i="7"/>
  <c r="A27" i="18"/>
  <c r="C27" i="18"/>
  <c r="D27" i="18"/>
  <c r="A26" i="18"/>
  <c r="C26" i="18"/>
  <c r="D26" i="18"/>
  <c r="A25" i="18"/>
  <c r="C25" i="18"/>
  <c r="D25" i="18"/>
  <c r="A24" i="18"/>
  <c r="C24" i="18"/>
  <c r="D24" i="18"/>
  <c r="A23" i="18"/>
  <c r="C23" i="18"/>
  <c r="D23" i="18"/>
  <c r="A22" i="18"/>
  <c r="C22" i="18"/>
  <c r="D22" i="18"/>
  <c r="A21" i="18"/>
  <c r="C21" i="18"/>
  <c r="D21" i="18"/>
  <c r="A20" i="18"/>
  <c r="C20" i="18"/>
  <c r="D20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L40" i="19"/>
  <c r="K40" i="19"/>
  <c r="B40" i="19"/>
  <c r="G40" i="19"/>
  <c r="F40" i="19"/>
  <c r="D40" i="19"/>
  <c r="C40" i="19"/>
  <c r="L39" i="19"/>
  <c r="K39" i="19"/>
  <c r="B39" i="19"/>
  <c r="G39" i="19"/>
  <c r="F39" i="19"/>
  <c r="D39" i="19"/>
  <c r="C39" i="19"/>
  <c r="L38" i="19"/>
  <c r="K38" i="19"/>
  <c r="B38" i="19"/>
  <c r="G38" i="19"/>
  <c r="F38" i="19"/>
  <c r="D38" i="19"/>
  <c r="C38" i="19"/>
  <c r="L37" i="19"/>
  <c r="K37" i="19"/>
  <c r="B37" i="19"/>
  <c r="G37" i="19"/>
  <c r="F37" i="19"/>
  <c r="D37" i="19"/>
  <c r="C37" i="19"/>
  <c r="L36" i="19"/>
  <c r="K36" i="19"/>
  <c r="B36" i="19"/>
  <c r="G36" i="19"/>
  <c r="F36" i="19"/>
  <c r="D36" i="19"/>
  <c r="C36" i="19"/>
  <c r="L35" i="19"/>
  <c r="K35" i="19"/>
  <c r="B35" i="19"/>
  <c r="G35" i="19"/>
  <c r="F35" i="19"/>
  <c r="D35" i="19"/>
  <c r="C35" i="19"/>
  <c r="L34" i="19"/>
  <c r="K34" i="19"/>
  <c r="B34" i="19"/>
  <c r="G34" i="19"/>
  <c r="F34" i="19"/>
  <c r="D34" i="19"/>
  <c r="C34" i="19"/>
  <c r="L33" i="19"/>
  <c r="K33" i="19"/>
  <c r="B33" i="19"/>
  <c r="G33" i="19"/>
  <c r="F33" i="19"/>
  <c r="D33" i="19"/>
  <c r="C33" i="19"/>
  <c r="L32" i="19"/>
  <c r="K32" i="19"/>
  <c r="B32" i="19"/>
  <c r="G32" i="19"/>
  <c r="F32" i="19"/>
  <c r="D32" i="19"/>
  <c r="C32" i="19"/>
  <c r="L31" i="19"/>
  <c r="K31" i="19"/>
  <c r="B31" i="19"/>
  <c r="G31" i="19"/>
  <c r="F31" i="19"/>
  <c r="D31" i="19"/>
  <c r="C31" i="19"/>
  <c r="L30" i="19"/>
  <c r="K30" i="19"/>
  <c r="B30" i="19"/>
  <c r="G30" i="19"/>
  <c r="F30" i="19"/>
  <c r="D30" i="19"/>
  <c r="C30" i="19"/>
  <c r="L29" i="19"/>
  <c r="K29" i="19"/>
  <c r="B29" i="19"/>
  <c r="G29" i="19"/>
  <c r="F29" i="19"/>
  <c r="D29" i="19"/>
  <c r="C29" i="19"/>
  <c r="L28" i="19"/>
  <c r="K28" i="19"/>
  <c r="B28" i="19"/>
  <c r="G28" i="19"/>
  <c r="F28" i="19"/>
  <c r="D28" i="19"/>
  <c r="C28" i="19"/>
  <c r="A3" i="9"/>
  <c r="D3" i="9"/>
  <c r="E3" i="9"/>
  <c r="G3" i="9"/>
  <c r="H3" i="9"/>
  <c r="I3" i="9"/>
  <c r="J3" i="9"/>
  <c r="K3" i="9"/>
  <c r="L3" i="9"/>
  <c r="M3" i="9"/>
  <c r="N3" i="9"/>
  <c r="J3" i="11"/>
  <c r="O3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J6" i="11"/>
  <c r="O6" i="9"/>
  <c r="A7" i="9"/>
  <c r="D7" i="9"/>
  <c r="E7" i="9"/>
  <c r="G7" i="9"/>
  <c r="H7" i="9"/>
  <c r="I7" i="9"/>
  <c r="J7" i="9"/>
  <c r="K7" i="9"/>
  <c r="L7" i="9"/>
  <c r="M7" i="9"/>
  <c r="N7" i="9"/>
  <c r="J2" i="11"/>
  <c r="O7" i="9"/>
  <c r="A8" i="9"/>
  <c r="D8" i="9"/>
  <c r="E8" i="9"/>
  <c r="G8" i="9"/>
  <c r="H8" i="9"/>
  <c r="I8" i="9"/>
  <c r="J8" i="9"/>
  <c r="K8" i="9"/>
  <c r="L8" i="9"/>
  <c r="M8" i="9"/>
  <c r="N8" i="9"/>
  <c r="J8" i="11"/>
  <c r="O8" i="9"/>
  <c r="A9" i="9"/>
  <c r="D9" i="9"/>
  <c r="E9" i="9"/>
  <c r="G9" i="9"/>
  <c r="H9" i="9"/>
  <c r="I9" i="9"/>
  <c r="J9" i="9"/>
  <c r="K9" i="9"/>
  <c r="L9" i="9"/>
  <c r="M9" i="9"/>
  <c r="N9" i="9"/>
  <c r="J9" i="11"/>
  <c r="O9" i="9"/>
  <c r="A10" i="9"/>
  <c r="D10" i="9"/>
  <c r="E10" i="9"/>
  <c r="G10" i="9"/>
  <c r="H10" i="9"/>
  <c r="I10" i="9"/>
  <c r="J10" i="9"/>
  <c r="K10" i="9"/>
  <c r="L10" i="9"/>
  <c r="M10" i="9"/>
  <c r="N10" i="9"/>
  <c r="J10" i="11"/>
  <c r="O10" i="9"/>
  <c r="A11" i="9"/>
  <c r="D11" i="9"/>
  <c r="E11" i="9"/>
  <c r="G11" i="9"/>
  <c r="H11" i="9"/>
  <c r="I11" i="9"/>
  <c r="J11" i="9"/>
  <c r="K11" i="9"/>
  <c r="L11" i="9"/>
  <c r="M11" i="9"/>
  <c r="N11" i="9"/>
  <c r="J11" i="11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A3" i="1"/>
  <c r="AA4" i="1"/>
  <c r="AA5" i="1"/>
  <c r="AA6" i="1"/>
  <c r="AA7" i="1"/>
  <c r="AA8" i="1"/>
  <c r="AA9" i="1"/>
  <c r="AA10" i="1"/>
  <c r="AA11" i="1"/>
  <c r="AA12" i="1"/>
  <c r="AA13" i="1"/>
  <c r="Y4" i="7"/>
  <c r="Y10" i="7"/>
  <c r="Y3" i="7"/>
  <c r="B18" i="21"/>
  <c r="I18" i="21"/>
  <c r="J18" i="21"/>
  <c r="G18" i="21"/>
  <c r="F18" i="21"/>
  <c r="D18" i="21"/>
  <c r="C18" i="21"/>
  <c r="B12" i="21"/>
  <c r="C12" i="21"/>
  <c r="D12" i="21"/>
  <c r="F12" i="21"/>
  <c r="G12" i="21"/>
  <c r="I12" i="21"/>
  <c r="J12" i="21"/>
  <c r="B14" i="21"/>
  <c r="C14" i="21"/>
  <c r="D14" i="21"/>
  <c r="F14" i="21"/>
  <c r="G14" i="21"/>
  <c r="I14" i="21"/>
  <c r="J14" i="21"/>
  <c r="B15" i="21"/>
  <c r="C15" i="21"/>
  <c r="D15" i="21"/>
  <c r="F15" i="21"/>
  <c r="G15" i="21"/>
  <c r="I15" i="21"/>
  <c r="J15" i="21"/>
  <c r="B16" i="21"/>
  <c r="C16" i="21"/>
  <c r="D16" i="21"/>
  <c r="F16" i="21"/>
  <c r="G16" i="21"/>
  <c r="I16" i="21"/>
  <c r="J16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6" i="21"/>
  <c r="C6" i="21"/>
  <c r="D6" i="21"/>
  <c r="F6" i="21"/>
  <c r="G6" i="21"/>
  <c r="I6" i="21"/>
  <c r="J6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G3" i="10"/>
  <c r="H3" i="10"/>
  <c r="I3" i="10"/>
  <c r="J3" i="10"/>
  <c r="K3" i="10"/>
  <c r="L3" i="10"/>
  <c r="M3" i="10"/>
  <c r="M1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A4" i="7"/>
  <c r="D4" i="7"/>
  <c r="E4" i="7"/>
  <c r="F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I4" i="7"/>
  <c r="J4" i="7"/>
  <c r="N4" i="7"/>
  <c r="O4" i="7"/>
  <c r="P4" i="7"/>
  <c r="Q4" i="7"/>
  <c r="R4" i="7"/>
  <c r="W4" i="7"/>
  <c r="A10" i="7"/>
  <c r="D10" i="7"/>
  <c r="E10" i="7"/>
  <c r="F10" i="7"/>
  <c r="H10" i="7"/>
  <c r="I10" i="7"/>
  <c r="J10" i="7"/>
  <c r="N10" i="7"/>
  <c r="O10" i="7"/>
  <c r="P10" i="7"/>
  <c r="Q10" i="7"/>
  <c r="R10" i="7"/>
  <c r="W10" i="7"/>
  <c r="A6" i="7"/>
  <c r="A7" i="7"/>
  <c r="A9" i="7"/>
  <c r="D9" i="7"/>
  <c r="E9" i="7"/>
  <c r="F9" i="7"/>
  <c r="N9" i="7"/>
  <c r="O9" i="7"/>
  <c r="P9" i="7"/>
  <c r="Q9" i="7"/>
  <c r="R9" i="7"/>
  <c r="A4" i="1"/>
  <c r="D4" i="1"/>
  <c r="E4" i="1"/>
  <c r="F4" i="1"/>
  <c r="H4" i="1"/>
  <c r="I4" i="1"/>
  <c r="J4" i="1"/>
  <c r="M4" i="1"/>
  <c r="N4" i="1"/>
  <c r="O4" i="1"/>
  <c r="P4" i="1"/>
  <c r="Q4" i="1"/>
  <c r="V4" i="1"/>
  <c r="AB4" i="1"/>
  <c r="AC4" i="1"/>
  <c r="AD4" i="1"/>
  <c r="AE4" i="1"/>
  <c r="AG4" i="1"/>
  <c r="A5" i="1"/>
  <c r="D5" i="1"/>
  <c r="E5" i="1"/>
  <c r="F5" i="1"/>
  <c r="H5" i="1"/>
  <c r="I5" i="1"/>
  <c r="J5" i="1"/>
  <c r="M5" i="1"/>
  <c r="N5" i="1"/>
  <c r="O5" i="1"/>
  <c r="P5" i="1"/>
  <c r="Q5" i="1"/>
  <c r="V5" i="1"/>
  <c r="AB5" i="1"/>
  <c r="AC5" i="1"/>
  <c r="AD5" i="1"/>
  <c r="AE5" i="1"/>
  <c r="AG5" i="1"/>
  <c r="A6" i="1"/>
  <c r="D6" i="1"/>
  <c r="E6" i="1"/>
  <c r="F6" i="1"/>
  <c r="H6" i="1"/>
  <c r="I6" i="1"/>
  <c r="J6" i="1"/>
  <c r="M6" i="1"/>
  <c r="N6" i="1"/>
  <c r="O6" i="1"/>
  <c r="P6" i="1"/>
  <c r="Q6" i="1"/>
  <c r="V6" i="1"/>
  <c r="AB6" i="1"/>
  <c r="AC6" i="1"/>
  <c r="AD6" i="1"/>
  <c r="AE6" i="1"/>
  <c r="AG6" i="1"/>
  <c r="A7" i="1"/>
  <c r="D7" i="1"/>
  <c r="E7" i="1"/>
  <c r="F7" i="1"/>
  <c r="H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8" i="1"/>
  <c r="D8" i="1"/>
  <c r="E8" i="1"/>
  <c r="F8" i="1"/>
  <c r="H8" i="1"/>
  <c r="I8" i="1"/>
  <c r="J8" i="1"/>
  <c r="M8" i="1"/>
  <c r="N8" i="1"/>
  <c r="O8" i="1"/>
  <c r="P8" i="1"/>
  <c r="Q8" i="1"/>
  <c r="V8" i="1"/>
  <c r="AB8" i="1"/>
  <c r="AC8" i="1"/>
  <c r="AD8" i="1"/>
  <c r="AE8" i="1"/>
  <c r="AG8" i="1"/>
  <c r="A9" i="1"/>
  <c r="D9" i="1"/>
  <c r="E9" i="1"/>
  <c r="F9" i="1"/>
  <c r="H9" i="1"/>
  <c r="I9" i="1"/>
  <c r="J9" i="1"/>
  <c r="M9" i="1"/>
  <c r="N9" i="1"/>
  <c r="O9" i="1"/>
  <c r="P9" i="1"/>
  <c r="Q9" i="1"/>
  <c r="V9" i="1"/>
  <c r="AB9" i="1"/>
  <c r="AC9" i="1"/>
  <c r="AD9" i="1"/>
  <c r="AE9" i="1"/>
  <c r="AG9" i="1"/>
  <c r="A10" i="1"/>
  <c r="D10" i="1"/>
  <c r="E10" i="1"/>
  <c r="F10" i="1"/>
  <c r="H10" i="1"/>
  <c r="I10" i="1"/>
  <c r="J10" i="1"/>
  <c r="M10" i="1"/>
  <c r="N10" i="1"/>
  <c r="O10" i="1"/>
  <c r="P10" i="1"/>
  <c r="Q10" i="1"/>
  <c r="V10" i="1"/>
  <c r="AB10" i="1"/>
  <c r="AC10" i="1"/>
  <c r="AD10" i="1"/>
  <c r="AE10" i="1"/>
  <c r="AG10" i="1"/>
  <c r="A11" i="1"/>
  <c r="D11" i="1"/>
  <c r="E11" i="1"/>
  <c r="F11" i="1"/>
  <c r="H11" i="1"/>
  <c r="I11" i="1"/>
  <c r="J11" i="1"/>
  <c r="M11" i="1"/>
  <c r="N11" i="1"/>
  <c r="O11" i="1"/>
  <c r="P11" i="1"/>
  <c r="Q11" i="1"/>
  <c r="V11" i="1"/>
  <c r="AB11" i="1"/>
  <c r="AC11" i="1"/>
  <c r="AD11" i="1"/>
  <c r="AE11" i="1"/>
  <c r="AG11" i="1"/>
  <c r="A12" i="1"/>
  <c r="D12" i="1"/>
  <c r="E12" i="1"/>
  <c r="F12" i="1"/>
  <c r="H12" i="1"/>
  <c r="I12" i="1"/>
  <c r="J12" i="1"/>
  <c r="M12" i="1"/>
  <c r="N12" i="1"/>
  <c r="O12" i="1"/>
  <c r="P12" i="1"/>
  <c r="Q12" i="1"/>
  <c r="V12" i="1"/>
  <c r="AB12" i="1"/>
  <c r="AC12" i="1"/>
  <c r="AD12" i="1"/>
  <c r="AE12" i="1"/>
  <c r="AG12" i="1"/>
  <c r="A13" i="1"/>
  <c r="D13" i="1"/>
  <c r="E13" i="1"/>
  <c r="F13" i="1"/>
  <c r="H13" i="1"/>
  <c r="I13" i="1"/>
  <c r="J13" i="1"/>
  <c r="M13" i="1"/>
  <c r="N13" i="1"/>
  <c r="O13" i="1"/>
  <c r="P13" i="1"/>
  <c r="Q13" i="1"/>
  <c r="V13" i="1"/>
  <c r="AB13" i="1"/>
  <c r="AC13" i="1"/>
  <c r="AD13" i="1"/>
  <c r="AE13" i="1"/>
  <c r="AG13" i="1"/>
  <c r="H2" i="1"/>
  <c r="H3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N3" i="22"/>
  <c r="G3" i="22"/>
  <c r="F3" i="22"/>
  <c r="D3" i="22"/>
  <c r="C3" i="22"/>
  <c r="A3" i="22"/>
  <c r="C13" i="16"/>
  <c r="E13" i="16"/>
  <c r="N2" i="22"/>
  <c r="G2" i="22"/>
  <c r="F2" i="22"/>
  <c r="D2" i="22"/>
  <c r="C2" i="22"/>
  <c r="A2" i="22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B15" i="19"/>
  <c r="C15" i="19"/>
  <c r="D15" i="19"/>
  <c r="F15" i="19"/>
  <c r="G15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W3" i="7"/>
  <c r="R3" i="7"/>
  <c r="Q3" i="7"/>
  <c r="P3" i="7"/>
  <c r="O3" i="7"/>
  <c r="N3" i="7"/>
  <c r="AB3" i="1"/>
  <c r="AE3" i="1"/>
  <c r="AD3" i="1"/>
  <c r="AC3" i="1"/>
  <c r="AB2" i="1"/>
  <c r="AE2" i="1"/>
  <c r="AD2" i="1"/>
  <c r="AC2" i="1"/>
  <c r="AA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3" i="7"/>
  <c r="J3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3" i="7"/>
  <c r="I3" i="7"/>
  <c r="D3" i="7"/>
  <c r="F3" i="7"/>
  <c r="E3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<sst xmlns="http://schemas.openxmlformats.org/spreadsheetml/2006/main" count="894" uniqueCount="341">
  <si>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</si>
  <si>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</si>
  <si>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</si>
  <si>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</si>
  <si>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</si>
  <si>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</si>
  <si>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</si>
  <si>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</si>
  <si>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</si>
  <si>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</si>
  <si>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</si>
  <si>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</si>
  <si>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</si>
  <si>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</si>
  <si>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</si>
  <si>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</si>
  <si>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</si>
  <si>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</si>
  <si>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</si>
  <si>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</si>
  <si>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</si>
  <si>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</si>
  <si>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</si>
  <si>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</si>
  <si>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</si>
  <si>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</si>
  <si>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</si>
  <si>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</si>
  <si>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</si>
  <si>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</si>
  <si>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</si>
  <si>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</si>
  <si>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</si>
  <si>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</si>
  <si>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</si>
  <si>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</si>
  <si>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</si>
  <si>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</si>
  <si>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</si>
  <si>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</si>
  <si>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</si>
  <si>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</si>
  <si>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</si>
  <si>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</si>
  <si>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</si>
  <si>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</si>
  <si>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</si>
  <si>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</si>
  <si>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</si>
  <si>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</si>
  <si>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</si>
  <si>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</si>
  <si>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</si>
  <si>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</si>
  <si>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</si>
  <si>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</si>
  <si>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</si>
  <si>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</si>
  <si>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</si>
  <si>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</si>
  <si>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</si>
  <si>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</si>
  <si>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</si>
  <si>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</si>
  <si>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</si>
  <si>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</si>
  <si>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</si>
  <si>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</si>
  <si>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</si>
  <si>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</si>
  <si>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</si>
  <si>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</si>
  <si>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</si>
  <si>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</si>
  <si>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</si>
  <si>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</si>
  <si>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</si>
  <si>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</si>
  <si>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</si>
  <si>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</si>
  <si>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</si>
  <si>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</si>
  <si>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</si>
  <si>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</si>
  <si>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</si>
  <si>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</si>
  <si>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</si>
  <si>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</si>
  <si>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</si>
  <si>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</si>
  <si>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</si>
  <si>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</si>
  <si>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</si>
  <si>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</si>
  <si>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</si>
  <si>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</si>
  <si>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</si>
  <si>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</si>
  <si>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</si>
  <si>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</si>
  <si>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</si>
  <si>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</si>
  <si>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</si>
  <si>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</si>
  <si>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</si>
  <si>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</si>
  <si>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</si>
  <si>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</si>
  <si>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</si>
  <si>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</si>
  <si>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</si>
  <si>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</si>
  <si>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</si>
  <si>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</si>
  <si>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</si>
  <si>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</si>
  <si>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</si>
  <si>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</si>
  <si>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</si>
  <si>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</si>
  <si>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</si>
  <si>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</si>
  <si>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</si>
  <si>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</si>
  <si>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</si>
  <si>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</si>
  <si>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</si>
  <si>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</si>
  <si>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</si>
  <si>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</si>
  <si>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</si>
  <si>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</si>
  <si>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</si>
  <si>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</si>
  <si>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</si>
  <si>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</si>
  <si>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</si>
  <si>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</si>
  <si>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</si>
  <si>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</si>
  <si>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</si>
  <si>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</si>
  <si>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</si>
  <si>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</si>
  <si>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</si>
  <si>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</si>
  <si>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</si>
  <si>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</si>
  <si>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</si>
  <si>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</si>
  <si>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</si>
  <si>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</si>
  <si>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</si>
  <si>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</si>
  <si>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</si>
  <si>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</si>
  <si>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</si>
  <si>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</si>
  <si>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</si>
  <si>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</si>
  <si>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</si>
  <si>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</si>
  <si>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</si>
  <si>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</si>
  <si>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</si>
  <si>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</si>
  <si>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</si>
  <si>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</si>
  <si>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</si>
  <si>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</si>
  <si>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</si>
  <si>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</si>
  <si>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</si>
  <si>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</si>
  <si>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</si>
  <si>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</si>
  <si>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</si>
  <si>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</si>
  <si>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</si>
  <si>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</si>
  <si>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</si>
  <si>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</si>
  <si>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</si>
  <si>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</si>
  <si>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</si>
  <si>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</si>
  <si>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</si>
  <si>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</si>
  <si>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</si>
  <si>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</si>
  <si>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</si>
  <si>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</si>
  <si>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</si>
  <si>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</si>
  <si>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</si>
  <si>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</si>
  <si>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</si>
  <si>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</si>
  <si>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</si>
  <si>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</si>
  <si>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</si>
  <si>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</si>
  <si>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</si>
  <si>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</si>
  <si>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</si>
  <si>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</si>
  <si>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</si>
  <si>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</si>
  <si>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</si>
  <si>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</si>
  <si>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</si>
  <si>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</si>
  <si>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</si>
  <si>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</si>
  <si>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</si>
  <si>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</si>
  <si>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</si>
  <si>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</si>
  <si>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</si>
  <si>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</si>
  <si>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</si>
  <si>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</si>
  <si>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</si>
  <si>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</si>
  <si>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</si>
  <si>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</si>
  <si>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</si>
  <si>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</si>
  <si>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</si>
  <si>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</si>
  <si>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</si>
  <si>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</si>
  <si>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</si>
  <si>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</si>
  <si>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</si>
  <si>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</si>
  <si>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</si>
  <si>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</si>
  <si>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</si>
  <si>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</si>
  <si>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</si>
  <si>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</si>
  <si>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</si>
  <si>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</si>
  <si>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</si>
  <si>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</si>
  <si>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</si>
  <si>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</si>
  <si>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</si>
  <si>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</si>
  <si>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</si>
  <si>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</si>
  <si>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</si>
  <si>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</si>
  <si>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</si>
  <si>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</si>
  <si>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悟空１F開幕</t>
    <rPh sb="0" eb="2">
      <t>ゴクウ</t>
    </rPh>
    <rPh sb="4" eb="6">
      <t>カイマク</t>
    </rPh>
    <phoneticPr fontId="5"/>
  </si>
  <si>
    <t>悟空１F開幕三蔵がいるとき</t>
    <rPh sb="0" eb="2">
      <t>ゴクウ</t>
    </rPh>
    <rPh sb="4" eb="6">
      <t>カイマク</t>
    </rPh>
    <rPh sb="6" eb="8">
      <t>サンゾウ</t>
    </rPh>
    <phoneticPr fontId="5"/>
  </si>
  <si>
    <t>悟空１F撃破時</t>
    <rPh sb="0" eb="2">
      <t>ゴクウ</t>
    </rPh>
    <rPh sb="4" eb="7">
      <t>ゲキハジ</t>
    </rPh>
    <phoneticPr fontId="5"/>
  </si>
  <si>
    <t>２Fゴクウ撃破時</t>
    <rPh sb="5" eb="7">
      <t>ゲキハ</t>
    </rPh>
    <rPh sb="7" eb="8">
      <t>ジ</t>
    </rPh>
    <phoneticPr fontId="5"/>
  </si>
  <si>
    <t>有利な属性、種族ユニットを集めて
パーティを編成してみましょう</t>
    <rPh sb="0" eb="2">
      <t>ユウリナ</t>
    </rPh>
    <rPh sb="3" eb="5">
      <t>ゾクセイ</t>
    </rPh>
    <rPh sb="6" eb="8">
      <t>シュゾク</t>
    </rPh>
    <rPh sb="13" eb="14">
      <t>アツメテ</t>
    </rPh>
    <rPh sb="22" eb="24">
      <t>ヘンセイ</t>
    </rPh>
    <phoneticPr fontId="5"/>
  </si>
  <si>
    <t>link</t>
  </si>
  <si>
    <t>unit</t>
  </si>
  <si>
    <t>３Fハヌマーン</t>
    <phoneticPr fontId="5"/>
  </si>
  <si>
    <t>３Fハヌマーン2ゲージ目</t>
    <phoneticPr fontId="5"/>
  </si>
  <si>
    <t>４F孫悟空１G</t>
    <rPh sb="2" eb="5">
      <t>ソンゴクウ</t>
    </rPh>
    <phoneticPr fontId="5"/>
  </si>
  <si>
    <t>３Fハヌマーン</t>
    <phoneticPr fontId="5"/>
  </si>
  <si>
    <t>４F孫悟空2G</t>
    <rPh sb="2" eb="5">
      <t>ソンゴクウ</t>
    </rPh>
    <phoneticPr fontId="5"/>
  </si>
  <si>
    <t>４F孫悟空3G行動頻度1に設定</t>
    <rPh sb="2" eb="5">
      <t>ソンゴクウ</t>
    </rPh>
    <rPh sb="7" eb="11">
      <t>コウドウヒンド</t>
    </rPh>
    <rPh sb="13" eb="15">
      <t>セッテイ</t>
    </rPh>
    <phoneticPr fontId="5"/>
  </si>
  <si>
    <t>４F孫悟空3Gゴッドキラー全体攻撃</t>
    <rPh sb="2" eb="5">
      <t>ソンゴクウ</t>
    </rPh>
    <rPh sb="13" eb="17">
      <t>ゼンタイコウゲキ</t>
    </rPh>
    <phoneticPr fontId="5"/>
  </si>
  <si>
    <t>４F孫悟空3G連続攻撃</t>
    <rPh sb="2" eb="5">
      <t>ソンゴクウ</t>
    </rPh>
    <rPh sb="7" eb="11">
      <t>レンゾクコウゲキ</t>
    </rPh>
    <phoneticPr fontId="5"/>
  </si>
  <si>
    <t>如意金箍棒・破神</t>
    <rPh sb="0" eb="5">
      <t>ニョイキンコボウ</t>
    </rPh>
    <rPh sb="6" eb="7">
      <t>ハ</t>
    </rPh>
    <phoneticPr fontId="5"/>
  </si>
  <si>
    <t>如意金箍棒・破金</t>
    <rPh sb="0" eb="5">
      <t>ニョイキンコボウ</t>
    </rPh>
    <rPh sb="6" eb="7">
      <t>ハ</t>
    </rPh>
    <rPh sb="7" eb="8">
      <t>キｎ</t>
    </rPh>
    <phoneticPr fontId="5"/>
  </si>
  <si>
    <t>４F孫悟空3G撃破時</t>
    <rPh sb="2" eb="5">
      <t>ソンゴクウ</t>
    </rPh>
    <rPh sb="7" eb="9">
      <t>ゲキハ</t>
    </rPh>
    <rPh sb="9" eb="10">
      <t>ジ</t>
    </rPh>
    <phoneticPr fontId="5"/>
  </si>
  <si>
    <t>（隙のない構えだ！）</t>
    <rPh sb="1" eb="2">
      <t>スキノナイ</t>
    </rPh>
    <rPh sb="5" eb="6">
      <t>カマエ</t>
    </rPh>
    <phoneticPr fontId="5"/>
  </si>
  <si>
    <t>斉天大聖撃</t>
    <rPh sb="4" eb="5">
      <t>ゲキ</t>
    </rPh>
    <phoneticPr fontId="5"/>
  </si>
  <si>
    <t>null</t>
    <phoneticPr fontId="5"/>
  </si>
  <si>
    <t xml:space="preserve">[effect:enemy_message, val1:1.5, val2:1.5]    </t>
    <phoneticPr fontId="5"/>
  </si>
  <si>
    <t xml:space="preserve">[effect:fix_speed, target:myself, turn:2]    </t>
    <phoneticPr fontId="5"/>
  </si>
  <si>
    <t xml:space="preserve">[effect:fix_speed, target:myself, turn:2]    </t>
    <phoneticPr fontId="5"/>
  </si>
  <si>
    <t xml:space="preserve">[effect:enhance_enemy, target:myself, turn:-1, status:attack, val:1000, calc:add, animation:enemy_enhance_attack]    </t>
    <phoneticPr fontId="5"/>
  </si>
  <si>
    <t>[effect:fix_speed, target:myself, turn:2],[effect:tolerance, target:myself, turn:-1, tolerance_effect:all, count:-1, animation:enemy_tolerance]</t>
    <phoneticPr fontId="5"/>
  </si>
  <si>
    <t xml:space="preserve">[effect:fix_speed, target:myself, turn:1],[effect:tolerance, target:myself, turn:-1, tolerance_effect:all, count:-1, animation:enemy_tolerance]    </t>
    <phoneticPr fontId="5"/>
  </si>
  <si>
    <t xml:space="preserve">[effect:damage_anti_color, target:unit_all, color:yellow, val1:1, val2:0.25]    </t>
    <phoneticPr fontId="5"/>
  </si>
  <si>
    <t xml:space="preserve">[effect:enhance_enemy, target:myself, turn:5, status:attack, val:2000, calc:add, animation:enemy_enhance_attack], [effect:tolerance, target:myself, turn:-1, tolerance_effect:all, count:-1, animation:enemy_tolerance]   </t>
    <phoneticPr fontId="5"/>
  </si>
  <si>
    <t xml:space="preserve">[effect:spread, val:0.3]    </t>
    <phoneticPr fontId="5"/>
  </si>
  <si>
    <t>failure</t>
    <phoneticPr fontId="5"/>
  </si>
  <si>
    <t>old</t>
  </si>
  <si>
    <t xml:space="preserve">[effect:rush, count:2, val:0.4]    </t>
    <phoneticPr fontId="5"/>
  </si>
  <si>
    <t>孫悟空は黄属性に対して大ダメージの
全体攻撃スキルを使用します
ユニットの編成に注意しましょう</t>
    <rPh sb="0" eb="3">
      <t>ソンゴクウ</t>
    </rPh>
    <rPh sb="4" eb="7">
      <t>キゾクセイ</t>
    </rPh>
    <rPh sb="11" eb="12">
      <t>ダイダメージ</t>
    </rPh>
    <rPh sb="18" eb="22">
      <t>ゼンタイコウゲキ</t>
    </rPh>
    <rPh sb="26" eb="28">
      <t>シヨウ</t>
    </rPh>
    <rPh sb="37" eb="39">
      <t>ヘンセイ</t>
    </rPh>
    <rPh sb="40" eb="42">
      <t>チュウイ</t>
    </rPh>
    <phoneticPr fontId="5"/>
  </si>
  <si>
    <t>孫悟空は種族ゴッドに対して大ダメージの
全体攻撃スキルを使用します
ユニットの編成に注意しましょう</t>
    <rPh sb="0" eb="3">
      <t>ソンゴクウ</t>
    </rPh>
    <rPh sb="4" eb="6">
      <t>シュゾク</t>
    </rPh>
    <rPh sb="13" eb="14">
      <t>ダイダメージ</t>
    </rPh>
    <rPh sb="39" eb="41">
      <t>ヘンセイ</t>
    </rPh>
    <rPh sb="42" eb="44">
      <t>チュウイ</t>
    </rPh>
    <phoneticPr fontId="5"/>
  </si>
  <si>
    <t>孫悟空は黄属性に対して大ダメージの
全体攻撃スキルを使用します
ユニットの編成に注意しましょう</t>
    <rPh sb="0" eb="3">
      <t>ソンゴクウ</t>
    </rPh>
    <rPh sb="4" eb="7">
      <t>キゾクセイ</t>
    </rPh>
    <rPh sb="11" eb="12">
      <t>ダイダメージ</t>
    </rPh>
    <rPh sb="37" eb="39">
      <t>ヘンセイ</t>
    </rPh>
    <rPh sb="40" eb="42">
      <t>チュウイ</t>
    </rPh>
    <phoneticPr fontId="5"/>
  </si>
  <si>
    <t xml:space="preserve">[effect:rush, count:3, val:0.5]    </t>
    <phoneticPr fontId="5"/>
  </si>
  <si>
    <t>ハヌマーンは体力が減ると強力な
連続攻撃スキルを使用し始めますので
優勢でも油断禁物です</t>
    <rPh sb="6" eb="8">
      <t>タイリョク</t>
    </rPh>
    <rPh sb="9" eb="10">
      <t>ヘルト</t>
    </rPh>
    <rPh sb="12" eb="14">
      <t>kyouryoku</t>
    </rPh>
    <rPh sb="16" eb="18">
      <t>レンゾク</t>
    </rPh>
    <rPh sb="18" eb="20">
      <t>コウゲキ</t>
    </rPh>
    <rPh sb="24" eb="26">
      <t>シヨウシマス</t>
    </rPh>
    <rPh sb="27" eb="28">
      <t>カイシ</t>
    </rPh>
    <rPh sb="34" eb="36">
      <t>yuusei</t>
    </rPh>
    <rPh sb="38" eb="42">
      <t>ユダンキンモツ</t>
    </rPh>
    <phoneticPr fontId="5"/>
  </si>
  <si>
    <t>ゴクウは仲間が撃破されると
攻撃力上昇のスキルを使用します
最後の一体には十分に注意しましょう</t>
    <rPh sb="4" eb="6">
      <t>ナカマ</t>
    </rPh>
    <rPh sb="7" eb="9">
      <t>ゲキハ</t>
    </rPh>
    <rPh sb="14" eb="17">
      <t>コウゲキリョク</t>
    </rPh>
    <rPh sb="17" eb="19">
      <t>ジョウショウ</t>
    </rPh>
    <rPh sb="24" eb="26">
      <t>シヨウ</t>
    </rPh>
    <rPh sb="30" eb="32">
      <t>サイゴノイッタイ</t>
    </rPh>
    <rPh sb="37" eb="39">
      <t>ジュウブンニチュウイ</t>
    </rPh>
    <phoneticPr fontId="5"/>
  </si>
  <si>
    <t>LB小原</t>
    <rPh sb="2" eb="4">
      <t>オバラ</t>
    </rPh>
    <phoneticPr fontId="5"/>
  </si>
  <si>
    <t>null</t>
    <phoneticPr fontId="5"/>
  </si>
  <si>
    <t>（小さくなり後背に回り込んだ！）</t>
    <rPh sb="1" eb="2">
      <t>チイサク</t>
    </rPh>
    <rPh sb="6" eb="8">
      <t>kouhai</t>
    </rPh>
    <rPh sb="9" eb="10">
      <t>マワリコム</t>
    </rPh>
    <phoneticPr fontId="5"/>
  </si>
  <si>
    <t>（巨大化しながら重い3連撃だ！）</t>
    <rPh sb="1" eb="4">
      <t>キョダイカ</t>
    </rPh>
    <rPh sb="8" eb="9">
      <t>omoi</t>
    </rPh>
    <rPh sb="11" eb="13">
      <t>reンゲキ</t>
    </rPh>
    <phoneticPr fontId="5"/>
  </si>
  <si>
    <t>（呼吸を整えている）</t>
    <rPh sb="1" eb="3">
      <t>コキュウ</t>
    </rPh>
    <rPh sb="4" eb="5">
      <t>トトノエテイル</t>
    </rPh>
    <phoneticPr fontId="5"/>
  </si>
  <si>
    <t>薙ぎ払い</t>
    <rPh sb="0" eb="1">
      <t>ナギハラッタ</t>
    </rPh>
    <phoneticPr fontId="5"/>
  </si>
  <si>
    <t>お邪魔パネル吸収数でダメージ増加</t>
    <rPh sb="6" eb="8">
      <t>キュウシュウ</t>
    </rPh>
    <rPh sb="8" eb="9">
      <t>スウ</t>
    </rPh>
    <phoneticPr fontId="5"/>
  </si>
  <si>
    <t>7044/6260</t>
    <phoneticPr fontId="5"/>
  </si>
  <si>
    <t xml:space="preserve">[effect:charge, status:attack, val:1.2],[effect:enemy_counter, target:myself, invoke_condition:unit_all, counter_target:attacker, turn:2, val:0.8, animation:enemy_counter]        </t>
    <phoneticPr fontId="5"/>
  </si>
  <si>
    <t>13787/17234/15165</t>
    <phoneticPr fontId="5"/>
  </si>
  <si>
    <t>6988/5588　　9788/8388　9088/7688</t>
    <phoneticPr fontId="5"/>
  </si>
  <si>
    <t>39200（Val2000/2000）　22400（1000/2000）　12880（600/1000）</t>
    <phoneticPr fontId="5"/>
  </si>
  <si>
    <t xml:space="preserve">[effect:damage_anti_tribe, target:unit_all, tribe:god, val1:1, val2:0.3]    </t>
    <phoneticPr fontId="5"/>
  </si>
  <si>
    <t>[effect:break_attack_fix, val:800, lowest_val:1000, count:-1, block:jammer, target:unit_all]</t>
    <phoneticPr fontId="5"/>
  </si>
  <si>
    <t xml:space="preserve">[effect:rush, count:4, val:0.65]    </t>
    <phoneticPr fontId="5"/>
  </si>
  <si>
    <t>攻撃力がUP</t>
    <rPh sb="0" eb="3">
      <t>ゼンタイコウゲキリョク</t>
    </rPh>
    <phoneticPr fontId="5"/>
  </si>
  <si>
    <t>全体攻撃</t>
    <rPh sb="0" eb="4">
      <t>ゼンタイコウゲキ</t>
    </rPh>
    <phoneticPr fontId="5"/>
  </si>
  <si>
    <t>連続攻撃</t>
    <rPh sb="0" eb="4">
      <t>レンゾクコウゲキ</t>
    </rPh>
    <phoneticPr fontId="5"/>
  </si>
  <si>
    <t>3回連続攻撃</t>
    <rPh sb="1" eb="6">
      <t>サンカイコウゲキ</t>
    </rPh>
    <phoneticPr fontId="5"/>
  </si>
  <si>
    <t>状態異常無効</t>
    <rPh sb="0" eb="4">
      <t>ジョウタイイジョウ</t>
    </rPh>
    <rPh sb="4" eb="6">
      <t>ムコウ</t>
    </rPh>
    <phoneticPr fontId="5"/>
  </si>
  <si>
    <t>「来たか、それじゃ勝負だぜ！」</t>
    <rPh sb="1" eb="2">
      <t>キタカ</t>
    </rPh>
    <rPh sb="9" eb="11">
      <t>ショウブ</t>
    </rPh>
    <phoneticPr fontId="5"/>
  </si>
  <si>
    <t>「全力でお相手するぜ、三蔵！」</t>
    <rPh sb="1" eb="3">
      <t>ゼンリョク</t>
    </rPh>
    <rPh sb="5" eb="7">
      <t>アイテスル</t>
    </rPh>
    <rPh sb="11" eb="13">
      <t>サンゾウ</t>
    </rPh>
    <phoneticPr fontId="5"/>
  </si>
  <si>
    <t>「はあああああああっ！」</t>
    <phoneticPr fontId="5"/>
  </si>
  <si>
    <t>「そいつは阻止させてもらうよ！」</t>
    <rPh sb="5" eb="7">
      <t>ソシ</t>
    </rPh>
    <phoneticPr fontId="5"/>
  </si>
  <si>
    <t>「こういう戦い方もあるのさっ！」</t>
    <rPh sb="5" eb="6">
      <t>タタカイ</t>
    </rPh>
    <rPh sb="7" eb="8">
      <t>カタ</t>
    </rPh>
    <phoneticPr fontId="5"/>
  </si>
  <si>
    <t>「行くぜ、觔斗雲ッ！！」</t>
    <rPh sb="1" eb="2">
      <t>イクゼ、</t>
    </rPh>
    <rPh sb="5" eb="8">
      <t>キントウン</t>
    </rPh>
    <phoneticPr fontId="5"/>
  </si>
  <si>
    <t>「オマエたち…強いなァ…」</t>
    <rPh sb="7" eb="8">
      <t>ツヨイナ</t>
    </rPh>
    <phoneticPr fontId="5"/>
  </si>
  <si>
    <t>「同行してみるのも面白そうだ！」</t>
    <rPh sb="1" eb="3">
      <t>ドウコウ</t>
    </rPh>
    <phoneticPr fontId="5"/>
  </si>
  <si>
    <t>「一番奥で待ってるぜ！」</t>
    <rPh sb="1" eb="3">
      <t>イチバン</t>
    </rPh>
    <rPh sb="3" eb="4">
      <t>オク</t>
    </rPh>
    <rPh sb="5" eb="6">
      <t>マッテルゼ！</t>
    </rPh>
    <phoneticPr fontId="5"/>
  </si>
  <si>
    <t>「オレの分身を突破してみな！」</t>
    <rPh sb="4" eb="6">
      <t>ブンシｎ</t>
    </rPh>
    <rPh sb="7" eb="9">
      <t>トッパ</t>
    </rPh>
    <phoneticPr fontId="5"/>
  </si>
  <si>
    <t>「三蔵？俺を連れ戻しに来たか」</t>
    <rPh sb="1" eb="3">
      <t>サンゾウ</t>
    </rPh>
    <rPh sb="4" eb="5">
      <t>オレヲ</t>
    </rPh>
    <rPh sb="6" eb="7">
      <t>ツレモドシニ</t>
    </rPh>
    <rPh sb="11" eb="12">
      <t>キタカ</t>
    </rPh>
    <phoneticPr fontId="5"/>
  </si>
  <si>
    <t>「お？新しい挑戦者かい？」</t>
    <rPh sb="3" eb="4">
      <t>アタラシイ</t>
    </rPh>
    <rPh sb="6" eb="9">
      <t>チョウセンシャ</t>
    </rPh>
    <phoneticPr fontId="5"/>
  </si>
  <si>
    <t>「強い奴なら大歓迎だぜ！」</t>
    <rPh sb="1" eb="2">
      <t>ツヨイ</t>
    </rPh>
    <rPh sb="3" eb="4">
      <t>ヤツ</t>
    </rPh>
    <rPh sb="6" eb="9">
      <t>ダイカンゲイ</t>
    </rPh>
    <phoneticPr fontId="5"/>
  </si>
  <si>
    <t>4回連続攻撃</t>
    <rPh sb="1" eb="2">
      <t>カイ</t>
    </rPh>
    <rPh sb="4" eb="6">
      <t>コウゲキ</t>
    </rPh>
    <phoneticPr fontId="5"/>
  </si>
  <si>
    <t>種族：ゴッドに大ダメージの全体攻撃</t>
    <rPh sb="0" eb="2">
      <t>シュゾク</t>
    </rPh>
    <rPh sb="7" eb="8">
      <t>ダイダメージ</t>
    </rPh>
    <rPh sb="13" eb="17">
      <t>ゼンタイコウゲキ</t>
    </rPh>
    <phoneticPr fontId="5"/>
  </si>
  <si>
    <t>黄属性に大ダメージの全体攻撃</t>
    <rPh sb="0" eb="1">
      <t>キイロ</t>
    </rPh>
    <rPh sb="1" eb="3">
      <t>ゾクセイ</t>
    </rPh>
    <rPh sb="4" eb="5">
      <t>ダイダメージ</t>
    </rPh>
    <rPh sb="10" eb="12">
      <t>ゼンタイ</t>
    </rPh>
    <rPh sb="12" eb="14">
      <t>レンゾクコウゲキ</t>
    </rPh>
    <phoneticPr fontId="5"/>
  </si>
  <si>
    <t>行動頻度が1にUP
＋状態異常無効</t>
    <rPh sb="0" eb="4">
      <t>コウドウヒンド</t>
    </rPh>
    <rPh sb="11" eb="13">
      <t>ジョウタイ</t>
    </rPh>
    <rPh sb="13" eb="15">
      <t>ijou</t>
    </rPh>
    <rPh sb="15" eb="17">
      <t>ムコウ</t>
    </rPh>
    <phoneticPr fontId="5"/>
  </si>
  <si>
    <t>5ターンの間 攻撃力UP
＋この戦闘の間 状態異常無効</t>
    <rPh sb="5" eb="6">
      <t>アイダ</t>
    </rPh>
    <rPh sb="7" eb="10">
      <t>コウゲキリョク</t>
    </rPh>
    <rPh sb="19" eb="20">
      <t>アイダ</t>
    </rPh>
    <rPh sb="21" eb="25">
      <t>ジョウタイイジョウ</t>
    </rPh>
    <rPh sb="25" eb="27">
      <t>ムコウ</t>
    </rPh>
    <phoneticPr fontId="5"/>
  </si>
  <si>
    <t>次に強力なチャージ攻撃
＋2ターンの間 カウンター状態</t>
    <rPh sb="18" eb="19">
      <t>アイダ</t>
    </rPh>
    <phoneticPr fontId="5"/>
  </si>
  <si>
    <t>「ウッキョッキョーッ！！」</t>
    <phoneticPr fontId="5"/>
  </si>
  <si>
    <t>(この分身は攻撃力が高そうだ！)</t>
    <rPh sb="3" eb="5">
      <t>ブンシｎ</t>
    </rPh>
    <rPh sb="6" eb="9">
      <t>コウゲキリョク</t>
    </rPh>
    <rPh sb="10" eb="11">
      <t>タカ</t>
    </rPh>
    <phoneticPr fontId="5"/>
  </si>
  <si>
    <t>「スマンがまだやり残した事があるんだ」</t>
    <rPh sb="12" eb="13">
      <t>コト</t>
    </rPh>
    <phoneticPr fontId="5"/>
  </si>
  <si>
    <t>[effect:force_change_block, new_block:time_bomb, target:block_red, count:6, val:0.2, min_time_count:2, max_time_count:4, animation:change_block],[effect:force_change_block, new_block:jammer, target:block_blue, count:6, val:0, animation:change_block]</t>
    <phoneticPr fontId="5"/>
  </si>
  <si>
    <t>赤パネルを6個 時限式パネルに変換
＋青パネルを6個 お邪魔パネルに変換</t>
    <rPh sb="0" eb="1">
      <t>アカ</t>
    </rPh>
    <rPh sb="8" eb="11">
      <t>ジゲンシキ</t>
    </rPh>
    <rPh sb="15" eb="17">
      <t>ヘンカｎ</t>
    </rPh>
    <phoneticPr fontId="5"/>
  </si>
  <si>
    <t>skip</t>
  </si>
  <si>
    <t>孫悟空のお邪魔パネル吸収攻撃は
威力が大きいため 吸収される前に倒すか
フィーバータイムやスキルで処理しましょう</t>
    <rPh sb="0" eb="3">
      <t>ソンゴクウ</t>
    </rPh>
    <rPh sb="10" eb="12">
      <t>キュウシュウ</t>
    </rPh>
    <rPh sb="12" eb="14">
      <t>コウゲキ</t>
    </rPh>
    <rPh sb="16" eb="18">
      <t>イリョク</t>
    </rPh>
    <rPh sb="19" eb="20">
      <t>オオキク</t>
    </rPh>
    <rPh sb="25" eb="27">
      <t>キュウシュウ</t>
    </rPh>
    <rPh sb="30" eb="31">
      <t>シヨウマエ</t>
    </rPh>
    <rPh sb="32" eb="33">
      <t>タオシキル</t>
    </rPh>
    <rPh sb="49" eb="51">
      <t>ショリ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</si>
</sst>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38" fontId="16" fillId="0" borderId="7" xfId="628" applyFont="1" applyFill="1" applyBorder="1" applyAlignment="1">
      <alignment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6" fillId="0" borderId="11" xfId="0" applyFont="1" applyFill="1" applyBorder="1" applyAlignment="1">
      <alignment vertical="center"/>
    </xf>
    <xf numFmtId="0" fontId="16" fillId="3" borderId="11" xfId="0" applyFont="1" applyFill="1" applyBorder="1" applyAlignment="1">
      <alignment horizontal="left" vertical="center"/>
    </xf>
    <xf numFmtId="0" fontId="16" fillId="3" borderId="11" xfId="0" applyFont="1" applyFill="1" applyBorder="1" applyAlignment="1">
      <alignment vertical="center"/>
    </xf>
    <xf numFmtId="0" fontId="16" fillId="0" borderId="22" xfId="0" applyFont="1" applyFill="1" applyBorder="1" applyAlignment="1">
      <alignment vertical="center"/>
    </xf>
    <xf numFmtId="0" fontId="16" fillId="3" borderId="22" xfId="0" applyFont="1" applyFill="1" applyBorder="1" applyAlignment="1">
      <alignment horizontal="left" vertical="center"/>
    </xf>
    <xf numFmtId="0" fontId="16" fillId="3" borderId="2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3" borderId="23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vertical="center"/>
    </xf>
    <xf numFmtId="0" fontId="14" fillId="7" borderId="24" xfId="0" applyFont="1" applyFill="1" applyBorder="1" applyAlignment="1">
      <alignment vertical="center"/>
    </xf>
    <xf numFmtId="0" fontId="16" fillId="6" borderId="25" xfId="0" applyFont="1" applyFill="1" applyBorder="1" applyAlignment="1">
      <alignment horizontal="center" vertical="center"/>
    </xf>
    <xf numFmtId="0" fontId="16" fillId="3" borderId="25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center" vertical="center"/>
    </xf>
    <xf numFmtId="0" fontId="11" fillId="3" borderId="25" xfId="0" applyFont="1" applyFill="1" applyBorder="1" applyAlignment="1">
      <alignment horizontal="center" vertical="center"/>
    </xf>
    <xf numFmtId="0" fontId="16" fillId="3" borderId="26" xfId="0" applyFont="1" applyFill="1" applyBorder="1" applyAlignment="1">
      <alignment horizontal="center" vertical="center"/>
    </xf>
    <xf numFmtId="0" fontId="14" fillId="7" borderId="27" xfId="0" applyFont="1" applyFill="1" applyBorder="1" applyAlignment="1">
      <alignment vertical="center"/>
    </xf>
    <xf numFmtId="0" fontId="16" fillId="0" borderId="28" xfId="0" applyFont="1" applyFill="1" applyBorder="1" applyAlignment="1">
      <alignment vertical="center"/>
    </xf>
    <xf numFmtId="0" fontId="16" fillId="0" borderId="29" xfId="0" applyFont="1" applyFill="1" applyBorder="1" applyAlignment="1">
      <alignment vertical="center"/>
    </xf>
    <xf numFmtId="0" fontId="14" fillId="7" borderId="30" xfId="0" applyFont="1" applyFill="1" applyBorder="1" applyAlignment="1">
      <alignment vertical="center"/>
    </xf>
    <xf numFmtId="0" fontId="16" fillId="0" borderId="31" xfId="0" applyFont="1" applyFill="1" applyBorder="1" applyAlignment="1">
      <alignment vertical="center"/>
    </xf>
    <xf numFmtId="0" fontId="16" fillId="0" borderId="32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16" fillId="0" borderId="34" xfId="0" applyFont="1" applyFill="1" applyBorder="1" applyAlignment="1">
      <alignment vertical="center"/>
    </xf>
    <xf numFmtId="0" fontId="16" fillId="3" borderId="35" xfId="0" applyFont="1" applyFill="1" applyBorder="1" applyAlignment="1">
      <alignment vertical="center"/>
    </xf>
    <xf numFmtId="0" fontId="16" fillId="0" borderId="36" xfId="0" applyFont="1" applyFill="1" applyBorder="1" applyAlignment="1">
      <alignment vertical="center"/>
    </xf>
    <xf numFmtId="0" fontId="16" fillId="3" borderId="29" xfId="0" applyFont="1" applyFill="1" applyBorder="1" applyAlignment="1">
      <alignment vertical="center"/>
    </xf>
    <xf numFmtId="0" fontId="16" fillId="0" borderId="37" xfId="0" applyFont="1" applyFill="1" applyBorder="1" applyAlignment="1">
      <alignment vertical="center"/>
    </xf>
    <xf numFmtId="0" fontId="16" fillId="3" borderId="31" xfId="0" applyFont="1" applyFill="1" applyBorder="1" applyAlignment="1">
      <alignment vertical="center"/>
    </xf>
    <xf numFmtId="0" fontId="16" fillId="0" borderId="38" xfId="0" applyFont="1" applyFill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16" fillId="3" borderId="26" xfId="0" applyFont="1" applyFill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0" fontId="16" fillId="3" borderId="28" xfId="0" applyFont="1" applyFill="1" applyBorder="1" applyAlignment="1">
      <alignment vertical="center"/>
    </xf>
    <xf numFmtId="14" fontId="16" fillId="0" borderId="11" xfId="0" applyNumberFormat="1" applyFont="1" applyFill="1" applyBorder="1" applyAlignment="1">
      <alignment vertical="center"/>
    </xf>
    <xf numFmtId="14" fontId="16" fillId="0" borderId="7" xfId="0" applyNumberFormat="1" applyFont="1" applyFill="1" applyBorder="1" applyAlignment="1">
      <alignment vertical="center"/>
    </xf>
    <xf numFmtId="0" fontId="16" fillId="3" borderId="40" xfId="0" applyFont="1" applyFill="1" applyBorder="1" applyAlignment="1">
      <alignment vertical="center"/>
    </xf>
    <xf numFmtId="0" fontId="16" fillId="3" borderId="32" xfId="0" applyFont="1" applyFill="1" applyBorder="1" applyAlignment="1">
      <alignment vertical="center"/>
    </xf>
    <xf numFmtId="0" fontId="14" fillId="7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6" fillId="3" borderId="0" xfId="0" applyFont="1" applyFill="1" applyBorder="1" applyAlignment="1">
      <alignment horizontal="left" vertical="center"/>
    </xf>
    <xf numFmtId="0" fontId="16" fillId="3" borderId="0" xfId="0" applyFont="1" applyFill="1" applyBorder="1" applyAlignment="1">
      <alignment vertical="center"/>
    </xf>
    <xf numFmtId="14" fontId="16" fillId="0" borderId="0" xfId="0" applyNumberFormat="1" applyFont="1" applyFill="1" applyBorder="1" applyAlignment="1">
      <alignment vertical="center"/>
    </xf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12001</v>
          </cell>
        </row>
        <row r="81">
          <cell r="A81">
            <v>12002</v>
          </cell>
        </row>
        <row r="82">
          <cell r="A82">
            <v>12003</v>
          </cell>
        </row>
        <row r="83">
          <cell r="A83">
            <v>12004</v>
          </cell>
        </row>
        <row r="84">
          <cell r="A84">
            <v>13001</v>
          </cell>
        </row>
        <row r="85">
          <cell r="A85">
            <v>14001</v>
          </cell>
        </row>
        <row r="86">
          <cell r="A86">
            <v>14002</v>
          </cell>
        </row>
        <row r="87">
          <cell r="A87">
            <v>14003</v>
          </cell>
        </row>
        <row r="88">
          <cell r="A88">
            <v>14004</v>
          </cell>
        </row>
        <row r="89">
          <cell r="A89">
            <v>14005</v>
          </cell>
        </row>
        <row r="90">
          <cell r="A90">
            <v>14006</v>
          </cell>
        </row>
        <row r="91">
          <cell r="A91">
            <v>15027</v>
          </cell>
        </row>
        <row r="92">
          <cell r="A92">
            <v>15028</v>
          </cell>
        </row>
        <row r="93">
          <cell r="A93">
            <v>15029</v>
          </cell>
        </row>
        <row r="94">
          <cell r="A94">
            <v>15030</v>
          </cell>
        </row>
        <row r="95">
          <cell r="A95">
            <v>15031</v>
          </cell>
        </row>
        <row r="96">
          <cell r="A96">
            <v>20001</v>
          </cell>
        </row>
        <row r="97">
          <cell r="A97">
            <v>20002</v>
          </cell>
        </row>
        <row r="98">
          <cell r="A98">
            <v>20003</v>
          </cell>
        </row>
        <row r="99">
          <cell r="A99">
            <v>20004</v>
          </cell>
        </row>
        <row r="100">
          <cell r="A100">
            <v>20005</v>
          </cell>
        </row>
        <row r="101">
          <cell r="A101">
            <v>20006</v>
          </cell>
        </row>
        <row r="102">
          <cell r="A102">
            <v>20007</v>
          </cell>
        </row>
        <row r="103">
          <cell r="A103">
            <v>20008</v>
          </cell>
        </row>
        <row r="104">
          <cell r="A104">
            <v>20009</v>
          </cell>
        </row>
        <row r="105">
          <cell r="A105">
            <v>20010</v>
          </cell>
        </row>
        <row r="106">
          <cell r="A106">
            <v>20011</v>
          </cell>
        </row>
        <row r="107">
          <cell r="A107">
            <v>20012</v>
          </cell>
        </row>
        <row r="108">
          <cell r="A108">
            <v>20013</v>
          </cell>
        </row>
        <row r="109">
          <cell r="A109">
            <v>20014</v>
          </cell>
        </row>
        <row r="110">
          <cell r="A110">
            <v>20015</v>
          </cell>
        </row>
        <row r="111">
          <cell r="A111">
            <v>20016</v>
          </cell>
        </row>
        <row r="112">
          <cell r="A112">
            <v>20017</v>
          </cell>
        </row>
        <row r="113">
          <cell r="A113">
            <v>30001</v>
          </cell>
        </row>
        <row r="114">
          <cell r="A114">
            <v>30002</v>
          </cell>
        </row>
        <row r="115">
          <cell r="A115">
            <v>30003</v>
          </cell>
        </row>
        <row r="116">
          <cell r="A116">
            <v>30004</v>
          </cell>
        </row>
        <row r="117">
          <cell r="A117">
            <v>30005</v>
          </cell>
        </row>
        <row r="118">
          <cell r="A118">
            <v>30006</v>
          </cell>
        </row>
        <row r="119">
          <cell r="A119">
            <v>30007</v>
          </cell>
        </row>
        <row r="120">
          <cell r="A120">
            <v>30008</v>
          </cell>
        </row>
        <row r="121">
          <cell r="A121">
            <v>30009</v>
          </cell>
        </row>
        <row r="122">
          <cell r="A122">
            <v>30010</v>
          </cell>
        </row>
        <row r="123">
          <cell r="A123">
            <v>30011</v>
          </cell>
        </row>
        <row r="124">
          <cell r="A124">
            <v>30012</v>
          </cell>
        </row>
        <row r="125">
          <cell r="A125">
            <v>30013</v>
          </cell>
        </row>
        <row r="126">
          <cell r="A126">
            <v>30014</v>
          </cell>
        </row>
        <row r="127">
          <cell r="A127">
            <v>30015</v>
          </cell>
        </row>
        <row r="128">
          <cell r="A128">
            <v>30016</v>
          </cell>
        </row>
        <row r="129">
          <cell r="A129">
            <v>30017</v>
          </cell>
        </row>
        <row r="130">
          <cell r="A130">
            <v>30018</v>
          </cell>
        </row>
        <row r="131">
          <cell r="A131">
            <v>30019</v>
          </cell>
        </row>
        <row r="132">
          <cell r="A132">
            <v>30020</v>
          </cell>
        </row>
        <row r="133">
          <cell r="A133">
            <v>30021</v>
          </cell>
        </row>
        <row r="134">
          <cell r="A134">
            <v>30022</v>
          </cell>
        </row>
        <row r="135">
          <cell r="A135">
            <v>30023</v>
          </cell>
        </row>
        <row r="136">
          <cell r="A136">
            <v>30024</v>
          </cell>
        </row>
        <row r="137">
          <cell r="A137">
            <v>30025</v>
          </cell>
        </row>
        <row r="138">
          <cell r="A138">
            <v>30026</v>
          </cell>
        </row>
        <row r="139">
          <cell r="A139">
            <v>30027</v>
          </cell>
        </row>
        <row r="140">
          <cell r="A140">
            <v>30028</v>
          </cell>
        </row>
        <row r="141">
          <cell r="A141">
            <v>30029</v>
          </cell>
        </row>
        <row r="142">
          <cell r="A142">
            <v>30030</v>
          </cell>
        </row>
        <row r="143">
          <cell r="A143">
            <v>30031</v>
          </cell>
        </row>
        <row r="144">
          <cell r="A144">
            <v>30032</v>
          </cell>
        </row>
        <row r="145">
          <cell r="A145">
            <v>30033</v>
          </cell>
        </row>
        <row r="146">
          <cell r="A146">
            <v>30034</v>
          </cell>
        </row>
        <row r="147">
          <cell r="A147">
            <v>30035</v>
          </cell>
        </row>
        <row r="148">
          <cell r="A148">
            <v>30036</v>
          </cell>
        </row>
        <row r="149">
          <cell r="A149">
            <v>30037</v>
          </cell>
        </row>
        <row r="150">
          <cell r="A150">
            <v>39001</v>
          </cell>
        </row>
        <row r="151">
          <cell r="A151">
            <v>39002</v>
          </cell>
        </row>
        <row r="152">
          <cell r="A152">
            <v>39003</v>
          </cell>
        </row>
        <row r="153">
          <cell r="A153">
            <v>39004</v>
          </cell>
        </row>
        <row r="154">
          <cell r="A154">
            <v>39005</v>
          </cell>
        </row>
        <row r="155">
          <cell r="A155">
            <v>39006</v>
          </cell>
        </row>
        <row r="156">
          <cell r="A156">
            <v>40001</v>
          </cell>
        </row>
        <row r="157">
          <cell r="A157">
            <v>40002</v>
          </cell>
        </row>
        <row r="158">
          <cell r="A158">
            <v>40003</v>
          </cell>
        </row>
        <row r="159">
          <cell r="A159">
            <v>40004</v>
          </cell>
        </row>
        <row r="160">
          <cell r="A160">
            <v>40005</v>
          </cell>
        </row>
        <row r="161">
          <cell r="A161">
            <v>40006</v>
          </cell>
        </row>
        <row r="162">
          <cell r="A162">
            <v>40007</v>
          </cell>
        </row>
        <row r="163">
          <cell r="A163">
            <v>40008</v>
          </cell>
        </row>
        <row r="164">
          <cell r="A164">
            <v>40009</v>
          </cell>
        </row>
        <row r="165">
          <cell r="A165">
            <v>40010</v>
          </cell>
        </row>
        <row r="166">
          <cell r="A166">
            <v>40011</v>
          </cell>
        </row>
        <row r="167">
          <cell r="A167">
            <v>40012</v>
          </cell>
        </row>
        <row r="168">
          <cell r="A168">
            <v>40013</v>
          </cell>
        </row>
        <row r="169">
          <cell r="A169">
            <v>40014</v>
          </cell>
        </row>
        <row r="170">
          <cell r="A170">
            <v>40015</v>
          </cell>
        </row>
        <row r="171">
          <cell r="A171">
            <v>40016</v>
          </cell>
        </row>
        <row r="172">
          <cell r="A172">
            <v>40017</v>
          </cell>
        </row>
        <row r="173">
          <cell r="A173">
            <v>40018</v>
          </cell>
        </row>
        <row r="174">
          <cell r="A174">
            <v>40019</v>
          </cell>
        </row>
        <row r="175">
          <cell r="A175">
            <v>40020</v>
          </cell>
        </row>
        <row r="176">
          <cell r="A176">
            <v>40021</v>
          </cell>
        </row>
        <row r="177">
          <cell r="A177">
            <v>48001</v>
          </cell>
        </row>
        <row r="178">
          <cell r="A178">
            <v>48002</v>
          </cell>
        </row>
        <row r="179">
          <cell r="A179">
            <v>41001</v>
          </cell>
        </row>
        <row r="180">
          <cell r="A180">
            <v>41002</v>
          </cell>
        </row>
        <row r="181">
          <cell r="A181">
            <v>41003</v>
          </cell>
        </row>
        <row r="182">
          <cell r="A182">
            <v>41004</v>
          </cell>
        </row>
        <row r="183">
          <cell r="A183">
            <v>41005</v>
          </cell>
        </row>
        <row r="184">
          <cell r="A184">
            <v>41006</v>
          </cell>
        </row>
        <row r="185">
          <cell r="A185">
            <v>41007</v>
          </cell>
        </row>
        <row r="186">
          <cell r="A186">
            <v>41008</v>
          </cell>
        </row>
        <row r="187">
          <cell r="A187">
            <v>41009</v>
          </cell>
        </row>
        <row r="188">
          <cell r="A188">
            <v>41010</v>
          </cell>
        </row>
        <row r="189">
          <cell r="A189">
            <v>49001</v>
          </cell>
        </row>
        <row r="190">
          <cell r="A190">
            <v>49002</v>
          </cell>
        </row>
        <row r="191">
          <cell r="A191">
            <v>49003</v>
          </cell>
        </row>
        <row r="192">
          <cell r="A192">
            <v>49004</v>
          </cell>
        </row>
        <row r="193">
          <cell r="A193">
            <v>49005</v>
          </cell>
        </row>
        <row r="194">
          <cell r="A194">
            <v>49006</v>
          </cell>
        </row>
        <row r="195">
          <cell r="A195">
            <v>50001</v>
          </cell>
        </row>
        <row r="196">
          <cell r="A196">
            <v>50002</v>
          </cell>
        </row>
        <row r="197">
          <cell r="A197">
            <v>50003</v>
          </cell>
        </row>
        <row r="198">
          <cell r="A198">
            <v>50004</v>
          </cell>
        </row>
        <row r="199">
          <cell r="A199">
            <v>50005</v>
          </cell>
        </row>
        <row r="200">
          <cell r="A200">
            <v>51001</v>
          </cell>
        </row>
        <row r="201">
          <cell r="A201">
            <v>51002</v>
          </cell>
        </row>
        <row r="202">
          <cell r="A202">
            <v>60001</v>
          </cell>
        </row>
        <row r="203">
          <cell r="A203">
            <v>60002</v>
          </cell>
        </row>
        <row r="204">
          <cell r="A204">
            <v>60003</v>
          </cell>
        </row>
        <row r="205">
          <cell r="A205">
            <v>60004</v>
          </cell>
        </row>
        <row r="206">
          <cell r="A206">
            <v>60005</v>
          </cell>
        </row>
        <row r="207">
          <cell r="A207">
            <v>60006</v>
          </cell>
        </row>
        <row r="208">
          <cell r="A208">
            <v>60007</v>
          </cell>
        </row>
        <row r="209">
          <cell r="A209">
            <v>60010</v>
          </cell>
        </row>
        <row r="210">
          <cell r="A210">
            <v>60011</v>
          </cell>
        </row>
        <row r="211">
          <cell r="A211">
            <v>65535</v>
          </cell>
        </row>
        <row r="212">
          <cell r="A212">
            <v>60021</v>
          </cell>
        </row>
        <row r="213">
          <cell r="A213">
            <v>60022</v>
          </cell>
        </row>
        <row r="214">
          <cell r="A214">
            <v>60023</v>
          </cell>
        </row>
        <row r="215">
          <cell r="A21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11225_1</v>
          </cell>
        </row>
        <row r="274">
          <cell r="A274" t="str">
            <v>12001_1</v>
          </cell>
        </row>
        <row r="275">
          <cell r="A275" t="str">
            <v>12001_2</v>
          </cell>
        </row>
        <row r="276">
          <cell r="A276" t="str">
            <v>12001_3</v>
          </cell>
        </row>
        <row r="277">
          <cell r="A277" t="str">
            <v>12002_1</v>
          </cell>
        </row>
        <row r="278">
          <cell r="A278" t="str">
            <v>12002_2</v>
          </cell>
        </row>
        <row r="279">
          <cell r="A279" t="str">
            <v>12003_1</v>
          </cell>
        </row>
        <row r="280">
          <cell r="A280" t="str">
            <v>12003_2</v>
          </cell>
        </row>
        <row r="281">
          <cell r="A281" t="str">
            <v>12003_3</v>
          </cell>
        </row>
        <row r="282">
          <cell r="A282" t="str">
            <v>12003_4</v>
          </cell>
        </row>
        <row r="283">
          <cell r="A283" t="str">
            <v>12004_1</v>
          </cell>
        </row>
        <row r="284">
          <cell r="A284" t="str">
            <v>13001_1</v>
          </cell>
        </row>
        <row r="285">
          <cell r="A285" t="str">
            <v>13001_2</v>
          </cell>
        </row>
        <row r="286">
          <cell r="A286" t="str">
            <v>13001_3</v>
          </cell>
        </row>
        <row r="287">
          <cell r="A287" t="str">
            <v>13001_4</v>
          </cell>
        </row>
        <row r="288">
          <cell r="A288" t="str">
            <v>13001_5</v>
          </cell>
        </row>
        <row r="289">
          <cell r="A289" t="str">
            <v>13001_6</v>
          </cell>
        </row>
        <row r="290">
          <cell r="A290" t="str">
            <v>13001_7</v>
          </cell>
        </row>
        <row r="291">
          <cell r="A291" t="str">
            <v>13001_8</v>
          </cell>
        </row>
        <row r="292">
          <cell r="A292" t="str">
            <v>13001_9</v>
          </cell>
        </row>
        <row r="293">
          <cell r="A293" t="str">
            <v>13001_10</v>
          </cell>
        </row>
        <row r="294">
          <cell r="A294" t="str">
            <v>13001_11</v>
          </cell>
        </row>
        <row r="295">
          <cell r="A295" t="str">
            <v>13001_12</v>
          </cell>
        </row>
        <row r="296">
          <cell r="A296" t="str">
            <v>13001_13</v>
          </cell>
        </row>
        <row r="297">
          <cell r="A297" t="str">
            <v>13001_14</v>
          </cell>
        </row>
        <row r="298">
          <cell r="A298" t="str">
            <v>13001_15</v>
          </cell>
        </row>
        <row r="299">
          <cell r="A299" t="str">
            <v>13001_16</v>
          </cell>
        </row>
        <row r="300">
          <cell r="A300" t="str">
            <v>13001_17</v>
          </cell>
        </row>
        <row r="301">
          <cell r="A301" t="str">
            <v>13001_18</v>
          </cell>
        </row>
        <row r="302">
          <cell r="A302" t="str">
            <v>13001_19</v>
          </cell>
        </row>
        <row r="303">
          <cell r="A303" t="str">
            <v>13001_20</v>
          </cell>
        </row>
        <row r="304">
          <cell r="A304" t="str">
            <v>13001_21</v>
          </cell>
        </row>
        <row r="305">
          <cell r="A305" t="str">
            <v>13001_22</v>
          </cell>
        </row>
        <row r="306">
          <cell r="A306" t="str">
            <v>13001_23</v>
          </cell>
        </row>
        <row r="307">
          <cell r="A307" t="str">
            <v>13001_24</v>
          </cell>
        </row>
        <row r="308">
          <cell r="A308" t="str">
            <v>13001_25</v>
          </cell>
        </row>
        <row r="309">
          <cell r="A309" t="str">
            <v>14001_1</v>
          </cell>
        </row>
        <row r="310">
          <cell r="A310" t="str">
            <v>14001_2</v>
          </cell>
        </row>
        <row r="311">
          <cell r="A311" t="str">
            <v>14001_3</v>
          </cell>
        </row>
        <row r="312">
          <cell r="A312" t="str">
            <v>14001_4</v>
          </cell>
        </row>
        <row r="313">
          <cell r="A313" t="str">
            <v>14001_5</v>
          </cell>
        </row>
        <row r="314">
          <cell r="A314" t="str">
            <v>14001_6</v>
          </cell>
        </row>
        <row r="315">
          <cell r="A315" t="str">
            <v>14001_7</v>
          </cell>
        </row>
        <row r="316">
          <cell r="A316" t="str">
            <v>14001_8</v>
          </cell>
        </row>
        <row r="317">
          <cell r="A317" t="str">
            <v>14002_1</v>
          </cell>
        </row>
        <row r="318">
          <cell r="A318" t="str">
            <v>14002_2</v>
          </cell>
        </row>
        <row r="319">
          <cell r="A319" t="str">
            <v>14003_1</v>
          </cell>
        </row>
        <row r="320">
          <cell r="A320" t="str">
            <v>14003_2</v>
          </cell>
        </row>
        <row r="321">
          <cell r="A321" t="str">
            <v>14003_3</v>
          </cell>
        </row>
        <row r="322">
          <cell r="A322" t="str">
            <v>14003_4</v>
          </cell>
        </row>
        <row r="323">
          <cell r="A323" t="str">
            <v>14004_1</v>
          </cell>
        </row>
        <row r="324">
          <cell r="A324" t="str">
            <v>14004_2</v>
          </cell>
        </row>
        <row r="325">
          <cell r="A325" t="str">
            <v>14004_3</v>
          </cell>
        </row>
        <row r="326">
          <cell r="A326" t="str">
            <v>14004_4</v>
          </cell>
        </row>
        <row r="327">
          <cell r="A327" t="str">
            <v>14005_1</v>
          </cell>
        </row>
        <row r="328">
          <cell r="A328" t="str">
            <v>14006_1</v>
          </cell>
        </row>
        <row r="329">
          <cell r="A329" t="str">
            <v>15027_1</v>
          </cell>
        </row>
        <row r="330">
          <cell r="A330" t="str">
            <v>15027_2</v>
          </cell>
        </row>
        <row r="331">
          <cell r="A331" t="str">
            <v>15027_3</v>
          </cell>
        </row>
        <row r="332">
          <cell r="A332" t="str">
            <v>15027_4</v>
          </cell>
        </row>
        <row r="333">
          <cell r="A333" t="str">
            <v>15028_1</v>
          </cell>
        </row>
        <row r="334">
          <cell r="A334" t="str">
            <v>15028_2</v>
          </cell>
        </row>
        <row r="335">
          <cell r="A335" t="str">
            <v>15028_3</v>
          </cell>
        </row>
        <row r="336">
          <cell r="A336" t="str">
            <v>15028_4</v>
          </cell>
        </row>
        <row r="337">
          <cell r="A337" t="str">
            <v>15029_1</v>
          </cell>
        </row>
        <row r="338">
          <cell r="A338" t="str">
            <v>15029_2</v>
          </cell>
        </row>
        <row r="339">
          <cell r="A339" t="str">
            <v>15029_3</v>
          </cell>
        </row>
        <row r="340">
          <cell r="A340" t="str">
            <v>15029_4</v>
          </cell>
        </row>
        <row r="341">
          <cell r="A341" t="str">
            <v>15030_1</v>
          </cell>
        </row>
        <row r="342">
          <cell r="A342" t="str">
            <v>15030_2</v>
          </cell>
        </row>
        <row r="343">
          <cell r="A343" t="str">
            <v>15030_3</v>
          </cell>
        </row>
        <row r="344">
          <cell r="A344" t="str">
            <v>15030_4</v>
          </cell>
        </row>
        <row r="345">
          <cell r="A345" t="str">
            <v>15031_1</v>
          </cell>
        </row>
        <row r="346">
          <cell r="A346" t="str">
            <v>15031_2</v>
          </cell>
        </row>
        <row r="347">
          <cell r="A347" t="str">
            <v>15031_3</v>
          </cell>
        </row>
        <row r="348">
          <cell r="A348" t="str">
            <v>15031_4</v>
          </cell>
        </row>
        <row r="349">
          <cell r="A349" t="str">
            <v>20001_1</v>
          </cell>
        </row>
        <row r="350">
          <cell r="A350" t="str">
            <v>20001_2</v>
          </cell>
        </row>
        <row r="351">
          <cell r="A351" t="str">
            <v>20001_3</v>
          </cell>
        </row>
        <row r="352">
          <cell r="A352" t="str">
            <v>20002_1</v>
          </cell>
        </row>
        <row r="353">
          <cell r="A353" t="str">
            <v>20002_2</v>
          </cell>
        </row>
        <row r="354">
          <cell r="A354" t="str">
            <v>20002_3</v>
          </cell>
        </row>
        <row r="355">
          <cell r="A355" t="str">
            <v>20003_1</v>
          </cell>
        </row>
        <row r="356">
          <cell r="A356" t="str">
            <v>20003_2</v>
          </cell>
        </row>
        <row r="357">
          <cell r="A357" t="str">
            <v>20003_3</v>
          </cell>
        </row>
        <row r="358">
          <cell r="A358" t="str">
            <v>20004_1</v>
          </cell>
        </row>
        <row r="359">
          <cell r="A359" t="str">
            <v>20004_2</v>
          </cell>
        </row>
        <row r="360">
          <cell r="A360" t="str">
            <v>20004_3</v>
          </cell>
        </row>
        <row r="361">
          <cell r="A361" t="str">
            <v>20005_1</v>
          </cell>
        </row>
        <row r="362">
          <cell r="A362" t="str">
            <v>20005_2</v>
          </cell>
        </row>
        <row r="363">
          <cell r="A363" t="str">
            <v>20005_3</v>
          </cell>
        </row>
        <row r="364">
          <cell r="A364" t="str">
            <v>20006_1</v>
          </cell>
        </row>
        <row r="365">
          <cell r="A365" t="str">
            <v>20006_2</v>
          </cell>
        </row>
        <row r="366">
          <cell r="A366" t="str">
            <v>20006_3</v>
          </cell>
        </row>
        <row r="367">
          <cell r="A367" t="str">
            <v>20007_1</v>
          </cell>
        </row>
        <row r="368">
          <cell r="A368" t="str">
            <v>20007_2</v>
          </cell>
        </row>
        <row r="369">
          <cell r="A369" t="str">
            <v>20007_3</v>
          </cell>
        </row>
        <row r="370">
          <cell r="A370" t="str">
            <v>20008_1</v>
          </cell>
        </row>
        <row r="371">
          <cell r="A371" t="str">
            <v>20008_2</v>
          </cell>
        </row>
        <row r="372">
          <cell r="A372" t="str">
            <v>20008_3</v>
          </cell>
        </row>
        <row r="373">
          <cell r="A373" t="str">
            <v>20009_1</v>
          </cell>
        </row>
        <row r="374">
          <cell r="A374" t="str">
            <v>20009_2</v>
          </cell>
        </row>
        <row r="375">
          <cell r="A375" t="str">
            <v>20009_3</v>
          </cell>
        </row>
        <row r="376">
          <cell r="A376" t="str">
            <v>20010_1</v>
          </cell>
        </row>
        <row r="377">
          <cell r="A377" t="str">
            <v>20010_2</v>
          </cell>
        </row>
        <row r="378">
          <cell r="A378" t="str">
            <v>20010_3</v>
          </cell>
        </row>
        <row r="379">
          <cell r="A379" t="str">
            <v>20011_1</v>
          </cell>
        </row>
        <row r="380">
          <cell r="A380" t="str">
            <v>20011_2</v>
          </cell>
        </row>
        <row r="381">
          <cell r="A381" t="str">
            <v>20011_3</v>
          </cell>
        </row>
        <row r="382">
          <cell r="A382" t="str">
            <v>20012_1</v>
          </cell>
        </row>
        <row r="383">
          <cell r="A383" t="str">
            <v>20012_2</v>
          </cell>
        </row>
        <row r="384">
          <cell r="A384" t="str">
            <v>20012_3</v>
          </cell>
        </row>
        <row r="385">
          <cell r="A385" t="str">
            <v>20013_1</v>
          </cell>
        </row>
        <row r="386">
          <cell r="A386" t="str">
            <v>20013_2</v>
          </cell>
        </row>
        <row r="387">
          <cell r="A387" t="str">
            <v>20013_3</v>
          </cell>
        </row>
        <row r="388">
          <cell r="A388" t="str">
            <v>20014_1</v>
          </cell>
        </row>
        <row r="389">
          <cell r="A389" t="str">
            <v>20014_2</v>
          </cell>
        </row>
        <row r="390">
          <cell r="A390" t="str">
            <v>20014_3</v>
          </cell>
        </row>
        <row r="391">
          <cell r="A391" t="str">
            <v>20015_1</v>
          </cell>
        </row>
        <row r="392">
          <cell r="A392" t="str">
            <v>20015_2</v>
          </cell>
        </row>
        <row r="393">
          <cell r="A393" t="str">
            <v>20015_3</v>
          </cell>
        </row>
        <row r="394">
          <cell r="A394" t="str">
            <v>20016_1</v>
          </cell>
        </row>
        <row r="395">
          <cell r="A395" t="str">
            <v>20016_2</v>
          </cell>
        </row>
        <row r="396">
          <cell r="A396" t="str">
            <v>20016_3</v>
          </cell>
        </row>
        <row r="397">
          <cell r="A397" t="str">
            <v>20017_1</v>
          </cell>
        </row>
        <row r="398">
          <cell r="A398" t="str">
            <v>20017_2</v>
          </cell>
        </row>
        <row r="399">
          <cell r="A399" t="str">
            <v>20017_3</v>
          </cell>
        </row>
        <row r="400">
          <cell r="A400" t="str">
            <v>30001_1</v>
          </cell>
        </row>
        <row r="401">
          <cell r="A401" t="str">
            <v>30001_2</v>
          </cell>
        </row>
        <row r="402">
          <cell r="A402" t="str">
            <v>30001_3</v>
          </cell>
        </row>
        <row r="403">
          <cell r="A403" t="str">
            <v>30002_1</v>
          </cell>
        </row>
        <row r="404">
          <cell r="A404" t="str">
            <v>30002_2</v>
          </cell>
        </row>
        <row r="405">
          <cell r="A405" t="str">
            <v>30002_3</v>
          </cell>
        </row>
        <row r="406">
          <cell r="A406" t="str">
            <v>30003_1</v>
          </cell>
        </row>
        <row r="407">
          <cell r="A407" t="str">
            <v>30003_2</v>
          </cell>
        </row>
        <row r="408">
          <cell r="A408" t="str">
            <v>30003_3</v>
          </cell>
        </row>
        <row r="409">
          <cell r="A409" t="str">
            <v>30004_1</v>
          </cell>
        </row>
        <row r="410">
          <cell r="A410" t="str">
            <v>30004_2</v>
          </cell>
        </row>
        <row r="411">
          <cell r="A411" t="str">
            <v>30004_3</v>
          </cell>
        </row>
        <row r="412">
          <cell r="A412" t="str">
            <v>30005_1</v>
          </cell>
        </row>
        <row r="413">
          <cell r="A413" t="str">
            <v>30005_2</v>
          </cell>
        </row>
        <row r="414">
          <cell r="A414" t="str">
            <v>30005_3</v>
          </cell>
        </row>
        <row r="415">
          <cell r="A415" t="str">
            <v>30006_1</v>
          </cell>
        </row>
        <row r="416">
          <cell r="A416" t="str">
            <v>30006_2</v>
          </cell>
        </row>
        <row r="417">
          <cell r="A417" t="str">
            <v>30006_3</v>
          </cell>
        </row>
        <row r="418">
          <cell r="A418" t="str">
            <v>30007_1</v>
          </cell>
        </row>
        <row r="419">
          <cell r="A419" t="str">
            <v>30007_2</v>
          </cell>
        </row>
        <row r="420">
          <cell r="A420" t="str">
            <v>30007_3</v>
          </cell>
        </row>
        <row r="421">
          <cell r="A421" t="str">
            <v>30008_1</v>
          </cell>
        </row>
        <row r="422">
          <cell r="A422" t="str">
            <v>30008_2</v>
          </cell>
        </row>
        <row r="423">
          <cell r="A423" t="str">
            <v>30008_3</v>
          </cell>
        </row>
        <row r="424">
          <cell r="A424" t="str">
            <v>30009_3</v>
          </cell>
        </row>
        <row r="425">
          <cell r="A425" t="str">
            <v>30009_1</v>
          </cell>
        </row>
        <row r="426">
          <cell r="A426" t="str">
            <v>30009_2</v>
          </cell>
        </row>
        <row r="427">
          <cell r="A427" t="str">
            <v>30010_1</v>
          </cell>
        </row>
        <row r="428">
          <cell r="A428" t="str">
            <v>30010_2</v>
          </cell>
        </row>
        <row r="429">
          <cell r="A429" t="str">
            <v>30010_3</v>
          </cell>
        </row>
        <row r="430">
          <cell r="A430" t="str">
            <v>30011_1</v>
          </cell>
        </row>
        <row r="431">
          <cell r="A431" t="str">
            <v>30011_2</v>
          </cell>
        </row>
        <row r="432">
          <cell r="A432" t="str">
            <v>30011_3</v>
          </cell>
        </row>
        <row r="433">
          <cell r="A433" t="str">
            <v>30012_1</v>
          </cell>
        </row>
        <row r="434">
          <cell r="A434" t="str">
            <v>30012_2</v>
          </cell>
        </row>
        <row r="435">
          <cell r="A435" t="str">
            <v>30012_3</v>
          </cell>
        </row>
        <row r="436">
          <cell r="A436" t="str">
            <v>30013_1</v>
          </cell>
        </row>
        <row r="437">
          <cell r="A437" t="str">
            <v>30013_2</v>
          </cell>
        </row>
        <row r="438">
          <cell r="A438" t="str">
            <v>30014_1</v>
          </cell>
        </row>
        <row r="439">
          <cell r="A439" t="str">
            <v>30014_2</v>
          </cell>
        </row>
        <row r="440">
          <cell r="A440" t="str">
            <v>30015_1</v>
          </cell>
        </row>
        <row r="441">
          <cell r="A441" t="str">
            <v>30015_2</v>
          </cell>
        </row>
        <row r="442">
          <cell r="A442" t="str">
            <v>30016_1</v>
          </cell>
        </row>
        <row r="443">
          <cell r="A443" t="str">
            <v>30016_2</v>
          </cell>
        </row>
        <row r="444">
          <cell r="A444" t="str">
            <v>30017_1</v>
          </cell>
        </row>
        <row r="445">
          <cell r="A445" t="str">
            <v>30017_2</v>
          </cell>
        </row>
        <row r="446">
          <cell r="A446" t="str">
            <v>30018_1</v>
          </cell>
        </row>
        <row r="447">
          <cell r="A447" t="str">
            <v>30018_2</v>
          </cell>
        </row>
        <row r="448">
          <cell r="A448" t="str">
            <v>30019_1</v>
          </cell>
        </row>
        <row r="449">
          <cell r="A449" t="str">
            <v>30019_2</v>
          </cell>
        </row>
        <row r="450">
          <cell r="A450" t="str">
            <v>30020_1</v>
          </cell>
        </row>
        <row r="451">
          <cell r="A451" t="str">
            <v>30020_2</v>
          </cell>
        </row>
        <row r="452">
          <cell r="A452" t="str">
            <v>30021_1</v>
          </cell>
        </row>
        <row r="453">
          <cell r="A453" t="str">
            <v>30021_2</v>
          </cell>
        </row>
        <row r="454">
          <cell r="A454" t="str">
            <v>30021_3</v>
          </cell>
        </row>
        <row r="455">
          <cell r="A455" t="str">
            <v>30022_1</v>
          </cell>
        </row>
        <row r="456">
          <cell r="A456" t="str">
            <v>30022_2</v>
          </cell>
        </row>
        <row r="457">
          <cell r="A457" t="str">
            <v>30023_1</v>
          </cell>
        </row>
        <row r="458">
          <cell r="A458" t="str">
            <v>30023_2</v>
          </cell>
        </row>
        <row r="459">
          <cell r="A459" t="str">
            <v>30023_3</v>
          </cell>
        </row>
        <row r="460">
          <cell r="A460" t="str">
            <v>30024_1</v>
          </cell>
        </row>
        <row r="461">
          <cell r="A461" t="str">
            <v>30024_2</v>
          </cell>
        </row>
        <row r="462">
          <cell r="A462" t="str">
            <v>30024_3</v>
          </cell>
        </row>
        <row r="463">
          <cell r="A463" t="str">
            <v>30025_1</v>
          </cell>
        </row>
        <row r="464">
          <cell r="A464" t="str">
            <v>30025_2</v>
          </cell>
        </row>
        <row r="465">
          <cell r="A465" t="str">
            <v>30025_3</v>
          </cell>
        </row>
        <row r="466">
          <cell r="A466" t="str">
            <v>30026_1</v>
          </cell>
        </row>
        <row r="467">
          <cell r="A467" t="str">
            <v>30026_2</v>
          </cell>
        </row>
        <row r="468">
          <cell r="A468" t="str">
            <v>30026_3</v>
          </cell>
        </row>
        <row r="469">
          <cell r="A469" t="str">
            <v>30027_1</v>
          </cell>
        </row>
        <row r="470">
          <cell r="A470" t="str">
            <v>30027_2</v>
          </cell>
        </row>
        <row r="471">
          <cell r="A471" t="str">
            <v>30027_3</v>
          </cell>
        </row>
        <row r="472">
          <cell r="A472" t="str">
            <v>30028_1</v>
          </cell>
        </row>
        <row r="473">
          <cell r="A473" t="str">
            <v>30028_2</v>
          </cell>
        </row>
        <row r="474">
          <cell r="A474" t="str">
            <v>30028_3</v>
          </cell>
        </row>
        <row r="475">
          <cell r="A475" t="str">
            <v>30029_1</v>
          </cell>
        </row>
        <row r="476">
          <cell r="A476" t="str">
            <v>30029_2</v>
          </cell>
        </row>
        <row r="477">
          <cell r="A477" t="str">
            <v>30029_3</v>
          </cell>
        </row>
        <row r="478">
          <cell r="A478" t="str">
            <v>30030_1</v>
          </cell>
        </row>
        <row r="479">
          <cell r="A479" t="str">
            <v>30030_2</v>
          </cell>
        </row>
        <row r="480">
          <cell r="A480" t="str">
            <v>30030_3</v>
          </cell>
        </row>
        <row r="481">
          <cell r="A481" t="str">
            <v>30031_1</v>
          </cell>
        </row>
        <row r="482">
          <cell r="A482" t="str">
            <v>30031_2</v>
          </cell>
        </row>
        <row r="483">
          <cell r="A483" t="str">
            <v>30031_3</v>
          </cell>
        </row>
        <row r="484">
          <cell r="A484" t="str">
            <v>30032_1</v>
          </cell>
        </row>
        <row r="485">
          <cell r="A485" t="str">
            <v>30032_2</v>
          </cell>
        </row>
        <row r="486">
          <cell r="A486" t="str">
            <v>30032_3</v>
          </cell>
        </row>
        <row r="487">
          <cell r="A487" t="str">
            <v>30033_1</v>
          </cell>
        </row>
        <row r="488">
          <cell r="A488" t="str">
            <v>30033_2</v>
          </cell>
        </row>
        <row r="489">
          <cell r="A489" t="str">
            <v>30033_3</v>
          </cell>
        </row>
        <row r="490">
          <cell r="A490" t="str">
            <v>30034_1</v>
          </cell>
        </row>
        <row r="491">
          <cell r="A491" t="str">
            <v>30034_2</v>
          </cell>
        </row>
        <row r="492">
          <cell r="A492" t="str">
            <v>30034_3</v>
          </cell>
        </row>
        <row r="493">
          <cell r="A493" t="str">
            <v>30035_1</v>
          </cell>
        </row>
        <row r="494">
          <cell r="A494" t="str">
            <v>30035_2</v>
          </cell>
        </row>
        <row r="495">
          <cell r="A495" t="str">
            <v>30035_3</v>
          </cell>
        </row>
        <row r="496">
          <cell r="A496" t="str">
            <v>30036_1</v>
          </cell>
        </row>
        <row r="497">
          <cell r="A497" t="str">
            <v>30036_2</v>
          </cell>
        </row>
        <row r="498">
          <cell r="A498" t="str">
            <v>30036_3</v>
          </cell>
        </row>
        <row r="499">
          <cell r="A499" t="str">
            <v>30037_1</v>
          </cell>
        </row>
        <row r="500">
          <cell r="A500" t="str">
            <v>30037_2</v>
          </cell>
        </row>
        <row r="501">
          <cell r="A501" t="str">
            <v>30037_3</v>
          </cell>
        </row>
        <row r="502">
          <cell r="A502" t="str">
            <v>39001_1</v>
          </cell>
        </row>
        <row r="503">
          <cell r="A503" t="str">
            <v>39001_2</v>
          </cell>
        </row>
        <row r="504">
          <cell r="A504" t="str">
            <v>39001_3</v>
          </cell>
        </row>
        <row r="505">
          <cell r="A505" t="str">
            <v>39001_4</v>
          </cell>
        </row>
        <row r="506">
          <cell r="A506" t="str">
            <v>39001_5</v>
          </cell>
        </row>
        <row r="507">
          <cell r="A507" t="str">
            <v>39002_1</v>
          </cell>
        </row>
        <row r="508">
          <cell r="A508" t="str">
            <v>39002_2</v>
          </cell>
        </row>
        <row r="509">
          <cell r="A509" t="str">
            <v>39002_3</v>
          </cell>
        </row>
        <row r="510">
          <cell r="A510" t="str">
            <v>39002_4</v>
          </cell>
        </row>
        <row r="511">
          <cell r="A511" t="str">
            <v>39003_1</v>
          </cell>
        </row>
        <row r="512">
          <cell r="A512" t="str">
            <v>39003_2</v>
          </cell>
        </row>
        <row r="513">
          <cell r="A513" t="str">
            <v>39003_3</v>
          </cell>
        </row>
        <row r="514">
          <cell r="A514" t="str">
            <v>39003_4</v>
          </cell>
        </row>
        <row r="515">
          <cell r="A515" t="str">
            <v>39004_1</v>
          </cell>
        </row>
        <row r="516">
          <cell r="A516" t="str">
            <v>39004_2</v>
          </cell>
        </row>
        <row r="517">
          <cell r="A517" t="str">
            <v>39004_3</v>
          </cell>
        </row>
        <row r="518">
          <cell r="A518" t="str">
            <v>39004_4</v>
          </cell>
        </row>
        <row r="519">
          <cell r="A519" t="str">
            <v>39005_1</v>
          </cell>
        </row>
        <row r="520">
          <cell r="A520" t="str">
            <v>39005_2</v>
          </cell>
        </row>
        <row r="521">
          <cell r="A521" t="str">
            <v>39005_3</v>
          </cell>
        </row>
        <row r="522">
          <cell r="A522" t="str">
            <v>39005_4</v>
          </cell>
        </row>
        <row r="523">
          <cell r="A523" t="str">
            <v>39005_5</v>
          </cell>
        </row>
        <row r="524">
          <cell r="A524" t="str">
            <v>39006_1</v>
          </cell>
        </row>
        <row r="525">
          <cell r="A525" t="str">
            <v>39006_2</v>
          </cell>
        </row>
        <row r="526">
          <cell r="A526" t="str">
            <v>39006_3</v>
          </cell>
        </row>
        <row r="527">
          <cell r="A527" t="str">
            <v>39006_4</v>
          </cell>
        </row>
        <row r="528">
          <cell r="A528" t="str">
            <v>40001_1</v>
          </cell>
        </row>
        <row r="529">
          <cell r="A529" t="str">
            <v>40002_1</v>
          </cell>
        </row>
        <row r="530">
          <cell r="A530" t="str">
            <v>40002_2</v>
          </cell>
        </row>
        <row r="531">
          <cell r="A531" t="str">
            <v>40002_3</v>
          </cell>
        </row>
        <row r="532">
          <cell r="A532" t="str">
            <v>40003_1</v>
          </cell>
        </row>
        <row r="533">
          <cell r="A533" t="str">
            <v>40004_1</v>
          </cell>
        </row>
        <row r="534">
          <cell r="A534" t="str">
            <v>40005_1</v>
          </cell>
        </row>
        <row r="535">
          <cell r="A535" t="str">
            <v>40006_1</v>
          </cell>
        </row>
        <row r="536">
          <cell r="A536" t="str">
            <v>40007_1</v>
          </cell>
        </row>
        <row r="537">
          <cell r="A537" t="str">
            <v>40008_1</v>
          </cell>
        </row>
        <row r="538">
          <cell r="A538" t="str">
            <v>40009_1</v>
          </cell>
        </row>
        <row r="539">
          <cell r="A539" t="str">
            <v>40010_1</v>
          </cell>
        </row>
        <row r="540">
          <cell r="A540" t="str">
            <v>40011_1</v>
          </cell>
        </row>
        <row r="541">
          <cell r="A541" t="str">
            <v>40012_1</v>
          </cell>
        </row>
        <row r="542">
          <cell r="A542" t="str">
            <v>40013_1</v>
          </cell>
        </row>
        <row r="543">
          <cell r="A543" t="str">
            <v>40014_1</v>
          </cell>
        </row>
        <row r="544">
          <cell r="A544" t="str">
            <v>40015_1</v>
          </cell>
        </row>
        <row r="545">
          <cell r="A545" t="str">
            <v>40016_1</v>
          </cell>
        </row>
        <row r="546">
          <cell r="A546" t="str">
            <v>40016_2</v>
          </cell>
        </row>
        <row r="547">
          <cell r="A547" t="str">
            <v>40017_1</v>
          </cell>
        </row>
        <row r="548">
          <cell r="A548" t="str">
            <v>40017_2</v>
          </cell>
        </row>
        <row r="549">
          <cell r="A549" t="str">
            <v>40017_3</v>
          </cell>
        </row>
        <row r="550">
          <cell r="A550" t="str">
            <v>40018_1</v>
          </cell>
        </row>
        <row r="551">
          <cell r="A551" t="str">
            <v>40018_2</v>
          </cell>
        </row>
        <row r="552">
          <cell r="A552" t="str">
            <v>40018_3</v>
          </cell>
        </row>
        <row r="553">
          <cell r="A553" t="str">
            <v>40019_1</v>
          </cell>
        </row>
        <row r="554">
          <cell r="A554" t="str">
            <v>40019_2</v>
          </cell>
        </row>
        <row r="555">
          <cell r="A555" t="str">
            <v>40019_3</v>
          </cell>
        </row>
        <row r="556">
          <cell r="A556" t="str">
            <v>40020_1</v>
          </cell>
        </row>
        <row r="557">
          <cell r="A557" t="str">
            <v>40020_2</v>
          </cell>
        </row>
        <row r="558">
          <cell r="A558" t="str">
            <v>40021_1</v>
          </cell>
        </row>
        <row r="559">
          <cell r="A559" t="str">
            <v>40021_2</v>
          </cell>
        </row>
        <row r="560">
          <cell r="A560" t="str">
            <v>48001_1</v>
          </cell>
        </row>
        <row r="561">
          <cell r="A561" t="str">
            <v>48002_1</v>
          </cell>
        </row>
        <row r="562">
          <cell r="A562" t="str">
            <v>48002_2</v>
          </cell>
        </row>
        <row r="563">
          <cell r="A563" t="str">
            <v>48002_3</v>
          </cell>
        </row>
        <row r="564">
          <cell r="A564" t="str">
            <v>41001_1</v>
          </cell>
        </row>
        <row r="565">
          <cell r="A565" t="str">
            <v>41001_2</v>
          </cell>
        </row>
        <row r="566">
          <cell r="A566" t="str">
            <v>41001_3</v>
          </cell>
        </row>
        <row r="567">
          <cell r="A567" t="str">
            <v>41002_1</v>
          </cell>
        </row>
        <row r="568">
          <cell r="A568" t="str">
            <v>41002_2</v>
          </cell>
        </row>
        <row r="569">
          <cell r="A569" t="str">
            <v>41002_3</v>
          </cell>
        </row>
        <row r="570">
          <cell r="A570" t="str">
            <v>41003_1</v>
          </cell>
        </row>
        <row r="571">
          <cell r="A571" t="str">
            <v>41003_2</v>
          </cell>
        </row>
        <row r="572">
          <cell r="A572" t="str">
            <v>41003_3</v>
          </cell>
        </row>
        <row r="573">
          <cell r="A573" t="str">
            <v>41004_1</v>
          </cell>
        </row>
        <row r="574">
          <cell r="A574" t="str">
            <v>41004_2</v>
          </cell>
        </row>
        <row r="575">
          <cell r="A575" t="str">
            <v>41004_3</v>
          </cell>
        </row>
        <row r="576">
          <cell r="A576" t="str">
            <v>41005_1</v>
          </cell>
        </row>
        <row r="577">
          <cell r="A577" t="str">
            <v>41005_2</v>
          </cell>
        </row>
        <row r="578">
          <cell r="A578" t="str">
            <v>41005_3</v>
          </cell>
        </row>
        <row r="579">
          <cell r="A579" t="str">
            <v>41006_1</v>
          </cell>
        </row>
        <row r="580">
          <cell r="A580" t="str">
            <v>41006_2</v>
          </cell>
        </row>
        <row r="581">
          <cell r="A581" t="str">
            <v>41006_3</v>
          </cell>
        </row>
        <row r="582">
          <cell r="A582" t="str">
            <v>41007_1</v>
          </cell>
        </row>
        <row r="583">
          <cell r="A583" t="str">
            <v>41007_2</v>
          </cell>
        </row>
        <row r="584">
          <cell r="A584" t="str">
            <v>41007_3</v>
          </cell>
        </row>
        <row r="585">
          <cell r="A585" t="str">
            <v>41008_1</v>
          </cell>
        </row>
        <row r="586">
          <cell r="A586" t="str">
            <v>41008_2</v>
          </cell>
        </row>
        <row r="587">
          <cell r="A587" t="str">
            <v>41008_3</v>
          </cell>
        </row>
        <row r="588">
          <cell r="A588" t="str">
            <v>41009_1</v>
          </cell>
        </row>
        <row r="589">
          <cell r="A589" t="str">
            <v>41009_2</v>
          </cell>
        </row>
        <row r="590">
          <cell r="A590" t="str">
            <v>41009_3</v>
          </cell>
        </row>
        <row r="591">
          <cell r="A591" t="str">
            <v>41010_1</v>
          </cell>
        </row>
        <row r="592">
          <cell r="A592" t="str">
            <v>41010_2</v>
          </cell>
        </row>
        <row r="593">
          <cell r="A593" t="str">
            <v>41010_3</v>
          </cell>
        </row>
        <row r="594">
          <cell r="A594" t="str">
            <v>49001_1</v>
          </cell>
        </row>
        <row r="595">
          <cell r="A595" t="str">
            <v>49002_1</v>
          </cell>
        </row>
        <row r="596">
          <cell r="A596" t="str">
            <v>49002_2</v>
          </cell>
        </row>
        <row r="597">
          <cell r="A597" t="str">
            <v>49003_1</v>
          </cell>
        </row>
        <row r="598">
          <cell r="A598" t="str">
            <v>49003_2</v>
          </cell>
        </row>
        <row r="599">
          <cell r="A599" t="str">
            <v>49004_1</v>
          </cell>
        </row>
        <row r="600">
          <cell r="A600" t="str">
            <v>49004_2</v>
          </cell>
        </row>
        <row r="601">
          <cell r="A601" t="str">
            <v>49004_3</v>
          </cell>
        </row>
        <row r="602">
          <cell r="A602" t="str">
            <v>49005_1</v>
          </cell>
        </row>
        <row r="603">
          <cell r="A603" t="str">
            <v>49006_1</v>
          </cell>
        </row>
        <row r="604">
          <cell r="A604" t="str">
            <v>50001_1</v>
          </cell>
        </row>
        <row r="605">
          <cell r="A605" t="str">
            <v>50002_1</v>
          </cell>
        </row>
        <row r="606">
          <cell r="A606" t="str">
            <v>50003_1</v>
          </cell>
        </row>
        <row r="607">
          <cell r="A607" t="str">
            <v>50004_1</v>
          </cell>
        </row>
        <row r="608">
          <cell r="A608" t="str">
            <v>50005_1</v>
          </cell>
        </row>
        <row r="609">
          <cell r="A609" t="str">
            <v>51001_1</v>
          </cell>
        </row>
        <row r="610">
          <cell r="A610" t="str">
            <v>51002_1</v>
          </cell>
        </row>
        <row r="611">
          <cell r="A611" t="str">
            <v>60001_1</v>
          </cell>
        </row>
        <row r="612">
          <cell r="A612" t="str">
            <v>60002_1</v>
          </cell>
        </row>
        <row r="613">
          <cell r="A613" t="str">
            <v>60002_2</v>
          </cell>
        </row>
        <row r="614">
          <cell r="A614" t="str">
            <v>60003_1</v>
          </cell>
        </row>
        <row r="615">
          <cell r="A615" t="str">
            <v>60003_2</v>
          </cell>
        </row>
        <row r="616">
          <cell r="A616" t="str">
            <v>60003_3</v>
          </cell>
        </row>
        <row r="617">
          <cell r="A617" t="str">
            <v>60004_1</v>
          </cell>
        </row>
        <row r="618">
          <cell r="A618" t="str">
            <v>60005_1</v>
          </cell>
        </row>
        <row r="619">
          <cell r="A619" t="str">
            <v>60006_1</v>
          </cell>
        </row>
        <row r="620">
          <cell r="A620" t="str">
            <v>60006_2</v>
          </cell>
        </row>
        <row r="621">
          <cell r="A621" t="str">
            <v>60006_3</v>
          </cell>
        </row>
        <row r="622">
          <cell r="A622" t="str">
            <v>60007_1</v>
          </cell>
        </row>
        <row r="623">
          <cell r="A623" t="str">
            <v>60007_2</v>
          </cell>
        </row>
        <row r="624">
          <cell r="A624" t="str">
            <v>60007_3</v>
          </cell>
        </row>
        <row r="625">
          <cell r="A625" t="str">
            <v>60010_1</v>
          </cell>
        </row>
        <row r="626">
          <cell r="A626" t="str">
            <v>60011_1</v>
          </cell>
        </row>
        <row r="627">
          <cell r="A627" t="str">
            <v>65535_1</v>
          </cell>
        </row>
        <row r="628">
          <cell r="A628" t="str">
            <v>65535_2</v>
          </cell>
        </row>
        <row r="629">
          <cell r="A629" t="str">
            <v>65535_3</v>
          </cell>
        </row>
        <row r="630">
          <cell r="A630" t="str">
            <v>65535_4</v>
          </cell>
        </row>
        <row r="631">
          <cell r="A631" t="str">
            <v>65535_5</v>
          </cell>
        </row>
        <row r="632">
          <cell r="A632" t="str">
            <v>65535_6</v>
          </cell>
        </row>
        <row r="633">
          <cell r="A633" t="str">
            <v>65535_7</v>
          </cell>
        </row>
        <row r="634">
          <cell r="A634" t="str">
            <v>65535_8</v>
          </cell>
        </row>
        <row r="635">
          <cell r="A635" t="str">
            <v>60021_3</v>
          </cell>
        </row>
        <row r="636">
          <cell r="A636" t="str">
            <v>60022_3</v>
          </cell>
        </row>
        <row r="637">
          <cell r="A637" t="str">
            <v>60023_3</v>
          </cell>
        </row>
        <row r="638">
          <cell r="A638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17" sqref="E17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131</v>
      </c>
      <c r="B1" s="52" t="s">
        <v>101</v>
      </c>
      <c r="C1" s="52" t="s">
        <v>102</v>
      </c>
      <c r="D1" s="52" t="s">
        <v>103</v>
      </c>
      <c r="E1" s="52" t="s">
        <v>104</v>
      </c>
      <c r="F1" s="52" t="s">
        <v>105</v>
      </c>
      <c r="G1" s="52" t="s">
        <v>106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287</v>
      </c>
      <c r="B2" s="54" t="s">
        <v>107</v>
      </c>
      <c r="C2" s="60">
        <v>48002</v>
      </c>
      <c r="D2" s="54" t="s">
        <v>108</v>
      </c>
      <c r="E2" s="53" t="str">
        <f>B2&amp;C2&amp;D2</f>
        <v>floors_48002.tmp</v>
      </c>
      <c r="F2" s="54" t="s">
        <v>109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287</v>
      </c>
      <c r="B3" s="54" t="s">
        <v>110</v>
      </c>
      <c r="C3" s="60">
        <f>C$2</f>
        <v>48002</v>
      </c>
      <c r="D3" s="54" t="s">
        <v>108</v>
      </c>
      <c r="E3" s="53" t="str">
        <f>B3&amp;C3&amp;D3</f>
        <v>enemy_habitats_48002.tmp</v>
      </c>
      <c r="F3" s="54" t="s">
        <v>111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180</v>
      </c>
    </row>
    <row r="4" spans="1:30" x14ac:dyDescent="0.15">
      <c r="A4" s="58" t="s">
        <v>287</v>
      </c>
      <c r="B4" s="54" t="s">
        <v>112</v>
      </c>
      <c r="C4" s="60">
        <f t="shared" ref="C4:C13" si="0">C$2</f>
        <v>48002</v>
      </c>
      <c r="D4" s="54" t="s">
        <v>108</v>
      </c>
      <c r="E4" s="53" t="str">
        <f>B4&amp;C4&amp;D4</f>
        <v>enemy_habitat_S_48002.tmp</v>
      </c>
      <c r="F4" s="54" t="s">
        <v>113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287</v>
      </c>
      <c r="B5" s="54" t="s">
        <v>114</v>
      </c>
      <c r="C5" s="60">
        <f t="shared" si="0"/>
        <v>48002</v>
      </c>
      <c r="D5" s="54" t="s">
        <v>108</v>
      </c>
      <c r="E5" s="53" t="str">
        <f>B5&amp;C5&amp;D5</f>
        <v>enemy_skill_sets_48002.tmp</v>
      </c>
      <c r="F5" s="54" t="s">
        <v>115</v>
      </c>
      <c r="G5" s="56" t="s">
        <v>22</v>
      </c>
      <c r="H5" s="56" t="s">
        <v>100</v>
      </c>
      <c r="I5" s="56" t="s">
        <v>95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287</v>
      </c>
      <c r="B6" s="54" t="s">
        <v>116</v>
      </c>
      <c r="C6" s="60">
        <f t="shared" si="0"/>
        <v>48002</v>
      </c>
      <c r="D6" s="54" t="s">
        <v>117</v>
      </c>
      <c r="E6" s="53" t="str">
        <f t="shared" ref="E6:E10" si="1">B6&amp;C6&amp;D6</f>
        <v>enemy_skills_tmp_48002.tmp</v>
      </c>
      <c r="F6" s="54" t="s">
        <v>91</v>
      </c>
      <c r="G6" s="55" t="s">
        <v>79</v>
      </c>
      <c r="H6" s="55" t="s">
        <v>80</v>
      </c>
      <c r="I6" s="55" t="s">
        <v>81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287</v>
      </c>
      <c r="B7" s="54" t="s">
        <v>118</v>
      </c>
      <c r="C7" s="60">
        <f t="shared" si="0"/>
        <v>48002</v>
      </c>
      <c r="D7" s="54" t="s">
        <v>108</v>
      </c>
      <c r="E7" s="53" t="str">
        <f>B7&amp;C7&amp;D7</f>
        <v>enemy_skills_i18n_48002.tmp</v>
      </c>
      <c r="F7" s="54" t="s">
        <v>119</v>
      </c>
      <c r="G7" s="55" t="s">
        <v>79</v>
      </c>
      <c r="H7" s="55" t="s">
        <v>92</v>
      </c>
      <c r="I7" s="55" t="s">
        <v>93</v>
      </c>
      <c r="J7" s="55" t="s">
        <v>94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287</v>
      </c>
      <c r="B8" s="54" t="s">
        <v>120</v>
      </c>
      <c r="C8" s="60">
        <f t="shared" si="0"/>
        <v>48002</v>
      </c>
      <c r="D8" s="54" t="s">
        <v>121</v>
      </c>
      <c r="E8" s="53" t="str">
        <f t="shared" si="1"/>
        <v>enemy_skill_triggers_48002.tmp</v>
      </c>
      <c r="F8" s="54" t="s">
        <v>122</v>
      </c>
      <c r="G8" s="55" t="s">
        <v>95</v>
      </c>
      <c r="H8" s="55" t="s">
        <v>96</v>
      </c>
      <c r="I8" s="55" t="s">
        <v>97</v>
      </c>
      <c r="J8" s="55" t="s">
        <v>98</v>
      </c>
      <c r="K8" s="55" t="s">
        <v>123</v>
      </c>
      <c r="L8" s="55" t="s">
        <v>99</v>
      </c>
      <c r="M8" s="55" t="s">
        <v>124</v>
      </c>
      <c r="N8" s="55" t="s">
        <v>125</v>
      </c>
      <c r="O8" s="55" t="s">
        <v>126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287</v>
      </c>
      <c r="B9" s="65" t="s">
        <v>179</v>
      </c>
      <c r="C9" s="60">
        <f t="shared" si="0"/>
        <v>48002</v>
      </c>
      <c r="D9" s="65" t="s">
        <v>173</v>
      </c>
      <c r="E9" s="66" t="str">
        <f t="shared" si="1"/>
        <v>stage_bug_bonuses_48002.tmp</v>
      </c>
      <c r="F9" s="65" t="s">
        <v>174</v>
      </c>
      <c r="G9" s="62" t="s">
        <v>151</v>
      </c>
      <c r="H9" s="62" t="s">
        <v>175</v>
      </c>
      <c r="I9" s="62" t="s">
        <v>176</v>
      </c>
      <c r="J9" s="64" t="s">
        <v>177</v>
      </c>
      <c r="K9" s="62" t="s">
        <v>178</v>
      </c>
      <c r="L9" s="62" t="s">
        <v>157</v>
      </c>
      <c r="M9" s="62" t="s">
        <v>158</v>
      </c>
      <c r="N9" s="62" t="s">
        <v>159</v>
      </c>
      <c r="O9" s="62" t="s">
        <v>160</v>
      </c>
      <c r="P9" s="62" t="s">
        <v>161</v>
      </c>
      <c r="Q9" s="62" t="s">
        <v>162</v>
      </c>
      <c r="R9" s="62" t="s">
        <v>163</v>
      </c>
      <c r="S9" s="62" t="s">
        <v>164</v>
      </c>
      <c r="T9" s="62" t="s">
        <v>165</v>
      </c>
      <c r="U9" s="62" t="s">
        <v>166</v>
      </c>
      <c r="V9" s="62" t="s">
        <v>167</v>
      </c>
      <c r="W9" s="62" t="s">
        <v>168</v>
      </c>
      <c r="X9" s="54"/>
      <c r="Y9" s="54"/>
      <c r="Z9" s="54"/>
      <c r="AA9" s="54"/>
      <c r="AB9" s="54"/>
      <c r="AC9" s="54"/>
      <c r="AD9" s="54"/>
    </row>
    <row r="10" spans="1:30" s="72" customFormat="1" x14ac:dyDescent="0.15">
      <c r="A10" s="58" t="s">
        <v>287</v>
      </c>
      <c r="B10" s="65" t="s">
        <v>203</v>
      </c>
      <c r="C10" s="60">
        <f>C$2</f>
        <v>48002</v>
      </c>
      <c r="D10" s="65" t="s">
        <v>182</v>
      </c>
      <c r="E10" s="66" t="str">
        <f t="shared" si="1"/>
        <v>stage_hints_data_c_48002.tmp</v>
      </c>
      <c r="F10" s="65" t="s">
        <v>211</v>
      </c>
      <c r="G10" s="70" t="s">
        <v>183</v>
      </c>
      <c r="H10" s="70" t="s">
        <v>175</v>
      </c>
      <c r="I10" s="71" t="s">
        <v>184</v>
      </c>
      <c r="J10" s="64" t="s">
        <v>185</v>
      </c>
      <c r="K10" s="64" t="s">
        <v>186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2" customFormat="1" x14ac:dyDescent="0.15">
      <c r="A11" s="58" t="s">
        <v>287</v>
      </c>
      <c r="B11" s="65" t="s">
        <v>204</v>
      </c>
      <c r="C11" s="60">
        <f t="shared" si="0"/>
        <v>48002</v>
      </c>
      <c r="D11" s="65" t="s">
        <v>173</v>
      </c>
      <c r="E11" s="66" t="str">
        <f t="shared" ref="E11:E13" si="2">B11&amp;C11&amp;D11</f>
        <v>stage_hints_data_f_48002.tmp</v>
      </c>
      <c r="F11" s="65" t="s">
        <v>213</v>
      </c>
      <c r="G11" s="70" t="s">
        <v>183</v>
      </c>
      <c r="H11" s="70" t="s">
        <v>175</v>
      </c>
      <c r="I11" s="71" t="s">
        <v>184</v>
      </c>
      <c r="J11" s="64" t="s">
        <v>185</v>
      </c>
      <c r="K11" s="64" t="s">
        <v>186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2" customFormat="1" x14ac:dyDescent="0.15">
      <c r="A12" s="58" t="s">
        <v>287</v>
      </c>
      <c r="B12" s="65" t="s">
        <v>205</v>
      </c>
      <c r="C12" s="60">
        <f t="shared" si="0"/>
        <v>48002</v>
      </c>
      <c r="D12" s="65" t="s">
        <v>173</v>
      </c>
      <c r="E12" s="66" t="str">
        <f t="shared" si="2"/>
        <v>stage_hints_i18n_48002.tmp</v>
      </c>
      <c r="F12" s="65" t="s">
        <v>214</v>
      </c>
      <c r="G12" s="71" t="s">
        <v>206</v>
      </c>
      <c r="H12" s="92" t="s">
        <v>207</v>
      </c>
      <c r="I12" s="70" t="s">
        <v>208</v>
      </c>
      <c r="J12" s="100" t="s">
        <v>209</v>
      </c>
      <c r="K12" s="64" t="s">
        <v>210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2" customFormat="1" x14ac:dyDescent="0.15">
      <c r="A13" s="58" t="s">
        <v>339</v>
      </c>
      <c r="B13" s="65" t="s">
        <v>255</v>
      </c>
      <c r="C13" s="60">
        <f t="shared" si="0"/>
        <v>48002</v>
      </c>
      <c r="D13" s="65" t="s">
        <v>236</v>
      </c>
      <c r="E13" s="66" t="str">
        <f t="shared" si="2"/>
        <v>stage_bonuses_48002.tmp</v>
      </c>
      <c r="F13" s="65" t="s">
        <v>235</v>
      </c>
      <c r="G13" s="70" t="s">
        <v>237</v>
      </c>
      <c r="H13" s="70" t="s">
        <v>238</v>
      </c>
      <c r="I13" s="70" t="s">
        <v>239</v>
      </c>
      <c r="J13" s="70" t="s">
        <v>240</v>
      </c>
      <c r="K13" s="70" t="s">
        <v>241</v>
      </c>
      <c r="L13" s="70" t="s">
        <v>242</v>
      </c>
      <c r="M13" s="70" t="s">
        <v>243</v>
      </c>
      <c r="N13" s="70" t="s">
        <v>244</v>
      </c>
      <c r="O13" s="70" t="s">
        <v>245</v>
      </c>
      <c r="P13" s="70" t="s">
        <v>246</v>
      </c>
      <c r="Q13" s="70" t="s">
        <v>247</v>
      </c>
      <c r="R13" s="70" t="s">
        <v>248</v>
      </c>
      <c r="S13" s="70" t="s">
        <v>249</v>
      </c>
      <c r="T13" s="70" t="s">
        <v>250</v>
      </c>
      <c r="U13" s="70" t="s">
        <v>251</v>
      </c>
      <c r="V13" s="70" t="s">
        <v>252</v>
      </c>
      <c r="W13" s="70" t="s">
        <v>253</v>
      </c>
      <c r="X13" s="70" t="s">
        <v>254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J10" sqref="J10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48002_1-1</v>
      </c>
      <c r="B2" s="16" t="str">
        <f>IF(COUNTIF(enemy_habitats!$H:$H,A2),"OK","NG")</f>
        <v>OK</v>
      </c>
      <c r="C2" s="7">
        <v>48002</v>
      </c>
      <c r="D2" s="11" t="str">
        <f ca="1">VLOOKUP($C2,OFFSET([2]quests!$A$1,0,0,COUNTA([2]quests!$A:$A),MATCH(D$1,[2]quests!$1:$1,0)-MATCH($C$1,[2]quests!$1:$1,0)+1),MATCH(D$1,[2]quests!$1:$1,0)-MATCH($C$1,[2]quests!$1:$1,0)+1,FALSE)</f>
        <v>孫悟空襲来！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台湾版降臨2</v>
      </c>
      <c r="F2" s="21">
        <v>1</v>
      </c>
      <c r="G2" s="23" t="str">
        <f>C2&amp;"_"&amp;F2</f>
        <v>48002_1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【超絶級】孫悟空襲来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13" si="0">G3&amp;"-"&amp;I3</f>
        <v>48002_1-2</v>
      </c>
      <c r="B3" s="16" t="str">
        <f>IF(COUNTIF(enemy_habitats!$H:$H,A3),"OK","NG")</f>
        <v>OK</v>
      </c>
      <c r="C3" s="7">
        <v>48002</v>
      </c>
      <c r="D3" s="11" t="str">
        <f ca="1">VLOOKUP($C3,OFFSET([2]quests!$A$1,0,0,COUNTA([2]quests!$A:$A),MATCH(D$1,[2]quests!$1:$1,0)-MATCH($C$1,[2]quests!$1:$1,0)+1),MATCH(D$1,[2]quests!$1:$1,0)-MATCH($C$1,[2]quests!$1:$1,0)+1,FALSE)</f>
        <v>孫悟空襲来！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台湾版降臨2</v>
      </c>
      <c r="F3" s="21">
        <v>1</v>
      </c>
      <c r="G3" s="23" t="str">
        <f t="shared" ref="G3:G13" si="1">C3&amp;"_"&amp;F3</f>
        <v>48002_1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【超絶級】孫悟空襲来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48002_1-3</v>
      </c>
      <c r="B4" s="16" t="str">
        <f>IF(COUNTIF(enemy_habitats!$H:$H,A4),"OK","NG")</f>
        <v>OK</v>
      </c>
      <c r="C4" s="7">
        <v>48002</v>
      </c>
      <c r="D4" s="11" t="str">
        <f ca="1">VLOOKUP($C4,OFFSET([2]quests!$A$1,0,0,COUNTA([2]quests!$A:$A),MATCH(D$1,[2]quests!$1:$1,0)-MATCH($C$1,[2]quests!$1:$1,0)+1),MATCH(D$1,[2]quests!$1:$1,0)-MATCH($C$1,[2]quests!$1:$1,0)+1,FALSE)</f>
        <v>孫悟空襲来！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台湾版降臨2</v>
      </c>
      <c r="F4" s="21">
        <v>1</v>
      </c>
      <c r="G4" s="23" t="str">
        <f t="shared" si="1"/>
        <v>48002_1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【超絶級】孫悟空襲来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48002_1-4</v>
      </c>
      <c r="B5" s="16" t="str">
        <f>IF(COUNTIF(enemy_habitats!$H:$H,A5),"OK","NG")</f>
        <v>OK</v>
      </c>
      <c r="C5" s="7">
        <v>48002</v>
      </c>
      <c r="D5" s="11" t="str">
        <f ca="1">VLOOKUP($C5,OFFSET([2]quests!$A$1,0,0,COUNTA([2]quests!$A:$A),MATCH(D$1,[2]quests!$1:$1,0)-MATCH($C$1,[2]quests!$1:$1,0)+1),MATCH(D$1,[2]quests!$1:$1,0)-MATCH($C$1,[2]quests!$1:$1,0)+1,FALSE)</f>
        <v>孫悟空襲来！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台湾版降臨2</v>
      </c>
      <c r="F5" s="21">
        <v>1</v>
      </c>
      <c r="G5" s="23" t="str">
        <f t="shared" si="1"/>
        <v>48002_1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【超絶級】孫悟空襲来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48002_2-1</v>
      </c>
      <c r="B6" s="16" t="str">
        <f>IF(COUNTIF(enemy_habitats!$H:$H,A6),"OK","NG")</f>
        <v>OK</v>
      </c>
      <c r="C6" s="7">
        <v>48002</v>
      </c>
      <c r="D6" s="11" t="str">
        <f ca="1">VLOOKUP($C6,OFFSET([2]quests!$A$1,0,0,COUNTA([2]quests!$A:$A),MATCH(D$1,[2]quests!$1:$1,0)-MATCH($C$1,[2]quests!$1:$1,0)+1),MATCH(D$1,[2]quests!$1:$1,0)-MATCH($C$1,[2]quests!$1:$1,0)+1,FALSE)</f>
        <v>孫悟空襲来！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台湾版降臨2</v>
      </c>
      <c r="F6" s="21">
        <v>2</v>
      </c>
      <c r="G6" s="23" t="str">
        <f t="shared" si="1"/>
        <v>48002_2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【ウィザード級】孫悟空襲来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48002_2-2</v>
      </c>
      <c r="B7" s="16" t="str">
        <f>IF(COUNTIF(enemy_habitats!$H:$H,A7),"OK","NG")</f>
        <v>OK</v>
      </c>
      <c r="C7" s="7">
        <v>48002</v>
      </c>
      <c r="D7" s="11" t="str">
        <f ca="1">VLOOKUP($C7,OFFSET([2]quests!$A$1,0,0,COUNTA([2]quests!$A:$A),MATCH(D$1,[2]quests!$1:$1,0)-MATCH($C$1,[2]quests!$1:$1,0)+1),MATCH(D$1,[2]quests!$1:$1,0)-MATCH($C$1,[2]quests!$1:$1,0)+1,FALSE)</f>
        <v>孫悟空襲来！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台湾版降臨2</v>
      </c>
      <c r="F7" s="21">
        <v>2</v>
      </c>
      <c r="G7" s="23" t="str">
        <f t="shared" si="1"/>
        <v>48002_2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【ウィザード級】孫悟空襲来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48002_2-3</v>
      </c>
      <c r="B8" s="16" t="str">
        <f>IF(COUNTIF(enemy_habitats!$H:$H,A8),"OK","NG")</f>
        <v>OK</v>
      </c>
      <c r="C8" s="7">
        <v>48002</v>
      </c>
      <c r="D8" s="11" t="str">
        <f ca="1">VLOOKUP($C8,OFFSET([2]quests!$A$1,0,0,COUNTA([2]quests!$A:$A),MATCH(D$1,[2]quests!$1:$1,0)-MATCH($C$1,[2]quests!$1:$1,0)+1),MATCH(D$1,[2]quests!$1:$1,0)-MATCH($C$1,[2]quests!$1:$1,0)+1,FALSE)</f>
        <v>孫悟空襲来！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台湾版降臨2</v>
      </c>
      <c r="F8" s="21">
        <v>2</v>
      </c>
      <c r="G8" s="23" t="str">
        <f t="shared" si="1"/>
        <v>48002_2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【ウィザード級】孫悟空襲来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48002_2-4</v>
      </c>
      <c r="B9" s="16" t="str">
        <f>IF(COUNTIF(enemy_habitats!$H:$H,A9),"OK","NG")</f>
        <v>OK</v>
      </c>
      <c r="C9" s="7">
        <v>48002</v>
      </c>
      <c r="D9" s="11" t="str">
        <f ca="1">VLOOKUP($C9,OFFSET([2]quests!$A$1,0,0,COUNTA([2]quests!$A:$A),MATCH(D$1,[2]quests!$1:$1,0)-MATCH($C$1,[2]quests!$1:$1,0)+1),MATCH(D$1,[2]quests!$1:$1,0)-MATCH($C$1,[2]quests!$1:$1,0)+1,FALSE)</f>
        <v>孫悟空襲来！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台湾版降臨2</v>
      </c>
      <c r="F9" s="21">
        <v>2</v>
      </c>
      <c r="G9" s="23" t="str">
        <f t="shared" si="1"/>
        <v>48002_2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【ウィザード級】孫悟空襲来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48002_3-1</v>
      </c>
      <c r="B10" s="16" t="str">
        <f>IF(COUNTIF(enemy_habitats!$H:$H,A10),"OK","NG")</f>
        <v>OK</v>
      </c>
      <c r="C10" s="7">
        <v>48002</v>
      </c>
      <c r="D10" s="11" t="str">
        <f ca="1">VLOOKUP($C10,OFFSET([2]quests!$A$1,0,0,COUNTA([2]quests!$A:$A),MATCH(D$1,[2]quests!$1:$1,0)-MATCH($C$1,[2]quests!$1:$1,0)+1),MATCH(D$1,[2]quests!$1:$1,0)-MATCH($C$1,[2]quests!$1:$1,0)+1,FALSE)</f>
        <v>孫悟空襲来！</v>
      </c>
      <c r="E10" s="18" t="str">
        <f ca="1">VLOOKUP($C10,OFFSET([2]quests!$A$1,0,0,COUNTA([2]quests!$A:$A),MATCH(E$1,[2]quests!$1:$1,0)-MATCH($C$1,[2]quests!$1:$1,0)+1),MATCH(E$1,[2]quests!$1:$1,0)-MATCH($C$1,[2]quests!$1:$1,0)+1,FALSE)</f>
        <v>台湾版降臨2</v>
      </c>
      <c r="F10" s="21">
        <v>3</v>
      </c>
      <c r="G10" s="23" t="str">
        <f t="shared" si="1"/>
        <v>48002_3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【ノーコンテニュー】孫悟空襲来</v>
      </c>
      <c r="I10" s="21">
        <v>1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48002_3-2</v>
      </c>
      <c r="B11" s="16" t="str">
        <f>IF(COUNTIF(enemy_habitats!$H:$H,A11),"OK","NG")</f>
        <v>OK</v>
      </c>
      <c r="C11" s="7">
        <v>48002</v>
      </c>
      <c r="D11" s="11" t="str">
        <f ca="1">VLOOKUP($C11,OFFSET([2]quests!$A$1,0,0,COUNTA([2]quests!$A:$A),MATCH(D$1,[2]quests!$1:$1,0)-MATCH($C$1,[2]quests!$1:$1,0)+1),MATCH(D$1,[2]quests!$1:$1,0)-MATCH($C$1,[2]quests!$1:$1,0)+1,FALSE)</f>
        <v>孫悟空襲来！</v>
      </c>
      <c r="E11" s="18" t="str">
        <f ca="1">VLOOKUP($C11,OFFSET([2]quests!$A$1,0,0,COUNTA([2]quests!$A:$A),MATCH(E$1,[2]quests!$1:$1,0)-MATCH($C$1,[2]quests!$1:$1,0)+1),MATCH(E$1,[2]quests!$1:$1,0)-MATCH($C$1,[2]quests!$1:$1,0)+1,FALSE)</f>
        <v>台湾版降臨2</v>
      </c>
      <c r="F11" s="21">
        <v>3</v>
      </c>
      <c r="G11" s="23" t="str">
        <f t="shared" si="1"/>
        <v>48002_3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【ノーコンテニュー】孫悟空襲来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48002_3-3</v>
      </c>
      <c r="B12" s="16" t="str">
        <f>IF(COUNTIF(enemy_habitats!$H:$H,A12),"OK","NG")</f>
        <v>OK</v>
      </c>
      <c r="C12" s="7">
        <v>48002</v>
      </c>
      <c r="D12" s="11" t="str">
        <f ca="1">VLOOKUP($C12,OFFSET([2]quests!$A$1,0,0,COUNTA([2]quests!$A:$A),MATCH(D$1,[2]quests!$1:$1,0)-MATCH($C$1,[2]quests!$1:$1,0)+1),MATCH(D$1,[2]quests!$1:$1,0)-MATCH($C$1,[2]quests!$1:$1,0)+1,FALSE)</f>
        <v>孫悟空襲来！</v>
      </c>
      <c r="E12" s="18" t="str">
        <f ca="1">VLOOKUP($C12,OFFSET([2]quests!$A$1,0,0,COUNTA([2]quests!$A:$A),MATCH(E$1,[2]quests!$1:$1,0)-MATCH($C$1,[2]quests!$1:$1,0)+1),MATCH(E$1,[2]quests!$1:$1,0)-MATCH($C$1,[2]quests!$1:$1,0)+1,FALSE)</f>
        <v>台湾版降臨2</v>
      </c>
      <c r="F12" s="21">
        <v>3</v>
      </c>
      <c r="G12" s="23" t="str">
        <f t="shared" si="1"/>
        <v>48002_3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【ノーコンテニュー】孫悟空襲来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48002_3-4</v>
      </c>
      <c r="B13" s="16" t="str">
        <f>IF(COUNTIF(enemy_habitats!$H:$H,A13),"OK","NG")</f>
        <v>OK</v>
      </c>
      <c r="C13" s="7">
        <v>48002</v>
      </c>
      <c r="D13" s="11" t="str">
        <f ca="1">VLOOKUP($C13,OFFSET([2]quests!$A$1,0,0,COUNTA([2]quests!$A:$A),MATCH(D$1,[2]quests!$1:$1,0)-MATCH($C$1,[2]quests!$1:$1,0)+1),MATCH(D$1,[2]quests!$1:$1,0)-MATCH($C$1,[2]quests!$1:$1,0)+1,FALSE)</f>
        <v>孫悟空襲来！</v>
      </c>
      <c r="E13" s="18" t="str">
        <f ca="1">VLOOKUP($C13,OFFSET([2]quests!$A$1,0,0,COUNTA([2]quests!$A:$A),MATCH(E$1,[2]quests!$1:$1,0)-MATCH($C$1,[2]quests!$1:$1,0)+1),MATCH(E$1,[2]quests!$1:$1,0)-MATCH($C$1,[2]quests!$1:$1,0)+1,FALSE)</f>
        <v>台湾版降臨2</v>
      </c>
      <c r="F13" s="21">
        <v>3</v>
      </c>
      <c r="G13" s="23" t="str">
        <f t="shared" si="1"/>
        <v>48002_3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【ノーコンテニュー】孫悟空襲来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3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T14" sqref="T1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20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 x14ac:dyDescent="0.15">
      <c r="A2" s="16" t="str">
        <f ca="1">B2&amp;"_"&amp;C2&amp;"-"&amp;G2&amp;"/"&amp;L2&amp;"&lt;lv"&amp;R2&amp;"&gt;s"&amp;AA2</f>
        <v>48002_1-1/8007&lt;lv58&gt;s3</v>
      </c>
      <c r="B2" s="22">
        <v>48002</v>
      </c>
      <c r="C2" s="21">
        <v>1</v>
      </c>
      <c r="D2" s="2" t="str">
        <f>B2&amp;"_"&amp;C2</f>
        <v>48002_1</v>
      </c>
      <c r="E2" s="4" t="str">
        <f ca="1">VLOOKUP($B2,OFFSET([2]quests!$A$1,0,0,COUNTA([2]quests!$A:$A),MATCH(E$1,[2]quests!$1:$1,0)-MATCH($B$1,[2]quests!$1:$1,0)+1),MATCH(E$1,[2]quests!$1:$1,0)-MATCH($B$1,[2]quests!$1:$1,0)+1,FALSE)</f>
        <v>孫悟空襲来！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【超絶級】孫悟空襲来</v>
      </c>
      <c r="G2" s="21">
        <v>1</v>
      </c>
      <c r="H2" s="15" t="str">
        <f>B2&amp;"_"&amp;C2&amp;"-"&amp;G2</f>
        <v>48002_1-1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8007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孫悟空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58</v>
      </c>
      <c r="S2" s="25">
        <v>2</v>
      </c>
      <c r="T2" s="25">
        <v>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「強い奴なら大歓迎だぜ！」</v>
      </c>
      <c r="W2" s="59">
        <v>48002001</v>
      </c>
      <c r="X2" s="6">
        <v>1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3</v>
      </c>
      <c r="AB2" s="24">
        <f>L2</f>
        <v>8007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孫悟空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2" s="7">
        <v>1</v>
      </c>
      <c r="AG2" s="24">
        <f ca="1">AD2</f>
        <v>5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7">
        <v>1</v>
      </c>
    </row>
    <row r="3" spans="1:40" ht="21" customHeight="1" x14ac:dyDescent="0.15">
      <c r="A3" s="16" t="str">
        <f ca="1">B3&amp;"_"&amp;C3&amp;"-"&amp;G3&amp;"/"&amp;L3&amp;"&lt;lv"&amp;R3&amp;"&gt;s"&amp;AA3</f>
        <v>48002_1-2/33&lt;lv58&gt;s2</v>
      </c>
      <c r="B3" s="22">
        <v>48002</v>
      </c>
      <c r="C3" s="21">
        <v>1</v>
      </c>
      <c r="D3" s="2" t="str">
        <f>B3&amp;"_"&amp;C3</f>
        <v>48002_1</v>
      </c>
      <c r="E3" s="4" t="str">
        <f ca="1">VLOOKUP($B3,OFFSET([2]quests!$A$1,0,0,COUNTA([2]quests!$A:$A),MATCH(E$1,[2]quests!$1:$1,0)-MATCH($B$1,[2]quests!$1:$1,0)+1),MATCH(E$1,[2]quests!$1:$1,0)-MATCH($B$1,[2]quests!$1:$1,0)+1,FALSE)</f>
        <v>孫悟空襲来！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【超絶級】孫悟空襲来</v>
      </c>
      <c r="G3" s="21">
        <v>2</v>
      </c>
      <c r="H3" s="15" t="str">
        <f>B3&amp;"_"&amp;C3&amp;"-"&amp;G3</f>
        <v>48002_1-2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ゴクウ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58</v>
      </c>
      <c r="S3" s="25">
        <v>1.5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攻撃力がUP</v>
      </c>
      <c r="W3" s="59">
        <v>48002002</v>
      </c>
      <c r="X3" s="6">
        <v>4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2</v>
      </c>
      <c r="AB3" s="24">
        <f>L3</f>
        <v>33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7">
        <v>1</v>
      </c>
      <c r="AG3" s="24">
        <f ca="1">AD3</f>
        <v>2</v>
      </c>
      <c r="AH3" s="8">
        <v>30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7">
        <v>1</v>
      </c>
    </row>
    <row r="4" spans="1:40" ht="21" customHeight="1" x14ac:dyDescent="0.15">
      <c r="A4" s="16" t="str">
        <f t="shared" ref="A4:A13" ca="1" si="0">B4&amp;"_"&amp;C4&amp;"-"&amp;G4&amp;"/"&amp;L4&amp;"&lt;lv"&amp;R4&amp;"&gt;s"&amp;AA4</f>
        <v>48002_1-3/672&lt;lv59&gt;s3</v>
      </c>
      <c r="B4" s="22">
        <v>48002</v>
      </c>
      <c r="C4" s="21">
        <v>1</v>
      </c>
      <c r="D4" s="2" t="str">
        <f t="shared" ref="D4:D13" si="1">B4&amp;"_"&amp;C4</f>
        <v>48002_1</v>
      </c>
      <c r="E4" s="4" t="str">
        <f ca="1">VLOOKUP($B4,OFFSET([2]quests!$A$1,0,0,COUNTA([2]quests!$A:$A),MATCH(E$1,[2]quests!$1:$1,0)-MATCH($B$1,[2]quests!$1:$1,0)+1),MATCH(E$1,[2]quests!$1:$1,0)-MATCH($B$1,[2]quests!$1:$1,0)+1,FALSE)</f>
        <v>孫悟空襲来！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【超絶級】孫悟空襲来</v>
      </c>
      <c r="G4" s="21">
        <v>3</v>
      </c>
      <c r="H4" s="15" t="str">
        <f t="shared" ref="H4:H13" si="2">B4&amp;"_"&amp;C4&amp;"-"&amp;G4</f>
        <v>48002_1-3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672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西遊韋駄天 ハヌマーン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59</v>
      </c>
      <c r="S4" s="25">
        <v>1.5</v>
      </c>
      <c r="T4" s="25">
        <v>0.7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(この分身は攻撃力が高そうだ！)</v>
      </c>
      <c r="W4" s="59">
        <v>48002003</v>
      </c>
      <c r="X4" s="6">
        <v>1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4">
        <f t="shared" ref="AB4:AB13" si="3">L4</f>
        <v>672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西遊韋駄天 ハヌマーン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7">
        <v>1</v>
      </c>
      <c r="AG4" s="24">
        <f t="shared" ref="AG4:AG13" ca="1" si="4">AD4</f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7">
        <v>1</v>
      </c>
    </row>
    <row r="5" spans="1:40" ht="21" customHeight="1" x14ac:dyDescent="0.15">
      <c r="A5" s="16" t="str">
        <f t="shared" ca="1" si="0"/>
        <v>48002_1-4/8007&lt;lv59&gt;s3</v>
      </c>
      <c r="B5" s="22">
        <v>48002</v>
      </c>
      <c r="C5" s="21">
        <v>1</v>
      </c>
      <c r="D5" s="2" t="str">
        <f t="shared" si="1"/>
        <v>48002_1</v>
      </c>
      <c r="E5" s="4" t="str">
        <f ca="1">VLOOKUP($B5,OFFSET([2]quests!$A$1,0,0,COUNTA([2]quests!$A:$A),MATCH(E$1,[2]quests!$1:$1,0)-MATCH($B$1,[2]quests!$1:$1,0)+1),MATCH(E$1,[2]quests!$1:$1,0)-MATCH($B$1,[2]quests!$1:$1,0)+1,FALSE)</f>
        <v>孫悟空襲来！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【超絶級】孫悟空襲来</v>
      </c>
      <c r="G5" s="21">
        <v>4</v>
      </c>
      <c r="H5" s="15" t="str">
        <f t="shared" si="2"/>
        <v>48002_1-4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8007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孫悟空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59</v>
      </c>
      <c r="S5" s="25">
        <v>3</v>
      </c>
      <c r="T5" s="25">
        <v>0.9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5" s="59">
        <v>48002005</v>
      </c>
      <c r="X5" s="6">
        <v>1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3</v>
      </c>
      <c r="AB5" s="24">
        <f t="shared" si="3"/>
        <v>8007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孫悟空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5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5" s="7">
        <v>1</v>
      </c>
      <c r="AG5" s="24">
        <f t="shared" ca="1" si="4"/>
        <v>5</v>
      </c>
      <c r="AH5" s="8">
        <v>15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7">
        <v>1</v>
      </c>
    </row>
    <row r="6" spans="1:40" ht="21" customHeight="1" x14ac:dyDescent="0.15">
      <c r="A6" s="16" t="str">
        <f t="shared" ca="1" si="0"/>
        <v>48002_2-1/8007&lt;lv68&gt;s3</v>
      </c>
      <c r="B6" s="22">
        <v>48002</v>
      </c>
      <c r="C6" s="21">
        <v>2</v>
      </c>
      <c r="D6" s="2" t="str">
        <f t="shared" si="1"/>
        <v>48002_2</v>
      </c>
      <c r="E6" s="4" t="str">
        <f ca="1">VLOOKUP($B6,OFFSET([2]quests!$A$1,0,0,COUNTA([2]quests!$A:$A),MATCH(E$1,[2]quests!$1:$1,0)-MATCH($B$1,[2]quests!$1:$1,0)+1),MATCH(E$1,[2]quests!$1:$1,0)-MATCH($B$1,[2]quests!$1:$1,0)+1,FALSE)</f>
        <v>孫悟空襲来！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【ウィザード級】孫悟空襲来</v>
      </c>
      <c r="G6" s="21">
        <v>1</v>
      </c>
      <c r="H6" s="15" t="str">
        <f t="shared" si="2"/>
        <v>48002_2-1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8007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孫悟空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68</v>
      </c>
      <c r="S6" s="25">
        <v>2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「強い奴なら大歓迎だぜ！」</v>
      </c>
      <c r="W6" s="59">
        <v>48002001</v>
      </c>
      <c r="X6" s="6">
        <v>1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si="3"/>
        <v>8007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孫悟空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6" s="7">
        <v>1</v>
      </c>
      <c r="AG6" s="24">
        <f t="shared" ca="1" si="4"/>
        <v>5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7">
        <v>1</v>
      </c>
    </row>
    <row r="7" spans="1:40" ht="21" customHeight="1" x14ac:dyDescent="0.15">
      <c r="A7" s="16" t="str">
        <f t="shared" ca="1" si="0"/>
        <v>48002_2-2/33&lt;lv68&gt;s2</v>
      </c>
      <c r="B7" s="22">
        <v>48002</v>
      </c>
      <c r="C7" s="21">
        <v>2</v>
      </c>
      <c r="D7" s="2" t="str">
        <f t="shared" si="1"/>
        <v>48002_2</v>
      </c>
      <c r="E7" s="4" t="str">
        <f ca="1">VLOOKUP($B7,OFFSET([2]quests!$A$1,0,0,COUNTA([2]quests!$A:$A),MATCH(E$1,[2]quests!$1:$1,0)-MATCH($B$1,[2]quests!$1:$1,0)+1),MATCH(E$1,[2]quests!$1:$1,0)-MATCH($B$1,[2]quests!$1:$1,0)+1,FALSE)</f>
        <v>孫悟空襲来！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【ウィザード級】孫悟空襲来</v>
      </c>
      <c r="G7" s="21">
        <v>2</v>
      </c>
      <c r="H7" s="15" t="str">
        <f t="shared" si="2"/>
        <v>48002_2-2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33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ゴクウ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68</v>
      </c>
      <c r="S7" s="25">
        <v>1.5</v>
      </c>
      <c r="T7" s="2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攻撃力がUP</v>
      </c>
      <c r="W7" s="59">
        <v>48002002</v>
      </c>
      <c r="X7" s="6">
        <v>4</v>
      </c>
      <c r="Y7" s="6">
        <v>100</v>
      </c>
      <c r="Z7" s="6">
        <v>0</v>
      </c>
      <c r="AA7" s="17">
        <f ca="1">VLOOKUP($L7,OFFSET([3]enemies!$A$1,0,0,COUNTA([3]enemies!$A:$A),MATCH(AA$1,[3]enemies!$1:$1,0)-MATCH($L$1,[3]enemies!$1:$1,0)+1),MATCH(AA$1,[3]enemies!$1:$1,0)-MATCH($L$1,[3]enemies!$1:$1,0)+1,FALSE)</f>
        <v>2</v>
      </c>
      <c r="AB7" s="24">
        <f t="shared" si="3"/>
        <v>33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Drop1S</v>
      </c>
      <c r="AF7" s="7">
        <v>1</v>
      </c>
      <c r="AG7" s="24">
        <f t="shared" ca="1" si="4"/>
        <v>2</v>
      </c>
      <c r="AH7" s="8">
        <v>30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7">
        <v>1</v>
      </c>
    </row>
    <row r="8" spans="1:40" ht="21" customHeight="1" x14ac:dyDescent="0.15">
      <c r="A8" s="16" t="str">
        <f t="shared" ca="1" si="0"/>
        <v>48002_2-3/672&lt;lv69&gt;s3</v>
      </c>
      <c r="B8" s="22">
        <v>48002</v>
      </c>
      <c r="C8" s="21">
        <v>2</v>
      </c>
      <c r="D8" s="2" t="str">
        <f t="shared" si="1"/>
        <v>48002_2</v>
      </c>
      <c r="E8" s="4" t="str">
        <f ca="1">VLOOKUP($B8,OFFSET([2]quests!$A$1,0,0,COUNTA([2]quests!$A:$A),MATCH(E$1,[2]quests!$1:$1,0)-MATCH($B$1,[2]quests!$1:$1,0)+1),MATCH(E$1,[2]quests!$1:$1,0)-MATCH($B$1,[2]quests!$1:$1,0)+1,FALSE)</f>
        <v>孫悟空襲来！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【ウィザード級】孫悟空襲来</v>
      </c>
      <c r="G8" s="21">
        <v>3</v>
      </c>
      <c r="H8" s="15" t="str">
        <f t="shared" si="2"/>
        <v>48002_2-3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3</v>
      </c>
      <c r="L8" s="20">
        <v>672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西遊韋駄天 ハヌマーン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69</v>
      </c>
      <c r="S8" s="25">
        <v>1.5</v>
      </c>
      <c r="T8" s="25">
        <v>0.7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(この分身は攻撃力が高そうだ！)</v>
      </c>
      <c r="W8" s="59">
        <v>48002003</v>
      </c>
      <c r="X8" s="6">
        <v>1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3</v>
      </c>
      <c r="AB8" s="24">
        <f t="shared" si="3"/>
        <v>672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西遊韋駄天 ハヌマーン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7">
        <v>1</v>
      </c>
      <c r="AG8" s="24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7">
        <v>1</v>
      </c>
    </row>
    <row r="9" spans="1:40" ht="21" customHeight="1" x14ac:dyDescent="0.15">
      <c r="A9" s="16" t="str">
        <f t="shared" ca="1" si="0"/>
        <v>48002_2-4/8007&lt;lv69&gt;s3</v>
      </c>
      <c r="B9" s="22">
        <v>48002</v>
      </c>
      <c r="C9" s="21">
        <v>2</v>
      </c>
      <c r="D9" s="2" t="str">
        <f t="shared" si="1"/>
        <v>48002_2</v>
      </c>
      <c r="E9" s="4" t="str">
        <f ca="1">VLOOKUP($B9,OFFSET([2]quests!$A$1,0,0,COUNTA([2]quests!$A:$A),MATCH(E$1,[2]quests!$1:$1,0)-MATCH($B$1,[2]quests!$1:$1,0)+1),MATCH(E$1,[2]quests!$1:$1,0)-MATCH($B$1,[2]quests!$1:$1,0)+1,FALSE)</f>
        <v>孫悟空襲来！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【ウィザード級】孫悟空襲来</v>
      </c>
      <c r="G9" s="21">
        <v>4</v>
      </c>
      <c r="H9" s="15" t="str">
        <f t="shared" si="2"/>
        <v>48002_2-4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4</v>
      </c>
      <c r="L9" s="20">
        <v>8007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孫悟空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69</v>
      </c>
      <c r="S9" s="25">
        <v>3</v>
      </c>
      <c r="T9" s="25">
        <v>0.9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9" s="59">
        <v>48002005</v>
      </c>
      <c r="X9" s="6">
        <v>1</v>
      </c>
      <c r="Y9" s="6">
        <v>100</v>
      </c>
      <c r="Z9" s="6">
        <v>0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24">
        <f t="shared" si="3"/>
        <v>8007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孫悟空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5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9" s="7">
        <v>1</v>
      </c>
      <c r="AG9" s="24">
        <f t="shared" ca="1" si="4"/>
        <v>5</v>
      </c>
      <c r="AH9" s="8">
        <v>30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7">
        <v>1</v>
      </c>
    </row>
    <row r="10" spans="1:40" ht="21" customHeight="1" x14ac:dyDescent="0.15">
      <c r="A10" s="16" t="str">
        <f t="shared" ca="1" si="0"/>
        <v>48002_3-1/8007&lt;lv68&gt;s3</v>
      </c>
      <c r="B10" s="22">
        <v>48002</v>
      </c>
      <c r="C10" s="21">
        <v>3</v>
      </c>
      <c r="D10" s="2" t="str">
        <f t="shared" si="1"/>
        <v>48002_3</v>
      </c>
      <c r="E10" s="4" t="str">
        <f ca="1">VLOOKUP($B10,OFFSET([2]quests!$A$1,0,0,COUNTA([2]quests!$A:$A),MATCH(E$1,[2]quests!$1:$1,0)-MATCH($B$1,[2]quests!$1:$1,0)+1),MATCH(E$1,[2]quests!$1:$1,0)-MATCH($B$1,[2]quests!$1:$1,0)+1,FALSE)</f>
        <v>孫悟空襲来！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【ノーコンテニュー】孫悟空襲来</v>
      </c>
      <c r="G10" s="21">
        <v>1</v>
      </c>
      <c r="H10" s="15" t="str">
        <f t="shared" si="2"/>
        <v>48002_3-1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8007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孫悟空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68</v>
      </c>
      <c r="S10" s="25">
        <v>2</v>
      </c>
      <c r="T10" s="25">
        <v>1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「強い奴なら大歓迎だぜ！」</v>
      </c>
      <c r="W10" s="59">
        <v>48002001</v>
      </c>
      <c r="X10" s="6">
        <v>1</v>
      </c>
      <c r="Y10" s="6">
        <v>100</v>
      </c>
      <c r="Z10" s="6">
        <v>0</v>
      </c>
      <c r="AA10" s="17">
        <f ca="1">VLOOKUP($L10,OFFSET([3]enemies!$A$1,0,0,COUNTA([3]enemies!$A:$A),MATCH(AA$1,[3]enemies!$1:$1,0)-MATCH($L$1,[3]enemies!$1:$1,0)+1),MATCH(AA$1,[3]enemies!$1:$1,0)-MATCH($L$1,[3]enemies!$1:$1,0)+1,FALSE)</f>
        <v>3</v>
      </c>
      <c r="AB10" s="24">
        <f t="shared" si="3"/>
        <v>8007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孫悟空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0" s="7">
        <v>1</v>
      </c>
      <c r="AG10" s="24">
        <f t="shared" ca="1" si="4"/>
        <v>5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7">
        <v>1</v>
      </c>
    </row>
    <row r="11" spans="1:40" ht="21" customHeight="1" x14ac:dyDescent="0.15">
      <c r="A11" s="16" t="str">
        <f t="shared" ca="1" si="0"/>
        <v>48002_3-2/33&lt;lv68&gt;s2</v>
      </c>
      <c r="B11" s="22">
        <v>48002</v>
      </c>
      <c r="C11" s="21">
        <v>3</v>
      </c>
      <c r="D11" s="2" t="str">
        <f t="shared" si="1"/>
        <v>48002_3</v>
      </c>
      <c r="E11" s="4" t="str">
        <f ca="1">VLOOKUP($B11,OFFSET([2]quests!$A$1,0,0,COUNTA([2]quests!$A:$A),MATCH(E$1,[2]quests!$1:$1,0)-MATCH($B$1,[2]quests!$1:$1,0)+1),MATCH(E$1,[2]quests!$1:$1,0)-MATCH($B$1,[2]quests!$1:$1,0)+1,FALSE)</f>
        <v>孫悟空襲来！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【ノーコンテニュー】孫悟空襲来</v>
      </c>
      <c r="G11" s="21">
        <v>2</v>
      </c>
      <c r="H11" s="15" t="str">
        <f t="shared" si="2"/>
        <v>48002_3-2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33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ゴクウ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68</v>
      </c>
      <c r="S11" s="25">
        <v>1.5</v>
      </c>
      <c r="T11" s="25">
        <v>1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攻撃力がUP</v>
      </c>
      <c r="W11" s="59">
        <v>48002002</v>
      </c>
      <c r="X11" s="6">
        <v>4</v>
      </c>
      <c r="Y11" s="6">
        <v>100</v>
      </c>
      <c r="Z11" s="6">
        <v>0</v>
      </c>
      <c r="AA11" s="17">
        <f ca="1">VLOOKUP($L11,OFFSET([3]enemies!$A$1,0,0,COUNTA([3]enemies!$A:$A),MATCH(AA$1,[3]enemies!$1:$1,0)-MATCH($L$1,[3]enemies!$1:$1,0)+1),MATCH(AA$1,[3]enemies!$1:$1,0)-MATCH($L$1,[3]enemies!$1:$1,0)+1,FALSE)</f>
        <v>2</v>
      </c>
      <c r="AB11" s="24">
        <f t="shared" si="3"/>
        <v>33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Drop1S</v>
      </c>
      <c r="AF11" s="7">
        <v>1</v>
      </c>
      <c r="AG11" s="24">
        <f t="shared" ca="1" si="4"/>
        <v>2</v>
      </c>
      <c r="AH11" s="8">
        <v>30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7">
        <v>1</v>
      </c>
    </row>
    <row r="12" spans="1:40" ht="21" customHeight="1" x14ac:dyDescent="0.15">
      <c r="A12" s="16" t="str">
        <f t="shared" ca="1" si="0"/>
        <v>48002_3-3/672&lt;lv69&gt;s3</v>
      </c>
      <c r="B12" s="22">
        <v>48002</v>
      </c>
      <c r="C12" s="21">
        <v>3</v>
      </c>
      <c r="D12" s="2" t="str">
        <f t="shared" si="1"/>
        <v>48002_3</v>
      </c>
      <c r="E12" s="4" t="str">
        <f ca="1">VLOOKUP($B12,OFFSET([2]quests!$A$1,0,0,COUNTA([2]quests!$A:$A),MATCH(E$1,[2]quests!$1:$1,0)-MATCH($B$1,[2]quests!$1:$1,0)+1),MATCH(E$1,[2]quests!$1:$1,0)-MATCH($B$1,[2]quests!$1:$1,0)+1,FALSE)</f>
        <v>孫悟空襲来！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【ノーコンテニュー】孫悟空襲来</v>
      </c>
      <c r="G12" s="21">
        <v>3</v>
      </c>
      <c r="H12" s="15" t="str">
        <f t="shared" si="2"/>
        <v>48002_3-3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>
        <v>5</v>
      </c>
      <c r="L12" s="20">
        <v>672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西遊韋駄天 ハヌマーン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69</v>
      </c>
      <c r="S12" s="25">
        <v>1.5</v>
      </c>
      <c r="T12" s="25">
        <v>0.7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(この分身は攻撃力が高そうだ！)</v>
      </c>
      <c r="W12" s="59">
        <v>48002003</v>
      </c>
      <c r="X12" s="6">
        <v>1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3</v>
      </c>
      <c r="AB12" s="24">
        <f t="shared" si="3"/>
        <v>672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西遊韋駄天 ハヌマーン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2" s="7">
        <v>1</v>
      </c>
      <c r="AG12" s="24">
        <f t="shared" ca="1" si="4"/>
        <v>4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7">
        <v>1</v>
      </c>
    </row>
    <row r="13" spans="1:40" ht="21" customHeight="1" x14ac:dyDescent="0.15">
      <c r="A13" s="16" t="str">
        <f t="shared" ca="1" si="0"/>
        <v>48002_3-4/8007&lt;lv69&gt;s3</v>
      </c>
      <c r="B13" s="22">
        <v>48002</v>
      </c>
      <c r="C13" s="21">
        <v>3</v>
      </c>
      <c r="D13" s="2" t="str">
        <f t="shared" si="1"/>
        <v>48002_3</v>
      </c>
      <c r="E13" s="4" t="str">
        <f ca="1">VLOOKUP($B13,OFFSET([2]quests!$A$1,0,0,COUNTA([2]quests!$A:$A),MATCH(E$1,[2]quests!$1:$1,0)-MATCH($B$1,[2]quests!$1:$1,0)+1),MATCH(E$1,[2]quests!$1:$1,0)-MATCH($B$1,[2]quests!$1:$1,0)+1,FALSE)</f>
        <v>孫悟空襲来！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【ノーコンテニュー】孫悟空襲来</v>
      </c>
      <c r="G13" s="21">
        <v>4</v>
      </c>
      <c r="H13" s="15" t="str">
        <f t="shared" si="2"/>
        <v>48002_3-4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6</v>
      </c>
      <c r="L13" s="20">
        <v>8007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孫悟空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69</v>
      </c>
      <c r="S13" s="25">
        <v>3</v>
      </c>
      <c r="T13" s="25">
        <v>0.9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状態異常無効</v>
      </c>
      <c r="W13" s="59">
        <v>48002005</v>
      </c>
      <c r="X13" s="6">
        <v>1</v>
      </c>
      <c r="Y13" s="6">
        <v>100</v>
      </c>
      <c r="Z13" s="6">
        <v>0</v>
      </c>
      <c r="AA13" s="17">
        <f ca="1">VLOOKUP($L13,OFFSET([3]enemies!$A$1,0,0,COUNTA([3]enemies!$A:$A),MATCH(AA$1,[3]enemies!$1:$1,0)-MATCH($L$1,[3]enemies!$1:$1,0)+1),MATCH(AA$1,[3]enemies!$1:$1,0)-MATCH($L$1,[3]enemies!$1:$1,0)+1,FALSE)</f>
        <v>3</v>
      </c>
      <c r="AB13" s="24">
        <f t="shared" si="3"/>
        <v>8007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孫悟空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5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3" s="7">
        <v>1</v>
      </c>
      <c r="AG13" s="24">
        <f t="shared" ca="1" si="4"/>
        <v>5</v>
      </c>
      <c r="AH13" s="8">
        <v>100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7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0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12" sqref="T1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48002_1-3/673&lt;lv60&gt;sq1st2</v>
      </c>
      <c r="B2" s="22">
        <v>48002</v>
      </c>
      <c r="C2" s="21">
        <v>1</v>
      </c>
      <c r="D2" s="2" t="str">
        <f>B2&amp;"_"&amp;C2</f>
        <v>48002_1</v>
      </c>
      <c r="E2" s="4" t="str">
        <f ca="1">VLOOKUP($B2,OFFSET([2]quests!$A$1,0,0,COUNTA([2]quests!$A:$A),MATCH(E$1,[2]quests!$1:$1,0)-MATCH($B$1,[2]quests!$1:$1,0)+1),MATCH(E$1,[2]quests!$1:$1,0)-MATCH($B$1,[2]quests!$1:$1,0)+1,FALSE)</f>
        <v>孫悟空襲来！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【超絶級】孫悟空襲来</v>
      </c>
      <c r="G2" s="21">
        <v>3</v>
      </c>
      <c r="H2" s="15" t="str">
        <f>B2&amp;"_"&amp;C2&amp;"-"&amp;G2</f>
        <v>48002_1-3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673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変幻自在の猿王 ハヌマーン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5">
        <v>1.5</v>
      </c>
      <c r="U2" s="25">
        <v>0.7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48002004</v>
      </c>
      <c r="Y2" s="17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 x14ac:dyDescent="0.15">
      <c r="A3" s="16" t="str">
        <f>B3&amp;"_"&amp;C3&amp;"-"&amp;G3&amp;"/"&amp;M3&amp;"&lt;lv"&amp;S3&amp;"&gt;sq"&amp;K3&amp;"st"&amp;L3</f>
        <v>48002_1-4/8007&lt;lv60&gt;sq2st2</v>
      </c>
      <c r="B3" s="22">
        <v>48002</v>
      </c>
      <c r="C3" s="21">
        <v>1</v>
      </c>
      <c r="D3" s="2" t="str">
        <f>B3&amp;"_"&amp;C3</f>
        <v>48002_1</v>
      </c>
      <c r="E3" s="4" t="str">
        <f ca="1">VLOOKUP($B3,OFFSET([2]quests!$A$1,0,0,COUNTA([2]quests!$A:$A),MATCH(E$1,[2]quests!$1:$1,0)-MATCH($B$1,[2]quests!$1:$1,0)+1),MATCH(E$1,[2]quests!$1:$1,0)-MATCH($B$1,[2]quests!$1:$1,0)+1,FALSE)</f>
        <v>孫悟空襲来！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【超絶級】孫悟空襲来</v>
      </c>
      <c r="G3" s="21">
        <v>4</v>
      </c>
      <c r="H3" s="15" t="str">
        <f>B3&amp;"_"&amp;C3&amp;"-"&amp;G3</f>
        <v>48002_1-4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8007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孫悟空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5">
        <v>3.5</v>
      </c>
      <c r="U3" s="25">
        <v>1.1000000000000001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48002006</v>
      </c>
      <c r="Y3" s="17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 x14ac:dyDescent="0.15">
      <c r="A4" s="16" t="str">
        <f>B4&amp;"_"&amp;C4&amp;"-"&amp;G4&amp;"/"&amp;M4&amp;"&lt;lv"&amp;S4&amp;"&gt;sq"&amp;K4&amp;"st"&amp;L4</f>
        <v>48002_1-4/8007&lt;lv60&gt;sq2st3</v>
      </c>
      <c r="B4" s="22">
        <v>48002</v>
      </c>
      <c r="C4" s="21">
        <v>1</v>
      </c>
      <c r="D4" s="2" t="str">
        <f>B4&amp;"_"&amp;C4</f>
        <v>48002_1</v>
      </c>
      <c r="E4" s="4" t="str">
        <f ca="1">VLOOKUP($B4,OFFSET([2]quests!$A$1,0,0,COUNTA([2]quests!$A:$A),MATCH(E$1,[2]quests!$1:$1,0)-MATCH($B$1,[2]quests!$1:$1,0)+1),MATCH(E$1,[2]quests!$1:$1,0)-MATCH($B$1,[2]quests!$1:$1,0)+1,FALSE)</f>
        <v>孫悟空襲来！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【超絶級】孫悟空襲来</v>
      </c>
      <c r="G4" s="21">
        <v>4</v>
      </c>
      <c r="H4" s="15" t="str">
        <f>B4&amp;"_"&amp;C4&amp;"-"&amp;G4</f>
        <v>48002_1-4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8007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孫悟空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5">
        <v>4.5</v>
      </c>
      <c r="U4" s="25">
        <v>0.8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48002007</v>
      </c>
      <c r="Y4" s="17">
        <f ca="1">VLOOKUP($M4,OFFSET([3]enemies!$A$1,0,0,COUNTA([3]enemies!$A:$A),MATCH(Y$1,[3]enemies!$1:$1,0)-MATCH($M$1,[3]enemies!$1:$1,0)+1),MATCH(Y$1,[3]enemies!$1:$1,0)-MATCH($M$1,[3]enemies!$1:$1,0)+1,FALSE)</f>
        <v>3</v>
      </c>
    </row>
    <row r="5" spans="1:25" ht="21" customHeight="1" x14ac:dyDescent="0.15">
      <c r="A5" s="16" t="str">
        <f>B5&amp;"_"&amp;C5&amp;"-"&amp;G5&amp;"/"&amp;M5&amp;"&lt;lv"&amp;S5&amp;"&gt;sq"&amp;K5&amp;"st"&amp;L5</f>
        <v>48002_2-3/673&lt;lv70&gt;sq3st2</v>
      </c>
      <c r="B5" s="22">
        <v>48002</v>
      </c>
      <c r="C5" s="102">
        <v>2</v>
      </c>
      <c r="D5" s="2" t="str">
        <f t="shared" ref="D5:D8" si="0">B5&amp;"_"&amp;C5</f>
        <v>48002_2</v>
      </c>
      <c r="E5" s="4" t="str">
        <f ca="1">VLOOKUP($B5,OFFSET([2]quests!$A$1,0,0,COUNTA([2]quests!$A:$A),MATCH(E$1,[2]quests!$1:$1,0)-MATCH($B$1,[2]quests!$1:$1,0)+1),MATCH(E$1,[2]quests!$1:$1,0)-MATCH($B$1,[2]quests!$1:$1,0)+1,FALSE)</f>
        <v>孫悟空襲来！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【ウィザード級】孫悟空襲来</v>
      </c>
      <c r="G5" s="102">
        <v>3</v>
      </c>
      <c r="H5" s="15" t="str">
        <f t="shared" ref="H5:H9" si="1">B5&amp;"_"&amp;C5&amp;"-"&amp;G5</f>
        <v>48002_2-3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2</v>
      </c>
      <c r="M5" s="103">
        <v>673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変幻自在の猿王 ハヌマーン</v>
      </c>
      <c r="O5" s="17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70</v>
      </c>
      <c r="T5" s="25">
        <v>1.5</v>
      </c>
      <c r="U5" s="25">
        <v>0.7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5" s="4">
        <v>48002004</v>
      </c>
      <c r="Y5" s="17">
        <f ca="1">VLOOKUP($M5,OFFSET([3]enemies!$A$1,0,0,COUNTA([3]enemies!$A:$A),MATCH(Y$1,[3]enemies!$1:$1,0)-MATCH($M$1,[3]enemies!$1:$1,0)+1),MATCH(Y$1,[3]enemies!$1:$1,0)-MATCH($M$1,[3]enemies!$1:$1,0)+1,FALSE)</f>
        <v>3</v>
      </c>
    </row>
    <row r="6" spans="1:25" ht="21" customHeight="1" x14ac:dyDescent="0.15">
      <c r="A6" s="16" t="str">
        <f t="shared" ref="A6:A9" si="2">B6&amp;"_"&amp;C6&amp;"-"&amp;G6&amp;"/"&amp;M6&amp;"&lt;lv"&amp;S6&amp;"&gt;sq"&amp;K6&amp;"st"&amp;L6</f>
        <v>48002_2-4/8007&lt;lv70&gt;sq4st2</v>
      </c>
      <c r="B6" s="22">
        <v>48002</v>
      </c>
      <c r="C6" s="21">
        <v>2</v>
      </c>
      <c r="D6" s="2" t="str">
        <f t="shared" si="0"/>
        <v>48002_2</v>
      </c>
      <c r="E6" s="4" t="str">
        <f ca="1">VLOOKUP($B6,OFFSET([2]quests!$A$1,0,0,COUNTA([2]quests!$A:$A),MATCH(E$1,[2]quests!$1:$1,0)-MATCH($B$1,[2]quests!$1:$1,0)+1),MATCH(E$1,[2]quests!$1:$1,0)-MATCH($B$1,[2]quests!$1:$1,0)+1,FALSE)</f>
        <v>孫悟空襲来！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【ウィザード級】孫悟空襲来</v>
      </c>
      <c r="G6" s="21">
        <v>4</v>
      </c>
      <c r="H6" s="15" t="str">
        <f t="shared" si="1"/>
        <v>48002_2-4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38">
        <v>2</v>
      </c>
      <c r="M6" s="20">
        <v>8007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孫悟空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70</v>
      </c>
      <c r="T6" s="25">
        <v>3.5</v>
      </c>
      <c r="U6" s="25">
        <v>1.1000000000000001</v>
      </c>
      <c r="V6" s="5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6" s="4">
        <v>48002006</v>
      </c>
      <c r="Y6" s="17">
        <f ca="1">VLOOKUP($M6,OFFSET([3]enemies!$A$1,0,0,COUNTA([3]enemies!$A:$A),MATCH(Y$1,[3]enemies!$1:$1,0)-MATCH($M$1,[3]enemies!$1:$1,0)+1),MATCH(Y$1,[3]enemies!$1:$1,0)-MATCH($M$1,[3]enemies!$1:$1,0)+1,FALSE)</f>
        <v>3</v>
      </c>
    </row>
    <row r="7" spans="1:25" ht="21" customHeight="1" x14ac:dyDescent="0.15">
      <c r="A7" s="16" t="str">
        <f t="shared" si="2"/>
        <v>48002_2-4/8007&lt;lv70&gt;sq4st3</v>
      </c>
      <c r="B7" s="22">
        <v>48002</v>
      </c>
      <c r="C7" s="21">
        <v>2</v>
      </c>
      <c r="D7" s="2" t="str">
        <f t="shared" si="0"/>
        <v>48002_2</v>
      </c>
      <c r="E7" s="4" t="str">
        <f ca="1">VLOOKUP($B7,OFFSET([2]quests!$A$1,0,0,COUNTA([2]quests!$A:$A),MATCH(E$1,[2]quests!$1:$1,0)-MATCH($B$1,[2]quests!$1:$1,0)+1),MATCH(E$1,[2]quests!$1:$1,0)-MATCH($B$1,[2]quests!$1:$1,0)+1,FALSE)</f>
        <v>孫悟空襲来！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【ウィザード級】孫悟空襲来</v>
      </c>
      <c r="G7" s="21">
        <v>4</v>
      </c>
      <c r="H7" s="15" t="str">
        <f t="shared" si="1"/>
        <v>48002_2-4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4</v>
      </c>
      <c r="L7" s="38">
        <v>3</v>
      </c>
      <c r="M7" s="20">
        <v>8007</v>
      </c>
      <c r="N7" s="17" t="str">
        <f ca="1">VLOOKUP($M7,OFFSET([3]enemies!$A$1,0,0,COUNTA([3]enemies!$A:$A),MATCH(N$1,[3]enemies!$1:$1,0)-MATCH($M$1,[3]enemies!$1:$1,0)+1),MATCH(N$1,[3]enemies!$1:$1,0)-MATCH($M$1,[3]enemies!$1:$1,0)+1,FALSE)</f>
        <v>孫悟空</v>
      </c>
      <c r="O7" s="17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animal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70</v>
      </c>
      <c r="T7" s="25">
        <v>4.5</v>
      </c>
      <c r="U7" s="25">
        <v>0.8</v>
      </c>
      <c r="V7" s="5">
        <v>0</v>
      </c>
      <c r="W7" s="4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7" s="4">
        <v>48002007</v>
      </c>
      <c r="Y7" s="17">
        <f ca="1">VLOOKUP($M7,OFFSET([3]enemies!$A$1,0,0,COUNTA([3]enemies!$A:$A),MATCH(Y$1,[3]enemies!$1:$1,0)-MATCH($M$1,[3]enemies!$1:$1,0)+1),MATCH(Y$1,[3]enemies!$1:$1,0)-MATCH($M$1,[3]enemies!$1:$1,0)+1,FALSE)</f>
        <v>3</v>
      </c>
    </row>
    <row r="8" spans="1:25" ht="21" customHeight="1" x14ac:dyDescent="0.15">
      <c r="A8" s="16" t="str">
        <f t="shared" si="2"/>
        <v>48002_3-3/673&lt;lv70&gt;sq5st2</v>
      </c>
      <c r="B8" s="22">
        <v>48002</v>
      </c>
      <c r="C8" s="102">
        <v>3</v>
      </c>
      <c r="D8" s="2" t="str">
        <f t="shared" si="0"/>
        <v>48002_3</v>
      </c>
      <c r="E8" s="4" t="str">
        <f ca="1">VLOOKUP($B8,OFFSET([2]quests!$A$1,0,0,COUNTA([2]quests!$A:$A),MATCH(E$1,[2]quests!$1:$1,0)-MATCH($B$1,[2]quests!$1:$1,0)+1),MATCH(E$1,[2]quests!$1:$1,0)-MATCH($B$1,[2]quests!$1:$1,0)+1,FALSE)</f>
        <v>孫悟空襲来！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【ノーコンテニュー】孫悟空襲来</v>
      </c>
      <c r="G8" s="102">
        <v>3</v>
      </c>
      <c r="H8" s="15" t="str">
        <f t="shared" si="1"/>
        <v>48002_3-3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5</v>
      </c>
      <c r="L8" s="38">
        <v>2</v>
      </c>
      <c r="M8" s="103">
        <v>673</v>
      </c>
      <c r="N8" s="17" t="str">
        <f ca="1">VLOOKUP($M8,OFFSET([3]enemies!$A$1,0,0,COUNTA([3]enemies!$A:$A),MATCH(N$1,[3]enemies!$1:$1,0)-MATCH($M$1,[3]enemies!$1:$1,0)+1),MATCH(N$1,[3]enemies!$1:$1,0)-MATCH($M$1,[3]enemies!$1:$1,0)+1,FALSE)</f>
        <v>変幻自在の猿王 ハヌマーン</v>
      </c>
      <c r="O8" s="17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PremiumS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animal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70</v>
      </c>
      <c r="T8" s="25">
        <v>1.5</v>
      </c>
      <c r="U8" s="25">
        <v>0.7</v>
      </c>
      <c r="V8" s="5">
        <v>0</v>
      </c>
      <c r="W8" s="4" t="e">
        <f ca="1">VLOOKUP($X8,OFFSET([5]enemy_skill_sets!$B$1,0,0,COUNTA([5]enemy_skill_sets!$B:$B),MATCH(N$1,[5]enemy_skill_sets!$1:$1,0)-MATCH($X$1,[5]enemy_skill_sets!$1:$1,0)+2),MATCH(N$1,[5]enemy_skill_sets!$1:$1,0)-MATCH($X$1,[5]enemy_skill_sets!$1:$1,0)+2,FALSE)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8" s="4">
        <v>48002004</v>
      </c>
      <c r="Y8" s="17">
        <f ca="1">VLOOKUP($M8,OFFSET([3]enemies!$A$1,0,0,COUNTA([3]enemies!$A:$A),MATCH(Y$1,[3]enemies!$1:$1,0)-MATCH($M$1,[3]enemies!$1:$1,0)+1),MATCH(Y$1,[3]enemies!$1:$1,0)-MATCH($M$1,[3]enemies!$1:$1,0)+1,FALSE)</f>
        <v>3</v>
      </c>
    </row>
    <row r="9" spans="1:25" ht="21" customHeight="1" x14ac:dyDescent="0.15">
      <c r="A9" s="16" t="str">
        <f t="shared" si="2"/>
        <v>48002_3-4/8007&lt;lv70&gt;sq6st2</v>
      </c>
      <c r="B9" s="22">
        <v>48002</v>
      </c>
      <c r="C9" s="21">
        <v>3</v>
      </c>
      <c r="D9" s="2" t="str">
        <f t="shared" ref="D9" si="3">B9&amp;"_"&amp;C9</f>
        <v>48002_3</v>
      </c>
      <c r="E9" s="4" t="str">
        <f ca="1">VLOOKUP($B9,OFFSET([2]quests!$A$1,0,0,COUNTA([2]quests!$A:$A),MATCH(E$1,[2]quests!$1:$1,0)-MATCH($B$1,[2]quests!$1:$1,0)+1),MATCH(E$1,[2]quests!$1:$1,0)-MATCH($B$1,[2]quests!$1:$1,0)+1,FALSE)</f>
        <v>孫悟空襲来！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【ノーコンテニュー】孫悟空襲来</v>
      </c>
      <c r="G9" s="21">
        <v>4</v>
      </c>
      <c r="H9" s="15" t="str">
        <f t="shared" si="1"/>
        <v>48002_3-4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6</v>
      </c>
      <c r="L9" s="38">
        <v>2</v>
      </c>
      <c r="M9" s="20">
        <v>8007</v>
      </c>
      <c r="N9" s="17" t="str">
        <f ca="1">VLOOKUP($M9,OFFSET([3]enemies!$A$1,0,0,COUNTA([3]enemies!$A:$A),MATCH(N$1,[3]enemies!$1:$1,0)-MATCH($M$1,[3]enemies!$1:$1,0)+1),MATCH(N$1,[3]enemies!$1:$1,0)-MATCH($M$1,[3]enemies!$1:$1,0)+1,FALSE)</f>
        <v>孫悟空</v>
      </c>
      <c r="O9" s="17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animal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70</v>
      </c>
      <c r="T9" s="25">
        <v>3.5</v>
      </c>
      <c r="U9" s="25">
        <v>1.1000000000000001</v>
      </c>
      <c r="V9" s="5">
        <v>0</v>
      </c>
      <c r="W9" s="4" t="e">
        <f ca="1">VLOOKUP($X9,OFFSET([5]enemy_skill_sets!$B$1,0,0,COUNTA([5]enemy_skill_sets!$B:$B),MATCH(N$1,[5]enemy_skill_sets!$1:$1,0)-MATCH($X$1,[5]enemy_skill_sets!$1:$1,0)+2),MATCH(N$1,[5]enemy_skill_sets!$1:$1,0)-MATCH($X$1,[5]enemy_skill_sets!$1:$1,0)+2,FALSE)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9" s="4">
        <v>48002006</v>
      </c>
      <c r="Y9" s="17">
        <f ca="1">VLOOKUP($M9,OFFSET([3]enemies!$A$1,0,0,COUNTA([3]enemies!$A:$A),MATCH(Y$1,[3]enemies!$1:$1,0)-MATCH($M$1,[3]enemies!$1:$1,0)+1),MATCH(Y$1,[3]enemies!$1:$1,0)-MATCH($M$1,[3]enemies!$1:$1,0)+1,FALSE)</f>
        <v>3</v>
      </c>
    </row>
    <row r="10" spans="1:25" ht="21" customHeight="1" x14ac:dyDescent="0.15">
      <c r="A10" s="16" t="str">
        <f t="shared" ref="A10" si="4">B10&amp;"_"&amp;C10&amp;"-"&amp;G10&amp;"/"&amp;M10&amp;"&lt;lv"&amp;S10&amp;"&gt;sq"&amp;K10&amp;"st"&amp;L10</f>
        <v>48002_3-4/8007&lt;lv70&gt;sq6st3</v>
      </c>
      <c r="B10" s="22">
        <v>48002</v>
      </c>
      <c r="C10" s="21">
        <v>3</v>
      </c>
      <c r="D10" s="2" t="str">
        <f t="shared" ref="D10" si="5">B10&amp;"_"&amp;C10</f>
        <v>48002_3</v>
      </c>
      <c r="E10" s="4" t="str">
        <f ca="1">VLOOKUP($B10,OFFSET([2]quests!$A$1,0,0,COUNTA([2]quests!$A:$A),MATCH(E$1,[2]quests!$1:$1,0)-MATCH($B$1,[2]quests!$1:$1,0)+1),MATCH(E$1,[2]quests!$1:$1,0)-MATCH($B$1,[2]quests!$1:$1,0)+1,FALSE)</f>
        <v>孫悟空襲来！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【ノーコンテニュー】孫悟空襲来</v>
      </c>
      <c r="G10" s="21">
        <v>4</v>
      </c>
      <c r="H10" s="15" t="str">
        <f t="shared" ref="H10" si="6">B10&amp;"_"&amp;C10&amp;"-"&amp;G10</f>
        <v>48002_3-4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6</v>
      </c>
      <c r="L10" s="38">
        <v>3</v>
      </c>
      <c r="M10" s="20">
        <v>8007</v>
      </c>
      <c r="N10" s="17" t="str">
        <f ca="1">VLOOKUP($M10,OFFSET([3]enemies!$A$1,0,0,COUNTA([3]enemies!$A:$A),MATCH(N$1,[3]enemies!$1:$1,0)-MATCH($M$1,[3]enemies!$1:$1,0)+1),MATCH(N$1,[3]enemies!$1:$1,0)-MATCH($M$1,[3]enemies!$1:$1,0)+1,FALSE)</f>
        <v>孫悟空</v>
      </c>
      <c r="O10" s="17" t="str">
        <f ca="1">VLOOKUP($M10,OFFSET([3]enemies!$A$1,0,0,COUNTA([3]enemies!$A:$A),MATCH(O$1,[3]enemies!$1:$1,0)-MATCH($M$1,[3]enemies!$1:$1,0)+1),MATCH(O$1,[3]enemies!$1:$1,0)-MATCH($M$1,[3]enemies!$1:$1,0)+1,FALSE)</f>
        <v>red</v>
      </c>
      <c r="P10" s="17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7" t="str">
        <f ca="1">VLOOKUP($M10,OFFSET([3]enemies!$A$1,0,0,COUNTA([3]enemies!$A:$A),MATCH(Q$1,[3]enemies!$1:$1,0)-MATCH($M$1,[3]enemies!$1:$1,0)+1),MATCH(Q$1,[3]enemies!$1:$1,0)-MATCH($M$1,[3]enemies!$1:$1,0)+1,FALSE)</f>
        <v>animal</v>
      </c>
      <c r="R10" s="17">
        <f ca="1">VLOOKUP($M10,OFFSET([3]enemies!$A$1,0,0,COUNTA([3]enemies!$A:$A),MATCH(R$1,[3]enemies!$1:$1,0)-MATCH($M$1,[3]enemies!$1:$1,0)+1),MATCH(R$1,[3]enemies!$1:$1,0)-MATCH($M$1,[3]enemies!$1:$1,0)+1,FALSE)</f>
        <v>60</v>
      </c>
      <c r="S10" s="5">
        <v>70</v>
      </c>
      <c r="T10" s="25">
        <v>4.5</v>
      </c>
      <c r="U10" s="25">
        <v>0.8</v>
      </c>
      <c r="V10" s="5">
        <v>0</v>
      </c>
      <c r="W10" s="4" t="e">
        <f ca="1">VLOOKUP($X10,OFFSET([5]enemy_skill_sets!$B$1,0,0,COUNTA([5]enemy_skill_sets!$B:$B),MATCH(N$1,[5]enemy_skill_sets!$1:$1,0)-MATCH($X$1,[5]enemy_skill_sets!$1:$1,0)+2),MATCH(N$1,[5]enemy_skill_sets!$1:$1,0)-MATCH($X$1,[5]enemy_skill_sets!$1:$1,0)+2,FALSE)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10" s="4">
        <v>48002007</v>
      </c>
      <c r="Y10" s="17">
        <f ca="1">VLOOKUP($M10,OFFSET([3]enemies!$A$1,0,0,COUNTA([3]enemies!$A:$A),MATCH(Y$1,[3]enemies!$1:$1,0)-MATCH($M$1,[3]enemies!$1:$1,0)+1),MATCH(Y$1,[3]enemies!$1:$1,0)-MATCH($M$1,[3]enemies!$1:$1,0)+1,FALSE)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3"/>
  <sheetViews>
    <sheetView showGridLines="0" workbookViewId="0">
      <selection activeCell="J21" sqref="J21"/>
    </sheetView>
  </sheetViews>
  <sheetFormatPr baseColWidth="12" defaultColWidth="12.83203125" defaultRowHeight="21" customHeight="1" outlineLevelCol="1" x14ac:dyDescent="0.15"/>
  <cols>
    <col min="1" max="1" width="16.6640625" style="39" customWidth="1"/>
    <col min="2" max="2" width="9.5" style="46" bestFit="1" customWidth="1"/>
    <col min="3" max="3" width="9.6640625" style="46" customWidth="1"/>
    <col min="4" max="4" width="18.5" style="46" customWidth="1" outlineLevel="1"/>
    <col min="5" max="5" width="44.1640625" style="46" bestFit="1" customWidth="1" outlineLevel="1"/>
    <col min="6" max="6" width="16" style="46" bestFit="1" customWidth="1"/>
    <col min="7" max="7" width="8.33203125" style="46" bestFit="1" customWidth="1" outlineLevel="1"/>
    <col min="8" max="9" width="12.83203125" style="46" outlineLevel="1"/>
    <col min="10" max="10" width="17.6640625" style="46" bestFit="1" customWidth="1" outlineLevel="1"/>
    <col min="11" max="15" width="12.83203125" style="46" outlineLevel="1"/>
    <col min="16" max="16" width="8.33203125" style="42" bestFit="1" customWidth="1"/>
    <col min="17" max="17" width="9.6640625" style="42" customWidth="1"/>
    <col min="18" max="18" width="56.5" style="42" bestFit="1" customWidth="1"/>
    <col min="19" max="16384" width="12.83203125" style="42"/>
  </cols>
  <sheetData>
    <row r="1" spans="1:18" ht="21" customHeight="1" thickBot="1" x14ac:dyDescent="0.2">
      <c r="A1" s="113" t="s">
        <v>60</v>
      </c>
      <c r="B1" s="114" t="s">
        <v>61</v>
      </c>
      <c r="C1" s="114" t="s">
        <v>62</v>
      </c>
      <c r="D1" s="115" t="s">
        <v>63</v>
      </c>
      <c r="E1" s="115" t="s">
        <v>64</v>
      </c>
      <c r="F1" s="116" t="s">
        <v>65</v>
      </c>
      <c r="G1" s="117" t="s">
        <v>66</v>
      </c>
      <c r="H1" s="117" t="s">
        <v>68</v>
      </c>
      <c r="I1" s="117" t="s">
        <v>69</v>
      </c>
      <c r="J1" s="117" t="s">
        <v>70</v>
      </c>
      <c r="K1" s="117" t="s">
        <v>71</v>
      </c>
      <c r="L1" s="117" t="s">
        <v>72</v>
      </c>
      <c r="M1" s="117" t="s">
        <v>73</v>
      </c>
      <c r="N1" s="117" t="s">
        <v>74</v>
      </c>
      <c r="O1" s="117" t="s">
        <v>75</v>
      </c>
      <c r="P1" s="115" t="s">
        <v>76</v>
      </c>
      <c r="Q1" s="115" t="s">
        <v>77</v>
      </c>
      <c r="R1" s="118" t="s">
        <v>78</v>
      </c>
    </row>
    <row r="2" spans="1:18" ht="21" customHeight="1" x14ac:dyDescent="0.15">
      <c r="A2" s="119" t="str">
        <f t="shared" ref="A2" si="0">B2&amp;"_"&amp;C2</f>
        <v>48002001_48002001</v>
      </c>
      <c r="B2" s="104">
        <v>48002001</v>
      </c>
      <c r="C2" s="104">
        <v>48002001</v>
      </c>
      <c r="D2" s="10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「お？新しい挑戦者かい？」</v>
      </c>
      <c r="E2" s="10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「強い奴なら大歓迎だぜ！」</v>
      </c>
      <c r="F2" s="104">
        <v>48002001</v>
      </c>
      <c r="G2" s="10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106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2" s="10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10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0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0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10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0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0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104" t="s">
        <v>295</v>
      </c>
      <c r="Q2" s="137">
        <v>42542</v>
      </c>
      <c r="R2" s="120"/>
    </row>
    <row r="3" spans="1:18" ht="21" customHeight="1" x14ac:dyDescent="0.15">
      <c r="A3" s="119" t="str">
        <f t="shared" ref="A3:A21" si="1">B3&amp;"_"&amp;C3</f>
        <v>48002001_48002002</v>
      </c>
      <c r="B3" s="44">
        <v>48002001</v>
      </c>
      <c r="C3" s="44">
        <v>48002002</v>
      </c>
      <c r="D3" s="43" t="str">
        <f ca="1">VLOOKUP($C3,OFFSET(enemy_skills!$A$1,0,0,COUNTA(enemy_skills!$A:$A),MATCH(D$1,enemy_skills!$1:$1,0)-MATCH("enemy_skill_id",enemy_skills!$1:$1,0)+1),MATCH(D$1,enemy_skills!$1:$1,0)-MATCH("enemy_skill_id",enemy_skills!$1:$1,0)+1,FALSE)</f>
        <v>「三蔵？俺を連れ戻しに来たか」</v>
      </c>
      <c r="E3" s="43" t="str">
        <f ca="1">VLOOKUP($C3,OFFSET(enemy_skills!$A$1,0,0,COUNTA(enemy_skills!$A:$A),MATCH(E$1,enemy_skills!$1:$1,0)-MATCH("enemy_skill_id",enemy_skills!$1:$1,0)+1),MATCH(E$1,enemy_skills!$1:$1,0)-MATCH("enemy_skill_id",enemy_skills!$1:$1,0)+1,FALSE)</f>
        <v>「スマンがまだやり残した事があるんだ」</v>
      </c>
      <c r="F3" s="44">
        <v>48002002</v>
      </c>
      <c r="G3" s="45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5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" s="4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5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5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5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5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8005</v>
      </c>
      <c r="O3" s="45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4" t="s">
        <v>295</v>
      </c>
      <c r="Q3" s="137">
        <v>42542</v>
      </c>
      <c r="R3" s="121"/>
    </row>
    <row r="4" spans="1:18" ht="21" customHeight="1" x14ac:dyDescent="0.15">
      <c r="A4" s="119" t="str">
        <f t="shared" ref="A4" si="2">B4&amp;"_"&amp;C4</f>
        <v>48002001_48002002</v>
      </c>
      <c r="B4" s="44">
        <v>48002001</v>
      </c>
      <c r="C4" s="44">
        <v>48002002</v>
      </c>
      <c r="D4" s="43" t="str">
        <f ca="1">VLOOKUP($C4,OFFSET(enemy_skills!$A$1,0,0,COUNTA(enemy_skills!$A:$A),MATCH(D$1,enemy_skills!$1:$1,0)-MATCH("enemy_skill_id",enemy_skills!$1:$1,0)+1),MATCH(D$1,enemy_skills!$1:$1,0)-MATCH("enemy_skill_id",enemy_skills!$1:$1,0)+1,FALSE)</f>
        <v>「三蔵？俺を連れ戻しに来たか」</v>
      </c>
      <c r="E4" s="43" t="str">
        <f ca="1">VLOOKUP($C4,OFFSET(enemy_skills!$A$1,0,0,COUNTA(enemy_skills!$A:$A),MATCH(E$1,enemy_skills!$1:$1,0)-MATCH("enemy_skill_id",enemy_skills!$1:$1,0)+1),MATCH(E$1,enemy_skills!$1:$1,0)-MATCH("enemy_skill_id",enemy_skills!$1:$1,0)+1,FALSE)</f>
        <v>「スマンがまだやり残した事があるんだ」</v>
      </c>
      <c r="F4" s="44">
        <v>48002003</v>
      </c>
      <c r="G4" s="4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5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5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5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5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8006</v>
      </c>
      <c r="O4" s="45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4" t="s">
        <v>295</v>
      </c>
      <c r="Q4" s="138">
        <v>42542</v>
      </c>
      <c r="R4" s="121"/>
    </row>
    <row r="5" spans="1:18" ht="21" customHeight="1" thickBot="1" x14ac:dyDescent="0.2">
      <c r="A5" s="122" t="str">
        <f t="shared" si="1"/>
        <v>48002001_48002003</v>
      </c>
      <c r="B5" s="107">
        <v>48002001</v>
      </c>
      <c r="C5" s="107">
        <v>48002003</v>
      </c>
      <c r="D5" s="108" t="str">
        <f ca="1">VLOOKUP($C5,OFFSET(enemy_skills!$A$1,0,0,COUNTA(enemy_skills!$A:$A),MATCH(D$1,enemy_skills!$1:$1,0)-MATCH("enemy_skill_id",enemy_skills!$1:$1,0)+1),MATCH(D$1,enemy_skills!$1:$1,0)-MATCH("enemy_skill_id",enemy_skills!$1:$1,0)+1,FALSE)</f>
        <v>「オレの分身を突破してみな！」</v>
      </c>
      <c r="E5" s="108" t="str">
        <f ca="1">VLOOKUP($C5,OFFSET(enemy_skills!$A$1,0,0,COUNTA(enemy_skills!$A:$A),MATCH(E$1,enemy_skills!$1:$1,0)-MATCH("enemy_skill_id",enemy_skills!$1:$1,0)+1),MATCH(E$1,enemy_skills!$1:$1,0)-MATCH("enemy_skill_id",enemy_skills!$1:$1,0)+1,FALSE)</f>
        <v>「一番奥で待ってるぜ！」</v>
      </c>
      <c r="F5" s="107">
        <v>48002004</v>
      </c>
      <c r="G5" s="109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109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109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09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09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09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" s="109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09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" s="109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4" t="s">
        <v>295</v>
      </c>
      <c r="Q5" s="138">
        <v>42542</v>
      </c>
      <c r="R5" s="123"/>
    </row>
    <row r="6" spans="1:18" ht="21" customHeight="1" thickBot="1" x14ac:dyDescent="0.2">
      <c r="A6" s="122" t="str">
        <f t="shared" si="1"/>
        <v>48002002_48002004</v>
      </c>
      <c r="B6" s="110">
        <v>48002002</v>
      </c>
      <c r="C6" s="110">
        <v>48002004</v>
      </c>
      <c r="D6" s="111" t="str">
        <f ca="1">VLOOKUP($C6,OFFSET(enemy_skills!$A$1,0,0,COUNTA(enemy_skills!$A:$A),MATCH(D$1,enemy_skills!$1:$1,0)-MATCH("enemy_skill_id",enemy_skills!$1:$1,0)+1),MATCH(D$1,enemy_skills!$1:$1,0)-MATCH("enemy_skill_id",enemy_skills!$1:$1,0)+1,FALSE)</f>
        <v>「ウッキョッキョーッ！！」</v>
      </c>
      <c r="E6" s="111" t="str">
        <f ca="1">VLOOKUP($C6,OFFSET(enemy_skills!$A$1,0,0,COUNTA(enemy_skills!$A:$A),MATCH(E$1,enemy_skills!$1:$1,0)-MATCH("enemy_skill_id",enemy_skills!$1:$1,0)+1),MATCH(E$1,enemy_skills!$1:$1,0)-MATCH("enemy_skill_id",enemy_skills!$1:$1,0)+1,FALSE)</f>
        <v>攻撃力がUP</v>
      </c>
      <c r="F6" s="110">
        <v>48002005</v>
      </c>
      <c r="G6" s="112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12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112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112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112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12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112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12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33</v>
      </c>
      <c r="O6" s="112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4" t="s">
        <v>295</v>
      </c>
      <c r="Q6" s="138">
        <v>42542</v>
      </c>
      <c r="R6" s="124"/>
    </row>
    <row r="7" spans="1:18" ht="21" customHeight="1" x14ac:dyDescent="0.15">
      <c r="A7" s="119" t="str">
        <f t="shared" si="1"/>
        <v>48002003_48002005</v>
      </c>
      <c r="B7" s="104">
        <v>48002003</v>
      </c>
      <c r="C7" s="104">
        <v>48002005</v>
      </c>
      <c r="D7" s="105" t="str">
        <f ca="1">VLOOKUP($C7,OFFSET(enemy_skills!$A$1,0,0,COUNTA(enemy_skills!$A:$A),MATCH(D$1,enemy_skills!$1:$1,0)-MATCH("enemy_skill_id",enemy_skills!$1:$1,0)+1),MATCH(D$1,enemy_skills!$1:$1,0)-MATCH("enemy_skill_id",enemy_skills!$1:$1,0)+1,FALSE)</f>
        <v>（呼吸を整えている）</v>
      </c>
      <c r="E7" s="105" t="str">
        <f ca="1">VLOOKUP($C7,OFFSET(enemy_skills!$A$1,0,0,COUNTA(enemy_skills!$A:$A),MATCH(E$1,enemy_skills!$1:$1,0)-MATCH("enemy_skill_id",enemy_skills!$1:$1,0)+1),MATCH(E$1,enemy_skills!$1:$1,0)-MATCH("enemy_skill_id",enemy_skills!$1:$1,0)+1,FALSE)</f>
        <v>(この分身は攻撃力が高そうだ！)</v>
      </c>
      <c r="F7" s="104">
        <v>48002006</v>
      </c>
      <c r="G7" s="10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106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10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10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10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10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10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10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10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4" t="s">
        <v>295</v>
      </c>
      <c r="Q7" s="138">
        <v>42542</v>
      </c>
      <c r="R7" s="120"/>
    </row>
    <row r="8" spans="1:18" ht="21" customHeight="1" thickBot="1" x14ac:dyDescent="0.2">
      <c r="A8" s="122" t="str">
        <f t="shared" si="1"/>
        <v>48002003_48002006</v>
      </c>
      <c r="B8" s="107">
        <v>48002003</v>
      </c>
      <c r="C8" s="107">
        <v>48002006</v>
      </c>
      <c r="D8" s="108" t="str">
        <f ca="1">VLOOKUP($C8,OFFSET(enemy_skills!$A$1,0,0,COUNTA(enemy_skills!$A:$A),MATCH(D$1,enemy_skills!$1:$1,0)-MATCH("enemy_skill_id",enemy_skills!$1:$1,0)+1),MATCH(D$1,enemy_skills!$1:$1,0)-MATCH("enemy_skill_id",enemy_skills!$1:$1,0)+1,FALSE)</f>
        <v>薙ぎ払い</v>
      </c>
      <c r="E8" s="108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8" s="107">
        <v>48002007</v>
      </c>
      <c r="G8" s="109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109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109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8" s="109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8" s="109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109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" s="109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109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109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8" s="44" t="s">
        <v>295</v>
      </c>
      <c r="Q8" s="138">
        <v>42542</v>
      </c>
      <c r="R8" s="123"/>
    </row>
    <row r="9" spans="1:18" ht="21" customHeight="1" x14ac:dyDescent="0.15">
      <c r="A9" s="119" t="str">
        <f t="shared" si="1"/>
        <v>48002004_48002007</v>
      </c>
      <c r="B9" s="104">
        <v>48002004</v>
      </c>
      <c r="C9" s="104">
        <v>48002007</v>
      </c>
      <c r="D9" s="105" t="str">
        <f ca="1">VLOOKUP($C9,OFFSET(enemy_skills!$A$1,0,0,COUNTA(enemy_skills!$A:$A),MATCH(D$1,enemy_skills!$1:$1,0)-MATCH("enemy_skill_id",enemy_skills!$1:$1,0)+1),MATCH(D$1,enemy_skills!$1:$1,0)-MATCH("enemy_skill_id",enemy_skills!$1:$1,0)+1,FALSE)</f>
        <v>（小さくなり後背に回り込んだ！）</v>
      </c>
      <c r="E9" s="105" t="str">
        <f ca="1">VLOOKUP($C9,OFFSET(enemy_skills!$A$1,0,0,COUNTA(enemy_skills!$A:$A),MATCH(E$1,enemy_skills!$1:$1,0)-MATCH("enemy_skill_id",enemy_skills!$1:$1,0)+1),MATCH(E$1,enemy_skills!$1:$1,0)-MATCH("enemy_skill_id",enemy_skills!$1:$1,0)+1,FALSE)</f>
        <v>連続攻撃</v>
      </c>
      <c r="F9" s="104">
        <v>48002008</v>
      </c>
      <c r="G9" s="10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106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10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10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0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0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10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10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10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4" t="s">
        <v>295</v>
      </c>
      <c r="Q9" s="138">
        <v>42542</v>
      </c>
      <c r="R9" s="120"/>
    </row>
    <row r="10" spans="1:18" ht="21" customHeight="1" thickBot="1" x14ac:dyDescent="0.2">
      <c r="A10" s="122" t="str">
        <f t="shared" si="1"/>
        <v>48002004_48002008</v>
      </c>
      <c r="B10" s="107">
        <v>48002004</v>
      </c>
      <c r="C10" s="107">
        <v>48002008</v>
      </c>
      <c r="D10" s="108" t="str">
        <f ca="1">VLOOKUP($C10,OFFSET(enemy_skills!$A$1,0,0,COUNTA(enemy_skills!$A:$A),MATCH(D$1,enemy_skills!$1:$1,0)-MATCH("enemy_skill_id",enemy_skills!$1:$1,0)+1),MATCH(D$1,enemy_skills!$1:$1,0)-MATCH("enemy_skill_id",enemy_skills!$1:$1,0)+1,FALSE)</f>
        <v>（巨大化しながら重い3連撃だ！）</v>
      </c>
      <c r="E10" s="108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0" s="107">
        <v>48002009</v>
      </c>
      <c r="G10" s="109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109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109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0" s="109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09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09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0" s="109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109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09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0" s="44" t="s">
        <v>295</v>
      </c>
      <c r="Q10" s="138">
        <v>42542</v>
      </c>
      <c r="R10" s="123"/>
    </row>
    <row r="11" spans="1:18" ht="21" customHeight="1" x14ac:dyDescent="0.15">
      <c r="A11" s="119" t="str">
        <f t="shared" si="1"/>
        <v>48002005_48002009</v>
      </c>
      <c r="B11" s="104">
        <v>48002005</v>
      </c>
      <c r="C11" s="104">
        <v>48002009</v>
      </c>
      <c r="D11" s="10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「来たか、それじゃ勝負だぜ！」</v>
      </c>
      <c r="E11" s="10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1" s="104">
        <v>48002010</v>
      </c>
      <c r="G11" s="10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106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10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0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0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0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10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10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10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4" t="s">
        <v>295</v>
      </c>
      <c r="Q11" s="138">
        <v>42542</v>
      </c>
      <c r="R11" s="120"/>
    </row>
    <row r="12" spans="1:18" ht="21" customHeight="1" x14ac:dyDescent="0.15">
      <c r="A12" s="119" t="str">
        <f t="shared" si="1"/>
        <v>48002005_48002010</v>
      </c>
      <c r="B12" s="44">
        <v>48002005</v>
      </c>
      <c r="C12" s="44">
        <v>48002010</v>
      </c>
      <c r="D12" s="43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「全力でお相手するぜ、三蔵！」</v>
      </c>
      <c r="E12" s="43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2" s="44">
        <v>48002011</v>
      </c>
      <c r="G12" s="45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5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2" s="45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5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5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5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5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8005</v>
      </c>
      <c r="O12" s="45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4" t="s">
        <v>295</v>
      </c>
      <c r="Q12" s="138">
        <v>42542</v>
      </c>
      <c r="R12" s="121"/>
    </row>
    <row r="13" spans="1:18" ht="21" customHeight="1" x14ac:dyDescent="0.15">
      <c r="A13" s="119" t="str">
        <f t="shared" ref="A13" si="3">B13&amp;"_"&amp;C13</f>
        <v>48002005_48002010</v>
      </c>
      <c r="B13" s="44">
        <v>48002005</v>
      </c>
      <c r="C13" s="44">
        <v>48002010</v>
      </c>
      <c r="D13" s="43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「全力でお相手するぜ、三蔵！」</v>
      </c>
      <c r="E13" s="43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3" s="44">
        <v>48002012</v>
      </c>
      <c r="G13" s="45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5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5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5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5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5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5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8006</v>
      </c>
      <c r="O13" s="45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4" t="s">
        <v>295</v>
      </c>
      <c r="Q13" s="138">
        <v>42542</v>
      </c>
      <c r="R13" s="121"/>
    </row>
    <row r="14" spans="1:18" ht="21" customHeight="1" thickBot="1" x14ac:dyDescent="0.2">
      <c r="A14" s="122" t="str">
        <f t="shared" si="1"/>
        <v>48002005_48002011</v>
      </c>
      <c r="B14" s="107">
        <v>48002005</v>
      </c>
      <c r="C14" s="107">
        <v>48002011</v>
      </c>
      <c r="D14" s="108" t="str">
        <f ca="1">VLOOKUP($C14,OFFSET(enemy_skills!$A$1,0,0,COUNTA(enemy_skills!$A:$A),MATCH(D$1,enemy_skills!$1:$1,0)-MATCH("enemy_skill_id",enemy_skills!$1:$1,0)+1),MATCH(D$1,enemy_skills!$1:$1,0)-MATCH("enemy_skill_id",enemy_skills!$1:$1,0)+1,FALSE)</f>
        <v>（隙のない構えだ！）</v>
      </c>
      <c r="E14" s="108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次に強力なチャージ攻撃_x000D_＋2ターンの間 カウンター状態</v>
      </c>
      <c r="F14" s="107">
        <v>48002013</v>
      </c>
      <c r="G14" s="109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109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109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09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14" s="109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09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109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09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09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4" t="s">
        <v>295</v>
      </c>
      <c r="Q14" s="138">
        <v>42542</v>
      </c>
      <c r="R14" s="123" t="s">
        <v>304</v>
      </c>
    </row>
    <row r="15" spans="1:18" ht="21" customHeight="1" x14ac:dyDescent="0.15">
      <c r="A15" s="119" t="str">
        <f t="shared" si="1"/>
        <v>48002006_48002012</v>
      </c>
      <c r="B15" s="104">
        <v>48002006</v>
      </c>
      <c r="C15" s="104">
        <v>48002012</v>
      </c>
      <c r="D15" s="10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「はあああああああっ！」</v>
      </c>
      <c r="E15" s="10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5ターンの間 攻撃力UP_x000D_＋この戦闘の間 状態異常無効</v>
      </c>
      <c r="F15" s="104">
        <v>48002014</v>
      </c>
      <c r="G15" s="10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106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10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10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10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106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10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10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10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4" t="s">
        <v>295</v>
      </c>
      <c r="Q15" s="138">
        <v>42542</v>
      </c>
      <c r="R15" s="120"/>
    </row>
    <row r="16" spans="1:18" ht="21" customHeight="1" x14ac:dyDescent="0.15">
      <c r="A16" s="119" t="str">
        <f t="shared" si="1"/>
        <v>48002006_48002013</v>
      </c>
      <c r="B16" s="44">
        <v>48002006</v>
      </c>
      <c r="C16" s="44">
        <v>48002013</v>
      </c>
      <c r="D16" s="43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如意金箍棒・破金</v>
      </c>
      <c r="E16" s="43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黄属性に大ダメージの全体攻撃</v>
      </c>
      <c r="F16" s="44">
        <v>48002015</v>
      </c>
      <c r="G16" s="4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5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6" s="4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5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5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6" s="45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4" t="s">
        <v>295</v>
      </c>
      <c r="Q16" s="138">
        <v>42542</v>
      </c>
      <c r="R16" s="121" t="s">
        <v>305</v>
      </c>
    </row>
    <row r="17" spans="1:18" ht="21" customHeight="1" x14ac:dyDescent="0.15">
      <c r="A17" s="119" t="str">
        <f t="shared" si="1"/>
        <v>48002006_48002014</v>
      </c>
      <c r="B17" s="44">
        <v>48002006</v>
      </c>
      <c r="C17" s="44">
        <v>48002014</v>
      </c>
      <c r="D17" s="43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「そいつは阻止させてもらうよ！」</v>
      </c>
      <c r="E17" s="43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赤パネルを6個 時限式パネルに変換_x000D_＋青パネルを6個 お邪魔パネルに変換</v>
      </c>
      <c r="F17" s="44">
        <v>48002016</v>
      </c>
      <c r="G17" s="45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5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5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5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17" s="4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5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5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5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4" t="s">
        <v>295</v>
      </c>
      <c r="Q17" s="138">
        <v>42542</v>
      </c>
      <c r="R17" s="121">
        <v>4088</v>
      </c>
    </row>
    <row r="18" spans="1:18" ht="21" customHeight="1" thickBot="1" x14ac:dyDescent="0.2">
      <c r="A18" s="122" t="str">
        <f t="shared" si="1"/>
        <v>48002006_48002015</v>
      </c>
      <c r="B18" s="107">
        <v>48002006</v>
      </c>
      <c r="C18" s="107">
        <v>48002015</v>
      </c>
      <c r="D18" s="108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「こういう戦い方もあるのさっ！」</v>
      </c>
      <c r="E18" s="108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お邪魔パネル吸収数でダメージ増加</v>
      </c>
      <c r="F18" s="107">
        <v>48002017</v>
      </c>
      <c r="G18" s="109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109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" s="109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09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8" s="109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09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109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109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09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4" t="s">
        <v>295</v>
      </c>
      <c r="Q18" s="138">
        <v>42542</v>
      </c>
      <c r="R18" s="123" t="s">
        <v>306</v>
      </c>
    </row>
    <row r="19" spans="1:18" ht="21" customHeight="1" x14ac:dyDescent="0.15">
      <c r="A19" s="119" t="str">
        <f t="shared" si="1"/>
        <v>48002007_48002016</v>
      </c>
      <c r="B19" s="104">
        <v>48002007</v>
      </c>
      <c r="C19" s="104">
        <v>48002016</v>
      </c>
      <c r="D19" s="10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「行くぜ、觔斗雲ッ！！」</v>
      </c>
      <c r="E19" s="10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行動頻度が1にUP_x000D_＋状態異常無効</v>
      </c>
      <c r="F19" s="104">
        <v>48002018</v>
      </c>
      <c r="G19" s="10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106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10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10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10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10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10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10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10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4" t="s">
        <v>295</v>
      </c>
      <c r="Q19" s="138">
        <v>42542</v>
      </c>
      <c r="R19" s="120"/>
    </row>
    <row r="20" spans="1:18" ht="21" customHeight="1" x14ac:dyDescent="0.15">
      <c r="A20" s="119" t="str">
        <f t="shared" si="1"/>
        <v>48002007_48002017</v>
      </c>
      <c r="B20" s="44">
        <v>48002007</v>
      </c>
      <c r="C20" s="44">
        <v>48002017</v>
      </c>
      <c r="D20" s="43" t="str">
        <f ca="1">VLOOKUP($C20,OFFSET(enemy_skills!$A$1,0,0,COUNTA(enemy_skills!$A:$A),MATCH(D$1,enemy_skills!$1:$1,0)-MATCH("enemy_skill_id",enemy_skills!$1:$1,0)+1),MATCH(D$1,enemy_skills!$1:$1,0)-MATCH("enemy_skill_id",enemy_skills!$1:$1,0)+1,FALSE)</f>
        <v>如意金箍棒・破神</v>
      </c>
      <c r="E20" s="43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種族：ゴッドに大ダメージの全体攻撃</v>
      </c>
      <c r="F20" s="44">
        <v>48002019</v>
      </c>
      <c r="G20" s="4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5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45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0" s="45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5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20" s="45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0" s="4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5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5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0" s="44" t="s">
        <v>295</v>
      </c>
      <c r="Q20" s="138">
        <v>42542</v>
      </c>
      <c r="R20" s="121" t="s">
        <v>302</v>
      </c>
    </row>
    <row r="21" spans="1:18" ht="21" customHeight="1" x14ac:dyDescent="0.15">
      <c r="A21" s="119" t="str">
        <f t="shared" si="1"/>
        <v>48002007_48002018</v>
      </c>
      <c r="B21" s="44">
        <v>48002007</v>
      </c>
      <c r="C21" s="44">
        <v>48002018</v>
      </c>
      <c r="D21" s="43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斉天大聖撃</v>
      </c>
      <c r="E21" s="43" t="str">
        <f ca="1">VLOOKUP($C21,OFFSET(enemy_skills!$A$1,0,0,COUNTA(enemy_skills!$A:$A),MATCH(E$1,enemy_skills!$1:$1,0)-MATCH("enemy_skill_id",enemy_skills!$1:$1,0)+1),MATCH(E$1,enemy_skills!$1:$1,0)-MATCH("enemy_skill_id",enemy_skills!$1:$1,0)+1,FALSE)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1" s="44">
        <v>48002020</v>
      </c>
      <c r="G21" s="45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5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5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1" s="45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5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5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5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5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1" s="44" t="s">
        <v>295</v>
      </c>
      <c r="Q21" s="138">
        <v>42542</v>
      </c>
      <c r="R21" s="121">
        <v>15100</v>
      </c>
    </row>
    <row r="22" spans="1:18" ht="21" customHeight="1" thickBot="1" x14ac:dyDescent="0.2">
      <c r="A22" s="122" t="str">
        <f t="shared" ref="A22" si="4">B22&amp;"_"&amp;C22</f>
        <v>48002007_48002019</v>
      </c>
      <c r="B22" s="107">
        <v>48002007</v>
      </c>
      <c r="C22" s="107">
        <v>48002019</v>
      </c>
      <c r="D22" s="108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「オマエたち…強いなァ…」</v>
      </c>
      <c r="E22" s="108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「同行してみるのも面白そうだ！」</v>
      </c>
      <c r="F22" s="107">
        <v>48002021</v>
      </c>
      <c r="G22" s="109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109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2" s="109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109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109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109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" s="109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109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2" s="109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4" t="s">
        <v>295</v>
      </c>
      <c r="Q22" s="138">
        <v>42542</v>
      </c>
      <c r="R22" s="123"/>
    </row>
    <row r="23" spans="1:18" ht="21" customHeight="1" x14ac:dyDescent="0.15">
      <c r="A23" s="141"/>
      <c r="B23" s="142"/>
      <c r="C23" s="142"/>
      <c r="D23" s="143"/>
      <c r="E23" s="143"/>
      <c r="F23" s="142"/>
      <c r="G23" s="144"/>
      <c r="H23" s="144"/>
      <c r="I23" s="144"/>
      <c r="J23" s="144"/>
      <c r="K23" s="144"/>
      <c r="L23" s="144"/>
      <c r="M23" s="144"/>
      <c r="N23" s="144"/>
      <c r="O23" s="144"/>
      <c r="P23" s="142"/>
      <c r="Q23" s="145"/>
      <c r="R23" s="142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0"/>
  <sheetViews>
    <sheetView showGridLines="0" zoomScale="150" zoomScaleNormal="150" zoomScalePageLayoutView="150" workbookViewId="0">
      <pane ySplit="1" topLeftCell="A2" activePane="bottomLeft" state="frozenSplit"/>
      <selection pane="bottomLeft" activeCell="E17" sqref="E17:F17"/>
    </sheetView>
  </sheetViews>
  <sheetFormatPr baseColWidth="12" defaultColWidth="12.83203125" defaultRowHeight="21" customHeight="1" outlineLevelCol="1" x14ac:dyDescent="0.15"/>
  <cols>
    <col min="1" max="1" width="12.83203125" style="46"/>
    <col min="2" max="2" width="67.1640625" style="46" customWidth="1"/>
    <col min="3" max="4" width="12.83203125" style="46"/>
    <col min="5" max="5" width="23.6640625" style="46" bestFit="1" customWidth="1"/>
    <col min="6" max="6" width="44.1640625" style="46" bestFit="1" customWidth="1"/>
    <col min="7" max="7" width="52" style="46" hidden="1" customWidth="1" outlineLevel="1"/>
    <col min="8" max="8" width="18.33203125" style="46" hidden="1" customWidth="1" outlineLevel="1"/>
    <col min="9" max="11" width="18.6640625" style="46" hidden="1" customWidth="1" outlineLevel="1"/>
    <col min="12" max="12" width="23.6640625" style="46" customWidth="1" collapsed="1"/>
    <col min="13" max="18" width="23.6640625" style="46" hidden="1" customWidth="1" outlineLevel="1"/>
    <col min="19" max="19" width="23.6640625" style="46" customWidth="1" collapsed="1"/>
    <col min="20" max="24" width="23.6640625" style="46" hidden="1" customWidth="1" outlineLevel="1"/>
    <col min="25" max="25" width="23.6640625" style="46" customWidth="1" collapsed="1"/>
    <col min="26" max="27" width="12.83203125" style="46"/>
    <col min="28" max="28" width="44.5" style="46" customWidth="1"/>
    <col min="29" max="16384" width="12.83203125" style="46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4">
        <v>48002001</v>
      </c>
      <c r="B2" s="44" t="s">
        <v>278</v>
      </c>
      <c r="C2" s="47">
        <v>1</v>
      </c>
      <c r="D2" s="47" t="s">
        <v>128</v>
      </c>
      <c r="E2" s="48" t="s">
        <v>326</v>
      </c>
      <c r="F2" s="48" t="s">
        <v>327</v>
      </c>
      <c r="G2" s="61" t="str">
        <f>IFERROR(LEFT(B2,FIND("],",B2)),B2)</f>
        <v xml:space="preserve">[effect:fix_speed, target:myself, turn:2]    </v>
      </c>
      <c r="H2" s="61">
        <f>FIND("effect:",G2)+7</f>
        <v>9</v>
      </c>
      <c r="I2" s="61">
        <f>IFERROR(FIND(",",G2),LEN(G2))</f>
        <v>18</v>
      </c>
      <c r="J2" s="61">
        <f>FIND("target:",G2)+7</f>
        <v>27</v>
      </c>
      <c r="K2" s="61">
        <f>FIND(",",G2,I2+1)</f>
        <v>33</v>
      </c>
      <c r="L2" s="61" t="str">
        <f>IFERROR(VLOOKUP(MID(G2,J2,K2-J2),[6]skilldef!$C:$D,2,FALSE),"-") &amp; " / " &amp; IFERROR(VLOOKUP(MID(G2,H2,I2-H2),[6]skilldef!$A:$B,2,FALSE),"-")</f>
        <v>自分自身に / 行動値設定</v>
      </c>
      <c r="M2" s="61" t="str">
        <f>IFERROR(RIGHT(B2,LEN(B2)-FIND("],",B2)-1),"none")</f>
        <v>none</v>
      </c>
      <c r="N2" s="45" t="str">
        <f>IFERROR(LEFT(M2,FIND("],",M2)+S12),M2)</f>
        <v>none</v>
      </c>
      <c r="O2" s="61" t="e">
        <f>FIND("effect:",N2)+7</f>
        <v>#VALUE!</v>
      </c>
      <c r="P2" s="61">
        <f>IFERROR(FIND(",",N2),LEN(N2))</f>
        <v>4</v>
      </c>
      <c r="Q2" s="61" t="e">
        <f>FIND("target:",N2)+7</f>
        <v>#VALUE!</v>
      </c>
      <c r="R2" s="61" t="e">
        <f>FIND(",",N2,P2+1)</f>
        <v>#VALUE!</v>
      </c>
      <c r="S2" s="61" t="str">
        <f>IFERROR(VLOOKUP(MID(N2,Q2,R2-Q2),[6]skilldef!$C:$D,2,FALSE),"-") &amp; " / " &amp; IFERROR(VLOOKUP(MID(N2,O2,P2-O2),[6]skilldef!$A:$B,2,FALSE),"-")</f>
        <v>- / -</v>
      </c>
      <c r="T2" s="45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IFERROR(VLOOKUP(MID(T2,W2,X2-W2),[6]skilldef!$C:$D,2,FALSE),"-") &amp; " / " &amp; IFERROR(VLOOKUP(MID(T2,U2,V2-U2),[6]skilldef!$A:$B,2,FALSE),"-")</f>
        <v>- / -</v>
      </c>
      <c r="Z2" s="47"/>
      <c r="AA2" s="49"/>
      <c r="AB2" s="47" t="s">
        <v>256</v>
      </c>
    </row>
    <row r="3" spans="1:28" ht="21" customHeight="1" x14ac:dyDescent="0.15">
      <c r="A3" s="44">
        <v>48002002</v>
      </c>
      <c r="B3" s="44" t="s">
        <v>279</v>
      </c>
      <c r="C3" s="47">
        <v>1</v>
      </c>
      <c r="D3" s="47" t="s">
        <v>128</v>
      </c>
      <c r="E3" s="48" t="s">
        <v>325</v>
      </c>
      <c r="F3" s="48" t="s">
        <v>336</v>
      </c>
      <c r="G3" s="61" t="str">
        <f t="shared" ref="G3:G20" si="0">IFERROR(LEFT(B3,FIND("],",B3)),B3)</f>
        <v xml:space="preserve">[effect:fix_speed, target:myself, turn:2]    </v>
      </c>
      <c r="H3" s="61">
        <f t="shared" ref="H3:H20" si="1">FIND("effect:",G3)+7</f>
        <v>9</v>
      </c>
      <c r="I3" s="61">
        <f t="shared" ref="I3:I20" si="2">IFERROR(FIND(",",G3),LEN(G3))</f>
        <v>18</v>
      </c>
      <c r="J3" s="61">
        <f t="shared" ref="J3:J20" si="3">FIND("target:",G3)+7</f>
        <v>27</v>
      </c>
      <c r="K3" s="61">
        <f t="shared" ref="K3:K20" si="4">FIND(",",G3,I3+1)</f>
        <v>33</v>
      </c>
      <c r="L3" s="61" t="str">
        <f>IFERROR(VLOOKUP(MID(G3,J3,K3-J3),[6]skilldef!$C:$D,2,FALSE),"-") &amp; " / " &amp; IFERROR(VLOOKUP(MID(G3,H3,I3-H3),[6]skilldef!$A:$B,2,FALSE),"-")</f>
        <v>自分自身に / 行動値設定</v>
      </c>
      <c r="M3" s="61" t="str">
        <f t="shared" ref="M3:M20" si="5">IFERROR(RIGHT(B3,LEN(B3)-FIND("],",B3)-1),"none")</f>
        <v>none</v>
      </c>
      <c r="N3" s="45" t="str">
        <f t="shared" ref="N3:N10" si="6">IFERROR(LEFT(M3,FIND("],",M3)+S13),M3)</f>
        <v>none</v>
      </c>
      <c r="O3" s="61" t="e">
        <f t="shared" ref="O3:O20" si="7">FIND("effect:",N3)+7</f>
        <v>#VALUE!</v>
      </c>
      <c r="P3" s="61">
        <f t="shared" ref="P3:P20" si="8">IFERROR(FIND(",",N3),LEN(N3))</f>
        <v>4</v>
      </c>
      <c r="Q3" s="61" t="e">
        <f t="shared" ref="Q3:Q20" si="9">FIND("target:",N3)+7</f>
        <v>#VALUE!</v>
      </c>
      <c r="R3" s="61" t="e">
        <f t="shared" ref="R3:R20" si="10">FIND(",",N3,P3+1)</f>
        <v>#VALUE!</v>
      </c>
      <c r="S3" s="61" t="str">
        <f>IFERROR(VLOOKUP(MID(N3,Q3,R3-Q3),[6]skilldef!$C:$D,2,FALSE),"-") &amp; " / " &amp; IFERROR(VLOOKUP(MID(N3,O3,P3-O3),[6]skilldef!$A:$B,2,FALSE),"-")</f>
        <v>- / -</v>
      </c>
      <c r="T3" s="45" t="str">
        <f t="shared" ref="T3:T20" si="11">IFERROR(RIGHT(M3,LEN(M3)-FIND("],",M3)-1),"none")</f>
        <v>none</v>
      </c>
      <c r="U3" s="61" t="e">
        <f t="shared" ref="U3:U20" si="12">FIND("effect:",T3)+7</f>
        <v>#VALUE!</v>
      </c>
      <c r="V3" s="61">
        <f t="shared" ref="V3:V20" si="13">IFERROR(FIND(",",T3),LEN(T3))</f>
        <v>4</v>
      </c>
      <c r="W3" s="61" t="e">
        <f t="shared" ref="W3:W20" si="14">FIND("target:",T3)+7</f>
        <v>#VALUE!</v>
      </c>
      <c r="X3" s="61" t="e">
        <f t="shared" ref="X3:X20" si="15">FIND(",",T3,V3+1)</f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7"/>
      <c r="AA3" s="49"/>
      <c r="AB3" s="47" t="s">
        <v>257</v>
      </c>
    </row>
    <row r="4" spans="1:28" ht="21" customHeight="1" x14ac:dyDescent="0.15">
      <c r="A4" s="44">
        <v>48002003</v>
      </c>
      <c r="B4" s="44" t="s">
        <v>277</v>
      </c>
      <c r="C4" s="47">
        <v>1</v>
      </c>
      <c r="D4" s="47" t="s">
        <v>128</v>
      </c>
      <c r="E4" s="48" t="s">
        <v>324</v>
      </c>
      <c r="F4" s="48" t="s">
        <v>323</v>
      </c>
      <c r="G4" s="61" t="str">
        <f t="shared" si="0"/>
        <v xml:space="preserve">[effect:enemy_message, val1:1.5, val2:1.5]    </v>
      </c>
      <c r="H4" s="61">
        <f t="shared" si="1"/>
        <v>9</v>
      </c>
      <c r="I4" s="61">
        <f t="shared" si="2"/>
        <v>22</v>
      </c>
      <c r="J4" s="61" t="e">
        <f t="shared" si="3"/>
        <v>#VALUE!</v>
      </c>
      <c r="K4" s="61">
        <f t="shared" si="4"/>
        <v>32</v>
      </c>
      <c r="L4" s="61" t="str">
        <f>IFERROR(VLOOKUP(MID(G4,J4,K4-J4),[6]skilldef!$C:$D,2,FALSE),"-") &amp; " / " &amp; IFERROR(VLOOKUP(MID(G4,H4,I4-H4),[6]skilldef!$A:$B,2,FALSE),"-")</f>
        <v>- / -</v>
      </c>
      <c r="M4" s="61" t="str">
        <f t="shared" si="5"/>
        <v>none</v>
      </c>
      <c r="N4" s="45" t="str">
        <f t="shared" si="6"/>
        <v>none</v>
      </c>
      <c r="O4" s="61" t="e">
        <f t="shared" si="7"/>
        <v>#VALUE!</v>
      </c>
      <c r="P4" s="61">
        <f t="shared" si="8"/>
        <v>4</v>
      </c>
      <c r="Q4" s="61" t="e">
        <f t="shared" si="9"/>
        <v>#VALUE!</v>
      </c>
      <c r="R4" s="61" t="e">
        <f t="shared" si="10"/>
        <v>#VALUE!</v>
      </c>
      <c r="S4" s="61" t="str">
        <f>IFERROR(VLOOKUP(MID(N4,Q4,R4-Q4),[6]skilldef!$C:$D,2,FALSE),"-") &amp; " / " &amp; IFERROR(VLOOKUP(MID(N4,O4,P4-O4),[6]skilldef!$A:$B,2,FALSE),"-")</f>
        <v>- / -</v>
      </c>
      <c r="T4" s="45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7"/>
      <c r="AA4" s="49"/>
      <c r="AB4" s="47" t="s">
        <v>258</v>
      </c>
    </row>
    <row r="5" spans="1:28" ht="21" customHeight="1" x14ac:dyDescent="0.15">
      <c r="A5" s="44">
        <v>48002004</v>
      </c>
      <c r="B5" s="44" t="s">
        <v>280</v>
      </c>
      <c r="C5" s="47">
        <v>1</v>
      </c>
      <c r="D5" s="47" t="s">
        <v>128</v>
      </c>
      <c r="E5" s="48" t="s">
        <v>334</v>
      </c>
      <c r="F5" s="48" t="s">
        <v>310</v>
      </c>
      <c r="G5" s="61" t="str">
        <f t="shared" si="0"/>
        <v xml:space="preserve">[effect:enhance_enemy, target:myself, turn:-1, status:attack, val:1000, calc:add, animation:enemy_enhance_attack]    </v>
      </c>
      <c r="H5" s="61">
        <f t="shared" si="1"/>
        <v>9</v>
      </c>
      <c r="I5" s="61">
        <f t="shared" si="2"/>
        <v>22</v>
      </c>
      <c r="J5" s="61">
        <f t="shared" si="3"/>
        <v>31</v>
      </c>
      <c r="K5" s="61">
        <f t="shared" si="4"/>
        <v>37</v>
      </c>
      <c r="L5" s="61" t="str">
        <f>IFERROR(VLOOKUP(MID(G5,J5,K5-J5),[6]skilldef!$C:$D,2,FALSE),"-") &amp; " / " &amp; IFERROR(VLOOKUP(MID(G5,H5,I5-H5),[6]skilldef!$A:$B,2,FALSE),"-")</f>
        <v>自分自身に / ステータス強化</v>
      </c>
      <c r="M5" s="61" t="str">
        <f t="shared" si="5"/>
        <v>none</v>
      </c>
      <c r="N5" s="45" t="str">
        <f t="shared" si="6"/>
        <v>none</v>
      </c>
      <c r="O5" s="61" t="e">
        <f t="shared" si="7"/>
        <v>#VALUE!</v>
      </c>
      <c r="P5" s="61">
        <f t="shared" si="8"/>
        <v>4</v>
      </c>
      <c r="Q5" s="61" t="e">
        <f t="shared" si="9"/>
        <v>#VALUE!</v>
      </c>
      <c r="R5" s="61" t="e">
        <f t="shared" si="10"/>
        <v>#VALUE!</v>
      </c>
      <c r="S5" s="61" t="str">
        <f>IFERROR(VLOOKUP(MID(N5,Q5,R5-Q5),[6]skilldef!$C:$D,2,FALSE),"-") &amp; " / " &amp; IFERROR(VLOOKUP(MID(N5,O5,P5-O5),[6]skilldef!$A:$B,2,FALSE),"-")</f>
        <v>- / -</v>
      </c>
      <c r="T5" s="45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7"/>
      <c r="AA5" s="49"/>
      <c r="AB5" s="47" t="s">
        <v>259</v>
      </c>
    </row>
    <row r="6" spans="1:28" ht="21" customHeight="1" x14ac:dyDescent="0.15">
      <c r="A6" s="44">
        <v>48002005</v>
      </c>
      <c r="B6" s="44" t="s">
        <v>279</v>
      </c>
      <c r="C6" s="47">
        <v>1</v>
      </c>
      <c r="D6" s="47" t="s">
        <v>128</v>
      </c>
      <c r="E6" s="48" t="s">
        <v>299</v>
      </c>
      <c r="F6" s="48" t="s">
        <v>335</v>
      </c>
      <c r="G6" s="61" t="str">
        <f t="shared" si="0"/>
        <v xml:space="preserve">[effect:fix_speed, target:myself, turn:2]    </v>
      </c>
      <c r="H6" s="61">
        <f t="shared" si="1"/>
        <v>9</v>
      </c>
      <c r="I6" s="61">
        <f t="shared" si="2"/>
        <v>18</v>
      </c>
      <c r="J6" s="61">
        <f t="shared" si="3"/>
        <v>27</v>
      </c>
      <c r="K6" s="61">
        <f t="shared" si="4"/>
        <v>33</v>
      </c>
      <c r="L6" s="61" t="str">
        <f>IFERROR(VLOOKUP(MID(G6,J6,K6-J6),[6]skilldef!$C:$D,2,FALSE),"-") &amp; " / " &amp; IFERROR(VLOOKUP(MID(G6,H6,I6-H6),[6]skilldef!$A:$B,2,FALSE),"-")</f>
        <v>自分自身に / 行動値設定</v>
      </c>
      <c r="M6" s="61" t="str">
        <f t="shared" si="5"/>
        <v>none</v>
      </c>
      <c r="N6" s="45" t="str">
        <f t="shared" si="6"/>
        <v>none</v>
      </c>
      <c r="O6" s="61" t="e">
        <f t="shared" si="7"/>
        <v>#VALUE!</v>
      </c>
      <c r="P6" s="61">
        <f t="shared" si="8"/>
        <v>4</v>
      </c>
      <c r="Q6" s="61" t="e">
        <f t="shared" si="9"/>
        <v>#VALUE!</v>
      </c>
      <c r="R6" s="61" t="e">
        <f t="shared" si="10"/>
        <v>#VALUE!</v>
      </c>
      <c r="S6" s="61" t="str">
        <f>IFERROR(VLOOKUP(MID(N6,Q6,R6-Q6),[6]skilldef!$C:$D,2,FALSE),"-") &amp; " / " &amp; IFERROR(VLOOKUP(MID(N6,O6,P6-O6),[6]skilldef!$A:$B,2,FALSE),"-")</f>
        <v>- / -</v>
      </c>
      <c r="T6" s="45" t="str">
        <f t="shared" si="11"/>
        <v>none</v>
      </c>
      <c r="U6" s="61" t="e">
        <f t="shared" si="12"/>
        <v>#VALUE!</v>
      </c>
      <c r="V6" s="61">
        <f t="shared" si="13"/>
        <v>4</v>
      </c>
      <c r="W6" s="61" t="e">
        <f t="shared" si="14"/>
        <v>#VALUE!</v>
      </c>
      <c r="X6" s="61" t="e">
        <f t="shared" si="15"/>
        <v>#VALUE!</v>
      </c>
      <c r="Y6" s="61" t="str">
        <f>IFERROR(VLOOKUP(MID(T6,W6,X6-W6),[6]skilldef!$C:$D,2,FALSE),"-") &amp; " / " &amp; IFERROR(VLOOKUP(MID(T6,U6,V6-U6),[6]skilldef!$A:$B,2,FALSE),"-")</f>
        <v>- / -</v>
      </c>
      <c r="Z6" s="47"/>
      <c r="AA6" s="49"/>
      <c r="AB6" s="47" t="s">
        <v>266</v>
      </c>
    </row>
    <row r="7" spans="1:28" ht="21" customHeight="1" x14ac:dyDescent="0.15">
      <c r="A7" s="44">
        <v>48002006</v>
      </c>
      <c r="B7" s="44" t="s">
        <v>285</v>
      </c>
      <c r="C7" s="47">
        <v>1</v>
      </c>
      <c r="D7" s="47" t="s">
        <v>128</v>
      </c>
      <c r="E7" s="48" t="s">
        <v>300</v>
      </c>
      <c r="F7" s="48" t="s">
        <v>311</v>
      </c>
      <c r="G7" s="61" t="str">
        <f t="shared" si="0"/>
        <v xml:space="preserve">[effect:spread, val:0.3]    </v>
      </c>
      <c r="H7" s="61">
        <f t="shared" si="1"/>
        <v>9</v>
      </c>
      <c r="I7" s="61">
        <f t="shared" si="2"/>
        <v>15</v>
      </c>
      <c r="J7" s="61" t="e">
        <f t="shared" si="3"/>
        <v>#VALUE!</v>
      </c>
      <c r="K7" s="61" t="e">
        <f t="shared" si="4"/>
        <v>#VALUE!</v>
      </c>
      <c r="L7" s="61" t="str">
        <f>IFERROR(VLOOKUP(MID(G7,J7,K7-J7),[6]skilldef!$C:$D,2,FALSE),"-") &amp; " / " &amp; IFERROR(VLOOKUP(MID(G7,H7,I7-H7),[6]skilldef!$A:$B,2,FALSE),"-")</f>
        <v>- / 全体攻撃</v>
      </c>
      <c r="M7" s="61" t="str">
        <f t="shared" si="5"/>
        <v>none</v>
      </c>
      <c r="N7" s="45" t="str">
        <f t="shared" si="6"/>
        <v>none</v>
      </c>
      <c r="O7" s="61" t="e">
        <f t="shared" si="7"/>
        <v>#VALUE!</v>
      </c>
      <c r="P7" s="61">
        <f t="shared" si="8"/>
        <v>4</v>
      </c>
      <c r="Q7" s="61" t="e">
        <f t="shared" si="9"/>
        <v>#VALUE!</v>
      </c>
      <c r="R7" s="61" t="e">
        <f t="shared" si="10"/>
        <v>#VALUE!</v>
      </c>
      <c r="S7" s="61" t="str">
        <f>IFERROR(VLOOKUP(MID(N7,Q7,R7-Q7),[6]skilldef!$C:$D,2,FALSE),"-") &amp; " / " &amp; IFERROR(VLOOKUP(MID(N7,O7,P7-O7),[6]skilldef!$A:$B,2,FALSE),"-")</f>
        <v>- / -</v>
      </c>
      <c r="T7" s="45" t="str">
        <f t="shared" si="11"/>
        <v>none</v>
      </c>
      <c r="U7" s="61" t="e">
        <f t="shared" si="12"/>
        <v>#VALUE!</v>
      </c>
      <c r="V7" s="61">
        <f t="shared" si="13"/>
        <v>4</v>
      </c>
      <c r="W7" s="61" t="e">
        <f t="shared" si="14"/>
        <v>#VALUE!</v>
      </c>
      <c r="X7" s="61" t="e">
        <f t="shared" si="15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7"/>
      <c r="AA7" s="49"/>
      <c r="AB7" s="47" t="s">
        <v>263</v>
      </c>
    </row>
    <row r="8" spans="1:28" ht="21" customHeight="1" x14ac:dyDescent="0.15">
      <c r="A8" s="44">
        <v>48002007</v>
      </c>
      <c r="B8" s="44" t="s">
        <v>288</v>
      </c>
      <c r="C8" s="47">
        <v>1</v>
      </c>
      <c r="D8" s="47" t="s">
        <v>128</v>
      </c>
      <c r="E8" s="48" t="s">
        <v>297</v>
      </c>
      <c r="F8" s="48" t="s">
        <v>312</v>
      </c>
      <c r="G8" s="61" t="str">
        <f t="shared" si="0"/>
        <v xml:space="preserve">[effect:rush, count:2, val:0.4]    </v>
      </c>
      <c r="H8" s="61">
        <f t="shared" si="1"/>
        <v>9</v>
      </c>
      <c r="I8" s="61">
        <f t="shared" si="2"/>
        <v>13</v>
      </c>
      <c r="J8" s="61" t="e">
        <f t="shared" si="3"/>
        <v>#VALUE!</v>
      </c>
      <c r="K8" s="61">
        <f t="shared" si="4"/>
        <v>22</v>
      </c>
      <c r="L8" s="61" t="str">
        <f>IFERROR(VLOOKUP(MID(G8,J8,K8-J8),[6]skilldef!$C:$D,2,FALSE),"-") &amp; " / " &amp; IFERROR(VLOOKUP(MID(G8,H8,I8-H8),[6]skilldef!$A:$B,2,FALSE),"-")</f>
        <v>- / 連続攻撃</v>
      </c>
      <c r="M8" s="61" t="str">
        <f t="shared" si="5"/>
        <v>none</v>
      </c>
      <c r="N8" s="45" t="str">
        <f t="shared" si="6"/>
        <v>none</v>
      </c>
      <c r="O8" s="61" t="e">
        <f t="shared" si="7"/>
        <v>#VALUE!</v>
      </c>
      <c r="P8" s="61">
        <f t="shared" si="8"/>
        <v>4</v>
      </c>
      <c r="Q8" s="61" t="e">
        <f t="shared" si="9"/>
        <v>#VALUE!</v>
      </c>
      <c r="R8" s="61" t="e">
        <f t="shared" si="10"/>
        <v>#VALUE!</v>
      </c>
      <c r="S8" s="61" t="str">
        <f>IFERROR(VLOOKUP(MID(N8,Q8,R8-Q8),[6]skilldef!$C:$D,2,FALSE),"-") &amp; " / " &amp; IFERROR(VLOOKUP(MID(N8,O8,P8-O8),[6]skilldef!$A:$B,2,FALSE),"-")</f>
        <v>- / -</v>
      </c>
      <c r="T8" s="45" t="str">
        <f t="shared" si="11"/>
        <v>none</v>
      </c>
      <c r="U8" s="61" t="e">
        <f t="shared" si="12"/>
        <v>#VALUE!</v>
      </c>
      <c r="V8" s="61">
        <f t="shared" si="13"/>
        <v>4</v>
      </c>
      <c r="W8" s="61" t="e">
        <f t="shared" si="14"/>
        <v>#VALUE!</v>
      </c>
      <c r="X8" s="61" t="e">
        <f t="shared" si="15"/>
        <v>#VALUE!</v>
      </c>
      <c r="Y8" s="61" t="str">
        <f>IFERROR(VLOOKUP(MID(T8,W8,X8-W8),[6]skilldef!$C:$D,2,FALSE),"-") &amp; " / " &amp; IFERROR(VLOOKUP(MID(T8,U8,V8-U8),[6]skilldef!$A:$B,2,FALSE),"-")</f>
        <v>- / -</v>
      </c>
      <c r="Z8" s="47"/>
      <c r="AA8" s="49"/>
      <c r="AB8" s="47" t="s">
        <v>263</v>
      </c>
    </row>
    <row r="9" spans="1:28" ht="21" customHeight="1" x14ac:dyDescent="0.15">
      <c r="A9" s="44">
        <v>48002008</v>
      </c>
      <c r="B9" s="44" t="s">
        <v>292</v>
      </c>
      <c r="C9" s="47">
        <v>1</v>
      </c>
      <c r="D9" s="47" t="s">
        <v>128</v>
      </c>
      <c r="E9" s="48" t="s">
        <v>298</v>
      </c>
      <c r="F9" s="48" t="s">
        <v>313</v>
      </c>
      <c r="G9" s="61" t="str">
        <f t="shared" si="0"/>
        <v xml:space="preserve">[effect:rush, count:3, val:0.5]    </v>
      </c>
      <c r="H9" s="61">
        <f t="shared" si="1"/>
        <v>9</v>
      </c>
      <c r="I9" s="61">
        <f t="shared" si="2"/>
        <v>13</v>
      </c>
      <c r="J9" s="61" t="e">
        <f t="shared" si="3"/>
        <v>#VALUE!</v>
      </c>
      <c r="K9" s="61">
        <f t="shared" si="4"/>
        <v>22</v>
      </c>
      <c r="L9" s="61" t="str">
        <f>IFERROR(VLOOKUP(MID(G9,J9,K9-J9),[6]skilldef!$C:$D,2,FALSE),"-") &amp; " / " &amp; IFERROR(VLOOKUP(MID(G9,H9,I9-H9),[6]skilldef!$A:$B,2,FALSE),"-")</f>
        <v>- / 連続攻撃</v>
      </c>
      <c r="M9" s="61" t="str">
        <f t="shared" si="5"/>
        <v>none</v>
      </c>
      <c r="N9" s="45" t="str">
        <f t="shared" si="6"/>
        <v>none</v>
      </c>
      <c r="O9" s="61" t="e">
        <f t="shared" si="7"/>
        <v>#VALUE!</v>
      </c>
      <c r="P9" s="61">
        <f t="shared" si="8"/>
        <v>4</v>
      </c>
      <c r="Q9" s="61" t="e">
        <f t="shared" si="9"/>
        <v>#VALUE!</v>
      </c>
      <c r="R9" s="61" t="e">
        <f t="shared" si="10"/>
        <v>#VALUE!</v>
      </c>
      <c r="S9" s="61" t="str">
        <f>IFERROR(VLOOKUP(MID(N9,Q9,R9-Q9),[6]skilldef!$C:$D,2,FALSE),"-") &amp; " / " &amp; IFERROR(VLOOKUP(MID(N9,O9,P9-O9),[6]skilldef!$A:$B,2,FALSE),"-")</f>
        <v>- / -</v>
      </c>
      <c r="T9" s="45" t="str">
        <f t="shared" si="11"/>
        <v>none</v>
      </c>
      <c r="U9" s="61" t="e">
        <f t="shared" si="12"/>
        <v>#VALUE!</v>
      </c>
      <c r="V9" s="61">
        <f t="shared" si="13"/>
        <v>4</v>
      </c>
      <c r="W9" s="61" t="e">
        <f t="shared" si="14"/>
        <v>#VALUE!</v>
      </c>
      <c r="X9" s="61" t="e">
        <f t="shared" si="15"/>
        <v>#VALUE!</v>
      </c>
      <c r="Y9" s="61" t="str">
        <f>IFERROR(VLOOKUP(MID(T9,W9,X9-W9),[6]skilldef!$C:$D,2,FALSE),"-") &amp; " / " &amp; IFERROR(VLOOKUP(MID(T9,U9,V9-U9),[6]skilldef!$A:$B,2,FALSE),"-")</f>
        <v>- / -</v>
      </c>
      <c r="Z9" s="47"/>
      <c r="AA9" s="49"/>
      <c r="AB9" s="47" t="s">
        <v>264</v>
      </c>
    </row>
    <row r="10" spans="1:28" ht="21" customHeight="1" x14ac:dyDescent="0.15">
      <c r="A10" s="44">
        <v>48002009</v>
      </c>
      <c r="B10" s="44" t="s">
        <v>281</v>
      </c>
      <c r="C10" s="47">
        <v>1</v>
      </c>
      <c r="D10" s="47" t="s">
        <v>128</v>
      </c>
      <c r="E10" s="48" t="s">
        <v>315</v>
      </c>
      <c r="F10" s="48" t="s">
        <v>314</v>
      </c>
      <c r="G10" s="61" t="str">
        <f t="shared" si="0"/>
        <v>[effect:fix_speed, target:myself, turn:2]</v>
      </c>
      <c r="H10" s="61">
        <f t="shared" si="1"/>
        <v>9</v>
      </c>
      <c r="I10" s="61">
        <f t="shared" si="2"/>
        <v>18</v>
      </c>
      <c r="J10" s="61">
        <f t="shared" si="3"/>
        <v>27</v>
      </c>
      <c r="K10" s="61">
        <f t="shared" si="4"/>
        <v>33</v>
      </c>
      <c r="L10" s="61" t="str">
        <f>IFERROR(VLOOKUP(MID(G10,J10,K10-J10),[6]skilldef!$C:$D,2,FALSE),"-") &amp; " / " &amp; IFERROR(VLOOKUP(MID(G10,H10,I10-H10),[6]skilldef!$A:$B,2,FALSE),"-")</f>
        <v>自分自身に / 行動値設定</v>
      </c>
      <c r="M10" s="61" t="str">
        <f t="shared" si="5"/>
        <v>[effect:tolerance, target:myself, turn:-1, tolerance_effect:all, count:-1, animation:enemy_tolerance]</v>
      </c>
      <c r="N10" s="45" t="str">
        <f t="shared" si="6"/>
        <v>[effect:tolerance, target:myself, turn:-1, tolerance_effect:all, count:-1, animation:enemy_tolerance]</v>
      </c>
      <c r="O10" s="61">
        <f t="shared" si="7"/>
        <v>9</v>
      </c>
      <c r="P10" s="61">
        <f t="shared" si="8"/>
        <v>18</v>
      </c>
      <c r="Q10" s="61">
        <f t="shared" si="9"/>
        <v>27</v>
      </c>
      <c r="R10" s="61">
        <f t="shared" si="10"/>
        <v>33</v>
      </c>
      <c r="S10" s="61" t="str">
        <f>IFERROR(VLOOKUP(MID(N10,Q10,R10-Q10),[6]skilldef!$C:$D,2,FALSE),"-") &amp; " / " &amp; IFERROR(VLOOKUP(MID(N10,O10,P10-O10),[6]skilldef!$A:$B,2,FALSE),"-")</f>
        <v>自分自身に / 状態異常耐性</v>
      </c>
      <c r="T10" s="45" t="str">
        <f t="shared" si="11"/>
        <v>none</v>
      </c>
      <c r="U10" s="61" t="e">
        <f t="shared" si="12"/>
        <v>#VALUE!</v>
      </c>
      <c r="V10" s="61">
        <f t="shared" si="13"/>
        <v>4</v>
      </c>
      <c r="W10" s="61" t="e">
        <f t="shared" si="14"/>
        <v>#VALUE!</v>
      </c>
      <c r="X10" s="61" t="e">
        <f t="shared" si="15"/>
        <v>#VALUE!</v>
      </c>
      <c r="Y10" s="61" t="str">
        <f>IFERROR(VLOOKUP(MID(T10,W10,X10-W10),[6]skilldef!$C:$D,2,FALSE),"-") &amp; " / " &amp; IFERROR(VLOOKUP(MID(T10,U10,V10-U10),[6]skilldef!$A:$B,2,FALSE),"-")</f>
        <v>- / -</v>
      </c>
      <c r="Z10" s="47"/>
      <c r="AA10" s="49"/>
      <c r="AB10" s="47" t="s">
        <v>265</v>
      </c>
    </row>
    <row r="11" spans="1:28" ht="21" customHeight="1" x14ac:dyDescent="0.15">
      <c r="A11" s="44">
        <v>48002010</v>
      </c>
      <c r="B11" s="44" t="s">
        <v>281</v>
      </c>
      <c r="C11" s="47">
        <v>1</v>
      </c>
      <c r="D11" s="47" t="s">
        <v>128</v>
      </c>
      <c r="E11" s="48" t="s">
        <v>316</v>
      </c>
      <c r="F11" s="48" t="s">
        <v>314</v>
      </c>
      <c r="G11" s="61" t="str">
        <f t="shared" si="0"/>
        <v>[effect:fix_speed, target:myself, turn:2]</v>
      </c>
      <c r="H11" s="61">
        <f t="shared" si="1"/>
        <v>9</v>
      </c>
      <c r="I11" s="61">
        <f t="shared" si="2"/>
        <v>18</v>
      </c>
      <c r="J11" s="61">
        <f t="shared" si="3"/>
        <v>27</v>
      </c>
      <c r="K11" s="61">
        <f t="shared" si="4"/>
        <v>33</v>
      </c>
      <c r="L11" s="61" t="str">
        <f>IFERROR(VLOOKUP(MID(G11,J11,K11-J11),[6]skilldef!$C:$D,2,FALSE),"-") &amp; " / " &amp; IFERROR(VLOOKUP(MID(G11,H11,I11-H11),[6]skilldef!$A:$B,2,FALSE),"-")</f>
        <v>自分自身に / 行動値設定</v>
      </c>
      <c r="M11" s="61" t="str">
        <f t="shared" si="5"/>
        <v>[effect:tolerance, target:myself, turn:-1, tolerance_effect:all, count:-1, animation:enemy_tolerance]</v>
      </c>
      <c r="N11" s="45" t="str">
        <f>IFERROR(LEFT(M11,FIND("],",M11)+#REF!),M11)</f>
        <v>[effect:tolerance, target:myself, turn:-1, tolerance_effect:all, count:-1, animation:enemy_tolerance]</v>
      </c>
      <c r="O11" s="61">
        <f t="shared" si="7"/>
        <v>9</v>
      </c>
      <c r="P11" s="61">
        <f t="shared" si="8"/>
        <v>18</v>
      </c>
      <c r="Q11" s="61">
        <f t="shared" si="9"/>
        <v>27</v>
      </c>
      <c r="R11" s="61">
        <f t="shared" si="10"/>
        <v>33</v>
      </c>
      <c r="S11" s="61" t="str">
        <f>IFERROR(VLOOKUP(MID(N11,Q11,R11-Q11),[6]skilldef!$C:$D,2,FALSE),"-") &amp; " / " &amp; IFERROR(VLOOKUP(MID(N11,O11,P11-O11),[6]skilldef!$A:$B,2,FALSE),"-")</f>
        <v>自分自身に / 状態異常耐性</v>
      </c>
      <c r="T11" s="45" t="str">
        <f t="shared" si="11"/>
        <v>none</v>
      </c>
      <c r="U11" s="61" t="e">
        <f t="shared" si="12"/>
        <v>#VALUE!</v>
      </c>
      <c r="V11" s="61">
        <f t="shared" si="13"/>
        <v>4</v>
      </c>
      <c r="W11" s="61" t="e">
        <f t="shared" si="14"/>
        <v>#VALUE!</v>
      </c>
      <c r="X11" s="61" t="e">
        <f t="shared" si="15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7"/>
      <c r="AA11" s="49"/>
      <c r="AB11" s="47" t="s">
        <v>265</v>
      </c>
    </row>
    <row r="12" spans="1:28" ht="21" customHeight="1" x14ac:dyDescent="0.15">
      <c r="A12" s="44">
        <v>48002011</v>
      </c>
      <c r="B12" s="44" t="s">
        <v>303</v>
      </c>
      <c r="C12" s="47">
        <v>1</v>
      </c>
      <c r="D12" s="47" t="s">
        <v>128</v>
      </c>
      <c r="E12" s="48" t="s">
        <v>274</v>
      </c>
      <c r="F12" s="48" t="s">
        <v>333</v>
      </c>
      <c r="G12" s="61" t="str">
        <f t="shared" si="0"/>
        <v>[effect:charge, status:attack, val:1.2]</v>
      </c>
      <c r="H12" s="61">
        <f t="shared" si="1"/>
        <v>9</v>
      </c>
      <c r="I12" s="61">
        <f t="shared" si="2"/>
        <v>15</v>
      </c>
      <c r="J12" s="61" t="e">
        <f t="shared" si="3"/>
        <v>#VALUE!</v>
      </c>
      <c r="K12" s="61">
        <f t="shared" si="4"/>
        <v>30</v>
      </c>
      <c r="L12" s="61" t="str">
        <f>IFERROR(VLOOKUP(MID(G12,J12,K12-J12),[6]skilldef!$C:$D,2,FALSE),"-") &amp; " / " &amp; IFERROR(VLOOKUP(MID(G12,H12,I12-H12),[6]skilldef!$A:$B,2,FALSE),"-")</f>
        <v>- / 溜め</v>
      </c>
      <c r="M12" s="61" t="str">
        <f t="shared" si="5"/>
        <v xml:space="preserve">[effect:enemy_counter, target:myself, invoke_condition:unit_all, counter_target:attacker, turn:2, val:0.8, animation:enemy_counter]        </v>
      </c>
      <c r="N12" s="45" t="str">
        <f>IFERROR(LEFT(M12,FIND("],",M12)+#REF!),M12)</f>
        <v xml:space="preserve">[effect:enemy_counter, target:myself, invoke_condition:unit_all, counter_target:attacker, turn:2, val:0.8, animation:enemy_counter]        </v>
      </c>
      <c r="O12" s="61">
        <f t="shared" si="7"/>
        <v>9</v>
      </c>
      <c r="P12" s="61">
        <f t="shared" si="8"/>
        <v>22</v>
      </c>
      <c r="Q12" s="61">
        <f t="shared" si="9"/>
        <v>31</v>
      </c>
      <c r="R12" s="61">
        <f t="shared" si="10"/>
        <v>37</v>
      </c>
      <c r="S12" s="61" t="str">
        <f>IFERROR(VLOOKUP(MID(N12,Q12,R12-Q12),[6]skilldef!$C:$D,2,FALSE),"-") &amp; " / " &amp; IFERROR(VLOOKUP(MID(N12,O12,P12-O12),[6]skilldef!$A:$B,2,FALSE),"-")</f>
        <v>自分自身に / カウンター</v>
      </c>
      <c r="T12" s="45" t="str">
        <f t="shared" si="11"/>
        <v>none</v>
      </c>
      <c r="U12" s="61" t="e">
        <f t="shared" si="12"/>
        <v>#VALUE!</v>
      </c>
      <c r="V12" s="61">
        <f t="shared" si="13"/>
        <v>4</v>
      </c>
      <c r="W12" s="61" t="e">
        <f t="shared" si="14"/>
        <v>#VALUE!</v>
      </c>
      <c r="X12" s="61" t="e">
        <f t="shared" si="15"/>
        <v>#VALUE!</v>
      </c>
      <c r="Y12" s="61" t="str">
        <f>IFERROR(VLOOKUP(MID(T12,W12,X12-W12),[6]skilldef!$C:$D,2,FALSE),"-") &amp; " / " &amp; IFERROR(VLOOKUP(MID(T12,U12,V12-U12),[6]skilldef!$A:$B,2,FALSE),"-")</f>
        <v>- / -</v>
      </c>
      <c r="Z12" s="47"/>
      <c r="AA12" s="49"/>
      <c r="AB12" s="47" t="s">
        <v>265</v>
      </c>
    </row>
    <row r="13" spans="1:28" ht="21" customHeight="1" x14ac:dyDescent="0.15">
      <c r="A13" s="44">
        <v>48002012</v>
      </c>
      <c r="B13" s="44" t="s">
        <v>284</v>
      </c>
      <c r="C13" s="47">
        <v>1</v>
      </c>
      <c r="D13" s="47" t="s">
        <v>128</v>
      </c>
      <c r="E13" s="48" t="s">
        <v>317</v>
      </c>
      <c r="F13" s="48" t="s">
        <v>332</v>
      </c>
      <c r="G13" s="61" t="str">
        <f t="shared" si="0"/>
        <v>[effect:enhance_enemy, target:myself, turn:5, status:attack, val:2000, calc:add, animation:enemy_enhance_attack]</v>
      </c>
      <c r="H13" s="61">
        <f t="shared" si="1"/>
        <v>9</v>
      </c>
      <c r="I13" s="61">
        <f t="shared" si="2"/>
        <v>22</v>
      </c>
      <c r="J13" s="61">
        <f t="shared" si="3"/>
        <v>31</v>
      </c>
      <c r="K13" s="61">
        <f t="shared" si="4"/>
        <v>37</v>
      </c>
      <c r="L13" s="61" t="str">
        <f>IFERROR(VLOOKUP(MID(G13,J13,K13-J13),[6]skilldef!$C:$D,2,FALSE),"-") &amp; " / " &amp; IFERROR(VLOOKUP(MID(G13,H13,I13-H13),[6]skilldef!$A:$B,2,FALSE),"-")</f>
        <v>自分自身に / ステータス強化</v>
      </c>
      <c r="M13" s="61" t="str">
        <f t="shared" si="5"/>
        <v xml:space="preserve"> [effect:tolerance, target:myself, turn:-1, tolerance_effect:all, count:-1, animation:enemy_tolerance]   </v>
      </c>
      <c r="N13" s="45" t="str">
        <f t="shared" ref="N13:N20" si="16">IFERROR(LEFT(M13,FIND("],",M13)+S21),M13)</f>
        <v xml:space="preserve"> [effect:tolerance, target:myself, turn:-1, tolerance_effect:all, count:-1, animation:enemy_tolerance]   </v>
      </c>
      <c r="O13" s="61">
        <f t="shared" si="7"/>
        <v>10</v>
      </c>
      <c r="P13" s="61">
        <f t="shared" si="8"/>
        <v>19</v>
      </c>
      <c r="Q13" s="61">
        <f t="shared" si="9"/>
        <v>28</v>
      </c>
      <c r="R13" s="61">
        <f t="shared" si="10"/>
        <v>34</v>
      </c>
      <c r="S13" s="61" t="str">
        <f>IFERROR(VLOOKUP(MID(N13,Q13,R13-Q13),[6]skilldef!$C:$D,2,FALSE),"-") &amp; " / " &amp; IFERROR(VLOOKUP(MID(N13,O13,P13-O13),[6]skilldef!$A:$B,2,FALSE),"-")</f>
        <v>自分自身に / 状態異常耐性</v>
      </c>
      <c r="T13" s="45" t="str">
        <f t="shared" si="11"/>
        <v>none</v>
      </c>
      <c r="U13" s="61" t="e">
        <f t="shared" si="12"/>
        <v>#VALUE!</v>
      </c>
      <c r="V13" s="61">
        <f t="shared" si="13"/>
        <v>4</v>
      </c>
      <c r="W13" s="61" t="e">
        <f t="shared" si="14"/>
        <v>#VALUE!</v>
      </c>
      <c r="X13" s="61" t="e">
        <f t="shared" si="15"/>
        <v>#VALUE!</v>
      </c>
      <c r="Y13" s="61" t="str">
        <f>IFERROR(VLOOKUP(MID(T13,W13,X13-W13),[6]skilldef!$C:$D,2,FALSE),"-") &amp; " / " &amp; IFERROR(VLOOKUP(MID(T13,U13,V13-U13),[6]skilldef!$A:$B,2,FALSE),"-")</f>
        <v>- / -</v>
      </c>
      <c r="Z13" s="47"/>
      <c r="AA13" s="49"/>
      <c r="AB13" s="47" t="s">
        <v>265</v>
      </c>
    </row>
    <row r="14" spans="1:28" ht="21" customHeight="1" x14ac:dyDescent="0.15">
      <c r="A14" s="44">
        <v>48002013</v>
      </c>
      <c r="B14" s="44" t="s">
        <v>283</v>
      </c>
      <c r="C14" s="47">
        <v>1</v>
      </c>
      <c r="D14" s="47" t="s">
        <v>128</v>
      </c>
      <c r="E14" s="48" t="s">
        <v>272</v>
      </c>
      <c r="F14" s="48" t="s">
        <v>330</v>
      </c>
      <c r="G14" s="61" t="str">
        <f t="shared" si="0"/>
        <v xml:space="preserve">[effect:damage_anti_color, target:unit_all, color:yellow, val1:1, val2:0.25]    </v>
      </c>
      <c r="H14" s="61">
        <f t="shared" si="1"/>
        <v>9</v>
      </c>
      <c r="I14" s="61">
        <f t="shared" si="2"/>
        <v>26</v>
      </c>
      <c r="J14" s="61">
        <f t="shared" si="3"/>
        <v>35</v>
      </c>
      <c r="K14" s="61">
        <f t="shared" si="4"/>
        <v>43</v>
      </c>
      <c r="L14" s="61" t="str">
        <f>IFERROR(VLOOKUP(MID(G14,J14,K14-J14),[6]skilldef!$C:$D,2,FALSE),"-") &amp; " / " &amp; IFERROR(VLOOKUP(MID(G14,H14,I14-H14),[6]skilldef!$A:$B,2,FALSE),"-")</f>
        <v>味方全体に / 属性キラー</v>
      </c>
      <c r="M14" s="61" t="str">
        <f t="shared" si="5"/>
        <v>none</v>
      </c>
      <c r="N14" s="45" t="str">
        <f t="shared" si="16"/>
        <v>none</v>
      </c>
      <c r="O14" s="61" t="e">
        <f t="shared" si="7"/>
        <v>#VALUE!</v>
      </c>
      <c r="P14" s="61">
        <f t="shared" si="8"/>
        <v>4</v>
      </c>
      <c r="Q14" s="61" t="e">
        <f t="shared" si="9"/>
        <v>#VALUE!</v>
      </c>
      <c r="R14" s="61" t="e">
        <f t="shared" si="10"/>
        <v>#VALUE!</v>
      </c>
      <c r="S14" s="61" t="str">
        <f>IFERROR(VLOOKUP(MID(N14,Q14,R14-Q14),[6]skilldef!$C:$D,2,FALSE),"-") &amp; " / " &amp; IFERROR(VLOOKUP(MID(N14,O14,P14-O14),[6]skilldef!$A:$B,2,FALSE),"-")</f>
        <v>- / -</v>
      </c>
      <c r="T14" s="45" t="str">
        <f t="shared" si="11"/>
        <v>none</v>
      </c>
      <c r="U14" s="61" t="e">
        <f t="shared" si="12"/>
        <v>#VALUE!</v>
      </c>
      <c r="V14" s="61">
        <f t="shared" si="13"/>
        <v>4</v>
      </c>
      <c r="W14" s="61" t="e">
        <f t="shared" si="14"/>
        <v>#VALUE!</v>
      </c>
      <c r="X14" s="61" t="e">
        <f t="shared" si="15"/>
        <v>#VALUE!</v>
      </c>
      <c r="Y14" s="61" t="str">
        <f>IFERROR(VLOOKUP(MID(T14,W14,X14-W14),[6]skilldef!$C:$D,2,FALSE),"-") &amp; " / " &amp; IFERROR(VLOOKUP(MID(T14,U14,V14-U14),[6]skilldef!$A:$B,2,FALSE),"-")</f>
        <v>- / -</v>
      </c>
      <c r="Z14" s="47"/>
      <c r="AA14" s="49"/>
      <c r="AB14" s="48" t="s">
        <v>267</v>
      </c>
    </row>
    <row r="15" spans="1:28" ht="21" customHeight="1" x14ac:dyDescent="0.15">
      <c r="A15" s="44">
        <v>48002014</v>
      </c>
      <c r="B15" s="44" t="s">
        <v>337</v>
      </c>
      <c r="C15" s="47">
        <v>1</v>
      </c>
      <c r="D15" s="47" t="s">
        <v>128</v>
      </c>
      <c r="E15" s="48" t="s">
        <v>318</v>
      </c>
      <c r="F15" s="48" t="s">
        <v>338</v>
      </c>
      <c r="G15" s="61" t="str">
        <f t="shared" si="0"/>
        <v>[effect:force_change_block, new_block:time_bomb, target:block_red, count:6, val:0.2, min_time_count:2, max_time_count:4, animation:change_block]</v>
      </c>
      <c r="H15" s="61">
        <f t="shared" si="1"/>
        <v>9</v>
      </c>
      <c r="I15" s="61">
        <f t="shared" si="2"/>
        <v>27</v>
      </c>
      <c r="J15" s="61">
        <f t="shared" si="3"/>
        <v>57</v>
      </c>
      <c r="K15" s="61">
        <f t="shared" si="4"/>
        <v>48</v>
      </c>
      <c r="L15" s="61" t="str">
        <f>IFERROR(VLOOKUP(MID(G15,J15,K15-J15),[6]skilldef!$C:$D,2,FALSE),"-") &amp; " / " &amp; IFERROR(VLOOKUP(MID(G15,H15,I15-H15),[6]skilldef!$A:$B,2,FALSE),"-")</f>
        <v>- / -</v>
      </c>
      <c r="M15" s="61" t="str">
        <f t="shared" si="5"/>
        <v>[effect:force_change_block, new_block:jammer, target:block_blue, count:6, val:0, animation:change_block]</v>
      </c>
      <c r="N15" s="45" t="str">
        <f t="shared" si="16"/>
        <v>[effect:force_change_block, new_block:jammer, target:block_blue, count:6, val:0, animation:change_block]</v>
      </c>
      <c r="O15" s="61">
        <f t="shared" si="7"/>
        <v>9</v>
      </c>
      <c r="P15" s="61">
        <f t="shared" si="8"/>
        <v>27</v>
      </c>
      <c r="Q15" s="61">
        <f t="shared" si="9"/>
        <v>54</v>
      </c>
      <c r="R15" s="61">
        <f t="shared" si="10"/>
        <v>45</v>
      </c>
      <c r="S15" s="61" t="str">
        <f>IFERROR(VLOOKUP(MID(N15,Q15,R15-Q15),[6]skilldef!$C:$D,2,FALSE),"-") &amp; " / " &amp; IFERROR(VLOOKUP(MID(N15,O15,P15-O15),[6]skilldef!$A:$B,2,FALSE),"-")</f>
        <v>- / -</v>
      </c>
      <c r="T15" s="45" t="str">
        <f t="shared" si="11"/>
        <v>none</v>
      </c>
      <c r="U15" s="61" t="e">
        <f t="shared" si="12"/>
        <v>#VALUE!</v>
      </c>
      <c r="V15" s="61">
        <f t="shared" si="13"/>
        <v>4</v>
      </c>
      <c r="W15" s="61" t="e">
        <f t="shared" si="14"/>
        <v>#VALUE!</v>
      </c>
      <c r="X15" s="61" t="e">
        <f t="shared" si="15"/>
        <v>#VALUE!</v>
      </c>
      <c r="Y15" s="61" t="str">
        <f>IFERROR(VLOOKUP(MID(T15,W15,X15-W15),[6]skilldef!$C:$D,2,FALSE),"-") &amp; " / " &amp; IFERROR(VLOOKUP(MID(T15,U15,V15-U15),[6]skilldef!$A:$B,2,FALSE),"-")</f>
        <v>- / -</v>
      </c>
      <c r="Z15" s="47"/>
      <c r="AA15" s="49"/>
      <c r="AB15" s="48" t="s">
        <v>267</v>
      </c>
    </row>
    <row r="16" spans="1:28" ht="21" customHeight="1" x14ac:dyDescent="0.15">
      <c r="A16" s="44">
        <v>48002015</v>
      </c>
      <c r="B16" s="44" t="s">
        <v>308</v>
      </c>
      <c r="C16" s="47">
        <v>1</v>
      </c>
      <c r="D16" s="47" t="s">
        <v>128</v>
      </c>
      <c r="E16" s="48" t="s">
        <v>319</v>
      </c>
      <c r="F16" s="48" t="s">
        <v>301</v>
      </c>
      <c r="G16" s="61" t="str">
        <f t="shared" si="0"/>
        <v>[effect:break_attack_fix, val:800, lowest_val:1000, count:-1, block:jammer, target:unit_all]</v>
      </c>
      <c r="H16" s="61">
        <f t="shared" si="1"/>
        <v>9</v>
      </c>
      <c r="I16" s="61">
        <f t="shared" si="2"/>
        <v>25</v>
      </c>
      <c r="J16" s="61">
        <f t="shared" si="3"/>
        <v>84</v>
      </c>
      <c r="K16" s="61">
        <f t="shared" si="4"/>
        <v>34</v>
      </c>
      <c r="L16" s="61" t="str">
        <f>IFERROR(VLOOKUP(MID(G16,J16,K16-J16),[6]skilldef!$C:$D,2,FALSE),"-") &amp; " / " &amp; IFERROR(VLOOKUP(MID(G16,H16,I16-H16),[6]skilldef!$A:$B,2,FALSE),"-")</f>
        <v>- / -</v>
      </c>
      <c r="M16" s="61" t="str">
        <f t="shared" si="5"/>
        <v>none</v>
      </c>
      <c r="N16" s="45" t="str">
        <f t="shared" si="16"/>
        <v>none</v>
      </c>
      <c r="O16" s="61" t="e">
        <f t="shared" si="7"/>
        <v>#VALUE!</v>
      </c>
      <c r="P16" s="61">
        <f t="shared" si="8"/>
        <v>4</v>
      </c>
      <c r="Q16" s="61" t="e">
        <f t="shared" si="9"/>
        <v>#VALUE!</v>
      </c>
      <c r="R16" s="61" t="e">
        <f t="shared" si="10"/>
        <v>#VALUE!</v>
      </c>
      <c r="S16" s="61" t="str">
        <f>IFERROR(VLOOKUP(MID(N16,Q16,R16-Q16),[6]skilldef!$C:$D,2,FALSE),"-") &amp; " / " &amp; IFERROR(VLOOKUP(MID(N16,O16,P16-O16),[6]skilldef!$A:$B,2,FALSE),"-")</f>
        <v>- / -</v>
      </c>
      <c r="T16" s="45" t="str">
        <f t="shared" si="11"/>
        <v>none</v>
      </c>
      <c r="U16" s="61" t="e">
        <f t="shared" si="12"/>
        <v>#VALUE!</v>
      </c>
      <c r="V16" s="61">
        <f t="shared" si="13"/>
        <v>4</v>
      </c>
      <c r="W16" s="61" t="e">
        <f t="shared" si="14"/>
        <v>#VALUE!</v>
      </c>
      <c r="X16" s="61" t="e">
        <f t="shared" si="15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7"/>
      <c r="AA16" s="49"/>
      <c r="AB16" s="48" t="s">
        <v>267</v>
      </c>
    </row>
    <row r="17" spans="1:28" ht="21" customHeight="1" x14ac:dyDescent="0.15">
      <c r="A17" s="44">
        <v>48002016</v>
      </c>
      <c r="B17" s="44" t="s">
        <v>282</v>
      </c>
      <c r="C17" s="47">
        <v>1</v>
      </c>
      <c r="D17" s="47" t="s">
        <v>128</v>
      </c>
      <c r="E17" s="48" t="s">
        <v>320</v>
      </c>
      <c r="F17" s="48" t="s">
        <v>331</v>
      </c>
      <c r="G17" s="61" t="str">
        <f t="shared" si="0"/>
        <v>[effect:fix_speed, target:myself, turn:1]</v>
      </c>
      <c r="H17" s="61">
        <f t="shared" si="1"/>
        <v>9</v>
      </c>
      <c r="I17" s="61">
        <f t="shared" si="2"/>
        <v>18</v>
      </c>
      <c r="J17" s="61">
        <f t="shared" si="3"/>
        <v>27</v>
      </c>
      <c r="K17" s="61">
        <f t="shared" si="4"/>
        <v>33</v>
      </c>
      <c r="L17" s="61" t="str">
        <f>IFERROR(VLOOKUP(MID(G17,J17,K17-J17),[6]skilldef!$C:$D,2,FALSE),"-") &amp; " / " &amp; IFERROR(VLOOKUP(MID(G17,H17,I17-H17),[6]skilldef!$A:$B,2,FALSE),"-")</f>
        <v>自分自身に / 行動値設定</v>
      </c>
      <c r="M17" s="61" t="str">
        <f t="shared" si="5"/>
        <v xml:space="preserve">[effect:tolerance, target:myself, turn:-1, tolerance_effect:all, count:-1, animation:enemy_tolerance]    </v>
      </c>
      <c r="N17" s="45" t="str">
        <f t="shared" si="16"/>
        <v xml:space="preserve">[effect:tolerance, target:myself, turn:-1, tolerance_effect:all, count:-1, animation:enemy_tolerance]    </v>
      </c>
      <c r="O17" s="61">
        <f t="shared" si="7"/>
        <v>9</v>
      </c>
      <c r="P17" s="61">
        <f t="shared" si="8"/>
        <v>18</v>
      </c>
      <c r="Q17" s="61">
        <f t="shared" si="9"/>
        <v>27</v>
      </c>
      <c r="R17" s="61">
        <f t="shared" si="10"/>
        <v>33</v>
      </c>
      <c r="S17" s="61" t="str">
        <f>IFERROR(VLOOKUP(MID(N17,Q17,R17-Q17),[6]skilldef!$C:$D,2,FALSE),"-") &amp; " / " &amp; IFERROR(VLOOKUP(MID(N17,O17,P17-O17),[6]skilldef!$A:$B,2,FALSE),"-")</f>
        <v>自分自身に / 状態異常耐性</v>
      </c>
      <c r="T17" s="45" t="str">
        <f t="shared" si="11"/>
        <v>none</v>
      </c>
      <c r="U17" s="61" t="e">
        <f t="shared" si="12"/>
        <v>#VALUE!</v>
      </c>
      <c r="V17" s="61">
        <f t="shared" si="13"/>
        <v>4</v>
      </c>
      <c r="W17" s="61" t="e">
        <f t="shared" si="14"/>
        <v>#VALUE!</v>
      </c>
      <c r="X17" s="61" t="e">
        <f t="shared" si="15"/>
        <v>#VALUE!</v>
      </c>
      <c r="Y17" s="61" t="str">
        <f>IFERROR(VLOOKUP(MID(T17,W17,X17-W17),[6]skilldef!$C:$D,2,FALSE),"-") &amp; " / " &amp; IFERROR(VLOOKUP(MID(T17,U17,V17-U17),[6]skilldef!$A:$B,2,FALSE),"-")</f>
        <v>- / -</v>
      </c>
      <c r="Z17" s="47"/>
      <c r="AA17" s="49"/>
      <c r="AB17" s="48" t="s">
        <v>268</v>
      </c>
    </row>
    <row r="18" spans="1:28" ht="21" customHeight="1" x14ac:dyDescent="0.15">
      <c r="A18" s="44">
        <v>48002017</v>
      </c>
      <c r="B18" s="44" t="s">
        <v>307</v>
      </c>
      <c r="C18" s="47">
        <v>1</v>
      </c>
      <c r="D18" s="47" t="s">
        <v>128</v>
      </c>
      <c r="E18" s="48" t="s">
        <v>271</v>
      </c>
      <c r="F18" s="48" t="s">
        <v>329</v>
      </c>
      <c r="G18" s="61" t="str">
        <f t="shared" si="0"/>
        <v xml:space="preserve">[effect:damage_anti_tribe, target:unit_all, tribe:god, val1:1, val2:0.3]    </v>
      </c>
      <c r="H18" s="61">
        <f t="shared" si="1"/>
        <v>9</v>
      </c>
      <c r="I18" s="61">
        <f t="shared" si="2"/>
        <v>26</v>
      </c>
      <c r="J18" s="61">
        <f t="shared" si="3"/>
        <v>35</v>
      </c>
      <c r="K18" s="61">
        <f t="shared" si="4"/>
        <v>43</v>
      </c>
      <c r="L18" s="61" t="str">
        <f>IFERROR(VLOOKUP(MID(G18,J18,K18-J18),[6]skilldef!$C:$D,2,FALSE),"-") &amp; " / " &amp; IFERROR(VLOOKUP(MID(G18,H18,I18-H18),[6]skilldef!$A:$B,2,FALSE),"-")</f>
        <v>味方全体に / 種族キラー</v>
      </c>
      <c r="M18" s="61" t="str">
        <f t="shared" si="5"/>
        <v>none</v>
      </c>
      <c r="N18" s="45" t="str">
        <f t="shared" si="16"/>
        <v>none</v>
      </c>
      <c r="O18" s="61" t="e">
        <f t="shared" si="7"/>
        <v>#VALUE!</v>
      </c>
      <c r="P18" s="61">
        <f t="shared" si="8"/>
        <v>4</v>
      </c>
      <c r="Q18" s="61" t="e">
        <f t="shared" si="9"/>
        <v>#VALUE!</v>
      </c>
      <c r="R18" s="61" t="e">
        <f t="shared" si="10"/>
        <v>#VALUE!</v>
      </c>
      <c r="S18" s="61" t="str">
        <f>IFERROR(VLOOKUP(MID(N18,Q18,R18-Q18),[6]skilldef!$C:$D,2,FALSE),"-") &amp; " / " &amp; IFERROR(VLOOKUP(MID(N18,O18,P18-O18),[6]skilldef!$A:$B,2,FALSE),"-")</f>
        <v>- / -</v>
      </c>
      <c r="T18" s="45" t="str">
        <f t="shared" si="11"/>
        <v>none</v>
      </c>
      <c r="U18" s="61" t="e">
        <f t="shared" si="12"/>
        <v>#VALUE!</v>
      </c>
      <c r="V18" s="61">
        <f t="shared" si="13"/>
        <v>4</v>
      </c>
      <c r="W18" s="61" t="e">
        <f t="shared" si="14"/>
        <v>#VALUE!</v>
      </c>
      <c r="X18" s="61" t="e">
        <f t="shared" si="15"/>
        <v>#VALUE!</v>
      </c>
      <c r="Y18" s="61" t="str">
        <f>IFERROR(VLOOKUP(MID(T18,W18,X18-W18),[6]skilldef!$C:$D,2,FALSE),"-") &amp; " / " &amp; IFERROR(VLOOKUP(MID(T18,U18,V18-U18),[6]skilldef!$A:$B,2,FALSE),"-")</f>
        <v>- / -</v>
      </c>
      <c r="Z18" s="47"/>
      <c r="AA18" s="49"/>
      <c r="AB18" s="48" t="s">
        <v>269</v>
      </c>
    </row>
    <row r="19" spans="1:28" ht="21" customHeight="1" x14ac:dyDescent="0.15">
      <c r="A19" s="44">
        <v>48002018</v>
      </c>
      <c r="B19" s="44" t="s">
        <v>309</v>
      </c>
      <c r="C19" s="47">
        <v>1</v>
      </c>
      <c r="D19" s="47" t="s">
        <v>128</v>
      </c>
      <c r="E19" s="48" t="s">
        <v>275</v>
      </c>
      <c r="F19" s="48" t="s">
        <v>328</v>
      </c>
      <c r="G19" s="61" t="str">
        <f t="shared" si="0"/>
        <v xml:space="preserve">[effect:rush, count:4, val:0.65]    </v>
      </c>
      <c r="H19" s="61">
        <f t="shared" si="1"/>
        <v>9</v>
      </c>
      <c r="I19" s="61">
        <f t="shared" si="2"/>
        <v>13</v>
      </c>
      <c r="J19" s="61" t="e">
        <f t="shared" si="3"/>
        <v>#VALUE!</v>
      </c>
      <c r="K19" s="61">
        <f t="shared" si="4"/>
        <v>22</v>
      </c>
      <c r="L19" s="61" t="str">
        <f>IFERROR(VLOOKUP(MID(G19,J19,K19-J19),[6]skilldef!$C:$D,2,FALSE),"-") &amp; " / " &amp; IFERROR(VLOOKUP(MID(G19,H19,I19-H19),[6]skilldef!$A:$B,2,FALSE),"-")</f>
        <v>- / 連続攻撃</v>
      </c>
      <c r="M19" s="61" t="str">
        <f t="shared" si="5"/>
        <v>none</v>
      </c>
      <c r="N19" s="45" t="str">
        <f t="shared" si="16"/>
        <v>none</v>
      </c>
      <c r="O19" s="61" t="e">
        <f t="shared" si="7"/>
        <v>#VALUE!</v>
      </c>
      <c r="P19" s="61">
        <f t="shared" si="8"/>
        <v>4</v>
      </c>
      <c r="Q19" s="61" t="e">
        <f t="shared" si="9"/>
        <v>#VALUE!</v>
      </c>
      <c r="R19" s="61" t="e">
        <f t="shared" si="10"/>
        <v>#VALUE!</v>
      </c>
      <c r="S19" s="61" t="str">
        <f>IFERROR(VLOOKUP(MID(N19,Q19,R19-Q19),[6]skilldef!$C:$D,2,FALSE),"-") &amp; " / " &amp; IFERROR(VLOOKUP(MID(N19,O19,P19-O19),[6]skilldef!$A:$B,2,FALSE),"-")</f>
        <v>- / -</v>
      </c>
      <c r="T19" s="45" t="str">
        <f t="shared" si="11"/>
        <v>none</v>
      </c>
      <c r="U19" s="61" t="e">
        <f t="shared" si="12"/>
        <v>#VALUE!</v>
      </c>
      <c r="V19" s="61">
        <f t="shared" si="13"/>
        <v>4</v>
      </c>
      <c r="W19" s="61" t="e">
        <f t="shared" si="14"/>
        <v>#VALUE!</v>
      </c>
      <c r="X19" s="61" t="e">
        <f t="shared" si="15"/>
        <v>#VALUE!</v>
      </c>
      <c r="Y19" s="61" t="str">
        <f>IFERROR(VLOOKUP(MID(T19,W19,X19-W19),[6]skilldef!$C:$D,2,FALSE),"-") &amp; " / " &amp; IFERROR(VLOOKUP(MID(T19,U19,V19-U19),[6]skilldef!$A:$B,2,FALSE),"-")</f>
        <v>- / -</v>
      </c>
      <c r="Z19" s="47"/>
      <c r="AA19" s="49"/>
      <c r="AB19" s="48" t="s">
        <v>270</v>
      </c>
    </row>
    <row r="20" spans="1:28" ht="21" customHeight="1" x14ac:dyDescent="0.15">
      <c r="A20" s="44">
        <v>48002019</v>
      </c>
      <c r="B20" s="44" t="s">
        <v>277</v>
      </c>
      <c r="C20" s="47">
        <v>1</v>
      </c>
      <c r="D20" s="47" t="s">
        <v>128</v>
      </c>
      <c r="E20" s="48" t="s">
        <v>321</v>
      </c>
      <c r="F20" s="48" t="s">
        <v>322</v>
      </c>
      <c r="G20" s="61" t="str">
        <f t="shared" si="0"/>
        <v xml:space="preserve">[effect:enemy_message, val1:1.5, val2:1.5]    </v>
      </c>
      <c r="H20" s="61">
        <f t="shared" si="1"/>
        <v>9</v>
      </c>
      <c r="I20" s="61">
        <f t="shared" si="2"/>
        <v>22</v>
      </c>
      <c r="J20" s="61" t="e">
        <f t="shared" si="3"/>
        <v>#VALUE!</v>
      </c>
      <c r="K20" s="61">
        <f t="shared" si="4"/>
        <v>32</v>
      </c>
      <c r="L20" s="61" t="str">
        <f>IFERROR(VLOOKUP(MID(G20,J20,K20-J20),[6]skilldef!$C:$D,2,FALSE),"-") &amp; " / " &amp; IFERROR(VLOOKUP(MID(G20,H20,I20-H20),[6]skilldef!$A:$B,2,FALSE),"-")</f>
        <v>- / -</v>
      </c>
      <c r="M20" s="61" t="str">
        <f t="shared" si="5"/>
        <v>none</v>
      </c>
      <c r="N20" s="45" t="str">
        <f t="shared" si="16"/>
        <v>none</v>
      </c>
      <c r="O20" s="61" t="e">
        <f t="shared" si="7"/>
        <v>#VALUE!</v>
      </c>
      <c r="P20" s="61">
        <f t="shared" si="8"/>
        <v>4</v>
      </c>
      <c r="Q20" s="61" t="e">
        <f t="shared" si="9"/>
        <v>#VALUE!</v>
      </c>
      <c r="R20" s="61" t="e">
        <f t="shared" si="10"/>
        <v>#VALUE!</v>
      </c>
      <c r="S20" s="61" t="str">
        <f>IFERROR(VLOOKUP(MID(N20,Q20,R20-Q20),[6]skilldef!$C:$D,2,FALSE),"-") &amp; " / " &amp; IFERROR(VLOOKUP(MID(N20,O20,P20-O20),[6]skilldef!$A:$B,2,FALSE),"-")</f>
        <v>- / -</v>
      </c>
      <c r="T20" s="45" t="str">
        <f t="shared" si="11"/>
        <v>none</v>
      </c>
      <c r="U20" s="61" t="e">
        <f t="shared" si="12"/>
        <v>#VALUE!</v>
      </c>
      <c r="V20" s="61">
        <f t="shared" si="13"/>
        <v>4</v>
      </c>
      <c r="W20" s="61" t="e">
        <f t="shared" si="14"/>
        <v>#VALUE!</v>
      </c>
      <c r="X20" s="61" t="e">
        <f t="shared" si="15"/>
        <v>#VALUE!</v>
      </c>
      <c r="Y20" s="61" t="str">
        <f>IFERROR(VLOOKUP(MID(T20,W20,X20-W20),[6]skilldef!$C:$D,2,FALSE),"-") &amp; " / " &amp; IFERROR(VLOOKUP(MID(T20,U20,V20-U20),[6]skilldef!$A:$B,2,FALSE),"-")</f>
        <v>- / -</v>
      </c>
      <c r="Z20" s="47"/>
      <c r="AA20" s="49"/>
      <c r="AB20" s="48" t="s">
        <v>273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2"/>
  <sheetViews>
    <sheetView showGridLines="0" workbookViewId="0">
      <pane ySplit="1" topLeftCell="A2" activePane="bottomLeft" state="frozenSplit"/>
      <selection pane="bottomLeft" activeCell="G23" sqref="G23"/>
    </sheetView>
  </sheetViews>
  <sheetFormatPr baseColWidth="12" defaultColWidth="12.83203125" defaultRowHeight="21" customHeight="1" x14ac:dyDescent="0.15"/>
  <cols>
    <col min="1" max="1" width="16.1640625" style="46" bestFit="1" customWidth="1"/>
    <col min="2" max="2" width="13.33203125" style="46" bestFit="1" customWidth="1"/>
    <col min="3" max="3" width="11.83203125" style="46" bestFit="1" customWidth="1"/>
    <col min="4" max="4" width="14.6640625" style="46" bestFit="1" customWidth="1"/>
    <col min="5" max="5" width="15.6640625" style="46" bestFit="1" customWidth="1"/>
    <col min="6" max="6" width="17" style="46" bestFit="1" customWidth="1"/>
    <col min="7" max="7" width="15.6640625" style="46" bestFit="1" customWidth="1"/>
    <col min="8" max="9" width="14.6640625" style="46" customWidth="1"/>
    <col min="10" max="10" width="14.6640625" style="46" bestFit="1" customWidth="1"/>
    <col min="11" max="11" width="22.83203125" style="39" bestFit="1" customWidth="1"/>
    <col min="12" max="16384" width="12.83203125" style="42"/>
  </cols>
  <sheetData>
    <row r="1" spans="1:11" ht="21" customHeight="1" thickBot="1" x14ac:dyDescent="0.2">
      <c r="A1" s="50" t="s">
        <v>84</v>
      </c>
      <c r="B1" s="50" t="s">
        <v>85</v>
      </c>
      <c r="C1" s="50" t="s">
        <v>86</v>
      </c>
      <c r="D1" s="50" t="s">
        <v>87</v>
      </c>
      <c r="E1" s="50" t="s">
        <v>70</v>
      </c>
      <c r="F1" s="50" t="s">
        <v>71</v>
      </c>
      <c r="G1" s="50" t="s">
        <v>72</v>
      </c>
      <c r="H1" s="50" t="s">
        <v>73</v>
      </c>
      <c r="I1" s="50" t="s">
        <v>74</v>
      </c>
      <c r="J1" s="50" t="s">
        <v>75</v>
      </c>
      <c r="K1" s="51" t="s">
        <v>88</v>
      </c>
    </row>
    <row r="2" spans="1:11" ht="21" customHeight="1" x14ac:dyDescent="0.15">
      <c r="A2" s="125">
        <v>48002001</v>
      </c>
      <c r="B2" s="126">
        <v>1</v>
      </c>
      <c r="C2" s="126">
        <v>98</v>
      </c>
      <c r="D2" s="126">
        <v>100</v>
      </c>
      <c r="E2" s="126" t="s">
        <v>276</v>
      </c>
      <c r="F2" s="126" t="s">
        <v>90</v>
      </c>
      <c r="G2" s="126">
        <v>1</v>
      </c>
      <c r="H2" s="126" t="s">
        <v>90</v>
      </c>
      <c r="I2" s="126" t="s">
        <v>90</v>
      </c>
      <c r="J2" s="127">
        <f t="shared" ref="J2" si="0">D2</f>
        <v>100</v>
      </c>
    </row>
    <row r="3" spans="1:11" ht="21" customHeight="1" x14ac:dyDescent="0.15">
      <c r="A3" s="128">
        <v>48002002</v>
      </c>
      <c r="B3" s="44">
        <v>1</v>
      </c>
      <c r="C3" s="44">
        <v>99</v>
      </c>
      <c r="D3" s="44">
        <v>100</v>
      </c>
      <c r="E3" s="44" t="s">
        <v>276</v>
      </c>
      <c r="F3" s="44" t="s">
        <v>89</v>
      </c>
      <c r="G3" s="44">
        <v>1</v>
      </c>
      <c r="H3" s="44" t="s">
        <v>89</v>
      </c>
      <c r="I3" s="44">
        <v>8005</v>
      </c>
      <c r="J3" s="129">
        <f t="shared" ref="J3:J13" si="1">D3</f>
        <v>100</v>
      </c>
    </row>
    <row r="4" spans="1:11" ht="21" customHeight="1" x14ac:dyDescent="0.15">
      <c r="A4" s="128">
        <v>48002003</v>
      </c>
      <c r="B4" s="44">
        <v>1</v>
      </c>
      <c r="C4" s="44">
        <v>100</v>
      </c>
      <c r="D4" s="44">
        <v>100</v>
      </c>
      <c r="E4" s="44" t="s">
        <v>276</v>
      </c>
      <c r="F4" s="44" t="s">
        <v>89</v>
      </c>
      <c r="G4" s="44">
        <v>1</v>
      </c>
      <c r="H4" s="44" t="s">
        <v>89</v>
      </c>
      <c r="I4" s="44">
        <v>8006</v>
      </c>
      <c r="J4" s="129">
        <f t="shared" si="1"/>
        <v>100</v>
      </c>
    </row>
    <row r="5" spans="1:11" ht="21" customHeight="1" thickBot="1" x14ac:dyDescent="0.2">
      <c r="A5" s="130">
        <v>48002004</v>
      </c>
      <c r="B5" s="107">
        <v>1</v>
      </c>
      <c r="C5" s="107" t="s">
        <v>296</v>
      </c>
      <c r="D5" s="107">
        <v>100</v>
      </c>
      <c r="E5" s="107" t="s">
        <v>53</v>
      </c>
      <c r="F5" s="107" t="s">
        <v>89</v>
      </c>
      <c r="G5" s="107">
        <v>0</v>
      </c>
      <c r="H5" s="107" t="s">
        <v>89</v>
      </c>
      <c r="I5" s="107">
        <v>0</v>
      </c>
      <c r="J5" s="131">
        <f t="shared" si="1"/>
        <v>100</v>
      </c>
    </row>
    <row r="6" spans="1:11" ht="21" customHeight="1" thickBot="1" x14ac:dyDescent="0.2">
      <c r="A6" s="132">
        <v>48002005</v>
      </c>
      <c r="B6" s="133">
        <v>0</v>
      </c>
      <c r="C6" s="133" t="s">
        <v>89</v>
      </c>
      <c r="D6" s="133">
        <v>100</v>
      </c>
      <c r="E6" s="133" t="s">
        <v>53</v>
      </c>
      <c r="F6" s="133" t="s">
        <v>89</v>
      </c>
      <c r="G6" s="133">
        <v>1</v>
      </c>
      <c r="H6" s="133" t="s">
        <v>89</v>
      </c>
      <c r="I6" s="133">
        <v>33</v>
      </c>
      <c r="J6" s="134">
        <f t="shared" si="1"/>
        <v>100</v>
      </c>
    </row>
    <row r="7" spans="1:11" ht="21" customHeight="1" x14ac:dyDescent="0.15">
      <c r="A7" s="125">
        <v>48002006</v>
      </c>
      <c r="B7" s="126">
        <v>1</v>
      </c>
      <c r="C7" s="126" t="s">
        <v>53</v>
      </c>
      <c r="D7" s="126">
        <v>100</v>
      </c>
      <c r="E7" s="126" t="s">
        <v>53</v>
      </c>
      <c r="F7" s="126" t="s">
        <v>53</v>
      </c>
      <c r="G7" s="126">
        <v>1</v>
      </c>
      <c r="H7" s="126" t="s">
        <v>53</v>
      </c>
      <c r="I7" s="126" t="s">
        <v>53</v>
      </c>
      <c r="J7" s="106">
        <f t="shared" si="1"/>
        <v>100</v>
      </c>
    </row>
    <row r="8" spans="1:11" ht="21" customHeight="1" thickBot="1" x14ac:dyDescent="0.2">
      <c r="A8" s="130">
        <v>48002007</v>
      </c>
      <c r="B8" s="107">
        <v>0</v>
      </c>
      <c r="C8" s="107">
        <v>100</v>
      </c>
      <c r="D8" s="107">
        <v>75</v>
      </c>
      <c r="E8" s="107">
        <v>60</v>
      </c>
      <c r="F8" s="107" t="s">
        <v>89</v>
      </c>
      <c r="G8" s="107">
        <v>2</v>
      </c>
      <c r="H8" s="107" t="s">
        <v>89</v>
      </c>
      <c r="I8" s="107" t="s">
        <v>89</v>
      </c>
      <c r="J8" s="140">
        <f t="shared" si="1"/>
        <v>75</v>
      </c>
    </row>
    <row r="9" spans="1:11" ht="21" customHeight="1" x14ac:dyDescent="0.15">
      <c r="A9" s="125">
        <v>48002008</v>
      </c>
      <c r="B9" s="126">
        <v>0</v>
      </c>
      <c r="C9" s="126" t="s">
        <v>53</v>
      </c>
      <c r="D9" s="126">
        <v>100</v>
      </c>
      <c r="E9" s="126" t="s">
        <v>53</v>
      </c>
      <c r="F9" s="126" t="s">
        <v>53</v>
      </c>
      <c r="G9" s="126">
        <v>1</v>
      </c>
      <c r="H9" s="126" t="s">
        <v>53</v>
      </c>
      <c r="I9" s="126" t="s">
        <v>53</v>
      </c>
      <c r="J9" s="127">
        <f t="shared" si="1"/>
        <v>100</v>
      </c>
    </row>
    <row r="10" spans="1:11" ht="21" customHeight="1" thickBot="1" x14ac:dyDescent="0.2">
      <c r="A10" s="130">
        <v>48002009</v>
      </c>
      <c r="B10" s="107">
        <v>0</v>
      </c>
      <c r="C10" s="107">
        <v>100</v>
      </c>
      <c r="D10" s="107">
        <v>60</v>
      </c>
      <c r="E10" s="107" t="s">
        <v>53</v>
      </c>
      <c r="F10" s="107" t="s">
        <v>53</v>
      </c>
      <c r="G10" s="107">
        <v>2</v>
      </c>
      <c r="H10" s="107" t="s">
        <v>53</v>
      </c>
      <c r="I10" s="107" t="s">
        <v>53</v>
      </c>
      <c r="J10" s="131">
        <f t="shared" si="1"/>
        <v>60</v>
      </c>
    </row>
    <row r="11" spans="1:11" ht="21" customHeight="1" x14ac:dyDescent="0.15">
      <c r="A11" s="125">
        <v>48002010</v>
      </c>
      <c r="B11" s="126">
        <v>1</v>
      </c>
      <c r="C11" s="126" t="s">
        <v>53</v>
      </c>
      <c r="D11" s="126">
        <v>100</v>
      </c>
      <c r="E11" s="126" t="s">
        <v>53</v>
      </c>
      <c r="F11" s="126" t="s">
        <v>53</v>
      </c>
      <c r="G11" s="126">
        <v>1</v>
      </c>
      <c r="H11" s="126" t="s">
        <v>53</v>
      </c>
      <c r="I11" s="126" t="s">
        <v>53</v>
      </c>
      <c r="J11" s="139">
        <f t="shared" si="1"/>
        <v>100</v>
      </c>
    </row>
    <row r="12" spans="1:11" ht="21" customHeight="1" x14ac:dyDescent="0.15">
      <c r="A12" s="128">
        <v>48002011</v>
      </c>
      <c r="B12" s="44">
        <v>1</v>
      </c>
      <c r="C12" s="44">
        <v>99</v>
      </c>
      <c r="D12" s="44">
        <v>100</v>
      </c>
      <c r="E12" s="44" t="s">
        <v>53</v>
      </c>
      <c r="F12" s="44" t="s">
        <v>53</v>
      </c>
      <c r="G12" s="44">
        <v>1</v>
      </c>
      <c r="H12" s="44" t="s">
        <v>53</v>
      </c>
      <c r="I12" s="44">
        <v>8005</v>
      </c>
      <c r="J12" s="45">
        <f t="shared" si="1"/>
        <v>100</v>
      </c>
    </row>
    <row r="13" spans="1:11" ht="21" customHeight="1" x14ac:dyDescent="0.15">
      <c r="A13" s="128">
        <v>48002012</v>
      </c>
      <c r="B13" s="44">
        <v>1</v>
      </c>
      <c r="C13" s="44">
        <v>100</v>
      </c>
      <c r="D13" s="44">
        <v>100</v>
      </c>
      <c r="E13" s="44" t="s">
        <v>53</v>
      </c>
      <c r="F13" s="44" t="s">
        <v>53</v>
      </c>
      <c r="G13" s="44">
        <v>1</v>
      </c>
      <c r="H13" s="44" t="s">
        <v>53</v>
      </c>
      <c r="I13" s="44">
        <v>8006</v>
      </c>
      <c r="J13" s="136">
        <f t="shared" si="1"/>
        <v>100</v>
      </c>
    </row>
    <row r="14" spans="1:11" ht="21" customHeight="1" thickBot="1" x14ac:dyDescent="0.2">
      <c r="A14" s="130">
        <v>48002013</v>
      </c>
      <c r="B14" s="107">
        <v>0</v>
      </c>
      <c r="C14" s="107" t="s">
        <v>53</v>
      </c>
      <c r="D14" s="107">
        <v>100</v>
      </c>
      <c r="E14" s="107">
        <v>35</v>
      </c>
      <c r="F14" s="107" t="s">
        <v>53</v>
      </c>
      <c r="G14" s="107">
        <v>1</v>
      </c>
      <c r="H14" s="107" t="s">
        <v>53</v>
      </c>
      <c r="I14" s="107" t="s">
        <v>53</v>
      </c>
      <c r="J14" s="131">
        <f t="shared" ref="J14:J22" si="2">D14</f>
        <v>100</v>
      </c>
    </row>
    <row r="15" spans="1:11" ht="21" customHeight="1" x14ac:dyDescent="0.15">
      <c r="A15" s="125">
        <v>48002014</v>
      </c>
      <c r="B15" s="126">
        <v>1</v>
      </c>
      <c r="C15" s="126" t="s">
        <v>53</v>
      </c>
      <c r="D15" s="126">
        <v>100</v>
      </c>
      <c r="E15" s="126" t="s">
        <v>53</v>
      </c>
      <c r="F15" s="126" t="s">
        <v>53</v>
      </c>
      <c r="G15" s="126">
        <v>1</v>
      </c>
      <c r="H15" s="126" t="s">
        <v>53</v>
      </c>
      <c r="I15" s="126" t="s">
        <v>53</v>
      </c>
      <c r="J15" s="127">
        <f t="shared" si="2"/>
        <v>100</v>
      </c>
    </row>
    <row r="16" spans="1:11" ht="21" customHeight="1" x14ac:dyDescent="0.15">
      <c r="A16" s="128">
        <v>48002015</v>
      </c>
      <c r="B16" s="44">
        <v>0</v>
      </c>
      <c r="C16" s="44">
        <v>80</v>
      </c>
      <c r="D16" s="44">
        <v>100</v>
      </c>
      <c r="E16" s="44" t="s">
        <v>53</v>
      </c>
      <c r="F16" s="44" t="s">
        <v>53</v>
      </c>
      <c r="G16" s="44">
        <v>2</v>
      </c>
      <c r="H16" s="44" t="s">
        <v>53</v>
      </c>
      <c r="I16" s="44" t="s">
        <v>53</v>
      </c>
      <c r="J16" s="129">
        <f t="shared" si="2"/>
        <v>100</v>
      </c>
    </row>
    <row r="17" spans="1:10" ht="21" customHeight="1" x14ac:dyDescent="0.15">
      <c r="A17" s="128">
        <v>48002016</v>
      </c>
      <c r="B17" s="44">
        <v>0</v>
      </c>
      <c r="C17" s="44">
        <v>100</v>
      </c>
      <c r="D17" s="44">
        <v>100</v>
      </c>
      <c r="E17" s="44">
        <v>66</v>
      </c>
      <c r="F17" s="44" t="s">
        <v>53</v>
      </c>
      <c r="G17" s="44">
        <v>1</v>
      </c>
      <c r="H17" s="44" t="s">
        <v>53</v>
      </c>
      <c r="I17" s="44" t="s">
        <v>53</v>
      </c>
      <c r="J17" s="129">
        <f t="shared" si="2"/>
        <v>100</v>
      </c>
    </row>
    <row r="18" spans="1:10" ht="21" customHeight="1" thickBot="1" x14ac:dyDescent="0.2">
      <c r="A18" s="130">
        <v>48002017</v>
      </c>
      <c r="B18" s="107">
        <v>0</v>
      </c>
      <c r="C18" s="107">
        <v>90</v>
      </c>
      <c r="D18" s="107">
        <v>100</v>
      </c>
      <c r="E18" s="107">
        <v>40</v>
      </c>
      <c r="F18" s="107" t="s">
        <v>53</v>
      </c>
      <c r="G18" s="107">
        <v>1</v>
      </c>
      <c r="H18" s="107" t="s">
        <v>53</v>
      </c>
      <c r="I18" s="107" t="s">
        <v>53</v>
      </c>
      <c r="J18" s="131">
        <f t="shared" si="2"/>
        <v>100</v>
      </c>
    </row>
    <row r="19" spans="1:10" ht="21" customHeight="1" x14ac:dyDescent="0.15">
      <c r="A19" s="135">
        <v>48002018</v>
      </c>
      <c r="B19" s="104">
        <v>1</v>
      </c>
      <c r="C19" s="104" t="s">
        <v>53</v>
      </c>
      <c r="D19" s="104">
        <v>100</v>
      </c>
      <c r="E19" s="104" t="s">
        <v>53</v>
      </c>
      <c r="F19" s="104" t="s">
        <v>53</v>
      </c>
      <c r="G19" s="104">
        <v>1</v>
      </c>
      <c r="H19" s="104" t="s">
        <v>53</v>
      </c>
      <c r="I19" s="104" t="s">
        <v>53</v>
      </c>
      <c r="J19" s="136">
        <f t="shared" si="2"/>
        <v>100</v>
      </c>
    </row>
    <row r="20" spans="1:10" ht="21" customHeight="1" x14ac:dyDescent="0.15">
      <c r="A20" s="128">
        <v>48002019</v>
      </c>
      <c r="B20" s="44">
        <v>0</v>
      </c>
      <c r="C20" s="44">
        <v>90</v>
      </c>
      <c r="D20" s="44">
        <v>75</v>
      </c>
      <c r="E20" s="44" t="s">
        <v>53</v>
      </c>
      <c r="F20" s="44">
        <v>40</v>
      </c>
      <c r="G20" s="44">
        <v>2</v>
      </c>
      <c r="H20" s="44" t="s">
        <v>53</v>
      </c>
      <c r="I20" s="44" t="s">
        <v>53</v>
      </c>
      <c r="J20" s="129">
        <f t="shared" si="2"/>
        <v>75</v>
      </c>
    </row>
    <row r="21" spans="1:10" ht="21" customHeight="1" x14ac:dyDescent="0.15">
      <c r="A21" s="128">
        <v>48002020</v>
      </c>
      <c r="B21" s="44">
        <v>0</v>
      </c>
      <c r="C21" s="44">
        <v>100</v>
      </c>
      <c r="D21" s="44">
        <v>60</v>
      </c>
      <c r="E21" s="44">
        <v>50</v>
      </c>
      <c r="F21" s="44" t="s">
        <v>53</v>
      </c>
      <c r="G21" s="44">
        <v>1</v>
      </c>
      <c r="H21" s="44" t="s">
        <v>53</v>
      </c>
      <c r="I21" s="44" t="s">
        <v>53</v>
      </c>
      <c r="J21" s="129">
        <f t="shared" si="2"/>
        <v>60</v>
      </c>
    </row>
    <row r="22" spans="1:10" ht="21" customHeight="1" thickBot="1" x14ac:dyDescent="0.2">
      <c r="A22" s="130">
        <v>48002021</v>
      </c>
      <c r="B22" s="107">
        <v>0</v>
      </c>
      <c r="C22" s="107">
        <v>99</v>
      </c>
      <c r="D22" s="107">
        <v>100</v>
      </c>
      <c r="E22" s="107" t="s">
        <v>53</v>
      </c>
      <c r="F22" s="107" t="s">
        <v>53</v>
      </c>
      <c r="G22" s="107">
        <v>0</v>
      </c>
      <c r="H22" s="107" t="s">
        <v>53</v>
      </c>
      <c r="I22" s="107">
        <v>0</v>
      </c>
      <c r="J22" s="131">
        <f t="shared" si="2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27"/>
  <sheetViews>
    <sheetView workbookViewId="0">
      <selection activeCell="S14" sqref="S1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151</v>
      </c>
      <c r="B1" s="62" t="s">
        <v>152</v>
      </c>
      <c r="C1" s="63" t="s">
        <v>153</v>
      </c>
      <c r="D1" s="69" t="s">
        <v>154</v>
      </c>
      <c r="E1" s="64" t="s">
        <v>155</v>
      </c>
      <c r="F1" s="62" t="s">
        <v>156</v>
      </c>
      <c r="G1" s="62" t="s">
        <v>157</v>
      </c>
      <c r="H1" s="62" t="s">
        <v>158</v>
      </c>
      <c r="I1" s="62" t="s">
        <v>159</v>
      </c>
      <c r="J1" s="62" t="s">
        <v>160</v>
      </c>
      <c r="K1" s="62" t="s">
        <v>161</v>
      </c>
      <c r="L1" s="62" t="s">
        <v>162</v>
      </c>
      <c r="M1" s="62" t="s">
        <v>163</v>
      </c>
      <c r="N1" s="62" t="s">
        <v>164</v>
      </c>
      <c r="O1" s="62" t="s">
        <v>165</v>
      </c>
      <c r="P1" s="62" t="s">
        <v>166</v>
      </c>
      <c r="Q1" s="62" t="s">
        <v>167</v>
      </c>
      <c r="R1" s="62" t="s">
        <v>168</v>
      </c>
    </row>
    <row r="2" spans="1:18" x14ac:dyDescent="0.15">
      <c r="A2" s="54">
        <f>floors!$C$2</f>
        <v>48002</v>
      </c>
      <c r="B2" s="54">
        <v>1</v>
      </c>
      <c r="C2" s="68" t="str">
        <f>A2&amp; "_"&amp;B2</f>
        <v>48002_1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4">
        <v>1</v>
      </c>
      <c r="F2" s="54" t="s">
        <v>169</v>
      </c>
      <c r="G2" s="54">
        <v>40000</v>
      </c>
      <c r="H2" s="54" t="s">
        <v>170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150</v>
      </c>
      <c r="Q2" s="54" t="s">
        <v>171</v>
      </c>
      <c r="R2" s="54" t="s">
        <v>172</v>
      </c>
    </row>
    <row r="3" spans="1:18" x14ac:dyDescent="0.15">
      <c r="A3" s="54">
        <f>floors!$C$2</f>
        <v>48002</v>
      </c>
      <c r="B3" s="54">
        <v>1</v>
      </c>
      <c r="C3" s="68" t="str">
        <f t="shared" ref="C3:C11" si="0">A3&amp; "_"&amp;B3</f>
        <v>48002_1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4">
        <v>2</v>
      </c>
      <c r="F3" s="54" t="s">
        <v>261</v>
      </c>
      <c r="G3" s="54">
        <v>30</v>
      </c>
      <c r="H3" s="54" t="s">
        <v>89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150</v>
      </c>
      <c r="Q3" s="54" t="s">
        <v>171</v>
      </c>
      <c r="R3" s="54" t="s">
        <v>172</v>
      </c>
    </row>
    <row r="4" spans="1:18" x14ac:dyDescent="0.15">
      <c r="A4" s="54">
        <f>floors!$C$2</f>
        <v>48002</v>
      </c>
      <c r="B4" s="54">
        <v>1</v>
      </c>
      <c r="C4" s="68" t="str">
        <f t="shared" si="0"/>
        <v>48002_1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4">
        <v>3</v>
      </c>
      <c r="F4" s="54" t="s">
        <v>262</v>
      </c>
      <c r="G4" s="54">
        <v>333</v>
      </c>
      <c r="H4" s="54" t="s">
        <v>89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28</v>
      </c>
      <c r="Q4" s="54" t="s">
        <v>171</v>
      </c>
      <c r="R4" s="54" t="s">
        <v>172</v>
      </c>
    </row>
    <row r="5" spans="1:18" x14ac:dyDescent="0.15">
      <c r="A5" s="54">
        <f>floors!$C$2</f>
        <v>48002</v>
      </c>
      <c r="B5" s="54">
        <v>1</v>
      </c>
      <c r="C5" s="68" t="str">
        <f t="shared" si="0"/>
        <v>48002_1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4">
        <v>4</v>
      </c>
      <c r="F5" s="54" t="s">
        <v>262</v>
      </c>
      <c r="G5" s="54">
        <v>334</v>
      </c>
      <c r="H5" s="54" t="s">
        <v>89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112</v>
      </c>
      <c r="Q5" s="54" t="s">
        <v>171</v>
      </c>
      <c r="R5" s="54" t="s">
        <v>172</v>
      </c>
    </row>
    <row r="6" spans="1:18" x14ac:dyDescent="0.15">
      <c r="A6" s="54">
        <f>floors!$C$2</f>
        <v>48002</v>
      </c>
      <c r="B6" s="54">
        <v>1</v>
      </c>
      <c r="C6" s="68" t="str">
        <f t="shared" si="0"/>
        <v>48002_1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4">
        <v>5</v>
      </c>
      <c r="F6" s="54" t="s">
        <v>262</v>
      </c>
      <c r="G6" s="54">
        <v>121</v>
      </c>
      <c r="H6" s="54" t="s">
        <v>89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50</v>
      </c>
      <c r="Q6" s="54" t="s">
        <v>171</v>
      </c>
      <c r="R6" s="54" t="s">
        <v>172</v>
      </c>
    </row>
    <row r="7" spans="1:18" x14ac:dyDescent="0.15">
      <c r="A7" s="54">
        <f>floors!$C$2</f>
        <v>48002</v>
      </c>
      <c r="B7" s="54">
        <v>1</v>
      </c>
      <c r="C7" s="68" t="str">
        <f t="shared" si="0"/>
        <v>48002_1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4">
        <v>6</v>
      </c>
      <c r="F7" s="54" t="s">
        <v>262</v>
      </c>
      <c r="G7" s="54">
        <v>122</v>
      </c>
      <c r="H7" s="54" t="s">
        <v>89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50</v>
      </c>
      <c r="Q7" s="54" t="s">
        <v>171</v>
      </c>
      <c r="R7" s="54" t="s">
        <v>172</v>
      </c>
    </row>
    <row r="8" spans="1:18" x14ac:dyDescent="0.15">
      <c r="A8" s="54">
        <f>floors!$C$2</f>
        <v>48002</v>
      </c>
      <c r="B8" s="54">
        <v>1</v>
      </c>
      <c r="C8" s="68" t="str">
        <f t="shared" si="0"/>
        <v>48002_1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4">
        <v>7</v>
      </c>
      <c r="F8" s="54" t="s">
        <v>262</v>
      </c>
      <c r="G8" s="54">
        <v>123</v>
      </c>
      <c r="H8" s="54" t="s">
        <v>89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50</v>
      </c>
      <c r="Q8" s="54" t="s">
        <v>171</v>
      </c>
      <c r="R8" s="54" t="s">
        <v>172</v>
      </c>
    </row>
    <row r="9" spans="1:18" x14ac:dyDescent="0.15">
      <c r="A9" s="54">
        <f>floors!$C$2</f>
        <v>48002</v>
      </c>
      <c r="B9" s="54">
        <v>1</v>
      </c>
      <c r="C9" s="68" t="str">
        <f t="shared" si="0"/>
        <v>48002_1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4">
        <v>8</v>
      </c>
      <c r="F9" s="54" t="s">
        <v>262</v>
      </c>
      <c r="G9" s="54">
        <v>125</v>
      </c>
      <c r="H9" s="54" t="s">
        <v>89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10</v>
      </c>
      <c r="Q9" s="54" t="s">
        <v>171</v>
      </c>
      <c r="R9" s="54" t="s">
        <v>172</v>
      </c>
    </row>
    <row r="10" spans="1:18" x14ac:dyDescent="0.15">
      <c r="A10" s="54">
        <f>floors!$C$2</f>
        <v>48002</v>
      </c>
      <c r="B10" s="54">
        <v>1</v>
      </c>
      <c r="C10" s="68" t="str">
        <f t="shared" si="0"/>
        <v>48002_1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4">
        <v>9</v>
      </c>
      <c r="F10" s="54" t="s">
        <v>262</v>
      </c>
      <c r="G10" s="54">
        <v>8007</v>
      </c>
      <c r="H10" s="54" t="s">
        <v>89</v>
      </c>
      <c r="I10" s="54">
        <v>1</v>
      </c>
      <c r="J10" s="54">
        <v>1</v>
      </c>
      <c r="K10" s="54">
        <v>0</v>
      </c>
      <c r="L10" s="54">
        <v>0</v>
      </c>
      <c r="M10" s="54">
        <v>0</v>
      </c>
      <c r="N10" s="54">
        <v>0</v>
      </c>
      <c r="O10" s="54">
        <v>1</v>
      </c>
      <c r="P10" s="54">
        <v>250</v>
      </c>
      <c r="Q10" s="54" t="s">
        <v>171</v>
      </c>
      <c r="R10" s="54" t="s">
        <v>172</v>
      </c>
    </row>
    <row r="11" spans="1:18" x14ac:dyDescent="0.15">
      <c r="A11" s="54">
        <f>floors!$C$2</f>
        <v>48002</v>
      </c>
      <c r="B11" s="54">
        <v>1</v>
      </c>
      <c r="C11" s="68" t="str">
        <f t="shared" si="0"/>
        <v>48002_1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4">
        <v>10</v>
      </c>
      <c r="F11" s="54" t="s">
        <v>262</v>
      </c>
      <c r="G11" s="54">
        <v>348</v>
      </c>
      <c r="H11" s="54" t="s">
        <v>89</v>
      </c>
      <c r="I11" s="54">
        <v>1</v>
      </c>
      <c r="J11" s="54">
        <v>1</v>
      </c>
      <c r="K11" s="54">
        <v>0</v>
      </c>
      <c r="L11" s="54">
        <v>0</v>
      </c>
      <c r="M11" s="54">
        <v>0</v>
      </c>
      <c r="N11" s="54">
        <v>0</v>
      </c>
      <c r="O11" s="54">
        <v>1</v>
      </c>
      <c r="P11" s="54">
        <v>150</v>
      </c>
      <c r="Q11" s="54" t="s">
        <v>171</v>
      </c>
      <c r="R11" s="54" t="s">
        <v>172</v>
      </c>
    </row>
    <row r="12" spans="1:18" x14ac:dyDescent="0.15">
      <c r="A12" s="54">
        <f>floors!$C$2</f>
        <v>48002</v>
      </c>
      <c r="B12" s="54">
        <v>2</v>
      </c>
      <c r="C12" s="68" t="str">
        <f>A12&amp; "_"&amp;B12</f>
        <v>48002_2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4">
        <v>11</v>
      </c>
      <c r="F12" s="54" t="s">
        <v>169</v>
      </c>
      <c r="G12" s="54">
        <v>40000</v>
      </c>
      <c r="H12" s="54" t="s">
        <v>89</v>
      </c>
      <c r="I12" s="54">
        <v>1</v>
      </c>
      <c r="J12" s="54">
        <v>1</v>
      </c>
      <c r="K12" s="54">
        <v>0</v>
      </c>
      <c r="L12" s="54">
        <v>0</v>
      </c>
      <c r="M12" s="54">
        <v>0</v>
      </c>
      <c r="N12" s="54">
        <v>0</v>
      </c>
      <c r="O12" s="54">
        <v>1</v>
      </c>
      <c r="P12" s="54">
        <v>150</v>
      </c>
      <c r="Q12" s="54" t="s">
        <v>171</v>
      </c>
      <c r="R12" s="54" t="s">
        <v>172</v>
      </c>
    </row>
    <row r="13" spans="1:18" x14ac:dyDescent="0.15">
      <c r="A13" s="54">
        <f>floors!$C$2</f>
        <v>48002</v>
      </c>
      <c r="B13" s="54">
        <v>2</v>
      </c>
      <c r="C13" s="68" t="str">
        <f t="shared" ref="C13:C19" si="1">A13&amp; "_"&amp;B13</f>
        <v>48002_2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4">
        <v>12</v>
      </c>
      <c r="F13" s="54" t="s">
        <v>262</v>
      </c>
      <c r="G13" s="54">
        <v>334</v>
      </c>
      <c r="H13" s="54" t="s">
        <v>89</v>
      </c>
      <c r="I13" s="54">
        <v>1</v>
      </c>
      <c r="J13" s="54">
        <v>1</v>
      </c>
      <c r="K13" s="54">
        <v>0</v>
      </c>
      <c r="L13" s="54">
        <v>0</v>
      </c>
      <c r="M13" s="54">
        <v>0</v>
      </c>
      <c r="N13" s="54">
        <v>0</v>
      </c>
      <c r="O13" s="54">
        <v>1</v>
      </c>
      <c r="P13" s="54">
        <v>150</v>
      </c>
      <c r="Q13" s="54" t="s">
        <v>171</v>
      </c>
      <c r="R13" s="54" t="s">
        <v>172</v>
      </c>
    </row>
    <row r="14" spans="1:18" x14ac:dyDescent="0.15">
      <c r="A14" s="54">
        <f>floors!$C$2</f>
        <v>48002</v>
      </c>
      <c r="B14" s="54">
        <v>2</v>
      </c>
      <c r="C14" s="68" t="str">
        <f t="shared" si="1"/>
        <v>48002_2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4">
        <v>13</v>
      </c>
      <c r="F14" s="54" t="s">
        <v>262</v>
      </c>
      <c r="G14" s="54">
        <v>348</v>
      </c>
      <c r="H14" s="54" t="s">
        <v>89</v>
      </c>
      <c r="I14" s="54">
        <v>1</v>
      </c>
      <c r="J14" s="54">
        <v>1</v>
      </c>
      <c r="K14" s="54">
        <v>0</v>
      </c>
      <c r="L14" s="54">
        <v>0</v>
      </c>
      <c r="M14" s="54">
        <v>0</v>
      </c>
      <c r="N14" s="54">
        <v>0</v>
      </c>
      <c r="O14" s="54">
        <v>1</v>
      </c>
      <c r="P14" s="54">
        <v>120</v>
      </c>
      <c r="Q14" s="54" t="s">
        <v>171</v>
      </c>
      <c r="R14" s="54" t="s">
        <v>172</v>
      </c>
    </row>
    <row r="15" spans="1:18" x14ac:dyDescent="0.15">
      <c r="A15" s="54">
        <f>floors!$C$2</f>
        <v>48002</v>
      </c>
      <c r="B15" s="54">
        <v>2</v>
      </c>
      <c r="C15" s="68" t="str">
        <f t="shared" si="1"/>
        <v>48002_2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4">
        <v>14</v>
      </c>
      <c r="F15" s="54" t="s">
        <v>262</v>
      </c>
      <c r="G15" s="54">
        <v>607</v>
      </c>
      <c r="H15" s="54" t="s">
        <v>89</v>
      </c>
      <c r="I15" s="54">
        <v>1</v>
      </c>
      <c r="J15" s="54">
        <v>1</v>
      </c>
      <c r="K15" s="54">
        <v>0</v>
      </c>
      <c r="L15" s="54">
        <v>0</v>
      </c>
      <c r="M15" s="54">
        <v>0</v>
      </c>
      <c r="N15" s="54">
        <v>0</v>
      </c>
      <c r="O15" s="54">
        <v>1</v>
      </c>
      <c r="P15" s="54">
        <v>100</v>
      </c>
      <c r="Q15" s="54" t="s">
        <v>171</v>
      </c>
      <c r="R15" s="54" t="s">
        <v>172</v>
      </c>
    </row>
    <row r="16" spans="1:18" x14ac:dyDescent="0.15">
      <c r="A16" s="54">
        <f>floors!$C$2</f>
        <v>48002</v>
      </c>
      <c r="B16" s="54">
        <v>2</v>
      </c>
      <c r="C16" s="68" t="str">
        <f t="shared" si="1"/>
        <v>48002_2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4">
        <v>15</v>
      </c>
      <c r="F16" s="54" t="s">
        <v>262</v>
      </c>
      <c r="G16" s="54">
        <v>608</v>
      </c>
      <c r="H16" s="54" t="s">
        <v>89</v>
      </c>
      <c r="I16" s="54">
        <v>1</v>
      </c>
      <c r="J16" s="54">
        <v>1</v>
      </c>
      <c r="K16" s="54">
        <v>0</v>
      </c>
      <c r="L16" s="54">
        <v>0</v>
      </c>
      <c r="M16" s="54">
        <v>0</v>
      </c>
      <c r="N16" s="54">
        <v>0</v>
      </c>
      <c r="O16" s="54">
        <v>1</v>
      </c>
      <c r="P16" s="54">
        <v>100</v>
      </c>
      <c r="Q16" s="54" t="s">
        <v>171</v>
      </c>
      <c r="R16" s="54" t="s">
        <v>172</v>
      </c>
    </row>
    <row r="17" spans="1:18" x14ac:dyDescent="0.15">
      <c r="A17" s="54">
        <f>floors!$C$2</f>
        <v>48002</v>
      </c>
      <c r="B17" s="54">
        <v>2</v>
      </c>
      <c r="C17" s="68" t="str">
        <f t="shared" si="1"/>
        <v>48002_2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4">
        <v>16</v>
      </c>
      <c r="F17" s="54" t="s">
        <v>262</v>
      </c>
      <c r="G17" s="54">
        <v>609</v>
      </c>
      <c r="H17" s="54" t="s">
        <v>89</v>
      </c>
      <c r="I17" s="54">
        <v>1</v>
      </c>
      <c r="J17" s="54">
        <v>1</v>
      </c>
      <c r="K17" s="54">
        <v>0</v>
      </c>
      <c r="L17" s="54">
        <v>0</v>
      </c>
      <c r="M17" s="54">
        <v>0</v>
      </c>
      <c r="N17" s="54">
        <v>0</v>
      </c>
      <c r="O17" s="54">
        <v>1</v>
      </c>
      <c r="P17" s="54">
        <v>100</v>
      </c>
      <c r="Q17" s="54" t="s">
        <v>171</v>
      </c>
      <c r="R17" s="54" t="s">
        <v>172</v>
      </c>
    </row>
    <row r="18" spans="1:18" x14ac:dyDescent="0.15">
      <c r="A18" s="54">
        <f>floors!$C$2</f>
        <v>48002</v>
      </c>
      <c r="B18" s="54">
        <v>2</v>
      </c>
      <c r="C18" s="68" t="str">
        <f t="shared" si="1"/>
        <v>48002_2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4">
        <v>17</v>
      </c>
      <c r="F18" s="54" t="s">
        <v>262</v>
      </c>
      <c r="G18" s="54">
        <v>125</v>
      </c>
      <c r="H18" s="54" t="s">
        <v>89</v>
      </c>
      <c r="I18" s="54">
        <v>1</v>
      </c>
      <c r="J18" s="54">
        <v>1</v>
      </c>
      <c r="K18" s="54">
        <v>0</v>
      </c>
      <c r="L18" s="54">
        <v>0</v>
      </c>
      <c r="M18" s="54">
        <v>0</v>
      </c>
      <c r="N18" s="54">
        <v>0</v>
      </c>
      <c r="O18" s="54">
        <v>1</v>
      </c>
      <c r="P18" s="54">
        <v>30</v>
      </c>
      <c r="Q18" s="54" t="s">
        <v>171</v>
      </c>
      <c r="R18" s="54" t="s">
        <v>172</v>
      </c>
    </row>
    <row r="19" spans="1:18" x14ac:dyDescent="0.15">
      <c r="A19" s="54">
        <f>floors!$C$2</f>
        <v>48002</v>
      </c>
      <c r="B19" s="54">
        <v>2</v>
      </c>
      <c r="C19" s="68" t="str">
        <f t="shared" si="1"/>
        <v>48002_2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4">
        <v>18</v>
      </c>
      <c r="F19" s="54" t="s">
        <v>262</v>
      </c>
      <c r="G19" s="54">
        <v>8007</v>
      </c>
      <c r="H19" s="54" t="s">
        <v>89</v>
      </c>
      <c r="I19" s="54">
        <v>1</v>
      </c>
      <c r="J19" s="54">
        <v>1</v>
      </c>
      <c r="K19" s="54">
        <v>0</v>
      </c>
      <c r="L19" s="54">
        <v>0</v>
      </c>
      <c r="M19" s="54">
        <v>0</v>
      </c>
      <c r="N19" s="54">
        <v>0</v>
      </c>
      <c r="O19" s="54">
        <v>1</v>
      </c>
      <c r="P19" s="54">
        <v>250</v>
      </c>
      <c r="Q19" s="54" t="s">
        <v>171</v>
      </c>
      <c r="R19" s="54" t="s">
        <v>172</v>
      </c>
    </row>
    <row r="20" spans="1:18" x14ac:dyDescent="0.15">
      <c r="A20" s="54">
        <f>floors!$C$2</f>
        <v>48002</v>
      </c>
      <c r="B20" s="54">
        <v>3</v>
      </c>
      <c r="C20" s="68" t="str">
        <f>A20&amp; "_"&amp;B20</f>
        <v>48002_3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4">
        <v>19</v>
      </c>
      <c r="F20" s="54" t="s">
        <v>169</v>
      </c>
      <c r="G20" s="54">
        <v>40000</v>
      </c>
      <c r="H20" s="54" t="s">
        <v>89</v>
      </c>
      <c r="I20" s="54">
        <v>1</v>
      </c>
      <c r="J20" s="54">
        <v>1</v>
      </c>
      <c r="K20" s="54">
        <v>0</v>
      </c>
      <c r="L20" s="54">
        <v>0</v>
      </c>
      <c r="M20" s="54">
        <v>0</v>
      </c>
      <c r="N20" s="54">
        <v>0</v>
      </c>
      <c r="O20" s="54">
        <v>1</v>
      </c>
      <c r="P20" s="54">
        <v>150</v>
      </c>
      <c r="Q20" s="54" t="s">
        <v>171</v>
      </c>
      <c r="R20" s="54" t="s">
        <v>172</v>
      </c>
    </row>
    <row r="21" spans="1:18" x14ac:dyDescent="0.15">
      <c r="A21" s="54">
        <f>floors!$C$2</f>
        <v>48002</v>
      </c>
      <c r="B21" s="54">
        <v>3</v>
      </c>
      <c r="C21" s="68" t="str">
        <f t="shared" ref="C21:C27" si="2">A21&amp; "_"&amp;B21</f>
        <v>48002_3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54">
        <v>20</v>
      </c>
      <c r="F21" s="54" t="s">
        <v>262</v>
      </c>
      <c r="G21" s="54">
        <v>334</v>
      </c>
      <c r="H21" s="54" t="s">
        <v>89</v>
      </c>
      <c r="I21" s="54">
        <v>1</v>
      </c>
      <c r="J21" s="54">
        <v>1</v>
      </c>
      <c r="K21" s="54">
        <v>0</v>
      </c>
      <c r="L21" s="54">
        <v>0</v>
      </c>
      <c r="M21" s="54">
        <v>0</v>
      </c>
      <c r="N21" s="54">
        <v>0</v>
      </c>
      <c r="O21" s="54">
        <v>1</v>
      </c>
      <c r="P21" s="54">
        <v>150</v>
      </c>
      <c r="Q21" s="54" t="s">
        <v>171</v>
      </c>
      <c r="R21" s="54" t="s">
        <v>172</v>
      </c>
    </row>
    <row r="22" spans="1:18" x14ac:dyDescent="0.15">
      <c r="A22" s="54">
        <f>floors!$C$2</f>
        <v>48002</v>
      </c>
      <c r="B22" s="54">
        <v>3</v>
      </c>
      <c r="C22" s="68" t="str">
        <f t="shared" si="2"/>
        <v>48002_3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54">
        <v>21</v>
      </c>
      <c r="F22" s="54" t="s">
        <v>262</v>
      </c>
      <c r="G22" s="54">
        <v>348</v>
      </c>
      <c r="H22" s="54" t="s">
        <v>89</v>
      </c>
      <c r="I22" s="54">
        <v>1</v>
      </c>
      <c r="J22" s="54">
        <v>1</v>
      </c>
      <c r="K22" s="54">
        <v>0</v>
      </c>
      <c r="L22" s="54">
        <v>0</v>
      </c>
      <c r="M22" s="54">
        <v>0</v>
      </c>
      <c r="N22" s="54">
        <v>0</v>
      </c>
      <c r="O22" s="54">
        <v>1</v>
      </c>
      <c r="P22" s="54">
        <v>120</v>
      </c>
      <c r="Q22" s="54" t="s">
        <v>171</v>
      </c>
      <c r="R22" s="54" t="s">
        <v>172</v>
      </c>
    </row>
    <row r="23" spans="1:18" x14ac:dyDescent="0.15">
      <c r="A23" s="54">
        <f>floors!$C$2</f>
        <v>48002</v>
      </c>
      <c r="B23" s="54">
        <v>3</v>
      </c>
      <c r="C23" s="68" t="str">
        <f t="shared" si="2"/>
        <v>48002_3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4">
        <v>22</v>
      </c>
      <c r="F23" s="54" t="s">
        <v>262</v>
      </c>
      <c r="G23" s="54">
        <v>607</v>
      </c>
      <c r="H23" s="54" t="s">
        <v>89</v>
      </c>
      <c r="I23" s="54">
        <v>1</v>
      </c>
      <c r="J23" s="54">
        <v>1</v>
      </c>
      <c r="K23" s="54">
        <v>0</v>
      </c>
      <c r="L23" s="54">
        <v>0</v>
      </c>
      <c r="M23" s="54">
        <v>0</v>
      </c>
      <c r="N23" s="54">
        <v>0</v>
      </c>
      <c r="O23" s="54">
        <v>1</v>
      </c>
      <c r="P23" s="54">
        <v>100</v>
      </c>
      <c r="Q23" s="54" t="s">
        <v>171</v>
      </c>
      <c r="R23" s="54" t="s">
        <v>172</v>
      </c>
    </row>
    <row r="24" spans="1:18" x14ac:dyDescent="0.15">
      <c r="A24" s="54">
        <f>floors!$C$2</f>
        <v>48002</v>
      </c>
      <c r="B24" s="54">
        <v>3</v>
      </c>
      <c r="C24" s="68" t="str">
        <f t="shared" si="2"/>
        <v>48002_3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4">
        <v>23</v>
      </c>
      <c r="F24" s="54" t="s">
        <v>262</v>
      </c>
      <c r="G24" s="54">
        <v>608</v>
      </c>
      <c r="H24" s="54" t="s">
        <v>89</v>
      </c>
      <c r="I24" s="54">
        <v>1</v>
      </c>
      <c r="J24" s="54">
        <v>1</v>
      </c>
      <c r="K24" s="54">
        <v>0</v>
      </c>
      <c r="L24" s="54">
        <v>0</v>
      </c>
      <c r="M24" s="54">
        <v>0</v>
      </c>
      <c r="N24" s="54">
        <v>0</v>
      </c>
      <c r="O24" s="54">
        <v>1</v>
      </c>
      <c r="P24" s="54">
        <v>100</v>
      </c>
      <c r="Q24" s="54" t="s">
        <v>171</v>
      </c>
      <c r="R24" s="54" t="s">
        <v>172</v>
      </c>
    </row>
    <row r="25" spans="1:18" x14ac:dyDescent="0.15">
      <c r="A25" s="54">
        <f>floors!$C$2</f>
        <v>48002</v>
      </c>
      <c r="B25" s="54">
        <v>3</v>
      </c>
      <c r="C25" s="68" t="str">
        <f t="shared" si="2"/>
        <v>48002_3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4">
        <v>24</v>
      </c>
      <c r="F25" s="54" t="s">
        <v>262</v>
      </c>
      <c r="G25" s="54">
        <v>609</v>
      </c>
      <c r="H25" s="54" t="s">
        <v>89</v>
      </c>
      <c r="I25" s="54">
        <v>1</v>
      </c>
      <c r="J25" s="54">
        <v>1</v>
      </c>
      <c r="K25" s="54">
        <v>0</v>
      </c>
      <c r="L25" s="54">
        <v>0</v>
      </c>
      <c r="M25" s="54">
        <v>0</v>
      </c>
      <c r="N25" s="54">
        <v>0</v>
      </c>
      <c r="O25" s="54">
        <v>1</v>
      </c>
      <c r="P25" s="54">
        <v>100</v>
      </c>
      <c r="Q25" s="54" t="s">
        <v>171</v>
      </c>
      <c r="R25" s="54" t="s">
        <v>172</v>
      </c>
    </row>
    <row r="26" spans="1:18" x14ac:dyDescent="0.15">
      <c r="A26" s="54">
        <f>floors!$C$2</f>
        <v>48002</v>
      </c>
      <c r="B26" s="54">
        <v>3</v>
      </c>
      <c r="C26" s="68" t="str">
        <f t="shared" si="2"/>
        <v>48002_3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4">
        <v>25</v>
      </c>
      <c r="F26" s="54" t="s">
        <v>262</v>
      </c>
      <c r="G26" s="54">
        <v>125</v>
      </c>
      <c r="H26" s="54" t="s">
        <v>89</v>
      </c>
      <c r="I26" s="54">
        <v>1</v>
      </c>
      <c r="J26" s="54">
        <v>1</v>
      </c>
      <c r="K26" s="54">
        <v>0</v>
      </c>
      <c r="L26" s="54">
        <v>0</v>
      </c>
      <c r="M26" s="54">
        <v>0</v>
      </c>
      <c r="N26" s="54">
        <v>0</v>
      </c>
      <c r="O26" s="54">
        <v>1</v>
      </c>
      <c r="P26" s="54">
        <v>30</v>
      </c>
      <c r="Q26" s="54" t="s">
        <v>171</v>
      </c>
      <c r="R26" s="54" t="s">
        <v>172</v>
      </c>
    </row>
    <row r="27" spans="1:18" x14ac:dyDescent="0.15">
      <c r="A27" s="54">
        <f>floors!$C$2</f>
        <v>48002</v>
      </c>
      <c r="B27" s="54">
        <v>3</v>
      </c>
      <c r="C27" s="68" t="str">
        <f t="shared" si="2"/>
        <v>48002_3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4">
        <v>26</v>
      </c>
      <c r="F27" s="54" t="s">
        <v>262</v>
      </c>
      <c r="G27" s="54">
        <v>8007</v>
      </c>
      <c r="H27" s="54" t="s">
        <v>89</v>
      </c>
      <c r="I27" s="54">
        <v>1</v>
      </c>
      <c r="J27" s="54">
        <v>1</v>
      </c>
      <c r="K27" s="54">
        <v>0</v>
      </c>
      <c r="L27" s="54">
        <v>0</v>
      </c>
      <c r="M27" s="54">
        <v>0</v>
      </c>
      <c r="N27" s="54">
        <v>0</v>
      </c>
      <c r="O27" s="54">
        <v>1</v>
      </c>
      <c r="P27" s="54">
        <v>250</v>
      </c>
      <c r="Q27" s="54" t="s">
        <v>171</v>
      </c>
      <c r="R27" s="54" t="s">
        <v>172</v>
      </c>
    </row>
  </sheetData>
  <phoneticPr fontId="5"/>
  <dataValidations count="1">
    <dataValidation type="list" allowBlank="1" showInputMessage="1" showErrorMessage="1" sqref="F2:F27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" activePane="bottomLeft" state="frozen"/>
      <selection pane="bottomLeft" activeCell="L42" sqref="L42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189</v>
      </c>
      <c r="B1" s="70" t="s">
        <v>190</v>
      </c>
      <c r="C1" s="74" t="s">
        <v>191</v>
      </c>
      <c r="D1" s="74" t="s">
        <v>33</v>
      </c>
      <c r="E1" s="70" t="s">
        <v>192</v>
      </c>
      <c r="F1" s="74" t="s">
        <v>193</v>
      </c>
      <c r="G1" s="74" t="s">
        <v>33</v>
      </c>
      <c r="H1" s="70" t="s">
        <v>194</v>
      </c>
      <c r="I1" s="88" t="s">
        <v>196</v>
      </c>
      <c r="J1" s="76" t="s">
        <v>127</v>
      </c>
      <c r="K1" s="75" t="s">
        <v>188</v>
      </c>
      <c r="L1" s="89" t="s">
        <v>187</v>
      </c>
      <c r="M1" s="77" t="s">
        <v>197</v>
      </c>
    </row>
    <row r="2" spans="1:13" x14ac:dyDescent="0.15">
      <c r="A2" s="78" t="s">
        <v>202</v>
      </c>
      <c r="B2" s="79">
        <f>floors!$C$2</f>
        <v>48002</v>
      </c>
      <c r="C2" s="80" t="str">
        <f ca="1">VLOOKUP($B2,OFFSET([2]quests!$A$1,0,0,COUNTA([2]quests!$A:$A),MATCH(C$1,[2]quests!$1:$1,0)-MATCH($B$1,[2]quests!$1:$1,0)+1),MATCH(C$1,[2]quests!$1:$1,0)-MATCH($B$1,[2]quests!$1:$1,0)+1,FALSE)</f>
        <v>孫悟空襲来！</v>
      </c>
      <c r="D2" s="80" t="str">
        <f ca="1">VLOOKUP($B2,OFFSET([2]quests!$A$1,0,0,COUNTA([2]quests!$A:$A),MATCH(D$1,[2]quests!$1:$1,0)-MATCH($B$1,[2]quests!$1:$1,0)+1),MATCH(D$1,[2]quests!$1:$1,0)-MATCH($B$1,[2]quests!$1:$1,0)+1,FALSE)</f>
        <v>台湾版降臨2</v>
      </c>
      <c r="E2" s="84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【超絶級】孫悟空襲来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台湾版降臨2</v>
      </c>
      <c r="H2" s="82">
        <v>0</v>
      </c>
      <c r="I2">
        <v>12</v>
      </c>
      <c r="J2" s="81" t="s">
        <v>199</v>
      </c>
      <c r="K2" s="90" t="str">
        <f>VLOOKUP(I2,[7]stage_hints!$A:$C,3,FALSE)</f>
        <v>ユニットのお気に入り登録</v>
      </c>
      <c r="L2" s="91" t="str">
        <f>VLOOKUP(I2,[7]stage_hints!$A:$D,4,FALSE)</f>
        <v>大事なユニットを誤って消さないように_x000D_フォルダから「お気に入り登録」しましょう</v>
      </c>
      <c r="M2" s="54" t="s">
        <v>212</v>
      </c>
    </row>
    <row r="3" spans="1:13" x14ac:dyDescent="0.15">
      <c r="A3" s="78" t="s">
        <v>202</v>
      </c>
      <c r="B3" s="79">
        <f>floors!$C$2</f>
        <v>48002</v>
      </c>
      <c r="C3" s="80" t="str">
        <f ca="1">VLOOKUP($B3,OFFSET([2]quests!$A$1,0,0,COUNTA([2]quests!$A:$A),MATCH(C$1,[2]quests!$1:$1,0)-MATCH($B$1,[2]quests!$1:$1,0)+1),MATCH(C$1,[2]quests!$1:$1,0)-MATCH($B$1,[2]quests!$1:$1,0)+1,FALSE)</f>
        <v>孫悟空襲来！</v>
      </c>
      <c r="D3" s="80" t="str">
        <f ca="1">VLOOKUP($B3,OFFSET([2]quests!$A$1,0,0,COUNTA([2]quests!$A:$A),MATCH(D$1,[2]quests!$1:$1,0)-MATCH($B$1,[2]quests!$1:$1,0)+1),MATCH(D$1,[2]quests!$1:$1,0)-MATCH($B$1,[2]quests!$1:$1,0)+1,FALSE)</f>
        <v>台湾版降臨2</v>
      </c>
      <c r="E3" s="84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【超絶級】孫悟空襲来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台湾版降臨2</v>
      </c>
      <c r="H3" s="82">
        <v>0</v>
      </c>
      <c r="I3">
        <v>17</v>
      </c>
      <c r="J3" s="81" t="s">
        <v>199</v>
      </c>
      <c r="K3" s="90" t="str">
        <f>VLOOKUP(I3,[7]stage_hints!$A:$C,3,FALSE)</f>
        <v>リンクガチャ</v>
      </c>
      <c r="L3" s="91" t="str">
        <f>VLOOKUP(I3,[7]stage_hints!$A:$D,4,FALSE)</f>
        <v>無料のリンクガチャを回して_x000D_経験値素材や売却素材を獲得しましょう</v>
      </c>
      <c r="M3" s="54" t="s">
        <v>212</v>
      </c>
    </row>
    <row r="4" spans="1:13" x14ac:dyDescent="0.15">
      <c r="A4" s="78" t="s">
        <v>202</v>
      </c>
      <c r="B4" s="79">
        <f>floors!$C$2</f>
        <v>48002</v>
      </c>
      <c r="C4" s="80" t="str">
        <f ca="1">VLOOKUP($B4,OFFSET([2]quests!$A$1,0,0,COUNTA([2]quests!$A:$A),MATCH(C$1,[2]quests!$1:$1,0)-MATCH($B$1,[2]quests!$1:$1,0)+1),MATCH(C$1,[2]quests!$1:$1,0)-MATCH($B$1,[2]quests!$1:$1,0)+1,FALSE)</f>
        <v>孫悟空襲来！</v>
      </c>
      <c r="D4" s="80" t="str">
        <f ca="1">VLOOKUP($B4,OFFSET([2]quests!$A$1,0,0,COUNTA([2]quests!$A:$A),MATCH(D$1,[2]quests!$1:$1,0)-MATCH($B$1,[2]quests!$1:$1,0)+1),MATCH(D$1,[2]quests!$1:$1,0)-MATCH($B$1,[2]quests!$1:$1,0)+1,FALSE)</f>
        <v>台湾版降臨2</v>
      </c>
      <c r="E4" s="84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【超絶級】孫悟空襲来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台湾版降臨2</v>
      </c>
      <c r="H4" s="82">
        <v>0</v>
      </c>
      <c r="I4">
        <v>19</v>
      </c>
      <c r="J4" s="81" t="s">
        <v>199</v>
      </c>
      <c r="K4" s="90" t="str">
        <f>VLOOKUP(I4,[7]stage_hints!$A:$C,3,FALSE)</f>
        <v>ソロ専用チャレンジタワー</v>
      </c>
      <c r="L4" s="91" t="str">
        <f>VLOOKUP(I4,[7]stage_hints!$A:$D,4,FALSE)</f>
        <v>ソロ専用の「チャレンジタワー」では_x000D_各フロアごとにクリア報酬がもらえます</v>
      </c>
      <c r="M4" s="54" t="s">
        <v>212</v>
      </c>
    </row>
    <row r="5" spans="1:13" x14ac:dyDescent="0.15">
      <c r="A5" s="78" t="s">
        <v>202</v>
      </c>
      <c r="B5" s="79">
        <f>floors!$C$2</f>
        <v>48002</v>
      </c>
      <c r="C5" s="80" t="str">
        <f ca="1">VLOOKUP($B5,OFFSET([2]quests!$A$1,0,0,COUNTA([2]quests!$A:$A),MATCH(C$1,[2]quests!$1:$1,0)-MATCH($B$1,[2]quests!$1:$1,0)+1),MATCH(C$1,[2]quests!$1:$1,0)-MATCH($B$1,[2]quests!$1:$1,0)+1,FALSE)</f>
        <v>孫悟空襲来！</v>
      </c>
      <c r="D5" s="80" t="str">
        <f ca="1">VLOOKUP($B5,OFFSET([2]quests!$A$1,0,0,COUNTA([2]quests!$A:$A),MATCH(D$1,[2]quests!$1:$1,0)-MATCH($B$1,[2]quests!$1:$1,0)+1),MATCH(D$1,[2]quests!$1:$1,0)-MATCH($B$1,[2]quests!$1:$1,0)+1,FALSE)</f>
        <v>台湾版降臨2</v>
      </c>
      <c r="E5" s="84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【超絶級】孫悟空襲来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台湾版降臨2</v>
      </c>
      <c r="H5" s="82">
        <v>0</v>
      </c>
      <c r="I5">
        <v>21</v>
      </c>
      <c r="J5" s="81" t="s">
        <v>199</v>
      </c>
      <c r="K5" s="90" t="str">
        <f>VLOOKUP(I5,[7]stage_hints!$A:$C,3,FALSE)</f>
        <v>スキルを有効に</v>
      </c>
      <c r="L5" s="91" t="str">
        <f>VLOOKUP(I5,[7]stage_hints!$A:$D,4,FALSE)</f>
        <v>ターン経過でユニットのスキルが使えます_x000D_強力スキルでバトルを有利に進めましょう</v>
      </c>
      <c r="M5" s="54" t="s">
        <v>212</v>
      </c>
    </row>
    <row r="6" spans="1:13" x14ac:dyDescent="0.15">
      <c r="A6" s="78" t="s">
        <v>202</v>
      </c>
      <c r="B6" s="79">
        <f>floors!$C$2</f>
        <v>48002</v>
      </c>
      <c r="C6" s="80" t="str">
        <f ca="1">VLOOKUP($B6,OFFSET([2]quests!$A$1,0,0,COUNTA([2]quests!$A:$A),MATCH(C$1,[2]quests!$1:$1,0)-MATCH($B$1,[2]quests!$1:$1,0)+1),MATCH(C$1,[2]quests!$1:$1,0)-MATCH($B$1,[2]quests!$1:$1,0)+1,FALSE)</f>
        <v>孫悟空襲来！</v>
      </c>
      <c r="D6" s="80" t="str">
        <f ca="1">VLOOKUP($B6,OFFSET([2]quests!$A$1,0,0,COUNTA([2]quests!$A:$A),MATCH(D$1,[2]quests!$1:$1,0)-MATCH($B$1,[2]quests!$1:$1,0)+1),MATCH(D$1,[2]quests!$1:$1,0)-MATCH($B$1,[2]quests!$1:$1,0)+1,FALSE)</f>
        <v>台湾版降臨2</v>
      </c>
      <c r="E6" s="84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【超絶級】孫悟空襲来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台湾版降臨2</v>
      </c>
      <c r="H6" s="82">
        <v>0</v>
      </c>
      <c r="I6">
        <v>29</v>
      </c>
      <c r="J6" s="81" t="s">
        <v>199</v>
      </c>
      <c r="K6" s="90" t="str">
        <f>VLOOKUP(I6,[7]stage_hints!$A:$C,3,FALSE)</f>
        <v>「バグ」のメリット</v>
      </c>
      <c r="L6" s="91" t="str">
        <f>VLOOKUP(I6,[7]stage_hints!$A:$D,4,FALSE)</f>
        <v>ユニットの「バグ」を増やすと_x000D_報酬をもらえる確率がアップします</v>
      </c>
      <c r="M6" s="54" t="s">
        <v>212</v>
      </c>
    </row>
    <row r="7" spans="1:13" x14ac:dyDescent="0.15">
      <c r="A7" s="78" t="s">
        <v>202</v>
      </c>
      <c r="B7" s="79">
        <f>floors!$C$2</f>
        <v>48002</v>
      </c>
      <c r="C7" s="80" t="str">
        <f ca="1">VLOOKUP($B7,OFFSET([2]quests!$A$1,0,0,COUNTA([2]quests!$A:$A),MATCH(C$1,[2]quests!$1:$1,0)-MATCH($B$1,[2]quests!$1:$1,0)+1),MATCH(C$1,[2]quests!$1:$1,0)-MATCH($B$1,[2]quests!$1:$1,0)+1,FALSE)</f>
        <v>孫悟空襲来！</v>
      </c>
      <c r="D7" s="80" t="str">
        <f ca="1">VLOOKUP($B7,OFFSET([2]quests!$A$1,0,0,COUNTA([2]quests!$A:$A),MATCH(D$1,[2]quests!$1:$1,0)-MATCH($B$1,[2]quests!$1:$1,0)+1),MATCH(D$1,[2]quests!$1:$1,0)-MATCH($B$1,[2]quests!$1:$1,0)+1,FALSE)</f>
        <v>台湾版降臨2</v>
      </c>
      <c r="E7" s="84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【超絶級】孫悟空襲来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台湾版降臨2</v>
      </c>
      <c r="H7" s="82">
        <v>0</v>
      </c>
      <c r="I7">
        <v>30</v>
      </c>
      <c r="J7" s="81" t="s">
        <v>199</v>
      </c>
      <c r="K7" s="90" t="str">
        <f>VLOOKUP(I7,[7]stage_hints!$A:$C,3,FALSE)</f>
        <v>「バグ」の増やし方</v>
      </c>
      <c r="L7" s="91" t="str">
        <f>VLOOKUP(I7,[7]stage_hints!$A:$D,4,FALSE)</f>
        <v>同じユニット同士を強化で合成すると_x000D_「バグ」を増やすことができます</v>
      </c>
      <c r="M7" s="54" t="s">
        <v>212</v>
      </c>
    </row>
    <row r="8" spans="1:13" x14ac:dyDescent="0.15">
      <c r="A8" s="78" t="s">
        <v>202</v>
      </c>
      <c r="B8" s="79">
        <f>floors!$C$2</f>
        <v>48002</v>
      </c>
      <c r="C8" s="80" t="str">
        <f ca="1">VLOOKUP($B8,OFFSET([2]quests!$A$1,0,0,COUNTA([2]quests!$A:$A),MATCH(C$1,[2]quests!$1:$1,0)-MATCH($B$1,[2]quests!$1:$1,0)+1),MATCH(C$1,[2]quests!$1:$1,0)-MATCH($B$1,[2]quests!$1:$1,0)+1,FALSE)</f>
        <v>孫悟空襲来！</v>
      </c>
      <c r="D8" s="80" t="str">
        <f ca="1">VLOOKUP($B8,OFFSET([2]quests!$A$1,0,0,COUNTA([2]quests!$A:$A),MATCH(D$1,[2]quests!$1:$1,0)-MATCH($B$1,[2]quests!$1:$1,0)+1),MATCH(D$1,[2]quests!$1:$1,0)-MATCH($B$1,[2]quests!$1:$1,0)+1,FALSE)</f>
        <v>台湾版降臨2</v>
      </c>
      <c r="E8" s="84">
        <v>1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【超絶級】孫悟空襲来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台湾版降臨2</v>
      </c>
      <c r="H8" s="82">
        <v>0</v>
      </c>
      <c r="I8">
        <v>32</v>
      </c>
      <c r="J8" s="81" t="s">
        <v>199</v>
      </c>
      <c r="K8" s="90" t="str">
        <f>VLOOKUP(I8,[7]stage_hints!$A:$C,3,FALSE)</f>
        <v>敵の連続攻撃には</v>
      </c>
      <c r="L8" s="91" t="str">
        <f>VLOOKUP(I8,[7]stage_hints!$A:$D,4,FALSE)</f>
        <v>カウンタースキルを持つユニットがいれば_x000D_ダメージ回数分の反撃ができます</v>
      </c>
      <c r="M8" s="54" t="s">
        <v>212</v>
      </c>
    </row>
    <row r="9" spans="1:13" x14ac:dyDescent="0.15">
      <c r="A9" s="78" t="s">
        <v>202</v>
      </c>
      <c r="B9" s="79">
        <f>floors!$C$2</f>
        <v>48002</v>
      </c>
      <c r="C9" s="80" t="str">
        <f ca="1">VLOOKUP($B9,OFFSET([2]quests!$A$1,0,0,COUNTA([2]quests!$A:$A),MATCH(C$1,[2]quests!$1:$1,0)-MATCH($B$1,[2]quests!$1:$1,0)+1),MATCH(C$1,[2]quests!$1:$1,0)-MATCH($B$1,[2]quests!$1:$1,0)+1,FALSE)</f>
        <v>孫悟空襲来！</v>
      </c>
      <c r="D9" s="80" t="str">
        <f ca="1">VLOOKUP($B9,OFFSET([2]quests!$A$1,0,0,COUNTA([2]quests!$A:$A),MATCH(D$1,[2]quests!$1:$1,0)-MATCH($B$1,[2]quests!$1:$1,0)+1),MATCH(D$1,[2]quests!$1:$1,0)-MATCH($B$1,[2]quests!$1:$1,0)+1,FALSE)</f>
        <v>台湾版降臨2</v>
      </c>
      <c r="E9" s="84">
        <v>1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【超絶級】孫悟空襲来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台湾版降臨2</v>
      </c>
      <c r="H9" s="82">
        <v>0</v>
      </c>
      <c r="I9">
        <v>33</v>
      </c>
      <c r="J9" s="81" t="s">
        <v>199</v>
      </c>
      <c r="K9" s="90" t="str">
        <f>VLOOKUP(I9,[7]stage_hints!$A:$C,3,FALSE)</f>
        <v>敵のカウンター攻撃には</v>
      </c>
      <c r="L9" s="91" t="str">
        <f>VLOOKUP(I9,[7]stage_hints!$A:$D,4,FALSE)</f>
        <v>カウンターブレイクスキルを持っていれば_x000D_敵のカウンターを解除して攻撃ができます</v>
      </c>
      <c r="M9" s="54" t="s">
        <v>212</v>
      </c>
    </row>
    <row r="10" spans="1:13" x14ac:dyDescent="0.15">
      <c r="A10" s="78" t="s">
        <v>202</v>
      </c>
      <c r="B10" s="79">
        <f>floors!$C$2</f>
        <v>48002</v>
      </c>
      <c r="C10" s="80" t="str">
        <f ca="1">VLOOKUP($B10,OFFSET([2]quests!$A$1,0,0,COUNTA([2]quests!$A:$A),MATCH(C$1,[2]quests!$1:$1,0)-MATCH($B$1,[2]quests!$1:$1,0)+1),MATCH(C$1,[2]quests!$1:$1,0)-MATCH($B$1,[2]quests!$1:$1,0)+1,FALSE)</f>
        <v>孫悟空襲来！</v>
      </c>
      <c r="D10" s="80" t="str">
        <f ca="1">VLOOKUP($B10,OFFSET([2]quests!$A$1,0,0,COUNTA([2]quests!$A:$A),MATCH(D$1,[2]quests!$1:$1,0)-MATCH($B$1,[2]quests!$1:$1,0)+1),MATCH(D$1,[2]quests!$1:$1,0)-MATCH($B$1,[2]quests!$1:$1,0)+1,FALSE)</f>
        <v>台湾版降臨2</v>
      </c>
      <c r="E10" s="84">
        <v>1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【超絶級】孫悟空襲来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台湾版降臨2</v>
      </c>
      <c r="H10" s="82">
        <v>0</v>
      </c>
      <c r="I10">
        <v>34</v>
      </c>
      <c r="J10" s="81" t="s">
        <v>199</v>
      </c>
      <c r="K10" s="90" t="str">
        <f>VLOOKUP(I10,[7]stage_hints!$A:$C,3,FALSE)</f>
        <v>ステータスをスキルで下げられたら</v>
      </c>
      <c r="L10" s="91" t="str">
        <f>VLOOKUP(I10,[7]stage_hints!$A:$D,4,FALSE)</f>
        <v>ステータスダウンのスキルを受けたら_x000D_ステータスアップスキルで上書きしましょう</v>
      </c>
      <c r="M10" s="54" t="s">
        <v>212</v>
      </c>
    </row>
    <row r="11" spans="1:13" x14ac:dyDescent="0.15">
      <c r="A11" s="78" t="s">
        <v>202</v>
      </c>
      <c r="B11" s="79">
        <f>floors!$C$2</f>
        <v>48002</v>
      </c>
      <c r="C11" s="80" t="str">
        <f ca="1">VLOOKUP($B11,OFFSET([2]quests!$A$1,0,0,COUNTA([2]quests!$A:$A),MATCH(C$1,[2]quests!$1:$1,0)-MATCH($B$1,[2]quests!$1:$1,0)+1),MATCH(C$1,[2]quests!$1:$1,0)-MATCH($B$1,[2]quests!$1:$1,0)+1,FALSE)</f>
        <v>孫悟空襲来！</v>
      </c>
      <c r="D11" s="80" t="str">
        <f ca="1">VLOOKUP($B11,OFFSET([2]quests!$A$1,0,0,COUNTA([2]quests!$A:$A),MATCH(D$1,[2]quests!$1:$1,0)-MATCH($B$1,[2]quests!$1:$1,0)+1),MATCH(D$1,[2]quests!$1:$1,0)-MATCH($B$1,[2]quests!$1:$1,0)+1,FALSE)</f>
        <v>台湾版降臨2</v>
      </c>
      <c r="E11" s="84">
        <v>1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【超絶級】孫悟空襲来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台湾版降臨2</v>
      </c>
      <c r="H11" s="82">
        <v>0</v>
      </c>
      <c r="I11">
        <v>35</v>
      </c>
      <c r="J11" s="81" t="s">
        <v>199</v>
      </c>
      <c r="K11" s="90" t="str">
        <f>VLOOKUP(I11,[7]stage_hints!$A:$C,3,FALSE)</f>
        <v>敵のステータスがスキルで上がったら</v>
      </c>
      <c r="L11" s="91" t="str">
        <f>VLOOKUP(I11,[7]stage_hints!$A:$D,4,FALSE)</f>
        <v>敵のステータスがスキルでアップしたときは_x000D_ステータスダウンスキルで上書きしましょう</v>
      </c>
      <c r="M11" s="54" t="s">
        <v>212</v>
      </c>
    </row>
    <row r="12" spans="1:13" x14ac:dyDescent="0.15">
      <c r="A12" s="78" t="s">
        <v>202</v>
      </c>
      <c r="B12" s="79">
        <f>floors!$C$2</f>
        <v>48002</v>
      </c>
      <c r="C12" s="80" t="str">
        <f ca="1">VLOOKUP($B12,OFFSET([2]quests!$A$1,0,0,COUNTA([2]quests!$A:$A),MATCH(C$1,[2]quests!$1:$1,0)-MATCH($B$1,[2]quests!$1:$1,0)+1),MATCH(C$1,[2]quests!$1:$1,0)-MATCH($B$1,[2]quests!$1:$1,0)+1,FALSE)</f>
        <v>孫悟空襲来！</v>
      </c>
      <c r="D12" s="80" t="str">
        <f ca="1">VLOOKUP($B12,OFFSET([2]quests!$A$1,0,0,COUNTA([2]quests!$A:$A),MATCH(D$1,[2]quests!$1:$1,0)-MATCH($B$1,[2]quests!$1:$1,0)+1),MATCH(D$1,[2]quests!$1:$1,0)-MATCH($B$1,[2]quests!$1:$1,0)+1,FALSE)</f>
        <v>台湾版降臨2</v>
      </c>
      <c r="E12" s="84">
        <v>1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【超絶級】孫悟空襲来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台湾版降臨2</v>
      </c>
      <c r="H12" s="82">
        <v>0</v>
      </c>
      <c r="I12">
        <v>36</v>
      </c>
      <c r="J12" s="81" t="s">
        <v>199</v>
      </c>
      <c r="K12" s="90" t="str">
        <f>VLOOKUP(I12,[7]stage_hints!$A:$C,3,FALSE)</f>
        <v>チャレンジタワーのボス</v>
      </c>
      <c r="L12" s="91" t="str">
        <f>VLOOKUP(I12,[7]stage_hints!$A:$D,4,FALSE)</f>
        <v>チャレンジタワーでのみ登場するボスは_x000D_一定確率で獲得することができます</v>
      </c>
      <c r="M12" s="54" t="s">
        <v>212</v>
      </c>
    </row>
    <row r="13" spans="1:13" x14ac:dyDescent="0.15">
      <c r="A13" s="78" t="s">
        <v>202</v>
      </c>
      <c r="B13" s="79">
        <f>floors!$C$2</f>
        <v>48002</v>
      </c>
      <c r="C13" s="80" t="str">
        <f ca="1">VLOOKUP($B13,OFFSET([2]quests!$A$1,0,0,COUNTA([2]quests!$A:$A),MATCH(C$1,[2]quests!$1:$1,0)-MATCH($B$1,[2]quests!$1:$1,0)+1),MATCH(C$1,[2]quests!$1:$1,0)-MATCH($B$1,[2]quests!$1:$1,0)+1,FALSE)</f>
        <v>孫悟空襲来！</v>
      </c>
      <c r="D13" s="80" t="str">
        <f ca="1">VLOOKUP($B13,OFFSET([2]quests!$A$1,0,0,COUNTA([2]quests!$A:$A),MATCH(D$1,[2]quests!$1:$1,0)-MATCH($B$1,[2]quests!$1:$1,0)+1),MATCH(D$1,[2]quests!$1:$1,0)-MATCH($B$1,[2]quests!$1:$1,0)+1,FALSE)</f>
        <v>台湾版降臨2</v>
      </c>
      <c r="E13" s="84">
        <v>1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【超絶級】孫悟空襲来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台湾版降臨2</v>
      </c>
      <c r="H13" s="82">
        <v>0</v>
      </c>
      <c r="I13">
        <v>37</v>
      </c>
      <c r="J13" s="81" t="s">
        <v>199</v>
      </c>
      <c r="K13" s="90" t="str">
        <f>VLOOKUP(I13,[7]stage_hints!$A:$C,3,FALSE)</f>
        <v>限界突破値の引き継ぎ</v>
      </c>
      <c r="L13" s="91" t="str">
        <f>VLOOKUP(I13,[7]stage_hints!$A:$D,4,FALSE)</f>
        <v>同じユニットを強化で合成すると_x000D_限界突破値を引き継げます（覚醒前後も可）</v>
      </c>
      <c r="M13" s="54" t="s">
        <v>212</v>
      </c>
    </row>
    <row r="14" spans="1:13" x14ac:dyDescent="0.15">
      <c r="A14" s="78" t="s">
        <v>202</v>
      </c>
      <c r="B14" s="79">
        <f>floors!$C$2</f>
        <v>48002</v>
      </c>
      <c r="C14" s="80" t="str">
        <f ca="1">VLOOKUP($B14,OFFSET([2]quests!$A$1,0,0,COUNTA([2]quests!$A:$A),MATCH(C$1,[2]quests!$1:$1,0)-MATCH($B$1,[2]quests!$1:$1,0)+1),MATCH(C$1,[2]quests!$1:$1,0)-MATCH($B$1,[2]quests!$1:$1,0)+1,FALSE)</f>
        <v>孫悟空襲来！</v>
      </c>
      <c r="D14" s="80" t="str">
        <f ca="1">VLOOKUP($B14,OFFSET([2]quests!$A$1,0,0,COUNTA([2]quests!$A:$A),MATCH(D$1,[2]quests!$1:$1,0)-MATCH($B$1,[2]quests!$1:$1,0)+1),MATCH(D$1,[2]quests!$1:$1,0)-MATCH($B$1,[2]quests!$1:$1,0)+1,FALSE)</f>
        <v>台湾版降臨2</v>
      </c>
      <c r="E14" s="84">
        <v>1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【超絶級】孫悟空襲来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台湾版降臨2</v>
      </c>
      <c r="H14" s="82">
        <v>0</v>
      </c>
      <c r="I14">
        <v>39</v>
      </c>
      <c r="J14" s="81" t="s">
        <v>199</v>
      </c>
      <c r="K14" s="90" t="str">
        <f>VLOOKUP(I14,[7]stage_hints!$A:$C,3,FALSE)</f>
        <v>システム適合者を確認</v>
      </c>
      <c r="L14" s="91" t="str">
        <f>VLOOKUP(I14,[7]stage_hints!$A:$D,4,FALSE)</f>
        <v>ALICEが「アナタ」を呼んでいます</v>
      </c>
      <c r="M14" s="54" t="s">
        <v>212</v>
      </c>
    </row>
    <row r="15" spans="1:13" x14ac:dyDescent="0.15">
      <c r="A15" s="78" t="s">
        <v>202</v>
      </c>
      <c r="B15" s="79">
        <f>floors!$C$2</f>
        <v>48002</v>
      </c>
      <c r="C15" s="80" t="str">
        <f ca="1">VLOOKUP($B15,OFFSET([2]quests!$A$1,0,0,COUNTA([2]quests!$A:$A),MATCH(C$1,[2]quests!$1:$1,0)-MATCH($B$1,[2]quests!$1:$1,0)+1),MATCH(C$1,[2]quests!$1:$1,0)-MATCH($B$1,[2]quests!$1:$1,0)+1,FALSE)</f>
        <v>孫悟空襲来！</v>
      </c>
      <c r="D15" s="80" t="str">
        <f ca="1">VLOOKUP($B15,OFFSET([2]quests!$A$1,0,0,COUNTA([2]quests!$A:$A),MATCH(D$1,[2]quests!$1:$1,0)-MATCH($B$1,[2]quests!$1:$1,0)+1),MATCH(D$1,[2]quests!$1:$1,0)-MATCH($B$1,[2]quests!$1:$1,0)+1,FALSE)</f>
        <v>台湾版降臨2</v>
      </c>
      <c r="E15" s="84">
        <v>2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台湾版降臨2</v>
      </c>
      <c r="H15" s="82">
        <v>0</v>
      </c>
      <c r="I15">
        <v>12</v>
      </c>
      <c r="J15" s="81" t="s">
        <v>199</v>
      </c>
      <c r="K15" s="90" t="str">
        <f>VLOOKUP(I15,[7]stage_hints!$A:$C,3,FALSE)</f>
        <v>ユニットのお気に入り登録</v>
      </c>
      <c r="L15" s="91" t="str">
        <f>VLOOKUP(I15,[7]stage_hints!$A:$D,4,FALSE)</f>
        <v>大事なユニットを誤って消さないように_x000D_フォルダから「お気に入り登録」しましょう</v>
      </c>
      <c r="M15" s="54" t="s">
        <v>212</v>
      </c>
    </row>
    <row r="16" spans="1:13" x14ac:dyDescent="0.15">
      <c r="A16" s="78" t="s">
        <v>202</v>
      </c>
      <c r="B16" s="79">
        <f>floors!$C$2</f>
        <v>48002</v>
      </c>
      <c r="C16" s="80" t="str">
        <f ca="1">VLOOKUP($B16,OFFSET([2]quests!$A$1,0,0,COUNTA([2]quests!$A:$A),MATCH(C$1,[2]quests!$1:$1,0)-MATCH($B$1,[2]quests!$1:$1,0)+1),MATCH(C$1,[2]quests!$1:$1,0)-MATCH($B$1,[2]quests!$1:$1,0)+1,FALSE)</f>
        <v>孫悟空襲来！</v>
      </c>
      <c r="D16" s="80" t="str">
        <f ca="1">VLOOKUP($B16,OFFSET([2]quests!$A$1,0,0,COUNTA([2]quests!$A:$A),MATCH(D$1,[2]quests!$1:$1,0)-MATCH($B$1,[2]quests!$1:$1,0)+1),MATCH(D$1,[2]quests!$1:$1,0)-MATCH($B$1,[2]quests!$1:$1,0)+1,FALSE)</f>
        <v>台湾版降臨2</v>
      </c>
      <c r="E16" s="84">
        <v>2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台湾版降臨2</v>
      </c>
      <c r="H16" s="82">
        <v>0</v>
      </c>
      <c r="I16">
        <v>17</v>
      </c>
      <c r="J16" s="81" t="s">
        <v>199</v>
      </c>
      <c r="K16" s="90" t="str">
        <f>VLOOKUP(I16,[7]stage_hints!$A:$C,3,FALSE)</f>
        <v>リンクガチャ</v>
      </c>
      <c r="L16" s="91" t="str">
        <f>VLOOKUP(I16,[7]stage_hints!$A:$D,4,FALSE)</f>
        <v>無料のリンクガチャを回して_x000D_経験値素材や売却素材を獲得しましょう</v>
      </c>
      <c r="M16" s="54" t="s">
        <v>212</v>
      </c>
    </row>
    <row r="17" spans="1:13" x14ac:dyDescent="0.15">
      <c r="A17" s="78" t="s">
        <v>202</v>
      </c>
      <c r="B17" s="79">
        <f>floors!$C$2</f>
        <v>48002</v>
      </c>
      <c r="C17" s="80" t="str">
        <f ca="1">VLOOKUP($B17,OFFSET([2]quests!$A$1,0,0,COUNTA([2]quests!$A:$A),MATCH(C$1,[2]quests!$1:$1,0)-MATCH($B$1,[2]quests!$1:$1,0)+1),MATCH(C$1,[2]quests!$1:$1,0)-MATCH($B$1,[2]quests!$1:$1,0)+1,FALSE)</f>
        <v>孫悟空襲来！</v>
      </c>
      <c r="D17" s="80" t="str">
        <f ca="1">VLOOKUP($B17,OFFSET([2]quests!$A$1,0,0,COUNTA([2]quests!$A:$A),MATCH(D$1,[2]quests!$1:$1,0)-MATCH($B$1,[2]quests!$1:$1,0)+1),MATCH(D$1,[2]quests!$1:$1,0)-MATCH($B$1,[2]quests!$1:$1,0)+1,FALSE)</f>
        <v>台湾版降臨2</v>
      </c>
      <c r="E17" s="84">
        <v>2</v>
      </c>
      <c r="F17" s="80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7" s="80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台湾版降臨2</v>
      </c>
      <c r="H17" s="82">
        <v>0</v>
      </c>
      <c r="I17">
        <v>19</v>
      </c>
      <c r="J17" s="81" t="s">
        <v>199</v>
      </c>
      <c r="K17" s="90" t="str">
        <f>VLOOKUP(I17,[7]stage_hints!$A:$C,3,FALSE)</f>
        <v>ソロ専用チャレンジタワー</v>
      </c>
      <c r="L17" s="91" t="str">
        <f>VLOOKUP(I17,[7]stage_hints!$A:$D,4,FALSE)</f>
        <v>ソロ専用の「チャレンジタワー」では_x000D_各フロアごとにクリア報酬がもらえます</v>
      </c>
      <c r="M17" s="54" t="s">
        <v>212</v>
      </c>
    </row>
    <row r="18" spans="1:13" x14ac:dyDescent="0.15">
      <c r="A18" s="78" t="s">
        <v>202</v>
      </c>
      <c r="B18" s="79">
        <f>floors!$C$2</f>
        <v>48002</v>
      </c>
      <c r="C18" s="80" t="str">
        <f ca="1">VLOOKUP($B18,OFFSET([2]quests!$A$1,0,0,COUNTA([2]quests!$A:$A),MATCH(C$1,[2]quests!$1:$1,0)-MATCH($B$1,[2]quests!$1:$1,0)+1),MATCH(C$1,[2]quests!$1:$1,0)-MATCH($B$1,[2]quests!$1:$1,0)+1,FALSE)</f>
        <v>孫悟空襲来！</v>
      </c>
      <c r="D18" s="80" t="str">
        <f ca="1">VLOOKUP($B18,OFFSET([2]quests!$A$1,0,0,COUNTA([2]quests!$A:$A),MATCH(D$1,[2]quests!$1:$1,0)-MATCH($B$1,[2]quests!$1:$1,0)+1),MATCH(D$1,[2]quests!$1:$1,0)-MATCH($B$1,[2]quests!$1:$1,0)+1,FALSE)</f>
        <v>台湾版降臨2</v>
      </c>
      <c r="E18" s="84">
        <v>2</v>
      </c>
      <c r="F18" s="80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8" s="80" t="str">
        <f ca="1">VLOOKUP($B18&amp;"_"&amp;$E18,OFFSET([2]stages!$A$1,0,0,COUNTA([2]stages!$A:$A),MATCH(G$1,[2]stages!$2:$2,0)-MATCH("temp_stage",[2]stages!$2:$2,0)+1),MATCH(G$1,[2]stages!$2:$2,0)-MATCH("temp_stage",[2]stages!$2:$2,0)+1,FALSE)</f>
        <v>台湾版降臨2</v>
      </c>
      <c r="H18" s="82">
        <v>0</v>
      </c>
      <c r="I18">
        <v>21</v>
      </c>
      <c r="J18" s="81" t="s">
        <v>199</v>
      </c>
      <c r="K18" s="90" t="str">
        <f>VLOOKUP(I18,[7]stage_hints!$A:$C,3,FALSE)</f>
        <v>スキルを有効に</v>
      </c>
      <c r="L18" s="91" t="str">
        <f>VLOOKUP(I18,[7]stage_hints!$A:$D,4,FALSE)</f>
        <v>ターン経過でユニットのスキルが使えます_x000D_強力スキルでバトルを有利に進めましょう</v>
      </c>
      <c r="M18" s="54" t="s">
        <v>212</v>
      </c>
    </row>
    <row r="19" spans="1:13" x14ac:dyDescent="0.15">
      <c r="A19" s="78" t="s">
        <v>202</v>
      </c>
      <c r="B19" s="79">
        <f>floors!$C$2</f>
        <v>48002</v>
      </c>
      <c r="C19" s="80" t="str">
        <f ca="1">VLOOKUP($B19,OFFSET([2]quests!$A$1,0,0,COUNTA([2]quests!$A:$A),MATCH(C$1,[2]quests!$1:$1,0)-MATCH($B$1,[2]quests!$1:$1,0)+1),MATCH(C$1,[2]quests!$1:$1,0)-MATCH($B$1,[2]quests!$1:$1,0)+1,FALSE)</f>
        <v>孫悟空襲来！</v>
      </c>
      <c r="D19" s="80" t="str">
        <f ca="1">VLOOKUP($B19,OFFSET([2]quests!$A$1,0,0,COUNTA([2]quests!$A:$A),MATCH(D$1,[2]quests!$1:$1,0)-MATCH($B$1,[2]quests!$1:$1,0)+1),MATCH(D$1,[2]quests!$1:$1,0)-MATCH($B$1,[2]quests!$1:$1,0)+1,FALSE)</f>
        <v>台湾版降臨2</v>
      </c>
      <c r="E19" s="84">
        <v>2</v>
      </c>
      <c r="F19" s="80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9" s="80" t="str">
        <f ca="1">VLOOKUP($B19&amp;"_"&amp;$E19,OFFSET([2]stages!$A$1,0,0,COUNTA([2]stages!$A:$A),MATCH(G$1,[2]stages!$2:$2,0)-MATCH("temp_stage",[2]stages!$2:$2,0)+1),MATCH(G$1,[2]stages!$2:$2,0)-MATCH("temp_stage",[2]stages!$2:$2,0)+1,FALSE)</f>
        <v>台湾版降臨2</v>
      </c>
      <c r="H19" s="82">
        <v>0</v>
      </c>
      <c r="I19">
        <v>29</v>
      </c>
      <c r="J19" s="81" t="s">
        <v>199</v>
      </c>
      <c r="K19" s="90" t="str">
        <f>VLOOKUP(I19,[7]stage_hints!$A:$C,3,FALSE)</f>
        <v>「バグ」のメリット</v>
      </c>
      <c r="L19" s="91" t="str">
        <f>VLOOKUP(I19,[7]stage_hints!$A:$D,4,FALSE)</f>
        <v>ユニットの「バグ」を増やすと_x000D_報酬をもらえる確率がアップします</v>
      </c>
      <c r="M19" s="54" t="s">
        <v>212</v>
      </c>
    </row>
    <row r="20" spans="1:13" x14ac:dyDescent="0.15">
      <c r="A20" s="78" t="s">
        <v>202</v>
      </c>
      <c r="B20" s="79">
        <f>floors!$C$2</f>
        <v>48002</v>
      </c>
      <c r="C20" s="80" t="str">
        <f ca="1">VLOOKUP($B20,OFFSET([2]quests!$A$1,0,0,COUNTA([2]quests!$A:$A),MATCH(C$1,[2]quests!$1:$1,0)-MATCH($B$1,[2]quests!$1:$1,0)+1),MATCH(C$1,[2]quests!$1:$1,0)-MATCH($B$1,[2]quests!$1:$1,0)+1,FALSE)</f>
        <v>孫悟空襲来！</v>
      </c>
      <c r="D20" s="80" t="str">
        <f ca="1">VLOOKUP($B20,OFFSET([2]quests!$A$1,0,0,COUNTA([2]quests!$A:$A),MATCH(D$1,[2]quests!$1:$1,0)-MATCH($B$1,[2]quests!$1:$1,0)+1),MATCH(D$1,[2]quests!$1:$1,0)-MATCH($B$1,[2]quests!$1:$1,0)+1,FALSE)</f>
        <v>台湾版降臨2</v>
      </c>
      <c r="E20" s="84">
        <v>2</v>
      </c>
      <c r="F20" s="80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20" s="80" t="str">
        <f ca="1">VLOOKUP($B20&amp;"_"&amp;$E20,OFFSET([2]stages!$A$1,0,0,COUNTA([2]stages!$A:$A),MATCH(G$1,[2]stages!$2:$2,0)-MATCH("temp_stage",[2]stages!$2:$2,0)+1),MATCH(G$1,[2]stages!$2:$2,0)-MATCH("temp_stage",[2]stages!$2:$2,0)+1,FALSE)</f>
        <v>台湾版降臨2</v>
      </c>
      <c r="H20" s="82">
        <v>0</v>
      </c>
      <c r="I20">
        <v>30</v>
      </c>
      <c r="J20" s="81" t="s">
        <v>199</v>
      </c>
      <c r="K20" s="90" t="str">
        <f>VLOOKUP(I20,[7]stage_hints!$A:$C,3,FALSE)</f>
        <v>「バグ」の増やし方</v>
      </c>
      <c r="L20" s="91" t="str">
        <f>VLOOKUP(I20,[7]stage_hints!$A:$D,4,FALSE)</f>
        <v>同じユニット同士を強化で合成すると_x000D_「バグ」を増やすことができます</v>
      </c>
      <c r="M20" s="54" t="s">
        <v>212</v>
      </c>
    </row>
    <row r="21" spans="1:13" x14ac:dyDescent="0.15">
      <c r="A21" s="78" t="s">
        <v>202</v>
      </c>
      <c r="B21" s="79">
        <f>floors!$C$2</f>
        <v>48002</v>
      </c>
      <c r="C21" s="80" t="str">
        <f ca="1">VLOOKUP($B21,OFFSET([2]quests!$A$1,0,0,COUNTA([2]quests!$A:$A),MATCH(C$1,[2]quests!$1:$1,0)-MATCH($B$1,[2]quests!$1:$1,0)+1),MATCH(C$1,[2]quests!$1:$1,0)-MATCH($B$1,[2]quests!$1:$1,0)+1,FALSE)</f>
        <v>孫悟空襲来！</v>
      </c>
      <c r="D21" s="80" t="str">
        <f ca="1">VLOOKUP($B21,OFFSET([2]quests!$A$1,0,0,COUNTA([2]quests!$A:$A),MATCH(D$1,[2]quests!$1:$1,0)-MATCH($B$1,[2]quests!$1:$1,0)+1),MATCH(D$1,[2]quests!$1:$1,0)-MATCH($B$1,[2]quests!$1:$1,0)+1,FALSE)</f>
        <v>台湾版降臨2</v>
      </c>
      <c r="E21" s="84">
        <v>2</v>
      </c>
      <c r="F21" s="80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21" s="80" t="str">
        <f ca="1">VLOOKUP($B21&amp;"_"&amp;$E21,OFFSET([2]stages!$A$1,0,0,COUNTA([2]stages!$A:$A),MATCH(G$1,[2]stages!$2:$2,0)-MATCH("temp_stage",[2]stages!$2:$2,0)+1),MATCH(G$1,[2]stages!$2:$2,0)-MATCH("temp_stage",[2]stages!$2:$2,0)+1,FALSE)</f>
        <v>台湾版降臨2</v>
      </c>
      <c r="H21" s="82">
        <v>0</v>
      </c>
      <c r="I21">
        <v>32</v>
      </c>
      <c r="J21" s="81" t="s">
        <v>199</v>
      </c>
      <c r="K21" s="90" t="str">
        <f>VLOOKUP(I21,[7]stage_hints!$A:$C,3,FALSE)</f>
        <v>敵の連続攻撃には</v>
      </c>
      <c r="L21" s="91" t="str">
        <f>VLOOKUP(I21,[7]stage_hints!$A:$D,4,FALSE)</f>
        <v>カウンタースキルを持つユニットがいれば_x000D_ダメージ回数分の反撃ができます</v>
      </c>
      <c r="M21" s="54" t="s">
        <v>212</v>
      </c>
    </row>
    <row r="22" spans="1:13" x14ac:dyDescent="0.15">
      <c r="A22" s="78" t="s">
        <v>202</v>
      </c>
      <c r="B22" s="79">
        <f>floors!$C$2</f>
        <v>48002</v>
      </c>
      <c r="C22" s="80" t="str">
        <f ca="1">VLOOKUP($B22,OFFSET([2]quests!$A$1,0,0,COUNTA([2]quests!$A:$A),MATCH(C$1,[2]quests!$1:$1,0)-MATCH($B$1,[2]quests!$1:$1,0)+1),MATCH(C$1,[2]quests!$1:$1,0)-MATCH($B$1,[2]quests!$1:$1,0)+1,FALSE)</f>
        <v>孫悟空襲来！</v>
      </c>
      <c r="D22" s="80" t="str">
        <f ca="1">VLOOKUP($B22,OFFSET([2]quests!$A$1,0,0,COUNTA([2]quests!$A:$A),MATCH(D$1,[2]quests!$1:$1,0)-MATCH($B$1,[2]quests!$1:$1,0)+1),MATCH(D$1,[2]quests!$1:$1,0)-MATCH($B$1,[2]quests!$1:$1,0)+1,FALSE)</f>
        <v>台湾版降臨2</v>
      </c>
      <c r="E22" s="84">
        <v>2</v>
      </c>
      <c r="F22" s="80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22" s="80" t="str">
        <f ca="1">VLOOKUP($B22&amp;"_"&amp;$E22,OFFSET([2]stages!$A$1,0,0,COUNTA([2]stages!$A:$A),MATCH(G$1,[2]stages!$2:$2,0)-MATCH("temp_stage",[2]stages!$2:$2,0)+1),MATCH(G$1,[2]stages!$2:$2,0)-MATCH("temp_stage",[2]stages!$2:$2,0)+1,FALSE)</f>
        <v>台湾版降臨2</v>
      </c>
      <c r="H22" s="82">
        <v>0</v>
      </c>
      <c r="I22">
        <v>33</v>
      </c>
      <c r="J22" s="81" t="s">
        <v>199</v>
      </c>
      <c r="K22" s="90" t="str">
        <f>VLOOKUP(I22,[7]stage_hints!$A:$C,3,FALSE)</f>
        <v>敵のカウンター攻撃には</v>
      </c>
      <c r="L22" s="91" t="str">
        <f>VLOOKUP(I22,[7]stage_hints!$A:$D,4,FALSE)</f>
        <v>カウンターブレイクスキルを持っていれば_x000D_敵のカウンターを解除して攻撃ができます</v>
      </c>
      <c r="M22" s="54" t="s">
        <v>212</v>
      </c>
    </row>
    <row r="23" spans="1:13" x14ac:dyDescent="0.15">
      <c r="A23" s="78" t="s">
        <v>202</v>
      </c>
      <c r="B23" s="79">
        <f>floors!$C$2</f>
        <v>48002</v>
      </c>
      <c r="C23" s="80" t="str">
        <f ca="1">VLOOKUP($B23,OFFSET([2]quests!$A$1,0,0,COUNTA([2]quests!$A:$A),MATCH(C$1,[2]quests!$1:$1,0)-MATCH($B$1,[2]quests!$1:$1,0)+1),MATCH(C$1,[2]quests!$1:$1,0)-MATCH($B$1,[2]quests!$1:$1,0)+1,FALSE)</f>
        <v>孫悟空襲来！</v>
      </c>
      <c r="D23" s="80" t="str">
        <f ca="1">VLOOKUP($B23,OFFSET([2]quests!$A$1,0,0,COUNTA([2]quests!$A:$A),MATCH(D$1,[2]quests!$1:$1,0)-MATCH($B$1,[2]quests!$1:$1,0)+1),MATCH(D$1,[2]quests!$1:$1,0)-MATCH($B$1,[2]quests!$1:$1,0)+1,FALSE)</f>
        <v>台湾版降臨2</v>
      </c>
      <c r="E23" s="84">
        <v>2</v>
      </c>
      <c r="F23" s="80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23" s="80" t="str">
        <f ca="1">VLOOKUP($B23&amp;"_"&amp;$E23,OFFSET([2]stages!$A$1,0,0,COUNTA([2]stages!$A:$A),MATCH(G$1,[2]stages!$2:$2,0)-MATCH("temp_stage",[2]stages!$2:$2,0)+1),MATCH(G$1,[2]stages!$2:$2,0)-MATCH("temp_stage",[2]stages!$2:$2,0)+1,FALSE)</f>
        <v>台湾版降臨2</v>
      </c>
      <c r="H23" s="82">
        <v>0</v>
      </c>
      <c r="I23">
        <v>34</v>
      </c>
      <c r="J23" s="81" t="s">
        <v>199</v>
      </c>
      <c r="K23" s="90" t="str">
        <f>VLOOKUP(I23,[7]stage_hints!$A:$C,3,FALSE)</f>
        <v>ステータスをスキルで下げられたら</v>
      </c>
      <c r="L23" s="91" t="str">
        <f>VLOOKUP(I23,[7]stage_hints!$A:$D,4,FALSE)</f>
        <v>ステータスダウンのスキルを受けたら_x000D_ステータスアップスキルで上書きしましょう</v>
      </c>
      <c r="M23" s="54" t="s">
        <v>212</v>
      </c>
    </row>
    <row r="24" spans="1:13" x14ac:dyDescent="0.15">
      <c r="A24" s="78" t="s">
        <v>202</v>
      </c>
      <c r="B24" s="79">
        <f>floors!$C$2</f>
        <v>48002</v>
      </c>
      <c r="C24" s="80" t="str">
        <f ca="1">VLOOKUP($B24,OFFSET([2]quests!$A$1,0,0,COUNTA([2]quests!$A:$A),MATCH(C$1,[2]quests!$1:$1,0)-MATCH($B$1,[2]quests!$1:$1,0)+1),MATCH(C$1,[2]quests!$1:$1,0)-MATCH($B$1,[2]quests!$1:$1,0)+1,FALSE)</f>
        <v>孫悟空襲来！</v>
      </c>
      <c r="D24" s="80" t="str">
        <f ca="1">VLOOKUP($B24,OFFSET([2]quests!$A$1,0,0,COUNTA([2]quests!$A:$A),MATCH(D$1,[2]quests!$1:$1,0)-MATCH($B$1,[2]quests!$1:$1,0)+1),MATCH(D$1,[2]quests!$1:$1,0)-MATCH($B$1,[2]quests!$1:$1,0)+1,FALSE)</f>
        <v>台湾版降臨2</v>
      </c>
      <c r="E24" s="84">
        <v>2</v>
      </c>
      <c r="F24" s="80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24" s="80" t="str">
        <f ca="1">VLOOKUP($B24&amp;"_"&amp;$E24,OFFSET([2]stages!$A$1,0,0,COUNTA([2]stages!$A:$A),MATCH(G$1,[2]stages!$2:$2,0)-MATCH("temp_stage",[2]stages!$2:$2,0)+1),MATCH(G$1,[2]stages!$2:$2,0)-MATCH("temp_stage",[2]stages!$2:$2,0)+1,FALSE)</f>
        <v>台湾版降臨2</v>
      </c>
      <c r="H24" s="82">
        <v>0</v>
      </c>
      <c r="I24">
        <v>35</v>
      </c>
      <c r="J24" s="81" t="s">
        <v>199</v>
      </c>
      <c r="K24" s="90" t="str">
        <f>VLOOKUP(I24,[7]stage_hints!$A:$C,3,FALSE)</f>
        <v>敵のステータスがスキルで上がったら</v>
      </c>
      <c r="L24" s="91" t="str">
        <f>VLOOKUP(I24,[7]stage_hints!$A:$D,4,FALSE)</f>
        <v>敵のステータスがスキルでアップしたときは_x000D_ステータスダウンスキルで上書きしましょう</v>
      </c>
      <c r="M24" s="54" t="s">
        <v>212</v>
      </c>
    </row>
    <row r="25" spans="1:13" x14ac:dyDescent="0.15">
      <c r="A25" s="78" t="s">
        <v>202</v>
      </c>
      <c r="B25" s="79">
        <f>floors!$C$2</f>
        <v>48002</v>
      </c>
      <c r="C25" s="80" t="str">
        <f ca="1">VLOOKUP($B25,OFFSET([2]quests!$A$1,0,0,COUNTA([2]quests!$A:$A),MATCH(C$1,[2]quests!$1:$1,0)-MATCH($B$1,[2]quests!$1:$1,0)+1),MATCH(C$1,[2]quests!$1:$1,0)-MATCH($B$1,[2]quests!$1:$1,0)+1,FALSE)</f>
        <v>孫悟空襲来！</v>
      </c>
      <c r="D25" s="80" t="str">
        <f ca="1">VLOOKUP($B25,OFFSET([2]quests!$A$1,0,0,COUNTA([2]quests!$A:$A),MATCH(D$1,[2]quests!$1:$1,0)-MATCH($B$1,[2]quests!$1:$1,0)+1),MATCH(D$1,[2]quests!$1:$1,0)-MATCH($B$1,[2]quests!$1:$1,0)+1,FALSE)</f>
        <v>台湾版降臨2</v>
      </c>
      <c r="E25" s="84">
        <v>2</v>
      </c>
      <c r="F25" s="80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25" s="80" t="str">
        <f ca="1">VLOOKUP($B25&amp;"_"&amp;$E25,OFFSET([2]stages!$A$1,0,0,COUNTA([2]stages!$A:$A),MATCH(G$1,[2]stages!$2:$2,0)-MATCH("temp_stage",[2]stages!$2:$2,0)+1),MATCH(G$1,[2]stages!$2:$2,0)-MATCH("temp_stage",[2]stages!$2:$2,0)+1,FALSE)</f>
        <v>台湾版降臨2</v>
      </c>
      <c r="H25" s="82">
        <v>0</v>
      </c>
      <c r="I25">
        <v>36</v>
      </c>
      <c r="J25" s="81" t="s">
        <v>199</v>
      </c>
      <c r="K25" s="90" t="str">
        <f>VLOOKUP(I25,[7]stage_hints!$A:$C,3,FALSE)</f>
        <v>チャレンジタワーのボス</v>
      </c>
      <c r="L25" s="91" t="str">
        <f>VLOOKUP(I25,[7]stage_hints!$A:$D,4,FALSE)</f>
        <v>チャレンジタワーでのみ登場するボスは_x000D_一定確率で獲得することができます</v>
      </c>
      <c r="M25" s="54" t="s">
        <v>212</v>
      </c>
    </row>
    <row r="26" spans="1:13" x14ac:dyDescent="0.15">
      <c r="A26" s="78" t="s">
        <v>202</v>
      </c>
      <c r="B26" s="79">
        <f>floors!$C$2</f>
        <v>48002</v>
      </c>
      <c r="C26" s="80" t="str">
        <f ca="1">VLOOKUP($B26,OFFSET([2]quests!$A$1,0,0,COUNTA([2]quests!$A:$A),MATCH(C$1,[2]quests!$1:$1,0)-MATCH($B$1,[2]quests!$1:$1,0)+1),MATCH(C$1,[2]quests!$1:$1,0)-MATCH($B$1,[2]quests!$1:$1,0)+1,FALSE)</f>
        <v>孫悟空襲来！</v>
      </c>
      <c r="D26" s="80" t="str">
        <f ca="1">VLOOKUP($B26,OFFSET([2]quests!$A$1,0,0,COUNTA([2]quests!$A:$A),MATCH(D$1,[2]quests!$1:$1,0)-MATCH($B$1,[2]quests!$1:$1,0)+1),MATCH(D$1,[2]quests!$1:$1,0)-MATCH($B$1,[2]quests!$1:$1,0)+1,FALSE)</f>
        <v>台湾版降臨2</v>
      </c>
      <c r="E26" s="84">
        <v>2</v>
      </c>
      <c r="F26" s="80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26" s="80" t="str">
        <f ca="1">VLOOKUP($B26&amp;"_"&amp;$E26,OFFSET([2]stages!$A$1,0,0,COUNTA([2]stages!$A:$A),MATCH(G$1,[2]stages!$2:$2,0)-MATCH("temp_stage",[2]stages!$2:$2,0)+1),MATCH(G$1,[2]stages!$2:$2,0)-MATCH("temp_stage",[2]stages!$2:$2,0)+1,FALSE)</f>
        <v>台湾版降臨2</v>
      </c>
      <c r="H26" s="82">
        <v>0</v>
      </c>
      <c r="I26">
        <v>37</v>
      </c>
      <c r="J26" s="81" t="s">
        <v>199</v>
      </c>
      <c r="K26" s="90" t="str">
        <f>VLOOKUP(I26,[7]stage_hints!$A:$C,3,FALSE)</f>
        <v>限界突破値の引き継ぎ</v>
      </c>
      <c r="L26" s="91" t="str">
        <f>VLOOKUP(I26,[7]stage_hints!$A:$D,4,FALSE)</f>
        <v>同じユニットを強化で合成すると_x000D_限界突破値を引き継げます（覚醒前後も可）</v>
      </c>
      <c r="M26" s="54" t="s">
        <v>212</v>
      </c>
    </row>
    <row r="27" spans="1:13" x14ac:dyDescent="0.15">
      <c r="A27" s="78" t="s">
        <v>202</v>
      </c>
      <c r="B27" s="79">
        <f>floors!$C$2</f>
        <v>48002</v>
      </c>
      <c r="C27" s="80" t="str">
        <f ca="1">VLOOKUP($B27,OFFSET([2]quests!$A$1,0,0,COUNTA([2]quests!$A:$A),MATCH(C$1,[2]quests!$1:$1,0)-MATCH($B$1,[2]quests!$1:$1,0)+1),MATCH(C$1,[2]quests!$1:$1,0)-MATCH($B$1,[2]quests!$1:$1,0)+1,FALSE)</f>
        <v>孫悟空襲来！</v>
      </c>
      <c r="D27" s="80" t="str">
        <f ca="1">VLOOKUP($B27,OFFSET([2]quests!$A$1,0,0,COUNTA([2]quests!$A:$A),MATCH(D$1,[2]quests!$1:$1,0)-MATCH($B$1,[2]quests!$1:$1,0)+1),MATCH(D$1,[2]quests!$1:$1,0)-MATCH($B$1,[2]quests!$1:$1,0)+1,FALSE)</f>
        <v>台湾版降臨2</v>
      </c>
      <c r="E27" s="84">
        <v>2</v>
      </c>
      <c r="F27" s="80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27" s="80" t="str">
        <f ca="1">VLOOKUP($B27&amp;"_"&amp;$E27,OFFSET([2]stages!$A$1,0,0,COUNTA([2]stages!$A:$A),MATCH(G$1,[2]stages!$2:$2,0)-MATCH("temp_stage",[2]stages!$2:$2,0)+1),MATCH(G$1,[2]stages!$2:$2,0)-MATCH("temp_stage",[2]stages!$2:$2,0)+1,FALSE)</f>
        <v>台湾版降臨2</v>
      </c>
      <c r="H27" s="82">
        <v>0</v>
      </c>
      <c r="I27">
        <v>39</v>
      </c>
      <c r="J27" s="81" t="s">
        <v>199</v>
      </c>
      <c r="K27" s="90" t="str">
        <f>VLOOKUP(I27,[7]stage_hints!$A:$C,3,FALSE)</f>
        <v>システム適合者を確認</v>
      </c>
      <c r="L27" s="91" t="str">
        <f>VLOOKUP(I27,[7]stage_hints!$A:$D,4,FALSE)</f>
        <v>ALICEが「アナタ」を呼んでいます</v>
      </c>
      <c r="M27" s="54" t="s">
        <v>212</v>
      </c>
    </row>
    <row r="28" spans="1:13" x14ac:dyDescent="0.15">
      <c r="A28" s="78" t="s">
        <v>202</v>
      </c>
      <c r="B28" s="79">
        <f>floors!$C$2</f>
        <v>48002</v>
      </c>
      <c r="C28" s="80" t="str">
        <f ca="1">VLOOKUP($B28,OFFSET([2]quests!$A$1,0,0,COUNTA([2]quests!$A:$A),MATCH(C$1,[2]quests!$1:$1,0)-MATCH($B$1,[2]quests!$1:$1,0)+1),MATCH(C$1,[2]quests!$1:$1,0)-MATCH($B$1,[2]quests!$1:$1,0)+1,FALSE)</f>
        <v>孫悟空襲来！</v>
      </c>
      <c r="D28" s="80" t="str">
        <f ca="1">VLOOKUP($B28,OFFSET([2]quests!$A$1,0,0,COUNTA([2]quests!$A:$A),MATCH(D$1,[2]quests!$1:$1,0)-MATCH($B$1,[2]quests!$1:$1,0)+1),MATCH(D$1,[2]quests!$1:$1,0)-MATCH($B$1,[2]quests!$1:$1,0)+1,FALSE)</f>
        <v>台湾版降臨2</v>
      </c>
      <c r="E28" s="84">
        <v>3</v>
      </c>
      <c r="F28" s="80" t="str">
        <f ca="1">VLOOKUP($B28&amp;"_"&amp;$E28,OFFSET([2]stages!$A$1,0,0,COUNTA([2]stages!$A:$A),MATCH(F$1,[2]stages!$2:$2,0)-MATCH("temp_stage",[2]stages!$2:$2,0)+1),MATCH(F$1,[2]stages!$2:$2,0)-MATCH("temp_stage",[2]stages!$2:$2,0)+1,FALSE)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28" s="80" t="str">
        <f ca="1">VLOOKUP($B28&amp;"_"&amp;$E28,OFFSET([2]stages!$A$1,0,0,COUNTA([2]stages!$A:$A),MATCH(G$1,[2]stages!$2:$2,0)-MATCH("temp_stage",[2]stages!$2:$2,0)+1),MATCH(G$1,[2]stages!$2:$2,0)-MATCH("temp_stage",[2]stages!$2:$2,0)+1,FALSE)</f>
        <v>台湾版降臨2</v>
      </c>
      <c r="H28" s="82">
        <v>0</v>
      </c>
      <c r="I28">
        <v>12</v>
      </c>
      <c r="J28" s="81" t="s">
        <v>128</v>
      </c>
      <c r="K28" s="90" t="str">
        <f>VLOOKUP(I28,[7]stage_hints!$A:$C,3,FALSE)</f>
        <v>ユニットのお気に入り登録</v>
      </c>
      <c r="L28" s="91" t="str">
        <f>VLOOKUP(I28,[7]stage_hints!$A:$D,4,FALSE)</f>
        <v>大事なユニットを誤って消さないように_x000D_フォルダから「お気に入り登録」しましょう</v>
      </c>
      <c r="M28" s="54" t="s">
        <v>201</v>
      </c>
    </row>
    <row r="29" spans="1:13" x14ac:dyDescent="0.15">
      <c r="A29" s="78" t="s">
        <v>202</v>
      </c>
      <c r="B29" s="79">
        <f>floors!$C$2</f>
        <v>48002</v>
      </c>
      <c r="C29" s="80" t="str">
        <f ca="1">VLOOKUP($B29,OFFSET([2]quests!$A$1,0,0,COUNTA([2]quests!$A:$A),MATCH(C$1,[2]quests!$1:$1,0)-MATCH($B$1,[2]quests!$1:$1,0)+1),MATCH(C$1,[2]quests!$1:$1,0)-MATCH($B$1,[2]quests!$1:$1,0)+1,FALSE)</f>
        <v>孫悟空襲来！</v>
      </c>
      <c r="D29" s="80" t="str">
        <f ca="1">VLOOKUP($B29,OFFSET([2]quests!$A$1,0,0,COUNTA([2]quests!$A:$A),MATCH(D$1,[2]quests!$1:$1,0)-MATCH($B$1,[2]quests!$1:$1,0)+1),MATCH(D$1,[2]quests!$1:$1,0)-MATCH($B$1,[2]quests!$1:$1,0)+1,FALSE)</f>
        <v>台湾版降臨2</v>
      </c>
      <c r="E29" s="84">
        <v>3</v>
      </c>
      <c r="F29" s="80" t="str">
        <f ca="1">VLOOKUP($B29&amp;"_"&amp;$E29,OFFSET([2]stages!$A$1,0,0,COUNTA([2]stages!$A:$A),MATCH(F$1,[2]stages!$2:$2,0)-MATCH("temp_stage",[2]stages!$2:$2,0)+1),MATCH(F$1,[2]stages!$2:$2,0)-MATCH("temp_stage",[2]stages!$2:$2,0)+1,FALSE)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29" s="80" t="str">
        <f ca="1">VLOOKUP($B29&amp;"_"&amp;$E29,OFFSET([2]stages!$A$1,0,0,COUNTA([2]stages!$A:$A),MATCH(G$1,[2]stages!$2:$2,0)-MATCH("temp_stage",[2]stages!$2:$2,0)+1),MATCH(G$1,[2]stages!$2:$2,0)-MATCH("temp_stage",[2]stages!$2:$2,0)+1,FALSE)</f>
        <v>台湾版降臨2</v>
      </c>
      <c r="H29" s="82">
        <v>0</v>
      </c>
      <c r="I29">
        <v>17</v>
      </c>
      <c r="J29" s="81" t="s">
        <v>128</v>
      </c>
      <c r="K29" s="90" t="str">
        <f>VLOOKUP(I29,[7]stage_hints!$A:$C,3,FALSE)</f>
        <v>リンクガチャ</v>
      </c>
      <c r="L29" s="91" t="str">
        <f>VLOOKUP(I29,[7]stage_hints!$A:$D,4,FALSE)</f>
        <v>無料のリンクガチャを回して_x000D_経験値素材や売却素材を獲得しましょう</v>
      </c>
      <c r="M29" s="54" t="s">
        <v>201</v>
      </c>
    </row>
    <row r="30" spans="1:13" x14ac:dyDescent="0.15">
      <c r="A30" s="78" t="s">
        <v>202</v>
      </c>
      <c r="B30" s="79">
        <f>floors!$C$2</f>
        <v>48002</v>
      </c>
      <c r="C30" s="80" t="str">
        <f ca="1">VLOOKUP($B30,OFFSET([2]quests!$A$1,0,0,COUNTA([2]quests!$A:$A),MATCH(C$1,[2]quests!$1:$1,0)-MATCH($B$1,[2]quests!$1:$1,0)+1),MATCH(C$1,[2]quests!$1:$1,0)-MATCH($B$1,[2]quests!$1:$1,0)+1,FALSE)</f>
        <v>孫悟空襲来！</v>
      </c>
      <c r="D30" s="80" t="str">
        <f ca="1">VLOOKUP($B30,OFFSET([2]quests!$A$1,0,0,COUNTA([2]quests!$A:$A),MATCH(D$1,[2]quests!$1:$1,0)-MATCH($B$1,[2]quests!$1:$1,0)+1),MATCH(D$1,[2]quests!$1:$1,0)-MATCH($B$1,[2]quests!$1:$1,0)+1,FALSE)</f>
        <v>台湾版降臨2</v>
      </c>
      <c r="E30" s="84">
        <v>3</v>
      </c>
      <c r="F30" s="80" t="str">
        <f ca="1">VLOOKUP($B30&amp;"_"&amp;$E30,OFFSET([2]stages!$A$1,0,0,COUNTA([2]stages!$A:$A),MATCH(F$1,[2]stages!$2:$2,0)-MATCH("temp_stage",[2]stages!$2:$2,0)+1),MATCH(F$1,[2]stages!$2:$2,0)-MATCH("temp_stage",[2]stages!$2:$2,0)+1,FALSE)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30" s="80" t="str">
        <f ca="1">VLOOKUP($B30&amp;"_"&amp;$E30,OFFSET([2]stages!$A$1,0,0,COUNTA([2]stages!$A:$A),MATCH(G$1,[2]stages!$2:$2,0)-MATCH("temp_stage",[2]stages!$2:$2,0)+1),MATCH(G$1,[2]stages!$2:$2,0)-MATCH("temp_stage",[2]stages!$2:$2,0)+1,FALSE)</f>
        <v>台湾版降臨2</v>
      </c>
      <c r="H30" s="82">
        <v>0</v>
      </c>
      <c r="I30">
        <v>19</v>
      </c>
      <c r="J30" s="81" t="s">
        <v>128</v>
      </c>
      <c r="K30" s="90" t="str">
        <f>VLOOKUP(I30,[7]stage_hints!$A:$C,3,FALSE)</f>
        <v>ソロ専用チャレンジタワー</v>
      </c>
      <c r="L30" s="91" t="str">
        <f>VLOOKUP(I30,[7]stage_hints!$A:$D,4,FALSE)</f>
        <v>ソロ専用の「チャレンジタワー」では_x000D_各フロアごとにクリア報酬がもらえます</v>
      </c>
      <c r="M30" s="54" t="s">
        <v>201</v>
      </c>
    </row>
    <row r="31" spans="1:13" x14ac:dyDescent="0.15">
      <c r="A31" s="78" t="s">
        <v>202</v>
      </c>
      <c r="B31" s="79">
        <f>floors!$C$2</f>
        <v>48002</v>
      </c>
      <c r="C31" s="80" t="str">
        <f ca="1">VLOOKUP($B31,OFFSET([2]quests!$A$1,0,0,COUNTA([2]quests!$A:$A),MATCH(C$1,[2]quests!$1:$1,0)-MATCH($B$1,[2]quests!$1:$1,0)+1),MATCH(C$1,[2]quests!$1:$1,0)-MATCH($B$1,[2]quests!$1:$1,0)+1,FALSE)</f>
        <v>孫悟空襲来！</v>
      </c>
      <c r="D31" s="80" t="str">
        <f ca="1">VLOOKUP($B31,OFFSET([2]quests!$A$1,0,0,COUNTA([2]quests!$A:$A),MATCH(D$1,[2]quests!$1:$1,0)-MATCH($B$1,[2]quests!$1:$1,0)+1),MATCH(D$1,[2]quests!$1:$1,0)-MATCH($B$1,[2]quests!$1:$1,0)+1,FALSE)</f>
        <v>台湾版降臨2</v>
      </c>
      <c r="E31" s="84">
        <v>3</v>
      </c>
      <c r="F31" s="80" t="str">
        <f ca="1">VLOOKUP($B31&amp;"_"&amp;$E31,OFFSET([2]stages!$A$1,0,0,COUNTA([2]stages!$A:$A),MATCH(F$1,[2]stages!$2:$2,0)-MATCH("temp_stage",[2]stages!$2:$2,0)+1),MATCH(F$1,[2]stages!$2:$2,0)-MATCH("temp_stage",[2]stages!$2:$2,0)+1,FALSE)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31" s="80" t="str">
        <f ca="1">VLOOKUP($B31&amp;"_"&amp;$E31,OFFSET([2]stages!$A$1,0,0,COUNTA([2]stages!$A:$A),MATCH(G$1,[2]stages!$2:$2,0)-MATCH("temp_stage",[2]stages!$2:$2,0)+1),MATCH(G$1,[2]stages!$2:$2,0)-MATCH("temp_stage",[2]stages!$2:$2,0)+1,FALSE)</f>
        <v>台湾版降臨2</v>
      </c>
      <c r="H31" s="82">
        <v>0</v>
      </c>
      <c r="I31">
        <v>21</v>
      </c>
      <c r="J31" s="81" t="s">
        <v>128</v>
      </c>
      <c r="K31" s="90" t="str">
        <f>VLOOKUP(I31,[7]stage_hints!$A:$C,3,FALSE)</f>
        <v>スキルを有効に</v>
      </c>
      <c r="L31" s="91" t="str">
        <f>VLOOKUP(I31,[7]stage_hints!$A:$D,4,FALSE)</f>
        <v>ターン経過でユニットのスキルが使えます_x000D_強力スキルでバトルを有利に進めましょう</v>
      </c>
      <c r="M31" s="54" t="s">
        <v>201</v>
      </c>
    </row>
    <row r="32" spans="1:13" x14ac:dyDescent="0.15">
      <c r="A32" s="78" t="s">
        <v>202</v>
      </c>
      <c r="B32" s="79">
        <f>floors!$C$2</f>
        <v>48002</v>
      </c>
      <c r="C32" s="80" t="str">
        <f ca="1">VLOOKUP($B32,OFFSET([2]quests!$A$1,0,0,COUNTA([2]quests!$A:$A),MATCH(C$1,[2]quests!$1:$1,0)-MATCH($B$1,[2]quests!$1:$1,0)+1),MATCH(C$1,[2]quests!$1:$1,0)-MATCH($B$1,[2]quests!$1:$1,0)+1,FALSE)</f>
        <v>孫悟空襲来！</v>
      </c>
      <c r="D32" s="80" t="str">
        <f ca="1">VLOOKUP($B32,OFFSET([2]quests!$A$1,0,0,COUNTA([2]quests!$A:$A),MATCH(D$1,[2]quests!$1:$1,0)-MATCH($B$1,[2]quests!$1:$1,0)+1),MATCH(D$1,[2]quests!$1:$1,0)-MATCH($B$1,[2]quests!$1:$1,0)+1,FALSE)</f>
        <v>台湾版降臨2</v>
      </c>
      <c r="E32" s="84">
        <v>3</v>
      </c>
      <c r="F32" s="80" t="str">
        <f ca="1">VLOOKUP($B32&amp;"_"&amp;$E32,OFFSET([2]stages!$A$1,0,0,COUNTA([2]stages!$A:$A),MATCH(F$1,[2]stages!$2:$2,0)-MATCH("temp_stage",[2]stages!$2:$2,0)+1),MATCH(F$1,[2]stages!$2:$2,0)-MATCH("temp_stage",[2]stages!$2:$2,0)+1,FALSE)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32" s="80" t="str">
        <f ca="1">VLOOKUP($B32&amp;"_"&amp;$E32,OFFSET([2]stages!$A$1,0,0,COUNTA([2]stages!$A:$A),MATCH(G$1,[2]stages!$2:$2,0)-MATCH("temp_stage",[2]stages!$2:$2,0)+1),MATCH(G$1,[2]stages!$2:$2,0)-MATCH("temp_stage",[2]stages!$2:$2,0)+1,FALSE)</f>
        <v>台湾版降臨2</v>
      </c>
      <c r="H32" s="82">
        <v>0</v>
      </c>
      <c r="I32">
        <v>29</v>
      </c>
      <c r="J32" s="81" t="s">
        <v>128</v>
      </c>
      <c r="K32" s="90" t="str">
        <f>VLOOKUP(I32,[7]stage_hints!$A:$C,3,FALSE)</f>
        <v>「バグ」のメリット</v>
      </c>
      <c r="L32" s="91" t="str">
        <f>VLOOKUP(I32,[7]stage_hints!$A:$D,4,FALSE)</f>
        <v>ユニットの「バグ」を増やすと_x000D_報酬をもらえる確率がアップします</v>
      </c>
      <c r="M32" s="54" t="s">
        <v>201</v>
      </c>
    </row>
    <row r="33" spans="1:13" x14ac:dyDescent="0.15">
      <c r="A33" s="78" t="s">
        <v>202</v>
      </c>
      <c r="B33" s="79">
        <f>floors!$C$2</f>
        <v>48002</v>
      </c>
      <c r="C33" s="80" t="str">
        <f ca="1">VLOOKUP($B33,OFFSET([2]quests!$A$1,0,0,COUNTA([2]quests!$A:$A),MATCH(C$1,[2]quests!$1:$1,0)-MATCH($B$1,[2]quests!$1:$1,0)+1),MATCH(C$1,[2]quests!$1:$1,0)-MATCH($B$1,[2]quests!$1:$1,0)+1,FALSE)</f>
        <v>孫悟空襲来！</v>
      </c>
      <c r="D33" s="80" t="str">
        <f ca="1">VLOOKUP($B33,OFFSET([2]quests!$A$1,0,0,COUNTA([2]quests!$A:$A),MATCH(D$1,[2]quests!$1:$1,0)-MATCH($B$1,[2]quests!$1:$1,0)+1),MATCH(D$1,[2]quests!$1:$1,0)-MATCH($B$1,[2]quests!$1:$1,0)+1,FALSE)</f>
        <v>台湾版降臨2</v>
      </c>
      <c r="E33" s="84">
        <v>3</v>
      </c>
      <c r="F33" s="80" t="str">
        <f ca="1">VLOOKUP($B33&amp;"_"&amp;$E33,OFFSET([2]stages!$A$1,0,0,COUNTA([2]stages!$A:$A),MATCH(F$1,[2]stages!$2:$2,0)-MATCH("temp_stage",[2]stages!$2:$2,0)+1),MATCH(F$1,[2]stages!$2:$2,0)-MATCH("temp_stage",[2]stages!$2:$2,0)+1,FALSE)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33" s="80" t="str">
        <f ca="1">VLOOKUP($B33&amp;"_"&amp;$E33,OFFSET([2]stages!$A$1,0,0,COUNTA([2]stages!$A:$A),MATCH(G$1,[2]stages!$2:$2,0)-MATCH("temp_stage",[2]stages!$2:$2,0)+1),MATCH(G$1,[2]stages!$2:$2,0)-MATCH("temp_stage",[2]stages!$2:$2,0)+1,FALSE)</f>
        <v>台湾版降臨2</v>
      </c>
      <c r="H33" s="82">
        <v>0</v>
      </c>
      <c r="I33">
        <v>30</v>
      </c>
      <c r="J33" s="81" t="s">
        <v>128</v>
      </c>
      <c r="K33" s="90" t="str">
        <f>VLOOKUP(I33,[7]stage_hints!$A:$C,3,FALSE)</f>
        <v>「バグ」の増やし方</v>
      </c>
      <c r="L33" s="91" t="str">
        <f>VLOOKUP(I33,[7]stage_hints!$A:$D,4,FALSE)</f>
        <v>同じユニット同士を強化で合成すると_x000D_「バグ」を増やすことができます</v>
      </c>
      <c r="M33" s="54" t="s">
        <v>201</v>
      </c>
    </row>
    <row r="34" spans="1:13" x14ac:dyDescent="0.15">
      <c r="A34" s="78" t="s">
        <v>202</v>
      </c>
      <c r="B34" s="79">
        <f>floors!$C$2</f>
        <v>48002</v>
      </c>
      <c r="C34" s="80" t="str">
        <f ca="1">VLOOKUP($B34,OFFSET([2]quests!$A$1,0,0,COUNTA([2]quests!$A:$A),MATCH(C$1,[2]quests!$1:$1,0)-MATCH($B$1,[2]quests!$1:$1,0)+1),MATCH(C$1,[2]quests!$1:$1,0)-MATCH($B$1,[2]quests!$1:$1,0)+1,FALSE)</f>
        <v>孫悟空襲来！</v>
      </c>
      <c r="D34" s="80" t="str">
        <f ca="1">VLOOKUP($B34,OFFSET([2]quests!$A$1,0,0,COUNTA([2]quests!$A:$A),MATCH(D$1,[2]quests!$1:$1,0)-MATCH($B$1,[2]quests!$1:$1,0)+1),MATCH(D$1,[2]quests!$1:$1,0)-MATCH($B$1,[2]quests!$1:$1,0)+1,FALSE)</f>
        <v>台湾版降臨2</v>
      </c>
      <c r="E34" s="84">
        <v>3</v>
      </c>
      <c r="F34" s="80" t="str">
        <f ca="1">VLOOKUP($B34&amp;"_"&amp;$E34,OFFSET([2]stages!$A$1,0,0,COUNTA([2]stages!$A:$A),MATCH(F$1,[2]stages!$2:$2,0)-MATCH("temp_stage",[2]stages!$2:$2,0)+1),MATCH(F$1,[2]stages!$2:$2,0)-MATCH("temp_stage",[2]stages!$2:$2,0)+1,FALSE)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34" s="80" t="str">
        <f ca="1">VLOOKUP($B34&amp;"_"&amp;$E34,OFFSET([2]stages!$A$1,0,0,COUNTA([2]stages!$A:$A),MATCH(G$1,[2]stages!$2:$2,0)-MATCH("temp_stage",[2]stages!$2:$2,0)+1),MATCH(G$1,[2]stages!$2:$2,0)-MATCH("temp_stage",[2]stages!$2:$2,0)+1,FALSE)</f>
        <v>台湾版降臨2</v>
      </c>
      <c r="H34" s="82">
        <v>0</v>
      </c>
      <c r="I34">
        <v>32</v>
      </c>
      <c r="J34" s="81" t="s">
        <v>128</v>
      </c>
      <c r="K34" s="90" t="str">
        <f>VLOOKUP(I34,[7]stage_hints!$A:$C,3,FALSE)</f>
        <v>敵の連続攻撃には</v>
      </c>
      <c r="L34" s="91" t="str">
        <f>VLOOKUP(I34,[7]stage_hints!$A:$D,4,FALSE)</f>
        <v>カウンタースキルを持つユニットがいれば_x000D_ダメージ回数分の反撃ができます</v>
      </c>
      <c r="M34" s="54" t="s">
        <v>201</v>
      </c>
    </row>
    <row r="35" spans="1:13" x14ac:dyDescent="0.15">
      <c r="A35" s="78" t="s">
        <v>202</v>
      </c>
      <c r="B35" s="79">
        <f>floors!$C$2</f>
        <v>48002</v>
      </c>
      <c r="C35" s="80" t="str">
        <f ca="1">VLOOKUP($B35,OFFSET([2]quests!$A$1,0,0,COUNTA([2]quests!$A:$A),MATCH(C$1,[2]quests!$1:$1,0)-MATCH($B$1,[2]quests!$1:$1,0)+1),MATCH(C$1,[2]quests!$1:$1,0)-MATCH($B$1,[2]quests!$1:$1,0)+1,FALSE)</f>
        <v>孫悟空襲来！</v>
      </c>
      <c r="D35" s="80" t="str">
        <f ca="1">VLOOKUP($B35,OFFSET([2]quests!$A$1,0,0,COUNTA([2]quests!$A:$A),MATCH(D$1,[2]quests!$1:$1,0)-MATCH($B$1,[2]quests!$1:$1,0)+1),MATCH(D$1,[2]quests!$1:$1,0)-MATCH($B$1,[2]quests!$1:$1,0)+1,FALSE)</f>
        <v>台湾版降臨2</v>
      </c>
      <c r="E35" s="84">
        <v>3</v>
      </c>
      <c r="F35" s="80" t="str">
        <f ca="1">VLOOKUP($B35&amp;"_"&amp;$E35,OFFSET([2]stages!$A$1,0,0,COUNTA([2]stages!$A:$A),MATCH(F$1,[2]stages!$2:$2,0)-MATCH("temp_stage",[2]stages!$2:$2,0)+1),MATCH(F$1,[2]stages!$2:$2,0)-MATCH("temp_stage",[2]stages!$2:$2,0)+1,FALSE)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35" s="80" t="str">
        <f ca="1">VLOOKUP($B35&amp;"_"&amp;$E35,OFFSET([2]stages!$A$1,0,0,COUNTA([2]stages!$A:$A),MATCH(G$1,[2]stages!$2:$2,0)-MATCH("temp_stage",[2]stages!$2:$2,0)+1),MATCH(G$1,[2]stages!$2:$2,0)-MATCH("temp_stage",[2]stages!$2:$2,0)+1,FALSE)</f>
        <v>台湾版降臨2</v>
      </c>
      <c r="H35" s="82">
        <v>0</v>
      </c>
      <c r="I35">
        <v>33</v>
      </c>
      <c r="J35" s="81" t="s">
        <v>128</v>
      </c>
      <c r="K35" s="90" t="str">
        <f>VLOOKUP(I35,[7]stage_hints!$A:$C,3,FALSE)</f>
        <v>敵のカウンター攻撃には</v>
      </c>
      <c r="L35" s="91" t="str">
        <f>VLOOKUP(I35,[7]stage_hints!$A:$D,4,FALSE)</f>
        <v>カウンターブレイクスキルを持っていれば_x000D_敵のカウンターを解除して攻撃ができます</v>
      </c>
      <c r="M35" s="54" t="s">
        <v>201</v>
      </c>
    </row>
    <row r="36" spans="1:13" x14ac:dyDescent="0.15">
      <c r="A36" s="78" t="s">
        <v>202</v>
      </c>
      <c r="B36" s="79">
        <f>floors!$C$2</f>
        <v>48002</v>
      </c>
      <c r="C36" s="80" t="str">
        <f ca="1">VLOOKUP($B36,OFFSET([2]quests!$A$1,0,0,COUNTA([2]quests!$A:$A),MATCH(C$1,[2]quests!$1:$1,0)-MATCH($B$1,[2]quests!$1:$1,0)+1),MATCH(C$1,[2]quests!$1:$1,0)-MATCH($B$1,[2]quests!$1:$1,0)+1,FALSE)</f>
        <v>孫悟空襲来！</v>
      </c>
      <c r="D36" s="80" t="str">
        <f ca="1">VLOOKUP($B36,OFFSET([2]quests!$A$1,0,0,COUNTA([2]quests!$A:$A),MATCH(D$1,[2]quests!$1:$1,0)-MATCH($B$1,[2]quests!$1:$1,0)+1),MATCH(D$1,[2]quests!$1:$1,0)-MATCH($B$1,[2]quests!$1:$1,0)+1,FALSE)</f>
        <v>台湾版降臨2</v>
      </c>
      <c r="E36" s="84">
        <v>3</v>
      </c>
      <c r="F36" s="80" t="str">
        <f ca="1">VLOOKUP($B36&amp;"_"&amp;$E36,OFFSET([2]stages!$A$1,0,0,COUNTA([2]stages!$A:$A),MATCH(F$1,[2]stages!$2:$2,0)-MATCH("temp_stage",[2]stages!$2:$2,0)+1),MATCH(F$1,[2]stages!$2:$2,0)-MATCH("temp_stage",[2]stages!$2:$2,0)+1,FALSE)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36" s="80" t="str">
        <f ca="1">VLOOKUP($B36&amp;"_"&amp;$E36,OFFSET([2]stages!$A$1,0,0,COUNTA([2]stages!$A:$A),MATCH(G$1,[2]stages!$2:$2,0)-MATCH("temp_stage",[2]stages!$2:$2,0)+1),MATCH(G$1,[2]stages!$2:$2,0)-MATCH("temp_stage",[2]stages!$2:$2,0)+1,FALSE)</f>
        <v>台湾版降臨2</v>
      </c>
      <c r="H36" s="82">
        <v>0</v>
      </c>
      <c r="I36">
        <v>34</v>
      </c>
      <c r="J36" s="81" t="s">
        <v>128</v>
      </c>
      <c r="K36" s="90" t="str">
        <f>VLOOKUP(I36,[7]stage_hints!$A:$C,3,FALSE)</f>
        <v>ステータスをスキルで下げられたら</v>
      </c>
      <c r="L36" s="91" t="str">
        <f>VLOOKUP(I36,[7]stage_hints!$A:$D,4,FALSE)</f>
        <v>ステータスダウンのスキルを受けたら_x000D_ステータスアップスキルで上書きしましょう</v>
      </c>
      <c r="M36" s="54" t="s">
        <v>201</v>
      </c>
    </row>
    <row r="37" spans="1:13" x14ac:dyDescent="0.15">
      <c r="A37" s="78" t="s">
        <v>202</v>
      </c>
      <c r="B37" s="79">
        <f>floors!$C$2</f>
        <v>48002</v>
      </c>
      <c r="C37" s="80" t="str">
        <f ca="1">VLOOKUP($B37,OFFSET([2]quests!$A$1,0,0,COUNTA([2]quests!$A:$A),MATCH(C$1,[2]quests!$1:$1,0)-MATCH($B$1,[2]quests!$1:$1,0)+1),MATCH(C$1,[2]quests!$1:$1,0)-MATCH($B$1,[2]quests!$1:$1,0)+1,FALSE)</f>
        <v>孫悟空襲来！</v>
      </c>
      <c r="D37" s="80" t="str">
        <f ca="1">VLOOKUP($B37,OFFSET([2]quests!$A$1,0,0,COUNTA([2]quests!$A:$A),MATCH(D$1,[2]quests!$1:$1,0)-MATCH($B$1,[2]quests!$1:$1,0)+1),MATCH(D$1,[2]quests!$1:$1,0)-MATCH($B$1,[2]quests!$1:$1,0)+1,FALSE)</f>
        <v>台湾版降臨2</v>
      </c>
      <c r="E37" s="84">
        <v>3</v>
      </c>
      <c r="F37" s="80" t="str">
        <f ca="1">VLOOKUP($B37&amp;"_"&amp;$E37,OFFSET([2]stages!$A$1,0,0,COUNTA([2]stages!$A:$A),MATCH(F$1,[2]stages!$2:$2,0)-MATCH("temp_stage",[2]stages!$2:$2,0)+1),MATCH(F$1,[2]stages!$2:$2,0)-MATCH("temp_stage",[2]stages!$2:$2,0)+1,FALSE)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37" s="80" t="str">
        <f ca="1">VLOOKUP($B37&amp;"_"&amp;$E37,OFFSET([2]stages!$A$1,0,0,COUNTA([2]stages!$A:$A),MATCH(G$1,[2]stages!$2:$2,0)-MATCH("temp_stage",[2]stages!$2:$2,0)+1),MATCH(G$1,[2]stages!$2:$2,0)-MATCH("temp_stage",[2]stages!$2:$2,0)+1,FALSE)</f>
        <v>台湾版降臨2</v>
      </c>
      <c r="H37" s="82">
        <v>0</v>
      </c>
      <c r="I37">
        <v>35</v>
      </c>
      <c r="J37" s="81" t="s">
        <v>128</v>
      </c>
      <c r="K37" s="90" t="str">
        <f>VLOOKUP(I37,[7]stage_hints!$A:$C,3,FALSE)</f>
        <v>敵のステータスがスキルで上がったら</v>
      </c>
      <c r="L37" s="91" t="str">
        <f>VLOOKUP(I37,[7]stage_hints!$A:$D,4,FALSE)</f>
        <v>敵のステータスがスキルでアップしたときは_x000D_ステータスダウンスキルで上書きしましょう</v>
      </c>
      <c r="M37" s="54" t="s">
        <v>201</v>
      </c>
    </row>
    <row r="38" spans="1:13" x14ac:dyDescent="0.15">
      <c r="A38" s="78" t="s">
        <v>202</v>
      </c>
      <c r="B38" s="79">
        <f>floors!$C$2</f>
        <v>48002</v>
      </c>
      <c r="C38" s="80" t="str">
        <f ca="1">VLOOKUP($B38,OFFSET([2]quests!$A$1,0,0,COUNTA([2]quests!$A:$A),MATCH(C$1,[2]quests!$1:$1,0)-MATCH($B$1,[2]quests!$1:$1,0)+1),MATCH(C$1,[2]quests!$1:$1,0)-MATCH($B$1,[2]quests!$1:$1,0)+1,FALSE)</f>
        <v>孫悟空襲来！</v>
      </c>
      <c r="D38" s="80" t="str">
        <f ca="1">VLOOKUP($B38,OFFSET([2]quests!$A$1,0,0,COUNTA([2]quests!$A:$A),MATCH(D$1,[2]quests!$1:$1,0)-MATCH($B$1,[2]quests!$1:$1,0)+1),MATCH(D$1,[2]quests!$1:$1,0)-MATCH($B$1,[2]quests!$1:$1,0)+1,FALSE)</f>
        <v>台湾版降臨2</v>
      </c>
      <c r="E38" s="84">
        <v>3</v>
      </c>
      <c r="F38" s="80" t="str">
        <f ca="1">VLOOKUP($B38&amp;"_"&amp;$E38,OFFSET([2]stages!$A$1,0,0,COUNTA([2]stages!$A:$A),MATCH(F$1,[2]stages!$2:$2,0)-MATCH("temp_stage",[2]stages!$2:$2,0)+1),MATCH(F$1,[2]stages!$2:$2,0)-MATCH("temp_stage",[2]stages!$2:$2,0)+1,FALSE)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38" s="80" t="str">
        <f ca="1">VLOOKUP($B38&amp;"_"&amp;$E38,OFFSET([2]stages!$A$1,0,0,COUNTA([2]stages!$A:$A),MATCH(G$1,[2]stages!$2:$2,0)-MATCH("temp_stage",[2]stages!$2:$2,0)+1),MATCH(G$1,[2]stages!$2:$2,0)-MATCH("temp_stage",[2]stages!$2:$2,0)+1,FALSE)</f>
        <v>台湾版降臨2</v>
      </c>
      <c r="H38" s="82">
        <v>0</v>
      </c>
      <c r="I38">
        <v>36</v>
      </c>
      <c r="J38" s="81" t="s">
        <v>128</v>
      </c>
      <c r="K38" s="90" t="str">
        <f>VLOOKUP(I38,[7]stage_hints!$A:$C,3,FALSE)</f>
        <v>チャレンジタワーのボス</v>
      </c>
      <c r="L38" s="91" t="str">
        <f>VLOOKUP(I38,[7]stage_hints!$A:$D,4,FALSE)</f>
        <v>チャレンジタワーでのみ登場するボスは_x000D_一定確率で獲得することができます</v>
      </c>
      <c r="M38" s="54" t="s">
        <v>201</v>
      </c>
    </row>
    <row r="39" spans="1:13" x14ac:dyDescent="0.15">
      <c r="A39" s="78" t="s">
        <v>202</v>
      </c>
      <c r="B39" s="79">
        <f>floors!$C$2</f>
        <v>48002</v>
      </c>
      <c r="C39" s="80" t="str">
        <f ca="1">VLOOKUP($B39,OFFSET([2]quests!$A$1,0,0,COUNTA([2]quests!$A:$A),MATCH(C$1,[2]quests!$1:$1,0)-MATCH($B$1,[2]quests!$1:$1,0)+1),MATCH(C$1,[2]quests!$1:$1,0)-MATCH($B$1,[2]quests!$1:$1,0)+1,FALSE)</f>
        <v>孫悟空襲来！</v>
      </c>
      <c r="D39" s="80" t="str">
        <f ca="1">VLOOKUP($B39,OFFSET([2]quests!$A$1,0,0,COUNTA([2]quests!$A:$A),MATCH(D$1,[2]quests!$1:$1,0)-MATCH($B$1,[2]quests!$1:$1,0)+1),MATCH(D$1,[2]quests!$1:$1,0)-MATCH($B$1,[2]quests!$1:$1,0)+1,FALSE)</f>
        <v>台湾版降臨2</v>
      </c>
      <c r="E39" s="84">
        <v>3</v>
      </c>
      <c r="F39" s="80" t="str">
        <f ca="1">VLOOKUP($B39&amp;"_"&amp;$E39,OFFSET([2]stages!$A$1,0,0,COUNTA([2]stages!$A:$A),MATCH(F$1,[2]stages!$2:$2,0)-MATCH("temp_stage",[2]stages!$2:$2,0)+1),MATCH(F$1,[2]stages!$2:$2,0)-MATCH("temp_stage",[2]stages!$2:$2,0)+1,FALSE)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39" s="80" t="str">
        <f ca="1">VLOOKUP($B39&amp;"_"&amp;$E39,OFFSET([2]stages!$A$1,0,0,COUNTA([2]stages!$A:$A),MATCH(G$1,[2]stages!$2:$2,0)-MATCH("temp_stage",[2]stages!$2:$2,0)+1),MATCH(G$1,[2]stages!$2:$2,0)-MATCH("temp_stage",[2]stages!$2:$2,0)+1,FALSE)</f>
        <v>台湾版降臨2</v>
      </c>
      <c r="H39" s="82">
        <v>0</v>
      </c>
      <c r="I39">
        <v>37</v>
      </c>
      <c r="J39" s="81" t="s">
        <v>128</v>
      </c>
      <c r="K39" s="90" t="str">
        <f>VLOOKUP(I39,[7]stage_hints!$A:$C,3,FALSE)</f>
        <v>限界突破値の引き継ぎ</v>
      </c>
      <c r="L39" s="91" t="str">
        <f>VLOOKUP(I39,[7]stage_hints!$A:$D,4,FALSE)</f>
        <v>同じユニットを強化で合成すると_x000D_限界突破値を引き継げます（覚醒前後も可）</v>
      </c>
      <c r="M39" s="54" t="s">
        <v>201</v>
      </c>
    </row>
    <row r="40" spans="1:13" x14ac:dyDescent="0.15">
      <c r="A40" s="78" t="s">
        <v>202</v>
      </c>
      <c r="B40" s="79">
        <f>floors!$C$2</f>
        <v>48002</v>
      </c>
      <c r="C40" s="80" t="str">
        <f ca="1">VLOOKUP($B40,OFFSET([2]quests!$A$1,0,0,COUNTA([2]quests!$A:$A),MATCH(C$1,[2]quests!$1:$1,0)-MATCH($B$1,[2]quests!$1:$1,0)+1),MATCH(C$1,[2]quests!$1:$1,0)-MATCH($B$1,[2]quests!$1:$1,0)+1,FALSE)</f>
        <v>孫悟空襲来！</v>
      </c>
      <c r="D40" s="80" t="str">
        <f ca="1">VLOOKUP($B40,OFFSET([2]quests!$A$1,0,0,COUNTA([2]quests!$A:$A),MATCH(D$1,[2]quests!$1:$1,0)-MATCH($B$1,[2]quests!$1:$1,0)+1),MATCH(D$1,[2]quests!$1:$1,0)-MATCH($B$1,[2]quests!$1:$1,0)+1,FALSE)</f>
        <v>台湾版降臨2</v>
      </c>
      <c r="E40" s="84">
        <v>3</v>
      </c>
      <c r="F40" s="80" t="str">
        <f ca="1">VLOOKUP($B40&amp;"_"&amp;$E40,OFFSET([2]stages!$A$1,0,0,COUNTA([2]stages!$A:$A),MATCH(F$1,[2]stages!$2:$2,0)-MATCH("temp_stage",[2]stages!$2:$2,0)+1),MATCH(F$1,[2]stages!$2:$2,0)-MATCH("temp_stage",[2]stages!$2:$2,0)+1,FALSE)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40" s="80" t="str">
        <f ca="1">VLOOKUP($B40&amp;"_"&amp;$E40,OFFSET([2]stages!$A$1,0,0,COUNTA([2]stages!$A:$A),MATCH(G$1,[2]stages!$2:$2,0)-MATCH("temp_stage",[2]stages!$2:$2,0)+1),MATCH(G$1,[2]stages!$2:$2,0)-MATCH("temp_stage",[2]stages!$2:$2,0)+1,FALSE)</f>
        <v>台湾版降臨2</v>
      </c>
      <c r="H40" s="82">
        <v>0</v>
      </c>
      <c r="I40">
        <v>39</v>
      </c>
      <c r="J40" s="81" t="s">
        <v>128</v>
      </c>
      <c r="K40" s="90" t="str">
        <f>VLOOKUP(I40,[7]stage_hints!$A:$C,3,FALSE)</f>
        <v>システム適合者を確認</v>
      </c>
      <c r="L40" s="91" t="str">
        <f>VLOOKUP(I40,[7]stage_hints!$A:$D,4,FALSE)</f>
        <v>ALICEが「アナタ」を呼んでいます</v>
      </c>
      <c r="M40" s="54" t="s">
        <v>201</v>
      </c>
    </row>
  </sheetData>
  <phoneticPr fontId="5"/>
  <dataValidations count="1">
    <dataValidation type="list" allowBlank="1" showInputMessage="1" showErrorMessage="1" sqref="A2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9"/>
  <sheetViews>
    <sheetView showGridLines="0" tabSelected="1" workbookViewId="0">
      <pane ySplit="1" topLeftCell="A2" activePane="bottomLeft" state="frozen"/>
      <selection pane="bottomLeft" activeCell="H7" sqref="H7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3" t="s">
        <v>189</v>
      </c>
      <c r="B1" s="70" t="s">
        <v>151</v>
      </c>
      <c r="C1" s="74" t="s">
        <v>191</v>
      </c>
      <c r="D1" s="74" t="s">
        <v>33</v>
      </c>
      <c r="E1" s="70" t="s">
        <v>192</v>
      </c>
      <c r="F1" s="74" t="s">
        <v>18</v>
      </c>
      <c r="G1" s="74" t="s">
        <v>33</v>
      </c>
      <c r="H1" s="70" t="s">
        <v>194</v>
      </c>
      <c r="I1" s="86" t="s">
        <v>195</v>
      </c>
      <c r="J1" s="88" t="s">
        <v>196</v>
      </c>
      <c r="K1" s="76" t="s">
        <v>127</v>
      </c>
      <c r="L1" s="75" t="s">
        <v>188</v>
      </c>
      <c r="M1" s="89" t="s">
        <v>187</v>
      </c>
      <c r="N1" s="77" t="s">
        <v>197</v>
      </c>
    </row>
    <row r="2" spans="1:14" ht="28" x14ac:dyDescent="0.15">
      <c r="A2" s="78" t="s">
        <v>198</v>
      </c>
      <c r="B2" s="79">
        <f>floors!$C$2</f>
        <v>48002</v>
      </c>
      <c r="C2" s="80" t="str">
        <f ca="1">VLOOKUP($B2,OFFSET([2]quests!$A$1,0,0,COUNTA([2]quests!$A:$A),MATCH(C$1,[2]quests!$1:$1,0)-MATCH($B$1,[2]quests!$1:$1,0)+1),MATCH(C$1,[2]quests!$1:$1,0)-MATCH($B$1,[2]quests!$1:$1,0)+1,FALSE)</f>
        <v>孫悟空襲来！</v>
      </c>
      <c r="D2" s="80" t="str">
        <f ca="1">VLOOKUP($B2,OFFSET([2]quests!$A$1,0,0,COUNTA([2]quests!$A:$A),MATCH(D$1,[2]quests!$1:$1,0)-MATCH($B$1,[2]quests!$1:$1,0)+1),MATCH(D$1,[2]quests!$1:$1,0)-MATCH($B$1,[2]quests!$1:$1,0)+1,FALSE)</f>
        <v>台湾版降臨2</v>
      </c>
      <c r="E2" s="81">
        <v>1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【超絶級】孫悟空襲来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台湾版降臨2</v>
      </c>
      <c r="H2" s="82">
        <v>1</v>
      </c>
      <c r="I2" s="87">
        <f>ROW()-1</f>
        <v>1</v>
      </c>
      <c r="J2" s="83" t="str">
        <f>B2&amp;TEXT(I2,"00")</f>
        <v>4800201</v>
      </c>
      <c r="K2" s="81" t="s">
        <v>199</v>
      </c>
      <c r="L2" s="84" t="s">
        <v>200</v>
      </c>
      <c r="M2" s="101" t="s">
        <v>260</v>
      </c>
      <c r="N2" s="54" t="s">
        <v>201</v>
      </c>
    </row>
    <row r="3" spans="1:14" ht="42" x14ac:dyDescent="0.15">
      <c r="A3" s="78" t="s">
        <v>198</v>
      </c>
      <c r="B3" s="79">
        <f>floors!$C$2</f>
        <v>48002</v>
      </c>
      <c r="C3" s="80" t="str">
        <f ca="1">VLOOKUP($B3,OFFSET([2]quests!$A$1,0,0,COUNTA([2]quests!$A:$A),MATCH(C$1,[2]quests!$1:$1,0)-MATCH($B$1,[2]quests!$1:$1,0)+1),MATCH(C$1,[2]quests!$1:$1,0)-MATCH($B$1,[2]quests!$1:$1,0)+1,FALSE)</f>
        <v>孫悟空襲来！</v>
      </c>
      <c r="D3" s="80" t="str">
        <f ca="1">VLOOKUP($B3,OFFSET([2]quests!$A$1,0,0,COUNTA([2]quests!$A:$A),MATCH(D$1,[2]quests!$1:$1,0)-MATCH($B$1,[2]quests!$1:$1,0)+1),MATCH(D$1,[2]quests!$1:$1,0)-MATCH($B$1,[2]quests!$1:$1,0)+1,FALSE)</f>
        <v>台湾版降臨2</v>
      </c>
      <c r="E3" s="81">
        <v>1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【超絶級】孫悟空襲来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台湾版降臨2</v>
      </c>
      <c r="H3" s="82">
        <v>2</v>
      </c>
      <c r="I3" s="87">
        <f t="shared" ref="I3:I19" si="0">ROW()-1</f>
        <v>2</v>
      </c>
      <c r="J3" s="83" t="str">
        <f t="shared" ref="J3:J11" si="1">B3&amp;TEXT(I3,"00")</f>
        <v>4800202</v>
      </c>
      <c r="K3" s="81" t="s">
        <v>128</v>
      </c>
      <c r="L3" s="84" t="s">
        <v>200</v>
      </c>
      <c r="M3" s="101" t="s">
        <v>294</v>
      </c>
      <c r="N3" s="54" t="s">
        <v>201</v>
      </c>
    </row>
    <row r="4" spans="1:14" ht="42" x14ac:dyDescent="0.15">
      <c r="A4" s="78" t="s">
        <v>198</v>
      </c>
      <c r="B4" s="79">
        <f>floors!$C$2</f>
        <v>48002</v>
      </c>
      <c r="C4" s="80" t="str">
        <f ca="1">VLOOKUP($B4,OFFSET([2]quests!$A$1,0,0,COUNTA([2]quests!$A:$A),MATCH(C$1,[2]quests!$1:$1,0)-MATCH($B$1,[2]quests!$1:$1,0)+1),MATCH(C$1,[2]quests!$1:$1,0)-MATCH($B$1,[2]quests!$1:$1,0)+1,FALSE)</f>
        <v>孫悟空襲来！</v>
      </c>
      <c r="D4" s="80" t="str">
        <f ca="1">VLOOKUP($B4,OFFSET([2]quests!$A$1,0,0,COUNTA([2]quests!$A:$A),MATCH(D$1,[2]quests!$1:$1,0)-MATCH($B$1,[2]quests!$1:$1,0)+1),MATCH(D$1,[2]quests!$1:$1,0)-MATCH($B$1,[2]quests!$1:$1,0)+1,FALSE)</f>
        <v>台湾版降臨2</v>
      </c>
      <c r="E4" s="81">
        <v>1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【超絶級】孫悟空襲来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台湾版降臨2</v>
      </c>
      <c r="H4" s="82">
        <v>3</v>
      </c>
      <c r="I4" s="87">
        <f t="shared" si="0"/>
        <v>3</v>
      </c>
      <c r="J4" s="83" t="str">
        <f t="shared" si="1"/>
        <v>4800203</v>
      </c>
      <c r="K4" s="81" t="s">
        <v>128</v>
      </c>
      <c r="L4" s="84" t="s">
        <v>200</v>
      </c>
      <c r="M4" s="101" t="s">
        <v>293</v>
      </c>
      <c r="N4" s="54" t="s">
        <v>201</v>
      </c>
    </row>
    <row r="5" spans="1:14" ht="42" x14ac:dyDescent="0.15">
      <c r="A5" s="78" t="s">
        <v>198</v>
      </c>
      <c r="B5" s="79">
        <f>floors!$C$2</f>
        <v>48002</v>
      </c>
      <c r="C5" s="80" t="str">
        <f ca="1">VLOOKUP($B5,OFFSET([2]quests!$A$1,0,0,COUNTA([2]quests!$A:$A),MATCH(C$1,[2]quests!$1:$1,0)-MATCH($B$1,[2]quests!$1:$1,0)+1),MATCH(C$1,[2]quests!$1:$1,0)-MATCH($B$1,[2]quests!$1:$1,0)+1,FALSE)</f>
        <v>孫悟空襲来！</v>
      </c>
      <c r="D5" s="80" t="str">
        <f ca="1">VLOOKUP($B5,OFFSET([2]quests!$A$1,0,0,COUNTA([2]quests!$A:$A),MATCH(D$1,[2]quests!$1:$1,0)-MATCH($B$1,[2]quests!$1:$1,0)+1),MATCH(D$1,[2]quests!$1:$1,0)-MATCH($B$1,[2]quests!$1:$1,0)+1,FALSE)</f>
        <v>台湾版降臨2</v>
      </c>
      <c r="E5" s="81">
        <v>1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【超絶級】孫悟空襲来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台湾版降臨2</v>
      </c>
      <c r="H5" s="82">
        <v>4</v>
      </c>
      <c r="I5" s="87">
        <f t="shared" si="0"/>
        <v>4</v>
      </c>
      <c r="J5" s="83" t="str">
        <f t="shared" ref="J5" si="2">B5&amp;TEXT(I5,"00")</f>
        <v>4800204</v>
      </c>
      <c r="K5" s="81" t="s">
        <v>128</v>
      </c>
      <c r="L5" s="84" t="s">
        <v>200</v>
      </c>
      <c r="M5" s="101" t="s">
        <v>291</v>
      </c>
      <c r="N5" s="54" t="s">
        <v>201</v>
      </c>
    </row>
    <row r="6" spans="1:14" ht="42" x14ac:dyDescent="0.15">
      <c r="A6" s="78" t="s">
        <v>198</v>
      </c>
      <c r="B6" s="79">
        <f>floors!$C$2</f>
        <v>48002</v>
      </c>
      <c r="C6" s="80" t="str">
        <f ca="1">VLOOKUP($B6,OFFSET([2]quests!$A$1,0,0,COUNTA([2]quests!$A:$A),MATCH(C$1,[2]quests!$1:$1,0)-MATCH($B$1,[2]quests!$1:$1,0)+1),MATCH(C$1,[2]quests!$1:$1,0)-MATCH($B$1,[2]quests!$1:$1,0)+1,FALSE)</f>
        <v>孫悟空襲来！</v>
      </c>
      <c r="D6" s="80" t="str">
        <f ca="1">VLOOKUP($B6,OFFSET([2]quests!$A$1,0,0,COUNTA([2]quests!$A:$A),MATCH(D$1,[2]quests!$1:$1,0)-MATCH($B$1,[2]quests!$1:$1,0)+1),MATCH(D$1,[2]quests!$1:$1,0)-MATCH($B$1,[2]quests!$1:$1,0)+1,FALSE)</f>
        <v>台湾版降臨2</v>
      </c>
      <c r="E6" s="81">
        <v>1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【超絶級】孫悟空襲来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台湾版降臨2</v>
      </c>
      <c r="H6" s="82">
        <v>5</v>
      </c>
      <c r="I6" s="87">
        <f t="shared" si="0"/>
        <v>5</v>
      </c>
      <c r="J6" s="83" t="str">
        <f t="shared" si="1"/>
        <v>4800205</v>
      </c>
      <c r="K6" s="81" t="s">
        <v>128</v>
      </c>
      <c r="L6" s="84" t="s">
        <v>200</v>
      </c>
      <c r="M6" s="101" t="s">
        <v>290</v>
      </c>
      <c r="N6" s="54" t="s">
        <v>201</v>
      </c>
    </row>
    <row r="7" spans="1:14" ht="42" x14ac:dyDescent="0.15">
      <c r="A7" s="78" t="s">
        <v>198</v>
      </c>
      <c r="B7" s="79">
        <f>floors!$C$2</f>
        <v>48002</v>
      </c>
      <c r="C7" s="80" t="str">
        <f ca="1">VLOOKUP($B7,OFFSET([2]quests!$A$1,0,0,COUNTA([2]quests!$A:$A),MATCH(C$1,[2]quests!$1:$1,0)-MATCH($B$1,[2]quests!$1:$1,0)+1),MATCH(C$1,[2]quests!$1:$1,0)-MATCH($B$1,[2]quests!$1:$1,0)+1,FALSE)</f>
        <v>孫悟空襲来！</v>
      </c>
      <c r="D7" s="80" t="str">
        <f ca="1">VLOOKUP($B7,OFFSET([2]quests!$A$1,0,0,COUNTA([2]quests!$A:$A),MATCH(D$1,[2]quests!$1:$1,0)-MATCH($B$1,[2]quests!$1:$1,0)+1),MATCH(D$1,[2]quests!$1:$1,0)-MATCH($B$1,[2]quests!$1:$1,0)+1,FALSE)</f>
        <v>台湾版降臨2</v>
      </c>
      <c r="E7" s="81">
        <v>1</v>
      </c>
      <c r="F7" s="80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【超絶級】孫悟空襲来</v>
      </c>
      <c r="G7" s="80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台湾版降臨2</v>
      </c>
      <c r="H7" s="82">
        <v>6</v>
      </c>
      <c r="I7" s="87">
        <f t="shared" si="0"/>
        <v>6</v>
      </c>
      <c r="J7" s="83" t="str">
        <f t="shared" ref="J7" si="3">B7&amp;TEXT(I7,"00")</f>
        <v>4800206</v>
      </c>
      <c r="K7" s="81" t="s">
        <v>128</v>
      </c>
      <c r="L7" s="84" t="s">
        <v>200</v>
      </c>
      <c r="M7" s="101" t="s">
        <v>340</v>
      </c>
      <c r="N7" s="54" t="s">
        <v>201</v>
      </c>
    </row>
    <row r="8" spans="1:14" ht="28" x14ac:dyDescent="0.15">
      <c r="A8" s="78" t="s">
        <v>198</v>
      </c>
      <c r="B8" s="79">
        <f>floors!$C$2</f>
        <v>48002</v>
      </c>
      <c r="C8" s="80" t="str">
        <f ca="1">VLOOKUP($B8,OFFSET([2]quests!$A$1,0,0,COUNTA([2]quests!$A:$A),MATCH(C$1,[2]quests!$1:$1,0)-MATCH($B$1,[2]quests!$1:$1,0)+1),MATCH(C$1,[2]quests!$1:$1,0)-MATCH($B$1,[2]quests!$1:$1,0)+1,FALSE)</f>
        <v>孫悟空襲来！</v>
      </c>
      <c r="D8" s="80" t="str">
        <f ca="1">VLOOKUP($B8,OFFSET([2]quests!$A$1,0,0,COUNTA([2]quests!$A:$A),MATCH(D$1,[2]quests!$1:$1,0)-MATCH($B$1,[2]quests!$1:$1,0)+1),MATCH(D$1,[2]quests!$1:$1,0)-MATCH($B$1,[2]quests!$1:$1,0)+1,FALSE)</f>
        <v>台湾版降臨2</v>
      </c>
      <c r="E8" s="81">
        <v>2</v>
      </c>
      <c r="F8" s="80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8" s="80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台湾版降臨2</v>
      </c>
      <c r="H8" s="82">
        <v>7</v>
      </c>
      <c r="I8" s="87">
        <f t="shared" si="0"/>
        <v>7</v>
      </c>
      <c r="J8" s="83" t="str">
        <f t="shared" si="1"/>
        <v>4800207</v>
      </c>
      <c r="K8" s="81" t="s">
        <v>128</v>
      </c>
      <c r="L8" s="84" t="s">
        <v>200</v>
      </c>
      <c r="M8" s="101" t="s">
        <v>260</v>
      </c>
      <c r="N8" s="54" t="s">
        <v>201</v>
      </c>
    </row>
    <row r="9" spans="1:14" ht="42" x14ac:dyDescent="0.15">
      <c r="A9" s="78" t="s">
        <v>198</v>
      </c>
      <c r="B9" s="79">
        <f>floors!$C$2</f>
        <v>48002</v>
      </c>
      <c r="C9" s="80" t="str">
        <f ca="1">VLOOKUP($B9,OFFSET([2]quests!$A$1,0,0,COUNTA([2]quests!$A:$A),MATCH(C$1,[2]quests!$1:$1,0)-MATCH($B$1,[2]quests!$1:$1,0)+1),MATCH(C$1,[2]quests!$1:$1,0)-MATCH($B$1,[2]quests!$1:$1,0)+1,FALSE)</f>
        <v>孫悟空襲来！</v>
      </c>
      <c r="D9" s="80" t="str">
        <f ca="1">VLOOKUP($B9,OFFSET([2]quests!$A$1,0,0,COUNTA([2]quests!$A:$A),MATCH(D$1,[2]quests!$1:$1,0)-MATCH($B$1,[2]quests!$1:$1,0)+1),MATCH(D$1,[2]quests!$1:$1,0)-MATCH($B$1,[2]quests!$1:$1,0)+1,FALSE)</f>
        <v>台湾版降臨2</v>
      </c>
      <c r="E9" s="81">
        <v>2</v>
      </c>
      <c r="F9" s="80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9" s="80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台湾版降臨2</v>
      </c>
      <c r="H9" s="82">
        <v>8</v>
      </c>
      <c r="I9" s="87">
        <f t="shared" si="0"/>
        <v>8</v>
      </c>
      <c r="J9" s="83" t="str">
        <f t="shared" si="1"/>
        <v>4800208</v>
      </c>
      <c r="K9" s="81" t="s">
        <v>128</v>
      </c>
      <c r="L9" s="84" t="s">
        <v>200</v>
      </c>
      <c r="M9" s="101" t="s">
        <v>294</v>
      </c>
      <c r="N9" s="54" t="s">
        <v>201</v>
      </c>
    </row>
    <row r="10" spans="1:14" ht="42" x14ac:dyDescent="0.15">
      <c r="A10" s="78" t="s">
        <v>198</v>
      </c>
      <c r="B10" s="79">
        <f>floors!$C$2</f>
        <v>48002</v>
      </c>
      <c r="C10" s="80" t="str">
        <f ca="1">VLOOKUP($B10,OFFSET([2]quests!$A$1,0,0,COUNTA([2]quests!$A:$A),MATCH(C$1,[2]quests!$1:$1,0)-MATCH($B$1,[2]quests!$1:$1,0)+1),MATCH(C$1,[2]quests!$1:$1,0)-MATCH($B$1,[2]quests!$1:$1,0)+1,FALSE)</f>
        <v>孫悟空襲来！</v>
      </c>
      <c r="D10" s="80" t="str">
        <f ca="1">VLOOKUP($B10,OFFSET([2]quests!$A$1,0,0,COUNTA([2]quests!$A:$A),MATCH(D$1,[2]quests!$1:$1,0)-MATCH($B$1,[2]quests!$1:$1,0)+1),MATCH(D$1,[2]quests!$1:$1,0)-MATCH($B$1,[2]quests!$1:$1,0)+1,FALSE)</f>
        <v>台湾版降臨2</v>
      </c>
      <c r="E10" s="81">
        <v>2</v>
      </c>
      <c r="F10" s="80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0" s="80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台湾版降臨2</v>
      </c>
      <c r="H10" s="82">
        <v>9</v>
      </c>
      <c r="I10" s="87">
        <f t="shared" si="0"/>
        <v>9</v>
      </c>
      <c r="J10" s="83" t="str">
        <f t="shared" si="1"/>
        <v>4800209</v>
      </c>
      <c r="K10" s="81" t="s">
        <v>128</v>
      </c>
      <c r="L10" s="84" t="s">
        <v>200</v>
      </c>
      <c r="M10" s="101" t="s">
        <v>293</v>
      </c>
      <c r="N10" s="54" t="s">
        <v>201</v>
      </c>
    </row>
    <row r="11" spans="1:14" ht="42" x14ac:dyDescent="0.15">
      <c r="A11" s="78" t="s">
        <v>198</v>
      </c>
      <c r="B11" s="79">
        <f>floors!$C$2</f>
        <v>48002</v>
      </c>
      <c r="C11" s="80" t="str">
        <f ca="1">VLOOKUP($B11,OFFSET([2]quests!$A$1,0,0,COUNTA([2]quests!$A:$A),MATCH(C$1,[2]quests!$1:$1,0)-MATCH($B$1,[2]quests!$1:$1,0)+1),MATCH(C$1,[2]quests!$1:$1,0)-MATCH($B$1,[2]quests!$1:$1,0)+1,FALSE)</f>
        <v>孫悟空襲来！</v>
      </c>
      <c r="D11" s="80" t="str">
        <f ca="1">VLOOKUP($B11,OFFSET([2]quests!$A$1,0,0,COUNTA([2]quests!$A:$A),MATCH(D$1,[2]quests!$1:$1,0)-MATCH($B$1,[2]quests!$1:$1,0)+1),MATCH(D$1,[2]quests!$1:$1,0)-MATCH($B$1,[2]quests!$1:$1,0)+1,FALSE)</f>
        <v>台湾版降臨2</v>
      </c>
      <c r="E11" s="81">
        <v>2</v>
      </c>
      <c r="F11" s="80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1" s="80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台湾版降臨2</v>
      </c>
      <c r="H11" s="82">
        <v>10</v>
      </c>
      <c r="I11" s="87">
        <f t="shared" si="0"/>
        <v>10</v>
      </c>
      <c r="J11" s="83" t="str">
        <f t="shared" si="1"/>
        <v>4800210</v>
      </c>
      <c r="K11" s="81" t="s">
        <v>128</v>
      </c>
      <c r="L11" s="84" t="s">
        <v>200</v>
      </c>
      <c r="M11" s="101" t="s">
        <v>289</v>
      </c>
      <c r="N11" s="54" t="s">
        <v>201</v>
      </c>
    </row>
    <row r="12" spans="1:14" ht="49" customHeight="1" x14ac:dyDescent="0.15">
      <c r="A12" s="78" t="s">
        <v>198</v>
      </c>
      <c r="B12" s="79">
        <f>floors!$C$2</f>
        <v>48002</v>
      </c>
      <c r="C12" s="80" t="str">
        <f ca="1">VLOOKUP($B12,OFFSET([2]quests!$A$1,0,0,COUNTA([2]quests!$A:$A),MATCH(C$1,[2]quests!$1:$1,0)-MATCH($B$1,[2]quests!$1:$1,0)+1),MATCH(C$1,[2]quests!$1:$1,0)-MATCH($B$1,[2]quests!$1:$1,0)+1,FALSE)</f>
        <v>孫悟空襲来！</v>
      </c>
      <c r="D12" s="80" t="str">
        <f ca="1">VLOOKUP($B12,OFFSET([2]quests!$A$1,0,0,COUNTA([2]quests!$A:$A),MATCH(D$1,[2]quests!$1:$1,0)-MATCH($B$1,[2]quests!$1:$1,0)+1),MATCH(D$1,[2]quests!$1:$1,0)-MATCH($B$1,[2]quests!$1:$1,0)+1,FALSE)</f>
        <v>台湾版降臨2</v>
      </c>
      <c r="E12" s="81">
        <v>2</v>
      </c>
      <c r="F12" s="80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2" s="80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台湾版降臨2</v>
      </c>
      <c r="H12" s="82">
        <v>11</v>
      </c>
      <c r="I12" s="87">
        <f t="shared" si="0"/>
        <v>11</v>
      </c>
      <c r="J12" s="83" t="str">
        <f t="shared" ref="J12:J17" si="4">B12&amp;TEXT(I12,"00")</f>
        <v>4800211</v>
      </c>
      <c r="K12" s="81" t="s">
        <v>128</v>
      </c>
      <c r="L12" s="84" t="s">
        <v>200</v>
      </c>
      <c r="M12" s="101" t="s">
        <v>290</v>
      </c>
      <c r="N12" s="54" t="s">
        <v>201</v>
      </c>
    </row>
    <row r="13" spans="1:14" ht="49" customHeight="1" x14ac:dyDescent="0.15">
      <c r="A13" s="78" t="s">
        <v>198</v>
      </c>
      <c r="B13" s="79">
        <f>floors!$C$2</f>
        <v>48002</v>
      </c>
      <c r="C13" s="80" t="str">
        <f ca="1">VLOOKUP($B13,OFFSET([2]quests!$A$1,0,0,COUNTA([2]quests!$A:$A),MATCH(C$1,[2]quests!$1:$1,0)-MATCH($B$1,[2]quests!$1:$1,0)+1),MATCH(C$1,[2]quests!$1:$1,0)-MATCH($B$1,[2]quests!$1:$1,0)+1,FALSE)</f>
        <v>孫悟空襲来！</v>
      </c>
      <c r="D13" s="80" t="str">
        <f ca="1">VLOOKUP($B13,OFFSET([2]quests!$A$1,0,0,COUNTA([2]quests!$A:$A),MATCH(D$1,[2]quests!$1:$1,0)-MATCH($B$1,[2]quests!$1:$1,0)+1),MATCH(D$1,[2]quests!$1:$1,0)-MATCH($B$1,[2]quests!$1:$1,0)+1,FALSE)</f>
        <v>台湾版降臨2</v>
      </c>
      <c r="E13" s="81">
        <v>2</v>
      </c>
      <c r="F13" s="80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13" s="80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台湾版降臨2</v>
      </c>
      <c r="H13" s="82">
        <v>12</v>
      </c>
      <c r="I13" s="87">
        <f t="shared" si="0"/>
        <v>12</v>
      </c>
      <c r="J13" s="83" t="str">
        <f t="shared" ref="J13" si="5">B13&amp;TEXT(I13,"00")</f>
        <v>4800212</v>
      </c>
      <c r="K13" s="81" t="s">
        <v>128</v>
      </c>
      <c r="L13" s="84" t="s">
        <v>200</v>
      </c>
      <c r="M13" s="101" t="s">
        <v>340</v>
      </c>
      <c r="N13" s="54" t="s">
        <v>201</v>
      </c>
    </row>
    <row r="14" spans="1:14" ht="28" x14ac:dyDescent="0.15">
      <c r="A14" s="78" t="s">
        <v>198</v>
      </c>
      <c r="B14" s="79">
        <f>floors!$C$2</f>
        <v>48002</v>
      </c>
      <c r="C14" s="80" t="str">
        <f ca="1">VLOOKUP($B14,OFFSET([2]quests!$A$1,0,0,COUNTA([2]quests!$A:$A),MATCH(C$1,[2]quests!$1:$1,0)-MATCH($B$1,[2]quests!$1:$1,0)+1),MATCH(C$1,[2]quests!$1:$1,0)-MATCH($B$1,[2]quests!$1:$1,0)+1,FALSE)</f>
        <v>孫悟空襲来！</v>
      </c>
      <c r="D14" s="80" t="str">
        <f ca="1">VLOOKUP($B14,OFFSET([2]quests!$A$1,0,0,COUNTA([2]quests!$A:$A),MATCH(D$1,[2]quests!$1:$1,0)-MATCH($B$1,[2]quests!$1:$1,0)+1),MATCH(D$1,[2]quests!$1:$1,0)-MATCH($B$1,[2]quests!$1:$1,0)+1,FALSE)</f>
        <v>台湾版降臨2</v>
      </c>
      <c r="E14" s="81">
        <v>3</v>
      </c>
      <c r="F14" s="80" t="str">
        <f ca="1">VLOOKUP($B14&amp;"_"&amp;$E14,OFFSET([2]stages!$A$1,0,0,COUNTA([2]stages!$A:$A),MATCH(F$1,[2]stages!$2:$2,0)-MATCH("temp_stage",[2]stages!$2:$2,0)+1),MATCH(F$1,[2]stages!$2:$2,0)-MATCH("temp_stage",[2]stages!$2:$2,0)+1,FALSE)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14" s="80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台湾版降臨2</v>
      </c>
      <c r="H14" s="82">
        <v>13</v>
      </c>
      <c r="I14" s="87">
        <f t="shared" si="0"/>
        <v>13</v>
      </c>
      <c r="J14" s="83" t="str">
        <f t="shared" si="4"/>
        <v>4800213</v>
      </c>
      <c r="K14" s="81" t="s">
        <v>128</v>
      </c>
      <c r="L14" s="84" t="s">
        <v>200</v>
      </c>
      <c r="M14" s="101" t="s">
        <v>260</v>
      </c>
      <c r="N14" s="54" t="s">
        <v>201</v>
      </c>
    </row>
    <row r="15" spans="1:14" ht="42" x14ac:dyDescent="0.15">
      <c r="A15" s="78" t="s">
        <v>198</v>
      </c>
      <c r="B15" s="79">
        <f>floors!$C$2</f>
        <v>48002</v>
      </c>
      <c r="C15" s="80" t="str">
        <f ca="1">VLOOKUP($B15,OFFSET([2]quests!$A$1,0,0,COUNTA([2]quests!$A:$A),MATCH(C$1,[2]quests!$1:$1,0)-MATCH($B$1,[2]quests!$1:$1,0)+1),MATCH(C$1,[2]quests!$1:$1,0)-MATCH($B$1,[2]quests!$1:$1,0)+1,FALSE)</f>
        <v>孫悟空襲来！</v>
      </c>
      <c r="D15" s="80" t="str">
        <f ca="1">VLOOKUP($B15,OFFSET([2]quests!$A$1,0,0,COUNTA([2]quests!$A:$A),MATCH(D$1,[2]quests!$1:$1,0)-MATCH($B$1,[2]quests!$1:$1,0)+1),MATCH(D$1,[2]quests!$1:$1,0)-MATCH($B$1,[2]quests!$1:$1,0)+1,FALSE)</f>
        <v>台湾版降臨2</v>
      </c>
      <c r="E15" s="81">
        <v>3</v>
      </c>
      <c r="F15" s="80" t="str">
        <f ca="1">VLOOKUP($B15&amp;"_"&amp;$E15,OFFSET([2]stages!$A$1,0,0,COUNTA([2]stages!$A:$A),MATCH(F$1,[2]stages!$2:$2,0)-MATCH("temp_stage",[2]stages!$2:$2,0)+1),MATCH(F$1,[2]stages!$2:$2,0)-MATCH("temp_stage",[2]stages!$2:$2,0)+1,FALSE)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15" s="80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台湾版降臨2</v>
      </c>
      <c r="H15" s="82">
        <v>14</v>
      </c>
      <c r="I15" s="87">
        <f t="shared" si="0"/>
        <v>14</v>
      </c>
      <c r="J15" s="83" t="str">
        <f t="shared" si="4"/>
        <v>4800214</v>
      </c>
      <c r="K15" s="81" t="s">
        <v>128</v>
      </c>
      <c r="L15" s="84" t="s">
        <v>200</v>
      </c>
      <c r="M15" s="101" t="s">
        <v>294</v>
      </c>
      <c r="N15" s="54" t="s">
        <v>201</v>
      </c>
    </row>
    <row r="16" spans="1:14" ht="42" x14ac:dyDescent="0.15">
      <c r="A16" s="78" t="s">
        <v>198</v>
      </c>
      <c r="B16" s="79">
        <f>floors!$C$2</f>
        <v>48002</v>
      </c>
      <c r="C16" s="80" t="str">
        <f ca="1">VLOOKUP($B16,OFFSET([2]quests!$A$1,0,0,COUNTA([2]quests!$A:$A),MATCH(C$1,[2]quests!$1:$1,0)-MATCH($B$1,[2]quests!$1:$1,0)+1),MATCH(C$1,[2]quests!$1:$1,0)-MATCH($B$1,[2]quests!$1:$1,0)+1,FALSE)</f>
        <v>孫悟空襲来！</v>
      </c>
      <c r="D16" s="80" t="str">
        <f ca="1">VLOOKUP($B16,OFFSET([2]quests!$A$1,0,0,COUNTA([2]quests!$A:$A),MATCH(D$1,[2]quests!$1:$1,0)-MATCH($B$1,[2]quests!$1:$1,0)+1),MATCH(D$1,[2]quests!$1:$1,0)-MATCH($B$1,[2]quests!$1:$1,0)+1,FALSE)</f>
        <v>台湾版降臨2</v>
      </c>
      <c r="E16" s="81">
        <v>3</v>
      </c>
      <c r="F16" s="80" t="str">
        <f ca="1">VLOOKUP($B16&amp;"_"&amp;$E16,OFFSET([2]stages!$A$1,0,0,COUNTA([2]stages!$A:$A),MATCH(F$1,[2]stages!$2:$2,0)-MATCH("temp_stage",[2]stages!$2:$2,0)+1),MATCH(F$1,[2]stages!$2:$2,0)-MATCH("temp_stage",[2]stages!$2:$2,0)+1,FALSE)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16" s="80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台湾版降臨2</v>
      </c>
      <c r="H16" s="82">
        <v>15</v>
      </c>
      <c r="I16" s="87">
        <f t="shared" si="0"/>
        <v>15</v>
      </c>
      <c r="J16" s="83" t="str">
        <f t="shared" si="4"/>
        <v>4800215</v>
      </c>
      <c r="K16" s="81" t="s">
        <v>128</v>
      </c>
      <c r="L16" s="84" t="s">
        <v>200</v>
      </c>
      <c r="M16" s="101" t="s">
        <v>293</v>
      </c>
      <c r="N16" s="54" t="s">
        <v>201</v>
      </c>
    </row>
    <row r="17" spans="1:14" ht="42" x14ac:dyDescent="0.15">
      <c r="A17" s="78" t="s">
        <v>286</v>
      </c>
      <c r="B17" s="79">
        <f>floors!$C$2</f>
        <v>48002</v>
      </c>
      <c r="C17" s="80" t="str">
        <f ca="1">VLOOKUP($B17,OFFSET([2]quests!$A$1,0,0,COUNTA([2]quests!$A:$A),MATCH(C$1,[2]quests!$1:$1,0)-MATCH($B$1,[2]quests!$1:$1,0)+1),MATCH(C$1,[2]quests!$1:$1,0)-MATCH($B$1,[2]quests!$1:$1,0)+1,FALSE)</f>
        <v>孫悟空襲来！</v>
      </c>
      <c r="D17" s="80" t="str">
        <f ca="1">VLOOKUP($B17,OFFSET([2]quests!$A$1,0,0,COUNTA([2]quests!$A:$A),MATCH(D$1,[2]quests!$1:$1,0)-MATCH($B$1,[2]quests!$1:$1,0)+1),MATCH(D$1,[2]quests!$1:$1,0)-MATCH($B$1,[2]quests!$1:$1,0)+1,FALSE)</f>
        <v>台湾版降臨2</v>
      </c>
      <c r="E17" s="81">
        <v>3</v>
      </c>
      <c r="F17" s="80" t="str">
        <f ca="1">VLOOKUP($B17&amp;"_"&amp;$E17,OFFSET([2]stages!$A$1,0,0,COUNTA([2]stages!$A:$A),MATCH(F$1,[2]stages!$2:$2,0)-MATCH("temp_stage",[2]stages!$2:$2,0)+1),MATCH(F$1,[2]stages!$2:$2,0)-MATCH("temp_stage",[2]stages!$2:$2,0)+1,FALSE)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17" s="80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台湾版降臨2</v>
      </c>
      <c r="H17" s="82">
        <v>16</v>
      </c>
      <c r="I17" s="87">
        <f t="shared" si="0"/>
        <v>16</v>
      </c>
      <c r="J17" s="83" t="str">
        <f t="shared" si="4"/>
        <v>4800216</v>
      </c>
      <c r="K17" s="81" t="s">
        <v>128</v>
      </c>
      <c r="L17" s="84" t="s">
        <v>200</v>
      </c>
      <c r="M17" s="101" t="s">
        <v>291</v>
      </c>
      <c r="N17" s="54" t="s">
        <v>201</v>
      </c>
    </row>
    <row r="18" spans="1:14" ht="42" x14ac:dyDescent="0.15">
      <c r="A18" s="78" t="s">
        <v>198</v>
      </c>
      <c r="B18" s="79">
        <f>floors!$C$2</f>
        <v>48002</v>
      </c>
      <c r="C18" s="80" t="str">
        <f ca="1">VLOOKUP($B18,OFFSET([2]quests!$A$1,0,0,COUNTA([2]quests!$A:$A),MATCH(C$1,[2]quests!$1:$1,0)-MATCH($B$1,[2]quests!$1:$1,0)+1),MATCH(C$1,[2]quests!$1:$1,0)-MATCH($B$1,[2]quests!$1:$1,0)+1,FALSE)</f>
        <v>孫悟空襲来！</v>
      </c>
      <c r="D18" s="80" t="str">
        <f ca="1">VLOOKUP($B18,OFFSET([2]quests!$A$1,0,0,COUNTA([2]quests!$A:$A),MATCH(D$1,[2]quests!$1:$1,0)-MATCH($B$1,[2]quests!$1:$1,0)+1),MATCH(D$1,[2]quests!$1:$1,0)-MATCH($B$1,[2]quests!$1:$1,0)+1,FALSE)</f>
        <v>台湾版降臨2</v>
      </c>
      <c r="E18" s="81">
        <v>3</v>
      </c>
      <c r="F18" s="80" t="str">
        <f ca="1">VLOOKUP($B18&amp;"_"&amp;$E18,OFFSET([2]stages!$A$1,0,0,COUNTA([2]stages!$A:$A),MATCH(F$1,[2]stages!$2:$2,0)-MATCH("temp_stage",[2]stages!$2:$2,0)+1),MATCH(F$1,[2]stages!$2:$2,0)-MATCH("temp_stage",[2]stages!$2:$2,0)+1,FALSE)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18" s="80" t="str">
        <f ca="1">VLOOKUP($B18&amp;"_"&amp;$E18,OFFSET([2]stages!$A$1,0,0,COUNTA([2]stages!$A:$A),MATCH(G$1,[2]stages!$2:$2,0)-MATCH("temp_stage",[2]stages!$2:$2,0)+1),MATCH(G$1,[2]stages!$2:$2,0)-MATCH("temp_stage",[2]stages!$2:$2,0)+1,FALSE)</f>
        <v>台湾版降臨2</v>
      </c>
      <c r="H18" s="82">
        <v>17</v>
      </c>
      <c r="I18" s="87">
        <f t="shared" si="0"/>
        <v>17</v>
      </c>
      <c r="J18" s="83" t="str">
        <f t="shared" ref="J18" si="6">B18&amp;TEXT(I18,"00")</f>
        <v>4800217</v>
      </c>
      <c r="K18" s="81" t="s">
        <v>128</v>
      </c>
      <c r="L18" s="84" t="s">
        <v>200</v>
      </c>
      <c r="M18" s="101" t="s">
        <v>290</v>
      </c>
      <c r="N18" s="54" t="s">
        <v>201</v>
      </c>
    </row>
    <row r="19" spans="1:14" ht="42" x14ac:dyDescent="0.15">
      <c r="A19" s="78" t="s">
        <v>198</v>
      </c>
      <c r="B19" s="79">
        <f>floors!$C$2</f>
        <v>48002</v>
      </c>
      <c r="C19" s="80" t="str">
        <f ca="1">VLOOKUP($B19,OFFSET([2]quests!$A$1,0,0,COUNTA([2]quests!$A:$A),MATCH(C$1,[2]quests!$1:$1,0)-MATCH($B$1,[2]quests!$1:$1,0)+1),MATCH(C$1,[2]quests!$1:$1,0)-MATCH($B$1,[2]quests!$1:$1,0)+1,FALSE)</f>
        <v>孫悟空襲来！</v>
      </c>
      <c r="D19" s="80" t="str">
        <f ca="1">VLOOKUP($B19,OFFSET([2]quests!$A$1,0,0,COUNTA([2]quests!$A:$A),MATCH(D$1,[2]quests!$1:$1,0)-MATCH($B$1,[2]quests!$1:$1,0)+1),MATCH(D$1,[2]quests!$1:$1,0)-MATCH($B$1,[2]quests!$1:$1,0)+1,FALSE)</f>
        <v>台湾版降臨2</v>
      </c>
      <c r="E19" s="81">
        <v>3</v>
      </c>
      <c r="F19" s="80" t="str">
        <f ca="1">VLOOKUP($B19&amp;"_"&amp;$E19,OFFSET([2]stages!$A$1,0,0,COUNTA([2]stages!$A:$A),MATCH(F$1,[2]stages!$2:$2,0)-MATCH("temp_stage",[2]stages!$2:$2,0)+1),MATCH(F$1,[2]stages!$2:$2,0)-MATCH("temp_stage",[2]stages!$2:$2,0)+1,FALSE)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19" s="80" t="str">
        <f ca="1">VLOOKUP($B19&amp;"_"&amp;$E19,OFFSET([2]stages!$A$1,0,0,COUNTA([2]stages!$A:$A),MATCH(G$1,[2]stages!$2:$2,0)-MATCH("temp_stage",[2]stages!$2:$2,0)+1),MATCH(G$1,[2]stages!$2:$2,0)-MATCH("temp_stage",[2]stages!$2:$2,0)+1,FALSE)</f>
        <v>台湾版降臨2</v>
      </c>
      <c r="H19" s="82">
        <v>18</v>
      </c>
      <c r="I19" s="87">
        <f t="shared" si="0"/>
        <v>18</v>
      </c>
      <c r="J19" s="83" t="str">
        <f t="shared" ref="J19" si="7">B19&amp;TEXT(I19,"00")</f>
        <v>4800218</v>
      </c>
      <c r="K19" s="81" t="s">
        <v>128</v>
      </c>
      <c r="L19" s="84" t="s">
        <v>200</v>
      </c>
      <c r="M19" s="101" t="s">
        <v>340</v>
      </c>
      <c r="N19" s="54" t="s">
        <v>201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N6" sqref="N6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215</v>
      </c>
      <c r="B1" s="94" t="s">
        <v>216</v>
      </c>
      <c r="C1" s="74" t="s">
        <v>217</v>
      </c>
      <c r="D1" s="74" t="s">
        <v>33</v>
      </c>
      <c r="E1" s="94" t="s">
        <v>218</v>
      </c>
      <c r="F1" s="74" t="s">
        <v>219</v>
      </c>
      <c r="G1" s="74" t="s">
        <v>33</v>
      </c>
      <c r="H1" s="94" t="s">
        <v>220</v>
      </c>
      <c r="I1" s="94" t="s">
        <v>221</v>
      </c>
      <c r="J1" s="94" t="s">
        <v>222</v>
      </c>
      <c r="K1" s="70" t="s">
        <v>223</v>
      </c>
      <c r="L1" s="70" t="s">
        <v>224</v>
      </c>
      <c r="M1" s="70" t="s">
        <v>157</v>
      </c>
      <c r="N1" s="74" t="s">
        <v>16</v>
      </c>
      <c r="O1" s="70" t="s">
        <v>225</v>
      </c>
      <c r="P1" s="70" t="s">
        <v>57</v>
      </c>
      <c r="Q1" s="70" t="s">
        <v>226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227</v>
      </c>
      <c r="X1" s="70" t="s">
        <v>228</v>
      </c>
    </row>
    <row r="2" spans="1:24" x14ac:dyDescent="0.15">
      <c r="A2" s="95" t="str">
        <f>B2&amp;"_"&amp;E2&amp;"_"&amp;H2&amp;"_"&amp;I2&amp;"_"&amp;J2</f>
        <v>48002_2_everyone_clear_1</v>
      </c>
      <c r="B2" s="79">
        <v>48002</v>
      </c>
      <c r="C2" s="80" t="str">
        <f ca="1">VLOOKUP($B2,OFFSET([2]quests!$A$1,0,0,COUNTA([2]quests!$A:$A),MATCH(C$1,[2]quests!$1:$1,0)-MATCH($B$1,[2]quests!$1:$1,0)+1),MATCH(C$1,[2]quests!$1:$1,0)-MATCH($B$1,[2]quests!$1:$1,0)+1,FALSE)</f>
        <v>孫悟空襲来！</v>
      </c>
      <c r="D2" s="80" t="str">
        <f ca="1">VLOOKUP($B2,OFFSET([2]quests!$A$1,0,0,COUNTA([2]quests!$A:$A),MATCH(D$1,[2]quests!$1:$1,0)-MATCH($B$1,[2]quests!$1:$1,0)+1),MATCH(D$1,[2]quests!$1:$1,0)-MATCH($B$1,[2]quests!$1:$1,0)+1,FALSE)</f>
        <v>台湾版降臨2</v>
      </c>
      <c r="E2" s="81">
        <v>2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【ウィザード級】孫悟空襲来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台湾版降臨2</v>
      </c>
      <c r="H2" s="82" t="s">
        <v>229</v>
      </c>
      <c r="I2" s="81" t="s">
        <v>230</v>
      </c>
      <c r="J2" s="81">
        <v>1</v>
      </c>
      <c r="K2" s="81">
        <v>610</v>
      </c>
      <c r="L2" s="81" t="s">
        <v>231</v>
      </c>
      <c r="M2" s="81">
        <v>334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1">
        <v>1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7" t="s">
        <v>232</v>
      </c>
      <c r="X2" s="98" t="s">
        <v>233</v>
      </c>
    </row>
    <row r="3" spans="1:24" x14ac:dyDescent="0.15">
      <c r="A3" s="95" t="str">
        <f>B3&amp;"_"&amp;E3&amp;"_"&amp;H3&amp;"_"&amp;I3&amp;"_"&amp;J3</f>
        <v>48002_3_everyone_no_continue_1</v>
      </c>
      <c r="B3" s="79">
        <v>48002</v>
      </c>
      <c r="C3" s="80" t="str">
        <f ca="1">VLOOKUP($B3,OFFSET([2]quests!$A$1,0,0,COUNTA([2]quests!$A:$A),MATCH(C$1,[2]quests!$1:$1,0)-MATCH($B$1,[2]quests!$1:$1,0)+1),MATCH(C$1,[2]quests!$1:$1,0)-MATCH($B$1,[2]quests!$1:$1,0)+1,FALSE)</f>
        <v>孫悟空襲来！</v>
      </c>
      <c r="D3" s="80" t="str">
        <f ca="1">VLOOKUP($B3,OFFSET([2]quests!$A$1,0,0,COUNTA([2]quests!$A:$A),MATCH(D$1,[2]quests!$1:$1,0)-MATCH($B$1,[2]quests!$1:$1,0)+1),MATCH(D$1,[2]quests!$1:$1,0)-MATCH($B$1,[2]quests!$1:$1,0)+1,FALSE)</f>
        <v>台湾版降臨2</v>
      </c>
      <c r="E3" s="81">
        <v>3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【ノーコンテニュー】孫悟空襲来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台湾版降臨2</v>
      </c>
      <c r="H3" s="82" t="s">
        <v>229</v>
      </c>
      <c r="I3" s="81" t="s">
        <v>234</v>
      </c>
      <c r="J3" s="81">
        <v>1</v>
      </c>
      <c r="K3" s="81">
        <v>610</v>
      </c>
      <c r="L3" s="81" t="s">
        <v>231</v>
      </c>
      <c r="M3" s="81">
        <v>334</v>
      </c>
      <c r="N3" s="9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1">
        <v>1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7" t="s">
        <v>232</v>
      </c>
      <c r="X3" s="98" t="s">
        <v>233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2016-06-24T03:58:17Z</dcterms:modified>
</cp:coreProperties>
</file>