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9" i="57" l="1"/>
  <c r="E9" i="57"/>
  <c r="B9" i="57"/>
  <c r="F8" i="57"/>
  <c r="E8" i="57"/>
  <c r="B8" i="57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E37" i="54"/>
  <c r="D37" i="54"/>
  <c r="B37" i="54"/>
  <c r="E36" i="54"/>
  <c r="D36" i="54"/>
  <c r="B36" i="54"/>
  <c r="E35" i="54"/>
  <c r="D35" i="54"/>
  <c r="B35" i="54"/>
  <c r="E34" i="54"/>
  <c r="D34" i="54"/>
  <c r="B34" i="54"/>
  <c r="E33" i="54"/>
  <c r="D33" i="54"/>
  <c r="B33" i="54"/>
  <c r="E32" i="54"/>
  <c r="D32" i="54"/>
  <c r="B32" i="54"/>
  <c r="E31" i="54"/>
  <c r="D31" i="54"/>
  <c r="B31" i="54"/>
  <c r="E30" i="54"/>
  <c r="D30" i="54"/>
  <c r="B30" i="54"/>
  <c r="E29" i="54"/>
  <c r="D29" i="54"/>
  <c r="B29" i="54"/>
  <c r="E28" i="54"/>
  <c r="E27" i="54"/>
  <c r="E26" i="54"/>
  <c r="E25" i="54"/>
  <c r="E24" i="54"/>
  <c r="E23" i="54"/>
  <c r="E22" i="54"/>
  <c r="E21" i="54"/>
  <c r="E20" i="54"/>
  <c r="E19" i="54"/>
  <c r="E18" i="54"/>
  <c r="E17" i="54"/>
  <c r="E16" i="54"/>
  <c r="E15" i="54"/>
  <c r="E14" i="54"/>
  <c r="E13" i="54"/>
  <c r="E12" i="54"/>
  <c r="E11" i="54"/>
  <c r="E10" i="54"/>
  <c r="E9" i="54"/>
  <c r="E8" i="54"/>
  <c r="E7" i="54"/>
  <c r="E6" i="54"/>
  <c r="E5" i="54"/>
  <c r="E4" i="54"/>
  <c r="E3" i="54"/>
  <c r="E2" i="54"/>
  <c r="H9" i="53"/>
  <c r="G9" i="53"/>
  <c r="E9" i="53"/>
  <c r="H8" i="53"/>
  <c r="G8" i="53"/>
  <c r="E8" i="53"/>
  <c r="K9" i="52"/>
  <c r="J9" i="52"/>
  <c r="H9" i="52"/>
  <c r="E9" i="52"/>
  <c r="K8" i="52"/>
  <c r="J8" i="52"/>
  <c r="H8" i="52"/>
  <c r="E8" i="52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H6" i="23"/>
  <c r="G6" i="23"/>
  <c r="BC6" i="23"/>
  <c r="H8" i="23"/>
  <c r="G8" i="23"/>
  <c r="BC8" i="23"/>
  <c r="BE9" i="23"/>
  <c r="BJ9" i="23"/>
  <c r="BI9" i="23"/>
  <c r="BH9" i="23"/>
  <c r="BG9" i="23"/>
  <c r="I6" i="23"/>
  <c r="J6" i="23"/>
  <c r="I8" i="23"/>
  <c r="J8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G8" i="13"/>
  <c r="N9" i="23"/>
  <c r="F9" i="23"/>
  <c r="E9" i="23"/>
  <c r="D9" i="23"/>
  <c r="C9" i="23"/>
  <c r="B9" i="23"/>
  <c r="BR8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H3" i="23"/>
  <c r="BR3" i="23"/>
  <c r="H4" i="23"/>
  <c r="BR4" i="23"/>
  <c r="H5" i="23"/>
  <c r="BR5" i="23"/>
  <c r="BR6" i="23"/>
  <c r="H7" i="23"/>
  <c r="BR7" i="23"/>
  <c r="H2" i="23"/>
  <c r="BR2" i="23"/>
  <c r="F7" i="57"/>
  <c r="E7" i="57"/>
  <c r="B7" i="57"/>
  <c r="F6" i="57"/>
  <c r="E6" i="57"/>
  <c r="B6" i="57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D28" i="54"/>
  <c r="B28" i="54"/>
  <c r="D27" i="54"/>
  <c r="B27" i="54"/>
  <c r="D26" i="54"/>
  <c r="B26" i="54"/>
  <c r="D25" i="54"/>
  <c r="B25" i="54"/>
  <c r="D24" i="54"/>
  <c r="B24" i="54"/>
  <c r="D23" i="54"/>
  <c r="B23" i="54"/>
  <c r="D22" i="54"/>
  <c r="B22" i="54"/>
  <c r="D21" i="54"/>
  <c r="B21" i="54"/>
  <c r="D20" i="54"/>
  <c r="B20" i="54"/>
  <c r="H7" i="53"/>
  <c r="G7" i="53"/>
  <c r="E7" i="53"/>
  <c r="H6" i="53"/>
  <c r="G6" i="53"/>
  <c r="E6" i="53"/>
  <c r="K7" i="52"/>
  <c r="J7" i="52"/>
  <c r="H7" i="52"/>
  <c r="E7" i="52"/>
  <c r="K6" i="52"/>
  <c r="J6" i="52"/>
  <c r="H6" i="52"/>
  <c r="E6" i="52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G4" i="23"/>
  <c r="BC4" i="23"/>
  <c r="BE7" i="23"/>
  <c r="BJ7" i="23"/>
  <c r="BI7" i="23"/>
  <c r="BH7" i="23"/>
  <c r="BG7" i="23"/>
  <c r="I4" i="23"/>
  <c r="J4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G4" i="13"/>
  <c r="N7" i="23"/>
  <c r="F7" i="23"/>
  <c r="E7" i="23"/>
  <c r="D7" i="23"/>
  <c r="C7" i="23"/>
  <c r="B7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F5" i="57"/>
  <c r="E5" i="57"/>
  <c r="B5" i="57"/>
  <c r="F4" i="57"/>
  <c r="E4" i="57"/>
  <c r="B4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D19" i="54"/>
  <c r="B19" i="54"/>
  <c r="D18" i="54"/>
  <c r="B18" i="54"/>
  <c r="D17" i="54"/>
  <c r="B17" i="54"/>
  <c r="D16" i="54"/>
  <c r="B16" i="54"/>
  <c r="D15" i="54"/>
  <c r="B15" i="54"/>
  <c r="D14" i="54"/>
  <c r="B14" i="54"/>
  <c r="D13" i="54"/>
  <c r="B13" i="54"/>
  <c r="D12" i="54"/>
  <c r="B12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G2" i="23"/>
  <c r="BC2" i="23"/>
  <c r="BE5" i="23"/>
  <c r="BJ5" i="23"/>
  <c r="BI5" i="23"/>
  <c r="BH5" i="23"/>
  <c r="BG5" i="23"/>
  <c r="I2" i="23"/>
  <c r="J2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G3" i="23"/>
  <c r="BC3" i="23"/>
  <c r="BD3" i="23"/>
  <c r="Q3" i="23"/>
  <c r="T3" i="23"/>
  <c r="W3" i="23"/>
  <c r="AB3" i="23"/>
  <c r="I3" i="23"/>
  <c r="K3" i="23"/>
  <c r="BL3" i="23"/>
  <c r="BE3" i="23"/>
  <c r="BH3" i="23"/>
  <c r="F3" i="57"/>
  <c r="E3" i="57"/>
  <c r="B3" i="57"/>
  <c r="H2" i="3"/>
  <c r="H3" i="3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S3" i="23"/>
  <c r="AA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C3" i="3"/>
  <c r="F3" i="3"/>
  <c r="E3" i="3"/>
  <c r="D3" i="3"/>
  <c r="A3" i="3"/>
  <c r="F2" i="57"/>
  <c r="E2" i="57"/>
  <c r="B2" i="57"/>
  <c r="C2" i="3"/>
  <c r="D2" i="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J3" i="23"/>
  <c r="BI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<sst xmlns="http://schemas.openxmlformats.org/spreadsheetml/2006/main" count="1074" uniqueCount="411">
  <si>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</si>
  <si>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</si>
  <si>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</si>
  <si>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</si>
  <si>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</si>
  <si>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</si>
  <si>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</si>
  <si>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</si>
  <si>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</si>
  <si>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</si>
  <si>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</si>
  <si>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</si>
  <si>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</si>
  <si>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</si>
  <si>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</si>
  <si>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</si>
  <si>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</si>
  <si>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</si>
  <si>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</si>
  <si>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</si>
  <si>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</si>
  <si>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</si>
  <si>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</si>
  <si>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</si>
  <si>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</si>
  <si>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</si>
  <si>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</si>
  <si>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</si>
  <si>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</si>
  <si>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</si>
  <si>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</si>
  <si>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</si>
  <si>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</si>
  <si>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</si>
  <si>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</si>
  <si>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</si>
  <si>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</si>
  <si>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</si>
  <si>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</si>
  <si>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</si>
  <si>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</si>
  <si>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</si>
  <si>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</si>
  <si>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</si>
  <si>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</si>
  <si>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</si>
  <si>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</si>
  <si>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</si>
  <si>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</si>
  <si>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</si>
  <si>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</si>
  <si>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</si>
  <si>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</si>
  <si>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</si>
  <si>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</si>
  <si>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</si>
  <si>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</si>
  <si>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</si>
  <si>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</si>
  <si>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</si>
  <si>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</si>
  <si>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</si>
  <si>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</si>
  <si>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</si>
  <si>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</si>
  <si>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</si>
  <si>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</si>
  <si>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</si>
  <si>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</si>
  <si>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</si>
  <si>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</si>
  <si>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</si>
  <si>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</si>
  <si>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</si>
  <si>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</si>
  <si>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</si>
  <si>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</si>
  <si>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</si>
  <si>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</si>
  <si>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</si>
  <si>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</si>
  <si>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</si>
  <si>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</si>
  <si>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</si>
  <si>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</si>
  <si>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</si>
  <si>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</si>
  <si>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</si>
  <si>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</si>
  <si>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</si>
  <si>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</si>
  <si>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</si>
  <si>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</si>
  <si>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</si>
  <si>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</si>
  <si>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</si>
  <si>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</si>
  <si>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</si>
  <si>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</si>
  <si>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</si>
  <si>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</si>
  <si>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</si>
  <si>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</si>
  <si>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</si>
  <si>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</si>
  <si>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</si>
  <si>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</si>
  <si>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</si>
  <si>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</si>
  <si>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</si>
  <si>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</si>
  <si>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</si>
  <si>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</si>
  <si>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</si>
  <si>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</si>
  <si>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</si>
  <si>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</si>
  <si>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</si>
  <si>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</si>
  <si>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</si>
  <si>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</si>
  <si>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</si>
  <si>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</si>
  <si>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</si>
  <si>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</si>
  <si>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</si>
  <si>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</si>
  <si>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</si>
  <si>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</si>
  <si>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</si>
  <si>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</si>
  <si>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</si>
  <si>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</si>
  <si>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</si>
  <si>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</si>
  <si>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</si>
  <si>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</si>
  <si>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</si>
  <si>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</si>
  <si>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</si>
  <si>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</si>
  <si>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</si>
  <si>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</si>
  <si>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</si>
  <si>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</si>
  <si>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</si>
  <si>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</si>
  <si>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</si>
  <si>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</si>
  <si>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</si>
  <si>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</si>
  <si>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</si>
  <si>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</si>
  <si>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</si>
  <si>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</si>
  <si>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</si>
  <si>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</si>
  <si>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</si>
  <si>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</si>
  <si>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</si>
  <si>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</si>
  <si>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</si>
  <si>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</si>
  <si>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</si>
  <si>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</si>
  <si>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</si>
  <si>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</si>
  <si>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</si>
  <si>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</si>
  <si>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</si>
  <si>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</si>
  <si>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</si>
  <si>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</si>
  <si>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</si>
  <si>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</si>
  <si>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</si>
  <si>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</si>
  <si>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</si>
  <si>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</si>
  <si>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</si>
  <si>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</si>
  <si>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</si>
  <si>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</si>
  <si>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</si>
  <si>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</si>
  <si>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</si>
  <si>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</si>
  <si>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</si>
  <si>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</si>
  <si>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</si>
  <si>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</si>
  <si>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</si>
  <si>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</si>
  <si>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</si>
  <si>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</si>
  <si>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</si>
  <si>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</si>
  <si>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</si>
  <si>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</si>
  <si>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</si>
  <si>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</si>
  <si>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</si>
  <si>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</si>
  <si>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</si>
  <si>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</si>
  <si>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</si>
  <si>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</si>
  <si>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</si>
  <si>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</si>
  <si>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</si>
  <si>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</si>
  <si>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</si>
  <si>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</si>
  <si>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</si>
  <si>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</si>
  <si>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</si>
  <si>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</si>
  <si>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</si>
  <si>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</si>
  <si>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</si>
  <si>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</si>
  <si>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</si>
  <si>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</si>
  <si>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</si>
  <si>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</si>
  <si>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</si>
  <si>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</si>
  <si>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</si>
  <si>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</si>
  <si>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</si>
  <si>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</si>
  <si>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</si>
  <si>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</si>
  <si>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</si>
  <si>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</si>
  <si>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</si>
  <si>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</si>
  <si>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</si>
  <si>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</si>
  <si>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</si>
  <si>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</si>
  <si>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</si>
  <si>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</si>
  <si>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</si>
  <si>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</si>
  <si>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</si>
  <si>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</si>
  <si>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</si>
  <si>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</si>
  <si>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</si>
  <si>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</si>
  <si>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</si>
  <si>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</si>
  <si>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</si>
  <si>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</si>
  <si>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</si>
  <si>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</si>
  <si>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</si>
  <si>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</si>
  <si>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</si>
  <si>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</si>
  <si>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</si>
  <si>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</si>
  <si>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</si>
  <si>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</si>
  <si>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</si>
  <si>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</si>
  <si>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</si>
  <si>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</si>
  <si>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</si>
  <si>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</si>
  <si>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</si>
  <si>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</si>
  <si>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</si>
  <si>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</si>
  <si>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</si>
  <si>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</si>
  <si>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</si>
  <si>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</si>
  <si>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</si>
  <si>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</si>
  <si>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</si>
  <si>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</si>
  <si>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</si>
  <si>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</si>
  <si>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</si>
  <si>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</si>
  <si>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</si>
  <si>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</si>
  <si>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</si>
  <si>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</si>
  <si>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</si>
  <si>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</si>
  <si>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</si>
  <si>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</si>
  <si>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</si>
  <si>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</si>
  <si>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</si>
  <si>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</si>
  <si>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</si>
  <si>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</si>
  <si>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</si>
  <si>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</si>
  <si>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</si>
  <si>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</si>
  <si>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</si>
  <si>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</si>
  <si>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</si>
  <si>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</si>
  <si>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</si>
  <si>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</si>
  <si>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</si>
  <si>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</si>
  <si>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</si>
  <si>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</si>
  <si>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</si>
  <si>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</si>
  <si>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</si>
  <si>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スキル1</t>
    <phoneticPr fontId="22"/>
  </si>
  <si>
    <t>Cスキル2</t>
  </si>
  <si>
    <t>Cスキル3</t>
  </si>
  <si>
    <t>Cスキル1</t>
    <phoneticPr fontId="22"/>
  </si>
  <si>
    <t>Cスキル4</t>
    <phoneticPr fontId="22"/>
  </si>
  <si>
    <t>1</t>
    <phoneticPr fontId="22"/>
  </si>
  <si>
    <t>ガロアスキル1</t>
    <phoneticPr fontId="22"/>
  </si>
  <si>
    <t>ガロアスキル2</t>
    <phoneticPr fontId="22"/>
  </si>
  <si>
    <t>ガロアCスキル1</t>
    <phoneticPr fontId="22"/>
  </si>
  <si>
    <t>ガロアCスキル2</t>
    <phoneticPr fontId="22"/>
  </si>
  <si>
    <t>old</t>
    <phoneticPr fontId="22"/>
  </si>
  <si>
    <t>fes5sg01</t>
    <phoneticPr fontId="22"/>
  </si>
  <si>
    <t>[effect:damage, target:enemy_one, color:green, val:2.5, animation:damage_one_green04]</t>
    <phoneticPr fontId="22"/>
  </si>
  <si>
    <t>1体に超大ダメージ</t>
    <phoneticPr fontId="22"/>
  </si>
  <si>
    <t>パネルをランダムで2つSCパネル(威力大)に変換＋2ターン緑属性の攻撃力UP(青パネルを吸収して効果UP)、青パネルが出現しない</t>
    <phoneticPr fontId="22"/>
  </si>
  <si>
    <t>パネルをランダムで2つSCパネル(威力大)に変換＋2ターン緑属性の攻撃力特大アップ(青パネルを吸収して効果超大)</t>
    <phoneticPr fontId="22"/>
  </si>
  <si>
    <t>[effect:damage, target:enemy_one, color:green, val:2, animation:damage_one_green04],[effect:enhance_unit, target:unit_green, turn:1, status:attack, val:0.075, calc:mul,animation:enhance_unit_all_attack02_unit01]</t>
    <phoneticPr fontId="22"/>
  </si>
  <si>
    <t>[effect:force_change_block, new_block:crash, target:block_all, ignore:crash, ignore02:crack_bomb, color:block_green, count:2, val:24, animation:change_block],[effect:break_enchance_unit, target:unit_green, val:0.005, lowest_val:0.2, count :-1, status:attack, turn:2, block01:block_blue, calc:mul, animation:enhance_unit_all_attack04]</t>
    <phoneticPr fontId="22"/>
  </si>
  <si>
    <t>[effect:force_change_block, new_block:crash, target:block_all, ignore:crash, ignore02:crack_bomb, color:block_green, count:2, val:24, animation:change_block],[effect:break_enchance_unit, target:unit_green, val:0.005, lowest_val:0.2, count :-1, status:attack, turn:2, block01:block_blue, calc:mul, animation:enhance_unit_all_attack04],[effect:change_panel_ratio, turn:2, block_type:blue, val:0, animation:block_incidence04]</t>
    <phoneticPr fontId="22"/>
  </si>
  <si>
    <t>1体に特大ダメージ</t>
    <phoneticPr fontId="22"/>
  </si>
  <si>
    <t>1体に超大ダメージ＋1ターン緑属性の攻撃力UP</t>
    <phoneticPr fontId="22"/>
  </si>
  <si>
    <t>剣論カテゴライズ</t>
    <phoneticPr fontId="22"/>
  </si>
  <si>
    <t>射剣論セオライズ・ストライク</t>
    <phoneticPr fontId="22"/>
  </si>
  <si>
    <t>追命のソルヴェイブル</t>
    <phoneticPr fontId="22"/>
  </si>
  <si>
    <t>剥命のソルヴェイブルグルゥプ</t>
  </si>
  <si>
    <t>そこに直れ…正してやる</t>
    <phoneticPr fontId="22"/>
  </si>
  <si>
    <t>これが本当の理論武装だ！</t>
  </si>
  <si>
    <t>構築の成果を見るがいい</t>
    <phoneticPr fontId="22"/>
  </si>
  <si>
    <t>人生に解けぬ問いは無い</t>
    <phoneticPr fontId="22"/>
  </si>
  <si>
    <t>来い…斬り捨ててやる</t>
    <phoneticPr fontId="22"/>
  </si>
  <si>
    <t>giza</t>
  </si>
  <si>
    <t>虚飾を剥がしてやる！</t>
  </si>
  <si>
    <t>ランダムでSCパネルを2個生成(威力大)+2ターン全ユニットのCパネル生成短縮(効果特大)、青パネルが出現しない</t>
    <phoneticPr fontId="22"/>
  </si>
  <si>
    <t>ランダムでSCパネルを2個生成(威力大)+1ターン全ユニットのCパネル生成短縮(効果特大)、青パネルが出現しない</t>
    <phoneticPr fontId="22"/>
  </si>
  <si>
    <t>[effect:damage, target:enemy_one, color:green, val:1.5, animation:damage_one_green04],[effect:enhance_unit, target:unit_green, turn:1, status:attack, val:0.075, calc:mul,animation:enhance_unit_all_attack02_unit01]</t>
    <phoneticPr fontId="22"/>
  </si>
  <si>
    <t>1体に特大ダメージ+
1ターン緑属性の攻撃力UP</t>
    <phoneticPr fontId="22"/>
  </si>
  <si>
    <t>[effect:damage, target:enemy_one, color:green, val:2.25, animation:damage_one_green04]</t>
    <phoneticPr fontId="22"/>
  </si>
  <si>
    <t>[effect:force_change_block, new_block:crash, target:block_all, ignore01:crash, ignore02:crack_bomb, ignore03:color_break, count:2, val:24, animation:change_block],[effect:crash_condition, target:unit_all, turn:1, val:-4, animation:crash_panel_reduce04],[effect:change_panel_ratio, turn:1, block_type:blue, val:0, animation:block_incidence04]</t>
    <phoneticPr fontId="22"/>
  </si>
  <si>
    <t xml:space="preserve"> [effect:force_change_block, new_block:crash, target:block_all, ignore01:crash, ignore02:crack_bomb, ignore03:color_break, count:2, val:24, animation:change_block],[effect:crash_condition, target:unit_all, turn:2, val:-4, animation:crash_panel_reduce04],[effect:change_panel_ratio, turn:2, block_type:blue, val:0, animation:block_incidence04]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</si>
  <si>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</si>
  <si>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</si>
  <si>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</si>
  <si>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</si>
  <si>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</si>
  <si>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</si>
  <si>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</si>
  <si>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</si>
  <si>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</si>
  <si>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</si>
  <si>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</si>
  <si>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</si>
  <si>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</si>
  <si>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</si>
  <si>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</si>
  <si>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</si>
  <si>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</si>
  <si>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</si>
  <si>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</si>
  <si>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</si>
  <si>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</si>
  <si>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</si>
  <si>
    <t>1体に特大ダメージ</t>
    <phoneticPr fontId="22"/>
  </si>
  <si>
    <t>1体に超大ダメージ+
1ターン青属性の回復力UP</t>
    <phoneticPr fontId="22"/>
  </si>
  <si>
    <t>[effect:damage, target:enemy_one, color:blue, val:2.25, animation:damage_one_blue04]</t>
    <phoneticPr fontId="22"/>
  </si>
  <si>
    <t>[effect:damage, target:enemy_one, color:blue, val:2.5, animation:damage_one_blue04],[effect:enhance_unit, target:unit_blue, turn:1, status:heal, val:0.03, calc:mul, animation:enhance_unit_all_heal02_unit01]</t>
    <phoneticPr fontId="22"/>
  </si>
  <si>
    <t>ラ･メール･トゥールビヨン</t>
    <phoneticPr fontId="22"/>
  </si>
  <si>
    <t>ラ･メール･マエルストロム</t>
    <phoneticPr fontId="22"/>
  </si>
  <si>
    <t>砲程･バロトロピック</t>
    <phoneticPr fontId="22"/>
  </si>
  <si>
    <t>渦度砲程･バロトロピック</t>
    <phoneticPr fontId="22"/>
  </si>
  <si>
    <t>流れこそ全て…よろしくて？</t>
    <phoneticPr fontId="22"/>
  </si>
  <si>
    <t>装填完了…全放出ですわ！</t>
    <phoneticPr fontId="22"/>
  </si>
  <si>
    <t>giza</t>
    <phoneticPr fontId="22"/>
  </si>
  <si>
    <t>水の調べをお聞きなさい！</t>
  </si>
  <si>
    <t>美しくありませんわ…</t>
  </si>
  <si>
    <t>水は鉄をも貫きますわ！</t>
  </si>
  <si>
    <t>お覚悟はできたかしら！</t>
    <phoneticPr fontId="22"/>
  </si>
  <si>
    <t>[effect:force_change_block, new_block:crash, target:block_all, ignore01:crash, ignore02:crack_bomb, ignore03:color_break, count:6, val:12, animation:change_block],[effect:enhance_unit, target:unit_blue, turn:1, status:defense, val:1440, calc:add, animation:enhance_unit_all_defense04_unit01],[effect:enhance_unit, target:unit_blue, turn:1, status:action, val:2, calc:add, animation:enhance_unit_one_action02]</t>
    <phoneticPr fontId="22"/>
  </si>
  <si>
    <t>[effect:force_change_block, new_block:crash, target:block_all, ignore01:crash, ignore02:crack_bomb, ignore03:color_break, count:4, val:12, animation:change_block],[effect:enhance_unit, target:unit_blue, turn:1, status:defense, val:1440, calc:add, animation:enhance_unit_all_defense04_unit01],[effect:enhance_unit, target:unit_blue, turn:1, status:action, val:2, calc:add, animation:enhance_unit_one_action02]</t>
    <phoneticPr fontId="22"/>
  </si>
  <si>
    <t>ランダムでパネルを4つSCパネルに変換+1ターン青属性ユニットの防御力を超大UPし、タップ回数を2増やす</t>
    <phoneticPr fontId="22"/>
  </si>
  <si>
    <t>ランダムでパネルを6つSCパネルに変換+1ターン青属性ユニットの防御力を超大UPし、タップ回数を2増やす</t>
    <phoneticPr fontId="22"/>
  </si>
  <si>
    <t>[effect:force_change_block, new_block:crash, target:crack_bomb, count:0, val:6, animation:change_block],[effect:force_change_block, new_block:crash, target:block_yellow, count:0, val:6, animation:change_block],[effect:force_change_block, new_block:crack_bomb, target:block_red, color:red, count:5, val:24, animation:change_block],[effect:change_panel_ratio, turn:2, block_type:green, val:0, animation:block_incidence04],[effect:change_panel_ratio, turn:2, block_type:heal, val:0, animation:block_incidence04]</t>
    <phoneticPr fontId="22"/>
  </si>
  <si>
    <t>[effect:damage, target:enemy_one, color:red, val:2.5, animation:damage_one_red04]</t>
    <phoneticPr fontId="22"/>
  </si>
  <si>
    <t>1体に超大ダメージ</t>
    <phoneticPr fontId="22"/>
  </si>
  <si>
    <t>ボム・黄パネルをCパネルに、赤パネルを最大5個赤ボムパネル(大)に変換+2ターン緑・ハートパネルが出現しない</t>
    <phoneticPr fontId="22"/>
  </si>
  <si>
    <t>GKコンプリメンテイション</t>
    <phoneticPr fontId="22"/>
  </si>
  <si>
    <t>S-GKコンプリメンテイション</t>
    <phoneticPr fontId="22"/>
  </si>
  <si>
    <t>オーダー・オブ・イン＆ヤン</t>
    <phoneticPr fontId="22"/>
  </si>
  <si>
    <t>同時には無理…？そうかな？</t>
    <phoneticPr fontId="22"/>
  </si>
  <si>
    <t>こういう駆け引き、大好き！</t>
    <phoneticPr fontId="22"/>
  </si>
  <si>
    <t>ぜんぶ叩き落とすから！</t>
    <phoneticPr fontId="22"/>
  </si>
  <si>
    <t>シュートコース計算済み</t>
    <phoneticPr fontId="22"/>
  </si>
  <si>
    <t>防壁展開！さぁ来い！</t>
    <phoneticPr fontId="22"/>
  </si>
  <si>
    <t>思惑、外れちゃったわね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</si>
</sst>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400</v>
          </cell>
          <cell r="B64" t="str">
            <v>ja</v>
          </cell>
          <cell r="C64" t="str">
            <v>攻撃タイプキラー</v>
          </cell>
          <cell r="D64" t="str">
            <v>攻撃対象が攻撃タイプの場合威力UP</v>
          </cell>
        </row>
        <row r="65">
          <cell r="A65">
            <v>401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402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403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404</v>
          </cell>
          <cell r="B68" t="str">
            <v>ja</v>
          </cell>
          <cell r="C68" t="str">
            <v>バランスタイプキラー</v>
          </cell>
          <cell r="D68" t="str">
            <v>攻撃対象が攻撃タイプの場合威力UP</v>
          </cell>
        </row>
        <row r="69">
          <cell r="A69">
            <v>405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406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407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408</v>
          </cell>
          <cell r="B72" t="str">
            <v>ja</v>
          </cell>
          <cell r="C72" t="str">
            <v>体力タイプキラー</v>
          </cell>
          <cell r="D72" t="str">
            <v>攻撃対象が攻撃タイプの場合威力UP</v>
          </cell>
        </row>
        <row r="73">
          <cell r="A73">
            <v>409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410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411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412</v>
          </cell>
          <cell r="B76" t="str">
            <v>ja</v>
          </cell>
          <cell r="C76" t="str">
            <v>テクニカルタイプキラー</v>
          </cell>
          <cell r="D76" t="str">
            <v>攻撃対象が攻撃タイプの場合威力UP</v>
          </cell>
        </row>
        <row r="77">
          <cell r="A77">
            <v>413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414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415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416</v>
          </cell>
          <cell r="B80" t="str">
            <v>ja</v>
          </cell>
          <cell r="C80" t="str">
            <v>回復タイプキラー</v>
          </cell>
          <cell r="D80" t="str">
            <v>攻撃対象が攻撃タイプの場合威力UP</v>
          </cell>
        </row>
        <row r="81">
          <cell r="A81">
            <v>417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418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419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420</v>
          </cell>
          <cell r="B84" t="str">
            <v>ja</v>
          </cell>
          <cell r="C84" t="str">
            <v>強化素材タイプキラー</v>
          </cell>
          <cell r="D84" t="str">
            <v>攻撃対象が攻撃タイプの場合威力UP</v>
          </cell>
        </row>
        <row r="85">
          <cell r="A85">
            <v>421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422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423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424</v>
          </cell>
          <cell r="B88" t="str">
            <v>ja</v>
          </cell>
          <cell r="C88" t="str">
            <v>コインタイプキラー</v>
          </cell>
          <cell r="D88" t="str">
            <v>攻撃対象が攻撃タイプの場合威力UP</v>
          </cell>
        </row>
        <row r="89">
          <cell r="A89">
            <v>425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426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427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428</v>
          </cell>
          <cell r="B92" t="str">
            <v>ja</v>
          </cell>
          <cell r="C92" t="str">
            <v>限界突破素材タイプキラー</v>
          </cell>
          <cell r="D92" t="str">
            <v>攻撃対象が攻撃タイプの場合威力UP</v>
          </cell>
        </row>
        <row r="93">
          <cell r="A93">
            <v>429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430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431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432</v>
          </cell>
          <cell r="B96" t="str">
            <v>ja</v>
          </cell>
          <cell r="C96" t="str">
            <v>スキルレベル素材タイプキラー</v>
          </cell>
          <cell r="D96" t="str">
            <v>攻撃対象が攻撃タイプの場合威力UP</v>
          </cell>
        </row>
        <row r="97">
          <cell r="A97">
            <v>433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434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435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600</v>
          </cell>
          <cell r="B100" t="str">
            <v>ja</v>
          </cell>
          <cell r="C100" t="str">
            <v>赤属性耐性25</v>
          </cell>
          <cell r="D100" t="str">
            <v>自身に対する赤属性の敵からの攻撃を25％軽減</v>
          </cell>
        </row>
        <row r="101">
          <cell r="A101">
            <v>601</v>
          </cell>
          <cell r="B101" t="str">
            <v>ja</v>
          </cell>
          <cell r="C101" t="str">
            <v>赤属性耐性25</v>
          </cell>
          <cell r="D101" t="str">
            <v>自身に対する赤属性の敵からの攻撃を25％軽減</v>
          </cell>
        </row>
        <row r="102">
          <cell r="A102">
            <v>602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603</v>
          </cell>
          <cell r="B103" t="str">
            <v>ja</v>
          </cell>
          <cell r="C103" t="str">
            <v>青属性耐性25</v>
          </cell>
          <cell r="D103" t="str">
            <v>自身に対する青属性の敵からの攻撃を25％軽減</v>
          </cell>
        </row>
        <row r="104">
          <cell r="A104">
            <v>604</v>
          </cell>
          <cell r="B104" t="str">
            <v>ja</v>
          </cell>
          <cell r="C104" t="str">
            <v>青属性耐性25</v>
          </cell>
          <cell r="D104" t="str">
            <v>自身に対する青属性の敵からの攻撃を25％軽減</v>
          </cell>
        </row>
        <row r="105">
          <cell r="A105">
            <v>605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606</v>
          </cell>
          <cell r="B106" t="str">
            <v>ja</v>
          </cell>
          <cell r="C106" t="str">
            <v>緑属性耐性25</v>
          </cell>
          <cell r="D106" t="str">
            <v>自身に対する緑属性の敵からの攻撃を25％軽減</v>
          </cell>
        </row>
        <row r="107">
          <cell r="A107">
            <v>607</v>
          </cell>
          <cell r="B107" t="str">
            <v>ja</v>
          </cell>
          <cell r="C107" t="str">
            <v>緑属性耐性25</v>
          </cell>
          <cell r="D107" t="str">
            <v>自身に対する緑属性の敵からの攻撃を25％軽減</v>
          </cell>
        </row>
        <row r="108">
          <cell r="A108">
            <v>608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609</v>
          </cell>
          <cell r="B109" t="str">
            <v>ja</v>
          </cell>
          <cell r="C109" t="str">
            <v>黄属性耐性25</v>
          </cell>
          <cell r="D109" t="str">
            <v>自身に対する黄属性の敵からの攻撃を25％軽減</v>
          </cell>
        </row>
        <row r="110">
          <cell r="A110">
            <v>610</v>
          </cell>
          <cell r="B110" t="str">
            <v>ja</v>
          </cell>
          <cell r="C110" t="str">
            <v>黄属性耐性25</v>
          </cell>
          <cell r="D110" t="str">
            <v>自身に対する黄属性の敵からの攻撃を25％軽減</v>
          </cell>
        </row>
        <row r="111">
          <cell r="A111">
            <v>611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612</v>
          </cell>
          <cell r="B112" t="str">
            <v>ja</v>
          </cell>
          <cell r="C112" t="str">
            <v>全属性耐性10</v>
          </cell>
          <cell r="D112" t="str">
            <v>自身に対する全属性の敵からの攻撃を10％軽減</v>
          </cell>
        </row>
        <row r="113">
          <cell r="A113">
            <v>613</v>
          </cell>
          <cell r="B113" t="str">
            <v>ja</v>
          </cell>
          <cell r="C113" t="str">
            <v>赤属性耐性10</v>
          </cell>
          <cell r="D113" t="str">
            <v>自身に対する赤属性の敵からの攻撃を10％軽減</v>
          </cell>
        </row>
        <row r="114">
          <cell r="A114">
            <v>614</v>
          </cell>
          <cell r="B114" t="str">
            <v>ja</v>
          </cell>
          <cell r="C114" t="str">
            <v>青属性耐性10</v>
          </cell>
          <cell r="D114" t="str">
            <v>自身に対する青属性の敵からの攻撃を10％軽減</v>
          </cell>
        </row>
        <row r="115">
          <cell r="A115">
            <v>615</v>
          </cell>
          <cell r="B115" t="str">
            <v>ja</v>
          </cell>
          <cell r="C115" t="str">
            <v>緑属性耐性10</v>
          </cell>
          <cell r="D115" t="str">
            <v>自身に対する緑属性の敵からの攻撃を10％軽減</v>
          </cell>
        </row>
        <row r="116">
          <cell r="A116">
            <v>616</v>
          </cell>
          <cell r="B116" t="str">
            <v>ja</v>
          </cell>
          <cell r="C116" t="str">
            <v>黄属性耐性10</v>
          </cell>
          <cell r="D116" t="str">
            <v>自身に対する黄属性の敵からの攻撃を10％軽減</v>
          </cell>
        </row>
        <row r="117">
          <cell r="A117">
            <v>617</v>
          </cell>
          <cell r="B117" t="str">
            <v>ja</v>
          </cell>
          <cell r="C117" t="str">
            <v>ゴッド種族耐性10</v>
          </cell>
          <cell r="D117" t="str">
            <v>自身に対するゴッド種族の敵からの攻撃を25％軽減</v>
          </cell>
        </row>
        <row r="118">
          <cell r="A118">
            <v>700</v>
          </cell>
          <cell r="B118" t="str">
            <v>ja</v>
          </cell>
          <cell r="C118" t="str">
            <v>フロア 回復</v>
          </cell>
          <cell r="D118" t="str">
            <v>全フロアの1ターン目終了時にパーティの合計HPの20％を回復する</v>
          </cell>
        </row>
        <row r="119">
          <cell r="A119">
            <v>800</v>
          </cell>
          <cell r="B119" t="str">
            <v>ja</v>
          </cell>
          <cell r="C119" t="str">
            <v>パネルブレイク30 攻撃力UP</v>
          </cell>
          <cell r="D119" t="str">
            <v>自身が先頭の時、1ターンの間に合計30個以上パネルを破壊した場合に攻撃力UP</v>
          </cell>
        </row>
        <row r="120">
          <cell r="A120">
            <v>801</v>
          </cell>
          <cell r="B120" t="str">
            <v>ja</v>
          </cell>
          <cell r="C120" t="str">
            <v>パネルブレイク30 回復力UP</v>
          </cell>
          <cell r="D120" t="str">
            <v>自身が先頭の時、1ターンの間に合計30個以上パネルを破壊した場合に回復力UP</v>
          </cell>
        </row>
        <row r="121">
          <cell r="A121">
            <v>802</v>
          </cell>
          <cell r="B121" t="str">
            <v>ja</v>
          </cell>
          <cell r="C121" t="str">
            <v>パネルブレイク30 防御力小UP</v>
          </cell>
          <cell r="D121" t="str">
            <v>自身が先頭の時、1ターンの間に合計30個以上パネルを破壊した場合に防御力小UP</v>
          </cell>
        </row>
        <row r="122">
          <cell r="A122">
            <v>803</v>
          </cell>
          <cell r="B122" t="str">
            <v>ja</v>
          </cell>
          <cell r="C122" t="str">
            <v>パネルブレイク30 防御力UP</v>
          </cell>
          <cell r="D122" t="str">
            <v>自身が先頭の時、1ターンの間に合計30個以上パネルを破壊した場合に防御力UP</v>
          </cell>
        </row>
        <row r="123">
          <cell r="A123">
            <v>804</v>
          </cell>
          <cell r="B123" t="str">
            <v>ja</v>
          </cell>
          <cell r="C123" t="str">
            <v>パネルブレイク30 防御力大UP</v>
          </cell>
          <cell r="D123" t="str">
            <v>自身が先頭の時、1ターンの間に合計30個以上パネルを破壊した場合に防御力大UP</v>
          </cell>
        </row>
        <row r="124">
          <cell r="A124">
            <v>805</v>
          </cell>
          <cell r="B124" t="str">
            <v>ja</v>
          </cell>
          <cell r="C124" t="str">
            <v>パネルブレイク30 防御力特大UP</v>
          </cell>
          <cell r="D124" t="str">
            <v>自身が先頭の時、1ターンの間に合計30個以上パネルを破壊した場合に防御力特大UP</v>
          </cell>
        </row>
        <row r="125">
          <cell r="A125">
            <v>806</v>
          </cell>
          <cell r="B125" t="str">
            <v>ja</v>
          </cell>
          <cell r="C125" t="str">
            <v>ボムブレイク10 防御力UP</v>
          </cell>
          <cell r="D125" t="str">
            <v>自身または味方が1ターンの間に合計10個以上ボムパネルを破壊した場合に防御力UP</v>
          </cell>
        </row>
        <row r="126">
          <cell r="A126">
            <v>807</v>
          </cell>
          <cell r="B126" t="str">
            <v>ja</v>
          </cell>
          <cell r="C126" t="str">
            <v>パネル18 破壊フィーバーゲージ上昇</v>
          </cell>
          <cell r="D126" t="str">
            <v>自身が先頭の時、1ターンの間に合計18個以上パネルを破壊した場合にフィーバーゲージ上昇</v>
          </cell>
        </row>
        <row r="127">
          <cell r="A127">
            <v>808</v>
          </cell>
          <cell r="B127" t="str">
            <v>ja</v>
          </cell>
          <cell r="C127" t="str">
            <v>パネルブレイク40 防御力UP</v>
          </cell>
          <cell r="D127" t="str">
            <v>自身が先頭の時、1ターンの間に合計40個以上パネルを破壊した場合に青属性ユニットの防御力を400UP</v>
          </cell>
        </row>
        <row r="128">
          <cell r="A128">
            <v>809</v>
          </cell>
          <cell r="B128" t="str">
            <v>ja</v>
          </cell>
          <cell r="C128" t="str">
            <v>パネルブレイク40 攻撃力UP</v>
          </cell>
          <cell r="D128" t="str">
            <v>自身が先頭の時、1ターンの間に合計40個以上パネルを破壊した場合に攻撃力UP</v>
          </cell>
        </row>
        <row r="129">
          <cell r="A129">
            <v>810</v>
          </cell>
          <cell r="B129" t="str">
            <v>ja</v>
          </cell>
          <cell r="C129" t="str">
            <v>パネルブレイク40 攻撃力小UP</v>
          </cell>
          <cell r="D129" t="str">
            <v>自身が先頭の時、1ターンの間に合計40個以上パネルを破壊した場合に攻撃力UP</v>
          </cell>
        </row>
        <row r="130">
          <cell r="A130">
            <v>811</v>
          </cell>
          <cell r="B130" t="str">
            <v>ja</v>
          </cell>
          <cell r="C130" t="str">
            <v>パネルブレイク30 攻撃力小UP</v>
          </cell>
          <cell r="D130" t="str">
            <v>自身が先頭の時、1ターンの間に合計30個以上パネルを破壊した場合に攻撃力UP</v>
          </cell>
        </row>
        <row r="131">
          <cell r="A131">
            <v>812</v>
          </cell>
          <cell r="B131" t="str">
            <v>ja</v>
          </cell>
          <cell r="C131" t="str">
            <v>パネルブレイク40 HP小回復</v>
          </cell>
          <cell r="D131" t="str">
            <v>自身が先頭の時、1ターンの間に合計40個以上パネルを破壊した場合にターン終了時HP小回復</v>
          </cell>
        </row>
        <row r="132">
          <cell r="A132">
            <v>900</v>
          </cell>
          <cell r="B132" t="str">
            <v>ja</v>
          </cell>
          <cell r="C132" t="str">
            <v>チェイン12 攻撃力UP</v>
          </cell>
          <cell r="D132" t="str">
            <v>自身が先頭の時、1タップで12個以上パネルを繋げた場合に攻撃力UP</v>
          </cell>
        </row>
        <row r="133">
          <cell r="A133">
            <v>901</v>
          </cell>
          <cell r="B133" t="str">
            <v>ja</v>
          </cell>
          <cell r="C133" t="str">
            <v>チェイン12 回復力UP</v>
          </cell>
          <cell r="D133" t="str">
            <v>自身が先頭の時、1タップで12個以上パネルを繋げた場合に回復力UP</v>
          </cell>
        </row>
        <row r="134">
          <cell r="A134">
            <v>902</v>
          </cell>
          <cell r="B134" t="str">
            <v>ja</v>
          </cell>
          <cell r="C134" t="str">
            <v>チェイン12 タップ回数UP</v>
          </cell>
          <cell r="D134" t="str">
            <v>自身が先頭の時、1タップで12個以上パネルを繋げた場合にタップ回数を1回増やす</v>
          </cell>
        </row>
        <row r="135">
          <cell r="A135">
            <v>903</v>
          </cell>
          <cell r="B135" t="str">
            <v>ja</v>
          </cell>
          <cell r="C135" t="str">
            <v>チェイン18 スキルゲージUP</v>
          </cell>
          <cell r="D135" t="str">
            <v>自身が先頭の時、1タップで18個以上パネルを繋げた場合に自身のスキルゲージを1増やす(1ターンに1度だけ発動)</v>
          </cell>
        </row>
        <row r="136">
          <cell r="A136">
            <v>904</v>
          </cell>
          <cell r="B136" t="str">
            <v>ja</v>
          </cell>
          <cell r="C136" t="str">
            <v>チェイン17 回復力UP</v>
          </cell>
          <cell r="D136" t="str">
            <v>自身が先頭の時、1タップで17個以上パネルを繋げた場合に自身の回復力を2017UP</v>
          </cell>
        </row>
        <row r="137">
          <cell r="A137">
            <v>905</v>
          </cell>
          <cell r="B137" t="str">
            <v>ja</v>
          </cell>
          <cell r="C137" t="str">
            <v>チェイン12 攻撃力小UP</v>
          </cell>
          <cell r="D137" t="str">
            <v>自身が先頭の時、1タップで12個以上パネルを繋げた場合に攻撃力小UP</v>
          </cell>
        </row>
        <row r="138">
          <cell r="A138">
            <v>906</v>
          </cell>
          <cell r="B138" t="str">
            <v>ja</v>
          </cell>
          <cell r="C138" t="str">
            <v>チェイン14 回復力小UP</v>
          </cell>
          <cell r="D138" t="str">
            <v>自身が先頭の時、1タップで14個以上パネルを繋げた場合に回復力小UP</v>
          </cell>
        </row>
        <row r="139">
          <cell r="A139">
            <v>907</v>
          </cell>
          <cell r="B139" t="str">
            <v>ja</v>
          </cell>
          <cell r="C139" t="str">
            <v>チェイン14 攻撃力UP</v>
          </cell>
          <cell r="D139" t="str">
            <v>自身が先頭の時、1タップで14個以上パネルを繋げた場合に攻撃力UP</v>
          </cell>
        </row>
        <row r="140">
          <cell r="A140">
            <v>1100</v>
          </cell>
          <cell r="B140" t="str">
            <v>ja</v>
          </cell>
          <cell r="C140" t="str">
            <v>Cパネル生成短縮</v>
          </cell>
          <cell r="D140" t="str">
            <v>自身が先頭の時、Cパネル生成に必要なチェイン数を1短縮する</v>
          </cell>
        </row>
        <row r="141">
          <cell r="A141">
            <v>1101</v>
          </cell>
          <cell r="B141" t="str">
            <v>ja</v>
          </cell>
          <cell r="C141" t="str">
            <v>Cパネル生成短縮(大)</v>
          </cell>
          <cell r="D141" t="str">
            <v>自身が先頭の時、Cパネル生成に必要なチェイン数を2短縮する</v>
          </cell>
        </row>
        <row r="142">
          <cell r="A142">
            <v>1200</v>
          </cell>
          <cell r="B142" t="str">
            <v>ja</v>
          </cell>
          <cell r="C142" t="str">
            <v>フィーバー攻撃UP</v>
          </cell>
          <cell r="D142" t="str">
            <v>自身が先頭の時、フィーバー発動時に緑属性の攻撃力と回復力UP</v>
          </cell>
        </row>
        <row r="143">
          <cell r="A143">
            <v>1300</v>
          </cell>
          <cell r="B143" t="str">
            <v>ja</v>
          </cell>
          <cell r="C143" t="str">
            <v>チェイン12 HP回復</v>
          </cell>
          <cell r="D143" t="str">
            <v>自身が先頭の時、1タップで12個以上パネルを繋げた場合にHPを2000回復(1ターンに1度だけ発動)</v>
          </cell>
        </row>
        <row r="144">
          <cell r="A144">
            <v>1400</v>
          </cell>
          <cell r="B144" t="str">
            <v>ja</v>
          </cell>
          <cell r="C144" t="str">
            <v>カウンター威力UP</v>
          </cell>
          <cell r="D144" t="str">
            <v>4ターン毎に自身のカウンタースキルの威力が1ターンの間UP</v>
          </cell>
        </row>
        <row r="145">
          <cell r="A145">
            <v>1500</v>
          </cell>
          <cell r="B145" t="str">
            <v>ja</v>
          </cell>
          <cell r="C145" t="str">
            <v>バリア15000</v>
          </cell>
          <cell r="D145" t="str">
            <v>戦闘開始時に、自身への直接ダメージを15000まで防ぐバリアを一度だけ展開(バリアは破壊されると復活しない)</v>
          </cell>
        </row>
        <row r="146">
          <cell r="A146">
            <v>1501</v>
          </cell>
          <cell r="B146" t="str">
            <v>ja</v>
          </cell>
          <cell r="C146" t="str">
            <v>バリア</v>
          </cell>
          <cell r="D146" t="str">
            <v>戦闘開始時に、ダメージを25000まで防ぐバリアを一度だけ展開</v>
          </cell>
        </row>
        <row r="147">
          <cell r="A147">
            <v>1502</v>
          </cell>
          <cell r="B147" t="str">
            <v>ja</v>
          </cell>
          <cell r="C147" t="str">
            <v>バリア</v>
          </cell>
          <cell r="D147" t="str">
            <v>戦闘開始時に、ダメージを50000まで防ぐバリアを一度だけ展開</v>
          </cell>
        </row>
        <row r="148">
          <cell r="A148">
            <v>1503</v>
          </cell>
          <cell r="B148" t="str">
            <v>ja</v>
          </cell>
          <cell r="C148" t="str">
            <v>バリア8000</v>
          </cell>
          <cell r="D148" t="str">
            <v>戦闘開始時に、自身への直接ダメージを8000まで防ぐバリアを一度だけ展開(バリアは破壊されると復活しない)</v>
          </cell>
        </row>
        <row r="149">
          <cell r="A149">
            <v>1504</v>
          </cell>
          <cell r="B149" t="str">
            <v>ja</v>
          </cell>
          <cell r="C149" t="str">
            <v>バリア10000</v>
          </cell>
          <cell r="D149" t="str">
            <v>戦闘開始時に、自身への直接ダメージを10000まで防ぐバリアを一度だけ展開(バリアは破壊されると復活しない)</v>
          </cell>
        </row>
        <row r="150">
          <cell r="A150">
            <v>1505</v>
          </cell>
          <cell r="B150" t="str">
            <v>ja</v>
          </cell>
          <cell r="C150" t="str">
            <v>バリア3939</v>
          </cell>
          <cell r="D150" t="str">
            <v>戦闘開始時に、自身への直接ダメージを3939まで防ぐバリアを一度だけ展開(バリアは破壊されると復活しない)</v>
          </cell>
        </row>
        <row r="151">
          <cell r="A151">
            <v>1600</v>
          </cell>
          <cell r="B151" t="str">
            <v>ja</v>
          </cell>
          <cell r="C151" t="str">
            <v>攻撃力・回復力UP</v>
          </cell>
          <cell r="D151" t="str">
            <v>自身の攻撃力と回復力をUP</v>
          </cell>
        </row>
        <row r="152">
          <cell r="A152">
            <v>1700</v>
          </cell>
          <cell r="B152" t="str">
            <v>ja</v>
          </cell>
          <cell r="C152" t="str">
            <v>パネルブレイク30 ターンHP小回復</v>
          </cell>
          <cell r="D152" t="str">
            <v>自身が先頭の時、1ターンの間に合計30個以上パネルを破壊した場合に1ターン HP小回復</v>
          </cell>
        </row>
        <row r="153">
          <cell r="A153">
            <v>1800</v>
          </cell>
          <cell r="B153" t="str">
            <v>ja</v>
          </cell>
          <cell r="C153" t="str">
            <v>フィーバー強化</v>
          </cell>
          <cell r="D153" t="str">
            <v>フィーバー時自身の攻撃力、回復力を特大UP</v>
          </cell>
        </row>
        <row r="154">
          <cell r="A154">
            <v>1900</v>
          </cell>
          <cell r="B154" t="str">
            <v>ja</v>
          </cell>
          <cell r="C154" t="str">
            <v>ハート出現率UP</v>
          </cell>
          <cell r="D154" t="str">
            <v>自身が先頭の時、ハートパネルの出現率UP</v>
          </cell>
        </row>
        <row r="155">
          <cell r="A155">
            <v>2000</v>
          </cell>
          <cell r="B155" t="str">
            <v>ja</v>
          </cell>
          <cell r="C155" t="str">
            <v>赤パネル出現率UP</v>
          </cell>
          <cell r="D155" t="str">
            <v>自身が先頭の時、赤パネルの出現率UP</v>
          </cell>
        </row>
        <row r="156">
          <cell r="A156">
            <v>2100</v>
          </cell>
          <cell r="B156" t="str">
            <v>ja</v>
          </cell>
          <cell r="C156" t="str">
            <v>緑パネル出現率UP</v>
          </cell>
          <cell r="D156" t="str">
            <v>自身が先頭の時、緑パネルの出現率UP</v>
          </cell>
        </row>
        <row r="157">
          <cell r="A157">
            <v>2200</v>
          </cell>
          <cell r="B157" t="str">
            <v>ja</v>
          </cell>
          <cell r="C157" t="str">
            <v>青パネル出現率UP</v>
          </cell>
          <cell r="D157" t="str">
            <v>自身が先頭の時、青パネルの出現率UP</v>
          </cell>
        </row>
        <row r="158">
          <cell r="A158">
            <v>2300</v>
          </cell>
          <cell r="B158" t="str">
            <v>ja</v>
          </cell>
          <cell r="C158" t="str">
            <v>黄パネル出現率UP</v>
          </cell>
          <cell r="D158" t="str">
            <v>自身が先頭の時、黄パネルの出現率UP</v>
          </cell>
        </row>
        <row r="159">
          <cell r="A159">
            <v>2400</v>
          </cell>
          <cell r="B159" t="str">
            <v>ja</v>
          </cell>
          <cell r="C159" t="str">
            <v>ハートボムパネルドロップ</v>
          </cell>
          <cell r="D159" t="str">
            <v>自身が先頭の時、ハートパネルを確率でハートボムパネルに変換しドロップ</v>
          </cell>
        </row>
        <row r="160">
          <cell r="A160">
            <v>2500</v>
          </cell>
          <cell r="B160" t="str">
            <v>ja</v>
          </cell>
          <cell r="C160" t="str">
            <v>青パネルドロップ</v>
          </cell>
          <cell r="D160" t="str">
            <v>自身が先頭の時、緑パネルを確率で青パネルに変換しドロップ</v>
          </cell>
        </row>
        <row r="161">
          <cell r="A161">
            <v>2501</v>
          </cell>
          <cell r="B161" t="str">
            <v>ja</v>
          </cell>
          <cell r="C161" t="str">
            <v>黄パネルドロップ</v>
          </cell>
          <cell r="D161" t="str">
            <v>自身が先頭の時、青パネルを確率で黄パネルに変換しドロップ</v>
          </cell>
        </row>
        <row r="162">
          <cell r="A162">
            <v>2502</v>
          </cell>
          <cell r="B162" t="str">
            <v>ja</v>
          </cell>
          <cell r="C162" t="str">
            <v>赤パネルドロップ</v>
          </cell>
          <cell r="D162" t="str">
            <v>自身が先頭の時、黄パネルを確率で赤パネルに変換しドロップ</v>
          </cell>
        </row>
        <row r="163">
          <cell r="A163">
            <v>2503</v>
          </cell>
          <cell r="B163" t="str">
            <v>ja</v>
          </cell>
          <cell r="C163" t="str">
            <v>黄パネルドロップ</v>
          </cell>
          <cell r="D163" t="str">
            <v>自身が先頭の時、赤パネルを確率で黄パネルに変換しドロップ</v>
          </cell>
        </row>
        <row r="164">
          <cell r="A164">
            <v>2504</v>
          </cell>
          <cell r="B164" t="str">
            <v>ja</v>
          </cell>
          <cell r="C164" t="str">
            <v>SCパネルドロップ</v>
          </cell>
          <cell r="D164" t="str">
            <v>自身が先頭の時、緑パネルを確率でSCパネルに変換しドロップ</v>
          </cell>
        </row>
        <row r="165">
          <cell r="A165">
            <v>2600</v>
          </cell>
          <cell r="B165" t="str">
            <v>ja</v>
          </cell>
          <cell r="C165" t="str">
            <v>回復力400UP</v>
          </cell>
          <cell r="D165" t="str">
            <v>自身の回復力を400UP</v>
          </cell>
        </row>
        <row r="166">
          <cell r="A166">
            <v>2601</v>
          </cell>
          <cell r="B166" t="str">
            <v>ja</v>
          </cell>
          <cell r="C166" t="str">
            <v>回復力300UP</v>
          </cell>
          <cell r="D166" t="str">
            <v>自身の回復力を300UP</v>
          </cell>
        </row>
        <row r="167">
          <cell r="A167">
            <v>2700</v>
          </cell>
          <cell r="B167" t="str">
            <v>ja</v>
          </cell>
          <cell r="C167" t="str">
            <v>攻撃力UP</v>
          </cell>
          <cell r="D167" t="str">
            <v>自身の攻撃力を300UP</v>
          </cell>
        </row>
        <row r="168">
          <cell r="A168">
            <v>2800</v>
          </cell>
          <cell r="B168" t="str">
            <v>ja</v>
          </cell>
          <cell r="C168" t="str">
            <v>防御力UP</v>
          </cell>
          <cell r="D168" t="str">
            <v>自身の防御力を250UP</v>
          </cell>
        </row>
        <row r="169">
          <cell r="A169">
            <v>2801</v>
          </cell>
          <cell r="B169" t="str">
            <v>ja</v>
          </cell>
          <cell r="C169" t="str">
            <v>防御力UP</v>
          </cell>
          <cell r="D169" t="str">
            <v>自身の防御力を350UP</v>
          </cell>
        </row>
        <row r="170">
          <cell r="A170">
            <v>2900</v>
          </cell>
          <cell r="B170" t="str">
            <v>ja</v>
          </cell>
          <cell r="C170" t="str">
            <v>フィーバー50 攻撃力小UP</v>
          </cell>
          <cell r="D170" t="str">
            <v>フィーバーゲージが50％以上の時、自身の攻撃力小UP</v>
          </cell>
        </row>
        <row r="171">
          <cell r="A171">
            <v>119402</v>
          </cell>
          <cell r="B171" t="str">
            <v>ja</v>
          </cell>
          <cell r="C171" t="str">
            <v>ハロウィンナイトパニック！ 威力UP</v>
          </cell>
          <cell r="D171" t="str">
            <v>ハロウィンナイトパニック！内で自身の全ての攻撃の威力を究極UP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18" sqref="C1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328</v>
      </c>
      <c r="B2" s="105" t="s">
        <v>129</v>
      </c>
      <c r="C2" s="162" t="s">
        <v>329</v>
      </c>
      <c r="D2" s="105" t="s">
        <v>128</v>
      </c>
      <c r="E2" s="104" t="str">
        <f>B2&amp;C2&amp;D2</f>
        <v>units_fes5sg01.tmp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5" t="s">
        <v>377</v>
      </c>
      <c r="S2" s="105"/>
      <c r="T2" s="105"/>
      <c r="U2" s="105"/>
      <c r="V2" s="105"/>
      <c r="W2" s="105"/>
    </row>
    <row r="3" spans="1:29" x14ac:dyDescent="0.15">
      <c r="A3" s="105" t="s">
        <v>328</v>
      </c>
      <c r="B3" s="105" t="s">
        <v>295</v>
      </c>
      <c r="C3" s="162" t="s">
        <v>329</v>
      </c>
      <c r="D3" s="105" t="s">
        <v>128</v>
      </c>
      <c r="E3" s="104" t="str">
        <f>B3&amp;C3&amp;D3</f>
        <v>fork_awake_units_fes5sg01.tmp</v>
      </c>
      <c r="F3" s="105" t="s">
        <v>296</v>
      </c>
      <c r="G3" s="59" t="s">
        <v>17</v>
      </c>
      <c r="H3" s="60" t="s">
        <v>297</v>
      </c>
      <c r="I3" s="60" t="s">
        <v>298</v>
      </c>
      <c r="J3" s="60" t="s">
        <v>299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328</v>
      </c>
      <c r="B4" s="105" t="s">
        <v>130</v>
      </c>
      <c r="C4" s="162" t="s">
        <v>329</v>
      </c>
      <c r="D4" s="105" t="s">
        <v>128</v>
      </c>
      <c r="E4" s="104" t="str">
        <f>B4&amp;C4&amp;D4</f>
        <v>awake_materials_fes5sg01.tmp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328</v>
      </c>
      <c r="B5" s="105" t="s">
        <v>294</v>
      </c>
      <c r="C5" s="162" t="s">
        <v>329</v>
      </c>
      <c r="D5" s="105" t="s">
        <v>128</v>
      </c>
      <c r="E5" s="104" t="str">
        <f>B5&amp;C5&amp;D5</f>
        <v>fork_awake_materials_fes5sg01.tmp</v>
      </c>
      <c r="F5" s="105" t="s">
        <v>123</v>
      </c>
      <c r="G5" s="181" t="s">
        <v>300</v>
      </c>
      <c r="H5" s="181" t="s">
        <v>301</v>
      </c>
      <c r="I5" s="181" t="s">
        <v>36</v>
      </c>
      <c r="J5" s="181" t="s">
        <v>37</v>
      </c>
      <c r="K5" s="181" t="s">
        <v>302</v>
      </c>
      <c r="L5" s="181" t="s">
        <v>303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328</v>
      </c>
      <c r="B6" s="105" t="s">
        <v>131</v>
      </c>
      <c r="C6" s="162" t="s">
        <v>329</v>
      </c>
      <c r="D6" s="105" t="s">
        <v>132</v>
      </c>
      <c r="E6" s="104" t="str">
        <f t="shared" ref="E6" si="0">B6&amp;C6&amp;D6</f>
        <v>unit_levels_calc_fes5sg01.tmp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328</v>
      </c>
      <c r="B7" s="105" t="s">
        <v>143</v>
      </c>
      <c r="C7" s="162" t="s">
        <v>329</v>
      </c>
      <c r="D7" s="105" t="s">
        <v>144</v>
      </c>
      <c r="E7" s="104" t="str">
        <f>B7&amp;C7&amp;D7</f>
        <v>unit_skills_data_fes5sg01.tmp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328</v>
      </c>
      <c r="B8" s="105" t="s">
        <v>149</v>
      </c>
      <c r="C8" s="162" t="s">
        <v>329</v>
      </c>
      <c r="D8" s="105" t="s">
        <v>128</v>
      </c>
      <c r="E8" s="104" t="str">
        <f>B8&amp;C8&amp;D8</f>
        <v>unit_skills_i18n_fes5sg01.tmp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328</v>
      </c>
      <c r="B9" s="105" t="s">
        <v>153</v>
      </c>
      <c r="C9" s="162" t="s">
        <v>329</v>
      </c>
      <c r="D9" s="105" t="s">
        <v>154</v>
      </c>
      <c r="E9" s="104" t="str">
        <f>B9&amp;C9&amp;D9</f>
        <v>crash_skills_data_fes5sg01.tmp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328</v>
      </c>
      <c r="B10" s="105" t="s">
        <v>157</v>
      </c>
      <c r="C10" s="162" t="s">
        <v>329</v>
      </c>
      <c r="D10" s="105" t="s">
        <v>158</v>
      </c>
      <c r="E10" s="104" t="str">
        <f t="shared" ref="E10" si="1">B10&amp;C10&amp;D10</f>
        <v>crash_skills_i18n_fes5sg01.tmp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328</v>
      </c>
      <c r="B11" s="108" t="s">
        <v>135</v>
      </c>
      <c r="C11" s="162" t="s">
        <v>329</v>
      </c>
      <c r="D11" s="105" t="s">
        <v>158</v>
      </c>
      <c r="E11" s="104" t="str">
        <f t="shared" ref="E11:E12" si="2">B11&amp;C11&amp;D11</f>
        <v>unit_serifs_data_fes5sg01.tmp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328</v>
      </c>
      <c r="B12" s="108" t="s">
        <v>136</v>
      </c>
      <c r="C12" s="162" t="s">
        <v>329</v>
      </c>
      <c r="D12" s="105" t="s">
        <v>158</v>
      </c>
      <c r="E12" s="104" t="str">
        <f t="shared" si="2"/>
        <v>unit_serifs_i18n_fes5sg01.tmp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254</v>
      </c>
      <c r="C13" s="162" t="s">
        <v>329</v>
      </c>
      <c r="D13" s="105" t="s">
        <v>255</v>
      </c>
      <c r="E13" s="104" t="str">
        <f>B13&amp;C13&amp;D13</f>
        <v>abilities_fes5sg01.tmp</v>
      </c>
      <c r="F13" s="105" t="s">
        <v>256</v>
      </c>
      <c r="G13" s="163" t="s">
        <v>257</v>
      </c>
      <c r="H13" s="163" t="s">
        <v>258</v>
      </c>
      <c r="I13" s="163" t="s">
        <v>259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260</v>
      </c>
      <c r="C14" s="162" t="s">
        <v>329</v>
      </c>
      <c r="D14" s="105" t="s">
        <v>128</v>
      </c>
      <c r="E14" s="104" t="str">
        <f>B14&amp;C14&amp;D14</f>
        <v>abilities_i18n_fes5sg01.tmp</v>
      </c>
      <c r="F14" s="105" t="s">
        <v>261</v>
      </c>
      <c r="G14" s="163" t="s">
        <v>257</v>
      </c>
      <c r="H14" s="163" t="s">
        <v>141</v>
      </c>
      <c r="I14" s="163" t="s">
        <v>262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328</v>
      </c>
      <c r="B15" s="105" t="s">
        <v>263</v>
      </c>
      <c r="C15" s="162" t="s">
        <v>329</v>
      </c>
      <c r="D15" s="105" t="s">
        <v>128</v>
      </c>
      <c r="E15" s="104" t="str">
        <f>B15&amp;C15&amp;D15</f>
        <v>unit_abilities_fes5sg01.tmp</v>
      </c>
      <c r="F15" s="105" t="s">
        <v>264</v>
      </c>
      <c r="G15" s="163" t="s">
        <v>138</v>
      </c>
      <c r="H15" s="165" t="s">
        <v>265</v>
      </c>
      <c r="I15" s="165" t="s">
        <v>266</v>
      </c>
      <c r="J15" s="166" t="s">
        <v>267</v>
      </c>
      <c r="K15" s="163" t="s">
        <v>268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9"/>
  <sheetViews>
    <sheetView showGridLines="0" workbookViewId="0">
      <pane xSplit="9" ySplit="1" topLeftCell="AU2" activePane="bottomRight" state="frozen"/>
      <selection pane="topRight" activeCell="J1" sqref="J1"/>
      <selection pane="bottomLeft" activeCell="A3" sqref="A3"/>
      <selection pane="bottomRight" activeCell="AW11" sqref="AW11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378</v>
      </c>
    </row>
    <row r="2" spans="1:70" ht="26" customHeight="1" x14ac:dyDescent="0.15">
      <c r="A2" s="186">
        <v>1159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ガロア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1160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拡命の大群論 ガロア</v>
      </c>
      <c r="AG2" s="187">
        <v>1159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ガロア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1159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剣論カテゴライズ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ランダムでSCパネルを2個生成(威力大)+1ターン全ユニットのCパネル生成短縮(効果特大)、青パネルが出現しない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1159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追命のソルヴェイブル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0.99</v>
      </c>
      <c r="AZ2" s="64">
        <v>1.1000000000000001</v>
      </c>
      <c r="BA2" s="64">
        <v>0</v>
      </c>
      <c r="BB2" s="64">
        <v>0.91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t="shared" ref="BE2:BE9" ca="1" si="3">ROUND(IFERROR(INDIRECT(ADDRESS(MATCH($A2,$AE:$AE,0),MATCH($BC$1,$1:$1,0))),0),0)</f>
        <v>0</v>
      </c>
      <c r="BF2" s="10">
        <f t="shared" ref="BF2:BF9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2525</v>
      </c>
      <c r="BH2" s="15">
        <f ca="1">IF($BE2&lt;=0,ROUND(BL2*0.5,0), ROUND($BE2*T2*AB2*K2*AZ2*0.8*[1]ステータス!$C$2,0))</f>
        <v>2151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762</v>
      </c>
      <c r="BK2" s="10">
        <f ca="1">ROUND(BD2*S2*AA2*J2*AY2*[1]ステータス!$B$2,0)</f>
        <v>5049</v>
      </c>
      <c r="BL2" s="10">
        <f ca="1">ROUND(BD2*T2*AB2*K2*AZ2*[1]ステータス!$C$2,0)</f>
        <v>4301</v>
      </c>
      <c r="BM2" s="10">
        <f ca="1">ROUND(BD2*U2*AC2*L2*BA2*[1]ステータス!$D$2,0)</f>
        <v>0</v>
      </c>
      <c r="BN2" s="10">
        <f ca="1">ROUND(BD2*V2*AD2*M2*BB2*[1]ステータス!$E$2,0)</f>
        <v>1524</v>
      </c>
      <c r="BO2" s="9">
        <v>0</v>
      </c>
      <c r="BP2" s="9">
        <v>1</v>
      </c>
      <c r="BQ2" s="36" t="s">
        <v>47</v>
      </c>
      <c r="BR2" s="9">
        <f ca="1">VLOOKUP(H2,ghosts_label!$A$2:$B$19,2,FALSE)</f>
        <v>30000</v>
      </c>
    </row>
    <row r="3" spans="1:70" ht="26" customHeight="1" x14ac:dyDescent="0.15">
      <c r="A3" s="186">
        <v>1160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拡命の大群論 ガロア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0">
        <f ca="1">VLOOKUP(Q3,[1]character_type_i18n!$A:$H,4,FALSE)</f>
        <v>1</v>
      </c>
      <c r="T3" s="10">
        <f ca="1">VLOOKUP(Q3,[1]character_type_i18n!$A:$H,5,FALSE)</f>
        <v>1.33</v>
      </c>
      <c r="U3" s="10">
        <f ca="1">VLOOKUP(Q3,[1]character_type_i18n!$A:$H,6,FALSE)</f>
        <v>1</v>
      </c>
      <c r="V3" s="10">
        <f ca="1">VLOOKUP(Q3,[1]character_type_i18n!$A:$H,7,FALSE)</f>
        <v>0.67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1159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ガロア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1160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射剣論セオライズ・ストライク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ランダムでSCパネルを2個生成(威力大)+2ターン全ユニットのCパネル生成短縮(効果特大)、青パネルが出現しない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1160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剥命のソルヴェイブルグルゥプ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1体に特大ダメージ+_x000D_1ターン緑属性の攻撃力UP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0.99</v>
      </c>
      <c r="AZ3" s="64">
        <v>1.1000000000000001</v>
      </c>
      <c r="BA3" s="64">
        <v>0</v>
      </c>
      <c r="BB3" s="64">
        <v>0.91</v>
      </c>
      <c r="BC3" s="10">
        <f ca="1">INDEX('RC6SV'!$A$1:$G$21,MATCH(H3,'RC6SV'!$A$1:$A$21,FALSE),MATCH(G3,'RC6SV'!$A$1:$G$1,FALSE))</f>
        <v>14000</v>
      </c>
      <c r="BD3" s="44">
        <f t="shared" ref="BD3:BD4" ca="1" si="6">ROUND(BC3*IF(AJ3=1,0.95,IF(AJ3=2,1,IF(AJ3,1.05,0))),0)</f>
        <v>14000</v>
      </c>
      <c r="BE3" s="10">
        <f t="shared" ca="1" si="3"/>
        <v>10000</v>
      </c>
      <c r="BF3" s="10">
        <f t="shared" ca="1" si="4"/>
        <v>1</v>
      </c>
      <c r="BG3" s="15">
        <f ca="1">IF($BE3&lt;=0,ROUND(BK3*0.5,0), ROUND($BE3*S3*AA3*J3*AY3*0.8*[1]ステータス!$B$2,0))</f>
        <v>4039</v>
      </c>
      <c r="BH3" s="15">
        <f ca="1">IF($BE3&lt;=0,ROUND(BL3*0.5,0), ROUND($BE3*T3*AB3*K3*AZ3*0.8*[1]ステータス!$C$2,0))</f>
        <v>3441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1219</v>
      </c>
      <c r="BK3" s="10">
        <f ca="1">ROUND(BD3*S3*AA3*J3*AY3*[1]ステータス!$B$2,0)</f>
        <v>7069</v>
      </c>
      <c r="BL3" s="10">
        <f ca="1">ROUND(BD3*T3*AB3*K3*AZ3*[1]ステータス!$C$2,0)</f>
        <v>6022</v>
      </c>
      <c r="BM3" s="10">
        <f ca="1">ROUND(BD3*U3*AC3*L3*BA3*[1]ステータス!$D$2,0)</f>
        <v>0</v>
      </c>
      <c r="BN3" s="10">
        <f ca="1">ROUND(BD3*V3*AD3*M3*BB3*[1]ステータス!$E$2,0)</f>
        <v>2134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30000</v>
      </c>
    </row>
    <row r="4" spans="1:70" ht="26" customHeight="1" x14ac:dyDescent="0.15">
      <c r="A4" s="186">
        <v>1365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バリアテスト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0">
        <f ca="1">VLOOKUP(I4,[1]属性!$A:$E,2,FALSE)</f>
        <v>1.02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</v>
      </c>
      <c r="N4" s="10">
        <f ca="1">INDEX(コスト!$A$1:$I$21,MATCH(H4,コスト!$A$1:$A$21,FALSE),MATCH(G4,コスト!$A$1:$I$1,FALSE))</f>
        <v>40</v>
      </c>
      <c r="O4" s="10">
        <f ca="1">INDEX(レベル!$A$1:$I$22,MATCH(H4,レベル!$A$1:$A$22,FALSE),MATCH(G4,レベル!$A$1:$I$1,FALSE))</f>
        <v>80</v>
      </c>
      <c r="P4" s="44">
        <f t="shared" ref="P4:P5" ca="1" si="7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0">
        <f ca="1">VLOOKUP(Q4,[1]character_type_i18n!$A:$H,4,FALSE)</f>
        <v>1</v>
      </c>
      <c r="T4" s="10">
        <f ca="1">VLOOKUP(Q4,[1]character_type_i18n!$A:$H,5,FALSE)</f>
        <v>1.33</v>
      </c>
      <c r="U4" s="10">
        <f ca="1">VLOOKUP(Q4,[1]character_type_i18n!$A:$H,6,FALSE)</f>
        <v>1</v>
      </c>
      <c r="V4" s="10">
        <f ca="1">VLOOKUP(Q4,[1]character_type_i18n!$A:$H,7,FALSE)</f>
        <v>0.67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academia</v>
      </c>
      <c r="X4" s="5" t="str">
        <f ca="1">VLOOKUP(W4,[1]character_tribe_i18n!$A:$H,3,FALSE)</f>
        <v>アカデミア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7">
        <v>1366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バリアテスト</v>
      </c>
      <c r="AG4" s="187">
        <v>1365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バリアテスト</v>
      </c>
      <c r="AI4" s="10">
        <f ca="1">IF(AE4="NULL","NULL",VLOOKUP(G4,ビット!$A$2:$B$7,2))</f>
        <v>200000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1365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ガロアスキル1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パネルをランダムで2つSCパネル(威力大)に変換＋2ターン緑属性の攻撃力特大アップ(青パネルを吸収して効果超大)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1365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ガロアCスキル1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1体に超大ダメージ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0.99</v>
      </c>
      <c r="AZ4" s="64">
        <v>1.1000000000000001</v>
      </c>
      <c r="BA4" s="64">
        <v>0</v>
      </c>
      <c r="BB4" s="64">
        <v>0.91</v>
      </c>
      <c r="BC4" s="10">
        <f ca="1">INDEX('RC6SV'!$A$1:$G$21,MATCH(H4,'RC6SV'!$A$1:$A$21,FALSE),MATCH(G4,'RC6SV'!$A$1:$G$1,FALSE))</f>
        <v>10000</v>
      </c>
      <c r="BD4" s="44">
        <f t="shared" ca="1" si="6"/>
        <v>10000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2525</v>
      </c>
      <c r="BH4" s="15">
        <f ca="1">IF($BE4&lt;=0,ROUND(BL4*0.5,0), ROUND($BE4*T4*AB4*K4*AZ4*0.8*[1]ステータス!$C$2,0))</f>
        <v>2151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762</v>
      </c>
      <c r="BK4" s="10">
        <f ca="1">ROUND(BD4*S4*AA4*J4*AY4*[1]ステータス!$B$2,0)</f>
        <v>5049</v>
      </c>
      <c r="BL4" s="10">
        <f ca="1">ROUND(BD4*T4*AB4*K4*AZ4*[1]ステータス!$C$2,0)</f>
        <v>4301</v>
      </c>
      <c r="BM4" s="10">
        <f ca="1">ROUND(BD4*U4*AC4*L4*BA4*[1]ステータス!$D$2,0)</f>
        <v>0</v>
      </c>
      <c r="BN4" s="10">
        <f ca="1">ROUND(BD4*V4*AD4*M4*BB4*[1]ステータス!$E$2,0)</f>
        <v>1524</v>
      </c>
      <c r="BO4" s="9">
        <v>0</v>
      </c>
      <c r="BP4" s="9">
        <v>1</v>
      </c>
      <c r="BQ4" s="36" t="s">
        <v>47</v>
      </c>
      <c r="BR4" s="9">
        <f ca="1">VLOOKUP(H4,ghosts_label!$A$2:$B$19,2,FALSE)</f>
        <v>30000</v>
      </c>
    </row>
    <row r="5" spans="1:70" ht="26" customHeight="1" x14ac:dyDescent="0.15">
      <c r="A5" s="186">
        <v>1366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バリアテスト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0">
        <f ca="1">VLOOKUP(I5,[1]属性!$A:$E,2,FALSE)</f>
        <v>1.02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</v>
      </c>
      <c r="N5" s="10">
        <f ca="1">INDEX(コスト!$A$1:$I$21,MATCH(H5,コスト!$A$1:$A$21,FALSE),MATCH(G5,コスト!$A$1:$I$1,FALSE))</f>
        <v>55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0">
        <f ca="1">VLOOKUP(Q5,[1]character_type_i18n!$A:$H,4,FALSE)</f>
        <v>1</v>
      </c>
      <c r="T5" s="10">
        <f ca="1">VLOOKUP(Q5,[1]character_type_i18n!$A:$H,5,FALSE)</f>
        <v>1.33</v>
      </c>
      <c r="U5" s="10">
        <f ca="1">VLOOKUP(Q5,[1]character_type_i18n!$A:$H,6,FALSE)</f>
        <v>1</v>
      </c>
      <c r="V5" s="10">
        <f ca="1">VLOOKUP(Q5,[1]character_type_i18n!$A:$H,7,FALSE)</f>
        <v>0.67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academia</v>
      </c>
      <c r="X5" s="5" t="str">
        <f ca="1">VLOOKUP(W5,[1]character_tribe_i18n!$A:$H,3,FALSE)</f>
        <v>アカデミア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1365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バリアテスト</v>
      </c>
      <c r="AI5" s="10" t="str">
        <f>IF(AE5="NULL","NULL",VLOOKUP(G5,ビット!$A$2:$B$7,2))</f>
        <v>NULL</v>
      </c>
      <c r="AJ5" s="6">
        <v>2</v>
      </c>
      <c r="AK5" s="7" t="str">
        <f t="shared" ref="AK5:AK6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required_exp_300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1366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ガロアスキル2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パネルをランダムで2つSCパネル(威力大)に変換＋2ターン緑属性の攻撃力UP(青パネルを吸収して効果UP)、青パネルが出現しない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1366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ガロアCスキル2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1体に超大ダメージ＋1ターン緑属性の攻撃力UP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0.99</v>
      </c>
      <c r="AZ5" s="64">
        <v>1.1000000000000001</v>
      </c>
      <c r="BA5" s="64">
        <v>0</v>
      </c>
      <c r="BB5" s="64">
        <v>0.91</v>
      </c>
      <c r="BC5" s="10">
        <f ca="1">INDEX('RC6SV'!$A$1:$G$21,MATCH(H5,'RC6SV'!$A$1:$A$21,FALSE),MATCH(G5,'RC6SV'!$A$1:$G$1,FALSE))</f>
        <v>14000</v>
      </c>
      <c r="BD5" s="44">
        <f t="shared" ref="BD5:BD6" ca="1" si="9">ROUND(BC5*IF(AJ5=1,0.95,IF(AJ5=2,1,IF(AJ5,1.05,0))),0)</f>
        <v>14000</v>
      </c>
      <c r="BE5" s="10">
        <f t="shared" ca="1" si="3"/>
        <v>10000</v>
      </c>
      <c r="BF5" s="10">
        <f t="shared" ca="1" si="4"/>
        <v>1</v>
      </c>
      <c r="BG5" s="15">
        <f ca="1">IF($BE5&lt;=0,ROUND(BK5*0.5,0), ROUND($BE5*S5*AA5*J5*AY5*0.8*[1]ステータス!$B$2,0))</f>
        <v>4039</v>
      </c>
      <c r="BH5" s="15">
        <f ca="1">IF($BE5&lt;=0,ROUND(BL5*0.5,0), ROUND($BE5*T5*AB5*K5*AZ5*0.8*[1]ステータス!$C$2,0))</f>
        <v>3441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1219</v>
      </c>
      <c r="BK5" s="10">
        <f ca="1">ROUND(BD5*S5*AA5*J5*AY5*[1]ステータス!$B$2,0)</f>
        <v>7069</v>
      </c>
      <c r="BL5" s="10">
        <f ca="1">ROUND(BD5*T5*AB5*K5*AZ5*[1]ステータス!$C$2,0)</f>
        <v>6022</v>
      </c>
      <c r="BM5" s="10">
        <f ca="1">ROUND(BD5*U5*AC5*L5*BA5*[1]ステータス!$D$2,0)</f>
        <v>0</v>
      </c>
      <c r="BN5" s="10">
        <f ca="1">ROUND(BD5*V5*AD5*M5*BB5*[1]ステータス!$E$2,0)</f>
        <v>2134</v>
      </c>
      <c r="BO5" s="9">
        <v>0</v>
      </c>
      <c r="BP5" s="9">
        <v>1</v>
      </c>
      <c r="BQ5" s="9" t="s">
        <v>47</v>
      </c>
      <c r="BR5" s="9">
        <f ca="1">VLOOKUP(H5,ghosts_label!$A$2:$B$19,2,FALSE)</f>
        <v>30000</v>
      </c>
    </row>
    <row r="6" spans="1:70" ht="26" customHeight="1" x14ac:dyDescent="0.15">
      <c r="A6" s="186">
        <v>1367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ベルヌーイ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0">
        <f ca="1">VLOOKUP(I6,[1]属性!$A:$E,2,FALSE)</f>
        <v>1</v>
      </c>
      <c r="K6" s="10">
        <f ca="1">VLOOKUP(I6,[1]属性!$A:$E,3,FALSE)</f>
        <v>0.98</v>
      </c>
      <c r="L6" s="10">
        <f ca="1">VLOOKUP(I6,[1]属性!$A:$E,4,FALSE)</f>
        <v>1</v>
      </c>
      <c r="M6" s="10">
        <f ca="1">VLOOKUP(I6,[1]属性!$A:$E,5,FALSE)</f>
        <v>1.02</v>
      </c>
      <c r="N6" s="10">
        <f ca="1">INDEX(コスト!$A$1:$I$21,MATCH(H6,コスト!$A$1:$A$21,FALSE),MATCH(G6,コスト!$A$1:$I$1,FALSE))</f>
        <v>40</v>
      </c>
      <c r="O6" s="10">
        <f ca="1">INDEX(レベル!$A$1:$I$22,MATCH(H6,レベル!$A$1:$A$22,FALSE),MATCH(G6,レベル!$A$1:$I$1,FALSE))</f>
        <v>80</v>
      </c>
      <c r="P6" s="44">
        <f t="shared" ref="P6:P7" ca="1" si="10">IF(G6 &gt;= 6, 99,G6*15)</f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0">
        <f ca="1">VLOOKUP(Q6,[1]character_type_i18n!$A:$H,4,FALSE)</f>
        <v>1</v>
      </c>
      <c r="T6" s="10">
        <f ca="1">VLOOKUP(Q6,[1]character_type_i18n!$A:$H,5,FALSE)</f>
        <v>1.33</v>
      </c>
      <c r="U6" s="10">
        <f ca="1">VLOOKUP(Q6,[1]character_type_i18n!$A:$H,6,FALSE)</f>
        <v>1</v>
      </c>
      <c r="V6" s="10">
        <f ca="1">VLOOKUP(Q6,[1]character_type_i18n!$A:$H,7,FALSE)</f>
        <v>0.67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academia</v>
      </c>
      <c r="X6" s="5" t="str">
        <f ca="1">VLOOKUP(W6,[1]character_tribe_i18n!$A:$H,3,FALSE)</f>
        <v>アカデミア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human</v>
      </c>
      <c r="Z6" s="5" t="str">
        <f ca="1">VLOOKUP(Y6,[1]character_tribe_i18n!$A:$H,3,FALSE)</f>
        <v>ヒューマン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87">
        <v>1368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憤流する水鳴砲 ベルヌーイ</v>
      </c>
      <c r="AG6" s="187">
        <v>1367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ベルヌーイ</v>
      </c>
      <c r="AI6" s="10">
        <f ca="1">IF(AE6="NULL","NULL",VLOOKUP(G6,ビット!$A$2:$B$7,2))</f>
        <v>200000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required_exp_250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1367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ラ･メール･トゥールビヨン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ランダムでパネルを4つSCパネルに変換+1ターン青属性ユニットの防御力を超大UPし、タップ回数を2増やす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1367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砲程･バロトロピック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0.96</v>
      </c>
      <c r="AZ6" s="64">
        <v>0.92</v>
      </c>
      <c r="BA6" s="64">
        <v>0</v>
      </c>
      <c r="BB6" s="64">
        <v>1.3</v>
      </c>
      <c r="BC6" s="10">
        <f ca="1">INDEX('RC6SV'!$A$1:$G$21,MATCH(H6,'RC6SV'!$A$1:$A$21,FALSE),MATCH(G6,'RC6SV'!$A$1:$G$1,FALSE))</f>
        <v>10000</v>
      </c>
      <c r="BD6" s="44">
        <f t="shared" ca="1" si="9"/>
        <v>10000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2400</v>
      </c>
      <c r="BH6" s="15">
        <f ca="1">IF($BE6&lt;=0,ROUND(BL6*0.5,0), ROUND($BE6*T6*AB6*K6*AZ6*0.8*[1]ステータス!$C$2,0))</f>
        <v>1799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1111</v>
      </c>
      <c r="BK6" s="10">
        <f ca="1">ROUND(BD6*S6*AA6*J6*AY6*[1]ステータス!$B$2,0)</f>
        <v>4800</v>
      </c>
      <c r="BL6" s="10">
        <f ca="1">ROUND(BD6*T6*AB6*K6*AZ6*[1]ステータス!$C$2,0)</f>
        <v>3597</v>
      </c>
      <c r="BM6" s="10">
        <f ca="1">ROUND(BD6*U6*AC6*L6*BA6*[1]ステータス!$D$2,0)</f>
        <v>0</v>
      </c>
      <c r="BN6" s="10">
        <f ca="1">ROUND(BD6*V6*AD6*M6*BB6*[1]ステータス!$E$2,0)</f>
        <v>2221</v>
      </c>
      <c r="BO6" s="9">
        <v>0</v>
      </c>
      <c r="BP6" s="9">
        <v>1</v>
      </c>
      <c r="BQ6" s="36" t="s">
        <v>47</v>
      </c>
      <c r="BR6" s="9">
        <f ca="1">VLOOKUP(H6,ghosts_label!$A$2:$B$19,2,FALSE)</f>
        <v>30000</v>
      </c>
    </row>
    <row r="7" spans="1:70" ht="26" customHeight="1" x14ac:dyDescent="0.15">
      <c r="A7" s="186">
        <v>1368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憤流する水鳴砲 ベルヌーイ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0">
        <f ca="1">VLOOKUP(I7,[1]属性!$A:$E,2,FALSE)</f>
        <v>1</v>
      </c>
      <c r="K7" s="10">
        <f ca="1">VLOOKUP(I7,[1]属性!$A:$E,3,FALSE)</f>
        <v>0.98</v>
      </c>
      <c r="L7" s="10">
        <f ca="1">VLOOKUP(I7,[1]属性!$A:$E,4,FALSE)</f>
        <v>1</v>
      </c>
      <c r="M7" s="10">
        <f ca="1">VLOOKUP(I7,[1]属性!$A:$E,5,FALSE)</f>
        <v>1.02</v>
      </c>
      <c r="N7" s="10">
        <f ca="1">INDEX(コスト!$A$1:$I$21,MATCH(H7,コスト!$A$1:$A$21,FALSE),MATCH(G7,コスト!$A$1:$I$1,FALSE))</f>
        <v>55</v>
      </c>
      <c r="O7" s="10">
        <f ca="1">INDEX(レベル!$A$1:$I$22,MATCH(H7,レベル!$A$1:$A$22,FALSE),MATCH(G7,レベル!$A$1:$I$1,FALSE))</f>
        <v>99</v>
      </c>
      <c r="P7" s="44">
        <f t="shared" ca="1" si="10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0">
        <f ca="1">VLOOKUP(Q7,[1]character_type_i18n!$A:$H,4,FALSE)</f>
        <v>1</v>
      </c>
      <c r="T7" s="10">
        <f ca="1">VLOOKUP(Q7,[1]character_type_i18n!$A:$H,5,FALSE)</f>
        <v>1.33</v>
      </c>
      <c r="U7" s="10">
        <f ca="1">VLOOKUP(Q7,[1]character_type_i18n!$A:$H,6,FALSE)</f>
        <v>1</v>
      </c>
      <c r="V7" s="10">
        <f ca="1">VLOOKUP(Q7,[1]character_type_i18n!$A:$H,7,FALSE)</f>
        <v>0.67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academia</v>
      </c>
      <c r="X7" s="5" t="str">
        <f ca="1">VLOOKUP(W7,[1]character_tribe_i18n!$A:$H,3,FALSE)</f>
        <v>アカデミア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human</v>
      </c>
      <c r="Z7" s="5" t="str">
        <f ca="1">VLOOKUP(Y7,[1]character_tribe_i18n!$A:$H,3,FALSE)</f>
        <v>ヒューマン</v>
      </c>
      <c r="AA7" s="10">
        <f ca="1">VLOOKUP(W7,[1]character_tribe_i18n!$A:$H,4,FALSE)</f>
        <v>1</v>
      </c>
      <c r="AB7" s="10">
        <f ca="1">VLOOKUP(W7,[1]character_tribe_i18n!$A:$H,5,FALSE)</f>
        <v>1</v>
      </c>
      <c r="AC7" s="10">
        <f ca="1">VLOOKUP(W7,[1]character_tribe_i18n!$A:$H,6,FALSE)</f>
        <v>1</v>
      </c>
      <c r="AD7" s="10">
        <f ca="1">VLOOKUP(W7,[1]character_tribe_i18n!$A:$H,7,FALSE)</f>
        <v>1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1367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ベルヌーイ</v>
      </c>
      <c r="AI7" s="10" t="str">
        <f>IF(AE7="NULL","NULL",VLOOKUP(G7,ビット!$A$2:$B$7,2))</f>
        <v>NULL</v>
      </c>
      <c r="AJ7" s="6">
        <v>2</v>
      </c>
      <c r="AK7" s="7" t="str">
        <f t="shared" ref="AK7:AK8" si="11">IF(AJ7=1,"早熟",IF(AJ7=2,"普通",IF(AJ7=3,"晩成","")))</f>
        <v>普通</v>
      </c>
      <c r="AL7" s="10" t="str">
        <f ca="1">INDEX(経験値!$A$1:$I$21,MATCH(H7,経験値!$A$1:$A$21,FALSE),MATCH(G7,経験値!$A$1:$I$1,FALSE))</f>
        <v>required_exp_300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1368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ラ･メール･マエルストロム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ランダムでパネルを6つSCパネルに変換+1ターン青属性ユニットの防御力を超大UPし、タップ回数を2増やす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1368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渦度砲程･バロトロピック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1体に超大ダメージ+_x000D_1ターン青属性の回復力UP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4">
        <v>0.96</v>
      </c>
      <c r="AZ7" s="64">
        <v>1.012</v>
      </c>
      <c r="BA7" s="64">
        <v>0</v>
      </c>
      <c r="BB7" s="64">
        <v>1.3</v>
      </c>
      <c r="BC7" s="10">
        <f ca="1">INDEX('RC6SV'!$A$1:$G$21,MATCH(H7,'RC6SV'!$A$1:$A$21,FALSE),MATCH(G7,'RC6SV'!$A$1:$G$1,FALSE))</f>
        <v>14000</v>
      </c>
      <c r="BD7" s="44">
        <f t="shared" ref="BD7:BD8" ca="1" si="12">ROUND(BC7*IF(AJ7=1,0.95,IF(AJ7=2,1,IF(AJ7,1.05,0))),0)</f>
        <v>14000</v>
      </c>
      <c r="BE7" s="10">
        <f t="shared" ca="1" si="3"/>
        <v>10000</v>
      </c>
      <c r="BF7" s="10">
        <f t="shared" ca="1" si="4"/>
        <v>1</v>
      </c>
      <c r="BG7" s="15">
        <f ca="1">IF($BE7&lt;=0,ROUND(BK7*0.5,0), ROUND($BE7*S7*AA7*J7*AY7*0.8*[1]ステータス!$B$2,0))</f>
        <v>3840</v>
      </c>
      <c r="BH7" s="15">
        <f ca="1">IF($BE7&lt;=0,ROUND(BL7*0.5,0), ROUND($BE7*T7*AB7*K7*AZ7*0.8*[1]ステータス!$C$2,0))</f>
        <v>3166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1777</v>
      </c>
      <c r="BK7" s="10">
        <f ca="1">ROUND(BD7*S7*AA7*J7*AY7*[1]ステータス!$B$2,0)</f>
        <v>6720</v>
      </c>
      <c r="BL7" s="10">
        <f ca="1">ROUND(BD7*T7*AB7*K7*AZ7*[1]ステータス!$C$2,0)</f>
        <v>5540</v>
      </c>
      <c r="BM7" s="10">
        <f ca="1">ROUND(BD7*U7*AC7*L7*BA7*[1]ステータス!$D$2,0)</f>
        <v>0</v>
      </c>
      <c r="BN7" s="10">
        <f ca="1">ROUND(BD7*V7*AD7*M7*BB7*[1]ステータス!$E$2,0)</f>
        <v>3109</v>
      </c>
      <c r="BO7" s="9">
        <v>0</v>
      </c>
      <c r="BP7" s="9">
        <v>1</v>
      </c>
      <c r="BQ7" s="9" t="s">
        <v>47</v>
      </c>
      <c r="BR7" s="9">
        <f ca="1">VLOOKUP(H7,ghosts_label!$A$2:$B$19,2,FALSE)</f>
        <v>30000</v>
      </c>
    </row>
    <row r="8" spans="1:70" ht="26" customHeight="1" x14ac:dyDescent="0.15">
      <c r="A8" s="186">
        <v>1234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ボーア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PremiumSSS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0">
        <f ca="1">VLOOKUP(I8,[1]属性!$A:$E,2,FALSE)</f>
        <v>1</v>
      </c>
      <c r="K8" s="10">
        <f ca="1">VLOOKUP(I8,[1]属性!$A:$E,3,FALSE)</f>
        <v>1.02</v>
      </c>
      <c r="L8" s="10">
        <f ca="1">VLOOKUP(I8,[1]属性!$A:$E,4,FALSE)</f>
        <v>1</v>
      </c>
      <c r="M8" s="10">
        <f ca="1">VLOOKUP(I8,[1]属性!$A:$E,5,FALSE)</f>
        <v>0.98</v>
      </c>
      <c r="N8" s="10">
        <f ca="1">INDEX(コスト!$A$1:$I$21,MATCH(H8,コスト!$A$1:$A$21,FALSE),MATCH(G8,コスト!$A$1:$I$1,FALSE))</f>
        <v>40</v>
      </c>
      <c r="O8" s="10">
        <f ca="1">INDEX(レベル!$A$1:$I$22,MATCH(H8,レベル!$A$1:$A$22,FALSE),MATCH(G8,レベル!$A$1:$I$1,FALSE))</f>
        <v>80</v>
      </c>
      <c r="P8" s="44">
        <f t="shared" ref="P8:P9" ca="1" si="13">IF(G8 &gt;= 6, 99,G8*15)</f>
        <v>75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0">
        <f ca="1">VLOOKUP(Q8,[1]character_type_i18n!$A:$H,4,FALSE)</f>
        <v>1</v>
      </c>
      <c r="T8" s="10">
        <f ca="1">VLOOKUP(Q8,[1]character_type_i18n!$A:$H,5,FALSE)</f>
        <v>1.33</v>
      </c>
      <c r="U8" s="10">
        <f ca="1">VLOOKUP(Q8,[1]character_type_i18n!$A:$H,6,FALSE)</f>
        <v>1</v>
      </c>
      <c r="V8" s="10">
        <f ca="1">VLOOKUP(Q8,[1]character_type_i18n!$A:$H,7,FALSE)</f>
        <v>0.67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academia</v>
      </c>
      <c r="X8" s="5" t="str">
        <f ca="1">VLOOKUP(W8,[1]character_tribe_i18n!$A:$H,3,FALSE)</f>
        <v>アカデミア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human</v>
      </c>
      <c r="Z8" s="5" t="str">
        <f ca="1">VLOOKUP(Y8,[1]character_tribe_i18n!$A:$H,3,FALSE)</f>
        <v>ヒューマン</v>
      </c>
      <c r="AA8" s="10">
        <f ca="1">VLOOKUP(W8,[1]character_tribe_i18n!$A:$H,4,FALSE)</f>
        <v>1</v>
      </c>
      <c r="AB8" s="10">
        <f ca="1">VLOOKUP(W8,[1]character_tribe_i18n!$A:$H,5,FALSE)</f>
        <v>1</v>
      </c>
      <c r="AC8" s="10">
        <f ca="1">VLOOKUP(W8,[1]character_tribe_i18n!$A:$H,6,FALSE)</f>
        <v>1</v>
      </c>
      <c r="AD8" s="10">
        <f ca="1">VLOOKUP(W8,[1]character_tribe_i18n!$A:$H,7,FALSE)</f>
        <v>1</v>
      </c>
      <c r="AE8" s="187">
        <v>1235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哲壁の育護者 ボーア</v>
      </c>
      <c r="AG8" s="187">
        <v>1234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ボーア</v>
      </c>
      <c r="AI8" s="10">
        <f ca="1">IF(AE8="NULL","NULL",VLOOKUP(G8,ビット!$A$2:$B$7,2))</f>
        <v>200000</v>
      </c>
      <c r="AJ8" s="6">
        <v>2</v>
      </c>
      <c r="AK8" s="7" t="str">
        <f t="shared" si="11"/>
        <v>普通</v>
      </c>
      <c r="AL8" s="10" t="str">
        <f ca="1">INDEX(経験値!$A$1:$I$21,MATCH(H8,経験値!$A$1:$A$21,FALSE),MATCH(G8,経験値!$A$1:$I$1,FALSE))</f>
        <v>required_exp_250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63">
        <v>1234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GKコンプリメンテイション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ボム・黄パネルをCパネルに、赤パネルを最大5個赤ボムパネル(大)に変換+2ターン緑・ハートパネルが出現しない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186">
        <v>1234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オーダー・オブ・イン＆ヤン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1体に超大ダメージ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4">
        <v>0.95499999999999996</v>
      </c>
      <c r="AZ8" s="64">
        <v>1.0309999999999999</v>
      </c>
      <c r="BA8" s="64">
        <v>0</v>
      </c>
      <c r="BB8" s="64">
        <v>0.91500000000000004</v>
      </c>
      <c r="BC8" s="10">
        <f ca="1">INDEX('RC6SV'!$A$1:$G$21,MATCH(H8,'RC6SV'!$A$1:$A$21,FALSE),MATCH(G8,'RC6SV'!$A$1:$G$1,FALSE))</f>
        <v>10000</v>
      </c>
      <c r="BD8" s="44">
        <f t="shared" ca="1" si="12"/>
        <v>10000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2388</v>
      </c>
      <c r="BH8" s="15">
        <f ca="1">IF($BE8&lt;=0,ROUND(BL8*0.5,0), ROUND($BE8*T8*AB8*K8*AZ8*0.8*[1]ステータス!$C$2,0))</f>
        <v>2098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751</v>
      </c>
      <c r="BK8" s="10">
        <f ca="1">ROUND(BD8*S8*AA8*J8*AY8*[1]ステータス!$B$2,0)</f>
        <v>4775</v>
      </c>
      <c r="BL8" s="10">
        <f ca="1">ROUND(BD8*T8*AB8*K8*AZ8*[1]ステータス!$C$2,0)</f>
        <v>4196</v>
      </c>
      <c r="BM8" s="10">
        <f ca="1">ROUND(BD8*U8*AC8*L8*BA8*[1]ステータス!$D$2,0)</f>
        <v>0</v>
      </c>
      <c r="BN8" s="10">
        <f ca="1">ROUND(BD8*V8*AD8*M8*BB8*[1]ステータス!$E$2,0)</f>
        <v>1502</v>
      </c>
      <c r="BO8" s="9">
        <v>0</v>
      </c>
      <c r="BP8" s="9">
        <v>1</v>
      </c>
      <c r="BQ8" s="36" t="s">
        <v>47</v>
      </c>
      <c r="BR8" s="9">
        <f ca="1">VLOOKUP(H8,ghosts_label!$A$2:$B$19,2,FALSE)</f>
        <v>30000</v>
      </c>
    </row>
    <row r="9" spans="1:70" ht="26" customHeight="1" x14ac:dyDescent="0.15">
      <c r="A9" s="186">
        <v>1235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哲壁の育護者 ボーア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PremiumSSS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0">
        <f ca="1">VLOOKUP(I9,[1]属性!$A:$E,2,FALSE)</f>
        <v>1</v>
      </c>
      <c r="K9" s="10">
        <f ca="1">VLOOKUP(I9,[1]属性!$A:$E,3,FALSE)</f>
        <v>1.02</v>
      </c>
      <c r="L9" s="10">
        <f ca="1">VLOOKUP(I9,[1]属性!$A:$E,4,FALSE)</f>
        <v>1</v>
      </c>
      <c r="M9" s="10">
        <f ca="1">VLOOKUP(I9,[1]属性!$A:$E,5,FALSE)</f>
        <v>0.98</v>
      </c>
      <c r="N9" s="10">
        <f ca="1">INDEX(コスト!$A$1:$I$21,MATCH(H9,コスト!$A$1:$A$21,FALSE),MATCH(G9,コスト!$A$1:$I$1,FALSE))</f>
        <v>55</v>
      </c>
      <c r="O9" s="10">
        <f ca="1">INDEX(レベル!$A$1:$I$22,MATCH(H9,レベル!$A$1:$A$22,FALSE),MATCH(G9,レベル!$A$1:$I$1,FALSE))</f>
        <v>99</v>
      </c>
      <c r="P9" s="44">
        <f t="shared" ca="1" si="13"/>
        <v>99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0">
        <f ca="1">VLOOKUP(Q9,[1]character_type_i18n!$A:$H,4,FALSE)</f>
        <v>1</v>
      </c>
      <c r="T9" s="10">
        <f ca="1">VLOOKUP(Q9,[1]character_type_i18n!$A:$H,5,FALSE)</f>
        <v>1.33</v>
      </c>
      <c r="U9" s="10">
        <f ca="1">VLOOKUP(Q9,[1]character_type_i18n!$A:$H,6,FALSE)</f>
        <v>1</v>
      </c>
      <c r="V9" s="10">
        <f ca="1">VLOOKUP(Q9,[1]character_type_i18n!$A:$H,7,FALSE)</f>
        <v>0.67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academia</v>
      </c>
      <c r="X9" s="5" t="str">
        <f ca="1">VLOOKUP(W9,[1]character_tribe_i18n!$A:$H,3,FALSE)</f>
        <v>アカデミア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human</v>
      </c>
      <c r="Z9" s="5" t="str">
        <f ca="1">VLOOKUP(Y9,[1]character_tribe_i18n!$A:$H,3,FALSE)</f>
        <v>ヒューマン</v>
      </c>
      <c r="AA9" s="10">
        <f ca="1">VLOOKUP(W9,[1]character_tribe_i18n!$A:$H,4,FALSE)</f>
        <v>1</v>
      </c>
      <c r="AB9" s="10">
        <f ca="1">VLOOKUP(W9,[1]character_tribe_i18n!$A:$H,5,FALSE)</f>
        <v>1</v>
      </c>
      <c r="AC9" s="10">
        <f ca="1">VLOOKUP(W9,[1]character_tribe_i18n!$A:$H,6,FALSE)</f>
        <v>1</v>
      </c>
      <c r="AD9" s="10">
        <f ca="1">VLOOKUP(W9,[1]character_tribe_i18n!$A:$H,7,FALSE)</f>
        <v>1</v>
      </c>
      <c r="AE9" s="187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7">
        <v>1234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ボーア</v>
      </c>
      <c r="AI9" s="10" t="str">
        <f>IF(AE9="NULL","NULL",VLOOKUP(G9,ビット!$A$2:$B$7,2))</f>
        <v>NULL</v>
      </c>
      <c r="AJ9" s="6">
        <v>2</v>
      </c>
      <c r="AK9" s="7" t="str">
        <f t="shared" ref="AK9" si="14">IF(AJ9=1,"早熟",IF(AJ9=2,"普通",IF(AJ9=3,"晩成","")))</f>
        <v>普通</v>
      </c>
      <c r="AL9" s="10" t="str">
        <f ca="1">INDEX(経験値!$A$1:$I$21,MATCH(H9,経験値!$A$1:$A$21,FALSE),MATCH(G9,経験値!$A$1:$I$1,FALSE))</f>
        <v>required_exp_300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63">
        <v>1235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S-GKコンプリメンテイション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ボム・黄パネルをCパネルに、赤パネルを最大5個赤ボムパネル(大)に変換+2ターン緑・ハートパネルが出現しない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186">
        <v>1235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オーダー・オブ・イン＆ヤン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1体に超大ダメージ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4">
        <v>0.95499999999999996</v>
      </c>
      <c r="AZ9" s="64">
        <v>1.0309999999999999</v>
      </c>
      <c r="BA9" s="64">
        <v>0</v>
      </c>
      <c r="BB9" s="64">
        <v>0.91500000000000004</v>
      </c>
      <c r="BC9" s="10">
        <f ca="1">INDEX('RC6SV'!$A$1:$G$21,MATCH(H9,'RC6SV'!$A$1:$A$21,FALSE),MATCH(G9,'RC6SV'!$A$1:$G$1,FALSE))</f>
        <v>14000</v>
      </c>
      <c r="BD9" s="44">
        <f t="shared" ref="BD9" ca="1" si="15">ROUND(BC9*IF(AJ9=1,0.95,IF(AJ9=2,1,IF(AJ9,1.05,0))),0)</f>
        <v>14000</v>
      </c>
      <c r="BE9" s="10">
        <f t="shared" ca="1" si="3"/>
        <v>10000</v>
      </c>
      <c r="BF9" s="10">
        <f t="shared" ca="1" si="4"/>
        <v>1</v>
      </c>
      <c r="BG9" s="15">
        <f ca="1">IF($BE9&lt;=0,ROUND(BK9*0.5,0), ROUND($BE9*S9*AA9*J9*AY9*0.8*[1]ステータス!$B$2,0))</f>
        <v>3820</v>
      </c>
      <c r="BH9" s="15">
        <f ca="1">IF($BE9&lt;=0,ROUND(BL9*0.5,0), ROUND($BE9*T9*AB9*K9*AZ9*0.8*[1]ステータス!$C$2,0))</f>
        <v>3357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1202</v>
      </c>
      <c r="BK9" s="10">
        <f ca="1">ROUND(BD9*S9*AA9*J9*AY9*[1]ステータス!$B$2,0)</f>
        <v>6685</v>
      </c>
      <c r="BL9" s="10">
        <f ca="1">ROUND(BD9*T9*AB9*K9*AZ9*[1]ステータス!$C$2,0)</f>
        <v>5874</v>
      </c>
      <c r="BM9" s="10">
        <f ca="1">ROUND(BD9*U9*AC9*L9*BA9*[1]ステータス!$D$2,0)</f>
        <v>0</v>
      </c>
      <c r="BN9" s="10">
        <f ca="1">ROUND(BD9*V9*AD9*M9*BB9*[1]ステータス!$E$2,0)</f>
        <v>2103</v>
      </c>
      <c r="BO9" s="9">
        <v>0</v>
      </c>
      <c r="BP9" s="9">
        <v>1</v>
      </c>
      <c r="BQ9" s="9" t="s">
        <v>47</v>
      </c>
      <c r="BR9" s="9">
        <f ca="1">VLOOKUP(H9,ghosts_label!$A$2:$B$19,2,FALSE)</f>
        <v>30000</v>
      </c>
    </row>
  </sheetData>
  <autoFilter ref="A1:BQ1"/>
  <phoneticPr fontId="10"/>
  <conditionalFormatting sqref="BO1">
    <cfRule type="cellIs" dxfId="46" priority="120" stopIfTrue="1" operator="equal">
      <formula>1</formula>
    </cfRule>
  </conditionalFormatting>
  <conditionalFormatting sqref="BQ1">
    <cfRule type="cellIs" dxfId="4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9"/>
  <sheetViews>
    <sheetView showGridLines="0" zoomScale="11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C8" sqref="C8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1159</v>
      </c>
      <c r="B2" s="129" t="s">
        <v>186</v>
      </c>
      <c r="C2" s="188" t="s">
        <v>339</v>
      </c>
      <c r="D2" s="188" t="s">
        <v>351</v>
      </c>
      <c r="E2" s="131">
        <f t="shared" ref="E2" si="0">LEN(D2)</f>
        <v>56</v>
      </c>
      <c r="F2" s="63">
        <v>14</v>
      </c>
      <c r="G2" s="113">
        <v>7</v>
      </c>
      <c r="H2" s="132">
        <f>2001</f>
        <v>2001</v>
      </c>
      <c r="I2" s="189" t="s">
        <v>355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ガロア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1160</v>
      </c>
      <c r="B3" s="129" t="s">
        <v>186</v>
      </c>
      <c r="C3" s="188" t="s">
        <v>340</v>
      </c>
      <c r="D3" s="188" t="s">
        <v>350</v>
      </c>
      <c r="E3" s="131">
        <f t="shared" ref="E3:E4" si="1">LEN(D3)</f>
        <v>56</v>
      </c>
      <c r="F3" s="63">
        <v>13</v>
      </c>
      <c r="G3" s="113">
        <v>7</v>
      </c>
      <c r="H3" s="132">
        <f>2001</f>
        <v>2001</v>
      </c>
      <c r="I3" s="189" t="s">
        <v>356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拡命の大群論 ガロア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1365</v>
      </c>
      <c r="B4" s="129" t="s">
        <v>186</v>
      </c>
      <c r="C4" s="188" t="s">
        <v>324</v>
      </c>
      <c r="D4" s="188" t="s">
        <v>333</v>
      </c>
      <c r="E4" s="131">
        <f t="shared" si="1"/>
        <v>56</v>
      </c>
      <c r="F4" s="63">
        <v>15</v>
      </c>
      <c r="G4" s="113">
        <v>7</v>
      </c>
      <c r="H4" s="132">
        <f>2001</f>
        <v>2001</v>
      </c>
      <c r="I4" s="189" t="s">
        <v>335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バリアテスト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1366</v>
      </c>
      <c r="B5" s="129" t="s">
        <v>186</v>
      </c>
      <c r="C5" s="188" t="s">
        <v>325</v>
      </c>
      <c r="D5" s="188" t="s">
        <v>332</v>
      </c>
      <c r="E5" s="131">
        <f t="shared" ref="E5:E6" si="2">LEN(D5)</f>
        <v>64</v>
      </c>
      <c r="F5" s="63">
        <v>14</v>
      </c>
      <c r="G5" s="113">
        <v>7</v>
      </c>
      <c r="H5" s="132">
        <f>2001</f>
        <v>2001</v>
      </c>
      <c r="I5" s="189" t="s">
        <v>336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バリアテスト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1367</v>
      </c>
      <c r="B6" s="129" t="s">
        <v>186</v>
      </c>
      <c r="C6" s="188" t="s">
        <v>383</v>
      </c>
      <c r="D6" s="188" t="s">
        <v>396</v>
      </c>
      <c r="E6" s="131">
        <f t="shared" si="2"/>
        <v>52</v>
      </c>
      <c r="F6" s="63">
        <v>13</v>
      </c>
      <c r="G6" s="113">
        <v>7</v>
      </c>
      <c r="H6" s="132">
        <f>2001</f>
        <v>2001</v>
      </c>
      <c r="I6" s="189" t="s">
        <v>395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ベルヌーイ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1368</v>
      </c>
      <c r="B7" s="129" t="s">
        <v>186</v>
      </c>
      <c r="C7" s="188" t="s">
        <v>384</v>
      </c>
      <c r="D7" s="188" t="s">
        <v>397</v>
      </c>
      <c r="E7" s="131">
        <f t="shared" ref="E7:E8" si="3">LEN(D7)</f>
        <v>52</v>
      </c>
      <c r="F7" s="63">
        <v>12</v>
      </c>
      <c r="G7" s="113">
        <v>7</v>
      </c>
      <c r="H7" s="132">
        <f>2001</f>
        <v>2001</v>
      </c>
      <c r="I7" s="189" t="s">
        <v>394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憤流する水鳴砲 ベルヌーイ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1234</v>
      </c>
      <c r="B8" s="129" t="s">
        <v>186</v>
      </c>
      <c r="C8" s="188" t="s">
        <v>402</v>
      </c>
      <c r="D8" s="188" t="s">
        <v>401</v>
      </c>
      <c r="E8" s="131">
        <f t="shared" si="3"/>
        <v>54</v>
      </c>
      <c r="F8" s="63">
        <v>15</v>
      </c>
      <c r="G8" s="113">
        <v>7</v>
      </c>
      <c r="H8" s="132">
        <f>2001</f>
        <v>2001</v>
      </c>
      <c r="I8" s="189" t="s">
        <v>398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ボーア</v>
      </c>
      <c r="K8" s="133">
        <f>IFERROR(VLOOKUP(A8,[1]characters!$A:$R,18),0)</f>
        <v>3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1235</v>
      </c>
      <c r="B9" s="129" t="s">
        <v>186</v>
      </c>
      <c r="C9" s="188" t="s">
        <v>403</v>
      </c>
      <c r="D9" s="188" t="s">
        <v>401</v>
      </c>
      <c r="E9" s="131">
        <f t="shared" ref="E9" si="4">LEN(D9)</f>
        <v>54</v>
      </c>
      <c r="F9" s="63">
        <v>14</v>
      </c>
      <c r="G9" s="113">
        <v>7</v>
      </c>
      <c r="H9" s="132">
        <f>2001</f>
        <v>2001</v>
      </c>
      <c r="I9" s="189" t="s">
        <v>398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哲壁の育護者 ボーア</v>
      </c>
      <c r="K9" s="133">
        <f>IFERROR(VLOOKUP(A9,[1]characters!$A:$R,18),0)</f>
        <v>3</v>
      </c>
      <c r="L9" s="134"/>
      <c r="M9" s="135"/>
      <c r="N9" s="135"/>
      <c r="O9" s="135"/>
      <c r="P9" s="135"/>
      <c r="Q9" s="135"/>
      <c r="R9" s="130"/>
      <c r="S9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0:E1048576">
    <cfRule type="cellIs" dxfId="44" priority="30" operator="greaterThan">
      <formula>41</formula>
    </cfRule>
  </conditionalFormatting>
  <conditionalFormatting sqref="E2">
    <cfRule type="cellIs" dxfId="43" priority="24" operator="greaterThan">
      <formula>41</formula>
    </cfRule>
  </conditionalFormatting>
  <conditionalFormatting sqref="E3">
    <cfRule type="cellIs" dxfId="42" priority="23" operator="greaterThan">
      <formula>41</formula>
    </cfRule>
  </conditionalFormatting>
  <conditionalFormatting sqref="E4">
    <cfRule type="cellIs" dxfId="41" priority="6" operator="greaterThan">
      <formula>41</formula>
    </cfRule>
  </conditionalFormatting>
  <conditionalFormatting sqref="E5">
    <cfRule type="cellIs" dxfId="40" priority="5" operator="greaterThan">
      <formula>41</formula>
    </cfRule>
  </conditionalFormatting>
  <conditionalFormatting sqref="E6">
    <cfRule type="cellIs" dxfId="39" priority="4" operator="greaterThan">
      <formula>41</formula>
    </cfRule>
  </conditionalFormatting>
  <conditionalFormatting sqref="E7">
    <cfRule type="cellIs" dxfId="38" priority="3" operator="greaterThan">
      <formula>41</formula>
    </cfRule>
  </conditionalFormatting>
  <conditionalFormatting sqref="E8">
    <cfRule type="cellIs" dxfId="37" priority="2" operator="greaterThan">
      <formula>41</formula>
    </cfRule>
  </conditionalFormatting>
  <conditionalFormatting sqref="E9">
    <cfRule type="cellIs" dxfId="36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9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0" sqref="C10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1159</v>
      </c>
      <c r="B2" s="129" t="s">
        <v>187</v>
      </c>
      <c r="C2" s="188" t="s">
        <v>341</v>
      </c>
      <c r="D2" s="188" t="s">
        <v>337</v>
      </c>
      <c r="E2" s="131">
        <f t="shared" ref="E2" si="0">LEN(D2)</f>
        <v>9</v>
      </c>
      <c r="F2" s="190" t="s">
        <v>354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ガロア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1160</v>
      </c>
      <c r="B3" s="129" t="s">
        <v>187</v>
      </c>
      <c r="C3" s="188" t="s">
        <v>342</v>
      </c>
      <c r="D3" s="188" t="s">
        <v>353</v>
      </c>
      <c r="E3" s="131">
        <f t="shared" ref="E3:E4" si="1">LEN(D3)</f>
        <v>24</v>
      </c>
      <c r="F3" s="190" t="s">
        <v>352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拡命の大群論 ガロア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1365</v>
      </c>
      <c r="B4" s="129" t="s">
        <v>187</v>
      </c>
      <c r="C4" s="188" t="s">
        <v>326</v>
      </c>
      <c r="D4" s="188" t="s">
        <v>331</v>
      </c>
      <c r="E4" s="131">
        <f t="shared" si="1"/>
        <v>9</v>
      </c>
      <c r="F4" s="190" t="s">
        <v>330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バリアテスト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1366</v>
      </c>
      <c r="B5" s="129" t="s">
        <v>187</v>
      </c>
      <c r="C5" s="188" t="s">
        <v>327</v>
      </c>
      <c r="D5" s="188" t="s">
        <v>338</v>
      </c>
      <c r="E5" s="131">
        <f t="shared" ref="E5:E6" si="2">LEN(D5)</f>
        <v>23</v>
      </c>
      <c r="F5" s="190" t="s">
        <v>334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バリアテスト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1367</v>
      </c>
      <c r="B6" s="129" t="s">
        <v>187</v>
      </c>
      <c r="C6" s="188" t="s">
        <v>385</v>
      </c>
      <c r="D6" s="188" t="s">
        <v>379</v>
      </c>
      <c r="E6" s="131">
        <f t="shared" si="2"/>
        <v>9</v>
      </c>
      <c r="F6" s="190" t="s">
        <v>381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ベルヌーイ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1368</v>
      </c>
      <c r="B7" s="129" t="s">
        <v>187</v>
      </c>
      <c r="C7" s="188" t="s">
        <v>386</v>
      </c>
      <c r="D7" s="188" t="s">
        <v>380</v>
      </c>
      <c r="E7" s="131">
        <f t="shared" ref="E7:E8" si="3">LEN(D7)</f>
        <v>24</v>
      </c>
      <c r="F7" s="190" t="s">
        <v>382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憤流する水鳴砲 ベルヌーイ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1234</v>
      </c>
      <c r="B8" s="129" t="s">
        <v>187</v>
      </c>
      <c r="C8" s="188" t="s">
        <v>404</v>
      </c>
      <c r="D8" s="188" t="s">
        <v>400</v>
      </c>
      <c r="E8" s="131">
        <f t="shared" si="3"/>
        <v>9</v>
      </c>
      <c r="F8" s="190" t="s">
        <v>399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ボーア</v>
      </c>
      <c r="H8" s="132">
        <f>IFERROR(VLOOKUP(A8,[1]characters!$A:$R,18),0)</f>
        <v>3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1235</v>
      </c>
      <c r="B9" s="129" t="s">
        <v>187</v>
      </c>
      <c r="C9" s="188" t="s">
        <v>404</v>
      </c>
      <c r="D9" s="188" t="s">
        <v>400</v>
      </c>
      <c r="E9" s="131">
        <f t="shared" ref="E9" si="4">LEN(D9)</f>
        <v>9</v>
      </c>
      <c r="F9" s="190" t="s">
        <v>399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哲壁の育護者 ボーア</v>
      </c>
      <c r="H9" s="132">
        <f>IFERROR(VLOOKUP(A9,[1]characters!$A:$R,18),0)</f>
        <v>3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</sheetData>
  <sheetProtection selectLockedCells="1" selectUnlockedCells="1"/>
  <autoFilter ref="A1:J1"/>
  <phoneticPr fontId="22"/>
  <conditionalFormatting sqref="E2">
    <cfRule type="cellIs" dxfId="35" priority="24" operator="greaterThan">
      <formula>41</formula>
    </cfRule>
  </conditionalFormatting>
  <conditionalFormatting sqref="E3">
    <cfRule type="cellIs" dxfId="34" priority="23" operator="greaterThan">
      <formula>41</formula>
    </cfRule>
  </conditionalFormatting>
  <conditionalFormatting sqref="E4">
    <cfRule type="cellIs" dxfId="33" priority="6" operator="greaterThan">
      <formula>41</formula>
    </cfRule>
  </conditionalFormatting>
  <conditionalFormatting sqref="E5">
    <cfRule type="cellIs" dxfId="32" priority="5" operator="greaterThan">
      <formula>41</formula>
    </cfRule>
  </conditionalFormatting>
  <conditionalFormatting sqref="E6">
    <cfRule type="cellIs" dxfId="31" priority="4" operator="greaterThan">
      <formula>41</formula>
    </cfRule>
  </conditionalFormatting>
  <conditionalFormatting sqref="E7">
    <cfRule type="cellIs" dxfId="30" priority="3" operator="greaterThan">
      <formula>41</formula>
    </cfRule>
  </conditionalFormatting>
  <conditionalFormatting sqref="E8">
    <cfRule type="cellIs" dxfId="29" priority="2" operator="greaterThan">
      <formula>41</formula>
    </cfRule>
  </conditionalFormatting>
  <conditionalFormatting sqref="E9">
    <cfRule type="cellIs" dxfId="28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7"/>
  <sheetViews>
    <sheetView topLeftCell="A11" zoomScale="110" workbookViewId="0">
      <selection activeCell="E40" sqref="E40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1159</v>
      </c>
      <c r="B2" s="138" t="str">
        <f>VLOOKUP(A2,[1]characters!$A:$C,3,FALSE)</f>
        <v>ガロア</v>
      </c>
      <c r="C2" s="105" t="s">
        <v>196</v>
      </c>
      <c r="D2" s="138" t="str">
        <f t="shared" ref="D2" si="0">A2&amp;C2</f>
        <v>1159skill</v>
      </c>
      <c r="E2" s="138" t="str">
        <f>A2&amp;+(COUNTIF(A2:A$41,A2)-1)</f>
        <v>11593</v>
      </c>
      <c r="F2" s="105" t="s">
        <v>198</v>
      </c>
      <c r="G2" s="162" t="s">
        <v>317</v>
      </c>
      <c r="H2" s="162" t="s">
        <v>343</v>
      </c>
    </row>
    <row r="3" spans="1:8" x14ac:dyDescent="0.15">
      <c r="A3" s="105">
        <v>1159</v>
      </c>
      <c r="B3" s="138" t="str">
        <f>VLOOKUP(A3,[1]characters!$A:$C,3,FALSE)</f>
        <v>ガロア</v>
      </c>
      <c r="C3" s="105" t="s">
        <v>199</v>
      </c>
      <c r="D3" s="138" t="str">
        <f>A3&amp;C3</f>
        <v>1159cskill</v>
      </c>
      <c r="E3" s="138" t="str">
        <f>A3&amp;+(COUNTIF(A3:A$41,A3)-1)</f>
        <v>11592</v>
      </c>
      <c r="F3" s="105" t="s">
        <v>187</v>
      </c>
      <c r="G3" s="162" t="s">
        <v>197</v>
      </c>
      <c r="H3" s="162" t="s">
        <v>345</v>
      </c>
    </row>
    <row r="4" spans="1:8" x14ac:dyDescent="0.15">
      <c r="A4" s="105">
        <v>1159</v>
      </c>
      <c r="B4" s="138" t="str">
        <f>VLOOKUP(A4,[1]characters!$A:$C,3,FALSE)</f>
        <v>ガロア</v>
      </c>
      <c r="C4" s="105" t="s">
        <v>199</v>
      </c>
      <c r="D4" s="138" t="str">
        <f>A4&amp;C4</f>
        <v>1159cskill</v>
      </c>
      <c r="E4" s="138" t="str">
        <f>A4&amp;+(COUNTIF(A4:A$41,A4)-1)</f>
        <v>11591</v>
      </c>
      <c r="F4" s="105" t="s">
        <v>187</v>
      </c>
      <c r="G4" s="162" t="s">
        <v>197</v>
      </c>
      <c r="H4" s="162" t="s">
        <v>346</v>
      </c>
    </row>
    <row r="5" spans="1:8" x14ac:dyDescent="0.15">
      <c r="A5" s="105">
        <v>1159</v>
      </c>
      <c r="B5" s="138" t="str">
        <f>VLOOKUP(A5,[1]characters!$A:$C,3,FALSE)</f>
        <v>ガロア</v>
      </c>
      <c r="C5" s="105" t="s">
        <v>199</v>
      </c>
      <c r="D5" s="138" t="str">
        <f>A5&amp;C5</f>
        <v>1159cskill</v>
      </c>
      <c r="E5" s="138" t="str">
        <f>A5&amp;+(COUNTIF(A5:A$41,A5)-1)</f>
        <v>11590</v>
      </c>
      <c r="F5" s="105" t="s">
        <v>198</v>
      </c>
      <c r="G5" s="162" t="s">
        <v>348</v>
      </c>
      <c r="H5" s="162" t="s">
        <v>347</v>
      </c>
    </row>
    <row r="6" spans="1:8" x14ac:dyDescent="0.15">
      <c r="A6" s="105">
        <v>1160</v>
      </c>
      <c r="B6" s="138" t="str">
        <f>VLOOKUP(A6,[1]characters!$A:$C,3,FALSE)</f>
        <v>拡命の大群論 ガロア</v>
      </c>
      <c r="C6" s="105" t="s">
        <v>196</v>
      </c>
      <c r="D6" s="138" t="str">
        <f t="shared" ref="D6" si="1">A6&amp;C6</f>
        <v>1160skill</v>
      </c>
      <c r="E6" s="138" t="str">
        <f>A6&amp;+(COUNTIF(A6:A$41,A6)-1)</f>
        <v>11604</v>
      </c>
      <c r="F6" s="105" t="s">
        <v>187</v>
      </c>
      <c r="G6" s="162" t="s">
        <v>348</v>
      </c>
      <c r="H6" s="162" t="s">
        <v>344</v>
      </c>
    </row>
    <row r="7" spans="1:8" x14ac:dyDescent="0.15">
      <c r="A7" s="105">
        <v>1160</v>
      </c>
      <c r="B7" s="138" t="str">
        <f>VLOOKUP(A7,[1]characters!$A:$C,3,FALSE)</f>
        <v>拡命の大群論 ガロア</v>
      </c>
      <c r="C7" s="105" t="s">
        <v>199</v>
      </c>
      <c r="D7" s="138" t="str">
        <f>A7&amp;C7</f>
        <v>1160cskill</v>
      </c>
      <c r="E7" s="138" t="str">
        <f>A7&amp;+(COUNTIF(A7:A$41,A7)-1)</f>
        <v>11603</v>
      </c>
      <c r="F7" s="105" t="s">
        <v>187</v>
      </c>
      <c r="G7" s="162" t="s">
        <v>197</v>
      </c>
      <c r="H7" s="162" t="s">
        <v>345</v>
      </c>
    </row>
    <row r="8" spans="1:8" x14ac:dyDescent="0.15">
      <c r="A8" s="105">
        <v>1160</v>
      </c>
      <c r="B8" s="138" t="str">
        <f>VLOOKUP(A8,[1]characters!$A:$C,3,FALSE)</f>
        <v>拡命の大群論 ガロア</v>
      </c>
      <c r="C8" s="105" t="s">
        <v>199</v>
      </c>
      <c r="D8" s="138" t="str">
        <f>A8&amp;C8</f>
        <v>1160cskill</v>
      </c>
      <c r="E8" s="138" t="str">
        <f>A8&amp;+(COUNTIF(A8:A$41,A8)-1)</f>
        <v>11602</v>
      </c>
      <c r="F8" s="105" t="s">
        <v>187</v>
      </c>
      <c r="G8" s="162" t="s">
        <v>197</v>
      </c>
      <c r="H8" s="162" t="s">
        <v>346</v>
      </c>
    </row>
    <row r="9" spans="1:8" x14ac:dyDescent="0.15">
      <c r="A9" s="105">
        <v>1160</v>
      </c>
      <c r="B9" s="138" t="str">
        <f>VLOOKUP(A9,[1]characters!$A:$C,3,FALSE)</f>
        <v>拡命の大群論 ガロア</v>
      </c>
      <c r="C9" s="105" t="s">
        <v>199</v>
      </c>
      <c r="D9" s="138" t="str">
        <f>A9&amp;C9</f>
        <v>1160cskill</v>
      </c>
      <c r="E9" s="138" t="str">
        <f>A9&amp;+(COUNTIF(A9:A$41,A9)-1)</f>
        <v>11601</v>
      </c>
      <c r="F9" s="105" t="s">
        <v>187</v>
      </c>
      <c r="G9" s="162" t="s">
        <v>348</v>
      </c>
      <c r="H9" s="162" t="s">
        <v>347</v>
      </c>
    </row>
    <row r="10" spans="1:8" x14ac:dyDescent="0.15">
      <c r="A10" s="105">
        <v>1160</v>
      </c>
      <c r="B10" s="138" t="str">
        <f>VLOOKUP(A10,[1]characters!$A:$C,3,FALSE)</f>
        <v>拡命の大群論 ガロア</v>
      </c>
      <c r="C10" s="105" t="s">
        <v>199</v>
      </c>
      <c r="D10" s="138" t="str">
        <f>A10&amp;C10</f>
        <v>1160cskill</v>
      </c>
      <c r="E10" s="138" t="str">
        <f>A10&amp;+(COUNTIF(A10:A$41,A10)-1)</f>
        <v>11600</v>
      </c>
      <c r="F10" s="105" t="s">
        <v>187</v>
      </c>
      <c r="G10" s="162" t="s">
        <v>348</v>
      </c>
      <c r="H10" s="162" t="s">
        <v>349</v>
      </c>
    </row>
    <row r="11" spans="1:8" x14ac:dyDescent="0.15">
      <c r="A11" s="105">
        <v>1365</v>
      </c>
      <c r="B11" s="138" t="str">
        <f>VLOOKUP(A11,[1]characters!$A:$C,3,FALSE)</f>
        <v>バリアテスト</v>
      </c>
      <c r="C11" s="105" t="s">
        <v>196</v>
      </c>
      <c r="D11" s="138" t="str">
        <f t="shared" ref="D11" si="2">A11&amp;C11</f>
        <v>1365skill</v>
      </c>
      <c r="E11" s="138" t="str">
        <f>A11&amp;+(COUNTIF(A11:A$41,A11)-1)</f>
        <v>13653</v>
      </c>
      <c r="F11" s="105" t="s">
        <v>187</v>
      </c>
      <c r="G11" s="162" t="s">
        <v>317</v>
      </c>
      <c r="H11" s="162" t="s">
        <v>318</v>
      </c>
    </row>
    <row r="12" spans="1:8" x14ac:dyDescent="0.15">
      <c r="A12" s="105">
        <v>1365</v>
      </c>
      <c r="B12" s="138" t="str">
        <f>VLOOKUP(A12,[1]characters!$A:$C,3,FALSE)</f>
        <v>バリアテスト</v>
      </c>
      <c r="C12" s="105" t="s">
        <v>199</v>
      </c>
      <c r="D12" s="138" t="str">
        <f>A12&amp;C12</f>
        <v>1365cskill</v>
      </c>
      <c r="E12" s="138" t="str">
        <f>A12&amp;+(COUNTIF(A12:A$41,A12)-1)</f>
        <v>13652</v>
      </c>
      <c r="F12" s="105" t="s">
        <v>187</v>
      </c>
      <c r="G12" s="162" t="s">
        <v>197</v>
      </c>
      <c r="H12" s="162" t="s">
        <v>321</v>
      </c>
    </row>
    <row r="13" spans="1:8" x14ac:dyDescent="0.15">
      <c r="A13" s="105">
        <v>1365</v>
      </c>
      <c r="B13" s="138" t="str">
        <f>VLOOKUP(A13,[1]characters!$A:$C,3,FALSE)</f>
        <v>バリアテスト</v>
      </c>
      <c r="C13" s="105" t="s">
        <v>199</v>
      </c>
      <c r="D13" s="138" t="str">
        <f>A13&amp;C13</f>
        <v>1365cskill</v>
      </c>
      <c r="E13" s="138" t="str">
        <f>A13&amp;+(COUNTIF(A13:A$41,A13)-1)</f>
        <v>13651</v>
      </c>
      <c r="F13" s="105" t="s">
        <v>187</v>
      </c>
      <c r="G13" s="162" t="s">
        <v>317</v>
      </c>
      <c r="H13" s="162" t="s">
        <v>319</v>
      </c>
    </row>
    <row r="14" spans="1:8" x14ac:dyDescent="0.15">
      <c r="A14" s="105">
        <v>1365</v>
      </c>
      <c r="B14" s="138" t="str">
        <f>VLOOKUP(A14,[1]characters!$A:$C,3,FALSE)</f>
        <v>バリアテスト</v>
      </c>
      <c r="C14" s="105" t="s">
        <v>199</v>
      </c>
      <c r="D14" s="138" t="str">
        <f>A14&amp;C14</f>
        <v>1365cskill</v>
      </c>
      <c r="E14" s="138" t="str">
        <f>A14&amp;+(COUNTIF(A14:A$41,A14)-1)</f>
        <v>13650</v>
      </c>
      <c r="F14" s="105" t="s">
        <v>187</v>
      </c>
      <c r="G14" s="162" t="s">
        <v>317</v>
      </c>
      <c r="H14" s="162" t="s">
        <v>320</v>
      </c>
    </row>
    <row r="15" spans="1:8" x14ac:dyDescent="0.15">
      <c r="A15" s="105">
        <v>1366</v>
      </c>
      <c r="B15" s="138" t="str">
        <f>VLOOKUP(A15,[1]characters!$A:$C,3,FALSE)</f>
        <v>バリアテスト</v>
      </c>
      <c r="C15" s="105" t="s">
        <v>196</v>
      </c>
      <c r="D15" s="138" t="str">
        <f t="shared" ref="D15" si="3">A15&amp;C15</f>
        <v>1366skill</v>
      </c>
      <c r="E15" s="138" t="str">
        <f>A15&amp;+(COUNTIF(A15:A$41,A15)-1)</f>
        <v>13664</v>
      </c>
      <c r="F15" s="105" t="s">
        <v>187</v>
      </c>
      <c r="G15" s="162" t="s">
        <v>317</v>
      </c>
      <c r="H15" s="162" t="s">
        <v>318</v>
      </c>
    </row>
    <row r="16" spans="1:8" x14ac:dyDescent="0.15">
      <c r="A16" s="105">
        <v>1366</v>
      </c>
      <c r="B16" s="138" t="str">
        <f>VLOOKUP(A16,[1]characters!$A:$C,3,FALSE)</f>
        <v>バリアテスト</v>
      </c>
      <c r="C16" s="105" t="s">
        <v>199</v>
      </c>
      <c r="D16" s="138" t="str">
        <f>A16&amp;C16</f>
        <v>1366cskill</v>
      </c>
      <c r="E16" s="138" t="str">
        <f>A16&amp;+(COUNTIF(A16:A$41,A16)-1)</f>
        <v>13663</v>
      </c>
      <c r="F16" s="105" t="s">
        <v>187</v>
      </c>
      <c r="G16" s="162" t="s">
        <v>197</v>
      </c>
      <c r="H16" s="162" t="s">
        <v>321</v>
      </c>
    </row>
    <row r="17" spans="1:8" x14ac:dyDescent="0.15">
      <c r="A17" s="105">
        <v>1366</v>
      </c>
      <c r="B17" s="138" t="str">
        <f>VLOOKUP(A17,[1]characters!$A:$C,3,FALSE)</f>
        <v>バリアテスト</v>
      </c>
      <c r="C17" s="105" t="s">
        <v>199</v>
      </c>
      <c r="D17" s="138" t="str">
        <f>A17&amp;C17</f>
        <v>1366cskill</v>
      </c>
      <c r="E17" s="138" t="str">
        <f>A17&amp;+(COUNTIF(A17:A$41,A17)-1)</f>
        <v>13662</v>
      </c>
      <c r="F17" s="105" t="s">
        <v>187</v>
      </c>
      <c r="G17" s="162" t="s">
        <v>317</v>
      </c>
      <c r="H17" s="162" t="s">
        <v>319</v>
      </c>
    </row>
    <row r="18" spans="1:8" x14ac:dyDescent="0.15">
      <c r="A18" s="105">
        <v>1366</v>
      </c>
      <c r="B18" s="138" t="str">
        <f>VLOOKUP(A18,[1]characters!$A:$C,3,FALSE)</f>
        <v>バリアテスト</v>
      </c>
      <c r="C18" s="105" t="s">
        <v>199</v>
      </c>
      <c r="D18" s="138" t="str">
        <f>A18&amp;C18</f>
        <v>1366cskill</v>
      </c>
      <c r="E18" s="138" t="str">
        <f>A18&amp;+(COUNTIF(A18:A$41,A18)-1)</f>
        <v>13661</v>
      </c>
      <c r="F18" s="105" t="s">
        <v>187</v>
      </c>
      <c r="G18" s="162" t="s">
        <v>317</v>
      </c>
      <c r="H18" s="162" t="s">
        <v>320</v>
      </c>
    </row>
    <row r="19" spans="1:8" x14ac:dyDescent="0.15">
      <c r="A19" s="105">
        <v>1366</v>
      </c>
      <c r="B19" s="138" t="str">
        <f>VLOOKUP(A19,[1]characters!$A:$C,3,FALSE)</f>
        <v>バリアテスト</v>
      </c>
      <c r="C19" s="105" t="s">
        <v>199</v>
      </c>
      <c r="D19" s="138" t="str">
        <f>A19&amp;C19</f>
        <v>1366cskill</v>
      </c>
      <c r="E19" s="138" t="str">
        <f>A19&amp;+(COUNTIF(A19:A$41,A19)-1)</f>
        <v>13660</v>
      </c>
      <c r="F19" s="105" t="s">
        <v>187</v>
      </c>
      <c r="G19" s="162" t="s">
        <v>197</v>
      </c>
      <c r="H19" s="162" t="s">
        <v>322</v>
      </c>
    </row>
    <row r="20" spans="1:8" x14ac:dyDescent="0.15">
      <c r="A20" s="105">
        <v>1367</v>
      </c>
      <c r="B20" s="138" t="str">
        <f>VLOOKUP(A20,[1]characters!$A:$C,3,FALSE)</f>
        <v>ベルヌーイ</v>
      </c>
      <c r="C20" s="105" t="s">
        <v>196</v>
      </c>
      <c r="D20" s="138" t="str">
        <f t="shared" ref="D20" si="4">A20&amp;C20</f>
        <v>1367skill</v>
      </c>
      <c r="E20" s="138" t="str">
        <f>A20&amp;+(COUNTIF(A20:A$41,A20)-1)</f>
        <v>13673</v>
      </c>
      <c r="F20" s="105" t="s">
        <v>187</v>
      </c>
      <c r="G20" s="162" t="s">
        <v>197</v>
      </c>
      <c r="H20" s="162" t="s">
        <v>387</v>
      </c>
    </row>
    <row r="21" spans="1:8" x14ac:dyDescent="0.15">
      <c r="A21" s="105">
        <v>1367</v>
      </c>
      <c r="B21" s="138" t="str">
        <f>VLOOKUP(A21,[1]characters!$A:$C,3,FALSE)</f>
        <v>ベルヌーイ</v>
      </c>
      <c r="C21" s="105" t="s">
        <v>199</v>
      </c>
      <c r="D21" s="138" t="str">
        <f>A21&amp;C21</f>
        <v>1367cskill</v>
      </c>
      <c r="E21" s="138" t="str">
        <f>A21&amp;+(COUNTIF(A21:A$41,A21)-1)</f>
        <v>13672</v>
      </c>
      <c r="F21" s="105" t="s">
        <v>187</v>
      </c>
      <c r="G21" s="162" t="s">
        <v>348</v>
      </c>
      <c r="H21" s="162" t="s">
        <v>390</v>
      </c>
    </row>
    <row r="22" spans="1:8" x14ac:dyDescent="0.15">
      <c r="A22" s="105">
        <v>1367</v>
      </c>
      <c r="B22" s="138" t="str">
        <f>VLOOKUP(A22,[1]characters!$A:$C,3,FALSE)</f>
        <v>ベルヌーイ</v>
      </c>
      <c r="C22" s="105" t="s">
        <v>199</v>
      </c>
      <c r="D22" s="138" t="str">
        <f>A22&amp;C22</f>
        <v>1367cskill</v>
      </c>
      <c r="E22" s="138" t="str">
        <f>A22&amp;+(COUNTIF(A22:A$41,A22)-1)</f>
        <v>13671</v>
      </c>
      <c r="F22" s="105" t="s">
        <v>187</v>
      </c>
      <c r="G22" s="162" t="s">
        <v>197</v>
      </c>
      <c r="H22" s="162" t="s">
        <v>391</v>
      </c>
    </row>
    <row r="23" spans="1:8" x14ac:dyDescent="0.15">
      <c r="A23" s="105">
        <v>1367</v>
      </c>
      <c r="B23" s="138" t="str">
        <f>VLOOKUP(A23,[1]characters!$A:$C,3,FALSE)</f>
        <v>ベルヌーイ</v>
      </c>
      <c r="C23" s="105" t="s">
        <v>199</v>
      </c>
      <c r="D23" s="138" t="str">
        <f>A23&amp;C23</f>
        <v>1367cskill</v>
      </c>
      <c r="E23" s="138" t="str">
        <f>A23&amp;+(COUNTIF(A23:A$41,A23)-1)</f>
        <v>13670</v>
      </c>
      <c r="F23" s="105" t="s">
        <v>187</v>
      </c>
      <c r="G23" s="162" t="s">
        <v>348</v>
      </c>
      <c r="H23" s="162" t="s">
        <v>392</v>
      </c>
    </row>
    <row r="24" spans="1:8" x14ac:dyDescent="0.15">
      <c r="A24" s="105">
        <v>1368</v>
      </c>
      <c r="B24" s="138" t="str">
        <f>VLOOKUP(A24,[1]characters!$A:$C,3,FALSE)</f>
        <v>憤流する水鳴砲 ベルヌーイ</v>
      </c>
      <c r="C24" s="105" t="s">
        <v>196</v>
      </c>
      <c r="D24" s="138" t="str">
        <f t="shared" ref="D24" si="5">A24&amp;C24</f>
        <v>1368skill</v>
      </c>
      <c r="E24" s="138" t="str">
        <f>A24&amp;+(COUNTIF(A24:A$41,A24)-1)</f>
        <v>13684</v>
      </c>
      <c r="F24" s="105" t="s">
        <v>187</v>
      </c>
      <c r="G24" s="162" t="s">
        <v>389</v>
      </c>
      <c r="H24" s="162" t="s">
        <v>388</v>
      </c>
    </row>
    <row r="25" spans="1:8" x14ac:dyDescent="0.15">
      <c r="A25" s="105">
        <v>1368</v>
      </c>
      <c r="B25" s="138" t="str">
        <f>VLOOKUP(A25,[1]characters!$A:$C,3,FALSE)</f>
        <v>憤流する水鳴砲 ベルヌーイ</v>
      </c>
      <c r="C25" s="105" t="s">
        <v>199</v>
      </c>
      <c r="D25" s="138" t="str">
        <f>A25&amp;C25</f>
        <v>1368cskill</v>
      </c>
      <c r="E25" s="138" t="str">
        <f>A25&amp;+(COUNTIF(A25:A$41,A25)-1)</f>
        <v>13683</v>
      </c>
      <c r="F25" s="105" t="s">
        <v>187</v>
      </c>
      <c r="G25" s="162" t="s">
        <v>348</v>
      </c>
      <c r="H25" s="162" t="s">
        <v>390</v>
      </c>
    </row>
    <row r="26" spans="1:8" x14ac:dyDescent="0.15">
      <c r="A26" s="105">
        <v>1368</v>
      </c>
      <c r="B26" s="138" t="str">
        <f>VLOOKUP(A26,[1]characters!$A:$C,3,FALSE)</f>
        <v>憤流する水鳴砲 ベルヌーイ</v>
      </c>
      <c r="C26" s="105" t="s">
        <v>199</v>
      </c>
      <c r="D26" s="138" t="str">
        <f>A26&amp;C26</f>
        <v>1368cskill</v>
      </c>
      <c r="E26" s="138" t="str">
        <f>A26&amp;+(COUNTIF(A26:A$41,A26)-1)</f>
        <v>13682</v>
      </c>
      <c r="F26" s="105" t="s">
        <v>187</v>
      </c>
      <c r="G26" s="162" t="s">
        <v>197</v>
      </c>
      <c r="H26" s="162" t="s">
        <v>391</v>
      </c>
    </row>
    <row r="27" spans="1:8" x14ac:dyDescent="0.15">
      <c r="A27" s="105">
        <v>1368</v>
      </c>
      <c r="B27" s="138" t="str">
        <f>VLOOKUP(A27,[1]characters!$A:$C,3,FALSE)</f>
        <v>憤流する水鳴砲 ベルヌーイ</v>
      </c>
      <c r="C27" s="105" t="s">
        <v>199</v>
      </c>
      <c r="D27" s="138" t="str">
        <f>A27&amp;C27</f>
        <v>1368cskill</v>
      </c>
      <c r="E27" s="138" t="str">
        <f>A27&amp;+(COUNTIF(A27:A$41,A27)-1)</f>
        <v>13681</v>
      </c>
      <c r="F27" s="105" t="s">
        <v>187</v>
      </c>
      <c r="G27" s="162" t="s">
        <v>348</v>
      </c>
      <c r="H27" s="162" t="s">
        <v>392</v>
      </c>
    </row>
    <row r="28" spans="1:8" x14ac:dyDescent="0.15">
      <c r="A28" s="105">
        <v>1368</v>
      </c>
      <c r="B28" s="138" t="str">
        <f>VLOOKUP(A28,[1]characters!$A:$C,3,FALSE)</f>
        <v>憤流する水鳴砲 ベルヌーイ</v>
      </c>
      <c r="C28" s="105" t="s">
        <v>199</v>
      </c>
      <c r="D28" s="138" t="str">
        <f>A28&amp;C28</f>
        <v>1368cskill</v>
      </c>
      <c r="E28" s="138" t="str">
        <f>A28&amp;+(COUNTIF(A28:A$41,A28)-1)</f>
        <v>13680</v>
      </c>
      <c r="F28" s="105" t="s">
        <v>187</v>
      </c>
      <c r="G28" s="162" t="s">
        <v>197</v>
      </c>
      <c r="H28" s="162" t="s">
        <v>393</v>
      </c>
    </row>
    <row r="29" spans="1:8" x14ac:dyDescent="0.15">
      <c r="A29" s="105">
        <v>1234</v>
      </c>
      <c r="B29" s="138" t="str">
        <f>VLOOKUP(A29,[1]characters!$A:$C,3,FALSE)</f>
        <v>ボーア</v>
      </c>
      <c r="C29" s="105" t="s">
        <v>196</v>
      </c>
      <c r="D29" s="138" t="str">
        <f t="shared" ref="D29" si="6">A29&amp;C29</f>
        <v>1234skill</v>
      </c>
      <c r="E29" s="138" t="str">
        <f>A29&amp;+(COUNTIF(A29:A$41,A29)-1)</f>
        <v>12343</v>
      </c>
      <c r="F29" s="105" t="s">
        <v>187</v>
      </c>
      <c r="G29" s="162" t="s">
        <v>317</v>
      </c>
      <c r="H29" s="162" t="s">
        <v>405</v>
      </c>
    </row>
    <row r="30" spans="1:8" x14ac:dyDescent="0.15">
      <c r="A30" s="105">
        <v>1234</v>
      </c>
      <c r="B30" s="138" t="str">
        <f>VLOOKUP(A30,[1]characters!$A:$C,3,FALSE)</f>
        <v>ボーア</v>
      </c>
      <c r="C30" s="105" t="s">
        <v>199</v>
      </c>
      <c r="D30" s="138" t="str">
        <f>A30&amp;C30</f>
        <v>1234cskill</v>
      </c>
      <c r="E30" s="138" t="str">
        <f>A30&amp;+(COUNTIF(A30:A$41,A30)-1)</f>
        <v>12342</v>
      </c>
      <c r="F30" s="105" t="s">
        <v>187</v>
      </c>
      <c r="G30" s="162" t="s">
        <v>348</v>
      </c>
      <c r="H30" s="162" t="s">
        <v>407</v>
      </c>
    </row>
    <row r="31" spans="1:8" x14ac:dyDescent="0.15">
      <c r="A31" s="105">
        <v>1234</v>
      </c>
      <c r="B31" s="138" t="str">
        <f>VLOOKUP(A31,[1]characters!$A:$C,3,FALSE)</f>
        <v>ボーア</v>
      </c>
      <c r="C31" s="105" t="s">
        <v>199</v>
      </c>
      <c r="D31" s="138" t="str">
        <f>A31&amp;C31</f>
        <v>1234cskill</v>
      </c>
      <c r="E31" s="138" t="str">
        <f>A31&amp;+(COUNTIF(A31:A$41,A31)-1)</f>
        <v>12341</v>
      </c>
      <c r="F31" s="105" t="s">
        <v>187</v>
      </c>
      <c r="G31" s="162" t="s">
        <v>197</v>
      </c>
      <c r="H31" s="162" t="s">
        <v>408</v>
      </c>
    </row>
    <row r="32" spans="1:8" x14ac:dyDescent="0.15">
      <c r="A32" s="105">
        <v>1234</v>
      </c>
      <c r="B32" s="138" t="str">
        <f>VLOOKUP(A32,[1]characters!$A:$C,3,FALSE)</f>
        <v>ボーア</v>
      </c>
      <c r="C32" s="105" t="s">
        <v>199</v>
      </c>
      <c r="D32" s="138" t="str">
        <f>A32&amp;C32</f>
        <v>1234cskill</v>
      </c>
      <c r="E32" s="138" t="str">
        <f>A32&amp;+(COUNTIF(A32:A$41,A32)-1)</f>
        <v>12340</v>
      </c>
      <c r="F32" s="105" t="s">
        <v>187</v>
      </c>
      <c r="G32" s="162" t="s">
        <v>348</v>
      </c>
      <c r="H32" s="162" t="s">
        <v>409</v>
      </c>
    </row>
    <row r="33" spans="1:8" x14ac:dyDescent="0.15">
      <c r="A33" s="105">
        <v>1235</v>
      </c>
      <c r="B33" s="138" t="str">
        <f>VLOOKUP(A33,[1]characters!$A:$C,3,FALSE)</f>
        <v>哲壁の育護者 ボーア</v>
      </c>
      <c r="C33" s="105" t="s">
        <v>196</v>
      </c>
      <c r="D33" s="138" t="str">
        <f t="shared" ref="D33" si="7">A33&amp;C33</f>
        <v>1235skill</v>
      </c>
      <c r="E33" s="138" t="str">
        <f>A33&amp;+(COUNTIF(A33:A$41,A33)-1)</f>
        <v>12354</v>
      </c>
      <c r="F33" s="105" t="s">
        <v>187</v>
      </c>
      <c r="G33" s="162" t="s">
        <v>317</v>
      </c>
      <c r="H33" s="162" t="s">
        <v>406</v>
      </c>
    </row>
    <row r="34" spans="1:8" x14ac:dyDescent="0.15">
      <c r="A34" s="105">
        <v>1235</v>
      </c>
      <c r="B34" s="138" t="str">
        <f>VLOOKUP(A34,[1]characters!$A:$C,3,FALSE)</f>
        <v>哲壁の育護者 ボーア</v>
      </c>
      <c r="C34" s="105" t="s">
        <v>199</v>
      </c>
      <c r="D34" s="138" t="str">
        <f>A34&amp;C34</f>
        <v>1235cskill</v>
      </c>
      <c r="E34" s="138" t="str">
        <f>A34&amp;+(COUNTIF(A34:A$41,A34)-1)</f>
        <v>12353</v>
      </c>
      <c r="F34" s="105" t="s">
        <v>187</v>
      </c>
      <c r="G34" s="162" t="s">
        <v>348</v>
      </c>
      <c r="H34" s="162" t="s">
        <v>407</v>
      </c>
    </row>
    <row r="35" spans="1:8" x14ac:dyDescent="0.15">
      <c r="A35" s="105">
        <v>1235</v>
      </c>
      <c r="B35" s="138" t="str">
        <f>VLOOKUP(A35,[1]characters!$A:$C,3,FALSE)</f>
        <v>哲壁の育護者 ボーア</v>
      </c>
      <c r="C35" s="105" t="s">
        <v>199</v>
      </c>
      <c r="D35" s="138" t="str">
        <f>A35&amp;C35</f>
        <v>1235cskill</v>
      </c>
      <c r="E35" s="138" t="str">
        <f>A35&amp;+(COUNTIF(A35:A$41,A35)-1)</f>
        <v>12352</v>
      </c>
      <c r="F35" s="105" t="s">
        <v>187</v>
      </c>
      <c r="G35" s="162" t="s">
        <v>197</v>
      </c>
      <c r="H35" s="162" t="s">
        <v>408</v>
      </c>
    </row>
    <row r="36" spans="1:8" x14ac:dyDescent="0.15">
      <c r="A36" s="105">
        <v>1235</v>
      </c>
      <c r="B36" s="138" t="str">
        <f>VLOOKUP(A36,[1]characters!$A:$C,3,FALSE)</f>
        <v>哲壁の育護者 ボーア</v>
      </c>
      <c r="C36" s="105" t="s">
        <v>199</v>
      </c>
      <c r="D36" s="138" t="str">
        <f>A36&amp;C36</f>
        <v>1235cskill</v>
      </c>
      <c r="E36" s="138" t="str">
        <f>A36&amp;+(COUNTIF(A36:A$41,A36)-1)</f>
        <v>12351</v>
      </c>
      <c r="F36" s="105" t="s">
        <v>187</v>
      </c>
      <c r="G36" s="162" t="s">
        <v>348</v>
      </c>
      <c r="H36" s="162" t="s">
        <v>409</v>
      </c>
    </row>
    <row r="37" spans="1:8" x14ac:dyDescent="0.15">
      <c r="A37" s="105">
        <v>1235</v>
      </c>
      <c r="B37" s="138" t="str">
        <f>VLOOKUP(A37,[1]characters!$A:$C,3,FALSE)</f>
        <v>哲壁の育護者 ボーア</v>
      </c>
      <c r="C37" s="105" t="s">
        <v>199</v>
      </c>
      <c r="D37" s="138" t="str">
        <f>A37&amp;C37</f>
        <v>1235cskill</v>
      </c>
      <c r="E37" s="138" t="str">
        <f>A37&amp;+(COUNTIF(A37:A$41,A37)-1)</f>
        <v>12350</v>
      </c>
      <c r="F37" s="105" t="s">
        <v>187</v>
      </c>
      <c r="G37" s="162" t="s">
        <v>348</v>
      </c>
      <c r="H37" s="162" t="s">
        <v>410</v>
      </c>
    </row>
  </sheetData>
  <phoneticPr fontId="22"/>
  <dataValidations count="2">
    <dataValidation type="list" allowBlank="1" showInputMessage="1" showErrorMessage="1" sqref="G2:G37">
      <formula1>"maru,giza,kumo"</formula1>
    </dataValidation>
    <dataValidation type="list" allowBlank="1" showInputMessage="1" showErrorMessage="1" sqref="C2:C37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5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6" sqref="Q6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277</v>
      </c>
      <c r="B1" s="91" t="s">
        <v>278</v>
      </c>
      <c r="C1" s="82" t="s">
        <v>279</v>
      </c>
      <c r="D1" s="82" t="s">
        <v>280</v>
      </c>
      <c r="E1" s="82" t="s">
        <v>281</v>
      </c>
      <c r="F1" s="82" t="s">
        <v>282</v>
      </c>
      <c r="G1" s="82" t="s">
        <v>1</v>
      </c>
      <c r="H1" s="175" t="s">
        <v>19</v>
      </c>
      <c r="I1" s="82" t="s">
        <v>0</v>
      </c>
      <c r="J1" s="81" t="s">
        <v>283</v>
      </c>
      <c r="K1" s="82" t="s">
        <v>278</v>
      </c>
      <c r="L1" s="83" t="s">
        <v>49</v>
      </c>
      <c r="M1" s="83" t="s">
        <v>48</v>
      </c>
      <c r="N1" s="83" t="s">
        <v>284</v>
      </c>
      <c r="O1" s="83" t="s">
        <v>285</v>
      </c>
      <c r="P1" s="88" t="s">
        <v>286</v>
      </c>
      <c r="Q1" s="87" t="s">
        <v>287</v>
      </c>
      <c r="R1" s="76" t="s">
        <v>278</v>
      </c>
      <c r="S1" s="88" t="s">
        <v>288</v>
      </c>
      <c r="T1" s="76" t="s">
        <v>278</v>
      </c>
      <c r="U1" s="88" t="s">
        <v>289</v>
      </c>
    </row>
    <row r="2" spans="1:21" ht="21" customHeight="1" x14ac:dyDescent="0.15">
      <c r="A2" s="191">
        <v>1159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ガロア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1160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拡命の大群論 ガロア</v>
      </c>
      <c r="S2" s="5">
        <f ca="1">IF(ISNA(MATCH(A2,Q:Q,0)),A2,INDIRECT(ADDRESS(MATCH(A2,Q:Q,0),COLUMN())))</f>
        <v>1159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ガロア</v>
      </c>
      <c r="U2" s="10">
        <f ca="1">IF(Q2="NULL","NULL",VLOOKUP(G2,[2]ビット!$A$2:$B$7,2))</f>
        <v>200000</v>
      </c>
    </row>
    <row r="3" spans="1:21" ht="21" customHeight="1" x14ac:dyDescent="0.15">
      <c r="A3" s="191">
        <v>1365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バリアテスト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1366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バリアテスト</v>
      </c>
      <c r="S3" s="5">
        <f ca="1">IF(ISNA(MATCH(A3,Q:Q,0)),A3,INDIRECT(ADDRESS(MATCH(A3,Q:Q,0),COLUMN())))</f>
        <v>1365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バリアテスト</v>
      </c>
      <c r="U3" s="10">
        <f ca="1">IF(Q3="NULL","NULL",VLOOKUP(G3,[2]ビット!$A$2:$B$7,2))</f>
        <v>200000</v>
      </c>
    </row>
    <row r="4" spans="1:21" ht="21" customHeight="1" x14ac:dyDescent="0.15">
      <c r="A4" s="191">
        <v>1367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ベルヌーイ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human</v>
      </c>
      <c r="K4" s="5" t="str">
        <f ca="1">VLOOKUP(J4,[1]character_tribe_i18n!$A:$H,3,FALSE)</f>
        <v>ヒューマン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1368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憤流する水鳴砲 ベルヌーイ</v>
      </c>
      <c r="S4" s="5">
        <f ca="1">IF(ISNA(MATCH(A4,Q:Q,0)),A4,INDIRECT(ADDRESS(MATCH(A4,Q:Q,0),COLUMN())))</f>
        <v>1367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ベルヌーイ</v>
      </c>
      <c r="U4" s="10">
        <f ca="1">IF(Q4="NULL","NULL",VLOOKUP(G4,[2]ビット!$A$2:$B$7,2))</f>
        <v>200000</v>
      </c>
    </row>
    <row r="5" spans="1:21" ht="21" customHeight="1" x14ac:dyDescent="0.15">
      <c r="A5" s="191">
        <v>1234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ボーア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human</v>
      </c>
      <c r="K5" s="5" t="str">
        <f ca="1">VLOOKUP(J5,[1]character_tribe_i18n!$A:$H,3,FALSE)</f>
        <v>ヒューマン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7">
        <v>1235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哲壁の育護者 ボーア</v>
      </c>
      <c r="S5" s="5">
        <f ca="1">IF(ISNA(MATCH(A5,Q:Q,0)),A5,INDIRECT(ADDRESS(MATCH(A5,Q:Q,0),COLUMN())))</f>
        <v>1234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ボーア</v>
      </c>
      <c r="U5" s="10">
        <f ca="1">IF(Q5="NULL","NULL",VLOOKUP(G5,[2]ビット!$A$2:$B$7,2))</f>
        <v>200000</v>
      </c>
    </row>
  </sheetData>
  <autoFilter ref="A1:U2"/>
  <phoneticPr fontId="22"/>
  <conditionalFormatting sqref="W1:W2 W6:W1048576">
    <cfRule type="cellIs" dxfId="27" priority="9" operator="equal">
      <formula>"FALSE"</formula>
    </cfRule>
  </conditionalFormatting>
  <conditionalFormatting sqref="W3">
    <cfRule type="cellIs" dxfId="26" priority="3" operator="equal">
      <formula>"FALSE"</formula>
    </cfRule>
  </conditionalFormatting>
  <conditionalFormatting sqref="W4">
    <cfRule type="cellIs" dxfId="25" priority="2" operator="equal">
      <formula>"FALSE"</formula>
    </cfRule>
  </conditionalFormatting>
  <conditionalFormatting sqref="W5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7"/>
  <sheetViews>
    <sheetView showGridLines="0" workbookViewId="0">
      <pane ySplit="1" topLeftCell="A2" activePane="bottomLeft" state="frozen"/>
      <selection pane="bottomLeft" activeCell="L17" sqref="L17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290</v>
      </c>
      <c r="D1" s="18" t="s">
        <v>40</v>
      </c>
      <c r="E1" s="18" t="s">
        <v>42</v>
      </c>
      <c r="F1" s="18" t="s">
        <v>43</v>
      </c>
      <c r="G1" s="177" t="s">
        <v>291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293</v>
      </c>
    </row>
    <row r="2" spans="1:14" ht="21" customHeight="1" x14ac:dyDescent="0.15">
      <c r="A2" s="61" t="str">
        <f t="shared" ref="A2:A9" si="0">B2&amp;"_"&amp;I2</f>
        <v>1159_108</v>
      </c>
      <c r="B2" s="195">
        <v>1159</v>
      </c>
      <c r="C2" s="178">
        <f t="shared" ref="C2:C9" si="1">B2</f>
        <v>1159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ガロア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5">
        <v>1160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拡命の大群論 ガロア</v>
      </c>
      <c r="I2" s="194">
        <v>108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森のマッドハッター</v>
      </c>
      <c r="K2" s="192">
        <v>1</v>
      </c>
      <c r="L2" s="193">
        <v>1</v>
      </c>
      <c r="M2" s="193">
        <v>10</v>
      </c>
      <c r="N2" s="2" t="s">
        <v>292</v>
      </c>
    </row>
    <row r="3" spans="1:14" ht="21" customHeight="1" x14ac:dyDescent="0.15">
      <c r="A3" s="61" t="str">
        <f t="shared" si="0"/>
        <v>1159_452</v>
      </c>
      <c r="B3" s="195">
        <v>1159</v>
      </c>
      <c r="C3" s="178">
        <f t="shared" si="1"/>
        <v>1159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ガロア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5">
        <v>1160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拡命の大群論 ガロア</v>
      </c>
      <c r="I3" s="194">
        <v>452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猛狐 エゾ</v>
      </c>
      <c r="K3" s="192">
        <v>1</v>
      </c>
      <c r="L3" s="193">
        <v>1</v>
      </c>
      <c r="M3" s="193">
        <v>100</v>
      </c>
      <c r="N3" s="2" t="s">
        <v>292</v>
      </c>
    </row>
    <row r="4" spans="1:14" ht="21" customHeight="1" x14ac:dyDescent="0.15">
      <c r="A4" s="61" t="str">
        <f t="shared" si="0"/>
        <v>1159_648</v>
      </c>
      <c r="B4" s="195">
        <v>1159</v>
      </c>
      <c r="C4" s="178">
        <f t="shared" si="1"/>
        <v>1159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ガロア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5">
        <v>1160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拡命の大群論 ガロア</v>
      </c>
      <c r="I4" s="194">
        <v>648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パールヴァティ</v>
      </c>
      <c r="K4" s="192">
        <v>1</v>
      </c>
      <c r="L4" s="193">
        <v>1</v>
      </c>
      <c r="M4" s="193">
        <v>100</v>
      </c>
      <c r="N4" s="2" t="s">
        <v>292</v>
      </c>
    </row>
    <row r="5" spans="1:14" ht="21" customHeight="1" x14ac:dyDescent="0.15">
      <c r="A5" s="61" t="str">
        <f t="shared" si="0"/>
        <v>1159_837</v>
      </c>
      <c r="B5" s="195">
        <v>1159</v>
      </c>
      <c r="C5" s="178">
        <f t="shared" si="1"/>
        <v>1159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ガロア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5">
        <v>1160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拡命の大群論 ガロア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292</v>
      </c>
    </row>
    <row r="6" spans="1:14" ht="21" customHeight="1" x14ac:dyDescent="0.15">
      <c r="A6" s="61" t="str">
        <f t="shared" si="0"/>
        <v>1365_105</v>
      </c>
      <c r="B6" s="195">
        <v>1365</v>
      </c>
      <c r="C6" s="178">
        <f t="shared" si="1"/>
        <v>1365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バリアテスト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PremiumSSS</v>
      </c>
      <c r="G6" s="195">
        <v>1366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バリアテスト</v>
      </c>
      <c r="I6" s="194">
        <v>105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グリーンチェシャ</v>
      </c>
      <c r="K6" s="192">
        <v>1</v>
      </c>
      <c r="L6" s="193">
        <v>1</v>
      </c>
      <c r="M6" s="193">
        <v>10</v>
      </c>
      <c r="N6" s="2" t="s">
        <v>292</v>
      </c>
    </row>
    <row r="7" spans="1:14" ht="21" customHeight="1" x14ac:dyDescent="0.15">
      <c r="A7" s="61" t="str">
        <f t="shared" si="0"/>
        <v>1365_106</v>
      </c>
      <c r="B7" s="195">
        <v>1365</v>
      </c>
      <c r="C7" s="178">
        <f t="shared" si="1"/>
        <v>1365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バリアテスト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PremiumSSS</v>
      </c>
      <c r="G7" s="195">
        <v>1366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バリアテスト</v>
      </c>
      <c r="I7" s="194">
        <v>106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グリーンラビット</v>
      </c>
      <c r="K7" s="192">
        <v>1</v>
      </c>
      <c r="L7" s="193">
        <v>1</v>
      </c>
      <c r="M7" s="193">
        <v>10</v>
      </c>
      <c r="N7" s="2" t="s">
        <v>292</v>
      </c>
    </row>
    <row r="8" spans="1:14" ht="21" customHeight="1" x14ac:dyDescent="0.15">
      <c r="A8" s="61" t="str">
        <f t="shared" si="0"/>
        <v>1365_107</v>
      </c>
      <c r="B8" s="195">
        <v>1365</v>
      </c>
      <c r="C8" s="178">
        <f t="shared" si="1"/>
        <v>1365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バリアテスト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PremiumSSS</v>
      </c>
      <c r="G8" s="195">
        <v>1366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バリアテスト</v>
      </c>
      <c r="I8" s="194">
        <v>107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グリーンキャタップ</v>
      </c>
      <c r="K8" s="192">
        <v>1</v>
      </c>
      <c r="L8" s="193">
        <v>1</v>
      </c>
      <c r="M8" s="193">
        <v>10</v>
      </c>
      <c r="N8" s="2" t="s">
        <v>292</v>
      </c>
    </row>
    <row r="9" spans="1:14" ht="21" customHeight="1" x14ac:dyDescent="0.15">
      <c r="A9" s="61" t="str">
        <f t="shared" si="0"/>
        <v>1365_837</v>
      </c>
      <c r="B9" s="195">
        <v>1365</v>
      </c>
      <c r="C9" s="178">
        <f t="shared" si="1"/>
        <v>1365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バリアテスト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PremiumSSS</v>
      </c>
      <c r="G9" s="195">
        <v>1366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バリアテスト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292</v>
      </c>
    </row>
    <row r="10" spans="1:14" ht="21" customHeight="1" x14ac:dyDescent="0.15">
      <c r="A10" s="61" t="str">
        <f t="shared" ref="A10:A13" si="2">B10&amp;"_"&amp;I10</f>
        <v>1367_112</v>
      </c>
      <c r="B10" s="195">
        <v>1367</v>
      </c>
      <c r="C10" s="178">
        <f t="shared" ref="C10:C13" si="3">B10</f>
        <v>1367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ベルヌーイ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PremiumSSS</v>
      </c>
      <c r="G10" s="195">
        <v>1368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憤流する水鳴砲 ベルヌーイ</v>
      </c>
      <c r="I10" s="194">
        <v>112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水のマッドハッター</v>
      </c>
      <c r="K10" s="192">
        <v>1</v>
      </c>
      <c r="L10" s="193">
        <v>1</v>
      </c>
      <c r="M10" s="193">
        <v>10</v>
      </c>
      <c r="N10" s="2" t="s">
        <v>292</v>
      </c>
    </row>
    <row r="11" spans="1:14" ht="21" customHeight="1" x14ac:dyDescent="0.15">
      <c r="A11" s="61" t="str">
        <f t="shared" si="2"/>
        <v>1367_1006</v>
      </c>
      <c r="B11" s="195">
        <v>1367</v>
      </c>
      <c r="C11" s="178">
        <f t="shared" si="3"/>
        <v>1367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ベルヌーイ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PremiumSSS</v>
      </c>
      <c r="G11" s="195">
        <v>1368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憤流する水鳴砲 ベルヌーイ</v>
      </c>
      <c r="I11" s="194">
        <v>1006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セルケト</v>
      </c>
      <c r="K11" s="192">
        <v>1</v>
      </c>
      <c r="L11" s="193">
        <v>1</v>
      </c>
      <c r="M11" s="193">
        <v>100</v>
      </c>
      <c r="N11" s="2" t="s">
        <v>292</v>
      </c>
    </row>
    <row r="12" spans="1:14" ht="21" customHeight="1" x14ac:dyDescent="0.15">
      <c r="A12" s="61" t="str">
        <f t="shared" si="2"/>
        <v>1367_310</v>
      </c>
      <c r="B12" s="195">
        <v>1367</v>
      </c>
      <c r="C12" s="178">
        <f t="shared" si="3"/>
        <v>1367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ベルヌーイ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PremiumSSS</v>
      </c>
      <c r="G12" s="195">
        <v>1368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憤流する水鳴砲 ベルヌーイ</v>
      </c>
      <c r="I12" s="194">
        <v>310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リードシクティス</v>
      </c>
      <c r="K12" s="192">
        <v>1</v>
      </c>
      <c r="L12" s="193">
        <v>1</v>
      </c>
      <c r="M12" s="193">
        <v>100</v>
      </c>
      <c r="N12" s="2" t="s">
        <v>292</v>
      </c>
    </row>
    <row r="13" spans="1:14" ht="21" customHeight="1" x14ac:dyDescent="0.15">
      <c r="A13" s="61" t="str">
        <f t="shared" si="2"/>
        <v>1367_837</v>
      </c>
      <c r="B13" s="195">
        <v>1367</v>
      </c>
      <c r="C13" s="178">
        <f t="shared" si="3"/>
        <v>1367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ベルヌーイ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PremiumSSS</v>
      </c>
      <c r="G13" s="195">
        <v>1368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憤流する水鳴砲 ベルヌーイ</v>
      </c>
      <c r="I13" s="194">
        <v>837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リトルハンプティ</v>
      </c>
      <c r="K13" s="192">
        <v>1</v>
      </c>
      <c r="L13" s="193">
        <v>1</v>
      </c>
      <c r="M13" s="193">
        <v>1000</v>
      </c>
      <c r="N13" s="2" t="s">
        <v>292</v>
      </c>
    </row>
    <row r="14" spans="1:14" ht="21" customHeight="1" x14ac:dyDescent="0.15">
      <c r="A14" s="61" t="str">
        <f t="shared" ref="A14:A17" si="4">B14&amp;"_"&amp;I14</f>
        <v>1234_104</v>
      </c>
      <c r="B14" s="195">
        <v>1234</v>
      </c>
      <c r="C14" s="178">
        <f t="shared" ref="C14:C17" si="5">B14</f>
        <v>1234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ボーア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PremiumSSS</v>
      </c>
      <c r="G14" s="195">
        <v>1235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哲壁の育護者 ボーア</v>
      </c>
      <c r="I14" s="194">
        <v>104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炎のマッドハッター</v>
      </c>
      <c r="K14" s="192">
        <v>1</v>
      </c>
      <c r="L14" s="193">
        <v>1</v>
      </c>
      <c r="M14" s="193">
        <v>10</v>
      </c>
      <c r="N14" s="2" t="s">
        <v>292</v>
      </c>
    </row>
    <row r="15" spans="1:14" ht="21" customHeight="1" x14ac:dyDescent="0.15">
      <c r="A15" s="61" t="str">
        <f t="shared" si="4"/>
        <v>1234_306</v>
      </c>
      <c r="B15" s="195">
        <v>1234</v>
      </c>
      <c r="C15" s="178">
        <f t="shared" si="5"/>
        <v>1234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ボーア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PremiumSSS</v>
      </c>
      <c r="G15" s="195">
        <v>1235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哲壁の育護者 ボーア</v>
      </c>
      <c r="I15" s="194">
        <v>306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メガロドン</v>
      </c>
      <c r="K15" s="192">
        <v>1</v>
      </c>
      <c r="L15" s="193">
        <v>2</v>
      </c>
      <c r="M15" s="193">
        <v>100</v>
      </c>
      <c r="N15" s="2" t="s">
        <v>292</v>
      </c>
    </row>
    <row r="16" spans="1:14" ht="21" customHeight="1" x14ac:dyDescent="0.15">
      <c r="A16" s="61" t="str">
        <f t="shared" si="4"/>
        <v>1234_272</v>
      </c>
      <c r="B16" s="195">
        <v>1234</v>
      </c>
      <c r="C16" s="178">
        <f t="shared" si="5"/>
        <v>1234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ボーア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PremiumSSS</v>
      </c>
      <c r="G16" s="195">
        <v>1235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哲壁の育護者 ボーア</v>
      </c>
      <c r="I16" s="194">
        <v>272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魔札のシルベール</v>
      </c>
      <c r="K16" s="192">
        <v>1</v>
      </c>
      <c r="L16" s="193">
        <v>2</v>
      </c>
      <c r="M16" s="193">
        <v>100</v>
      </c>
      <c r="N16" s="2" t="s">
        <v>292</v>
      </c>
    </row>
    <row r="17" spans="1:14" ht="21" customHeight="1" x14ac:dyDescent="0.15">
      <c r="A17" s="61" t="str">
        <f t="shared" si="4"/>
        <v>1234_837</v>
      </c>
      <c r="B17" s="195">
        <v>1234</v>
      </c>
      <c r="C17" s="178">
        <f t="shared" si="5"/>
        <v>1234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ボーア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PremiumSSS</v>
      </c>
      <c r="G17" s="195">
        <v>1235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哲壁の育護者 ボーア</v>
      </c>
      <c r="I17" s="194">
        <v>837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リトルハンプティ</v>
      </c>
      <c r="K17" s="192">
        <v>1</v>
      </c>
      <c r="L17" s="193">
        <v>1</v>
      </c>
      <c r="M17" s="193">
        <v>1000</v>
      </c>
      <c r="N17" s="2" t="s">
        <v>292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304</v>
      </c>
      <c r="B1" s="115" t="s">
        <v>305</v>
      </c>
      <c r="C1" s="116" t="s">
        <v>306</v>
      </c>
      <c r="D1" s="117" t="s">
        <v>307</v>
      </c>
      <c r="E1" s="117" t="s">
        <v>308</v>
      </c>
      <c r="F1" s="117" t="s">
        <v>309</v>
      </c>
      <c r="G1" s="117" t="s">
        <v>310</v>
      </c>
      <c r="H1" s="117" t="s">
        <v>311</v>
      </c>
      <c r="I1" s="173" t="s">
        <v>312</v>
      </c>
      <c r="J1" s="168" t="s">
        <v>313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9"/>
  <sheetViews>
    <sheetView workbookViewId="0">
      <selection activeCell="D15" sqref="D1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269</v>
      </c>
      <c r="C1" s="115" t="s">
        <v>270</v>
      </c>
      <c r="D1" s="115" t="s">
        <v>271</v>
      </c>
      <c r="E1" s="171" t="s">
        <v>272</v>
      </c>
      <c r="F1" s="171" t="s">
        <v>273</v>
      </c>
      <c r="G1" s="118" t="s">
        <v>274</v>
      </c>
      <c r="H1" s="167" t="s">
        <v>275</v>
      </c>
    </row>
    <row r="2" spans="1:8" s="4" customFormat="1" ht="21" customHeight="1" x14ac:dyDescent="0.15">
      <c r="A2" s="169">
        <v>1160</v>
      </c>
      <c r="B2" s="172" t="str">
        <f>VLOOKUP(A2,[1]characters!$A:$C,3)</f>
        <v>拡命の大群論 ガロア</v>
      </c>
      <c r="C2" s="196">
        <v>1</v>
      </c>
      <c r="D2" s="196">
        <v>109</v>
      </c>
      <c r="E2" s="173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4" t="s">
        <v>276</v>
      </c>
      <c r="H2" s="197" t="s">
        <v>323</v>
      </c>
    </row>
    <row r="3" spans="1:8" s="4" customFormat="1" ht="21" customHeight="1" x14ac:dyDescent="0.15">
      <c r="A3" s="169">
        <v>1160</v>
      </c>
      <c r="B3" s="172" t="str">
        <f>VLOOKUP(A3,[1]characters!$A:$C,3)</f>
        <v>拡命の大群論 ガロア</v>
      </c>
      <c r="C3" s="196">
        <v>2</v>
      </c>
      <c r="D3" s="196">
        <v>1500</v>
      </c>
      <c r="E3" s="173" t="str">
        <f>IF(ISERROR(VLOOKUP(D3,[3]abilities!A:D,3,FALSE))=FALSE,VLOOKUP(D3,[3]abilities!A:D,3),IF(ISERROR(VLOOKUP(D3,abilities!A:D,3,FALSE))=FALSE,VLOOKUP(D3,abilities!A:D,3),"なし"))</f>
        <v>バリア15000</v>
      </c>
      <c r="F3" s="173" t="str">
        <f>IF(ISERROR(VLOOKUP(D3,[3]abilities!A:D,4,FALSE))=FALSE,VLOOKUP(D3,[3]abilities!A:D,4),IF(ISERROR(VLOOKUP(D3,abilities!A:D,4,FALSE))=FALSE,VLOOKUP(D3,abilities!A:D,4),"なし"))</f>
        <v>戦闘開始時に、自身への直接ダメージを15000まで防ぐバリアを一度だけ展開(バリアは破壊されると復活しない)</v>
      </c>
      <c r="G3" s="174" t="s">
        <v>276</v>
      </c>
      <c r="H3" s="197" t="s">
        <v>323</v>
      </c>
    </row>
    <row r="4" spans="1:8" s="4" customFormat="1" ht="21" customHeight="1" x14ac:dyDescent="0.15">
      <c r="A4" s="169">
        <v>1366</v>
      </c>
      <c r="B4" s="172" t="str">
        <f>VLOOKUP(A4,[1]characters!$A:$C,3)</f>
        <v>バリアテスト</v>
      </c>
      <c r="C4" s="196">
        <v>1</v>
      </c>
      <c r="D4" s="196">
        <v>109</v>
      </c>
      <c r="E4" s="173" t="str">
        <f>IF(ISERROR(VLOOKUP(D4,[3]abilities!A:D,3,FALSE))=FALSE,VLOOKUP(D4,[3]abilities!A:D,3),IF(ISERROR(VLOOKUP(D4,abilities!A:D,3,FALSE))=FALSE,VLOOKUP(D4,abilities!A:D,3),"なし"))</f>
        <v>ダメージパネルブレイク</v>
      </c>
      <c r="F4" s="173" t="str">
        <f>IF(ISERROR(VLOOKUP(D4,[3]abilities!A:D,4,FALSE))=FALSE,VLOOKUP(D4,[3]abilities!A:D,4),IF(ISERROR(VLOOKUP(D4,abilities!A:D,4,FALSE))=FALSE,VLOOKUP(D4,abilities!A:D,4),"なし"))</f>
        <v>自身が先頭の時、ダメージを受けずにダメージパネルを破壊できる</v>
      </c>
      <c r="G4" s="174" t="s">
        <v>276</v>
      </c>
      <c r="H4" s="197" t="s">
        <v>323</v>
      </c>
    </row>
    <row r="5" spans="1:8" s="4" customFormat="1" ht="21" customHeight="1" x14ac:dyDescent="0.15">
      <c r="A5" s="169">
        <v>1366</v>
      </c>
      <c r="B5" s="172" t="str">
        <f>VLOOKUP(A5,[1]characters!$A:$C,3)</f>
        <v>バリアテスト</v>
      </c>
      <c r="C5" s="196">
        <v>2</v>
      </c>
      <c r="D5" s="196">
        <v>1501</v>
      </c>
      <c r="E5" s="173" t="str">
        <f>IF(ISERROR(VLOOKUP(D5,[3]abilities!A:D,3,FALSE))=FALSE,VLOOKUP(D5,[3]abilities!A:D,3),IF(ISERROR(VLOOKUP(D5,abilities!A:D,3,FALSE))=FALSE,VLOOKUP(D5,abilities!A:D,3),"なし"))</f>
        <v>バリア</v>
      </c>
      <c r="F5" s="173" t="str">
        <f>IF(ISERROR(VLOOKUP(D5,[3]abilities!A:D,4,FALSE))=FALSE,VLOOKUP(D5,[3]abilities!A:D,4),IF(ISERROR(VLOOKUP(D5,abilities!A:D,4,FALSE))=FALSE,VLOOKUP(D5,abilities!A:D,4),"なし"))</f>
        <v>戦闘開始時に、ダメージを25000まで防ぐバリアを一度だけ展開</v>
      </c>
      <c r="G5" s="174" t="s">
        <v>276</v>
      </c>
      <c r="H5" s="197" t="s">
        <v>323</v>
      </c>
    </row>
    <row r="6" spans="1:8" s="4" customFormat="1" ht="21" customHeight="1" x14ac:dyDescent="0.15">
      <c r="A6" s="169">
        <v>1368</v>
      </c>
      <c r="B6" s="172" t="str">
        <f>VLOOKUP(A6,[1]characters!$A:$C,3)</f>
        <v>憤流する水鳴砲 ベルヌーイ</v>
      </c>
      <c r="C6" s="196">
        <v>1</v>
      </c>
      <c r="D6" s="196">
        <v>100</v>
      </c>
      <c r="E6" s="173" t="str">
        <f>IF(ISERROR(VLOOKUP(D6,[3]abilities!A:D,3,FALSE))=FALSE,VLOOKUP(D6,[3]abilities!A:D,3),IF(ISERROR(VLOOKUP(D6,abilities!A:D,3,FALSE))=FALSE,VLOOKUP(D6,abilities!A:D,3),"なし"))</f>
        <v>プロテクトブレイク</v>
      </c>
      <c r="F6" s="173" t="str">
        <f>IF(ISERROR(VLOOKUP(D6,[3]abilities!A:D,4,FALSE))=FALSE,VLOOKUP(D6,[3]abilities!A:D,4),IF(ISERROR(VLOOKUP(D6,abilities!A:D,4,FALSE))=FALSE,VLOOKUP(D6,abilities!A:D,4),"なし"))</f>
        <v>自身が先頭の時、プロテクトを無視してパネル破壊できる</v>
      </c>
      <c r="G6" s="174" t="s">
        <v>276</v>
      </c>
      <c r="H6" s="197" t="s">
        <v>323</v>
      </c>
    </row>
    <row r="7" spans="1:8" s="4" customFormat="1" ht="21" customHeight="1" x14ac:dyDescent="0.15">
      <c r="A7" s="169">
        <v>1368</v>
      </c>
      <c r="B7" s="172" t="str">
        <f>VLOOKUP(A7,[1]characters!$A:$C,3)</f>
        <v>憤流する水鳴砲 ベルヌーイ</v>
      </c>
      <c r="C7" s="196">
        <v>2</v>
      </c>
      <c r="D7" s="196">
        <v>2400</v>
      </c>
      <c r="E7" s="173" t="str">
        <f>IF(ISERROR(VLOOKUP(D7,[3]abilities!A:D,3,FALSE))=FALSE,VLOOKUP(D7,[3]abilities!A:D,3),IF(ISERROR(VLOOKUP(D7,abilities!A:D,3,FALSE))=FALSE,VLOOKUP(D7,abilities!A:D,3),"なし"))</f>
        <v>ハートボムパネルドロップ</v>
      </c>
      <c r="F7" s="173" t="str">
        <f>IF(ISERROR(VLOOKUP(D7,[3]abilities!A:D,4,FALSE))=FALSE,VLOOKUP(D7,[3]abilities!A:D,4),IF(ISERROR(VLOOKUP(D7,abilities!A:D,4,FALSE))=FALSE,VLOOKUP(D7,abilities!A:D,4),"なし"))</f>
        <v>自身が先頭の時、ハートパネルを確率でハートボムパネルに変換しドロップ</v>
      </c>
      <c r="G7" s="174" t="s">
        <v>276</v>
      </c>
      <c r="H7" s="197" t="s">
        <v>323</v>
      </c>
    </row>
    <row r="8" spans="1:8" s="4" customFormat="1" ht="21" customHeight="1" x14ac:dyDescent="0.15">
      <c r="A8" s="169">
        <v>1235</v>
      </c>
      <c r="B8" s="172" t="str">
        <f>VLOOKUP(A8,[1]characters!$A:$C,3)</f>
        <v>哲壁の育護者 ボーア</v>
      </c>
      <c r="C8" s="196">
        <v>1</v>
      </c>
      <c r="D8" s="196">
        <v>109</v>
      </c>
      <c r="E8" s="173" t="str">
        <f>IF(ISERROR(VLOOKUP(D8,[3]abilities!A:D,3,FALSE))=FALSE,VLOOKUP(D8,[3]abilities!A:D,3),IF(ISERROR(VLOOKUP(D8,abilities!A:D,3,FALSE))=FALSE,VLOOKUP(D8,abilities!A:D,3),"なし"))</f>
        <v>ダメージパネルブレイク</v>
      </c>
      <c r="F8" s="173" t="str">
        <f>IF(ISERROR(VLOOKUP(D8,[3]abilities!A:D,4,FALSE))=FALSE,VLOOKUP(D8,[3]abilities!A:D,4),IF(ISERROR(VLOOKUP(D8,abilities!A:D,4,FALSE))=FALSE,VLOOKUP(D8,abilities!A:D,4),"なし"))</f>
        <v>自身が先頭の時、ダメージを受けずにダメージパネルを破壊できる</v>
      </c>
      <c r="G8" s="174" t="s">
        <v>276</v>
      </c>
      <c r="H8" s="197" t="s">
        <v>323</v>
      </c>
    </row>
    <row r="9" spans="1:8" s="4" customFormat="1" ht="21" customHeight="1" x14ac:dyDescent="0.15">
      <c r="A9" s="169">
        <v>1235</v>
      </c>
      <c r="B9" s="172" t="str">
        <f>VLOOKUP(A9,[1]characters!$A:$C,3)</f>
        <v>哲壁の育護者 ボーア</v>
      </c>
      <c r="C9" s="196">
        <v>2</v>
      </c>
      <c r="D9" s="196">
        <v>1504</v>
      </c>
      <c r="E9" s="173" t="str">
        <f>IF(ISERROR(VLOOKUP(D9,[3]abilities!A:D,3,FALSE))=FALSE,VLOOKUP(D9,[3]abilities!A:D,3),IF(ISERROR(VLOOKUP(D9,abilities!A:D,3,FALSE))=FALSE,VLOOKUP(D9,abilities!A:D,3),"なし"))</f>
        <v>バリア10000</v>
      </c>
      <c r="F9" s="173" t="str">
        <f>IF(ISERROR(VLOOKUP(D9,[3]abilities!A:D,4,FALSE))=FALSE,VLOOKUP(D9,[3]abilities!A:D,4),IF(ISERROR(VLOOKUP(D9,abilities!A:D,4,FALSE))=FALSE,VLOOKUP(D9,abilities!A:D,4),"なし"))</f>
        <v>戦闘開始時に、自身への直接ダメージを10000まで防ぐバリアを一度だけ展開(バリアは破壊されると復活しない)</v>
      </c>
      <c r="G9" s="174" t="s">
        <v>276</v>
      </c>
      <c r="H9" s="197" t="s">
        <v>323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H19" sqref="H19"/>
    </sheetView>
  </sheetViews>
  <sheetFormatPr baseColWidth="12" defaultRowHeight="15" x14ac:dyDescent="0.15"/>
  <sheetData>
    <row r="1" spans="1:2" x14ac:dyDescent="0.15">
      <c r="A1" t="s">
        <v>357</v>
      </c>
      <c r="B1" t="s">
        <v>358</v>
      </c>
    </row>
    <row r="2" spans="1:2" x14ac:dyDescent="0.15">
      <c r="A2" t="s">
        <v>359</v>
      </c>
      <c r="B2">
        <v>1</v>
      </c>
    </row>
    <row r="3" spans="1:2" x14ac:dyDescent="0.15">
      <c r="A3" t="s">
        <v>360</v>
      </c>
      <c r="B3">
        <v>1</v>
      </c>
    </row>
    <row r="4" spans="1:2" x14ac:dyDescent="0.15">
      <c r="A4" t="s">
        <v>361</v>
      </c>
      <c r="B4">
        <v>1</v>
      </c>
    </row>
    <row r="5" spans="1:2" x14ac:dyDescent="0.15">
      <c r="A5" t="s">
        <v>362</v>
      </c>
      <c r="B5">
        <v>1</v>
      </c>
    </row>
    <row r="6" spans="1:2" x14ac:dyDescent="0.15">
      <c r="A6" t="s">
        <v>363</v>
      </c>
      <c r="B6">
        <v>1</v>
      </c>
    </row>
    <row r="7" spans="1:2" x14ac:dyDescent="0.15">
      <c r="A7" t="s">
        <v>364</v>
      </c>
      <c r="B7">
        <v>1</v>
      </c>
    </row>
    <row r="8" spans="1:2" x14ac:dyDescent="0.15">
      <c r="A8" t="s">
        <v>365</v>
      </c>
      <c r="B8">
        <v>1</v>
      </c>
    </row>
    <row r="9" spans="1:2" x14ac:dyDescent="0.15">
      <c r="A9" t="s">
        <v>366</v>
      </c>
      <c r="B9">
        <v>1</v>
      </c>
    </row>
    <row r="10" spans="1:2" x14ac:dyDescent="0.15">
      <c r="A10" t="s">
        <v>367</v>
      </c>
      <c r="B10">
        <v>1</v>
      </c>
    </row>
    <row r="11" spans="1:2" x14ac:dyDescent="0.15">
      <c r="A11" t="s">
        <v>368</v>
      </c>
      <c r="B11">
        <v>1</v>
      </c>
    </row>
    <row r="12" spans="1:2" x14ac:dyDescent="0.15">
      <c r="A12" t="s">
        <v>369</v>
      </c>
      <c r="B12">
        <v>1</v>
      </c>
    </row>
    <row r="13" spans="1:2" x14ac:dyDescent="0.15">
      <c r="A13" t="s">
        <v>370</v>
      </c>
      <c r="B13">
        <v>0</v>
      </c>
    </row>
    <row r="14" spans="1:2" x14ac:dyDescent="0.15">
      <c r="A14" t="s">
        <v>371</v>
      </c>
      <c r="B14">
        <v>500</v>
      </c>
    </row>
    <row r="15" spans="1:2" x14ac:dyDescent="0.15">
      <c r="A15" t="s">
        <v>372</v>
      </c>
      <c r="B15">
        <v>600</v>
      </c>
    </row>
    <row r="16" spans="1:2" x14ac:dyDescent="0.15">
      <c r="A16" t="s">
        <v>373</v>
      </c>
      <c r="B16">
        <v>700</v>
      </c>
    </row>
    <row r="17" spans="1:2" x14ac:dyDescent="0.15">
      <c r="A17" t="s">
        <v>374</v>
      </c>
      <c r="B17">
        <v>5500</v>
      </c>
    </row>
    <row r="18" spans="1:2" x14ac:dyDescent="0.15">
      <c r="A18" t="s">
        <v>375</v>
      </c>
      <c r="B18">
        <v>6000</v>
      </c>
    </row>
    <row r="19" spans="1:2" x14ac:dyDescent="0.15">
      <c r="A19" t="s">
        <v>376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314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315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316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2017-06-06T07:55:57Z</dcterms:modified>
</cp:coreProperties>
</file>