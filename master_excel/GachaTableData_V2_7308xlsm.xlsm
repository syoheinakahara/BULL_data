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3"/>
  </bookViews>
  <sheets>
    <sheet name="確率の考え方" sheetId="110" r:id="rId1"/>
    <sheet name="Sheet1" sheetId="107" r:id="rId2"/>
    <sheet name="output" sheetId="103" r:id="rId3"/>
    <sheet name="tables_7308" sheetId="159" r:id="rId4"/>
    <sheet name="tables_settle_7308" sheetId="160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3" hidden="1">tables_7308!$A$1:$V$1</definedName>
    <definedName name="_xlnm._FilterDatabase" localSheetId="4" hidden="1">tables_settle_7308!$A$1:$V$1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60" l="1"/>
  <c r="N2" i="160"/>
  <c r="M2" i="160"/>
  <c r="L2" i="160"/>
  <c r="K2" i="160"/>
  <c r="J2" i="160"/>
  <c r="I2" i="160"/>
  <c r="H2" i="160"/>
  <c r="F2" i="160"/>
  <c r="E2" i="160"/>
  <c r="D2" i="160"/>
  <c r="C2" i="160"/>
  <c r="C3" i="103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C4" i="103"/>
  <c r="E4" i="103"/>
  <c r="E3" i="103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<sst xmlns="http://schemas.openxmlformats.org/spreadsheetml/2006/main" count="312" uniqueCount="176">
  <si>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</si>
  <si>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</si>
  <si>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</si>
  <si>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</si>
  <si>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</si>
  <si>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</si>
  <si>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</si>
  <si>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</si>
  <si>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</si>
  <si>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</si>
  <si>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</si>
  <si>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</si>
  <si>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</si>
  <si>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</si>
  <si>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</si>
  <si>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</si>
  <si>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</si>
  <si>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</si>
  <si>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</si>
  <si>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</si>
  <si>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</si>
  <si>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</si>
  <si>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</si>
  <si>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</si>
  <si>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</si>
  <si>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</si>
  <si>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</si>
  <si>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</si>
  <si>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</si>
  <si>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</si>
  <si>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</si>
  <si>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</si>
  <si>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</si>
  <si>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</si>
  <si>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</si>
  <si>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</si>
  <si>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</si>
  <si>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</si>
  <si>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</si>
  <si>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</si>
  <si>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</si>
  <si>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</si>
  <si>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</si>
  <si>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</si>
  <si>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</si>
  <si>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性別</t>
    <rPh sb="0" eb="2">
      <t>セイベツ</t>
    </rPh>
    <phoneticPr fontId="22"/>
  </si>
  <si>
    <t>ピックアップ確率</t>
    <rPh sb="6" eb="8">
      <t>カクリツ</t>
    </rPh>
    <phoneticPr fontId="22"/>
  </si>
  <si>
    <t>確率</t>
    <rPh sb="0" eb="2">
      <t>カクリツ</t>
    </rPh>
    <phoneticPr fontId="22"/>
  </si>
  <si>
    <t>名前</t>
    <rPh sb="0" eb="2">
      <t>ナマエ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</si>
  <si>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</si>
  <si>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</si>
  <si>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</si>
  <si>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</si>
  <si>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table_no</t>
    <phoneticPr fontId="22"/>
  </si>
  <si>
    <t>table_no</t>
    <phoneticPr fontId="22"/>
  </si>
  <si>
    <t>skill_level</t>
  </si>
  <si>
    <t>level</t>
  </si>
  <si>
    <t>drop_label2</t>
    <phoneticPr fontId="22"/>
  </si>
  <si>
    <t>color2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</si>
  <si>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</si>
  <si>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</si>
  <si>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</si>
  <si>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</si>
  <si>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</si>
  <si>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</si>
  <si>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</si>
  <si>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</si>
  <si>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</si>
  <si>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</si>
  <si>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</si>
  <si>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</si>
  <si>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</si>
  <si>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</si>
  <si>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</si>
  <si>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</si>
  <si>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</si>
  <si>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</si>
  <si>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</si>
  <si>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</si>
  <si>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</si>
  <si>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</si>
  <si>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</si>
  <si>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</si>
  <si>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</si>
  <si>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</si>
  <si>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</si>
  <si>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</si>
  <si>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</si>
  <si>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</si>
  <si>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</si>
  <si>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</si>
  <si>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</si>
  <si>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</si>
  <si>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</si>
  <si>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</si>
  <si>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</si>
  <si>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</si>
  <si>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</si>
  <si>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</si>
  <si>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</si>
  <si>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</si>
  <si>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</si>
  <si>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</si>
  <si>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</si>
  <si>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</si>
  <si>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</si>
  <si>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</si>
  <si>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</si>
  <si>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</si>
  <si>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</si>
  <si>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</si>
  <si>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</si>
  <si>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</si>
  <si>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</si>
  <si>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</si>
  <si>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</si>
  <si>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</si>
  <si>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</si>
  <si>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</si>
  <si>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</si>
  <si>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</si>
  <si>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</si>
  <si>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</si>
  <si>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</si>
  <si>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</si>
  <si>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</si>
  <si>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</si>
  <si>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</si>
  <si>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</si>
  <si>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</si>
  <si>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</si>
  <si>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</si>
  <si>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</si>
  <si>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</si>
  <si>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</si>
  <si>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</si>
  <si>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</si>
  <si>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</si>
  <si>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</si>
  <si>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</si>
  <si>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</si>
  <si>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</si>
  <si>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</si>
  <si>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</si>
  <si>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</si>
  <si>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</si>
  <si>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</si>
  <si>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</si>
  <si>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</si>
  <si>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</si>
  <si>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</si>
  <si>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</si>
  <si>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</si>
  <si>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</si>
  <si>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</si>
  <si>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</si>
  <si>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</si>
  <si>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</si>
  <si>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</si>
  <si>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</si>
  <si>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</si>
  <si>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</si>
  <si>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</si>
  <si>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</si>
  <si>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</si>
  <si>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</si>
  <si>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skip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</si>
  <si>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</si>
  <si>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</si>
  <si>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</si>
  <si>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</si>
  <si>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</si>
  <si>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tables_settle_426105</t>
    <phoneticPr fontId="22"/>
  </si>
  <si>
    <t>tables_426101</t>
    <phoneticPr fontId="22"/>
  </si>
  <si>
    <t>tables_7308</t>
    <phoneticPr fontId="22"/>
  </si>
  <si>
    <t>tables_settle_7308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</si>
</sst>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59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3" xfId="0" applyFont="1" applyFill="1" applyBorder="1" applyAlignment="1">
      <alignment horizontal="right" vertical="center"/>
    </xf>
    <xf numFmtId="0" fontId="27" fillId="2" borderId="1" xfId="2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1" borderId="1" xfId="2978" applyFont="1" applyFill="1" applyBorder="1"/>
    <xf numFmtId="0" fontId="15" fillId="21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1" borderId="1" xfId="0" applyFont="1" applyFill="1" applyBorder="1"/>
    <xf numFmtId="0" fontId="54" fillId="22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12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26" fillId="23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0" fontId="8" fillId="0" borderId="0" xfId="3662" applyFont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6" fillId="4" borderId="1" xfId="2978" applyFont="1" applyFill="1" applyBorder="1"/>
    <xf numFmtId="0" fontId="6" fillId="0" borderId="1" xfId="3036" applyFont="1" applyBorder="1"/>
    <xf numFmtId="0" fontId="0" fillId="0" borderId="0" xfId="0" applyFill="1" applyBorder="1"/>
    <xf numFmtId="176" fontId="0" fillId="0" borderId="0" xfId="3575" applyNumberFormat="1" applyFont="1" applyFill="1" applyBorder="1"/>
    <xf numFmtId="0" fontId="54" fillId="0" borderId="0" xfId="0" applyFont="1" applyFill="1" applyBorder="1" applyAlignment="1">
      <alignment vertical="center"/>
    </xf>
    <xf numFmtId="0" fontId="5" fillId="0" borderId="1" xfId="2978" applyFont="1" applyBorder="1"/>
    <xf numFmtId="0" fontId="5" fillId="4" borderId="1" xfId="2978" applyFont="1" applyFill="1" applyBorder="1"/>
    <xf numFmtId="0" fontId="4" fillId="4" borderId="1" xfId="2978" applyFont="1" applyFill="1" applyBorder="1"/>
    <xf numFmtId="0" fontId="3" fillId="4" borderId="1" xfId="2978" applyFont="1" applyFill="1" applyBorder="1"/>
    <xf numFmtId="0" fontId="27" fillId="0" borderId="1" xfId="2" applyFont="1" applyFill="1" applyBorder="1" applyAlignment="1">
      <alignment vertical="center"/>
    </xf>
    <xf numFmtId="0" fontId="2" fillId="4" borderId="1" xfId="2978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レア６何仙姑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レア６藍采和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  <row r="1472">
          <cell r="A1472">
            <v>8095</v>
          </cell>
          <cell r="B1472" t="str">
            <v>ja</v>
          </cell>
          <cell r="C1472" t="str">
            <v>バハムートダック赤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red</v>
          </cell>
          <cell r="I1472">
            <v>6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8096</v>
          </cell>
          <cell r="B1473" t="str">
            <v>ja</v>
          </cell>
          <cell r="C1473" t="str">
            <v>バハムートダック緑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green</v>
          </cell>
          <cell r="I1473">
            <v>6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8097</v>
          </cell>
          <cell r="B1474" t="str">
            <v>ja</v>
          </cell>
          <cell r="C1474" t="str">
            <v>バハムートダック青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8098</v>
          </cell>
          <cell r="B1475" t="str">
            <v>ja</v>
          </cell>
          <cell r="C1475" t="str">
            <v>バハムートダック黄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6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3" sqref="A3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9" t="s">
        <v>169</v>
      </c>
      <c r="B2" s="38" t="s">
        <v>59</v>
      </c>
      <c r="C2" s="35">
        <v>7308</v>
      </c>
      <c r="D2" s="16" t="s">
        <v>37</v>
      </c>
      <c r="E2" s="14" t="str">
        <f t="shared" ref="E2:E3" si="0">B2&amp;C2&amp;D2</f>
        <v>gacha_select_tables_7308.tmp</v>
      </c>
      <c r="F2" s="56" t="s">
        <v>174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9" t="s">
        <v>169</v>
      </c>
      <c r="B3" s="53" t="s">
        <v>170</v>
      </c>
      <c r="C3" s="54" t="str">
        <f>RIGHT(F3,4)</f>
        <v>7308</v>
      </c>
      <c r="D3" s="16" t="s">
        <v>171</v>
      </c>
      <c r="E3" s="14" t="str">
        <f t="shared" si="0"/>
        <v>gacha_settle_tables_7308.tmp</v>
      </c>
      <c r="F3" s="58" t="s">
        <v>175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7" t="s">
        <v>166</v>
      </c>
      <c r="B4" s="53" t="s">
        <v>170</v>
      </c>
      <c r="C4" s="54" t="str">
        <f t="shared" ref="C4" si="1">RIGHT(F4,6)</f>
        <v>426105</v>
      </c>
      <c r="D4" s="16" t="s">
        <v>171</v>
      </c>
      <c r="E4" s="14" t="str">
        <f t="shared" ref="E4" si="2">B4&amp;C4&amp;D4</f>
        <v>gacha_settle_tables_426105.tmp</v>
      </c>
      <c r="F4" s="54" t="s">
        <v>172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7" t="s">
        <v>166</v>
      </c>
      <c r="B5" s="38" t="s">
        <v>59</v>
      </c>
      <c r="C5" s="35" t="str">
        <f t="shared" ref="C5:C7" si="3">RIGHT(F5,6)</f>
        <v>426101</v>
      </c>
      <c r="D5" s="16" t="s">
        <v>37</v>
      </c>
      <c r="E5" s="14" t="str">
        <f t="shared" ref="E5:E7" si="4">B5&amp;C5&amp;D5</f>
        <v>gacha_select_tables_426101.tmp</v>
      </c>
      <c r="F5" s="55" t="s">
        <v>173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7" t="s">
        <v>166</v>
      </c>
      <c r="B6" s="38" t="s">
        <v>59</v>
      </c>
      <c r="C6" s="35" t="str">
        <f t="shared" ref="C6" si="5">RIGHT(F6,6)</f>
        <v>363105</v>
      </c>
      <c r="D6" s="16" t="s">
        <v>37</v>
      </c>
      <c r="E6" s="14" t="str">
        <f t="shared" ref="E6" si="6">B6&amp;C6&amp;D6</f>
        <v>gacha_select_tables_363105.tmp</v>
      </c>
      <c r="F6" s="48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7" t="s">
        <v>166</v>
      </c>
      <c r="B7" s="38" t="s">
        <v>59</v>
      </c>
      <c r="C7" s="35" t="str">
        <f t="shared" si="3"/>
        <v>363100</v>
      </c>
      <c r="D7" s="16" t="s">
        <v>37</v>
      </c>
      <c r="E7" s="14" t="str">
        <f t="shared" si="4"/>
        <v>gacha_select_tables_363100.tmp</v>
      </c>
      <c r="F7" s="48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7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7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7" t="s">
        <v>166</v>
      </c>
      <c r="B9" s="16" t="s">
        <v>40</v>
      </c>
      <c r="C9" s="28">
        <v>426</v>
      </c>
      <c r="D9" s="16" t="s">
        <v>38</v>
      </c>
      <c r="E9" s="14" t="str">
        <f t="shared" si="7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7" t="s">
        <v>166</v>
      </c>
      <c r="B10" s="16" t="s">
        <v>41</v>
      </c>
      <c r="C10" s="28">
        <v>426</v>
      </c>
      <c r="D10" s="16" t="s">
        <v>38</v>
      </c>
      <c r="E10" s="14" t="str">
        <f t="shared" si="7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0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O20" sqref="O20:O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7308010</v>
      </c>
      <c r="B2" s="57">
        <v>119</v>
      </c>
      <c r="C2" s="7" t="str">
        <f t="shared" ref="C2:C6" si="0">D2&amp;J2&amp;E2&amp;F2&amp;G2</f>
        <v>Premium5R3less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2">
        <v>775</v>
      </c>
      <c r="P2" s="33">
        <f t="shared" ref="P2:P19" si="1">O2/SUM(O:O)</f>
        <v>7.7499999999999999E-2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7308010</v>
      </c>
      <c r="B3" s="57">
        <v>120</v>
      </c>
      <c r="C3" s="7" t="str">
        <f t="shared" si="0"/>
        <v>Premium6R3less</v>
      </c>
      <c r="D3" s="7" t="str">
        <f t="shared" ref="D3:D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2">
        <v>500</v>
      </c>
      <c r="P3" s="33">
        <f t="shared" si="1"/>
        <v>0.05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7308010</v>
      </c>
      <c r="B4" s="57">
        <v>121</v>
      </c>
      <c r="C4" s="7" t="str">
        <f t="shared" si="0"/>
        <v>Premium3R3less</v>
      </c>
      <c r="D4" s="7" t="str">
        <f t="shared" si="2"/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2">
        <v>600</v>
      </c>
      <c r="P4" s="33">
        <f t="shared" si="1"/>
        <v>0.06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7308010</v>
      </c>
      <c r="B5" s="57">
        <v>122</v>
      </c>
      <c r="C5" s="7" t="str">
        <f t="shared" si="0"/>
        <v>Premium3R3less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2">
        <v>600</v>
      </c>
      <c r="P5" s="33">
        <f t="shared" si="1"/>
        <v>0.06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7308010</v>
      </c>
      <c r="B6" s="57">
        <v>123</v>
      </c>
      <c r="C6" s="7" t="str">
        <f t="shared" si="0"/>
        <v>Premium3R3less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2">
        <v>600</v>
      </c>
      <c r="P6" s="33">
        <f t="shared" si="1"/>
        <v>0.06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7308010</v>
      </c>
      <c r="B7" s="2">
        <v>125</v>
      </c>
      <c r="C7" s="7" t="str">
        <f t="shared" ref="C7:C32" si="3">D7&amp;J7&amp;E7&amp;F7&amp;G7</f>
        <v>Premium3R3less</v>
      </c>
      <c r="D7" s="7" t="str">
        <f t="shared" ref="D7:D32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2">
        <v>325</v>
      </c>
      <c r="P7" s="33">
        <f t="shared" si="1"/>
        <v>3.2500000000000001E-2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7308010</v>
      </c>
      <c r="B8" s="2">
        <v>334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IF(COUNTIF('R6追加前'!A:A,B8)=0,IF(OR(I8="PremiumSS",I8="PremiumSSw"),"R5only","R3less"),"")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2">
        <v>250</v>
      </c>
      <c r="P8" s="33">
        <f t="shared" si="1"/>
        <v>2.5000000000000001E-2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7308010</v>
      </c>
      <c r="B9" s="2">
        <v>335</v>
      </c>
      <c r="C9" s="7" t="str">
        <f t="shared" si="3"/>
        <v>Premium6R3less</v>
      </c>
      <c r="D9" s="7" t="str">
        <f t="shared" si="4"/>
        <v>Premium</v>
      </c>
      <c r="E9" s="7" t="str">
        <f>IF(COUNTIF('R6追加前'!A:A,B9)=0,IF(OR(I9="PremiumSS",I9="PremiumSSw"),"R5only","R3less"),"")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炎のメタルジェントル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2">
        <v>350</v>
      </c>
      <c r="P9" s="33">
        <f t="shared" si="1"/>
        <v>3.5000000000000003E-2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7308010</v>
      </c>
      <c r="B10" s="2">
        <v>338</v>
      </c>
      <c r="C10" s="7" t="str">
        <f t="shared" si="3"/>
        <v>Premium5R3less</v>
      </c>
      <c r="D10" s="7" t="str">
        <f t="shared" si="4"/>
        <v>Premium</v>
      </c>
      <c r="E10" s="7" t="str">
        <f>IF(COUNTIF('R6追加前'!A:A,B10)=0,IF(OR(I10="PremiumSS",I10="PremiumSSw"),"R5only","R3less"),"")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森のメタルダック</v>
      </c>
      <c r="I10" s="7" t="str">
        <f>VLOOKUP(B10,[1]characters!$A:$J,10,FALSE)</f>
        <v>Material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2">
        <v>250</v>
      </c>
      <c r="P10" s="33">
        <f t="shared" si="1"/>
        <v>2.5000000000000001E-2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7308010</v>
      </c>
      <c r="B11" s="2">
        <v>339</v>
      </c>
      <c r="C11" s="7" t="str">
        <f t="shared" si="3"/>
        <v>Premium6R3less</v>
      </c>
      <c r="D11" s="7" t="str">
        <f t="shared" si="4"/>
        <v>Premium</v>
      </c>
      <c r="E11" s="7" t="str">
        <f>IF(COUNTIF('R6追加前'!A:A,B11)=0,IF(OR(I11="PremiumSS",I11="PremiumSSw"),"R5only","R3less"),"")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森のメタルジェントル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green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2">
        <v>350</v>
      </c>
      <c r="P11" s="33">
        <f t="shared" si="1"/>
        <v>3.5000000000000003E-2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7308010</v>
      </c>
      <c r="B12" s="2">
        <v>342</v>
      </c>
      <c r="C12" s="7" t="str">
        <f t="shared" si="3"/>
        <v>Premium5R3less</v>
      </c>
      <c r="D12" s="7" t="str">
        <f t="shared" si="4"/>
        <v>Premium</v>
      </c>
      <c r="E12" s="7" t="str">
        <f>IF(COUNTIF('R6追加前'!A:A,B12)=0,IF(OR(I12="PremiumSS",I12="PremiumSSw"),"R5only","R3less"),"")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水のメタルダック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2">
        <v>250</v>
      </c>
      <c r="P12" s="33">
        <f t="shared" si="1"/>
        <v>2.5000000000000001E-2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7308010</v>
      </c>
      <c r="B13" s="2">
        <v>343</v>
      </c>
      <c r="C13" s="7" t="str">
        <f t="shared" si="3"/>
        <v>Premium6R3less</v>
      </c>
      <c r="D13" s="7" t="str">
        <f t="shared" si="4"/>
        <v>Premium</v>
      </c>
      <c r="E13" s="7" t="str">
        <f>IF(COUNTIF('R6追加前'!A:A,B13)=0,IF(OR(I13="PremiumSS",I13="PremiumSSw"),"R5only","R3less"),"")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水のメタルジェントル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2">
        <v>350</v>
      </c>
      <c r="P13" s="33">
        <f t="shared" si="1"/>
        <v>3.5000000000000003E-2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7308010</v>
      </c>
      <c r="B14" s="2">
        <v>346</v>
      </c>
      <c r="C14" s="7" t="str">
        <f t="shared" si="3"/>
        <v>Premium5R3less</v>
      </c>
      <c r="D14" s="7" t="str">
        <f t="shared" si="4"/>
        <v>Premium</v>
      </c>
      <c r="E14" s="7" t="str">
        <f>IF(COUNTIF('R6追加前'!A:A,B14)=0,IF(OR(I14="PremiumSS",I14="PremiumSSw"),"R5only","R3less"),"")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雷のメタルダック</v>
      </c>
      <c r="I14" s="7" t="str">
        <f>VLOOKUP(B14,[1]characters!$A:$J,10,FALSE)</f>
        <v>Material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2">
        <v>250</v>
      </c>
      <c r="P14" s="33">
        <f t="shared" si="1"/>
        <v>2.5000000000000001E-2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7308010</v>
      </c>
      <c r="B15" s="2">
        <v>347</v>
      </c>
      <c r="C15" s="7" t="str">
        <f t="shared" si="3"/>
        <v>Premium6R3less</v>
      </c>
      <c r="D15" s="7" t="str">
        <f t="shared" si="4"/>
        <v>Premium</v>
      </c>
      <c r="E15" s="7" t="str">
        <f>IF(COUNTIF('R6追加前'!A:A,B15)=0,IF(OR(I15="PremiumSS",I15="PremiumSSw"),"R5only","R3less"),"")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雷のメタルジェントル</v>
      </c>
      <c r="I15" s="7" t="str">
        <f>VLOOKUP(B15,[1]characters!$A:$J,10,FALSE)</f>
        <v>Material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2">
        <v>350</v>
      </c>
      <c r="P15" s="33">
        <f t="shared" si="1"/>
        <v>3.5000000000000003E-2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7308010</v>
      </c>
      <c r="B16" s="2">
        <v>349</v>
      </c>
      <c r="C16" s="7" t="str">
        <f t="shared" si="3"/>
        <v>Premium4R3less</v>
      </c>
      <c r="D16" s="7" t="str">
        <f t="shared" si="4"/>
        <v>Premium</v>
      </c>
      <c r="E16" s="7" t="str">
        <f>IF(COUNTIF('R6追加前'!A:A,B16)=0,IF(OR(I16="PremiumSS",I16="PremiumSSw"),"R5only","R3less"),"")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炎のメタルフロッグ</v>
      </c>
      <c r="I16" s="7" t="str">
        <f>VLOOKUP(B16,[1]characters!$A:$J,10,FALSE)</f>
        <v>Material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2">
        <v>100</v>
      </c>
      <c r="P16" s="33">
        <f t="shared" si="1"/>
        <v>0.01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7308010</v>
      </c>
      <c r="B17" s="2">
        <v>351</v>
      </c>
      <c r="C17" s="7" t="str">
        <f t="shared" si="3"/>
        <v>Premium4R3less</v>
      </c>
      <c r="D17" s="7" t="str">
        <f t="shared" si="4"/>
        <v>Premium</v>
      </c>
      <c r="E17" s="7" t="str">
        <f>IF(COUNTIF('R6追加前'!A:A,B17)=0,IF(OR(I17="PremiumSS",I17="PremiumSSw"),"R5only","R3less"),"")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森のメタルフロッグ</v>
      </c>
      <c r="I17" s="7" t="str">
        <f>VLOOKUP(B17,[1]characters!$A:$J,10,FALSE)</f>
        <v>Material</v>
      </c>
      <c r="J17" s="7">
        <f>VLOOKUP(B17,[1]characters!$A:$I,9,FALSE)</f>
        <v>4</v>
      </c>
      <c r="K17" s="7" t="str">
        <f>VLOOKUP(B17,[1]characters!$A:$H,8,FALSE)</f>
        <v>green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2">
        <v>100</v>
      </c>
      <c r="P17" s="33">
        <f t="shared" si="1"/>
        <v>0.01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7308010</v>
      </c>
      <c r="B18" s="2">
        <v>353</v>
      </c>
      <c r="C18" s="7" t="str">
        <f t="shared" si="3"/>
        <v>Premium4R3less</v>
      </c>
      <c r="D18" s="7" t="str">
        <f t="shared" si="4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水のメタルフロッグ</v>
      </c>
      <c r="I18" s="7" t="str">
        <f>VLOOKUP(B18,[1]characters!$A:$J,10,FALSE)</f>
        <v>Material</v>
      </c>
      <c r="J18" s="7">
        <f>VLOOKUP(B18,[1]characters!$A:$I,9,FALSE)</f>
        <v>4</v>
      </c>
      <c r="K18" s="7" t="str">
        <f>VLOOKUP(B18,[1]characters!$A:$H,8,FALSE)</f>
        <v>blue</v>
      </c>
      <c r="L18" s="7" t="str">
        <f>VLOOKUP(B18,[1]characters!$A:$K,11,FALSE)</f>
        <v>exp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2">
        <v>100</v>
      </c>
      <c r="P18" s="33">
        <f t="shared" si="1"/>
        <v>0.01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7308010</v>
      </c>
      <c r="B19" s="2">
        <v>355</v>
      </c>
      <c r="C19" s="7" t="str">
        <f t="shared" si="3"/>
        <v>Premium4R3less</v>
      </c>
      <c r="D19" s="7" t="str">
        <f t="shared" si="4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雷のメタルフロッグ</v>
      </c>
      <c r="I19" s="7" t="str">
        <f>VLOOKUP(B19,[1]characters!$A:$J,10,FALSE)</f>
        <v>Material</v>
      </c>
      <c r="J19" s="7">
        <f>VLOOKUP(B19,[1]characters!$A:$I,9,FALSE)</f>
        <v>4</v>
      </c>
      <c r="K19" s="7" t="str">
        <f>VLOOKUP(B19,[1]characters!$A:$H,8,FALSE)</f>
        <v>yellow</v>
      </c>
      <c r="L19" s="7" t="str">
        <f>VLOOKUP(B19,[1]characters!$A:$K,11,FALSE)</f>
        <v>exp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2">
        <v>100</v>
      </c>
      <c r="P19" s="33">
        <f t="shared" si="1"/>
        <v>0.01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7308010</v>
      </c>
      <c r="B20" s="2">
        <v>520</v>
      </c>
      <c r="C20" s="7" t="str">
        <f t="shared" ref="C20:C23" si="5">D20&amp;J20&amp;E20&amp;F20&amp;G20</f>
        <v>Premium5R3less</v>
      </c>
      <c r="D20" s="7" t="str">
        <f t="shared" ref="D20:D23" si="6">IF(OR(I20="PremiumSS",I20="PremiumSSw"),"PremiumSS",IF(I20="PremiumSSS",I20,IF(I20="PremiumW",I20,"Premium")))</f>
        <v>Premium</v>
      </c>
      <c r="E20" s="7" t="str">
        <f>IF(COUNTIF('R6追加前'!A:A,B20)=0,IF(OR(I20="PremiumSS",I20="PremiumSSw"),"R5only","R3less"),"")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炎のサンタダック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exp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2">
        <v>300</v>
      </c>
      <c r="P20" s="33">
        <f t="shared" ref="P20:P23" si="7">O20/SUM(O:O)</f>
        <v>0.03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7308010</v>
      </c>
      <c r="B21" s="2">
        <v>521</v>
      </c>
      <c r="C21" s="7" t="str">
        <f t="shared" si="5"/>
        <v>Premium5R3less</v>
      </c>
      <c r="D21" s="7" t="str">
        <f t="shared" si="6"/>
        <v>Premium</v>
      </c>
      <c r="E21" s="7" t="str">
        <f>IF(COUNTIF('R6追加前'!A:A,B21)=0,IF(OR(I21="PremiumSS",I21="PremiumSSw"),"R5only","R3less"),"")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森のサンタダック</v>
      </c>
      <c r="I21" s="7" t="str">
        <f>VLOOKUP(B21,[1]characters!$A:$J,10,FALSE)</f>
        <v>Material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exp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2">
        <v>300</v>
      </c>
      <c r="P21" s="33">
        <f t="shared" si="7"/>
        <v>0.03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7308010</v>
      </c>
      <c r="B22" s="2">
        <v>522</v>
      </c>
      <c r="C22" s="7" t="str">
        <f t="shared" si="5"/>
        <v>Premium5R3less</v>
      </c>
      <c r="D22" s="7" t="str">
        <f t="shared" si="6"/>
        <v>Premium</v>
      </c>
      <c r="E22" s="7" t="str">
        <f>IF(COUNTIF('R6追加前'!A:A,B22)=0,IF(OR(I22="PremiumSS",I22="PremiumSSw"),"R5only","R3less"),"")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水のサンタダック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exp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2">
        <v>300</v>
      </c>
      <c r="P22" s="33">
        <f t="shared" si="7"/>
        <v>0.03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7308010</v>
      </c>
      <c r="B23" s="2">
        <v>523</v>
      </c>
      <c r="C23" s="7" t="str">
        <f t="shared" si="5"/>
        <v>Premium5R3less</v>
      </c>
      <c r="D23" s="7" t="str">
        <f t="shared" si="6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雷のサンタダック</v>
      </c>
      <c r="I23" s="7" t="str">
        <f>VLOOKUP(B23,[1]characters!$A:$J,10,FALSE)</f>
        <v>Material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exp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2">
        <v>300</v>
      </c>
      <c r="P23" s="33">
        <f t="shared" si="7"/>
        <v>0.03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7308010</v>
      </c>
      <c r="B24" s="2">
        <v>607</v>
      </c>
      <c r="C24" s="7" t="str">
        <f t="shared" si="3"/>
        <v>Premium4R3less</v>
      </c>
      <c r="D24" s="7" t="str">
        <f t="shared" si="4"/>
        <v>Premium</v>
      </c>
      <c r="E24" s="7" t="str">
        <f>IF(COUNTIF('R6追加前'!A:A,B24)=0,IF(OR(I24="PremiumSS",I24="PremiumSSw"),"R5only","R3less"),"")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メガ攻めの果実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limitbreak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2">
        <v>300</v>
      </c>
      <c r="P24" s="33">
        <f t="shared" ref="P24:P32" si="8">O24/SUM(O:O)</f>
        <v>0.03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7308010</v>
      </c>
      <c r="B25" s="2">
        <v>608</v>
      </c>
      <c r="C25" s="7" t="str">
        <f t="shared" si="3"/>
        <v>Premium4R3less</v>
      </c>
      <c r="D25" s="7" t="str">
        <f t="shared" si="4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メガ生命の果実</v>
      </c>
      <c r="I25" s="7" t="str">
        <f>VLOOKUP(B25,[1]characters!$A:$J,10,FALSE)</f>
        <v>Material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limitbreak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2">
        <v>300</v>
      </c>
      <c r="P25" s="33">
        <f t="shared" si="8"/>
        <v>0.03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7308010</v>
      </c>
      <c r="B26" s="2">
        <v>609</v>
      </c>
      <c r="C26" s="7" t="str">
        <f t="shared" si="3"/>
        <v>Premium4R3less</v>
      </c>
      <c r="D26" s="7" t="str">
        <f t="shared" si="4"/>
        <v>Premium</v>
      </c>
      <c r="E26" s="7" t="str">
        <f>IF(COUNTIF('R6追加前'!A:A,B26)=0,IF(OR(I26="PremiumSS",I26="PremiumSSw"),"R5only","R3less"),"")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メガ癒しの果実</v>
      </c>
      <c r="I26" s="7" t="str">
        <f>VLOOKUP(B26,[1]characters!$A:$J,10,FALSE)</f>
        <v>Material</v>
      </c>
      <c r="J26" s="7">
        <f>VLOOKUP(B26,[1]characters!$A:$I,9,FALSE)</f>
        <v>4</v>
      </c>
      <c r="K26" s="7" t="str">
        <f>VLOOKUP(B26,[1]characters!$A:$H,8,FALSE)</f>
        <v>blue</v>
      </c>
      <c r="L26" s="7" t="str">
        <f>VLOOKUP(B26,[1]characters!$A:$K,11,FALSE)</f>
        <v>limitbreak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2">
        <v>300</v>
      </c>
      <c r="P26" s="33">
        <f t="shared" si="8"/>
        <v>0.03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7308010</v>
      </c>
      <c r="B27" s="2">
        <v>610</v>
      </c>
      <c r="C27" s="7" t="str">
        <f t="shared" si="3"/>
        <v>Premium4R3less</v>
      </c>
      <c r="D27" s="7" t="str">
        <f t="shared" si="4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メガ秘術の果実</v>
      </c>
      <c r="I27" s="7" t="str">
        <f>VLOOKUP(B27,[1]characters!$A:$J,10,FALSE)</f>
        <v>Material</v>
      </c>
      <c r="J27" s="7">
        <f>VLOOKUP(B27,[1]characters!$A:$I,9,FALSE)</f>
        <v>4</v>
      </c>
      <c r="K27" s="7" t="str">
        <f>VLOOKUP(B27,[1]characters!$A:$H,8,FALSE)</f>
        <v>blue</v>
      </c>
      <c r="L27" s="7" t="str">
        <f>VLOOKUP(B27,[1]characters!$A:$K,11,FALSE)</f>
        <v>skilllevel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2">
        <v>100</v>
      </c>
      <c r="P27" s="33">
        <f t="shared" si="8"/>
        <v>0.01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7308010</v>
      </c>
      <c r="B28" s="2">
        <v>611</v>
      </c>
      <c r="C28" s="7" t="str">
        <f t="shared" si="3"/>
        <v>Premium5R3less</v>
      </c>
      <c r="D28" s="7" t="str">
        <f t="shared" si="4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ギガ攻めの果実</v>
      </c>
      <c r="I28" s="7" t="str">
        <f>VLOOKUP(B28,[1]characters!$A:$J,10,FALSE)</f>
        <v>Material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limitbreak</v>
      </c>
      <c r="M28" s="7" t="str">
        <f>VLOOKUP(B28,[1]characters!$A:$M,13,FALSE)</f>
        <v>unknown</v>
      </c>
      <c r="N28" s="7" t="str">
        <f>VLOOKUP(B28,[1]characters!$A:$G,7,FALSE)</f>
        <v>不明</v>
      </c>
      <c r="O28" s="32">
        <v>100</v>
      </c>
      <c r="P28" s="33">
        <f t="shared" si="8"/>
        <v>0.01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7308010</v>
      </c>
      <c r="B29" s="2">
        <v>612</v>
      </c>
      <c r="C29" s="7" t="str">
        <f t="shared" si="3"/>
        <v>Premium5R3less</v>
      </c>
      <c r="D29" s="7" t="str">
        <f t="shared" si="4"/>
        <v>Premium</v>
      </c>
      <c r="E29" s="7" t="str">
        <f>IF(COUNTIF('R6追加前'!A:A,B29)=0,IF(OR(I29="PremiumSS",I29="PremiumSSw"),"R5only","R3less"),"")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ギガ生命の果実</v>
      </c>
      <c r="I29" s="7" t="str">
        <f>VLOOKUP(B29,[1]characters!$A:$J,10,FALSE)</f>
        <v>Material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limitbreak</v>
      </c>
      <c r="M29" s="7" t="str">
        <f>VLOOKUP(B29,[1]characters!$A:$M,13,FALSE)</f>
        <v>unknown</v>
      </c>
      <c r="N29" s="7" t="str">
        <f>VLOOKUP(B29,[1]characters!$A:$G,7,FALSE)</f>
        <v>不明</v>
      </c>
      <c r="O29" s="32">
        <v>100</v>
      </c>
      <c r="P29" s="33">
        <f t="shared" si="8"/>
        <v>0.01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7308010</v>
      </c>
      <c r="B30" s="2">
        <v>613</v>
      </c>
      <c r="C30" s="7" t="str">
        <f t="shared" si="3"/>
        <v>Premium5R3less</v>
      </c>
      <c r="D30" s="7" t="str">
        <f t="shared" si="4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ギガ癒しの果実</v>
      </c>
      <c r="I30" s="7" t="str">
        <f>VLOOKUP(B30,[1]characters!$A:$J,10,FALSE)</f>
        <v>Material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limitbreak</v>
      </c>
      <c r="M30" s="7" t="str">
        <f>VLOOKUP(B30,[1]characters!$A:$M,13,FALSE)</f>
        <v>unknown</v>
      </c>
      <c r="N30" s="7" t="str">
        <f>VLOOKUP(B30,[1]characters!$A:$G,7,FALSE)</f>
        <v>不明</v>
      </c>
      <c r="O30" s="32">
        <v>100</v>
      </c>
      <c r="P30" s="33">
        <f t="shared" si="8"/>
        <v>0.01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7308010</v>
      </c>
      <c r="B31" s="2">
        <v>837</v>
      </c>
      <c r="C31" s="7" t="str">
        <f t="shared" si="3"/>
        <v>Premium6R3less</v>
      </c>
      <c r="D31" s="7" t="str">
        <f t="shared" si="4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リトルハンプティ</v>
      </c>
      <c r="I31" s="7" t="str">
        <f>VLOOKUP(B31,[1]characters!$A:$J,10,FALSE)</f>
        <v>material</v>
      </c>
      <c r="J31" s="7">
        <f>VLOOKUP(B31,[1]characters!$A:$I,9,FALSE)</f>
        <v>6</v>
      </c>
      <c r="K31" s="7" t="str">
        <f>VLOOKUP(B31,[1]characters!$A:$H,8,FALSE)</f>
        <v>yellow</v>
      </c>
      <c r="L31" s="7" t="str">
        <f>VLOOKUP(B31,[1]characters!$A:$K,11,FALSE)</f>
        <v>evolution</v>
      </c>
      <c r="M31" s="7" t="str">
        <f>VLOOKUP(B31,[1]characters!$A:$M,13,FALSE)</f>
        <v>unknown</v>
      </c>
      <c r="N31" s="7" t="str">
        <f>VLOOKUP(B31,[1]characters!$A:$G,7,FALSE)</f>
        <v>男性</v>
      </c>
      <c r="O31" s="32">
        <v>100</v>
      </c>
      <c r="P31" s="33">
        <f t="shared" si="8"/>
        <v>0.01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7308010</v>
      </c>
      <c r="B32" s="2">
        <v>1284</v>
      </c>
      <c r="C32" s="7" t="str">
        <f t="shared" si="3"/>
        <v>Premium5R3less</v>
      </c>
      <c r="D32" s="7" t="str">
        <f t="shared" si="4"/>
        <v>Premium</v>
      </c>
      <c r="E32" s="7" t="str">
        <f>IF(COUNTIF('R6追加前'!A:A,B32)=0,IF(OR(I32="PremiumSS",I32="PremiumSSw"),"R5only","R3less"),"")</f>
        <v>R3less</v>
      </c>
      <c r="F32" s="7" t="str">
        <f>IF(COUNTIF('R6開放'!A:A,B32)&gt;0,"R6release","")</f>
        <v/>
      </c>
      <c r="G32" s="7"/>
      <c r="H32" s="7" t="str">
        <f>VLOOKUP(B32,[1]characters!$A:$C,3,FALSE)</f>
        <v>マシン・シュプール</v>
      </c>
      <c r="I32" s="7" t="str">
        <f>VLOOKUP(B32,[1]characters!$A:$J,10,FALSE)</f>
        <v>DropWizS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hp</v>
      </c>
      <c r="M32" s="7" t="str">
        <f>VLOOKUP(B32,[1]characters!$A:$M,13,FALSE)</f>
        <v>unknown</v>
      </c>
      <c r="N32" s="7">
        <f>VLOOKUP(B32,[1]characters!$A:$G,7,FALSE)</f>
        <v>0</v>
      </c>
      <c r="O32" s="32">
        <v>1200</v>
      </c>
      <c r="P32" s="33">
        <f t="shared" si="8"/>
        <v>0.12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50"/>
      <c r="P33" s="51"/>
      <c r="Q33" s="52"/>
      <c r="R33" s="52"/>
      <c r="S33" s="52"/>
      <c r="T33" s="52"/>
      <c r="U33" s="52"/>
      <c r="V33" s="52"/>
    </row>
    <row r="34" spans="1:22" ht="21" customHeight="1" x14ac:dyDescent="0.1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50"/>
      <c r="P34" s="51"/>
      <c r="Q34" s="52"/>
      <c r="R34" s="52"/>
      <c r="S34" s="52"/>
      <c r="T34" s="52"/>
      <c r="U34" s="52"/>
      <c r="V34" s="52"/>
    </row>
    <row r="35" spans="1:22" ht="21" customHeight="1" x14ac:dyDescent="0.1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50"/>
      <c r="P35" s="51"/>
      <c r="Q35" s="52"/>
      <c r="R35" s="52"/>
      <c r="S35" s="52"/>
      <c r="T35" s="52"/>
      <c r="U35" s="52"/>
      <c r="V35" s="52"/>
    </row>
    <row r="36" spans="1:22" ht="21" customHeight="1" x14ac:dyDescent="0.1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50"/>
      <c r="P36" s="51"/>
      <c r="Q36" s="52"/>
      <c r="R36" s="52"/>
      <c r="S36" s="52"/>
      <c r="T36" s="52"/>
      <c r="U36" s="52"/>
      <c r="V36" s="52"/>
    </row>
    <row r="37" spans="1:22" ht="21" customHeight="1" x14ac:dyDescent="0.1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50"/>
      <c r="P37" s="51"/>
      <c r="Q37" s="52"/>
      <c r="R37" s="52"/>
      <c r="S37" s="52"/>
      <c r="T37" s="52"/>
      <c r="U37" s="52"/>
      <c r="V37" s="52"/>
    </row>
    <row r="38" spans="1:22" ht="21" customHeight="1" x14ac:dyDescent="0.1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50"/>
      <c r="P38" s="51"/>
      <c r="Q38" s="52"/>
      <c r="R38" s="52"/>
      <c r="S38" s="52"/>
      <c r="T38" s="52"/>
      <c r="U38" s="52"/>
      <c r="V38" s="52"/>
    </row>
    <row r="39" spans="1:22" ht="21" customHeight="1" x14ac:dyDescent="0.1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50"/>
      <c r="P39" s="51"/>
      <c r="Q39" s="52"/>
      <c r="R39" s="52"/>
      <c r="S39" s="52"/>
      <c r="T39" s="52"/>
      <c r="U39" s="52"/>
      <c r="V39" s="52"/>
    </row>
    <row r="40" spans="1:22" ht="21" customHeight="1" x14ac:dyDescent="0.1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50"/>
      <c r="P40" s="51"/>
      <c r="Q40" s="52"/>
      <c r="R40" s="52"/>
      <c r="S40" s="52"/>
      <c r="T40" s="52"/>
      <c r="U40" s="52"/>
      <c r="V40" s="52"/>
    </row>
    <row r="41" spans="1:22" ht="21" customHeight="1" x14ac:dyDescent="0.1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50"/>
      <c r="P41" s="51"/>
      <c r="Q41" s="52"/>
      <c r="R41" s="52"/>
      <c r="S41" s="52"/>
      <c r="T41" s="52"/>
      <c r="U41" s="52"/>
      <c r="V41" s="52"/>
    </row>
    <row r="42" spans="1:22" ht="21" customHeight="1" x14ac:dyDescent="0.1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50"/>
      <c r="P42" s="51"/>
      <c r="Q42" s="52"/>
      <c r="R42" s="52"/>
      <c r="S42" s="52"/>
      <c r="T42" s="52"/>
      <c r="U42" s="52"/>
      <c r="V42" s="52"/>
    </row>
    <row r="43" spans="1:22" ht="21" customHeight="1" x14ac:dyDescent="0.1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50"/>
      <c r="P43" s="51"/>
      <c r="Q43" s="52"/>
      <c r="R43" s="52"/>
      <c r="S43" s="52"/>
      <c r="T43" s="52"/>
      <c r="U43" s="52"/>
      <c r="V43" s="52"/>
    </row>
    <row r="44" spans="1:22" ht="21" customHeight="1" x14ac:dyDescent="0.1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50"/>
      <c r="P44" s="51"/>
      <c r="Q44" s="52"/>
      <c r="R44" s="52"/>
      <c r="S44" s="52"/>
      <c r="T44" s="52"/>
      <c r="U44" s="52"/>
      <c r="V44" s="52"/>
    </row>
    <row r="45" spans="1:22" ht="21" customHeight="1" x14ac:dyDescent="0.1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50"/>
      <c r="P45" s="51"/>
      <c r="Q45" s="52"/>
      <c r="R45" s="52"/>
      <c r="S45" s="52"/>
      <c r="T45" s="52"/>
      <c r="U45" s="52"/>
      <c r="V45" s="52"/>
    </row>
    <row r="46" spans="1:22" ht="21" customHeight="1" x14ac:dyDescent="0.1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50"/>
      <c r="P46" s="51"/>
      <c r="Q46" s="52"/>
      <c r="R46" s="52"/>
      <c r="S46" s="52"/>
      <c r="T46" s="52"/>
      <c r="U46" s="52"/>
      <c r="V46" s="52"/>
    </row>
    <row r="47" spans="1:22" ht="21" customHeight="1" x14ac:dyDescent="0.1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50"/>
      <c r="P47" s="51"/>
      <c r="Q47" s="52"/>
      <c r="R47" s="52"/>
      <c r="S47" s="52"/>
      <c r="T47" s="52"/>
      <c r="U47" s="52"/>
      <c r="V47" s="52"/>
    </row>
    <row r="48" spans="1:22" ht="21" customHeight="1" x14ac:dyDescent="0.1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50"/>
      <c r="P48" s="51"/>
      <c r="Q48" s="52"/>
      <c r="R48" s="52"/>
      <c r="S48" s="52"/>
      <c r="T48" s="52"/>
      <c r="U48" s="52"/>
      <c r="V48" s="52"/>
    </row>
    <row r="49" spans="1:22" ht="21" customHeight="1" x14ac:dyDescent="0.1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50"/>
      <c r="P49" s="51"/>
      <c r="Q49" s="52"/>
      <c r="R49" s="52"/>
      <c r="S49" s="52"/>
      <c r="T49" s="52"/>
      <c r="U49" s="52"/>
      <c r="V49" s="52"/>
    </row>
    <row r="50" spans="1:22" ht="21" customHeight="1" x14ac:dyDescent="0.1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50"/>
      <c r="P50" s="51"/>
      <c r="Q50" s="52"/>
      <c r="R50" s="52"/>
      <c r="S50" s="52"/>
      <c r="T50" s="52"/>
      <c r="U50" s="52"/>
      <c r="V50" s="52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3" sqref="O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7308</v>
      </c>
      <c r="B2" s="2">
        <v>1284</v>
      </c>
      <c r="C2" s="7" t="str">
        <f t="shared" ref="C2" si="0">D2&amp;J2&amp;E2&amp;F2&amp;G2</f>
        <v>Premium5R3less</v>
      </c>
      <c r="D2" s="7" t="str">
        <f t="shared" ref="D2" si="1"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マシン・シュプール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hp</v>
      </c>
      <c r="M2" s="7" t="str">
        <f>VLOOKUP(B2,[1]characters!$A:$M,13,FALSE)</f>
        <v>unknown</v>
      </c>
      <c r="N2" s="7">
        <f>VLOOKUP(B2,[1]characters!$A:$G,7,FALSE)</f>
        <v>0</v>
      </c>
      <c r="O2" s="32">
        <v>1</v>
      </c>
      <c r="P2" s="33">
        <f>O2/SUM(O:O)</f>
        <v>1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50"/>
      <c r="P3" s="51"/>
      <c r="Q3" s="52"/>
      <c r="R3" s="52"/>
      <c r="S3" s="52"/>
      <c r="T3" s="52"/>
      <c r="U3" s="52"/>
      <c r="V3" s="52"/>
    </row>
    <row r="4" spans="1:22" ht="21" customHeight="1" x14ac:dyDescent="0.1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50"/>
      <c r="P4" s="51"/>
      <c r="Q4" s="52"/>
      <c r="R4" s="52"/>
      <c r="S4" s="52"/>
      <c r="T4" s="52"/>
      <c r="U4" s="52"/>
      <c r="V4" s="52"/>
    </row>
    <row r="5" spans="1:22" ht="21" customHeight="1" x14ac:dyDescent="0.1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50"/>
      <c r="P5" s="51"/>
      <c r="Q5" s="52"/>
      <c r="R5" s="52"/>
      <c r="S5" s="52"/>
      <c r="T5" s="52"/>
      <c r="U5" s="52"/>
      <c r="V5" s="52"/>
    </row>
    <row r="6" spans="1:22" ht="21" customHeight="1" x14ac:dyDescent="0.1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50"/>
      <c r="P6" s="51"/>
      <c r="Q6" s="52"/>
      <c r="R6" s="52"/>
      <c r="S6" s="52"/>
      <c r="T6" s="52"/>
      <c r="U6" s="52"/>
      <c r="V6" s="52"/>
    </row>
    <row r="7" spans="1:22" ht="21" customHeight="1" x14ac:dyDescent="0.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50"/>
      <c r="P7" s="51"/>
      <c r="Q7" s="52"/>
      <c r="R7" s="52"/>
      <c r="S7" s="52"/>
      <c r="T7" s="52"/>
      <c r="U7" s="52"/>
      <c r="V7" s="52"/>
    </row>
    <row r="8" spans="1:22" ht="21" customHeight="1" x14ac:dyDescent="0.1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50"/>
      <c r="P8" s="51"/>
      <c r="Q8" s="52"/>
      <c r="R8" s="52"/>
      <c r="S8" s="52"/>
      <c r="T8" s="52"/>
      <c r="U8" s="52"/>
      <c r="V8" s="52"/>
    </row>
    <row r="9" spans="1:22" ht="21" customHeight="1" x14ac:dyDescent="0.1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50"/>
      <c r="P9" s="51"/>
      <c r="Q9" s="52"/>
      <c r="R9" s="52"/>
      <c r="S9" s="52"/>
      <c r="T9" s="52"/>
      <c r="U9" s="52"/>
      <c r="V9" s="52"/>
    </row>
    <row r="10" spans="1:22" ht="21" customHeight="1" x14ac:dyDescent="0.1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50"/>
      <c r="P10" s="51"/>
      <c r="Q10" s="52"/>
      <c r="R10" s="52"/>
      <c r="S10" s="52"/>
      <c r="T10" s="52"/>
      <c r="U10" s="52"/>
      <c r="V10" s="52"/>
    </row>
    <row r="11" spans="1:22" ht="21" customHeight="1" x14ac:dyDescent="0.1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50"/>
      <c r="P11" s="51"/>
      <c r="Q11" s="52"/>
      <c r="R11" s="52"/>
      <c r="S11" s="52"/>
      <c r="T11" s="52"/>
      <c r="U11" s="52"/>
      <c r="V11" s="52"/>
    </row>
    <row r="12" spans="1:22" ht="21" customHeight="1" x14ac:dyDescent="0.1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50"/>
      <c r="P12" s="51"/>
      <c r="Q12" s="52"/>
      <c r="R12" s="52"/>
      <c r="S12" s="52"/>
      <c r="T12" s="52"/>
      <c r="U12" s="52"/>
      <c r="V12" s="52"/>
    </row>
    <row r="13" spans="1:22" ht="21" customHeight="1" x14ac:dyDescent="0.1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50"/>
      <c r="P13" s="51"/>
      <c r="Q13" s="52"/>
      <c r="R13" s="52"/>
      <c r="S13" s="52"/>
      <c r="T13" s="52"/>
      <c r="U13" s="52"/>
      <c r="V13" s="52"/>
    </row>
    <row r="14" spans="1:22" ht="21" customHeight="1" x14ac:dyDescent="0.1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50"/>
      <c r="P14" s="51"/>
      <c r="Q14" s="52"/>
      <c r="R14" s="52"/>
      <c r="S14" s="52"/>
      <c r="T14" s="52"/>
      <c r="U14" s="52"/>
      <c r="V14" s="52"/>
    </row>
    <row r="15" spans="1:22" ht="21" customHeight="1" x14ac:dyDescent="0.1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50"/>
      <c r="P15" s="51"/>
      <c r="Q15" s="52"/>
      <c r="R15" s="52"/>
      <c r="S15" s="52"/>
      <c r="T15" s="52"/>
      <c r="U15" s="52"/>
      <c r="V15" s="52"/>
    </row>
    <row r="16" spans="1:22" ht="21" customHeight="1" x14ac:dyDescent="0.1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50"/>
      <c r="P16" s="51"/>
      <c r="Q16" s="52"/>
      <c r="R16" s="52"/>
      <c r="S16" s="52"/>
      <c r="T16" s="52"/>
      <c r="U16" s="52"/>
      <c r="V16" s="52"/>
    </row>
    <row r="17" spans="1:22" ht="21" customHeight="1" x14ac:dyDescent="0.1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50"/>
      <c r="P17" s="51"/>
      <c r="Q17" s="52"/>
      <c r="R17" s="52"/>
      <c r="S17" s="52"/>
      <c r="T17" s="52"/>
      <c r="U17" s="52"/>
      <c r="V17" s="52"/>
    </row>
    <row r="18" spans="1:22" ht="21" customHeight="1" x14ac:dyDescent="0.1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50"/>
      <c r="P18" s="51"/>
      <c r="Q18" s="52"/>
      <c r="R18" s="52"/>
      <c r="S18" s="52"/>
      <c r="T18" s="52"/>
      <c r="U18" s="52"/>
      <c r="V18" s="52"/>
    </row>
    <row r="19" spans="1:22" ht="21" customHeight="1" x14ac:dyDescent="0.1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50"/>
      <c r="P19" s="51"/>
      <c r="Q19" s="52"/>
      <c r="R19" s="52"/>
      <c r="S19" s="52"/>
      <c r="T19" s="52"/>
      <c r="U19" s="52"/>
      <c r="V19" s="52"/>
    </row>
    <row r="20" spans="1:22" ht="21" customHeight="1" x14ac:dyDescent="0.1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50"/>
      <c r="P20" s="51"/>
      <c r="Q20" s="52"/>
      <c r="R20" s="52"/>
      <c r="S20" s="52"/>
      <c r="T20" s="52"/>
      <c r="U20" s="52"/>
      <c r="V20" s="52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tables_7308</vt:lpstr>
      <vt:lpstr>tables_settle_7308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2016-12-08T07:22:10Z</dcterms:modified>
</cp:coreProperties>
</file>