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4260" yWindow="1380" windowWidth="25600" windowHeight="14180" tabRatio="943" activeTab="6"/>
  </bookViews>
  <sheets>
    <sheet name="確率の考え方" sheetId="110" r:id="rId1"/>
    <sheet name="Sheet1" sheetId="107" r:id="rId2"/>
    <sheet name="output" sheetId="103" r:id="rId3"/>
    <sheet name="input_523010" sheetId="157" r:id="rId4"/>
    <sheet name="tables_523010" sheetId="158" r:id="rId5"/>
    <sheet name="input_523100" sheetId="153" r:id="rId6"/>
    <sheet name="tables_523100" sheetId="154" r:id="rId7"/>
    <sheet name="tables_settle_523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tables_523010!$A$1:$V$356</definedName>
    <definedName name="_xlnm._FilterDatabase" localSheetId="6" hidden="1">tables_523100!$A$1:$V$356</definedName>
    <definedName name="_xlnm._FilterDatabase" localSheetId="7" hidden="1">tables_settle_523105!$A$1:$V$3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E26" i="157"/>
  <c r="B26" i="157"/>
  <c r="F5" i="157"/>
  <c r="E5" i="157"/>
  <c r="E28" i="157"/>
  <c r="B28" i="157"/>
  <c r="E29" i="157"/>
  <c r="B29" i="157"/>
  <c r="B21" i="157"/>
  <c r="E19" i="157"/>
  <c r="B19" i="157"/>
  <c r="E20" i="157"/>
  <c r="B20" i="157"/>
  <c r="B5" i="157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F5" i="153"/>
  <c r="F6" i="153"/>
  <c r="E30" i="153"/>
  <c r="E5" i="153"/>
  <c r="B30" i="153"/>
  <c r="C30" i="153"/>
  <c r="D30" i="153"/>
  <c r="F30" i="153"/>
  <c r="A37" i="153"/>
  <c r="G30" i="153"/>
  <c r="H30" i="153"/>
  <c r="I30" i="153"/>
  <c r="J30" i="153"/>
  <c r="A2" i="153"/>
  <c r="A351" i="154"/>
  <c r="H351" i="154"/>
  <c r="K351" i="154"/>
  <c r="L351" i="154"/>
  <c r="M351" i="154"/>
  <c r="N351" i="154"/>
  <c r="E23" i="153"/>
  <c r="E6" i="153"/>
  <c r="B23" i="153"/>
  <c r="G23" i="153"/>
  <c r="H23" i="153"/>
  <c r="R3" i="153"/>
  <c r="O351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8" i="153"/>
  <c r="B28" i="153"/>
  <c r="E29" i="153"/>
  <c r="B29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R4" i="153"/>
  <c r="O352" i="154"/>
  <c r="R5" i="153"/>
  <c r="O353" i="154"/>
  <c r="R6" i="153"/>
  <c r="O354" i="154"/>
  <c r="R7" i="153"/>
  <c r="O355" i="154"/>
  <c r="R8" i="153"/>
  <c r="O356" i="154"/>
  <c r="P351" i="154"/>
  <c r="A352" i="154"/>
  <c r="H352" i="154"/>
  <c r="K352" i="154"/>
  <c r="L352" i="154"/>
  <c r="M352" i="154"/>
  <c r="N352" i="154"/>
  <c r="P352" i="154"/>
  <c r="A353" i="154"/>
  <c r="H353" i="154"/>
  <c r="K353" i="154"/>
  <c r="L353" i="154"/>
  <c r="M353" i="154"/>
  <c r="N353" i="154"/>
  <c r="P353" i="154"/>
  <c r="A354" i="154"/>
  <c r="H354" i="154"/>
  <c r="K354" i="154"/>
  <c r="L354" i="154"/>
  <c r="M354" i="154"/>
  <c r="N354" i="154"/>
  <c r="P354" i="154"/>
  <c r="A355" i="154"/>
  <c r="H355" i="154"/>
  <c r="K355" i="154"/>
  <c r="L355" i="154"/>
  <c r="M355" i="154"/>
  <c r="N355" i="154"/>
  <c r="P355" i="154"/>
  <c r="A356" i="154"/>
  <c r="H356" i="154"/>
  <c r="K356" i="154"/>
  <c r="L356" i="154"/>
  <c r="M356" i="154"/>
  <c r="N356" i="154"/>
  <c r="P356" i="154"/>
  <c r="E17" i="157"/>
  <c r="E18" i="157"/>
  <c r="B18" i="157"/>
  <c r="B17" i="157"/>
  <c r="E30" i="157"/>
  <c r="E27" i="157"/>
  <c r="B27" i="157"/>
  <c r="E22" i="157"/>
  <c r="B22" i="157"/>
  <c r="E21" i="157"/>
  <c r="E24" i="157"/>
  <c r="B24" i="157"/>
  <c r="E32" i="157"/>
  <c r="E25" i="157"/>
  <c r="B25" i="157"/>
  <c r="B30" i="157"/>
  <c r="C30" i="157"/>
  <c r="D30" i="157"/>
  <c r="F30" i="157"/>
  <c r="A37" i="157"/>
  <c r="G30" i="157"/>
  <c r="H30" i="157"/>
  <c r="I30" i="157"/>
  <c r="J30" i="157"/>
  <c r="A2" i="157"/>
  <c r="A356" i="158"/>
  <c r="H356" i="158"/>
  <c r="K356" i="158"/>
  <c r="L356" i="158"/>
  <c r="M356" i="158"/>
  <c r="N356" i="158"/>
  <c r="G23" i="157"/>
  <c r="H23" i="157"/>
  <c r="R8" i="157"/>
  <c r="O356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R3" i="157"/>
  <c r="O351" i="158"/>
  <c r="R4" i="157"/>
  <c r="O352" i="158"/>
  <c r="R5" i="157"/>
  <c r="O353" i="158"/>
  <c r="R6" i="157"/>
  <c r="O354" i="158"/>
  <c r="R7" i="157"/>
  <c r="O355" i="158"/>
  <c r="P356" i="158"/>
  <c r="A354" i="158"/>
  <c r="H354" i="158"/>
  <c r="K354" i="158"/>
  <c r="L354" i="158"/>
  <c r="M354" i="158"/>
  <c r="N354" i="158"/>
  <c r="P354" i="158"/>
  <c r="A355" i="158"/>
  <c r="H355" i="158"/>
  <c r="K355" i="158"/>
  <c r="L355" i="158"/>
  <c r="M355" i="158"/>
  <c r="N355" i="158"/>
  <c r="P355" i="158"/>
  <c r="A353" i="158"/>
  <c r="H353" i="158"/>
  <c r="K353" i="158"/>
  <c r="L353" i="158"/>
  <c r="M353" i="158"/>
  <c r="N353" i="158"/>
  <c r="P353" i="158"/>
  <c r="A352" i="158"/>
  <c r="H352" i="158"/>
  <c r="K352" i="158"/>
  <c r="L352" i="158"/>
  <c r="M352" i="158"/>
  <c r="N352" i="158"/>
  <c r="P352" i="158"/>
  <c r="A351" i="158"/>
  <c r="H351" i="158"/>
  <c r="K351" i="158"/>
  <c r="L351" i="158"/>
  <c r="M351" i="158"/>
  <c r="N351" i="158"/>
  <c r="P351" i="158"/>
  <c r="A346" i="158"/>
  <c r="H346" i="158"/>
  <c r="K346" i="158"/>
  <c r="L346" i="158"/>
  <c r="M346" i="158"/>
  <c r="N346" i="158"/>
  <c r="G32" i="157"/>
  <c r="H32" i="157"/>
  <c r="R9" i="157"/>
  <c r="R10" i="157"/>
  <c r="R11" i="157"/>
  <c r="R12" i="157"/>
  <c r="R13" i="157"/>
  <c r="R14" i="157"/>
  <c r="R15" i="157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A350" i="158"/>
  <c r="H350" i="158"/>
  <c r="K350" i="158"/>
  <c r="L350" i="158"/>
  <c r="M350" i="158"/>
  <c r="N350" i="158"/>
  <c r="P350" i="158"/>
  <c r="A346" i="154"/>
  <c r="H346" i="154"/>
  <c r="K346" i="154"/>
  <c r="L346" i="154"/>
  <c r="M346" i="154"/>
  <c r="N346" i="154"/>
  <c r="E32" i="153"/>
  <c r="G32" i="153"/>
  <c r="H32" i="153"/>
  <c r="R9" i="153"/>
  <c r="R10" i="153"/>
  <c r="R11" i="153"/>
  <c r="R12" i="153"/>
  <c r="P346" i="154"/>
  <c r="A347" i="154"/>
  <c r="H347" i="154"/>
  <c r="K347" i="154"/>
  <c r="L347" i="154"/>
  <c r="M347" i="154"/>
  <c r="N347" i="154"/>
  <c r="P347" i="154"/>
  <c r="A348" i="154"/>
  <c r="H348" i="154"/>
  <c r="K348" i="154"/>
  <c r="L348" i="154"/>
  <c r="M348" i="154"/>
  <c r="N348" i="154"/>
  <c r="P348" i="154"/>
  <c r="A349" i="154"/>
  <c r="H349" i="154"/>
  <c r="K349" i="154"/>
  <c r="L349" i="154"/>
  <c r="M349" i="154"/>
  <c r="N349" i="154"/>
  <c r="P349" i="154"/>
  <c r="A350" i="154"/>
  <c r="H350" i="154"/>
  <c r="K350" i="154"/>
  <c r="L350" i="154"/>
  <c r="M350" i="154"/>
  <c r="N350" i="154"/>
  <c r="P350" i="154"/>
  <c r="C19" i="157"/>
  <c r="P2" i="154"/>
  <c r="P2" i="158"/>
  <c r="C20" i="157"/>
  <c r="C20" i="153"/>
  <c r="P4" i="159"/>
  <c r="N4" i="159"/>
  <c r="M4" i="159"/>
  <c r="L4" i="159"/>
  <c r="K4" i="159"/>
  <c r="J4" i="159"/>
  <c r="I4" i="159"/>
  <c r="H4" i="159"/>
  <c r="F4" i="159"/>
  <c r="E4" i="159"/>
  <c r="D4" i="159"/>
  <c r="C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3" i="158"/>
  <c r="A344" i="158"/>
  <c r="A345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P138" i="154"/>
  <c r="P139" i="154"/>
  <c r="P140" i="154"/>
  <c r="P141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F49" i="153"/>
  <c r="F50" i="153"/>
  <c r="G49" i="153"/>
  <c r="F42" i="153"/>
  <c r="G42" i="153"/>
  <c r="B31" i="153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6" i="153"/>
  <c r="M5" i="153"/>
  <c r="M4" i="153"/>
  <c r="M3" i="153"/>
  <c r="F43" i="153"/>
  <c r="G43" i="153"/>
  <c r="C21" i="157"/>
  <c r="C22" i="157"/>
  <c r="C23" i="157"/>
  <c r="C24" i="157"/>
  <c r="C25" i="157"/>
  <c r="C26" i="157"/>
  <c r="C27" i="157"/>
  <c r="C28" i="157"/>
  <c r="C29" i="157"/>
  <c r="C31" i="157"/>
  <c r="C32" i="157"/>
  <c r="C33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1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2" i="157"/>
  <c r="B43" i="157"/>
  <c r="B44" i="157"/>
  <c r="B46" i="157"/>
  <c r="B47" i="157"/>
  <c r="I32" i="157"/>
  <c r="J32" i="157"/>
  <c r="F32" i="157"/>
  <c r="D32" i="157"/>
  <c r="I31" i="157"/>
  <c r="J31" i="157"/>
  <c r="F31" i="157"/>
  <c r="D31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R18" i="157"/>
  <c r="P18" i="157"/>
  <c r="O18" i="157"/>
  <c r="M18" i="157"/>
  <c r="C18" i="157"/>
  <c r="R17" i="157"/>
  <c r="P17" i="157"/>
  <c r="O17" i="157"/>
  <c r="M17" i="157"/>
  <c r="C17" i="157"/>
  <c r="V16" i="157"/>
  <c r="R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1" i="153"/>
  <c r="B43" i="153"/>
  <c r="B44" i="153"/>
  <c r="B45" i="153"/>
  <c r="B46" i="153"/>
  <c r="B47" i="153"/>
  <c r="F41" i="153"/>
  <c r="G41" i="153"/>
  <c r="C19" i="153"/>
  <c r="C21" i="153"/>
  <c r="C22" i="153"/>
  <c r="C23" i="153"/>
  <c r="C24" i="153"/>
  <c r="C25" i="153"/>
  <c r="C26" i="153"/>
  <c r="C27" i="153"/>
  <c r="C28" i="153"/>
  <c r="C29" i="153"/>
  <c r="C31" i="153"/>
  <c r="C32" i="153"/>
  <c r="C33" i="153"/>
  <c r="I32" i="153"/>
  <c r="J32" i="153"/>
  <c r="F32" i="153"/>
  <c r="D32" i="153"/>
  <c r="I31" i="153"/>
  <c r="J31" i="153"/>
  <c r="F31" i="153"/>
  <c r="D31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17" i="153"/>
  <c r="P17" i="153"/>
  <c r="O17" i="153"/>
  <c r="M17" i="153"/>
  <c r="R16" i="153"/>
  <c r="P16" i="153"/>
  <c r="O16" i="153"/>
  <c r="M16" i="153"/>
  <c r="I19" i="153"/>
  <c r="J19" i="153"/>
  <c r="F19" i="153"/>
  <c r="D19" i="153"/>
  <c r="R15" i="153"/>
  <c r="P15" i="153"/>
  <c r="O15" i="153"/>
  <c r="M15" i="153"/>
  <c r="I18" i="153"/>
  <c r="J18" i="153"/>
  <c r="F18" i="153"/>
  <c r="C18" i="153"/>
  <c r="D18" i="153"/>
  <c r="R14" i="153"/>
  <c r="P14" i="153"/>
  <c r="O14" i="153"/>
  <c r="M14" i="153"/>
  <c r="I17" i="153"/>
  <c r="J17" i="153"/>
  <c r="F17" i="153"/>
  <c r="C17" i="153"/>
  <c r="D17" i="153"/>
  <c r="V16" i="153"/>
  <c r="R13" i="153"/>
  <c r="P13" i="153"/>
  <c r="O13" i="153"/>
  <c r="M13" i="153"/>
  <c r="V15" i="153"/>
  <c r="P12" i="153"/>
  <c r="O12" i="153"/>
  <c r="M12" i="153"/>
  <c r="V14" i="153"/>
  <c r="P11" i="153"/>
  <c r="O11" i="153"/>
  <c r="M11" i="153"/>
  <c r="V13" i="153"/>
  <c r="P10" i="153"/>
  <c r="O10" i="153"/>
  <c r="M10" i="153"/>
  <c r="V12" i="153"/>
  <c r="P9" i="153"/>
  <c r="O9" i="153"/>
  <c r="M9" i="153"/>
  <c r="V11" i="153"/>
  <c r="V10" i="153"/>
  <c r="P8" i="153"/>
  <c r="O8" i="153"/>
  <c r="M8" i="153"/>
  <c r="V9" i="153"/>
  <c r="V8" i="153"/>
  <c r="P7" i="153"/>
  <c r="O7" i="153"/>
  <c r="M7" i="153"/>
  <c r="V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3" i="153"/>
  <c r="D33" i="153"/>
  <c r="F46" i="153"/>
  <c r="F47" i="153"/>
  <c r="B42" i="153"/>
  <c r="B48" i="153"/>
  <c r="C41" i="153"/>
  <c r="C42" i="153"/>
  <c r="C43" i="153"/>
  <c r="C44" i="153"/>
  <c r="C45" i="153"/>
  <c r="C46" i="153"/>
  <c r="C47" i="153"/>
  <c r="C48" i="153"/>
  <c r="F48" i="153"/>
  <c r="D17" i="157"/>
  <c r="F17" i="157"/>
  <c r="I17" i="157"/>
  <c r="J17" i="157"/>
  <c r="D18" i="157"/>
  <c r="F18" i="157"/>
  <c r="I18" i="157"/>
  <c r="J18" i="157"/>
  <c r="D19" i="157"/>
  <c r="F19" i="157"/>
  <c r="I19" i="157"/>
  <c r="J19" i="157"/>
  <c r="D21" i="157"/>
  <c r="F21" i="157"/>
  <c r="I21" i="157"/>
  <c r="J21" i="157"/>
  <c r="B33" i="157"/>
  <c r="D33" i="157"/>
  <c r="F41" i="157"/>
  <c r="G41" i="157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F46" i="157"/>
  <c r="F47" i="157"/>
  <c r="B41" i="157"/>
  <c r="B45" i="157"/>
  <c r="B48" i="157"/>
  <c r="C41" i="157"/>
  <c r="C42" i="157"/>
  <c r="C43" i="157"/>
  <c r="C44" i="157"/>
  <c r="C45" i="157"/>
  <c r="C46" i="157"/>
  <c r="C47" i="157"/>
  <c r="C48" i="157"/>
  <c r="F48" i="157"/>
  <c r="F43" i="157"/>
  <c r="G43" i="157"/>
  <c r="F42" i="157"/>
  <c r="G42" i="157"/>
  <c r="F49" i="157"/>
  <c r="F50" i="157"/>
  <c r="G49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<sst xmlns="http://schemas.openxmlformats.org/spreadsheetml/2006/main" count="535" uniqueCount="256">
  <si>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</si>
  <si>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</si>
  <si>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</si>
  <si>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</si>
  <si>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</si>
  <si>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</si>
  <si>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</si>
  <si>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</si>
  <si>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</si>
  <si>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</si>
  <si>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</si>
  <si>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</si>
  <si>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</si>
  <si>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</si>
  <si>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</si>
  <si>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</si>
  <si>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</si>
  <si>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</si>
  <si>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</si>
  <si>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</si>
  <si>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</si>
  <si>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</si>
  <si>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</si>
  <si>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</si>
  <si>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</si>
  <si>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</si>
  <si>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</si>
  <si>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</si>
  <si>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</si>
  <si>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</si>
  <si>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</si>
  <si>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</si>
  <si>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</si>
  <si>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</si>
  <si>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</si>
  <si>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</si>
  <si>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</si>
  <si>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</si>
  <si>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</si>
  <si>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</si>
  <si>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</si>
  <si>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</si>
  <si>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</si>
  <si>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</si>
  <si>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</si>
  <si>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</si>
  <si>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</si>
  <si>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</si>
  <si>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</si>
  <si>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</si>
  <si>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</si>
  <si>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</si>
  <si>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</si>
  <si>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</si>
  <si>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</si>
  <si>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</si>
  <si>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</si>
  <si>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</si>
  <si>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</si>
  <si>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</si>
  <si>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</si>
  <si>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</si>
  <si>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</si>
  <si>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</si>
  <si>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</si>
  <si>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</si>
  <si>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</si>
  <si>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</si>
  <si>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</si>
  <si>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</si>
  <si>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</si>
  <si>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</si>
  <si>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</si>
  <si>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</si>
  <si>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</si>
  <si>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</si>
  <si>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</si>
  <si>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</si>
  <si>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</si>
  <si>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</si>
  <si>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</si>
  <si>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</si>
  <si>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</si>
  <si>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</si>
  <si>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</si>
  <si>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</si>
  <si>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</si>
  <si>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</si>
  <si>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</si>
  <si>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</si>
  <si>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</si>
  <si>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</si>
  <si>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</si>
  <si>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</si>
  <si>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</si>
  <si>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</si>
  <si>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</si>
  <si>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</si>
  <si>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</si>
  <si>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</si>
  <si>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</si>
  <si>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</si>
  <si>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</si>
  <si>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</si>
  <si>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</si>
  <si>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</si>
  <si>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</si>
  <si>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</si>
  <si>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</si>
  <si>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</si>
  <si>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</si>
  <si>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</si>
  <si>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</si>
  <si>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</si>
  <si>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</si>
  <si>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</si>
  <si>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</si>
  <si>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</si>
  <si>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</si>
  <si>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</si>
  <si>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</si>
  <si>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</si>
  <si>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</si>
  <si>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</si>
  <si>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</si>
  <si>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</si>
  <si>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</si>
  <si>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</si>
  <si>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</si>
  <si>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</si>
  <si>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</si>
  <si>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</si>
  <si>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</si>
  <si>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</si>
  <si>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</si>
  <si>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</si>
  <si>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</si>
  <si>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</si>
  <si>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</si>
  <si>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</si>
  <si>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</si>
  <si>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</si>
  <si>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</si>
  <si>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</si>
  <si>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</si>
  <si>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</si>
  <si>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</si>
  <si>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</si>
  <si>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</si>
  <si>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</si>
  <si>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</si>
  <si>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</si>
  <si>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</si>
  <si>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</si>
  <si>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</si>
  <si>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</si>
  <si>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</si>
  <si>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</si>
  <si>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</si>
  <si>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</si>
  <si>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</si>
  <si>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</si>
  <si>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</si>
  <si>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</si>
  <si>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</si>
  <si>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</si>
  <si>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</si>
  <si>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</si>
  <si>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</si>
  <si>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</si>
  <si>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</si>
  <si>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</si>
  <si>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</si>
  <si>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</si>
  <si>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</si>
  <si>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</si>
  <si>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</si>
  <si>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</si>
  <si>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</si>
  <si>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</si>
  <si>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</si>
  <si>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</si>
  <si>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</si>
  <si>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</si>
  <si>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</si>
  <si>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</si>
  <si>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</si>
  <si>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</si>
  <si>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</si>
  <si>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</si>
  <si>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</si>
  <si>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</si>
  <si>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</si>
  <si>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</si>
  <si>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</si>
  <si>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</si>
  <si>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</si>
  <si>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</si>
  <si>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</si>
  <si>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</si>
  <si>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</si>
  <si>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</si>
  <si>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</si>
  <si>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</si>
  <si>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</si>
  <si>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</si>
  <si>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</si>
  <si>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</si>
  <si>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</si>
  <si>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</si>
  <si>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</si>
  <si>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</si>
  <si>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</si>
  <si>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</si>
  <si>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</si>
  <si>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</si>
  <si>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</si>
  <si>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</si>
  <si>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</si>
  <si>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</si>
  <si>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</si>
  <si>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</si>
  <si>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</si>
  <si>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</si>
  <si>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</si>
  <si>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</si>
  <si>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</si>
  <si>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</si>
  <si>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</si>
  <si>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</si>
  <si>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</si>
  <si>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</si>
  <si>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</si>
  <si>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</si>
  <si>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</si>
  <si>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</si>
  <si>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</si>
  <si>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</si>
  <si>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</si>
  <si>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</si>
  <si>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</si>
  <si>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</si>
  <si>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</si>
  <si>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</si>
  <si>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</si>
  <si>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</si>
  <si>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</si>
  <si>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</si>
  <si>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</si>
  <si>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</si>
  <si>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</si>
  <si>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</si>
  <si>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PremiumSS6R5only</t>
    <phoneticPr fontId="22"/>
  </si>
  <si>
    <t>tables_523100</t>
    <phoneticPr fontId="22"/>
  </si>
  <si>
    <t>tables_523010</t>
    <phoneticPr fontId="22"/>
  </si>
  <si>
    <t>tables_settle_523105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</si>
</sst>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6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0" borderId="1" xfId="3036" applyFont="1" applyBorder="1"/>
    <xf numFmtId="0" fontId="27" fillId="0" borderId="0" xfId="2" applyFont="1" applyBorder="1" applyAlignment="1">
      <alignment vertical="center"/>
    </xf>
    <xf numFmtId="0" fontId="27" fillId="0" borderId="0" xfId="2" applyFont="1" applyFill="1" applyAlignment="1">
      <alignment vertical="center"/>
    </xf>
    <xf numFmtId="0" fontId="54" fillId="4" borderId="1" xfId="0" applyFont="1" applyFill="1" applyBorder="1" applyAlignment="1">
      <alignment vertical="center"/>
    </xf>
    <xf numFmtId="0" fontId="0" fillId="0" borderId="14" xfId="0" applyBorder="1"/>
    <xf numFmtId="178" fontId="0" fillId="0" borderId="14" xfId="0" applyNumberFormat="1" applyBorder="1"/>
    <xf numFmtId="0" fontId="0" fillId="0" borderId="0" xfId="0" applyFill="1" applyBorder="1"/>
    <xf numFmtId="0" fontId="0" fillId="0" borderId="17" xfId="0" applyFill="1" applyBorder="1"/>
    <xf numFmtId="10" fontId="0" fillId="0" borderId="17" xfId="0" applyNumberFormat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夏フロイト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ネコ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タンクネコ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バトルネコ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キモネコ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ネコノトリ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巨神ネコ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ネコヴァルキリー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ネコヴァルキリー・真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ネコヴァルキリー・聖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金ネコ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金ネコビルダー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メタルネコ（赤）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メタルネコビルダー（赤）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メタルネコ（青）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メタルネコビルダー（青）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メタルネコ（緑）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メタルネコビルダー（緑）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メタルネコ（黄）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メタルネコビルダー（黄）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ネコムート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狂乱のネコムート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狂乱のネコ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狂乱のネコビルダー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ネコ魔剣士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双剣ネコ魔剣士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ねこ海賊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ニャーコック船長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ねこジュラ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ねこジュラシッター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ネコエステ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ネコジェンヌ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ねこナース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ハートフルねこナース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キャットマンダディ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キャットマンダーク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雷神のサンディア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雷神のサンディアβ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美女神アフロディーテ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メガロディーテ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ツルの恩返し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銀河戦士コスモ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ネコルガ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ケセランパサラン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ネコフラワー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にゃんこ扇風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ネコリンゴ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カオルくん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35" sqref="C35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B8" sqref="B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61" t="s">
        <v>110</v>
      </c>
      <c r="C2" s="50" t="str">
        <f t="shared" ref="C2" si="0">RIGHT(F2,6)</f>
        <v>523100</v>
      </c>
      <c r="D2" s="19" t="s">
        <v>45</v>
      </c>
      <c r="E2" s="17" t="str">
        <f t="shared" ref="E2" si="1">B2&amp;C2&amp;D2</f>
        <v>gacha_select_tables_523100.tmp</v>
      </c>
      <c r="F2" s="105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246</v>
      </c>
      <c r="B3" s="61" t="s">
        <v>110</v>
      </c>
      <c r="C3" s="50" t="str">
        <f t="shared" ref="C3:C7" si="2">RIGHT(F3,6)</f>
        <v>523010</v>
      </c>
      <c r="D3" s="19" t="s">
        <v>45</v>
      </c>
      <c r="E3" s="17" t="str">
        <f t="shared" ref="E3:E10" si="3">B3&amp;C3&amp;D3</f>
        <v>gacha_select_tables_523010.tmp</v>
      </c>
      <c r="F3" s="105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3" t="s">
        <v>247</v>
      </c>
      <c r="C4" s="94" t="str">
        <f t="shared" si="2"/>
        <v>523105</v>
      </c>
      <c r="D4" s="19" t="s">
        <v>248</v>
      </c>
      <c r="E4" s="17" t="str">
        <f t="shared" si="3"/>
        <v>gacha_settle_tables_523105.tmp</v>
      </c>
      <c r="F4" s="105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B22" sqref="B22"/>
    </sheetView>
  </sheetViews>
  <sheetFormatPr baseColWidth="12" defaultRowHeight="14" x14ac:dyDescent="0.15"/>
  <cols>
    <col min="1" max="2" width="24.19921875" bestFit="1" customWidth="1"/>
    <col min="17" max="17" width="16.5976562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7">
        <v>1354</v>
      </c>
      <c r="M3" s="37" t="str">
        <f>VLOOKUP(L3,[1]characters!$A:$C,3,FALSE)</f>
        <v>放課後の恋妃神 フレイヤ</v>
      </c>
      <c r="N3" s="63">
        <v>0.02</v>
      </c>
      <c r="O3" s="37">
        <f>VLOOKUP(L3,[1]characters!$A:$I,9,FALSE)</f>
        <v>6</v>
      </c>
      <c r="P3" s="37" t="str">
        <f>VLOOKUP(L3,[1]characters!$A:$J,10,FALSE)</f>
        <v>PremiumSS</v>
      </c>
      <c r="Q3" s="37" t="str">
        <f>VLOOKUP(L3,tables_523010!B:C,2,FALSE)</f>
        <v>PremiumSS6R5only</v>
      </c>
      <c r="R3" s="62">
        <f t="shared" ref="R3:R20" si="1">N3*A$37</f>
        <v>2622000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7">
        <v>1359</v>
      </c>
      <c r="M4" s="37" t="str">
        <f>VLOOKUP(L4,[1]characters!$A:$C,3,FALSE)</f>
        <v>コルネ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VLOOKUP(L4,tables_523010!B:C,2,FALSE)</f>
        <v>PremiumSS5R5only</v>
      </c>
      <c r="R4" s="62">
        <f t="shared" si="1"/>
        <v>2622000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1-SUM(B6:B8)</f>
        <v>0.44999999999999996</v>
      </c>
      <c r="D5" t="s">
        <v>201</v>
      </c>
      <c r="E5" s="43">
        <f>(B11-H5)/(F5-I5)</f>
        <v>7.2463768115942019E-4</v>
      </c>
      <c r="F5">
        <f>COUNTIF(tables_523010!C:C,input_523010!A28)+COUNTIF(tables_523010!C:C,input_523010!A29)+COUNTIF(input_523010!Q:Q,input_523010!A30)-COUNTIF(input_523010!Q:Q,input_523010!A28)</f>
        <v>72</v>
      </c>
      <c r="H5" s="84">
        <v>5.2999999999999999E-2</v>
      </c>
      <c r="I5" s="31">
        <v>3</v>
      </c>
      <c r="L5" s="97">
        <v>1356</v>
      </c>
      <c r="M5" s="37" t="str">
        <f>VLOOKUP(L5,[1]characters!$A:$C,3,FALSE)</f>
        <v>恋狐の甘味振舞 タマモ</v>
      </c>
      <c r="N5" s="63">
        <v>0.05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VLOOKUP(L5,tables_523010!B:C,2,FALSE)</f>
        <v>Premium5R3less</v>
      </c>
      <c r="R5" s="62">
        <f t="shared" si="1"/>
        <v>6555000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7.8631578947368427E-3</v>
      </c>
      <c r="F6">
        <f>(COUNTIF(tables_523010!C:C,input_523010!A25)+COUNTIF(tables_523010!C:C,input_523010!A18)+COUNTIF(tables_523010!C:C,input_523010!A20)+COUNTIF(tables_523010!C:C,input_523010!A22))+COUNTIF(Q:Q,A23)</f>
        <v>98</v>
      </c>
      <c r="H6" s="84">
        <v>0.15</v>
      </c>
      <c r="I6" s="31">
        <v>3</v>
      </c>
      <c r="L6" s="97">
        <v>1357</v>
      </c>
      <c r="M6" s="37" t="str">
        <f>VLOOKUP(L6,[1]characters!$A:$C,3,FALSE)</f>
        <v>甘美なる想導司書 アズラエル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VLOOKUP(L6,tables_523010!B:C,2,FALSE)</f>
        <v>Premium5R3less</v>
      </c>
      <c r="R6" s="62">
        <f t="shared" si="1"/>
        <v>6555000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100" t="s">
        <v>70</v>
      </c>
      <c r="B7" s="101">
        <v>0.05</v>
      </c>
      <c r="L7" s="97">
        <v>1358</v>
      </c>
      <c r="M7" s="37" t="str">
        <f>VLOOKUP(L7,[1]characters!$A:$C,3,FALSE)</f>
        <v>暴走する恋激火 バハムート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VLOOKUP(L7,tables_523010!B:C,2,FALSE)</f>
        <v>Premium5R3less</v>
      </c>
      <c r="R7" s="62">
        <f t="shared" si="1"/>
        <v>6555000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103"/>
      <c r="B8" s="104"/>
      <c r="E8" s="76"/>
      <c r="L8" s="97">
        <v>1362</v>
      </c>
      <c r="M8" s="37" t="str">
        <f>VLOOKUP(L8,[1]characters!$A:$C,3,FALSE)</f>
        <v>刺撃する尖甘槍 フォンデュ</v>
      </c>
      <c r="N8" s="63">
        <v>1.2999999999999999E-2</v>
      </c>
      <c r="O8" s="37">
        <f>VLOOKUP(L8,[1]characters!$A:$I,9,FALSE)</f>
        <v>6</v>
      </c>
      <c r="P8" s="37" t="str">
        <f>VLOOKUP(L8,[1]characters!$A:$J,10,FALSE)</f>
        <v>PremiumSSw</v>
      </c>
      <c r="Q8" s="37" t="str">
        <f>VLOOKUP(L8,tables_523010!B:C,2,FALSE)</f>
        <v>PremiumSS6R5only</v>
      </c>
      <c r="R8" s="62">
        <f t="shared" si="1"/>
        <v>1704300</v>
      </c>
      <c r="S8">
        <v>598</v>
      </c>
      <c r="U8" s="33" t="s">
        <v>197</v>
      </c>
      <c r="V8" s="54">
        <f t="shared" si="0"/>
        <v>0.15000000000000002</v>
      </c>
    </row>
    <row r="9" spans="1:22" x14ac:dyDescent="0.15">
      <c r="A9" s="35" t="s">
        <v>54</v>
      </c>
      <c r="B9" s="35"/>
      <c r="L9" s="1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0.89700000000000002</v>
      </c>
      <c r="L10" s="1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0.10299999999999999</v>
      </c>
      <c r="L11" s="1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1"/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0.02</v>
      </c>
    </row>
    <row r="15" spans="1:22" x14ac:dyDescent="0.15">
      <c r="A15" s="36" t="s">
        <v>57</v>
      </c>
      <c r="B15" s="36"/>
      <c r="C15" t="s">
        <v>83</v>
      </c>
      <c r="L15" s="98"/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</f>
        <v>7.0768421052631578E-2</v>
      </c>
      <c r="C17" s="85">
        <f t="shared" ref="C17:C32" si="2">SUMIF(Q:Q,A17,N:N)</f>
        <v>0</v>
      </c>
      <c r="D17" s="74">
        <f t="shared" ref="D17:D33" si="3">B17-C17</f>
        <v>7.0768421052631578E-2</v>
      </c>
      <c r="E17">
        <f>COUNTIF(tables_523010!C:C,input_523010!A17)-COUNTIF(Q:Q,A17)</f>
        <v>20</v>
      </c>
      <c r="F17" s="43">
        <f>IFERROR(B17/E17,0)</f>
        <v>3.5384210526315787E-3</v>
      </c>
      <c r="G17">
        <f t="shared" ref="G17:G32" si="4">A$37*B17</f>
        <v>9277740</v>
      </c>
      <c r="H17">
        <f t="shared" ref="H17:H32" si="5">IFERROR(ROUND(G17/E17,5),0)</f>
        <v>463887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8.6494736842105277E-2</v>
      </c>
      <c r="C18" s="85">
        <f t="shared" si="2"/>
        <v>0</v>
      </c>
      <c r="D18" s="74">
        <f t="shared" si="3"/>
        <v>8.6494736842105277E-2</v>
      </c>
      <c r="E18">
        <f>COUNTIF(tables_523010!C:C,input_523010!A18)-COUNTIF(Q:Q,A18)</f>
        <v>20</v>
      </c>
      <c r="F18" s="43">
        <f>IFERROR(B18/E18,0)</f>
        <v>4.324736842105264E-3</v>
      </c>
      <c r="G18">
        <f t="shared" si="4"/>
        <v>11339460.000000002</v>
      </c>
      <c r="H18">
        <f t="shared" si="5"/>
        <v>566973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0.18399789473684211</v>
      </c>
      <c r="C19" s="85">
        <f t="shared" si="2"/>
        <v>0</v>
      </c>
      <c r="D19" s="74">
        <f t="shared" si="3"/>
        <v>0.18399789473684211</v>
      </c>
      <c r="E19">
        <f>COUNTIF(tables_523010!C:C,input_523010!A19)-COUNTIF(Q:Q,A19)</f>
        <v>52</v>
      </c>
      <c r="F19" s="43">
        <f t="shared" ref="F19:F32" si="8">IFERROR(B19/E19,0)</f>
        <v>3.5384210526315791E-3</v>
      </c>
      <c r="G19">
        <f t="shared" si="4"/>
        <v>24122124</v>
      </c>
      <c r="H19">
        <f t="shared" si="5"/>
        <v>463887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E$6*E20-B19-B21</f>
        <v>0.21701253241800159</v>
      </c>
      <c r="C20" s="85">
        <f t="shared" si="2"/>
        <v>0</v>
      </c>
      <c r="D20" s="74">
        <f t="shared" si="3"/>
        <v>0.21701253241800159</v>
      </c>
      <c r="E20">
        <f>COUNTIF(tables_523010!C:C,input_523010!A20)-COUNTIF(Q:Q,A20)</f>
        <v>52</v>
      </c>
      <c r="F20" s="43">
        <f t="shared" si="8"/>
        <v>4.173317931115415E-3</v>
      </c>
      <c r="G20">
        <f t="shared" si="4"/>
        <v>28450343.000000007</v>
      </c>
      <c r="H20">
        <f t="shared" si="5"/>
        <v>547121.98077000002</v>
      </c>
      <c r="I20">
        <f t="shared" si="6"/>
        <v>0.98077000002376735</v>
      </c>
      <c r="J20">
        <f t="shared" si="7"/>
        <v>1.0196070434207476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7.8737833714721608E-3</v>
      </c>
      <c r="C21" s="85">
        <f t="shared" si="2"/>
        <v>0</v>
      </c>
      <c r="D21" s="74">
        <f t="shared" si="3"/>
        <v>7.8737833714721608E-3</v>
      </c>
      <c r="E21">
        <f>COUNTIF(tables_523010!C:C,input_523010!A21)-COUNTIF(Q:Q,A21)</f>
        <v>52</v>
      </c>
      <c r="F21" s="43">
        <f t="shared" si="8"/>
        <v>1.5141891098984924E-4</v>
      </c>
      <c r="G21">
        <f t="shared" si="4"/>
        <v>1032253.0000000002</v>
      </c>
      <c r="H21">
        <f t="shared" si="5"/>
        <v>19851.019230000002</v>
      </c>
      <c r="I21">
        <f t="shared" si="6"/>
        <v>1.92300000016985E-2</v>
      </c>
      <c r="J21">
        <f t="shared" si="7"/>
        <v>52.00208007861022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0.13957105263157896</v>
      </c>
      <c r="C22" s="85">
        <f t="shared" si="2"/>
        <v>0</v>
      </c>
      <c r="D22" s="74">
        <f t="shared" si="3"/>
        <v>0.13957105263157896</v>
      </c>
      <c r="E22">
        <f>COUNTIF(tables_523010!C:C,input_523010!A22)-COUNTIF(Q:Q,A22)</f>
        <v>19</v>
      </c>
      <c r="F22" s="43">
        <f t="shared" si="8"/>
        <v>7.3458448753462606E-3</v>
      </c>
      <c r="G22">
        <f t="shared" si="4"/>
        <v>18297765</v>
      </c>
      <c r="H22">
        <f t="shared" si="5"/>
        <v>963040.26315999997</v>
      </c>
      <c r="I22">
        <f t="shared" si="6"/>
        <v>0.26315999997314066</v>
      </c>
      <c r="J22">
        <f t="shared" si="7"/>
        <v>3.7999696006310408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9.8289473684210552E-3</v>
      </c>
      <c r="C23" s="85">
        <f t="shared" si="2"/>
        <v>0.15000000000000002</v>
      </c>
      <c r="D23" s="74">
        <f t="shared" si="3"/>
        <v>-0.14017105263157897</v>
      </c>
      <c r="E23">
        <f>COUNTIF(tables_523010!C:C,input_523010!A23)-COUNTIF(Q:Q,A23)</f>
        <v>25</v>
      </c>
      <c r="F23" s="43">
        <f t="shared" si="8"/>
        <v>3.9315789473684222E-4</v>
      </c>
      <c r="G23">
        <f t="shared" si="4"/>
        <v>1288575.0000000002</v>
      </c>
      <c r="H23">
        <f t="shared" si="5"/>
        <v>51543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1.4153684210526315E-2</v>
      </c>
      <c r="C24" s="85">
        <f t="shared" si="2"/>
        <v>0</v>
      </c>
      <c r="D24" s="74">
        <f t="shared" si="3"/>
        <v>1.4153684210526315E-2</v>
      </c>
      <c r="E24">
        <f>COUNTIF(tables_523010!C:C,input_523010!A24)-COUNTIF(Q:Q,A24)</f>
        <v>4</v>
      </c>
      <c r="F24" s="43">
        <f t="shared" si="8"/>
        <v>3.5384210526315787E-3</v>
      </c>
      <c r="G24">
        <f t="shared" si="4"/>
        <v>1855547.9999999998</v>
      </c>
      <c r="H24">
        <f t="shared" si="5"/>
        <v>463887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1.5726315789473685E-2</v>
      </c>
      <c r="C25" s="85">
        <f t="shared" si="2"/>
        <v>0</v>
      </c>
      <c r="D25" s="74">
        <f t="shared" si="3"/>
        <v>1.5726315789473685E-2</v>
      </c>
      <c r="E25">
        <f>COUNTIF(tables_523010!C:C,input_523010!A25)-COUNTIF(Q:Q,A25)</f>
        <v>4</v>
      </c>
      <c r="F25" s="43">
        <f t="shared" si="8"/>
        <v>3.9315789473684214E-3</v>
      </c>
      <c r="G25">
        <f t="shared" si="4"/>
        <v>2061720.0000000002</v>
      </c>
      <c r="H25">
        <f t="shared" si="5"/>
        <v>515430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1.5726315789473687E-3</v>
      </c>
      <c r="C26" s="85">
        <f t="shared" si="2"/>
        <v>0</v>
      </c>
      <c r="D26" s="74">
        <f t="shared" si="3"/>
        <v>1.5726315789473687E-3</v>
      </c>
      <c r="E26">
        <f>COUNTIF(tables_523010!C:C,input_523010!A26)-COUNTIF(Q:Q,A26)</f>
        <v>4</v>
      </c>
      <c r="F26" s="43">
        <f t="shared" si="8"/>
        <v>3.9315789473684217E-4</v>
      </c>
      <c r="G26">
        <f t="shared" si="4"/>
        <v>206172.00000000003</v>
      </c>
      <c r="H26">
        <f t="shared" si="5"/>
        <v>51543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1.9275362318840576E-2</v>
      </c>
      <c r="C27" s="85">
        <f t="shared" si="2"/>
        <v>0</v>
      </c>
      <c r="D27" s="74">
        <f t="shared" si="3"/>
        <v>1.9275362318840576E-2</v>
      </c>
      <c r="E27">
        <f>COUNTIF(tables_523010!C:C,input_523010!A27)-COUNTIF(Q:Q,A27)</f>
        <v>28</v>
      </c>
      <c r="F27" s="43">
        <f>IFERROR(B27/E27,0)</f>
        <v>6.884057971014492E-4</v>
      </c>
      <c r="G27">
        <f t="shared" si="4"/>
        <v>2526999.9999999995</v>
      </c>
      <c r="H27">
        <f t="shared" si="5"/>
        <v>90250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1.0144927536231885E-3</v>
      </c>
      <c r="C28" s="85">
        <f t="shared" si="2"/>
        <v>0</v>
      </c>
      <c r="D28" s="74">
        <f t="shared" si="3"/>
        <v>1.0144927536231885E-3</v>
      </c>
      <c r="E28">
        <f>COUNTIF(tables_523010!C:C,input_523010!A28)-COUNTIF(Q:Q,A28)</f>
        <v>28</v>
      </c>
      <c r="F28" s="43">
        <f t="shared" si="8"/>
        <v>3.6231884057971014E-5</v>
      </c>
      <c r="G28">
        <f t="shared" si="4"/>
        <v>133000</v>
      </c>
      <c r="H28">
        <f t="shared" si="5"/>
        <v>4750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2.9710144927536229E-2</v>
      </c>
      <c r="C29" s="85">
        <f t="shared" si="2"/>
        <v>0.02</v>
      </c>
      <c r="D29" s="74">
        <f t="shared" si="3"/>
        <v>9.7101449275362288E-3</v>
      </c>
      <c r="E29">
        <f>COUNTIF(tables_523010!C:C,input_523010!A29)-COUNTIF(Q:Q,A29)</f>
        <v>41</v>
      </c>
      <c r="F29" s="43">
        <f t="shared" si="8"/>
        <v>7.2463768115942019E-4</v>
      </c>
      <c r="G29">
        <f t="shared" si="4"/>
        <v>3894999.9999999995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252</v>
      </c>
      <c r="B30" s="56">
        <f>E$5*E30</f>
        <v>0</v>
      </c>
      <c r="C30" s="85">
        <f t="shared" si="2"/>
        <v>3.3000000000000002E-2</v>
      </c>
      <c r="D30" s="74">
        <f t="shared" ref="D30" si="9">B30-C30</f>
        <v>-3.3000000000000002E-2</v>
      </c>
      <c r="E30">
        <f>COUNTIF(tables_523010!C:C,input_523010!A30)-COUNTIF(Q:Q,A30)</f>
        <v>0</v>
      </c>
      <c r="F30" s="43">
        <f t="shared" ref="F30" si="10">IFERROR(B30/E30,0)</f>
        <v>0</v>
      </c>
      <c r="G30">
        <f t="shared" si="4"/>
        <v>0</v>
      </c>
      <c r="H30">
        <f t="shared" ref="H30" si="11">IFERROR(ROUND(G30/E30,5),0)</f>
        <v>0</v>
      </c>
      <c r="I30">
        <f t="shared" ref="I30" si="12">MOD(H30,1)</f>
        <v>0</v>
      </c>
      <c r="J30">
        <f t="shared" ref="J30" si="13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 t="shared" si="2"/>
        <v>0</v>
      </c>
      <c r="D31" s="74">
        <f t="shared" si="3"/>
        <v>0</v>
      </c>
      <c r="E31">
        <f>COUNTIF(tables_523010!C:C,input_523010!A31)-COUNTIF(Q:Q,A31)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 t="shared" si="2"/>
        <v>0</v>
      </c>
      <c r="D32" s="74">
        <f t="shared" si="3"/>
        <v>0</v>
      </c>
      <c r="E32">
        <f>COUNTIF(tables_523010!C:C,input_523010!A32)-COUNTIF(Q:Q,A32)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0.79700000000000015</v>
      </c>
      <c r="C33" s="41">
        <f>SUM(C19:C32)</f>
        <v>0.20300000000000001</v>
      </c>
      <c r="D33" s="42">
        <f t="shared" si="3"/>
        <v>0.59400000000000008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/>
      <c r="F35" s="55"/>
    </row>
    <row r="36" spans="1:18" x14ac:dyDescent="0.15">
      <c r="A36" t="s">
        <v>73</v>
      </c>
    </row>
    <row r="37" spans="1:18" x14ac:dyDescent="0.15">
      <c r="A37" s="31">
        <f>LCM(F5-I5,F6-I6)*1000*2*2*5</f>
        <v>131100000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SUMIF(tables_523010!C:C,input_523010!A41,tables_523010!O:O)</f>
        <v>24122124</v>
      </c>
      <c r="C41" s="54">
        <f t="shared" ref="C41:C47" ca="1" si="14">B41/B$48</f>
        <v>0.4287255672826597</v>
      </c>
      <c r="E41">
        <v>3</v>
      </c>
      <c r="F41">
        <f ca="1">SUMIF(tables_523010!J:J,input_523010!E41,tables_523010!O:O)</f>
        <v>35255412</v>
      </c>
      <c r="G41">
        <f ca="1">F41/A37</f>
        <v>0.26891999999999999</v>
      </c>
    </row>
    <row r="42" spans="1:18" x14ac:dyDescent="0.15">
      <c r="A42" s="33" t="s">
        <v>104</v>
      </c>
      <c r="B42">
        <f ca="1">SUMIF(tables_523010!C:C,input_523010!A42,tables_523010!O:O)</f>
        <v>28450343.00003998</v>
      </c>
      <c r="C42" s="54">
        <f t="shared" ca="1" si="14"/>
        <v>0.50565155216341595</v>
      </c>
      <c r="E42">
        <v>4</v>
      </c>
      <c r="F42">
        <f ca="1">SUMIF(tables_523010!J:J,input_523010!E42,tables_523010!O:O)</f>
        <v>62676288.000079922</v>
      </c>
      <c r="G42">
        <f ca="1">F42/A37</f>
        <v>0.47808000000060963</v>
      </c>
    </row>
    <row r="43" spans="1:18" x14ac:dyDescent="0.15">
      <c r="A43" s="33" t="s">
        <v>106</v>
      </c>
      <c r="B43">
        <f ca="1">SUMIF(tables_523010!C:C,input_523010!A43,tables_523010!O:O)</f>
        <v>2527000</v>
      </c>
      <c r="C43" s="54">
        <f t="shared" ca="1" si="14"/>
        <v>4.4912691292163208E-2</v>
      </c>
      <c r="E43">
        <v>5</v>
      </c>
      <c r="F43">
        <f ca="1">SUMIF(tables_523010!J:J,input_523010!E43,tables_523010!O:O)</f>
        <v>28841999.999959998</v>
      </c>
      <c r="G43">
        <f ca="1">F43/A37</f>
        <v>0.21999999999969488</v>
      </c>
    </row>
    <row r="44" spans="1:18" x14ac:dyDescent="0.15">
      <c r="A44" s="33" t="s">
        <v>109</v>
      </c>
      <c r="B44">
        <f>SUMIF(tables_523010!C:C,input_523010!A44,tables_523010!O:O)</f>
        <v>0</v>
      </c>
      <c r="C44" s="54">
        <f t="shared" ca="1" si="14"/>
        <v>0</v>
      </c>
      <c r="F44" s="55"/>
    </row>
    <row r="45" spans="1:18" x14ac:dyDescent="0.15">
      <c r="A45" s="33" t="s">
        <v>105</v>
      </c>
      <c r="B45">
        <f ca="1">SUMIF(tables_523010!C:C,input_523010!A45,tables_523010!O:O)</f>
        <v>1032252.9999599991</v>
      </c>
      <c r="C45" s="54">
        <f t="shared" ca="1" si="14"/>
        <v>1.8346363404278906E-2</v>
      </c>
      <c r="E45" t="s">
        <v>54</v>
      </c>
      <c r="F45" s="55"/>
    </row>
    <row r="46" spans="1:18" x14ac:dyDescent="0.15">
      <c r="A46" s="33" t="s">
        <v>107</v>
      </c>
      <c r="B46">
        <f ca="1">SUMIF(tables_523010!C:C,input_523010!A46,tables_523010!O:O)</f>
        <v>133000</v>
      </c>
      <c r="C46" s="54">
        <f t="shared" ca="1" si="14"/>
        <v>2.3638258574822739E-3</v>
      </c>
      <c r="E46" t="s">
        <v>204</v>
      </c>
      <c r="F46" s="55">
        <f ca="1">SUMIF(tables_523010!I:I,input_523010!E46,tables_523010!P:P)</f>
        <v>0.15962210526310913</v>
      </c>
    </row>
    <row r="47" spans="1:18" x14ac:dyDescent="0.15">
      <c r="A47" s="33" t="s">
        <v>108</v>
      </c>
      <c r="B47">
        <f>SUMIF(tables_523010!C:C,input_523010!A47,tables_523010!O:O)</f>
        <v>0</v>
      </c>
      <c r="C47" s="54">
        <f t="shared" ca="1" si="14"/>
        <v>0</v>
      </c>
      <c r="E47" t="s">
        <v>205</v>
      </c>
      <c r="F47" s="55">
        <f ca="1">SUMIF(tables_523010!I:I,input_523010!E47,tables_523010!P:P)</f>
        <v>0.15726315789468881</v>
      </c>
    </row>
    <row r="48" spans="1:18" x14ac:dyDescent="0.15">
      <c r="A48" s="39" t="s">
        <v>59</v>
      </c>
      <c r="B48">
        <f ca="1">SUM(B41:B47)</f>
        <v>56264719.999999978</v>
      </c>
      <c r="C48" s="55">
        <f ca="1">SUM(C41:C47)</f>
        <v>1</v>
      </c>
      <c r="E48" t="s">
        <v>206</v>
      </c>
      <c r="F48" s="55">
        <f ca="1">SUMIF(tables_523010!I:I,input_523010!E48,tables_523010!P:P)</f>
        <v>0.58011473684223225</v>
      </c>
    </row>
    <row r="49" spans="5:7" x14ac:dyDescent="0.15">
      <c r="E49" t="s">
        <v>207</v>
      </c>
      <c r="F49" s="55">
        <f ca="1">SUMIF(tables_523010!I:I,input_523010!E49,tables_523010!P:P)</f>
        <v>8.4202898550698888E-2</v>
      </c>
      <c r="G49" s="55">
        <f ca="1">0.05-F49-F50</f>
        <v>-5.2999999999968496E-2</v>
      </c>
    </row>
    <row r="50" spans="5:7" x14ac:dyDescent="0.15">
      <c r="E50" t="s">
        <v>249</v>
      </c>
      <c r="F50" s="55">
        <f ca="1">SUMIF(tables_523010!I:I,input_523010!E50,tables_523010!P:P)</f>
        <v>1.8797101449269611E-2</v>
      </c>
      <c r="G50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21.796875" style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input_523010!A$2</f>
        <v>523010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IFERROR(VLOOKUP(B2,input_523010!L:R,7,FALSE),VLOOKUP(tables_523010!C2,input_523010!A:H,8,FALSE))</f>
        <v>463887</v>
      </c>
      <c r="P2" s="46">
        <f t="shared" ref="P2:P65" ca="1" si="1">O2/SUM(O:O)</f>
        <v>3.5384210526304967E-3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input_523010!A$2</f>
        <v>523010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IFERROR(VLOOKUP(B3,input_523010!L:R,7,FALSE),VLOOKUP(tables_523010!C3,input_523010!A:H,8,FALSE))</f>
        <v>566973</v>
      </c>
      <c r="P3" s="46">
        <f t="shared" ca="1" si="1"/>
        <v>4.3247368421039404E-3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input_523010!A$2</f>
        <v>523010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IFERROR(VLOOKUP(B4,input_523010!L:R,7,FALSE),VLOOKUP(tables_523010!C4,input_523010!A:H,8,FALSE))</f>
        <v>463887</v>
      </c>
      <c r="P4" s="46">
        <f t="shared" ca="1" si="1"/>
        <v>3.5384210526304967E-3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input_523010!A$2</f>
        <v>523010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IFERROR(VLOOKUP(B5,input_523010!L:R,7,FALSE),VLOOKUP(tables_523010!C5,input_523010!A:H,8,FALSE))</f>
        <v>566973</v>
      </c>
      <c r="P5" s="46">
        <f t="shared" ca="1" si="1"/>
        <v>4.3247368421039404E-3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input_523010!A$2</f>
        <v>523010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IFERROR(VLOOKUP(B6,input_523010!L:R,7,FALSE),VLOOKUP(tables_523010!C6,input_523010!A:H,8,FALSE))</f>
        <v>463887</v>
      </c>
      <c r="P6" s="46">
        <f t="shared" ca="1" si="1"/>
        <v>3.5384210526304967E-3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input_523010!A$2</f>
        <v>523010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IFERROR(VLOOKUP(B7,input_523010!L:R,7,FALSE),VLOOKUP(tables_523010!C7,input_523010!A:H,8,FALSE))</f>
        <v>566973</v>
      </c>
      <c r="P7" s="46">
        <f t="shared" ca="1" si="1"/>
        <v>4.3247368421039404E-3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input_523010!A$2</f>
        <v>523010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IFERROR(VLOOKUP(B8,input_523010!L:R,7,FALSE),VLOOKUP(tables_523010!C8,input_523010!A:H,8,FALSE))</f>
        <v>463887</v>
      </c>
      <c r="P8" s="46">
        <f t="shared" ca="1" si="1"/>
        <v>3.5384210526304967E-3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input_523010!A$2</f>
        <v>523010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IFERROR(VLOOKUP(B9,input_523010!L:R,7,FALSE),VLOOKUP(tables_523010!C9,input_523010!A:H,8,FALSE))</f>
        <v>566973</v>
      </c>
      <c r="P9" s="46">
        <f t="shared" ca="1" si="1"/>
        <v>4.3247368421039404E-3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input_523010!A$2</f>
        <v>523010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IFERROR(VLOOKUP(B10,input_523010!L:R,7,FALSE),VLOOKUP(tables_523010!C10,input_523010!A:H,8,FALSE))</f>
        <v>463887</v>
      </c>
      <c r="P10" s="46">
        <f t="shared" ca="1" si="1"/>
        <v>3.5384210526304967E-3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input_523010!A$2</f>
        <v>523010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IFERROR(VLOOKUP(B11,input_523010!L:R,7,FALSE),VLOOKUP(tables_523010!C11,input_523010!A:H,8,FALSE))</f>
        <v>566973</v>
      </c>
      <c r="P11" s="46">
        <f t="shared" ca="1" si="1"/>
        <v>4.3247368421039404E-3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input_523010!A$2</f>
        <v>523010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IFERROR(VLOOKUP(B12,input_523010!L:R,7,FALSE),VLOOKUP(tables_523010!C12,input_523010!A:H,8,FALSE))</f>
        <v>463887</v>
      </c>
      <c r="P12" s="46">
        <f t="shared" ca="1" si="1"/>
        <v>3.5384210526304967E-3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input_523010!A$2</f>
        <v>523010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IFERROR(VLOOKUP(B13,input_523010!L:R,7,FALSE),VLOOKUP(tables_523010!C13,input_523010!A:H,8,FALSE))</f>
        <v>566973</v>
      </c>
      <c r="P13" s="46">
        <f t="shared" ca="1" si="1"/>
        <v>4.3247368421039404E-3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input_523010!A$2</f>
        <v>523010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IFERROR(VLOOKUP(B14,input_523010!L:R,7,FALSE),VLOOKUP(tables_523010!C14,input_523010!A:H,8,FALSE))</f>
        <v>463887</v>
      </c>
      <c r="P14" s="46">
        <f t="shared" ca="1" si="1"/>
        <v>3.5384210526304967E-3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input_523010!A$2</f>
        <v>523010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IFERROR(VLOOKUP(B15,input_523010!L:R,7,FALSE),VLOOKUP(tables_523010!C15,input_523010!A:H,8,FALSE))</f>
        <v>566973</v>
      </c>
      <c r="P15" s="46">
        <f t="shared" ca="1" si="1"/>
        <v>4.3247368421039404E-3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input_523010!A$2</f>
        <v>523010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IFERROR(VLOOKUP(B16,input_523010!L:R,7,FALSE),VLOOKUP(tables_523010!C16,input_523010!A:H,8,FALSE))</f>
        <v>463887</v>
      </c>
      <c r="P16" s="46">
        <f t="shared" ca="1" si="1"/>
        <v>3.5384210526304967E-3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input_523010!A$2</f>
        <v>523010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IFERROR(VLOOKUP(B17,input_523010!L:R,7,FALSE),VLOOKUP(tables_523010!C17,input_523010!A:H,8,FALSE))</f>
        <v>566973</v>
      </c>
      <c r="P17" s="46">
        <f t="shared" ca="1" si="1"/>
        <v>4.3247368421039404E-3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input_523010!A$2</f>
        <v>523010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IFERROR(VLOOKUP(B18,input_523010!L:R,7,FALSE),VLOOKUP(tables_523010!C18,input_523010!A:H,8,FALSE))</f>
        <v>463887</v>
      </c>
      <c r="P18" s="46">
        <f t="shared" ca="1" si="1"/>
        <v>3.5384210526304967E-3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input_523010!A$2</f>
        <v>523010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IFERROR(VLOOKUP(B19,input_523010!L:R,7,FALSE),VLOOKUP(tables_523010!C19,input_523010!A:H,8,FALSE))</f>
        <v>566973</v>
      </c>
      <c r="P19" s="46">
        <f t="shared" ca="1" si="1"/>
        <v>4.3247368421039404E-3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input_523010!A$2</f>
        <v>523010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IFERROR(VLOOKUP(B20,input_523010!L:R,7,FALSE),VLOOKUP(tables_523010!C20,input_523010!A:H,8,FALSE))</f>
        <v>463887</v>
      </c>
      <c r="P20" s="46">
        <f t="shared" ca="1" si="1"/>
        <v>3.5384210526304967E-3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input_523010!A$2</f>
        <v>523010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IFERROR(VLOOKUP(B21,input_523010!L:R,7,FALSE),VLOOKUP(tables_523010!C21,input_523010!A:H,8,FALSE))</f>
        <v>566973</v>
      </c>
      <c r="P21" s="46">
        <f t="shared" ca="1" si="1"/>
        <v>4.3247368421039404E-3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input_523010!A$2</f>
        <v>523010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IFERROR(VLOOKUP(B22,input_523010!L:R,7,FALSE),VLOOKUP(tables_523010!C22,input_523010!A:H,8,FALSE))</f>
        <v>463887</v>
      </c>
      <c r="P22" s="46">
        <f t="shared" ca="1" si="1"/>
        <v>3.5384210526304967E-3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input_523010!A$2</f>
        <v>523010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IFERROR(VLOOKUP(B23,input_523010!L:R,7,FALSE),VLOOKUP(tables_523010!C23,input_523010!A:H,8,FALSE))</f>
        <v>566973</v>
      </c>
      <c r="P23" s="46">
        <f t="shared" ca="1" si="1"/>
        <v>4.3247368421039404E-3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input_523010!A$2</f>
        <v>523010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IFERROR(VLOOKUP(B24,input_523010!L:R,7,FALSE),VLOOKUP(tables_523010!C24,input_523010!A:H,8,FALSE))</f>
        <v>463887</v>
      </c>
      <c r="P24" s="46">
        <f t="shared" ca="1" si="1"/>
        <v>3.5384210526304967E-3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input_523010!A$2</f>
        <v>523010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IFERROR(VLOOKUP(B25,input_523010!L:R,7,FALSE),VLOOKUP(tables_523010!C25,input_523010!A:H,8,FALSE))</f>
        <v>566973</v>
      </c>
      <c r="P25" s="46">
        <f t="shared" ca="1" si="1"/>
        <v>4.3247368421039404E-3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input_523010!A$2</f>
        <v>523010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IFERROR(VLOOKUP(B26,input_523010!L:R,7,FALSE),VLOOKUP(tables_523010!C26,input_523010!A:H,8,FALSE))</f>
        <v>463887</v>
      </c>
      <c r="P26" s="46">
        <f t="shared" ca="1" si="1"/>
        <v>3.5384210526304967E-3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input_523010!A$2</f>
        <v>523010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IFERROR(VLOOKUP(B27,input_523010!L:R,7,FALSE),VLOOKUP(tables_523010!C27,input_523010!A:H,8,FALSE))</f>
        <v>566973</v>
      </c>
      <c r="P27" s="46">
        <f t="shared" ca="1" si="1"/>
        <v>4.3247368421039404E-3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input_523010!A$2</f>
        <v>523010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IFERROR(VLOOKUP(B28,input_523010!L:R,7,FALSE),VLOOKUP(tables_523010!C28,input_523010!A:H,8,FALSE))</f>
        <v>463887</v>
      </c>
      <c r="P28" s="46">
        <f t="shared" ca="1" si="1"/>
        <v>3.5384210526304967E-3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input_523010!A$2</f>
        <v>523010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IFERROR(VLOOKUP(B29,input_523010!L:R,7,FALSE),VLOOKUP(tables_523010!C29,input_523010!A:H,8,FALSE))</f>
        <v>566973</v>
      </c>
      <c r="P29" s="46">
        <f t="shared" ca="1" si="1"/>
        <v>4.3247368421039404E-3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input_523010!A$2</f>
        <v>523010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IFERROR(VLOOKUP(B30,input_523010!L:R,7,FALSE),VLOOKUP(tables_523010!C30,input_523010!A:H,8,FALSE))</f>
        <v>463887</v>
      </c>
      <c r="P30" s="46">
        <f t="shared" ca="1" si="1"/>
        <v>3.5384210526304967E-3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input_523010!A$2</f>
        <v>523010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IFERROR(VLOOKUP(B31,input_523010!L:R,7,FALSE),VLOOKUP(tables_523010!C31,input_523010!A:H,8,FALSE))</f>
        <v>566973</v>
      </c>
      <c r="P31" s="46">
        <f t="shared" ca="1" si="1"/>
        <v>4.3247368421039404E-3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input_523010!A$2</f>
        <v>523010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IFERROR(VLOOKUP(B32,input_523010!L:R,7,FALSE),VLOOKUP(tables_523010!C32,input_523010!A:H,8,FALSE))</f>
        <v>463887</v>
      </c>
      <c r="P32" s="46">
        <f t="shared" ca="1" si="1"/>
        <v>3.5384210526304967E-3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input_523010!A$2</f>
        <v>523010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IFERROR(VLOOKUP(B33,input_523010!L:R,7,FALSE),VLOOKUP(tables_523010!C33,input_523010!A:H,8,FALSE))</f>
        <v>566973</v>
      </c>
      <c r="P33" s="46">
        <f t="shared" ca="1" si="1"/>
        <v>4.3247368421039404E-3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input_523010!A$2</f>
        <v>523010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IFERROR(VLOOKUP(B34,input_523010!L:R,7,FALSE),VLOOKUP(tables_523010!C34,input_523010!A:H,8,FALSE))</f>
        <v>463887</v>
      </c>
      <c r="P34" s="46">
        <f t="shared" ca="1" si="1"/>
        <v>3.5384210526304967E-3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input_523010!A$2</f>
        <v>523010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IFERROR(VLOOKUP(B35,input_523010!L:R,7,FALSE),VLOOKUP(tables_523010!C35,input_523010!A:H,8,FALSE))</f>
        <v>566973</v>
      </c>
      <c r="P35" s="46">
        <f t="shared" ca="1" si="1"/>
        <v>4.3247368421039404E-3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input_523010!A$2</f>
        <v>523010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IFERROR(VLOOKUP(B36,input_523010!L:R,7,FALSE),VLOOKUP(tables_523010!C36,input_523010!A:H,8,FALSE))</f>
        <v>463887</v>
      </c>
      <c r="P36" s="46">
        <f t="shared" ca="1" si="1"/>
        <v>3.5384210526304967E-3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input_523010!A$2</f>
        <v>523010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IFERROR(VLOOKUP(B37,input_523010!L:R,7,FALSE),VLOOKUP(tables_523010!C37,input_523010!A:H,8,FALSE))</f>
        <v>566973</v>
      </c>
      <c r="P37" s="46">
        <f t="shared" ca="1" si="1"/>
        <v>4.3247368421039404E-3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input_523010!A$2</f>
        <v>523010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IFERROR(VLOOKUP(B38,input_523010!L:R,7,FALSE),VLOOKUP(tables_523010!C38,input_523010!A:H,8,FALSE))</f>
        <v>463887</v>
      </c>
      <c r="P38" s="46">
        <f t="shared" ca="1" si="1"/>
        <v>3.5384210526304967E-3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input_523010!A$2</f>
        <v>523010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IFERROR(VLOOKUP(B39,input_523010!L:R,7,FALSE),VLOOKUP(tables_523010!C39,input_523010!A:H,8,FALSE))</f>
        <v>566973</v>
      </c>
      <c r="P39" s="46">
        <f t="shared" ca="1" si="1"/>
        <v>4.3247368421039404E-3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input_523010!A$2</f>
        <v>523010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IFERROR(VLOOKUP(B40,input_523010!L:R,7,FALSE),VLOOKUP(tables_523010!C40,input_523010!A:H,8,FALSE))</f>
        <v>463887</v>
      </c>
      <c r="P40" s="46">
        <f t="shared" ca="1" si="1"/>
        <v>3.5384210526304967E-3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input_523010!A$2</f>
        <v>523010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IFERROR(VLOOKUP(B41,input_523010!L:R,7,FALSE),VLOOKUP(tables_523010!C41,input_523010!A:H,8,FALSE))</f>
        <v>566973</v>
      </c>
      <c r="P41" s="46">
        <f t="shared" ca="1" si="1"/>
        <v>4.3247368421039404E-3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input_523010!A$2</f>
        <v>523010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IFERROR(VLOOKUP(B42,input_523010!L:R,7,FALSE),VLOOKUP(tables_523010!C42,input_523010!A:H,8,FALSE))</f>
        <v>463887</v>
      </c>
      <c r="P42" s="46">
        <f t="shared" ca="1" si="1"/>
        <v>3.5384210526304967E-3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input_523010!A$2</f>
        <v>523010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IFERROR(VLOOKUP(B43,input_523010!L:R,7,FALSE),VLOOKUP(tables_523010!C43,input_523010!A:H,8,FALSE))</f>
        <v>515430</v>
      </c>
      <c r="P43" s="46">
        <f t="shared" ca="1" si="1"/>
        <v>3.9315789473672183E-3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input_523010!A$2</f>
        <v>523010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IFERROR(VLOOKUP(B44,input_523010!L:R,7,FALSE),VLOOKUP(tables_523010!C44,input_523010!A:H,8,FALSE))</f>
        <v>51543</v>
      </c>
      <c r="P44" s="46">
        <f t="shared" ca="1" si="1"/>
        <v>3.9315789473672188E-4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input_523010!A$2</f>
        <v>523010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IFERROR(VLOOKUP(B45,input_523010!L:R,7,FALSE),VLOOKUP(tables_523010!C45,input_523010!A:H,8,FALSE))</f>
        <v>463887</v>
      </c>
      <c r="P45" s="46">
        <f t="shared" ca="1" si="1"/>
        <v>3.5384210526304967E-3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input_523010!A$2</f>
        <v>523010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IFERROR(VLOOKUP(B46,input_523010!L:R,7,FALSE),VLOOKUP(tables_523010!C46,input_523010!A:H,8,FALSE))</f>
        <v>515430</v>
      </c>
      <c r="P46" s="46">
        <f t="shared" ca="1" si="1"/>
        <v>3.9315789473672183E-3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input_523010!A$2</f>
        <v>523010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IFERROR(VLOOKUP(B47,input_523010!L:R,7,FALSE),VLOOKUP(tables_523010!C47,input_523010!A:H,8,FALSE))</f>
        <v>51543</v>
      </c>
      <c r="P47" s="46">
        <f t="shared" ca="1" si="1"/>
        <v>3.9315789473672188E-4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input_523010!A$2</f>
        <v>523010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IFERROR(VLOOKUP(B48,input_523010!L:R,7,FALSE),VLOOKUP(tables_523010!C48,input_523010!A:H,8,FALSE))</f>
        <v>463887</v>
      </c>
      <c r="P48" s="46">
        <f t="shared" ca="1" si="1"/>
        <v>3.5384210526304967E-3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input_523010!A$2</f>
        <v>523010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IFERROR(VLOOKUP(B49,input_523010!L:R,7,FALSE),VLOOKUP(tables_523010!C49,input_523010!A:H,8,FALSE))</f>
        <v>515430</v>
      </c>
      <c r="P49" s="46">
        <f t="shared" ca="1" si="1"/>
        <v>3.9315789473672183E-3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input_523010!A$2</f>
        <v>523010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IFERROR(VLOOKUP(B50,input_523010!L:R,7,FALSE),VLOOKUP(tables_523010!C50,input_523010!A:H,8,FALSE))</f>
        <v>51543</v>
      </c>
      <c r="P50" s="46">
        <f t="shared" ca="1" si="1"/>
        <v>3.9315789473672188E-4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input_523010!A$2</f>
        <v>523010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IFERROR(VLOOKUP(B51,input_523010!L:R,7,FALSE),VLOOKUP(tables_523010!C51,input_523010!A:H,8,FALSE))</f>
        <v>463887</v>
      </c>
      <c r="P51" s="46">
        <f t="shared" ca="1" si="1"/>
        <v>3.5384210526304967E-3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input_523010!A$2</f>
        <v>523010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IFERROR(VLOOKUP(B52,input_523010!L:R,7,FALSE),VLOOKUP(tables_523010!C52,input_523010!A:H,8,FALSE))</f>
        <v>547121.98077000002</v>
      </c>
      <c r="P52" s="46">
        <f t="shared" ca="1" si="1"/>
        <v>4.1733179311200051E-3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input_523010!A$2</f>
        <v>523010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IFERROR(VLOOKUP(B53,input_523010!L:R,7,FALSE),VLOOKUP(tables_523010!C53,input_523010!A:H,8,FALSE))</f>
        <v>19851.019230000002</v>
      </c>
      <c r="P53" s="46">
        <f t="shared" ca="1" si="1"/>
        <v>1.514189109839354E-4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input_523010!A$2</f>
        <v>523010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IFERROR(VLOOKUP(B54,input_523010!L:R,7,FALSE),VLOOKUP(tables_523010!C54,input_523010!A:H,8,FALSE))</f>
        <v>463887</v>
      </c>
      <c r="P54" s="46">
        <f t="shared" ca="1" si="1"/>
        <v>3.5384210526304967E-3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input_523010!A$2</f>
        <v>523010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IFERROR(VLOOKUP(B55,input_523010!L:R,7,FALSE),VLOOKUP(tables_523010!C55,input_523010!A:H,8,FALSE))</f>
        <v>547121.98077000002</v>
      </c>
      <c r="P55" s="46">
        <f t="shared" ca="1" si="1"/>
        <v>4.1733179311200051E-3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input_523010!A$2</f>
        <v>523010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IFERROR(VLOOKUP(B56,input_523010!L:R,7,FALSE),VLOOKUP(tables_523010!C56,input_523010!A:H,8,FALSE))</f>
        <v>19851.019230000002</v>
      </c>
      <c r="P56" s="46">
        <f t="shared" ca="1" si="1"/>
        <v>1.514189109839354E-4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input_523010!A$2</f>
        <v>523010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IFERROR(VLOOKUP(B57,input_523010!L:R,7,FALSE),VLOOKUP(tables_523010!C57,input_523010!A:H,8,FALSE))</f>
        <v>463887</v>
      </c>
      <c r="P57" s="46">
        <f t="shared" ca="1" si="1"/>
        <v>3.5384210526304967E-3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input_523010!A$2</f>
        <v>523010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IFERROR(VLOOKUP(B58,input_523010!L:R,7,FALSE),VLOOKUP(tables_523010!C58,input_523010!A:H,8,FALSE))</f>
        <v>547121.98077000002</v>
      </c>
      <c r="P58" s="46">
        <f t="shared" ca="1" si="1"/>
        <v>4.1733179311200051E-3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input_523010!A$2</f>
        <v>523010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IFERROR(VLOOKUP(B59,input_523010!L:R,7,FALSE),VLOOKUP(tables_523010!C59,input_523010!A:H,8,FALSE))</f>
        <v>19851.019230000002</v>
      </c>
      <c r="P59" s="46">
        <f t="shared" ca="1" si="1"/>
        <v>1.514189109839354E-4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input_523010!A$2</f>
        <v>523010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IFERROR(VLOOKUP(B60,input_523010!L:R,7,FALSE),VLOOKUP(tables_523010!C60,input_523010!A:H,8,FALSE))</f>
        <v>463887</v>
      </c>
      <c r="P60" s="46">
        <f t="shared" ca="1" si="1"/>
        <v>3.5384210526304967E-3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input_523010!A$2</f>
        <v>523010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IFERROR(VLOOKUP(B61,input_523010!L:R,7,FALSE),VLOOKUP(tables_523010!C61,input_523010!A:H,8,FALSE))</f>
        <v>547121.98077000002</v>
      </c>
      <c r="P61" s="46">
        <f t="shared" ca="1" si="1"/>
        <v>4.1733179311200051E-3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input_523010!A$2</f>
        <v>523010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IFERROR(VLOOKUP(B62,input_523010!L:R,7,FALSE),VLOOKUP(tables_523010!C62,input_523010!A:H,8,FALSE))</f>
        <v>19851.019230000002</v>
      </c>
      <c r="P62" s="46">
        <f t="shared" ca="1" si="1"/>
        <v>1.514189109839354E-4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input_523010!A$2</f>
        <v>523010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IFERROR(VLOOKUP(B63,input_523010!L:R,7,FALSE),VLOOKUP(tables_523010!C63,input_523010!A:H,8,FALSE))</f>
        <v>463887</v>
      </c>
      <c r="P63" s="46">
        <f t="shared" ca="1" si="1"/>
        <v>3.5384210526304967E-3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input_523010!A$2</f>
        <v>523010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IFERROR(VLOOKUP(B64,input_523010!L:R,7,FALSE),VLOOKUP(tables_523010!C64,input_523010!A:H,8,FALSE))</f>
        <v>547121.98077000002</v>
      </c>
      <c r="P64" s="46">
        <f t="shared" ca="1" si="1"/>
        <v>4.1733179311200051E-3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input_523010!A$2</f>
        <v>523010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IFERROR(VLOOKUP(B65,input_523010!L:R,7,FALSE),VLOOKUP(tables_523010!C65,input_523010!A:H,8,FALSE))</f>
        <v>19851.019230000002</v>
      </c>
      <c r="P65" s="46">
        <f t="shared" ca="1" si="1"/>
        <v>1.514189109839354E-4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input_523010!A$2</f>
        <v>523010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IFERROR(VLOOKUP(B66,input_523010!L:R,7,FALSE),VLOOKUP(tables_523010!C66,input_523010!A:H,8,FALSE))</f>
        <v>463887</v>
      </c>
      <c r="P66" s="46">
        <f t="shared" ref="P66:P129" ca="1" si="4">O66/SUM(O:O)</f>
        <v>3.5384210526304967E-3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input_523010!A$2</f>
        <v>523010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IFERROR(VLOOKUP(B67,input_523010!L:R,7,FALSE),VLOOKUP(tables_523010!C67,input_523010!A:H,8,FALSE))</f>
        <v>547121.98077000002</v>
      </c>
      <c r="P67" s="46">
        <f t="shared" ca="1" si="4"/>
        <v>4.1733179311200051E-3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input_523010!A$2</f>
        <v>523010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IFERROR(VLOOKUP(B68,input_523010!L:R,7,FALSE),VLOOKUP(tables_523010!C68,input_523010!A:H,8,FALSE))</f>
        <v>19851.019230000002</v>
      </c>
      <c r="P68" s="46">
        <f t="shared" ca="1" si="4"/>
        <v>1.514189109839354E-4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input_523010!A$2</f>
        <v>523010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IFERROR(VLOOKUP(B69,input_523010!L:R,7,FALSE),VLOOKUP(tables_523010!C69,input_523010!A:H,8,FALSE))</f>
        <v>463887</v>
      </c>
      <c r="P69" s="46">
        <f t="shared" ca="1" si="4"/>
        <v>3.5384210526304967E-3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input_523010!A$2</f>
        <v>523010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IFERROR(VLOOKUP(B70,input_523010!L:R,7,FALSE),VLOOKUP(tables_523010!C70,input_523010!A:H,8,FALSE))</f>
        <v>547121.98077000002</v>
      </c>
      <c r="P70" s="46">
        <f t="shared" ca="1" si="4"/>
        <v>4.1733179311200051E-3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input_523010!A$2</f>
        <v>523010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IFERROR(VLOOKUP(B71,input_523010!L:R,7,FALSE),VLOOKUP(tables_523010!C71,input_523010!A:H,8,FALSE))</f>
        <v>19851.019230000002</v>
      </c>
      <c r="P71" s="46">
        <f t="shared" ca="1" si="4"/>
        <v>1.514189109839354E-4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input_523010!A$2</f>
        <v>523010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IFERROR(VLOOKUP(B72,input_523010!L:R,7,FALSE),VLOOKUP(tables_523010!C72,input_523010!A:H,8,FALSE))</f>
        <v>463887</v>
      </c>
      <c r="P72" s="46">
        <f t="shared" ca="1" si="4"/>
        <v>3.5384210526304967E-3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input_523010!A$2</f>
        <v>523010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IFERROR(VLOOKUP(B73,input_523010!L:R,7,FALSE),VLOOKUP(tables_523010!C73,input_523010!A:H,8,FALSE))</f>
        <v>547121.98077000002</v>
      </c>
      <c r="P73" s="46">
        <f t="shared" ca="1" si="4"/>
        <v>4.1733179311200051E-3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input_523010!A$2</f>
        <v>523010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IFERROR(VLOOKUP(B74,input_523010!L:R,7,FALSE),VLOOKUP(tables_523010!C74,input_523010!A:H,8,FALSE))</f>
        <v>19851.019230000002</v>
      </c>
      <c r="P74" s="46">
        <f t="shared" ca="1" si="4"/>
        <v>1.514189109839354E-4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input_523010!A$2</f>
        <v>523010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IFERROR(VLOOKUP(B75,input_523010!L:R,7,FALSE),VLOOKUP(tables_523010!C75,input_523010!A:H,8,FALSE))</f>
        <v>463887</v>
      </c>
      <c r="P75" s="46">
        <f t="shared" ca="1" si="4"/>
        <v>3.5384210526304967E-3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input_523010!A$2</f>
        <v>523010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IFERROR(VLOOKUP(B76,input_523010!L:R,7,FALSE),VLOOKUP(tables_523010!C76,input_523010!A:H,8,FALSE))</f>
        <v>547121.98077000002</v>
      </c>
      <c r="P76" s="46">
        <f t="shared" ca="1" si="4"/>
        <v>4.1733179311200051E-3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input_523010!A$2</f>
        <v>523010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IFERROR(VLOOKUP(B77,input_523010!L:R,7,FALSE),VLOOKUP(tables_523010!C77,input_523010!A:H,8,FALSE))</f>
        <v>19851.019230000002</v>
      </c>
      <c r="P77" s="46">
        <f t="shared" ca="1" si="4"/>
        <v>1.514189109839354E-4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input_523010!A$2</f>
        <v>523010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IFERROR(VLOOKUP(B78,input_523010!L:R,7,FALSE),VLOOKUP(tables_523010!C78,input_523010!A:H,8,FALSE))</f>
        <v>463887</v>
      </c>
      <c r="P78" s="46">
        <f t="shared" ca="1" si="4"/>
        <v>3.5384210526304967E-3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input_523010!A$2</f>
        <v>523010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IFERROR(VLOOKUP(B79,input_523010!L:R,7,FALSE),VLOOKUP(tables_523010!C79,input_523010!A:H,8,FALSE))</f>
        <v>547121.98077000002</v>
      </c>
      <c r="P79" s="46">
        <f t="shared" ca="1" si="4"/>
        <v>4.1733179311200051E-3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input_523010!A$2</f>
        <v>523010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IFERROR(VLOOKUP(B80,input_523010!L:R,7,FALSE),VLOOKUP(tables_523010!C80,input_523010!A:H,8,FALSE))</f>
        <v>19851.019230000002</v>
      </c>
      <c r="P80" s="46">
        <f t="shared" ca="1" si="4"/>
        <v>1.514189109839354E-4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input_523010!A$2</f>
        <v>523010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IFERROR(VLOOKUP(B81,input_523010!L:R,7,FALSE),VLOOKUP(tables_523010!C81,input_523010!A:H,8,FALSE))</f>
        <v>463887</v>
      </c>
      <c r="P81" s="46">
        <f t="shared" ca="1" si="4"/>
        <v>3.5384210526304967E-3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input_523010!A$2</f>
        <v>523010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IFERROR(VLOOKUP(B82,input_523010!L:R,7,FALSE),VLOOKUP(tables_523010!C82,input_523010!A:H,8,FALSE))</f>
        <v>547121.98077000002</v>
      </c>
      <c r="P82" s="46">
        <f t="shared" ca="1" si="4"/>
        <v>4.1733179311200051E-3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input_523010!A$2</f>
        <v>523010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IFERROR(VLOOKUP(B83,input_523010!L:R,7,FALSE),VLOOKUP(tables_523010!C83,input_523010!A:H,8,FALSE))</f>
        <v>19851.019230000002</v>
      </c>
      <c r="P83" s="46">
        <f t="shared" ca="1" si="4"/>
        <v>1.514189109839354E-4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input_523010!A$2</f>
        <v>523010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IFERROR(VLOOKUP(B84,input_523010!L:R,7,FALSE),VLOOKUP(tables_523010!C84,input_523010!A:H,8,FALSE))</f>
        <v>463887</v>
      </c>
      <c r="P84" s="46">
        <f t="shared" ca="1" si="4"/>
        <v>3.5384210526304967E-3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input_523010!A$2</f>
        <v>523010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IFERROR(VLOOKUP(B85,input_523010!L:R,7,FALSE),VLOOKUP(tables_523010!C85,input_523010!A:H,8,FALSE))</f>
        <v>547121.98077000002</v>
      </c>
      <c r="P85" s="46">
        <f t="shared" ca="1" si="4"/>
        <v>4.1733179311200051E-3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input_523010!A$2</f>
        <v>523010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IFERROR(VLOOKUP(B86,input_523010!L:R,7,FALSE),VLOOKUP(tables_523010!C86,input_523010!A:H,8,FALSE))</f>
        <v>19851.019230000002</v>
      </c>
      <c r="P86" s="46">
        <f t="shared" ca="1" si="4"/>
        <v>1.514189109839354E-4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input_523010!A$2</f>
        <v>523010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IFERROR(VLOOKUP(B87,input_523010!L:R,7,FALSE),VLOOKUP(tables_523010!C87,input_523010!A:H,8,FALSE))</f>
        <v>463887</v>
      </c>
      <c r="P87" s="46">
        <f t="shared" ca="1" si="4"/>
        <v>3.5384210526304967E-3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input_523010!A$2</f>
        <v>523010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IFERROR(VLOOKUP(B88,input_523010!L:R,7,FALSE),VLOOKUP(tables_523010!C88,input_523010!A:H,8,FALSE))</f>
        <v>547121.98077000002</v>
      </c>
      <c r="P88" s="46">
        <f t="shared" ca="1" si="4"/>
        <v>4.1733179311200051E-3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input_523010!A$2</f>
        <v>523010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IFERROR(VLOOKUP(B89,input_523010!L:R,7,FALSE),VLOOKUP(tables_523010!C89,input_523010!A:H,8,FALSE))</f>
        <v>19851.019230000002</v>
      </c>
      <c r="P89" s="46">
        <f t="shared" ca="1" si="4"/>
        <v>1.514189109839354E-4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input_523010!A$2</f>
        <v>523010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IFERROR(VLOOKUP(B90,input_523010!L:R,7,FALSE),VLOOKUP(tables_523010!C90,input_523010!A:H,8,FALSE))</f>
        <v>463887</v>
      </c>
      <c r="P90" s="46">
        <f t="shared" ca="1" si="4"/>
        <v>3.5384210526304967E-3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input_523010!A$2</f>
        <v>523010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IFERROR(VLOOKUP(B91,input_523010!L:R,7,FALSE),VLOOKUP(tables_523010!C91,input_523010!A:H,8,FALSE))</f>
        <v>547121.98077000002</v>
      </c>
      <c r="P91" s="46">
        <f t="shared" ca="1" si="4"/>
        <v>4.1733179311200051E-3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input_523010!A$2</f>
        <v>523010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IFERROR(VLOOKUP(B92,input_523010!L:R,7,FALSE),VLOOKUP(tables_523010!C92,input_523010!A:H,8,FALSE))</f>
        <v>19851.019230000002</v>
      </c>
      <c r="P92" s="46">
        <f t="shared" ca="1" si="4"/>
        <v>1.514189109839354E-4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input_523010!A$2</f>
        <v>523010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IFERROR(VLOOKUP(B93,input_523010!L:R,7,FALSE),VLOOKUP(tables_523010!C93,input_523010!A:H,8,FALSE))</f>
        <v>463887</v>
      </c>
      <c r="P93" s="46">
        <f t="shared" ca="1" si="4"/>
        <v>3.5384210526304967E-3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input_523010!A$2</f>
        <v>523010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IFERROR(VLOOKUP(B94,input_523010!L:R,7,FALSE),VLOOKUP(tables_523010!C94,input_523010!A:H,8,FALSE))</f>
        <v>547121.98077000002</v>
      </c>
      <c r="P94" s="46">
        <f t="shared" ca="1" si="4"/>
        <v>4.1733179311200051E-3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input_523010!A$2</f>
        <v>523010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IFERROR(VLOOKUP(B95,input_523010!L:R,7,FALSE),VLOOKUP(tables_523010!C95,input_523010!A:H,8,FALSE))</f>
        <v>19851.019230000002</v>
      </c>
      <c r="P95" s="46">
        <f t="shared" ca="1" si="4"/>
        <v>1.514189109839354E-4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input_523010!A$2</f>
        <v>523010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IFERROR(VLOOKUP(B96,input_523010!L:R,7,FALSE),VLOOKUP(tables_523010!C96,input_523010!A:H,8,FALSE))</f>
        <v>463887</v>
      </c>
      <c r="P96" s="46">
        <f t="shared" ca="1" si="4"/>
        <v>3.5384210526304967E-3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input_523010!A$2</f>
        <v>523010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IFERROR(VLOOKUP(B97,input_523010!L:R,7,FALSE),VLOOKUP(tables_523010!C97,input_523010!A:H,8,FALSE))</f>
        <v>547121.98077000002</v>
      </c>
      <c r="P97" s="46">
        <f t="shared" ca="1" si="4"/>
        <v>4.1733179311200051E-3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input_523010!A$2</f>
        <v>523010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IFERROR(VLOOKUP(B98,input_523010!L:R,7,FALSE),VLOOKUP(tables_523010!C98,input_523010!A:H,8,FALSE))</f>
        <v>19851.019230000002</v>
      </c>
      <c r="P98" s="46">
        <f t="shared" ca="1" si="4"/>
        <v>1.514189109839354E-4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input_523010!A$2</f>
        <v>523010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IFERROR(VLOOKUP(B99,input_523010!L:R,7,FALSE),VLOOKUP(tables_523010!C99,input_523010!A:H,8,FALSE))</f>
        <v>463887</v>
      </c>
      <c r="P99" s="46">
        <f t="shared" ca="1" si="4"/>
        <v>3.5384210526304967E-3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input_523010!A$2</f>
        <v>523010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IFERROR(VLOOKUP(B100,input_523010!L:R,7,FALSE),VLOOKUP(tables_523010!C100,input_523010!A:H,8,FALSE))</f>
        <v>547121.98077000002</v>
      </c>
      <c r="P100" s="46">
        <f t="shared" ca="1" si="4"/>
        <v>4.1733179311200051E-3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input_523010!A$2</f>
        <v>523010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IFERROR(VLOOKUP(B101,input_523010!L:R,7,FALSE),VLOOKUP(tables_523010!C101,input_523010!A:H,8,FALSE))</f>
        <v>19851.019230000002</v>
      </c>
      <c r="P101" s="46">
        <f t="shared" ca="1" si="4"/>
        <v>1.514189109839354E-4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input_523010!A$2</f>
        <v>523010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IFERROR(VLOOKUP(B102,input_523010!L:R,7,FALSE),VLOOKUP(tables_523010!C102,input_523010!A:H,8,FALSE))</f>
        <v>463887</v>
      </c>
      <c r="P102" s="46">
        <f t="shared" ca="1" si="4"/>
        <v>3.5384210526304967E-3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input_523010!A$2</f>
        <v>523010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IFERROR(VLOOKUP(B103,input_523010!L:R,7,FALSE),VLOOKUP(tables_523010!C103,input_523010!A:H,8,FALSE))</f>
        <v>547121.98077000002</v>
      </c>
      <c r="P103" s="46">
        <f t="shared" ca="1" si="4"/>
        <v>4.1733179311200051E-3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input_523010!A$2</f>
        <v>523010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IFERROR(VLOOKUP(B104,input_523010!L:R,7,FALSE),VLOOKUP(tables_523010!C104,input_523010!A:H,8,FALSE))</f>
        <v>19851.019230000002</v>
      </c>
      <c r="P104" s="46">
        <f t="shared" ca="1" si="4"/>
        <v>1.514189109839354E-4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input_523010!A$2</f>
        <v>523010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IFERROR(VLOOKUP(B105,input_523010!L:R,7,FALSE),VLOOKUP(tables_523010!C105,input_523010!A:H,8,FALSE))</f>
        <v>463887</v>
      </c>
      <c r="P105" s="46">
        <f t="shared" ca="1" si="4"/>
        <v>3.5384210526304967E-3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input_523010!A$2</f>
        <v>523010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IFERROR(VLOOKUP(B106,input_523010!L:R,7,FALSE),VLOOKUP(tables_523010!C106,input_523010!A:H,8,FALSE))</f>
        <v>547121.98077000002</v>
      </c>
      <c r="P106" s="46">
        <f t="shared" ca="1" si="4"/>
        <v>4.1733179311200051E-3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input_523010!A$2</f>
        <v>523010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IFERROR(VLOOKUP(B107,input_523010!L:R,7,FALSE),VLOOKUP(tables_523010!C107,input_523010!A:H,8,FALSE))</f>
        <v>19851.019230000002</v>
      </c>
      <c r="P107" s="46">
        <f t="shared" ca="1" si="4"/>
        <v>1.514189109839354E-4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input_523010!A$2</f>
        <v>523010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IFERROR(VLOOKUP(B108,input_523010!L:R,7,FALSE),VLOOKUP(tables_523010!C108,input_523010!A:H,8,FALSE))</f>
        <v>463887</v>
      </c>
      <c r="P108" s="46">
        <f t="shared" ca="1" si="4"/>
        <v>3.5384210526304967E-3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input_523010!A$2</f>
        <v>523010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IFERROR(VLOOKUP(B109,input_523010!L:R,7,FALSE),VLOOKUP(tables_523010!C109,input_523010!A:H,8,FALSE))</f>
        <v>547121.98077000002</v>
      </c>
      <c r="P109" s="46">
        <f t="shared" ca="1" si="4"/>
        <v>4.1733179311200051E-3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input_523010!A$2</f>
        <v>523010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IFERROR(VLOOKUP(B110,input_523010!L:R,7,FALSE),VLOOKUP(tables_523010!C110,input_523010!A:H,8,FALSE))</f>
        <v>19851.019230000002</v>
      </c>
      <c r="P110" s="46">
        <f t="shared" ca="1" si="4"/>
        <v>1.514189109839354E-4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input_523010!A$2</f>
        <v>523010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IFERROR(VLOOKUP(B111,input_523010!L:R,7,FALSE),VLOOKUP(tables_523010!C111,input_523010!A:H,8,FALSE))</f>
        <v>463887</v>
      </c>
      <c r="P111" s="46">
        <f t="shared" ca="1" si="4"/>
        <v>3.5384210526304967E-3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input_523010!A$2</f>
        <v>523010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IFERROR(VLOOKUP(B112,input_523010!L:R,7,FALSE),VLOOKUP(tables_523010!C112,input_523010!A:H,8,FALSE))</f>
        <v>515430</v>
      </c>
      <c r="P112" s="46">
        <f t="shared" ca="1" si="4"/>
        <v>3.9315789473672183E-3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input_523010!A$2</f>
        <v>523010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IFERROR(VLOOKUP(B113,input_523010!L:R,7,FALSE),VLOOKUP(tables_523010!C113,input_523010!A:H,8,FALSE))</f>
        <v>51543</v>
      </c>
      <c r="P113" s="46">
        <f t="shared" ca="1" si="4"/>
        <v>3.9315789473672188E-4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input_523010!A$2</f>
        <v>523010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IFERROR(VLOOKUP(B114,input_523010!L:R,7,FALSE),VLOOKUP(tables_523010!C114,input_523010!A:H,8,FALSE))</f>
        <v>463887</v>
      </c>
      <c r="P114" s="46">
        <f t="shared" ca="1" si="4"/>
        <v>3.5384210526304967E-3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input_523010!A$2</f>
        <v>523010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IFERROR(VLOOKUP(B115,input_523010!L:R,7,FALSE),VLOOKUP(tables_523010!C115,input_523010!A:H,8,FALSE))</f>
        <v>547121.98077000002</v>
      </c>
      <c r="P115" s="46">
        <f t="shared" ca="1" si="4"/>
        <v>4.1733179311200051E-3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input_523010!A$2</f>
        <v>523010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IFERROR(VLOOKUP(B116,input_523010!L:R,7,FALSE),VLOOKUP(tables_523010!C116,input_523010!A:H,8,FALSE))</f>
        <v>19851.019230000002</v>
      </c>
      <c r="P116" s="46">
        <f t="shared" ca="1" si="4"/>
        <v>1.514189109839354E-4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input_523010!A$2</f>
        <v>523010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IFERROR(VLOOKUP(B117,input_523010!L:R,7,FALSE),VLOOKUP(tables_523010!C117,input_523010!A:H,8,FALSE))</f>
        <v>463887</v>
      </c>
      <c r="P117" s="46">
        <f t="shared" ca="1" si="4"/>
        <v>3.5384210526304967E-3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input_523010!A$2</f>
        <v>523010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IFERROR(VLOOKUP(B118,input_523010!L:R,7,FALSE),VLOOKUP(tables_523010!C118,input_523010!A:H,8,FALSE))</f>
        <v>547121.98077000002</v>
      </c>
      <c r="P118" s="46">
        <f t="shared" ca="1" si="4"/>
        <v>4.1733179311200051E-3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input_523010!A$2</f>
        <v>523010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IFERROR(VLOOKUP(B119,input_523010!L:R,7,FALSE),VLOOKUP(tables_523010!C119,input_523010!A:H,8,FALSE))</f>
        <v>19851.019230000002</v>
      </c>
      <c r="P119" s="46">
        <f t="shared" ca="1" si="4"/>
        <v>1.514189109839354E-4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input_523010!A$2</f>
        <v>523010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IFERROR(VLOOKUP(B120,input_523010!L:R,7,FALSE),VLOOKUP(tables_523010!C120,input_523010!A:H,8,FALSE))</f>
        <v>463887</v>
      </c>
      <c r="P120" s="46">
        <f t="shared" ca="1" si="4"/>
        <v>3.5384210526304967E-3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input_523010!A$2</f>
        <v>523010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IFERROR(VLOOKUP(B121,input_523010!L:R,7,FALSE),VLOOKUP(tables_523010!C121,input_523010!A:H,8,FALSE))</f>
        <v>547121.98077000002</v>
      </c>
      <c r="P121" s="46">
        <f t="shared" ca="1" si="4"/>
        <v>4.1733179311200051E-3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input_523010!A$2</f>
        <v>523010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IFERROR(VLOOKUP(B122,input_523010!L:R,7,FALSE),VLOOKUP(tables_523010!C122,input_523010!A:H,8,FALSE))</f>
        <v>19851.019230000002</v>
      </c>
      <c r="P122" s="46">
        <f t="shared" ca="1" si="4"/>
        <v>1.514189109839354E-4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input_523010!A$2</f>
        <v>523010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IFERROR(VLOOKUP(B123,input_523010!L:R,7,FALSE),VLOOKUP(tables_523010!C123,input_523010!A:H,8,FALSE))</f>
        <v>463887</v>
      </c>
      <c r="P123" s="46">
        <f t="shared" ca="1" si="4"/>
        <v>3.5384210526304967E-3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input_523010!A$2</f>
        <v>523010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IFERROR(VLOOKUP(B124,input_523010!L:R,7,FALSE),VLOOKUP(tables_523010!C124,input_523010!A:H,8,FALSE))</f>
        <v>547121.98077000002</v>
      </c>
      <c r="P124" s="46">
        <f t="shared" ca="1" si="4"/>
        <v>4.1733179311200051E-3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input_523010!A$2</f>
        <v>523010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IFERROR(VLOOKUP(B125,input_523010!L:R,7,FALSE),VLOOKUP(tables_523010!C125,input_523010!A:H,8,FALSE))</f>
        <v>19851.019230000002</v>
      </c>
      <c r="P125" s="46">
        <f t="shared" ca="1" si="4"/>
        <v>1.514189109839354E-4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input_523010!A$2</f>
        <v>523010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IFERROR(VLOOKUP(B126,input_523010!L:R,7,FALSE),VLOOKUP(tables_523010!C126,input_523010!A:H,8,FALSE))</f>
        <v>463887</v>
      </c>
      <c r="P126" s="46">
        <f t="shared" ca="1" si="4"/>
        <v>3.5384210526304967E-3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input_523010!A$2</f>
        <v>523010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IFERROR(VLOOKUP(B127,input_523010!L:R,7,FALSE),VLOOKUP(tables_523010!C127,input_523010!A:H,8,FALSE))</f>
        <v>547121.98077000002</v>
      </c>
      <c r="P127" s="46">
        <f t="shared" ca="1" si="4"/>
        <v>4.1733179311200051E-3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input_523010!A$2</f>
        <v>523010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IFERROR(VLOOKUP(B128,input_523010!L:R,7,FALSE),VLOOKUP(tables_523010!C128,input_523010!A:H,8,FALSE))</f>
        <v>19851.019230000002</v>
      </c>
      <c r="P128" s="46">
        <f t="shared" ca="1" si="4"/>
        <v>1.514189109839354E-4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input_523010!A$2</f>
        <v>523010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IFERROR(VLOOKUP(B129,input_523010!L:R,7,FALSE),VLOOKUP(tables_523010!C129,input_523010!A:H,8,FALSE))</f>
        <v>463887</v>
      </c>
      <c r="P129" s="46">
        <f t="shared" ca="1" si="4"/>
        <v>3.5384210526304967E-3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input_523010!A$2</f>
        <v>523010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IFERROR(VLOOKUP(B130,input_523010!L:R,7,FALSE),VLOOKUP(tables_523010!C130,input_523010!A:H,8,FALSE))</f>
        <v>547121.98077000002</v>
      </c>
      <c r="P130" s="46">
        <f t="shared" ref="P130:P193" ca="1" si="7">O130/SUM(O:O)</f>
        <v>4.1733179311200051E-3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input_523010!A$2</f>
        <v>523010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IFERROR(VLOOKUP(B131,input_523010!L:R,7,FALSE),VLOOKUP(tables_523010!C131,input_523010!A:H,8,FALSE))</f>
        <v>19851.019230000002</v>
      </c>
      <c r="P131" s="46">
        <f t="shared" ca="1" si="7"/>
        <v>1.514189109839354E-4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input_523010!A$2</f>
        <v>523010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IFERROR(VLOOKUP(B132,input_523010!L:R,7,FALSE),VLOOKUP(tables_523010!C132,input_523010!A:H,8,FALSE))</f>
        <v>463887</v>
      </c>
      <c r="P132" s="46">
        <f t="shared" ca="1" si="7"/>
        <v>3.5384210526304967E-3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input_523010!A$2</f>
        <v>523010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IFERROR(VLOOKUP(B133,input_523010!L:R,7,FALSE),VLOOKUP(tables_523010!C133,input_523010!A:H,8,FALSE))</f>
        <v>547121.98077000002</v>
      </c>
      <c r="P133" s="46">
        <f t="shared" ca="1" si="7"/>
        <v>4.1733179311200051E-3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input_523010!A$2</f>
        <v>523010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IFERROR(VLOOKUP(B134,input_523010!L:R,7,FALSE),VLOOKUP(tables_523010!C134,input_523010!A:H,8,FALSE))</f>
        <v>19851.019230000002</v>
      </c>
      <c r="P134" s="46">
        <f t="shared" ca="1" si="7"/>
        <v>1.514189109839354E-4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input_523010!A$2</f>
        <v>523010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IFERROR(VLOOKUP(B135,input_523010!L:R,7,FALSE),VLOOKUP(tables_523010!C135,input_523010!A:H,8,FALSE))</f>
        <v>463887</v>
      </c>
      <c r="P135" s="46">
        <f t="shared" ca="1" si="7"/>
        <v>3.5384210526304967E-3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input_523010!A$2</f>
        <v>523010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IFERROR(VLOOKUP(B136,input_523010!L:R,7,FALSE),VLOOKUP(tables_523010!C136,input_523010!A:H,8,FALSE))</f>
        <v>547121.98077000002</v>
      </c>
      <c r="P136" s="46">
        <f t="shared" ca="1" si="7"/>
        <v>4.1733179311200051E-3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input_523010!A$2</f>
        <v>523010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IFERROR(VLOOKUP(B137,input_523010!L:R,7,FALSE),VLOOKUP(tables_523010!C137,input_523010!A:H,8,FALSE))</f>
        <v>19851.019230000002</v>
      </c>
      <c r="P137" s="46">
        <f t="shared" ca="1" si="7"/>
        <v>1.514189109839354E-4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input_523010!A$2</f>
        <v>523010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IFERROR(VLOOKUP(B138,input_523010!L:R,7,FALSE),VLOOKUP(tables_523010!C138,input_523010!A:H,8,FALSE))</f>
        <v>90250</v>
      </c>
      <c r="P138" s="46">
        <f t="shared" ca="1" si="7"/>
        <v>6.8840579710123875E-4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input_523010!A$2</f>
        <v>523010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IFERROR(VLOOKUP(B139,input_523010!L:R,7,FALSE),VLOOKUP(tables_523010!C139,input_523010!A:H,8,FALSE))</f>
        <v>4750</v>
      </c>
      <c r="P139" s="46">
        <f t="shared" ca="1" si="7"/>
        <v>3.6231884057959934E-5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input_523010!A$2</f>
        <v>523010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IFERROR(VLOOKUP(B140,input_523010!L:R,7,FALSE),VLOOKUP(tables_523010!C140,input_523010!A:H,8,FALSE))</f>
        <v>90250</v>
      </c>
      <c r="P140" s="46">
        <f t="shared" ca="1" si="7"/>
        <v>6.8840579710123875E-4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input_523010!A$2</f>
        <v>523010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IFERROR(VLOOKUP(B141,input_523010!L:R,7,FALSE),VLOOKUP(tables_523010!C141,input_523010!A:H,8,FALSE))</f>
        <v>4750</v>
      </c>
      <c r="P141" s="46">
        <f t="shared" ca="1" si="7"/>
        <v>3.6231884057959934E-5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input_523010!A$2</f>
        <v>523010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IFERROR(VLOOKUP(B142,input_523010!L:R,7,FALSE),VLOOKUP(tables_523010!C142,input_523010!A:H,8,FALSE))</f>
        <v>90250</v>
      </c>
      <c r="P142" s="46">
        <f t="shared" ca="1" si="7"/>
        <v>6.8840579710123875E-4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input_523010!A$2</f>
        <v>523010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IFERROR(VLOOKUP(B143,input_523010!L:R,7,FALSE),VLOOKUP(tables_523010!C143,input_523010!A:H,8,FALSE))</f>
        <v>4750</v>
      </c>
      <c r="P143" s="46">
        <f t="shared" ca="1" si="7"/>
        <v>3.6231884057959934E-5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input_523010!A$2</f>
        <v>523010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IFERROR(VLOOKUP(B144,input_523010!L:R,7,FALSE),VLOOKUP(tables_523010!C144,input_523010!A:H,8,FALSE))</f>
        <v>90250</v>
      </c>
      <c r="P144" s="46">
        <f t="shared" ca="1" si="7"/>
        <v>6.8840579710123875E-4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input_523010!A$2</f>
        <v>523010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IFERROR(VLOOKUP(B145,input_523010!L:R,7,FALSE),VLOOKUP(tables_523010!C145,input_523010!A:H,8,FALSE))</f>
        <v>4750</v>
      </c>
      <c r="P145" s="46">
        <f t="shared" ca="1" si="7"/>
        <v>3.6231884057959934E-5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input_523010!A$2</f>
        <v>523010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IFERROR(VLOOKUP(B146,input_523010!L:R,7,FALSE),VLOOKUP(tables_523010!C146,input_523010!A:H,8,FALSE))</f>
        <v>463887</v>
      </c>
      <c r="P146" s="46">
        <f t="shared" ca="1" si="7"/>
        <v>3.5384210526304967E-3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input_523010!A$2</f>
        <v>523010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IFERROR(VLOOKUP(B147,input_523010!L:R,7,FALSE),VLOOKUP(tables_523010!C147,input_523010!A:H,8,FALSE))</f>
        <v>547121.98077000002</v>
      </c>
      <c r="P147" s="46">
        <f t="shared" ca="1" si="7"/>
        <v>4.1733179311200051E-3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input_523010!A$2</f>
        <v>523010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IFERROR(VLOOKUP(B148,input_523010!L:R,7,FALSE),VLOOKUP(tables_523010!C148,input_523010!A:H,8,FALSE))</f>
        <v>19851.019230000002</v>
      </c>
      <c r="P148" s="46">
        <f t="shared" ca="1" si="7"/>
        <v>1.514189109839354E-4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input_523010!A$2</f>
        <v>523010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IFERROR(VLOOKUP(B149,input_523010!L:R,7,FALSE),VLOOKUP(tables_523010!C149,input_523010!A:H,8,FALSE))</f>
        <v>90250</v>
      </c>
      <c r="P149" s="46">
        <f t="shared" ca="1" si="7"/>
        <v>6.8840579710123875E-4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input_523010!A$2</f>
        <v>523010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IFERROR(VLOOKUP(B150,input_523010!L:R,7,FALSE),VLOOKUP(tables_523010!C150,input_523010!A:H,8,FALSE))</f>
        <v>4750</v>
      </c>
      <c r="P150" s="46">
        <f t="shared" ca="1" si="7"/>
        <v>3.6231884057959934E-5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input_523010!A$2</f>
        <v>523010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IFERROR(VLOOKUP(B151,input_523010!L:R,7,FALSE),VLOOKUP(tables_523010!C151,input_523010!A:H,8,FALSE))</f>
        <v>90250</v>
      </c>
      <c r="P151" s="46">
        <f t="shared" ca="1" si="7"/>
        <v>6.8840579710123875E-4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input_523010!A$2</f>
        <v>523010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IFERROR(VLOOKUP(B152,input_523010!L:R,7,FALSE),VLOOKUP(tables_523010!C152,input_523010!A:H,8,FALSE))</f>
        <v>4750</v>
      </c>
      <c r="P152" s="46">
        <f t="shared" ca="1" si="7"/>
        <v>3.6231884057959934E-5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input_523010!A$2</f>
        <v>523010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IFERROR(VLOOKUP(B153,input_523010!L:R,7,FALSE),VLOOKUP(tables_523010!C153,input_523010!A:H,8,FALSE))</f>
        <v>463887</v>
      </c>
      <c r="P153" s="46">
        <f t="shared" ca="1" si="7"/>
        <v>3.5384210526304967E-3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input_523010!A$2</f>
        <v>523010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IFERROR(VLOOKUP(B154,input_523010!L:R,7,FALSE),VLOOKUP(tables_523010!C154,input_523010!A:H,8,FALSE))</f>
        <v>547121.98077000002</v>
      </c>
      <c r="P154" s="46">
        <f t="shared" ca="1" si="7"/>
        <v>4.1733179311200051E-3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input_523010!A$2</f>
        <v>523010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IFERROR(VLOOKUP(B155,input_523010!L:R,7,FALSE),VLOOKUP(tables_523010!C155,input_523010!A:H,8,FALSE))</f>
        <v>19851.019230000002</v>
      </c>
      <c r="P155" s="46">
        <f t="shared" ca="1" si="7"/>
        <v>1.514189109839354E-4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input_523010!A$2</f>
        <v>523010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IFERROR(VLOOKUP(B156,input_523010!L:R,7,FALSE),VLOOKUP(tables_523010!C156,input_523010!A:H,8,FALSE))</f>
        <v>90250</v>
      </c>
      <c r="P156" s="46">
        <f t="shared" ca="1" si="7"/>
        <v>6.8840579710123875E-4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input_523010!A$2</f>
        <v>523010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IFERROR(VLOOKUP(B157,input_523010!L:R,7,FALSE),VLOOKUP(tables_523010!C157,input_523010!A:H,8,FALSE))</f>
        <v>4750</v>
      </c>
      <c r="P157" s="46">
        <f t="shared" ca="1" si="7"/>
        <v>3.6231884057959934E-5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input_523010!A$2</f>
        <v>523010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IFERROR(VLOOKUP(B158,input_523010!L:R,7,FALSE),VLOOKUP(tables_523010!C158,input_523010!A:H,8,FALSE))</f>
        <v>463887</v>
      </c>
      <c r="P158" s="46">
        <f t="shared" ca="1" si="7"/>
        <v>3.5384210526304967E-3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input_523010!A$2</f>
        <v>523010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IFERROR(VLOOKUP(B159,input_523010!L:R,7,FALSE),VLOOKUP(tables_523010!C159,input_523010!A:H,8,FALSE))</f>
        <v>547121.98077000002</v>
      </c>
      <c r="P159" s="46">
        <f t="shared" ca="1" si="7"/>
        <v>4.1733179311200051E-3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input_523010!A$2</f>
        <v>523010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IFERROR(VLOOKUP(B160,input_523010!L:R,7,FALSE),VLOOKUP(tables_523010!C160,input_523010!A:H,8,FALSE))</f>
        <v>19851.019230000002</v>
      </c>
      <c r="P160" s="46">
        <f t="shared" ca="1" si="7"/>
        <v>1.514189109839354E-4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input_523010!A$2</f>
        <v>523010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IFERROR(VLOOKUP(B161,input_523010!L:R,7,FALSE),VLOOKUP(tables_523010!C161,input_523010!A:H,8,FALSE))</f>
        <v>463887</v>
      </c>
      <c r="P161" s="46">
        <f t="shared" ca="1" si="7"/>
        <v>3.5384210526304967E-3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input_523010!A$2</f>
        <v>523010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IFERROR(VLOOKUP(B162,input_523010!L:R,7,FALSE),VLOOKUP(tables_523010!C162,input_523010!A:H,8,FALSE))</f>
        <v>547121.98077000002</v>
      </c>
      <c r="P162" s="46">
        <f t="shared" ca="1" si="7"/>
        <v>4.1733179311200051E-3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input_523010!A$2</f>
        <v>523010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IFERROR(VLOOKUP(B163,input_523010!L:R,7,FALSE),VLOOKUP(tables_523010!C163,input_523010!A:H,8,FALSE))</f>
        <v>19851.019230000002</v>
      </c>
      <c r="P163" s="46">
        <f t="shared" ca="1" si="7"/>
        <v>1.514189109839354E-4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input_523010!A$2</f>
        <v>523010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IFERROR(VLOOKUP(B164,input_523010!L:R,7,FALSE),VLOOKUP(tables_523010!C164,input_523010!A:H,8,FALSE))</f>
        <v>90250</v>
      </c>
      <c r="P164" s="46">
        <f t="shared" ca="1" si="7"/>
        <v>6.8840579710123875E-4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input_523010!A$2</f>
        <v>523010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IFERROR(VLOOKUP(B165,input_523010!L:R,7,FALSE),VLOOKUP(tables_523010!C165,input_523010!A:H,8,FALSE))</f>
        <v>4750</v>
      </c>
      <c r="P165" s="46">
        <f t="shared" ca="1" si="7"/>
        <v>3.6231884057959934E-5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input_523010!A$2</f>
        <v>523010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IFERROR(VLOOKUP(B166,input_523010!L:R,7,FALSE),VLOOKUP(tables_523010!C166,input_523010!A:H,8,FALSE))</f>
        <v>463887</v>
      </c>
      <c r="P166" s="46">
        <f t="shared" ca="1" si="7"/>
        <v>3.5384210526304967E-3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input_523010!A$2</f>
        <v>523010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IFERROR(VLOOKUP(B167,input_523010!L:R,7,FALSE),VLOOKUP(tables_523010!C167,input_523010!A:H,8,FALSE))</f>
        <v>547121.98077000002</v>
      </c>
      <c r="P167" s="46">
        <f t="shared" ca="1" si="7"/>
        <v>4.1733179311200051E-3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input_523010!A$2</f>
        <v>523010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IFERROR(VLOOKUP(B168,input_523010!L:R,7,FALSE),VLOOKUP(tables_523010!C168,input_523010!A:H,8,FALSE))</f>
        <v>19851.019230000002</v>
      </c>
      <c r="P168" s="46">
        <f t="shared" ca="1" si="7"/>
        <v>1.514189109839354E-4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input_523010!A$2</f>
        <v>523010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IFERROR(VLOOKUP(B169,input_523010!L:R,7,FALSE),VLOOKUP(tables_523010!C169,input_523010!A:H,8,FALSE))</f>
        <v>90250</v>
      </c>
      <c r="P169" s="46">
        <f t="shared" ca="1" si="7"/>
        <v>6.8840579710123875E-4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input_523010!A$2</f>
        <v>523010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IFERROR(VLOOKUP(B170,input_523010!L:R,7,FALSE),VLOOKUP(tables_523010!C170,input_523010!A:H,8,FALSE))</f>
        <v>4750</v>
      </c>
      <c r="P170" s="46">
        <f t="shared" ca="1" si="7"/>
        <v>3.6231884057959934E-5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input_523010!A$2</f>
        <v>523010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IFERROR(VLOOKUP(B171,input_523010!L:R,7,FALSE),VLOOKUP(tables_523010!C171,input_523010!A:H,8,FALSE))</f>
        <v>463887</v>
      </c>
      <c r="P171" s="46">
        <f t="shared" ca="1" si="7"/>
        <v>3.5384210526304967E-3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input_523010!A$2</f>
        <v>523010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IFERROR(VLOOKUP(B172,input_523010!L:R,7,FALSE),VLOOKUP(tables_523010!C172,input_523010!A:H,8,FALSE))</f>
        <v>547121.98077000002</v>
      </c>
      <c r="P172" s="46">
        <f t="shared" ca="1" si="7"/>
        <v>4.1733179311200051E-3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input_523010!A$2</f>
        <v>523010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IFERROR(VLOOKUP(B173,input_523010!L:R,7,FALSE),VLOOKUP(tables_523010!C173,input_523010!A:H,8,FALSE))</f>
        <v>19851.019230000002</v>
      </c>
      <c r="P173" s="46">
        <f t="shared" ca="1" si="7"/>
        <v>1.514189109839354E-4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input_523010!A$2</f>
        <v>523010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IFERROR(VLOOKUP(B174,input_523010!L:R,7,FALSE),VLOOKUP(tables_523010!C174,input_523010!A:H,8,FALSE))</f>
        <v>90250</v>
      </c>
      <c r="P174" s="46">
        <f t="shared" ca="1" si="7"/>
        <v>6.8840579710123875E-4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input_523010!A$2</f>
        <v>523010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IFERROR(VLOOKUP(B175,input_523010!L:R,7,FALSE),VLOOKUP(tables_523010!C175,input_523010!A:H,8,FALSE))</f>
        <v>4750</v>
      </c>
      <c r="P175" s="46">
        <f t="shared" ca="1" si="7"/>
        <v>3.6231884057959934E-5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input_523010!A$2</f>
        <v>523010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IFERROR(VLOOKUP(B176,input_523010!L:R,7,FALSE),VLOOKUP(tables_523010!C176,input_523010!A:H,8,FALSE))</f>
        <v>90250</v>
      </c>
      <c r="P176" s="46">
        <f t="shared" ca="1" si="7"/>
        <v>6.8840579710123875E-4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input_523010!A$2</f>
        <v>523010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IFERROR(VLOOKUP(B177,input_523010!L:R,7,FALSE),VLOOKUP(tables_523010!C177,input_523010!A:H,8,FALSE))</f>
        <v>4750</v>
      </c>
      <c r="P177" s="46">
        <f t="shared" ca="1" si="7"/>
        <v>3.6231884057959934E-5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input_523010!A$2</f>
        <v>523010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IFERROR(VLOOKUP(B178,input_523010!L:R,7,FALSE),VLOOKUP(tables_523010!C178,input_523010!A:H,8,FALSE))</f>
        <v>463887</v>
      </c>
      <c r="P178" s="46">
        <f t="shared" ca="1" si="7"/>
        <v>3.5384210526304967E-3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input_523010!A$2</f>
        <v>523010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IFERROR(VLOOKUP(B179,input_523010!L:R,7,FALSE),VLOOKUP(tables_523010!C179,input_523010!A:H,8,FALSE))</f>
        <v>547121.98077000002</v>
      </c>
      <c r="P179" s="46">
        <f t="shared" ca="1" si="7"/>
        <v>4.1733179311200051E-3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input_523010!A$2</f>
        <v>523010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IFERROR(VLOOKUP(B180,input_523010!L:R,7,FALSE),VLOOKUP(tables_523010!C180,input_523010!A:H,8,FALSE))</f>
        <v>19851.019230000002</v>
      </c>
      <c r="P180" s="46">
        <f t="shared" ca="1" si="7"/>
        <v>1.514189109839354E-4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input_523010!A$2</f>
        <v>523010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IFERROR(VLOOKUP(B181,input_523010!L:R,7,FALSE),VLOOKUP(tables_523010!C181,input_523010!A:H,8,FALSE))</f>
        <v>463887</v>
      </c>
      <c r="P181" s="46">
        <f t="shared" ca="1" si="7"/>
        <v>3.5384210526304967E-3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input_523010!A$2</f>
        <v>523010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IFERROR(VLOOKUP(B182,input_523010!L:R,7,FALSE),VLOOKUP(tables_523010!C182,input_523010!A:H,8,FALSE))</f>
        <v>547121.98077000002</v>
      </c>
      <c r="P182" s="46">
        <f t="shared" ca="1" si="7"/>
        <v>4.1733179311200051E-3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input_523010!A$2</f>
        <v>523010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IFERROR(VLOOKUP(B183,input_523010!L:R,7,FALSE),VLOOKUP(tables_523010!C183,input_523010!A:H,8,FALSE))</f>
        <v>19851.019230000002</v>
      </c>
      <c r="P183" s="46">
        <f t="shared" ca="1" si="7"/>
        <v>1.514189109839354E-4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input_523010!A$2</f>
        <v>523010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IFERROR(VLOOKUP(B184,input_523010!L:R,7,FALSE),VLOOKUP(tables_523010!C184,input_523010!A:H,8,FALSE))</f>
        <v>90250</v>
      </c>
      <c r="P184" s="46">
        <f t="shared" ca="1" si="7"/>
        <v>6.8840579710123875E-4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input_523010!A$2</f>
        <v>523010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IFERROR(VLOOKUP(B185,input_523010!L:R,7,FALSE),VLOOKUP(tables_523010!C185,input_523010!A:H,8,FALSE))</f>
        <v>4750</v>
      </c>
      <c r="P185" s="46">
        <f t="shared" ca="1" si="7"/>
        <v>3.6231884057959934E-5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input_523010!A$2</f>
        <v>523010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IFERROR(VLOOKUP(B186,input_523010!L:R,7,FALSE),VLOOKUP(tables_523010!C186,input_523010!A:H,8,FALSE))</f>
        <v>463887</v>
      </c>
      <c r="P186" s="46">
        <f t="shared" ca="1" si="7"/>
        <v>3.5384210526304967E-3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input_523010!A$2</f>
        <v>523010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IFERROR(VLOOKUP(B187,input_523010!L:R,7,FALSE),VLOOKUP(tables_523010!C187,input_523010!A:H,8,FALSE))</f>
        <v>547121.98077000002</v>
      </c>
      <c r="P187" s="46">
        <f t="shared" ca="1" si="7"/>
        <v>4.1733179311200051E-3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input_523010!A$2</f>
        <v>523010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IFERROR(VLOOKUP(B188,input_523010!L:R,7,FALSE),VLOOKUP(tables_523010!C188,input_523010!A:H,8,FALSE))</f>
        <v>19851.019230000002</v>
      </c>
      <c r="P188" s="46">
        <f t="shared" ca="1" si="7"/>
        <v>1.514189109839354E-4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input_523010!A$2</f>
        <v>523010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IFERROR(VLOOKUP(B189,input_523010!L:R,7,FALSE),VLOOKUP(tables_523010!C189,input_523010!A:H,8,FALSE))</f>
        <v>90250</v>
      </c>
      <c r="P189" s="46">
        <f t="shared" ca="1" si="7"/>
        <v>6.8840579710123875E-4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input_523010!A$2</f>
        <v>523010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IFERROR(VLOOKUP(B190,input_523010!L:R,7,FALSE),VLOOKUP(tables_523010!C190,input_523010!A:H,8,FALSE))</f>
        <v>4750</v>
      </c>
      <c r="P190" s="46">
        <f t="shared" ca="1" si="7"/>
        <v>3.6231884057959934E-5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input_523010!A$2</f>
        <v>523010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IFERROR(VLOOKUP(B191,input_523010!L:R,7,FALSE),VLOOKUP(tables_523010!C191,input_523010!A:H,8,FALSE))</f>
        <v>90250</v>
      </c>
      <c r="P191" s="46">
        <f t="shared" ca="1" si="7"/>
        <v>6.8840579710123875E-4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input_523010!A$2</f>
        <v>523010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IFERROR(VLOOKUP(B192,input_523010!L:R,7,FALSE),VLOOKUP(tables_523010!C192,input_523010!A:H,8,FALSE))</f>
        <v>4750</v>
      </c>
      <c r="P192" s="46">
        <f t="shared" ca="1" si="7"/>
        <v>3.6231884057959934E-5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input_523010!A$2</f>
        <v>523010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IFERROR(VLOOKUP(B193,input_523010!L:R,7,FALSE),VLOOKUP(tables_523010!C193,input_523010!A:H,8,FALSE))</f>
        <v>463887</v>
      </c>
      <c r="P193" s="46">
        <f t="shared" ca="1" si="7"/>
        <v>3.5384210526304967E-3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input_523010!A$2</f>
        <v>523010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IFERROR(VLOOKUP(B194,input_523010!L:R,7,FALSE),VLOOKUP(tables_523010!C194,input_523010!A:H,8,FALSE))</f>
        <v>547121.98077000002</v>
      </c>
      <c r="P194" s="46">
        <f t="shared" ref="P194:P257" ca="1" si="10">O194/SUM(O:O)</f>
        <v>4.1733179311200051E-3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input_523010!A$2</f>
        <v>523010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IFERROR(VLOOKUP(B195,input_523010!L:R,7,FALSE),VLOOKUP(tables_523010!C195,input_523010!A:H,8,FALSE))</f>
        <v>19851.019230000002</v>
      </c>
      <c r="P195" s="46">
        <f t="shared" ca="1" si="10"/>
        <v>1.514189109839354E-4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input_523010!A$2</f>
        <v>523010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IFERROR(VLOOKUP(B196,input_523010!L:R,7,FALSE),VLOOKUP(tables_523010!C196,input_523010!A:H,8,FALSE))</f>
        <v>90250</v>
      </c>
      <c r="P196" s="46">
        <f t="shared" ca="1" si="10"/>
        <v>6.8840579710123875E-4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input_523010!A$2</f>
        <v>523010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IFERROR(VLOOKUP(B197,input_523010!L:R,7,FALSE),VLOOKUP(tables_523010!C197,input_523010!A:H,8,FALSE))</f>
        <v>4750</v>
      </c>
      <c r="P197" s="46">
        <f t="shared" ca="1" si="10"/>
        <v>3.6231884057959934E-5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input_523010!A$2</f>
        <v>523010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IFERROR(VLOOKUP(B198,input_523010!L:R,7,FALSE),VLOOKUP(tables_523010!C198,input_523010!A:H,8,FALSE))</f>
        <v>463887</v>
      </c>
      <c r="P198" s="46">
        <f t="shared" ca="1" si="10"/>
        <v>3.5384210526304967E-3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input_523010!A$2</f>
        <v>523010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IFERROR(VLOOKUP(B199,input_523010!L:R,7,FALSE),VLOOKUP(tables_523010!C199,input_523010!A:H,8,FALSE))</f>
        <v>547121.98077000002</v>
      </c>
      <c r="P199" s="46">
        <f t="shared" ca="1" si="10"/>
        <v>4.1733179311200051E-3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input_523010!A$2</f>
        <v>523010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IFERROR(VLOOKUP(B200,input_523010!L:R,7,FALSE),VLOOKUP(tables_523010!C200,input_523010!A:H,8,FALSE))</f>
        <v>19851.019230000002</v>
      </c>
      <c r="P200" s="46">
        <f t="shared" ca="1" si="10"/>
        <v>1.514189109839354E-4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input_523010!A$2</f>
        <v>523010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IFERROR(VLOOKUP(B201,input_523010!L:R,7,FALSE),VLOOKUP(tables_523010!C201,input_523010!A:H,8,FALSE))</f>
        <v>90250</v>
      </c>
      <c r="P201" s="46">
        <f t="shared" ca="1" si="10"/>
        <v>6.8840579710123875E-4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input_523010!A$2</f>
        <v>523010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IFERROR(VLOOKUP(B202,input_523010!L:R,7,FALSE),VLOOKUP(tables_523010!C202,input_523010!A:H,8,FALSE))</f>
        <v>4750</v>
      </c>
      <c r="P202" s="46">
        <f t="shared" ca="1" si="10"/>
        <v>3.6231884057959934E-5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input_523010!A$2</f>
        <v>523010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IFERROR(VLOOKUP(B203,input_523010!L:R,7,FALSE),VLOOKUP(tables_523010!C203,input_523010!A:H,8,FALSE))</f>
        <v>463887</v>
      </c>
      <c r="P203" s="46">
        <f t="shared" ca="1" si="10"/>
        <v>3.5384210526304967E-3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input_523010!A$2</f>
        <v>523010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IFERROR(VLOOKUP(B204,input_523010!L:R,7,FALSE),VLOOKUP(tables_523010!C204,input_523010!A:H,8,FALSE))</f>
        <v>547121.98077000002</v>
      </c>
      <c r="P204" s="46">
        <f t="shared" ca="1" si="10"/>
        <v>4.1733179311200051E-3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input_523010!A$2</f>
        <v>523010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IFERROR(VLOOKUP(B205,input_523010!L:R,7,FALSE),VLOOKUP(tables_523010!C205,input_523010!A:H,8,FALSE))</f>
        <v>19851.019230000002</v>
      </c>
      <c r="P205" s="46">
        <f t="shared" ca="1" si="10"/>
        <v>1.514189109839354E-4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input_523010!A$2</f>
        <v>523010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IFERROR(VLOOKUP(B206,input_523010!L:R,7,FALSE),VLOOKUP(tables_523010!C206,input_523010!A:H,8,FALSE))</f>
        <v>90250</v>
      </c>
      <c r="P206" s="46">
        <f t="shared" ca="1" si="10"/>
        <v>6.8840579710123875E-4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input_523010!A$2</f>
        <v>523010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IFERROR(VLOOKUP(B207,input_523010!L:R,7,FALSE),VLOOKUP(tables_523010!C207,input_523010!A:H,8,FALSE))</f>
        <v>4750</v>
      </c>
      <c r="P207" s="46">
        <f t="shared" ca="1" si="10"/>
        <v>3.6231884057959934E-5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input_523010!A$2</f>
        <v>523010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IFERROR(VLOOKUP(B208,input_523010!L:R,7,FALSE),VLOOKUP(tables_523010!C208,input_523010!A:H,8,FALSE))</f>
        <v>90250</v>
      </c>
      <c r="P208" s="46">
        <f t="shared" ca="1" si="10"/>
        <v>6.8840579710123875E-4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input_523010!A$2</f>
        <v>523010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IFERROR(VLOOKUP(B209,input_523010!L:R,7,FALSE),VLOOKUP(tables_523010!C209,input_523010!A:H,8,FALSE))</f>
        <v>4750</v>
      </c>
      <c r="P209" s="46">
        <f t="shared" ca="1" si="10"/>
        <v>3.6231884057959934E-5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input_523010!A$2</f>
        <v>523010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IFERROR(VLOOKUP(B210,input_523010!L:R,7,FALSE),VLOOKUP(tables_523010!C210,input_523010!A:H,8,FALSE))</f>
        <v>463887</v>
      </c>
      <c r="P210" s="46">
        <f t="shared" ca="1" si="10"/>
        <v>3.5384210526304967E-3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input_523010!A$2</f>
        <v>523010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IFERROR(VLOOKUP(B211,input_523010!L:R,7,FALSE),VLOOKUP(tables_523010!C211,input_523010!A:H,8,FALSE))</f>
        <v>547121.98077000002</v>
      </c>
      <c r="P211" s="46">
        <f t="shared" ca="1" si="10"/>
        <v>4.1733179311200051E-3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input_523010!A$2</f>
        <v>523010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IFERROR(VLOOKUP(B212,input_523010!L:R,7,FALSE),VLOOKUP(tables_523010!C212,input_523010!A:H,8,FALSE))</f>
        <v>19851.019230000002</v>
      </c>
      <c r="P212" s="46">
        <f t="shared" ca="1" si="10"/>
        <v>1.514189109839354E-4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input_523010!A$2</f>
        <v>523010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IFERROR(VLOOKUP(B213,input_523010!L:R,7,FALSE),VLOOKUP(tables_523010!C213,input_523010!A:H,8,FALSE))</f>
        <v>90250</v>
      </c>
      <c r="P213" s="46">
        <f t="shared" ca="1" si="10"/>
        <v>6.8840579710123875E-4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input_523010!A$2</f>
        <v>523010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IFERROR(VLOOKUP(B214,input_523010!L:R,7,FALSE),VLOOKUP(tables_523010!C214,input_523010!A:H,8,FALSE))</f>
        <v>4750</v>
      </c>
      <c r="P214" s="46">
        <f t="shared" ca="1" si="10"/>
        <v>3.6231884057959934E-5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input_523010!A$2</f>
        <v>523010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IFERROR(VLOOKUP(B215,input_523010!L:R,7,FALSE),VLOOKUP(tables_523010!C215,input_523010!A:H,8,FALSE))</f>
        <v>51543</v>
      </c>
      <c r="P215" s="46">
        <f t="shared" ca="1" si="10"/>
        <v>3.9315789473672188E-4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input_523010!A$2</f>
        <v>523010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IFERROR(VLOOKUP(B216,input_523010!L:R,7,FALSE),VLOOKUP(tables_523010!C216,input_523010!A:H,8,FALSE))</f>
        <v>51543</v>
      </c>
      <c r="P216" s="46">
        <f t="shared" ca="1" si="10"/>
        <v>3.9315789473672188E-4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input_523010!A$2</f>
        <v>523010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IFERROR(VLOOKUP(B217,input_523010!L:R,7,FALSE),VLOOKUP(tables_523010!C217,input_523010!A:H,8,FALSE))</f>
        <v>51543</v>
      </c>
      <c r="P217" s="46">
        <f t="shared" ca="1" si="10"/>
        <v>3.9315789473672188E-4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input_523010!A$2</f>
        <v>523010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IFERROR(VLOOKUP(B218,input_523010!L:R,7,FALSE),VLOOKUP(tables_523010!C218,input_523010!A:H,8,FALSE))</f>
        <v>51543</v>
      </c>
      <c r="P218" s="46">
        <f t="shared" ca="1" si="10"/>
        <v>3.9315789473672188E-4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input_523010!A$2</f>
        <v>523010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IFERROR(VLOOKUP(B219,input_523010!L:R,7,FALSE),VLOOKUP(tables_523010!C219,input_523010!A:H,8,FALSE))</f>
        <v>51543</v>
      </c>
      <c r="P219" s="46">
        <f t="shared" ca="1" si="10"/>
        <v>3.9315789473672188E-4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input_523010!A$2</f>
        <v>523010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IFERROR(VLOOKUP(B220,input_523010!L:R,7,FALSE),VLOOKUP(tables_523010!C220,input_523010!A:H,8,FALSE))</f>
        <v>51543</v>
      </c>
      <c r="P220" s="46">
        <f t="shared" ca="1" si="10"/>
        <v>3.9315789473672188E-4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input_523010!A$2</f>
        <v>523010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IFERROR(VLOOKUP(B221,input_523010!L:R,7,FALSE),VLOOKUP(tables_523010!C221,input_523010!A:H,8,FALSE))</f>
        <v>90250</v>
      </c>
      <c r="P221" s="46">
        <f t="shared" ca="1" si="10"/>
        <v>6.8840579710123875E-4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input_523010!A$2</f>
        <v>523010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IFERROR(VLOOKUP(B222,input_523010!L:R,7,FALSE),VLOOKUP(tables_523010!C222,input_523010!A:H,8,FALSE))</f>
        <v>4750</v>
      </c>
      <c r="P222" s="46">
        <f t="shared" ca="1" si="10"/>
        <v>3.6231884057959934E-5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input_523010!A$2</f>
        <v>523010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IFERROR(VLOOKUP(B223,input_523010!L:R,7,FALSE),VLOOKUP(tables_523010!C223,input_523010!A:H,8,FALSE))</f>
        <v>463887</v>
      </c>
      <c r="P223" s="46">
        <f t="shared" ca="1" si="10"/>
        <v>3.5384210526304967E-3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input_523010!A$2</f>
        <v>523010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IFERROR(VLOOKUP(B224,input_523010!L:R,7,FALSE),VLOOKUP(tables_523010!C224,input_523010!A:H,8,FALSE))</f>
        <v>547121.98077000002</v>
      </c>
      <c r="P224" s="46">
        <f t="shared" ca="1" si="10"/>
        <v>4.1733179311200051E-3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input_523010!A$2</f>
        <v>523010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IFERROR(VLOOKUP(B225,input_523010!L:R,7,FALSE),VLOOKUP(tables_523010!C225,input_523010!A:H,8,FALSE))</f>
        <v>19851.019230000002</v>
      </c>
      <c r="P225" s="46">
        <f t="shared" ca="1" si="10"/>
        <v>1.514189109839354E-4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input_523010!A$2</f>
        <v>523010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IFERROR(VLOOKUP(B226,input_523010!L:R,7,FALSE),VLOOKUP(tables_523010!C226,input_523010!A:H,8,FALSE))</f>
        <v>463887</v>
      </c>
      <c r="P226" s="46">
        <f t="shared" ca="1" si="10"/>
        <v>3.5384210526304967E-3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input_523010!A$2</f>
        <v>523010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IFERROR(VLOOKUP(B227,input_523010!L:R,7,FALSE),VLOOKUP(tables_523010!C227,input_523010!A:H,8,FALSE))</f>
        <v>547121.98077000002</v>
      </c>
      <c r="P227" s="46">
        <f t="shared" ca="1" si="10"/>
        <v>4.1733179311200051E-3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input_523010!A$2</f>
        <v>523010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IFERROR(VLOOKUP(B228,input_523010!L:R,7,FALSE),VLOOKUP(tables_523010!C228,input_523010!A:H,8,FALSE))</f>
        <v>19851.019230000002</v>
      </c>
      <c r="P228" s="46">
        <f t="shared" ca="1" si="10"/>
        <v>1.514189109839354E-4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input_523010!A$2</f>
        <v>523010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IFERROR(VLOOKUP(B229,input_523010!L:R,7,FALSE),VLOOKUP(tables_523010!C229,input_523010!A:H,8,FALSE))</f>
        <v>90250</v>
      </c>
      <c r="P229" s="46">
        <f t="shared" ca="1" si="10"/>
        <v>6.8840579710123875E-4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input_523010!A$2</f>
        <v>523010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IFERROR(VLOOKUP(B230,input_523010!L:R,7,FALSE),VLOOKUP(tables_523010!C230,input_523010!A:H,8,FALSE))</f>
        <v>4750</v>
      </c>
      <c r="P230" s="46">
        <f t="shared" ca="1" si="10"/>
        <v>3.6231884057959934E-5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input_523010!A$2</f>
        <v>523010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IFERROR(VLOOKUP(B231,input_523010!L:R,7,FALSE),VLOOKUP(tables_523010!C231,input_523010!A:H,8,FALSE))</f>
        <v>463887</v>
      </c>
      <c r="P231" s="46">
        <f t="shared" ca="1" si="10"/>
        <v>3.5384210526304967E-3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input_523010!A$2</f>
        <v>523010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IFERROR(VLOOKUP(B232,input_523010!L:R,7,FALSE),VLOOKUP(tables_523010!C232,input_523010!A:H,8,FALSE))</f>
        <v>547121.98077000002</v>
      </c>
      <c r="P232" s="46">
        <f t="shared" ca="1" si="10"/>
        <v>4.1733179311200051E-3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input_523010!A$2</f>
        <v>523010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IFERROR(VLOOKUP(B233,input_523010!L:R,7,FALSE),VLOOKUP(tables_523010!C233,input_523010!A:H,8,FALSE))</f>
        <v>19851.019230000002</v>
      </c>
      <c r="P233" s="46">
        <f t="shared" ca="1" si="10"/>
        <v>1.514189109839354E-4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input_523010!A$2</f>
        <v>523010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IFERROR(VLOOKUP(B234,input_523010!L:R,7,FALSE),VLOOKUP(tables_523010!C234,input_523010!A:H,8,FALSE))</f>
        <v>463887</v>
      </c>
      <c r="P234" s="46">
        <f t="shared" ca="1" si="10"/>
        <v>3.5384210526304967E-3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input_523010!A$2</f>
        <v>523010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IFERROR(VLOOKUP(B235,input_523010!L:R,7,FALSE),VLOOKUP(tables_523010!C235,input_523010!A:H,8,FALSE))</f>
        <v>547121.98077000002</v>
      </c>
      <c r="P235" s="46">
        <f t="shared" ca="1" si="10"/>
        <v>4.1733179311200051E-3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input_523010!A$2</f>
        <v>523010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IFERROR(VLOOKUP(B236,input_523010!L:R,7,FALSE),VLOOKUP(tables_523010!C236,input_523010!A:H,8,FALSE))</f>
        <v>19851.019230000002</v>
      </c>
      <c r="P236" s="46">
        <f t="shared" ca="1" si="10"/>
        <v>1.514189109839354E-4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input_523010!A$2</f>
        <v>523010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IFERROR(VLOOKUP(B237,input_523010!L:R,7,FALSE),VLOOKUP(tables_523010!C237,input_523010!A:H,8,FALSE))</f>
        <v>90250</v>
      </c>
      <c r="P237" s="46">
        <f t="shared" ca="1" si="10"/>
        <v>6.8840579710123875E-4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input_523010!A$2</f>
        <v>523010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IFERROR(VLOOKUP(B238,input_523010!L:R,7,FALSE),VLOOKUP(tables_523010!C238,input_523010!A:H,8,FALSE))</f>
        <v>4750</v>
      </c>
      <c r="P238" s="46">
        <f t="shared" ca="1" si="10"/>
        <v>3.6231884057959934E-5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input_523010!A$2</f>
        <v>523010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IFERROR(VLOOKUP(B239,input_523010!L:R,7,FALSE),VLOOKUP(tables_523010!C239,input_523010!A:H,8,FALSE))</f>
        <v>463887</v>
      </c>
      <c r="P239" s="46">
        <f t="shared" ca="1" si="10"/>
        <v>3.5384210526304967E-3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input_523010!A$2</f>
        <v>523010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IFERROR(VLOOKUP(B240,input_523010!L:R,7,FALSE),VLOOKUP(tables_523010!C240,input_523010!A:H,8,FALSE))</f>
        <v>547121.98077000002</v>
      </c>
      <c r="P240" s="46">
        <f t="shared" ca="1" si="10"/>
        <v>4.1733179311200051E-3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input_523010!A$2</f>
        <v>523010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IFERROR(VLOOKUP(B241,input_523010!L:R,7,FALSE),VLOOKUP(tables_523010!C241,input_523010!A:H,8,FALSE))</f>
        <v>19851.019230000002</v>
      </c>
      <c r="P241" s="46">
        <f t="shared" ca="1" si="10"/>
        <v>1.514189109839354E-4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input_523010!A$2</f>
        <v>523010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IFERROR(VLOOKUP(B242,input_523010!L:R,7,FALSE),VLOOKUP(tables_523010!C242,input_523010!A:H,8,FALSE))</f>
        <v>90250</v>
      </c>
      <c r="P242" s="46">
        <f t="shared" ca="1" si="10"/>
        <v>6.8840579710123875E-4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input_523010!A$2</f>
        <v>523010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IFERROR(VLOOKUP(B243,input_523010!L:R,7,FALSE),VLOOKUP(tables_523010!C243,input_523010!A:H,8,FALSE))</f>
        <v>4750</v>
      </c>
      <c r="P243" s="46">
        <f t="shared" ca="1" si="10"/>
        <v>3.6231884057959934E-5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input_523010!A$2</f>
        <v>523010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IFERROR(VLOOKUP(B244,input_523010!L:R,7,FALSE),VLOOKUP(tables_523010!C244,input_523010!A:H,8,FALSE))</f>
        <v>90250</v>
      </c>
      <c r="P244" s="46">
        <f t="shared" ca="1" si="10"/>
        <v>6.8840579710123875E-4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input_523010!A$2</f>
        <v>523010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IFERROR(VLOOKUP(B245,input_523010!L:R,7,FALSE),VLOOKUP(tables_523010!C245,input_523010!A:H,8,FALSE))</f>
        <v>4750</v>
      </c>
      <c r="P245" s="46">
        <f t="shared" ca="1" si="10"/>
        <v>3.6231884057959934E-5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input_523010!A$2</f>
        <v>523010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IFERROR(VLOOKUP(B246,input_523010!L:R,7,FALSE),VLOOKUP(tables_523010!C246,input_523010!A:H,8,FALSE))</f>
        <v>463887</v>
      </c>
      <c r="P246" s="46">
        <f t="shared" ca="1" si="10"/>
        <v>3.5384210526304967E-3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input_523010!A$2</f>
        <v>523010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IFERROR(VLOOKUP(B247,input_523010!L:R,7,FALSE),VLOOKUP(tables_523010!C247,input_523010!A:H,8,FALSE))</f>
        <v>547121.98077000002</v>
      </c>
      <c r="P247" s="46">
        <f t="shared" ca="1" si="10"/>
        <v>4.1733179311200051E-3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input_523010!A$2</f>
        <v>523010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IFERROR(VLOOKUP(B248,input_523010!L:R,7,FALSE),VLOOKUP(tables_523010!C248,input_523010!A:H,8,FALSE))</f>
        <v>19851.019230000002</v>
      </c>
      <c r="P248" s="46">
        <f t="shared" ca="1" si="10"/>
        <v>1.514189109839354E-4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input_523010!A$2</f>
        <v>523010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IFERROR(VLOOKUP(B249,input_523010!L:R,7,FALSE),VLOOKUP(tables_523010!C249,input_523010!A:H,8,FALSE))</f>
        <v>463887</v>
      </c>
      <c r="P249" s="46">
        <f t="shared" ca="1" si="10"/>
        <v>3.5384210526304967E-3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input_523010!A$2</f>
        <v>523010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IFERROR(VLOOKUP(B250,input_523010!L:R,7,FALSE),VLOOKUP(tables_523010!C250,input_523010!A:H,8,FALSE))</f>
        <v>547121.98077000002</v>
      </c>
      <c r="P250" s="46">
        <f t="shared" ca="1" si="10"/>
        <v>4.1733179311200051E-3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input_523010!A$2</f>
        <v>523010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IFERROR(VLOOKUP(B251,input_523010!L:R,7,FALSE),VLOOKUP(tables_523010!C251,input_523010!A:H,8,FALSE))</f>
        <v>19851.019230000002</v>
      </c>
      <c r="P251" s="46">
        <f t="shared" ca="1" si="10"/>
        <v>1.514189109839354E-4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input_523010!A$2</f>
        <v>523010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IFERROR(VLOOKUP(B252,input_523010!L:R,7,FALSE),VLOOKUP(tables_523010!C252,input_523010!A:H,8,FALSE))</f>
        <v>463887</v>
      </c>
      <c r="P252" s="46">
        <f t="shared" ca="1" si="10"/>
        <v>3.5384210526304967E-3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input_523010!A$2</f>
        <v>523010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IFERROR(VLOOKUP(B253,input_523010!L:R,7,FALSE),VLOOKUP(tables_523010!C253,input_523010!A:H,8,FALSE))</f>
        <v>547121.98077000002</v>
      </c>
      <c r="P253" s="46">
        <f t="shared" ca="1" si="10"/>
        <v>4.1733179311200051E-3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input_523010!A$2</f>
        <v>523010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IFERROR(VLOOKUP(B254,input_523010!L:R,7,FALSE),VLOOKUP(tables_523010!C254,input_523010!A:H,8,FALSE))</f>
        <v>19851.019230000002</v>
      </c>
      <c r="P254" s="46">
        <f t="shared" ca="1" si="10"/>
        <v>1.514189109839354E-4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input_523010!A$2</f>
        <v>523010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IFERROR(VLOOKUP(B255,input_523010!L:R,7,FALSE),VLOOKUP(tables_523010!C255,input_523010!A:H,8,FALSE))</f>
        <v>463887</v>
      </c>
      <c r="P255" s="46">
        <f t="shared" ca="1" si="10"/>
        <v>3.5384210526304967E-3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input_523010!A$2</f>
        <v>523010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IFERROR(VLOOKUP(B256,input_523010!L:R,7,FALSE),VLOOKUP(tables_523010!C256,input_523010!A:H,8,FALSE))</f>
        <v>547121.98077000002</v>
      </c>
      <c r="P256" s="46">
        <f t="shared" ca="1" si="10"/>
        <v>4.1733179311200051E-3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input_523010!A$2</f>
        <v>523010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IFERROR(VLOOKUP(B257,input_523010!L:R,7,FALSE),VLOOKUP(tables_523010!C257,input_523010!A:H,8,FALSE))</f>
        <v>19851.019230000002</v>
      </c>
      <c r="P257" s="46">
        <f t="shared" ca="1" si="10"/>
        <v>1.514189109839354E-4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input_523010!A$2</f>
        <v>523010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IFERROR(VLOOKUP(B258,input_523010!L:R,7,FALSE),VLOOKUP(tables_523010!C258,input_523010!A:H,8,FALSE))</f>
        <v>90250</v>
      </c>
      <c r="P258" s="46">
        <f t="shared" ref="P258:P321" ca="1" si="13">O258/SUM(O:O)</f>
        <v>6.8840579710123875E-4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input_523010!A$2</f>
        <v>523010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IFERROR(VLOOKUP(B259,input_523010!L:R,7,FALSE),VLOOKUP(tables_523010!C259,input_523010!A:H,8,FALSE))</f>
        <v>4750</v>
      </c>
      <c r="P259" s="46">
        <f t="shared" ca="1" si="13"/>
        <v>3.6231884057959934E-5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input_523010!A$2</f>
        <v>523010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IFERROR(VLOOKUP(B260,input_523010!L:R,7,FALSE),VLOOKUP(tables_523010!C260,input_523010!A:H,8,FALSE))</f>
        <v>90250</v>
      </c>
      <c r="P260" s="46">
        <f t="shared" ca="1" si="13"/>
        <v>6.8840579710123875E-4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input_523010!A$2</f>
        <v>523010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IFERROR(VLOOKUP(B261,input_523010!L:R,7,FALSE),VLOOKUP(tables_523010!C261,input_523010!A:H,8,FALSE))</f>
        <v>4750</v>
      </c>
      <c r="P261" s="46">
        <f t="shared" ca="1" si="13"/>
        <v>3.6231884057959934E-5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input_523010!A$2</f>
        <v>523010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IFERROR(VLOOKUP(B262,input_523010!L:R,7,FALSE),VLOOKUP(tables_523010!C262,input_523010!A:H,8,FALSE))</f>
        <v>963040.26315999997</v>
      </c>
      <c r="P262" s="46">
        <f t="shared" ca="1" si="13"/>
        <v>7.3458448753600716E-3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input_523010!A$2</f>
        <v>523010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IFERROR(VLOOKUP(B263,input_523010!L:R,7,FALSE),VLOOKUP(tables_523010!C263,input_523010!A:H,8,FALSE))</f>
        <v>51543</v>
      </c>
      <c r="P263" s="46">
        <f t="shared" ca="1" si="13"/>
        <v>3.9315789473672188E-4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input_523010!A$2</f>
        <v>523010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IFERROR(VLOOKUP(B264,input_523010!L:R,7,FALSE),VLOOKUP(tables_523010!C264,input_523010!A:H,8,FALSE))</f>
        <v>963040.26315999997</v>
      </c>
      <c r="P264" s="46">
        <f t="shared" ca="1" si="13"/>
        <v>7.3458448753600716E-3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input_523010!A$2</f>
        <v>523010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IFERROR(VLOOKUP(B265,input_523010!L:R,7,FALSE),VLOOKUP(tables_523010!C265,input_523010!A:H,8,FALSE))</f>
        <v>51543</v>
      </c>
      <c r="P265" s="46">
        <f t="shared" ca="1" si="13"/>
        <v>3.9315789473672188E-4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input_523010!A$2</f>
        <v>523010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IFERROR(VLOOKUP(B266,input_523010!L:R,7,FALSE),VLOOKUP(tables_523010!C266,input_523010!A:H,8,FALSE))</f>
        <v>95000</v>
      </c>
      <c r="P266" s="46">
        <f t="shared" ca="1" si="13"/>
        <v>7.2463768115919869E-4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input_523010!A$2</f>
        <v>523010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IFERROR(VLOOKUP(B267,input_523010!L:R,7,FALSE),VLOOKUP(tables_523010!C267,input_523010!A:H,8,FALSE))</f>
        <v>95000</v>
      </c>
      <c r="P267" s="46">
        <f t="shared" ca="1" si="13"/>
        <v>7.2463768115919869E-4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input_523010!A$2</f>
        <v>523010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IFERROR(VLOOKUP(B268,input_523010!L:R,7,FALSE),VLOOKUP(tables_523010!C268,input_523010!A:H,8,FALSE))</f>
        <v>95000</v>
      </c>
      <c r="P268" s="46">
        <f t="shared" ca="1" si="13"/>
        <v>7.2463768115919869E-4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input_523010!A$2</f>
        <v>523010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IFERROR(VLOOKUP(B269,input_523010!L:R,7,FALSE),VLOOKUP(tables_523010!C269,input_523010!A:H,8,FALSE))</f>
        <v>95000</v>
      </c>
      <c r="P269" s="46">
        <f t="shared" ca="1" si="13"/>
        <v>7.2463768115919869E-4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input_523010!A$2</f>
        <v>523010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IFERROR(VLOOKUP(B270,input_523010!L:R,7,FALSE),VLOOKUP(tables_523010!C270,input_523010!A:H,8,FALSE))</f>
        <v>963040.26315999997</v>
      </c>
      <c r="P270" s="46">
        <f t="shared" ca="1" si="13"/>
        <v>7.3458448753600716E-3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input_523010!A$2</f>
        <v>523010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IFERROR(VLOOKUP(B271,input_523010!L:R,7,FALSE),VLOOKUP(tables_523010!C271,input_523010!A:H,8,FALSE))</f>
        <v>51543</v>
      </c>
      <c r="P271" s="46">
        <f t="shared" ca="1" si="13"/>
        <v>3.9315789473672188E-4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input_523010!A$2</f>
        <v>523010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IFERROR(VLOOKUP(B272,input_523010!L:R,7,FALSE),VLOOKUP(tables_523010!C272,input_523010!A:H,8,FALSE))</f>
        <v>963040.26315999997</v>
      </c>
      <c r="P272" s="46">
        <f t="shared" ca="1" si="13"/>
        <v>7.3458448753600716E-3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input_523010!A$2</f>
        <v>523010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IFERROR(VLOOKUP(B273,input_523010!L:R,7,FALSE),VLOOKUP(tables_523010!C273,input_523010!A:H,8,FALSE))</f>
        <v>51543</v>
      </c>
      <c r="P273" s="46">
        <f t="shared" ca="1" si="13"/>
        <v>3.9315789473672188E-4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input_523010!A$2</f>
        <v>523010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IFERROR(VLOOKUP(B274,input_523010!L:R,7,FALSE),VLOOKUP(tables_523010!C274,input_523010!A:H,8,FALSE))</f>
        <v>90250</v>
      </c>
      <c r="P274" s="46">
        <f t="shared" ca="1" si="13"/>
        <v>6.8840579710123875E-4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input_523010!A$2</f>
        <v>523010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IFERROR(VLOOKUP(B275,input_523010!L:R,7,FALSE),VLOOKUP(tables_523010!C275,input_523010!A:H,8,FALSE))</f>
        <v>4750</v>
      </c>
      <c r="P275" s="46">
        <f t="shared" ca="1" si="13"/>
        <v>3.6231884057959934E-5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input_523010!A$2</f>
        <v>523010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IFERROR(VLOOKUP(B276,input_523010!L:R,7,FALSE),VLOOKUP(tables_523010!C276,input_523010!A:H,8,FALSE))</f>
        <v>90250</v>
      </c>
      <c r="P276" s="46">
        <f t="shared" ca="1" si="13"/>
        <v>6.8840579710123875E-4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input_523010!A$2</f>
        <v>523010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IFERROR(VLOOKUP(B277,input_523010!L:R,7,FALSE),VLOOKUP(tables_523010!C277,input_523010!A:H,8,FALSE))</f>
        <v>4750</v>
      </c>
      <c r="P277" s="46">
        <f t="shared" ca="1" si="13"/>
        <v>3.6231884057959934E-5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input_523010!A$2</f>
        <v>523010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IFERROR(VLOOKUP(B278,input_523010!L:R,7,FALSE),VLOOKUP(tables_523010!C278,input_523010!A:H,8,FALSE))</f>
        <v>463887</v>
      </c>
      <c r="P278" s="46">
        <f t="shared" ca="1" si="13"/>
        <v>3.5384210526304967E-3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input_523010!A$2</f>
        <v>523010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IFERROR(VLOOKUP(B279,input_523010!L:R,7,FALSE),VLOOKUP(tables_523010!C279,input_523010!A:H,8,FALSE))</f>
        <v>547121.98077000002</v>
      </c>
      <c r="P279" s="46">
        <f t="shared" ca="1" si="13"/>
        <v>4.1733179311200051E-3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input_523010!A$2</f>
        <v>523010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IFERROR(VLOOKUP(B280,input_523010!L:R,7,FALSE),VLOOKUP(tables_523010!C280,input_523010!A:H,8,FALSE))</f>
        <v>19851.019230000002</v>
      </c>
      <c r="P280" s="46">
        <f t="shared" ca="1" si="13"/>
        <v>1.514189109839354E-4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input_523010!A$2</f>
        <v>523010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IFERROR(VLOOKUP(B281,input_523010!L:R,7,FALSE),VLOOKUP(tables_523010!C281,input_523010!A:H,8,FALSE))</f>
        <v>463887</v>
      </c>
      <c r="P281" s="46">
        <f t="shared" ca="1" si="13"/>
        <v>3.5384210526304967E-3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input_523010!A$2</f>
        <v>523010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IFERROR(VLOOKUP(B282,input_523010!L:R,7,FALSE),VLOOKUP(tables_523010!C282,input_523010!A:H,8,FALSE))</f>
        <v>547121.98077000002</v>
      </c>
      <c r="P282" s="46">
        <f t="shared" ca="1" si="13"/>
        <v>4.1733179311200051E-3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input_523010!A$2</f>
        <v>523010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IFERROR(VLOOKUP(B283,input_523010!L:R,7,FALSE),VLOOKUP(tables_523010!C283,input_523010!A:H,8,FALSE))</f>
        <v>19851.019230000002</v>
      </c>
      <c r="P283" s="46">
        <f t="shared" ca="1" si="13"/>
        <v>1.514189109839354E-4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input_523010!A$2</f>
        <v>523010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IFERROR(VLOOKUP(B284,input_523010!L:R,7,FALSE),VLOOKUP(tables_523010!C284,input_523010!A:H,8,FALSE))</f>
        <v>95000</v>
      </c>
      <c r="P284" s="46">
        <f t="shared" ca="1" si="13"/>
        <v>7.2463768115919869E-4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input_523010!A$2</f>
        <v>523010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IFERROR(VLOOKUP(B285,input_523010!L:R,7,FALSE),VLOOKUP(tables_523010!C285,input_523010!A:H,8,FALSE))</f>
        <v>95000</v>
      </c>
      <c r="P285" s="46">
        <f t="shared" ca="1" si="13"/>
        <v>7.2463768115919869E-4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input_523010!A$2</f>
        <v>523010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IFERROR(VLOOKUP(B286,input_523010!L:R,7,FALSE),VLOOKUP(tables_523010!C286,input_523010!A:H,8,FALSE))</f>
        <v>963040.26315999997</v>
      </c>
      <c r="P286" s="46">
        <f t="shared" ca="1" si="13"/>
        <v>7.3458448753600716E-3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input_523010!A$2</f>
        <v>523010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IFERROR(VLOOKUP(B287,input_523010!L:R,7,FALSE),VLOOKUP(tables_523010!C287,input_523010!A:H,8,FALSE))</f>
        <v>51543</v>
      </c>
      <c r="P287" s="46">
        <f t="shared" ca="1" si="13"/>
        <v>3.9315789473672188E-4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input_523010!A$2</f>
        <v>523010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IFERROR(VLOOKUP(B288,input_523010!L:R,7,FALSE),VLOOKUP(tables_523010!C288,input_523010!A:H,8,FALSE))</f>
        <v>963040.26315999997</v>
      </c>
      <c r="P288" s="46">
        <f t="shared" ca="1" si="13"/>
        <v>7.3458448753600716E-3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input_523010!A$2</f>
        <v>523010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IFERROR(VLOOKUP(B289,input_523010!L:R,7,FALSE),VLOOKUP(tables_523010!C289,input_523010!A:H,8,FALSE))</f>
        <v>51543</v>
      </c>
      <c r="P289" s="46">
        <f t="shared" ca="1" si="13"/>
        <v>3.9315789473672188E-4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input_523010!A$2</f>
        <v>523010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IFERROR(VLOOKUP(B290,input_523010!L:R,7,FALSE),VLOOKUP(tables_523010!C290,input_523010!A:H,8,FALSE))</f>
        <v>963040.26315999997</v>
      </c>
      <c r="P290" s="46">
        <f t="shared" ca="1" si="13"/>
        <v>7.3458448753600716E-3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input_523010!A$2</f>
        <v>523010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IFERROR(VLOOKUP(B291,input_523010!L:R,7,FALSE),VLOOKUP(tables_523010!C291,input_523010!A:H,8,FALSE))</f>
        <v>51543</v>
      </c>
      <c r="P291" s="46">
        <f t="shared" ca="1" si="13"/>
        <v>3.9315789473672188E-4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input_523010!A$2</f>
        <v>523010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IFERROR(VLOOKUP(B292,input_523010!L:R,7,FALSE),VLOOKUP(tables_523010!C292,input_523010!A:H,8,FALSE))</f>
        <v>963040.26315999997</v>
      </c>
      <c r="P292" s="46">
        <f t="shared" ca="1" si="13"/>
        <v>7.3458448753600716E-3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input_523010!A$2</f>
        <v>523010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IFERROR(VLOOKUP(B293,input_523010!L:R,7,FALSE),VLOOKUP(tables_523010!C293,input_523010!A:H,8,FALSE))</f>
        <v>51543</v>
      </c>
      <c r="P293" s="46">
        <f t="shared" ca="1" si="13"/>
        <v>3.9315789473672188E-4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input_523010!A$2</f>
        <v>523010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IFERROR(VLOOKUP(B294,input_523010!L:R,7,FALSE),VLOOKUP(tables_523010!C294,input_523010!A:H,8,FALSE))</f>
        <v>95000</v>
      </c>
      <c r="P294" s="46">
        <f t="shared" ca="1" si="13"/>
        <v>7.2463768115919869E-4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input_523010!A$2</f>
        <v>523010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IFERROR(VLOOKUP(B295,input_523010!L:R,7,FALSE),VLOOKUP(tables_523010!C295,input_523010!A:H,8,FALSE))</f>
        <v>95000</v>
      </c>
      <c r="P295" s="46">
        <f t="shared" ca="1" si="13"/>
        <v>7.2463768115919869E-4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input_523010!A$2</f>
        <v>523010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IFERROR(VLOOKUP(B296,input_523010!L:R,7,FALSE),VLOOKUP(tables_523010!C296,input_523010!A:H,8,FALSE))</f>
        <v>95000</v>
      </c>
      <c r="P296" s="46">
        <f t="shared" ca="1" si="13"/>
        <v>7.2463768115919869E-4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input_523010!A$2</f>
        <v>523010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IFERROR(VLOOKUP(B297,input_523010!L:R,7,FALSE),VLOOKUP(tables_523010!C297,input_523010!A:H,8,FALSE))</f>
        <v>963040.26315999997</v>
      </c>
      <c r="P297" s="46">
        <f t="shared" ca="1" si="13"/>
        <v>7.3458448753600716E-3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input_523010!A$2</f>
        <v>523010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IFERROR(VLOOKUP(B298,input_523010!L:R,7,FALSE),VLOOKUP(tables_523010!C298,input_523010!A:H,8,FALSE))</f>
        <v>51543</v>
      </c>
      <c r="P298" s="46">
        <f t="shared" ca="1" si="13"/>
        <v>3.9315789473672188E-4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input_523010!A$2</f>
        <v>523010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IFERROR(VLOOKUP(B299,input_523010!L:R,7,FALSE),VLOOKUP(tables_523010!C299,input_523010!A:H,8,FALSE))</f>
        <v>95000</v>
      </c>
      <c r="P299" s="46">
        <f t="shared" ca="1" si="13"/>
        <v>7.2463768115919869E-4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input_523010!A$2</f>
        <v>523010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IFERROR(VLOOKUP(B300,input_523010!L:R,7,FALSE),VLOOKUP(tables_523010!C300,input_523010!A:H,8,FALSE))</f>
        <v>95000</v>
      </c>
      <c r="P300" s="46">
        <f t="shared" ca="1" si="13"/>
        <v>7.2463768115919869E-4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input_523010!A$2</f>
        <v>523010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IFERROR(VLOOKUP(B301,input_523010!L:R,7,FALSE),VLOOKUP(tables_523010!C301,input_523010!A:H,8,FALSE))</f>
        <v>95000</v>
      </c>
      <c r="P301" s="46">
        <f t="shared" ca="1" si="13"/>
        <v>7.2463768115919869E-4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input_523010!A$2</f>
        <v>523010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IFERROR(VLOOKUP(B302,input_523010!L:R,7,FALSE),VLOOKUP(tables_523010!C302,input_523010!A:H,8,FALSE))</f>
        <v>95000</v>
      </c>
      <c r="P302" s="46">
        <f t="shared" ca="1" si="13"/>
        <v>7.2463768115919869E-4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input_523010!A$2</f>
        <v>523010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IFERROR(VLOOKUP(B303,input_523010!L:R,7,FALSE),VLOOKUP(tables_523010!C303,input_523010!A:H,8,FALSE))</f>
        <v>963040.26315999997</v>
      </c>
      <c r="P303" s="46">
        <f t="shared" ca="1" si="13"/>
        <v>7.3458448753600716E-3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input_523010!A$2</f>
        <v>523010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IFERROR(VLOOKUP(B304,input_523010!L:R,7,FALSE),VLOOKUP(tables_523010!C304,input_523010!A:H,8,FALSE))</f>
        <v>51543</v>
      </c>
      <c r="P304" s="46">
        <f t="shared" ca="1" si="13"/>
        <v>3.9315789473672188E-4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input_523010!A$2</f>
        <v>523010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IFERROR(VLOOKUP(B305,input_523010!L:R,7,FALSE),VLOOKUP(tables_523010!C305,input_523010!A:H,8,FALSE))</f>
        <v>95000</v>
      </c>
      <c r="P305" s="46">
        <f t="shared" ca="1" si="13"/>
        <v>7.2463768115919869E-4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input_523010!A$2</f>
        <v>523010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IFERROR(VLOOKUP(B306,input_523010!L:R,7,FALSE),VLOOKUP(tables_523010!C306,input_523010!A:H,8,FALSE))</f>
        <v>963040.26315999997</v>
      </c>
      <c r="P306" s="46">
        <f t="shared" ca="1" si="13"/>
        <v>7.3458448753600716E-3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input_523010!A$2</f>
        <v>523010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IFERROR(VLOOKUP(B307,input_523010!L:R,7,FALSE),VLOOKUP(tables_523010!C307,input_523010!A:H,8,FALSE))</f>
        <v>51543</v>
      </c>
      <c r="P307" s="46">
        <f t="shared" ca="1" si="13"/>
        <v>3.9315789473672188E-4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input_523010!A$2</f>
        <v>523010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IFERROR(VLOOKUP(B308,input_523010!L:R,7,FALSE),VLOOKUP(tables_523010!C308,input_523010!A:H,8,FALSE))</f>
        <v>95000</v>
      </c>
      <c r="P308" s="46">
        <f t="shared" ca="1" si="13"/>
        <v>7.2463768115919869E-4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input_523010!A$2</f>
        <v>523010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IFERROR(VLOOKUP(B309,input_523010!L:R,7,FALSE),VLOOKUP(tables_523010!C309,input_523010!A:H,8,FALSE))</f>
        <v>95000</v>
      </c>
      <c r="P309" s="46">
        <f t="shared" ca="1" si="13"/>
        <v>7.2463768115919869E-4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input_523010!A$2</f>
        <v>523010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IFERROR(VLOOKUP(B310,input_523010!L:R,7,FALSE),VLOOKUP(tables_523010!C310,input_523010!A:H,8,FALSE))</f>
        <v>95000</v>
      </c>
      <c r="P310" s="46">
        <f t="shared" ca="1" si="13"/>
        <v>7.2463768115919869E-4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input_523010!A$2</f>
        <v>523010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IFERROR(VLOOKUP(B311,input_523010!L:R,7,FALSE),VLOOKUP(tables_523010!C311,input_523010!A:H,8,FALSE))</f>
        <v>963040.26315999997</v>
      </c>
      <c r="P311" s="46">
        <f t="shared" ca="1" si="13"/>
        <v>7.3458448753600716E-3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input_523010!A$2</f>
        <v>523010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IFERROR(VLOOKUP(B312,input_523010!L:R,7,FALSE),VLOOKUP(tables_523010!C312,input_523010!A:H,8,FALSE))</f>
        <v>51543</v>
      </c>
      <c r="P312" s="46">
        <f t="shared" ca="1" si="13"/>
        <v>3.9315789473672188E-4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input_523010!A$2</f>
        <v>523010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IFERROR(VLOOKUP(B313,input_523010!L:R,7,FALSE),VLOOKUP(tables_523010!C313,input_523010!A:H,8,FALSE))</f>
        <v>95000</v>
      </c>
      <c r="P313" s="46">
        <f t="shared" ca="1" si="13"/>
        <v>7.2463768115919869E-4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input_523010!A$2</f>
        <v>523010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IFERROR(VLOOKUP(B314,input_523010!L:R,7,FALSE),VLOOKUP(tables_523010!C314,input_523010!A:H,8,FALSE))</f>
        <v>95000</v>
      </c>
      <c r="P314" s="46">
        <f t="shared" ca="1" si="13"/>
        <v>7.2463768115919869E-4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input_523010!A$2</f>
        <v>523010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IFERROR(VLOOKUP(B315,input_523010!L:R,7,FALSE),VLOOKUP(tables_523010!C315,input_523010!A:H,8,FALSE))</f>
        <v>95000</v>
      </c>
      <c r="P315" s="46">
        <f t="shared" ca="1" si="13"/>
        <v>7.2463768115919869E-4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input_523010!A$2</f>
        <v>523010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IFERROR(VLOOKUP(B316,input_523010!L:R,7,FALSE),VLOOKUP(tables_523010!C316,input_523010!A:H,8,FALSE))</f>
        <v>95000</v>
      </c>
      <c r="P316" s="46">
        <f t="shared" ca="1" si="13"/>
        <v>7.2463768115919869E-4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input_523010!A$2</f>
        <v>523010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IFERROR(VLOOKUP(B317,input_523010!L:R,7,FALSE),VLOOKUP(tables_523010!C317,input_523010!A:H,8,FALSE))</f>
        <v>95000</v>
      </c>
      <c r="P317" s="46">
        <f t="shared" ca="1" si="13"/>
        <v>7.2463768115919869E-4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input_523010!A$2</f>
        <v>523010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IFERROR(VLOOKUP(B318,input_523010!L:R,7,FALSE),VLOOKUP(tables_523010!C318,input_523010!A:H,8,FALSE))</f>
        <v>963040.26315999997</v>
      </c>
      <c r="P318" s="46">
        <f t="shared" ca="1" si="13"/>
        <v>7.3458448753600716E-3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input_523010!A$2</f>
        <v>523010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IFERROR(VLOOKUP(B319,input_523010!L:R,7,FALSE),VLOOKUP(tables_523010!C319,input_523010!A:H,8,FALSE))</f>
        <v>51543</v>
      </c>
      <c r="P319" s="46">
        <f t="shared" ca="1" si="13"/>
        <v>3.9315789473672188E-4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input_523010!A$2</f>
        <v>523010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IFERROR(VLOOKUP(B320,input_523010!L:R,7,FALSE),VLOOKUP(tables_523010!C320,input_523010!A:H,8,FALSE))</f>
        <v>95000</v>
      </c>
      <c r="P320" s="46">
        <f t="shared" ca="1" si="13"/>
        <v>7.2463768115919869E-4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input_523010!A$2</f>
        <v>523010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IFERROR(VLOOKUP(B321,input_523010!L:R,7,FALSE),VLOOKUP(tables_523010!C321,input_523010!A:H,8,FALSE))</f>
        <v>95000</v>
      </c>
      <c r="P321" s="46">
        <f t="shared" ca="1" si="13"/>
        <v>7.2463768115919869E-4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input_523010!A$2</f>
        <v>523010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IFERROR(VLOOKUP(B322,input_523010!L:R,7,FALSE),VLOOKUP(tables_523010!C322,input_523010!A:H,8,FALSE))</f>
        <v>95000</v>
      </c>
      <c r="P322" s="46">
        <f t="shared" ref="P322:P353" ca="1" si="23">O322/SUM(O:O)</f>
        <v>7.2463768115919869E-4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input_523010!A$2</f>
        <v>523010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IFERROR(VLOOKUP(B323,input_523010!L:R,7,FALSE),VLOOKUP(tables_523010!C323,input_523010!A:H,8,FALSE))</f>
        <v>95000</v>
      </c>
      <c r="P323" s="46">
        <f t="shared" ca="1" si="23"/>
        <v>7.2463768115919869E-4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input_523010!A$2</f>
        <v>523010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IFERROR(VLOOKUP(B324,input_523010!L:R,7,FALSE),VLOOKUP(tables_523010!C324,input_523010!A:H,8,FALSE))</f>
        <v>963040.26315999997</v>
      </c>
      <c r="P324" s="46">
        <f t="shared" ca="1" si="23"/>
        <v>7.3458448753600716E-3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input_523010!A$2</f>
        <v>523010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IFERROR(VLOOKUP(B325,input_523010!L:R,7,FALSE),VLOOKUP(tables_523010!C325,input_523010!A:H,8,FALSE))</f>
        <v>51543</v>
      </c>
      <c r="P325" s="46">
        <f t="shared" ca="1" si="23"/>
        <v>3.9315789473672188E-4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input_523010!A$2</f>
        <v>523010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IFERROR(VLOOKUP(B326,input_523010!L:R,7,FALSE),VLOOKUP(tables_523010!C326,input_523010!A:H,8,FALSE))</f>
        <v>963040.26315999997</v>
      </c>
      <c r="P326" s="46">
        <f t="shared" ca="1" si="23"/>
        <v>7.3458448753600716E-3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input_523010!A$2</f>
        <v>523010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IFERROR(VLOOKUP(B327,input_523010!L:R,7,FALSE),VLOOKUP(tables_523010!C327,input_523010!A:H,8,FALSE))</f>
        <v>51543</v>
      </c>
      <c r="P327" s="46">
        <f t="shared" ca="1" si="23"/>
        <v>3.9315789473672188E-4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input_523010!A$2</f>
        <v>523010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IFERROR(VLOOKUP(B328,input_523010!L:R,7,FALSE),VLOOKUP(tables_523010!C328,input_523010!A:H,8,FALSE))</f>
        <v>95000</v>
      </c>
      <c r="P328" s="46">
        <f t="shared" ca="1" si="23"/>
        <v>7.2463768115919869E-4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input_523010!A$2</f>
        <v>523010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IFERROR(VLOOKUP(B329,input_523010!L:R,7,FALSE),VLOOKUP(tables_523010!C329,input_523010!A:H,8,FALSE))</f>
        <v>95000</v>
      </c>
      <c r="P329" s="46">
        <f t="shared" ca="1" si="23"/>
        <v>7.2463768115919869E-4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input_523010!A$2</f>
        <v>523010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IFERROR(VLOOKUP(B330,input_523010!L:R,7,FALSE),VLOOKUP(tables_523010!C330,input_523010!A:H,8,FALSE))</f>
        <v>95000</v>
      </c>
      <c r="P330" s="46">
        <f t="shared" ca="1" si="23"/>
        <v>7.2463768115919869E-4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input_523010!A$2</f>
        <v>523010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IFERROR(VLOOKUP(B331,input_523010!L:R,7,FALSE),VLOOKUP(tables_523010!C331,input_523010!A:H,8,FALSE))</f>
        <v>95000</v>
      </c>
      <c r="P331" s="46">
        <f t="shared" ca="1" si="23"/>
        <v>7.2463768115919869E-4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input_523010!A$2</f>
        <v>523010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IFERROR(VLOOKUP(B332,input_523010!L:R,7,FALSE),VLOOKUP(tables_523010!C332,input_523010!A:H,8,FALSE))</f>
        <v>95000</v>
      </c>
      <c r="P332" s="46">
        <f t="shared" ca="1" si="23"/>
        <v>7.2463768115919869E-4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input_523010!A$2</f>
        <v>523010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IFERROR(VLOOKUP(B333,input_523010!L:R,7,FALSE),VLOOKUP(tables_523010!C333,input_523010!A:H,8,FALSE))</f>
        <v>95000</v>
      </c>
      <c r="P333" s="46">
        <f t="shared" ca="1" si="23"/>
        <v>7.2463768115919869E-4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input_523010!A$2</f>
        <v>523010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IFERROR(VLOOKUP(B334,input_523010!L:R,7,FALSE),VLOOKUP(tables_523010!C334,input_523010!A:H,8,FALSE))</f>
        <v>963040.26315999997</v>
      </c>
      <c r="P334" s="46">
        <f t="shared" ca="1" si="23"/>
        <v>7.3458448753600716E-3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input_523010!A$2</f>
        <v>523010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IFERROR(VLOOKUP(B335,input_523010!L:R,7,FALSE),VLOOKUP(tables_523010!C335,input_523010!A:H,8,FALSE))</f>
        <v>51543</v>
      </c>
      <c r="P335" s="46">
        <f t="shared" ca="1" si="23"/>
        <v>3.9315789473672188E-4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input_523010!A$2</f>
        <v>523010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IFERROR(VLOOKUP(B336,input_523010!L:R,7,FALSE),VLOOKUP(tables_523010!C336,input_523010!A:H,8,FALSE))</f>
        <v>963040.26315999997</v>
      </c>
      <c r="P336" s="46">
        <f t="shared" ca="1" si="23"/>
        <v>7.3458448753600716E-3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input_523010!A$2</f>
        <v>523010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IFERROR(VLOOKUP(B337,input_523010!L:R,7,FALSE),VLOOKUP(tables_523010!C337,input_523010!A:H,8,FALSE))</f>
        <v>51543</v>
      </c>
      <c r="P337" s="46">
        <f t="shared" ca="1" si="23"/>
        <v>3.9315789473672188E-4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input_523010!A$2</f>
        <v>523010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IFERROR(VLOOKUP(B338,input_523010!L:R,7,FALSE),VLOOKUP(tables_523010!C338,input_523010!A:H,8,FALSE))</f>
        <v>95000</v>
      </c>
      <c r="P338" s="46">
        <f t="shared" ca="1" si="23"/>
        <v>7.2463768115919869E-4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input_523010!A$2</f>
        <v>523010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IFERROR(VLOOKUP(B339,input_523010!L:R,7,FALSE),VLOOKUP(tables_523010!C339,input_523010!A:H,8,FALSE))</f>
        <v>95000</v>
      </c>
      <c r="P339" s="46">
        <f t="shared" ca="1" si="23"/>
        <v>7.2463768115919869E-4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input_523010!A$2</f>
        <v>523010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IFERROR(VLOOKUP(B340,input_523010!L:R,7,FALSE),VLOOKUP(tables_523010!C340,input_523010!A:H,8,FALSE))</f>
        <v>95000</v>
      </c>
      <c r="P340" s="46">
        <f t="shared" ca="1" si="23"/>
        <v>7.2463768115919869E-4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input_523010!A$2</f>
        <v>523010</v>
      </c>
      <c r="B341" s="97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IFERROR(VLOOKUP(B341,input_523010!L:R,7,FALSE),VLOOKUP(tables_523010!C341,input_523010!A:H,8,FALSE))</f>
        <v>95000</v>
      </c>
      <c r="P341" s="46">
        <f t="shared" ca="1" si="23"/>
        <v>7.2463768115919869E-4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input_523010!A$2</f>
        <v>523010</v>
      </c>
      <c r="B342" s="97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IFERROR(VLOOKUP(B342,input_523010!L:R,7,FALSE),VLOOKUP(tables_523010!C342,input_523010!A:H,8,FALSE))</f>
        <v>95000</v>
      </c>
      <c r="P342" s="46">
        <f t="shared" ca="1" si="23"/>
        <v>7.2463768115919869E-4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input_523010!A$2</f>
        <v>523010</v>
      </c>
      <c r="B343" s="97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IFERROR(VLOOKUP(B343,input_523010!L:R,7,FALSE),VLOOKUP(tables_523010!C343,input_523010!A:H,8,FALSE))</f>
        <v>963040.26315999997</v>
      </c>
      <c r="P343" s="46">
        <f t="shared" ca="1" si="23"/>
        <v>7.3458448753600716E-3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input_523010!A$2</f>
        <v>523010</v>
      </c>
      <c r="B344" s="97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IFERROR(VLOOKUP(B344,input_523010!L:R,7,FALSE),VLOOKUP(tables_523010!C344,input_523010!A:H,8,FALSE))</f>
        <v>51543</v>
      </c>
      <c r="P344" s="46">
        <f t="shared" ca="1" si="23"/>
        <v>3.9315789473672188E-4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input_523010!A$2</f>
        <v>523010</v>
      </c>
      <c r="B345" s="97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IFERROR(VLOOKUP(B345,input_523010!L:R,7,FALSE),VLOOKUP(tables_523010!C345,input_523010!A:H,8,FALSE))</f>
        <v>95000</v>
      </c>
      <c r="P345" s="46">
        <f t="shared" ca="1" si="23"/>
        <v>7.2463768115919869E-4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input_523010!A$2</f>
        <v>523010</v>
      </c>
      <c r="B346" s="97">
        <v>1260</v>
      </c>
      <c r="C346" s="7" t="str">
        <f t="shared" ref="C346:C350" si="34">D346&amp;J346&amp;E346&amp;F346&amp;G346</f>
        <v>PremiumSS5R5only</v>
      </c>
      <c r="D346" s="95" t="str">
        <f t="shared" ref="D346:D350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IFERROR(VLOOKUP(B346,input_523010!L:R,7,FALSE),VLOOKUP(tables_523010!C346,input_523010!A:H,8,FALSE))</f>
        <v>95000</v>
      </c>
      <c r="P346" s="46">
        <f t="shared" ca="1" si="23"/>
        <v>7.2463768115919869E-4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input_523010!A$2</f>
        <v>523010</v>
      </c>
      <c r="B347" s="97">
        <v>1262</v>
      </c>
      <c r="C347" s="7" t="str">
        <f t="shared" si="34"/>
        <v>PremiumSS5R5only</v>
      </c>
      <c r="D347" s="95" t="str">
        <f t="shared" si="3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IFERROR(VLOOKUP(B347,input_523010!L:R,7,FALSE),VLOOKUP(tables_523010!C347,input_523010!A:H,8,FALSE))</f>
        <v>95000</v>
      </c>
      <c r="P347" s="46">
        <f t="shared" ca="1" si="23"/>
        <v>7.2463768115919869E-4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input_523010!A$2</f>
        <v>523010</v>
      </c>
      <c r="B348" s="97">
        <v>1264</v>
      </c>
      <c r="C348" s="7" t="str">
        <f t="shared" si="34"/>
        <v>PremiumSS5R5only</v>
      </c>
      <c r="D348" s="95" t="str">
        <f t="shared" si="3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IFERROR(VLOOKUP(B348,input_523010!L:R,7,FALSE),VLOOKUP(tables_523010!C348,input_523010!A:H,8,FALSE))</f>
        <v>95000</v>
      </c>
      <c r="P348" s="46">
        <f t="shared" ca="1" si="23"/>
        <v>7.2463768115919869E-4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input_523010!A$2</f>
        <v>523010</v>
      </c>
      <c r="B349" s="97">
        <v>1266</v>
      </c>
      <c r="C349" s="7" t="str">
        <f t="shared" si="34"/>
        <v>Premium4R3less</v>
      </c>
      <c r="D349" s="95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IFERROR(VLOOKUP(B349,input_523010!L:R,7,FALSE),VLOOKUP(tables_523010!C349,input_523010!A:H,8,FALSE))</f>
        <v>963040.26315999997</v>
      </c>
      <c r="P349" s="46">
        <f t="shared" ca="1" si="23"/>
        <v>7.3458448753600716E-3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input_523010!A$2</f>
        <v>523010</v>
      </c>
      <c r="B350" s="97">
        <v>1267</v>
      </c>
      <c r="C350" s="7" t="str">
        <f t="shared" si="34"/>
        <v>Premium5R3less</v>
      </c>
      <c r="D350" s="95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IFERROR(VLOOKUP(B350,input_523010!L:R,7,FALSE),VLOOKUP(tables_523010!C350,input_523010!A:H,8,FALSE))</f>
        <v>51543</v>
      </c>
      <c r="P350" s="46">
        <f t="shared" ca="1" si="23"/>
        <v>3.9315789473672188E-4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input_523010!A$2</f>
        <v>523010</v>
      </c>
      <c r="B351" s="97">
        <v>1354</v>
      </c>
      <c r="C351" s="7" t="str">
        <f t="shared" ref="C351" si="36">D351&amp;J351&amp;E351&amp;F351&amp;G351</f>
        <v>PremiumSS6R5only</v>
      </c>
      <c r="D351" s="95" t="str">
        <f t="shared" ref="D351" si="37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放課後の恋妃神 フレイヤ</v>
      </c>
      <c r="I351" s="7" t="str">
        <f>VLOOKUP(B351,[1]characters!$A:$J,10,FALSE)</f>
        <v>PremiumSS</v>
      </c>
      <c r="J351" s="7">
        <f>VLOOKUP(B351,[1]characters!$A:$I,9,FALSE)</f>
        <v>6</v>
      </c>
      <c r="K351" s="7" t="str">
        <f>VLOOKUP(B351,[1]characters!$A:$H,8,FALSE)</f>
        <v>green</v>
      </c>
      <c r="L351" s="7" t="str">
        <f>VLOOKUP(B351,[1]characters!$A:$K,11,FALSE)</f>
        <v>heal</v>
      </c>
      <c r="M351" s="7" t="str">
        <f>VLOOKUP(B351,[1]characters!$A:$M,13,FALSE)</f>
        <v>animal</v>
      </c>
      <c r="N351" s="7">
        <f>VLOOKUP(B351,[1]characters!$A:$G,7,FALSE)</f>
        <v>0</v>
      </c>
      <c r="O351" s="45">
        <f>IFERROR(VLOOKUP(B351,input_523010!L:R,7,FALSE),VLOOKUP(tables_523010!C351,input_523010!A:H,8,FALSE))</f>
        <v>2622000</v>
      </c>
      <c r="P351" s="46">
        <f t="shared" ca="1" si="23"/>
        <v>1.9999999999993884E-2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99">
        <v>5</v>
      </c>
    </row>
    <row r="352" spans="1:22" ht="21" customHeight="1" x14ac:dyDescent="0.15">
      <c r="A352" s="2" t="str">
        <f ca="1">input_523010!A$2</f>
        <v>523010</v>
      </c>
      <c r="B352" s="97">
        <v>1359</v>
      </c>
      <c r="C352" s="7" t="str">
        <f t="shared" ref="C352" si="38">D352&amp;J352&amp;E352&amp;F352&amp;G352</f>
        <v>PremiumSS5R5only</v>
      </c>
      <c r="D352" s="95" t="str">
        <f t="shared" ref="D352" si="39">IF(OR(I352="PremiumSS",I352="PremiumSSw"),"PremiumSS",IF(I352="PremiumSSS",I352,IF(I352="PremiumW",IF(J352=5,"premium",I352),"Premium")))</f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コルネ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red</v>
      </c>
      <c r="L352" s="7" t="str">
        <f>VLOOKUP(B352,[1]characters!$A:$K,11,FALSE)</f>
        <v>balance</v>
      </c>
      <c r="M352" s="7" t="str">
        <f>VLOOKUP(B352,[1]characters!$A:$M,13,FALSE)</f>
        <v>human</v>
      </c>
      <c r="N352" s="7">
        <f>VLOOKUP(B352,[1]characters!$A:$G,7,FALSE)</f>
        <v>0</v>
      </c>
      <c r="O352" s="45">
        <f>IFERROR(VLOOKUP(B352,input_523010!L:R,7,FALSE),VLOOKUP(tables_523010!C352,input_523010!A:H,8,FALSE))</f>
        <v>2622000</v>
      </c>
      <c r="P352" s="46">
        <f t="shared" ca="1" si="23"/>
        <v>1.9999999999993884E-2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99">
        <v>5</v>
      </c>
    </row>
    <row r="353" spans="1:22" ht="21" customHeight="1" x14ac:dyDescent="0.15">
      <c r="A353" s="2" t="str">
        <f ca="1">input_523010!A$2</f>
        <v>523010</v>
      </c>
      <c r="B353" s="97">
        <v>1356</v>
      </c>
      <c r="C353" s="7" t="str">
        <f t="shared" ref="C353" si="40">D353&amp;J353&amp;E353&amp;F353&amp;G353</f>
        <v>Premium5R3less</v>
      </c>
      <c r="D353" s="95" t="str">
        <f t="shared" ref="D353" si="41">IF(OR(I353="PremiumSS",I353="PremiumSSw"),"PremiumSS",IF(I353="PremiumSSS",I353,IF(I353="PremiumW",IF(J353=5,"premium",I353),"Premium")))</f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恋狐の甘味振舞 タマモ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red</v>
      </c>
      <c r="L353" s="7" t="str">
        <f>VLOOKUP(B353,[1]characters!$A:$K,11,FALSE)</f>
        <v>balance</v>
      </c>
      <c r="M353" s="7" t="str">
        <f>VLOOKUP(B353,[1]characters!$A:$M,13,FALSE)</f>
        <v>animal</v>
      </c>
      <c r="N353" s="7">
        <f>VLOOKUP(B353,[1]characters!$A:$G,7,FALSE)</f>
        <v>0</v>
      </c>
      <c r="O353" s="45">
        <f>IFERROR(VLOOKUP(B353,input_523010!L:R,7,FALSE),VLOOKUP(tables_523010!C353,input_523010!A:H,8,FALSE))</f>
        <v>6555000</v>
      </c>
      <c r="P353" s="46">
        <f t="shared" ca="1" si="23"/>
        <v>4.9999999999984709E-2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99">
        <v>5</v>
      </c>
    </row>
    <row r="354" spans="1:22" ht="21" customHeight="1" x14ac:dyDescent="0.15">
      <c r="A354" s="2" t="str">
        <f ca="1">input_523010!A$2</f>
        <v>523010</v>
      </c>
      <c r="B354" s="97">
        <v>1357</v>
      </c>
      <c r="C354" s="7" t="str">
        <f t="shared" ref="C354:C355" si="42">D354&amp;J354&amp;E354&amp;F354&amp;G354</f>
        <v>Premium5R3less</v>
      </c>
      <c r="D354" s="95" t="str">
        <f t="shared" ref="D354:D355" si="43">IF(OR(I354="PremiumSS",I354="PremiumSSw"),"PremiumSS",IF(I354="PremiumSSS",I354,IF(I354="PremiumW",IF(J354=5,"premium",I354),"Premium")))</f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甘美なる想導司書 アズラエル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balance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>IFERROR(VLOOKUP(B354,input_523010!L:R,7,FALSE),VLOOKUP(tables_523010!C354,input_523010!A:H,8,FALSE))</f>
        <v>6555000</v>
      </c>
      <c r="P354" s="46">
        <f t="shared" ref="P354:P356" ca="1" si="44">O354/SUM(O:O)</f>
        <v>4.9999999999984709E-2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99">
        <v>5</v>
      </c>
    </row>
    <row r="355" spans="1:22" ht="21" customHeight="1" x14ac:dyDescent="0.15">
      <c r="A355" s="2" t="str">
        <f ca="1">input_523010!A$2</f>
        <v>523010</v>
      </c>
      <c r="B355" s="97">
        <v>1358</v>
      </c>
      <c r="C355" s="7" t="str">
        <f t="shared" si="42"/>
        <v>Premium5R3less</v>
      </c>
      <c r="D355" s="95" t="str">
        <f t="shared" si="4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暴走する恋激火 バハムート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heal</v>
      </c>
      <c r="M355" s="7" t="str">
        <f>VLOOKUP(B355,[1]characters!$A:$M,13,FALSE)</f>
        <v>dragon</v>
      </c>
      <c r="N355" s="7">
        <f>VLOOKUP(B355,[1]characters!$A:$G,7,FALSE)</f>
        <v>0</v>
      </c>
      <c r="O355" s="45">
        <f>IFERROR(VLOOKUP(B355,input_523010!L:R,7,FALSE),VLOOKUP(tables_523010!C355,input_523010!A:H,8,FALSE))</f>
        <v>6555000</v>
      </c>
      <c r="P355" s="46">
        <f t="shared" ca="1" si="44"/>
        <v>4.9999999999984709E-2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99">
        <v>5</v>
      </c>
    </row>
    <row r="356" spans="1:22" ht="21" customHeight="1" x14ac:dyDescent="0.15">
      <c r="A356" s="2" t="str">
        <f ca="1">input_523010!A$2</f>
        <v>523010</v>
      </c>
      <c r="B356" s="97">
        <v>1362</v>
      </c>
      <c r="C356" s="7" t="str">
        <f t="shared" ref="C356" si="45">D356&amp;J356&amp;E356&amp;F356&amp;G356</f>
        <v>PremiumSS6R5only</v>
      </c>
      <c r="D356" s="95" t="str">
        <f t="shared" ref="D356" si="46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刺撃する尖甘槍 フォンデュ</v>
      </c>
      <c r="I356" s="7" t="str">
        <f>VLOOKUP(B356,[1]characters!$A:$J,10,FALSE)</f>
        <v>PremiumSSw</v>
      </c>
      <c r="J356" s="7">
        <f>VLOOKUP(B356,[1]characters!$A:$I,9,FALSE)</f>
        <v>6</v>
      </c>
      <c r="K356" s="7" t="str">
        <f>VLOOKUP(B356,[1]characters!$A:$H,8,FALSE)</f>
        <v>red</v>
      </c>
      <c r="L356" s="7" t="str">
        <f>VLOOKUP(B356,[1]characters!$A:$K,11,FALSE)</f>
        <v>heal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>IFERROR(VLOOKUP(B356,input_523010!L:R,7,FALSE),VLOOKUP(tables_523010!C356,input_523010!A:H,8,FALSE))</f>
        <v>1704300</v>
      </c>
      <c r="P356" s="46">
        <f t="shared" ca="1" si="44"/>
        <v>1.2999999999996023E-2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9">
        <v>5</v>
      </c>
    </row>
  </sheetData>
  <autoFilter ref="A1:V35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A2" sqref="A2"/>
    </sheetView>
  </sheetViews>
  <sheetFormatPr baseColWidth="12" defaultRowHeight="14" x14ac:dyDescent="0.15"/>
  <cols>
    <col min="1" max="2" width="24.19921875" bestFit="1" customWidth="1"/>
    <col min="13" max="13" width="20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7">
        <v>1354</v>
      </c>
      <c r="M3" s="37" t="str">
        <f>VLOOKUP(L3,[1]characters!$A:$C,3,FALSE)</f>
        <v>放課後の恋妃神 フレイヤ</v>
      </c>
      <c r="N3" s="63">
        <v>0.02</v>
      </c>
      <c r="O3" s="37">
        <f>VLOOKUP(L3,[1]characters!$A:$I,9,FALSE)</f>
        <v>6</v>
      </c>
      <c r="P3" s="37" t="str">
        <f>VLOOKUP(L3,[1]characters!$A:$J,10,FALSE)</f>
        <v>PremiumSS</v>
      </c>
      <c r="Q3" s="37" t="str">
        <f>VLOOKUP(L3,tables_523100!B:C,2,FALSE)</f>
        <v>PremiumSS6R5only</v>
      </c>
      <c r="R3" s="62">
        <f t="shared" ref="R3:R17" si="1">N3*A$37</f>
        <v>2622000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7">
        <v>1359</v>
      </c>
      <c r="M4" s="37" t="str">
        <f>VLOOKUP(L4,[1]characters!$A:$C,3,FALSE)</f>
        <v>コルネ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VLOOKUP(L4,tables_523100!B:C,2,FALSE)</f>
        <v>PremiumSS5R5only</v>
      </c>
      <c r="R4" s="62">
        <f t="shared" si="1"/>
        <v>2622000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7.2463768115942019E-4</v>
      </c>
      <c r="F5">
        <f>COUNTIF(tables_523100!C:C,input_523100!A28)+COUNTIF(tables_523100!C:C,input_523100!A29)+COUNTIF(input_523100!Q:Q,input_523100!A30)-COUNTIF(input_523100!Q:Q,input_523100!A28)</f>
        <v>72</v>
      </c>
      <c r="H5" s="84">
        <v>5.2999999999999999E-2</v>
      </c>
      <c r="I5" s="31">
        <v>3</v>
      </c>
      <c r="L5" s="97">
        <v>1356</v>
      </c>
      <c r="M5" s="37" t="str">
        <f>VLOOKUP(L5,[1]characters!$A:$C,3,FALSE)</f>
        <v>恋狐の甘味振舞 タマモ</v>
      </c>
      <c r="N5" s="63">
        <v>0.05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VLOOKUP(L5,tables_523100!B:C,2,FALSE)</f>
        <v>Premium5R3less</v>
      </c>
      <c r="R5" s="62">
        <f t="shared" si="1"/>
        <v>6555000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7.8631578947368427E-3</v>
      </c>
      <c r="F6">
        <f>COUNTIF(tables_523100!C:C,input_523100!A25)+COUNTIF(tables_523100!C:C,input_523100!A18)+COUNTIF(tables_523100!C:C,input_523100!A20)+COUNTIF(tables_523100!C:C,input_523100!A22)+COUNTIF(Q:Q,A23)</f>
        <v>98</v>
      </c>
      <c r="H6" s="84">
        <v>0.15</v>
      </c>
      <c r="I6" s="31">
        <v>3</v>
      </c>
      <c r="L6" s="97">
        <v>1357</v>
      </c>
      <c r="M6" s="37" t="str">
        <f>VLOOKUP(L6,[1]characters!$A:$C,3,FALSE)</f>
        <v>甘美なる想導司書 アズラエル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VLOOKUP(L6,tables_523100!B:C,2,FALSE)</f>
        <v>Premium5R3less</v>
      </c>
      <c r="R6" s="62">
        <f t="shared" si="1"/>
        <v>6555000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97">
        <v>1358</v>
      </c>
      <c r="M7" s="37" t="str">
        <f>VLOOKUP(L7,[1]characters!$A:$C,3,FALSE)</f>
        <v>暴走する恋激火 バハムート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VLOOKUP(L7,tables_523100!B:C,2,FALSE)</f>
        <v>Premium5R3less</v>
      </c>
      <c r="R7" s="62">
        <f t="shared" si="1"/>
        <v>6555000</v>
      </c>
      <c r="S7">
        <v>598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7">
        <v>1362</v>
      </c>
      <c r="M8" s="37" t="str">
        <f>VLOOKUP(L8,[1]characters!$A:$C,3,FALSE)</f>
        <v>刺撃する尖甘槍 フォンデュ</v>
      </c>
      <c r="N8" s="63">
        <v>1.2999999999999999E-2</v>
      </c>
      <c r="O8" s="37">
        <f>VLOOKUP(L8,[1]characters!$A:$I,9,FALSE)</f>
        <v>6</v>
      </c>
      <c r="P8" s="37" t="str">
        <f>VLOOKUP(L8,[1]characters!$A:$J,10,FALSE)</f>
        <v>PremiumSSw</v>
      </c>
      <c r="Q8" s="37" t="str">
        <f>VLOOKUP(L8,tables_523100!B:C,2,FALSE)</f>
        <v>PremiumSS6R5only</v>
      </c>
      <c r="R8" s="62">
        <f t="shared" si="1"/>
        <v>1704300</v>
      </c>
      <c r="S8">
        <v>391</v>
      </c>
      <c r="U8" s="33" t="s">
        <v>197</v>
      </c>
      <c r="V8" s="54">
        <f t="shared" si="0"/>
        <v>0.15000000000000002</v>
      </c>
    </row>
    <row r="9" spans="1:22" x14ac:dyDescent="0.15">
      <c r="A9" s="35" t="s">
        <v>54</v>
      </c>
      <c r="B9" s="35"/>
      <c r="L9" s="1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VLOOKUP(L9,tables_523100!B:C,2,FALSE)</f>
        <v>#N/A</v>
      </c>
      <c r="R9" s="62">
        <f t="shared" si="1"/>
        <v>0</v>
      </c>
      <c r="S9">
        <v>496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0.89700000000000002</v>
      </c>
      <c r="C10" t="s">
        <v>208</v>
      </c>
      <c r="L10" s="1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VLOOKUP(L10,tables_523100!B:C,2,FALSE)</f>
        <v>#N/A</v>
      </c>
      <c r="R10" s="62">
        <f t="shared" si="1"/>
        <v>0</v>
      </c>
      <c r="S10">
        <v>497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0.10299999999999999</v>
      </c>
      <c r="C11" t="s">
        <v>242</v>
      </c>
      <c r="L11" s="1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VLOOKUP(L11,tables_523100!B:C,2,FALSE)</f>
        <v>#N/A</v>
      </c>
      <c r="R11" s="62">
        <f t="shared" si="1"/>
        <v>0</v>
      </c>
      <c r="S11">
        <v>498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98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VLOOKUP(L12,tables_523100!B:C,2,FALSE)</f>
        <v>#N/A</v>
      </c>
      <c r="R12" s="62">
        <f t="shared" si="1"/>
        <v>0</v>
      </c>
      <c r="S12">
        <v>395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VLOOKUP(L13,tables_523100!B:C,2,FALSE)</f>
        <v>#N/A</v>
      </c>
      <c r="R13" s="62">
        <f t="shared" si="1"/>
        <v>0</v>
      </c>
      <c r="S13">
        <v>396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VLOOKUP(L14,tables_523100!B:C,2,FALSE)</f>
        <v>#N/A</v>
      </c>
      <c r="R14" s="62">
        <f t="shared" si="1"/>
        <v>0</v>
      </c>
      <c r="S14">
        <v>397</v>
      </c>
      <c r="U14" s="33" t="s">
        <v>199</v>
      </c>
      <c r="V14" s="54">
        <f t="shared" si="0"/>
        <v>0.02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VLOOKUP(L15,tables_523100!B:C,2,FALSE)</f>
        <v>#N/A</v>
      </c>
      <c r="R15" s="62">
        <f t="shared" si="1"/>
        <v>0</v>
      </c>
      <c r="S15">
        <v>324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VLOOKUP(L16,tables_523100!B:C,2,FALSE)</f>
        <v>#N/A</v>
      </c>
      <c r="R16" s="62">
        <f t="shared" si="1"/>
        <v>0</v>
      </c>
      <c r="S16">
        <v>325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2" si="2">SUMIF(Q:Q,A17,N:N)</f>
        <v>0</v>
      </c>
      <c r="D17" s="74">
        <f t="shared" ref="D17:D33" si="3">B17-C17</f>
        <v>0</v>
      </c>
      <c r="E17">
        <f>COUNTIF(tables_523100!C:C,input_523100!A17)-COUNTIF(Q:Q,A17)</f>
        <v>20</v>
      </c>
      <c r="F17" s="43">
        <f>IFERROR(B17/E17,0)</f>
        <v>0</v>
      </c>
      <c r="G17">
        <f t="shared" ref="G17:G32" si="4">A$37*B17</f>
        <v>0</v>
      </c>
      <c r="H17">
        <f t="shared" ref="H17:H32" si="5">IFERROR(ROUND(G17/E17,5),0)</f>
        <v>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VLOOKUP(L17,tables_523100!B:C,2,FALSE)</f>
        <v>#N/A</v>
      </c>
      <c r="R17" s="62">
        <f t="shared" si="1"/>
        <v>0</v>
      </c>
      <c r="S17">
        <v>809</v>
      </c>
    </row>
    <row r="18" spans="1:19" x14ac:dyDescent="0.15">
      <c r="A18" s="33" t="s">
        <v>191</v>
      </c>
      <c r="B18" s="56">
        <f>E$6*E18-B17</f>
        <v>0.15726315789473685</v>
      </c>
      <c r="C18" s="85">
        <f t="shared" si="2"/>
        <v>0</v>
      </c>
      <c r="D18" s="74">
        <f t="shared" si="3"/>
        <v>0.15726315789473685</v>
      </c>
      <c r="E18">
        <f>COUNTIF(tables_523100!C:C,input_523100!A18)-COUNTIF(Q:Q,A18)</f>
        <v>20</v>
      </c>
      <c r="F18" s="43">
        <f>IFERROR(B18/E18,0)</f>
        <v>7.8631578947368427E-3</v>
      </c>
      <c r="G18">
        <f t="shared" si="4"/>
        <v>20617200</v>
      </c>
      <c r="H18">
        <f t="shared" si="5"/>
        <v>1030860</v>
      </c>
      <c r="I18">
        <f t="shared" si="6"/>
        <v>0</v>
      </c>
      <c r="J18">
        <f t="shared" si="7"/>
        <v>1</v>
      </c>
      <c r="L18" s="57"/>
      <c r="M18" s="57"/>
      <c r="N18" s="58"/>
      <c r="O18" s="57"/>
      <c r="P18" s="57"/>
      <c r="Q18" s="57"/>
      <c r="R18" s="59"/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COUNTIF(tables_523100!C:C,input_523100!A19)-COUNTIF(Q:Q,A19)</f>
        <v>52</v>
      </c>
      <c r="F19" s="43">
        <f t="shared" ref="F19:F32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L19" s="57"/>
      <c r="M19" s="57"/>
      <c r="N19" s="58"/>
      <c r="O19" s="57"/>
      <c r="P19" s="57"/>
      <c r="Q19" s="57"/>
      <c r="R19" s="59"/>
    </row>
    <row r="20" spans="1:19" x14ac:dyDescent="0.15">
      <c r="A20" s="33" t="s">
        <v>98</v>
      </c>
      <c r="B20" s="92">
        <f>E20*E6-B21</f>
        <v>0.4010104271548437</v>
      </c>
      <c r="C20" s="85">
        <f t="shared" si="2"/>
        <v>0</v>
      </c>
      <c r="D20" s="74">
        <f t="shared" si="3"/>
        <v>0.4010104271548437</v>
      </c>
      <c r="E20">
        <f>COUNTIF(tables_523100!C:C,input_523100!A20)-COUNTIF(Q:Q,A20)</f>
        <v>52</v>
      </c>
      <c r="F20" s="43">
        <f t="shared" si="8"/>
        <v>7.7117389837469946E-3</v>
      </c>
      <c r="G20">
        <f t="shared" si="4"/>
        <v>52572467.000000007</v>
      </c>
      <c r="H20">
        <f t="shared" si="5"/>
        <v>1011008.98077</v>
      </c>
      <c r="I20">
        <f t="shared" si="6"/>
        <v>0.98077000002376735</v>
      </c>
      <c r="J20">
        <f t="shared" si="7"/>
        <v>1.0196070434207476</v>
      </c>
      <c r="L20" s="57"/>
      <c r="M20" s="57"/>
      <c r="N20" s="58"/>
      <c r="O20" s="57"/>
      <c r="P20" s="57"/>
      <c r="Q20" s="57"/>
      <c r="R20" s="59"/>
    </row>
    <row r="21" spans="1:19" x14ac:dyDescent="0.15">
      <c r="A21" s="33" t="s">
        <v>99</v>
      </c>
      <c r="B21" s="56">
        <f>B7-B23-B26-B28-B29</f>
        <v>7.8737833714721608E-3</v>
      </c>
      <c r="C21" s="85">
        <f t="shared" si="2"/>
        <v>0</v>
      </c>
      <c r="D21" s="74">
        <f t="shared" si="3"/>
        <v>7.8737833714721608E-3</v>
      </c>
      <c r="E21">
        <f>COUNTIF(tables_523100!C:C,input_523100!A21)-COUNTIF(Q:Q,A21)</f>
        <v>52</v>
      </c>
      <c r="F21" s="43">
        <f t="shared" si="8"/>
        <v>1.5141891098984924E-4</v>
      </c>
      <c r="G21">
        <f t="shared" si="4"/>
        <v>1032253.0000000002</v>
      </c>
      <c r="H21">
        <f t="shared" si="5"/>
        <v>19851.019230000002</v>
      </c>
      <c r="I21">
        <f t="shared" si="6"/>
        <v>1.92300000016985E-2</v>
      </c>
      <c r="J21">
        <f t="shared" si="7"/>
        <v>52.00208007861022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0.13957105263157896</v>
      </c>
      <c r="C22" s="85">
        <f t="shared" si="2"/>
        <v>0</v>
      </c>
      <c r="D22" s="74">
        <f t="shared" si="3"/>
        <v>0.13957105263157896</v>
      </c>
      <c r="E22">
        <f>COUNTIF(tables_523100!C:C,input_523100!A22)-COUNTIF(Q:Q,A22)</f>
        <v>19</v>
      </c>
      <c r="F22" s="43">
        <f t="shared" si="8"/>
        <v>7.3458448753462606E-3</v>
      </c>
      <c r="G22">
        <f t="shared" si="4"/>
        <v>18297765</v>
      </c>
      <c r="H22">
        <f t="shared" si="5"/>
        <v>963040.26315999997</v>
      </c>
      <c r="I22">
        <f t="shared" si="6"/>
        <v>0.26315999997314066</v>
      </c>
      <c r="J22">
        <f t="shared" si="7"/>
        <v>3.7999696006310408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9.8289473684210552E-3</v>
      </c>
      <c r="C23" s="85">
        <f t="shared" si="2"/>
        <v>0.15000000000000002</v>
      </c>
      <c r="D23" s="74">
        <f t="shared" si="3"/>
        <v>-0.14017105263157897</v>
      </c>
      <c r="E23">
        <f>COUNTIF(tables_523100!C:C,input_523100!A23)-COUNTIF(Q:Q,A23)</f>
        <v>25</v>
      </c>
      <c r="F23" s="43">
        <f t="shared" si="8"/>
        <v>3.9315789473684222E-4</v>
      </c>
      <c r="G23">
        <f t="shared" si="4"/>
        <v>1288575.0000000002</v>
      </c>
      <c r="H23">
        <f t="shared" si="5"/>
        <v>51543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COUNTIF(tables_523100!C:C,input_523100!A24)-COUNTIF(Q:Q,A24)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2.988E-2</v>
      </c>
      <c r="C25" s="85">
        <f t="shared" si="2"/>
        <v>0</v>
      </c>
      <c r="D25" s="74">
        <f t="shared" si="3"/>
        <v>2.988E-2</v>
      </c>
      <c r="E25">
        <f>COUNTIF(tables_523100!C:C,input_523100!A25)-COUNTIF(Q:Q,A25)</f>
        <v>4</v>
      </c>
      <c r="F25" s="43">
        <f t="shared" si="8"/>
        <v>7.4700000000000001E-3</v>
      </c>
      <c r="G25">
        <f t="shared" si="4"/>
        <v>3917268</v>
      </c>
      <c r="H25">
        <f t="shared" si="5"/>
        <v>979317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1.5726315789473687E-3</v>
      </c>
      <c r="C26" s="85">
        <f t="shared" si="2"/>
        <v>0</v>
      </c>
      <c r="D26" s="74">
        <f t="shared" si="3"/>
        <v>1.5726315789473687E-3</v>
      </c>
      <c r="E26">
        <f>COUNTIF(tables_523100!C:C,input_523100!A26)-COUNTIF(Q:Q,A26)</f>
        <v>4</v>
      </c>
      <c r="F26" s="43">
        <f t="shared" si="8"/>
        <v>3.9315789473684217E-4</v>
      </c>
      <c r="G26">
        <f t="shared" si="4"/>
        <v>206172.00000000003</v>
      </c>
      <c r="H26">
        <f t="shared" si="5"/>
        <v>51543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1.9275362318840576E-2</v>
      </c>
      <c r="C27" s="85">
        <f t="shared" si="2"/>
        <v>0</v>
      </c>
      <c r="D27" s="74">
        <f t="shared" si="3"/>
        <v>1.9275362318840576E-2</v>
      </c>
      <c r="E27">
        <f>COUNTIF(tables_523100!C:C,input_523100!A27)-COUNTIF(Q:Q,A27)</f>
        <v>28</v>
      </c>
      <c r="F27" s="43">
        <f>IFERROR(B27/E27,0)</f>
        <v>6.884057971014492E-4</v>
      </c>
      <c r="G27">
        <f t="shared" si="4"/>
        <v>2526999.9999999995</v>
      </c>
      <c r="H27">
        <f t="shared" si="5"/>
        <v>90250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1.0144927536231885E-3</v>
      </c>
      <c r="C28" s="85">
        <f t="shared" si="2"/>
        <v>0</v>
      </c>
      <c r="D28" s="74">
        <f t="shared" si="3"/>
        <v>1.0144927536231885E-3</v>
      </c>
      <c r="E28">
        <f>COUNTIF(tables_523100!C:C,input_523100!A28)-COUNTIF(Q:Q,A28)</f>
        <v>28</v>
      </c>
      <c r="F28" s="43">
        <f t="shared" si="8"/>
        <v>3.6231884057971014E-5</v>
      </c>
      <c r="G28">
        <f t="shared" si="4"/>
        <v>133000</v>
      </c>
      <c r="H28">
        <f t="shared" si="5"/>
        <v>4750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2.9710144927536229E-2</v>
      </c>
      <c r="C29" s="85">
        <f t="shared" si="2"/>
        <v>0.02</v>
      </c>
      <c r="D29" s="74">
        <f t="shared" si="3"/>
        <v>9.7101449275362288E-3</v>
      </c>
      <c r="E29">
        <f>COUNTIF(tables_523100!C:C,input_523100!A29)-COUNTIF(Q:Q,A29)</f>
        <v>41</v>
      </c>
      <c r="F29" s="43">
        <f t="shared" si="8"/>
        <v>7.2463768115942019E-4</v>
      </c>
      <c r="G29">
        <f t="shared" si="4"/>
        <v>3894999.9999999995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7"/>
      <c r="O29" s="57"/>
      <c r="P29" s="57"/>
      <c r="Q29" s="57"/>
      <c r="R29" s="59"/>
    </row>
    <row r="30" spans="1:19" x14ac:dyDescent="0.15">
      <c r="A30" s="33" t="s">
        <v>252</v>
      </c>
      <c r="B30" s="56">
        <f>E$5*E30</f>
        <v>0</v>
      </c>
      <c r="C30" s="85">
        <f t="shared" si="2"/>
        <v>3.3000000000000002E-2</v>
      </c>
      <c r="D30" s="74">
        <f t="shared" ref="D30" si="9">B30-C30</f>
        <v>-3.3000000000000002E-2</v>
      </c>
      <c r="E30">
        <f>COUNTIF(tables_523100!C:C,input_523100!A30)-COUNTIF(Q:Q,A30)</f>
        <v>0</v>
      </c>
      <c r="F30" s="43">
        <f t="shared" ref="F30" si="10">IFERROR(B30/E30,0)</f>
        <v>0</v>
      </c>
      <c r="G30">
        <f t="shared" ref="G30" si="11">A$37*B30</f>
        <v>0</v>
      </c>
      <c r="H30">
        <f t="shared" ref="H30" si="12">IFERROR(ROUND(G30/E30,5),0)</f>
        <v>0</v>
      </c>
      <c r="I30">
        <f t="shared" ref="I30" si="13">MOD(H30,1)</f>
        <v>0</v>
      </c>
      <c r="J30">
        <f t="shared" ref="J30" si="14">IFERROR(1/I30,1)</f>
        <v>1</v>
      </c>
      <c r="L30" s="102"/>
      <c r="M30" s="102"/>
      <c r="N30" s="102"/>
      <c r="O30" s="102"/>
      <c r="P30" s="102"/>
      <c r="Q30" s="102"/>
      <c r="R30" s="59"/>
    </row>
    <row r="31" spans="1:19" x14ac:dyDescent="0.15">
      <c r="A31" s="33" t="s">
        <v>239</v>
      </c>
      <c r="B31" s="56">
        <f>0</f>
        <v>0</v>
      </c>
      <c r="C31" s="85">
        <f t="shared" si="2"/>
        <v>0</v>
      </c>
      <c r="D31" s="74">
        <f t="shared" si="3"/>
        <v>0</v>
      </c>
      <c r="E31">
        <f>COUNTIF(tables_523100!C:C,input_523100!A31)-COUNTIF(Q:Q,A31)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</row>
    <row r="32" spans="1:19" x14ac:dyDescent="0.15">
      <c r="A32" s="33" t="s">
        <v>240</v>
      </c>
      <c r="B32" s="56">
        <v>0</v>
      </c>
      <c r="C32" s="85">
        <f t="shared" si="2"/>
        <v>0</v>
      </c>
      <c r="D32" s="74">
        <f t="shared" si="3"/>
        <v>0</v>
      </c>
      <c r="E32">
        <f>COUNTIF(tables_523100!C:C,input_523100!A32)-COUNTIF(Q:Q,A32)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</row>
    <row r="33" spans="1:7" x14ac:dyDescent="0.15">
      <c r="A33" s="39" t="s">
        <v>59</v>
      </c>
      <c r="B33" s="40">
        <f>SUM(B17:B32)</f>
        <v>0.79700000000000015</v>
      </c>
      <c r="C33" s="41">
        <f>SUM(C19:C32)</f>
        <v>0.20300000000000001</v>
      </c>
      <c r="D33" s="42">
        <f t="shared" si="3"/>
        <v>0.59400000000000008</v>
      </c>
    </row>
    <row r="35" spans="1:7" x14ac:dyDescent="0.15">
      <c r="E35" s="55"/>
      <c r="F35" s="55"/>
    </row>
    <row r="36" spans="1:7" x14ac:dyDescent="0.15">
      <c r="A36" t="s">
        <v>73</v>
      </c>
    </row>
    <row r="37" spans="1:7" x14ac:dyDescent="0.15">
      <c r="A37" s="31">
        <f>LCM(F5-I5,F6-I6)*1000*2*2*5</f>
        <v>131100000</v>
      </c>
    </row>
    <row r="39" spans="1:7" x14ac:dyDescent="0.15">
      <c r="A39" s="47" t="s">
        <v>76</v>
      </c>
    </row>
    <row r="40" spans="1:7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7" x14ac:dyDescent="0.15">
      <c r="A41" s="33" t="s">
        <v>103</v>
      </c>
      <c r="B41">
        <f ca="1">SUMIF(tables_523100!C:C,input_523100!A41,tables_523100!O:O)</f>
        <v>0</v>
      </c>
      <c r="C41" s="54">
        <f t="shared" ref="C41:C47" ca="1" si="15">B41/B$48</f>
        <v>0</v>
      </c>
      <c r="E41">
        <v>3</v>
      </c>
      <c r="F41">
        <f ca="1">SUMIF(tables_523100!J:J,input_523100!E41,tables_523100!O:O)</f>
        <v>0</v>
      </c>
      <c r="G41">
        <f ca="1">F41/A37</f>
        <v>0</v>
      </c>
    </row>
    <row r="42" spans="1:7" x14ac:dyDescent="0.15">
      <c r="A42" s="33" t="s">
        <v>104</v>
      </c>
      <c r="B42">
        <f ca="1">SUMIF(tables_523100!C:C,input_523100!A42,tables_523100!O:O)</f>
        <v>52572467.000039972</v>
      </c>
      <c r="C42" s="54">
        <f t="shared" ca="1" si="15"/>
        <v>0.9343771194460756</v>
      </c>
      <c r="E42">
        <v>4</v>
      </c>
      <c r="F42">
        <f ca="1">SUMIF(tables_523100!J:J,input_523100!E42,tables_523100!O:O)</f>
        <v>97931700.000080153</v>
      </c>
      <c r="G42">
        <f ca="1">F42/A37</f>
        <v>0.7470000000006114</v>
      </c>
    </row>
    <row r="43" spans="1:7" x14ac:dyDescent="0.15">
      <c r="A43" s="33" t="s">
        <v>106</v>
      </c>
      <c r="B43">
        <f ca="1">SUMIF(tables_523100!C:C,input_523100!A43,tables_523100!O:O)</f>
        <v>2527000</v>
      </c>
      <c r="C43" s="54">
        <f t="shared" ca="1" si="15"/>
        <v>4.4912691292163215E-2</v>
      </c>
      <c r="E43">
        <v>5</v>
      </c>
      <c r="F43">
        <f ca="1">SUMIF(tables_523100!J:J,input_523100!E43,tables_523100!O:O)</f>
        <v>28841999.999959998</v>
      </c>
      <c r="G43">
        <f ca="1">F43/A37</f>
        <v>0.21999999999969488</v>
      </c>
    </row>
    <row r="44" spans="1:7" x14ac:dyDescent="0.15">
      <c r="A44" s="33" t="s">
        <v>109</v>
      </c>
      <c r="B44">
        <f>SUMIF(tables_523100!C:C,input_523100!A44,tables_523100!O:O)</f>
        <v>0</v>
      </c>
      <c r="C44" s="54">
        <f t="shared" ca="1" si="15"/>
        <v>0</v>
      </c>
      <c r="F44" s="55"/>
    </row>
    <row r="45" spans="1:7" x14ac:dyDescent="0.15">
      <c r="A45" s="33" t="s">
        <v>105</v>
      </c>
      <c r="B45">
        <f ca="1">SUMIF(tables_523100!C:C,input_523100!A45,tables_523100!O:O)</f>
        <v>1032252.9999599991</v>
      </c>
      <c r="C45" s="54">
        <f t="shared" ca="1" si="15"/>
        <v>1.834636340427891E-2</v>
      </c>
      <c r="E45" t="s">
        <v>54</v>
      </c>
      <c r="F45" s="55"/>
    </row>
    <row r="46" spans="1:7" x14ac:dyDescent="0.15">
      <c r="A46" s="33" t="s">
        <v>107</v>
      </c>
      <c r="B46">
        <f ca="1">SUMIF(tables_523100!C:C,input_523100!A46,tables_523100!O:O)</f>
        <v>133000</v>
      </c>
      <c r="C46" s="54">
        <f t="shared" ca="1" si="15"/>
        <v>2.3638258574822744E-3</v>
      </c>
      <c r="E46" t="s">
        <v>204</v>
      </c>
      <c r="F46" s="55">
        <f ca="1">SUMIF(tables_523100!I:I,input_523100!E46,tables_523100!P:P)</f>
        <v>0.15962210526310913</v>
      </c>
    </row>
    <row r="47" spans="1:7" x14ac:dyDescent="0.15">
      <c r="A47" s="33" t="s">
        <v>108</v>
      </c>
      <c r="B47">
        <f>SUMIF(tables_523100!C:C,input_523100!A47,tables_523100!O:O)</f>
        <v>0</v>
      </c>
      <c r="C47" s="54">
        <f t="shared" ca="1" si="15"/>
        <v>0</v>
      </c>
      <c r="E47" t="s">
        <v>205</v>
      </c>
      <c r="F47" s="55">
        <f ca="1">SUMIF(tables_523100!I:I,input_523100!E47,tables_523100!P:P)</f>
        <v>0.15726315789468881</v>
      </c>
    </row>
    <row r="48" spans="1:7" x14ac:dyDescent="0.15">
      <c r="A48" s="39" t="s">
        <v>59</v>
      </c>
      <c r="B48">
        <f ca="1">SUM(B41:B47)</f>
        <v>56264719.99999997</v>
      </c>
      <c r="C48" s="55">
        <f ca="1">SUM(C41:C47)</f>
        <v>1</v>
      </c>
      <c r="E48" t="s">
        <v>206</v>
      </c>
      <c r="F48" s="55">
        <f ca="1">SUMIF(tables_523100!I:I,input_523100!E48,tables_523100!P:P)</f>
        <v>0.58011473684223225</v>
      </c>
    </row>
    <row r="49" spans="5:7" x14ac:dyDescent="0.15">
      <c r="E49" t="s">
        <v>207</v>
      </c>
      <c r="F49" s="55">
        <f ca="1">SUMIF(tables_523100!I:I,input_523100!E49,tables_523100!P:P)</f>
        <v>8.4202898550698888E-2</v>
      </c>
      <c r="G49" s="55">
        <f ca="1">0.05-F49-F50</f>
        <v>-5.2999999999968496E-2</v>
      </c>
    </row>
    <row r="50" spans="5:7" x14ac:dyDescent="0.15">
      <c r="E50" t="s">
        <v>250</v>
      </c>
      <c r="F50" s="55">
        <f ca="1">SUMIF(tables_523100!I:I,input_523100!E50,tables_523100!P:P)</f>
        <v>1.8797101449269611E-2</v>
      </c>
      <c r="G50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input_523100!A$2</f>
        <v>523100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IFERROR(VLOOKUP(B2,input_523100!L:R,7,FALSE),VLOOKUP(tables_523100!C2,input_523100!A:H,8,FALSE))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input_523100!A$2</f>
        <v>523100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IFERROR(VLOOKUP(B3,input_523100!L:R,7,FALSE),VLOOKUP(tables_523100!C3,input_523100!A:H,8,FALSE))</f>
        <v>1030860</v>
      </c>
      <c r="P3" s="46">
        <f t="shared" ca="1" si="1"/>
        <v>7.8631578947344367E-3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input_523100!A$2</f>
        <v>523100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IFERROR(VLOOKUP(B4,input_523100!L:R,7,FALSE),VLOOKUP(tables_523100!C4,input_523100!A:H,8,FALSE))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input_523100!A$2</f>
        <v>523100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IFERROR(VLOOKUP(B5,input_523100!L:R,7,FALSE),VLOOKUP(tables_523100!C5,input_523100!A:H,8,FALSE))</f>
        <v>1030860</v>
      </c>
      <c r="P5" s="46">
        <f t="shared" ca="1" si="1"/>
        <v>7.8631578947344367E-3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input_523100!A$2</f>
        <v>523100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IFERROR(VLOOKUP(B6,input_523100!L:R,7,FALSE),VLOOKUP(tables_523100!C6,input_523100!A:H,8,FALSE))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input_523100!A$2</f>
        <v>523100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IFERROR(VLOOKUP(B7,input_523100!L:R,7,FALSE),VLOOKUP(tables_523100!C7,input_523100!A:H,8,FALSE))</f>
        <v>1030860</v>
      </c>
      <c r="P7" s="46">
        <f t="shared" ca="1" si="1"/>
        <v>7.8631578947344367E-3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input_523100!A$2</f>
        <v>523100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IFERROR(VLOOKUP(B8,input_523100!L:R,7,FALSE),VLOOKUP(tables_523100!C8,input_523100!A:H,8,FALSE))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input_523100!A$2</f>
        <v>523100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IFERROR(VLOOKUP(B9,input_523100!L:R,7,FALSE),VLOOKUP(tables_523100!C9,input_523100!A:H,8,FALSE))</f>
        <v>1030860</v>
      </c>
      <c r="P9" s="46">
        <f t="shared" ca="1" si="1"/>
        <v>7.8631578947344367E-3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input_523100!A$2</f>
        <v>523100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IFERROR(VLOOKUP(B10,input_523100!L:R,7,FALSE),VLOOKUP(tables_523100!C10,input_523100!A:H,8,FALSE))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input_523100!A$2</f>
        <v>523100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IFERROR(VLOOKUP(B11,input_523100!L:R,7,FALSE),VLOOKUP(tables_523100!C11,input_523100!A:H,8,FALSE))</f>
        <v>1030860</v>
      </c>
      <c r="P11" s="46">
        <f t="shared" ca="1" si="1"/>
        <v>7.8631578947344367E-3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input_523100!A$2</f>
        <v>523100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IFERROR(VLOOKUP(B12,input_523100!L:R,7,FALSE),VLOOKUP(tables_523100!C12,input_523100!A:H,8,FALSE))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input_523100!A$2</f>
        <v>523100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IFERROR(VLOOKUP(B13,input_523100!L:R,7,FALSE),VLOOKUP(tables_523100!C13,input_523100!A:H,8,FALSE))</f>
        <v>1030860</v>
      </c>
      <c r="P13" s="46">
        <f t="shared" ca="1" si="1"/>
        <v>7.8631578947344367E-3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input_523100!A$2</f>
        <v>523100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IFERROR(VLOOKUP(B14,input_523100!L:R,7,FALSE),VLOOKUP(tables_523100!C14,input_523100!A:H,8,FALSE))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input_523100!A$2</f>
        <v>523100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IFERROR(VLOOKUP(B15,input_523100!L:R,7,FALSE),VLOOKUP(tables_523100!C15,input_523100!A:H,8,FALSE))</f>
        <v>1030860</v>
      </c>
      <c r="P15" s="46">
        <f t="shared" ca="1" si="1"/>
        <v>7.8631578947344367E-3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input_523100!A$2</f>
        <v>523100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IFERROR(VLOOKUP(B16,input_523100!L:R,7,FALSE),VLOOKUP(tables_523100!C16,input_523100!A:H,8,FALSE))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input_523100!A$2</f>
        <v>523100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IFERROR(VLOOKUP(B17,input_523100!L:R,7,FALSE),VLOOKUP(tables_523100!C17,input_523100!A:H,8,FALSE))</f>
        <v>1030860</v>
      </c>
      <c r="P17" s="46">
        <f t="shared" ca="1" si="1"/>
        <v>7.8631578947344367E-3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input_523100!A$2</f>
        <v>523100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IFERROR(VLOOKUP(B18,input_523100!L:R,7,FALSE),VLOOKUP(tables_523100!C18,input_523100!A:H,8,FALSE))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input_523100!A$2</f>
        <v>523100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IFERROR(VLOOKUP(B19,input_523100!L:R,7,FALSE),VLOOKUP(tables_523100!C19,input_523100!A:H,8,FALSE))</f>
        <v>1030860</v>
      </c>
      <c r="P19" s="46">
        <f t="shared" ca="1" si="1"/>
        <v>7.8631578947344367E-3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input_523100!A$2</f>
        <v>523100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IFERROR(VLOOKUP(B20,input_523100!L:R,7,FALSE),VLOOKUP(tables_523100!C20,input_523100!A:H,8,FALSE))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input_523100!A$2</f>
        <v>523100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IFERROR(VLOOKUP(B21,input_523100!L:R,7,FALSE),VLOOKUP(tables_523100!C21,input_523100!A:H,8,FALSE))</f>
        <v>1030860</v>
      </c>
      <c r="P21" s="46">
        <f t="shared" ca="1" si="1"/>
        <v>7.8631578947344367E-3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input_523100!A$2</f>
        <v>523100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IFERROR(VLOOKUP(B22,input_523100!L:R,7,FALSE),VLOOKUP(tables_523100!C22,input_523100!A:H,8,FALSE))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input_523100!A$2</f>
        <v>523100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IFERROR(VLOOKUP(B23,input_523100!L:R,7,FALSE),VLOOKUP(tables_523100!C23,input_523100!A:H,8,FALSE))</f>
        <v>1030860</v>
      </c>
      <c r="P23" s="46">
        <f t="shared" ca="1" si="1"/>
        <v>7.8631578947344367E-3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input_523100!A$2</f>
        <v>523100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IFERROR(VLOOKUP(B24,input_523100!L:R,7,FALSE),VLOOKUP(tables_523100!C24,input_523100!A:H,8,FALSE))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input_523100!A$2</f>
        <v>523100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IFERROR(VLOOKUP(B25,input_523100!L:R,7,FALSE),VLOOKUP(tables_523100!C25,input_523100!A:H,8,FALSE))</f>
        <v>1030860</v>
      </c>
      <c r="P25" s="46">
        <f t="shared" ca="1" si="1"/>
        <v>7.8631578947344367E-3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input_523100!A$2</f>
        <v>523100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IFERROR(VLOOKUP(B26,input_523100!L:R,7,FALSE),VLOOKUP(tables_523100!C26,input_523100!A:H,8,FALSE))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input_523100!A$2</f>
        <v>523100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IFERROR(VLOOKUP(B27,input_523100!L:R,7,FALSE),VLOOKUP(tables_523100!C27,input_523100!A:H,8,FALSE))</f>
        <v>1030860</v>
      </c>
      <c r="P27" s="46">
        <f t="shared" ca="1" si="1"/>
        <v>7.8631578947344367E-3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input_523100!A$2</f>
        <v>523100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IFERROR(VLOOKUP(B28,input_523100!L:R,7,FALSE),VLOOKUP(tables_523100!C28,input_523100!A:H,8,FALSE))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input_523100!A$2</f>
        <v>523100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IFERROR(VLOOKUP(B29,input_523100!L:R,7,FALSE),VLOOKUP(tables_523100!C29,input_523100!A:H,8,FALSE))</f>
        <v>1030860</v>
      </c>
      <c r="P29" s="46">
        <f t="shared" ca="1" si="1"/>
        <v>7.8631578947344367E-3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input_523100!A$2</f>
        <v>523100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IFERROR(VLOOKUP(B30,input_523100!L:R,7,FALSE),VLOOKUP(tables_523100!C30,input_523100!A:H,8,FALSE))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input_523100!A$2</f>
        <v>523100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IFERROR(VLOOKUP(B31,input_523100!L:R,7,FALSE),VLOOKUP(tables_523100!C31,input_523100!A:H,8,FALSE))</f>
        <v>1030860</v>
      </c>
      <c r="P31" s="46">
        <f t="shared" ca="1" si="1"/>
        <v>7.8631578947344367E-3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input_523100!A$2</f>
        <v>523100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IFERROR(VLOOKUP(B32,input_523100!L:R,7,FALSE),VLOOKUP(tables_523100!C32,input_523100!A:H,8,FALSE))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input_523100!A$2</f>
        <v>523100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IFERROR(VLOOKUP(B33,input_523100!L:R,7,FALSE),VLOOKUP(tables_523100!C33,input_523100!A:H,8,FALSE))</f>
        <v>1030860</v>
      </c>
      <c r="P33" s="46">
        <f t="shared" ca="1" si="1"/>
        <v>7.8631578947344367E-3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input_523100!A$2</f>
        <v>523100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IFERROR(VLOOKUP(B34,input_523100!L:R,7,FALSE),VLOOKUP(tables_523100!C34,input_523100!A:H,8,FALSE))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input_523100!A$2</f>
        <v>523100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IFERROR(VLOOKUP(B35,input_523100!L:R,7,FALSE),VLOOKUP(tables_523100!C35,input_523100!A:H,8,FALSE))</f>
        <v>1030860</v>
      </c>
      <c r="P35" s="46">
        <f t="shared" ca="1" si="1"/>
        <v>7.8631578947344367E-3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input_523100!A$2</f>
        <v>523100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IFERROR(VLOOKUP(B36,input_523100!L:R,7,FALSE),VLOOKUP(tables_523100!C36,input_523100!A:H,8,FALSE))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input_523100!A$2</f>
        <v>523100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IFERROR(VLOOKUP(B37,input_523100!L:R,7,FALSE),VLOOKUP(tables_523100!C37,input_523100!A:H,8,FALSE))</f>
        <v>1030860</v>
      </c>
      <c r="P37" s="46">
        <f t="shared" ca="1" si="1"/>
        <v>7.8631578947344367E-3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input_523100!A$2</f>
        <v>523100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IFERROR(VLOOKUP(B38,input_523100!L:R,7,FALSE),VLOOKUP(tables_523100!C38,input_523100!A:H,8,FALSE))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input_523100!A$2</f>
        <v>523100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IFERROR(VLOOKUP(B39,input_523100!L:R,7,FALSE),VLOOKUP(tables_523100!C39,input_523100!A:H,8,FALSE))</f>
        <v>1030860</v>
      </c>
      <c r="P39" s="46">
        <f t="shared" ca="1" si="1"/>
        <v>7.8631578947344367E-3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input_523100!A$2</f>
        <v>523100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IFERROR(VLOOKUP(B40,input_523100!L:R,7,FALSE),VLOOKUP(tables_523100!C40,input_523100!A:H,8,FALSE))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input_523100!A$2</f>
        <v>523100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IFERROR(VLOOKUP(B41,input_523100!L:R,7,FALSE),VLOOKUP(tables_523100!C41,input_523100!A:H,8,FALSE))</f>
        <v>1030860</v>
      </c>
      <c r="P41" s="46">
        <f t="shared" ca="1" si="1"/>
        <v>7.8631578947344367E-3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input_523100!A$2</f>
        <v>523100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IFERROR(VLOOKUP(B42,input_523100!L:R,7,FALSE),VLOOKUP(tables_523100!C42,input_523100!A:H,8,FALSE))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input_523100!A$2</f>
        <v>523100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IFERROR(VLOOKUP(B43,input_523100!L:R,7,FALSE),VLOOKUP(tables_523100!C43,input_523100!A:H,8,FALSE))</f>
        <v>979317</v>
      </c>
      <c r="P43" s="46">
        <f t="shared" ca="1" si="1"/>
        <v>7.4699999999977154E-3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input_523100!A$2</f>
        <v>523100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IFERROR(VLOOKUP(B44,input_523100!L:R,7,FALSE),VLOOKUP(tables_523100!C44,input_523100!A:H,8,FALSE))</f>
        <v>51543</v>
      </c>
      <c r="P44" s="46">
        <f t="shared" ca="1" si="1"/>
        <v>3.9315789473672188E-4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input_523100!A$2</f>
        <v>523100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IFERROR(VLOOKUP(B45,input_523100!L:R,7,FALSE),VLOOKUP(tables_523100!C45,input_523100!A:H,8,FALSE))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input_523100!A$2</f>
        <v>523100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IFERROR(VLOOKUP(B46,input_523100!L:R,7,FALSE),VLOOKUP(tables_523100!C46,input_523100!A:H,8,FALSE))</f>
        <v>979317</v>
      </c>
      <c r="P46" s="46">
        <f t="shared" ca="1" si="1"/>
        <v>7.4699999999977154E-3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input_523100!A$2</f>
        <v>523100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IFERROR(VLOOKUP(B47,input_523100!L:R,7,FALSE),VLOOKUP(tables_523100!C47,input_523100!A:H,8,FALSE))</f>
        <v>51543</v>
      </c>
      <c r="P47" s="46">
        <f t="shared" ca="1" si="1"/>
        <v>3.9315789473672188E-4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input_523100!A$2</f>
        <v>523100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IFERROR(VLOOKUP(B48,input_523100!L:R,7,FALSE),VLOOKUP(tables_523100!C48,input_523100!A:H,8,FALSE))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input_523100!A$2</f>
        <v>523100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IFERROR(VLOOKUP(B49,input_523100!L:R,7,FALSE),VLOOKUP(tables_523100!C49,input_523100!A:H,8,FALSE))</f>
        <v>979317</v>
      </c>
      <c r="P49" s="46">
        <f t="shared" ca="1" si="1"/>
        <v>7.4699999999977154E-3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input_523100!A$2</f>
        <v>523100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IFERROR(VLOOKUP(B50,input_523100!L:R,7,FALSE),VLOOKUP(tables_523100!C50,input_523100!A:H,8,FALSE))</f>
        <v>51543</v>
      </c>
      <c r="P50" s="46">
        <f t="shared" ca="1" si="1"/>
        <v>3.9315789473672188E-4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input_523100!A$2</f>
        <v>523100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IFERROR(VLOOKUP(B51,input_523100!L:R,7,FALSE),VLOOKUP(tables_523100!C51,input_523100!A:H,8,FALSE))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input_523100!A$2</f>
        <v>523100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IFERROR(VLOOKUP(B52,input_523100!L:R,7,FALSE),VLOOKUP(tables_523100!C52,input_523100!A:H,8,FALSE))</f>
        <v>1011008.98077</v>
      </c>
      <c r="P52" s="46">
        <f t="shared" ca="1" si="1"/>
        <v>7.7117389837505022E-3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input_523100!A$2</f>
        <v>523100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IFERROR(VLOOKUP(B53,input_523100!L:R,7,FALSE),VLOOKUP(tables_523100!C53,input_523100!A:H,8,FALSE))</f>
        <v>19851.019230000002</v>
      </c>
      <c r="P53" s="46">
        <f t="shared" ca="1" si="1"/>
        <v>1.514189109839354E-4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input_523100!A$2</f>
        <v>523100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IFERROR(VLOOKUP(B54,input_523100!L:R,7,FALSE),VLOOKUP(tables_523100!C54,input_523100!A:H,8,FALSE))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input_523100!A$2</f>
        <v>523100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IFERROR(VLOOKUP(B55,input_523100!L:R,7,FALSE),VLOOKUP(tables_523100!C55,input_523100!A:H,8,FALSE))</f>
        <v>1011008.98077</v>
      </c>
      <c r="P55" s="46">
        <f t="shared" ca="1" si="1"/>
        <v>7.7117389837505022E-3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input_523100!A$2</f>
        <v>523100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IFERROR(VLOOKUP(B56,input_523100!L:R,7,FALSE),VLOOKUP(tables_523100!C56,input_523100!A:H,8,FALSE))</f>
        <v>19851.019230000002</v>
      </c>
      <c r="P56" s="46">
        <f t="shared" ca="1" si="1"/>
        <v>1.514189109839354E-4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input_523100!A$2</f>
        <v>523100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IFERROR(VLOOKUP(B57,input_523100!L:R,7,FALSE),VLOOKUP(tables_523100!C57,input_523100!A:H,8,FALSE))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input_523100!A$2</f>
        <v>523100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IFERROR(VLOOKUP(B58,input_523100!L:R,7,FALSE),VLOOKUP(tables_523100!C58,input_523100!A:H,8,FALSE))</f>
        <v>1011008.98077</v>
      </c>
      <c r="P58" s="46">
        <f t="shared" ca="1" si="1"/>
        <v>7.7117389837505022E-3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input_523100!A$2</f>
        <v>523100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IFERROR(VLOOKUP(B59,input_523100!L:R,7,FALSE),VLOOKUP(tables_523100!C59,input_523100!A:H,8,FALSE))</f>
        <v>19851.019230000002</v>
      </c>
      <c r="P59" s="46">
        <f t="shared" ca="1" si="1"/>
        <v>1.514189109839354E-4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input_523100!A$2</f>
        <v>523100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IFERROR(VLOOKUP(B60,input_523100!L:R,7,FALSE),VLOOKUP(tables_523100!C60,input_523100!A:H,8,FALSE))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input_523100!A$2</f>
        <v>523100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IFERROR(VLOOKUP(B61,input_523100!L:R,7,FALSE),VLOOKUP(tables_523100!C61,input_523100!A:H,8,FALSE))</f>
        <v>1011008.98077</v>
      </c>
      <c r="P61" s="46">
        <f t="shared" ca="1" si="1"/>
        <v>7.7117389837505022E-3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input_523100!A$2</f>
        <v>523100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IFERROR(VLOOKUP(B62,input_523100!L:R,7,FALSE),VLOOKUP(tables_523100!C62,input_523100!A:H,8,FALSE))</f>
        <v>19851.019230000002</v>
      </c>
      <c r="P62" s="46">
        <f t="shared" ca="1" si="1"/>
        <v>1.514189109839354E-4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input_523100!A$2</f>
        <v>523100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IFERROR(VLOOKUP(B63,input_523100!L:R,7,FALSE),VLOOKUP(tables_523100!C63,input_523100!A:H,8,FALSE))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input_523100!A$2</f>
        <v>523100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IFERROR(VLOOKUP(B64,input_523100!L:R,7,FALSE),VLOOKUP(tables_523100!C64,input_523100!A:H,8,FALSE))</f>
        <v>1011008.98077</v>
      </c>
      <c r="P64" s="46">
        <f t="shared" ca="1" si="1"/>
        <v>7.7117389837505022E-3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input_523100!A$2</f>
        <v>523100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IFERROR(VLOOKUP(B65,input_523100!L:R,7,FALSE),VLOOKUP(tables_523100!C65,input_523100!A:H,8,FALSE))</f>
        <v>19851.019230000002</v>
      </c>
      <c r="P65" s="46">
        <f t="shared" ca="1" si="1"/>
        <v>1.514189109839354E-4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input_523100!A$2</f>
        <v>523100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IFERROR(VLOOKUP(B66,input_523100!L:R,7,FALSE),VLOOKUP(tables_523100!C66,input_523100!A:H,8,FALSE))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input_523100!A$2</f>
        <v>523100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IFERROR(VLOOKUP(B67,input_523100!L:R,7,FALSE),VLOOKUP(tables_523100!C67,input_523100!A:H,8,FALSE))</f>
        <v>1011008.98077</v>
      </c>
      <c r="P67" s="46">
        <f t="shared" ca="1" si="4"/>
        <v>7.7117389837505022E-3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input_523100!A$2</f>
        <v>523100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IFERROR(VLOOKUP(B68,input_523100!L:R,7,FALSE),VLOOKUP(tables_523100!C68,input_523100!A:H,8,FALSE))</f>
        <v>19851.019230000002</v>
      </c>
      <c r="P68" s="46">
        <f t="shared" ca="1" si="4"/>
        <v>1.514189109839354E-4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input_523100!A$2</f>
        <v>523100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IFERROR(VLOOKUP(B69,input_523100!L:R,7,FALSE),VLOOKUP(tables_523100!C69,input_523100!A:H,8,FALSE))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input_523100!A$2</f>
        <v>523100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IFERROR(VLOOKUP(B70,input_523100!L:R,7,FALSE),VLOOKUP(tables_523100!C70,input_523100!A:H,8,FALSE))</f>
        <v>1011008.98077</v>
      </c>
      <c r="P70" s="46">
        <f t="shared" ca="1" si="4"/>
        <v>7.7117389837505022E-3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input_523100!A$2</f>
        <v>523100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IFERROR(VLOOKUP(B71,input_523100!L:R,7,FALSE),VLOOKUP(tables_523100!C71,input_523100!A:H,8,FALSE))</f>
        <v>19851.019230000002</v>
      </c>
      <c r="P71" s="46">
        <f t="shared" ca="1" si="4"/>
        <v>1.514189109839354E-4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input_523100!A$2</f>
        <v>523100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IFERROR(VLOOKUP(B72,input_523100!L:R,7,FALSE),VLOOKUP(tables_523100!C72,input_523100!A:H,8,FALSE))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input_523100!A$2</f>
        <v>523100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IFERROR(VLOOKUP(B73,input_523100!L:R,7,FALSE),VLOOKUP(tables_523100!C73,input_523100!A:H,8,FALSE))</f>
        <v>1011008.98077</v>
      </c>
      <c r="P73" s="46">
        <f t="shared" ca="1" si="4"/>
        <v>7.7117389837505022E-3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input_523100!A$2</f>
        <v>523100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IFERROR(VLOOKUP(B74,input_523100!L:R,7,FALSE),VLOOKUP(tables_523100!C74,input_523100!A:H,8,FALSE))</f>
        <v>19851.019230000002</v>
      </c>
      <c r="P74" s="46">
        <f t="shared" ca="1" si="4"/>
        <v>1.514189109839354E-4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input_523100!A$2</f>
        <v>523100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IFERROR(VLOOKUP(B75,input_523100!L:R,7,FALSE),VLOOKUP(tables_523100!C75,input_523100!A:H,8,FALSE))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input_523100!A$2</f>
        <v>523100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IFERROR(VLOOKUP(B76,input_523100!L:R,7,FALSE),VLOOKUP(tables_523100!C76,input_523100!A:H,8,FALSE))</f>
        <v>1011008.98077</v>
      </c>
      <c r="P76" s="46">
        <f t="shared" ca="1" si="4"/>
        <v>7.7117389837505022E-3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input_523100!A$2</f>
        <v>523100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IFERROR(VLOOKUP(B77,input_523100!L:R,7,FALSE),VLOOKUP(tables_523100!C77,input_523100!A:H,8,FALSE))</f>
        <v>19851.019230000002</v>
      </c>
      <c r="P77" s="46">
        <f t="shared" ca="1" si="4"/>
        <v>1.514189109839354E-4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input_523100!A$2</f>
        <v>523100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IFERROR(VLOOKUP(B78,input_523100!L:R,7,FALSE),VLOOKUP(tables_523100!C78,input_523100!A:H,8,FALSE))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input_523100!A$2</f>
        <v>523100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IFERROR(VLOOKUP(B79,input_523100!L:R,7,FALSE),VLOOKUP(tables_523100!C79,input_523100!A:H,8,FALSE))</f>
        <v>1011008.98077</v>
      </c>
      <c r="P79" s="46">
        <f t="shared" ca="1" si="4"/>
        <v>7.7117389837505022E-3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input_523100!A$2</f>
        <v>523100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IFERROR(VLOOKUP(B80,input_523100!L:R,7,FALSE),VLOOKUP(tables_523100!C80,input_523100!A:H,8,FALSE))</f>
        <v>19851.019230000002</v>
      </c>
      <c r="P80" s="46">
        <f t="shared" ca="1" si="4"/>
        <v>1.514189109839354E-4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input_523100!A$2</f>
        <v>523100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IFERROR(VLOOKUP(B81,input_523100!L:R,7,FALSE),VLOOKUP(tables_523100!C81,input_523100!A:H,8,FALSE))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input_523100!A$2</f>
        <v>523100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IFERROR(VLOOKUP(B82,input_523100!L:R,7,FALSE),VLOOKUP(tables_523100!C82,input_523100!A:H,8,FALSE))</f>
        <v>1011008.98077</v>
      </c>
      <c r="P82" s="46">
        <f t="shared" ca="1" si="4"/>
        <v>7.7117389837505022E-3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input_523100!A$2</f>
        <v>523100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IFERROR(VLOOKUP(B83,input_523100!L:R,7,FALSE),VLOOKUP(tables_523100!C83,input_523100!A:H,8,FALSE))</f>
        <v>19851.019230000002</v>
      </c>
      <c r="P83" s="46">
        <f t="shared" ca="1" si="4"/>
        <v>1.514189109839354E-4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input_523100!A$2</f>
        <v>523100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IFERROR(VLOOKUP(B84,input_523100!L:R,7,FALSE),VLOOKUP(tables_523100!C84,input_523100!A:H,8,FALSE))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input_523100!A$2</f>
        <v>523100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IFERROR(VLOOKUP(B85,input_523100!L:R,7,FALSE),VLOOKUP(tables_523100!C85,input_523100!A:H,8,FALSE))</f>
        <v>1011008.98077</v>
      </c>
      <c r="P85" s="46">
        <f t="shared" ca="1" si="4"/>
        <v>7.7117389837505022E-3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input_523100!A$2</f>
        <v>523100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IFERROR(VLOOKUP(B86,input_523100!L:R,7,FALSE),VLOOKUP(tables_523100!C86,input_523100!A:H,8,FALSE))</f>
        <v>19851.019230000002</v>
      </c>
      <c r="P86" s="46">
        <f t="shared" ca="1" si="4"/>
        <v>1.514189109839354E-4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input_523100!A$2</f>
        <v>523100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IFERROR(VLOOKUP(B87,input_523100!L:R,7,FALSE),VLOOKUP(tables_523100!C87,input_523100!A:H,8,FALSE))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input_523100!A$2</f>
        <v>523100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IFERROR(VLOOKUP(B88,input_523100!L:R,7,FALSE),VLOOKUP(tables_523100!C88,input_523100!A:H,8,FALSE))</f>
        <v>1011008.98077</v>
      </c>
      <c r="P88" s="46">
        <f t="shared" ca="1" si="4"/>
        <v>7.7117389837505022E-3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input_523100!A$2</f>
        <v>523100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IFERROR(VLOOKUP(B89,input_523100!L:R,7,FALSE),VLOOKUP(tables_523100!C89,input_523100!A:H,8,FALSE))</f>
        <v>19851.019230000002</v>
      </c>
      <c r="P89" s="46">
        <f t="shared" ca="1" si="4"/>
        <v>1.514189109839354E-4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input_523100!A$2</f>
        <v>523100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IFERROR(VLOOKUP(B90,input_523100!L:R,7,FALSE),VLOOKUP(tables_523100!C90,input_523100!A:H,8,FALSE))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input_523100!A$2</f>
        <v>523100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IFERROR(VLOOKUP(B91,input_523100!L:R,7,FALSE),VLOOKUP(tables_523100!C91,input_523100!A:H,8,FALSE))</f>
        <v>1011008.98077</v>
      </c>
      <c r="P91" s="46">
        <f t="shared" ca="1" si="4"/>
        <v>7.7117389837505022E-3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input_523100!A$2</f>
        <v>523100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IFERROR(VLOOKUP(B92,input_523100!L:R,7,FALSE),VLOOKUP(tables_523100!C92,input_523100!A:H,8,FALSE))</f>
        <v>19851.019230000002</v>
      </c>
      <c r="P92" s="46">
        <f t="shared" ca="1" si="4"/>
        <v>1.514189109839354E-4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input_523100!A$2</f>
        <v>523100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IFERROR(VLOOKUP(B93,input_523100!L:R,7,FALSE),VLOOKUP(tables_523100!C93,input_523100!A:H,8,FALSE))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input_523100!A$2</f>
        <v>523100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IFERROR(VLOOKUP(B94,input_523100!L:R,7,FALSE),VLOOKUP(tables_523100!C94,input_523100!A:H,8,FALSE))</f>
        <v>1011008.98077</v>
      </c>
      <c r="P94" s="46">
        <f t="shared" ca="1" si="4"/>
        <v>7.7117389837505022E-3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input_523100!A$2</f>
        <v>523100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IFERROR(VLOOKUP(B95,input_523100!L:R,7,FALSE),VLOOKUP(tables_523100!C95,input_523100!A:H,8,FALSE))</f>
        <v>19851.019230000002</v>
      </c>
      <c r="P95" s="46">
        <f t="shared" ca="1" si="4"/>
        <v>1.514189109839354E-4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input_523100!A$2</f>
        <v>523100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IFERROR(VLOOKUP(B96,input_523100!L:R,7,FALSE),VLOOKUP(tables_523100!C96,input_523100!A:H,8,FALSE))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input_523100!A$2</f>
        <v>523100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IFERROR(VLOOKUP(B97,input_523100!L:R,7,FALSE),VLOOKUP(tables_523100!C97,input_523100!A:H,8,FALSE))</f>
        <v>1011008.98077</v>
      </c>
      <c r="P97" s="46">
        <f t="shared" ca="1" si="4"/>
        <v>7.7117389837505022E-3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input_523100!A$2</f>
        <v>523100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IFERROR(VLOOKUP(B98,input_523100!L:R,7,FALSE),VLOOKUP(tables_523100!C98,input_523100!A:H,8,FALSE))</f>
        <v>19851.019230000002</v>
      </c>
      <c r="P98" s="46">
        <f t="shared" ca="1" si="4"/>
        <v>1.514189109839354E-4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input_523100!A$2</f>
        <v>523100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IFERROR(VLOOKUP(B99,input_523100!L:R,7,FALSE),VLOOKUP(tables_523100!C99,input_523100!A:H,8,FALSE))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input_523100!A$2</f>
        <v>523100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IFERROR(VLOOKUP(B100,input_523100!L:R,7,FALSE),VLOOKUP(tables_523100!C100,input_523100!A:H,8,FALSE))</f>
        <v>1011008.98077</v>
      </c>
      <c r="P100" s="46">
        <f t="shared" ca="1" si="4"/>
        <v>7.7117389837505022E-3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input_523100!A$2</f>
        <v>523100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IFERROR(VLOOKUP(B101,input_523100!L:R,7,FALSE),VLOOKUP(tables_523100!C101,input_523100!A:H,8,FALSE))</f>
        <v>19851.019230000002</v>
      </c>
      <c r="P101" s="46">
        <f t="shared" ca="1" si="4"/>
        <v>1.514189109839354E-4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input_523100!A$2</f>
        <v>523100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IFERROR(VLOOKUP(B102,input_523100!L:R,7,FALSE),VLOOKUP(tables_523100!C102,input_523100!A:H,8,FALSE))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input_523100!A$2</f>
        <v>523100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IFERROR(VLOOKUP(B103,input_523100!L:R,7,FALSE),VLOOKUP(tables_523100!C103,input_523100!A:H,8,FALSE))</f>
        <v>1011008.98077</v>
      </c>
      <c r="P103" s="46">
        <f t="shared" ca="1" si="4"/>
        <v>7.7117389837505022E-3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input_523100!A$2</f>
        <v>523100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IFERROR(VLOOKUP(B104,input_523100!L:R,7,FALSE),VLOOKUP(tables_523100!C104,input_523100!A:H,8,FALSE))</f>
        <v>19851.019230000002</v>
      </c>
      <c r="P104" s="46">
        <f t="shared" ca="1" si="4"/>
        <v>1.514189109839354E-4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input_523100!A$2</f>
        <v>523100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IFERROR(VLOOKUP(B105,input_523100!L:R,7,FALSE),VLOOKUP(tables_523100!C105,input_523100!A:H,8,FALSE))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input_523100!A$2</f>
        <v>523100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IFERROR(VLOOKUP(B106,input_523100!L:R,7,FALSE),VLOOKUP(tables_523100!C106,input_523100!A:H,8,FALSE))</f>
        <v>1011008.98077</v>
      </c>
      <c r="P106" s="46">
        <f t="shared" ca="1" si="4"/>
        <v>7.7117389837505022E-3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input_523100!A$2</f>
        <v>523100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IFERROR(VLOOKUP(B107,input_523100!L:R,7,FALSE),VLOOKUP(tables_523100!C107,input_523100!A:H,8,FALSE))</f>
        <v>19851.019230000002</v>
      </c>
      <c r="P107" s="46">
        <f t="shared" ca="1" si="4"/>
        <v>1.514189109839354E-4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input_523100!A$2</f>
        <v>523100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IFERROR(VLOOKUP(B108,input_523100!L:R,7,FALSE),VLOOKUP(tables_523100!C108,input_523100!A:H,8,FALSE))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input_523100!A$2</f>
        <v>523100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IFERROR(VLOOKUP(B109,input_523100!L:R,7,FALSE),VLOOKUP(tables_523100!C109,input_523100!A:H,8,FALSE))</f>
        <v>1011008.98077</v>
      </c>
      <c r="P109" s="46">
        <f t="shared" ca="1" si="4"/>
        <v>7.7117389837505022E-3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input_523100!A$2</f>
        <v>523100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IFERROR(VLOOKUP(B110,input_523100!L:R,7,FALSE),VLOOKUP(tables_523100!C110,input_523100!A:H,8,FALSE))</f>
        <v>19851.019230000002</v>
      </c>
      <c r="P110" s="46">
        <f t="shared" ca="1" si="4"/>
        <v>1.514189109839354E-4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input_523100!A$2</f>
        <v>523100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IFERROR(VLOOKUP(B111,input_523100!L:R,7,FALSE),VLOOKUP(tables_523100!C111,input_523100!A:H,8,FALSE))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input_523100!A$2</f>
        <v>523100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IFERROR(VLOOKUP(B112,input_523100!L:R,7,FALSE),VLOOKUP(tables_523100!C112,input_523100!A:H,8,FALSE))</f>
        <v>979317</v>
      </c>
      <c r="P112" s="46">
        <f t="shared" ca="1" si="4"/>
        <v>7.4699999999977154E-3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input_523100!A$2</f>
        <v>523100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IFERROR(VLOOKUP(B113,input_523100!L:R,7,FALSE),VLOOKUP(tables_523100!C113,input_523100!A:H,8,FALSE))</f>
        <v>51543</v>
      </c>
      <c r="P113" s="46">
        <f t="shared" ca="1" si="4"/>
        <v>3.9315789473672188E-4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input_523100!A$2</f>
        <v>523100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IFERROR(VLOOKUP(B114,input_523100!L:R,7,FALSE),VLOOKUP(tables_523100!C114,input_523100!A:H,8,FALSE))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input_523100!A$2</f>
        <v>523100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IFERROR(VLOOKUP(B115,input_523100!L:R,7,FALSE),VLOOKUP(tables_523100!C115,input_523100!A:H,8,FALSE))</f>
        <v>1011008.98077</v>
      </c>
      <c r="P115" s="46">
        <f t="shared" ca="1" si="4"/>
        <v>7.7117389837505022E-3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input_523100!A$2</f>
        <v>523100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IFERROR(VLOOKUP(B116,input_523100!L:R,7,FALSE),VLOOKUP(tables_523100!C116,input_523100!A:H,8,FALSE))</f>
        <v>19851.019230000002</v>
      </c>
      <c r="P116" s="46">
        <f t="shared" ca="1" si="4"/>
        <v>1.514189109839354E-4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input_523100!A$2</f>
        <v>523100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IFERROR(VLOOKUP(B117,input_523100!L:R,7,FALSE),VLOOKUP(tables_523100!C117,input_523100!A:H,8,FALSE))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input_523100!A$2</f>
        <v>523100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IFERROR(VLOOKUP(B118,input_523100!L:R,7,FALSE),VLOOKUP(tables_523100!C118,input_523100!A:H,8,FALSE))</f>
        <v>1011008.98077</v>
      </c>
      <c r="P118" s="46">
        <f t="shared" ca="1" si="4"/>
        <v>7.7117389837505022E-3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input_523100!A$2</f>
        <v>523100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IFERROR(VLOOKUP(B119,input_523100!L:R,7,FALSE),VLOOKUP(tables_523100!C119,input_523100!A:H,8,FALSE))</f>
        <v>19851.019230000002</v>
      </c>
      <c r="P119" s="46">
        <f t="shared" ca="1" si="4"/>
        <v>1.514189109839354E-4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input_523100!A$2</f>
        <v>523100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IFERROR(VLOOKUP(B120,input_523100!L:R,7,FALSE),VLOOKUP(tables_523100!C120,input_523100!A:H,8,FALSE))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input_523100!A$2</f>
        <v>523100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IFERROR(VLOOKUP(B121,input_523100!L:R,7,FALSE),VLOOKUP(tables_523100!C121,input_523100!A:H,8,FALSE))</f>
        <v>1011008.98077</v>
      </c>
      <c r="P121" s="46">
        <f t="shared" ca="1" si="4"/>
        <v>7.7117389837505022E-3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input_523100!A$2</f>
        <v>523100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IFERROR(VLOOKUP(B122,input_523100!L:R,7,FALSE),VLOOKUP(tables_523100!C122,input_523100!A:H,8,FALSE))</f>
        <v>19851.019230000002</v>
      </c>
      <c r="P122" s="46">
        <f t="shared" ca="1" si="4"/>
        <v>1.514189109839354E-4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input_523100!A$2</f>
        <v>523100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IFERROR(VLOOKUP(B123,input_523100!L:R,7,FALSE),VLOOKUP(tables_523100!C123,input_523100!A:H,8,FALSE))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input_523100!A$2</f>
        <v>523100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IFERROR(VLOOKUP(B124,input_523100!L:R,7,FALSE),VLOOKUP(tables_523100!C124,input_523100!A:H,8,FALSE))</f>
        <v>1011008.98077</v>
      </c>
      <c r="P124" s="46">
        <f t="shared" ca="1" si="4"/>
        <v>7.7117389837505022E-3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input_523100!A$2</f>
        <v>523100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IFERROR(VLOOKUP(B125,input_523100!L:R,7,FALSE),VLOOKUP(tables_523100!C125,input_523100!A:H,8,FALSE))</f>
        <v>19851.019230000002</v>
      </c>
      <c r="P125" s="46">
        <f t="shared" ca="1" si="4"/>
        <v>1.514189109839354E-4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input_523100!A$2</f>
        <v>523100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IFERROR(VLOOKUP(B126,input_523100!L:R,7,FALSE),VLOOKUP(tables_523100!C126,input_523100!A:H,8,FALSE))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input_523100!A$2</f>
        <v>523100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IFERROR(VLOOKUP(B127,input_523100!L:R,7,FALSE),VLOOKUP(tables_523100!C127,input_523100!A:H,8,FALSE))</f>
        <v>1011008.98077</v>
      </c>
      <c r="P127" s="46">
        <f t="shared" ca="1" si="4"/>
        <v>7.7117389837505022E-3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input_523100!A$2</f>
        <v>523100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IFERROR(VLOOKUP(B128,input_523100!L:R,7,FALSE),VLOOKUP(tables_523100!C128,input_523100!A:H,8,FALSE))</f>
        <v>19851.019230000002</v>
      </c>
      <c r="P128" s="46">
        <f t="shared" ca="1" si="4"/>
        <v>1.514189109839354E-4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input_523100!A$2</f>
        <v>523100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IFERROR(VLOOKUP(B129,input_523100!L:R,7,FALSE),VLOOKUP(tables_523100!C129,input_523100!A:H,8,FALSE))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input_523100!A$2</f>
        <v>523100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IFERROR(VLOOKUP(B130,input_523100!L:R,7,FALSE),VLOOKUP(tables_523100!C130,input_523100!A:H,8,FALSE))</f>
        <v>1011008.98077</v>
      </c>
      <c r="P130" s="46">
        <f t="shared" ref="P130:P193" ca="1" si="7">O130/SUM(O:O)</f>
        <v>7.7117389837505022E-3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input_523100!A$2</f>
        <v>523100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IFERROR(VLOOKUP(B131,input_523100!L:R,7,FALSE),VLOOKUP(tables_523100!C131,input_523100!A:H,8,FALSE))</f>
        <v>19851.019230000002</v>
      </c>
      <c r="P131" s="46">
        <f t="shared" ca="1" si="7"/>
        <v>1.514189109839354E-4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input_523100!A$2</f>
        <v>523100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IFERROR(VLOOKUP(B132,input_523100!L:R,7,FALSE),VLOOKUP(tables_523100!C132,input_523100!A:H,8,FALSE))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input_523100!A$2</f>
        <v>523100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IFERROR(VLOOKUP(B133,input_523100!L:R,7,FALSE),VLOOKUP(tables_523100!C133,input_523100!A:H,8,FALSE))</f>
        <v>1011008.98077</v>
      </c>
      <c r="P133" s="46">
        <f t="shared" ca="1" si="7"/>
        <v>7.7117389837505022E-3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input_523100!A$2</f>
        <v>523100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IFERROR(VLOOKUP(B134,input_523100!L:R,7,FALSE),VLOOKUP(tables_523100!C134,input_523100!A:H,8,FALSE))</f>
        <v>19851.019230000002</v>
      </c>
      <c r="P134" s="46">
        <f t="shared" ca="1" si="7"/>
        <v>1.514189109839354E-4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input_523100!A$2</f>
        <v>523100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IFERROR(VLOOKUP(B135,input_523100!L:R,7,FALSE),VLOOKUP(tables_523100!C135,input_523100!A:H,8,FALSE))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input_523100!A$2</f>
        <v>523100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IFERROR(VLOOKUP(B136,input_523100!L:R,7,FALSE),VLOOKUP(tables_523100!C136,input_523100!A:H,8,FALSE))</f>
        <v>1011008.98077</v>
      </c>
      <c r="P136" s="46">
        <f t="shared" ca="1" si="7"/>
        <v>7.7117389837505022E-3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input_523100!A$2</f>
        <v>523100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IFERROR(VLOOKUP(B137,input_523100!L:R,7,FALSE),VLOOKUP(tables_523100!C137,input_523100!A:H,8,FALSE))</f>
        <v>19851.019230000002</v>
      </c>
      <c r="P137" s="46">
        <f t="shared" ca="1" si="7"/>
        <v>1.514189109839354E-4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input_523100!A$2</f>
        <v>523100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IFERROR(VLOOKUP(B138,input_523100!L:R,7,FALSE),VLOOKUP(tables_523100!C138,input_523100!A:H,8,FALSE))</f>
        <v>90250</v>
      </c>
      <c r="P138" s="46">
        <f t="shared" ca="1" si="7"/>
        <v>6.8840579710123875E-4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input_523100!A$2</f>
        <v>523100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IFERROR(VLOOKUP(B139,input_523100!L:R,7,FALSE),VLOOKUP(tables_523100!C139,input_523100!A:H,8,FALSE))</f>
        <v>4750</v>
      </c>
      <c r="P139" s="46">
        <f t="shared" ca="1" si="7"/>
        <v>3.6231884057959934E-5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input_523100!A$2</f>
        <v>523100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IFERROR(VLOOKUP(B140,input_523100!L:R,7,FALSE),VLOOKUP(tables_523100!C140,input_523100!A:H,8,FALSE))</f>
        <v>90250</v>
      </c>
      <c r="P140" s="46">
        <f t="shared" ca="1" si="7"/>
        <v>6.8840579710123875E-4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input_523100!A$2</f>
        <v>523100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IFERROR(VLOOKUP(B141,input_523100!L:R,7,FALSE),VLOOKUP(tables_523100!C141,input_523100!A:H,8,FALSE))</f>
        <v>4750</v>
      </c>
      <c r="P141" s="46">
        <f t="shared" ca="1" si="7"/>
        <v>3.6231884057959934E-5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input_523100!A$2</f>
        <v>523100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IFERROR(VLOOKUP(B142,input_523100!L:R,7,FALSE),VLOOKUP(tables_523100!C142,input_523100!A:H,8,FALSE))</f>
        <v>90250</v>
      </c>
      <c r="P142" s="46">
        <f t="shared" ca="1" si="7"/>
        <v>6.8840579710123875E-4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input_523100!A$2</f>
        <v>523100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IFERROR(VLOOKUP(B143,input_523100!L:R,7,FALSE),VLOOKUP(tables_523100!C143,input_523100!A:H,8,FALSE))</f>
        <v>4750</v>
      </c>
      <c r="P143" s="46">
        <f t="shared" ca="1" si="7"/>
        <v>3.6231884057959934E-5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input_523100!A$2</f>
        <v>523100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IFERROR(VLOOKUP(B144,input_523100!L:R,7,FALSE),VLOOKUP(tables_523100!C144,input_523100!A:H,8,FALSE))</f>
        <v>90250</v>
      </c>
      <c r="P144" s="46">
        <f t="shared" ca="1" si="7"/>
        <v>6.8840579710123875E-4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input_523100!A$2</f>
        <v>523100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IFERROR(VLOOKUP(B145,input_523100!L:R,7,FALSE),VLOOKUP(tables_523100!C145,input_523100!A:H,8,FALSE))</f>
        <v>4750</v>
      </c>
      <c r="P145" s="46">
        <f t="shared" ca="1" si="7"/>
        <v>3.6231884057959934E-5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input_523100!A$2</f>
        <v>523100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IFERROR(VLOOKUP(B146,input_523100!L:R,7,FALSE),VLOOKUP(tables_523100!C146,input_523100!A:H,8,FALSE))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input_523100!A$2</f>
        <v>523100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IFERROR(VLOOKUP(B147,input_523100!L:R,7,FALSE),VLOOKUP(tables_523100!C147,input_523100!A:H,8,FALSE))</f>
        <v>1011008.98077</v>
      </c>
      <c r="P147" s="46">
        <f t="shared" ca="1" si="7"/>
        <v>7.7117389837505022E-3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input_523100!A$2</f>
        <v>523100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IFERROR(VLOOKUP(B148,input_523100!L:R,7,FALSE),VLOOKUP(tables_523100!C148,input_523100!A:H,8,FALSE))</f>
        <v>19851.019230000002</v>
      </c>
      <c r="P148" s="46">
        <f t="shared" ca="1" si="7"/>
        <v>1.514189109839354E-4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input_523100!A$2</f>
        <v>523100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IFERROR(VLOOKUP(B149,input_523100!L:R,7,FALSE),VLOOKUP(tables_523100!C149,input_523100!A:H,8,FALSE))</f>
        <v>90250</v>
      </c>
      <c r="P149" s="46">
        <f t="shared" ca="1" si="7"/>
        <v>6.8840579710123875E-4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input_523100!A$2</f>
        <v>523100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IFERROR(VLOOKUP(B150,input_523100!L:R,7,FALSE),VLOOKUP(tables_523100!C150,input_523100!A:H,8,FALSE))</f>
        <v>4750</v>
      </c>
      <c r="P150" s="46">
        <f t="shared" ca="1" si="7"/>
        <v>3.6231884057959934E-5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input_523100!A$2</f>
        <v>523100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IFERROR(VLOOKUP(B151,input_523100!L:R,7,FALSE),VLOOKUP(tables_523100!C151,input_523100!A:H,8,FALSE))</f>
        <v>90250</v>
      </c>
      <c r="P151" s="46">
        <f t="shared" ca="1" si="7"/>
        <v>6.8840579710123875E-4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input_523100!A$2</f>
        <v>523100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IFERROR(VLOOKUP(B152,input_523100!L:R,7,FALSE),VLOOKUP(tables_523100!C152,input_523100!A:H,8,FALSE))</f>
        <v>4750</v>
      </c>
      <c r="P152" s="46">
        <f t="shared" ca="1" si="7"/>
        <v>3.6231884057959934E-5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input_523100!A$2</f>
        <v>523100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IFERROR(VLOOKUP(B153,input_523100!L:R,7,FALSE),VLOOKUP(tables_523100!C153,input_523100!A:H,8,FALSE))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input_523100!A$2</f>
        <v>523100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IFERROR(VLOOKUP(B154,input_523100!L:R,7,FALSE),VLOOKUP(tables_523100!C154,input_523100!A:H,8,FALSE))</f>
        <v>1011008.98077</v>
      </c>
      <c r="P154" s="46">
        <f t="shared" ca="1" si="7"/>
        <v>7.7117389837505022E-3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input_523100!A$2</f>
        <v>523100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IFERROR(VLOOKUP(B155,input_523100!L:R,7,FALSE),VLOOKUP(tables_523100!C155,input_523100!A:H,8,FALSE))</f>
        <v>19851.019230000002</v>
      </c>
      <c r="P155" s="46">
        <f t="shared" ca="1" si="7"/>
        <v>1.514189109839354E-4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input_523100!A$2</f>
        <v>523100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IFERROR(VLOOKUP(B156,input_523100!L:R,7,FALSE),VLOOKUP(tables_523100!C156,input_523100!A:H,8,FALSE))</f>
        <v>90250</v>
      </c>
      <c r="P156" s="46">
        <f t="shared" ca="1" si="7"/>
        <v>6.8840579710123875E-4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input_523100!A$2</f>
        <v>523100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IFERROR(VLOOKUP(B157,input_523100!L:R,7,FALSE),VLOOKUP(tables_523100!C157,input_523100!A:H,8,FALSE))</f>
        <v>4750</v>
      </c>
      <c r="P157" s="46">
        <f t="shared" ca="1" si="7"/>
        <v>3.6231884057959934E-5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input_523100!A$2</f>
        <v>523100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IFERROR(VLOOKUP(B158,input_523100!L:R,7,FALSE),VLOOKUP(tables_523100!C158,input_523100!A:H,8,FALSE))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input_523100!A$2</f>
        <v>523100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IFERROR(VLOOKUP(B159,input_523100!L:R,7,FALSE),VLOOKUP(tables_523100!C159,input_523100!A:H,8,FALSE))</f>
        <v>1011008.98077</v>
      </c>
      <c r="P159" s="46">
        <f t="shared" ca="1" si="7"/>
        <v>7.7117389837505022E-3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input_523100!A$2</f>
        <v>523100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IFERROR(VLOOKUP(B160,input_523100!L:R,7,FALSE),VLOOKUP(tables_523100!C160,input_523100!A:H,8,FALSE))</f>
        <v>19851.019230000002</v>
      </c>
      <c r="P160" s="46">
        <f t="shared" ca="1" si="7"/>
        <v>1.514189109839354E-4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input_523100!A$2</f>
        <v>523100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IFERROR(VLOOKUP(B161,input_523100!L:R,7,FALSE),VLOOKUP(tables_523100!C161,input_523100!A:H,8,FALSE))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input_523100!A$2</f>
        <v>523100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IFERROR(VLOOKUP(B162,input_523100!L:R,7,FALSE),VLOOKUP(tables_523100!C162,input_523100!A:H,8,FALSE))</f>
        <v>1011008.98077</v>
      </c>
      <c r="P162" s="46">
        <f t="shared" ca="1" si="7"/>
        <v>7.7117389837505022E-3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input_523100!A$2</f>
        <v>523100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IFERROR(VLOOKUP(B163,input_523100!L:R,7,FALSE),VLOOKUP(tables_523100!C163,input_523100!A:H,8,FALSE))</f>
        <v>19851.019230000002</v>
      </c>
      <c r="P163" s="46">
        <f t="shared" ca="1" si="7"/>
        <v>1.514189109839354E-4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input_523100!A$2</f>
        <v>523100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IFERROR(VLOOKUP(B164,input_523100!L:R,7,FALSE),VLOOKUP(tables_523100!C164,input_523100!A:H,8,FALSE))</f>
        <v>90250</v>
      </c>
      <c r="P164" s="46">
        <f t="shared" ca="1" si="7"/>
        <v>6.8840579710123875E-4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input_523100!A$2</f>
        <v>523100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IFERROR(VLOOKUP(B165,input_523100!L:R,7,FALSE),VLOOKUP(tables_523100!C165,input_523100!A:H,8,FALSE))</f>
        <v>4750</v>
      </c>
      <c r="P165" s="46">
        <f t="shared" ca="1" si="7"/>
        <v>3.6231884057959934E-5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input_523100!A$2</f>
        <v>523100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IFERROR(VLOOKUP(B166,input_523100!L:R,7,FALSE),VLOOKUP(tables_523100!C166,input_523100!A:H,8,FALSE))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input_523100!A$2</f>
        <v>523100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IFERROR(VLOOKUP(B167,input_523100!L:R,7,FALSE),VLOOKUP(tables_523100!C167,input_523100!A:H,8,FALSE))</f>
        <v>1011008.98077</v>
      </c>
      <c r="P167" s="46">
        <f t="shared" ca="1" si="7"/>
        <v>7.7117389837505022E-3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input_523100!A$2</f>
        <v>523100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IFERROR(VLOOKUP(B168,input_523100!L:R,7,FALSE),VLOOKUP(tables_523100!C168,input_523100!A:H,8,FALSE))</f>
        <v>19851.019230000002</v>
      </c>
      <c r="P168" s="46">
        <f t="shared" ca="1" si="7"/>
        <v>1.514189109839354E-4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input_523100!A$2</f>
        <v>523100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IFERROR(VLOOKUP(B169,input_523100!L:R,7,FALSE),VLOOKUP(tables_523100!C169,input_523100!A:H,8,FALSE))</f>
        <v>90250</v>
      </c>
      <c r="P169" s="46">
        <f t="shared" ca="1" si="7"/>
        <v>6.8840579710123875E-4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input_523100!A$2</f>
        <v>523100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IFERROR(VLOOKUP(B170,input_523100!L:R,7,FALSE),VLOOKUP(tables_523100!C170,input_523100!A:H,8,FALSE))</f>
        <v>4750</v>
      </c>
      <c r="P170" s="46">
        <f t="shared" ca="1" si="7"/>
        <v>3.6231884057959934E-5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input_523100!A$2</f>
        <v>523100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IFERROR(VLOOKUP(B171,input_523100!L:R,7,FALSE),VLOOKUP(tables_523100!C171,input_523100!A:H,8,FALSE))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input_523100!A$2</f>
        <v>523100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IFERROR(VLOOKUP(B172,input_523100!L:R,7,FALSE),VLOOKUP(tables_523100!C172,input_523100!A:H,8,FALSE))</f>
        <v>1011008.98077</v>
      </c>
      <c r="P172" s="46">
        <f t="shared" ca="1" si="7"/>
        <v>7.7117389837505022E-3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input_523100!A$2</f>
        <v>523100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IFERROR(VLOOKUP(B173,input_523100!L:R,7,FALSE),VLOOKUP(tables_523100!C173,input_523100!A:H,8,FALSE))</f>
        <v>19851.019230000002</v>
      </c>
      <c r="P173" s="46">
        <f t="shared" ca="1" si="7"/>
        <v>1.514189109839354E-4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input_523100!A$2</f>
        <v>523100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IFERROR(VLOOKUP(B174,input_523100!L:R,7,FALSE),VLOOKUP(tables_523100!C174,input_523100!A:H,8,FALSE))</f>
        <v>90250</v>
      </c>
      <c r="P174" s="46">
        <f t="shared" ca="1" si="7"/>
        <v>6.8840579710123875E-4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input_523100!A$2</f>
        <v>523100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IFERROR(VLOOKUP(B175,input_523100!L:R,7,FALSE),VLOOKUP(tables_523100!C175,input_523100!A:H,8,FALSE))</f>
        <v>4750</v>
      </c>
      <c r="P175" s="46">
        <f t="shared" ca="1" si="7"/>
        <v>3.6231884057959934E-5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input_523100!A$2</f>
        <v>523100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IFERROR(VLOOKUP(B176,input_523100!L:R,7,FALSE),VLOOKUP(tables_523100!C176,input_523100!A:H,8,FALSE))</f>
        <v>90250</v>
      </c>
      <c r="P176" s="46">
        <f t="shared" ca="1" si="7"/>
        <v>6.8840579710123875E-4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input_523100!A$2</f>
        <v>523100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IFERROR(VLOOKUP(B177,input_523100!L:R,7,FALSE),VLOOKUP(tables_523100!C177,input_523100!A:H,8,FALSE))</f>
        <v>4750</v>
      </c>
      <c r="P177" s="46">
        <f t="shared" ca="1" si="7"/>
        <v>3.6231884057959934E-5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input_523100!A$2</f>
        <v>523100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IFERROR(VLOOKUP(B178,input_523100!L:R,7,FALSE),VLOOKUP(tables_523100!C178,input_523100!A:H,8,FALSE))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input_523100!A$2</f>
        <v>523100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IFERROR(VLOOKUP(B179,input_523100!L:R,7,FALSE),VLOOKUP(tables_523100!C179,input_523100!A:H,8,FALSE))</f>
        <v>1011008.98077</v>
      </c>
      <c r="P179" s="46">
        <f t="shared" ca="1" si="7"/>
        <v>7.7117389837505022E-3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input_523100!A$2</f>
        <v>523100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IFERROR(VLOOKUP(B180,input_523100!L:R,7,FALSE),VLOOKUP(tables_523100!C180,input_523100!A:H,8,FALSE))</f>
        <v>19851.019230000002</v>
      </c>
      <c r="P180" s="46">
        <f t="shared" ca="1" si="7"/>
        <v>1.514189109839354E-4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input_523100!A$2</f>
        <v>523100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IFERROR(VLOOKUP(B181,input_523100!L:R,7,FALSE),VLOOKUP(tables_523100!C181,input_523100!A:H,8,FALSE))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input_523100!A$2</f>
        <v>523100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IFERROR(VLOOKUP(B182,input_523100!L:R,7,FALSE),VLOOKUP(tables_523100!C182,input_523100!A:H,8,FALSE))</f>
        <v>1011008.98077</v>
      </c>
      <c r="P182" s="46">
        <f t="shared" ca="1" si="7"/>
        <v>7.7117389837505022E-3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input_523100!A$2</f>
        <v>523100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IFERROR(VLOOKUP(B183,input_523100!L:R,7,FALSE),VLOOKUP(tables_523100!C183,input_523100!A:H,8,FALSE))</f>
        <v>19851.019230000002</v>
      </c>
      <c r="P183" s="46">
        <f t="shared" ca="1" si="7"/>
        <v>1.514189109839354E-4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input_523100!A$2</f>
        <v>523100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IFERROR(VLOOKUP(B184,input_523100!L:R,7,FALSE),VLOOKUP(tables_523100!C184,input_523100!A:H,8,FALSE))</f>
        <v>90250</v>
      </c>
      <c r="P184" s="46">
        <f t="shared" ca="1" si="7"/>
        <v>6.8840579710123875E-4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input_523100!A$2</f>
        <v>523100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IFERROR(VLOOKUP(B185,input_523100!L:R,7,FALSE),VLOOKUP(tables_523100!C185,input_523100!A:H,8,FALSE))</f>
        <v>4750</v>
      </c>
      <c r="P185" s="46">
        <f t="shared" ca="1" si="7"/>
        <v>3.6231884057959934E-5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input_523100!A$2</f>
        <v>523100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IFERROR(VLOOKUP(B186,input_523100!L:R,7,FALSE),VLOOKUP(tables_523100!C186,input_523100!A:H,8,FALSE))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input_523100!A$2</f>
        <v>523100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IFERROR(VLOOKUP(B187,input_523100!L:R,7,FALSE),VLOOKUP(tables_523100!C187,input_523100!A:H,8,FALSE))</f>
        <v>1011008.98077</v>
      </c>
      <c r="P187" s="46">
        <f t="shared" ca="1" si="7"/>
        <v>7.7117389837505022E-3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input_523100!A$2</f>
        <v>523100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IFERROR(VLOOKUP(B188,input_523100!L:R,7,FALSE),VLOOKUP(tables_523100!C188,input_523100!A:H,8,FALSE))</f>
        <v>19851.019230000002</v>
      </c>
      <c r="P188" s="46">
        <f t="shared" ca="1" si="7"/>
        <v>1.514189109839354E-4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input_523100!A$2</f>
        <v>523100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IFERROR(VLOOKUP(B189,input_523100!L:R,7,FALSE),VLOOKUP(tables_523100!C189,input_523100!A:H,8,FALSE))</f>
        <v>90250</v>
      </c>
      <c r="P189" s="46">
        <f t="shared" ca="1" si="7"/>
        <v>6.8840579710123875E-4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input_523100!A$2</f>
        <v>523100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IFERROR(VLOOKUP(B190,input_523100!L:R,7,FALSE),VLOOKUP(tables_523100!C190,input_523100!A:H,8,FALSE))</f>
        <v>4750</v>
      </c>
      <c r="P190" s="46">
        <f t="shared" ca="1" si="7"/>
        <v>3.6231884057959934E-5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input_523100!A$2</f>
        <v>523100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IFERROR(VLOOKUP(B191,input_523100!L:R,7,FALSE),VLOOKUP(tables_523100!C191,input_523100!A:H,8,FALSE))</f>
        <v>90250</v>
      </c>
      <c r="P191" s="46">
        <f t="shared" ca="1" si="7"/>
        <v>6.8840579710123875E-4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input_523100!A$2</f>
        <v>523100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IFERROR(VLOOKUP(B192,input_523100!L:R,7,FALSE),VLOOKUP(tables_523100!C192,input_523100!A:H,8,FALSE))</f>
        <v>4750</v>
      </c>
      <c r="P192" s="46">
        <f t="shared" ca="1" si="7"/>
        <v>3.6231884057959934E-5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input_523100!A$2</f>
        <v>523100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IFERROR(VLOOKUP(B193,input_523100!L:R,7,FALSE),VLOOKUP(tables_523100!C193,input_523100!A:H,8,FALSE))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input_523100!A$2</f>
        <v>523100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IFERROR(VLOOKUP(B194,input_523100!L:R,7,FALSE),VLOOKUP(tables_523100!C194,input_523100!A:H,8,FALSE))</f>
        <v>1011008.98077</v>
      </c>
      <c r="P194" s="46">
        <f t="shared" ref="P194:P257" ca="1" si="10">O194/SUM(O:O)</f>
        <v>7.7117389837505022E-3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input_523100!A$2</f>
        <v>523100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IFERROR(VLOOKUP(B195,input_523100!L:R,7,FALSE),VLOOKUP(tables_523100!C195,input_523100!A:H,8,FALSE))</f>
        <v>19851.019230000002</v>
      </c>
      <c r="P195" s="46">
        <f t="shared" ca="1" si="10"/>
        <v>1.514189109839354E-4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input_523100!A$2</f>
        <v>523100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IFERROR(VLOOKUP(B196,input_523100!L:R,7,FALSE),VLOOKUP(tables_523100!C196,input_523100!A:H,8,FALSE))</f>
        <v>90250</v>
      </c>
      <c r="P196" s="46">
        <f t="shared" ca="1" si="10"/>
        <v>6.8840579710123875E-4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input_523100!A$2</f>
        <v>523100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IFERROR(VLOOKUP(B197,input_523100!L:R,7,FALSE),VLOOKUP(tables_523100!C197,input_523100!A:H,8,FALSE))</f>
        <v>4750</v>
      </c>
      <c r="P197" s="46">
        <f t="shared" ca="1" si="10"/>
        <v>3.6231884057959934E-5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input_523100!A$2</f>
        <v>523100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IFERROR(VLOOKUP(B198,input_523100!L:R,7,FALSE),VLOOKUP(tables_523100!C198,input_523100!A:H,8,FALSE))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input_523100!A$2</f>
        <v>523100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IFERROR(VLOOKUP(B199,input_523100!L:R,7,FALSE),VLOOKUP(tables_523100!C199,input_523100!A:H,8,FALSE))</f>
        <v>1011008.98077</v>
      </c>
      <c r="P199" s="46">
        <f t="shared" ca="1" si="10"/>
        <v>7.7117389837505022E-3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input_523100!A$2</f>
        <v>523100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IFERROR(VLOOKUP(B200,input_523100!L:R,7,FALSE),VLOOKUP(tables_523100!C200,input_523100!A:H,8,FALSE))</f>
        <v>19851.019230000002</v>
      </c>
      <c r="P200" s="46">
        <f t="shared" ca="1" si="10"/>
        <v>1.514189109839354E-4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input_523100!A$2</f>
        <v>523100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IFERROR(VLOOKUP(B201,input_523100!L:R,7,FALSE),VLOOKUP(tables_523100!C201,input_523100!A:H,8,FALSE))</f>
        <v>90250</v>
      </c>
      <c r="P201" s="46">
        <f t="shared" ca="1" si="10"/>
        <v>6.8840579710123875E-4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input_523100!A$2</f>
        <v>523100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IFERROR(VLOOKUP(B202,input_523100!L:R,7,FALSE),VLOOKUP(tables_523100!C202,input_523100!A:H,8,FALSE))</f>
        <v>4750</v>
      </c>
      <c r="P202" s="46">
        <f t="shared" ca="1" si="10"/>
        <v>3.6231884057959934E-5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input_523100!A$2</f>
        <v>523100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IFERROR(VLOOKUP(B203,input_523100!L:R,7,FALSE),VLOOKUP(tables_523100!C203,input_523100!A:H,8,FALSE))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input_523100!A$2</f>
        <v>523100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IFERROR(VLOOKUP(B204,input_523100!L:R,7,FALSE),VLOOKUP(tables_523100!C204,input_523100!A:H,8,FALSE))</f>
        <v>1011008.98077</v>
      </c>
      <c r="P204" s="46">
        <f t="shared" ca="1" si="10"/>
        <v>7.7117389837505022E-3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input_523100!A$2</f>
        <v>523100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IFERROR(VLOOKUP(B205,input_523100!L:R,7,FALSE),VLOOKUP(tables_523100!C205,input_523100!A:H,8,FALSE))</f>
        <v>19851.019230000002</v>
      </c>
      <c r="P205" s="46">
        <f t="shared" ca="1" si="10"/>
        <v>1.514189109839354E-4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input_523100!A$2</f>
        <v>523100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IFERROR(VLOOKUP(B206,input_523100!L:R,7,FALSE),VLOOKUP(tables_523100!C206,input_523100!A:H,8,FALSE))</f>
        <v>90250</v>
      </c>
      <c r="P206" s="46">
        <f t="shared" ca="1" si="10"/>
        <v>6.8840579710123875E-4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input_523100!A$2</f>
        <v>523100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IFERROR(VLOOKUP(B207,input_523100!L:R,7,FALSE),VLOOKUP(tables_523100!C207,input_523100!A:H,8,FALSE))</f>
        <v>4750</v>
      </c>
      <c r="P207" s="46">
        <f t="shared" ca="1" si="10"/>
        <v>3.6231884057959934E-5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input_523100!A$2</f>
        <v>523100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IFERROR(VLOOKUP(B208,input_523100!L:R,7,FALSE),VLOOKUP(tables_523100!C208,input_523100!A:H,8,FALSE))</f>
        <v>90250</v>
      </c>
      <c r="P208" s="46">
        <f t="shared" ca="1" si="10"/>
        <v>6.8840579710123875E-4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input_523100!A$2</f>
        <v>523100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IFERROR(VLOOKUP(B209,input_523100!L:R,7,FALSE),VLOOKUP(tables_523100!C209,input_523100!A:H,8,FALSE))</f>
        <v>4750</v>
      </c>
      <c r="P209" s="46">
        <f t="shared" ca="1" si="10"/>
        <v>3.6231884057959934E-5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input_523100!A$2</f>
        <v>523100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IFERROR(VLOOKUP(B210,input_523100!L:R,7,FALSE),VLOOKUP(tables_523100!C210,input_523100!A:H,8,FALSE))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input_523100!A$2</f>
        <v>523100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IFERROR(VLOOKUP(B211,input_523100!L:R,7,FALSE),VLOOKUP(tables_523100!C211,input_523100!A:H,8,FALSE))</f>
        <v>1011008.98077</v>
      </c>
      <c r="P211" s="46">
        <f t="shared" ca="1" si="10"/>
        <v>7.7117389837505022E-3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input_523100!A$2</f>
        <v>523100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IFERROR(VLOOKUP(B212,input_523100!L:R,7,FALSE),VLOOKUP(tables_523100!C212,input_523100!A:H,8,FALSE))</f>
        <v>19851.019230000002</v>
      </c>
      <c r="P212" s="46">
        <f t="shared" ca="1" si="10"/>
        <v>1.514189109839354E-4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input_523100!A$2</f>
        <v>523100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IFERROR(VLOOKUP(B213,input_523100!L:R,7,FALSE),VLOOKUP(tables_523100!C213,input_523100!A:H,8,FALSE))</f>
        <v>90250</v>
      </c>
      <c r="P213" s="46">
        <f t="shared" ca="1" si="10"/>
        <v>6.8840579710123875E-4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input_523100!A$2</f>
        <v>523100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IFERROR(VLOOKUP(B214,input_523100!L:R,7,FALSE),VLOOKUP(tables_523100!C214,input_523100!A:H,8,FALSE))</f>
        <v>4750</v>
      </c>
      <c r="P214" s="46">
        <f t="shared" ca="1" si="10"/>
        <v>3.6231884057959934E-5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input_523100!A$2</f>
        <v>523100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IFERROR(VLOOKUP(B215,input_523100!L:R,7,FALSE),VLOOKUP(tables_523100!C215,input_523100!A:H,8,FALSE))</f>
        <v>51543</v>
      </c>
      <c r="P215" s="46">
        <f t="shared" ca="1" si="10"/>
        <v>3.9315789473672188E-4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input_523100!A$2</f>
        <v>523100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IFERROR(VLOOKUP(B216,input_523100!L:R,7,FALSE),VLOOKUP(tables_523100!C216,input_523100!A:H,8,FALSE))</f>
        <v>51543</v>
      </c>
      <c r="P216" s="46">
        <f t="shared" ca="1" si="10"/>
        <v>3.9315789473672188E-4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input_523100!A$2</f>
        <v>523100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IFERROR(VLOOKUP(B217,input_523100!L:R,7,FALSE),VLOOKUP(tables_523100!C217,input_523100!A:H,8,FALSE))</f>
        <v>51543</v>
      </c>
      <c r="P217" s="46">
        <f t="shared" ca="1" si="10"/>
        <v>3.9315789473672188E-4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input_523100!A$2</f>
        <v>523100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IFERROR(VLOOKUP(B218,input_523100!L:R,7,FALSE),VLOOKUP(tables_523100!C218,input_523100!A:H,8,FALSE))</f>
        <v>51543</v>
      </c>
      <c r="P218" s="46">
        <f t="shared" ca="1" si="10"/>
        <v>3.9315789473672188E-4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input_523100!A$2</f>
        <v>523100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IFERROR(VLOOKUP(B219,input_523100!L:R,7,FALSE),VLOOKUP(tables_523100!C219,input_523100!A:H,8,FALSE))</f>
        <v>51543</v>
      </c>
      <c r="P219" s="46">
        <f t="shared" ca="1" si="10"/>
        <v>3.9315789473672188E-4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input_523100!A$2</f>
        <v>523100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IFERROR(VLOOKUP(B220,input_523100!L:R,7,FALSE),VLOOKUP(tables_523100!C220,input_523100!A:H,8,FALSE))</f>
        <v>51543</v>
      </c>
      <c r="P220" s="46">
        <f t="shared" ca="1" si="10"/>
        <v>3.9315789473672188E-4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input_523100!A$2</f>
        <v>523100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IFERROR(VLOOKUP(B221,input_523100!L:R,7,FALSE),VLOOKUP(tables_523100!C221,input_523100!A:H,8,FALSE))</f>
        <v>90250</v>
      </c>
      <c r="P221" s="46">
        <f t="shared" ca="1" si="10"/>
        <v>6.8840579710123875E-4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input_523100!A$2</f>
        <v>523100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IFERROR(VLOOKUP(B222,input_523100!L:R,7,FALSE),VLOOKUP(tables_523100!C222,input_523100!A:H,8,FALSE))</f>
        <v>4750</v>
      </c>
      <c r="P222" s="46">
        <f t="shared" ca="1" si="10"/>
        <v>3.6231884057959934E-5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input_523100!A$2</f>
        <v>523100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IFERROR(VLOOKUP(B223,input_523100!L:R,7,FALSE),VLOOKUP(tables_523100!C223,input_523100!A:H,8,FALSE))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input_523100!A$2</f>
        <v>523100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IFERROR(VLOOKUP(B224,input_523100!L:R,7,FALSE),VLOOKUP(tables_523100!C224,input_523100!A:H,8,FALSE))</f>
        <v>1011008.98077</v>
      </c>
      <c r="P224" s="46">
        <f t="shared" ca="1" si="10"/>
        <v>7.7117389837505022E-3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input_523100!A$2</f>
        <v>523100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IFERROR(VLOOKUP(B225,input_523100!L:R,7,FALSE),VLOOKUP(tables_523100!C225,input_523100!A:H,8,FALSE))</f>
        <v>19851.019230000002</v>
      </c>
      <c r="P225" s="46">
        <f t="shared" ca="1" si="10"/>
        <v>1.514189109839354E-4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input_523100!A$2</f>
        <v>523100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IFERROR(VLOOKUP(B226,input_523100!L:R,7,FALSE),VLOOKUP(tables_523100!C226,input_523100!A:H,8,FALSE))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input_523100!A$2</f>
        <v>523100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IFERROR(VLOOKUP(B227,input_523100!L:R,7,FALSE),VLOOKUP(tables_523100!C227,input_523100!A:H,8,FALSE))</f>
        <v>1011008.98077</v>
      </c>
      <c r="P227" s="46">
        <f t="shared" ca="1" si="10"/>
        <v>7.7117389837505022E-3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input_523100!A$2</f>
        <v>523100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IFERROR(VLOOKUP(B228,input_523100!L:R,7,FALSE),VLOOKUP(tables_523100!C228,input_523100!A:H,8,FALSE))</f>
        <v>19851.019230000002</v>
      </c>
      <c r="P228" s="46">
        <f t="shared" ca="1" si="10"/>
        <v>1.514189109839354E-4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input_523100!A$2</f>
        <v>523100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IFERROR(VLOOKUP(B229,input_523100!L:R,7,FALSE),VLOOKUP(tables_523100!C229,input_523100!A:H,8,FALSE))</f>
        <v>90250</v>
      </c>
      <c r="P229" s="46">
        <f t="shared" ca="1" si="10"/>
        <v>6.8840579710123875E-4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input_523100!A$2</f>
        <v>523100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IFERROR(VLOOKUP(B230,input_523100!L:R,7,FALSE),VLOOKUP(tables_523100!C230,input_523100!A:H,8,FALSE))</f>
        <v>4750</v>
      </c>
      <c r="P230" s="46">
        <f t="shared" ca="1" si="10"/>
        <v>3.6231884057959934E-5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input_523100!A$2</f>
        <v>523100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IFERROR(VLOOKUP(B231,input_523100!L:R,7,FALSE),VLOOKUP(tables_523100!C231,input_523100!A:H,8,FALSE))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input_523100!A$2</f>
        <v>523100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IFERROR(VLOOKUP(B232,input_523100!L:R,7,FALSE),VLOOKUP(tables_523100!C232,input_523100!A:H,8,FALSE))</f>
        <v>1011008.98077</v>
      </c>
      <c r="P232" s="46">
        <f t="shared" ca="1" si="10"/>
        <v>7.7117389837505022E-3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input_523100!A$2</f>
        <v>523100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IFERROR(VLOOKUP(B233,input_523100!L:R,7,FALSE),VLOOKUP(tables_523100!C233,input_523100!A:H,8,FALSE))</f>
        <v>19851.019230000002</v>
      </c>
      <c r="P233" s="46">
        <f t="shared" ca="1" si="10"/>
        <v>1.514189109839354E-4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input_523100!A$2</f>
        <v>523100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IFERROR(VLOOKUP(B234,input_523100!L:R,7,FALSE),VLOOKUP(tables_523100!C234,input_523100!A:H,8,FALSE))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input_523100!A$2</f>
        <v>523100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IFERROR(VLOOKUP(B235,input_523100!L:R,7,FALSE),VLOOKUP(tables_523100!C235,input_523100!A:H,8,FALSE))</f>
        <v>1011008.98077</v>
      </c>
      <c r="P235" s="46">
        <f t="shared" ca="1" si="10"/>
        <v>7.7117389837505022E-3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input_523100!A$2</f>
        <v>523100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IFERROR(VLOOKUP(B236,input_523100!L:R,7,FALSE),VLOOKUP(tables_523100!C236,input_523100!A:H,8,FALSE))</f>
        <v>19851.019230000002</v>
      </c>
      <c r="P236" s="46">
        <f t="shared" ca="1" si="10"/>
        <v>1.514189109839354E-4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input_523100!A$2</f>
        <v>523100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IFERROR(VLOOKUP(B237,input_523100!L:R,7,FALSE),VLOOKUP(tables_523100!C237,input_523100!A:H,8,FALSE))</f>
        <v>90250</v>
      </c>
      <c r="P237" s="46">
        <f t="shared" ca="1" si="10"/>
        <v>6.8840579710123875E-4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input_523100!A$2</f>
        <v>523100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IFERROR(VLOOKUP(B238,input_523100!L:R,7,FALSE),VLOOKUP(tables_523100!C238,input_523100!A:H,8,FALSE))</f>
        <v>4750</v>
      </c>
      <c r="P238" s="46">
        <f t="shared" ca="1" si="10"/>
        <v>3.6231884057959934E-5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input_523100!A$2</f>
        <v>523100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IFERROR(VLOOKUP(B239,input_523100!L:R,7,FALSE),VLOOKUP(tables_523100!C239,input_523100!A:H,8,FALSE))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input_523100!A$2</f>
        <v>523100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IFERROR(VLOOKUP(B240,input_523100!L:R,7,FALSE),VLOOKUP(tables_523100!C240,input_523100!A:H,8,FALSE))</f>
        <v>1011008.98077</v>
      </c>
      <c r="P240" s="46">
        <f t="shared" ca="1" si="10"/>
        <v>7.7117389837505022E-3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input_523100!A$2</f>
        <v>523100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IFERROR(VLOOKUP(B241,input_523100!L:R,7,FALSE),VLOOKUP(tables_523100!C241,input_523100!A:H,8,FALSE))</f>
        <v>19851.019230000002</v>
      </c>
      <c r="P241" s="46">
        <f t="shared" ca="1" si="10"/>
        <v>1.514189109839354E-4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input_523100!A$2</f>
        <v>523100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IFERROR(VLOOKUP(B242,input_523100!L:R,7,FALSE),VLOOKUP(tables_523100!C242,input_523100!A:H,8,FALSE))</f>
        <v>90250</v>
      </c>
      <c r="P242" s="46">
        <f t="shared" ca="1" si="10"/>
        <v>6.8840579710123875E-4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input_523100!A$2</f>
        <v>523100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IFERROR(VLOOKUP(B243,input_523100!L:R,7,FALSE),VLOOKUP(tables_523100!C243,input_523100!A:H,8,FALSE))</f>
        <v>4750</v>
      </c>
      <c r="P243" s="46">
        <f t="shared" ca="1" si="10"/>
        <v>3.6231884057959934E-5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input_523100!A$2</f>
        <v>523100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IFERROR(VLOOKUP(B244,input_523100!L:R,7,FALSE),VLOOKUP(tables_523100!C244,input_523100!A:H,8,FALSE))</f>
        <v>90250</v>
      </c>
      <c r="P244" s="46">
        <f t="shared" ca="1" si="10"/>
        <v>6.8840579710123875E-4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input_523100!A$2</f>
        <v>523100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IFERROR(VLOOKUP(B245,input_523100!L:R,7,FALSE),VLOOKUP(tables_523100!C245,input_523100!A:H,8,FALSE))</f>
        <v>4750</v>
      </c>
      <c r="P245" s="46">
        <f t="shared" ca="1" si="10"/>
        <v>3.6231884057959934E-5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input_523100!A$2</f>
        <v>523100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IFERROR(VLOOKUP(B246,input_523100!L:R,7,FALSE),VLOOKUP(tables_523100!C246,input_523100!A:H,8,FALSE))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input_523100!A$2</f>
        <v>523100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IFERROR(VLOOKUP(B247,input_523100!L:R,7,FALSE),VLOOKUP(tables_523100!C247,input_523100!A:H,8,FALSE))</f>
        <v>1011008.98077</v>
      </c>
      <c r="P247" s="46">
        <f t="shared" ca="1" si="10"/>
        <v>7.7117389837505022E-3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input_523100!A$2</f>
        <v>523100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IFERROR(VLOOKUP(B248,input_523100!L:R,7,FALSE),VLOOKUP(tables_523100!C248,input_523100!A:H,8,FALSE))</f>
        <v>19851.019230000002</v>
      </c>
      <c r="P248" s="46">
        <f t="shared" ca="1" si="10"/>
        <v>1.514189109839354E-4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input_523100!A$2</f>
        <v>523100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IFERROR(VLOOKUP(B249,input_523100!L:R,7,FALSE),VLOOKUP(tables_523100!C249,input_523100!A:H,8,FALSE))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input_523100!A$2</f>
        <v>523100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IFERROR(VLOOKUP(B250,input_523100!L:R,7,FALSE),VLOOKUP(tables_523100!C250,input_523100!A:H,8,FALSE))</f>
        <v>1011008.98077</v>
      </c>
      <c r="P250" s="46">
        <f t="shared" ca="1" si="10"/>
        <v>7.7117389837505022E-3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input_523100!A$2</f>
        <v>523100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IFERROR(VLOOKUP(B251,input_523100!L:R,7,FALSE),VLOOKUP(tables_523100!C251,input_523100!A:H,8,FALSE))</f>
        <v>19851.019230000002</v>
      </c>
      <c r="P251" s="46">
        <f t="shared" ca="1" si="10"/>
        <v>1.514189109839354E-4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input_523100!A$2</f>
        <v>523100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IFERROR(VLOOKUP(B252,input_523100!L:R,7,FALSE),VLOOKUP(tables_523100!C252,input_523100!A:H,8,FALSE))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input_523100!A$2</f>
        <v>523100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IFERROR(VLOOKUP(B253,input_523100!L:R,7,FALSE),VLOOKUP(tables_523100!C253,input_523100!A:H,8,FALSE))</f>
        <v>1011008.98077</v>
      </c>
      <c r="P253" s="46">
        <f t="shared" ca="1" si="10"/>
        <v>7.7117389837505022E-3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input_523100!A$2</f>
        <v>523100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IFERROR(VLOOKUP(B254,input_523100!L:R,7,FALSE),VLOOKUP(tables_523100!C254,input_523100!A:H,8,FALSE))</f>
        <v>19851.019230000002</v>
      </c>
      <c r="P254" s="46">
        <f t="shared" ca="1" si="10"/>
        <v>1.514189109839354E-4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input_523100!A$2</f>
        <v>523100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IFERROR(VLOOKUP(B255,input_523100!L:R,7,FALSE),VLOOKUP(tables_523100!C255,input_523100!A:H,8,FALSE))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input_523100!A$2</f>
        <v>523100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IFERROR(VLOOKUP(B256,input_523100!L:R,7,FALSE),VLOOKUP(tables_523100!C256,input_523100!A:H,8,FALSE))</f>
        <v>1011008.98077</v>
      </c>
      <c r="P256" s="46">
        <f t="shared" ca="1" si="10"/>
        <v>7.7117389837505022E-3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input_523100!A$2</f>
        <v>523100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IFERROR(VLOOKUP(B257,input_523100!L:R,7,FALSE),VLOOKUP(tables_523100!C257,input_523100!A:H,8,FALSE))</f>
        <v>19851.019230000002</v>
      </c>
      <c r="P257" s="46">
        <f t="shared" ca="1" si="10"/>
        <v>1.514189109839354E-4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input_523100!A$2</f>
        <v>523100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IFERROR(VLOOKUP(B258,input_523100!L:R,7,FALSE),VLOOKUP(tables_523100!C258,input_523100!A:H,8,FALSE))</f>
        <v>90250</v>
      </c>
      <c r="P258" s="46">
        <f t="shared" ref="P258:P321" ca="1" si="13">O258/SUM(O:O)</f>
        <v>6.8840579710123875E-4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input_523100!A$2</f>
        <v>523100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IFERROR(VLOOKUP(B259,input_523100!L:R,7,FALSE),VLOOKUP(tables_523100!C259,input_523100!A:H,8,FALSE))</f>
        <v>4750</v>
      </c>
      <c r="P259" s="46">
        <f t="shared" ca="1" si="13"/>
        <v>3.6231884057959934E-5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input_523100!A$2</f>
        <v>523100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IFERROR(VLOOKUP(B260,input_523100!L:R,7,FALSE),VLOOKUP(tables_523100!C260,input_523100!A:H,8,FALSE))</f>
        <v>90250</v>
      </c>
      <c r="P260" s="46">
        <f t="shared" ca="1" si="13"/>
        <v>6.8840579710123875E-4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input_523100!A$2</f>
        <v>523100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IFERROR(VLOOKUP(B261,input_523100!L:R,7,FALSE),VLOOKUP(tables_523100!C261,input_523100!A:H,8,FALSE))</f>
        <v>4750</v>
      </c>
      <c r="P261" s="46">
        <f t="shared" ca="1" si="13"/>
        <v>3.6231884057959934E-5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input_523100!A$2</f>
        <v>523100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IFERROR(VLOOKUP(B262,input_523100!L:R,7,FALSE),VLOOKUP(tables_523100!C262,input_523100!A:H,8,FALSE))</f>
        <v>963040.26315999997</v>
      </c>
      <c r="P262" s="46">
        <f t="shared" ca="1" si="13"/>
        <v>7.3458448753600716E-3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input_523100!A$2</f>
        <v>523100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IFERROR(VLOOKUP(B263,input_523100!L:R,7,FALSE),VLOOKUP(tables_523100!C263,input_523100!A:H,8,FALSE))</f>
        <v>51543</v>
      </c>
      <c r="P263" s="46">
        <f t="shared" ca="1" si="13"/>
        <v>3.9315789473672188E-4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input_523100!A$2</f>
        <v>523100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IFERROR(VLOOKUP(B264,input_523100!L:R,7,FALSE),VLOOKUP(tables_523100!C264,input_523100!A:H,8,FALSE))</f>
        <v>963040.26315999997</v>
      </c>
      <c r="P264" s="46">
        <f t="shared" ca="1" si="13"/>
        <v>7.3458448753600716E-3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input_523100!A$2</f>
        <v>523100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IFERROR(VLOOKUP(B265,input_523100!L:R,7,FALSE),VLOOKUP(tables_523100!C265,input_523100!A:H,8,FALSE))</f>
        <v>51543</v>
      </c>
      <c r="P265" s="46">
        <f t="shared" ca="1" si="13"/>
        <v>3.9315789473672188E-4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input_523100!A$2</f>
        <v>523100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IFERROR(VLOOKUP(B266,input_523100!L:R,7,FALSE),VLOOKUP(tables_523100!C266,input_523100!A:H,8,FALSE))</f>
        <v>95000</v>
      </c>
      <c r="P266" s="46">
        <f t="shared" ca="1" si="13"/>
        <v>7.2463768115919869E-4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input_523100!A$2</f>
        <v>523100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IFERROR(VLOOKUP(B267,input_523100!L:R,7,FALSE),VLOOKUP(tables_523100!C267,input_523100!A:H,8,FALSE))</f>
        <v>95000</v>
      </c>
      <c r="P267" s="46">
        <f t="shared" ca="1" si="13"/>
        <v>7.2463768115919869E-4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input_523100!A$2</f>
        <v>523100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IFERROR(VLOOKUP(B268,input_523100!L:R,7,FALSE),VLOOKUP(tables_523100!C268,input_523100!A:H,8,FALSE))</f>
        <v>95000</v>
      </c>
      <c r="P268" s="46">
        <f t="shared" ca="1" si="13"/>
        <v>7.2463768115919869E-4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input_523100!A$2</f>
        <v>523100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IFERROR(VLOOKUP(B269,input_523100!L:R,7,FALSE),VLOOKUP(tables_523100!C269,input_523100!A:H,8,FALSE))</f>
        <v>95000</v>
      </c>
      <c r="P269" s="46">
        <f t="shared" ca="1" si="13"/>
        <v>7.2463768115919869E-4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input_523100!A$2</f>
        <v>523100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IFERROR(VLOOKUP(B270,input_523100!L:R,7,FALSE),VLOOKUP(tables_523100!C270,input_523100!A:H,8,FALSE))</f>
        <v>963040.26315999997</v>
      </c>
      <c r="P270" s="46">
        <f t="shared" ca="1" si="13"/>
        <v>7.3458448753600716E-3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input_523100!A$2</f>
        <v>523100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IFERROR(VLOOKUP(B271,input_523100!L:R,7,FALSE),VLOOKUP(tables_523100!C271,input_523100!A:H,8,FALSE))</f>
        <v>51543</v>
      </c>
      <c r="P271" s="46">
        <f t="shared" ca="1" si="13"/>
        <v>3.9315789473672188E-4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input_523100!A$2</f>
        <v>523100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IFERROR(VLOOKUP(B272,input_523100!L:R,7,FALSE),VLOOKUP(tables_523100!C272,input_523100!A:H,8,FALSE))</f>
        <v>963040.26315999997</v>
      </c>
      <c r="P272" s="46">
        <f t="shared" ca="1" si="13"/>
        <v>7.3458448753600716E-3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input_523100!A$2</f>
        <v>523100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IFERROR(VLOOKUP(B273,input_523100!L:R,7,FALSE),VLOOKUP(tables_523100!C273,input_523100!A:H,8,FALSE))</f>
        <v>51543</v>
      </c>
      <c r="P273" s="46">
        <f t="shared" ca="1" si="13"/>
        <v>3.9315789473672188E-4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input_523100!A$2</f>
        <v>523100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IFERROR(VLOOKUP(B274,input_523100!L:R,7,FALSE),VLOOKUP(tables_523100!C274,input_523100!A:H,8,FALSE))</f>
        <v>90250</v>
      </c>
      <c r="P274" s="46">
        <f t="shared" ca="1" si="13"/>
        <v>6.8840579710123875E-4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input_523100!A$2</f>
        <v>523100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IFERROR(VLOOKUP(B275,input_523100!L:R,7,FALSE),VLOOKUP(tables_523100!C275,input_523100!A:H,8,FALSE))</f>
        <v>4750</v>
      </c>
      <c r="P275" s="46">
        <f t="shared" ca="1" si="13"/>
        <v>3.6231884057959934E-5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input_523100!A$2</f>
        <v>523100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IFERROR(VLOOKUP(B276,input_523100!L:R,7,FALSE),VLOOKUP(tables_523100!C276,input_523100!A:H,8,FALSE))</f>
        <v>90250</v>
      </c>
      <c r="P276" s="46">
        <f t="shared" ca="1" si="13"/>
        <v>6.8840579710123875E-4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input_523100!A$2</f>
        <v>523100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IFERROR(VLOOKUP(B277,input_523100!L:R,7,FALSE),VLOOKUP(tables_523100!C277,input_523100!A:H,8,FALSE))</f>
        <v>4750</v>
      </c>
      <c r="P277" s="46">
        <f t="shared" ca="1" si="13"/>
        <v>3.6231884057959934E-5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input_523100!A$2</f>
        <v>523100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IFERROR(VLOOKUP(B278,input_523100!L:R,7,FALSE),VLOOKUP(tables_523100!C278,input_523100!A:H,8,FALSE))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input_523100!A$2</f>
        <v>523100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IFERROR(VLOOKUP(B279,input_523100!L:R,7,FALSE),VLOOKUP(tables_523100!C279,input_523100!A:H,8,FALSE))</f>
        <v>1011008.98077</v>
      </c>
      <c r="P279" s="46">
        <f t="shared" ca="1" si="13"/>
        <v>7.7117389837505022E-3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input_523100!A$2</f>
        <v>523100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IFERROR(VLOOKUP(B280,input_523100!L:R,7,FALSE),VLOOKUP(tables_523100!C280,input_523100!A:H,8,FALSE))</f>
        <v>19851.019230000002</v>
      </c>
      <c r="P280" s="46">
        <f t="shared" ca="1" si="13"/>
        <v>1.514189109839354E-4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input_523100!A$2</f>
        <v>523100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IFERROR(VLOOKUP(B281,input_523100!L:R,7,FALSE),VLOOKUP(tables_523100!C281,input_523100!A:H,8,FALSE))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input_523100!A$2</f>
        <v>523100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IFERROR(VLOOKUP(B282,input_523100!L:R,7,FALSE),VLOOKUP(tables_523100!C282,input_523100!A:H,8,FALSE))</f>
        <v>1011008.98077</v>
      </c>
      <c r="P282" s="46">
        <f t="shared" ca="1" si="13"/>
        <v>7.7117389837505022E-3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input_523100!A$2</f>
        <v>523100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IFERROR(VLOOKUP(B283,input_523100!L:R,7,FALSE),VLOOKUP(tables_523100!C283,input_523100!A:H,8,FALSE))</f>
        <v>19851.019230000002</v>
      </c>
      <c r="P283" s="46">
        <f t="shared" ca="1" si="13"/>
        <v>1.514189109839354E-4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input_523100!A$2</f>
        <v>523100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IFERROR(VLOOKUP(B284,input_523100!L:R,7,FALSE),VLOOKUP(tables_523100!C284,input_523100!A:H,8,FALSE))</f>
        <v>95000</v>
      </c>
      <c r="P284" s="46">
        <f t="shared" ca="1" si="13"/>
        <v>7.2463768115919869E-4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input_523100!A$2</f>
        <v>523100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IFERROR(VLOOKUP(B285,input_523100!L:R,7,FALSE),VLOOKUP(tables_523100!C285,input_523100!A:H,8,FALSE))</f>
        <v>95000</v>
      </c>
      <c r="P285" s="46">
        <f t="shared" ca="1" si="13"/>
        <v>7.2463768115919869E-4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input_523100!A$2</f>
        <v>523100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IFERROR(VLOOKUP(B286,input_523100!L:R,7,FALSE),VLOOKUP(tables_523100!C286,input_523100!A:H,8,FALSE))</f>
        <v>963040.26315999997</v>
      </c>
      <c r="P286" s="46">
        <f t="shared" ca="1" si="13"/>
        <v>7.3458448753600716E-3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input_523100!A$2</f>
        <v>523100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IFERROR(VLOOKUP(B287,input_523100!L:R,7,FALSE),VLOOKUP(tables_523100!C287,input_523100!A:H,8,FALSE))</f>
        <v>51543</v>
      </c>
      <c r="P287" s="46">
        <f t="shared" ca="1" si="13"/>
        <v>3.9315789473672188E-4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input_523100!A$2</f>
        <v>523100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IFERROR(VLOOKUP(B288,input_523100!L:R,7,FALSE),VLOOKUP(tables_523100!C288,input_523100!A:H,8,FALSE))</f>
        <v>963040.26315999997</v>
      </c>
      <c r="P288" s="46">
        <f t="shared" ca="1" si="13"/>
        <v>7.3458448753600716E-3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input_523100!A$2</f>
        <v>523100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IFERROR(VLOOKUP(B289,input_523100!L:R,7,FALSE),VLOOKUP(tables_523100!C289,input_523100!A:H,8,FALSE))</f>
        <v>51543</v>
      </c>
      <c r="P289" s="46">
        <f t="shared" ca="1" si="13"/>
        <v>3.9315789473672188E-4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input_523100!A$2</f>
        <v>523100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IFERROR(VLOOKUP(B290,input_523100!L:R,7,FALSE),VLOOKUP(tables_523100!C290,input_523100!A:H,8,FALSE))</f>
        <v>963040.26315999997</v>
      </c>
      <c r="P290" s="46">
        <f t="shared" ca="1" si="13"/>
        <v>7.3458448753600716E-3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input_523100!A$2</f>
        <v>523100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IFERROR(VLOOKUP(B291,input_523100!L:R,7,FALSE),VLOOKUP(tables_523100!C291,input_523100!A:H,8,FALSE))</f>
        <v>51543</v>
      </c>
      <c r="P291" s="46">
        <f t="shared" ca="1" si="13"/>
        <v>3.9315789473672188E-4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input_523100!A$2</f>
        <v>523100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IFERROR(VLOOKUP(B292,input_523100!L:R,7,FALSE),VLOOKUP(tables_523100!C292,input_523100!A:H,8,FALSE))</f>
        <v>963040.26315999997</v>
      </c>
      <c r="P292" s="46">
        <f t="shared" ca="1" si="13"/>
        <v>7.3458448753600716E-3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input_523100!A$2</f>
        <v>523100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IFERROR(VLOOKUP(B293,input_523100!L:R,7,FALSE),VLOOKUP(tables_523100!C293,input_523100!A:H,8,FALSE))</f>
        <v>51543</v>
      </c>
      <c r="P293" s="46">
        <f t="shared" ca="1" si="13"/>
        <v>3.9315789473672188E-4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input_523100!A$2</f>
        <v>523100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IFERROR(VLOOKUP(B294,input_523100!L:R,7,FALSE),VLOOKUP(tables_523100!C294,input_523100!A:H,8,FALSE))</f>
        <v>95000</v>
      </c>
      <c r="P294" s="46">
        <f t="shared" ca="1" si="13"/>
        <v>7.2463768115919869E-4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input_523100!A$2</f>
        <v>523100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IFERROR(VLOOKUP(B295,input_523100!L:R,7,FALSE),VLOOKUP(tables_523100!C295,input_523100!A:H,8,FALSE))</f>
        <v>95000</v>
      </c>
      <c r="P295" s="46">
        <f t="shared" ca="1" si="13"/>
        <v>7.2463768115919869E-4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input_523100!A$2</f>
        <v>523100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IFERROR(VLOOKUP(B296,input_523100!L:R,7,FALSE),VLOOKUP(tables_523100!C296,input_523100!A:H,8,FALSE))</f>
        <v>95000</v>
      </c>
      <c r="P296" s="46">
        <f t="shared" ca="1" si="13"/>
        <v>7.2463768115919869E-4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input_523100!A$2</f>
        <v>523100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IFERROR(VLOOKUP(B297,input_523100!L:R,7,FALSE),VLOOKUP(tables_523100!C297,input_523100!A:H,8,FALSE))</f>
        <v>963040.26315999997</v>
      </c>
      <c r="P297" s="46">
        <f t="shared" ca="1" si="13"/>
        <v>7.3458448753600716E-3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input_523100!A$2</f>
        <v>523100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IFERROR(VLOOKUP(B298,input_523100!L:R,7,FALSE),VLOOKUP(tables_523100!C298,input_523100!A:H,8,FALSE))</f>
        <v>51543</v>
      </c>
      <c r="P298" s="46">
        <f t="shared" ca="1" si="13"/>
        <v>3.9315789473672188E-4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input_523100!A$2</f>
        <v>523100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IFERROR(VLOOKUP(B299,input_523100!L:R,7,FALSE),VLOOKUP(tables_523100!C299,input_523100!A:H,8,FALSE))</f>
        <v>95000</v>
      </c>
      <c r="P299" s="46">
        <f t="shared" ca="1" si="13"/>
        <v>7.2463768115919869E-4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input_523100!A$2</f>
        <v>523100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IFERROR(VLOOKUP(B300,input_523100!L:R,7,FALSE),VLOOKUP(tables_523100!C300,input_523100!A:H,8,FALSE))</f>
        <v>95000</v>
      </c>
      <c r="P300" s="46">
        <f t="shared" ca="1" si="13"/>
        <v>7.2463768115919869E-4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input_523100!A$2</f>
        <v>523100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IFERROR(VLOOKUP(B301,input_523100!L:R,7,FALSE),VLOOKUP(tables_523100!C301,input_523100!A:H,8,FALSE))</f>
        <v>95000</v>
      </c>
      <c r="P301" s="46">
        <f t="shared" ca="1" si="13"/>
        <v>7.2463768115919869E-4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input_523100!A$2</f>
        <v>523100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IFERROR(VLOOKUP(B302,input_523100!L:R,7,FALSE),VLOOKUP(tables_523100!C302,input_523100!A:H,8,FALSE))</f>
        <v>95000</v>
      </c>
      <c r="P302" s="46">
        <f t="shared" ca="1" si="13"/>
        <v>7.2463768115919869E-4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input_523100!A$2</f>
        <v>523100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IFERROR(VLOOKUP(B303,input_523100!L:R,7,FALSE),VLOOKUP(tables_523100!C303,input_523100!A:H,8,FALSE))</f>
        <v>963040.26315999997</v>
      </c>
      <c r="P303" s="46">
        <f t="shared" ca="1" si="13"/>
        <v>7.3458448753600716E-3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input_523100!A$2</f>
        <v>523100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IFERROR(VLOOKUP(B304,input_523100!L:R,7,FALSE),VLOOKUP(tables_523100!C304,input_523100!A:H,8,FALSE))</f>
        <v>51543</v>
      </c>
      <c r="P304" s="46">
        <f t="shared" ca="1" si="13"/>
        <v>3.9315789473672188E-4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input_523100!A$2</f>
        <v>523100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IFERROR(VLOOKUP(B305,input_523100!L:R,7,FALSE),VLOOKUP(tables_523100!C305,input_523100!A:H,8,FALSE))</f>
        <v>95000</v>
      </c>
      <c r="P305" s="46">
        <f t="shared" ca="1" si="13"/>
        <v>7.2463768115919869E-4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input_523100!A$2</f>
        <v>523100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IFERROR(VLOOKUP(B306,input_523100!L:R,7,FALSE),VLOOKUP(tables_523100!C306,input_523100!A:H,8,FALSE))</f>
        <v>963040.26315999997</v>
      </c>
      <c r="P306" s="46">
        <f t="shared" ca="1" si="13"/>
        <v>7.3458448753600716E-3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input_523100!A$2</f>
        <v>523100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IFERROR(VLOOKUP(B307,input_523100!L:R,7,FALSE),VLOOKUP(tables_523100!C307,input_523100!A:H,8,FALSE))</f>
        <v>51543</v>
      </c>
      <c r="P307" s="46">
        <f t="shared" ca="1" si="13"/>
        <v>3.9315789473672188E-4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input_523100!A$2</f>
        <v>523100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IFERROR(VLOOKUP(B308,input_523100!L:R,7,FALSE),VLOOKUP(tables_523100!C308,input_523100!A:H,8,FALSE))</f>
        <v>95000</v>
      </c>
      <c r="P308" s="46">
        <f t="shared" ca="1" si="13"/>
        <v>7.2463768115919869E-4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input_523100!A$2</f>
        <v>523100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IFERROR(VLOOKUP(B309,input_523100!L:R,7,FALSE),VLOOKUP(tables_523100!C309,input_523100!A:H,8,FALSE))</f>
        <v>95000</v>
      </c>
      <c r="P309" s="46">
        <f t="shared" ca="1" si="13"/>
        <v>7.2463768115919869E-4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input_523100!A$2</f>
        <v>523100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IFERROR(VLOOKUP(B310,input_523100!L:R,7,FALSE),VLOOKUP(tables_523100!C310,input_523100!A:H,8,FALSE))</f>
        <v>95000</v>
      </c>
      <c r="P310" s="46">
        <f t="shared" ca="1" si="13"/>
        <v>7.2463768115919869E-4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input_523100!A$2</f>
        <v>523100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IFERROR(VLOOKUP(B311,input_523100!L:R,7,FALSE),VLOOKUP(tables_523100!C311,input_523100!A:H,8,FALSE))</f>
        <v>963040.26315999997</v>
      </c>
      <c r="P311" s="46">
        <f t="shared" ca="1" si="13"/>
        <v>7.3458448753600716E-3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input_523100!A$2</f>
        <v>523100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IFERROR(VLOOKUP(B312,input_523100!L:R,7,FALSE),VLOOKUP(tables_523100!C312,input_523100!A:H,8,FALSE))</f>
        <v>51543</v>
      </c>
      <c r="P312" s="46">
        <f t="shared" ca="1" si="13"/>
        <v>3.9315789473672188E-4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input_523100!A$2</f>
        <v>523100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IFERROR(VLOOKUP(B313,input_523100!L:R,7,FALSE),VLOOKUP(tables_523100!C313,input_523100!A:H,8,FALSE))</f>
        <v>95000</v>
      </c>
      <c r="P313" s="46">
        <f t="shared" ca="1" si="13"/>
        <v>7.2463768115919869E-4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input_523100!A$2</f>
        <v>523100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IFERROR(VLOOKUP(B314,input_523100!L:R,7,FALSE),VLOOKUP(tables_523100!C314,input_523100!A:H,8,FALSE))</f>
        <v>95000</v>
      </c>
      <c r="P314" s="46">
        <f t="shared" ca="1" si="13"/>
        <v>7.2463768115919869E-4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input_523100!A$2</f>
        <v>523100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IFERROR(VLOOKUP(B315,input_523100!L:R,7,FALSE),VLOOKUP(tables_523100!C315,input_523100!A:H,8,FALSE))</f>
        <v>95000</v>
      </c>
      <c r="P315" s="46">
        <f t="shared" ca="1" si="13"/>
        <v>7.2463768115919869E-4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input_523100!A$2</f>
        <v>523100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IFERROR(VLOOKUP(B316,input_523100!L:R,7,FALSE),VLOOKUP(tables_523100!C316,input_523100!A:H,8,FALSE))</f>
        <v>95000</v>
      </c>
      <c r="P316" s="46">
        <f t="shared" ca="1" si="13"/>
        <v>7.2463768115919869E-4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input_523100!A$2</f>
        <v>523100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IFERROR(VLOOKUP(B317,input_523100!L:R,7,FALSE),VLOOKUP(tables_523100!C317,input_523100!A:H,8,FALSE))</f>
        <v>95000</v>
      </c>
      <c r="P317" s="46">
        <f t="shared" ca="1" si="13"/>
        <v>7.2463768115919869E-4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input_523100!A$2</f>
        <v>523100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IFERROR(VLOOKUP(B318,input_523100!L:R,7,FALSE),VLOOKUP(tables_523100!C318,input_523100!A:H,8,FALSE))</f>
        <v>963040.26315999997</v>
      </c>
      <c r="P318" s="46">
        <f t="shared" ca="1" si="13"/>
        <v>7.3458448753600716E-3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input_523100!A$2</f>
        <v>523100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IFERROR(VLOOKUP(B319,input_523100!L:R,7,FALSE),VLOOKUP(tables_523100!C319,input_523100!A:H,8,FALSE))</f>
        <v>51543</v>
      </c>
      <c r="P319" s="46">
        <f t="shared" ca="1" si="13"/>
        <v>3.9315789473672188E-4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input_523100!A$2</f>
        <v>523100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IFERROR(VLOOKUP(B320,input_523100!L:R,7,FALSE),VLOOKUP(tables_523100!C320,input_523100!A:H,8,FALSE))</f>
        <v>95000</v>
      </c>
      <c r="P320" s="46">
        <f t="shared" ca="1" si="13"/>
        <v>7.2463768115919869E-4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input_523100!A$2</f>
        <v>523100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IFERROR(VLOOKUP(B321,input_523100!L:R,7,FALSE),VLOOKUP(tables_523100!C321,input_523100!A:H,8,FALSE))</f>
        <v>95000</v>
      </c>
      <c r="P321" s="46">
        <f t="shared" ca="1" si="13"/>
        <v>7.2463768115919869E-4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input_523100!A$2</f>
        <v>523100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IFERROR(VLOOKUP(B322,input_523100!L:R,7,FALSE),VLOOKUP(tables_523100!C322,input_523100!A:H,8,FALSE))</f>
        <v>95000</v>
      </c>
      <c r="P322" s="46">
        <f t="shared" ref="P322:P350" ca="1" si="26">O322/SUM(O:O)</f>
        <v>7.2463768115919869E-4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input_523100!A$2</f>
        <v>523100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IFERROR(VLOOKUP(B323,input_523100!L:R,7,FALSE),VLOOKUP(tables_523100!C323,input_523100!A:H,8,FALSE))</f>
        <v>95000</v>
      </c>
      <c r="P323" s="46">
        <f t="shared" ca="1" si="26"/>
        <v>7.2463768115919869E-4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input_523100!A$2</f>
        <v>523100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IFERROR(VLOOKUP(B324,input_523100!L:R,7,FALSE),VLOOKUP(tables_523100!C324,input_523100!A:H,8,FALSE))</f>
        <v>963040.26315999997</v>
      </c>
      <c r="P324" s="46">
        <f t="shared" ca="1" si="26"/>
        <v>7.3458448753600716E-3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input_523100!A$2</f>
        <v>523100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IFERROR(VLOOKUP(B325,input_523100!L:R,7,FALSE),VLOOKUP(tables_523100!C325,input_523100!A:H,8,FALSE))</f>
        <v>51543</v>
      </c>
      <c r="P325" s="46">
        <f t="shared" ca="1" si="26"/>
        <v>3.9315789473672188E-4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input_523100!A$2</f>
        <v>523100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IFERROR(VLOOKUP(B326,input_523100!L:R,7,FALSE),VLOOKUP(tables_523100!C326,input_523100!A:H,8,FALSE))</f>
        <v>963040.26315999997</v>
      </c>
      <c r="P326" s="46">
        <f t="shared" ca="1" si="26"/>
        <v>7.3458448753600716E-3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input_523100!A$2</f>
        <v>523100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IFERROR(VLOOKUP(B327,input_523100!L:R,7,FALSE),VLOOKUP(tables_523100!C327,input_523100!A:H,8,FALSE))</f>
        <v>51543</v>
      </c>
      <c r="P327" s="46">
        <f t="shared" ca="1" si="26"/>
        <v>3.9315789473672188E-4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input_523100!A$2</f>
        <v>523100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IFERROR(VLOOKUP(B328,input_523100!L:R,7,FALSE),VLOOKUP(tables_523100!C328,input_523100!A:H,8,FALSE))</f>
        <v>95000</v>
      </c>
      <c r="P328" s="46">
        <f t="shared" ca="1" si="26"/>
        <v>7.2463768115919869E-4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input_523100!A$2</f>
        <v>523100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IFERROR(VLOOKUP(B329,input_523100!L:R,7,FALSE),VLOOKUP(tables_523100!C329,input_523100!A:H,8,FALSE))</f>
        <v>95000</v>
      </c>
      <c r="P329" s="46">
        <f t="shared" ca="1" si="26"/>
        <v>7.2463768115919869E-4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input_523100!A$2</f>
        <v>523100</v>
      </c>
      <c r="B330" s="2">
        <v>1157</v>
      </c>
      <c r="C330" s="7" t="str">
        <f t="shared" si="28"/>
        <v>PremiumSS5R5only</v>
      </c>
      <c r="D330" s="95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IFERROR(VLOOKUP(B330,input_523100!L:R,7,FALSE),VLOOKUP(tables_523100!C330,input_523100!A:H,8,FALSE))</f>
        <v>95000</v>
      </c>
      <c r="P330" s="46">
        <f t="shared" ca="1" si="26"/>
        <v>7.2463768115919869E-4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input_523100!A$2</f>
        <v>523100</v>
      </c>
      <c r="B331" s="60">
        <v>1214</v>
      </c>
      <c r="C331" s="7" t="str">
        <f t="shared" ref="C331:C335" si="29">D331&amp;J331&amp;E331&amp;F331&amp;G331</f>
        <v>PremiumSS5R5only</v>
      </c>
      <c r="D331" s="95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IFERROR(VLOOKUP(B331,input_523100!L:R,7,FALSE),VLOOKUP(tables_523100!C331,input_523100!A:H,8,FALSE))</f>
        <v>95000</v>
      </c>
      <c r="P331" s="46">
        <f t="shared" ca="1" si="26"/>
        <v>7.2463768115919869E-4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input_523100!A$2</f>
        <v>523100</v>
      </c>
      <c r="B332" s="60">
        <v>1212</v>
      </c>
      <c r="C332" s="7" t="str">
        <f t="shared" si="29"/>
        <v>PremiumSS5R5only</v>
      </c>
      <c r="D332" s="95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IFERROR(VLOOKUP(B332,input_523100!L:R,7,FALSE),VLOOKUP(tables_523100!C332,input_523100!A:H,8,FALSE))</f>
        <v>95000</v>
      </c>
      <c r="P332" s="46">
        <f t="shared" ca="1" si="26"/>
        <v>7.2463768115919869E-4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input_523100!A$2</f>
        <v>523100</v>
      </c>
      <c r="B333" s="60">
        <v>1208</v>
      </c>
      <c r="C333" s="7" t="str">
        <f t="shared" si="29"/>
        <v>PremiumSS5R5only</v>
      </c>
      <c r="D333" s="95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IFERROR(VLOOKUP(B333,input_523100!L:R,7,FALSE),VLOOKUP(tables_523100!C333,input_523100!A:H,8,FALSE))</f>
        <v>95000</v>
      </c>
      <c r="P333" s="46">
        <f t="shared" ca="1" si="26"/>
        <v>7.2463768115919869E-4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input_523100!A$2</f>
        <v>523100</v>
      </c>
      <c r="B334" s="91">
        <v>1210</v>
      </c>
      <c r="C334" s="7" t="str">
        <f t="shared" si="29"/>
        <v>Premium4R3less</v>
      </c>
      <c r="D334" s="95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IFERROR(VLOOKUP(B334,input_523100!L:R,7,FALSE),VLOOKUP(tables_523100!C334,input_523100!A:H,8,FALSE))</f>
        <v>963040.26315999997</v>
      </c>
      <c r="P334" s="46">
        <f t="shared" ca="1" si="26"/>
        <v>7.3458448753600716E-3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input_523100!A$2</f>
        <v>523100</v>
      </c>
      <c r="B335" s="60">
        <v>1211</v>
      </c>
      <c r="C335" s="7" t="str">
        <f t="shared" si="29"/>
        <v>Premium5R3less</v>
      </c>
      <c r="D335" s="95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IFERROR(VLOOKUP(B335,input_523100!L:R,7,FALSE),VLOOKUP(tables_523100!C335,input_523100!A:H,8,FALSE))</f>
        <v>51543</v>
      </c>
      <c r="P335" s="46">
        <f t="shared" ca="1" si="26"/>
        <v>3.9315789473672188E-4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input_523100!A$2</f>
        <v>523100</v>
      </c>
      <c r="B336" s="2">
        <v>1224</v>
      </c>
      <c r="C336" s="7" t="str">
        <f t="shared" ref="C336:C340" si="31">D336&amp;J336&amp;E336&amp;F336&amp;G336</f>
        <v>Premium4R3less</v>
      </c>
      <c r="D336" s="95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IFERROR(VLOOKUP(B336,input_523100!L:R,7,FALSE),VLOOKUP(tables_523100!C336,input_523100!A:H,8,FALSE))</f>
        <v>963040.26315999997</v>
      </c>
      <c r="P336" s="46">
        <f t="shared" ca="1" si="26"/>
        <v>7.3458448753600716E-3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input_523100!A$2</f>
        <v>523100</v>
      </c>
      <c r="B337" s="2">
        <v>1225</v>
      </c>
      <c r="C337" s="7" t="str">
        <f t="shared" si="31"/>
        <v>Premium5R3less</v>
      </c>
      <c r="D337" s="95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IFERROR(VLOOKUP(B337,input_523100!L:R,7,FALSE),VLOOKUP(tables_523100!C337,input_523100!A:H,8,FALSE))</f>
        <v>51543</v>
      </c>
      <c r="P337" s="46">
        <f t="shared" ca="1" si="26"/>
        <v>3.9315789473672188E-4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input_523100!A$2</f>
        <v>523100</v>
      </c>
      <c r="B338" s="2">
        <v>1226</v>
      </c>
      <c r="C338" s="7" t="str">
        <f t="shared" si="31"/>
        <v>PremiumSS5R5only</v>
      </c>
      <c r="D338" s="95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IFERROR(VLOOKUP(B338,input_523100!L:R,7,FALSE),VLOOKUP(tables_523100!C338,input_523100!A:H,8,FALSE))</f>
        <v>95000</v>
      </c>
      <c r="P338" s="46">
        <f t="shared" ca="1" si="26"/>
        <v>7.2463768115919869E-4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input_523100!A$2</f>
        <v>523100</v>
      </c>
      <c r="B339" s="2">
        <v>1228</v>
      </c>
      <c r="C339" s="7" t="str">
        <f t="shared" si="31"/>
        <v>PremiumSS5R5only</v>
      </c>
      <c r="D339" s="95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IFERROR(VLOOKUP(B339,input_523100!L:R,7,FALSE),VLOOKUP(tables_523100!C339,input_523100!A:H,8,FALSE))</f>
        <v>95000</v>
      </c>
      <c r="P339" s="46">
        <f t="shared" ca="1" si="26"/>
        <v>7.2463768115919869E-4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input_523100!A$2</f>
        <v>523100</v>
      </c>
      <c r="B340" s="2">
        <v>1230</v>
      </c>
      <c r="C340" s="7" t="str">
        <f t="shared" si="31"/>
        <v>PremiumSS5R5only</v>
      </c>
      <c r="D340" s="95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IFERROR(VLOOKUP(B340,input_523100!L:R,7,FALSE),VLOOKUP(tables_523100!C340,input_523100!A:H,8,FALSE))</f>
        <v>95000</v>
      </c>
      <c r="P340" s="46">
        <f t="shared" ca="1" si="26"/>
        <v>7.2463768115919869E-4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input_523100!A$2</f>
        <v>523100</v>
      </c>
      <c r="B341" s="97">
        <v>1244</v>
      </c>
      <c r="C341" s="7" t="str">
        <f t="shared" ref="C341:C345" si="33">D341&amp;J341&amp;E341&amp;F341&amp;G341</f>
        <v>PremiumSS5R5only</v>
      </c>
      <c r="D341" s="95" t="str">
        <f t="shared" ref="D341:D345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IFERROR(VLOOKUP(B341,input_523100!L:R,7,FALSE),VLOOKUP(tables_523100!C341,input_523100!A:H,8,FALSE))</f>
        <v>95000</v>
      </c>
      <c r="P341" s="46">
        <f t="shared" ca="1" si="26"/>
        <v>7.2463768115919869E-4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input_523100!A$2</f>
        <v>523100</v>
      </c>
      <c r="B342" s="97">
        <v>1246</v>
      </c>
      <c r="C342" s="7" t="str">
        <f t="shared" si="33"/>
        <v>PremiumSS5R5only</v>
      </c>
      <c r="D342" s="95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IFERROR(VLOOKUP(B342,input_523100!L:R,7,FALSE),VLOOKUP(tables_523100!C342,input_523100!A:H,8,FALSE))</f>
        <v>95000</v>
      </c>
      <c r="P342" s="46">
        <f t="shared" ca="1" si="26"/>
        <v>7.2463768115919869E-4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input_523100!A$2</f>
        <v>523100</v>
      </c>
      <c r="B343" s="97">
        <v>1248</v>
      </c>
      <c r="C343" s="7" t="str">
        <f t="shared" si="33"/>
        <v>Premium4R3less</v>
      </c>
      <c r="D343" s="95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IFERROR(VLOOKUP(B343,input_523100!L:R,7,FALSE),VLOOKUP(tables_523100!C343,input_523100!A:H,8,FALSE))</f>
        <v>963040.26315999997</v>
      </c>
      <c r="P343" s="46">
        <f t="shared" ca="1" si="26"/>
        <v>7.3458448753600716E-3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input_523100!A$2</f>
        <v>523100</v>
      </c>
      <c r="B344" s="97">
        <v>1249</v>
      </c>
      <c r="C344" s="7" t="str">
        <f t="shared" si="33"/>
        <v>Premium5R3less</v>
      </c>
      <c r="D344" s="95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IFERROR(VLOOKUP(B344,input_523100!L:R,7,FALSE),VLOOKUP(tables_523100!C344,input_523100!A:H,8,FALSE))</f>
        <v>51543</v>
      </c>
      <c r="P344" s="46">
        <f t="shared" ca="1" si="26"/>
        <v>3.9315789473672188E-4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input_523100!A$2</f>
        <v>523100</v>
      </c>
      <c r="B345" s="97">
        <v>1250</v>
      </c>
      <c r="C345" s="7" t="str">
        <f t="shared" si="33"/>
        <v>PremiumSS5R5only</v>
      </c>
      <c r="D345" s="95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IFERROR(VLOOKUP(B345,input_523100!L:R,7,FALSE),VLOOKUP(tables_523100!C345,input_523100!A:H,8,FALSE))</f>
        <v>95000</v>
      </c>
      <c r="P345" s="46">
        <f t="shared" ca="1" si="26"/>
        <v>7.2463768115919869E-4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input_523100!A$2</f>
        <v>523100</v>
      </c>
      <c r="B346" s="97">
        <v>1260</v>
      </c>
      <c r="C346" s="7" t="str">
        <f t="shared" ref="C346:C350" si="35">D346&amp;J346&amp;E346&amp;F346&amp;G346</f>
        <v>PremiumSS5R5only</v>
      </c>
      <c r="D346" s="95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IFERROR(VLOOKUP(B346,input_523100!L:R,7,FALSE),VLOOKUP(tables_523100!C346,input_523100!A:H,8,FALSE))</f>
        <v>95000</v>
      </c>
      <c r="P346" s="46">
        <f t="shared" ca="1" si="26"/>
        <v>7.2463768115919869E-4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input_523100!A$2</f>
        <v>523100</v>
      </c>
      <c r="B347" s="97">
        <v>1262</v>
      </c>
      <c r="C347" s="7" t="str">
        <f t="shared" si="35"/>
        <v>PremiumSS5R5only</v>
      </c>
      <c r="D347" s="95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IFERROR(VLOOKUP(B347,input_523100!L:R,7,FALSE),VLOOKUP(tables_523100!C347,input_523100!A:H,8,FALSE))</f>
        <v>95000</v>
      </c>
      <c r="P347" s="46">
        <f t="shared" ca="1" si="26"/>
        <v>7.2463768115919869E-4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input_523100!A$2</f>
        <v>523100</v>
      </c>
      <c r="B348" s="97">
        <v>1264</v>
      </c>
      <c r="C348" s="7" t="str">
        <f t="shared" si="35"/>
        <v>PremiumSS5R5only</v>
      </c>
      <c r="D348" s="95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IFERROR(VLOOKUP(B348,input_523100!L:R,7,FALSE),VLOOKUP(tables_523100!C348,input_523100!A:H,8,FALSE))</f>
        <v>95000</v>
      </c>
      <c r="P348" s="46">
        <f t="shared" ca="1" si="26"/>
        <v>7.2463768115919869E-4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input_523100!A$2</f>
        <v>523100</v>
      </c>
      <c r="B349" s="97">
        <v>1266</v>
      </c>
      <c r="C349" s="7" t="str">
        <f t="shared" si="35"/>
        <v>Premium4R3less</v>
      </c>
      <c r="D349" s="95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IFERROR(VLOOKUP(B349,input_523100!L:R,7,FALSE),VLOOKUP(tables_523100!C349,input_523100!A:H,8,FALSE))</f>
        <v>963040.26315999997</v>
      </c>
      <c r="P349" s="46">
        <f t="shared" ca="1" si="26"/>
        <v>7.3458448753600716E-3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input_523100!A$2</f>
        <v>523100</v>
      </c>
      <c r="B350" s="97">
        <v>1267</v>
      </c>
      <c r="C350" s="7" t="str">
        <f t="shared" si="35"/>
        <v>Premium5R3less</v>
      </c>
      <c r="D350" s="95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IFERROR(VLOOKUP(B350,input_523100!L:R,7,FALSE),VLOOKUP(tables_523100!C350,input_523100!A:H,8,FALSE))</f>
        <v>51543</v>
      </c>
      <c r="P350" s="46">
        <f t="shared" ca="1" si="26"/>
        <v>3.9315789473672188E-4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input_523100!A$2</f>
        <v>523100</v>
      </c>
      <c r="B351" s="97">
        <v>1354</v>
      </c>
      <c r="C351" s="7" t="str">
        <f t="shared" ref="C351:C356" si="37">D351&amp;J351&amp;E351&amp;F351&amp;G351</f>
        <v>PremiumSS6R5only</v>
      </c>
      <c r="D351" s="95" t="str">
        <f t="shared" ref="D351:D356" si="38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放課後の恋妃神 フレイヤ</v>
      </c>
      <c r="I351" s="7" t="str">
        <f>VLOOKUP(B351,[1]characters!$A:$J,10,FALSE)</f>
        <v>PremiumSS</v>
      </c>
      <c r="J351" s="7">
        <f>VLOOKUP(B351,[1]characters!$A:$I,9,FALSE)</f>
        <v>6</v>
      </c>
      <c r="K351" s="7" t="str">
        <f>VLOOKUP(B351,[1]characters!$A:$H,8,FALSE)</f>
        <v>green</v>
      </c>
      <c r="L351" s="7" t="str">
        <f>VLOOKUP(B351,[1]characters!$A:$K,11,FALSE)</f>
        <v>heal</v>
      </c>
      <c r="M351" s="7" t="str">
        <f>VLOOKUP(B351,[1]characters!$A:$M,13,FALSE)</f>
        <v>animal</v>
      </c>
      <c r="N351" s="7">
        <f>VLOOKUP(B351,[1]characters!$A:$G,7,FALSE)</f>
        <v>0</v>
      </c>
      <c r="O351" s="45">
        <f>IFERROR(VLOOKUP(B351,input_523100!L:R,7,FALSE),VLOOKUP(tables_523100!C351,input_523100!A:H,8,FALSE))</f>
        <v>2622000</v>
      </c>
      <c r="P351" s="46">
        <f t="shared" ref="P351:P356" ca="1" si="39">O351/SUM(O:O)</f>
        <v>1.9999999999993884E-2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99">
        <v>5</v>
      </c>
    </row>
    <row r="352" spans="1:22" ht="21" customHeight="1" x14ac:dyDescent="0.15">
      <c r="A352" s="2" t="str">
        <f ca="1">input_523100!A$2</f>
        <v>523100</v>
      </c>
      <c r="B352" s="97">
        <v>1359</v>
      </c>
      <c r="C352" s="7" t="str">
        <f t="shared" si="37"/>
        <v>PremiumSS5R5only</v>
      </c>
      <c r="D352" s="95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コルネ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red</v>
      </c>
      <c r="L352" s="7" t="str">
        <f>VLOOKUP(B352,[1]characters!$A:$K,11,FALSE)</f>
        <v>balance</v>
      </c>
      <c r="M352" s="7" t="str">
        <f>VLOOKUP(B352,[1]characters!$A:$M,13,FALSE)</f>
        <v>human</v>
      </c>
      <c r="N352" s="7">
        <f>VLOOKUP(B352,[1]characters!$A:$G,7,FALSE)</f>
        <v>0</v>
      </c>
      <c r="O352" s="45">
        <f>IFERROR(VLOOKUP(B352,input_523100!L:R,7,FALSE),VLOOKUP(tables_523100!C352,input_523100!A:H,8,FALSE))</f>
        <v>2622000</v>
      </c>
      <c r="P352" s="46">
        <f t="shared" ca="1" si="39"/>
        <v>1.9999999999993884E-2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99">
        <v>5</v>
      </c>
    </row>
    <row r="353" spans="1:22" ht="21" customHeight="1" x14ac:dyDescent="0.15">
      <c r="A353" s="2" t="str">
        <f ca="1">input_523100!A$2</f>
        <v>523100</v>
      </c>
      <c r="B353" s="97">
        <v>1356</v>
      </c>
      <c r="C353" s="7" t="str">
        <f t="shared" si="37"/>
        <v>Premium5R3less</v>
      </c>
      <c r="D353" s="95" t="str">
        <f t="shared" si="38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恋狐の甘味振舞 タマモ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red</v>
      </c>
      <c r="L353" s="7" t="str">
        <f>VLOOKUP(B353,[1]characters!$A:$K,11,FALSE)</f>
        <v>balance</v>
      </c>
      <c r="M353" s="7" t="str">
        <f>VLOOKUP(B353,[1]characters!$A:$M,13,FALSE)</f>
        <v>animal</v>
      </c>
      <c r="N353" s="7">
        <f>VLOOKUP(B353,[1]characters!$A:$G,7,FALSE)</f>
        <v>0</v>
      </c>
      <c r="O353" s="45">
        <f>IFERROR(VLOOKUP(B353,input_523100!L:R,7,FALSE),VLOOKUP(tables_523100!C353,input_523100!A:H,8,FALSE))</f>
        <v>6555000</v>
      </c>
      <c r="P353" s="46">
        <f t="shared" ca="1" si="39"/>
        <v>4.9999999999984709E-2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99">
        <v>5</v>
      </c>
    </row>
    <row r="354" spans="1:22" ht="21" customHeight="1" x14ac:dyDescent="0.15">
      <c r="A354" s="2" t="str">
        <f ca="1">input_523100!A$2</f>
        <v>523100</v>
      </c>
      <c r="B354" s="97">
        <v>1357</v>
      </c>
      <c r="C354" s="7" t="str">
        <f t="shared" si="37"/>
        <v>Premium5R3less</v>
      </c>
      <c r="D354" s="95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甘美なる想導司書 アズラエル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balance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>IFERROR(VLOOKUP(B354,input_523100!L:R,7,FALSE),VLOOKUP(tables_523100!C354,input_523100!A:H,8,FALSE))</f>
        <v>6555000</v>
      </c>
      <c r="P354" s="46">
        <f t="shared" ca="1" si="39"/>
        <v>4.9999999999984709E-2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99">
        <v>5</v>
      </c>
    </row>
    <row r="355" spans="1:22" ht="21" customHeight="1" x14ac:dyDescent="0.15">
      <c r="A355" s="2" t="str">
        <f ca="1">input_523100!A$2</f>
        <v>523100</v>
      </c>
      <c r="B355" s="97">
        <v>1358</v>
      </c>
      <c r="C355" s="7" t="str">
        <f t="shared" si="37"/>
        <v>Premium5R3less</v>
      </c>
      <c r="D355" s="95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暴走する恋激火 バハムート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heal</v>
      </c>
      <c r="M355" s="7" t="str">
        <f>VLOOKUP(B355,[1]characters!$A:$M,13,FALSE)</f>
        <v>dragon</v>
      </c>
      <c r="N355" s="7">
        <f>VLOOKUP(B355,[1]characters!$A:$G,7,FALSE)</f>
        <v>0</v>
      </c>
      <c r="O355" s="45">
        <f>IFERROR(VLOOKUP(B355,input_523100!L:R,7,FALSE),VLOOKUP(tables_523100!C355,input_523100!A:H,8,FALSE))</f>
        <v>6555000</v>
      </c>
      <c r="P355" s="46">
        <f t="shared" ca="1" si="39"/>
        <v>4.9999999999984709E-2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99">
        <v>5</v>
      </c>
    </row>
    <row r="356" spans="1:22" ht="21" customHeight="1" x14ac:dyDescent="0.15">
      <c r="A356" s="2" t="str">
        <f ca="1">input_523100!A$2</f>
        <v>523100</v>
      </c>
      <c r="B356" s="97">
        <v>1362</v>
      </c>
      <c r="C356" s="7" t="str">
        <f t="shared" si="37"/>
        <v>PremiumSS6R5only</v>
      </c>
      <c r="D356" s="95" t="str">
        <f t="shared" si="38"/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刺撃する尖甘槍 フォンデュ</v>
      </c>
      <c r="I356" s="7" t="str">
        <f>VLOOKUP(B356,[1]characters!$A:$J,10,FALSE)</f>
        <v>PremiumSSw</v>
      </c>
      <c r="J356" s="7">
        <f>VLOOKUP(B356,[1]characters!$A:$I,9,FALSE)</f>
        <v>6</v>
      </c>
      <c r="K356" s="7" t="str">
        <f>VLOOKUP(B356,[1]characters!$A:$H,8,FALSE)</f>
        <v>red</v>
      </c>
      <c r="L356" s="7" t="str">
        <f>VLOOKUP(B356,[1]characters!$A:$K,11,FALSE)</f>
        <v>heal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>IFERROR(VLOOKUP(B356,input_523100!L:R,7,FALSE),VLOOKUP(tables_523100!C356,input_523100!A:H,8,FALSE))</f>
        <v>1704300</v>
      </c>
      <c r="P356" s="46">
        <f t="shared" ca="1" si="39"/>
        <v>1.2999999999996023E-2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9">
        <v>5</v>
      </c>
    </row>
  </sheetData>
  <autoFilter ref="A1:V35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523105</v>
      </c>
      <c r="B2" s="97">
        <v>1362</v>
      </c>
      <c r="C2" s="7" t="str">
        <f t="shared" ref="C2:C4" si="0">D2&amp;J2&amp;E2&amp;F2&amp;G2</f>
        <v>PremiumSS6R5only</v>
      </c>
      <c r="D2" s="95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刺撃する尖甘槍 フォンデュ</v>
      </c>
      <c r="I2" s="7" t="str">
        <f>VLOOKUP(B2,[1]characters!$A:$J,10,FALSE)</f>
        <v>PremiumSSw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heal</v>
      </c>
      <c r="M2" s="7" t="str">
        <f>VLOOKUP(B2,[1]characters!$A:$M,13,FALSE)</f>
        <v>human</v>
      </c>
      <c r="N2" s="7">
        <f>VLOOKUP(B2,[1]characters!$A:$G,7,FALSE)</f>
        <v>0</v>
      </c>
      <c r="O2" s="45">
        <v>200</v>
      </c>
      <c r="P2" s="46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99">
        <v>5</v>
      </c>
    </row>
    <row r="3" spans="1:22" ht="21" customHeight="1" x14ac:dyDescent="0.15">
      <c r="A3" s="2">
        <v>523105</v>
      </c>
      <c r="B3" s="97">
        <v>1354</v>
      </c>
      <c r="C3" s="7" t="str">
        <f t="shared" si="0"/>
        <v>PremiumSS6R5only</v>
      </c>
      <c r="D3" s="95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放課後の恋妃神 フレイヤ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heal</v>
      </c>
      <c r="M3" s="7" t="str">
        <f>VLOOKUP(B3,[1]characters!$A:$M,13,FALSE)</f>
        <v>animal</v>
      </c>
      <c r="N3" s="7">
        <f>VLOOKUP(B3,[1]characters!$A:$G,7,FALSE)</f>
        <v>0</v>
      </c>
      <c r="O3" s="45">
        <v>400</v>
      </c>
      <c r="P3" s="46">
        <f>O3/SUM(O:O)</f>
        <v>0.4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99">
        <v>5</v>
      </c>
    </row>
    <row r="4" spans="1:22" ht="21" customHeight="1" x14ac:dyDescent="0.15">
      <c r="A4" s="2">
        <v>523105</v>
      </c>
      <c r="B4" s="97">
        <v>1359</v>
      </c>
      <c r="C4" s="7" t="str">
        <f t="shared" si="0"/>
        <v>PremiumSS5R5only</v>
      </c>
      <c r="D4" s="95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コルネ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>
        <f>VLOOKUP(B4,[1]characters!$A:$G,7,FALSE)</f>
        <v>0</v>
      </c>
      <c r="O4" s="45">
        <v>400</v>
      </c>
      <c r="P4" s="46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99">
        <v>5</v>
      </c>
    </row>
  </sheetData>
  <autoFilter ref="A1:V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6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input_523010</vt:lpstr>
      <vt:lpstr>tables_523010</vt:lpstr>
      <vt:lpstr>input_523100</vt:lpstr>
      <vt:lpstr>tables_523100</vt:lpstr>
      <vt:lpstr>tables_settle_523105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2017-02-10T04:56:54Z</dcterms:modified>
</cp:coreProperties>
</file>