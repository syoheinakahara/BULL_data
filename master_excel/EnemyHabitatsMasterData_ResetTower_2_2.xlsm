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9/BULL_data/master_excel/"/>
    </mc:Choice>
  </mc:AlternateContent>
  <bookViews>
    <workbookView xWindow="10040" yWindow="2980" windowWidth="24980" windowHeight="1274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9" l="1"/>
  <c r="N4" i="9"/>
  <c r="M4" i="9"/>
  <c r="L4" i="9"/>
  <c r="K4" i="9"/>
  <c r="J4" i="9"/>
  <c r="I4" i="9"/>
  <c r="H4" i="9"/>
  <c r="G4" i="9"/>
  <c r="E4" i="9"/>
  <c r="D4" i="9"/>
  <c r="A4" i="9"/>
  <c r="J10" i="11"/>
  <c r="B11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B10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O10" i="9"/>
  <c r="N10" i="9"/>
  <c r="M10" i="9"/>
  <c r="L10" i="9"/>
  <c r="K10" i="9"/>
  <c r="J10" i="9"/>
  <c r="I10" i="9"/>
  <c r="H10" i="9"/>
  <c r="G10" i="9"/>
  <c r="E10" i="9"/>
  <c r="D10" i="9"/>
  <c r="A10" i="9"/>
  <c r="A11" i="9"/>
  <c r="D11" i="9"/>
  <c r="E11" i="9"/>
  <c r="G11" i="9"/>
  <c r="H11" i="9"/>
  <c r="I11" i="9"/>
  <c r="J11" i="9"/>
  <c r="K11" i="9"/>
  <c r="L11" i="9"/>
  <c r="M11" i="9"/>
  <c r="N11" i="9"/>
  <c r="J9" i="11"/>
  <c r="O11" i="9"/>
  <c r="O3" i="9"/>
  <c r="N3" i="9"/>
  <c r="M3" i="9"/>
  <c r="L3" i="9"/>
  <c r="K3" i="9"/>
  <c r="J3" i="9"/>
  <c r="I3" i="9"/>
  <c r="H3" i="9"/>
  <c r="G3" i="9"/>
  <c r="E3" i="9"/>
  <c r="D3" i="9"/>
  <c r="A3" i="9"/>
  <c r="B2" i="10"/>
  <c r="B3" i="10"/>
  <c r="B4" i="10"/>
  <c r="B5" i="10"/>
  <c r="B7" i="10"/>
  <c r="B8" i="10"/>
  <c r="B9" i="10"/>
  <c r="B6" i="10"/>
  <c r="N3" i="22"/>
  <c r="N2" i="22"/>
  <c r="C6" i="18"/>
  <c r="D6" i="18"/>
  <c r="C5" i="18"/>
  <c r="D5" i="18"/>
  <c r="C4" i="18"/>
  <c r="D4" i="18"/>
  <c r="C3" i="18"/>
  <c r="D3" i="18"/>
  <c r="C2" i="18"/>
  <c r="D2" i="18"/>
  <c r="T2" i="1"/>
  <c r="A9" i="9"/>
  <c r="D9" i="9"/>
  <c r="E9" i="9"/>
  <c r="G9" i="9"/>
  <c r="H9" i="9"/>
  <c r="I9" i="9"/>
  <c r="J9" i="9"/>
  <c r="K9" i="9"/>
  <c r="L9" i="9"/>
  <c r="M9" i="9"/>
  <c r="N9" i="9"/>
  <c r="J7" i="11"/>
  <c r="J8" i="11"/>
  <c r="O9" i="9"/>
  <c r="J6" i="11"/>
  <c r="J4" i="11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O3" i="21"/>
  <c r="O4" i="21"/>
  <c r="O2" i="21"/>
  <c r="C3" i="21"/>
  <c r="D3" i="21"/>
  <c r="F3" i="21"/>
  <c r="G3" i="21"/>
  <c r="I3" i="21"/>
  <c r="C4" i="21"/>
  <c r="D4" i="21"/>
  <c r="F4" i="21"/>
  <c r="G4" i="21"/>
  <c r="I4" i="21"/>
  <c r="G3" i="2"/>
  <c r="A3" i="2"/>
  <c r="H2" i="1"/>
  <c r="H3" i="1"/>
  <c r="H4" i="1"/>
  <c r="H5" i="1"/>
  <c r="H6" i="1"/>
  <c r="H7" i="1"/>
  <c r="B3" i="2"/>
  <c r="D3" i="2"/>
  <c r="E3" i="2"/>
  <c r="H3" i="2"/>
  <c r="G4" i="2"/>
  <c r="A4" i="2"/>
  <c r="B4" i="2"/>
  <c r="D4" i="2"/>
  <c r="E4" i="2"/>
  <c r="H4" i="2"/>
  <c r="J2" i="11"/>
  <c r="J3" i="11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J5" i="11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A3" i="1"/>
  <c r="D3" i="1"/>
  <c r="E3" i="1"/>
  <c r="F3" i="1"/>
  <c r="G2" i="2"/>
  <c r="A2" i="2"/>
  <c r="I3" i="1"/>
  <c r="J3" i="1"/>
  <c r="M3" i="1"/>
  <c r="N3" i="1"/>
  <c r="O3" i="1"/>
  <c r="P3" i="1"/>
  <c r="Q3" i="1"/>
  <c r="T3" i="1"/>
  <c r="V3" i="1"/>
  <c r="E2" i="9"/>
  <c r="X3" i="1"/>
  <c r="AD3" i="1"/>
  <c r="AE3" i="1"/>
  <c r="AF3" i="1"/>
  <c r="AG3" i="1"/>
  <c r="AI3" i="1"/>
  <c r="A4" i="1"/>
  <c r="D4" i="1"/>
  <c r="E4" i="1"/>
  <c r="F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5" i="1"/>
  <c r="D5" i="1"/>
  <c r="E5" i="1"/>
  <c r="F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6" i="1"/>
  <c r="D6" i="1"/>
  <c r="E6" i="1"/>
  <c r="F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7" i="1"/>
  <c r="D7" i="1"/>
  <c r="E7" i="1"/>
  <c r="F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X2" i="1"/>
  <c r="V2" i="1"/>
  <c r="G3" i="22"/>
  <c r="F3" i="22"/>
  <c r="D3" i="22"/>
  <c r="C3" i="22"/>
  <c r="A3" i="22"/>
  <c r="E13" i="16"/>
  <c r="G2" i="22"/>
  <c r="F2" i="22"/>
  <c r="D2" i="22"/>
  <c r="C2" i="22"/>
  <c r="A2" i="22"/>
  <c r="I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A2" i="9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<sst xmlns="http://schemas.openxmlformats.org/spreadsheetml/2006/main" count="529" uniqueCount="303">
  <si>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</si>
  <si>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</si>
  <si>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</si>
  <si>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</si>
  <si>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</si>
  <si>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</si>
  <si>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</si>
  <si>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</si>
  <si>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</si>
  <si>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</si>
  <si>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</si>
  <si>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</si>
  <si>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</si>
  <si>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</si>
  <si>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</si>
  <si>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</si>
  <si>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</si>
  <si>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</si>
  <si>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</si>
  <si>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</si>
  <si>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</si>
  <si>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</si>
  <si>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</si>
  <si>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</si>
  <si>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</si>
  <si>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</si>
  <si>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</si>
  <si>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</si>
  <si>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</si>
  <si>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</si>
  <si>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</si>
  <si>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</si>
  <si>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</si>
  <si>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</si>
  <si>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</si>
  <si>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</si>
  <si>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</si>
  <si>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</si>
  <si>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</si>
  <si>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</si>
  <si>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</si>
  <si>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</si>
  <si>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</si>
  <si>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</si>
  <si>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</si>
  <si>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</si>
  <si>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</si>
  <si>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</si>
  <si>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</si>
  <si>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</si>
  <si>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</si>
  <si>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</si>
  <si>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</si>
  <si>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</si>
  <si>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</si>
  <si>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</si>
  <si>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</si>
  <si>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</si>
  <si>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</si>
  <si>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</si>
  <si>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</si>
  <si>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</si>
  <si>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</si>
  <si>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</si>
  <si>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</si>
  <si>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</si>
  <si>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</si>
  <si>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</si>
  <si>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</si>
  <si>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</si>
  <si>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</si>
  <si>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</si>
  <si>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</si>
  <si>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</si>
  <si>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</si>
  <si>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</si>
  <si>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</si>
  <si>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</si>
  <si>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</si>
  <si>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</si>
  <si>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</si>
  <si>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</si>
  <si>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</si>
  <si>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</si>
  <si>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</si>
  <si>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</si>
  <si>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</si>
  <si>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</si>
  <si>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</si>
  <si>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</si>
  <si>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</si>
  <si>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</si>
  <si>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</si>
  <si>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</si>
  <si>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</si>
  <si>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</si>
  <si>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</si>
  <si>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</si>
  <si>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</si>
  <si>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</si>
  <si>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</si>
  <si>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</si>
  <si>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</si>
  <si>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</si>
  <si>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</si>
  <si>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</si>
  <si>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</si>
  <si>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</si>
  <si>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</si>
  <si>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</si>
  <si>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</si>
  <si>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</si>
  <si>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</si>
  <si>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</si>
  <si>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</si>
  <si>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</si>
  <si>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</si>
  <si>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</si>
  <si>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</si>
  <si>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</si>
  <si>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</si>
  <si>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</si>
  <si>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</si>
  <si>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</si>
  <si>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</si>
  <si>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</si>
  <si>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</si>
  <si>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</si>
  <si>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</si>
  <si>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</si>
  <si>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</si>
  <si>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</si>
  <si>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</si>
  <si>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</si>
  <si>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</si>
  <si>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</si>
  <si>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</si>
  <si>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</si>
  <si>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</si>
  <si>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</si>
  <si>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</si>
  <si>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</si>
  <si>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</si>
  <si>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</si>
  <si>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</si>
  <si>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</si>
  <si>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</si>
  <si>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</si>
  <si>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</si>
  <si>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</si>
  <si>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</si>
  <si>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</si>
  <si>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</si>
  <si>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</si>
  <si>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</si>
  <si>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</si>
  <si>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</si>
  <si>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</si>
  <si>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</si>
  <si>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</si>
  <si>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</si>
  <si>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</si>
  <si>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</si>
  <si>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</si>
  <si>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</si>
  <si>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</si>
  <si>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</si>
  <si>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</si>
  <si>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</si>
  <si>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</si>
  <si>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</si>
  <si>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</si>
  <si>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</si>
  <si>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</si>
  <si>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</si>
  <si>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</si>
  <si>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</si>
  <si>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</si>
  <si>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</si>
  <si>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</si>
  <si>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</si>
  <si>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</si>
  <si>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</si>
  <si>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</si>
  <si>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</si>
  <si>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</si>
  <si>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</si>
  <si>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</si>
  <si>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</si>
  <si>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</si>
  <si>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</si>
  <si>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</si>
  <si>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</si>
  <si>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</si>
  <si>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</si>
  <si>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</si>
  <si>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</si>
  <si>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</si>
  <si>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</si>
  <si>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</si>
  <si>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</si>
  <si>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</si>
  <si>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</si>
  <si>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</si>
  <si>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</si>
  <si>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</si>
  <si>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</si>
  <si>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</si>
  <si>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</si>
  <si>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</si>
  <si>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</si>
  <si>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</si>
  <si>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</si>
  <si>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</si>
  <si>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</si>
  <si>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</si>
  <si>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</si>
  <si>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</si>
  <si>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</si>
  <si>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</si>
  <si>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</si>
  <si>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</si>
  <si>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</si>
  <si>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</si>
  <si>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</si>
  <si>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</si>
  <si>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</si>
  <si>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</si>
  <si>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</si>
  <si>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</si>
  <si>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</si>
  <si>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</si>
  <si>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</si>
  <si>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</si>
  <si>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</si>
  <si>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</si>
  <si>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</si>
  <si>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</si>
  <si>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</si>
  <si>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</si>
  <si>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</si>
  <si>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</si>
  <si>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</si>
  <si>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</si>
  <si>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</si>
  <si>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</si>
  <si>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</si>
  <si>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</si>
  <si>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</si>
  <si>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</si>
  <si>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</si>
  <si>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</si>
  <si>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参照用コード</t>
    <rPh sb="0" eb="3">
      <t>サンショウヨウ</t>
    </rPh>
    <phoneticPr fontId="5"/>
  </si>
  <si>
    <t>パールバティ</t>
    <phoneticPr fontId="5"/>
  </si>
  <si>
    <t>メルクシャ</t>
    <phoneticPr fontId="5"/>
  </si>
  <si>
    <t>ユウヤ</t>
    <phoneticPr fontId="5"/>
  </si>
  <si>
    <t>シュガフル</t>
    <phoneticPr fontId="5"/>
  </si>
  <si>
    <t>ユキ</t>
    <phoneticPr fontId="5"/>
  </si>
  <si>
    <t>ミカド</t>
    <phoneticPr fontId="5"/>
  </si>
  <si>
    <t>２ターン毎に全体攻撃</t>
    <phoneticPr fontId="5"/>
  </si>
  <si>
    <t>３ターン毎にハートパネルを
ハートボムパネルに変換</t>
    <phoneticPr fontId="5"/>
  </si>
  <si>
    <t>２ターン毎にクリティカル！</t>
    <phoneticPr fontId="5"/>
  </si>
  <si>
    <t>３０％の確率でクリティカル！</t>
    <phoneticPr fontId="5"/>
  </si>
  <si>
    <t>３０％の確率で２回連続攻撃</t>
    <phoneticPr fontId="5"/>
  </si>
  <si>
    <t>メルクシャはハートパネルを
ハートボムパネルに変換してくれます
うまく活用しましょう</t>
    <phoneticPr fontId="5"/>
  </si>
  <si>
    <t>ユウヤとシュガフルは交互に
クリティカル攻撃を使用します
ターゲットを指定し片方ずつ倒しましょう</t>
    <phoneticPr fontId="5"/>
  </si>
  <si>
    <t>ミカドはユキに比べて攻撃力が高いので
優先的に倒しましょう</t>
    <phoneticPr fontId="5"/>
  </si>
  <si>
    <t>[effect:spread, val:0.3]</t>
    <phoneticPr fontId="5"/>
  </si>
  <si>
    <t>[effect:critical, val:1.2]</t>
    <phoneticPr fontId="5"/>
  </si>
  <si>
    <t>[表示しない]</t>
  </si>
  <si>
    <t>13400_2</t>
    <phoneticPr fontId="5"/>
  </si>
  <si>
    <t>攻撃頻度をずらす</t>
    <rPh sb="0" eb="4">
      <t>コウゲk</t>
    </rPh>
    <phoneticPr fontId="5"/>
  </si>
  <si>
    <t>old</t>
    <phoneticPr fontId="5"/>
  </si>
  <si>
    <t>愛はバクハツよ！</t>
    <rPh sb="0" eb="1">
      <t>アイh</t>
    </rPh>
    <phoneticPr fontId="5"/>
  </si>
  <si>
    <t>串刺しフォーク♪</t>
    <phoneticPr fontId="5"/>
  </si>
  <si>
    <t>行かせないわ…</t>
    <rPh sb="0" eb="1">
      <t>イカs</t>
    </rPh>
    <phoneticPr fontId="5"/>
  </si>
  <si>
    <t>全体攻撃</t>
    <phoneticPr fontId="5"/>
  </si>
  <si>
    <t>クリティカル！</t>
    <phoneticPr fontId="5"/>
  </si>
  <si>
    <t>2回連続攻撃</t>
    <phoneticPr fontId="5"/>
  </si>
  <si>
    <t>skip</t>
    <phoneticPr fontId="5"/>
  </si>
  <si>
    <t>可愛がってあげるっ</t>
    <rPh sb="0" eb="2">
      <t>カワイg</t>
    </rPh>
    <phoneticPr fontId="5"/>
  </si>
  <si>
    <t>ヤッてやるぜェ！！</t>
    <phoneticPr fontId="5"/>
  </si>
  <si>
    <t>[effect:fix_speed, target:myself, turn:2]</t>
    <phoneticPr fontId="5"/>
  </si>
  <si>
    <t>1ターン自身の行動頻度UP</t>
    <rPh sb="4" eb="6">
      <t>ジシn</t>
    </rPh>
    <rPh sb="7" eb="9">
      <t>コウド</t>
    </rPh>
    <rPh sb="9" eb="11">
      <t>ヒn</t>
    </rPh>
    <phoneticPr fontId="5"/>
  </si>
  <si>
    <t>散れ！ハッハァー！</t>
    <phoneticPr fontId="5"/>
  </si>
  <si>
    <t>覚悟しやがれっ！</t>
    <rPh sb="0" eb="2">
      <t>カクg</t>
    </rPh>
    <phoneticPr fontId="5"/>
  </si>
  <si>
    <t>ユウヤとシュガフルが
交互に攻撃してくる！</t>
    <rPh sb="11" eb="13">
      <t>コウg</t>
    </rPh>
    <rPh sb="14" eb="16">
      <t>コウゲk</t>
    </rPh>
    <phoneticPr fontId="5"/>
  </si>
  <si>
    <t>きひひひっ！</t>
    <phoneticPr fontId="5"/>
  </si>
  <si>
    <t>singleonly</t>
    <phoneticPr fontId="5"/>
  </si>
  <si>
    <t>bit</t>
    <phoneticPr fontId="5"/>
  </si>
  <si>
    <t>[effect:freq_turn, target:myself, turn:1, val:1, animation:enemy_freq_turn]</t>
    <phoneticPr fontId="5"/>
  </si>
  <si>
    <t>[effect:rush, count:2, val:0.65]</t>
    <phoneticPr fontId="5"/>
  </si>
  <si>
    <t>クリティカル！+
赤パネルを青パネルに5個変換</t>
    <phoneticPr fontId="5"/>
  </si>
  <si>
    <t>[effect:critical, val:1.2],[effect:force_change_block, new_block:block_blue, target:block_red, count:5, val:0, animation:change_block]</t>
    <phoneticPr fontId="5"/>
  </si>
  <si>
    <t>クリティカル！+
黄パネルを青パネルに7個変換</t>
    <rPh sb="9" eb="10">
      <t>キ</t>
    </rPh>
    <phoneticPr fontId="5"/>
  </si>
  <si>
    <t>[effect:critical, val:1.2],[effect:force_change_block, new_block:block_blue, target:block_yellow, count:7, val:0, animation:change_block]</t>
    <phoneticPr fontId="5"/>
  </si>
  <si>
    <t>開幕！</t>
    <rPh sb="0" eb="2">
      <t>カイマk</t>
    </rPh>
    <phoneticPr fontId="5"/>
  </si>
  <si>
    <t>武器をこちらに構えている</t>
    <rPh sb="0" eb="2">
      <t>ブk</t>
    </rPh>
    <rPh sb="7" eb="8">
      <t>カマ</t>
    </rPh>
    <phoneticPr fontId="5"/>
  </si>
  <si>
    <t>アナタにこのタワーが
登れるかしら…</t>
    <rPh sb="11" eb="12">
      <t>ノボレルカシ</t>
    </rPh>
    <phoneticPr fontId="5"/>
  </si>
  <si>
    <t>死ぬほど
後悔させてあげる！</t>
    <rPh sb="0" eb="1">
      <t>シn</t>
    </rPh>
    <phoneticPr fontId="5"/>
  </si>
  <si>
    <t>空気が冷たくなってきた…</t>
    <rPh sb="3" eb="4">
      <t>ク</t>
    </rPh>
    <phoneticPr fontId="5"/>
  </si>
  <si>
    <t>属性パネルをハートボムパネルに7個変換</t>
    <rPh sb="0" eb="2">
      <t>ゾクセ</t>
    </rPh>
    <rPh sb="16" eb="17">
      <t>k</t>
    </rPh>
    <phoneticPr fontId="5"/>
  </si>
  <si>
    <t>[effect:force_change_block, new_block:crack_bomb, target:normal, color:block_heart, count:7, val:12, animation:change_block]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</si>
</sst>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5" borderId="22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2" fillId="14" borderId="11" xfId="0" applyNumberFormat="1" applyFont="1" applyFill="1" applyBorder="1" applyAlignment="1">
      <alignment vertical="top" wrapText="1"/>
    </xf>
    <xf numFmtId="38" fontId="16" fillId="0" borderId="7" xfId="628" applyFont="1" applyFill="1" applyBorder="1" applyAlignment="1">
      <alignment vertical="top" wrapText="1"/>
    </xf>
    <xf numFmtId="0" fontId="16" fillId="6" borderId="7" xfId="0" applyFont="1" applyFill="1" applyBorder="1" applyAlignment="1">
      <alignment horizontal="left" vertical="center"/>
    </xf>
    <xf numFmtId="0" fontId="16" fillId="0" borderId="0" xfId="0" applyFont="1" applyFill="1" applyAlignment="1">
      <alignment horizontal="left"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39001</v>
          </cell>
        </row>
        <row r="182">
          <cell r="A182">
            <v>39002</v>
          </cell>
        </row>
        <row r="183">
          <cell r="A183">
            <v>39003</v>
          </cell>
        </row>
        <row r="184">
          <cell r="A184">
            <v>39004</v>
          </cell>
        </row>
        <row r="185">
          <cell r="A185">
            <v>39005</v>
          </cell>
        </row>
        <row r="186">
          <cell r="A186">
            <v>39006</v>
          </cell>
        </row>
        <row r="187">
          <cell r="A187">
            <v>39007</v>
          </cell>
        </row>
        <row r="188">
          <cell r="A188">
            <v>39008</v>
          </cell>
        </row>
        <row r="189">
          <cell r="A189">
            <v>39009</v>
          </cell>
        </row>
        <row r="190">
          <cell r="A190">
            <v>39010</v>
          </cell>
        </row>
        <row r="191">
          <cell r="A191">
            <v>39011</v>
          </cell>
        </row>
        <row r="192">
          <cell r="A192">
            <v>39012</v>
          </cell>
        </row>
        <row r="193">
          <cell r="A193">
            <v>40001</v>
          </cell>
        </row>
        <row r="194">
          <cell r="A194">
            <v>40002</v>
          </cell>
        </row>
        <row r="195">
          <cell r="A195">
            <v>40003</v>
          </cell>
        </row>
        <row r="196">
          <cell r="A196">
            <v>40004</v>
          </cell>
        </row>
        <row r="197">
          <cell r="A197">
            <v>40005</v>
          </cell>
        </row>
        <row r="198">
          <cell r="A198">
            <v>40006</v>
          </cell>
        </row>
        <row r="199">
          <cell r="A199">
            <v>40007</v>
          </cell>
        </row>
        <row r="200">
          <cell r="A200">
            <v>40008</v>
          </cell>
        </row>
        <row r="201">
          <cell r="A201">
            <v>40009</v>
          </cell>
        </row>
        <row r="202">
          <cell r="A202">
            <v>40010</v>
          </cell>
        </row>
        <row r="203">
          <cell r="A203">
            <v>40011</v>
          </cell>
        </row>
        <row r="204">
          <cell r="A204">
            <v>40012</v>
          </cell>
        </row>
        <row r="205">
          <cell r="A205">
            <v>40013</v>
          </cell>
        </row>
        <row r="206">
          <cell r="A206">
            <v>40014</v>
          </cell>
        </row>
        <row r="207">
          <cell r="A207">
            <v>40015</v>
          </cell>
        </row>
        <row r="208">
          <cell r="A208">
            <v>40016</v>
          </cell>
        </row>
        <row r="209">
          <cell r="A209">
            <v>40017</v>
          </cell>
        </row>
        <row r="210">
          <cell r="A210">
            <v>40018</v>
          </cell>
        </row>
        <row r="211">
          <cell r="A211">
            <v>40019</v>
          </cell>
        </row>
        <row r="212">
          <cell r="A212">
            <v>40021</v>
          </cell>
        </row>
        <row r="213">
          <cell r="A213">
            <v>40022</v>
          </cell>
        </row>
        <row r="214">
          <cell r="A214">
            <v>40023</v>
          </cell>
        </row>
        <row r="215">
          <cell r="A215">
            <v>40024</v>
          </cell>
        </row>
        <row r="216">
          <cell r="A216">
            <v>40025</v>
          </cell>
        </row>
        <row r="217">
          <cell r="A217">
            <v>40026</v>
          </cell>
        </row>
        <row r="218">
          <cell r="A218">
            <v>40027</v>
          </cell>
        </row>
        <row r="219">
          <cell r="A219">
            <v>40028</v>
          </cell>
        </row>
        <row r="220">
          <cell r="A220">
            <v>40029</v>
          </cell>
        </row>
        <row r="221">
          <cell r="A221">
            <v>40030</v>
          </cell>
        </row>
        <row r="222">
          <cell r="A222">
            <v>40031</v>
          </cell>
        </row>
        <row r="223">
          <cell r="A223">
            <v>40032</v>
          </cell>
        </row>
        <row r="224">
          <cell r="A224">
            <v>40033</v>
          </cell>
        </row>
        <row r="225">
          <cell r="A225">
            <v>40034</v>
          </cell>
        </row>
        <row r="226">
          <cell r="A226">
            <v>40035</v>
          </cell>
        </row>
        <row r="227">
          <cell r="A227">
            <v>40036</v>
          </cell>
        </row>
        <row r="228">
          <cell r="A228">
            <v>40037</v>
          </cell>
        </row>
        <row r="229">
          <cell r="A229">
            <v>40038</v>
          </cell>
        </row>
        <row r="230">
          <cell r="A230">
            <v>40039</v>
          </cell>
        </row>
        <row r="231">
          <cell r="A231">
            <v>40040</v>
          </cell>
        </row>
        <row r="232">
          <cell r="A232">
            <v>40041</v>
          </cell>
        </row>
        <row r="233">
          <cell r="A233">
            <v>40042</v>
          </cell>
        </row>
        <row r="234">
          <cell r="A234">
            <v>40043</v>
          </cell>
        </row>
        <row r="235">
          <cell r="A235">
            <v>40044</v>
          </cell>
        </row>
        <row r="236">
          <cell r="A236">
            <v>48001</v>
          </cell>
        </row>
        <row r="237">
          <cell r="A237">
            <v>48002</v>
          </cell>
        </row>
        <row r="238">
          <cell r="A238">
            <v>48003</v>
          </cell>
        </row>
        <row r="239">
          <cell r="A239">
            <v>48004</v>
          </cell>
        </row>
        <row r="240">
          <cell r="A240">
            <v>48005</v>
          </cell>
        </row>
        <row r="241">
          <cell r="A241">
            <v>48006</v>
          </cell>
        </row>
        <row r="242">
          <cell r="A242">
            <v>48007</v>
          </cell>
        </row>
        <row r="243">
          <cell r="A243">
            <v>48008</v>
          </cell>
        </row>
        <row r="244">
          <cell r="A244">
            <v>48009</v>
          </cell>
        </row>
        <row r="245">
          <cell r="A245">
            <v>48010</v>
          </cell>
        </row>
        <row r="246">
          <cell r="A246">
            <v>48011</v>
          </cell>
        </row>
        <row r="247">
          <cell r="A247">
            <v>48012</v>
          </cell>
        </row>
        <row r="248">
          <cell r="A248">
            <v>48501</v>
          </cell>
        </row>
        <row r="249">
          <cell r="A249">
            <v>48502</v>
          </cell>
        </row>
        <row r="250">
          <cell r="A250">
            <v>48701</v>
          </cell>
        </row>
        <row r="251">
          <cell r="A251">
            <v>41001</v>
          </cell>
        </row>
        <row r="252">
          <cell r="A252">
            <v>41002</v>
          </cell>
        </row>
        <row r="253">
          <cell r="A253">
            <v>41003</v>
          </cell>
        </row>
        <row r="254">
          <cell r="A254">
            <v>41004</v>
          </cell>
        </row>
        <row r="255">
          <cell r="A255">
            <v>41005</v>
          </cell>
        </row>
        <row r="256">
          <cell r="A256">
            <v>41006</v>
          </cell>
        </row>
        <row r="257">
          <cell r="A257">
            <v>41007</v>
          </cell>
        </row>
        <row r="258">
          <cell r="A258">
            <v>41008</v>
          </cell>
        </row>
        <row r="259">
          <cell r="A259">
            <v>41009</v>
          </cell>
        </row>
        <row r="260">
          <cell r="A260">
            <v>41010</v>
          </cell>
        </row>
        <row r="261">
          <cell r="A261">
            <v>41011</v>
          </cell>
        </row>
        <row r="262">
          <cell r="A262">
            <v>41012</v>
          </cell>
        </row>
        <row r="263">
          <cell r="A263">
            <v>41013</v>
          </cell>
        </row>
        <row r="264">
          <cell r="A264">
            <v>41014</v>
          </cell>
        </row>
        <row r="265">
          <cell r="A265">
            <v>41015</v>
          </cell>
        </row>
        <row r="266">
          <cell r="A266">
            <v>47001</v>
          </cell>
        </row>
        <row r="267">
          <cell r="A267">
            <v>47002</v>
          </cell>
        </row>
        <row r="268">
          <cell r="A268">
            <v>47003</v>
          </cell>
        </row>
        <row r="269">
          <cell r="A269">
            <v>47004</v>
          </cell>
        </row>
        <row r="270">
          <cell r="A270">
            <v>47005</v>
          </cell>
        </row>
        <row r="271">
          <cell r="A271">
            <v>47006</v>
          </cell>
        </row>
        <row r="272">
          <cell r="A272">
            <v>47007</v>
          </cell>
        </row>
        <row r="273">
          <cell r="A273">
            <v>47008</v>
          </cell>
        </row>
        <row r="274">
          <cell r="A274">
            <v>47009</v>
          </cell>
        </row>
        <row r="275">
          <cell r="A275">
            <v>47010</v>
          </cell>
        </row>
        <row r="276">
          <cell r="A276">
            <v>47011</v>
          </cell>
        </row>
        <row r="277">
          <cell r="A277">
            <v>47012</v>
          </cell>
        </row>
        <row r="278">
          <cell r="A278">
            <v>49001</v>
          </cell>
        </row>
        <row r="279">
          <cell r="A279">
            <v>49002</v>
          </cell>
        </row>
        <row r="280">
          <cell r="A280">
            <v>49003</v>
          </cell>
        </row>
        <row r="281">
          <cell r="A281">
            <v>49004</v>
          </cell>
        </row>
        <row r="282">
          <cell r="A282">
            <v>49005</v>
          </cell>
        </row>
        <row r="283">
          <cell r="A283">
            <v>49006</v>
          </cell>
        </row>
        <row r="284">
          <cell r="A284">
            <v>49007</v>
          </cell>
        </row>
        <row r="285">
          <cell r="A285">
            <v>49008</v>
          </cell>
        </row>
        <row r="286">
          <cell r="A286">
            <v>49009</v>
          </cell>
        </row>
        <row r="287">
          <cell r="A287">
            <v>49010</v>
          </cell>
        </row>
        <row r="288">
          <cell r="A288">
            <v>49011</v>
          </cell>
        </row>
        <row r="289">
          <cell r="A289">
            <v>49012</v>
          </cell>
        </row>
        <row r="290">
          <cell r="A290">
            <v>49013</v>
          </cell>
        </row>
        <row r="291">
          <cell r="A291">
            <v>49014</v>
          </cell>
        </row>
        <row r="292">
          <cell r="A292">
            <v>49015</v>
          </cell>
        </row>
        <row r="293">
          <cell r="A293">
            <v>50001</v>
          </cell>
        </row>
        <row r="294">
          <cell r="A294">
            <v>50002</v>
          </cell>
        </row>
        <row r="295">
          <cell r="A295">
            <v>50003</v>
          </cell>
        </row>
        <row r="296">
          <cell r="A296">
            <v>50004</v>
          </cell>
        </row>
        <row r="297">
          <cell r="A297">
            <v>50005</v>
          </cell>
        </row>
        <row r="298">
          <cell r="A298">
            <v>50006</v>
          </cell>
        </row>
        <row r="299">
          <cell r="A299">
            <v>50007</v>
          </cell>
        </row>
        <row r="300">
          <cell r="A300">
            <v>50008</v>
          </cell>
        </row>
        <row r="301">
          <cell r="A301">
            <v>50009</v>
          </cell>
        </row>
        <row r="302">
          <cell r="A302">
            <v>50010</v>
          </cell>
        </row>
        <row r="303">
          <cell r="A303">
            <v>50011</v>
          </cell>
        </row>
        <row r="304">
          <cell r="A304">
            <v>50012</v>
          </cell>
        </row>
        <row r="305">
          <cell r="A305">
            <v>50013</v>
          </cell>
        </row>
        <row r="306">
          <cell r="A306">
            <v>50014</v>
          </cell>
        </row>
        <row r="307">
          <cell r="A307">
            <v>51001</v>
          </cell>
        </row>
        <row r="308">
          <cell r="A308">
            <v>51002</v>
          </cell>
        </row>
        <row r="309">
          <cell r="A309">
            <v>58001</v>
          </cell>
        </row>
        <row r="310">
          <cell r="A310">
            <v>59001</v>
          </cell>
        </row>
        <row r="311">
          <cell r="A311">
            <v>59002</v>
          </cell>
        </row>
        <row r="312">
          <cell r="A312">
            <v>60001</v>
          </cell>
        </row>
        <row r="313">
          <cell r="A313">
            <v>60002</v>
          </cell>
        </row>
        <row r="314">
          <cell r="A314">
            <v>60003</v>
          </cell>
        </row>
        <row r="315">
          <cell r="A315">
            <v>60004</v>
          </cell>
        </row>
        <row r="316">
          <cell r="A316">
            <v>60005</v>
          </cell>
        </row>
        <row r="317">
          <cell r="A317">
            <v>60006</v>
          </cell>
        </row>
        <row r="318">
          <cell r="A318">
            <v>60007</v>
          </cell>
        </row>
        <row r="319">
          <cell r="A319">
            <v>60010</v>
          </cell>
        </row>
        <row r="320">
          <cell r="A320">
            <v>60011</v>
          </cell>
        </row>
        <row r="321">
          <cell r="A321">
            <v>61011</v>
          </cell>
        </row>
        <row r="322">
          <cell r="A322">
            <v>60012</v>
          </cell>
        </row>
        <row r="323">
          <cell r="A323">
            <v>60013</v>
          </cell>
        </row>
        <row r="324">
          <cell r="A324">
            <v>60014</v>
          </cell>
        </row>
        <row r="325">
          <cell r="A325">
            <v>60015</v>
          </cell>
        </row>
        <row r="326">
          <cell r="A326">
            <v>60016</v>
          </cell>
        </row>
        <row r="327">
          <cell r="A327">
            <v>60017</v>
          </cell>
        </row>
        <row r="328">
          <cell r="A328">
            <v>60018</v>
          </cell>
        </row>
        <row r="329">
          <cell r="A329">
            <v>60019</v>
          </cell>
        </row>
        <row r="330">
          <cell r="A330">
            <v>60020</v>
          </cell>
        </row>
        <row r="331">
          <cell r="A331">
            <v>60025</v>
          </cell>
        </row>
        <row r="332">
          <cell r="A332">
            <v>60026</v>
          </cell>
        </row>
        <row r="333">
          <cell r="A333">
            <v>60027</v>
          </cell>
        </row>
        <row r="334">
          <cell r="A334">
            <v>60028</v>
          </cell>
        </row>
        <row r="335">
          <cell r="A335">
            <v>65525</v>
          </cell>
        </row>
        <row r="336">
          <cell r="A336">
            <v>65526</v>
          </cell>
        </row>
        <row r="337">
          <cell r="A337">
            <v>65527</v>
          </cell>
        </row>
        <row r="338">
          <cell r="A338">
            <v>65528</v>
          </cell>
        </row>
        <row r="339">
          <cell r="A339">
            <v>65529</v>
          </cell>
        </row>
        <row r="340">
          <cell r="A340">
            <v>65530</v>
          </cell>
        </row>
        <row r="341">
          <cell r="A341">
            <v>65531</v>
          </cell>
        </row>
        <row r="342">
          <cell r="A342">
            <v>65532</v>
          </cell>
        </row>
        <row r="343">
          <cell r="A343">
            <v>65533</v>
          </cell>
        </row>
        <row r="344">
          <cell r="A344">
            <v>65534</v>
          </cell>
        </row>
        <row r="345">
          <cell r="A345">
            <v>65535</v>
          </cell>
        </row>
        <row r="346">
          <cell r="A346">
            <v>60021</v>
          </cell>
        </row>
        <row r="347">
          <cell r="A347">
            <v>60022</v>
          </cell>
        </row>
        <row r="348">
          <cell r="A348">
            <v>60023</v>
          </cell>
        </row>
        <row r="349">
          <cell r="A34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39001_1</v>
          </cell>
        </row>
        <row r="662">
          <cell r="A662" t="str">
            <v>39001_2</v>
          </cell>
        </row>
        <row r="663">
          <cell r="A663" t="str">
            <v>39001_3</v>
          </cell>
        </row>
        <row r="664">
          <cell r="A664" t="str">
            <v>39001_4</v>
          </cell>
        </row>
        <row r="665">
          <cell r="A665" t="str">
            <v>39001_5</v>
          </cell>
        </row>
        <row r="666">
          <cell r="A666" t="str">
            <v>39002_1</v>
          </cell>
        </row>
        <row r="667">
          <cell r="A667" t="str">
            <v>39002_2</v>
          </cell>
        </row>
        <row r="668">
          <cell r="A668" t="str">
            <v>39002_3</v>
          </cell>
        </row>
        <row r="669">
          <cell r="A669" t="str">
            <v>39002_4</v>
          </cell>
        </row>
        <row r="670">
          <cell r="A670" t="str">
            <v>39003_1</v>
          </cell>
        </row>
        <row r="671">
          <cell r="A671" t="str">
            <v>39003_2</v>
          </cell>
        </row>
        <row r="672">
          <cell r="A672" t="str">
            <v>39003_3</v>
          </cell>
        </row>
        <row r="673">
          <cell r="A673" t="str">
            <v>39003_4</v>
          </cell>
        </row>
        <row r="674">
          <cell r="A674" t="str">
            <v>39004_1</v>
          </cell>
        </row>
        <row r="675">
          <cell r="A675" t="str">
            <v>39004_2</v>
          </cell>
        </row>
        <row r="676">
          <cell r="A676" t="str">
            <v>39004_3</v>
          </cell>
        </row>
        <row r="677">
          <cell r="A677" t="str">
            <v>39004_4</v>
          </cell>
        </row>
        <row r="678">
          <cell r="A678" t="str">
            <v>39005_1</v>
          </cell>
        </row>
        <row r="679">
          <cell r="A679" t="str">
            <v>39005_2</v>
          </cell>
        </row>
        <row r="680">
          <cell r="A680" t="str">
            <v>39005_3</v>
          </cell>
        </row>
        <row r="681">
          <cell r="A681" t="str">
            <v>39005_4</v>
          </cell>
        </row>
        <row r="682">
          <cell r="A682" t="str">
            <v>39005_5</v>
          </cell>
        </row>
        <row r="683">
          <cell r="A683" t="str">
            <v>39006_1</v>
          </cell>
        </row>
        <row r="684">
          <cell r="A684" t="str">
            <v>39006_2</v>
          </cell>
        </row>
        <row r="685">
          <cell r="A685" t="str">
            <v>39006_3</v>
          </cell>
        </row>
        <row r="686">
          <cell r="A686" t="str">
            <v>39006_4</v>
          </cell>
        </row>
        <row r="687">
          <cell r="A687" t="str">
            <v>39007_1</v>
          </cell>
        </row>
        <row r="688">
          <cell r="A688" t="str">
            <v>39007_2</v>
          </cell>
        </row>
        <row r="689">
          <cell r="A689" t="str">
            <v>39007_3</v>
          </cell>
        </row>
        <row r="690">
          <cell r="A690" t="str">
            <v>39007_4</v>
          </cell>
        </row>
        <row r="691">
          <cell r="A691" t="str">
            <v>39008_1</v>
          </cell>
        </row>
        <row r="692">
          <cell r="A692" t="str">
            <v>39008_2</v>
          </cell>
        </row>
        <row r="693">
          <cell r="A693" t="str">
            <v>39008_3</v>
          </cell>
        </row>
        <row r="694">
          <cell r="A694" t="str">
            <v>39008_4</v>
          </cell>
        </row>
        <row r="695">
          <cell r="A695" t="str">
            <v>39008_5</v>
          </cell>
        </row>
        <row r="696">
          <cell r="A696" t="str">
            <v>39009_1</v>
          </cell>
        </row>
        <row r="697">
          <cell r="A697" t="str">
            <v>39009_2</v>
          </cell>
        </row>
        <row r="698">
          <cell r="A698" t="str">
            <v>39009_3</v>
          </cell>
        </row>
        <row r="699">
          <cell r="A699" t="str">
            <v>39009_4</v>
          </cell>
        </row>
        <row r="700">
          <cell r="A700" t="str">
            <v>39009_5</v>
          </cell>
        </row>
        <row r="701">
          <cell r="A701" t="str">
            <v>39010_1</v>
          </cell>
        </row>
        <row r="702">
          <cell r="A702" t="str">
            <v>39010_2</v>
          </cell>
        </row>
        <row r="703">
          <cell r="A703" t="str">
            <v>39010_3</v>
          </cell>
        </row>
        <row r="704">
          <cell r="A704" t="str">
            <v>39010_4</v>
          </cell>
        </row>
        <row r="705">
          <cell r="A705" t="str">
            <v>39011_1</v>
          </cell>
        </row>
        <row r="706">
          <cell r="A706" t="str">
            <v>39011_2</v>
          </cell>
        </row>
        <row r="707">
          <cell r="A707" t="str">
            <v>39011_3</v>
          </cell>
        </row>
        <row r="708">
          <cell r="A708" t="str">
            <v>39011_4</v>
          </cell>
        </row>
        <row r="709">
          <cell r="A709" t="str">
            <v>39012_1</v>
          </cell>
        </row>
        <row r="710">
          <cell r="A710" t="str">
            <v>39012_2</v>
          </cell>
        </row>
        <row r="711">
          <cell r="A711" t="str">
            <v>39012_3</v>
          </cell>
        </row>
        <row r="712">
          <cell r="A712" t="str">
            <v>39012_4</v>
          </cell>
        </row>
        <row r="713">
          <cell r="A713" t="str">
            <v>39012_5</v>
          </cell>
        </row>
        <row r="714">
          <cell r="A714" t="str">
            <v>40001_1</v>
          </cell>
        </row>
        <row r="715">
          <cell r="A715" t="str">
            <v>40002_1</v>
          </cell>
        </row>
        <row r="716">
          <cell r="A716" t="str">
            <v>40002_2</v>
          </cell>
        </row>
        <row r="717">
          <cell r="A717" t="str">
            <v>40002_3</v>
          </cell>
        </row>
        <row r="718">
          <cell r="A718" t="str">
            <v>40003_1</v>
          </cell>
        </row>
        <row r="719">
          <cell r="A719" t="str">
            <v>40004_1</v>
          </cell>
        </row>
        <row r="720">
          <cell r="A720" t="str">
            <v>40005_1</v>
          </cell>
        </row>
        <row r="721">
          <cell r="A721" t="str">
            <v>40006_1</v>
          </cell>
        </row>
        <row r="722">
          <cell r="A722" t="str">
            <v>40007_1</v>
          </cell>
        </row>
        <row r="723">
          <cell r="A723" t="str">
            <v>40008_1</v>
          </cell>
        </row>
        <row r="724">
          <cell r="A724" t="str">
            <v>40009_1</v>
          </cell>
        </row>
        <row r="725">
          <cell r="A725" t="str">
            <v>40010_1</v>
          </cell>
        </row>
        <row r="726">
          <cell r="A726" t="str">
            <v>40011_1</v>
          </cell>
        </row>
        <row r="727">
          <cell r="A727" t="str">
            <v>40012_1</v>
          </cell>
        </row>
        <row r="728">
          <cell r="A728" t="str">
            <v>40013_1</v>
          </cell>
        </row>
        <row r="729">
          <cell r="A729" t="str">
            <v>40014_1</v>
          </cell>
        </row>
        <row r="730">
          <cell r="A730" t="str">
            <v>40015_1</v>
          </cell>
        </row>
        <row r="731">
          <cell r="A731" t="str">
            <v>40016_1</v>
          </cell>
        </row>
        <row r="732">
          <cell r="A732" t="str">
            <v>40016_2</v>
          </cell>
        </row>
        <row r="733">
          <cell r="A733" t="str">
            <v>40017_1</v>
          </cell>
        </row>
        <row r="734">
          <cell r="A734" t="str">
            <v>40017_2</v>
          </cell>
        </row>
        <row r="735">
          <cell r="A735" t="str">
            <v>40017_3</v>
          </cell>
        </row>
        <row r="736">
          <cell r="A736" t="str">
            <v>40018_1</v>
          </cell>
        </row>
        <row r="737">
          <cell r="A737" t="str">
            <v>40018_2</v>
          </cell>
        </row>
        <row r="738">
          <cell r="A738" t="str">
            <v>40018_3</v>
          </cell>
        </row>
        <row r="739">
          <cell r="A739" t="str">
            <v>40019_1</v>
          </cell>
        </row>
        <row r="740">
          <cell r="A740" t="str">
            <v>40019_2</v>
          </cell>
        </row>
        <row r="741">
          <cell r="A741" t="str">
            <v>40019_3</v>
          </cell>
        </row>
        <row r="742">
          <cell r="A742" t="str">
            <v>40021_1</v>
          </cell>
        </row>
        <row r="743">
          <cell r="A743" t="str">
            <v>40021_2</v>
          </cell>
        </row>
        <row r="744">
          <cell r="A744" t="str">
            <v>40022_1</v>
          </cell>
        </row>
        <row r="745">
          <cell r="A745" t="str">
            <v>40022_2</v>
          </cell>
        </row>
        <row r="746">
          <cell r="A746" t="str">
            <v>40023_1</v>
          </cell>
        </row>
        <row r="747">
          <cell r="A747" t="str">
            <v>40023_2</v>
          </cell>
        </row>
        <row r="748">
          <cell r="A748" t="str">
            <v>40024_1</v>
          </cell>
        </row>
        <row r="749">
          <cell r="A749" t="str">
            <v>40024_2</v>
          </cell>
        </row>
        <row r="750">
          <cell r="A750" t="str">
            <v>40025_1</v>
          </cell>
        </row>
        <row r="751">
          <cell r="A751" t="str">
            <v>40025_2</v>
          </cell>
        </row>
        <row r="752">
          <cell r="A752" t="str">
            <v>40026_1</v>
          </cell>
        </row>
        <row r="753">
          <cell r="A753" t="str">
            <v>40026_2</v>
          </cell>
        </row>
        <row r="754">
          <cell r="A754" t="str">
            <v>40027_1</v>
          </cell>
        </row>
        <row r="755">
          <cell r="A755" t="str">
            <v>40027_2</v>
          </cell>
        </row>
        <row r="756">
          <cell r="A756" t="str">
            <v>40028_1</v>
          </cell>
        </row>
        <row r="757">
          <cell r="A757" t="str">
            <v>40028_2</v>
          </cell>
        </row>
        <row r="758">
          <cell r="A758" t="str">
            <v>40029_1</v>
          </cell>
        </row>
        <row r="759">
          <cell r="A759" t="str">
            <v>40029_2</v>
          </cell>
        </row>
        <row r="760">
          <cell r="A760" t="str">
            <v>40030_1</v>
          </cell>
        </row>
        <row r="761">
          <cell r="A761" t="str">
            <v>40030_2</v>
          </cell>
        </row>
        <row r="762">
          <cell r="A762" t="str">
            <v>40031_1</v>
          </cell>
        </row>
        <row r="763">
          <cell r="A763" t="str">
            <v>40031_2</v>
          </cell>
        </row>
        <row r="764">
          <cell r="A764" t="str">
            <v>40032_1</v>
          </cell>
        </row>
        <row r="765">
          <cell r="A765" t="str">
            <v>40032_2</v>
          </cell>
        </row>
        <row r="766">
          <cell r="A766" t="str">
            <v>40033_1</v>
          </cell>
        </row>
        <row r="767">
          <cell r="A767" t="str">
            <v>40033_2</v>
          </cell>
        </row>
        <row r="768">
          <cell r="A768" t="str">
            <v>40034_1</v>
          </cell>
        </row>
        <row r="769">
          <cell r="A769" t="str">
            <v>40034_2</v>
          </cell>
        </row>
        <row r="770">
          <cell r="A770" t="str">
            <v>40035_1</v>
          </cell>
        </row>
        <row r="771">
          <cell r="A771" t="str">
            <v>40035_2</v>
          </cell>
        </row>
        <row r="772">
          <cell r="A772" t="str">
            <v>40036_1</v>
          </cell>
        </row>
        <row r="773">
          <cell r="A773" t="str">
            <v>40036_2</v>
          </cell>
        </row>
        <row r="774">
          <cell r="A774" t="str">
            <v>40037_1</v>
          </cell>
        </row>
        <row r="775">
          <cell r="A775" t="str">
            <v>40037_2</v>
          </cell>
        </row>
        <row r="776">
          <cell r="A776" t="str">
            <v>40038_1</v>
          </cell>
        </row>
        <row r="777">
          <cell r="A777" t="str">
            <v>40038_2</v>
          </cell>
        </row>
        <row r="778">
          <cell r="A778" t="str">
            <v>40039_1</v>
          </cell>
        </row>
        <row r="779">
          <cell r="A779" t="str">
            <v>40039_2</v>
          </cell>
        </row>
        <row r="780">
          <cell r="A780" t="str">
            <v>40040_1</v>
          </cell>
        </row>
        <row r="781">
          <cell r="A781" t="str">
            <v>40040_2</v>
          </cell>
        </row>
        <row r="782">
          <cell r="A782" t="str">
            <v>40041_1</v>
          </cell>
        </row>
        <row r="783">
          <cell r="A783" t="str">
            <v>40041_2</v>
          </cell>
        </row>
        <row r="784">
          <cell r="A784" t="str">
            <v>40042_1</v>
          </cell>
        </row>
        <row r="785">
          <cell r="A785" t="str">
            <v>40042_2</v>
          </cell>
        </row>
        <row r="786">
          <cell r="A786" t="str">
            <v>40043_1</v>
          </cell>
        </row>
        <row r="787">
          <cell r="A787" t="str">
            <v>40043_2</v>
          </cell>
        </row>
        <row r="788">
          <cell r="A788" t="str">
            <v>40044_1</v>
          </cell>
        </row>
        <row r="789">
          <cell r="A789" t="str">
            <v>40044_2</v>
          </cell>
        </row>
        <row r="790">
          <cell r="A790" t="str">
            <v>41001_1</v>
          </cell>
        </row>
        <row r="791">
          <cell r="A791" t="str">
            <v>41001_2</v>
          </cell>
        </row>
        <row r="792">
          <cell r="A792" t="str">
            <v>41001_3</v>
          </cell>
        </row>
        <row r="793">
          <cell r="A793" t="str">
            <v>41002_1</v>
          </cell>
        </row>
        <row r="794">
          <cell r="A794" t="str">
            <v>41002_2</v>
          </cell>
        </row>
        <row r="795">
          <cell r="A795" t="str">
            <v>41002_3</v>
          </cell>
        </row>
        <row r="796">
          <cell r="A796" t="str">
            <v>41003_1</v>
          </cell>
        </row>
        <row r="797">
          <cell r="A797" t="str">
            <v>41003_2</v>
          </cell>
        </row>
        <row r="798">
          <cell r="A798" t="str">
            <v>41003_3</v>
          </cell>
        </row>
        <row r="799">
          <cell r="A799" t="str">
            <v>41004_1</v>
          </cell>
        </row>
        <row r="800">
          <cell r="A800" t="str">
            <v>41004_2</v>
          </cell>
        </row>
        <row r="801">
          <cell r="A801" t="str">
            <v>41004_3</v>
          </cell>
        </row>
        <row r="802">
          <cell r="A802" t="str">
            <v>41005_1</v>
          </cell>
        </row>
        <row r="803">
          <cell r="A803" t="str">
            <v>41005_2</v>
          </cell>
        </row>
        <row r="804">
          <cell r="A804" t="str">
            <v>41005_3</v>
          </cell>
        </row>
        <row r="805">
          <cell r="A805" t="str">
            <v>41006_1</v>
          </cell>
        </row>
        <row r="806">
          <cell r="A806" t="str">
            <v>41006_2</v>
          </cell>
        </row>
        <row r="807">
          <cell r="A807" t="str">
            <v>41006_3</v>
          </cell>
        </row>
        <row r="808">
          <cell r="A808" t="str">
            <v>41007_1</v>
          </cell>
        </row>
        <row r="809">
          <cell r="A809" t="str">
            <v>41007_2</v>
          </cell>
        </row>
        <row r="810">
          <cell r="A810" t="str">
            <v>41007_3</v>
          </cell>
        </row>
        <row r="811">
          <cell r="A811" t="str">
            <v>41008_1</v>
          </cell>
        </row>
        <row r="812">
          <cell r="A812" t="str">
            <v>41008_2</v>
          </cell>
        </row>
        <row r="813">
          <cell r="A813" t="str">
            <v>41008_3</v>
          </cell>
        </row>
        <row r="814">
          <cell r="A814" t="str">
            <v>41009_1</v>
          </cell>
        </row>
        <row r="815">
          <cell r="A815" t="str">
            <v>41009_2</v>
          </cell>
        </row>
        <row r="816">
          <cell r="A816" t="str">
            <v>41009_3</v>
          </cell>
        </row>
        <row r="817">
          <cell r="A817" t="str">
            <v>41010_1</v>
          </cell>
        </row>
        <row r="818">
          <cell r="A818" t="str">
            <v>41010_2</v>
          </cell>
        </row>
        <row r="819">
          <cell r="A819" t="str">
            <v>41010_3</v>
          </cell>
        </row>
        <row r="820">
          <cell r="A820" t="str">
            <v>41011_1</v>
          </cell>
        </row>
        <row r="821">
          <cell r="A821" t="str">
            <v>41011_2</v>
          </cell>
        </row>
        <row r="822">
          <cell r="A822" t="str">
            <v>41012_1</v>
          </cell>
        </row>
        <row r="823">
          <cell r="A823" t="str">
            <v>41012_2</v>
          </cell>
        </row>
        <row r="824">
          <cell r="A824" t="str">
            <v>41013_1</v>
          </cell>
        </row>
        <row r="825">
          <cell r="A825" t="str">
            <v>41013_2</v>
          </cell>
        </row>
        <row r="826">
          <cell r="A826" t="str">
            <v>41014_1</v>
          </cell>
        </row>
        <row r="827">
          <cell r="A827" t="str">
            <v>41014_2</v>
          </cell>
        </row>
        <row r="828">
          <cell r="A828" t="str">
            <v>41015_1</v>
          </cell>
        </row>
        <row r="829">
          <cell r="A829" t="str">
            <v>41015_2</v>
          </cell>
        </row>
        <row r="830">
          <cell r="A830" t="str">
            <v>47001_1</v>
          </cell>
        </row>
        <row r="831">
          <cell r="A831" t="str">
            <v>47001_2</v>
          </cell>
        </row>
        <row r="832">
          <cell r="A832" t="str">
            <v>47002_1</v>
          </cell>
        </row>
        <row r="833">
          <cell r="A833" t="str">
            <v>47002_2</v>
          </cell>
        </row>
        <row r="834">
          <cell r="A834" t="str">
            <v>47003_1</v>
          </cell>
        </row>
        <row r="835">
          <cell r="A835" t="str">
            <v>47003_2</v>
          </cell>
        </row>
        <row r="836">
          <cell r="A836" t="str">
            <v>47003_3</v>
          </cell>
        </row>
        <row r="837">
          <cell r="A837" t="str">
            <v>47003_4</v>
          </cell>
        </row>
        <row r="838">
          <cell r="A838" t="str">
            <v>47004_1</v>
          </cell>
        </row>
        <row r="839">
          <cell r="A839" t="str">
            <v>47004_2</v>
          </cell>
        </row>
        <row r="840">
          <cell r="A840" t="str">
            <v>47004_3</v>
          </cell>
        </row>
        <row r="841">
          <cell r="A841" t="str">
            <v>47004_4</v>
          </cell>
        </row>
        <row r="842">
          <cell r="A842" t="str">
            <v>47005_1</v>
          </cell>
        </row>
        <row r="843">
          <cell r="A843" t="str">
            <v>47006_1</v>
          </cell>
        </row>
        <row r="844">
          <cell r="A844" t="str">
            <v>47006_2</v>
          </cell>
        </row>
        <row r="845">
          <cell r="A845" t="str">
            <v>47007_1</v>
          </cell>
        </row>
        <row r="846">
          <cell r="A846" t="str">
            <v>47007_2</v>
          </cell>
        </row>
        <row r="847">
          <cell r="A847" t="str">
            <v>47008_1</v>
          </cell>
        </row>
        <row r="848">
          <cell r="A848" t="str">
            <v>47008_2</v>
          </cell>
        </row>
        <row r="849">
          <cell r="A849" t="str">
            <v>47009_1</v>
          </cell>
        </row>
        <row r="850">
          <cell r="A850" t="str">
            <v>47009_2</v>
          </cell>
        </row>
        <row r="851">
          <cell r="A851" t="str">
            <v>47010_1</v>
          </cell>
        </row>
        <row r="852">
          <cell r="A852" t="str">
            <v>47010_2</v>
          </cell>
        </row>
        <row r="853">
          <cell r="A853" t="str">
            <v>47011_1</v>
          </cell>
        </row>
        <row r="854">
          <cell r="A854" t="str">
            <v>47012_1</v>
          </cell>
        </row>
        <row r="855">
          <cell r="A855" t="str">
            <v>47012_2</v>
          </cell>
        </row>
        <row r="856">
          <cell r="A856" t="str">
            <v>48001_1</v>
          </cell>
        </row>
        <row r="857">
          <cell r="A857" t="str">
            <v>48002_1</v>
          </cell>
        </row>
        <row r="858">
          <cell r="A858" t="str">
            <v>48002_2</v>
          </cell>
        </row>
        <row r="859">
          <cell r="A859" t="str">
            <v>48002_3</v>
          </cell>
        </row>
        <row r="860">
          <cell r="A860" t="str">
            <v>48003_1</v>
          </cell>
        </row>
        <row r="861">
          <cell r="A861" t="str">
            <v>48003_2</v>
          </cell>
        </row>
        <row r="862">
          <cell r="A862" t="str">
            <v>48004_1</v>
          </cell>
        </row>
        <row r="863">
          <cell r="A863" t="str">
            <v>48004_2</v>
          </cell>
        </row>
        <row r="864">
          <cell r="A864" t="str">
            <v>48005_1</v>
          </cell>
        </row>
        <row r="865">
          <cell r="A865" t="str">
            <v>48005_2</v>
          </cell>
        </row>
        <row r="866">
          <cell r="A866" t="str">
            <v>48006_1</v>
          </cell>
        </row>
        <row r="867">
          <cell r="A867" t="str">
            <v>48006_2</v>
          </cell>
        </row>
        <row r="868">
          <cell r="A868" t="str">
            <v>48007_1</v>
          </cell>
        </row>
        <row r="869">
          <cell r="A869" t="str">
            <v>48007_2</v>
          </cell>
        </row>
        <row r="870">
          <cell r="A870" t="str">
            <v>48008_1</v>
          </cell>
        </row>
        <row r="871">
          <cell r="A871" t="str">
            <v>48008_2</v>
          </cell>
        </row>
        <row r="872">
          <cell r="A872" t="str">
            <v>48009_1</v>
          </cell>
        </row>
        <row r="873">
          <cell r="A873" t="str">
            <v>48009_2</v>
          </cell>
        </row>
        <row r="874">
          <cell r="A874" t="str">
            <v>48010_1</v>
          </cell>
        </row>
        <row r="875">
          <cell r="A875" t="str">
            <v>48011_1</v>
          </cell>
        </row>
        <row r="876">
          <cell r="A876" t="str">
            <v>48011_2</v>
          </cell>
        </row>
        <row r="877">
          <cell r="A877" t="str">
            <v>48012_1</v>
          </cell>
        </row>
        <row r="878">
          <cell r="A878" t="str">
            <v>48012_2</v>
          </cell>
        </row>
        <row r="879">
          <cell r="A879" t="str">
            <v>48501_1</v>
          </cell>
        </row>
        <row r="880">
          <cell r="A880" t="str">
            <v>48501_2</v>
          </cell>
        </row>
        <row r="881">
          <cell r="A881" t="str">
            <v>48502_1</v>
          </cell>
        </row>
        <row r="882">
          <cell r="A882" t="str">
            <v>48502_2</v>
          </cell>
        </row>
        <row r="883">
          <cell r="A883" t="str">
            <v>48701_1</v>
          </cell>
        </row>
        <row r="884">
          <cell r="A884" t="str">
            <v>48701_2</v>
          </cell>
        </row>
        <row r="885">
          <cell r="A885" t="str">
            <v>49001_1</v>
          </cell>
        </row>
        <row r="886">
          <cell r="A886" t="str">
            <v>49002_1</v>
          </cell>
        </row>
        <row r="887">
          <cell r="A887" t="str">
            <v>49002_2</v>
          </cell>
        </row>
        <row r="888">
          <cell r="A888" t="str">
            <v>49003_1</v>
          </cell>
        </row>
        <row r="889">
          <cell r="A889" t="str">
            <v>49003_2</v>
          </cell>
        </row>
        <row r="890">
          <cell r="A890" t="str">
            <v>49004_1</v>
          </cell>
        </row>
        <row r="891">
          <cell r="A891" t="str">
            <v>49004_2</v>
          </cell>
        </row>
        <row r="892">
          <cell r="A892" t="str">
            <v>49004_3</v>
          </cell>
        </row>
        <row r="893">
          <cell r="A893" t="str">
            <v>49005_1</v>
          </cell>
        </row>
        <row r="894">
          <cell r="A894" t="str">
            <v>49006_1</v>
          </cell>
        </row>
        <row r="895">
          <cell r="A895" t="str">
            <v>49006_2</v>
          </cell>
        </row>
        <row r="896">
          <cell r="A896" t="str">
            <v>49007_1</v>
          </cell>
        </row>
        <row r="897">
          <cell r="A897" t="str">
            <v>49007_2</v>
          </cell>
        </row>
        <row r="898">
          <cell r="A898" t="str">
            <v>49007_3</v>
          </cell>
        </row>
        <row r="899">
          <cell r="A899" t="str">
            <v>49008_1</v>
          </cell>
        </row>
        <row r="900">
          <cell r="A900" t="str">
            <v>49009_1</v>
          </cell>
        </row>
        <row r="901">
          <cell r="A901" t="str">
            <v>49010_1</v>
          </cell>
        </row>
        <row r="902">
          <cell r="A902" t="str">
            <v>49011_1</v>
          </cell>
        </row>
        <row r="903">
          <cell r="A903" t="str">
            <v>49012_1</v>
          </cell>
        </row>
        <row r="904">
          <cell r="A904" t="str">
            <v>49013_1</v>
          </cell>
        </row>
        <row r="905">
          <cell r="A905" t="str">
            <v>49014_1</v>
          </cell>
        </row>
        <row r="906">
          <cell r="A906" t="str">
            <v>49014_2</v>
          </cell>
        </row>
        <row r="907">
          <cell r="A907" t="str">
            <v>49015_1</v>
          </cell>
        </row>
        <row r="908">
          <cell r="A908" t="str">
            <v>49015_2</v>
          </cell>
        </row>
        <row r="909">
          <cell r="A909" t="str">
            <v>49015_3</v>
          </cell>
        </row>
        <row r="910">
          <cell r="A910" t="str">
            <v>50001_1</v>
          </cell>
        </row>
        <row r="911">
          <cell r="A911" t="str">
            <v>50002_1</v>
          </cell>
        </row>
        <row r="912">
          <cell r="A912" t="str">
            <v>50003_1</v>
          </cell>
        </row>
        <row r="913">
          <cell r="A913" t="str">
            <v>50004_1</v>
          </cell>
        </row>
        <row r="914">
          <cell r="A914" t="str">
            <v>50005_1</v>
          </cell>
        </row>
        <row r="915">
          <cell r="A915" t="str">
            <v>50006_1</v>
          </cell>
        </row>
        <row r="916">
          <cell r="A916" t="str">
            <v>50007_1</v>
          </cell>
        </row>
        <row r="917">
          <cell r="A917" t="str">
            <v>50008_1</v>
          </cell>
        </row>
        <row r="918">
          <cell r="A918" t="str">
            <v>50009_1</v>
          </cell>
        </row>
        <row r="919">
          <cell r="A919" t="str">
            <v>50010_1</v>
          </cell>
        </row>
        <row r="920">
          <cell r="A920" t="str">
            <v>50011_1</v>
          </cell>
        </row>
        <row r="921">
          <cell r="A921" t="str">
            <v>50012_1</v>
          </cell>
        </row>
        <row r="922">
          <cell r="A922" t="str">
            <v>50013_1</v>
          </cell>
        </row>
        <row r="923">
          <cell r="A923" t="str">
            <v>50014_1</v>
          </cell>
        </row>
        <row r="924">
          <cell r="A924" t="str">
            <v>51001_1</v>
          </cell>
        </row>
        <row r="925">
          <cell r="A925" t="str">
            <v>51002_1</v>
          </cell>
        </row>
        <row r="926">
          <cell r="A926" t="str">
            <v>58001_1</v>
          </cell>
        </row>
        <row r="927">
          <cell r="A927" t="str">
            <v>59001_1</v>
          </cell>
        </row>
        <row r="928">
          <cell r="A928" t="str">
            <v>59002_1</v>
          </cell>
        </row>
        <row r="929">
          <cell r="A929" t="str">
            <v>60001_1</v>
          </cell>
        </row>
        <row r="930">
          <cell r="A930" t="str">
            <v>60002_1</v>
          </cell>
        </row>
        <row r="931">
          <cell r="A931" t="str">
            <v>60002_2</v>
          </cell>
        </row>
        <row r="932">
          <cell r="A932" t="str">
            <v>60003_1</v>
          </cell>
        </row>
        <row r="933">
          <cell r="A933" t="str">
            <v>60003_2</v>
          </cell>
        </row>
        <row r="934">
          <cell r="A934" t="str">
            <v>60003_3</v>
          </cell>
        </row>
        <row r="935">
          <cell r="A935" t="str">
            <v>60004_1</v>
          </cell>
        </row>
        <row r="936">
          <cell r="A936" t="str">
            <v>60005_1</v>
          </cell>
        </row>
        <row r="937">
          <cell r="A937" t="str">
            <v>60006_1</v>
          </cell>
        </row>
        <row r="938">
          <cell r="A938" t="str">
            <v>60006_2</v>
          </cell>
        </row>
        <row r="939">
          <cell r="A939" t="str">
            <v>60006_3</v>
          </cell>
        </row>
        <row r="940">
          <cell r="A940" t="str">
            <v>60007_1</v>
          </cell>
        </row>
        <row r="941">
          <cell r="A941" t="str">
            <v>60007_2</v>
          </cell>
        </row>
        <row r="942">
          <cell r="A942" t="str">
            <v>60007_3</v>
          </cell>
        </row>
        <row r="943">
          <cell r="A943" t="str">
            <v>60010_1</v>
          </cell>
        </row>
        <row r="944">
          <cell r="A944" t="str">
            <v>60011_1</v>
          </cell>
        </row>
        <row r="945">
          <cell r="A945" t="str">
            <v>60011_2</v>
          </cell>
        </row>
        <row r="946">
          <cell r="A946" t="str">
            <v>60012_1</v>
          </cell>
        </row>
        <row r="947">
          <cell r="A947" t="str">
            <v>60013_1</v>
          </cell>
        </row>
        <row r="948">
          <cell r="A948" t="str">
            <v>60013_2</v>
          </cell>
        </row>
        <row r="949">
          <cell r="A949" t="str">
            <v>60013_3</v>
          </cell>
        </row>
        <row r="950">
          <cell r="A950" t="str">
            <v>60014_1</v>
          </cell>
        </row>
        <row r="951">
          <cell r="A951" t="str">
            <v>60015_1</v>
          </cell>
        </row>
        <row r="952">
          <cell r="A952" t="str">
            <v>60016_1</v>
          </cell>
        </row>
        <row r="953">
          <cell r="A953" t="str">
            <v>60017_1</v>
          </cell>
        </row>
        <row r="954">
          <cell r="A954" t="str">
            <v>60018_1</v>
          </cell>
        </row>
        <row r="955">
          <cell r="A955" t="str">
            <v>60019_1</v>
          </cell>
        </row>
        <row r="956">
          <cell r="A956" t="str">
            <v>60020_1</v>
          </cell>
        </row>
        <row r="957">
          <cell r="A957" t="str">
            <v>60021_3</v>
          </cell>
        </row>
        <row r="958">
          <cell r="A958" t="str">
            <v>60022_3</v>
          </cell>
        </row>
        <row r="959">
          <cell r="A959" t="str">
            <v>60023_3</v>
          </cell>
        </row>
        <row r="960">
          <cell r="A960" t="str">
            <v>60024_3</v>
          </cell>
        </row>
        <row r="961">
          <cell r="A961" t="str">
            <v>60025_1</v>
          </cell>
        </row>
        <row r="962">
          <cell r="A962" t="str">
            <v>60026_1</v>
          </cell>
        </row>
        <row r="963">
          <cell r="A963" t="str">
            <v>61011_1</v>
          </cell>
        </row>
        <row r="964">
          <cell r="A964" t="str">
            <v>60027_1</v>
          </cell>
        </row>
        <row r="965">
          <cell r="A965" t="str">
            <v>60028_1</v>
          </cell>
        </row>
        <row r="966">
          <cell r="A966" t="str">
            <v>65525_1</v>
          </cell>
        </row>
        <row r="967">
          <cell r="A967" t="str">
            <v>65526_1</v>
          </cell>
        </row>
        <row r="968">
          <cell r="A968" t="str">
            <v>65526_2</v>
          </cell>
        </row>
        <row r="969">
          <cell r="A969" t="str">
            <v>65527_1</v>
          </cell>
        </row>
        <row r="970">
          <cell r="A970" t="str">
            <v>65528_1</v>
          </cell>
        </row>
        <row r="971">
          <cell r="A971" t="str">
            <v>65529_1</v>
          </cell>
        </row>
        <row r="972">
          <cell r="A972" t="str">
            <v>65530_1</v>
          </cell>
        </row>
        <row r="973">
          <cell r="A973" t="str">
            <v>65531_1</v>
          </cell>
        </row>
        <row r="974">
          <cell r="A974" t="str">
            <v>65531_2</v>
          </cell>
        </row>
        <row r="975">
          <cell r="A975" t="str">
            <v>65532_1</v>
          </cell>
        </row>
        <row r="976">
          <cell r="A976" t="str">
            <v>65532_2</v>
          </cell>
        </row>
        <row r="977">
          <cell r="A977" t="str">
            <v>65533_1</v>
          </cell>
        </row>
        <row r="978">
          <cell r="A978" t="str">
            <v>65533_2</v>
          </cell>
        </row>
        <row r="979">
          <cell r="A979" t="str">
            <v>65534_1</v>
          </cell>
        </row>
        <row r="980">
          <cell r="A980" t="str">
            <v>65534_2</v>
          </cell>
        </row>
        <row r="981">
          <cell r="A981" t="str">
            <v>65535_1</v>
          </cell>
        </row>
        <row r="982">
          <cell r="A982" t="str">
            <v>65535_2</v>
          </cell>
        </row>
        <row r="983">
          <cell r="A983" t="str">
            <v>65535_3</v>
          </cell>
        </row>
        <row r="984">
          <cell r="A984" t="str">
            <v>65535_4</v>
          </cell>
        </row>
        <row r="985">
          <cell r="A985" t="str">
            <v>65535_5</v>
          </cell>
        </row>
        <row r="986">
          <cell r="A986" t="str">
            <v>65535_6</v>
          </cell>
        </row>
        <row r="987">
          <cell r="A987" t="str">
            <v>65535_7</v>
          </cell>
        </row>
        <row r="988">
          <cell r="A988" t="str">
            <v>65535_8</v>
          </cell>
        </row>
        <row r="989">
          <cell r="A989" t="str">
            <v>65535_9</v>
          </cell>
        </row>
        <row r="990">
          <cell r="A990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1431</v>
          </cell>
        </row>
        <row r="1341">
          <cell r="A1341">
            <v>1432</v>
          </cell>
        </row>
        <row r="1342">
          <cell r="A1342">
            <v>1466</v>
          </cell>
        </row>
        <row r="1343">
          <cell r="A1343">
            <v>1467</v>
          </cell>
        </row>
        <row r="1344">
          <cell r="A1344">
            <v>1468</v>
          </cell>
        </row>
        <row r="1345">
          <cell r="A1345">
            <v>1469</v>
          </cell>
        </row>
        <row r="1346">
          <cell r="A1346">
            <v>1470</v>
          </cell>
        </row>
        <row r="1347">
          <cell r="A1347">
            <v>1471</v>
          </cell>
        </row>
        <row r="1348">
          <cell r="A1348">
            <v>1495</v>
          </cell>
        </row>
        <row r="1349">
          <cell r="A1349">
            <v>1496</v>
          </cell>
        </row>
        <row r="1350">
          <cell r="A1350">
            <v>1497</v>
          </cell>
        </row>
        <row r="1351">
          <cell r="A1351">
            <v>1498</v>
          </cell>
        </row>
        <row r="1352">
          <cell r="A1352">
            <v>1499</v>
          </cell>
        </row>
        <row r="1353">
          <cell r="A1353">
            <v>1500</v>
          </cell>
        </row>
        <row r="1354">
          <cell r="A1354">
            <v>1501</v>
          </cell>
        </row>
        <row r="1355">
          <cell r="A1355">
            <v>1502</v>
          </cell>
        </row>
        <row r="1356">
          <cell r="A1356">
            <v>1503</v>
          </cell>
        </row>
        <row r="1357">
          <cell r="A1357">
            <v>1504</v>
          </cell>
        </row>
        <row r="1358">
          <cell r="A1358">
            <v>1505</v>
          </cell>
        </row>
        <row r="1359">
          <cell r="A1359">
            <v>1506</v>
          </cell>
        </row>
        <row r="1360">
          <cell r="A1360">
            <v>1507</v>
          </cell>
        </row>
        <row r="1361">
          <cell r="A1361">
            <v>1508</v>
          </cell>
        </row>
        <row r="1362">
          <cell r="A1362">
            <v>1509</v>
          </cell>
        </row>
        <row r="1363">
          <cell r="A1363">
            <v>1510</v>
          </cell>
        </row>
        <row r="1364">
          <cell r="A1364">
            <v>1511</v>
          </cell>
        </row>
        <row r="1365">
          <cell r="A1365">
            <v>1512</v>
          </cell>
        </row>
        <row r="1366">
          <cell r="A1366">
            <v>1523</v>
          </cell>
        </row>
        <row r="1367">
          <cell r="A1367">
            <v>1524</v>
          </cell>
        </row>
        <row r="1368">
          <cell r="A1368">
            <v>1525</v>
          </cell>
        </row>
        <row r="1369">
          <cell r="A1369">
            <v>1526</v>
          </cell>
        </row>
        <row r="1370">
          <cell r="A1370">
            <v>5001</v>
          </cell>
        </row>
        <row r="1371">
          <cell r="A1371">
            <v>5002</v>
          </cell>
        </row>
        <row r="1372">
          <cell r="A1372">
            <v>5003</v>
          </cell>
        </row>
        <row r="1373">
          <cell r="A1373">
            <v>5004</v>
          </cell>
        </row>
        <row r="1374">
          <cell r="A1374">
            <v>5005</v>
          </cell>
        </row>
        <row r="1375">
          <cell r="A1375">
            <v>5006</v>
          </cell>
        </row>
        <row r="1376">
          <cell r="A1376">
            <v>5007</v>
          </cell>
        </row>
        <row r="1377">
          <cell r="A1377">
            <v>5008</v>
          </cell>
        </row>
        <row r="1378">
          <cell r="A1378">
            <v>6001</v>
          </cell>
        </row>
        <row r="1379">
          <cell r="A1379">
            <v>6002</v>
          </cell>
        </row>
        <row r="1380">
          <cell r="A1380">
            <v>6003</v>
          </cell>
        </row>
        <row r="1381">
          <cell r="A1381">
            <v>6004</v>
          </cell>
        </row>
        <row r="1382">
          <cell r="A1382">
            <v>6005</v>
          </cell>
        </row>
        <row r="1383">
          <cell r="A1383">
            <v>6006</v>
          </cell>
        </row>
        <row r="1384">
          <cell r="A1384">
            <v>6007</v>
          </cell>
        </row>
        <row r="1385">
          <cell r="A1385">
            <v>6008</v>
          </cell>
        </row>
        <row r="1386">
          <cell r="A1386">
            <v>6009</v>
          </cell>
        </row>
        <row r="1387">
          <cell r="A1387">
            <v>6010</v>
          </cell>
        </row>
        <row r="1388">
          <cell r="A1388">
            <v>6011</v>
          </cell>
        </row>
        <row r="1389">
          <cell r="A1389">
            <v>6012</v>
          </cell>
        </row>
        <row r="1390">
          <cell r="A1390">
            <v>6013</v>
          </cell>
        </row>
        <row r="1391">
          <cell r="A1391">
            <v>6014</v>
          </cell>
        </row>
        <row r="1392">
          <cell r="A1392">
            <v>6015</v>
          </cell>
        </row>
        <row r="1393">
          <cell r="A1393">
            <v>6016</v>
          </cell>
        </row>
        <row r="1394">
          <cell r="A1394">
            <v>6017</v>
          </cell>
        </row>
        <row r="1395">
          <cell r="A1395">
            <v>6018</v>
          </cell>
        </row>
        <row r="1396">
          <cell r="A1396">
            <v>6019</v>
          </cell>
        </row>
        <row r="1397">
          <cell r="A1397">
            <v>6020</v>
          </cell>
        </row>
        <row r="1398">
          <cell r="A1398">
            <v>8001</v>
          </cell>
        </row>
        <row r="1399">
          <cell r="A1399">
            <v>8002</v>
          </cell>
        </row>
        <row r="1400">
          <cell r="A1400">
            <v>8003</v>
          </cell>
        </row>
        <row r="1401">
          <cell r="A1401">
            <v>8004</v>
          </cell>
        </row>
        <row r="1402">
          <cell r="A1402">
            <v>8005</v>
          </cell>
        </row>
        <row r="1403">
          <cell r="A1403">
            <v>8006</v>
          </cell>
        </row>
        <row r="1404">
          <cell r="A1404">
            <v>8007</v>
          </cell>
        </row>
        <row r="1405">
          <cell r="A1405">
            <v>8008</v>
          </cell>
        </row>
        <row r="1406">
          <cell r="A1406">
            <v>8009</v>
          </cell>
        </row>
        <row r="1407">
          <cell r="A1407">
            <v>8010</v>
          </cell>
        </row>
        <row r="1408">
          <cell r="A1408">
            <v>8011</v>
          </cell>
        </row>
        <row r="1409">
          <cell r="A1409">
            <v>8012</v>
          </cell>
        </row>
        <row r="1410">
          <cell r="A1410">
            <v>8013</v>
          </cell>
        </row>
        <row r="1411">
          <cell r="A1411">
            <v>8014</v>
          </cell>
        </row>
        <row r="1412">
          <cell r="A1412">
            <v>8015</v>
          </cell>
        </row>
        <row r="1413">
          <cell r="A1413">
            <v>8016</v>
          </cell>
        </row>
        <row r="1414">
          <cell r="A1414">
            <v>8017</v>
          </cell>
        </row>
        <row r="1415">
          <cell r="A1415">
            <v>8018</v>
          </cell>
        </row>
        <row r="1416">
          <cell r="A1416">
            <v>8019</v>
          </cell>
        </row>
        <row r="1417">
          <cell r="A1417">
            <v>8020</v>
          </cell>
        </row>
        <row r="1418">
          <cell r="A1418">
            <v>8021</v>
          </cell>
        </row>
        <row r="1419">
          <cell r="A1419">
            <v>8022</v>
          </cell>
        </row>
        <row r="1420">
          <cell r="A1420">
            <v>8023</v>
          </cell>
        </row>
        <row r="1421">
          <cell r="A1421">
            <v>8024</v>
          </cell>
        </row>
        <row r="1422">
          <cell r="A1422">
            <v>8025</v>
          </cell>
        </row>
        <row r="1423">
          <cell r="A1423">
            <v>8026</v>
          </cell>
        </row>
        <row r="1424">
          <cell r="A1424">
            <v>8027</v>
          </cell>
        </row>
        <row r="1425">
          <cell r="A1425">
            <v>8028</v>
          </cell>
        </row>
        <row r="1426">
          <cell r="A1426">
            <v>8029</v>
          </cell>
        </row>
        <row r="1427">
          <cell r="A1427">
            <v>8030</v>
          </cell>
        </row>
        <row r="1428">
          <cell r="A1428">
            <v>8031</v>
          </cell>
        </row>
        <row r="1429">
          <cell r="A1429">
            <v>8032</v>
          </cell>
        </row>
        <row r="1430">
          <cell r="A1430">
            <v>8033</v>
          </cell>
        </row>
        <row r="1431">
          <cell r="A1431">
            <v>8034</v>
          </cell>
        </row>
        <row r="1432">
          <cell r="A1432">
            <v>8035</v>
          </cell>
        </row>
        <row r="1433">
          <cell r="A1433">
            <v>8036</v>
          </cell>
        </row>
        <row r="1434">
          <cell r="A1434">
            <v>8037</v>
          </cell>
        </row>
        <row r="1435">
          <cell r="A1435">
            <v>8038</v>
          </cell>
        </row>
        <row r="1436">
          <cell r="A1436">
            <v>8039</v>
          </cell>
        </row>
        <row r="1437">
          <cell r="A1437">
            <v>8040</v>
          </cell>
        </row>
        <row r="1438">
          <cell r="A1438">
            <v>8041</v>
          </cell>
        </row>
        <row r="1439">
          <cell r="A1439">
            <v>8042</v>
          </cell>
        </row>
        <row r="1440">
          <cell r="A1440">
            <v>8043</v>
          </cell>
        </row>
        <row r="1441">
          <cell r="A1441">
            <v>8044</v>
          </cell>
        </row>
        <row r="1442">
          <cell r="A1442">
            <v>8045</v>
          </cell>
        </row>
        <row r="1443">
          <cell r="A1443">
            <v>8046</v>
          </cell>
        </row>
        <row r="1444">
          <cell r="A1444">
            <v>8047</v>
          </cell>
        </row>
        <row r="1445">
          <cell r="A1445">
            <v>8048</v>
          </cell>
        </row>
        <row r="1446">
          <cell r="A1446">
            <v>8049</v>
          </cell>
        </row>
        <row r="1447">
          <cell r="A1447">
            <v>8050</v>
          </cell>
        </row>
        <row r="1448">
          <cell r="A1448">
            <v>8051</v>
          </cell>
        </row>
        <row r="1449">
          <cell r="A1449">
            <v>8052</v>
          </cell>
        </row>
        <row r="1450">
          <cell r="A1450">
            <v>8053</v>
          </cell>
        </row>
        <row r="1451">
          <cell r="A1451">
            <v>8054</v>
          </cell>
        </row>
        <row r="1452">
          <cell r="A1452">
            <v>8055</v>
          </cell>
        </row>
        <row r="1453">
          <cell r="A1453">
            <v>8056</v>
          </cell>
        </row>
        <row r="1454">
          <cell r="A1454">
            <v>8057</v>
          </cell>
        </row>
        <row r="1455">
          <cell r="A1455">
            <v>8058</v>
          </cell>
        </row>
        <row r="1456">
          <cell r="A1456">
            <v>8059</v>
          </cell>
        </row>
        <row r="1457">
          <cell r="A1457">
            <v>8060</v>
          </cell>
        </row>
        <row r="1458">
          <cell r="A1458">
            <v>8061</v>
          </cell>
        </row>
        <row r="1459">
          <cell r="A1459">
            <v>8062</v>
          </cell>
        </row>
        <row r="1460">
          <cell r="A1460">
            <v>8063</v>
          </cell>
        </row>
        <row r="1461">
          <cell r="A1461">
            <v>8064</v>
          </cell>
        </row>
        <row r="1462">
          <cell r="A1462">
            <v>8065</v>
          </cell>
        </row>
        <row r="1463">
          <cell r="A1463">
            <v>8066</v>
          </cell>
        </row>
        <row r="1464">
          <cell r="A1464">
            <v>8067</v>
          </cell>
        </row>
        <row r="1465">
          <cell r="A1465">
            <v>8068</v>
          </cell>
        </row>
        <row r="1466">
          <cell r="A1466">
            <v>8069</v>
          </cell>
        </row>
        <row r="1467">
          <cell r="A1467">
            <v>8070</v>
          </cell>
        </row>
        <row r="1468">
          <cell r="A1468">
            <v>8071</v>
          </cell>
        </row>
        <row r="1469">
          <cell r="A1469">
            <v>8072</v>
          </cell>
        </row>
        <row r="1470">
          <cell r="A1470">
            <v>8073</v>
          </cell>
        </row>
        <row r="1471">
          <cell r="A1471">
            <v>8074</v>
          </cell>
        </row>
        <row r="1472">
          <cell r="A1472">
            <v>8077</v>
          </cell>
        </row>
        <row r="1473">
          <cell r="A1473">
            <v>8078</v>
          </cell>
        </row>
        <row r="1474">
          <cell r="A1474">
            <v>8079</v>
          </cell>
        </row>
        <row r="1475">
          <cell r="A1475">
            <v>8080</v>
          </cell>
        </row>
        <row r="1476">
          <cell r="A1476">
            <v>8081</v>
          </cell>
        </row>
        <row r="1477">
          <cell r="A1477">
            <v>8082</v>
          </cell>
        </row>
        <row r="1478">
          <cell r="A1478">
            <v>8083</v>
          </cell>
        </row>
        <row r="1479">
          <cell r="A1479">
            <v>8084</v>
          </cell>
        </row>
        <row r="1480">
          <cell r="A1480">
            <v>8087</v>
          </cell>
        </row>
        <row r="1481">
          <cell r="A1481">
            <v>8088</v>
          </cell>
        </row>
        <row r="1482">
          <cell r="A1482">
            <v>8089</v>
          </cell>
        </row>
        <row r="1483">
          <cell r="A1483">
            <v>8090</v>
          </cell>
        </row>
        <row r="1484">
          <cell r="A1484">
            <v>8095</v>
          </cell>
        </row>
        <row r="1485">
          <cell r="A1485">
            <v>8096</v>
          </cell>
        </row>
        <row r="1486">
          <cell r="A1486">
            <v>8097</v>
          </cell>
        </row>
        <row r="1487">
          <cell r="A1487">
            <v>8098</v>
          </cell>
        </row>
        <row r="1488">
          <cell r="A1488">
            <v>8099</v>
          </cell>
        </row>
        <row r="1489">
          <cell r="A1489">
            <v>8100</v>
          </cell>
        </row>
        <row r="1490">
          <cell r="A1490">
            <v>8101</v>
          </cell>
        </row>
        <row r="1491">
          <cell r="A1491">
            <v>8102</v>
          </cell>
        </row>
        <row r="1492">
          <cell r="A1492">
            <v>9001</v>
          </cell>
        </row>
        <row r="1493">
          <cell r="A1493">
            <v>9002</v>
          </cell>
        </row>
        <row r="1494">
          <cell r="A1494">
            <v>9003</v>
          </cell>
        </row>
        <row r="1495">
          <cell r="A1495">
            <v>9004</v>
          </cell>
        </row>
        <row r="1496">
          <cell r="A1496">
            <v>9005</v>
          </cell>
        </row>
        <row r="1497">
          <cell r="A1497">
            <v>9006</v>
          </cell>
        </row>
        <row r="1498">
          <cell r="A1498">
            <v>9007</v>
          </cell>
        </row>
        <row r="1499">
          <cell r="A1499">
            <v>9008</v>
          </cell>
        </row>
        <row r="1500">
          <cell r="A1500">
            <v>10101</v>
          </cell>
        </row>
        <row r="1501">
          <cell r="A1501">
            <v>10102</v>
          </cell>
        </row>
        <row r="1502">
          <cell r="A1502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1387</v>
          </cell>
        </row>
        <row r="1373">
          <cell r="A1373">
            <v>1388</v>
          </cell>
        </row>
        <row r="1374">
          <cell r="A1374">
            <v>1389</v>
          </cell>
        </row>
        <row r="1375">
          <cell r="A1375">
            <v>1390</v>
          </cell>
        </row>
        <row r="1376">
          <cell r="A1376">
            <v>1399</v>
          </cell>
        </row>
        <row r="1377">
          <cell r="A1377">
            <v>1400</v>
          </cell>
        </row>
        <row r="1378">
          <cell r="A1378">
            <v>1401</v>
          </cell>
        </row>
        <row r="1379">
          <cell r="A1379">
            <v>1402</v>
          </cell>
        </row>
        <row r="1380">
          <cell r="A1380">
            <v>1403</v>
          </cell>
        </row>
        <row r="1381">
          <cell r="A1381">
            <v>1404</v>
          </cell>
        </row>
        <row r="1382">
          <cell r="A1382">
            <v>1405</v>
          </cell>
        </row>
        <row r="1383">
          <cell r="A1383">
            <v>1406</v>
          </cell>
        </row>
        <row r="1384">
          <cell r="A1384">
            <v>1407</v>
          </cell>
        </row>
        <row r="1385">
          <cell r="A1385">
            <v>1408</v>
          </cell>
        </row>
        <row r="1386">
          <cell r="A1386">
            <v>1409</v>
          </cell>
        </row>
        <row r="1387">
          <cell r="A1387">
            <v>1410</v>
          </cell>
        </row>
        <row r="1388">
          <cell r="A1388">
            <v>1411</v>
          </cell>
        </row>
        <row r="1389">
          <cell r="A1389">
            <v>1412</v>
          </cell>
        </row>
        <row r="1390">
          <cell r="A1390">
            <v>1413</v>
          </cell>
        </row>
        <row r="1391">
          <cell r="A1391">
            <v>1414</v>
          </cell>
        </row>
        <row r="1392">
          <cell r="A1392">
            <v>1415</v>
          </cell>
        </row>
        <row r="1393">
          <cell r="A1393">
            <v>1416</v>
          </cell>
        </row>
        <row r="1394">
          <cell r="A1394">
            <v>1417</v>
          </cell>
        </row>
        <row r="1395">
          <cell r="A1395">
            <v>1418</v>
          </cell>
        </row>
        <row r="1396">
          <cell r="A1396">
            <v>1419</v>
          </cell>
        </row>
        <row r="1397">
          <cell r="A1397">
            <v>1420</v>
          </cell>
        </row>
        <row r="1398">
          <cell r="A1398">
            <v>1421</v>
          </cell>
        </row>
        <row r="1399">
          <cell r="A1399">
            <v>1422</v>
          </cell>
        </row>
        <row r="1400">
          <cell r="A1400">
            <v>1423</v>
          </cell>
        </row>
        <row r="1401">
          <cell r="A1401">
            <v>1424</v>
          </cell>
        </row>
        <row r="1402">
          <cell r="A1402">
            <v>1425</v>
          </cell>
        </row>
        <row r="1403">
          <cell r="A1403">
            <v>1426</v>
          </cell>
        </row>
        <row r="1404">
          <cell r="A1404">
            <v>1431</v>
          </cell>
        </row>
        <row r="1405">
          <cell r="A1405">
            <v>1432</v>
          </cell>
        </row>
        <row r="1406">
          <cell r="A1406">
            <v>1433</v>
          </cell>
        </row>
        <row r="1407">
          <cell r="A1407">
            <v>1434</v>
          </cell>
        </row>
        <row r="1408">
          <cell r="A1408">
            <v>1435</v>
          </cell>
        </row>
        <row r="1409">
          <cell r="A1409">
            <v>1452</v>
          </cell>
        </row>
        <row r="1410">
          <cell r="A1410">
            <v>1453</v>
          </cell>
        </row>
        <row r="1411">
          <cell r="A1411">
            <v>1454</v>
          </cell>
        </row>
        <row r="1412">
          <cell r="A1412">
            <v>1455</v>
          </cell>
        </row>
        <row r="1413">
          <cell r="A1413">
            <v>1456</v>
          </cell>
        </row>
        <row r="1414">
          <cell r="A1414">
            <v>1457</v>
          </cell>
        </row>
        <row r="1415">
          <cell r="A1415">
            <v>1458</v>
          </cell>
        </row>
        <row r="1416">
          <cell r="A1416">
            <v>1459</v>
          </cell>
        </row>
        <row r="1417">
          <cell r="A1417">
            <v>1460</v>
          </cell>
        </row>
        <row r="1418">
          <cell r="A1418">
            <v>1461</v>
          </cell>
        </row>
        <row r="1419">
          <cell r="A1419">
            <v>1462</v>
          </cell>
        </row>
        <row r="1420">
          <cell r="A1420">
            <v>1463</v>
          </cell>
        </row>
        <row r="1421">
          <cell r="A1421">
            <v>1464</v>
          </cell>
        </row>
        <row r="1422">
          <cell r="A1422">
            <v>1465</v>
          </cell>
        </row>
        <row r="1423">
          <cell r="A1423">
            <v>1466</v>
          </cell>
        </row>
        <row r="1424">
          <cell r="A1424">
            <v>1467</v>
          </cell>
        </row>
        <row r="1425">
          <cell r="A1425">
            <v>1468</v>
          </cell>
        </row>
        <row r="1426">
          <cell r="A1426">
            <v>1469</v>
          </cell>
        </row>
        <row r="1427">
          <cell r="A1427">
            <v>1470</v>
          </cell>
        </row>
        <row r="1428">
          <cell r="A1428">
            <v>1471</v>
          </cell>
        </row>
        <row r="1429">
          <cell r="A1429">
            <v>1488</v>
          </cell>
        </row>
        <row r="1430">
          <cell r="A1430">
            <v>1489</v>
          </cell>
        </row>
        <row r="1431">
          <cell r="A1431">
            <v>1495</v>
          </cell>
        </row>
        <row r="1432">
          <cell r="A1432">
            <v>1496</v>
          </cell>
        </row>
        <row r="1433">
          <cell r="A1433">
            <v>1497</v>
          </cell>
        </row>
        <row r="1434">
          <cell r="A1434">
            <v>1498</v>
          </cell>
        </row>
        <row r="1435">
          <cell r="A1435">
            <v>1499</v>
          </cell>
        </row>
        <row r="1436">
          <cell r="A1436">
            <v>1500</v>
          </cell>
        </row>
        <row r="1437">
          <cell r="A1437">
            <v>1501</v>
          </cell>
        </row>
        <row r="1438">
          <cell r="A1438">
            <v>1502</v>
          </cell>
        </row>
        <row r="1439">
          <cell r="A1439">
            <v>1503</v>
          </cell>
        </row>
        <row r="1440">
          <cell r="A1440">
            <v>1504</v>
          </cell>
        </row>
        <row r="1441">
          <cell r="A1441">
            <v>1505</v>
          </cell>
        </row>
        <row r="1442">
          <cell r="A1442">
            <v>1506</v>
          </cell>
        </row>
        <row r="1443">
          <cell r="A1443">
            <v>1507</v>
          </cell>
        </row>
        <row r="1444">
          <cell r="A1444">
            <v>1508</v>
          </cell>
        </row>
        <row r="1445">
          <cell r="A1445">
            <v>1509</v>
          </cell>
        </row>
        <row r="1446">
          <cell r="A1446">
            <v>1510</v>
          </cell>
        </row>
        <row r="1447">
          <cell r="A1447">
            <v>1511</v>
          </cell>
        </row>
        <row r="1448">
          <cell r="A1448">
            <v>1512</v>
          </cell>
        </row>
        <row r="1449">
          <cell r="A1449">
            <v>1513</v>
          </cell>
        </row>
        <row r="1450">
          <cell r="A1450">
            <v>1514</v>
          </cell>
        </row>
        <row r="1451">
          <cell r="A1451">
            <v>1515</v>
          </cell>
        </row>
        <row r="1452">
          <cell r="A1452">
            <v>1516</v>
          </cell>
        </row>
        <row r="1453">
          <cell r="A1453">
            <v>1517</v>
          </cell>
        </row>
        <row r="1454">
          <cell r="A1454">
            <v>1518</v>
          </cell>
        </row>
        <row r="1455">
          <cell r="A1455">
            <v>1519</v>
          </cell>
        </row>
        <row r="1456">
          <cell r="A1456">
            <v>1520</v>
          </cell>
        </row>
        <row r="1457">
          <cell r="A1457">
            <v>1521</v>
          </cell>
        </row>
        <row r="1458">
          <cell r="A1458">
            <v>1522</v>
          </cell>
        </row>
        <row r="1459">
          <cell r="A1459">
            <v>1523</v>
          </cell>
        </row>
        <row r="1460">
          <cell r="A1460">
            <v>1524</v>
          </cell>
        </row>
        <row r="1461">
          <cell r="A1461">
            <v>1525</v>
          </cell>
        </row>
        <row r="1462">
          <cell r="A1462">
            <v>1526</v>
          </cell>
        </row>
        <row r="1463">
          <cell r="A1463">
            <v>1527</v>
          </cell>
        </row>
        <row r="1464">
          <cell r="A1464">
            <v>1528</v>
          </cell>
        </row>
        <row r="1465">
          <cell r="A1465">
            <v>1529</v>
          </cell>
        </row>
        <row r="1466">
          <cell r="A1466">
            <v>1530</v>
          </cell>
        </row>
        <row r="1467">
          <cell r="A1467">
            <v>1531</v>
          </cell>
        </row>
        <row r="1468">
          <cell r="A1468">
            <v>1532</v>
          </cell>
        </row>
        <row r="1469">
          <cell r="A1469">
            <v>1533</v>
          </cell>
        </row>
        <row r="1470">
          <cell r="A1470">
            <v>1534</v>
          </cell>
        </row>
        <row r="1471">
          <cell r="A1471">
            <v>1535</v>
          </cell>
        </row>
        <row r="1472">
          <cell r="A1472">
            <v>1536</v>
          </cell>
        </row>
        <row r="1473">
          <cell r="A1473">
            <v>1537</v>
          </cell>
        </row>
        <row r="1474">
          <cell r="A1474">
            <v>1538</v>
          </cell>
        </row>
        <row r="1475">
          <cell r="A1475">
            <v>1539</v>
          </cell>
        </row>
        <row r="1476">
          <cell r="A1476">
            <v>1540</v>
          </cell>
        </row>
        <row r="1477">
          <cell r="A1477">
            <v>1541</v>
          </cell>
        </row>
        <row r="1478">
          <cell r="A1478">
            <v>1542</v>
          </cell>
        </row>
        <row r="1479">
          <cell r="A1479">
            <v>1543</v>
          </cell>
        </row>
        <row r="1480">
          <cell r="A1480">
            <v>1544</v>
          </cell>
        </row>
        <row r="1481">
          <cell r="A1481">
            <v>1545</v>
          </cell>
        </row>
        <row r="1482">
          <cell r="A1482">
            <v>1546</v>
          </cell>
        </row>
        <row r="1483">
          <cell r="A1483">
            <v>1547</v>
          </cell>
        </row>
        <row r="1484">
          <cell r="A1484">
            <v>1548</v>
          </cell>
        </row>
        <row r="1485">
          <cell r="A1485">
            <v>1549</v>
          </cell>
        </row>
        <row r="1486">
          <cell r="A1486">
            <v>1550</v>
          </cell>
        </row>
        <row r="1487">
          <cell r="A1487">
            <v>5001</v>
          </cell>
        </row>
        <row r="1488">
          <cell r="A1488">
            <v>5002</v>
          </cell>
        </row>
        <row r="1489">
          <cell r="A1489">
            <v>5003</v>
          </cell>
        </row>
        <row r="1490">
          <cell r="A1490">
            <v>5004</v>
          </cell>
        </row>
        <row r="1491">
          <cell r="A1491">
            <v>5005</v>
          </cell>
        </row>
        <row r="1492">
          <cell r="A1492">
            <v>5006</v>
          </cell>
        </row>
        <row r="1493">
          <cell r="A1493">
            <v>5007</v>
          </cell>
        </row>
        <row r="1494">
          <cell r="A1494">
            <v>5008</v>
          </cell>
        </row>
        <row r="1495">
          <cell r="A1495">
            <v>6001</v>
          </cell>
        </row>
        <row r="1496">
          <cell r="A1496">
            <v>6002</v>
          </cell>
        </row>
        <row r="1497">
          <cell r="A1497">
            <v>6003</v>
          </cell>
        </row>
        <row r="1498">
          <cell r="A1498">
            <v>6004</v>
          </cell>
        </row>
        <row r="1499">
          <cell r="A1499">
            <v>6005</v>
          </cell>
        </row>
        <row r="1500">
          <cell r="A1500">
            <v>6006</v>
          </cell>
        </row>
        <row r="1501">
          <cell r="A1501">
            <v>6007</v>
          </cell>
        </row>
        <row r="1502">
          <cell r="A1502">
            <v>6008</v>
          </cell>
        </row>
        <row r="1503">
          <cell r="A1503">
            <v>6009</v>
          </cell>
        </row>
        <row r="1504">
          <cell r="A1504">
            <v>6010</v>
          </cell>
        </row>
        <row r="1505">
          <cell r="A1505">
            <v>6011</v>
          </cell>
        </row>
        <row r="1506">
          <cell r="A1506">
            <v>6012</v>
          </cell>
        </row>
        <row r="1507">
          <cell r="A1507">
            <v>6013</v>
          </cell>
        </row>
        <row r="1508">
          <cell r="A1508">
            <v>6014</v>
          </cell>
        </row>
        <row r="1509">
          <cell r="A1509">
            <v>6015</v>
          </cell>
        </row>
        <row r="1510">
          <cell r="A1510">
            <v>6016</v>
          </cell>
        </row>
        <row r="1511">
          <cell r="A1511">
            <v>6017</v>
          </cell>
        </row>
        <row r="1512">
          <cell r="A1512">
            <v>6018</v>
          </cell>
        </row>
        <row r="1513">
          <cell r="A1513">
            <v>6019</v>
          </cell>
        </row>
        <row r="1514">
          <cell r="A1514">
            <v>6020</v>
          </cell>
        </row>
        <row r="1515">
          <cell r="A1515">
            <v>8001</v>
          </cell>
        </row>
        <row r="1516">
          <cell r="A1516">
            <v>8002</v>
          </cell>
        </row>
        <row r="1517">
          <cell r="A1517">
            <v>8003</v>
          </cell>
        </row>
        <row r="1518">
          <cell r="A1518">
            <v>8004</v>
          </cell>
        </row>
        <row r="1519">
          <cell r="A1519">
            <v>8005</v>
          </cell>
        </row>
        <row r="1520">
          <cell r="A1520">
            <v>8006</v>
          </cell>
        </row>
        <row r="1521">
          <cell r="A1521">
            <v>8007</v>
          </cell>
        </row>
        <row r="1522">
          <cell r="A1522">
            <v>8008</v>
          </cell>
        </row>
        <row r="1523">
          <cell r="A1523">
            <v>8009</v>
          </cell>
        </row>
        <row r="1524">
          <cell r="A1524">
            <v>8010</v>
          </cell>
        </row>
        <row r="1525">
          <cell r="A1525">
            <v>8011</v>
          </cell>
        </row>
        <row r="1526">
          <cell r="A1526">
            <v>8012</v>
          </cell>
        </row>
        <row r="1527">
          <cell r="A1527">
            <v>8013</v>
          </cell>
        </row>
        <row r="1528">
          <cell r="A1528">
            <v>8014</v>
          </cell>
        </row>
        <row r="1529">
          <cell r="A1529">
            <v>8015</v>
          </cell>
        </row>
        <row r="1530">
          <cell r="A1530">
            <v>8016</v>
          </cell>
        </row>
        <row r="1531">
          <cell r="A1531">
            <v>8017</v>
          </cell>
        </row>
        <row r="1532">
          <cell r="A1532">
            <v>8018</v>
          </cell>
        </row>
        <row r="1533">
          <cell r="A1533">
            <v>8019</v>
          </cell>
        </row>
        <row r="1534">
          <cell r="A1534">
            <v>8020</v>
          </cell>
        </row>
        <row r="1535">
          <cell r="A1535">
            <v>8021</v>
          </cell>
        </row>
        <row r="1536">
          <cell r="A1536">
            <v>8022</v>
          </cell>
        </row>
        <row r="1537">
          <cell r="A1537">
            <v>8023</v>
          </cell>
        </row>
        <row r="1538">
          <cell r="A1538">
            <v>8024</v>
          </cell>
        </row>
        <row r="1539">
          <cell r="A1539">
            <v>8025</v>
          </cell>
        </row>
        <row r="1540">
          <cell r="A1540">
            <v>8026</v>
          </cell>
        </row>
        <row r="1541">
          <cell r="A1541">
            <v>8027</v>
          </cell>
        </row>
        <row r="1542">
          <cell r="A1542">
            <v>8028</v>
          </cell>
        </row>
        <row r="1543">
          <cell r="A1543">
            <v>8029</v>
          </cell>
        </row>
        <row r="1544">
          <cell r="A1544">
            <v>8030</v>
          </cell>
        </row>
        <row r="1545">
          <cell r="A1545">
            <v>8031</v>
          </cell>
        </row>
        <row r="1546">
          <cell r="A1546">
            <v>8032</v>
          </cell>
        </row>
        <row r="1547">
          <cell r="A1547">
            <v>8033</v>
          </cell>
        </row>
        <row r="1548">
          <cell r="A1548">
            <v>8034</v>
          </cell>
        </row>
        <row r="1549">
          <cell r="A1549">
            <v>8035</v>
          </cell>
        </row>
        <row r="1550">
          <cell r="A1550">
            <v>8036</v>
          </cell>
        </row>
        <row r="1551">
          <cell r="A1551">
            <v>8037</v>
          </cell>
        </row>
        <row r="1552">
          <cell r="A1552">
            <v>8038</v>
          </cell>
        </row>
        <row r="1553">
          <cell r="A1553">
            <v>8039</v>
          </cell>
        </row>
        <row r="1554">
          <cell r="A1554">
            <v>8040</v>
          </cell>
        </row>
        <row r="1555">
          <cell r="A1555">
            <v>8041</v>
          </cell>
        </row>
        <row r="1556">
          <cell r="A1556">
            <v>8042</v>
          </cell>
        </row>
        <row r="1557">
          <cell r="A1557">
            <v>8043</v>
          </cell>
        </row>
        <row r="1558">
          <cell r="A1558">
            <v>8044</v>
          </cell>
        </row>
        <row r="1559">
          <cell r="A1559">
            <v>8045</v>
          </cell>
        </row>
        <row r="1560">
          <cell r="A1560">
            <v>8046</v>
          </cell>
        </row>
        <row r="1561">
          <cell r="A1561">
            <v>8047</v>
          </cell>
        </row>
        <row r="1562">
          <cell r="A1562">
            <v>8048</v>
          </cell>
        </row>
        <row r="1563">
          <cell r="A1563">
            <v>8049</v>
          </cell>
        </row>
        <row r="1564">
          <cell r="A1564">
            <v>8050</v>
          </cell>
        </row>
        <row r="1565">
          <cell r="A1565">
            <v>8051</v>
          </cell>
        </row>
        <row r="1566">
          <cell r="A1566">
            <v>8052</v>
          </cell>
        </row>
        <row r="1567">
          <cell r="A1567">
            <v>8053</v>
          </cell>
        </row>
        <row r="1568">
          <cell r="A1568">
            <v>8054</v>
          </cell>
        </row>
        <row r="1569">
          <cell r="A1569">
            <v>8055</v>
          </cell>
        </row>
        <row r="1570">
          <cell r="A1570">
            <v>8056</v>
          </cell>
        </row>
        <row r="1571">
          <cell r="A1571">
            <v>8057</v>
          </cell>
        </row>
        <row r="1572">
          <cell r="A1572">
            <v>8058</v>
          </cell>
        </row>
        <row r="1573">
          <cell r="A1573">
            <v>8059</v>
          </cell>
        </row>
        <row r="1574">
          <cell r="A1574">
            <v>8060</v>
          </cell>
        </row>
        <row r="1575">
          <cell r="A1575">
            <v>8061</v>
          </cell>
        </row>
        <row r="1576">
          <cell r="A1576">
            <v>8062</v>
          </cell>
        </row>
        <row r="1577">
          <cell r="A1577">
            <v>8063</v>
          </cell>
        </row>
        <row r="1578">
          <cell r="A1578">
            <v>8064</v>
          </cell>
        </row>
        <row r="1579">
          <cell r="A1579">
            <v>8065</v>
          </cell>
        </row>
        <row r="1580">
          <cell r="A1580">
            <v>8066</v>
          </cell>
        </row>
        <row r="1581">
          <cell r="A1581">
            <v>8067</v>
          </cell>
        </row>
        <row r="1582">
          <cell r="A1582">
            <v>8068</v>
          </cell>
        </row>
        <row r="1583">
          <cell r="A1583">
            <v>8069</v>
          </cell>
        </row>
        <row r="1584">
          <cell r="A1584">
            <v>8070</v>
          </cell>
        </row>
        <row r="1585">
          <cell r="A1585">
            <v>8071</v>
          </cell>
        </row>
        <row r="1586">
          <cell r="A1586">
            <v>8072</v>
          </cell>
        </row>
        <row r="1587">
          <cell r="A1587">
            <v>8073</v>
          </cell>
        </row>
        <row r="1588">
          <cell r="A1588">
            <v>8074</v>
          </cell>
        </row>
        <row r="1589">
          <cell r="A1589">
            <v>8075</v>
          </cell>
        </row>
        <row r="1590">
          <cell r="A1590">
            <v>8076</v>
          </cell>
        </row>
        <row r="1591">
          <cell r="A1591">
            <v>8077</v>
          </cell>
        </row>
        <row r="1592">
          <cell r="A1592">
            <v>8078</v>
          </cell>
        </row>
        <row r="1593">
          <cell r="A1593">
            <v>8079</v>
          </cell>
        </row>
        <row r="1594">
          <cell r="A1594">
            <v>8080</v>
          </cell>
        </row>
        <row r="1595">
          <cell r="A1595">
            <v>8081</v>
          </cell>
        </row>
        <row r="1596">
          <cell r="A1596">
            <v>8082</v>
          </cell>
        </row>
        <row r="1597">
          <cell r="A1597">
            <v>8083</v>
          </cell>
        </row>
        <row r="1598">
          <cell r="A1598">
            <v>8084</v>
          </cell>
        </row>
        <row r="1599">
          <cell r="A1599">
            <v>8087</v>
          </cell>
        </row>
        <row r="1600">
          <cell r="A1600">
            <v>8088</v>
          </cell>
        </row>
        <row r="1601">
          <cell r="A1601">
            <v>8089</v>
          </cell>
        </row>
        <row r="1602">
          <cell r="A1602">
            <v>8090</v>
          </cell>
        </row>
        <row r="1603">
          <cell r="A1603">
            <v>8095</v>
          </cell>
        </row>
        <row r="1604">
          <cell r="A1604">
            <v>8096</v>
          </cell>
        </row>
        <row r="1605">
          <cell r="A1605">
            <v>8097</v>
          </cell>
        </row>
        <row r="1606">
          <cell r="A1606">
            <v>8098</v>
          </cell>
        </row>
        <row r="1607">
          <cell r="A1607">
            <v>8099</v>
          </cell>
        </row>
        <row r="1608">
          <cell r="A1608">
            <v>8100</v>
          </cell>
        </row>
        <row r="1609">
          <cell r="A1609">
            <v>8101</v>
          </cell>
        </row>
        <row r="1610">
          <cell r="A1610">
            <v>8102</v>
          </cell>
        </row>
        <row r="1611">
          <cell r="A1611">
            <v>9001</v>
          </cell>
        </row>
        <row r="1612">
          <cell r="A1612">
            <v>9002</v>
          </cell>
        </row>
        <row r="1613">
          <cell r="A1613">
            <v>9003</v>
          </cell>
        </row>
        <row r="1614">
          <cell r="A1614">
            <v>9004</v>
          </cell>
        </row>
        <row r="1615">
          <cell r="A1615">
            <v>9005</v>
          </cell>
        </row>
        <row r="1616">
          <cell r="A1616">
            <v>9006</v>
          </cell>
        </row>
        <row r="1617">
          <cell r="A1617">
            <v>9007</v>
          </cell>
        </row>
        <row r="1618">
          <cell r="A1618">
            <v>9008</v>
          </cell>
        </row>
        <row r="1619">
          <cell r="A1619">
            <v>10001</v>
          </cell>
        </row>
        <row r="1620">
          <cell r="A1620">
            <v>10002</v>
          </cell>
        </row>
        <row r="1621">
          <cell r="A1621">
            <v>10003</v>
          </cell>
        </row>
        <row r="1622">
          <cell r="A1622">
            <v>10004</v>
          </cell>
        </row>
        <row r="1623">
          <cell r="A1623">
            <v>10005</v>
          </cell>
        </row>
        <row r="1624">
          <cell r="A1624">
            <v>10006</v>
          </cell>
        </row>
        <row r="1625">
          <cell r="A1625">
            <v>10007</v>
          </cell>
        </row>
        <row r="1626">
          <cell r="A1626">
            <v>10008</v>
          </cell>
        </row>
        <row r="1627">
          <cell r="A1627">
            <v>10009</v>
          </cell>
        </row>
        <row r="1628">
          <cell r="A1628">
            <v>10010</v>
          </cell>
        </row>
        <row r="1629">
          <cell r="A1629">
            <v>10011</v>
          </cell>
        </row>
        <row r="1630">
          <cell r="A1630">
            <v>10012</v>
          </cell>
        </row>
        <row r="1631">
          <cell r="A1631">
            <v>10013</v>
          </cell>
        </row>
        <row r="1632">
          <cell r="A1632">
            <v>10014</v>
          </cell>
        </row>
        <row r="1633">
          <cell r="A1633">
            <v>10015</v>
          </cell>
        </row>
        <row r="1634">
          <cell r="A1634">
            <v>10016</v>
          </cell>
        </row>
        <row r="1635">
          <cell r="A1635">
            <v>10017</v>
          </cell>
        </row>
        <row r="1636">
          <cell r="A1636">
            <v>10018</v>
          </cell>
        </row>
        <row r="1637">
          <cell r="A1637">
            <v>10019</v>
          </cell>
        </row>
        <row r="1638">
          <cell r="A1638">
            <v>10020</v>
          </cell>
        </row>
        <row r="1639">
          <cell r="A1639">
            <v>10021</v>
          </cell>
        </row>
        <row r="1640">
          <cell r="A1640">
            <v>10022</v>
          </cell>
        </row>
        <row r="1641">
          <cell r="A1641">
            <v>10023</v>
          </cell>
        </row>
        <row r="1642">
          <cell r="A1642">
            <v>10024</v>
          </cell>
        </row>
        <row r="1643">
          <cell r="A1643">
            <v>10025</v>
          </cell>
        </row>
        <row r="1644">
          <cell r="A1644">
            <v>10026</v>
          </cell>
        </row>
        <row r="1645">
          <cell r="A1645">
            <v>10027</v>
          </cell>
        </row>
        <row r="1646">
          <cell r="A1646">
            <v>10028</v>
          </cell>
        </row>
        <row r="1647">
          <cell r="A1647">
            <v>10029</v>
          </cell>
        </row>
        <row r="1648">
          <cell r="A1648">
            <v>10030</v>
          </cell>
        </row>
        <row r="1649">
          <cell r="A1649">
            <v>10031</v>
          </cell>
        </row>
        <row r="1650">
          <cell r="A1650">
            <v>10032</v>
          </cell>
        </row>
        <row r="1651">
          <cell r="A1651">
            <v>10033</v>
          </cell>
        </row>
        <row r="1652">
          <cell r="A1652">
            <v>10034</v>
          </cell>
        </row>
        <row r="1653">
          <cell r="A1653">
            <v>10035</v>
          </cell>
        </row>
        <row r="1654">
          <cell r="A1654">
            <v>10036</v>
          </cell>
        </row>
        <row r="1655">
          <cell r="A1655">
            <v>10037</v>
          </cell>
        </row>
        <row r="1656">
          <cell r="A1656">
            <v>10038</v>
          </cell>
        </row>
        <row r="1657">
          <cell r="A1657">
            <v>10039</v>
          </cell>
        </row>
        <row r="1658">
          <cell r="A1658">
            <v>10040</v>
          </cell>
        </row>
        <row r="1659">
          <cell r="A1659">
            <v>10041</v>
          </cell>
        </row>
        <row r="1660">
          <cell r="A1660">
            <v>10042</v>
          </cell>
        </row>
        <row r="1661">
          <cell r="A1661">
            <v>10043</v>
          </cell>
        </row>
        <row r="1662">
          <cell r="A1662">
            <v>10044</v>
          </cell>
        </row>
        <row r="1663">
          <cell r="A1663">
            <v>10045</v>
          </cell>
        </row>
        <row r="1664">
          <cell r="A1664">
            <v>10046</v>
          </cell>
        </row>
        <row r="1665">
          <cell r="A1665">
            <v>10047</v>
          </cell>
        </row>
        <row r="1666">
          <cell r="A1666">
            <v>10048</v>
          </cell>
        </row>
        <row r="1667">
          <cell r="A1667">
            <v>10049</v>
          </cell>
        </row>
        <row r="1668">
          <cell r="A1668">
            <v>10050</v>
          </cell>
        </row>
        <row r="1669">
          <cell r="A1669">
            <v>10051</v>
          </cell>
        </row>
        <row r="1670">
          <cell r="A1670">
            <v>10052</v>
          </cell>
        </row>
        <row r="1671">
          <cell r="A1671">
            <v>10053</v>
          </cell>
        </row>
        <row r="1672">
          <cell r="A1672">
            <v>10054</v>
          </cell>
        </row>
        <row r="1673">
          <cell r="A1673">
            <v>10055</v>
          </cell>
        </row>
        <row r="1674">
          <cell r="A1674">
            <v>10056</v>
          </cell>
        </row>
        <row r="1675">
          <cell r="A1675">
            <v>10057</v>
          </cell>
        </row>
        <row r="1676">
          <cell r="A1676">
            <v>10058</v>
          </cell>
        </row>
        <row r="1677">
          <cell r="A1677">
            <v>10059</v>
          </cell>
        </row>
        <row r="1678">
          <cell r="A1678">
            <v>10060</v>
          </cell>
        </row>
        <row r="1679">
          <cell r="A1679">
            <v>10061</v>
          </cell>
        </row>
        <row r="1680">
          <cell r="A1680">
            <v>10062</v>
          </cell>
        </row>
        <row r="1681">
          <cell r="A1681">
            <v>10063</v>
          </cell>
        </row>
        <row r="1682">
          <cell r="A1682">
            <v>10064</v>
          </cell>
        </row>
        <row r="1683">
          <cell r="A1683">
            <v>10065</v>
          </cell>
        </row>
        <row r="1684">
          <cell r="A1684">
            <v>10066</v>
          </cell>
        </row>
        <row r="1685">
          <cell r="A1685">
            <v>10067</v>
          </cell>
        </row>
        <row r="1686">
          <cell r="A1686">
            <v>10068</v>
          </cell>
        </row>
        <row r="1687">
          <cell r="A1687">
            <v>10069</v>
          </cell>
        </row>
        <row r="1688">
          <cell r="A1688">
            <v>10070</v>
          </cell>
        </row>
        <row r="1689">
          <cell r="A1689">
            <v>10071</v>
          </cell>
        </row>
        <row r="1690">
          <cell r="A1690">
            <v>10072</v>
          </cell>
        </row>
        <row r="1691">
          <cell r="A1691">
            <v>10073</v>
          </cell>
        </row>
        <row r="1692">
          <cell r="A1692">
            <v>10074</v>
          </cell>
        </row>
        <row r="1693">
          <cell r="A1693">
            <v>10075</v>
          </cell>
        </row>
        <row r="1694">
          <cell r="A1694">
            <v>10076</v>
          </cell>
        </row>
        <row r="1695">
          <cell r="A1695">
            <v>10077</v>
          </cell>
        </row>
        <row r="1696">
          <cell r="A1696">
            <v>10078</v>
          </cell>
        </row>
        <row r="1697">
          <cell r="A1697">
            <v>10079</v>
          </cell>
        </row>
        <row r="1698">
          <cell r="A1698">
            <v>10080</v>
          </cell>
        </row>
        <row r="1699">
          <cell r="A1699">
            <v>10081</v>
          </cell>
        </row>
        <row r="1700">
          <cell r="A1700">
            <v>10082</v>
          </cell>
        </row>
        <row r="1701">
          <cell r="A1701">
            <v>10083</v>
          </cell>
        </row>
        <row r="1702">
          <cell r="A1702">
            <v>10084</v>
          </cell>
        </row>
        <row r="1703">
          <cell r="A1703">
            <v>10085</v>
          </cell>
        </row>
        <row r="1704">
          <cell r="A1704">
            <v>10086</v>
          </cell>
        </row>
        <row r="1705">
          <cell r="A1705">
            <v>10087</v>
          </cell>
        </row>
        <row r="1706">
          <cell r="A1706">
            <v>10088</v>
          </cell>
        </row>
        <row r="1707">
          <cell r="A1707">
            <v>10089</v>
          </cell>
        </row>
        <row r="1708">
          <cell r="A1708">
            <v>10090</v>
          </cell>
        </row>
        <row r="1709">
          <cell r="A1709">
            <v>10101</v>
          </cell>
        </row>
        <row r="1710">
          <cell r="A1710">
            <v>10102</v>
          </cell>
        </row>
        <row r="1711">
          <cell r="A1711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16" sqref="B16"/>
    </sheetView>
  </sheetViews>
  <sheetFormatPr baseColWidth="12" defaultRowHeight="15" x14ac:dyDescent="0.15"/>
  <cols>
    <col min="2" max="2" width="22.1640625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100</v>
      </c>
      <c r="C1" s="53" t="s">
        <v>101</v>
      </c>
      <c r="D1" s="53" t="s">
        <v>102</v>
      </c>
      <c r="E1" s="53" t="s">
        <v>103</v>
      </c>
      <c r="F1" s="53" t="s">
        <v>104</v>
      </c>
      <c r="G1" s="53" t="s">
        <v>105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272</v>
      </c>
      <c r="B2" s="55" t="s">
        <v>106</v>
      </c>
      <c r="C2" s="60" t="s">
        <v>270</v>
      </c>
      <c r="D2" s="55" t="s">
        <v>107</v>
      </c>
      <c r="E2" s="54" t="str">
        <f>B2&amp;C2&amp;D2</f>
        <v>floors_13400_2.tmp</v>
      </c>
      <c r="F2" s="55" t="s">
        <v>108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272</v>
      </c>
      <c r="B3" s="55" t="s">
        <v>109</v>
      </c>
      <c r="C3" s="60" t="s">
        <v>270</v>
      </c>
      <c r="D3" s="55" t="s">
        <v>107</v>
      </c>
      <c r="E3" s="54" t="str">
        <f>B3&amp;C3&amp;D3</f>
        <v>enemy_habitats_13400_2.tmp</v>
      </c>
      <c r="F3" s="55" t="s">
        <v>110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176</v>
      </c>
    </row>
    <row r="4" spans="1:30" x14ac:dyDescent="0.15">
      <c r="A4" s="59" t="s">
        <v>272</v>
      </c>
      <c r="B4" s="55" t="s">
        <v>111</v>
      </c>
      <c r="C4" s="60" t="s">
        <v>270</v>
      </c>
      <c r="D4" s="55" t="s">
        <v>107</v>
      </c>
      <c r="E4" s="54" t="str">
        <f>B4&amp;C4&amp;D4</f>
        <v>enemy_habitat_S_13400_2.tmp</v>
      </c>
      <c r="F4" s="55" t="s">
        <v>112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272</v>
      </c>
      <c r="B5" s="55" t="s">
        <v>113</v>
      </c>
      <c r="C5" s="60" t="s">
        <v>270</v>
      </c>
      <c r="D5" s="55" t="s">
        <v>107</v>
      </c>
      <c r="E5" s="54" t="str">
        <f>B5&amp;C5&amp;D5</f>
        <v>enemy_skill_sets_13400_2.tmp</v>
      </c>
      <c r="F5" s="55" t="s">
        <v>114</v>
      </c>
      <c r="G5" s="57" t="s">
        <v>22</v>
      </c>
      <c r="H5" s="57" t="s">
        <v>99</v>
      </c>
      <c r="I5" s="57" t="s">
        <v>94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272</v>
      </c>
      <c r="B6" s="55" t="s">
        <v>115</v>
      </c>
      <c r="C6" s="60" t="s">
        <v>270</v>
      </c>
      <c r="D6" s="55" t="s">
        <v>116</v>
      </c>
      <c r="E6" s="54" t="str">
        <f t="shared" ref="E6:E10" si="0">B6&amp;C6&amp;D6</f>
        <v>enemy_skills_tmp_13400_2.tmp</v>
      </c>
      <c r="F6" s="55" t="s">
        <v>90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272</v>
      </c>
      <c r="B7" s="55" t="s">
        <v>117</v>
      </c>
      <c r="C7" s="60" t="s">
        <v>270</v>
      </c>
      <c r="D7" s="55" t="s">
        <v>107</v>
      </c>
      <c r="E7" s="54" t="str">
        <f>B7&amp;C7&amp;D7</f>
        <v>enemy_skills_i18n_13400_2.tmp</v>
      </c>
      <c r="F7" s="55" t="s">
        <v>118</v>
      </c>
      <c r="G7" s="56" t="s">
        <v>79</v>
      </c>
      <c r="H7" s="56" t="s">
        <v>91</v>
      </c>
      <c r="I7" s="56" t="s">
        <v>92</v>
      </c>
      <c r="J7" s="56" t="s">
        <v>93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272</v>
      </c>
      <c r="B8" s="55" t="s">
        <v>119</v>
      </c>
      <c r="C8" s="60" t="s">
        <v>270</v>
      </c>
      <c r="D8" s="55" t="s">
        <v>120</v>
      </c>
      <c r="E8" s="54" t="str">
        <f t="shared" si="0"/>
        <v>enemy_skill_triggers_13400_2.tmp</v>
      </c>
      <c r="F8" s="55" t="s">
        <v>121</v>
      </c>
      <c r="G8" s="56" t="s">
        <v>94</v>
      </c>
      <c r="H8" s="56" t="s">
        <v>95</v>
      </c>
      <c r="I8" s="56" t="s">
        <v>96</v>
      </c>
      <c r="J8" s="56" t="s">
        <v>97</v>
      </c>
      <c r="K8" s="56" t="s">
        <v>122</v>
      </c>
      <c r="L8" s="56" t="s">
        <v>98</v>
      </c>
      <c r="M8" s="56" t="s">
        <v>123</v>
      </c>
      <c r="N8" s="56" t="s">
        <v>124</v>
      </c>
      <c r="O8" s="56" t="s">
        <v>125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272</v>
      </c>
      <c r="B9" s="65" t="s">
        <v>175</v>
      </c>
      <c r="C9" s="60" t="s">
        <v>270</v>
      </c>
      <c r="D9" s="65" t="s">
        <v>169</v>
      </c>
      <c r="E9" s="66" t="str">
        <f t="shared" si="0"/>
        <v>stage_bug_bonuses_13400_2.tmp</v>
      </c>
      <c r="F9" s="65" t="s">
        <v>170</v>
      </c>
      <c r="G9" s="62" t="s">
        <v>149</v>
      </c>
      <c r="H9" s="62" t="s">
        <v>171</v>
      </c>
      <c r="I9" s="62" t="s">
        <v>172</v>
      </c>
      <c r="J9" s="64" t="s">
        <v>173</v>
      </c>
      <c r="K9" s="62" t="s">
        <v>174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279</v>
      </c>
      <c r="B10" s="65" t="s">
        <v>197</v>
      </c>
      <c r="C10" s="60" t="s">
        <v>270</v>
      </c>
      <c r="D10" s="65" t="s">
        <v>178</v>
      </c>
      <c r="E10" s="66" t="str">
        <f t="shared" si="0"/>
        <v>stage_hints_data_c_13400_2.tmp</v>
      </c>
      <c r="F10" s="65" t="s">
        <v>205</v>
      </c>
      <c r="G10" s="70" t="s">
        <v>179</v>
      </c>
      <c r="H10" s="70" t="s">
        <v>171</v>
      </c>
      <c r="I10" s="71" t="s">
        <v>180</v>
      </c>
      <c r="J10" s="64" t="s">
        <v>181</v>
      </c>
      <c r="K10" s="64" t="s">
        <v>182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59" t="s">
        <v>272</v>
      </c>
      <c r="B11" s="65" t="s">
        <v>198</v>
      </c>
      <c r="C11" s="60" t="s">
        <v>270</v>
      </c>
      <c r="D11" s="65" t="s">
        <v>169</v>
      </c>
      <c r="E11" s="66" t="str">
        <f t="shared" ref="E11:E13" si="1">B11&amp;C11&amp;D11</f>
        <v>stage_hints_data_f_13400_2.tmp</v>
      </c>
      <c r="F11" s="65" t="s">
        <v>206</v>
      </c>
      <c r="G11" s="70" t="s">
        <v>179</v>
      </c>
      <c r="H11" s="70" t="s">
        <v>171</v>
      </c>
      <c r="I11" s="71" t="s">
        <v>180</v>
      </c>
      <c r="J11" s="64" t="s">
        <v>181</v>
      </c>
      <c r="K11" s="64" t="s">
        <v>182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59" t="s">
        <v>272</v>
      </c>
      <c r="B12" s="65" t="s">
        <v>199</v>
      </c>
      <c r="C12" s="60" t="s">
        <v>270</v>
      </c>
      <c r="D12" s="65" t="s">
        <v>169</v>
      </c>
      <c r="E12" s="66" t="str">
        <f t="shared" si="1"/>
        <v>stage_hints_i18n_13400_2.tmp</v>
      </c>
      <c r="F12" s="65" t="s">
        <v>207</v>
      </c>
      <c r="G12" s="71" t="s">
        <v>200</v>
      </c>
      <c r="H12" s="89" t="s">
        <v>201</v>
      </c>
      <c r="I12" s="70" t="s">
        <v>202</v>
      </c>
      <c r="J12" s="97" t="s">
        <v>203</v>
      </c>
      <c r="K12" s="64" t="s">
        <v>204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59" t="s">
        <v>272</v>
      </c>
      <c r="B13" s="65" t="s">
        <v>246</v>
      </c>
      <c r="C13" s="60" t="s">
        <v>270</v>
      </c>
      <c r="D13" s="65" t="s">
        <v>227</v>
      </c>
      <c r="E13" s="66" t="str">
        <f t="shared" si="1"/>
        <v>stage_bonuses_13400_2.tmp</v>
      </c>
      <c r="F13" s="65" t="s">
        <v>226</v>
      </c>
      <c r="G13" s="70" t="s">
        <v>228</v>
      </c>
      <c r="H13" s="70" t="s">
        <v>229</v>
      </c>
      <c r="I13" s="70" t="s">
        <v>230</v>
      </c>
      <c r="J13" s="70" t="s">
        <v>231</v>
      </c>
      <c r="K13" s="70" t="s">
        <v>232</v>
      </c>
      <c r="L13" s="70" t="s">
        <v>233</v>
      </c>
      <c r="M13" s="70" t="s">
        <v>234</v>
      </c>
      <c r="N13" s="70" t="s">
        <v>235</v>
      </c>
      <c r="O13" s="70" t="s">
        <v>236</v>
      </c>
      <c r="P13" s="70" t="s">
        <v>237</v>
      </c>
      <c r="Q13" s="70" t="s">
        <v>238</v>
      </c>
      <c r="R13" s="70" t="s">
        <v>239</v>
      </c>
      <c r="S13" s="70" t="s">
        <v>240</v>
      </c>
      <c r="T13" s="70" t="s">
        <v>241</v>
      </c>
      <c r="U13" s="70" t="s">
        <v>242</v>
      </c>
      <c r="V13" s="70" t="s">
        <v>243</v>
      </c>
      <c r="W13" s="70" t="s">
        <v>244</v>
      </c>
      <c r="X13" s="70" t="s">
        <v>245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F5" sqref="F5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13400_2-1</v>
      </c>
      <c r="B2" s="15" t="str">
        <f>IF(COUNTIF(enemy_habitats!$H:$H,A2),"OK","NG")</f>
        <v>OK</v>
      </c>
      <c r="C2" s="7">
        <v>13400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-エルフラム-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タワーオブザクイーン2本目</v>
      </c>
      <c r="F2" s="19">
        <v>2</v>
      </c>
      <c r="G2" s="21" t="str">
        <f>C2&amp;"_"&amp;F2</f>
        <v>13400_2</v>
      </c>
      <c r="H2" s="14" t="str">
        <f ca="1">VLOOKUP($G2,OFFSET([2]stages!$A$1,0,0,COUNTA([2]stages!$A:$A),MATCH(H$1,[2]stages!$2:$2,0)-MATCH($G$1,[2]stages!$2:$2,0)+1),MATCH(H$1,[2]stages!$2:$2,0)-MATCH($G$1,[2]stages!$2:$2,0)+1,FALSE)</f>
        <v>2階 コスト制限なし</v>
      </c>
      <c r="I2" s="19">
        <v>1</v>
      </c>
      <c r="J2" s="12">
        <v>60</v>
      </c>
      <c r="K2" s="12">
        <v>60</v>
      </c>
    </row>
    <row r="3" spans="1:11" ht="21" customHeight="1" x14ac:dyDescent="0.15">
      <c r="A3" s="15" t="str">
        <f t="shared" ref="A3:A4" si="0">G3&amp;"-"&amp;I3</f>
        <v>13400_2-2</v>
      </c>
      <c r="B3" s="15" t="str">
        <f>IF(COUNTIF(enemy_habitats!$H:$H,A3),"OK","NG")</f>
        <v>OK</v>
      </c>
      <c r="C3" s="7">
        <v>13400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-エルフラム-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タワーオブザクイーン2本目</v>
      </c>
      <c r="F3" s="19">
        <v>2</v>
      </c>
      <c r="G3" s="21" t="str">
        <f t="shared" ref="G3:G4" si="1">C3&amp;"_"&amp;F3</f>
        <v>13400_2</v>
      </c>
      <c r="H3" s="14" t="str">
        <f ca="1">VLOOKUP($G3,OFFSET([2]stages!$A$1,0,0,COUNTA([2]stages!$A:$A),MATCH(H$1,[2]stages!$2:$2,0)-MATCH($G$1,[2]stages!$2:$2,0)+1),MATCH(H$1,[2]stages!$2:$2,0)-MATCH($G$1,[2]stages!$2:$2,0)+1,FALSE)</f>
        <v>2階 コスト制限なし</v>
      </c>
      <c r="I3" s="19">
        <v>2</v>
      </c>
      <c r="J3" s="12">
        <v>60</v>
      </c>
      <c r="K3" s="12">
        <v>60</v>
      </c>
    </row>
    <row r="4" spans="1:11" ht="21" customHeight="1" x14ac:dyDescent="0.15">
      <c r="A4" s="15" t="str">
        <f t="shared" si="0"/>
        <v>13400_2-3</v>
      </c>
      <c r="B4" s="15" t="str">
        <f>IF(COUNTIF(enemy_habitats!$H:$H,A4),"OK","NG")</f>
        <v>OK</v>
      </c>
      <c r="C4" s="7">
        <v>13400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-エルフラム-</v>
      </c>
      <c r="E4" s="17" t="str">
        <f ca="1">VLOOKUP($C4,OFFSET([2]quests!$A$1,0,0,COUNTA([2]quests!$A:$A),MATCH(E$1,[2]quests!$1:$1,0)-MATCH($C$1,[2]quests!$1:$1,0)+1),MATCH(E$1,[2]quests!$1:$1,0)-MATCH($C$1,[2]quests!$1:$1,0)+1,FALSE)</f>
        <v>タワーオブザクイーン2本目</v>
      </c>
      <c r="F4" s="19">
        <v>2</v>
      </c>
      <c r="G4" s="21" t="str">
        <f t="shared" si="1"/>
        <v>13400_2</v>
      </c>
      <c r="H4" s="14" t="str">
        <f ca="1">VLOOKUP($G4,OFFSET([2]stages!$A$1,0,0,COUNTA([2]stages!$A:$A),MATCH(H$1,[2]stages!$2:$2,0)-MATCH($G$1,[2]stages!$2:$2,0)+1),MATCH(H$1,[2]stages!$2:$2,0)-MATCH($G$1,[2]stages!$2:$2,0)+1,FALSE)</f>
        <v>2階 コスト制限なし</v>
      </c>
      <c r="I4" s="19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tabSelected="1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X3" sqref="X3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7.6640625" style="3" customWidth="1"/>
    <col min="4" max="4" width="7.6640625" style="10" customWidth="1" outlineLevel="1"/>
    <col min="5" max="6" width="7.6640625" style="3" customWidth="1" outlineLevel="1"/>
    <col min="7" max="7" width="7.6640625" style="3" customWidth="1" collapsed="1"/>
    <col min="8" max="10" width="12.33203125" style="3" hidden="1" customWidth="1" outlineLevel="1"/>
    <col min="11" max="11" width="6.6640625" style="3" customWidth="1"/>
    <col min="12" max="12" width="10.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6.83203125" style="3" customWidth="1"/>
    <col min="20" max="20" width="6.83203125" style="10" customWidth="1"/>
    <col min="21" max="23" width="6.83203125" style="3" customWidth="1"/>
    <col min="24" max="24" width="12.83203125" style="3" customWidth="1"/>
    <col min="25" max="25" width="12.1640625" style="3" customWidth="1" outlineLevel="1"/>
    <col min="26" max="27" width="9.5" style="3" customWidth="1"/>
    <col min="28" max="29" width="6.33203125" style="3" customWidth="1"/>
    <col min="30" max="30" width="6.83203125" style="3" customWidth="1"/>
    <col min="31" max="31" width="8.83203125" style="104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8" t="s">
        <v>247</v>
      </c>
      <c r="U1" s="24" t="s">
        <v>50</v>
      </c>
      <c r="V1" s="98" t="s">
        <v>248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177</v>
      </c>
    </row>
    <row r="2" spans="1:42" ht="21" customHeight="1" x14ac:dyDescent="0.15">
      <c r="A2" s="15" t="str">
        <f t="shared" ref="A2:A7" si="0">B2&amp;"_"&amp;C2&amp;"-"&amp;G2&amp;"/"&amp;L2&amp;"&lt;lv"&amp;R2&amp;"&gt;s"&amp;AC2</f>
        <v>13400_2-1/257&lt;lv10&gt;s3</v>
      </c>
      <c r="B2" s="20">
        <v>13400</v>
      </c>
      <c r="C2" s="19">
        <v>2</v>
      </c>
      <c r="D2" s="2" t="str">
        <f>B2&amp;"_"&amp;C2</f>
        <v>13400_2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-エルフラム-</v>
      </c>
      <c r="F2" s="4" t="str">
        <f ca="1">VLOOKUP($D2,OFFSET([2]stages!$A$1,0,0,COUNTA([2]stages!$A:$A),MATCH(F$1,[2]stages!$2:$2,0)-MATCH($D$1,[2]stages!$2:$2,0)+1),MATCH(F$1,[2]stages!$2:$2,0)-MATCH($D$1,[2]stages!$2:$2,0)+1,FALSE)</f>
        <v>2階 コスト制限なし</v>
      </c>
      <c r="G2" s="19">
        <v>1</v>
      </c>
      <c r="H2" s="14" t="str">
        <f>B2&amp;"_"&amp;C2&amp;"-"&amp;G2</f>
        <v>13400_2-1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53</v>
      </c>
      <c r="L2" s="103">
        <v>257</v>
      </c>
      <c r="M2" s="102" t="str">
        <f ca="1">VLOOKUP($L2,OFFSET([3]enemies!$A$1,0,0,COUNTA([3]enemies!$A:$A),MATCH(M$1,[3]enemies!$1:$1,0)-MATCH($L$1,[3]enemies!$1:$1,0)+1),MATCH(M$1,[3]enemies!$1:$1,0)-MATCH($L$1,[3]enemies!$1:$1,0)+1,FALSE)</f>
        <v>色欲 アスモデウス</v>
      </c>
      <c r="N2" s="16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10</v>
      </c>
      <c r="S2" s="23">
        <v>0.7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20092.8</v>
      </c>
      <c r="U2" s="23">
        <v>1.7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2028.1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全体攻撃</v>
      </c>
      <c r="Y2" s="45">
        <v>13400030</v>
      </c>
      <c r="Z2" s="6">
        <v>1</v>
      </c>
      <c r="AA2" s="6">
        <v>100</v>
      </c>
      <c r="AB2" s="6">
        <v>1</v>
      </c>
      <c r="AC2" s="101">
        <v>3</v>
      </c>
      <c r="AD2" s="22">
        <f t="shared" ref="AD2:AD7" si="1">L2</f>
        <v>257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色欲 アスモデウス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2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si="0"/>
        <v>13400_2-1/1094&lt;lv10&gt;s1</v>
      </c>
      <c r="B3" s="20">
        <v>13400</v>
      </c>
      <c r="C3" s="19">
        <v>2</v>
      </c>
      <c r="D3" s="2" t="str">
        <f t="shared" ref="D3:D7" si="2">B3&amp;"_"&amp;C3</f>
        <v>13400_2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-エルフラム-</v>
      </c>
      <c r="F3" s="4" t="str">
        <f ca="1">VLOOKUP($D3,OFFSET([2]stages!$A$1,0,0,COUNTA([2]stages!$A:$A),MATCH(F$1,[2]stages!$2:$2,0)-MATCH($D$1,[2]stages!$2:$2,0)+1),MATCH(F$1,[2]stages!$2:$2,0)-MATCH($D$1,[2]stages!$2:$2,0)+1,FALSE)</f>
        <v>2階 コスト制限なし</v>
      </c>
      <c r="G3" s="19">
        <v>1</v>
      </c>
      <c r="H3" s="14" t="str">
        <f t="shared" ref="H3:H7" si="3">B3&amp;"_"&amp;C3&amp;"-"&amp;G3</f>
        <v>13400_2-1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53</v>
      </c>
      <c r="L3" s="103">
        <v>1094</v>
      </c>
      <c r="M3" s="102" t="str">
        <f ca="1">VLOOKUP($L3,OFFSET([3]enemies!$A$1,0,0,COUNTA([3]enemies!$A:$A),MATCH(M$1,[3]enemies!$1:$1,0)-MATCH($L$1,[3]enemies!$1:$1,0)+1),MATCH(M$1,[3]enemies!$1:$1,0)-MATCH($L$1,[3]enemies!$1:$1,0)+1,FALSE)</f>
        <v>メルクシャ</v>
      </c>
      <c r="N3" s="16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10</v>
      </c>
      <c r="S3" s="23">
        <v>1.5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20182.5</v>
      </c>
      <c r="U3" s="23">
        <v>1.1000000000000001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1244.1000000000001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属性パネルをハートボムパネルに7個変換</v>
      </c>
      <c r="Y3" s="45">
        <v>13400031</v>
      </c>
      <c r="Z3" s="6">
        <v>1</v>
      </c>
      <c r="AA3" s="6">
        <v>100</v>
      </c>
      <c r="AB3" s="6">
        <v>0</v>
      </c>
      <c r="AC3" s="101">
        <v>1</v>
      </c>
      <c r="AD3" s="22">
        <f t="shared" si="1"/>
        <v>1094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メルクシャ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2">
        <f t="shared" ref="AI3:AI7" ca="1" si="4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si="0"/>
        <v>13400_2-2/650&lt;lv10&gt;s2</v>
      </c>
      <c r="B4" s="20">
        <v>13400</v>
      </c>
      <c r="C4" s="19">
        <v>2</v>
      </c>
      <c r="D4" s="2" t="str">
        <f t="shared" si="2"/>
        <v>13400_2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-エルフラム-</v>
      </c>
      <c r="F4" s="4" t="str">
        <f ca="1">VLOOKUP($D4,OFFSET([2]stages!$A$1,0,0,COUNTA([2]stages!$A:$A),MATCH(F$1,[2]stages!$2:$2,0)-MATCH($D$1,[2]stages!$2:$2,0)+1),MATCH(F$1,[2]stages!$2:$2,0)-MATCH($D$1,[2]stages!$2:$2,0)+1,FALSE)</f>
        <v>2階 コスト制限なし</v>
      </c>
      <c r="G4" s="19">
        <v>2</v>
      </c>
      <c r="H4" s="14" t="str">
        <f t="shared" si="3"/>
        <v>13400_2-2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53</v>
      </c>
      <c r="L4" s="103">
        <v>650</v>
      </c>
      <c r="M4" s="102" t="str">
        <f ca="1">VLOOKUP($L4,OFFSET([3]enemies!$A$1,0,0,COUNTA([3]enemies!$A:$A),MATCH(M$1,[3]enemies!$1:$1,0)-MATCH($L$1,[3]enemies!$1:$1,0)+1),MATCH(M$1,[3]enemies!$1:$1,0)-MATCH($L$1,[3]enemies!$1:$1,0)+1,FALSE)</f>
        <v>土蜘蛛 ユウヤ</v>
      </c>
      <c r="N4" s="16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10</v>
      </c>
      <c r="S4" s="23">
        <v>2.5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32965</v>
      </c>
      <c r="U4" s="23">
        <v>2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2332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ユウヤとシュガフルが_x000D_交互に攻撃してくる！</v>
      </c>
      <c r="Y4" s="45">
        <v>13400032</v>
      </c>
      <c r="Z4" s="6">
        <v>1</v>
      </c>
      <c r="AA4" s="6">
        <v>100</v>
      </c>
      <c r="AB4" s="6">
        <v>0</v>
      </c>
      <c r="AC4" s="101">
        <v>2</v>
      </c>
      <c r="AD4" s="22">
        <f t="shared" si="1"/>
        <v>650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土蜘蛛 ユウヤ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2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si="0"/>
        <v>13400_2-2/422&lt;lv10&gt;s2</v>
      </c>
      <c r="B5" s="20">
        <v>13400</v>
      </c>
      <c r="C5" s="19">
        <v>2</v>
      </c>
      <c r="D5" s="2" t="str">
        <f t="shared" si="2"/>
        <v>13400_2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-エルフラム-</v>
      </c>
      <c r="F5" s="4" t="str">
        <f ca="1">VLOOKUP($D5,OFFSET([2]stages!$A$1,0,0,COUNTA([2]stages!$A:$A),MATCH(F$1,[2]stages!$2:$2,0)-MATCH($D$1,[2]stages!$2:$2,0)+1),MATCH(F$1,[2]stages!$2:$2,0)-MATCH($D$1,[2]stages!$2:$2,0)+1,FALSE)</f>
        <v>2階 コスト制限なし</v>
      </c>
      <c r="G5" s="19">
        <v>2</v>
      </c>
      <c r="H5" s="14" t="str">
        <f t="shared" si="3"/>
        <v>13400_2-2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53</v>
      </c>
      <c r="L5" s="103">
        <v>422</v>
      </c>
      <c r="M5" s="102" t="str">
        <f ca="1">VLOOKUP($L5,OFFSET([3]enemies!$A$1,0,0,COUNTA([3]enemies!$A:$A),MATCH(M$1,[3]enemies!$1:$1,0)-MATCH($L$1,[3]enemies!$1:$1,0)+1),MATCH(M$1,[3]enemies!$1:$1,0)-MATCH($L$1,[3]enemies!$1:$1,0)+1,FALSE)</f>
        <v>シュガフル</v>
      </c>
      <c r="N5" s="16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10</v>
      </c>
      <c r="S5" s="23">
        <v>1.5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27565.5</v>
      </c>
      <c r="U5" s="23">
        <v>2.2000000000000002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2679.6000000000004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1ターン自身の行動頻度UP</v>
      </c>
      <c r="Y5" s="45">
        <v>13400033</v>
      </c>
      <c r="Z5" s="6">
        <v>1</v>
      </c>
      <c r="AA5" s="6">
        <v>100</v>
      </c>
      <c r="AB5" s="6">
        <v>1</v>
      </c>
      <c r="AC5" s="101">
        <v>2</v>
      </c>
      <c r="AD5" s="22">
        <f t="shared" si="1"/>
        <v>422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シュガフル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2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A6" s="15" t="str">
        <f t="shared" si="0"/>
        <v>13400_2-3/646&lt;lv10&gt;s1</v>
      </c>
      <c r="B6" s="20">
        <v>13400</v>
      </c>
      <c r="C6" s="19">
        <v>2</v>
      </c>
      <c r="D6" s="2" t="str">
        <f t="shared" si="2"/>
        <v>13400_2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-エルフラム-</v>
      </c>
      <c r="F6" s="4" t="str">
        <f ca="1">VLOOKUP($D6,OFFSET([2]stages!$A$1,0,0,COUNTA([2]stages!$A:$A),MATCH(F$1,[2]stages!$2:$2,0)-MATCH($D$1,[2]stages!$2:$2,0)+1),MATCH(F$1,[2]stages!$2:$2,0)-MATCH($D$1,[2]stages!$2:$2,0)+1,FALSE)</f>
        <v>2階 コスト制限なし</v>
      </c>
      <c r="G6" s="19">
        <v>3</v>
      </c>
      <c r="H6" s="14" t="str">
        <f t="shared" si="3"/>
        <v>13400_2-3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 t="s">
        <v>53</v>
      </c>
      <c r="L6" s="103">
        <v>646</v>
      </c>
      <c r="M6" s="102" t="str">
        <f ca="1">VLOOKUP($L6,OFFSET([3]enemies!$A$1,0,0,COUNTA([3]enemies!$A:$A),MATCH(M$1,[3]enemies!$1:$1,0)-MATCH($L$1,[3]enemies!$1:$1,0)+1),MATCH(M$1,[3]enemies!$1:$1,0)-MATCH($L$1,[3]enemies!$1:$1,0)+1,FALSE)</f>
        <v>雪女 ユキ</v>
      </c>
      <c r="N6" s="16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6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10</v>
      </c>
      <c r="S6" s="23">
        <v>2</v>
      </c>
      <c r="T6" s="9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29900</v>
      </c>
      <c r="U6" s="23">
        <v>1.3</v>
      </c>
      <c r="V6" s="9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1485.9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クリティカル！+_x000D_赤パネルを青パネルに5個変換</v>
      </c>
      <c r="Y6" s="45">
        <v>13400034</v>
      </c>
      <c r="Z6" s="6">
        <v>1</v>
      </c>
      <c r="AA6" s="6">
        <v>100</v>
      </c>
      <c r="AB6" s="6">
        <v>0</v>
      </c>
      <c r="AC6" s="101">
        <v>1</v>
      </c>
      <c r="AD6" s="22">
        <f t="shared" si="1"/>
        <v>646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雪女 ユキ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7">
        <v>1</v>
      </c>
      <c r="AI6" s="22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  <row r="7" spans="1:42" ht="21" customHeight="1" x14ac:dyDescent="0.15">
      <c r="A7" s="15" t="str">
        <f t="shared" si="0"/>
        <v>13400_2-3/288&lt;lv10&gt;s2</v>
      </c>
      <c r="B7" s="20">
        <v>13400</v>
      </c>
      <c r="C7" s="19">
        <v>2</v>
      </c>
      <c r="D7" s="2" t="str">
        <f t="shared" si="2"/>
        <v>13400_2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-エルフラム-</v>
      </c>
      <c r="F7" s="4" t="str">
        <f ca="1">VLOOKUP($D7,OFFSET([2]stages!$A$1,0,0,COUNTA([2]stages!$A:$A),MATCH(F$1,[2]stages!$2:$2,0)-MATCH($D$1,[2]stages!$2:$2,0)+1),MATCH(F$1,[2]stages!$2:$2,0)-MATCH($D$1,[2]stages!$2:$2,0)+1,FALSE)</f>
        <v>2階 コスト制限なし</v>
      </c>
      <c r="G7" s="19">
        <v>3</v>
      </c>
      <c r="H7" s="14" t="str">
        <f t="shared" si="3"/>
        <v>13400_2-3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6" t="s">
        <v>53</v>
      </c>
      <c r="L7" s="103">
        <v>288</v>
      </c>
      <c r="M7" s="102" t="str">
        <f ca="1">VLOOKUP($L7,OFFSET([3]enemies!$A$1,0,0,COUNTA([3]enemies!$A:$A),MATCH(M$1,[3]enemies!$1:$1,0)-MATCH($L$1,[3]enemies!$1:$1,0)+1),MATCH(M$1,[3]enemies!$1:$1,0)-MATCH($L$1,[3]enemies!$1:$1,0)+1,FALSE)</f>
        <v>ミカド</v>
      </c>
      <c r="N7" s="16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6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6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10</v>
      </c>
      <c r="S7" s="23">
        <v>2.8</v>
      </c>
      <c r="T7" s="9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38561.599999999999</v>
      </c>
      <c r="U7" s="23">
        <v>2.6</v>
      </c>
      <c r="V7" s="9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3031.6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2回連続攻撃</v>
      </c>
      <c r="Y7" s="45">
        <v>13400035</v>
      </c>
      <c r="Z7" s="6">
        <v>1</v>
      </c>
      <c r="AA7" s="6">
        <v>100</v>
      </c>
      <c r="AB7" s="6">
        <v>1</v>
      </c>
      <c r="AC7" s="101">
        <v>2</v>
      </c>
      <c r="AD7" s="22">
        <f t="shared" si="1"/>
        <v>288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ミカド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2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Q20" sqref="Q20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8" t="s">
        <v>247</v>
      </c>
      <c r="V1" s="24" t="s">
        <v>50</v>
      </c>
      <c r="W1" s="98" t="s">
        <v>248</v>
      </c>
      <c r="X1" s="24" t="s">
        <v>52</v>
      </c>
      <c r="Y1" s="26" t="s">
        <v>128</v>
      </c>
      <c r="Z1" s="27" t="s">
        <v>127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1"/>
  <sheetViews>
    <sheetView showGridLines="0" workbookViewId="0">
      <pane xSplit="5" ySplit="1" topLeftCell="N2" activePane="bottomRight" state="frozen"/>
      <selection pane="topRight"/>
      <selection pane="bottomLeft"/>
      <selection pane="bottomRight" activeCell="F4" sqref="F4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" si="0">B2&amp;"_"&amp;C2</f>
        <v>13400030_13400030</v>
      </c>
      <c r="B2" s="45">
        <v>13400030</v>
      </c>
      <c r="C2" s="45">
        <v>13400030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可愛がってあげるっ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" s="45">
        <v>13400030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6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ht="21" customHeight="1" x14ac:dyDescent="0.15">
      <c r="A3" s="37" t="str">
        <f t="shared" ref="A3:A4" si="1">B3&amp;"_"&amp;C3</f>
        <v>13400030_13400038</v>
      </c>
      <c r="B3" s="45">
        <v>13400030</v>
      </c>
      <c r="C3" s="45">
        <v>13400038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死ぬほど_x000D_後悔させてあげる！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武器をこちらに構えている</v>
      </c>
      <c r="F3" s="45">
        <v>13400038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si="1"/>
        <v>13400031_13400031</v>
      </c>
      <c r="B4" s="45">
        <v>13400031</v>
      </c>
      <c r="C4" s="45">
        <v>13400031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愛はバクハツよ！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属性パネルをハートボムパネルに7個変換</v>
      </c>
      <c r="F4" s="45">
        <v>13400031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ht="21" customHeight="1" x14ac:dyDescent="0.15">
      <c r="A5" s="37" t="str">
        <f t="shared" ref="A5:A8" si="2">B5&amp;"_"&amp;C5</f>
        <v>13400032_13400032</v>
      </c>
      <c r="B5" s="45">
        <v>13400032</v>
      </c>
      <c r="C5" s="45">
        <v>13400032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覚悟しやがれっ！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ユウヤとシュガフルが_x000D_交互に攻撃してくる！</v>
      </c>
      <c r="F5" s="45">
        <v>13400032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2"/>
        <v>13400032_13400033</v>
      </c>
      <c r="B6" s="45">
        <v>13400032</v>
      </c>
      <c r="C6" s="45">
        <v>13400033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ヤッてやるぜェ！！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" s="45">
        <v>13400033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2"/>
        <v>13400033_13400034</v>
      </c>
      <c r="B7" s="45">
        <v>13400033</v>
      </c>
      <c r="C7" s="45">
        <v>13400034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きひひひっ！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1ターン自身の行動頻度UP</v>
      </c>
      <c r="F7" s="45">
        <v>13400034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2"/>
        <v>13400033_13400035</v>
      </c>
      <c r="B8" s="45">
        <v>13400033</v>
      </c>
      <c r="C8" s="45">
        <v>13400035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串刺しフォーク♪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クリティカル！+_x000D_黄パネルを青パネルに7個変換</v>
      </c>
      <c r="F8" s="45">
        <v>13400035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ref="A9:A11" si="3">B9&amp;"_"&amp;C9</f>
        <v>13400034_13400036</v>
      </c>
      <c r="B9" s="45">
        <v>13400034</v>
      </c>
      <c r="C9" s="45">
        <v>13400036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行かせないわ…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クリティカル！+_x000D_赤パネルを青パネルに5個変換</v>
      </c>
      <c r="F9" s="45">
        <v>13400036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45"/>
      <c r="Q9" s="45"/>
      <c r="R9" s="45"/>
    </row>
    <row r="10" spans="1:18" ht="21" customHeight="1" x14ac:dyDescent="0.15">
      <c r="A10" s="37" t="str">
        <f t="shared" si="3"/>
        <v>13400034_13400039</v>
      </c>
      <c r="B10" s="45">
        <v>13400034</v>
      </c>
      <c r="C10" s="45">
        <v>13400039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アナタにこのタワーが_x000D_登れるかしら…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空気が冷たくなってきた…</v>
      </c>
      <c r="F10" s="45">
        <v>13400038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3"/>
        <v>13400035_13400037</v>
      </c>
      <c r="B11" s="45">
        <v>13400035</v>
      </c>
      <c r="C11" s="45">
        <v>13400037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散れ！ハッハァー！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1" s="45">
        <v>13400037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1" s="45"/>
      <c r="Q11" s="45"/>
      <c r="R11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11"/>
  <sheetViews>
    <sheetView showGridLines="0" workbookViewId="0">
      <pane ySplit="1" topLeftCell="A2" activePane="bottomLeft" state="frozenSplit"/>
      <selection pane="bottomLeft" activeCell="A3" sqref="A3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33" style="47" customWidth="1"/>
    <col min="3" max="4" width="9.33203125" style="108" customWidth="1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.83203125" style="47" customWidth="1" collapsed="1"/>
    <col min="13" max="18" width="23.6640625" style="47" hidden="1" customWidth="1" outlineLevel="1"/>
    <col min="19" max="19" width="12.6640625" style="47" customWidth="1" collapsed="1"/>
    <col min="20" max="24" width="23.6640625" style="47" hidden="1" customWidth="1" outlineLevel="1"/>
    <col min="25" max="25" width="11.5" style="47" customWidth="1" collapsed="1"/>
    <col min="26" max="27" width="0" style="47" hidden="1" customWidth="1"/>
    <col min="28" max="28" width="44.5" style="47" hidden="1" customWidth="1"/>
    <col min="29" max="29" width="44.83203125" style="47" customWidth="1"/>
    <col min="30" max="16384" width="12.83203125" style="47"/>
  </cols>
  <sheetData>
    <row r="1" spans="1:29" ht="21" customHeight="1" x14ac:dyDescent="0.15">
      <c r="A1" s="38" t="s">
        <v>79</v>
      </c>
      <c r="B1" s="38" t="s">
        <v>80</v>
      </c>
      <c r="C1" s="107" t="s">
        <v>81</v>
      </c>
      <c r="D1" s="107" t="s">
        <v>126</v>
      </c>
      <c r="E1" s="38" t="s">
        <v>82</v>
      </c>
      <c r="F1" s="38" t="s">
        <v>83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76</v>
      </c>
      <c r="AA1" s="39" t="s">
        <v>77</v>
      </c>
      <c r="AB1" s="39" t="s">
        <v>78</v>
      </c>
      <c r="AC1" s="39" t="s">
        <v>252</v>
      </c>
    </row>
    <row r="2" spans="1:29" ht="21" customHeight="1" x14ac:dyDescent="0.15">
      <c r="A2" s="45">
        <v>13400030</v>
      </c>
      <c r="B2" s="45" t="str">
        <f t="shared" ref="B2:B5" si="0"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LEN(SUBSTITUTE(F2,CHAR(13),""))*0.1)),"0.0")&amp;"]"&amp;IF(LEN(SUBSTITUTE(F2,CHAR(13),""))&gt;0, ","&amp;AC2,AC2)</f>
        <v>[effect:enemy_message, val1:1.2, val2:1.2],[effect:spread, val:0.3]</v>
      </c>
      <c r="C2" s="48">
        <v>3</v>
      </c>
      <c r="D2" s="48" t="s">
        <v>251</v>
      </c>
      <c r="E2" s="49" t="s">
        <v>280</v>
      </c>
      <c r="F2" s="49" t="s">
        <v>276</v>
      </c>
      <c r="G2" s="61" t="str">
        <f>IFERROR(LEFT(B2,FIND("],",B2)),B2)</f>
        <v>[effect:enemy_message, val1:1.2, val2:1.2]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IFERROR(VLOOKUP(MID(G2,J2,K2-J2),[5]skilldef!$C:$D,2,FALSE),"-") &amp; " / " &amp; IFERROR(VLOOKUP(MID(G2,H2,I2-H2),[5]skilldef!$A:$B,2,FALSE),"-")</f>
        <v>- / -</v>
      </c>
      <c r="M2" s="61" t="str">
        <f>IFERROR(RIGHT(B2,LEN(B2)-FIND("],",B2)-1),"none")</f>
        <v>[effect:spread, val:0.3]</v>
      </c>
      <c r="N2" s="46" t="str">
        <f>IFERROR(LEFT(M2,FIND("],",M2)+S14),M2)</f>
        <v>[effect:spread, val:0.3]</v>
      </c>
      <c r="O2" s="61">
        <f>FIND("effect:",N2)+7</f>
        <v>9</v>
      </c>
      <c r="P2" s="61">
        <f>IFERROR(FIND(",",N2),LEN(N2))</f>
        <v>15</v>
      </c>
      <c r="Q2" s="61" t="e">
        <f>FIND("target:",N2)+7</f>
        <v>#VALUE!</v>
      </c>
      <c r="R2" s="61" t="e">
        <f>FIND(",",N2,P2+1)</f>
        <v>#VALUE!</v>
      </c>
      <c r="S2" s="61" t="str">
        <f>IFERROR(VLOOKUP(MID(N2,Q2,R2-Q2),[5]skilldef!$C:$D,2,FALSE),"-") &amp; " / " &amp; IFERROR(VLOOKUP(MID(N2,O2,P2-O2),[5]skilldef!$A:$B,2,FALSE),"-")</f>
        <v>- / 全体攻撃</v>
      </c>
      <c r="T2" s="46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8"/>
      <c r="AA2" s="50"/>
      <c r="AB2" s="48"/>
      <c r="AC2" s="100" t="s">
        <v>267</v>
      </c>
    </row>
    <row r="3" spans="1:29" ht="21" customHeight="1" x14ac:dyDescent="0.15">
      <c r="A3" s="45">
        <v>13400031</v>
      </c>
      <c r="B3" s="45" t="str">
        <f t="shared" si="0"/>
        <v>[effect:enemy_message, val1:1.2, val2:1.9],[effect:force_change_block, new_block:crack_bomb, target:normal, color:block_heart, count:7, val:12, animation:change_block]</v>
      </c>
      <c r="C3" s="48">
        <v>3</v>
      </c>
      <c r="D3" s="48" t="s">
        <v>251</v>
      </c>
      <c r="E3" s="49" t="s">
        <v>273</v>
      </c>
      <c r="F3" s="49" t="s">
        <v>301</v>
      </c>
      <c r="G3" s="61" t="str">
        <f t="shared" ref="G3:G6" si="1">IFERROR(LEFT(B3,FIND("],",B3)),B3)</f>
        <v>[effect:enemy_message, val1:1.2, val2:1.9]</v>
      </c>
      <c r="H3" s="61">
        <f t="shared" ref="H3:H6" si="2">FIND("effect:",G3)+7</f>
        <v>9</v>
      </c>
      <c r="I3" s="61">
        <f t="shared" ref="I3:I6" si="3">IFERROR(FIND(",",G3),LEN(G3))</f>
        <v>22</v>
      </c>
      <c r="J3" s="61" t="e">
        <f t="shared" ref="J3:J6" si="4">FIND("target:",G3)+7</f>
        <v>#VALUE!</v>
      </c>
      <c r="K3" s="61">
        <f t="shared" ref="K3:K6" si="5">FIND(",",G3,I3+1)</f>
        <v>32</v>
      </c>
      <c r="L3" s="61" t="str">
        <f>IFERROR(VLOOKUP(MID(G3,J3,K3-J3),[5]skilldef!$C:$D,2,FALSE),"-") &amp; " / " &amp; IFERROR(VLOOKUP(MID(G3,H3,I3-H3),[5]skilldef!$A:$B,2,FALSE),"-")</f>
        <v>- / -</v>
      </c>
      <c r="M3" s="61" t="str">
        <f t="shared" ref="M3:M6" si="6">IFERROR(RIGHT(B3,LEN(B3)-FIND("],",B3)-1),"none")</f>
        <v>[effect:force_change_block, new_block:crack_bomb, target:normal, color:block_heart, count:7, val:12, animation:change_block]</v>
      </c>
      <c r="N3" s="46" t="str">
        <f>IFERROR(LEFT(M3,FIND("],",M3)+S15),M3)</f>
        <v>[effect:force_change_block, new_block:crack_bomb, target:normal, color:block_heart, count:7, val:12, animation:change_block]</v>
      </c>
      <c r="O3" s="61">
        <f t="shared" ref="O3:O6" si="7">FIND("effect:",N3)+7</f>
        <v>9</v>
      </c>
      <c r="P3" s="61">
        <f t="shared" ref="P3:P6" si="8">IFERROR(FIND(",",N3),LEN(N3))</f>
        <v>27</v>
      </c>
      <c r="Q3" s="61">
        <f t="shared" ref="Q3:Q6" si="9">FIND("target:",N3)+7</f>
        <v>58</v>
      </c>
      <c r="R3" s="61">
        <f t="shared" ref="R3:R6" si="10">FIND(",",N3,P3+1)</f>
        <v>49</v>
      </c>
      <c r="S3" s="61" t="str">
        <f>IFERROR(VLOOKUP(MID(N3,Q3,R3-Q3),[5]skilldef!$C:$D,2,FALSE),"-") &amp; " / " &amp; IFERROR(VLOOKUP(MID(N3,O3,P3-O3),[5]skilldef!$A:$B,2,FALSE),"-")</f>
        <v>- / -</v>
      </c>
      <c r="T3" s="46" t="str">
        <f t="shared" ref="T3:T6" si="11">IFERROR(RIGHT(M3,LEN(M3)-FIND("],",M3)-1),"none")</f>
        <v>none</v>
      </c>
      <c r="U3" s="61" t="e">
        <f t="shared" ref="U3:U6" si="12">FIND("effect:",T3)+7</f>
        <v>#VALUE!</v>
      </c>
      <c r="V3" s="61">
        <f t="shared" ref="V3:V6" si="13">IFERROR(FIND(",",T3),LEN(T3))</f>
        <v>4</v>
      </c>
      <c r="W3" s="61" t="e">
        <f t="shared" ref="W3:W6" si="14">FIND("target:",T3)+7</f>
        <v>#VALUE!</v>
      </c>
      <c r="X3" s="61" t="e">
        <f t="shared" ref="X3:X6" si="15">FIND(",",T3,V3+1)</f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  <c r="AC3" s="100" t="s">
        <v>302</v>
      </c>
    </row>
    <row r="4" spans="1:29" ht="21" customHeight="1" x14ac:dyDescent="0.15">
      <c r="A4" s="45">
        <v>13400032</v>
      </c>
      <c r="B4" s="45" t="str">
        <f t="shared" si="0"/>
        <v>[effect:enemy_message, val1:1.2, val2:2.0],[effect:fix_speed, target:myself, turn:2]</v>
      </c>
      <c r="C4" s="48">
        <v>3</v>
      </c>
      <c r="D4" s="48" t="s">
        <v>251</v>
      </c>
      <c r="E4" s="49" t="s">
        <v>285</v>
      </c>
      <c r="F4" s="49" t="s">
        <v>286</v>
      </c>
      <c r="G4" s="61" t="str">
        <f t="shared" si="1"/>
        <v>[effect:enemy_message, val1:1.2, val2:2.0]</v>
      </c>
      <c r="H4" s="61">
        <f t="shared" si="2"/>
        <v>9</v>
      </c>
      <c r="I4" s="61">
        <f t="shared" si="3"/>
        <v>22</v>
      </c>
      <c r="J4" s="61" t="e">
        <f t="shared" si="4"/>
        <v>#VALUE!</v>
      </c>
      <c r="K4" s="61">
        <f t="shared" si="5"/>
        <v>32</v>
      </c>
      <c r="L4" s="61" t="str">
        <f>IFERROR(VLOOKUP(MID(G4,J4,K4-J4),[5]skilldef!$C:$D,2,FALSE),"-") &amp; " / " &amp; IFERROR(VLOOKUP(MID(G4,H4,I4-H4),[5]skilldef!$A:$B,2,FALSE),"-")</f>
        <v>- / -</v>
      </c>
      <c r="M4" s="61" t="str">
        <f t="shared" si="6"/>
        <v>[effect:fix_speed, target:myself, turn:2]</v>
      </c>
      <c r="N4" s="46" t="str">
        <f>IFERROR(LEFT(M4,FIND("],",M4)+S16),M4)</f>
        <v>[effect:fix_speed, target:myself, turn:2]</v>
      </c>
      <c r="O4" s="61">
        <f t="shared" si="7"/>
        <v>9</v>
      </c>
      <c r="P4" s="61">
        <f t="shared" si="8"/>
        <v>18</v>
      </c>
      <c r="Q4" s="61">
        <f t="shared" si="9"/>
        <v>27</v>
      </c>
      <c r="R4" s="61">
        <f t="shared" si="10"/>
        <v>33</v>
      </c>
      <c r="S4" s="61" t="str">
        <f>IFERROR(VLOOKUP(MID(N4,Q4,R4-Q4),[5]skilldef!$C:$D,2,FALSE),"-") &amp; " / " &amp; IFERROR(VLOOKUP(MID(N4,O4,P4-O4),[5]skilldef!$A:$B,2,FALSE),"-")</f>
        <v>自分自身に / 行動値設定</v>
      </c>
      <c r="T4" s="46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50"/>
      <c r="AB4" s="48"/>
      <c r="AC4" s="100" t="s">
        <v>282</v>
      </c>
    </row>
    <row r="5" spans="1:29" ht="21" customHeight="1" x14ac:dyDescent="0.15">
      <c r="A5" s="45">
        <v>13400033</v>
      </c>
      <c r="B5" s="45" t="str">
        <f t="shared" si="0"/>
        <v>[effect:enemy_message, val1:1.2, val2:1.2],[effect:critical, val:1.2]</v>
      </c>
      <c r="C5" s="48">
        <v>3</v>
      </c>
      <c r="D5" s="48" t="s">
        <v>251</v>
      </c>
      <c r="E5" s="49" t="s">
        <v>281</v>
      </c>
      <c r="F5" s="49" t="s">
        <v>277</v>
      </c>
      <c r="G5" s="61" t="str">
        <f t="shared" ref="G5" si="16">IFERROR(LEFT(B5,FIND("],",B5)),B5)</f>
        <v>[effect:enemy_message, val1:1.2, val2:1.2]</v>
      </c>
      <c r="H5" s="61">
        <f t="shared" ref="H5" si="17">FIND("effect:",G5)+7</f>
        <v>9</v>
      </c>
      <c r="I5" s="61">
        <f t="shared" ref="I5" si="18">IFERROR(FIND(",",G5),LEN(G5))</f>
        <v>22</v>
      </c>
      <c r="J5" s="61" t="e">
        <f t="shared" ref="J5" si="19">FIND("target:",G5)+7</f>
        <v>#VALUE!</v>
      </c>
      <c r="K5" s="61">
        <f t="shared" ref="K5" si="20">FIND(",",G5,I5+1)</f>
        <v>32</v>
      </c>
      <c r="L5" s="61" t="str">
        <f>IFERROR(VLOOKUP(MID(G5,J5,K5-J5),[5]skilldef!$C:$D,2,FALSE),"-") &amp; " / " &amp; IFERROR(VLOOKUP(MID(G5,H5,I5-H5),[5]skilldef!$A:$B,2,FALSE),"-")</f>
        <v>- / -</v>
      </c>
      <c r="M5" s="61" t="str">
        <f t="shared" ref="M5" si="21">IFERROR(RIGHT(B5,LEN(B5)-FIND("],",B5)-1),"none")</f>
        <v>[effect:critical, val:1.2]</v>
      </c>
      <c r="N5" s="46" t="str">
        <f>IFERROR(LEFT(M5,FIND("],",M5)+S17),M5)</f>
        <v>[effect:critical, val:1.2]</v>
      </c>
      <c r="O5" s="61">
        <f t="shared" ref="O5" si="22">FIND("effect:",N5)+7</f>
        <v>9</v>
      </c>
      <c r="P5" s="61">
        <f t="shared" ref="P5" si="23">IFERROR(FIND(",",N5),LEN(N5))</f>
        <v>17</v>
      </c>
      <c r="Q5" s="61" t="e">
        <f t="shared" ref="Q5" si="24">FIND("target:",N5)+7</f>
        <v>#VALUE!</v>
      </c>
      <c r="R5" s="61" t="e">
        <f t="shared" ref="R5" si="25">FIND(",",N5,P5+1)</f>
        <v>#VALUE!</v>
      </c>
      <c r="S5" s="61" t="str">
        <f>IFERROR(VLOOKUP(MID(N5,Q5,R5-Q5),[5]skilldef!$C:$D,2,FALSE),"-") &amp; " / " &amp; IFERROR(VLOOKUP(MID(N5,O5,P5-O5),[5]skilldef!$A:$B,2,FALSE),"-")</f>
        <v>- / 大攻撃</v>
      </c>
      <c r="T5" s="46" t="str">
        <f t="shared" ref="T5" si="26">IFERROR(RIGHT(M5,LEN(M5)-FIND("],",M5)-1),"none")</f>
        <v>none</v>
      </c>
      <c r="U5" s="61" t="e">
        <f t="shared" ref="U5" si="27">FIND("effect:",T5)+7</f>
        <v>#VALUE!</v>
      </c>
      <c r="V5" s="61">
        <f t="shared" ref="V5" si="28">IFERROR(FIND(",",T5),LEN(T5))</f>
        <v>4</v>
      </c>
      <c r="W5" s="61" t="e">
        <f t="shared" ref="W5" si="29">FIND("target:",T5)+7</f>
        <v>#VALUE!</v>
      </c>
      <c r="X5" s="61" t="e">
        <f t="shared" ref="X5" si="30">FIND(",",T5,V5+1)</f>
        <v>#VALUE!</v>
      </c>
      <c r="Y5" s="61" t="str">
        <f>IFERROR(VLOOKUP(MID(T5,W5,X5-W5),[5]skilldef!$C:$D,2,FALSE),"-") &amp; " / " &amp; IFERROR(VLOOKUP(MID(T5,U5,V5-U5),[5]skilldef!$A:$B,2,FALSE),"-")</f>
        <v>- / -</v>
      </c>
      <c r="Z5" s="48"/>
      <c r="AA5" s="50"/>
      <c r="AB5" s="48"/>
      <c r="AC5" s="100" t="s">
        <v>268</v>
      </c>
    </row>
    <row r="6" spans="1:29" ht="21" customHeight="1" x14ac:dyDescent="0.15">
      <c r="A6" s="45">
        <v>13400034</v>
      </c>
      <c r="B6" s="45" t="str">
        <f>"[effect:enemy_message, val1:"&amp;TEXT(IF(TEXT(E6,0)="[表示しない]", "0", IF(LEN(SUBSTITUTE(E6,CHAR(13),""))*0.1&lt;1.2, 1.2, LEN(SUBSTITUTE(E6,CHAR(13),""))*0.1)), "0.0")&amp;", val2:"&amp;TEXT(IF(TEXT(F6,0)="[表示しない]", "0", IF(LEN(SUBSTITUTE(F6,CHAR(13),""))*0.1&lt;1.2, 1.2, LEN(SUBSTITUTE(F6,CHAR(13),""))*0.1)),"0.0")&amp;"]"&amp;IF(LEN(SUBSTITUTE(F6,CHAR(13),""))&gt;0, ","&amp;AC6,AC6)</f>
        <v>[effect:enemy_message, val1:1.2, val2:1.3],[effect:freq_turn, target:myself, turn:1, val:1, animation:enemy_freq_turn]</v>
      </c>
      <c r="C6" s="48">
        <v>3</v>
      </c>
      <c r="D6" s="48" t="s">
        <v>251</v>
      </c>
      <c r="E6" s="49" t="s">
        <v>287</v>
      </c>
      <c r="F6" s="49" t="s">
        <v>283</v>
      </c>
      <c r="G6" s="61" t="str">
        <f t="shared" si="1"/>
        <v>[effect:enemy_message, val1:1.2, val2:1.3]</v>
      </c>
      <c r="H6" s="61">
        <f t="shared" si="2"/>
        <v>9</v>
      </c>
      <c r="I6" s="61">
        <f t="shared" si="3"/>
        <v>22</v>
      </c>
      <c r="J6" s="61" t="e">
        <f t="shared" si="4"/>
        <v>#VALUE!</v>
      </c>
      <c r="K6" s="61">
        <f t="shared" si="5"/>
        <v>32</v>
      </c>
      <c r="L6" s="61" t="str">
        <f>IFERROR(VLOOKUP(MID(G6,J6,K6-J6),[5]skilldef!$C:$D,2,FALSE),"-") &amp; " / " &amp; IFERROR(VLOOKUP(MID(G6,H6,I6-H6),[5]skilldef!$A:$B,2,FALSE),"-")</f>
        <v>- / -</v>
      </c>
      <c r="M6" s="61" t="str">
        <f t="shared" si="6"/>
        <v>[effect:freq_turn, target:myself, turn:1, val:1, animation:enemy_freq_turn]</v>
      </c>
      <c r="N6" s="46" t="str">
        <f t="shared" ref="N6" si="31">IFERROR(LEFT(M6,FIND("],",M6)+S17),M6)</f>
        <v>[effect:freq_turn, target:myself, turn:1, val:1, animation:enemy_freq_turn]</v>
      </c>
      <c r="O6" s="61">
        <f t="shared" si="7"/>
        <v>9</v>
      </c>
      <c r="P6" s="61">
        <f t="shared" si="8"/>
        <v>18</v>
      </c>
      <c r="Q6" s="61">
        <f t="shared" si="9"/>
        <v>27</v>
      </c>
      <c r="R6" s="61">
        <f t="shared" si="10"/>
        <v>33</v>
      </c>
      <c r="S6" s="61" t="str">
        <f>IFERROR(VLOOKUP(MID(N6,Q6,R6-Q6),[5]skilldef!$C:$D,2,FALSE),"-") &amp; " / " &amp; IFERROR(VLOOKUP(MID(N6,O6,P6-O6),[5]skilldef!$A:$B,2,FALSE),"-")</f>
        <v>自分自身に / 攻撃頻度がUP</v>
      </c>
      <c r="T6" s="46" t="str">
        <f t="shared" si="11"/>
        <v>none</v>
      </c>
      <c r="U6" s="61" t="e">
        <f t="shared" si="12"/>
        <v>#VALUE!</v>
      </c>
      <c r="V6" s="61">
        <f t="shared" si="13"/>
        <v>4</v>
      </c>
      <c r="W6" s="61" t="e">
        <f t="shared" si="14"/>
        <v>#VALUE!</v>
      </c>
      <c r="X6" s="61" t="e">
        <f t="shared" si="15"/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8"/>
      <c r="AA6" s="50"/>
      <c r="AB6" s="48"/>
      <c r="AC6" s="100" t="s">
        <v>290</v>
      </c>
    </row>
    <row r="7" spans="1:29" ht="21" customHeight="1" x14ac:dyDescent="0.15">
      <c r="A7" s="45">
        <v>13400035</v>
      </c>
      <c r="B7" s="45" t="str">
        <f t="shared" ref="B7:B9" si="32">"[effect:enemy_message, val1:"&amp;TEXT(IF(TEXT(E7,0)="[表示しない]", "0", IF(LEN(SUBSTITUTE(E7,CHAR(13),""))*0.1&lt;1.2, 1.2, LEN(SUBSTITUTE(E7,CHAR(13),""))*0.1)), "0.0")&amp;", val2:"&amp;TEXT(IF(TEXT(F7,0)="[表示しない]", "0", IF(LEN(SUBSTITUTE(F7,CHAR(13),""))*0.1&lt;1.2, 1.2, LEN(SUBSTITUTE(F7,CHAR(13),""))*0.1)),"0.0")&amp;"]"&amp;IF(LEN(SUBSTITUTE(F7,CHAR(13),""))&gt;0, ","&amp;AC7,AC7)</f>
        <v>[effect:enemy_message, val1:1.2, val2:2.2],[effect:critical, val:1.2],[effect:force_change_block, new_block:block_blue, target:block_yellow, count:7, val:0, animation:change_block]</v>
      </c>
      <c r="C7" s="48">
        <v>3</v>
      </c>
      <c r="D7" s="48" t="s">
        <v>251</v>
      </c>
      <c r="E7" s="49" t="s">
        <v>274</v>
      </c>
      <c r="F7" s="49" t="s">
        <v>294</v>
      </c>
      <c r="G7" s="61" t="str">
        <f t="shared" ref="G7" si="33">IFERROR(LEFT(B7,FIND("],",B7)),B7)</f>
        <v>[effect:enemy_message, val1:1.2, val2:2.2]</v>
      </c>
      <c r="H7" s="61">
        <f t="shared" ref="H7" si="34">FIND("effect:",G7)+7</f>
        <v>9</v>
      </c>
      <c r="I7" s="61">
        <f t="shared" ref="I7" si="35">IFERROR(FIND(",",G7),LEN(G7))</f>
        <v>22</v>
      </c>
      <c r="J7" s="61" t="e">
        <f t="shared" ref="J7" si="36">FIND("target:",G7)+7</f>
        <v>#VALUE!</v>
      </c>
      <c r="K7" s="61">
        <f t="shared" ref="K7" si="37">FIND(",",G7,I7+1)</f>
        <v>32</v>
      </c>
      <c r="L7" s="61" t="str">
        <f>IFERROR(VLOOKUP(MID(G7,J7,K7-J7),[5]skilldef!$C:$D,2,FALSE),"-") &amp; " / " &amp; IFERROR(VLOOKUP(MID(G7,H7,I7-H7),[5]skilldef!$A:$B,2,FALSE),"-")</f>
        <v>- / -</v>
      </c>
      <c r="M7" s="61" t="str">
        <f t="shared" ref="M7" si="38">IFERROR(RIGHT(B7,LEN(B7)-FIND("],",B7)-1),"none")</f>
        <v>[effect:critical, val:1.2],[effect:force_change_block, new_block:block_blue, target:block_yellow, count:7, val:0, animation:change_block]</v>
      </c>
      <c r="N7" s="46" t="str">
        <f t="shared" ref="N7" si="39">IFERROR(LEFT(M7,FIND("],",M7)+S18),M7)</f>
        <v>[effect:critical, val:1.2]</v>
      </c>
      <c r="O7" s="61">
        <f t="shared" ref="O7" si="40">FIND("effect:",N7)+7</f>
        <v>9</v>
      </c>
      <c r="P7" s="61">
        <f t="shared" ref="P7" si="41">IFERROR(FIND(",",N7),LEN(N7))</f>
        <v>17</v>
      </c>
      <c r="Q7" s="61" t="e">
        <f t="shared" ref="Q7" si="42">FIND("target:",N7)+7</f>
        <v>#VALUE!</v>
      </c>
      <c r="R7" s="61" t="e">
        <f t="shared" ref="R7" si="43">FIND(",",N7,P7+1)</f>
        <v>#VALUE!</v>
      </c>
      <c r="S7" s="61" t="str">
        <f>IFERROR(VLOOKUP(MID(N7,Q7,R7-Q7),[5]skilldef!$C:$D,2,FALSE),"-") &amp; " / " &amp; IFERROR(VLOOKUP(MID(N7,O7,P7-O7),[5]skilldef!$A:$B,2,FALSE),"-")</f>
        <v>- / 大攻撃</v>
      </c>
      <c r="T7" s="46" t="str">
        <f t="shared" ref="T7" si="44">IFERROR(RIGHT(M7,LEN(M7)-FIND("],",M7)-1),"none")</f>
        <v>[effect:force_change_block, new_block:block_blue, target:block_yellow, count:7, val:0, animation:change_block]</v>
      </c>
      <c r="U7" s="61">
        <f t="shared" ref="U7" si="45">FIND("effect:",T7)+7</f>
        <v>9</v>
      </c>
      <c r="V7" s="61">
        <f t="shared" ref="V7" si="46">IFERROR(FIND(",",T7),LEN(T7))</f>
        <v>27</v>
      </c>
      <c r="W7" s="61">
        <f t="shared" ref="W7" si="47">FIND("target:",T7)+7</f>
        <v>58</v>
      </c>
      <c r="X7" s="61">
        <f t="shared" ref="X7" si="48">FIND(",",T7,V7+1)</f>
        <v>49</v>
      </c>
      <c r="Y7" s="61" t="str">
        <f>IFERROR(VLOOKUP(MID(T7,W7,X7-W7),[5]skilldef!$C:$D,2,FALSE),"-") &amp; " / " &amp; IFERROR(VLOOKUP(MID(T7,U7,V7-U7),[5]skilldef!$A:$B,2,FALSE),"-")</f>
        <v>- / -</v>
      </c>
      <c r="Z7" s="48"/>
      <c r="AA7" s="50"/>
      <c r="AB7" s="48"/>
      <c r="AC7" s="100" t="s">
        <v>295</v>
      </c>
    </row>
    <row r="8" spans="1:29" ht="21" customHeight="1" x14ac:dyDescent="0.15">
      <c r="A8" s="45">
        <v>13400036</v>
      </c>
      <c r="B8" s="45" t="str">
        <f t="shared" si="32"/>
        <v>[effect:enemy_message, val1:1.2, val2:2.2],[effect:critical, val:1.2],[effect:force_change_block, new_block:block_blue, target:block_red, count:5, val:0, animation:change_block]</v>
      </c>
      <c r="C8" s="48">
        <v>3</v>
      </c>
      <c r="D8" s="48" t="s">
        <v>195</v>
      </c>
      <c r="E8" s="49" t="s">
        <v>275</v>
      </c>
      <c r="F8" s="49" t="s">
        <v>292</v>
      </c>
      <c r="G8" s="61" t="str">
        <f t="shared" ref="G8:G9" si="49">IFERROR(LEFT(B8,FIND("],",B8)),B8)</f>
        <v>[effect:enemy_message, val1:1.2, val2:2.2]</v>
      </c>
      <c r="H8" s="61">
        <f t="shared" ref="H8:H9" si="50">FIND("effect:",G8)+7</f>
        <v>9</v>
      </c>
      <c r="I8" s="61">
        <f t="shared" ref="I8:I9" si="51">IFERROR(FIND(",",G8),LEN(G8))</f>
        <v>22</v>
      </c>
      <c r="J8" s="61" t="e">
        <f t="shared" ref="J8:J9" si="52">FIND("target:",G8)+7</f>
        <v>#VALUE!</v>
      </c>
      <c r="K8" s="61">
        <f t="shared" ref="K8:K9" si="53">FIND(",",G8,I8+1)</f>
        <v>32</v>
      </c>
      <c r="L8" s="61" t="str">
        <f>IFERROR(VLOOKUP(MID(G8,J8,K8-J8),[5]skilldef!$C:$D,2,FALSE),"-") &amp; " / " &amp; IFERROR(VLOOKUP(MID(G8,H8,I8-H8),[5]skilldef!$A:$B,2,FALSE),"-")</f>
        <v>- / -</v>
      </c>
      <c r="M8" s="61" t="str">
        <f t="shared" ref="M8:M9" si="54">IFERROR(RIGHT(B8,LEN(B8)-FIND("],",B8)-1),"none")</f>
        <v>[effect:critical, val:1.2],[effect:force_change_block, new_block:block_blue, target:block_red, count:5, val:0, animation:change_block]</v>
      </c>
      <c r="N8" s="46" t="str">
        <f t="shared" ref="N8:N9" si="55">IFERROR(LEFT(M8,FIND("],",M8)+S18),M8)</f>
        <v>[effect:critical, val:1.2]</v>
      </c>
      <c r="O8" s="61">
        <f t="shared" ref="O8:O9" si="56">FIND("effect:",N8)+7</f>
        <v>9</v>
      </c>
      <c r="P8" s="61">
        <f t="shared" ref="P8:P9" si="57">IFERROR(FIND(",",N8),LEN(N8))</f>
        <v>17</v>
      </c>
      <c r="Q8" s="61" t="e">
        <f t="shared" ref="Q8:Q9" si="58">FIND("target:",N8)+7</f>
        <v>#VALUE!</v>
      </c>
      <c r="R8" s="61" t="e">
        <f t="shared" ref="R8:R9" si="59">FIND(",",N8,P8+1)</f>
        <v>#VALUE!</v>
      </c>
      <c r="S8" s="61" t="str">
        <f>IFERROR(VLOOKUP(MID(N8,Q8,R8-Q8),[5]skilldef!$C:$D,2,FALSE),"-") &amp; " / " &amp; IFERROR(VLOOKUP(MID(N8,O8,P8-O8),[5]skilldef!$A:$B,2,FALSE),"-")</f>
        <v>- / 大攻撃</v>
      </c>
      <c r="T8" s="46" t="str">
        <f t="shared" ref="T8:T9" si="60">IFERROR(RIGHT(M8,LEN(M8)-FIND("],",M8)-1),"none")</f>
        <v>[effect:force_change_block, new_block:block_blue, target:block_red, count:5, val:0, animation:change_block]</v>
      </c>
      <c r="U8" s="61">
        <f t="shared" ref="U8:U9" si="61">FIND("effect:",T8)+7</f>
        <v>9</v>
      </c>
      <c r="V8" s="61">
        <f t="shared" ref="V8:V9" si="62">IFERROR(FIND(",",T8),LEN(T8))</f>
        <v>27</v>
      </c>
      <c r="W8" s="61">
        <f t="shared" ref="W8:W9" si="63">FIND("target:",T8)+7</f>
        <v>58</v>
      </c>
      <c r="X8" s="61">
        <f t="shared" ref="X8:X9" si="64">FIND(",",T8,V8+1)</f>
        <v>49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50"/>
      <c r="AB8" s="48"/>
      <c r="AC8" s="100" t="s">
        <v>293</v>
      </c>
    </row>
    <row r="9" spans="1:29" ht="21" customHeight="1" x14ac:dyDescent="0.15">
      <c r="A9" s="45">
        <v>13400037</v>
      </c>
      <c r="B9" s="45" t="str">
        <f t="shared" si="32"/>
        <v>[effect:enemy_message, val1:1.2, val2:1.2],[effect:rush, count:2, val:0.65]</v>
      </c>
      <c r="C9" s="48">
        <v>3</v>
      </c>
      <c r="D9" s="48" t="s">
        <v>195</v>
      </c>
      <c r="E9" s="49" t="s">
        <v>284</v>
      </c>
      <c r="F9" s="49" t="s">
        <v>278</v>
      </c>
      <c r="G9" s="61" t="str">
        <f t="shared" si="49"/>
        <v>[effect:enemy_message, val1:1.2, val2:1.2]</v>
      </c>
      <c r="H9" s="61">
        <f t="shared" si="50"/>
        <v>9</v>
      </c>
      <c r="I9" s="61">
        <f t="shared" si="51"/>
        <v>22</v>
      </c>
      <c r="J9" s="61" t="e">
        <f t="shared" si="52"/>
        <v>#VALUE!</v>
      </c>
      <c r="K9" s="61">
        <f t="shared" si="53"/>
        <v>32</v>
      </c>
      <c r="L9" s="61" t="str">
        <f>IFERROR(VLOOKUP(MID(G9,J9,K9-J9),[5]skilldef!$C:$D,2,FALSE),"-") &amp; " / " &amp; IFERROR(VLOOKUP(MID(G9,H9,I9-H9),[5]skilldef!$A:$B,2,FALSE),"-")</f>
        <v>- / -</v>
      </c>
      <c r="M9" s="61" t="str">
        <f t="shared" si="54"/>
        <v>[effect:rush, count:2, val:0.65]</v>
      </c>
      <c r="N9" s="46" t="str">
        <f t="shared" si="55"/>
        <v>[effect:rush, count:2, val:0.65]</v>
      </c>
      <c r="O9" s="61">
        <f t="shared" si="56"/>
        <v>9</v>
      </c>
      <c r="P9" s="61">
        <f t="shared" si="57"/>
        <v>13</v>
      </c>
      <c r="Q9" s="61" t="e">
        <f t="shared" si="58"/>
        <v>#VALUE!</v>
      </c>
      <c r="R9" s="61">
        <f t="shared" si="59"/>
        <v>22</v>
      </c>
      <c r="S9" s="61" t="str">
        <f>IFERROR(VLOOKUP(MID(N9,Q9,R9-Q9),[5]skilldef!$C:$D,2,FALSE),"-") &amp; " / " &amp; IFERROR(VLOOKUP(MID(N9,O9,P9-O9),[5]skilldef!$A:$B,2,FALSE),"-")</f>
        <v>- / 連続攻撃</v>
      </c>
      <c r="T9" s="46" t="str">
        <f t="shared" si="60"/>
        <v>none</v>
      </c>
      <c r="U9" s="61" t="e">
        <f t="shared" si="61"/>
        <v>#VALUE!</v>
      </c>
      <c r="V9" s="61">
        <f t="shared" si="62"/>
        <v>4</v>
      </c>
      <c r="W9" s="61" t="e">
        <f t="shared" si="63"/>
        <v>#VALUE!</v>
      </c>
      <c r="X9" s="61" t="e">
        <f t="shared" si="64"/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  <c r="AC9" s="100" t="s">
        <v>291</v>
      </c>
    </row>
    <row r="10" spans="1:29" ht="21" customHeight="1" x14ac:dyDescent="0.15">
      <c r="A10" s="45">
        <v>13400038</v>
      </c>
      <c r="B10" s="45" t="str">
        <f t="shared" ref="B10:B11" si="65">"[effect:enemy_message, val1:"&amp;TEXT(IF(TEXT(E10,0)="[表示しない]", "0", IF(LEN(SUBSTITUTE(E10,CHAR(13),""))*0.1&lt;1.2, 1.2, LEN(SUBSTITUTE(E10,CHAR(13),""))*0.1)), "0.0")&amp;", val2:"&amp;TEXT(IF(TEXT(F10,0)="[表示しない]", "0", IF(LEN(SUBSTITUTE(F10,CHAR(13),""))*0.1&lt;1.2, 1.2, LEN(SUBSTITUTE(F10,CHAR(13),""))*0.1)),"0.0")&amp;"]"&amp;IF(LEN(SUBSTITUTE(F10,CHAR(13),""))&gt;0, ","&amp;AC10,AC10)</f>
        <v>[effect:enemy_message, val1:1.3, val2:1.2],</v>
      </c>
      <c r="C10" s="48">
        <v>3</v>
      </c>
      <c r="D10" s="48" t="s">
        <v>195</v>
      </c>
      <c r="E10" s="49" t="s">
        <v>299</v>
      </c>
      <c r="F10" s="49" t="s">
        <v>297</v>
      </c>
      <c r="G10" s="61" t="str">
        <f t="shared" ref="G10:G11" si="66">IFERROR(LEFT(B10,FIND("],",B10)),B10)</f>
        <v>[effect:enemy_message, val1:1.3, val2:1.2]</v>
      </c>
      <c r="H10" s="61">
        <f t="shared" ref="H10:H11" si="67">FIND("effect:",G10)+7</f>
        <v>9</v>
      </c>
      <c r="I10" s="61">
        <f t="shared" ref="I10:I11" si="68">IFERROR(FIND(",",G10),LEN(G10))</f>
        <v>22</v>
      </c>
      <c r="J10" s="61" t="e">
        <f t="shared" ref="J10:J11" si="69">FIND("target:",G10)+7</f>
        <v>#VALUE!</v>
      </c>
      <c r="K10" s="61">
        <f t="shared" ref="K10:K11" si="70">FIND(",",G10,I10+1)</f>
        <v>32</v>
      </c>
      <c r="L10" s="61" t="str">
        <f>IFERROR(VLOOKUP(MID(G10,J10,K10-J10),[5]skilldef!$C:$D,2,FALSE),"-") &amp; " / " &amp; IFERROR(VLOOKUP(MID(G10,H10,I10-H10),[5]skilldef!$A:$B,2,FALSE),"-")</f>
        <v>- / -</v>
      </c>
      <c r="M10" s="61" t="str">
        <f t="shared" ref="M10:M11" si="71">IFERROR(RIGHT(B10,LEN(B10)-FIND("],",B10)-1),"none")</f>
        <v/>
      </c>
      <c r="N10" s="46" t="str">
        <f t="shared" ref="N10:N11" si="72">IFERROR(LEFT(M10,FIND("],",M10)+S20),M10)</f>
        <v/>
      </c>
      <c r="O10" s="61" t="e">
        <f t="shared" ref="O10:O11" si="73">FIND("effect:",N10)+7</f>
        <v>#VALUE!</v>
      </c>
      <c r="P10" s="61">
        <f t="shared" ref="P10:P11" si="74">IFERROR(FIND(",",N10),LEN(N10))</f>
        <v>0</v>
      </c>
      <c r="Q10" s="61" t="e">
        <f t="shared" ref="Q10:Q11" si="75">FIND("target:",N10)+7</f>
        <v>#VALUE!</v>
      </c>
      <c r="R10" s="61" t="e">
        <f t="shared" ref="R10:R11" si="76">FIND(",",N10,P10+1)</f>
        <v>#VALUE!</v>
      </c>
      <c r="S10" s="61" t="str">
        <f>IFERROR(VLOOKUP(MID(N10,Q10,R10-Q10),[5]skilldef!$C:$D,2,FALSE),"-") &amp; " / " &amp; IFERROR(VLOOKUP(MID(N10,O10,P10-O10),[5]skilldef!$A:$B,2,FALSE),"-")</f>
        <v>- / -</v>
      </c>
      <c r="T10" s="46" t="str">
        <f t="shared" ref="T10:T11" si="77">IFERROR(RIGHT(M10,LEN(M10)-FIND("],",M10)-1),"none")</f>
        <v>none</v>
      </c>
      <c r="U10" s="61" t="e">
        <f t="shared" ref="U10:U11" si="78">FIND("effect:",T10)+7</f>
        <v>#VALUE!</v>
      </c>
      <c r="V10" s="61">
        <f t="shared" ref="V10:V11" si="79">IFERROR(FIND(",",T10),LEN(T10))</f>
        <v>4</v>
      </c>
      <c r="W10" s="61" t="e">
        <f t="shared" ref="W10:W11" si="80">FIND("target:",T10)+7</f>
        <v>#VALUE!</v>
      </c>
      <c r="X10" s="61" t="e">
        <f t="shared" ref="X10:X11" si="81">FIND(",",T10,V10+1)</f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48"/>
      <c r="AA10" s="50"/>
      <c r="AB10" s="48"/>
      <c r="AC10" s="100"/>
    </row>
    <row r="11" spans="1:29" ht="21" customHeight="1" x14ac:dyDescent="0.15">
      <c r="A11" s="45">
        <v>13400039</v>
      </c>
      <c r="B11" s="45" t="str">
        <f t="shared" si="65"/>
        <v>[effect:enemy_message, val1:1.7, val2:1.2],</v>
      </c>
      <c r="C11" s="48">
        <v>3</v>
      </c>
      <c r="D11" s="48" t="s">
        <v>195</v>
      </c>
      <c r="E11" s="49" t="s">
        <v>298</v>
      </c>
      <c r="F11" s="49" t="s">
        <v>300</v>
      </c>
      <c r="G11" s="61" t="str">
        <f t="shared" si="66"/>
        <v>[effect:enemy_message, val1:1.7, val2:1.2]</v>
      </c>
      <c r="H11" s="61">
        <f t="shared" si="67"/>
        <v>9</v>
      </c>
      <c r="I11" s="61">
        <f t="shared" si="68"/>
        <v>22</v>
      </c>
      <c r="J11" s="61" t="e">
        <f t="shared" si="69"/>
        <v>#VALUE!</v>
      </c>
      <c r="K11" s="61">
        <f t="shared" si="70"/>
        <v>32</v>
      </c>
      <c r="L11" s="61" t="str">
        <f>IFERROR(VLOOKUP(MID(G11,J11,K11-J11),[5]skilldef!$C:$D,2,FALSE),"-") &amp; " / " &amp; IFERROR(VLOOKUP(MID(G11,H11,I11-H11),[5]skilldef!$A:$B,2,FALSE),"-")</f>
        <v>- / -</v>
      </c>
      <c r="M11" s="61" t="str">
        <f t="shared" si="71"/>
        <v/>
      </c>
      <c r="N11" s="46" t="str">
        <f t="shared" si="72"/>
        <v/>
      </c>
      <c r="O11" s="61" t="e">
        <f t="shared" si="73"/>
        <v>#VALUE!</v>
      </c>
      <c r="P11" s="61">
        <f t="shared" si="74"/>
        <v>0</v>
      </c>
      <c r="Q11" s="61" t="e">
        <f t="shared" si="75"/>
        <v>#VALUE!</v>
      </c>
      <c r="R11" s="61" t="e">
        <f t="shared" si="76"/>
        <v>#VALUE!</v>
      </c>
      <c r="S11" s="61" t="str">
        <f>IFERROR(VLOOKUP(MID(N11,Q11,R11-Q11),[5]skilldef!$C:$D,2,FALSE),"-") &amp; " / " &amp; IFERROR(VLOOKUP(MID(N11,O11,P11-O11),[5]skilldef!$A:$B,2,FALSE),"-")</f>
        <v>- / -</v>
      </c>
      <c r="T11" s="46" t="str">
        <f t="shared" si="77"/>
        <v>none</v>
      </c>
      <c r="U11" s="61" t="e">
        <f t="shared" si="78"/>
        <v>#VALUE!</v>
      </c>
      <c r="V11" s="61">
        <f t="shared" si="79"/>
        <v>4</v>
      </c>
      <c r="W11" s="61" t="e">
        <f t="shared" si="80"/>
        <v>#VALUE!</v>
      </c>
      <c r="X11" s="61" t="e">
        <f t="shared" si="81"/>
        <v>#VALUE!</v>
      </c>
      <c r="Y11" s="61" t="str">
        <f>IFERROR(VLOOKUP(MID(T11,W11,X11-W11),[5]skilldef!$C:$D,2,FALSE),"-") &amp; " / " &amp; IFERROR(VLOOKUP(MID(T11,U11,V11-U11),[5]skilldef!$A:$B,2,FALSE),"-")</f>
        <v>- / -</v>
      </c>
      <c r="Z11" s="48"/>
      <c r="AA11" s="50"/>
      <c r="AB11" s="48"/>
      <c r="AC11" s="10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10"/>
  <sheetViews>
    <sheetView showGridLines="0" topLeftCell="C1" workbookViewId="0">
      <pane ySplit="1" topLeftCell="A2" activePane="bottomLeft" state="frozenSplit"/>
      <selection pane="bottomLeft" activeCell="I10" sqref="I10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2.6640625" style="47" customWidth="1"/>
    <col min="11" max="11" width="10" style="37" customWidth="1"/>
    <col min="12" max="12" width="12.83203125" style="43"/>
    <col min="13" max="13" width="27.1640625" style="43" customWidth="1"/>
    <col min="14" max="14" width="23.6640625" style="43" customWidth="1"/>
    <col min="15" max="16384" width="12.83203125" style="43"/>
  </cols>
  <sheetData>
    <row r="1" spans="1:14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4" ht="21" customHeight="1" x14ac:dyDescent="0.15">
      <c r="A2" s="45">
        <v>13400030</v>
      </c>
      <c r="B2" s="45">
        <v>0</v>
      </c>
      <c r="C2" s="45">
        <v>500</v>
      </c>
      <c r="D2" s="45">
        <v>100</v>
      </c>
      <c r="E2" s="45" t="s">
        <v>250</v>
      </c>
      <c r="F2" s="45" t="s">
        <v>89</v>
      </c>
      <c r="G2" s="45" t="s">
        <v>250</v>
      </c>
      <c r="H2" s="45">
        <v>2</v>
      </c>
      <c r="I2" s="45" t="s">
        <v>89</v>
      </c>
      <c r="J2" s="46">
        <f t="shared" ref="J2" si="0">D2</f>
        <v>100</v>
      </c>
      <c r="L2" s="49" t="s">
        <v>253</v>
      </c>
      <c r="M2" s="49" t="s">
        <v>259</v>
      </c>
      <c r="N2" s="49" t="s">
        <v>259</v>
      </c>
    </row>
    <row r="3" spans="1:14" ht="21" customHeight="1" x14ac:dyDescent="0.15">
      <c r="A3" s="45">
        <v>13400031</v>
      </c>
      <c r="B3" s="45">
        <v>0</v>
      </c>
      <c r="C3" s="45">
        <v>500</v>
      </c>
      <c r="D3" s="45">
        <v>100</v>
      </c>
      <c r="E3" s="45" t="s">
        <v>250</v>
      </c>
      <c r="F3" s="45" t="s">
        <v>89</v>
      </c>
      <c r="G3" s="45" t="s">
        <v>250</v>
      </c>
      <c r="H3" s="45">
        <v>3</v>
      </c>
      <c r="I3" s="45" t="s">
        <v>89</v>
      </c>
      <c r="J3" s="46">
        <f t="shared" ref="J3" si="1">D3</f>
        <v>100</v>
      </c>
      <c r="L3" s="49" t="s">
        <v>254</v>
      </c>
      <c r="M3" s="49" t="s">
        <v>260</v>
      </c>
      <c r="N3" s="49" t="s">
        <v>260</v>
      </c>
    </row>
    <row r="4" spans="1:14" ht="21" customHeight="1" x14ac:dyDescent="0.15">
      <c r="A4" s="45">
        <v>13400032</v>
      </c>
      <c r="B4" s="45">
        <v>1</v>
      </c>
      <c r="C4" s="45">
        <v>500</v>
      </c>
      <c r="D4" s="45">
        <v>100</v>
      </c>
      <c r="E4" s="45" t="s">
        <v>250</v>
      </c>
      <c r="F4" s="45" t="s">
        <v>53</v>
      </c>
      <c r="G4" s="45">
        <v>1</v>
      </c>
      <c r="H4" s="45">
        <v>1</v>
      </c>
      <c r="I4" s="45" t="s">
        <v>53</v>
      </c>
      <c r="J4" s="46">
        <f t="shared" ref="J4" si="2">D4</f>
        <v>100</v>
      </c>
      <c r="L4" s="49" t="s">
        <v>255</v>
      </c>
      <c r="M4" s="43" t="s">
        <v>271</v>
      </c>
      <c r="N4" s="49" t="s">
        <v>269</v>
      </c>
    </row>
    <row r="5" spans="1:14" ht="21" customHeight="1" x14ac:dyDescent="0.15">
      <c r="A5" s="45">
        <v>13400033</v>
      </c>
      <c r="B5" s="45">
        <v>0</v>
      </c>
      <c r="C5" s="45">
        <v>490</v>
      </c>
      <c r="D5" s="45">
        <v>100</v>
      </c>
      <c r="E5" s="45" t="s">
        <v>250</v>
      </c>
      <c r="F5" s="45" t="s">
        <v>89</v>
      </c>
      <c r="G5" s="45" t="s">
        <v>250</v>
      </c>
      <c r="H5" s="45">
        <v>2</v>
      </c>
      <c r="I5" s="45" t="s">
        <v>89</v>
      </c>
      <c r="J5" s="46">
        <f>D5</f>
        <v>100</v>
      </c>
      <c r="L5" s="49" t="s">
        <v>255</v>
      </c>
      <c r="M5" s="49" t="s">
        <v>261</v>
      </c>
      <c r="N5" s="49" t="s">
        <v>261</v>
      </c>
    </row>
    <row r="6" spans="1:14" ht="21" customHeight="1" x14ac:dyDescent="0.15">
      <c r="A6" s="45">
        <v>13400034</v>
      </c>
      <c r="B6" s="45">
        <v>1</v>
      </c>
      <c r="C6" s="45">
        <v>500</v>
      </c>
      <c r="D6" s="45">
        <v>100</v>
      </c>
      <c r="E6" s="45" t="s">
        <v>250</v>
      </c>
      <c r="F6" s="45" t="s">
        <v>53</v>
      </c>
      <c r="G6" s="45">
        <v>1</v>
      </c>
      <c r="H6" s="45">
        <v>1</v>
      </c>
      <c r="I6" s="45" t="s">
        <v>53</v>
      </c>
      <c r="J6" s="46">
        <f t="shared" ref="J6" si="3">D6</f>
        <v>100</v>
      </c>
      <c r="L6" s="49" t="s">
        <v>256</v>
      </c>
      <c r="M6" s="43" t="s">
        <v>271</v>
      </c>
      <c r="N6" s="49" t="s">
        <v>269</v>
      </c>
    </row>
    <row r="7" spans="1:14" ht="21" customHeight="1" x14ac:dyDescent="0.15">
      <c r="A7" s="45">
        <v>13400035</v>
      </c>
      <c r="B7" s="45">
        <v>0</v>
      </c>
      <c r="C7" s="45">
        <v>490</v>
      </c>
      <c r="D7" s="45">
        <v>100</v>
      </c>
      <c r="E7" s="45" t="s">
        <v>250</v>
      </c>
      <c r="F7" s="45" t="s">
        <v>89</v>
      </c>
      <c r="G7" s="45" t="s">
        <v>250</v>
      </c>
      <c r="H7" s="45">
        <v>2</v>
      </c>
      <c r="I7" s="45" t="s">
        <v>89</v>
      </c>
      <c r="J7" s="46">
        <f>D7</f>
        <v>100</v>
      </c>
      <c r="L7" s="49" t="s">
        <v>256</v>
      </c>
      <c r="M7" s="49" t="s">
        <v>261</v>
      </c>
      <c r="N7" s="49" t="s">
        <v>261</v>
      </c>
    </row>
    <row r="8" spans="1:14" ht="21" customHeight="1" x14ac:dyDescent="0.15">
      <c r="A8" s="45">
        <v>13400036</v>
      </c>
      <c r="B8" s="45">
        <v>0</v>
      </c>
      <c r="C8" s="45">
        <v>500</v>
      </c>
      <c r="D8" s="45">
        <v>30</v>
      </c>
      <c r="E8" s="45" t="s">
        <v>250</v>
      </c>
      <c r="F8" s="45" t="s">
        <v>89</v>
      </c>
      <c r="G8" s="45" t="s">
        <v>250</v>
      </c>
      <c r="H8" s="45">
        <v>1</v>
      </c>
      <c r="I8" s="45" t="s">
        <v>89</v>
      </c>
      <c r="J8" s="46">
        <f>D8</f>
        <v>30</v>
      </c>
      <c r="L8" s="49" t="s">
        <v>257</v>
      </c>
      <c r="M8" s="49" t="s">
        <v>262</v>
      </c>
      <c r="N8" s="49" t="s">
        <v>262</v>
      </c>
    </row>
    <row r="9" spans="1:14" ht="21" customHeight="1" x14ac:dyDescent="0.15">
      <c r="A9" s="45">
        <v>13400037</v>
      </c>
      <c r="B9" s="45">
        <v>0</v>
      </c>
      <c r="C9" s="45">
        <v>500</v>
      </c>
      <c r="D9" s="45">
        <v>30</v>
      </c>
      <c r="E9" s="45" t="s">
        <v>250</v>
      </c>
      <c r="F9" s="45" t="s">
        <v>89</v>
      </c>
      <c r="G9" s="45" t="s">
        <v>250</v>
      </c>
      <c r="H9" s="45">
        <v>1</v>
      </c>
      <c r="I9" s="45" t="s">
        <v>89</v>
      </c>
      <c r="J9" s="46">
        <f>D9</f>
        <v>30</v>
      </c>
      <c r="L9" s="49" t="s">
        <v>258</v>
      </c>
      <c r="M9" s="49" t="s">
        <v>263</v>
      </c>
      <c r="N9" s="49" t="s">
        <v>263</v>
      </c>
    </row>
    <row r="10" spans="1:14" ht="21" customHeight="1" x14ac:dyDescent="0.15">
      <c r="A10" s="45">
        <v>13400038</v>
      </c>
      <c r="B10" s="45">
        <v>1</v>
      </c>
      <c r="C10" s="45">
        <v>501</v>
      </c>
      <c r="D10" s="45">
        <v>100</v>
      </c>
      <c r="E10" s="45" t="s">
        <v>250</v>
      </c>
      <c r="F10" s="45" t="s">
        <v>89</v>
      </c>
      <c r="G10" s="45">
        <v>1</v>
      </c>
      <c r="H10" s="45">
        <v>1</v>
      </c>
      <c r="I10" s="45" t="s">
        <v>89</v>
      </c>
      <c r="J10" s="46">
        <f t="shared" ref="J10" si="4">D10</f>
        <v>100</v>
      </c>
      <c r="L10" s="49" t="s">
        <v>296</v>
      </c>
      <c r="M10" s="49"/>
      <c r="N10" s="49"/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6"/>
  <sheetViews>
    <sheetView workbookViewId="0">
      <selection activeCell="B5" sqref="B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5">
        <v>13400</v>
      </c>
      <c r="B2" s="55">
        <v>2</v>
      </c>
      <c r="C2" s="68" t="str">
        <f>A2&amp; "_"&amp;B2</f>
        <v>13400_2</v>
      </c>
      <c r="D2" s="17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223</v>
      </c>
      <c r="G2" s="55">
        <v>121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160</v>
      </c>
      <c r="Q2" s="55" t="s">
        <v>167</v>
      </c>
      <c r="R2" s="55" t="s">
        <v>168</v>
      </c>
    </row>
    <row r="3" spans="1:18" x14ac:dyDescent="0.15">
      <c r="A3" s="55">
        <v>13400</v>
      </c>
      <c r="B3" s="55">
        <v>2</v>
      </c>
      <c r="C3" s="68" t="str">
        <f t="shared" ref="C3:C6" si="0">A3&amp; "_"&amp;B3</f>
        <v>13400_2</v>
      </c>
      <c r="D3" s="17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223</v>
      </c>
      <c r="G3" s="55">
        <v>607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80</v>
      </c>
      <c r="Q3" s="55" t="s">
        <v>167</v>
      </c>
      <c r="R3" s="55" t="s">
        <v>168</v>
      </c>
    </row>
    <row r="4" spans="1:18" x14ac:dyDescent="0.15">
      <c r="A4" s="55">
        <v>13400</v>
      </c>
      <c r="B4" s="55">
        <v>2</v>
      </c>
      <c r="C4" s="68" t="str">
        <f t="shared" si="0"/>
        <v>13400_2</v>
      </c>
      <c r="D4" s="17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223</v>
      </c>
      <c r="G4" s="55">
        <v>125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20</v>
      </c>
      <c r="Q4" s="55" t="s">
        <v>167</v>
      </c>
      <c r="R4" s="55" t="s">
        <v>168</v>
      </c>
    </row>
    <row r="5" spans="1:18" x14ac:dyDescent="0.15">
      <c r="A5" s="55">
        <v>13400</v>
      </c>
      <c r="B5" s="55">
        <v>2</v>
      </c>
      <c r="C5" s="68" t="str">
        <f t="shared" si="0"/>
        <v>13400_2</v>
      </c>
      <c r="D5" s="17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223</v>
      </c>
      <c r="G5" s="55">
        <v>342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540</v>
      </c>
      <c r="Q5" s="55" t="s">
        <v>167</v>
      </c>
      <c r="R5" s="55" t="s">
        <v>168</v>
      </c>
    </row>
    <row r="6" spans="1:18" x14ac:dyDescent="0.15">
      <c r="A6" s="55">
        <v>13400</v>
      </c>
      <c r="B6" s="55">
        <v>2</v>
      </c>
      <c r="C6" s="68" t="str">
        <f t="shared" si="0"/>
        <v>13400_2</v>
      </c>
      <c r="D6" s="17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223</v>
      </c>
      <c r="G6" s="55">
        <v>343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200</v>
      </c>
      <c r="Q6" s="55" t="s">
        <v>167</v>
      </c>
      <c r="R6" s="55" t="s">
        <v>168</v>
      </c>
    </row>
  </sheetData>
  <phoneticPr fontId="5"/>
  <dataValidations disablePrompts="1" count="1">
    <dataValidation type="list" allowBlank="1" showInputMessage="1" showErrorMessage="1" sqref="F2:F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zoomScale="90" zoomScaleNormal="90" zoomScalePageLayoutView="90" workbookViewId="0">
      <pane ySplit="1" topLeftCell="A2" activePane="bottomLeft" state="frozen"/>
      <selection pane="bottomLeft" activeCell="K14" sqref="K14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185</v>
      </c>
      <c r="B1" s="70" t="s">
        <v>186</v>
      </c>
      <c r="C1" s="74" t="s">
        <v>187</v>
      </c>
      <c r="D1" s="74" t="s">
        <v>33</v>
      </c>
      <c r="E1" s="70" t="s">
        <v>188</v>
      </c>
      <c r="F1" s="74" t="s">
        <v>189</v>
      </c>
      <c r="G1" s="74" t="s">
        <v>33</v>
      </c>
      <c r="H1" s="70" t="s">
        <v>190</v>
      </c>
      <c r="I1" s="87" t="s">
        <v>192</v>
      </c>
      <c r="J1" s="76" t="s">
        <v>126</v>
      </c>
      <c r="K1" s="75" t="s">
        <v>184</v>
      </c>
      <c r="L1" s="88" t="s">
        <v>183</v>
      </c>
      <c r="M1" s="77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4"/>
  <sheetViews>
    <sheetView showGridLines="0" workbookViewId="0">
      <pane ySplit="1" topLeftCell="A2" activePane="bottomLeft" state="frozen"/>
      <selection pane="bottomLeft" activeCell="J2" sqref="J2:J4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40.83203125" customWidth="1"/>
  </cols>
  <sheetData>
    <row r="1" spans="1:15" x14ac:dyDescent="0.15">
      <c r="A1" s="73" t="s">
        <v>185</v>
      </c>
      <c r="B1" s="70" t="s">
        <v>149</v>
      </c>
      <c r="C1" s="74" t="s">
        <v>187</v>
      </c>
      <c r="D1" s="74" t="s">
        <v>33</v>
      </c>
      <c r="E1" s="70" t="s">
        <v>188</v>
      </c>
      <c r="F1" s="74" t="s">
        <v>18</v>
      </c>
      <c r="G1" s="74" t="s">
        <v>33</v>
      </c>
      <c r="H1" s="70" t="s">
        <v>190</v>
      </c>
      <c r="I1" s="85" t="s">
        <v>191</v>
      </c>
      <c r="J1" s="87" t="s">
        <v>192</v>
      </c>
      <c r="K1" s="76" t="s">
        <v>126</v>
      </c>
      <c r="L1" s="75" t="s">
        <v>184</v>
      </c>
      <c r="M1" s="88" t="s">
        <v>183</v>
      </c>
      <c r="N1" s="77" t="s">
        <v>193</v>
      </c>
    </row>
    <row r="2" spans="1:15" ht="61" customHeight="1" x14ac:dyDescent="0.15">
      <c r="A2" s="78" t="s">
        <v>194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2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2階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>
        <v>1</v>
      </c>
      <c r="I2" s="86">
        <f>ROW()-1</f>
        <v>1</v>
      </c>
      <c r="J2" s="45">
        <v>13400030</v>
      </c>
      <c r="K2" s="81" t="s">
        <v>195</v>
      </c>
      <c r="L2" s="83" t="s">
        <v>249</v>
      </c>
      <c r="M2" s="106" t="s">
        <v>264</v>
      </c>
      <c r="N2" s="55" t="s">
        <v>196</v>
      </c>
      <c r="O2" s="105" t="str">
        <f>"１２３４５６７８９０１２３４５６７８９０"&amp;M2</f>
        <v>１２３４５６７８９０１２３４５６７８９０メルクシャはハートパネルを_x000D_ハートボムパネルに変換してくれます_x000D_うまく活用しましょう</v>
      </c>
    </row>
    <row r="3" spans="1:15" ht="61" customHeight="1" x14ac:dyDescent="0.15">
      <c r="A3" s="78" t="s">
        <v>194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2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2階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>
        <v>2</v>
      </c>
      <c r="I3" s="86">
        <f t="shared" ref="I3:I4" si="0">ROW()-1</f>
        <v>2</v>
      </c>
      <c r="J3" s="45">
        <v>13400031</v>
      </c>
      <c r="K3" s="81" t="s">
        <v>195</v>
      </c>
      <c r="L3" s="83" t="s">
        <v>249</v>
      </c>
      <c r="M3" s="106" t="s">
        <v>265</v>
      </c>
      <c r="N3" s="55" t="s">
        <v>196</v>
      </c>
      <c r="O3" s="105" t="str">
        <f t="shared" ref="O3:O4" si="1">"１２３４５６７８９０１２３４５６７８９０"&amp;M3</f>
        <v>１２３４５６７８９０１２３４５６７８９０ユウヤとシュガフルは交互に_x000D_クリティカル攻撃を使用します_x000D_ターゲットを指定し片方ずつ倒しましょう</v>
      </c>
    </row>
    <row r="4" spans="1:15" ht="61" customHeight="1" x14ac:dyDescent="0.15">
      <c r="A4" s="78" t="s">
        <v>194</v>
      </c>
      <c r="B4" s="79">
        <v>13400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-エルフラム-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タワーオブザクイーン2本目</v>
      </c>
      <c r="E4" s="81">
        <v>2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2階 コスト制限なし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タワーオブザクイーン2本目</v>
      </c>
      <c r="H4" s="82">
        <v>3</v>
      </c>
      <c r="I4" s="86">
        <f t="shared" si="0"/>
        <v>3</v>
      </c>
      <c r="J4" s="45">
        <v>13400032</v>
      </c>
      <c r="K4" s="81" t="s">
        <v>195</v>
      </c>
      <c r="L4" s="83" t="s">
        <v>249</v>
      </c>
      <c r="M4" s="106" t="s">
        <v>266</v>
      </c>
      <c r="N4" s="55" t="s">
        <v>196</v>
      </c>
      <c r="O4" s="105" t="str">
        <f t="shared" si="1"/>
        <v>１２３４５６７８９０１２３４５６７８９０ミカドはユキに比べて攻撃力が高いので_x000D_優先的に倒しましょう</v>
      </c>
    </row>
  </sheetData>
  <phoneticPr fontId="5"/>
  <dataValidations disablePrompts="1" count="1">
    <dataValidation type="list" allowBlank="1" showInputMessage="1" showErrorMessage="1" sqref="A2:A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H2" sqref="H2:X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208</v>
      </c>
      <c r="B1" s="91" t="s">
        <v>209</v>
      </c>
      <c r="C1" s="74" t="s">
        <v>210</v>
      </c>
      <c r="D1" s="74" t="s">
        <v>33</v>
      </c>
      <c r="E1" s="91" t="s">
        <v>211</v>
      </c>
      <c r="F1" s="74" t="s">
        <v>212</v>
      </c>
      <c r="G1" s="74" t="s">
        <v>33</v>
      </c>
      <c r="H1" s="91" t="s">
        <v>213</v>
      </c>
      <c r="I1" s="91" t="s">
        <v>214</v>
      </c>
      <c r="J1" s="91" t="s">
        <v>215</v>
      </c>
      <c r="K1" s="70" t="s">
        <v>216</v>
      </c>
      <c r="L1" s="70" t="s">
        <v>217</v>
      </c>
      <c r="M1" s="70" t="s">
        <v>155</v>
      </c>
      <c r="N1" s="74" t="s">
        <v>16</v>
      </c>
      <c r="O1" s="70" t="s">
        <v>218</v>
      </c>
      <c r="P1" s="70" t="s">
        <v>57</v>
      </c>
      <c r="Q1" s="70" t="s">
        <v>219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220</v>
      </c>
      <c r="X1" s="70" t="s">
        <v>221</v>
      </c>
    </row>
    <row r="2" spans="1:24" x14ac:dyDescent="0.15">
      <c r="A2" s="92" t="str">
        <f>B2&amp;"_"&amp;E2&amp;"_"&amp;H2&amp;"_"&amp;I2&amp;"_"&amp;J2</f>
        <v>13400_2_singleonly_clear_1</v>
      </c>
      <c r="B2" s="79">
        <v>13400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-エルフラム-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タワーオブザクイーン2本目</v>
      </c>
      <c r="E2" s="81">
        <v>2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2階 コスト制限なし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タワーオブザクイーン2本目</v>
      </c>
      <c r="H2" s="82" t="s">
        <v>288</v>
      </c>
      <c r="I2" s="81" t="s">
        <v>222</v>
      </c>
      <c r="J2" s="81">
        <v>1</v>
      </c>
      <c r="K2" s="81">
        <v>790</v>
      </c>
      <c r="L2" s="81" t="s">
        <v>289</v>
      </c>
      <c r="M2" s="81">
        <v>10000</v>
      </c>
      <c r="N2" s="93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1" t="s">
        <v>53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4" t="s">
        <v>224</v>
      </c>
      <c r="X2" s="95" t="s">
        <v>225</v>
      </c>
    </row>
    <row r="3" spans="1:24" x14ac:dyDescent="0.15">
      <c r="A3" s="92" t="str">
        <f>B3&amp;"_"&amp;E3&amp;"_"&amp;H3&amp;"_"&amp;I3&amp;"_"&amp;J3</f>
        <v>13400_2_singleonly_clear_2</v>
      </c>
      <c r="B3" s="79">
        <v>13400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-エルフラム-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タワーオブザクイーン2本目</v>
      </c>
      <c r="E3" s="81">
        <v>2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2階 コスト制限なし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タワーオブザクイーン2本目</v>
      </c>
      <c r="H3" s="82" t="s">
        <v>288</v>
      </c>
      <c r="I3" s="81" t="s">
        <v>222</v>
      </c>
      <c r="J3" s="81">
        <v>2</v>
      </c>
      <c r="K3" s="81">
        <v>210</v>
      </c>
      <c r="L3" s="81" t="s">
        <v>289</v>
      </c>
      <c r="M3" s="81">
        <v>46000</v>
      </c>
      <c r="N3" s="93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1" t="s">
        <v>53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4" t="s">
        <v>224</v>
      </c>
      <c r="X3" s="95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2017-03-24T06:24:59Z</dcterms:modified>
</cp:coreProperties>
</file>