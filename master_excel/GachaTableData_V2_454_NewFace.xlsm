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firstSheet="1" activeTab="3"/>
  </bookViews>
  <sheets>
    <sheet name="確率の考え方" sheetId="110" r:id="rId1"/>
    <sheet name="Sheet1" sheetId="107" r:id="rId2"/>
    <sheet name="output" sheetId="103" r:id="rId3"/>
    <sheet name="input_454010" sheetId="157" r:id="rId4"/>
    <sheet name="tables_454010" sheetId="158" r:id="rId5"/>
    <sheet name="input_454100" sheetId="153" r:id="rId6"/>
    <sheet name="tables_454100" sheetId="154" r:id="rId7"/>
    <sheet name="tables_settle_454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tables_454010!$A$1:$V$294</definedName>
    <definedName name="_xlnm._FilterDatabase" localSheetId="6" hidden="1">tables_454100!$A$1:$V$294</definedName>
    <definedName name="_xlnm._FilterDatabase" localSheetId="7" hidden="1">tables_settle_454100!$A$1:$V$1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36" i="154" l="1"/>
  <c r="D336" i="154"/>
  <c r="J336" i="154"/>
  <c r="E336" i="154"/>
  <c r="F336" i="154"/>
  <c r="C336" i="154"/>
  <c r="H336" i="154"/>
  <c r="K336" i="154"/>
  <c r="L336" i="154"/>
  <c r="M336" i="154"/>
  <c r="N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F5" i="153"/>
  <c r="F6" i="153"/>
  <c r="A36" i="153"/>
  <c r="R3" i="153"/>
  <c r="O336" i="154"/>
  <c r="A2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R4" i="153"/>
  <c r="O337" i="154"/>
  <c r="R5" i="153"/>
  <c r="O338" i="154"/>
  <c r="R6" i="153"/>
  <c r="O339" i="154"/>
  <c r="R7" i="153"/>
  <c r="O340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I336" i="158"/>
  <c r="D336" i="158"/>
  <c r="J336" i="158"/>
  <c r="E336" i="158"/>
  <c r="F336" i="158"/>
  <c r="C336" i="158"/>
  <c r="H336" i="158"/>
  <c r="K336" i="158"/>
  <c r="L336" i="158"/>
  <c r="M336" i="158"/>
  <c r="N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F5" i="157"/>
  <c r="F6" i="157"/>
  <c r="A36" i="157"/>
  <c r="R3" i="157"/>
  <c r="O336" i="158"/>
  <c r="A2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3" i="157"/>
  <c r="B23" i="157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R4" i="157"/>
  <c r="O337" i="158"/>
  <c r="R5" i="157"/>
  <c r="O338" i="158"/>
  <c r="R6" i="157"/>
  <c r="O339" i="158"/>
  <c r="R7" i="157"/>
  <c r="O340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I3" i="154"/>
  <c r="J3" i="154"/>
  <c r="D3" i="154"/>
  <c r="E3" i="154"/>
  <c r="C3" i="154"/>
  <c r="I2" i="154"/>
  <c r="J2" i="154"/>
  <c r="D2" i="154"/>
  <c r="E2" i="154"/>
  <c r="C2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F41" i="153"/>
  <c r="G41" i="153"/>
  <c r="F34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E36" i="153"/>
  <c r="F42" i="153"/>
  <c r="G42" i="153"/>
  <c r="F35" i="153"/>
  <c r="B30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E36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F35" i="157"/>
  <c r="F41" i="157"/>
  <c r="G41" i="157"/>
  <c r="F34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<sst xmlns="http://schemas.openxmlformats.org/spreadsheetml/2006/main" count="535" uniqueCount="256">
  <si>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</si>
  <si>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</si>
  <si>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</si>
  <si>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</si>
  <si>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</si>
  <si>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</si>
  <si>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</si>
  <si>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</si>
  <si>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</si>
  <si>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</si>
  <si>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</si>
  <si>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</si>
  <si>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</si>
  <si>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</si>
  <si>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</si>
  <si>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</si>
  <si>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</si>
  <si>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</si>
  <si>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</si>
  <si>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</si>
  <si>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</si>
  <si>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</si>
  <si>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</si>
  <si>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</si>
  <si>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</si>
  <si>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</si>
  <si>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</si>
  <si>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</si>
  <si>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</si>
  <si>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</si>
  <si>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</si>
  <si>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</si>
  <si>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</si>
  <si>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</si>
  <si>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</si>
  <si>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</si>
  <si>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</si>
  <si>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</si>
  <si>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</si>
  <si>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</si>
  <si>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</si>
  <si>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</si>
  <si>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</si>
  <si>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</si>
  <si>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</si>
  <si>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</si>
  <si>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</si>
  <si>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</si>
  <si>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</si>
  <si>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</si>
  <si>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</si>
  <si>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</si>
  <si>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</si>
  <si>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</si>
  <si>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</si>
  <si>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</si>
  <si>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</si>
  <si>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</si>
  <si>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</si>
  <si>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</si>
  <si>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</si>
  <si>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</si>
  <si>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</si>
  <si>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</si>
  <si>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</si>
  <si>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</si>
  <si>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</si>
  <si>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</si>
  <si>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</si>
  <si>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</si>
  <si>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</si>
  <si>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</si>
  <si>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</si>
  <si>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</si>
  <si>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</si>
  <si>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</si>
  <si>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</si>
  <si>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</si>
  <si>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</si>
  <si>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</si>
  <si>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</si>
  <si>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</si>
  <si>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</si>
  <si>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</si>
  <si>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</si>
  <si>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</si>
  <si>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</si>
  <si>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</si>
  <si>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</si>
  <si>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</si>
  <si>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</si>
  <si>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</si>
  <si>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</si>
  <si>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</si>
  <si>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</si>
  <si>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</si>
  <si>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</si>
  <si>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</si>
  <si>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</si>
  <si>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</si>
  <si>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</si>
  <si>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</si>
  <si>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</si>
  <si>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</si>
  <si>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</si>
  <si>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</si>
  <si>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</si>
  <si>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</si>
  <si>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</si>
  <si>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</si>
  <si>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</si>
  <si>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</si>
  <si>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</si>
  <si>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</si>
  <si>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</si>
  <si>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</si>
  <si>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</si>
  <si>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</si>
  <si>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</si>
  <si>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</si>
  <si>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</si>
  <si>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</si>
  <si>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</si>
  <si>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</si>
  <si>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</si>
  <si>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</si>
  <si>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</si>
  <si>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</si>
  <si>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</si>
  <si>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</si>
  <si>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</si>
  <si>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</si>
  <si>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</si>
  <si>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</si>
  <si>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</si>
  <si>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</si>
  <si>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</si>
  <si>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</si>
  <si>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</si>
  <si>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</si>
  <si>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</si>
  <si>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</si>
  <si>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</si>
  <si>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</si>
  <si>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</si>
  <si>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</si>
  <si>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</si>
  <si>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</si>
  <si>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</si>
  <si>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</si>
  <si>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</si>
  <si>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</si>
  <si>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</si>
  <si>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</si>
  <si>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</si>
  <si>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</si>
  <si>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</si>
  <si>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</si>
  <si>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</si>
  <si>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</si>
  <si>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</si>
  <si>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</si>
  <si>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</si>
  <si>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</si>
  <si>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</si>
  <si>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</si>
  <si>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</si>
  <si>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</si>
  <si>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</si>
  <si>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</si>
  <si>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</si>
  <si>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</si>
  <si>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</si>
  <si>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</si>
  <si>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</si>
  <si>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</si>
  <si>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</si>
  <si>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</si>
  <si>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</si>
  <si>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</si>
  <si>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</si>
  <si>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</si>
  <si>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</si>
  <si>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</si>
  <si>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</si>
  <si>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</si>
  <si>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</si>
  <si>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</si>
  <si>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</si>
  <si>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</si>
  <si>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</si>
  <si>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</si>
  <si>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</si>
  <si>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</si>
  <si>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</si>
  <si>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</si>
  <si>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</si>
  <si>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</si>
  <si>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</si>
  <si>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</si>
  <si>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</si>
  <si>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</si>
  <si>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</si>
  <si>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</si>
  <si>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</si>
  <si>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</si>
  <si>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</si>
  <si>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</si>
  <si>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</si>
  <si>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</si>
  <si>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</si>
  <si>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</si>
  <si>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</si>
  <si>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</si>
  <si>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</si>
  <si>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</si>
  <si>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</si>
  <si>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</si>
  <si>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</si>
  <si>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</si>
  <si>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</si>
  <si>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</si>
  <si>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</si>
  <si>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</si>
  <si>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</si>
  <si>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</si>
  <si>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</si>
  <si>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</si>
  <si>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</si>
  <si>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</si>
  <si>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</si>
  <si>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</si>
  <si>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</si>
  <si>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</si>
  <si>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</si>
  <si>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</si>
  <si>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</si>
  <si>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</si>
  <si>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</si>
  <si>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</si>
  <si>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</si>
  <si>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</si>
  <si>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</si>
  <si>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</si>
  <si>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</si>
  <si>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</si>
  <si>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</si>
  <si>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</si>
  <si>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</si>
  <si>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</si>
  <si>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</si>
  <si>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</si>
  <si>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</si>
  <si>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tables_454100</t>
  </si>
  <si>
    <t>tables_454010</t>
  </si>
  <si>
    <t>tables_settle_454100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</si>
</sst>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" fillId="4" borderId="1" xfId="2978" applyFont="1" applyFill="1" applyBorder="1"/>
    <xf numFmtId="0" fontId="0" fillId="0" borderId="0" xfId="0" applyFill="1" applyBorder="1"/>
    <xf numFmtId="177" fontId="0" fillId="0" borderId="0" xfId="3575" applyNumberFormat="1" applyFont="1" applyFill="1" applyBorder="1"/>
    <xf numFmtId="0" fontId="53" fillId="0" borderId="0" xfId="0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balance</v>
          </cell>
          <cell r="L1167" t="str">
            <v>バランスタイプ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balance</v>
          </cell>
          <cell r="L1168" t="str">
            <v>バランスタイプ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飛衛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human</v>
          </cell>
        </row>
        <row r="1427">
          <cell r="A1427">
            <v>8036</v>
          </cell>
          <cell r="B1427" t="str">
            <v>ja</v>
          </cell>
          <cell r="C1427" t="str">
            <v>レア６飛衛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6</v>
          </cell>
          <cell r="J1427" t="str">
            <v>PremiumSS</v>
          </cell>
          <cell r="K1427" t="str">
            <v>heal</v>
          </cell>
          <cell r="L1427" t="str">
            <v>回復タイプ</v>
          </cell>
          <cell r="M1427" t="str">
            <v>human</v>
          </cell>
        </row>
        <row r="1428">
          <cell r="A1428">
            <v>8037</v>
          </cell>
          <cell r="B1428" t="str">
            <v>ja</v>
          </cell>
          <cell r="C1428" t="str">
            <v>紀昌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8038</v>
          </cell>
          <cell r="B1429" t="str">
            <v>ja</v>
          </cell>
          <cell r="C1429" t="str">
            <v>レア６紀昌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red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hp</v>
          </cell>
          <cell r="L1430" t="str">
            <v>体力タイプ</v>
          </cell>
          <cell r="M1430" t="str">
            <v>god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yellow</v>
          </cell>
          <cell r="I1431">
            <v>6</v>
          </cell>
          <cell r="J1431" t="str">
            <v>PremiumSS</v>
          </cell>
          <cell r="K1431" t="str">
            <v>hp</v>
          </cell>
          <cell r="L1431" t="str">
            <v>体力タイプ</v>
          </cell>
          <cell r="M1431" t="str">
            <v>god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god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2" sqref="F2: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454100</v>
      </c>
      <c r="D2" s="19" t="s">
        <v>45</v>
      </c>
      <c r="E2" s="17" t="str">
        <f t="shared" ref="E2" si="1">B2&amp;C2&amp;D2</f>
        <v>gacha_select_tables_454100.tmp</v>
      </c>
      <c r="F2" s="99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454010</v>
      </c>
      <c r="D3" s="19" t="s">
        <v>45</v>
      </c>
      <c r="E3" s="17" t="str">
        <f t="shared" ref="E3:E10" si="3">B3&amp;C3&amp;D3</f>
        <v>gacha_select_tables_454010.tmp</v>
      </c>
      <c r="F3" s="99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454100</v>
      </c>
      <c r="D4" s="19" t="s">
        <v>250</v>
      </c>
      <c r="E4" s="17" t="str">
        <f t="shared" si="3"/>
        <v>gacha_settle_tables_454100.tmp</v>
      </c>
      <c r="F4" s="99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1228</v>
      </c>
      <c r="M3" s="37" t="str">
        <f>VLOOKUP(L3,[1]characters!$A:$C,3,FALSE)</f>
        <v>芥川龍之介</v>
      </c>
      <c r="N3" s="63">
        <v>8.9999999999999993E-3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VLOOKUP(L3,tables_454010!B:C,2,FALSE)</f>
        <v>PremiumSS5R5only</v>
      </c>
      <c r="R3" s="62">
        <f t="shared" ref="R3:R20" si="1">N3*A$36</f>
        <v>248399.99999999997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1226</v>
      </c>
      <c r="M4" s="37" t="str">
        <f>VLOOKUP(L4,[1]characters!$A:$C,3,FALSE)</f>
        <v>トルストイ</v>
      </c>
      <c r="N4" s="63">
        <v>1.2E-2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VLOOKUP(L4,tables_454010!B:C,2,FALSE)</f>
        <v>PremiumSS5R5only</v>
      </c>
      <c r="R4" s="62">
        <f t="shared" si="1"/>
        <v>331200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2.8333333333333335E-4</v>
      </c>
      <c r="F5">
        <f>(COUNTIF(tables_454010!C:C,input_454010!A28)+COUNTIF(tables_454010!C:C,input_454010!A29))</f>
        <v>63</v>
      </c>
      <c r="H5" s="84">
        <v>3.3000000000000002E-2</v>
      </c>
      <c r="I5" s="31">
        <v>3</v>
      </c>
      <c r="L5" s="60">
        <v>1230</v>
      </c>
      <c r="M5" s="37" t="str">
        <f>VLOOKUP(L5,[1]characters!$A:$C,3,FALSE)</f>
        <v>夏目漱石</v>
      </c>
      <c r="N5" s="63">
        <v>1.2E-2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VLOOKUP(L5,tables_454010!B:C,2,FALSE)</f>
        <v>PremiumSS5R5only</v>
      </c>
      <c r="R5" s="62">
        <f t="shared" si="1"/>
        <v>331200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9.4021739130434774E-3</v>
      </c>
      <c r="F6">
        <f>(COUNTIF(tables_454010!C:C,input_454010!A25)+COUNTIF(tables_454010!C:C,input_454010!A18)+COUNTIF(tables_454010!C:C,input_454010!A20)+COUNTIF(tables_454010!C:C,input_454010!A22))</f>
        <v>93</v>
      </c>
      <c r="H6" s="89">
        <v>8.5000000000000006E-2</v>
      </c>
      <c r="I6" s="31">
        <v>1</v>
      </c>
      <c r="L6" s="93">
        <v>1224</v>
      </c>
      <c r="M6" s="37" t="str">
        <f>VLOOKUP(L6,[1]characters!$A:$C,3,FALSE)</f>
        <v>セルバンテス</v>
      </c>
      <c r="N6" s="63">
        <v>8.0750000000000002E-2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VLOOKUP(L6,tables_454010!B:C,2,FALSE)</f>
        <v>Premium4R3less</v>
      </c>
      <c r="R6" s="62">
        <f t="shared" si="1"/>
        <v>2228700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1225</v>
      </c>
      <c r="M7" s="37" t="str">
        <f>VLOOKUP(L7,[1]characters!$A:$C,3,FALSE)</f>
        <v>セルバンテス</v>
      </c>
      <c r="N7" s="63">
        <v>4.2500000000000003E-3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VLOOKUP(L7,tables_454010!B:C,2,FALSE)</f>
        <v>Premium5R3less</v>
      </c>
      <c r="R7" s="62">
        <f t="shared" si="1"/>
        <v>117300.00000000001</v>
      </c>
      <c r="S7">
        <v>597</v>
      </c>
      <c r="U7" s="33" t="s">
        <v>196</v>
      </c>
      <c r="V7" s="54">
        <f t="shared" si="0"/>
        <v>8.0750000000000002E-2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4.2500000000000003E-3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3.3000000000000002E-2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0.23673913043478265</v>
      </c>
      <c r="C17" s="85">
        <f t="shared" ref="C17:C31" si="2">SUMIF(Q:Q,A17,N:N)</f>
        <v>0</v>
      </c>
      <c r="D17" s="74">
        <f t="shared" ref="D17:D32" si="3">B17-C17</f>
        <v>0.23673913043478265</v>
      </c>
      <c r="E17">
        <f>COUNTIF(tables_454010!C:C,input_454010!A17)-COUNTIF(Q:Q,A17)</f>
        <v>20</v>
      </c>
      <c r="F17" s="43">
        <f>IFERROR(B17/E17,0)</f>
        <v>1.1836956521739132E-2</v>
      </c>
      <c r="G17">
        <f t="shared" ref="G17:G31" si="4">A$36*B17</f>
        <v>6534000.0000000009</v>
      </c>
      <c r="H17">
        <f t="shared" ref="H17:H31" si="5">IFERROR(ROUND(G17/E17,5),0)</f>
        <v>326700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4.6861594289853807E-3</v>
      </c>
      <c r="C18" s="85">
        <f t="shared" si="2"/>
        <v>0</v>
      </c>
      <c r="D18" s="74">
        <f t="shared" si="3"/>
        <v>4.6861594289853807E-3</v>
      </c>
      <c r="E18">
        <f>COUNTIF(tables_454010!C:C,input_454010!A18)-COUNTIF(Q:Q,A18)</f>
        <v>20</v>
      </c>
      <c r="F18" s="43">
        <f>IFERROR(B18/E18,0)</f>
        <v>2.3430797144926904E-4</v>
      </c>
      <c r="G18">
        <f t="shared" si="4"/>
        <v>129338.0002399965</v>
      </c>
      <c r="H18">
        <f t="shared" si="5"/>
        <v>6466.9000100000003</v>
      </c>
      <c r="I18">
        <f t="shared" si="6"/>
        <v>0.90001000000029308</v>
      </c>
      <c r="J18">
        <f t="shared" si="7"/>
        <v>1.1110987655689097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0.24445652173913041</v>
      </c>
      <c r="C19" s="85">
        <f t="shared" si="2"/>
        <v>0</v>
      </c>
      <c r="D19" s="74">
        <f t="shared" si="3"/>
        <v>0.24445652173913041</v>
      </c>
      <c r="E19">
        <f>COUNTIF(tables_454010!C:C,input_454010!A19)-COUNTIF(Q:Q,A19)</f>
        <v>52</v>
      </c>
      <c r="F19" s="43">
        <f t="shared" ref="F19:F31" si="8">IFERROR(B19/E19,0)</f>
        <v>4.7010869565217387E-3</v>
      </c>
      <c r="G19">
        <f t="shared" si="4"/>
        <v>6746999.9999999991</v>
      </c>
      <c r="H19">
        <f t="shared" si="5"/>
        <v>129750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0.20001086956521738</v>
      </c>
      <c r="C20" s="85">
        <f t="shared" si="2"/>
        <v>0</v>
      </c>
      <c r="D20" s="74">
        <f t="shared" si="3"/>
        <v>0.20001086956521738</v>
      </c>
      <c r="E20">
        <f>COUNTIF(tables_454010!C:C,input_454010!A20)-COUNTIF(Q:Q,A20)</f>
        <v>52</v>
      </c>
      <c r="F20" s="43">
        <f t="shared" si="8"/>
        <v>3.8463628762541802E-3</v>
      </c>
      <c r="G20">
        <f t="shared" si="4"/>
        <v>5520300</v>
      </c>
      <c r="H20">
        <f t="shared" si="5"/>
        <v>106159.61538</v>
      </c>
      <c r="I20">
        <f t="shared" si="6"/>
        <v>0.61538000000291504</v>
      </c>
      <c r="J20">
        <f t="shared" si="7"/>
        <v>1.6250121875837094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3.1384057971015067E-4</v>
      </c>
      <c r="C21" s="85">
        <f t="shared" si="2"/>
        <v>0</v>
      </c>
      <c r="D21" s="74">
        <f t="shared" si="3"/>
        <v>3.1384057971015067E-4</v>
      </c>
      <c r="E21">
        <f>COUNTIF(tables_454010!C:C,input_454010!A21)-COUNTIF(Q:Q,A21)</f>
        <v>52</v>
      </c>
      <c r="F21" s="43">
        <f t="shared" si="8"/>
        <v>6.0353957636567434E-6</v>
      </c>
      <c r="G21">
        <f t="shared" si="4"/>
        <v>8662.0000000001583</v>
      </c>
      <c r="H21">
        <f t="shared" si="5"/>
        <v>166.57692</v>
      </c>
      <c r="I21">
        <f t="shared" si="6"/>
        <v>0.57692000000000121</v>
      </c>
      <c r="J21">
        <f t="shared" si="7"/>
        <v>1.7333425778270781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0.14009239130434784</v>
      </c>
      <c r="C22" s="85">
        <f t="shared" si="2"/>
        <v>8.0750000000000002E-2</v>
      </c>
      <c r="D22" s="74">
        <f t="shared" si="3"/>
        <v>5.9342391304347833E-2</v>
      </c>
      <c r="E22">
        <f>COUNTIF(tables_454010!C:C,input_454010!A22)-COUNTIF(Q:Q,A22)</f>
        <v>16</v>
      </c>
      <c r="F22" s="43">
        <f t="shared" si="8"/>
        <v>8.7557744565217397E-3</v>
      </c>
      <c r="G22">
        <f t="shared" si="4"/>
        <v>3866550.0000000005</v>
      </c>
      <c r="H22">
        <f t="shared" si="5"/>
        <v>241659.375</v>
      </c>
      <c r="I22">
        <f t="shared" si="6"/>
        <v>0.375</v>
      </c>
      <c r="J22">
        <f t="shared" si="7"/>
        <v>2.6666666666666665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1.0923913028054854E-3</v>
      </c>
      <c r="C23" s="85">
        <f t="shared" si="2"/>
        <v>4.2500000000000003E-3</v>
      </c>
      <c r="D23" s="74">
        <f t="shared" si="3"/>
        <v>-3.1576086971945149E-3</v>
      </c>
      <c r="E23">
        <f>COUNTIF(tables_454010!C:C,input_454010!A23)-COUNTIF(Q:Q,A23)</f>
        <v>22</v>
      </c>
      <c r="F23" s="43">
        <f t="shared" si="8"/>
        <v>4.9654150127522063E-5</v>
      </c>
      <c r="G23">
        <f t="shared" si="4"/>
        <v>30149.999957431395</v>
      </c>
      <c r="H23">
        <f t="shared" si="5"/>
        <v>1370.45454</v>
      </c>
      <c r="I23">
        <f t="shared" si="6"/>
        <v>0.45453999999995176</v>
      </c>
      <c r="J23">
        <f t="shared" si="7"/>
        <v>2.2000264003170371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1.8804347826086955E-2</v>
      </c>
      <c r="C24" s="85">
        <f t="shared" si="2"/>
        <v>0</v>
      </c>
      <c r="D24" s="74">
        <f t="shared" si="3"/>
        <v>1.8804347826086955E-2</v>
      </c>
      <c r="E24">
        <f>COUNTIF(tables_454010!C:C,input_454010!A24)-COUNTIF(Q:Q,A24)</f>
        <v>4</v>
      </c>
      <c r="F24" s="43">
        <f t="shared" si="8"/>
        <v>4.7010869565217387E-3</v>
      </c>
      <c r="G24">
        <f t="shared" si="4"/>
        <v>518999.99999999994</v>
      </c>
      <c r="H24">
        <f t="shared" si="5"/>
        <v>129750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1.6923913043478261E-2</v>
      </c>
      <c r="C25" s="85">
        <f t="shared" si="2"/>
        <v>0</v>
      </c>
      <c r="D25" s="74">
        <f t="shared" si="3"/>
        <v>1.6923913043478261E-2</v>
      </c>
      <c r="E25">
        <f>COUNTIF(tables_454010!C:C,input_454010!A25)-COUNTIF(Q:Q,A25)</f>
        <v>4</v>
      </c>
      <c r="F25" s="43">
        <f t="shared" si="8"/>
        <v>4.2309782608695654E-3</v>
      </c>
      <c r="G25">
        <f t="shared" si="4"/>
        <v>467100</v>
      </c>
      <c r="H25">
        <f t="shared" si="5"/>
        <v>116775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1.8804347826086956E-3</v>
      </c>
      <c r="C26" s="85">
        <f t="shared" si="2"/>
        <v>0</v>
      </c>
      <c r="D26" s="74">
        <f t="shared" si="3"/>
        <v>1.8804347826086956E-3</v>
      </c>
      <c r="E26">
        <f>COUNTIF(tables_454010!C:C,input_454010!A26)-COUNTIF(Q:Q,A26)</f>
        <v>4</v>
      </c>
      <c r="F26" s="43">
        <f t="shared" si="8"/>
        <v>4.7010869565217389E-4</v>
      </c>
      <c r="G26">
        <f t="shared" si="4"/>
        <v>51900</v>
      </c>
      <c r="H26">
        <f t="shared" si="5"/>
        <v>12975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7.5366666666666672E-3</v>
      </c>
      <c r="C27" s="85">
        <f t="shared" si="2"/>
        <v>0</v>
      </c>
      <c r="D27" s="74">
        <f t="shared" si="3"/>
        <v>7.5366666666666672E-3</v>
      </c>
      <c r="E27">
        <f>COUNTIF(tables_454010!C:C,input_454010!A27)-COUNTIF(Q:Q,A27)</f>
        <v>28</v>
      </c>
      <c r="F27" s="43">
        <f>IFERROR(B27/E27,0)</f>
        <v>2.6916666666666669E-4</v>
      </c>
      <c r="G27">
        <f t="shared" si="4"/>
        <v>208012.00000000003</v>
      </c>
      <c r="H27">
        <f t="shared" si="5"/>
        <v>7429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3.966666666666667E-4</v>
      </c>
      <c r="C28" s="85">
        <f t="shared" si="2"/>
        <v>0</v>
      </c>
      <c r="D28" s="74">
        <f t="shared" si="3"/>
        <v>3.966666666666667E-4</v>
      </c>
      <c r="E28">
        <f>COUNTIF(tables_454010!C:C,input_454010!A28)-COUNTIF(Q:Q,A28)</f>
        <v>28</v>
      </c>
      <c r="F28" s="43">
        <f t="shared" si="8"/>
        <v>1.4166666666666668E-5</v>
      </c>
      <c r="G28">
        <f t="shared" si="4"/>
        <v>10948</v>
      </c>
      <c r="H28">
        <f t="shared" si="5"/>
        <v>391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9.0666666666666673E-3</v>
      </c>
      <c r="C29" s="85">
        <f t="shared" si="2"/>
        <v>3.3000000000000002E-2</v>
      </c>
      <c r="D29" s="74">
        <f t="shared" si="3"/>
        <v>-2.3933333333333334E-2</v>
      </c>
      <c r="E29">
        <f>COUNTIF(tables_454010!C:C,input_454010!A29)-COUNTIF(Q:Q,A29)</f>
        <v>32</v>
      </c>
      <c r="F29" s="43">
        <f t="shared" si="8"/>
        <v>2.8333333333333335E-4</v>
      </c>
      <c r="G29">
        <f t="shared" si="4"/>
        <v>250240.00000000003</v>
      </c>
      <c r="H29">
        <f t="shared" si="5"/>
        <v>7820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COUNTIF(tables_454010!C:C,input_454010!A30)-COUNTIF(Q:Q,A30)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COUNTIF(tables_454010!C:C,input_454010!A31)-COUNTIF(Q:Q,A31)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0.88200000000715328</v>
      </c>
      <c r="C32" s="41">
        <f>SUM(C19:C31)</f>
        <v>0.11800000000000001</v>
      </c>
      <c r="D32" s="42">
        <f t="shared" si="3"/>
        <v>0.76400000000715329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3.3381811602898492E-2</v>
      </c>
      <c r="F34" s="55">
        <f ca="1">0.45-G41</f>
        <v>1.4491186028919856E-12</v>
      </c>
    </row>
    <row r="35" spans="1:7" x14ac:dyDescent="0.15">
      <c r="A35" t="s">
        <v>73</v>
      </c>
      <c r="E35">
        <v>3.7250000001542341E-2</v>
      </c>
      <c r="F35">
        <f ca="1">G42-0.05</f>
        <v>-1.0144926565480716E-11</v>
      </c>
    </row>
    <row r="36" spans="1:7" x14ac:dyDescent="0.15">
      <c r="A36" s="31">
        <f>LCM(F5-I5,F6-I6)*1000*2*2*5</f>
        <v>27600000</v>
      </c>
      <c r="E36">
        <f>E35-0.028</f>
        <v>9.2500000015423404E-3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SUMIF(tables_454010!C:C,input_454010!A40,tables_454010!O:O)</f>
        <v>6747000</v>
      </c>
      <c r="C40" s="54">
        <f t="shared" ref="C40:C46" ca="1" si="9">B40/B$47</f>
        <v>0.53997936123298651</v>
      </c>
      <c r="E40">
        <v>3</v>
      </c>
      <c r="F40">
        <f ca="1">SUMIF(tables_454010!J:J,input_454010!E40,tables_454010!O:O)</f>
        <v>13800000</v>
      </c>
      <c r="G40">
        <f ca="1">F40/A36</f>
        <v>0.5</v>
      </c>
    </row>
    <row r="41" spans="1:7" x14ac:dyDescent="0.15">
      <c r="A41" s="33" t="s">
        <v>104</v>
      </c>
      <c r="B41">
        <f ca="1">SUMIF(tables_454010!C:C,input_454010!A41,tables_454010!O:O)</f>
        <v>5520299.9997600019</v>
      </c>
      <c r="C41" s="54">
        <f t="shared" ca="1" si="9"/>
        <v>0.44180347823993799</v>
      </c>
      <c r="E41">
        <v>4</v>
      </c>
      <c r="F41">
        <f ca="1">SUMIF(tables_454010!J:J,input_454010!E41,tables_454010!O:O)</f>
        <v>12419999.999960005</v>
      </c>
      <c r="G41">
        <f ca="1">F41/A36</f>
        <v>0.44999999999855089</v>
      </c>
    </row>
    <row r="42" spans="1:7" x14ac:dyDescent="0.15">
      <c r="A42" s="33" t="s">
        <v>106</v>
      </c>
      <c r="B42">
        <f ca="1">SUMIF(tables_454010!C:C,input_454010!A42,tables_454010!O:O)</f>
        <v>208012</v>
      </c>
      <c r="C42" s="54">
        <f t="shared" ca="1" si="9"/>
        <v>1.6647722971512673E-2</v>
      </c>
      <c r="E42">
        <v>5</v>
      </c>
      <c r="F42">
        <f ca="1">SUMIF(tables_454010!J:J,input_454010!E42,tables_454010!O:O)</f>
        <v>1379999.9997200002</v>
      </c>
      <c r="G42">
        <f ca="1">F42/A36</f>
        <v>4.9999999989855076E-2</v>
      </c>
    </row>
    <row r="43" spans="1:7" x14ac:dyDescent="0.15">
      <c r="A43" s="33" t="s">
        <v>109</v>
      </c>
      <c r="B43">
        <f>SUMIF(tables_454010!C:C,input_454010!A43,tables_454010!O:O)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SUMIF(tables_454010!C:C,input_454010!A44,tables_454010!O:O)</f>
        <v>8661.9998400000095</v>
      </c>
      <c r="C44" s="54">
        <f t="shared" ca="1" si="9"/>
        <v>6.9324160969370637E-4</v>
      </c>
      <c r="E44" t="s">
        <v>54</v>
      </c>
      <c r="F44" s="55"/>
    </row>
    <row r="45" spans="1:7" x14ac:dyDescent="0.15">
      <c r="A45" s="33" t="s">
        <v>107</v>
      </c>
      <c r="B45">
        <f ca="1">SUMIF(tables_454010!C:C,input_454010!A45,tables_454010!O:O)</f>
        <v>10948</v>
      </c>
      <c r="C45" s="54">
        <f t="shared" ca="1" si="9"/>
        <v>8.7619594586908799E-4</v>
      </c>
      <c r="E45" t="s">
        <v>204</v>
      </c>
      <c r="F45" s="55">
        <f ca="1">SUMIF(tables_454010!I:I,input_454010!E45,tables_454010!P:P)</f>
        <v>0.24172321476512118</v>
      </c>
    </row>
    <row r="46" spans="1:7" x14ac:dyDescent="0.15">
      <c r="A46" s="33" t="s">
        <v>108</v>
      </c>
      <c r="B46">
        <f>SUMIF(tables_454010!C:C,input_454010!A46,tables_454010!O:O)</f>
        <v>0</v>
      </c>
      <c r="C46" s="54">
        <f t="shared" ca="1" si="9"/>
        <v>0</v>
      </c>
      <c r="E46" t="s">
        <v>205</v>
      </c>
      <c r="F46" s="55">
        <f ca="1">SUMIF(tables_454010!I:I,input_454010!E46,tables_454010!P:P)</f>
        <v>0.17361577062157801</v>
      </c>
    </row>
    <row r="47" spans="1:7" x14ac:dyDescent="0.15">
      <c r="A47" s="39" t="s">
        <v>59</v>
      </c>
      <c r="B47">
        <f ca="1">SUM(B40:B46)</f>
        <v>12494921.999600003</v>
      </c>
      <c r="C47" s="55">
        <f ca="1">SUM(C40:C46)</f>
        <v>0.99999999999999989</v>
      </c>
      <c r="E47" t="s">
        <v>206</v>
      </c>
      <c r="F47" s="55">
        <f ca="1">SUMIF(tables_454010!I:I,input_454010!E47,tables_454010!P:P)</f>
        <v>0.53466101461271998</v>
      </c>
    </row>
    <row r="48" spans="1:7" x14ac:dyDescent="0.15">
      <c r="E48" t="s">
        <v>207</v>
      </c>
      <c r="F48" s="55">
        <f ca="1">SUMIF(tables_454010!I:I,input_454010!E48,tables_454010!P:P)</f>
        <v>3.958333333379227E-2</v>
      </c>
      <c r="G48" s="55"/>
    </row>
    <row r="49" spans="5:6" x14ac:dyDescent="0.15">
      <c r="E49" t="s">
        <v>251</v>
      </c>
      <c r="F49" s="55">
        <f ca="1">SUMIF(tables_454010!I:I,input_454010!E49,tables_454010!P:P)</f>
        <v>1.0416666666787434E-2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295" activePane="bottomLeft" state="frozen"/>
      <selection activeCell="H276" sqref="H276"/>
      <selection pane="bottomLeft" activeCell="B336" sqref="B336:B3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input_454010!A$2</f>
        <v>454010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IFERROR(VLOOKUP(B2,input_454010!L:R,7,FALSE),VLOOKUP(tables_454010!C2,input_454010!A:H,8,FALSE))</f>
        <v>326700</v>
      </c>
      <c r="P2" s="46">
        <f t="shared" ref="P2:P65" ca="1" si="1">O2/SUM(O:O)</f>
        <v>1.1836956521876366E-2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input_454010!A$2</f>
        <v>454010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IFERROR(VLOOKUP(B3,input_454010!L:R,7,FALSE),VLOOKUP(tables_454010!C3,input_454010!A:H,8,FALSE))</f>
        <v>6466.9000100000003</v>
      </c>
      <c r="P3" s="46">
        <f t="shared" ca="1" si="1"/>
        <v>2.3430797137952812E-4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input_454010!A$2</f>
        <v>454010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IFERROR(VLOOKUP(B4,input_454010!L:R,7,FALSE),VLOOKUP(tables_454010!C4,input_454010!A:H,8,FALSE))</f>
        <v>326700</v>
      </c>
      <c r="P4" s="46">
        <f t="shared" ca="1" si="1"/>
        <v>1.1836956521876366E-2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input_454010!A$2</f>
        <v>454010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IFERROR(VLOOKUP(B5,input_454010!L:R,7,FALSE),VLOOKUP(tables_454010!C5,input_454010!A:H,8,FALSE))</f>
        <v>6466.9000100000003</v>
      </c>
      <c r="P5" s="46">
        <f t="shared" ca="1" si="1"/>
        <v>2.3430797137952812E-4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input_454010!A$2</f>
        <v>454010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IFERROR(VLOOKUP(B6,input_454010!L:R,7,FALSE),VLOOKUP(tables_454010!C6,input_454010!A:H,8,FALSE))</f>
        <v>326700</v>
      </c>
      <c r="P6" s="46">
        <f t="shared" ca="1" si="1"/>
        <v>1.1836956521876366E-2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input_454010!A$2</f>
        <v>454010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IFERROR(VLOOKUP(B7,input_454010!L:R,7,FALSE),VLOOKUP(tables_454010!C7,input_454010!A:H,8,FALSE))</f>
        <v>6466.9000100000003</v>
      </c>
      <c r="P7" s="46">
        <f t="shared" ca="1" si="1"/>
        <v>2.3430797137952812E-4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input_454010!A$2</f>
        <v>454010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IFERROR(VLOOKUP(B8,input_454010!L:R,7,FALSE),VLOOKUP(tables_454010!C8,input_454010!A:H,8,FALSE))</f>
        <v>326700</v>
      </c>
      <c r="P8" s="46">
        <f t="shared" ca="1" si="1"/>
        <v>1.1836956521876366E-2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input_454010!A$2</f>
        <v>454010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IFERROR(VLOOKUP(B9,input_454010!L:R,7,FALSE),VLOOKUP(tables_454010!C9,input_454010!A:H,8,FALSE))</f>
        <v>6466.9000100000003</v>
      </c>
      <c r="P9" s="46">
        <f t="shared" ca="1" si="1"/>
        <v>2.3430797137952812E-4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input_454010!A$2</f>
        <v>454010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IFERROR(VLOOKUP(B10,input_454010!L:R,7,FALSE),VLOOKUP(tables_454010!C10,input_454010!A:H,8,FALSE))</f>
        <v>326700</v>
      </c>
      <c r="P10" s="46">
        <f t="shared" ca="1" si="1"/>
        <v>1.1836956521876366E-2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input_454010!A$2</f>
        <v>454010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IFERROR(VLOOKUP(B11,input_454010!L:R,7,FALSE),VLOOKUP(tables_454010!C11,input_454010!A:H,8,FALSE))</f>
        <v>6466.9000100000003</v>
      </c>
      <c r="P11" s="46">
        <f t="shared" ca="1" si="1"/>
        <v>2.3430797137952812E-4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input_454010!A$2</f>
        <v>454010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IFERROR(VLOOKUP(B12,input_454010!L:R,7,FALSE),VLOOKUP(tables_454010!C12,input_454010!A:H,8,FALSE))</f>
        <v>326700</v>
      </c>
      <c r="P12" s="46">
        <f t="shared" ca="1" si="1"/>
        <v>1.1836956521876366E-2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input_454010!A$2</f>
        <v>454010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IFERROR(VLOOKUP(B13,input_454010!L:R,7,FALSE),VLOOKUP(tables_454010!C13,input_454010!A:H,8,FALSE))</f>
        <v>6466.9000100000003</v>
      </c>
      <c r="P13" s="46">
        <f t="shared" ca="1" si="1"/>
        <v>2.3430797137952812E-4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input_454010!A$2</f>
        <v>454010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IFERROR(VLOOKUP(B14,input_454010!L:R,7,FALSE),VLOOKUP(tables_454010!C14,input_454010!A:H,8,FALSE))</f>
        <v>326700</v>
      </c>
      <c r="P14" s="46">
        <f t="shared" ca="1" si="1"/>
        <v>1.1836956521876366E-2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input_454010!A$2</f>
        <v>454010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IFERROR(VLOOKUP(B15,input_454010!L:R,7,FALSE),VLOOKUP(tables_454010!C15,input_454010!A:H,8,FALSE))</f>
        <v>6466.9000100000003</v>
      </c>
      <c r="P15" s="46">
        <f t="shared" ca="1" si="1"/>
        <v>2.3430797137952812E-4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input_454010!A$2</f>
        <v>454010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IFERROR(VLOOKUP(B16,input_454010!L:R,7,FALSE),VLOOKUP(tables_454010!C16,input_454010!A:H,8,FALSE))</f>
        <v>326700</v>
      </c>
      <c r="P16" s="46">
        <f t="shared" ca="1" si="1"/>
        <v>1.1836956521876366E-2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input_454010!A$2</f>
        <v>454010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IFERROR(VLOOKUP(B17,input_454010!L:R,7,FALSE),VLOOKUP(tables_454010!C17,input_454010!A:H,8,FALSE))</f>
        <v>6466.9000100000003</v>
      </c>
      <c r="P17" s="46">
        <f t="shared" ca="1" si="1"/>
        <v>2.3430797137952812E-4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input_454010!A$2</f>
        <v>454010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IFERROR(VLOOKUP(B18,input_454010!L:R,7,FALSE),VLOOKUP(tables_454010!C18,input_454010!A:H,8,FALSE))</f>
        <v>326700</v>
      </c>
      <c r="P18" s="46">
        <f t="shared" ca="1" si="1"/>
        <v>1.1836956521876366E-2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input_454010!A$2</f>
        <v>454010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IFERROR(VLOOKUP(B19,input_454010!L:R,7,FALSE),VLOOKUP(tables_454010!C19,input_454010!A:H,8,FALSE))</f>
        <v>6466.9000100000003</v>
      </c>
      <c r="P19" s="46">
        <f t="shared" ca="1" si="1"/>
        <v>2.3430797137952812E-4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input_454010!A$2</f>
        <v>454010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IFERROR(VLOOKUP(B20,input_454010!L:R,7,FALSE),VLOOKUP(tables_454010!C20,input_454010!A:H,8,FALSE))</f>
        <v>326700</v>
      </c>
      <c r="P20" s="46">
        <f t="shared" ca="1" si="1"/>
        <v>1.1836956521876366E-2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input_454010!A$2</f>
        <v>454010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IFERROR(VLOOKUP(B21,input_454010!L:R,7,FALSE),VLOOKUP(tables_454010!C21,input_454010!A:H,8,FALSE))</f>
        <v>6466.9000100000003</v>
      </c>
      <c r="P21" s="46">
        <f t="shared" ca="1" si="1"/>
        <v>2.3430797137952812E-4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input_454010!A$2</f>
        <v>454010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IFERROR(VLOOKUP(B22,input_454010!L:R,7,FALSE),VLOOKUP(tables_454010!C22,input_454010!A:H,8,FALSE))</f>
        <v>326700</v>
      </c>
      <c r="P22" s="46">
        <f t="shared" ca="1" si="1"/>
        <v>1.1836956521876366E-2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input_454010!A$2</f>
        <v>454010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IFERROR(VLOOKUP(B23,input_454010!L:R,7,FALSE),VLOOKUP(tables_454010!C23,input_454010!A:H,8,FALSE))</f>
        <v>6466.9000100000003</v>
      </c>
      <c r="P23" s="46">
        <f t="shared" ca="1" si="1"/>
        <v>2.3430797137952812E-4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input_454010!A$2</f>
        <v>454010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IFERROR(VLOOKUP(B24,input_454010!L:R,7,FALSE),VLOOKUP(tables_454010!C24,input_454010!A:H,8,FALSE))</f>
        <v>326700</v>
      </c>
      <c r="P24" s="46">
        <f t="shared" ca="1" si="1"/>
        <v>1.1836956521876366E-2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input_454010!A$2</f>
        <v>454010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IFERROR(VLOOKUP(B25,input_454010!L:R,7,FALSE),VLOOKUP(tables_454010!C25,input_454010!A:H,8,FALSE))</f>
        <v>6466.9000100000003</v>
      </c>
      <c r="P25" s="46">
        <f t="shared" ca="1" si="1"/>
        <v>2.3430797137952812E-4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input_454010!A$2</f>
        <v>454010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IFERROR(VLOOKUP(B26,input_454010!L:R,7,FALSE),VLOOKUP(tables_454010!C26,input_454010!A:H,8,FALSE))</f>
        <v>326700</v>
      </c>
      <c r="P26" s="46">
        <f t="shared" ca="1" si="1"/>
        <v>1.1836956521876366E-2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input_454010!A$2</f>
        <v>454010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IFERROR(VLOOKUP(B27,input_454010!L:R,7,FALSE),VLOOKUP(tables_454010!C27,input_454010!A:H,8,FALSE))</f>
        <v>6466.9000100000003</v>
      </c>
      <c r="P27" s="46">
        <f t="shared" ca="1" si="1"/>
        <v>2.3430797137952812E-4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input_454010!A$2</f>
        <v>454010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IFERROR(VLOOKUP(B28,input_454010!L:R,7,FALSE),VLOOKUP(tables_454010!C28,input_454010!A:H,8,FALSE))</f>
        <v>326700</v>
      </c>
      <c r="P28" s="46">
        <f t="shared" ca="1" si="1"/>
        <v>1.1836956521876366E-2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input_454010!A$2</f>
        <v>454010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IFERROR(VLOOKUP(B29,input_454010!L:R,7,FALSE),VLOOKUP(tables_454010!C29,input_454010!A:H,8,FALSE))</f>
        <v>6466.9000100000003</v>
      </c>
      <c r="P29" s="46">
        <f t="shared" ca="1" si="1"/>
        <v>2.3430797137952812E-4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input_454010!A$2</f>
        <v>454010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IFERROR(VLOOKUP(B30,input_454010!L:R,7,FALSE),VLOOKUP(tables_454010!C30,input_454010!A:H,8,FALSE))</f>
        <v>326700</v>
      </c>
      <c r="P30" s="46">
        <f t="shared" ca="1" si="1"/>
        <v>1.1836956521876366E-2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input_454010!A$2</f>
        <v>454010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IFERROR(VLOOKUP(B31,input_454010!L:R,7,FALSE),VLOOKUP(tables_454010!C31,input_454010!A:H,8,FALSE))</f>
        <v>6466.9000100000003</v>
      </c>
      <c r="P31" s="46">
        <f t="shared" ca="1" si="1"/>
        <v>2.3430797137952812E-4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input_454010!A$2</f>
        <v>454010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IFERROR(VLOOKUP(B32,input_454010!L:R,7,FALSE),VLOOKUP(tables_454010!C32,input_454010!A:H,8,FALSE))</f>
        <v>326700</v>
      </c>
      <c r="P32" s="46">
        <f t="shared" ca="1" si="1"/>
        <v>1.1836956521876366E-2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input_454010!A$2</f>
        <v>454010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IFERROR(VLOOKUP(B33,input_454010!L:R,7,FALSE),VLOOKUP(tables_454010!C33,input_454010!A:H,8,FALSE))</f>
        <v>6466.9000100000003</v>
      </c>
      <c r="P33" s="46">
        <f t="shared" ca="1" si="1"/>
        <v>2.3430797137952812E-4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input_454010!A$2</f>
        <v>454010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IFERROR(VLOOKUP(B34,input_454010!L:R,7,FALSE),VLOOKUP(tables_454010!C34,input_454010!A:H,8,FALSE))</f>
        <v>326700</v>
      </c>
      <c r="P34" s="46">
        <f t="shared" ca="1" si="1"/>
        <v>1.1836956521876366E-2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input_454010!A$2</f>
        <v>454010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IFERROR(VLOOKUP(B35,input_454010!L:R,7,FALSE),VLOOKUP(tables_454010!C35,input_454010!A:H,8,FALSE))</f>
        <v>6466.9000100000003</v>
      </c>
      <c r="P35" s="46">
        <f t="shared" ca="1" si="1"/>
        <v>2.3430797137952812E-4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input_454010!A$2</f>
        <v>454010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IFERROR(VLOOKUP(B36,input_454010!L:R,7,FALSE),VLOOKUP(tables_454010!C36,input_454010!A:H,8,FALSE))</f>
        <v>326700</v>
      </c>
      <c r="P36" s="46">
        <f t="shared" ca="1" si="1"/>
        <v>1.1836956521876366E-2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input_454010!A$2</f>
        <v>454010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IFERROR(VLOOKUP(B37,input_454010!L:R,7,FALSE),VLOOKUP(tables_454010!C37,input_454010!A:H,8,FALSE))</f>
        <v>6466.9000100000003</v>
      </c>
      <c r="P37" s="46">
        <f t="shared" ca="1" si="1"/>
        <v>2.3430797137952812E-4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input_454010!A$2</f>
        <v>454010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IFERROR(VLOOKUP(B38,input_454010!L:R,7,FALSE),VLOOKUP(tables_454010!C38,input_454010!A:H,8,FALSE))</f>
        <v>326700</v>
      </c>
      <c r="P38" s="46">
        <f t="shared" ca="1" si="1"/>
        <v>1.1836956521876366E-2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input_454010!A$2</f>
        <v>454010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IFERROR(VLOOKUP(B39,input_454010!L:R,7,FALSE),VLOOKUP(tables_454010!C39,input_454010!A:H,8,FALSE))</f>
        <v>6466.9000100000003</v>
      </c>
      <c r="P39" s="46">
        <f t="shared" ca="1" si="1"/>
        <v>2.3430797137952812E-4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input_454010!A$2</f>
        <v>454010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IFERROR(VLOOKUP(B40,input_454010!L:R,7,FALSE),VLOOKUP(tables_454010!C40,input_454010!A:H,8,FALSE))</f>
        <v>326700</v>
      </c>
      <c r="P40" s="46">
        <f t="shared" ca="1" si="1"/>
        <v>1.1836956521876366E-2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input_454010!A$2</f>
        <v>454010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IFERROR(VLOOKUP(B41,input_454010!L:R,7,FALSE),VLOOKUP(tables_454010!C41,input_454010!A:H,8,FALSE))</f>
        <v>6466.9000100000003</v>
      </c>
      <c r="P41" s="46">
        <f t="shared" ca="1" si="1"/>
        <v>2.3430797137952812E-4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input_454010!A$2</f>
        <v>454010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IFERROR(VLOOKUP(B42,input_454010!L:R,7,FALSE),VLOOKUP(tables_454010!C42,input_454010!A:H,8,FALSE))</f>
        <v>129750</v>
      </c>
      <c r="P42" s="46">
        <f t="shared" ca="1" si="1"/>
        <v>4.701086956576242E-3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input_454010!A$2</f>
        <v>454010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IFERROR(VLOOKUP(B43,input_454010!L:R,7,FALSE),VLOOKUP(tables_454010!C43,input_454010!A:H,8,FALSE))</f>
        <v>116775</v>
      </c>
      <c r="P43" s="46">
        <f t="shared" ca="1" si="1"/>
        <v>4.2309782609186181E-3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input_454010!A$2</f>
        <v>454010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IFERROR(VLOOKUP(B44,input_454010!L:R,7,FALSE),VLOOKUP(tables_454010!C44,input_454010!A:H,8,FALSE))</f>
        <v>12975</v>
      </c>
      <c r="P44" s="46">
        <f t="shared" ca="1" si="1"/>
        <v>4.7010869565762423E-4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input_454010!A$2</f>
        <v>454010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IFERROR(VLOOKUP(B45,input_454010!L:R,7,FALSE),VLOOKUP(tables_454010!C45,input_454010!A:H,8,FALSE))</f>
        <v>129750</v>
      </c>
      <c r="P45" s="46">
        <f t="shared" ca="1" si="1"/>
        <v>4.701086956576242E-3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input_454010!A$2</f>
        <v>454010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IFERROR(VLOOKUP(B46,input_454010!L:R,7,FALSE),VLOOKUP(tables_454010!C46,input_454010!A:H,8,FALSE))</f>
        <v>116775</v>
      </c>
      <c r="P46" s="46">
        <f t="shared" ca="1" si="1"/>
        <v>4.2309782609186181E-3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input_454010!A$2</f>
        <v>454010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IFERROR(VLOOKUP(B47,input_454010!L:R,7,FALSE),VLOOKUP(tables_454010!C47,input_454010!A:H,8,FALSE))</f>
        <v>12975</v>
      </c>
      <c r="P47" s="46">
        <f t="shared" ca="1" si="1"/>
        <v>4.7010869565762423E-4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input_454010!A$2</f>
        <v>454010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IFERROR(VLOOKUP(B48,input_454010!L:R,7,FALSE),VLOOKUP(tables_454010!C48,input_454010!A:H,8,FALSE))</f>
        <v>129750</v>
      </c>
      <c r="P48" s="46">
        <f t="shared" ca="1" si="1"/>
        <v>4.701086956576242E-3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input_454010!A$2</f>
        <v>454010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IFERROR(VLOOKUP(B49,input_454010!L:R,7,FALSE),VLOOKUP(tables_454010!C49,input_454010!A:H,8,FALSE))</f>
        <v>116775</v>
      </c>
      <c r="P49" s="46">
        <f t="shared" ca="1" si="1"/>
        <v>4.2309782609186181E-3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input_454010!A$2</f>
        <v>454010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IFERROR(VLOOKUP(B50,input_454010!L:R,7,FALSE),VLOOKUP(tables_454010!C50,input_454010!A:H,8,FALSE))</f>
        <v>12975</v>
      </c>
      <c r="P50" s="46">
        <f t="shared" ca="1" si="1"/>
        <v>4.7010869565762423E-4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input_454010!A$2</f>
        <v>454010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IFERROR(VLOOKUP(B51,input_454010!L:R,7,FALSE),VLOOKUP(tables_454010!C51,input_454010!A:H,8,FALSE))</f>
        <v>129750</v>
      </c>
      <c r="P51" s="46">
        <f t="shared" ca="1" si="1"/>
        <v>4.701086956576242E-3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input_454010!A$2</f>
        <v>454010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IFERROR(VLOOKUP(B52,input_454010!L:R,7,FALSE),VLOOKUP(tables_454010!C52,input_454010!A:H,8,FALSE))</f>
        <v>106159.61538</v>
      </c>
      <c r="P52" s="46">
        <f t="shared" ca="1" si="1"/>
        <v>3.8463628761315504E-3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input_454010!A$2</f>
        <v>454010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IFERROR(VLOOKUP(B53,input_454010!L:R,7,FALSE),VLOOKUP(tables_454010!C53,input_454010!A:H,8,FALSE))</f>
        <v>166.57692</v>
      </c>
      <c r="P53" s="46">
        <f t="shared" ca="1" si="1"/>
        <v>6.0353956522438859E-6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input_454010!A$2</f>
        <v>454010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IFERROR(VLOOKUP(B54,input_454010!L:R,7,FALSE),VLOOKUP(tables_454010!C54,input_454010!A:H,8,FALSE))</f>
        <v>129750</v>
      </c>
      <c r="P54" s="46">
        <f t="shared" ca="1" si="1"/>
        <v>4.701086956576242E-3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input_454010!A$2</f>
        <v>454010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IFERROR(VLOOKUP(B55,input_454010!L:R,7,FALSE),VLOOKUP(tables_454010!C55,input_454010!A:H,8,FALSE))</f>
        <v>106159.61538</v>
      </c>
      <c r="P55" s="46">
        <f t="shared" ca="1" si="1"/>
        <v>3.8463628761315504E-3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input_454010!A$2</f>
        <v>454010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IFERROR(VLOOKUP(B56,input_454010!L:R,7,FALSE),VLOOKUP(tables_454010!C56,input_454010!A:H,8,FALSE))</f>
        <v>166.57692</v>
      </c>
      <c r="P56" s="46">
        <f t="shared" ca="1" si="1"/>
        <v>6.0353956522438859E-6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input_454010!A$2</f>
        <v>454010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IFERROR(VLOOKUP(B57,input_454010!L:R,7,FALSE),VLOOKUP(tables_454010!C57,input_454010!A:H,8,FALSE))</f>
        <v>129750</v>
      </c>
      <c r="P57" s="46">
        <f t="shared" ca="1" si="1"/>
        <v>4.701086956576242E-3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input_454010!A$2</f>
        <v>454010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IFERROR(VLOOKUP(B58,input_454010!L:R,7,FALSE),VLOOKUP(tables_454010!C58,input_454010!A:H,8,FALSE))</f>
        <v>106159.61538</v>
      </c>
      <c r="P58" s="46">
        <f t="shared" ca="1" si="1"/>
        <v>3.8463628761315504E-3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input_454010!A$2</f>
        <v>454010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IFERROR(VLOOKUP(B59,input_454010!L:R,7,FALSE),VLOOKUP(tables_454010!C59,input_454010!A:H,8,FALSE))</f>
        <v>166.57692</v>
      </c>
      <c r="P59" s="46">
        <f t="shared" ca="1" si="1"/>
        <v>6.0353956522438859E-6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input_454010!A$2</f>
        <v>454010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IFERROR(VLOOKUP(B60,input_454010!L:R,7,FALSE),VLOOKUP(tables_454010!C60,input_454010!A:H,8,FALSE))</f>
        <v>129750</v>
      </c>
      <c r="P60" s="46">
        <f t="shared" ca="1" si="1"/>
        <v>4.701086956576242E-3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input_454010!A$2</f>
        <v>454010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IFERROR(VLOOKUP(B61,input_454010!L:R,7,FALSE),VLOOKUP(tables_454010!C61,input_454010!A:H,8,FALSE))</f>
        <v>106159.61538</v>
      </c>
      <c r="P61" s="46">
        <f t="shared" ca="1" si="1"/>
        <v>3.8463628761315504E-3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input_454010!A$2</f>
        <v>454010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IFERROR(VLOOKUP(B62,input_454010!L:R,7,FALSE),VLOOKUP(tables_454010!C62,input_454010!A:H,8,FALSE))</f>
        <v>166.57692</v>
      </c>
      <c r="P62" s="46">
        <f t="shared" ca="1" si="1"/>
        <v>6.0353956522438859E-6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input_454010!A$2</f>
        <v>454010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IFERROR(VLOOKUP(B63,input_454010!L:R,7,FALSE),VLOOKUP(tables_454010!C63,input_454010!A:H,8,FALSE))</f>
        <v>129750</v>
      </c>
      <c r="P63" s="46">
        <f t="shared" ca="1" si="1"/>
        <v>4.701086956576242E-3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input_454010!A$2</f>
        <v>454010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IFERROR(VLOOKUP(B64,input_454010!L:R,7,FALSE),VLOOKUP(tables_454010!C64,input_454010!A:H,8,FALSE))</f>
        <v>106159.61538</v>
      </c>
      <c r="P64" s="46">
        <f t="shared" ca="1" si="1"/>
        <v>3.8463628761315504E-3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input_454010!A$2</f>
        <v>454010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IFERROR(VLOOKUP(B65,input_454010!L:R,7,FALSE),VLOOKUP(tables_454010!C65,input_454010!A:H,8,FALSE))</f>
        <v>166.57692</v>
      </c>
      <c r="P65" s="46">
        <f t="shared" ca="1" si="1"/>
        <v>6.0353956522438859E-6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input_454010!A$2</f>
        <v>454010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IFERROR(VLOOKUP(B66,input_454010!L:R,7,FALSE),VLOOKUP(tables_454010!C66,input_454010!A:H,8,FALSE))</f>
        <v>129750</v>
      </c>
      <c r="P66" s="46">
        <f t="shared" ref="P66:P129" ca="1" si="4">O66/SUM(O:O)</f>
        <v>4.701086956576242E-3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input_454010!A$2</f>
        <v>454010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IFERROR(VLOOKUP(B67,input_454010!L:R,7,FALSE),VLOOKUP(tables_454010!C67,input_454010!A:H,8,FALSE))</f>
        <v>106159.61538</v>
      </c>
      <c r="P67" s="46">
        <f t="shared" ca="1" si="4"/>
        <v>3.8463628761315504E-3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input_454010!A$2</f>
        <v>454010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IFERROR(VLOOKUP(B68,input_454010!L:R,7,FALSE),VLOOKUP(tables_454010!C68,input_454010!A:H,8,FALSE))</f>
        <v>166.57692</v>
      </c>
      <c r="P68" s="46">
        <f t="shared" ca="1" si="4"/>
        <v>6.0353956522438859E-6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input_454010!A$2</f>
        <v>454010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IFERROR(VLOOKUP(B69,input_454010!L:R,7,FALSE),VLOOKUP(tables_454010!C69,input_454010!A:H,8,FALSE))</f>
        <v>129750</v>
      </c>
      <c r="P69" s="46">
        <f t="shared" ca="1" si="4"/>
        <v>4.701086956576242E-3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input_454010!A$2</f>
        <v>454010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IFERROR(VLOOKUP(B70,input_454010!L:R,7,FALSE),VLOOKUP(tables_454010!C70,input_454010!A:H,8,FALSE))</f>
        <v>106159.61538</v>
      </c>
      <c r="P70" s="46">
        <f t="shared" ca="1" si="4"/>
        <v>3.8463628761315504E-3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input_454010!A$2</f>
        <v>454010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IFERROR(VLOOKUP(B71,input_454010!L:R,7,FALSE),VLOOKUP(tables_454010!C71,input_454010!A:H,8,FALSE))</f>
        <v>166.57692</v>
      </c>
      <c r="P71" s="46">
        <f t="shared" ca="1" si="4"/>
        <v>6.0353956522438859E-6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input_454010!A$2</f>
        <v>454010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IFERROR(VLOOKUP(B72,input_454010!L:R,7,FALSE),VLOOKUP(tables_454010!C72,input_454010!A:H,8,FALSE))</f>
        <v>129750</v>
      </c>
      <c r="P72" s="46">
        <f t="shared" ca="1" si="4"/>
        <v>4.701086956576242E-3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input_454010!A$2</f>
        <v>454010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IFERROR(VLOOKUP(B73,input_454010!L:R,7,FALSE),VLOOKUP(tables_454010!C73,input_454010!A:H,8,FALSE))</f>
        <v>106159.61538</v>
      </c>
      <c r="P73" s="46">
        <f t="shared" ca="1" si="4"/>
        <v>3.8463628761315504E-3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input_454010!A$2</f>
        <v>454010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IFERROR(VLOOKUP(B74,input_454010!L:R,7,FALSE),VLOOKUP(tables_454010!C74,input_454010!A:H,8,FALSE))</f>
        <v>166.57692</v>
      </c>
      <c r="P74" s="46">
        <f t="shared" ca="1" si="4"/>
        <v>6.0353956522438859E-6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input_454010!A$2</f>
        <v>454010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IFERROR(VLOOKUP(B75,input_454010!L:R,7,FALSE),VLOOKUP(tables_454010!C75,input_454010!A:H,8,FALSE))</f>
        <v>129750</v>
      </c>
      <c r="P75" s="46">
        <f t="shared" ca="1" si="4"/>
        <v>4.701086956576242E-3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input_454010!A$2</f>
        <v>454010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IFERROR(VLOOKUP(B76,input_454010!L:R,7,FALSE),VLOOKUP(tables_454010!C76,input_454010!A:H,8,FALSE))</f>
        <v>106159.61538</v>
      </c>
      <c r="P76" s="46">
        <f t="shared" ca="1" si="4"/>
        <v>3.8463628761315504E-3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input_454010!A$2</f>
        <v>454010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IFERROR(VLOOKUP(B77,input_454010!L:R,7,FALSE),VLOOKUP(tables_454010!C77,input_454010!A:H,8,FALSE))</f>
        <v>166.57692</v>
      </c>
      <c r="P77" s="46">
        <f t="shared" ca="1" si="4"/>
        <v>6.0353956522438859E-6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input_454010!A$2</f>
        <v>454010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IFERROR(VLOOKUP(B78,input_454010!L:R,7,FALSE),VLOOKUP(tables_454010!C78,input_454010!A:H,8,FALSE))</f>
        <v>129750</v>
      </c>
      <c r="P78" s="46">
        <f t="shared" ca="1" si="4"/>
        <v>4.701086956576242E-3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input_454010!A$2</f>
        <v>454010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IFERROR(VLOOKUP(B79,input_454010!L:R,7,FALSE),VLOOKUP(tables_454010!C79,input_454010!A:H,8,FALSE))</f>
        <v>106159.61538</v>
      </c>
      <c r="P79" s="46">
        <f t="shared" ca="1" si="4"/>
        <v>3.8463628761315504E-3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input_454010!A$2</f>
        <v>454010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IFERROR(VLOOKUP(B80,input_454010!L:R,7,FALSE),VLOOKUP(tables_454010!C80,input_454010!A:H,8,FALSE))</f>
        <v>166.57692</v>
      </c>
      <c r="P80" s="46">
        <f t="shared" ca="1" si="4"/>
        <v>6.0353956522438859E-6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input_454010!A$2</f>
        <v>454010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IFERROR(VLOOKUP(B81,input_454010!L:R,7,FALSE),VLOOKUP(tables_454010!C81,input_454010!A:H,8,FALSE))</f>
        <v>129750</v>
      </c>
      <c r="P81" s="46">
        <f t="shared" ca="1" si="4"/>
        <v>4.701086956576242E-3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input_454010!A$2</f>
        <v>454010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IFERROR(VLOOKUP(B82,input_454010!L:R,7,FALSE),VLOOKUP(tables_454010!C82,input_454010!A:H,8,FALSE))</f>
        <v>106159.61538</v>
      </c>
      <c r="P82" s="46">
        <f t="shared" ca="1" si="4"/>
        <v>3.8463628761315504E-3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input_454010!A$2</f>
        <v>454010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IFERROR(VLOOKUP(B83,input_454010!L:R,7,FALSE),VLOOKUP(tables_454010!C83,input_454010!A:H,8,FALSE))</f>
        <v>166.57692</v>
      </c>
      <c r="P83" s="46">
        <f t="shared" ca="1" si="4"/>
        <v>6.0353956522438859E-6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input_454010!A$2</f>
        <v>454010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IFERROR(VLOOKUP(B84,input_454010!L:R,7,FALSE),VLOOKUP(tables_454010!C84,input_454010!A:H,8,FALSE))</f>
        <v>129750</v>
      </c>
      <c r="P84" s="46">
        <f t="shared" ca="1" si="4"/>
        <v>4.701086956576242E-3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input_454010!A$2</f>
        <v>454010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IFERROR(VLOOKUP(B85,input_454010!L:R,7,FALSE),VLOOKUP(tables_454010!C85,input_454010!A:H,8,FALSE))</f>
        <v>106159.61538</v>
      </c>
      <c r="P85" s="46">
        <f t="shared" ca="1" si="4"/>
        <v>3.8463628761315504E-3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input_454010!A$2</f>
        <v>454010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IFERROR(VLOOKUP(B86,input_454010!L:R,7,FALSE),VLOOKUP(tables_454010!C86,input_454010!A:H,8,FALSE))</f>
        <v>166.57692</v>
      </c>
      <c r="P86" s="46">
        <f t="shared" ca="1" si="4"/>
        <v>6.0353956522438859E-6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input_454010!A$2</f>
        <v>454010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IFERROR(VLOOKUP(B87,input_454010!L:R,7,FALSE),VLOOKUP(tables_454010!C87,input_454010!A:H,8,FALSE))</f>
        <v>129750</v>
      </c>
      <c r="P87" s="46">
        <f t="shared" ca="1" si="4"/>
        <v>4.701086956576242E-3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input_454010!A$2</f>
        <v>454010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IFERROR(VLOOKUP(B88,input_454010!L:R,7,FALSE),VLOOKUP(tables_454010!C88,input_454010!A:H,8,FALSE))</f>
        <v>106159.61538</v>
      </c>
      <c r="P88" s="46">
        <f t="shared" ca="1" si="4"/>
        <v>3.8463628761315504E-3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input_454010!A$2</f>
        <v>454010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IFERROR(VLOOKUP(B89,input_454010!L:R,7,FALSE),VLOOKUP(tables_454010!C89,input_454010!A:H,8,FALSE))</f>
        <v>166.57692</v>
      </c>
      <c r="P89" s="46">
        <f t="shared" ca="1" si="4"/>
        <v>6.0353956522438859E-6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input_454010!A$2</f>
        <v>454010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IFERROR(VLOOKUP(B90,input_454010!L:R,7,FALSE),VLOOKUP(tables_454010!C90,input_454010!A:H,8,FALSE))</f>
        <v>129750</v>
      </c>
      <c r="P90" s="46">
        <f t="shared" ca="1" si="4"/>
        <v>4.701086956576242E-3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input_454010!A$2</f>
        <v>454010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IFERROR(VLOOKUP(B91,input_454010!L:R,7,FALSE),VLOOKUP(tables_454010!C91,input_454010!A:H,8,FALSE))</f>
        <v>106159.61538</v>
      </c>
      <c r="P91" s="46">
        <f t="shared" ca="1" si="4"/>
        <v>3.8463628761315504E-3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input_454010!A$2</f>
        <v>454010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IFERROR(VLOOKUP(B92,input_454010!L:R,7,FALSE),VLOOKUP(tables_454010!C92,input_454010!A:H,8,FALSE))</f>
        <v>166.57692</v>
      </c>
      <c r="P92" s="46">
        <f t="shared" ca="1" si="4"/>
        <v>6.0353956522438859E-6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input_454010!A$2</f>
        <v>454010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IFERROR(VLOOKUP(B93,input_454010!L:R,7,FALSE),VLOOKUP(tables_454010!C93,input_454010!A:H,8,FALSE))</f>
        <v>129750</v>
      </c>
      <c r="P93" s="46">
        <f t="shared" ca="1" si="4"/>
        <v>4.701086956576242E-3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input_454010!A$2</f>
        <v>454010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IFERROR(VLOOKUP(B94,input_454010!L:R,7,FALSE),VLOOKUP(tables_454010!C94,input_454010!A:H,8,FALSE))</f>
        <v>106159.61538</v>
      </c>
      <c r="P94" s="46">
        <f t="shared" ca="1" si="4"/>
        <v>3.8463628761315504E-3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input_454010!A$2</f>
        <v>454010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IFERROR(VLOOKUP(B95,input_454010!L:R,7,FALSE),VLOOKUP(tables_454010!C95,input_454010!A:H,8,FALSE))</f>
        <v>166.57692</v>
      </c>
      <c r="P95" s="46">
        <f t="shared" ca="1" si="4"/>
        <v>6.0353956522438859E-6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input_454010!A$2</f>
        <v>454010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IFERROR(VLOOKUP(B96,input_454010!L:R,7,FALSE),VLOOKUP(tables_454010!C96,input_454010!A:H,8,FALSE))</f>
        <v>129750</v>
      </c>
      <c r="P96" s="46">
        <f t="shared" ca="1" si="4"/>
        <v>4.701086956576242E-3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input_454010!A$2</f>
        <v>454010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IFERROR(VLOOKUP(B97,input_454010!L:R,7,FALSE),VLOOKUP(tables_454010!C97,input_454010!A:H,8,FALSE))</f>
        <v>106159.61538</v>
      </c>
      <c r="P97" s="46">
        <f t="shared" ca="1" si="4"/>
        <v>3.8463628761315504E-3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input_454010!A$2</f>
        <v>454010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IFERROR(VLOOKUP(B98,input_454010!L:R,7,FALSE),VLOOKUP(tables_454010!C98,input_454010!A:H,8,FALSE))</f>
        <v>166.57692</v>
      </c>
      <c r="P98" s="46">
        <f t="shared" ca="1" si="4"/>
        <v>6.0353956522438859E-6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input_454010!A$2</f>
        <v>454010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IFERROR(VLOOKUP(B99,input_454010!L:R,7,FALSE),VLOOKUP(tables_454010!C99,input_454010!A:H,8,FALSE))</f>
        <v>129750</v>
      </c>
      <c r="P99" s="46">
        <f t="shared" ca="1" si="4"/>
        <v>4.701086956576242E-3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input_454010!A$2</f>
        <v>454010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IFERROR(VLOOKUP(B100,input_454010!L:R,7,FALSE),VLOOKUP(tables_454010!C100,input_454010!A:H,8,FALSE))</f>
        <v>106159.61538</v>
      </c>
      <c r="P100" s="46">
        <f t="shared" ca="1" si="4"/>
        <v>3.8463628761315504E-3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input_454010!A$2</f>
        <v>454010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IFERROR(VLOOKUP(B101,input_454010!L:R,7,FALSE),VLOOKUP(tables_454010!C101,input_454010!A:H,8,FALSE))</f>
        <v>166.57692</v>
      </c>
      <c r="P101" s="46">
        <f t="shared" ca="1" si="4"/>
        <v>6.0353956522438859E-6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input_454010!A$2</f>
        <v>454010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IFERROR(VLOOKUP(B102,input_454010!L:R,7,FALSE),VLOOKUP(tables_454010!C102,input_454010!A:H,8,FALSE))</f>
        <v>129750</v>
      </c>
      <c r="P102" s="46">
        <f t="shared" ca="1" si="4"/>
        <v>4.701086956576242E-3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input_454010!A$2</f>
        <v>454010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IFERROR(VLOOKUP(B103,input_454010!L:R,7,FALSE),VLOOKUP(tables_454010!C103,input_454010!A:H,8,FALSE))</f>
        <v>106159.61538</v>
      </c>
      <c r="P103" s="46">
        <f t="shared" ca="1" si="4"/>
        <v>3.8463628761315504E-3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input_454010!A$2</f>
        <v>454010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IFERROR(VLOOKUP(B104,input_454010!L:R,7,FALSE),VLOOKUP(tables_454010!C104,input_454010!A:H,8,FALSE))</f>
        <v>166.57692</v>
      </c>
      <c r="P104" s="46">
        <f t="shared" ca="1" si="4"/>
        <v>6.0353956522438859E-6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input_454010!A$2</f>
        <v>454010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IFERROR(VLOOKUP(B105,input_454010!L:R,7,FALSE),VLOOKUP(tables_454010!C105,input_454010!A:H,8,FALSE))</f>
        <v>129750</v>
      </c>
      <c r="P105" s="46">
        <f t="shared" ca="1" si="4"/>
        <v>4.701086956576242E-3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input_454010!A$2</f>
        <v>454010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IFERROR(VLOOKUP(B106,input_454010!L:R,7,FALSE),VLOOKUP(tables_454010!C106,input_454010!A:H,8,FALSE))</f>
        <v>106159.61538</v>
      </c>
      <c r="P106" s="46">
        <f t="shared" ca="1" si="4"/>
        <v>3.8463628761315504E-3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input_454010!A$2</f>
        <v>454010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IFERROR(VLOOKUP(B107,input_454010!L:R,7,FALSE),VLOOKUP(tables_454010!C107,input_454010!A:H,8,FALSE))</f>
        <v>166.57692</v>
      </c>
      <c r="P107" s="46">
        <f t="shared" ca="1" si="4"/>
        <v>6.0353956522438859E-6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input_454010!A$2</f>
        <v>454010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IFERROR(VLOOKUP(B108,input_454010!L:R,7,FALSE),VLOOKUP(tables_454010!C108,input_454010!A:H,8,FALSE))</f>
        <v>129750</v>
      </c>
      <c r="P108" s="46">
        <f t="shared" ca="1" si="4"/>
        <v>4.701086956576242E-3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input_454010!A$2</f>
        <v>454010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IFERROR(VLOOKUP(B109,input_454010!L:R,7,FALSE),VLOOKUP(tables_454010!C109,input_454010!A:H,8,FALSE))</f>
        <v>106159.61538</v>
      </c>
      <c r="P109" s="46">
        <f t="shared" ca="1" si="4"/>
        <v>3.8463628761315504E-3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input_454010!A$2</f>
        <v>454010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IFERROR(VLOOKUP(B110,input_454010!L:R,7,FALSE),VLOOKUP(tables_454010!C110,input_454010!A:H,8,FALSE))</f>
        <v>166.57692</v>
      </c>
      <c r="P110" s="46">
        <f t="shared" ca="1" si="4"/>
        <v>6.0353956522438859E-6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input_454010!A$2</f>
        <v>454010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IFERROR(VLOOKUP(B111,input_454010!L:R,7,FALSE),VLOOKUP(tables_454010!C111,input_454010!A:H,8,FALSE))</f>
        <v>129750</v>
      </c>
      <c r="P111" s="46">
        <f t="shared" ca="1" si="4"/>
        <v>4.701086956576242E-3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input_454010!A$2</f>
        <v>454010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IFERROR(VLOOKUP(B112,input_454010!L:R,7,FALSE),VLOOKUP(tables_454010!C112,input_454010!A:H,8,FALSE))</f>
        <v>116775</v>
      </c>
      <c r="P112" s="46">
        <f t="shared" ca="1" si="4"/>
        <v>4.2309782609186181E-3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input_454010!A$2</f>
        <v>454010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IFERROR(VLOOKUP(B113,input_454010!L:R,7,FALSE),VLOOKUP(tables_454010!C113,input_454010!A:H,8,FALSE))</f>
        <v>12975</v>
      </c>
      <c r="P113" s="46">
        <f t="shared" ca="1" si="4"/>
        <v>4.7010869565762423E-4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input_454010!A$2</f>
        <v>454010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IFERROR(VLOOKUP(B114,input_454010!L:R,7,FALSE),VLOOKUP(tables_454010!C114,input_454010!A:H,8,FALSE))</f>
        <v>129750</v>
      </c>
      <c r="P114" s="46">
        <f t="shared" ca="1" si="4"/>
        <v>4.701086956576242E-3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input_454010!A$2</f>
        <v>454010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IFERROR(VLOOKUP(B115,input_454010!L:R,7,FALSE),VLOOKUP(tables_454010!C115,input_454010!A:H,8,FALSE))</f>
        <v>106159.61538</v>
      </c>
      <c r="P115" s="46">
        <f t="shared" ca="1" si="4"/>
        <v>3.8463628761315504E-3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input_454010!A$2</f>
        <v>454010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IFERROR(VLOOKUP(B116,input_454010!L:R,7,FALSE),VLOOKUP(tables_454010!C116,input_454010!A:H,8,FALSE))</f>
        <v>166.57692</v>
      </c>
      <c r="P116" s="46">
        <f t="shared" ca="1" si="4"/>
        <v>6.0353956522438859E-6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input_454010!A$2</f>
        <v>454010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IFERROR(VLOOKUP(B117,input_454010!L:R,7,FALSE),VLOOKUP(tables_454010!C117,input_454010!A:H,8,FALSE))</f>
        <v>129750</v>
      </c>
      <c r="P117" s="46">
        <f t="shared" ca="1" si="4"/>
        <v>4.701086956576242E-3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input_454010!A$2</f>
        <v>454010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IFERROR(VLOOKUP(B118,input_454010!L:R,7,FALSE),VLOOKUP(tables_454010!C118,input_454010!A:H,8,FALSE))</f>
        <v>106159.61538</v>
      </c>
      <c r="P118" s="46">
        <f t="shared" ca="1" si="4"/>
        <v>3.8463628761315504E-3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input_454010!A$2</f>
        <v>454010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IFERROR(VLOOKUP(B119,input_454010!L:R,7,FALSE),VLOOKUP(tables_454010!C119,input_454010!A:H,8,FALSE))</f>
        <v>166.57692</v>
      </c>
      <c r="P119" s="46">
        <f t="shared" ca="1" si="4"/>
        <v>6.0353956522438859E-6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input_454010!A$2</f>
        <v>454010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IFERROR(VLOOKUP(B120,input_454010!L:R,7,FALSE),VLOOKUP(tables_454010!C120,input_454010!A:H,8,FALSE))</f>
        <v>129750</v>
      </c>
      <c r="P120" s="46">
        <f t="shared" ca="1" si="4"/>
        <v>4.701086956576242E-3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input_454010!A$2</f>
        <v>454010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IFERROR(VLOOKUP(B121,input_454010!L:R,7,FALSE),VLOOKUP(tables_454010!C121,input_454010!A:H,8,FALSE))</f>
        <v>106159.61538</v>
      </c>
      <c r="P121" s="46">
        <f t="shared" ca="1" si="4"/>
        <v>3.8463628761315504E-3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input_454010!A$2</f>
        <v>454010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IFERROR(VLOOKUP(B122,input_454010!L:R,7,FALSE),VLOOKUP(tables_454010!C122,input_454010!A:H,8,FALSE))</f>
        <v>166.57692</v>
      </c>
      <c r="P122" s="46">
        <f t="shared" ca="1" si="4"/>
        <v>6.0353956522438859E-6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input_454010!A$2</f>
        <v>454010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IFERROR(VLOOKUP(B123,input_454010!L:R,7,FALSE),VLOOKUP(tables_454010!C123,input_454010!A:H,8,FALSE))</f>
        <v>129750</v>
      </c>
      <c r="P123" s="46">
        <f t="shared" ca="1" si="4"/>
        <v>4.701086956576242E-3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input_454010!A$2</f>
        <v>454010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IFERROR(VLOOKUP(B124,input_454010!L:R,7,FALSE),VLOOKUP(tables_454010!C124,input_454010!A:H,8,FALSE))</f>
        <v>106159.61538</v>
      </c>
      <c r="P124" s="46">
        <f t="shared" ca="1" si="4"/>
        <v>3.8463628761315504E-3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input_454010!A$2</f>
        <v>454010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IFERROR(VLOOKUP(B125,input_454010!L:R,7,FALSE),VLOOKUP(tables_454010!C125,input_454010!A:H,8,FALSE))</f>
        <v>166.57692</v>
      </c>
      <c r="P125" s="46">
        <f t="shared" ca="1" si="4"/>
        <v>6.0353956522438859E-6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input_454010!A$2</f>
        <v>454010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IFERROR(VLOOKUP(B126,input_454010!L:R,7,FALSE),VLOOKUP(tables_454010!C126,input_454010!A:H,8,FALSE))</f>
        <v>129750</v>
      </c>
      <c r="P126" s="46">
        <f t="shared" ca="1" si="4"/>
        <v>4.701086956576242E-3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input_454010!A$2</f>
        <v>454010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IFERROR(VLOOKUP(B127,input_454010!L:R,7,FALSE),VLOOKUP(tables_454010!C127,input_454010!A:H,8,FALSE))</f>
        <v>106159.61538</v>
      </c>
      <c r="P127" s="46">
        <f t="shared" ca="1" si="4"/>
        <v>3.8463628761315504E-3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input_454010!A$2</f>
        <v>454010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IFERROR(VLOOKUP(B128,input_454010!L:R,7,FALSE),VLOOKUP(tables_454010!C128,input_454010!A:H,8,FALSE))</f>
        <v>166.57692</v>
      </c>
      <c r="P128" s="46">
        <f t="shared" ca="1" si="4"/>
        <v>6.0353956522438859E-6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input_454010!A$2</f>
        <v>454010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IFERROR(VLOOKUP(B129,input_454010!L:R,7,FALSE),VLOOKUP(tables_454010!C129,input_454010!A:H,8,FALSE))</f>
        <v>129750</v>
      </c>
      <c r="P129" s="46">
        <f t="shared" ca="1" si="4"/>
        <v>4.701086956576242E-3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input_454010!A$2</f>
        <v>454010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IFERROR(VLOOKUP(B130,input_454010!L:R,7,FALSE),VLOOKUP(tables_454010!C130,input_454010!A:H,8,FALSE))</f>
        <v>106159.61538</v>
      </c>
      <c r="P130" s="46">
        <f t="shared" ref="P130:P193" ca="1" si="7">O130/SUM(O:O)</f>
        <v>3.8463628761315504E-3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input_454010!A$2</f>
        <v>454010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IFERROR(VLOOKUP(B131,input_454010!L:R,7,FALSE),VLOOKUP(tables_454010!C131,input_454010!A:H,8,FALSE))</f>
        <v>166.57692</v>
      </c>
      <c r="P131" s="46">
        <f t="shared" ca="1" si="7"/>
        <v>6.0353956522438859E-6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input_454010!A$2</f>
        <v>454010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IFERROR(VLOOKUP(B132,input_454010!L:R,7,FALSE),VLOOKUP(tables_454010!C132,input_454010!A:H,8,FALSE))</f>
        <v>129750</v>
      </c>
      <c r="P132" s="46">
        <f t="shared" ca="1" si="7"/>
        <v>4.701086956576242E-3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input_454010!A$2</f>
        <v>454010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IFERROR(VLOOKUP(B133,input_454010!L:R,7,FALSE),VLOOKUP(tables_454010!C133,input_454010!A:H,8,FALSE))</f>
        <v>106159.61538</v>
      </c>
      <c r="P133" s="46">
        <f t="shared" ca="1" si="7"/>
        <v>3.8463628761315504E-3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input_454010!A$2</f>
        <v>454010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IFERROR(VLOOKUP(B134,input_454010!L:R,7,FALSE),VLOOKUP(tables_454010!C134,input_454010!A:H,8,FALSE))</f>
        <v>166.57692</v>
      </c>
      <c r="P134" s="46">
        <f t="shared" ca="1" si="7"/>
        <v>6.0353956522438859E-6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input_454010!A$2</f>
        <v>454010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IFERROR(VLOOKUP(B135,input_454010!L:R,7,FALSE),VLOOKUP(tables_454010!C135,input_454010!A:H,8,FALSE))</f>
        <v>129750</v>
      </c>
      <c r="P135" s="46">
        <f t="shared" ca="1" si="7"/>
        <v>4.701086956576242E-3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input_454010!A$2</f>
        <v>454010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IFERROR(VLOOKUP(B136,input_454010!L:R,7,FALSE),VLOOKUP(tables_454010!C136,input_454010!A:H,8,FALSE))</f>
        <v>106159.61538</v>
      </c>
      <c r="P136" s="46">
        <f t="shared" ca="1" si="7"/>
        <v>3.8463628761315504E-3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input_454010!A$2</f>
        <v>454010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IFERROR(VLOOKUP(B137,input_454010!L:R,7,FALSE),VLOOKUP(tables_454010!C137,input_454010!A:H,8,FALSE))</f>
        <v>166.57692</v>
      </c>
      <c r="P137" s="46">
        <f t="shared" ca="1" si="7"/>
        <v>6.0353956522438859E-6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input_454010!A$2</f>
        <v>454010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IFERROR(VLOOKUP(B138,input_454010!L:R,7,FALSE),VLOOKUP(tables_454010!C138,input_454010!A:H,8,FALSE))</f>
        <v>7429</v>
      </c>
      <c r="P138" s="46">
        <f t="shared" ca="1" si="7"/>
        <v>2.6916666666978735E-4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input_454010!A$2</f>
        <v>454010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IFERROR(VLOOKUP(B139,input_454010!L:R,7,FALSE),VLOOKUP(tables_454010!C139,input_454010!A:H,8,FALSE))</f>
        <v>391</v>
      </c>
      <c r="P139" s="46">
        <f t="shared" ca="1" si="7"/>
        <v>1.4166666666830911E-5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input_454010!A$2</f>
        <v>454010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IFERROR(VLOOKUP(B140,input_454010!L:R,7,FALSE),VLOOKUP(tables_454010!C140,input_454010!A:H,8,FALSE))</f>
        <v>7429</v>
      </c>
      <c r="P140" s="46">
        <f t="shared" ca="1" si="7"/>
        <v>2.6916666666978735E-4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input_454010!A$2</f>
        <v>454010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IFERROR(VLOOKUP(B141,input_454010!L:R,7,FALSE),VLOOKUP(tables_454010!C141,input_454010!A:H,8,FALSE))</f>
        <v>391</v>
      </c>
      <c r="P141" s="46">
        <f t="shared" ca="1" si="7"/>
        <v>1.4166666666830911E-5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input_454010!A$2</f>
        <v>454010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IFERROR(VLOOKUP(B142,input_454010!L:R,7,FALSE),VLOOKUP(tables_454010!C142,input_454010!A:H,8,FALSE))</f>
        <v>7429</v>
      </c>
      <c r="P142" s="46">
        <f t="shared" ca="1" si="7"/>
        <v>2.6916666666978735E-4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input_454010!A$2</f>
        <v>454010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IFERROR(VLOOKUP(B143,input_454010!L:R,7,FALSE),VLOOKUP(tables_454010!C143,input_454010!A:H,8,FALSE))</f>
        <v>391</v>
      </c>
      <c r="P143" s="46">
        <f t="shared" ca="1" si="7"/>
        <v>1.4166666666830911E-5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input_454010!A$2</f>
        <v>454010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IFERROR(VLOOKUP(B144,input_454010!L:R,7,FALSE),VLOOKUP(tables_454010!C144,input_454010!A:H,8,FALSE))</f>
        <v>7429</v>
      </c>
      <c r="P144" s="46">
        <f t="shared" ca="1" si="7"/>
        <v>2.6916666666978735E-4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input_454010!A$2</f>
        <v>454010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IFERROR(VLOOKUP(B145,input_454010!L:R,7,FALSE),VLOOKUP(tables_454010!C145,input_454010!A:H,8,FALSE))</f>
        <v>391</v>
      </c>
      <c r="P145" s="46">
        <f t="shared" ca="1" si="7"/>
        <v>1.4166666666830911E-5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input_454010!A$2</f>
        <v>454010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IFERROR(VLOOKUP(B146,input_454010!L:R,7,FALSE),VLOOKUP(tables_454010!C146,input_454010!A:H,8,FALSE))</f>
        <v>129750</v>
      </c>
      <c r="P146" s="46">
        <f t="shared" ca="1" si="7"/>
        <v>4.701086956576242E-3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input_454010!A$2</f>
        <v>454010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IFERROR(VLOOKUP(B147,input_454010!L:R,7,FALSE),VLOOKUP(tables_454010!C147,input_454010!A:H,8,FALSE))</f>
        <v>106159.61538</v>
      </c>
      <c r="P147" s="46">
        <f t="shared" ca="1" si="7"/>
        <v>3.8463628761315504E-3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input_454010!A$2</f>
        <v>454010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IFERROR(VLOOKUP(B148,input_454010!L:R,7,FALSE),VLOOKUP(tables_454010!C148,input_454010!A:H,8,FALSE))</f>
        <v>166.57692</v>
      </c>
      <c r="P148" s="46">
        <f t="shared" ca="1" si="7"/>
        <v>6.0353956522438859E-6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input_454010!A$2</f>
        <v>454010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IFERROR(VLOOKUP(B149,input_454010!L:R,7,FALSE),VLOOKUP(tables_454010!C149,input_454010!A:H,8,FALSE))</f>
        <v>7429</v>
      </c>
      <c r="P149" s="46">
        <f t="shared" ca="1" si="7"/>
        <v>2.6916666666978735E-4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input_454010!A$2</f>
        <v>454010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IFERROR(VLOOKUP(B150,input_454010!L:R,7,FALSE),VLOOKUP(tables_454010!C150,input_454010!A:H,8,FALSE))</f>
        <v>391</v>
      </c>
      <c r="P150" s="46">
        <f t="shared" ca="1" si="7"/>
        <v>1.4166666666830911E-5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input_454010!A$2</f>
        <v>454010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IFERROR(VLOOKUP(B151,input_454010!L:R,7,FALSE),VLOOKUP(tables_454010!C151,input_454010!A:H,8,FALSE))</f>
        <v>7429</v>
      </c>
      <c r="P151" s="46">
        <f t="shared" ca="1" si="7"/>
        <v>2.6916666666978735E-4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input_454010!A$2</f>
        <v>454010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IFERROR(VLOOKUP(B152,input_454010!L:R,7,FALSE),VLOOKUP(tables_454010!C152,input_454010!A:H,8,FALSE))</f>
        <v>391</v>
      </c>
      <c r="P152" s="46">
        <f t="shared" ca="1" si="7"/>
        <v>1.4166666666830911E-5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input_454010!A$2</f>
        <v>454010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IFERROR(VLOOKUP(B153,input_454010!L:R,7,FALSE),VLOOKUP(tables_454010!C153,input_454010!A:H,8,FALSE))</f>
        <v>129750</v>
      </c>
      <c r="P153" s="46">
        <f t="shared" ca="1" si="7"/>
        <v>4.701086956576242E-3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input_454010!A$2</f>
        <v>454010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IFERROR(VLOOKUP(B154,input_454010!L:R,7,FALSE),VLOOKUP(tables_454010!C154,input_454010!A:H,8,FALSE))</f>
        <v>106159.61538</v>
      </c>
      <c r="P154" s="46">
        <f t="shared" ca="1" si="7"/>
        <v>3.8463628761315504E-3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input_454010!A$2</f>
        <v>454010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IFERROR(VLOOKUP(B155,input_454010!L:R,7,FALSE),VLOOKUP(tables_454010!C155,input_454010!A:H,8,FALSE))</f>
        <v>166.57692</v>
      </c>
      <c r="P155" s="46">
        <f t="shared" ca="1" si="7"/>
        <v>6.0353956522438859E-6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input_454010!A$2</f>
        <v>454010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IFERROR(VLOOKUP(B156,input_454010!L:R,7,FALSE),VLOOKUP(tables_454010!C156,input_454010!A:H,8,FALSE))</f>
        <v>7429</v>
      </c>
      <c r="P156" s="46">
        <f t="shared" ca="1" si="7"/>
        <v>2.6916666666978735E-4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input_454010!A$2</f>
        <v>454010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IFERROR(VLOOKUP(B157,input_454010!L:R,7,FALSE),VLOOKUP(tables_454010!C157,input_454010!A:H,8,FALSE))</f>
        <v>391</v>
      </c>
      <c r="P157" s="46">
        <f t="shared" ca="1" si="7"/>
        <v>1.4166666666830911E-5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input_454010!A$2</f>
        <v>454010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IFERROR(VLOOKUP(B158,input_454010!L:R,7,FALSE),VLOOKUP(tables_454010!C158,input_454010!A:H,8,FALSE))</f>
        <v>129750</v>
      </c>
      <c r="P158" s="46">
        <f t="shared" ca="1" si="7"/>
        <v>4.701086956576242E-3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input_454010!A$2</f>
        <v>454010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IFERROR(VLOOKUP(B159,input_454010!L:R,7,FALSE),VLOOKUP(tables_454010!C159,input_454010!A:H,8,FALSE))</f>
        <v>106159.61538</v>
      </c>
      <c r="P159" s="46">
        <f t="shared" ca="1" si="7"/>
        <v>3.8463628761315504E-3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input_454010!A$2</f>
        <v>454010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IFERROR(VLOOKUP(B160,input_454010!L:R,7,FALSE),VLOOKUP(tables_454010!C160,input_454010!A:H,8,FALSE))</f>
        <v>166.57692</v>
      </c>
      <c r="P160" s="46">
        <f t="shared" ca="1" si="7"/>
        <v>6.0353956522438859E-6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input_454010!A$2</f>
        <v>454010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IFERROR(VLOOKUP(B161,input_454010!L:R,7,FALSE),VLOOKUP(tables_454010!C161,input_454010!A:H,8,FALSE))</f>
        <v>129750</v>
      </c>
      <c r="P161" s="46">
        <f t="shared" ca="1" si="7"/>
        <v>4.701086956576242E-3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input_454010!A$2</f>
        <v>454010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IFERROR(VLOOKUP(B162,input_454010!L:R,7,FALSE),VLOOKUP(tables_454010!C162,input_454010!A:H,8,FALSE))</f>
        <v>106159.61538</v>
      </c>
      <c r="P162" s="46">
        <f t="shared" ca="1" si="7"/>
        <v>3.8463628761315504E-3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input_454010!A$2</f>
        <v>454010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IFERROR(VLOOKUP(B163,input_454010!L:R,7,FALSE),VLOOKUP(tables_454010!C163,input_454010!A:H,8,FALSE))</f>
        <v>166.57692</v>
      </c>
      <c r="P163" s="46">
        <f t="shared" ca="1" si="7"/>
        <v>6.0353956522438859E-6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input_454010!A$2</f>
        <v>454010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IFERROR(VLOOKUP(B164,input_454010!L:R,7,FALSE),VLOOKUP(tables_454010!C164,input_454010!A:H,8,FALSE))</f>
        <v>7429</v>
      </c>
      <c r="P164" s="46">
        <f t="shared" ca="1" si="7"/>
        <v>2.6916666666978735E-4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input_454010!A$2</f>
        <v>454010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IFERROR(VLOOKUP(B165,input_454010!L:R,7,FALSE),VLOOKUP(tables_454010!C165,input_454010!A:H,8,FALSE))</f>
        <v>391</v>
      </c>
      <c r="P165" s="46">
        <f t="shared" ca="1" si="7"/>
        <v>1.4166666666830911E-5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input_454010!A$2</f>
        <v>454010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IFERROR(VLOOKUP(B166,input_454010!L:R,7,FALSE),VLOOKUP(tables_454010!C166,input_454010!A:H,8,FALSE))</f>
        <v>129750</v>
      </c>
      <c r="P166" s="46">
        <f t="shared" ca="1" si="7"/>
        <v>4.701086956576242E-3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input_454010!A$2</f>
        <v>454010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IFERROR(VLOOKUP(B167,input_454010!L:R,7,FALSE),VLOOKUP(tables_454010!C167,input_454010!A:H,8,FALSE))</f>
        <v>106159.61538</v>
      </c>
      <c r="P167" s="46">
        <f t="shared" ca="1" si="7"/>
        <v>3.8463628761315504E-3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input_454010!A$2</f>
        <v>454010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IFERROR(VLOOKUP(B168,input_454010!L:R,7,FALSE),VLOOKUP(tables_454010!C168,input_454010!A:H,8,FALSE))</f>
        <v>166.57692</v>
      </c>
      <c r="P168" s="46">
        <f t="shared" ca="1" si="7"/>
        <v>6.0353956522438859E-6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input_454010!A$2</f>
        <v>454010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IFERROR(VLOOKUP(B169,input_454010!L:R,7,FALSE),VLOOKUP(tables_454010!C169,input_454010!A:H,8,FALSE))</f>
        <v>7429</v>
      </c>
      <c r="P169" s="46">
        <f t="shared" ca="1" si="7"/>
        <v>2.6916666666978735E-4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input_454010!A$2</f>
        <v>454010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IFERROR(VLOOKUP(B170,input_454010!L:R,7,FALSE),VLOOKUP(tables_454010!C170,input_454010!A:H,8,FALSE))</f>
        <v>391</v>
      </c>
      <c r="P170" s="46">
        <f t="shared" ca="1" si="7"/>
        <v>1.4166666666830911E-5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input_454010!A$2</f>
        <v>454010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IFERROR(VLOOKUP(B171,input_454010!L:R,7,FALSE),VLOOKUP(tables_454010!C171,input_454010!A:H,8,FALSE))</f>
        <v>129750</v>
      </c>
      <c r="P171" s="46">
        <f t="shared" ca="1" si="7"/>
        <v>4.701086956576242E-3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input_454010!A$2</f>
        <v>454010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IFERROR(VLOOKUP(B172,input_454010!L:R,7,FALSE),VLOOKUP(tables_454010!C172,input_454010!A:H,8,FALSE))</f>
        <v>106159.61538</v>
      </c>
      <c r="P172" s="46">
        <f t="shared" ca="1" si="7"/>
        <v>3.8463628761315504E-3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input_454010!A$2</f>
        <v>454010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IFERROR(VLOOKUP(B173,input_454010!L:R,7,FALSE),VLOOKUP(tables_454010!C173,input_454010!A:H,8,FALSE))</f>
        <v>166.57692</v>
      </c>
      <c r="P173" s="46">
        <f t="shared" ca="1" si="7"/>
        <v>6.0353956522438859E-6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input_454010!A$2</f>
        <v>454010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IFERROR(VLOOKUP(B174,input_454010!L:R,7,FALSE),VLOOKUP(tables_454010!C174,input_454010!A:H,8,FALSE))</f>
        <v>7429</v>
      </c>
      <c r="P174" s="46">
        <f t="shared" ca="1" si="7"/>
        <v>2.6916666666978735E-4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input_454010!A$2</f>
        <v>454010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IFERROR(VLOOKUP(B175,input_454010!L:R,7,FALSE),VLOOKUP(tables_454010!C175,input_454010!A:H,8,FALSE))</f>
        <v>391</v>
      </c>
      <c r="P175" s="46">
        <f t="shared" ca="1" si="7"/>
        <v>1.4166666666830911E-5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input_454010!A$2</f>
        <v>454010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IFERROR(VLOOKUP(B176,input_454010!L:R,7,FALSE),VLOOKUP(tables_454010!C176,input_454010!A:H,8,FALSE))</f>
        <v>7429</v>
      </c>
      <c r="P176" s="46">
        <f t="shared" ca="1" si="7"/>
        <v>2.6916666666978735E-4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input_454010!A$2</f>
        <v>454010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IFERROR(VLOOKUP(B177,input_454010!L:R,7,FALSE),VLOOKUP(tables_454010!C177,input_454010!A:H,8,FALSE))</f>
        <v>391</v>
      </c>
      <c r="P177" s="46">
        <f t="shared" ca="1" si="7"/>
        <v>1.4166666666830911E-5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input_454010!A$2</f>
        <v>454010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IFERROR(VLOOKUP(B178,input_454010!L:R,7,FALSE),VLOOKUP(tables_454010!C178,input_454010!A:H,8,FALSE))</f>
        <v>129750</v>
      </c>
      <c r="P178" s="46">
        <f t="shared" ca="1" si="7"/>
        <v>4.701086956576242E-3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input_454010!A$2</f>
        <v>454010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IFERROR(VLOOKUP(B179,input_454010!L:R,7,FALSE),VLOOKUP(tables_454010!C179,input_454010!A:H,8,FALSE))</f>
        <v>106159.61538</v>
      </c>
      <c r="P179" s="46">
        <f t="shared" ca="1" si="7"/>
        <v>3.8463628761315504E-3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input_454010!A$2</f>
        <v>454010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IFERROR(VLOOKUP(B180,input_454010!L:R,7,FALSE),VLOOKUP(tables_454010!C180,input_454010!A:H,8,FALSE))</f>
        <v>166.57692</v>
      </c>
      <c r="P180" s="46">
        <f t="shared" ca="1" si="7"/>
        <v>6.0353956522438859E-6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input_454010!A$2</f>
        <v>454010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IFERROR(VLOOKUP(B181,input_454010!L:R,7,FALSE),VLOOKUP(tables_454010!C181,input_454010!A:H,8,FALSE))</f>
        <v>129750</v>
      </c>
      <c r="P181" s="46">
        <f t="shared" ca="1" si="7"/>
        <v>4.701086956576242E-3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input_454010!A$2</f>
        <v>454010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IFERROR(VLOOKUP(B182,input_454010!L:R,7,FALSE),VLOOKUP(tables_454010!C182,input_454010!A:H,8,FALSE))</f>
        <v>106159.61538</v>
      </c>
      <c r="P182" s="46">
        <f t="shared" ca="1" si="7"/>
        <v>3.8463628761315504E-3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input_454010!A$2</f>
        <v>454010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IFERROR(VLOOKUP(B183,input_454010!L:R,7,FALSE),VLOOKUP(tables_454010!C183,input_454010!A:H,8,FALSE))</f>
        <v>166.57692</v>
      </c>
      <c r="P183" s="46">
        <f t="shared" ca="1" si="7"/>
        <v>6.0353956522438859E-6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input_454010!A$2</f>
        <v>454010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IFERROR(VLOOKUP(B184,input_454010!L:R,7,FALSE),VLOOKUP(tables_454010!C184,input_454010!A:H,8,FALSE))</f>
        <v>7429</v>
      </c>
      <c r="P184" s="46">
        <f t="shared" ca="1" si="7"/>
        <v>2.6916666666978735E-4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input_454010!A$2</f>
        <v>454010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IFERROR(VLOOKUP(B185,input_454010!L:R,7,FALSE),VLOOKUP(tables_454010!C185,input_454010!A:H,8,FALSE))</f>
        <v>391</v>
      </c>
      <c r="P185" s="46">
        <f t="shared" ca="1" si="7"/>
        <v>1.4166666666830911E-5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input_454010!A$2</f>
        <v>454010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IFERROR(VLOOKUP(B186,input_454010!L:R,7,FALSE),VLOOKUP(tables_454010!C186,input_454010!A:H,8,FALSE))</f>
        <v>129750</v>
      </c>
      <c r="P186" s="46">
        <f t="shared" ca="1" si="7"/>
        <v>4.701086956576242E-3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input_454010!A$2</f>
        <v>454010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IFERROR(VLOOKUP(B187,input_454010!L:R,7,FALSE),VLOOKUP(tables_454010!C187,input_454010!A:H,8,FALSE))</f>
        <v>106159.61538</v>
      </c>
      <c r="P187" s="46">
        <f t="shared" ca="1" si="7"/>
        <v>3.8463628761315504E-3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input_454010!A$2</f>
        <v>454010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IFERROR(VLOOKUP(B188,input_454010!L:R,7,FALSE),VLOOKUP(tables_454010!C188,input_454010!A:H,8,FALSE))</f>
        <v>166.57692</v>
      </c>
      <c r="P188" s="46">
        <f t="shared" ca="1" si="7"/>
        <v>6.0353956522438859E-6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input_454010!A$2</f>
        <v>454010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IFERROR(VLOOKUP(B189,input_454010!L:R,7,FALSE),VLOOKUP(tables_454010!C189,input_454010!A:H,8,FALSE))</f>
        <v>7429</v>
      </c>
      <c r="P189" s="46">
        <f t="shared" ca="1" si="7"/>
        <v>2.6916666666978735E-4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input_454010!A$2</f>
        <v>454010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IFERROR(VLOOKUP(B190,input_454010!L:R,7,FALSE),VLOOKUP(tables_454010!C190,input_454010!A:H,8,FALSE))</f>
        <v>391</v>
      </c>
      <c r="P190" s="46">
        <f t="shared" ca="1" si="7"/>
        <v>1.4166666666830911E-5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input_454010!A$2</f>
        <v>454010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IFERROR(VLOOKUP(B191,input_454010!L:R,7,FALSE),VLOOKUP(tables_454010!C191,input_454010!A:H,8,FALSE))</f>
        <v>7429</v>
      </c>
      <c r="P191" s="46">
        <f t="shared" ca="1" si="7"/>
        <v>2.6916666666978735E-4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input_454010!A$2</f>
        <v>454010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IFERROR(VLOOKUP(B192,input_454010!L:R,7,FALSE),VLOOKUP(tables_454010!C192,input_454010!A:H,8,FALSE))</f>
        <v>391</v>
      </c>
      <c r="P192" s="46">
        <f t="shared" ca="1" si="7"/>
        <v>1.4166666666830911E-5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input_454010!A$2</f>
        <v>454010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IFERROR(VLOOKUP(B193,input_454010!L:R,7,FALSE),VLOOKUP(tables_454010!C193,input_454010!A:H,8,FALSE))</f>
        <v>129750</v>
      </c>
      <c r="P193" s="46">
        <f t="shared" ca="1" si="7"/>
        <v>4.701086956576242E-3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input_454010!A$2</f>
        <v>454010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IFERROR(VLOOKUP(B194,input_454010!L:R,7,FALSE),VLOOKUP(tables_454010!C194,input_454010!A:H,8,FALSE))</f>
        <v>106159.61538</v>
      </c>
      <c r="P194" s="46">
        <f t="shared" ref="P194:P257" ca="1" si="10">O194/SUM(O:O)</f>
        <v>3.8463628761315504E-3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input_454010!A$2</f>
        <v>454010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IFERROR(VLOOKUP(B195,input_454010!L:R,7,FALSE),VLOOKUP(tables_454010!C195,input_454010!A:H,8,FALSE))</f>
        <v>166.57692</v>
      </c>
      <c r="P195" s="46">
        <f t="shared" ca="1" si="10"/>
        <v>6.0353956522438859E-6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input_454010!A$2</f>
        <v>454010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IFERROR(VLOOKUP(B196,input_454010!L:R,7,FALSE),VLOOKUP(tables_454010!C196,input_454010!A:H,8,FALSE))</f>
        <v>7429</v>
      </c>
      <c r="P196" s="46">
        <f t="shared" ca="1" si="10"/>
        <v>2.6916666666978735E-4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input_454010!A$2</f>
        <v>454010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IFERROR(VLOOKUP(B197,input_454010!L:R,7,FALSE),VLOOKUP(tables_454010!C197,input_454010!A:H,8,FALSE))</f>
        <v>391</v>
      </c>
      <c r="P197" s="46">
        <f t="shared" ca="1" si="10"/>
        <v>1.4166666666830911E-5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input_454010!A$2</f>
        <v>454010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IFERROR(VLOOKUP(B198,input_454010!L:R,7,FALSE),VLOOKUP(tables_454010!C198,input_454010!A:H,8,FALSE))</f>
        <v>129750</v>
      </c>
      <c r="P198" s="46">
        <f t="shared" ca="1" si="10"/>
        <v>4.701086956576242E-3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input_454010!A$2</f>
        <v>454010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IFERROR(VLOOKUP(B199,input_454010!L:R,7,FALSE),VLOOKUP(tables_454010!C199,input_454010!A:H,8,FALSE))</f>
        <v>106159.61538</v>
      </c>
      <c r="P199" s="46">
        <f t="shared" ca="1" si="10"/>
        <v>3.8463628761315504E-3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input_454010!A$2</f>
        <v>454010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IFERROR(VLOOKUP(B200,input_454010!L:R,7,FALSE),VLOOKUP(tables_454010!C200,input_454010!A:H,8,FALSE))</f>
        <v>166.57692</v>
      </c>
      <c r="P200" s="46">
        <f t="shared" ca="1" si="10"/>
        <v>6.0353956522438859E-6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input_454010!A$2</f>
        <v>454010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IFERROR(VLOOKUP(B201,input_454010!L:R,7,FALSE),VLOOKUP(tables_454010!C201,input_454010!A:H,8,FALSE))</f>
        <v>7429</v>
      </c>
      <c r="P201" s="46">
        <f t="shared" ca="1" si="10"/>
        <v>2.6916666666978735E-4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input_454010!A$2</f>
        <v>454010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IFERROR(VLOOKUP(B202,input_454010!L:R,7,FALSE),VLOOKUP(tables_454010!C202,input_454010!A:H,8,FALSE))</f>
        <v>391</v>
      </c>
      <c r="P202" s="46">
        <f t="shared" ca="1" si="10"/>
        <v>1.4166666666830911E-5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input_454010!A$2</f>
        <v>454010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IFERROR(VLOOKUP(B203,input_454010!L:R,7,FALSE),VLOOKUP(tables_454010!C203,input_454010!A:H,8,FALSE))</f>
        <v>129750</v>
      </c>
      <c r="P203" s="46">
        <f t="shared" ca="1" si="10"/>
        <v>4.701086956576242E-3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input_454010!A$2</f>
        <v>454010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IFERROR(VLOOKUP(B204,input_454010!L:R,7,FALSE),VLOOKUP(tables_454010!C204,input_454010!A:H,8,FALSE))</f>
        <v>106159.61538</v>
      </c>
      <c r="P204" s="46">
        <f t="shared" ca="1" si="10"/>
        <v>3.8463628761315504E-3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input_454010!A$2</f>
        <v>454010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IFERROR(VLOOKUP(B205,input_454010!L:R,7,FALSE),VLOOKUP(tables_454010!C205,input_454010!A:H,8,FALSE))</f>
        <v>166.57692</v>
      </c>
      <c r="P205" s="46">
        <f t="shared" ca="1" si="10"/>
        <v>6.0353956522438859E-6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input_454010!A$2</f>
        <v>454010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IFERROR(VLOOKUP(B206,input_454010!L:R,7,FALSE),VLOOKUP(tables_454010!C206,input_454010!A:H,8,FALSE))</f>
        <v>7429</v>
      </c>
      <c r="P206" s="46">
        <f t="shared" ca="1" si="10"/>
        <v>2.6916666666978735E-4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input_454010!A$2</f>
        <v>454010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IFERROR(VLOOKUP(B207,input_454010!L:R,7,FALSE),VLOOKUP(tables_454010!C207,input_454010!A:H,8,FALSE))</f>
        <v>391</v>
      </c>
      <c r="P207" s="46">
        <f t="shared" ca="1" si="10"/>
        <v>1.4166666666830911E-5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input_454010!A$2</f>
        <v>454010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IFERROR(VLOOKUP(B208,input_454010!L:R,7,FALSE),VLOOKUP(tables_454010!C208,input_454010!A:H,8,FALSE))</f>
        <v>7429</v>
      </c>
      <c r="P208" s="46">
        <f t="shared" ca="1" si="10"/>
        <v>2.6916666666978735E-4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input_454010!A$2</f>
        <v>454010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IFERROR(VLOOKUP(B209,input_454010!L:R,7,FALSE),VLOOKUP(tables_454010!C209,input_454010!A:H,8,FALSE))</f>
        <v>391</v>
      </c>
      <c r="P209" s="46">
        <f t="shared" ca="1" si="10"/>
        <v>1.4166666666830911E-5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input_454010!A$2</f>
        <v>454010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IFERROR(VLOOKUP(B210,input_454010!L:R,7,FALSE),VLOOKUP(tables_454010!C210,input_454010!A:H,8,FALSE))</f>
        <v>129750</v>
      </c>
      <c r="P210" s="46">
        <f t="shared" ca="1" si="10"/>
        <v>4.701086956576242E-3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input_454010!A$2</f>
        <v>454010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IFERROR(VLOOKUP(B211,input_454010!L:R,7,FALSE),VLOOKUP(tables_454010!C211,input_454010!A:H,8,FALSE))</f>
        <v>106159.61538</v>
      </c>
      <c r="P211" s="46">
        <f t="shared" ca="1" si="10"/>
        <v>3.8463628761315504E-3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input_454010!A$2</f>
        <v>454010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IFERROR(VLOOKUP(B212,input_454010!L:R,7,FALSE),VLOOKUP(tables_454010!C212,input_454010!A:H,8,FALSE))</f>
        <v>166.57692</v>
      </c>
      <c r="P212" s="46">
        <f t="shared" ca="1" si="10"/>
        <v>6.0353956522438859E-6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input_454010!A$2</f>
        <v>454010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IFERROR(VLOOKUP(B213,input_454010!L:R,7,FALSE),VLOOKUP(tables_454010!C213,input_454010!A:H,8,FALSE))</f>
        <v>7429</v>
      </c>
      <c r="P213" s="46">
        <f t="shared" ca="1" si="10"/>
        <v>2.6916666666978735E-4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input_454010!A$2</f>
        <v>454010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IFERROR(VLOOKUP(B214,input_454010!L:R,7,FALSE),VLOOKUP(tables_454010!C214,input_454010!A:H,8,FALSE))</f>
        <v>391</v>
      </c>
      <c r="P214" s="46">
        <f t="shared" ca="1" si="10"/>
        <v>1.4166666666830911E-5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input_454010!A$2</f>
        <v>454010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IFERROR(VLOOKUP(B215,input_454010!L:R,7,FALSE),VLOOKUP(tables_454010!C215,input_454010!A:H,8,FALSE))</f>
        <v>1370.45454</v>
      </c>
      <c r="P215" s="46">
        <f t="shared" ca="1" si="10"/>
        <v>4.9654150000575677E-5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input_454010!A$2</f>
        <v>454010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IFERROR(VLOOKUP(B216,input_454010!L:R,7,FALSE),VLOOKUP(tables_454010!C216,input_454010!A:H,8,FALSE))</f>
        <v>1370.45454</v>
      </c>
      <c r="P216" s="46">
        <f t="shared" ca="1" si="10"/>
        <v>4.9654150000575677E-5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input_454010!A$2</f>
        <v>454010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IFERROR(VLOOKUP(B217,input_454010!L:R,7,FALSE),VLOOKUP(tables_454010!C217,input_454010!A:H,8,FALSE))</f>
        <v>1370.45454</v>
      </c>
      <c r="P217" s="46">
        <f t="shared" ca="1" si="10"/>
        <v>4.9654150000575677E-5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input_454010!A$2</f>
        <v>454010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IFERROR(VLOOKUP(B218,input_454010!L:R,7,FALSE),VLOOKUP(tables_454010!C218,input_454010!A:H,8,FALSE))</f>
        <v>1370.45454</v>
      </c>
      <c r="P218" s="46">
        <f t="shared" ca="1" si="10"/>
        <v>4.9654150000575677E-5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input_454010!A$2</f>
        <v>454010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IFERROR(VLOOKUP(B219,input_454010!L:R,7,FALSE),VLOOKUP(tables_454010!C219,input_454010!A:H,8,FALSE))</f>
        <v>1370.45454</v>
      </c>
      <c r="P219" s="46">
        <f t="shared" ca="1" si="10"/>
        <v>4.9654150000575677E-5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input_454010!A$2</f>
        <v>454010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IFERROR(VLOOKUP(B220,input_454010!L:R,7,FALSE),VLOOKUP(tables_454010!C220,input_454010!A:H,8,FALSE))</f>
        <v>1370.45454</v>
      </c>
      <c r="P220" s="46">
        <f t="shared" ca="1" si="10"/>
        <v>4.9654150000575677E-5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input_454010!A$2</f>
        <v>454010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IFERROR(VLOOKUP(B221,input_454010!L:R,7,FALSE),VLOOKUP(tables_454010!C221,input_454010!A:H,8,FALSE))</f>
        <v>7429</v>
      </c>
      <c r="P221" s="46">
        <f t="shared" ca="1" si="10"/>
        <v>2.6916666666978735E-4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input_454010!A$2</f>
        <v>454010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IFERROR(VLOOKUP(B222,input_454010!L:R,7,FALSE),VLOOKUP(tables_454010!C222,input_454010!A:H,8,FALSE))</f>
        <v>391</v>
      </c>
      <c r="P222" s="46">
        <f t="shared" ca="1" si="10"/>
        <v>1.4166666666830911E-5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input_454010!A$2</f>
        <v>454010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IFERROR(VLOOKUP(B223,input_454010!L:R,7,FALSE),VLOOKUP(tables_454010!C223,input_454010!A:H,8,FALSE))</f>
        <v>129750</v>
      </c>
      <c r="P223" s="46">
        <f t="shared" ca="1" si="10"/>
        <v>4.701086956576242E-3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input_454010!A$2</f>
        <v>454010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IFERROR(VLOOKUP(B224,input_454010!L:R,7,FALSE),VLOOKUP(tables_454010!C224,input_454010!A:H,8,FALSE))</f>
        <v>106159.61538</v>
      </c>
      <c r="P224" s="46">
        <f t="shared" ca="1" si="10"/>
        <v>3.8463628761315504E-3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input_454010!A$2</f>
        <v>454010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IFERROR(VLOOKUP(B225,input_454010!L:R,7,FALSE),VLOOKUP(tables_454010!C225,input_454010!A:H,8,FALSE))</f>
        <v>166.57692</v>
      </c>
      <c r="P225" s="46">
        <f t="shared" ca="1" si="10"/>
        <v>6.0353956522438859E-6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input_454010!A$2</f>
        <v>454010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IFERROR(VLOOKUP(B226,input_454010!L:R,7,FALSE),VLOOKUP(tables_454010!C226,input_454010!A:H,8,FALSE))</f>
        <v>129750</v>
      </c>
      <c r="P226" s="46">
        <f t="shared" ca="1" si="10"/>
        <v>4.701086956576242E-3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input_454010!A$2</f>
        <v>454010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IFERROR(VLOOKUP(B227,input_454010!L:R,7,FALSE),VLOOKUP(tables_454010!C227,input_454010!A:H,8,FALSE))</f>
        <v>106159.61538</v>
      </c>
      <c r="P227" s="46">
        <f t="shared" ca="1" si="10"/>
        <v>3.8463628761315504E-3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input_454010!A$2</f>
        <v>454010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IFERROR(VLOOKUP(B228,input_454010!L:R,7,FALSE),VLOOKUP(tables_454010!C228,input_454010!A:H,8,FALSE))</f>
        <v>166.57692</v>
      </c>
      <c r="P228" s="46">
        <f t="shared" ca="1" si="10"/>
        <v>6.0353956522438859E-6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input_454010!A$2</f>
        <v>454010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IFERROR(VLOOKUP(B229,input_454010!L:R,7,FALSE),VLOOKUP(tables_454010!C229,input_454010!A:H,8,FALSE))</f>
        <v>7429</v>
      </c>
      <c r="P229" s="46">
        <f t="shared" ca="1" si="10"/>
        <v>2.6916666666978735E-4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input_454010!A$2</f>
        <v>454010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IFERROR(VLOOKUP(B230,input_454010!L:R,7,FALSE),VLOOKUP(tables_454010!C230,input_454010!A:H,8,FALSE))</f>
        <v>391</v>
      </c>
      <c r="P230" s="46">
        <f t="shared" ca="1" si="10"/>
        <v>1.4166666666830911E-5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input_454010!A$2</f>
        <v>454010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IFERROR(VLOOKUP(B231,input_454010!L:R,7,FALSE),VLOOKUP(tables_454010!C231,input_454010!A:H,8,FALSE))</f>
        <v>129750</v>
      </c>
      <c r="P231" s="46">
        <f t="shared" ca="1" si="10"/>
        <v>4.701086956576242E-3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input_454010!A$2</f>
        <v>454010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IFERROR(VLOOKUP(B232,input_454010!L:R,7,FALSE),VLOOKUP(tables_454010!C232,input_454010!A:H,8,FALSE))</f>
        <v>106159.61538</v>
      </c>
      <c r="P232" s="46">
        <f t="shared" ca="1" si="10"/>
        <v>3.8463628761315504E-3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input_454010!A$2</f>
        <v>454010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IFERROR(VLOOKUP(B233,input_454010!L:R,7,FALSE),VLOOKUP(tables_454010!C233,input_454010!A:H,8,FALSE))</f>
        <v>166.57692</v>
      </c>
      <c r="P233" s="46">
        <f t="shared" ca="1" si="10"/>
        <v>6.0353956522438859E-6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input_454010!A$2</f>
        <v>454010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IFERROR(VLOOKUP(B234,input_454010!L:R,7,FALSE),VLOOKUP(tables_454010!C234,input_454010!A:H,8,FALSE))</f>
        <v>129750</v>
      </c>
      <c r="P234" s="46">
        <f t="shared" ca="1" si="10"/>
        <v>4.701086956576242E-3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input_454010!A$2</f>
        <v>454010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IFERROR(VLOOKUP(B235,input_454010!L:R,7,FALSE),VLOOKUP(tables_454010!C235,input_454010!A:H,8,FALSE))</f>
        <v>106159.61538</v>
      </c>
      <c r="P235" s="46">
        <f t="shared" ca="1" si="10"/>
        <v>3.8463628761315504E-3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input_454010!A$2</f>
        <v>454010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IFERROR(VLOOKUP(B236,input_454010!L:R,7,FALSE),VLOOKUP(tables_454010!C236,input_454010!A:H,8,FALSE))</f>
        <v>166.57692</v>
      </c>
      <c r="P236" s="46">
        <f t="shared" ca="1" si="10"/>
        <v>6.0353956522438859E-6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input_454010!A$2</f>
        <v>454010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IFERROR(VLOOKUP(B237,input_454010!L:R,7,FALSE),VLOOKUP(tables_454010!C237,input_454010!A:H,8,FALSE))</f>
        <v>7429</v>
      </c>
      <c r="P237" s="46">
        <f t="shared" ca="1" si="10"/>
        <v>2.6916666666978735E-4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input_454010!A$2</f>
        <v>454010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IFERROR(VLOOKUP(B238,input_454010!L:R,7,FALSE),VLOOKUP(tables_454010!C238,input_454010!A:H,8,FALSE))</f>
        <v>391</v>
      </c>
      <c r="P238" s="46">
        <f t="shared" ca="1" si="10"/>
        <v>1.4166666666830911E-5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input_454010!A$2</f>
        <v>454010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IFERROR(VLOOKUP(B239,input_454010!L:R,7,FALSE),VLOOKUP(tables_454010!C239,input_454010!A:H,8,FALSE))</f>
        <v>129750</v>
      </c>
      <c r="P239" s="46">
        <f t="shared" ca="1" si="10"/>
        <v>4.701086956576242E-3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input_454010!A$2</f>
        <v>454010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IFERROR(VLOOKUP(B240,input_454010!L:R,7,FALSE),VLOOKUP(tables_454010!C240,input_454010!A:H,8,FALSE))</f>
        <v>106159.61538</v>
      </c>
      <c r="P240" s="46">
        <f t="shared" ca="1" si="10"/>
        <v>3.8463628761315504E-3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input_454010!A$2</f>
        <v>454010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IFERROR(VLOOKUP(B241,input_454010!L:R,7,FALSE),VLOOKUP(tables_454010!C241,input_454010!A:H,8,FALSE))</f>
        <v>166.57692</v>
      </c>
      <c r="P241" s="46">
        <f t="shared" ca="1" si="10"/>
        <v>6.0353956522438859E-6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input_454010!A$2</f>
        <v>454010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IFERROR(VLOOKUP(B242,input_454010!L:R,7,FALSE),VLOOKUP(tables_454010!C242,input_454010!A:H,8,FALSE))</f>
        <v>7429</v>
      </c>
      <c r="P242" s="46">
        <f t="shared" ca="1" si="10"/>
        <v>2.6916666666978735E-4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input_454010!A$2</f>
        <v>454010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IFERROR(VLOOKUP(B243,input_454010!L:R,7,FALSE),VLOOKUP(tables_454010!C243,input_454010!A:H,8,FALSE))</f>
        <v>391</v>
      </c>
      <c r="P243" s="46">
        <f t="shared" ca="1" si="10"/>
        <v>1.4166666666830911E-5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input_454010!A$2</f>
        <v>454010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IFERROR(VLOOKUP(B244,input_454010!L:R,7,FALSE),VLOOKUP(tables_454010!C244,input_454010!A:H,8,FALSE))</f>
        <v>7429</v>
      </c>
      <c r="P244" s="46">
        <f t="shared" ca="1" si="10"/>
        <v>2.6916666666978735E-4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input_454010!A$2</f>
        <v>454010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IFERROR(VLOOKUP(B245,input_454010!L:R,7,FALSE),VLOOKUP(tables_454010!C245,input_454010!A:H,8,FALSE))</f>
        <v>391</v>
      </c>
      <c r="P245" s="46">
        <f t="shared" ca="1" si="10"/>
        <v>1.4166666666830911E-5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input_454010!A$2</f>
        <v>454010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IFERROR(VLOOKUP(B246,input_454010!L:R,7,FALSE),VLOOKUP(tables_454010!C246,input_454010!A:H,8,FALSE))</f>
        <v>129750</v>
      </c>
      <c r="P246" s="46">
        <f t="shared" ca="1" si="10"/>
        <v>4.701086956576242E-3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input_454010!A$2</f>
        <v>454010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IFERROR(VLOOKUP(B247,input_454010!L:R,7,FALSE),VLOOKUP(tables_454010!C247,input_454010!A:H,8,FALSE))</f>
        <v>106159.61538</v>
      </c>
      <c r="P247" s="46">
        <f t="shared" ca="1" si="10"/>
        <v>3.8463628761315504E-3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input_454010!A$2</f>
        <v>454010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IFERROR(VLOOKUP(B248,input_454010!L:R,7,FALSE),VLOOKUP(tables_454010!C248,input_454010!A:H,8,FALSE))</f>
        <v>166.57692</v>
      </c>
      <c r="P248" s="46">
        <f t="shared" ca="1" si="10"/>
        <v>6.0353956522438859E-6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input_454010!A$2</f>
        <v>454010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IFERROR(VLOOKUP(B249,input_454010!L:R,7,FALSE),VLOOKUP(tables_454010!C249,input_454010!A:H,8,FALSE))</f>
        <v>129750</v>
      </c>
      <c r="P249" s="46">
        <f t="shared" ca="1" si="10"/>
        <v>4.701086956576242E-3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input_454010!A$2</f>
        <v>454010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IFERROR(VLOOKUP(B250,input_454010!L:R,7,FALSE),VLOOKUP(tables_454010!C250,input_454010!A:H,8,FALSE))</f>
        <v>106159.61538</v>
      </c>
      <c r="P250" s="46">
        <f t="shared" ca="1" si="10"/>
        <v>3.8463628761315504E-3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input_454010!A$2</f>
        <v>454010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IFERROR(VLOOKUP(B251,input_454010!L:R,7,FALSE),VLOOKUP(tables_454010!C251,input_454010!A:H,8,FALSE))</f>
        <v>166.57692</v>
      </c>
      <c r="P251" s="46">
        <f t="shared" ca="1" si="10"/>
        <v>6.0353956522438859E-6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input_454010!A$2</f>
        <v>454010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IFERROR(VLOOKUP(B252,input_454010!L:R,7,FALSE),VLOOKUP(tables_454010!C252,input_454010!A:H,8,FALSE))</f>
        <v>129750</v>
      </c>
      <c r="P252" s="46">
        <f t="shared" ca="1" si="10"/>
        <v>4.701086956576242E-3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input_454010!A$2</f>
        <v>454010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IFERROR(VLOOKUP(B253,input_454010!L:R,7,FALSE),VLOOKUP(tables_454010!C253,input_454010!A:H,8,FALSE))</f>
        <v>106159.61538</v>
      </c>
      <c r="P253" s="46">
        <f t="shared" ca="1" si="10"/>
        <v>3.8463628761315504E-3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input_454010!A$2</f>
        <v>454010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IFERROR(VLOOKUP(B254,input_454010!L:R,7,FALSE),VLOOKUP(tables_454010!C254,input_454010!A:H,8,FALSE))</f>
        <v>166.57692</v>
      </c>
      <c r="P254" s="46">
        <f t="shared" ca="1" si="10"/>
        <v>6.0353956522438859E-6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input_454010!A$2</f>
        <v>454010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IFERROR(VLOOKUP(B255,input_454010!L:R,7,FALSE),VLOOKUP(tables_454010!C255,input_454010!A:H,8,FALSE))</f>
        <v>129750</v>
      </c>
      <c r="P255" s="46">
        <f t="shared" ca="1" si="10"/>
        <v>4.701086956576242E-3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input_454010!A$2</f>
        <v>454010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IFERROR(VLOOKUP(B256,input_454010!L:R,7,FALSE),VLOOKUP(tables_454010!C256,input_454010!A:H,8,FALSE))</f>
        <v>106159.61538</v>
      </c>
      <c r="P256" s="46">
        <f t="shared" ca="1" si="10"/>
        <v>3.8463628761315504E-3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input_454010!A$2</f>
        <v>454010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IFERROR(VLOOKUP(B257,input_454010!L:R,7,FALSE),VLOOKUP(tables_454010!C257,input_454010!A:H,8,FALSE))</f>
        <v>166.57692</v>
      </c>
      <c r="P257" s="46">
        <f t="shared" ca="1" si="10"/>
        <v>6.0353956522438859E-6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input_454010!A$2</f>
        <v>454010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IFERROR(VLOOKUP(B258,input_454010!L:R,7,FALSE),VLOOKUP(tables_454010!C258,input_454010!A:H,8,FALSE))</f>
        <v>7429</v>
      </c>
      <c r="P258" s="46">
        <f t="shared" ref="P258:P321" ca="1" si="13">O258/SUM(O:O)</f>
        <v>2.6916666666978735E-4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input_454010!A$2</f>
        <v>454010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IFERROR(VLOOKUP(B259,input_454010!L:R,7,FALSE),VLOOKUP(tables_454010!C259,input_454010!A:H,8,FALSE))</f>
        <v>391</v>
      </c>
      <c r="P259" s="46">
        <f t="shared" ca="1" si="13"/>
        <v>1.4166666666830911E-5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input_454010!A$2</f>
        <v>454010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IFERROR(VLOOKUP(B260,input_454010!L:R,7,FALSE),VLOOKUP(tables_454010!C260,input_454010!A:H,8,FALSE))</f>
        <v>7429</v>
      </c>
      <c r="P260" s="46">
        <f t="shared" ca="1" si="13"/>
        <v>2.6916666666978735E-4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input_454010!A$2</f>
        <v>454010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IFERROR(VLOOKUP(B261,input_454010!L:R,7,FALSE),VLOOKUP(tables_454010!C261,input_454010!A:H,8,FALSE))</f>
        <v>391</v>
      </c>
      <c r="P261" s="46">
        <f t="shared" ca="1" si="13"/>
        <v>1.4166666666830911E-5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input_454010!A$2</f>
        <v>454010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IFERROR(VLOOKUP(B262,input_454010!L:R,7,FALSE),VLOOKUP(tables_454010!C262,input_454010!A:H,8,FALSE))</f>
        <v>241659.375</v>
      </c>
      <c r="P262" s="46">
        <f t="shared" ca="1" si="13"/>
        <v>8.7557744566232523E-3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input_454010!A$2</f>
        <v>454010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IFERROR(VLOOKUP(B263,input_454010!L:R,7,FALSE),VLOOKUP(tables_454010!C263,input_454010!A:H,8,FALSE))</f>
        <v>1370.45454</v>
      </c>
      <c r="P263" s="46">
        <f t="shared" ca="1" si="13"/>
        <v>4.9654150000575677E-5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input_454010!A$2</f>
        <v>454010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IFERROR(VLOOKUP(B264,input_454010!L:R,7,FALSE),VLOOKUP(tables_454010!C264,input_454010!A:H,8,FALSE))</f>
        <v>241659.375</v>
      </c>
      <c r="P264" s="46">
        <f t="shared" ca="1" si="13"/>
        <v>8.7557744566232523E-3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input_454010!A$2</f>
        <v>454010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IFERROR(VLOOKUP(B265,input_454010!L:R,7,FALSE),VLOOKUP(tables_454010!C265,input_454010!A:H,8,FALSE))</f>
        <v>1370.45454</v>
      </c>
      <c r="P265" s="46">
        <f t="shared" ca="1" si="13"/>
        <v>4.9654150000575677E-5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input_454010!A$2</f>
        <v>454010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IFERROR(VLOOKUP(B266,input_454010!L:R,7,FALSE),VLOOKUP(tables_454010!C266,input_454010!A:H,8,FALSE))</f>
        <v>7820</v>
      </c>
      <c r="P266" s="46">
        <f t="shared" ca="1" si="13"/>
        <v>2.8333333333661822E-4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input_454010!A$2</f>
        <v>454010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IFERROR(VLOOKUP(B267,input_454010!L:R,7,FALSE),VLOOKUP(tables_454010!C267,input_454010!A:H,8,FALSE))</f>
        <v>7820</v>
      </c>
      <c r="P267" s="46">
        <f t="shared" ca="1" si="13"/>
        <v>2.8333333333661822E-4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input_454010!A$2</f>
        <v>454010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IFERROR(VLOOKUP(B268,input_454010!L:R,7,FALSE),VLOOKUP(tables_454010!C268,input_454010!A:H,8,FALSE))</f>
        <v>7820</v>
      </c>
      <c r="P268" s="46">
        <f t="shared" ca="1" si="13"/>
        <v>2.8333333333661822E-4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input_454010!A$2</f>
        <v>454010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IFERROR(VLOOKUP(B269,input_454010!L:R,7,FALSE),VLOOKUP(tables_454010!C269,input_454010!A:H,8,FALSE))</f>
        <v>7820</v>
      </c>
      <c r="P269" s="46">
        <f t="shared" ca="1" si="13"/>
        <v>2.8333333333661822E-4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input_454010!A$2</f>
        <v>454010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IFERROR(VLOOKUP(B270,input_454010!L:R,7,FALSE),VLOOKUP(tables_454010!C270,input_454010!A:H,8,FALSE))</f>
        <v>241659.375</v>
      </c>
      <c r="P270" s="46">
        <f t="shared" ca="1" si="13"/>
        <v>8.7557744566232523E-3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input_454010!A$2</f>
        <v>454010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IFERROR(VLOOKUP(B271,input_454010!L:R,7,FALSE),VLOOKUP(tables_454010!C271,input_454010!A:H,8,FALSE))</f>
        <v>1370.45454</v>
      </c>
      <c r="P271" s="46">
        <f t="shared" ca="1" si="13"/>
        <v>4.9654150000575677E-5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input_454010!A$2</f>
        <v>454010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IFERROR(VLOOKUP(B272,input_454010!L:R,7,FALSE),VLOOKUP(tables_454010!C272,input_454010!A:H,8,FALSE))</f>
        <v>241659.375</v>
      </c>
      <c r="P272" s="46">
        <f t="shared" ca="1" si="13"/>
        <v>8.7557744566232523E-3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input_454010!A$2</f>
        <v>454010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IFERROR(VLOOKUP(B273,input_454010!L:R,7,FALSE),VLOOKUP(tables_454010!C273,input_454010!A:H,8,FALSE))</f>
        <v>1370.45454</v>
      </c>
      <c r="P273" s="46">
        <f t="shared" ca="1" si="13"/>
        <v>4.9654150000575677E-5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input_454010!A$2</f>
        <v>454010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IFERROR(VLOOKUP(B274,input_454010!L:R,7,FALSE),VLOOKUP(tables_454010!C274,input_454010!A:H,8,FALSE))</f>
        <v>7429</v>
      </c>
      <c r="P274" s="46">
        <f t="shared" ca="1" si="13"/>
        <v>2.6916666666978735E-4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input_454010!A$2</f>
        <v>454010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IFERROR(VLOOKUP(B275,input_454010!L:R,7,FALSE),VLOOKUP(tables_454010!C275,input_454010!A:H,8,FALSE))</f>
        <v>391</v>
      </c>
      <c r="P275" s="46">
        <f t="shared" ca="1" si="13"/>
        <v>1.4166666666830911E-5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input_454010!A$2</f>
        <v>454010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IFERROR(VLOOKUP(B276,input_454010!L:R,7,FALSE),VLOOKUP(tables_454010!C276,input_454010!A:H,8,FALSE))</f>
        <v>7429</v>
      </c>
      <c r="P276" s="46">
        <f t="shared" ca="1" si="13"/>
        <v>2.6916666666978735E-4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input_454010!A$2</f>
        <v>454010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IFERROR(VLOOKUP(B277,input_454010!L:R,7,FALSE),VLOOKUP(tables_454010!C277,input_454010!A:H,8,FALSE))</f>
        <v>391</v>
      </c>
      <c r="P277" s="46">
        <f t="shared" ca="1" si="13"/>
        <v>1.4166666666830911E-5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input_454010!A$2</f>
        <v>454010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IFERROR(VLOOKUP(B278,input_454010!L:R,7,FALSE),VLOOKUP(tables_454010!C278,input_454010!A:H,8,FALSE))</f>
        <v>129750</v>
      </c>
      <c r="P278" s="46">
        <f t="shared" ca="1" si="13"/>
        <v>4.701086956576242E-3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input_454010!A$2</f>
        <v>454010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IFERROR(VLOOKUP(B279,input_454010!L:R,7,FALSE),VLOOKUP(tables_454010!C279,input_454010!A:H,8,FALSE))</f>
        <v>106159.61538</v>
      </c>
      <c r="P279" s="46">
        <f t="shared" ca="1" si="13"/>
        <v>3.8463628761315504E-3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input_454010!A$2</f>
        <v>454010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IFERROR(VLOOKUP(B280,input_454010!L:R,7,FALSE),VLOOKUP(tables_454010!C280,input_454010!A:H,8,FALSE))</f>
        <v>166.57692</v>
      </c>
      <c r="P280" s="46">
        <f t="shared" ca="1" si="13"/>
        <v>6.0353956522438859E-6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input_454010!A$2</f>
        <v>454010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IFERROR(VLOOKUP(B281,input_454010!L:R,7,FALSE),VLOOKUP(tables_454010!C281,input_454010!A:H,8,FALSE))</f>
        <v>129750</v>
      </c>
      <c r="P281" s="46">
        <f t="shared" ca="1" si="13"/>
        <v>4.701086956576242E-3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input_454010!A$2</f>
        <v>454010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IFERROR(VLOOKUP(B282,input_454010!L:R,7,FALSE),VLOOKUP(tables_454010!C282,input_454010!A:H,8,FALSE))</f>
        <v>106159.61538</v>
      </c>
      <c r="P282" s="46">
        <f t="shared" ca="1" si="13"/>
        <v>3.8463628761315504E-3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input_454010!A$2</f>
        <v>454010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IFERROR(VLOOKUP(B283,input_454010!L:R,7,FALSE),VLOOKUP(tables_454010!C283,input_454010!A:H,8,FALSE))</f>
        <v>166.57692</v>
      </c>
      <c r="P283" s="46">
        <f t="shared" ca="1" si="13"/>
        <v>6.0353956522438859E-6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input_454010!A$2</f>
        <v>454010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IFERROR(VLOOKUP(B284,input_454010!L:R,7,FALSE),VLOOKUP(tables_454010!C284,input_454010!A:H,8,FALSE))</f>
        <v>7820</v>
      </c>
      <c r="P284" s="46">
        <f t="shared" ca="1" si="13"/>
        <v>2.8333333333661822E-4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input_454010!A$2</f>
        <v>454010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IFERROR(VLOOKUP(B285,input_454010!L:R,7,FALSE),VLOOKUP(tables_454010!C285,input_454010!A:H,8,FALSE))</f>
        <v>7820</v>
      </c>
      <c r="P285" s="46">
        <f t="shared" ca="1" si="13"/>
        <v>2.8333333333661822E-4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input_454010!A$2</f>
        <v>454010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IFERROR(VLOOKUP(B286,input_454010!L:R,7,FALSE),VLOOKUP(tables_454010!C286,input_454010!A:H,8,FALSE))</f>
        <v>241659.375</v>
      </c>
      <c r="P286" s="46">
        <f t="shared" ca="1" si="13"/>
        <v>8.7557744566232523E-3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input_454010!A$2</f>
        <v>454010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IFERROR(VLOOKUP(B287,input_454010!L:R,7,FALSE),VLOOKUP(tables_454010!C287,input_454010!A:H,8,FALSE))</f>
        <v>1370.45454</v>
      </c>
      <c r="P287" s="46">
        <f t="shared" ca="1" si="13"/>
        <v>4.9654150000575677E-5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input_454010!A$2</f>
        <v>454010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IFERROR(VLOOKUP(B288,input_454010!L:R,7,FALSE),VLOOKUP(tables_454010!C288,input_454010!A:H,8,FALSE))</f>
        <v>241659.375</v>
      </c>
      <c r="P288" s="46">
        <f t="shared" ca="1" si="13"/>
        <v>8.7557744566232523E-3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input_454010!A$2</f>
        <v>454010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IFERROR(VLOOKUP(B289,input_454010!L:R,7,FALSE),VLOOKUP(tables_454010!C289,input_454010!A:H,8,FALSE))</f>
        <v>1370.45454</v>
      </c>
      <c r="P289" s="46">
        <f t="shared" ca="1" si="13"/>
        <v>4.9654150000575677E-5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input_454010!A$2</f>
        <v>454010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IFERROR(VLOOKUP(B290,input_454010!L:R,7,FALSE),VLOOKUP(tables_454010!C290,input_454010!A:H,8,FALSE))</f>
        <v>241659.375</v>
      </c>
      <c r="P290" s="46">
        <f t="shared" ca="1" si="13"/>
        <v>8.7557744566232523E-3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input_454010!A$2</f>
        <v>454010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IFERROR(VLOOKUP(B291,input_454010!L:R,7,FALSE),VLOOKUP(tables_454010!C291,input_454010!A:H,8,FALSE))</f>
        <v>1370.45454</v>
      </c>
      <c r="P291" s="46">
        <f t="shared" ca="1" si="13"/>
        <v>4.9654150000575677E-5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input_454010!A$2</f>
        <v>454010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IFERROR(VLOOKUP(B292,input_454010!L:R,7,FALSE),VLOOKUP(tables_454010!C292,input_454010!A:H,8,FALSE))</f>
        <v>241659.375</v>
      </c>
      <c r="P292" s="46">
        <f t="shared" ca="1" si="13"/>
        <v>8.7557744566232523E-3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input_454010!A$2</f>
        <v>454010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IFERROR(VLOOKUP(B293,input_454010!L:R,7,FALSE),VLOOKUP(tables_454010!C293,input_454010!A:H,8,FALSE))</f>
        <v>1370.45454</v>
      </c>
      <c r="P293" s="46">
        <f t="shared" ca="1" si="13"/>
        <v>4.9654150000575677E-5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input_454010!A$2</f>
        <v>454010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IFERROR(VLOOKUP(B294,input_454010!L:R,7,FALSE),VLOOKUP(tables_454010!C294,input_454010!A:H,8,FALSE))</f>
        <v>7820</v>
      </c>
      <c r="P294" s="46">
        <f t="shared" ca="1" si="13"/>
        <v>2.8333333333661822E-4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input_454010!A$2</f>
        <v>454010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IFERROR(VLOOKUP(B295,input_454010!L:R,7,FALSE),VLOOKUP(tables_454010!C295,input_454010!A:H,8,FALSE))</f>
        <v>7820</v>
      </c>
      <c r="P295" s="46">
        <f t="shared" ca="1" si="13"/>
        <v>2.8333333333661822E-4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input_454010!A$2</f>
        <v>454010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IFERROR(VLOOKUP(B296,input_454010!L:R,7,FALSE),VLOOKUP(tables_454010!C296,input_454010!A:H,8,FALSE))</f>
        <v>7820</v>
      </c>
      <c r="P296" s="46">
        <f t="shared" ca="1" si="13"/>
        <v>2.8333333333661822E-4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input_454010!A$2</f>
        <v>454010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IFERROR(VLOOKUP(B297,input_454010!L:R,7,FALSE),VLOOKUP(tables_454010!C297,input_454010!A:H,8,FALSE))</f>
        <v>241659.375</v>
      </c>
      <c r="P297" s="46">
        <f t="shared" ca="1" si="13"/>
        <v>8.7557744566232523E-3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input_454010!A$2</f>
        <v>454010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IFERROR(VLOOKUP(B298,input_454010!L:R,7,FALSE),VLOOKUP(tables_454010!C298,input_454010!A:H,8,FALSE))</f>
        <v>1370.45454</v>
      </c>
      <c r="P298" s="46">
        <f t="shared" ca="1" si="13"/>
        <v>4.9654150000575677E-5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input_454010!A$2</f>
        <v>454010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IFERROR(VLOOKUP(B299,input_454010!L:R,7,FALSE),VLOOKUP(tables_454010!C299,input_454010!A:H,8,FALSE))</f>
        <v>7820</v>
      </c>
      <c r="P299" s="46">
        <f t="shared" ca="1" si="13"/>
        <v>2.8333333333661822E-4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input_454010!A$2</f>
        <v>454010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IFERROR(VLOOKUP(B300,input_454010!L:R,7,FALSE),VLOOKUP(tables_454010!C300,input_454010!A:H,8,FALSE))</f>
        <v>7820</v>
      </c>
      <c r="P300" s="46">
        <f t="shared" ca="1" si="13"/>
        <v>2.8333333333661822E-4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input_454010!A$2</f>
        <v>454010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IFERROR(VLOOKUP(B301,input_454010!L:R,7,FALSE),VLOOKUP(tables_454010!C301,input_454010!A:H,8,FALSE))</f>
        <v>7820</v>
      </c>
      <c r="P301" s="46">
        <f t="shared" ca="1" si="13"/>
        <v>2.8333333333661822E-4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input_454010!A$2</f>
        <v>454010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IFERROR(VLOOKUP(B302,input_454010!L:R,7,FALSE),VLOOKUP(tables_454010!C302,input_454010!A:H,8,FALSE))</f>
        <v>7820</v>
      </c>
      <c r="P302" s="46">
        <f t="shared" ca="1" si="13"/>
        <v>2.8333333333661822E-4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input_454010!A$2</f>
        <v>454010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IFERROR(VLOOKUP(B303,input_454010!L:R,7,FALSE),VLOOKUP(tables_454010!C303,input_454010!A:H,8,FALSE))</f>
        <v>241659.375</v>
      </c>
      <c r="P303" s="46">
        <f t="shared" ca="1" si="13"/>
        <v>8.7557744566232523E-3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input_454010!A$2</f>
        <v>454010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IFERROR(VLOOKUP(B304,input_454010!L:R,7,FALSE),VLOOKUP(tables_454010!C304,input_454010!A:H,8,FALSE))</f>
        <v>1370.45454</v>
      </c>
      <c r="P304" s="46">
        <f t="shared" ca="1" si="13"/>
        <v>4.9654150000575677E-5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input_454010!A$2</f>
        <v>454010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IFERROR(VLOOKUP(B305,input_454010!L:R,7,FALSE),VLOOKUP(tables_454010!C305,input_454010!A:H,8,FALSE))</f>
        <v>7820</v>
      </c>
      <c r="P305" s="46">
        <f t="shared" ca="1" si="13"/>
        <v>2.8333333333661822E-4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input_454010!A$2</f>
        <v>454010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IFERROR(VLOOKUP(B306,input_454010!L:R,7,FALSE),VLOOKUP(tables_454010!C306,input_454010!A:H,8,FALSE))</f>
        <v>241659.375</v>
      </c>
      <c r="P306" s="46">
        <f t="shared" ca="1" si="13"/>
        <v>8.7557744566232523E-3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input_454010!A$2</f>
        <v>454010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IFERROR(VLOOKUP(B307,input_454010!L:R,7,FALSE),VLOOKUP(tables_454010!C307,input_454010!A:H,8,FALSE))</f>
        <v>1370.45454</v>
      </c>
      <c r="P307" s="46">
        <f t="shared" ca="1" si="13"/>
        <v>4.9654150000575677E-5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input_454010!A$2</f>
        <v>454010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IFERROR(VLOOKUP(B308,input_454010!L:R,7,FALSE),VLOOKUP(tables_454010!C308,input_454010!A:H,8,FALSE))</f>
        <v>7820</v>
      </c>
      <c r="P308" s="46">
        <f t="shared" ca="1" si="13"/>
        <v>2.8333333333661822E-4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input_454010!A$2</f>
        <v>454010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IFERROR(VLOOKUP(B309,input_454010!L:R,7,FALSE),VLOOKUP(tables_454010!C309,input_454010!A:H,8,FALSE))</f>
        <v>7820</v>
      </c>
      <c r="P309" s="46">
        <f t="shared" ca="1" si="13"/>
        <v>2.8333333333661822E-4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input_454010!A$2</f>
        <v>454010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IFERROR(VLOOKUP(B310,input_454010!L:R,7,FALSE),VLOOKUP(tables_454010!C310,input_454010!A:H,8,FALSE))</f>
        <v>7820</v>
      </c>
      <c r="P310" s="46">
        <f t="shared" ca="1" si="13"/>
        <v>2.8333333333661822E-4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input_454010!A$2</f>
        <v>454010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IFERROR(VLOOKUP(B311,input_454010!L:R,7,FALSE),VLOOKUP(tables_454010!C311,input_454010!A:H,8,FALSE))</f>
        <v>241659.375</v>
      </c>
      <c r="P311" s="46">
        <f t="shared" ca="1" si="13"/>
        <v>8.7557744566232523E-3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input_454010!A$2</f>
        <v>454010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IFERROR(VLOOKUP(B312,input_454010!L:R,7,FALSE),VLOOKUP(tables_454010!C312,input_454010!A:H,8,FALSE))</f>
        <v>1370.45454</v>
      </c>
      <c r="P312" s="46">
        <f t="shared" ca="1" si="13"/>
        <v>4.9654150000575677E-5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input_454010!A$2</f>
        <v>454010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IFERROR(VLOOKUP(B313,input_454010!L:R,7,FALSE),VLOOKUP(tables_454010!C313,input_454010!A:H,8,FALSE))</f>
        <v>7820</v>
      </c>
      <c r="P313" s="46">
        <f t="shared" ca="1" si="13"/>
        <v>2.8333333333661822E-4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input_454010!A$2</f>
        <v>454010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IFERROR(VLOOKUP(B314,input_454010!L:R,7,FALSE),VLOOKUP(tables_454010!C314,input_454010!A:H,8,FALSE))</f>
        <v>7820</v>
      </c>
      <c r="P314" s="46">
        <f t="shared" ca="1" si="13"/>
        <v>2.8333333333661822E-4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input_454010!A$2</f>
        <v>454010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IFERROR(VLOOKUP(B315,input_454010!L:R,7,FALSE),VLOOKUP(tables_454010!C315,input_454010!A:H,8,FALSE))</f>
        <v>7820</v>
      </c>
      <c r="P315" s="46">
        <f t="shared" ca="1" si="13"/>
        <v>2.8333333333661822E-4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input_454010!A$2</f>
        <v>454010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IFERROR(VLOOKUP(B316,input_454010!L:R,7,FALSE),VLOOKUP(tables_454010!C316,input_454010!A:H,8,FALSE))</f>
        <v>7820</v>
      </c>
      <c r="P316" s="46">
        <f t="shared" ca="1" si="13"/>
        <v>2.8333333333661822E-4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input_454010!A$2</f>
        <v>454010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IFERROR(VLOOKUP(B317,input_454010!L:R,7,FALSE),VLOOKUP(tables_454010!C317,input_454010!A:H,8,FALSE))</f>
        <v>7820</v>
      </c>
      <c r="P317" s="46">
        <f t="shared" ca="1" si="13"/>
        <v>2.8333333333661822E-4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input_454010!A$2</f>
        <v>454010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IFERROR(VLOOKUP(B318,input_454010!L:R,7,FALSE),VLOOKUP(tables_454010!C318,input_454010!A:H,8,FALSE))</f>
        <v>241659.375</v>
      </c>
      <c r="P318" s="46">
        <f t="shared" ca="1" si="13"/>
        <v>8.7557744566232523E-3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input_454010!A$2</f>
        <v>454010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IFERROR(VLOOKUP(B319,input_454010!L:R,7,FALSE),VLOOKUP(tables_454010!C319,input_454010!A:H,8,FALSE))</f>
        <v>1370.45454</v>
      </c>
      <c r="P319" s="46">
        <f t="shared" ca="1" si="13"/>
        <v>4.9654150000575677E-5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input_454010!A$2</f>
        <v>454010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IFERROR(VLOOKUP(B320,input_454010!L:R,7,FALSE),VLOOKUP(tables_454010!C320,input_454010!A:H,8,FALSE))</f>
        <v>7820</v>
      </c>
      <c r="P320" s="46">
        <f t="shared" ca="1" si="13"/>
        <v>2.8333333333661822E-4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input_454010!A$2</f>
        <v>454010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IFERROR(VLOOKUP(B321,input_454010!L:R,7,FALSE),VLOOKUP(tables_454010!C321,input_454010!A:H,8,FALSE))</f>
        <v>7820</v>
      </c>
      <c r="P321" s="46">
        <f t="shared" ca="1" si="13"/>
        <v>2.8333333333661822E-4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input_454010!A$2</f>
        <v>454010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IFERROR(VLOOKUP(B322,input_454010!L:R,7,FALSE),VLOOKUP(tables_454010!C322,input_454010!A:H,8,FALSE))</f>
        <v>7820</v>
      </c>
      <c r="P322" s="46">
        <f t="shared" ref="P322:P330" ca="1" si="23">O322/SUM(O:O)</f>
        <v>2.8333333333661822E-4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input_454010!A$2</f>
        <v>454010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IFERROR(VLOOKUP(B323,input_454010!L:R,7,FALSE),VLOOKUP(tables_454010!C323,input_454010!A:H,8,FALSE))</f>
        <v>7820</v>
      </c>
      <c r="P323" s="46">
        <f t="shared" ca="1" si="23"/>
        <v>2.8333333333661822E-4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input_454010!A$2</f>
        <v>454010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IFERROR(VLOOKUP(B324,input_454010!L:R,7,FALSE),VLOOKUP(tables_454010!C324,input_454010!A:H,8,FALSE))</f>
        <v>241659.375</v>
      </c>
      <c r="P324" s="46">
        <f t="shared" ca="1" si="23"/>
        <v>8.7557744566232523E-3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input_454010!A$2</f>
        <v>454010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IFERROR(VLOOKUP(B325,input_454010!L:R,7,FALSE),VLOOKUP(tables_454010!C325,input_454010!A:H,8,FALSE))</f>
        <v>1370.45454</v>
      </c>
      <c r="P325" s="46">
        <f t="shared" ca="1" si="23"/>
        <v>4.9654150000575677E-5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input_454010!A$2</f>
        <v>454010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IFERROR(VLOOKUP(B326,input_454010!L:R,7,FALSE),VLOOKUP(tables_454010!C326,input_454010!A:H,8,FALSE))</f>
        <v>241659.375</v>
      </c>
      <c r="P326" s="46">
        <f t="shared" ca="1" si="23"/>
        <v>8.7557744566232523E-3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input_454010!A$2</f>
        <v>454010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IFERROR(VLOOKUP(B327,input_454010!L:R,7,FALSE),VLOOKUP(tables_454010!C327,input_454010!A:H,8,FALSE))</f>
        <v>1370.45454</v>
      </c>
      <c r="P327" s="46">
        <f t="shared" ca="1" si="23"/>
        <v>4.9654150000575677E-5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input_454010!A$2</f>
        <v>454010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IFERROR(VLOOKUP(B328,input_454010!L:R,7,FALSE),VLOOKUP(tables_454010!C328,input_454010!A:H,8,FALSE))</f>
        <v>7820</v>
      </c>
      <c r="P328" s="46">
        <f t="shared" ca="1" si="23"/>
        <v>2.8333333333661822E-4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input_454010!A$2</f>
        <v>454010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IFERROR(VLOOKUP(B329,input_454010!L:R,7,FALSE),VLOOKUP(tables_454010!C329,input_454010!A:H,8,FALSE))</f>
        <v>7820</v>
      </c>
      <c r="P329" s="46">
        <f t="shared" ca="1" si="23"/>
        <v>2.8333333333661822E-4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input_454010!A$2</f>
        <v>454010</v>
      </c>
      <c r="B330" s="2">
        <v>1157</v>
      </c>
      <c r="C330" s="7" t="str">
        <f t="shared" si="25"/>
        <v>PremiumSS5R5only</v>
      </c>
      <c r="D330" s="98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IFERROR(VLOOKUP(B330,input_454010!L:R,7,FALSE),VLOOKUP(tables_454010!C330,input_454010!A:H,8,FALSE))</f>
        <v>7820</v>
      </c>
      <c r="P330" s="46">
        <f t="shared" ca="1" si="23"/>
        <v>2.8333333333661822E-4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input_454010!A$2</f>
        <v>454010</v>
      </c>
      <c r="B331" s="60">
        <v>1214</v>
      </c>
      <c r="C331" s="7" t="str">
        <f t="shared" ref="C331:C335" si="26">D331&amp;J331&amp;E331&amp;F331&amp;G331</f>
        <v>PremiumSS5R5only</v>
      </c>
      <c r="D331" s="98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IFERROR(VLOOKUP(B331,input_454010!L:R,7,FALSE),VLOOKUP(tables_454010!C331,input_454010!A:H,8,FALSE))</f>
        <v>7820</v>
      </c>
      <c r="P331" s="46">
        <f t="shared" ref="P331:P335" ca="1" si="28">O331/SUM(O:O)</f>
        <v>2.8333333333661822E-4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input_454010!A$2</f>
        <v>454010</v>
      </c>
      <c r="B332" s="60">
        <v>1212</v>
      </c>
      <c r="C332" s="7" t="str">
        <f t="shared" si="26"/>
        <v>PremiumSS5R5only</v>
      </c>
      <c r="D332" s="98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IFERROR(VLOOKUP(B332,input_454010!L:R,7,FALSE),VLOOKUP(tables_454010!C332,input_454010!A:H,8,FALSE))</f>
        <v>7820</v>
      </c>
      <c r="P332" s="46">
        <f t="shared" ca="1" si="28"/>
        <v>2.8333333333661822E-4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input_454010!A$2</f>
        <v>454010</v>
      </c>
      <c r="B333" s="60">
        <v>1208</v>
      </c>
      <c r="C333" s="7" t="str">
        <f t="shared" si="26"/>
        <v>PremiumSS5R5only</v>
      </c>
      <c r="D333" s="98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IFERROR(VLOOKUP(B333,input_454010!L:R,7,FALSE),VLOOKUP(tables_454010!C333,input_454010!A:H,8,FALSE))</f>
        <v>7820</v>
      </c>
      <c r="P333" s="46">
        <f t="shared" ca="1" si="28"/>
        <v>2.8333333333661822E-4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input_454010!A$2</f>
        <v>454010</v>
      </c>
      <c r="B334" s="93">
        <v>1210</v>
      </c>
      <c r="C334" s="7" t="str">
        <f t="shared" si="26"/>
        <v>Premium4R3less</v>
      </c>
      <c r="D334" s="98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IFERROR(VLOOKUP(B334,input_454010!L:R,7,FALSE),VLOOKUP(tables_454010!C334,input_454010!A:H,8,FALSE))</f>
        <v>241659.375</v>
      </c>
      <c r="P334" s="46">
        <f t="shared" ca="1" si="28"/>
        <v>8.7557744566232523E-3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input_454010!A$2</f>
        <v>454010</v>
      </c>
      <c r="B335" s="60">
        <v>1211</v>
      </c>
      <c r="C335" s="7" t="str">
        <f t="shared" si="26"/>
        <v>Premium5R3less</v>
      </c>
      <c r="D335" s="98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IFERROR(VLOOKUP(B335,input_454010!L:R,7,FALSE),VLOOKUP(tables_454010!C335,input_454010!A:H,8,FALSE))</f>
        <v>1370.45454</v>
      </c>
      <c r="P335" s="46">
        <f t="shared" ca="1" si="28"/>
        <v>4.9654150000575677E-5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input_454010!A$2</f>
        <v>454010</v>
      </c>
      <c r="B336" s="60">
        <v>1228</v>
      </c>
      <c r="C336" s="7" t="str">
        <f t="shared" ref="C336:C340" si="29">D336&amp;J336&amp;E336&amp;F336&amp;G336</f>
        <v>PremiumSS5R5only</v>
      </c>
      <c r="D336" s="98" t="str">
        <f t="shared" ref="D336:D340" si="3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>IFERROR(VLOOKUP(B336,input_454010!L:R,7,FALSE),VLOOKUP(tables_454010!C336,input_454010!A:H,8,FALSE))</f>
        <v>248399.99999999997</v>
      </c>
      <c r="P336" s="46">
        <f t="shared" ref="P336:P340" ca="1" si="31">O336/SUM(O:O)</f>
        <v>9.0000000001043429E-3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input_454010!A$2</f>
        <v>454010</v>
      </c>
      <c r="B337" s="60">
        <v>1226</v>
      </c>
      <c r="C337" s="7" t="str">
        <f t="shared" si="29"/>
        <v>PremiumSS5R5only</v>
      </c>
      <c r="D337" s="98" t="str">
        <f t="shared" si="3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>IFERROR(VLOOKUP(B337,input_454010!L:R,7,FALSE),VLOOKUP(tables_454010!C337,input_454010!A:H,8,FALSE))</f>
        <v>331200</v>
      </c>
      <c r="P337" s="46">
        <f t="shared" ca="1" si="31"/>
        <v>1.2000000000139125E-2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input_454010!A$2</f>
        <v>454010</v>
      </c>
      <c r="B338" s="60">
        <v>1230</v>
      </c>
      <c r="C338" s="7" t="str">
        <f t="shared" si="29"/>
        <v>PremiumSS5R5only</v>
      </c>
      <c r="D338" s="98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>IFERROR(VLOOKUP(B338,input_454010!L:R,7,FALSE),VLOOKUP(tables_454010!C338,input_454010!A:H,8,FALSE))</f>
        <v>331200</v>
      </c>
      <c r="P338" s="46">
        <f t="shared" ca="1" si="31"/>
        <v>1.2000000000139125E-2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input_454010!A$2</f>
        <v>454010</v>
      </c>
      <c r="B339" s="93">
        <v>1224</v>
      </c>
      <c r="C339" s="7" t="str">
        <f t="shared" si="29"/>
        <v>Premium4R3less</v>
      </c>
      <c r="D339" s="98" t="str">
        <f t="shared" si="3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>IFERROR(VLOOKUP(B339,input_454010!L:R,7,FALSE),VLOOKUP(tables_454010!C339,input_454010!A:H,8,FALSE))</f>
        <v>2228700</v>
      </c>
      <c r="P339" s="46">
        <f t="shared" ca="1" si="31"/>
        <v>8.0750000000936198E-2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input_454010!A$2</f>
        <v>454010</v>
      </c>
      <c r="B340" s="60">
        <v>1225</v>
      </c>
      <c r="C340" s="7" t="str">
        <f t="shared" si="29"/>
        <v>Premium5R3less</v>
      </c>
      <c r="D340" s="98" t="str">
        <f t="shared" si="3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>IFERROR(VLOOKUP(B340,input_454010!L:R,7,FALSE),VLOOKUP(tables_454010!C340,input_454010!A:H,8,FALSE))</f>
        <v>117300.00000000001</v>
      </c>
      <c r="P340" s="46">
        <f t="shared" ca="1" si="31"/>
        <v>4.2500000000492743E-3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3" sqref="L3:L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454100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1228</v>
      </c>
      <c r="M3" s="37" t="str">
        <f>VLOOKUP(L3,[1]characters!$A:$C,3,FALSE)</f>
        <v>芥川龍之介</v>
      </c>
      <c r="N3" s="63">
        <v>8.9999999999999993E-3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VLOOKUP(L3,tables_454100!B:C,2,FALSE)</f>
        <v>PremiumSS5R5only</v>
      </c>
      <c r="R3" s="62">
        <f t="shared" ref="R3:R20" si="1">N3*A$36</f>
        <v>248399.99999999997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1226</v>
      </c>
      <c r="M4" s="37" t="str">
        <f>VLOOKUP(L4,[1]characters!$A:$C,3,FALSE)</f>
        <v>トルストイ</v>
      </c>
      <c r="N4" s="63">
        <v>1.2E-2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VLOOKUP(L4,tables_454100!B:C,2,FALSE)</f>
        <v>PremiumSS5R5only</v>
      </c>
      <c r="R4" s="62">
        <f t="shared" si="1"/>
        <v>331200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2.8333333333333335E-4</v>
      </c>
      <c r="F5">
        <f>(COUNTIF(tables_454100!C:C,input_454100!A28)+COUNTIF(tables_454100!C:C,input_454100!A29))</f>
        <v>63</v>
      </c>
      <c r="H5" s="84">
        <v>3.3000000000000002E-2</v>
      </c>
      <c r="I5" s="31">
        <v>3</v>
      </c>
      <c r="L5" s="60">
        <v>1230</v>
      </c>
      <c r="M5" s="37" t="str">
        <f>VLOOKUP(L5,[1]characters!$A:$C,3,FALSE)</f>
        <v>夏目漱石</v>
      </c>
      <c r="N5" s="63">
        <v>1.2E-2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VLOOKUP(L5,tables_454100!B:C,2,FALSE)</f>
        <v>PremiumSS5R5only</v>
      </c>
      <c r="R5" s="62">
        <f t="shared" si="1"/>
        <v>331200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9.4021739130434774E-3</v>
      </c>
      <c r="F6">
        <f>(COUNTIF(tables_454100!C:C,input_454100!A25)+COUNTIF(tables_454100!C:C,input_454100!A18)+COUNTIF(tables_454100!C:C,input_454100!A20)+COUNTIF(tables_454100!C:C,input_454100!A22))</f>
        <v>93</v>
      </c>
      <c r="H6" s="89">
        <v>8.5000000000000006E-2</v>
      </c>
      <c r="I6" s="31">
        <v>1</v>
      </c>
      <c r="L6" s="93">
        <v>1224</v>
      </c>
      <c r="M6" s="37" t="str">
        <f>VLOOKUP(L6,[1]characters!$A:$C,3,FALSE)</f>
        <v>セルバンテス</v>
      </c>
      <c r="N6" s="63">
        <v>8.0750000000000002E-2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VLOOKUP(L6,tables_454100!B:C,2,FALSE)</f>
        <v>Premium4R3less</v>
      </c>
      <c r="R6" s="62">
        <f t="shared" si="1"/>
        <v>2228700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1225</v>
      </c>
      <c r="M7" s="37" t="str">
        <f>VLOOKUP(L7,[1]characters!$A:$C,3,FALSE)</f>
        <v>セルバンテス</v>
      </c>
      <c r="N7" s="63">
        <v>4.2500000000000003E-3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VLOOKUP(L7,tables_454100!B:C,2,FALSE)</f>
        <v>Premium5R3less</v>
      </c>
      <c r="R7" s="62">
        <f t="shared" si="1"/>
        <v>117300.00000000001</v>
      </c>
      <c r="S7">
        <v>597</v>
      </c>
      <c r="U7" s="33" t="s">
        <v>196</v>
      </c>
      <c r="V7" s="54">
        <f t="shared" si="0"/>
        <v>8.0750000000000002E-2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VLOOKUP(L8,tables_454100!B:C,2,FALSE)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4.2500000000000003E-3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VLOOKUP(L9,tables_454100!B:C,2,FALSE)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VLOOKUP(L10,tables_454100!B:C,2,FALSE)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VLOOKUP(L11,tables_454100!B:C,2,FALSE)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VLOOKUP(L12,tables_454100!B:C,2,FALSE)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VLOOKUP(L13,tables_454100!B:C,2,FALSE)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VLOOKUP(L14,tables_454100!B:C,2,FALSE)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3.3000000000000002E-2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VLOOKUP(L15,tables_454100!B:C,2,FALSE)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VLOOKUP(L16,tables_454100!B:C,2,FALSE)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COUNTIF(tables_454100!C:C,input_454100!A17)-COUNTIF(Q:Q,A17)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VLOOKUP(L17,tables_454100!B:C,2,FALSE)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0.24142528986376802</v>
      </c>
      <c r="C18" s="85">
        <f t="shared" si="2"/>
        <v>0</v>
      </c>
      <c r="D18" s="74">
        <f t="shared" si="3"/>
        <v>0.24142528986376802</v>
      </c>
      <c r="E18">
        <f>COUNTIF(tables_454100!C:C,input_454100!A18)-COUNTIF(Q:Q,A18)</f>
        <v>20</v>
      </c>
      <c r="F18" s="43">
        <f>IFERROR(B18/E18,0)</f>
        <v>1.2071264493188402E-2</v>
      </c>
      <c r="G18">
        <f t="shared" si="4"/>
        <v>6663338.0002399972</v>
      </c>
      <c r="H18">
        <f t="shared" si="5"/>
        <v>333166.90000999998</v>
      </c>
      <c r="I18">
        <f t="shared" si="6"/>
        <v>0.90000999998301268</v>
      </c>
      <c r="J18">
        <f t="shared" si="7"/>
        <v>1.1110987655902429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VLOOKUP(L18,tables_454100!B:C,2,FALSE)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COUNTIF(tables_454100!C:C,input_454100!A19)-COUNTIF(Q:Q,A19)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VLOOKUP(L19,tables_454100!B:C,2,FALSE)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0.44446739130434776</v>
      </c>
      <c r="C20" s="85">
        <f t="shared" si="2"/>
        <v>0</v>
      </c>
      <c r="D20" s="74">
        <f t="shared" si="3"/>
        <v>0.44446739130434776</v>
      </c>
      <c r="E20">
        <f>COUNTIF(tables_454100!C:C,input_454100!A20)-COUNTIF(Q:Q,A20)</f>
        <v>52</v>
      </c>
      <c r="F20" s="43">
        <f t="shared" si="8"/>
        <v>8.547449832775918E-3</v>
      </c>
      <c r="G20">
        <f t="shared" si="4"/>
        <v>12267299.999999998</v>
      </c>
      <c r="H20">
        <f t="shared" si="5"/>
        <v>235909.61538</v>
      </c>
      <c r="I20">
        <f t="shared" si="6"/>
        <v>0.61538000000291504</v>
      </c>
      <c r="J20">
        <f t="shared" si="7"/>
        <v>1.6250121875837094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VLOOKUP(L20,tables_454100!B:C,2,FALSE)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3.1384057971015067E-4</v>
      </c>
      <c r="C21" s="85">
        <f t="shared" si="2"/>
        <v>0</v>
      </c>
      <c r="D21" s="74">
        <f t="shared" si="3"/>
        <v>3.1384057971015067E-4</v>
      </c>
      <c r="E21">
        <f>COUNTIF(tables_454100!C:C,input_454100!A21)-COUNTIF(Q:Q,A21)</f>
        <v>52</v>
      </c>
      <c r="F21" s="43">
        <f t="shared" si="8"/>
        <v>6.0353957636567434E-6</v>
      </c>
      <c r="G21">
        <f t="shared" si="4"/>
        <v>8662.0000000001583</v>
      </c>
      <c r="H21">
        <f t="shared" si="5"/>
        <v>166.57692</v>
      </c>
      <c r="I21">
        <f t="shared" si="6"/>
        <v>0.57692000000000121</v>
      </c>
      <c r="J21">
        <f t="shared" si="7"/>
        <v>1.7333425778270781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0.14009239130434784</v>
      </c>
      <c r="C22" s="85">
        <f t="shared" si="2"/>
        <v>8.0750000000000002E-2</v>
      </c>
      <c r="D22" s="74">
        <f t="shared" si="3"/>
        <v>5.9342391304347833E-2</v>
      </c>
      <c r="E22">
        <f>COUNTIF(tables_454100!C:C,input_454100!A22)-COUNTIF(Q:Q,A22)</f>
        <v>16</v>
      </c>
      <c r="F22" s="43">
        <f t="shared" si="8"/>
        <v>8.7557744565217397E-3</v>
      </c>
      <c r="G22">
        <f t="shared" si="4"/>
        <v>3866550.0000000005</v>
      </c>
      <c r="H22">
        <f t="shared" si="5"/>
        <v>241659.375</v>
      </c>
      <c r="I22">
        <f t="shared" si="6"/>
        <v>0.375</v>
      </c>
      <c r="J22">
        <f t="shared" si="7"/>
        <v>2.6666666666666665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1.0923913028054854E-3</v>
      </c>
      <c r="C23" s="85">
        <f t="shared" si="2"/>
        <v>4.2500000000000003E-3</v>
      </c>
      <c r="D23" s="74">
        <f t="shared" si="3"/>
        <v>-3.1576086971945149E-3</v>
      </c>
      <c r="E23">
        <f>COUNTIF(tables_454100!C:C,input_454100!A23)-COUNTIF(Q:Q,A23)</f>
        <v>22</v>
      </c>
      <c r="F23" s="43">
        <f t="shared" si="8"/>
        <v>4.9654150127522063E-5</v>
      </c>
      <c r="G23">
        <f t="shared" si="4"/>
        <v>30149.999957431395</v>
      </c>
      <c r="H23">
        <f t="shared" si="5"/>
        <v>1370.45454</v>
      </c>
      <c r="I23">
        <f t="shared" si="6"/>
        <v>0.45453999999995176</v>
      </c>
      <c r="J23">
        <f t="shared" si="7"/>
        <v>2.2000264003170371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COUNTIF(tables_454100!C:C,input_454100!A24)-COUNTIF(Q:Q,A24)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3.5728260869565209E-2</v>
      </c>
      <c r="C25" s="85">
        <f t="shared" si="2"/>
        <v>0</v>
      </c>
      <c r="D25" s="74">
        <f t="shared" si="3"/>
        <v>3.5728260869565209E-2</v>
      </c>
      <c r="E25">
        <f>COUNTIF(tables_454100!C:C,input_454100!A25)-COUNTIF(Q:Q,A25)</f>
        <v>4</v>
      </c>
      <c r="F25" s="43">
        <f t="shared" si="8"/>
        <v>8.9320652173913023E-3</v>
      </c>
      <c r="G25">
        <f t="shared" si="4"/>
        <v>986099.99999999977</v>
      </c>
      <c r="H25">
        <f t="shared" si="5"/>
        <v>246525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1.8804347826086956E-3</v>
      </c>
      <c r="C26" s="85">
        <f t="shared" si="2"/>
        <v>0</v>
      </c>
      <c r="D26" s="74">
        <f t="shared" si="3"/>
        <v>1.8804347826086956E-3</v>
      </c>
      <c r="E26">
        <f>COUNTIF(tables_454100!C:C,input_454100!A26)-COUNTIF(Q:Q,A26)</f>
        <v>4</v>
      </c>
      <c r="F26" s="43">
        <f t="shared" si="8"/>
        <v>4.7010869565217389E-4</v>
      </c>
      <c r="G26">
        <f t="shared" si="4"/>
        <v>51900</v>
      </c>
      <c r="H26">
        <f t="shared" si="5"/>
        <v>12975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7.5366666666666672E-3</v>
      </c>
      <c r="C27" s="85">
        <f t="shared" si="2"/>
        <v>0</v>
      </c>
      <c r="D27" s="74">
        <f t="shared" si="3"/>
        <v>7.5366666666666672E-3</v>
      </c>
      <c r="E27">
        <f>COUNTIF(tables_454100!C:C,input_454100!A27)-COUNTIF(Q:Q,A27)</f>
        <v>28</v>
      </c>
      <c r="F27" s="43">
        <f>IFERROR(B27/E27,0)</f>
        <v>2.6916666666666669E-4</v>
      </c>
      <c r="G27">
        <f t="shared" si="4"/>
        <v>208012.00000000003</v>
      </c>
      <c r="H27">
        <f t="shared" si="5"/>
        <v>7429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3.966666666666667E-4</v>
      </c>
      <c r="C28" s="85">
        <f t="shared" si="2"/>
        <v>0</v>
      </c>
      <c r="D28" s="74">
        <f t="shared" si="3"/>
        <v>3.966666666666667E-4</v>
      </c>
      <c r="E28">
        <f>COUNTIF(tables_454100!C:C,input_454100!A28)-COUNTIF(Q:Q,A28)</f>
        <v>28</v>
      </c>
      <c r="F28" s="43">
        <f t="shared" si="8"/>
        <v>1.4166666666666668E-5</v>
      </c>
      <c r="G28">
        <f t="shared" si="4"/>
        <v>10948</v>
      </c>
      <c r="H28">
        <f t="shared" si="5"/>
        <v>391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9.0666666666666673E-3</v>
      </c>
      <c r="C29" s="85">
        <f t="shared" si="2"/>
        <v>3.3000000000000002E-2</v>
      </c>
      <c r="D29" s="74">
        <f t="shared" si="3"/>
        <v>-2.3933333333333334E-2</v>
      </c>
      <c r="E29">
        <f>COUNTIF(tables_454100!C:C,input_454100!A29)-COUNTIF(Q:Q,A29)</f>
        <v>32</v>
      </c>
      <c r="F29" s="43">
        <f t="shared" si="8"/>
        <v>2.8333333333333335E-4</v>
      </c>
      <c r="G29">
        <f t="shared" si="4"/>
        <v>250240.00000000003</v>
      </c>
      <c r="H29">
        <f t="shared" si="5"/>
        <v>7820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COUNTIF(tables_454100!C:C,input_454100!A30)-COUNTIF(Q:Q,A30)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COUNTIF(tables_454100!C:C,input_454100!A31)-COUNTIF(Q:Q,A31)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0.88200000000715317</v>
      </c>
      <c r="C32" s="41">
        <f>SUM(C19:C31)</f>
        <v>0.11800000000000001</v>
      </c>
      <c r="D32" s="42">
        <f t="shared" si="3"/>
        <v>0.76400000000715318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3.3381811602898492E-2</v>
      </c>
      <c r="F34" s="55">
        <f ca="1">0.45-G41</f>
        <v>-0.49999999999855133</v>
      </c>
    </row>
    <row r="35" spans="1:7" x14ac:dyDescent="0.15">
      <c r="A35" t="s">
        <v>73</v>
      </c>
      <c r="E35">
        <v>3.7250000001542341E-2</v>
      </c>
      <c r="F35">
        <f ca="1">G42-0.05</f>
        <v>-1.0144926565480716E-11</v>
      </c>
    </row>
    <row r="36" spans="1:7" x14ac:dyDescent="0.15">
      <c r="A36" s="31">
        <f>LCM(F5-I5,F6-I6)*1000*2*2*5</f>
        <v>27600000</v>
      </c>
      <c r="E36">
        <f>E35-0.028</f>
        <v>9.2500000015423404E-3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SUMIF(tables_454100!C:C,input_454100!A40,tables_454100!O:O)</f>
        <v>0</v>
      </c>
      <c r="C40" s="54">
        <f t="shared" ref="C40:C46" ca="1" si="9">B40/B$47</f>
        <v>0</v>
      </c>
      <c r="E40">
        <v>3</v>
      </c>
      <c r="F40">
        <f ca="1">SUMIF(tables_454100!J:J,input_454100!E40,tables_454100!O:O)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SUMIF(tables_454100!C:C,input_454100!A41,tables_454100!O:O)</f>
        <v>12267299.999760009</v>
      </c>
      <c r="C41" s="54">
        <f t="shared" ca="1" si="9"/>
        <v>0.98178283947292444</v>
      </c>
      <c r="E41">
        <v>4</v>
      </c>
      <c r="F41">
        <f ca="1">SUMIF(tables_454100!J:J,input_454100!E41,tables_454100!O:O)</f>
        <v>26219999.999960016</v>
      </c>
      <c r="G41">
        <f ca="1">F41/A36</f>
        <v>0.94999999999855134</v>
      </c>
    </row>
    <row r="42" spans="1:7" x14ac:dyDescent="0.15">
      <c r="A42" s="33" t="s">
        <v>106</v>
      </c>
      <c r="B42">
        <f ca="1">SUMIF(tables_454100!C:C,input_454100!A42,tables_454100!O:O)</f>
        <v>208012</v>
      </c>
      <c r="C42" s="54">
        <f t="shared" ca="1" si="9"/>
        <v>1.6647722971512662E-2</v>
      </c>
      <c r="E42">
        <v>5</v>
      </c>
      <c r="F42">
        <f ca="1">SUMIF(tables_454100!J:J,input_454100!E42,tables_454100!O:O)</f>
        <v>1379999.9997200002</v>
      </c>
      <c r="G42">
        <f ca="1">F42/A36</f>
        <v>4.9999999989855076E-2</v>
      </c>
    </row>
    <row r="43" spans="1:7" x14ac:dyDescent="0.15">
      <c r="A43" s="33" t="s">
        <v>109</v>
      </c>
      <c r="B43">
        <f>SUMIF(tables_454100!C:C,input_454100!A43,tables_454100!O:O)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SUMIF(tables_454100!C:C,input_454100!A44,tables_454100!O:O)</f>
        <v>8661.9998400000095</v>
      </c>
      <c r="C44" s="54">
        <f t="shared" ca="1" si="9"/>
        <v>6.9324160969370593E-4</v>
      </c>
      <c r="E44" t="s">
        <v>54</v>
      </c>
      <c r="F44" s="55"/>
    </row>
    <row r="45" spans="1:7" x14ac:dyDescent="0.15">
      <c r="A45" s="33" t="s">
        <v>107</v>
      </c>
      <c r="B45">
        <f ca="1">SUMIF(tables_454100!C:C,input_454100!A45,tables_454100!O:O)</f>
        <v>10948</v>
      </c>
      <c r="C45" s="54">
        <f t="shared" ca="1" si="9"/>
        <v>8.7619594586908745E-4</v>
      </c>
      <c r="E45" t="s">
        <v>204</v>
      </c>
      <c r="F45" s="55">
        <f ca="1">SUMIF(tables_454100!I:I,input_454100!E45,tables_454100!P:P)</f>
        <v>0.24172321476512143</v>
      </c>
    </row>
    <row r="46" spans="1:7" x14ac:dyDescent="0.15">
      <c r="A46" s="33" t="s">
        <v>108</v>
      </c>
      <c r="B46">
        <f>SUMIF(tables_454100!C:C,input_454100!A46,tables_454100!O:O)</f>
        <v>0</v>
      </c>
      <c r="C46" s="54">
        <f t="shared" ca="1" si="9"/>
        <v>0</v>
      </c>
      <c r="E46" t="s">
        <v>205</v>
      </c>
      <c r="F46" s="55">
        <f ca="1">SUMIF(tables_454100!I:I,input_454100!E46,tables_454100!P:P)</f>
        <v>0.17361577062157815</v>
      </c>
    </row>
    <row r="47" spans="1:7" x14ac:dyDescent="0.15">
      <c r="A47" s="39" t="s">
        <v>59</v>
      </c>
      <c r="B47">
        <f ca="1">SUM(B40:B46)</f>
        <v>12494921.99960001</v>
      </c>
      <c r="C47" s="55">
        <f ca="1">SUM(C40:C46)</f>
        <v>0.99999999999999989</v>
      </c>
      <c r="E47" t="s">
        <v>206</v>
      </c>
      <c r="F47" s="55">
        <f ca="1">SUMIF(tables_454100!I:I,input_454100!E47,tables_454100!P:P)</f>
        <v>0.53466101461272042</v>
      </c>
    </row>
    <row r="48" spans="1:7" x14ac:dyDescent="0.15">
      <c r="E48" t="s">
        <v>207</v>
      </c>
      <c r="F48" s="55">
        <f ca="1">SUMIF(tables_454100!I:I,input_454100!E48,tables_454100!P:P)</f>
        <v>3.958333333379227E-2</v>
      </c>
    </row>
    <row r="49" spans="5:6" x14ac:dyDescent="0.15">
      <c r="E49" t="s">
        <v>252</v>
      </c>
      <c r="F49" s="55">
        <f ca="1">SUMIF(tables_454100!I:I,input_454100!E49,tables_454100!P:P)</f>
        <v>1.0416666666787434E-2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308" activePane="bottomLeft" state="frozen"/>
      <selection activeCell="D34" sqref="D34"/>
      <selection pane="bottomLeft" activeCell="C335" sqref="C335:V3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input_454100!A$2</f>
        <v>454100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IFERROR(VLOOKUP(B2,input_454100!L:R,7,FALSE),VLOOKUP(tables_454100!C2,input_454100!A:H,8,FALSE))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input_454100!A$2</f>
        <v>454100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IFERROR(VLOOKUP(B3,input_454100!L:R,7,FALSE),VLOOKUP(tables_454100!C3,input_454100!A:H,8,FALSE))</f>
        <v>333166.90000999998</v>
      </c>
      <c r="P3" s="46">
        <f t="shared" ca="1" si="1"/>
        <v>1.2071264493255893E-2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input_454100!A$2</f>
        <v>454100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IFERROR(VLOOKUP(B4,input_454100!L:R,7,FALSE),VLOOKUP(tables_454100!C4,input_454100!A:H,8,FALSE))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input_454100!A$2</f>
        <v>454100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IFERROR(VLOOKUP(B5,input_454100!L:R,7,FALSE),VLOOKUP(tables_454100!C5,input_454100!A:H,8,FALSE))</f>
        <v>333166.90000999998</v>
      </c>
      <c r="P5" s="46">
        <f t="shared" ca="1" si="1"/>
        <v>1.2071264493255893E-2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input_454100!A$2</f>
        <v>454100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IFERROR(VLOOKUP(B6,input_454100!L:R,7,FALSE),VLOOKUP(tables_454100!C6,input_454100!A:H,8,FALSE))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input_454100!A$2</f>
        <v>454100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IFERROR(VLOOKUP(B7,input_454100!L:R,7,FALSE),VLOOKUP(tables_454100!C7,input_454100!A:H,8,FALSE))</f>
        <v>333166.90000999998</v>
      </c>
      <c r="P7" s="46">
        <f t="shared" ca="1" si="1"/>
        <v>1.2071264493255893E-2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input_454100!A$2</f>
        <v>454100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IFERROR(VLOOKUP(B8,input_454100!L:R,7,FALSE),VLOOKUP(tables_454100!C8,input_454100!A:H,8,FALSE))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input_454100!A$2</f>
        <v>454100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IFERROR(VLOOKUP(B9,input_454100!L:R,7,FALSE),VLOOKUP(tables_454100!C9,input_454100!A:H,8,FALSE))</f>
        <v>333166.90000999998</v>
      </c>
      <c r="P9" s="46">
        <f t="shared" ca="1" si="1"/>
        <v>1.2071264493255893E-2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input_454100!A$2</f>
        <v>454100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IFERROR(VLOOKUP(B10,input_454100!L:R,7,FALSE),VLOOKUP(tables_454100!C10,input_454100!A:H,8,FALSE))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input_454100!A$2</f>
        <v>454100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IFERROR(VLOOKUP(B11,input_454100!L:R,7,FALSE),VLOOKUP(tables_454100!C11,input_454100!A:H,8,FALSE))</f>
        <v>333166.90000999998</v>
      </c>
      <c r="P11" s="46">
        <f t="shared" ca="1" si="1"/>
        <v>1.2071264493255893E-2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input_454100!A$2</f>
        <v>454100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IFERROR(VLOOKUP(B12,input_454100!L:R,7,FALSE),VLOOKUP(tables_454100!C12,input_454100!A:H,8,FALSE))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input_454100!A$2</f>
        <v>454100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IFERROR(VLOOKUP(B13,input_454100!L:R,7,FALSE),VLOOKUP(tables_454100!C13,input_454100!A:H,8,FALSE))</f>
        <v>333166.90000999998</v>
      </c>
      <c r="P13" s="46">
        <f t="shared" ca="1" si="1"/>
        <v>1.2071264493255893E-2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input_454100!A$2</f>
        <v>454100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IFERROR(VLOOKUP(B14,input_454100!L:R,7,FALSE),VLOOKUP(tables_454100!C14,input_454100!A:H,8,FALSE))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input_454100!A$2</f>
        <v>454100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IFERROR(VLOOKUP(B15,input_454100!L:R,7,FALSE),VLOOKUP(tables_454100!C15,input_454100!A:H,8,FALSE))</f>
        <v>333166.90000999998</v>
      </c>
      <c r="P15" s="46">
        <f t="shared" ca="1" si="1"/>
        <v>1.2071264493255893E-2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input_454100!A$2</f>
        <v>454100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IFERROR(VLOOKUP(B16,input_454100!L:R,7,FALSE),VLOOKUP(tables_454100!C16,input_454100!A:H,8,FALSE))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input_454100!A$2</f>
        <v>454100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IFERROR(VLOOKUP(B17,input_454100!L:R,7,FALSE),VLOOKUP(tables_454100!C17,input_454100!A:H,8,FALSE))</f>
        <v>333166.90000999998</v>
      </c>
      <c r="P17" s="46">
        <f t="shared" ca="1" si="1"/>
        <v>1.2071264493255893E-2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input_454100!A$2</f>
        <v>454100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IFERROR(VLOOKUP(B18,input_454100!L:R,7,FALSE),VLOOKUP(tables_454100!C18,input_454100!A:H,8,FALSE))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input_454100!A$2</f>
        <v>454100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IFERROR(VLOOKUP(B19,input_454100!L:R,7,FALSE),VLOOKUP(tables_454100!C19,input_454100!A:H,8,FALSE))</f>
        <v>333166.90000999998</v>
      </c>
      <c r="P19" s="46">
        <f t="shared" ca="1" si="1"/>
        <v>1.2071264493255893E-2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input_454100!A$2</f>
        <v>454100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IFERROR(VLOOKUP(B20,input_454100!L:R,7,FALSE),VLOOKUP(tables_454100!C20,input_454100!A:H,8,FALSE))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input_454100!A$2</f>
        <v>454100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IFERROR(VLOOKUP(B21,input_454100!L:R,7,FALSE),VLOOKUP(tables_454100!C21,input_454100!A:H,8,FALSE))</f>
        <v>333166.90000999998</v>
      </c>
      <c r="P21" s="46">
        <f t="shared" ca="1" si="1"/>
        <v>1.2071264493255893E-2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input_454100!A$2</f>
        <v>454100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IFERROR(VLOOKUP(B22,input_454100!L:R,7,FALSE),VLOOKUP(tables_454100!C22,input_454100!A:H,8,FALSE))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input_454100!A$2</f>
        <v>454100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IFERROR(VLOOKUP(B23,input_454100!L:R,7,FALSE),VLOOKUP(tables_454100!C23,input_454100!A:H,8,FALSE))</f>
        <v>333166.90000999998</v>
      </c>
      <c r="P23" s="46">
        <f t="shared" ca="1" si="1"/>
        <v>1.2071264493255893E-2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input_454100!A$2</f>
        <v>454100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IFERROR(VLOOKUP(B24,input_454100!L:R,7,FALSE),VLOOKUP(tables_454100!C24,input_454100!A:H,8,FALSE))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input_454100!A$2</f>
        <v>454100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IFERROR(VLOOKUP(B25,input_454100!L:R,7,FALSE),VLOOKUP(tables_454100!C25,input_454100!A:H,8,FALSE))</f>
        <v>333166.90000999998</v>
      </c>
      <c r="P25" s="46">
        <f t="shared" ca="1" si="1"/>
        <v>1.2071264493255893E-2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input_454100!A$2</f>
        <v>454100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IFERROR(VLOOKUP(B26,input_454100!L:R,7,FALSE),VLOOKUP(tables_454100!C26,input_454100!A:H,8,FALSE))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input_454100!A$2</f>
        <v>454100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IFERROR(VLOOKUP(B27,input_454100!L:R,7,FALSE),VLOOKUP(tables_454100!C27,input_454100!A:H,8,FALSE))</f>
        <v>333166.90000999998</v>
      </c>
      <c r="P27" s="46">
        <f t="shared" ca="1" si="1"/>
        <v>1.2071264493255893E-2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input_454100!A$2</f>
        <v>454100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IFERROR(VLOOKUP(B28,input_454100!L:R,7,FALSE),VLOOKUP(tables_454100!C28,input_454100!A:H,8,FALSE))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input_454100!A$2</f>
        <v>454100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IFERROR(VLOOKUP(B29,input_454100!L:R,7,FALSE),VLOOKUP(tables_454100!C29,input_454100!A:H,8,FALSE))</f>
        <v>333166.90000999998</v>
      </c>
      <c r="P29" s="46">
        <f t="shared" ca="1" si="1"/>
        <v>1.2071264493255893E-2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input_454100!A$2</f>
        <v>454100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IFERROR(VLOOKUP(B30,input_454100!L:R,7,FALSE),VLOOKUP(tables_454100!C30,input_454100!A:H,8,FALSE))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input_454100!A$2</f>
        <v>454100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IFERROR(VLOOKUP(B31,input_454100!L:R,7,FALSE),VLOOKUP(tables_454100!C31,input_454100!A:H,8,FALSE))</f>
        <v>333166.90000999998</v>
      </c>
      <c r="P31" s="46">
        <f t="shared" ca="1" si="1"/>
        <v>1.2071264493255893E-2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input_454100!A$2</f>
        <v>454100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IFERROR(VLOOKUP(B32,input_454100!L:R,7,FALSE),VLOOKUP(tables_454100!C32,input_454100!A:H,8,FALSE))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input_454100!A$2</f>
        <v>454100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IFERROR(VLOOKUP(B33,input_454100!L:R,7,FALSE),VLOOKUP(tables_454100!C33,input_454100!A:H,8,FALSE))</f>
        <v>333166.90000999998</v>
      </c>
      <c r="P33" s="46">
        <f t="shared" ca="1" si="1"/>
        <v>1.2071264493255893E-2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input_454100!A$2</f>
        <v>454100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IFERROR(VLOOKUP(B34,input_454100!L:R,7,FALSE),VLOOKUP(tables_454100!C34,input_454100!A:H,8,FALSE))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input_454100!A$2</f>
        <v>454100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IFERROR(VLOOKUP(B35,input_454100!L:R,7,FALSE),VLOOKUP(tables_454100!C35,input_454100!A:H,8,FALSE))</f>
        <v>333166.90000999998</v>
      </c>
      <c r="P35" s="46">
        <f t="shared" ca="1" si="1"/>
        <v>1.2071264493255893E-2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input_454100!A$2</f>
        <v>454100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IFERROR(VLOOKUP(B36,input_454100!L:R,7,FALSE),VLOOKUP(tables_454100!C36,input_454100!A:H,8,FALSE))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input_454100!A$2</f>
        <v>454100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IFERROR(VLOOKUP(B37,input_454100!L:R,7,FALSE),VLOOKUP(tables_454100!C37,input_454100!A:H,8,FALSE))</f>
        <v>333166.90000999998</v>
      </c>
      <c r="P37" s="46">
        <f t="shared" ca="1" si="1"/>
        <v>1.2071264493255893E-2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input_454100!A$2</f>
        <v>454100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IFERROR(VLOOKUP(B38,input_454100!L:R,7,FALSE),VLOOKUP(tables_454100!C38,input_454100!A:H,8,FALSE))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input_454100!A$2</f>
        <v>454100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IFERROR(VLOOKUP(B39,input_454100!L:R,7,FALSE),VLOOKUP(tables_454100!C39,input_454100!A:H,8,FALSE))</f>
        <v>333166.90000999998</v>
      </c>
      <c r="P39" s="46">
        <f t="shared" ca="1" si="1"/>
        <v>1.2071264493255893E-2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input_454100!A$2</f>
        <v>454100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IFERROR(VLOOKUP(B40,input_454100!L:R,7,FALSE),VLOOKUP(tables_454100!C40,input_454100!A:H,8,FALSE))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input_454100!A$2</f>
        <v>454100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IFERROR(VLOOKUP(B41,input_454100!L:R,7,FALSE),VLOOKUP(tables_454100!C41,input_454100!A:H,8,FALSE))</f>
        <v>333166.90000999998</v>
      </c>
      <c r="P41" s="46">
        <f t="shared" ca="1" si="1"/>
        <v>1.2071264493255893E-2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input_454100!A$2</f>
        <v>454100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IFERROR(VLOOKUP(B42,input_454100!L:R,7,FALSE),VLOOKUP(tables_454100!C42,input_454100!A:H,8,FALSE))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input_454100!A$2</f>
        <v>454100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IFERROR(VLOOKUP(B43,input_454100!L:R,7,FALSE),VLOOKUP(tables_454100!C43,input_454100!A:H,8,FALSE))</f>
        <v>246525</v>
      </c>
      <c r="P43" s="46">
        <f t="shared" ca="1" si="1"/>
        <v>8.9320652174948601E-3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input_454100!A$2</f>
        <v>454100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IFERROR(VLOOKUP(B44,input_454100!L:R,7,FALSE),VLOOKUP(tables_454100!C44,input_454100!A:H,8,FALSE))</f>
        <v>12975</v>
      </c>
      <c r="P44" s="46">
        <f t="shared" ca="1" si="1"/>
        <v>4.7010869565762423E-4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input_454100!A$2</f>
        <v>454100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IFERROR(VLOOKUP(B45,input_454100!L:R,7,FALSE),VLOOKUP(tables_454100!C45,input_454100!A:H,8,FALSE))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input_454100!A$2</f>
        <v>454100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IFERROR(VLOOKUP(B46,input_454100!L:R,7,FALSE),VLOOKUP(tables_454100!C46,input_454100!A:H,8,FALSE))</f>
        <v>246525</v>
      </c>
      <c r="P46" s="46">
        <f t="shared" ca="1" si="1"/>
        <v>8.9320652174948601E-3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input_454100!A$2</f>
        <v>454100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IFERROR(VLOOKUP(B47,input_454100!L:R,7,FALSE),VLOOKUP(tables_454100!C47,input_454100!A:H,8,FALSE))</f>
        <v>12975</v>
      </c>
      <c r="P47" s="46">
        <f t="shared" ca="1" si="1"/>
        <v>4.7010869565762423E-4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input_454100!A$2</f>
        <v>454100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IFERROR(VLOOKUP(B48,input_454100!L:R,7,FALSE),VLOOKUP(tables_454100!C48,input_454100!A:H,8,FALSE))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input_454100!A$2</f>
        <v>454100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IFERROR(VLOOKUP(B49,input_454100!L:R,7,FALSE),VLOOKUP(tables_454100!C49,input_454100!A:H,8,FALSE))</f>
        <v>246525</v>
      </c>
      <c r="P49" s="46">
        <f t="shared" ca="1" si="1"/>
        <v>8.9320652174948601E-3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input_454100!A$2</f>
        <v>454100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IFERROR(VLOOKUP(B50,input_454100!L:R,7,FALSE),VLOOKUP(tables_454100!C50,input_454100!A:H,8,FALSE))</f>
        <v>12975</v>
      </c>
      <c r="P50" s="46">
        <f t="shared" ca="1" si="1"/>
        <v>4.7010869565762423E-4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input_454100!A$2</f>
        <v>454100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IFERROR(VLOOKUP(B51,input_454100!L:R,7,FALSE),VLOOKUP(tables_454100!C51,input_454100!A:H,8,FALSE))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input_454100!A$2</f>
        <v>454100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IFERROR(VLOOKUP(B52,input_454100!L:R,7,FALSE),VLOOKUP(tables_454100!C52,input_454100!A:H,8,FALSE))</f>
        <v>235909.61538</v>
      </c>
      <c r="P52" s="46">
        <f t="shared" ca="1" si="1"/>
        <v>8.547449832707792E-3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input_454100!A$2</f>
        <v>454100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IFERROR(VLOOKUP(B53,input_454100!L:R,7,FALSE),VLOOKUP(tables_454100!C53,input_454100!A:H,8,FALSE))</f>
        <v>166.57692</v>
      </c>
      <c r="P53" s="46">
        <f t="shared" ca="1" si="1"/>
        <v>6.0353956522438859E-6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input_454100!A$2</f>
        <v>454100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IFERROR(VLOOKUP(B54,input_454100!L:R,7,FALSE),VLOOKUP(tables_454100!C54,input_454100!A:H,8,FALSE))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input_454100!A$2</f>
        <v>454100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IFERROR(VLOOKUP(B55,input_454100!L:R,7,FALSE),VLOOKUP(tables_454100!C55,input_454100!A:H,8,FALSE))</f>
        <v>235909.61538</v>
      </c>
      <c r="P55" s="46">
        <f t="shared" ca="1" si="1"/>
        <v>8.547449832707792E-3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input_454100!A$2</f>
        <v>454100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IFERROR(VLOOKUP(B56,input_454100!L:R,7,FALSE),VLOOKUP(tables_454100!C56,input_454100!A:H,8,FALSE))</f>
        <v>166.57692</v>
      </c>
      <c r="P56" s="46">
        <f t="shared" ca="1" si="1"/>
        <v>6.0353956522438859E-6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input_454100!A$2</f>
        <v>454100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IFERROR(VLOOKUP(B57,input_454100!L:R,7,FALSE),VLOOKUP(tables_454100!C57,input_454100!A:H,8,FALSE))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input_454100!A$2</f>
        <v>454100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IFERROR(VLOOKUP(B58,input_454100!L:R,7,FALSE),VLOOKUP(tables_454100!C58,input_454100!A:H,8,FALSE))</f>
        <v>235909.61538</v>
      </c>
      <c r="P58" s="46">
        <f t="shared" ca="1" si="1"/>
        <v>8.547449832707792E-3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input_454100!A$2</f>
        <v>454100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IFERROR(VLOOKUP(B59,input_454100!L:R,7,FALSE),VLOOKUP(tables_454100!C59,input_454100!A:H,8,FALSE))</f>
        <v>166.57692</v>
      </c>
      <c r="P59" s="46">
        <f t="shared" ca="1" si="1"/>
        <v>6.0353956522438859E-6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input_454100!A$2</f>
        <v>454100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IFERROR(VLOOKUP(B60,input_454100!L:R,7,FALSE),VLOOKUP(tables_454100!C60,input_454100!A:H,8,FALSE))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input_454100!A$2</f>
        <v>454100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IFERROR(VLOOKUP(B61,input_454100!L:R,7,FALSE),VLOOKUP(tables_454100!C61,input_454100!A:H,8,FALSE))</f>
        <v>235909.61538</v>
      </c>
      <c r="P61" s="46">
        <f t="shared" ca="1" si="1"/>
        <v>8.547449832707792E-3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input_454100!A$2</f>
        <v>454100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IFERROR(VLOOKUP(B62,input_454100!L:R,7,FALSE),VLOOKUP(tables_454100!C62,input_454100!A:H,8,FALSE))</f>
        <v>166.57692</v>
      </c>
      <c r="P62" s="46">
        <f t="shared" ca="1" si="1"/>
        <v>6.0353956522438859E-6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input_454100!A$2</f>
        <v>454100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IFERROR(VLOOKUP(B63,input_454100!L:R,7,FALSE),VLOOKUP(tables_454100!C63,input_454100!A:H,8,FALSE))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input_454100!A$2</f>
        <v>454100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IFERROR(VLOOKUP(B64,input_454100!L:R,7,FALSE),VLOOKUP(tables_454100!C64,input_454100!A:H,8,FALSE))</f>
        <v>235909.61538</v>
      </c>
      <c r="P64" s="46">
        <f t="shared" ca="1" si="1"/>
        <v>8.547449832707792E-3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input_454100!A$2</f>
        <v>454100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IFERROR(VLOOKUP(B65,input_454100!L:R,7,FALSE),VLOOKUP(tables_454100!C65,input_454100!A:H,8,FALSE))</f>
        <v>166.57692</v>
      </c>
      <c r="P65" s="46">
        <f t="shared" ca="1" si="1"/>
        <v>6.0353956522438859E-6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input_454100!A$2</f>
        <v>454100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IFERROR(VLOOKUP(B66,input_454100!L:R,7,FALSE),VLOOKUP(tables_454100!C66,input_454100!A:H,8,FALSE))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input_454100!A$2</f>
        <v>454100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IFERROR(VLOOKUP(B67,input_454100!L:R,7,FALSE),VLOOKUP(tables_454100!C67,input_454100!A:H,8,FALSE))</f>
        <v>235909.61538</v>
      </c>
      <c r="P67" s="46">
        <f t="shared" ca="1" si="4"/>
        <v>8.547449832707792E-3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input_454100!A$2</f>
        <v>454100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IFERROR(VLOOKUP(B68,input_454100!L:R,7,FALSE),VLOOKUP(tables_454100!C68,input_454100!A:H,8,FALSE))</f>
        <v>166.57692</v>
      </c>
      <c r="P68" s="46">
        <f t="shared" ca="1" si="4"/>
        <v>6.0353956522438859E-6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input_454100!A$2</f>
        <v>454100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IFERROR(VLOOKUP(B69,input_454100!L:R,7,FALSE),VLOOKUP(tables_454100!C69,input_454100!A:H,8,FALSE))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input_454100!A$2</f>
        <v>454100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IFERROR(VLOOKUP(B70,input_454100!L:R,7,FALSE),VLOOKUP(tables_454100!C70,input_454100!A:H,8,FALSE))</f>
        <v>235909.61538</v>
      </c>
      <c r="P70" s="46">
        <f t="shared" ca="1" si="4"/>
        <v>8.547449832707792E-3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input_454100!A$2</f>
        <v>454100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IFERROR(VLOOKUP(B71,input_454100!L:R,7,FALSE),VLOOKUP(tables_454100!C71,input_454100!A:H,8,FALSE))</f>
        <v>166.57692</v>
      </c>
      <c r="P71" s="46">
        <f t="shared" ca="1" si="4"/>
        <v>6.0353956522438859E-6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input_454100!A$2</f>
        <v>454100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IFERROR(VLOOKUP(B72,input_454100!L:R,7,FALSE),VLOOKUP(tables_454100!C72,input_454100!A:H,8,FALSE))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input_454100!A$2</f>
        <v>454100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IFERROR(VLOOKUP(B73,input_454100!L:R,7,FALSE),VLOOKUP(tables_454100!C73,input_454100!A:H,8,FALSE))</f>
        <v>235909.61538</v>
      </c>
      <c r="P73" s="46">
        <f t="shared" ca="1" si="4"/>
        <v>8.547449832707792E-3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input_454100!A$2</f>
        <v>454100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IFERROR(VLOOKUP(B74,input_454100!L:R,7,FALSE),VLOOKUP(tables_454100!C74,input_454100!A:H,8,FALSE))</f>
        <v>166.57692</v>
      </c>
      <c r="P74" s="46">
        <f t="shared" ca="1" si="4"/>
        <v>6.0353956522438859E-6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input_454100!A$2</f>
        <v>454100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IFERROR(VLOOKUP(B75,input_454100!L:R,7,FALSE),VLOOKUP(tables_454100!C75,input_454100!A:H,8,FALSE))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input_454100!A$2</f>
        <v>454100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IFERROR(VLOOKUP(B76,input_454100!L:R,7,FALSE),VLOOKUP(tables_454100!C76,input_454100!A:H,8,FALSE))</f>
        <v>235909.61538</v>
      </c>
      <c r="P76" s="46">
        <f t="shared" ca="1" si="4"/>
        <v>8.547449832707792E-3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input_454100!A$2</f>
        <v>454100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IFERROR(VLOOKUP(B77,input_454100!L:R,7,FALSE),VLOOKUP(tables_454100!C77,input_454100!A:H,8,FALSE))</f>
        <v>166.57692</v>
      </c>
      <c r="P77" s="46">
        <f t="shared" ca="1" si="4"/>
        <v>6.0353956522438859E-6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input_454100!A$2</f>
        <v>454100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IFERROR(VLOOKUP(B78,input_454100!L:R,7,FALSE),VLOOKUP(tables_454100!C78,input_454100!A:H,8,FALSE))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input_454100!A$2</f>
        <v>454100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IFERROR(VLOOKUP(B79,input_454100!L:R,7,FALSE),VLOOKUP(tables_454100!C79,input_454100!A:H,8,FALSE))</f>
        <v>235909.61538</v>
      </c>
      <c r="P79" s="46">
        <f t="shared" ca="1" si="4"/>
        <v>8.547449832707792E-3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input_454100!A$2</f>
        <v>454100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IFERROR(VLOOKUP(B80,input_454100!L:R,7,FALSE),VLOOKUP(tables_454100!C80,input_454100!A:H,8,FALSE))</f>
        <v>166.57692</v>
      </c>
      <c r="P80" s="46">
        <f t="shared" ca="1" si="4"/>
        <v>6.0353956522438859E-6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input_454100!A$2</f>
        <v>454100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IFERROR(VLOOKUP(B81,input_454100!L:R,7,FALSE),VLOOKUP(tables_454100!C81,input_454100!A:H,8,FALSE))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input_454100!A$2</f>
        <v>454100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IFERROR(VLOOKUP(B82,input_454100!L:R,7,FALSE),VLOOKUP(tables_454100!C82,input_454100!A:H,8,FALSE))</f>
        <v>235909.61538</v>
      </c>
      <c r="P82" s="46">
        <f t="shared" ca="1" si="4"/>
        <v>8.547449832707792E-3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input_454100!A$2</f>
        <v>454100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IFERROR(VLOOKUP(B83,input_454100!L:R,7,FALSE),VLOOKUP(tables_454100!C83,input_454100!A:H,8,FALSE))</f>
        <v>166.57692</v>
      </c>
      <c r="P83" s="46">
        <f t="shared" ca="1" si="4"/>
        <v>6.0353956522438859E-6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input_454100!A$2</f>
        <v>454100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IFERROR(VLOOKUP(B84,input_454100!L:R,7,FALSE),VLOOKUP(tables_454100!C84,input_454100!A:H,8,FALSE))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input_454100!A$2</f>
        <v>454100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IFERROR(VLOOKUP(B85,input_454100!L:R,7,FALSE),VLOOKUP(tables_454100!C85,input_454100!A:H,8,FALSE))</f>
        <v>235909.61538</v>
      </c>
      <c r="P85" s="46">
        <f t="shared" ca="1" si="4"/>
        <v>8.547449832707792E-3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input_454100!A$2</f>
        <v>454100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IFERROR(VLOOKUP(B86,input_454100!L:R,7,FALSE),VLOOKUP(tables_454100!C86,input_454100!A:H,8,FALSE))</f>
        <v>166.57692</v>
      </c>
      <c r="P86" s="46">
        <f t="shared" ca="1" si="4"/>
        <v>6.0353956522438859E-6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input_454100!A$2</f>
        <v>454100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IFERROR(VLOOKUP(B87,input_454100!L:R,7,FALSE),VLOOKUP(tables_454100!C87,input_454100!A:H,8,FALSE))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input_454100!A$2</f>
        <v>454100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IFERROR(VLOOKUP(B88,input_454100!L:R,7,FALSE),VLOOKUP(tables_454100!C88,input_454100!A:H,8,FALSE))</f>
        <v>235909.61538</v>
      </c>
      <c r="P88" s="46">
        <f t="shared" ca="1" si="4"/>
        <v>8.547449832707792E-3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input_454100!A$2</f>
        <v>454100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IFERROR(VLOOKUP(B89,input_454100!L:R,7,FALSE),VLOOKUP(tables_454100!C89,input_454100!A:H,8,FALSE))</f>
        <v>166.57692</v>
      </c>
      <c r="P89" s="46">
        <f t="shared" ca="1" si="4"/>
        <v>6.0353956522438859E-6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input_454100!A$2</f>
        <v>454100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IFERROR(VLOOKUP(B90,input_454100!L:R,7,FALSE),VLOOKUP(tables_454100!C90,input_454100!A:H,8,FALSE))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input_454100!A$2</f>
        <v>454100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IFERROR(VLOOKUP(B91,input_454100!L:R,7,FALSE),VLOOKUP(tables_454100!C91,input_454100!A:H,8,FALSE))</f>
        <v>235909.61538</v>
      </c>
      <c r="P91" s="46">
        <f t="shared" ca="1" si="4"/>
        <v>8.547449832707792E-3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input_454100!A$2</f>
        <v>454100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IFERROR(VLOOKUP(B92,input_454100!L:R,7,FALSE),VLOOKUP(tables_454100!C92,input_454100!A:H,8,FALSE))</f>
        <v>166.57692</v>
      </c>
      <c r="P92" s="46">
        <f t="shared" ca="1" si="4"/>
        <v>6.0353956522438859E-6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input_454100!A$2</f>
        <v>454100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IFERROR(VLOOKUP(B93,input_454100!L:R,7,FALSE),VLOOKUP(tables_454100!C93,input_454100!A:H,8,FALSE))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input_454100!A$2</f>
        <v>454100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IFERROR(VLOOKUP(B94,input_454100!L:R,7,FALSE),VLOOKUP(tables_454100!C94,input_454100!A:H,8,FALSE))</f>
        <v>235909.61538</v>
      </c>
      <c r="P94" s="46">
        <f t="shared" ca="1" si="4"/>
        <v>8.547449832707792E-3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input_454100!A$2</f>
        <v>454100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IFERROR(VLOOKUP(B95,input_454100!L:R,7,FALSE),VLOOKUP(tables_454100!C95,input_454100!A:H,8,FALSE))</f>
        <v>166.57692</v>
      </c>
      <c r="P95" s="46">
        <f t="shared" ca="1" si="4"/>
        <v>6.0353956522438859E-6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input_454100!A$2</f>
        <v>454100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IFERROR(VLOOKUP(B96,input_454100!L:R,7,FALSE),VLOOKUP(tables_454100!C96,input_454100!A:H,8,FALSE))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input_454100!A$2</f>
        <v>454100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IFERROR(VLOOKUP(B97,input_454100!L:R,7,FALSE),VLOOKUP(tables_454100!C97,input_454100!A:H,8,FALSE))</f>
        <v>235909.61538</v>
      </c>
      <c r="P97" s="46">
        <f t="shared" ca="1" si="4"/>
        <v>8.547449832707792E-3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input_454100!A$2</f>
        <v>454100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IFERROR(VLOOKUP(B98,input_454100!L:R,7,FALSE),VLOOKUP(tables_454100!C98,input_454100!A:H,8,FALSE))</f>
        <v>166.57692</v>
      </c>
      <c r="P98" s="46">
        <f t="shared" ca="1" si="4"/>
        <v>6.0353956522438859E-6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input_454100!A$2</f>
        <v>454100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IFERROR(VLOOKUP(B99,input_454100!L:R,7,FALSE),VLOOKUP(tables_454100!C99,input_454100!A:H,8,FALSE))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input_454100!A$2</f>
        <v>454100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IFERROR(VLOOKUP(B100,input_454100!L:R,7,FALSE),VLOOKUP(tables_454100!C100,input_454100!A:H,8,FALSE))</f>
        <v>235909.61538</v>
      </c>
      <c r="P100" s="46">
        <f t="shared" ca="1" si="4"/>
        <v>8.547449832707792E-3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input_454100!A$2</f>
        <v>454100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IFERROR(VLOOKUP(B101,input_454100!L:R,7,FALSE),VLOOKUP(tables_454100!C101,input_454100!A:H,8,FALSE))</f>
        <v>166.57692</v>
      </c>
      <c r="P101" s="46">
        <f t="shared" ca="1" si="4"/>
        <v>6.0353956522438859E-6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input_454100!A$2</f>
        <v>454100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IFERROR(VLOOKUP(B102,input_454100!L:R,7,FALSE),VLOOKUP(tables_454100!C102,input_454100!A:H,8,FALSE))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input_454100!A$2</f>
        <v>454100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IFERROR(VLOOKUP(B103,input_454100!L:R,7,FALSE),VLOOKUP(tables_454100!C103,input_454100!A:H,8,FALSE))</f>
        <v>235909.61538</v>
      </c>
      <c r="P103" s="46">
        <f t="shared" ca="1" si="4"/>
        <v>8.547449832707792E-3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input_454100!A$2</f>
        <v>454100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IFERROR(VLOOKUP(B104,input_454100!L:R,7,FALSE),VLOOKUP(tables_454100!C104,input_454100!A:H,8,FALSE))</f>
        <v>166.57692</v>
      </c>
      <c r="P104" s="46">
        <f t="shared" ca="1" si="4"/>
        <v>6.0353956522438859E-6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input_454100!A$2</f>
        <v>454100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IFERROR(VLOOKUP(B105,input_454100!L:R,7,FALSE),VLOOKUP(tables_454100!C105,input_454100!A:H,8,FALSE))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input_454100!A$2</f>
        <v>454100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IFERROR(VLOOKUP(B106,input_454100!L:R,7,FALSE),VLOOKUP(tables_454100!C106,input_454100!A:H,8,FALSE))</f>
        <v>235909.61538</v>
      </c>
      <c r="P106" s="46">
        <f t="shared" ca="1" si="4"/>
        <v>8.547449832707792E-3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input_454100!A$2</f>
        <v>454100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IFERROR(VLOOKUP(B107,input_454100!L:R,7,FALSE),VLOOKUP(tables_454100!C107,input_454100!A:H,8,FALSE))</f>
        <v>166.57692</v>
      </c>
      <c r="P107" s="46">
        <f t="shared" ca="1" si="4"/>
        <v>6.0353956522438859E-6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input_454100!A$2</f>
        <v>454100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IFERROR(VLOOKUP(B108,input_454100!L:R,7,FALSE),VLOOKUP(tables_454100!C108,input_454100!A:H,8,FALSE))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input_454100!A$2</f>
        <v>454100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IFERROR(VLOOKUP(B109,input_454100!L:R,7,FALSE),VLOOKUP(tables_454100!C109,input_454100!A:H,8,FALSE))</f>
        <v>235909.61538</v>
      </c>
      <c r="P109" s="46">
        <f t="shared" ca="1" si="4"/>
        <v>8.547449832707792E-3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input_454100!A$2</f>
        <v>454100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IFERROR(VLOOKUP(B110,input_454100!L:R,7,FALSE),VLOOKUP(tables_454100!C110,input_454100!A:H,8,FALSE))</f>
        <v>166.57692</v>
      </c>
      <c r="P110" s="46">
        <f t="shared" ca="1" si="4"/>
        <v>6.0353956522438859E-6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input_454100!A$2</f>
        <v>454100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IFERROR(VLOOKUP(B111,input_454100!L:R,7,FALSE),VLOOKUP(tables_454100!C111,input_454100!A:H,8,FALSE))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input_454100!A$2</f>
        <v>454100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IFERROR(VLOOKUP(B112,input_454100!L:R,7,FALSE),VLOOKUP(tables_454100!C112,input_454100!A:H,8,FALSE))</f>
        <v>246525</v>
      </c>
      <c r="P112" s="46">
        <f t="shared" ca="1" si="4"/>
        <v>8.9320652174948601E-3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input_454100!A$2</f>
        <v>454100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IFERROR(VLOOKUP(B113,input_454100!L:R,7,FALSE),VLOOKUP(tables_454100!C113,input_454100!A:H,8,FALSE))</f>
        <v>12975</v>
      </c>
      <c r="P113" s="46">
        <f t="shared" ca="1" si="4"/>
        <v>4.7010869565762423E-4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input_454100!A$2</f>
        <v>454100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IFERROR(VLOOKUP(B114,input_454100!L:R,7,FALSE),VLOOKUP(tables_454100!C114,input_454100!A:H,8,FALSE))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input_454100!A$2</f>
        <v>454100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IFERROR(VLOOKUP(B115,input_454100!L:R,7,FALSE),VLOOKUP(tables_454100!C115,input_454100!A:H,8,FALSE))</f>
        <v>235909.61538</v>
      </c>
      <c r="P115" s="46">
        <f t="shared" ca="1" si="4"/>
        <v>8.547449832707792E-3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input_454100!A$2</f>
        <v>454100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IFERROR(VLOOKUP(B116,input_454100!L:R,7,FALSE),VLOOKUP(tables_454100!C116,input_454100!A:H,8,FALSE))</f>
        <v>166.57692</v>
      </c>
      <c r="P116" s="46">
        <f t="shared" ca="1" si="4"/>
        <v>6.0353956522438859E-6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input_454100!A$2</f>
        <v>454100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IFERROR(VLOOKUP(B117,input_454100!L:R,7,FALSE),VLOOKUP(tables_454100!C117,input_454100!A:H,8,FALSE))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input_454100!A$2</f>
        <v>454100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IFERROR(VLOOKUP(B118,input_454100!L:R,7,FALSE),VLOOKUP(tables_454100!C118,input_454100!A:H,8,FALSE))</f>
        <v>235909.61538</v>
      </c>
      <c r="P118" s="46">
        <f t="shared" ca="1" si="4"/>
        <v>8.547449832707792E-3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input_454100!A$2</f>
        <v>454100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IFERROR(VLOOKUP(B119,input_454100!L:R,7,FALSE),VLOOKUP(tables_454100!C119,input_454100!A:H,8,FALSE))</f>
        <v>166.57692</v>
      </c>
      <c r="P119" s="46">
        <f t="shared" ca="1" si="4"/>
        <v>6.0353956522438859E-6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input_454100!A$2</f>
        <v>454100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IFERROR(VLOOKUP(B120,input_454100!L:R,7,FALSE),VLOOKUP(tables_454100!C120,input_454100!A:H,8,FALSE))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input_454100!A$2</f>
        <v>454100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IFERROR(VLOOKUP(B121,input_454100!L:R,7,FALSE),VLOOKUP(tables_454100!C121,input_454100!A:H,8,FALSE))</f>
        <v>235909.61538</v>
      </c>
      <c r="P121" s="46">
        <f t="shared" ca="1" si="4"/>
        <v>8.547449832707792E-3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input_454100!A$2</f>
        <v>454100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IFERROR(VLOOKUP(B122,input_454100!L:R,7,FALSE),VLOOKUP(tables_454100!C122,input_454100!A:H,8,FALSE))</f>
        <v>166.57692</v>
      </c>
      <c r="P122" s="46">
        <f t="shared" ca="1" si="4"/>
        <v>6.0353956522438859E-6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input_454100!A$2</f>
        <v>454100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IFERROR(VLOOKUP(B123,input_454100!L:R,7,FALSE),VLOOKUP(tables_454100!C123,input_454100!A:H,8,FALSE))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input_454100!A$2</f>
        <v>454100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IFERROR(VLOOKUP(B124,input_454100!L:R,7,FALSE),VLOOKUP(tables_454100!C124,input_454100!A:H,8,FALSE))</f>
        <v>235909.61538</v>
      </c>
      <c r="P124" s="46">
        <f t="shared" ca="1" si="4"/>
        <v>8.547449832707792E-3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input_454100!A$2</f>
        <v>454100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IFERROR(VLOOKUP(B125,input_454100!L:R,7,FALSE),VLOOKUP(tables_454100!C125,input_454100!A:H,8,FALSE))</f>
        <v>166.57692</v>
      </c>
      <c r="P125" s="46">
        <f t="shared" ca="1" si="4"/>
        <v>6.0353956522438859E-6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input_454100!A$2</f>
        <v>454100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IFERROR(VLOOKUP(B126,input_454100!L:R,7,FALSE),VLOOKUP(tables_454100!C126,input_454100!A:H,8,FALSE))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input_454100!A$2</f>
        <v>454100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IFERROR(VLOOKUP(B127,input_454100!L:R,7,FALSE),VLOOKUP(tables_454100!C127,input_454100!A:H,8,FALSE))</f>
        <v>235909.61538</v>
      </c>
      <c r="P127" s="46">
        <f t="shared" ca="1" si="4"/>
        <v>8.547449832707792E-3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input_454100!A$2</f>
        <v>454100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IFERROR(VLOOKUP(B128,input_454100!L:R,7,FALSE),VLOOKUP(tables_454100!C128,input_454100!A:H,8,FALSE))</f>
        <v>166.57692</v>
      </c>
      <c r="P128" s="46">
        <f t="shared" ca="1" si="4"/>
        <v>6.0353956522438859E-6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input_454100!A$2</f>
        <v>454100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IFERROR(VLOOKUP(B129,input_454100!L:R,7,FALSE),VLOOKUP(tables_454100!C129,input_454100!A:H,8,FALSE))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input_454100!A$2</f>
        <v>454100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IFERROR(VLOOKUP(B130,input_454100!L:R,7,FALSE),VLOOKUP(tables_454100!C130,input_454100!A:H,8,FALSE))</f>
        <v>235909.61538</v>
      </c>
      <c r="P130" s="46">
        <f t="shared" ref="P130:P193" ca="1" si="7">O130/SUM(O:O)</f>
        <v>8.547449832707792E-3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input_454100!A$2</f>
        <v>454100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IFERROR(VLOOKUP(B131,input_454100!L:R,7,FALSE),VLOOKUP(tables_454100!C131,input_454100!A:H,8,FALSE))</f>
        <v>166.57692</v>
      </c>
      <c r="P131" s="46">
        <f t="shared" ca="1" si="7"/>
        <v>6.0353956522438859E-6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input_454100!A$2</f>
        <v>454100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IFERROR(VLOOKUP(B132,input_454100!L:R,7,FALSE),VLOOKUP(tables_454100!C132,input_454100!A:H,8,FALSE))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input_454100!A$2</f>
        <v>454100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IFERROR(VLOOKUP(B133,input_454100!L:R,7,FALSE),VLOOKUP(tables_454100!C133,input_454100!A:H,8,FALSE))</f>
        <v>235909.61538</v>
      </c>
      <c r="P133" s="46">
        <f t="shared" ca="1" si="7"/>
        <v>8.547449832707792E-3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input_454100!A$2</f>
        <v>454100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IFERROR(VLOOKUP(B134,input_454100!L:R,7,FALSE),VLOOKUP(tables_454100!C134,input_454100!A:H,8,FALSE))</f>
        <v>166.57692</v>
      </c>
      <c r="P134" s="46">
        <f t="shared" ca="1" si="7"/>
        <v>6.0353956522438859E-6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input_454100!A$2</f>
        <v>454100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IFERROR(VLOOKUP(B135,input_454100!L:R,7,FALSE),VLOOKUP(tables_454100!C135,input_454100!A:H,8,FALSE))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input_454100!A$2</f>
        <v>454100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IFERROR(VLOOKUP(B136,input_454100!L:R,7,FALSE),VLOOKUP(tables_454100!C136,input_454100!A:H,8,FALSE))</f>
        <v>235909.61538</v>
      </c>
      <c r="P136" s="46">
        <f t="shared" ca="1" si="7"/>
        <v>8.547449832707792E-3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input_454100!A$2</f>
        <v>454100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IFERROR(VLOOKUP(B137,input_454100!L:R,7,FALSE),VLOOKUP(tables_454100!C137,input_454100!A:H,8,FALSE))</f>
        <v>166.57692</v>
      </c>
      <c r="P137" s="46">
        <f t="shared" ca="1" si="7"/>
        <v>6.0353956522438859E-6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input_454100!A$2</f>
        <v>454100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IFERROR(VLOOKUP(B138,input_454100!L:R,7,FALSE),VLOOKUP(tables_454100!C138,input_454100!A:H,8,FALSE))</f>
        <v>7429</v>
      </c>
      <c r="P138" s="46">
        <f t="shared" ca="1" si="7"/>
        <v>2.6916666666978735E-4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input_454100!A$2</f>
        <v>454100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IFERROR(VLOOKUP(B139,input_454100!L:R,7,FALSE),VLOOKUP(tables_454100!C139,input_454100!A:H,8,FALSE))</f>
        <v>391</v>
      </c>
      <c r="P139" s="46">
        <f t="shared" ca="1" si="7"/>
        <v>1.4166666666830911E-5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input_454100!A$2</f>
        <v>454100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IFERROR(VLOOKUP(B140,input_454100!L:R,7,FALSE),VLOOKUP(tables_454100!C140,input_454100!A:H,8,FALSE))</f>
        <v>7429</v>
      </c>
      <c r="P140" s="46">
        <f t="shared" ca="1" si="7"/>
        <v>2.6916666666978735E-4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input_454100!A$2</f>
        <v>454100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IFERROR(VLOOKUP(B141,input_454100!L:R,7,FALSE),VLOOKUP(tables_454100!C141,input_454100!A:H,8,FALSE))</f>
        <v>391</v>
      </c>
      <c r="P141" s="46">
        <f t="shared" ca="1" si="7"/>
        <v>1.4166666666830911E-5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input_454100!A$2</f>
        <v>454100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IFERROR(VLOOKUP(B142,input_454100!L:R,7,FALSE),VLOOKUP(tables_454100!C142,input_454100!A:H,8,FALSE))</f>
        <v>7429</v>
      </c>
      <c r="P142" s="46">
        <f t="shared" ca="1" si="7"/>
        <v>2.6916666666978735E-4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input_454100!A$2</f>
        <v>454100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IFERROR(VLOOKUP(B143,input_454100!L:R,7,FALSE),VLOOKUP(tables_454100!C143,input_454100!A:H,8,FALSE))</f>
        <v>391</v>
      </c>
      <c r="P143" s="46">
        <f t="shared" ca="1" si="7"/>
        <v>1.4166666666830911E-5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input_454100!A$2</f>
        <v>454100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IFERROR(VLOOKUP(B144,input_454100!L:R,7,FALSE),VLOOKUP(tables_454100!C144,input_454100!A:H,8,FALSE))</f>
        <v>7429</v>
      </c>
      <c r="P144" s="46">
        <f t="shared" ca="1" si="7"/>
        <v>2.6916666666978735E-4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input_454100!A$2</f>
        <v>454100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IFERROR(VLOOKUP(B145,input_454100!L:R,7,FALSE),VLOOKUP(tables_454100!C145,input_454100!A:H,8,FALSE))</f>
        <v>391</v>
      </c>
      <c r="P145" s="46">
        <f t="shared" ca="1" si="7"/>
        <v>1.4166666666830911E-5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input_454100!A$2</f>
        <v>454100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IFERROR(VLOOKUP(B146,input_454100!L:R,7,FALSE),VLOOKUP(tables_454100!C146,input_454100!A:H,8,FALSE))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input_454100!A$2</f>
        <v>454100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IFERROR(VLOOKUP(B147,input_454100!L:R,7,FALSE),VLOOKUP(tables_454100!C147,input_454100!A:H,8,FALSE))</f>
        <v>235909.61538</v>
      </c>
      <c r="P147" s="46">
        <f t="shared" ca="1" si="7"/>
        <v>8.547449832707792E-3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input_454100!A$2</f>
        <v>454100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IFERROR(VLOOKUP(B148,input_454100!L:R,7,FALSE),VLOOKUP(tables_454100!C148,input_454100!A:H,8,FALSE))</f>
        <v>166.57692</v>
      </c>
      <c r="P148" s="46">
        <f t="shared" ca="1" si="7"/>
        <v>6.0353956522438859E-6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input_454100!A$2</f>
        <v>454100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IFERROR(VLOOKUP(B149,input_454100!L:R,7,FALSE),VLOOKUP(tables_454100!C149,input_454100!A:H,8,FALSE))</f>
        <v>7429</v>
      </c>
      <c r="P149" s="46">
        <f t="shared" ca="1" si="7"/>
        <v>2.6916666666978735E-4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input_454100!A$2</f>
        <v>454100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IFERROR(VLOOKUP(B150,input_454100!L:R,7,FALSE),VLOOKUP(tables_454100!C150,input_454100!A:H,8,FALSE))</f>
        <v>391</v>
      </c>
      <c r="P150" s="46">
        <f t="shared" ca="1" si="7"/>
        <v>1.4166666666830911E-5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input_454100!A$2</f>
        <v>454100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IFERROR(VLOOKUP(B151,input_454100!L:R,7,FALSE),VLOOKUP(tables_454100!C151,input_454100!A:H,8,FALSE))</f>
        <v>7429</v>
      </c>
      <c r="P151" s="46">
        <f t="shared" ca="1" si="7"/>
        <v>2.6916666666978735E-4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input_454100!A$2</f>
        <v>454100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IFERROR(VLOOKUP(B152,input_454100!L:R,7,FALSE),VLOOKUP(tables_454100!C152,input_454100!A:H,8,FALSE))</f>
        <v>391</v>
      </c>
      <c r="P152" s="46">
        <f t="shared" ca="1" si="7"/>
        <v>1.4166666666830911E-5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input_454100!A$2</f>
        <v>454100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IFERROR(VLOOKUP(B153,input_454100!L:R,7,FALSE),VLOOKUP(tables_454100!C153,input_454100!A:H,8,FALSE))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input_454100!A$2</f>
        <v>454100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IFERROR(VLOOKUP(B154,input_454100!L:R,7,FALSE),VLOOKUP(tables_454100!C154,input_454100!A:H,8,FALSE))</f>
        <v>235909.61538</v>
      </c>
      <c r="P154" s="46">
        <f t="shared" ca="1" si="7"/>
        <v>8.547449832707792E-3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input_454100!A$2</f>
        <v>454100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IFERROR(VLOOKUP(B155,input_454100!L:R,7,FALSE),VLOOKUP(tables_454100!C155,input_454100!A:H,8,FALSE))</f>
        <v>166.57692</v>
      </c>
      <c r="P155" s="46">
        <f t="shared" ca="1" si="7"/>
        <v>6.0353956522438859E-6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input_454100!A$2</f>
        <v>454100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IFERROR(VLOOKUP(B156,input_454100!L:R,7,FALSE),VLOOKUP(tables_454100!C156,input_454100!A:H,8,FALSE))</f>
        <v>7429</v>
      </c>
      <c r="P156" s="46">
        <f t="shared" ca="1" si="7"/>
        <v>2.6916666666978735E-4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input_454100!A$2</f>
        <v>454100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IFERROR(VLOOKUP(B157,input_454100!L:R,7,FALSE),VLOOKUP(tables_454100!C157,input_454100!A:H,8,FALSE))</f>
        <v>391</v>
      </c>
      <c r="P157" s="46">
        <f t="shared" ca="1" si="7"/>
        <v>1.4166666666830911E-5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input_454100!A$2</f>
        <v>454100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IFERROR(VLOOKUP(B158,input_454100!L:R,7,FALSE),VLOOKUP(tables_454100!C158,input_454100!A:H,8,FALSE))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input_454100!A$2</f>
        <v>454100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IFERROR(VLOOKUP(B159,input_454100!L:R,7,FALSE),VLOOKUP(tables_454100!C159,input_454100!A:H,8,FALSE))</f>
        <v>235909.61538</v>
      </c>
      <c r="P159" s="46">
        <f t="shared" ca="1" si="7"/>
        <v>8.547449832707792E-3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input_454100!A$2</f>
        <v>454100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IFERROR(VLOOKUP(B160,input_454100!L:R,7,FALSE),VLOOKUP(tables_454100!C160,input_454100!A:H,8,FALSE))</f>
        <v>166.57692</v>
      </c>
      <c r="P160" s="46">
        <f t="shared" ca="1" si="7"/>
        <v>6.0353956522438859E-6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input_454100!A$2</f>
        <v>454100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IFERROR(VLOOKUP(B161,input_454100!L:R,7,FALSE),VLOOKUP(tables_454100!C161,input_454100!A:H,8,FALSE))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input_454100!A$2</f>
        <v>454100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IFERROR(VLOOKUP(B162,input_454100!L:R,7,FALSE),VLOOKUP(tables_454100!C162,input_454100!A:H,8,FALSE))</f>
        <v>235909.61538</v>
      </c>
      <c r="P162" s="46">
        <f t="shared" ca="1" si="7"/>
        <v>8.547449832707792E-3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input_454100!A$2</f>
        <v>454100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IFERROR(VLOOKUP(B163,input_454100!L:R,7,FALSE),VLOOKUP(tables_454100!C163,input_454100!A:H,8,FALSE))</f>
        <v>166.57692</v>
      </c>
      <c r="P163" s="46">
        <f t="shared" ca="1" si="7"/>
        <v>6.0353956522438859E-6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input_454100!A$2</f>
        <v>454100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IFERROR(VLOOKUP(B164,input_454100!L:R,7,FALSE),VLOOKUP(tables_454100!C164,input_454100!A:H,8,FALSE))</f>
        <v>7429</v>
      </c>
      <c r="P164" s="46">
        <f t="shared" ca="1" si="7"/>
        <v>2.6916666666978735E-4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input_454100!A$2</f>
        <v>454100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IFERROR(VLOOKUP(B165,input_454100!L:R,7,FALSE),VLOOKUP(tables_454100!C165,input_454100!A:H,8,FALSE))</f>
        <v>391</v>
      </c>
      <c r="P165" s="46">
        <f t="shared" ca="1" si="7"/>
        <v>1.4166666666830911E-5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input_454100!A$2</f>
        <v>454100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IFERROR(VLOOKUP(B166,input_454100!L:R,7,FALSE),VLOOKUP(tables_454100!C166,input_454100!A:H,8,FALSE))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input_454100!A$2</f>
        <v>454100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IFERROR(VLOOKUP(B167,input_454100!L:R,7,FALSE),VLOOKUP(tables_454100!C167,input_454100!A:H,8,FALSE))</f>
        <v>235909.61538</v>
      </c>
      <c r="P167" s="46">
        <f t="shared" ca="1" si="7"/>
        <v>8.547449832707792E-3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input_454100!A$2</f>
        <v>454100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IFERROR(VLOOKUP(B168,input_454100!L:R,7,FALSE),VLOOKUP(tables_454100!C168,input_454100!A:H,8,FALSE))</f>
        <v>166.57692</v>
      </c>
      <c r="P168" s="46">
        <f t="shared" ca="1" si="7"/>
        <v>6.0353956522438859E-6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input_454100!A$2</f>
        <v>454100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IFERROR(VLOOKUP(B169,input_454100!L:R,7,FALSE),VLOOKUP(tables_454100!C169,input_454100!A:H,8,FALSE))</f>
        <v>7429</v>
      </c>
      <c r="P169" s="46">
        <f t="shared" ca="1" si="7"/>
        <v>2.6916666666978735E-4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input_454100!A$2</f>
        <v>454100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IFERROR(VLOOKUP(B170,input_454100!L:R,7,FALSE),VLOOKUP(tables_454100!C170,input_454100!A:H,8,FALSE))</f>
        <v>391</v>
      </c>
      <c r="P170" s="46">
        <f t="shared" ca="1" si="7"/>
        <v>1.4166666666830911E-5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input_454100!A$2</f>
        <v>454100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IFERROR(VLOOKUP(B171,input_454100!L:R,7,FALSE),VLOOKUP(tables_454100!C171,input_454100!A:H,8,FALSE))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input_454100!A$2</f>
        <v>454100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IFERROR(VLOOKUP(B172,input_454100!L:R,7,FALSE),VLOOKUP(tables_454100!C172,input_454100!A:H,8,FALSE))</f>
        <v>235909.61538</v>
      </c>
      <c r="P172" s="46">
        <f t="shared" ca="1" si="7"/>
        <v>8.547449832707792E-3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input_454100!A$2</f>
        <v>454100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IFERROR(VLOOKUP(B173,input_454100!L:R,7,FALSE),VLOOKUP(tables_454100!C173,input_454100!A:H,8,FALSE))</f>
        <v>166.57692</v>
      </c>
      <c r="P173" s="46">
        <f t="shared" ca="1" si="7"/>
        <v>6.0353956522438859E-6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input_454100!A$2</f>
        <v>454100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IFERROR(VLOOKUP(B174,input_454100!L:R,7,FALSE),VLOOKUP(tables_454100!C174,input_454100!A:H,8,FALSE))</f>
        <v>7429</v>
      </c>
      <c r="P174" s="46">
        <f t="shared" ca="1" si="7"/>
        <v>2.6916666666978735E-4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input_454100!A$2</f>
        <v>454100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IFERROR(VLOOKUP(B175,input_454100!L:R,7,FALSE),VLOOKUP(tables_454100!C175,input_454100!A:H,8,FALSE))</f>
        <v>391</v>
      </c>
      <c r="P175" s="46">
        <f t="shared" ca="1" si="7"/>
        <v>1.4166666666830911E-5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input_454100!A$2</f>
        <v>454100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IFERROR(VLOOKUP(B176,input_454100!L:R,7,FALSE),VLOOKUP(tables_454100!C176,input_454100!A:H,8,FALSE))</f>
        <v>7429</v>
      </c>
      <c r="P176" s="46">
        <f t="shared" ca="1" si="7"/>
        <v>2.6916666666978735E-4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input_454100!A$2</f>
        <v>454100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IFERROR(VLOOKUP(B177,input_454100!L:R,7,FALSE),VLOOKUP(tables_454100!C177,input_454100!A:H,8,FALSE))</f>
        <v>391</v>
      </c>
      <c r="P177" s="46">
        <f t="shared" ca="1" si="7"/>
        <v>1.4166666666830911E-5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input_454100!A$2</f>
        <v>454100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IFERROR(VLOOKUP(B178,input_454100!L:R,7,FALSE),VLOOKUP(tables_454100!C178,input_454100!A:H,8,FALSE))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input_454100!A$2</f>
        <v>454100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IFERROR(VLOOKUP(B179,input_454100!L:R,7,FALSE),VLOOKUP(tables_454100!C179,input_454100!A:H,8,FALSE))</f>
        <v>235909.61538</v>
      </c>
      <c r="P179" s="46">
        <f t="shared" ca="1" si="7"/>
        <v>8.547449832707792E-3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input_454100!A$2</f>
        <v>454100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IFERROR(VLOOKUP(B180,input_454100!L:R,7,FALSE),VLOOKUP(tables_454100!C180,input_454100!A:H,8,FALSE))</f>
        <v>166.57692</v>
      </c>
      <c r="P180" s="46">
        <f t="shared" ca="1" si="7"/>
        <v>6.0353956522438859E-6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input_454100!A$2</f>
        <v>454100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IFERROR(VLOOKUP(B181,input_454100!L:R,7,FALSE),VLOOKUP(tables_454100!C181,input_454100!A:H,8,FALSE))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input_454100!A$2</f>
        <v>454100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IFERROR(VLOOKUP(B182,input_454100!L:R,7,FALSE),VLOOKUP(tables_454100!C182,input_454100!A:H,8,FALSE))</f>
        <v>235909.61538</v>
      </c>
      <c r="P182" s="46">
        <f t="shared" ca="1" si="7"/>
        <v>8.547449832707792E-3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input_454100!A$2</f>
        <v>454100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IFERROR(VLOOKUP(B183,input_454100!L:R,7,FALSE),VLOOKUP(tables_454100!C183,input_454100!A:H,8,FALSE))</f>
        <v>166.57692</v>
      </c>
      <c r="P183" s="46">
        <f t="shared" ca="1" si="7"/>
        <v>6.0353956522438859E-6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input_454100!A$2</f>
        <v>454100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IFERROR(VLOOKUP(B184,input_454100!L:R,7,FALSE),VLOOKUP(tables_454100!C184,input_454100!A:H,8,FALSE))</f>
        <v>7429</v>
      </c>
      <c r="P184" s="46">
        <f t="shared" ca="1" si="7"/>
        <v>2.6916666666978735E-4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input_454100!A$2</f>
        <v>454100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IFERROR(VLOOKUP(B185,input_454100!L:R,7,FALSE),VLOOKUP(tables_454100!C185,input_454100!A:H,8,FALSE))</f>
        <v>391</v>
      </c>
      <c r="P185" s="46">
        <f t="shared" ca="1" si="7"/>
        <v>1.4166666666830911E-5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input_454100!A$2</f>
        <v>454100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IFERROR(VLOOKUP(B186,input_454100!L:R,7,FALSE),VLOOKUP(tables_454100!C186,input_454100!A:H,8,FALSE))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input_454100!A$2</f>
        <v>454100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IFERROR(VLOOKUP(B187,input_454100!L:R,7,FALSE),VLOOKUP(tables_454100!C187,input_454100!A:H,8,FALSE))</f>
        <v>235909.61538</v>
      </c>
      <c r="P187" s="46">
        <f t="shared" ca="1" si="7"/>
        <v>8.547449832707792E-3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input_454100!A$2</f>
        <v>454100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IFERROR(VLOOKUP(B188,input_454100!L:R,7,FALSE),VLOOKUP(tables_454100!C188,input_454100!A:H,8,FALSE))</f>
        <v>166.57692</v>
      </c>
      <c r="P188" s="46">
        <f t="shared" ca="1" si="7"/>
        <v>6.0353956522438859E-6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input_454100!A$2</f>
        <v>454100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IFERROR(VLOOKUP(B189,input_454100!L:R,7,FALSE),VLOOKUP(tables_454100!C189,input_454100!A:H,8,FALSE))</f>
        <v>7429</v>
      </c>
      <c r="P189" s="46">
        <f t="shared" ca="1" si="7"/>
        <v>2.6916666666978735E-4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input_454100!A$2</f>
        <v>454100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IFERROR(VLOOKUP(B190,input_454100!L:R,7,FALSE),VLOOKUP(tables_454100!C190,input_454100!A:H,8,FALSE))</f>
        <v>391</v>
      </c>
      <c r="P190" s="46">
        <f t="shared" ca="1" si="7"/>
        <v>1.4166666666830911E-5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input_454100!A$2</f>
        <v>454100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IFERROR(VLOOKUP(B191,input_454100!L:R,7,FALSE),VLOOKUP(tables_454100!C191,input_454100!A:H,8,FALSE))</f>
        <v>7429</v>
      </c>
      <c r="P191" s="46">
        <f t="shared" ca="1" si="7"/>
        <v>2.6916666666978735E-4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input_454100!A$2</f>
        <v>454100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IFERROR(VLOOKUP(B192,input_454100!L:R,7,FALSE),VLOOKUP(tables_454100!C192,input_454100!A:H,8,FALSE))</f>
        <v>391</v>
      </c>
      <c r="P192" s="46">
        <f t="shared" ca="1" si="7"/>
        <v>1.4166666666830911E-5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input_454100!A$2</f>
        <v>454100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IFERROR(VLOOKUP(B193,input_454100!L:R,7,FALSE),VLOOKUP(tables_454100!C193,input_454100!A:H,8,FALSE))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input_454100!A$2</f>
        <v>454100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IFERROR(VLOOKUP(B194,input_454100!L:R,7,FALSE),VLOOKUP(tables_454100!C194,input_454100!A:H,8,FALSE))</f>
        <v>235909.61538</v>
      </c>
      <c r="P194" s="46">
        <f t="shared" ref="P194:P257" ca="1" si="10">O194/SUM(O:O)</f>
        <v>8.547449832707792E-3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input_454100!A$2</f>
        <v>454100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IFERROR(VLOOKUP(B195,input_454100!L:R,7,FALSE),VLOOKUP(tables_454100!C195,input_454100!A:H,8,FALSE))</f>
        <v>166.57692</v>
      </c>
      <c r="P195" s="46">
        <f t="shared" ca="1" si="10"/>
        <v>6.0353956522438859E-6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input_454100!A$2</f>
        <v>454100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IFERROR(VLOOKUP(B196,input_454100!L:R,7,FALSE),VLOOKUP(tables_454100!C196,input_454100!A:H,8,FALSE))</f>
        <v>7429</v>
      </c>
      <c r="P196" s="46">
        <f t="shared" ca="1" si="10"/>
        <v>2.6916666666978735E-4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input_454100!A$2</f>
        <v>454100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IFERROR(VLOOKUP(B197,input_454100!L:R,7,FALSE),VLOOKUP(tables_454100!C197,input_454100!A:H,8,FALSE))</f>
        <v>391</v>
      </c>
      <c r="P197" s="46">
        <f t="shared" ca="1" si="10"/>
        <v>1.4166666666830911E-5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input_454100!A$2</f>
        <v>454100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IFERROR(VLOOKUP(B198,input_454100!L:R,7,FALSE),VLOOKUP(tables_454100!C198,input_454100!A:H,8,FALSE))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input_454100!A$2</f>
        <v>454100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IFERROR(VLOOKUP(B199,input_454100!L:R,7,FALSE),VLOOKUP(tables_454100!C199,input_454100!A:H,8,FALSE))</f>
        <v>235909.61538</v>
      </c>
      <c r="P199" s="46">
        <f t="shared" ca="1" si="10"/>
        <v>8.547449832707792E-3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input_454100!A$2</f>
        <v>454100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IFERROR(VLOOKUP(B200,input_454100!L:R,7,FALSE),VLOOKUP(tables_454100!C200,input_454100!A:H,8,FALSE))</f>
        <v>166.57692</v>
      </c>
      <c r="P200" s="46">
        <f t="shared" ca="1" si="10"/>
        <v>6.0353956522438859E-6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input_454100!A$2</f>
        <v>454100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IFERROR(VLOOKUP(B201,input_454100!L:R,7,FALSE),VLOOKUP(tables_454100!C201,input_454100!A:H,8,FALSE))</f>
        <v>7429</v>
      </c>
      <c r="P201" s="46">
        <f t="shared" ca="1" si="10"/>
        <v>2.6916666666978735E-4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input_454100!A$2</f>
        <v>454100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IFERROR(VLOOKUP(B202,input_454100!L:R,7,FALSE),VLOOKUP(tables_454100!C202,input_454100!A:H,8,FALSE))</f>
        <v>391</v>
      </c>
      <c r="P202" s="46">
        <f t="shared" ca="1" si="10"/>
        <v>1.4166666666830911E-5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input_454100!A$2</f>
        <v>454100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IFERROR(VLOOKUP(B203,input_454100!L:R,7,FALSE),VLOOKUP(tables_454100!C203,input_454100!A:H,8,FALSE))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input_454100!A$2</f>
        <v>454100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IFERROR(VLOOKUP(B204,input_454100!L:R,7,FALSE),VLOOKUP(tables_454100!C204,input_454100!A:H,8,FALSE))</f>
        <v>235909.61538</v>
      </c>
      <c r="P204" s="46">
        <f t="shared" ca="1" si="10"/>
        <v>8.547449832707792E-3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input_454100!A$2</f>
        <v>454100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IFERROR(VLOOKUP(B205,input_454100!L:R,7,FALSE),VLOOKUP(tables_454100!C205,input_454100!A:H,8,FALSE))</f>
        <v>166.57692</v>
      </c>
      <c r="P205" s="46">
        <f t="shared" ca="1" si="10"/>
        <v>6.0353956522438859E-6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input_454100!A$2</f>
        <v>454100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IFERROR(VLOOKUP(B206,input_454100!L:R,7,FALSE),VLOOKUP(tables_454100!C206,input_454100!A:H,8,FALSE))</f>
        <v>7429</v>
      </c>
      <c r="P206" s="46">
        <f t="shared" ca="1" si="10"/>
        <v>2.6916666666978735E-4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input_454100!A$2</f>
        <v>454100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IFERROR(VLOOKUP(B207,input_454100!L:R,7,FALSE),VLOOKUP(tables_454100!C207,input_454100!A:H,8,FALSE))</f>
        <v>391</v>
      </c>
      <c r="P207" s="46">
        <f t="shared" ca="1" si="10"/>
        <v>1.4166666666830911E-5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input_454100!A$2</f>
        <v>454100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IFERROR(VLOOKUP(B208,input_454100!L:R,7,FALSE),VLOOKUP(tables_454100!C208,input_454100!A:H,8,FALSE))</f>
        <v>7429</v>
      </c>
      <c r="P208" s="46">
        <f t="shared" ca="1" si="10"/>
        <v>2.6916666666978735E-4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input_454100!A$2</f>
        <v>454100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IFERROR(VLOOKUP(B209,input_454100!L:R,7,FALSE),VLOOKUP(tables_454100!C209,input_454100!A:H,8,FALSE))</f>
        <v>391</v>
      </c>
      <c r="P209" s="46">
        <f t="shared" ca="1" si="10"/>
        <v>1.4166666666830911E-5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input_454100!A$2</f>
        <v>454100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IFERROR(VLOOKUP(B210,input_454100!L:R,7,FALSE),VLOOKUP(tables_454100!C210,input_454100!A:H,8,FALSE))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input_454100!A$2</f>
        <v>454100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IFERROR(VLOOKUP(B211,input_454100!L:R,7,FALSE),VLOOKUP(tables_454100!C211,input_454100!A:H,8,FALSE))</f>
        <v>235909.61538</v>
      </c>
      <c r="P211" s="46">
        <f t="shared" ca="1" si="10"/>
        <v>8.547449832707792E-3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input_454100!A$2</f>
        <v>454100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IFERROR(VLOOKUP(B212,input_454100!L:R,7,FALSE),VLOOKUP(tables_454100!C212,input_454100!A:H,8,FALSE))</f>
        <v>166.57692</v>
      </c>
      <c r="P212" s="46">
        <f t="shared" ca="1" si="10"/>
        <v>6.0353956522438859E-6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input_454100!A$2</f>
        <v>454100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IFERROR(VLOOKUP(B213,input_454100!L:R,7,FALSE),VLOOKUP(tables_454100!C213,input_454100!A:H,8,FALSE))</f>
        <v>7429</v>
      </c>
      <c r="P213" s="46">
        <f t="shared" ca="1" si="10"/>
        <v>2.6916666666978735E-4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input_454100!A$2</f>
        <v>454100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IFERROR(VLOOKUP(B214,input_454100!L:R,7,FALSE),VLOOKUP(tables_454100!C214,input_454100!A:H,8,FALSE))</f>
        <v>391</v>
      </c>
      <c r="P214" s="46">
        <f t="shared" ca="1" si="10"/>
        <v>1.4166666666830911E-5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input_454100!A$2</f>
        <v>454100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IFERROR(VLOOKUP(B215,input_454100!L:R,7,FALSE),VLOOKUP(tables_454100!C215,input_454100!A:H,8,FALSE))</f>
        <v>1370.45454</v>
      </c>
      <c r="P215" s="46">
        <f t="shared" ca="1" si="10"/>
        <v>4.9654150000575677E-5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input_454100!A$2</f>
        <v>454100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IFERROR(VLOOKUP(B216,input_454100!L:R,7,FALSE),VLOOKUP(tables_454100!C216,input_454100!A:H,8,FALSE))</f>
        <v>1370.45454</v>
      </c>
      <c r="P216" s="46">
        <f t="shared" ca="1" si="10"/>
        <v>4.9654150000575677E-5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input_454100!A$2</f>
        <v>454100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IFERROR(VLOOKUP(B217,input_454100!L:R,7,FALSE),VLOOKUP(tables_454100!C217,input_454100!A:H,8,FALSE))</f>
        <v>1370.45454</v>
      </c>
      <c r="P217" s="46">
        <f t="shared" ca="1" si="10"/>
        <v>4.9654150000575677E-5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input_454100!A$2</f>
        <v>454100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IFERROR(VLOOKUP(B218,input_454100!L:R,7,FALSE),VLOOKUP(tables_454100!C218,input_454100!A:H,8,FALSE))</f>
        <v>1370.45454</v>
      </c>
      <c r="P218" s="46">
        <f t="shared" ca="1" si="10"/>
        <v>4.9654150000575677E-5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input_454100!A$2</f>
        <v>454100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IFERROR(VLOOKUP(B219,input_454100!L:R,7,FALSE),VLOOKUP(tables_454100!C219,input_454100!A:H,8,FALSE))</f>
        <v>1370.45454</v>
      </c>
      <c r="P219" s="46">
        <f t="shared" ca="1" si="10"/>
        <v>4.9654150000575677E-5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input_454100!A$2</f>
        <v>454100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IFERROR(VLOOKUP(B220,input_454100!L:R,7,FALSE),VLOOKUP(tables_454100!C220,input_454100!A:H,8,FALSE))</f>
        <v>1370.45454</v>
      </c>
      <c r="P220" s="46">
        <f t="shared" ca="1" si="10"/>
        <v>4.9654150000575677E-5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input_454100!A$2</f>
        <v>454100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IFERROR(VLOOKUP(B221,input_454100!L:R,7,FALSE),VLOOKUP(tables_454100!C221,input_454100!A:H,8,FALSE))</f>
        <v>7429</v>
      </c>
      <c r="P221" s="46">
        <f t="shared" ca="1" si="10"/>
        <v>2.6916666666978735E-4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input_454100!A$2</f>
        <v>454100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IFERROR(VLOOKUP(B222,input_454100!L:R,7,FALSE),VLOOKUP(tables_454100!C222,input_454100!A:H,8,FALSE))</f>
        <v>391</v>
      </c>
      <c r="P222" s="46">
        <f t="shared" ca="1" si="10"/>
        <v>1.4166666666830911E-5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input_454100!A$2</f>
        <v>454100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IFERROR(VLOOKUP(B223,input_454100!L:R,7,FALSE),VLOOKUP(tables_454100!C223,input_454100!A:H,8,FALSE))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input_454100!A$2</f>
        <v>454100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IFERROR(VLOOKUP(B224,input_454100!L:R,7,FALSE),VLOOKUP(tables_454100!C224,input_454100!A:H,8,FALSE))</f>
        <v>235909.61538</v>
      </c>
      <c r="P224" s="46">
        <f t="shared" ca="1" si="10"/>
        <v>8.547449832707792E-3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input_454100!A$2</f>
        <v>454100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IFERROR(VLOOKUP(B225,input_454100!L:R,7,FALSE),VLOOKUP(tables_454100!C225,input_454100!A:H,8,FALSE))</f>
        <v>166.57692</v>
      </c>
      <c r="P225" s="46">
        <f t="shared" ca="1" si="10"/>
        <v>6.0353956522438859E-6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input_454100!A$2</f>
        <v>454100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IFERROR(VLOOKUP(B226,input_454100!L:R,7,FALSE),VLOOKUP(tables_454100!C226,input_454100!A:H,8,FALSE))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input_454100!A$2</f>
        <v>454100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IFERROR(VLOOKUP(B227,input_454100!L:R,7,FALSE),VLOOKUP(tables_454100!C227,input_454100!A:H,8,FALSE))</f>
        <v>235909.61538</v>
      </c>
      <c r="P227" s="46">
        <f t="shared" ca="1" si="10"/>
        <v>8.547449832707792E-3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input_454100!A$2</f>
        <v>454100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IFERROR(VLOOKUP(B228,input_454100!L:R,7,FALSE),VLOOKUP(tables_454100!C228,input_454100!A:H,8,FALSE))</f>
        <v>166.57692</v>
      </c>
      <c r="P228" s="46">
        <f t="shared" ca="1" si="10"/>
        <v>6.0353956522438859E-6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input_454100!A$2</f>
        <v>454100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IFERROR(VLOOKUP(B229,input_454100!L:R,7,FALSE),VLOOKUP(tables_454100!C229,input_454100!A:H,8,FALSE))</f>
        <v>7429</v>
      </c>
      <c r="P229" s="46">
        <f t="shared" ca="1" si="10"/>
        <v>2.6916666666978735E-4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input_454100!A$2</f>
        <v>454100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IFERROR(VLOOKUP(B230,input_454100!L:R,7,FALSE),VLOOKUP(tables_454100!C230,input_454100!A:H,8,FALSE))</f>
        <v>391</v>
      </c>
      <c r="P230" s="46">
        <f t="shared" ca="1" si="10"/>
        <v>1.4166666666830911E-5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input_454100!A$2</f>
        <v>454100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IFERROR(VLOOKUP(B231,input_454100!L:R,7,FALSE),VLOOKUP(tables_454100!C231,input_454100!A:H,8,FALSE))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input_454100!A$2</f>
        <v>454100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IFERROR(VLOOKUP(B232,input_454100!L:R,7,FALSE),VLOOKUP(tables_454100!C232,input_454100!A:H,8,FALSE))</f>
        <v>235909.61538</v>
      </c>
      <c r="P232" s="46">
        <f t="shared" ca="1" si="10"/>
        <v>8.547449832707792E-3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input_454100!A$2</f>
        <v>454100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IFERROR(VLOOKUP(B233,input_454100!L:R,7,FALSE),VLOOKUP(tables_454100!C233,input_454100!A:H,8,FALSE))</f>
        <v>166.57692</v>
      </c>
      <c r="P233" s="46">
        <f t="shared" ca="1" si="10"/>
        <v>6.0353956522438859E-6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input_454100!A$2</f>
        <v>454100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IFERROR(VLOOKUP(B234,input_454100!L:R,7,FALSE),VLOOKUP(tables_454100!C234,input_454100!A:H,8,FALSE))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input_454100!A$2</f>
        <v>454100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IFERROR(VLOOKUP(B235,input_454100!L:R,7,FALSE),VLOOKUP(tables_454100!C235,input_454100!A:H,8,FALSE))</f>
        <v>235909.61538</v>
      </c>
      <c r="P235" s="46">
        <f t="shared" ca="1" si="10"/>
        <v>8.547449832707792E-3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input_454100!A$2</f>
        <v>454100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IFERROR(VLOOKUP(B236,input_454100!L:R,7,FALSE),VLOOKUP(tables_454100!C236,input_454100!A:H,8,FALSE))</f>
        <v>166.57692</v>
      </c>
      <c r="P236" s="46">
        <f t="shared" ca="1" si="10"/>
        <v>6.0353956522438859E-6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input_454100!A$2</f>
        <v>454100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IFERROR(VLOOKUP(B237,input_454100!L:R,7,FALSE),VLOOKUP(tables_454100!C237,input_454100!A:H,8,FALSE))</f>
        <v>7429</v>
      </c>
      <c r="P237" s="46">
        <f t="shared" ca="1" si="10"/>
        <v>2.6916666666978735E-4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input_454100!A$2</f>
        <v>454100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IFERROR(VLOOKUP(B238,input_454100!L:R,7,FALSE),VLOOKUP(tables_454100!C238,input_454100!A:H,8,FALSE))</f>
        <v>391</v>
      </c>
      <c r="P238" s="46">
        <f t="shared" ca="1" si="10"/>
        <v>1.4166666666830911E-5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input_454100!A$2</f>
        <v>454100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IFERROR(VLOOKUP(B239,input_454100!L:R,7,FALSE),VLOOKUP(tables_454100!C239,input_454100!A:H,8,FALSE))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input_454100!A$2</f>
        <v>454100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IFERROR(VLOOKUP(B240,input_454100!L:R,7,FALSE),VLOOKUP(tables_454100!C240,input_454100!A:H,8,FALSE))</f>
        <v>235909.61538</v>
      </c>
      <c r="P240" s="46">
        <f t="shared" ca="1" si="10"/>
        <v>8.547449832707792E-3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input_454100!A$2</f>
        <v>454100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IFERROR(VLOOKUP(B241,input_454100!L:R,7,FALSE),VLOOKUP(tables_454100!C241,input_454100!A:H,8,FALSE))</f>
        <v>166.57692</v>
      </c>
      <c r="P241" s="46">
        <f t="shared" ca="1" si="10"/>
        <v>6.0353956522438859E-6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input_454100!A$2</f>
        <v>454100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IFERROR(VLOOKUP(B242,input_454100!L:R,7,FALSE),VLOOKUP(tables_454100!C242,input_454100!A:H,8,FALSE))</f>
        <v>7429</v>
      </c>
      <c r="P242" s="46">
        <f t="shared" ca="1" si="10"/>
        <v>2.6916666666978735E-4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input_454100!A$2</f>
        <v>454100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IFERROR(VLOOKUP(B243,input_454100!L:R,7,FALSE),VLOOKUP(tables_454100!C243,input_454100!A:H,8,FALSE))</f>
        <v>391</v>
      </c>
      <c r="P243" s="46">
        <f t="shared" ca="1" si="10"/>
        <v>1.4166666666830911E-5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input_454100!A$2</f>
        <v>454100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IFERROR(VLOOKUP(B244,input_454100!L:R,7,FALSE),VLOOKUP(tables_454100!C244,input_454100!A:H,8,FALSE))</f>
        <v>7429</v>
      </c>
      <c r="P244" s="46">
        <f t="shared" ca="1" si="10"/>
        <v>2.6916666666978735E-4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input_454100!A$2</f>
        <v>454100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IFERROR(VLOOKUP(B245,input_454100!L:R,7,FALSE),VLOOKUP(tables_454100!C245,input_454100!A:H,8,FALSE))</f>
        <v>391</v>
      </c>
      <c r="P245" s="46">
        <f t="shared" ca="1" si="10"/>
        <v>1.4166666666830911E-5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input_454100!A$2</f>
        <v>454100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IFERROR(VLOOKUP(B246,input_454100!L:R,7,FALSE),VLOOKUP(tables_454100!C246,input_454100!A:H,8,FALSE))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input_454100!A$2</f>
        <v>454100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IFERROR(VLOOKUP(B247,input_454100!L:R,7,FALSE),VLOOKUP(tables_454100!C247,input_454100!A:H,8,FALSE))</f>
        <v>235909.61538</v>
      </c>
      <c r="P247" s="46">
        <f t="shared" ca="1" si="10"/>
        <v>8.547449832707792E-3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input_454100!A$2</f>
        <v>454100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IFERROR(VLOOKUP(B248,input_454100!L:R,7,FALSE),VLOOKUP(tables_454100!C248,input_454100!A:H,8,FALSE))</f>
        <v>166.57692</v>
      </c>
      <c r="P248" s="46">
        <f t="shared" ca="1" si="10"/>
        <v>6.0353956522438859E-6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input_454100!A$2</f>
        <v>454100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IFERROR(VLOOKUP(B249,input_454100!L:R,7,FALSE),VLOOKUP(tables_454100!C249,input_454100!A:H,8,FALSE))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input_454100!A$2</f>
        <v>454100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IFERROR(VLOOKUP(B250,input_454100!L:R,7,FALSE),VLOOKUP(tables_454100!C250,input_454100!A:H,8,FALSE))</f>
        <v>235909.61538</v>
      </c>
      <c r="P250" s="46">
        <f t="shared" ca="1" si="10"/>
        <v>8.547449832707792E-3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input_454100!A$2</f>
        <v>454100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IFERROR(VLOOKUP(B251,input_454100!L:R,7,FALSE),VLOOKUP(tables_454100!C251,input_454100!A:H,8,FALSE))</f>
        <v>166.57692</v>
      </c>
      <c r="P251" s="46">
        <f t="shared" ca="1" si="10"/>
        <v>6.0353956522438859E-6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input_454100!A$2</f>
        <v>454100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IFERROR(VLOOKUP(B252,input_454100!L:R,7,FALSE),VLOOKUP(tables_454100!C252,input_454100!A:H,8,FALSE))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input_454100!A$2</f>
        <v>454100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IFERROR(VLOOKUP(B253,input_454100!L:R,7,FALSE),VLOOKUP(tables_454100!C253,input_454100!A:H,8,FALSE))</f>
        <v>235909.61538</v>
      </c>
      <c r="P253" s="46">
        <f t="shared" ca="1" si="10"/>
        <v>8.547449832707792E-3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input_454100!A$2</f>
        <v>454100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IFERROR(VLOOKUP(B254,input_454100!L:R,7,FALSE),VLOOKUP(tables_454100!C254,input_454100!A:H,8,FALSE))</f>
        <v>166.57692</v>
      </c>
      <c r="P254" s="46">
        <f t="shared" ca="1" si="10"/>
        <v>6.0353956522438859E-6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input_454100!A$2</f>
        <v>454100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IFERROR(VLOOKUP(B255,input_454100!L:R,7,FALSE),VLOOKUP(tables_454100!C255,input_454100!A:H,8,FALSE))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input_454100!A$2</f>
        <v>454100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IFERROR(VLOOKUP(B256,input_454100!L:R,7,FALSE),VLOOKUP(tables_454100!C256,input_454100!A:H,8,FALSE))</f>
        <v>235909.61538</v>
      </c>
      <c r="P256" s="46">
        <f t="shared" ca="1" si="10"/>
        <v>8.547449832707792E-3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input_454100!A$2</f>
        <v>454100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IFERROR(VLOOKUP(B257,input_454100!L:R,7,FALSE),VLOOKUP(tables_454100!C257,input_454100!A:H,8,FALSE))</f>
        <v>166.57692</v>
      </c>
      <c r="P257" s="46">
        <f t="shared" ca="1" si="10"/>
        <v>6.0353956522438859E-6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input_454100!A$2</f>
        <v>454100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IFERROR(VLOOKUP(B258,input_454100!L:R,7,FALSE),VLOOKUP(tables_454100!C258,input_454100!A:H,8,FALSE))</f>
        <v>7429</v>
      </c>
      <c r="P258" s="46">
        <f t="shared" ref="P258:P294" ca="1" si="13">O258/SUM(O:O)</f>
        <v>2.6916666666978735E-4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input_454100!A$2</f>
        <v>454100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IFERROR(VLOOKUP(B259,input_454100!L:R,7,FALSE),VLOOKUP(tables_454100!C259,input_454100!A:H,8,FALSE))</f>
        <v>391</v>
      </c>
      <c r="P259" s="46">
        <f t="shared" ca="1" si="13"/>
        <v>1.4166666666830911E-5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input_454100!A$2</f>
        <v>454100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IFERROR(VLOOKUP(B260,input_454100!L:R,7,FALSE),VLOOKUP(tables_454100!C260,input_454100!A:H,8,FALSE))</f>
        <v>7429</v>
      </c>
      <c r="P260" s="46">
        <f t="shared" ca="1" si="13"/>
        <v>2.6916666666978735E-4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input_454100!A$2</f>
        <v>454100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IFERROR(VLOOKUP(B261,input_454100!L:R,7,FALSE),VLOOKUP(tables_454100!C261,input_454100!A:H,8,FALSE))</f>
        <v>391</v>
      </c>
      <c r="P261" s="46">
        <f t="shared" ca="1" si="13"/>
        <v>1.4166666666830911E-5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input_454100!A$2</f>
        <v>454100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IFERROR(VLOOKUP(B262,input_454100!L:R,7,FALSE),VLOOKUP(tables_454100!C262,input_454100!A:H,8,FALSE))</f>
        <v>241659.375</v>
      </c>
      <c r="P262" s="46">
        <f t="shared" ca="1" si="13"/>
        <v>8.7557744566232523E-3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input_454100!A$2</f>
        <v>454100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IFERROR(VLOOKUP(B263,input_454100!L:R,7,FALSE),VLOOKUP(tables_454100!C263,input_454100!A:H,8,FALSE))</f>
        <v>1370.45454</v>
      </c>
      <c r="P263" s="46">
        <f t="shared" ca="1" si="13"/>
        <v>4.9654150000575677E-5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input_454100!A$2</f>
        <v>454100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IFERROR(VLOOKUP(B264,input_454100!L:R,7,FALSE),VLOOKUP(tables_454100!C264,input_454100!A:H,8,FALSE))</f>
        <v>241659.375</v>
      </c>
      <c r="P264" s="46">
        <f t="shared" ca="1" si="13"/>
        <v>8.7557744566232523E-3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input_454100!A$2</f>
        <v>454100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IFERROR(VLOOKUP(B265,input_454100!L:R,7,FALSE),VLOOKUP(tables_454100!C265,input_454100!A:H,8,FALSE))</f>
        <v>1370.45454</v>
      </c>
      <c r="P265" s="46">
        <f t="shared" ca="1" si="13"/>
        <v>4.9654150000575677E-5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input_454100!A$2</f>
        <v>454100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IFERROR(VLOOKUP(B266,input_454100!L:R,7,FALSE),VLOOKUP(tables_454100!C266,input_454100!A:H,8,FALSE))</f>
        <v>7820</v>
      </c>
      <c r="P266" s="46">
        <f t="shared" ca="1" si="13"/>
        <v>2.8333333333661822E-4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input_454100!A$2</f>
        <v>454100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IFERROR(VLOOKUP(B267,input_454100!L:R,7,FALSE),VLOOKUP(tables_454100!C267,input_454100!A:H,8,FALSE))</f>
        <v>7820</v>
      </c>
      <c r="P267" s="46">
        <f t="shared" ca="1" si="13"/>
        <v>2.8333333333661822E-4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input_454100!A$2</f>
        <v>454100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IFERROR(VLOOKUP(B268,input_454100!L:R,7,FALSE),VLOOKUP(tables_454100!C268,input_454100!A:H,8,FALSE))</f>
        <v>7820</v>
      </c>
      <c r="P268" s="46">
        <f t="shared" ca="1" si="13"/>
        <v>2.8333333333661822E-4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input_454100!A$2</f>
        <v>454100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IFERROR(VLOOKUP(B269,input_454100!L:R,7,FALSE),VLOOKUP(tables_454100!C269,input_454100!A:H,8,FALSE))</f>
        <v>7820</v>
      </c>
      <c r="P269" s="46">
        <f t="shared" ca="1" si="13"/>
        <v>2.8333333333661822E-4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input_454100!A$2</f>
        <v>454100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IFERROR(VLOOKUP(B270,input_454100!L:R,7,FALSE),VLOOKUP(tables_454100!C270,input_454100!A:H,8,FALSE))</f>
        <v>241659.375</v>
      </c>
      <c r="P270" s="46">
        <f t="shared" ca="1" si="13"/>
        <v>8.7557744566232523E-3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input_454100!A$2</f>
        <v>454100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IFERROR(VLOOKUP(B271,input_454100!L:R,7,FALSE),VLOOKUP(tables_454100!C271,input_454100!A:H,8,FALSE))</f>
        <v>1370.45454</v>
      </c>
      <c r="P271" s="46">
        <f t="shared" ca="1" si="13"/>
        <v>4.9654150000575677E-5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input_454100!A$2</f>
        <v>454100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IFERROR(VLOOKUP(B272,input_454100!L:R,7,FALSE),VLOOKUP(tables_454100!C272,input_454100!A:H,8,FALSE))</f>
        <v>241659.375</v>
      </c>
      <c r="P272" s="46">
        <f t="shared" ca="1" si="13"/>
        <v>8.7557744566232523E-3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input_454100!A$2</f>
        <v>454100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IFERROR(VLOOKUP(B273,input_454100!L:R,7,FALSE),VLOOKUP(tables_454100!C273,input_454100!A:H,8,FALSE))</f>
        <v>1370.45454</v>
      </c>
      <c r="P273" s="46">
        <f t="shared" ca="1" si="13"/>
        <v>4.9654150000575677E-5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input_454100!A$2</f>
        <v>454100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IFERROR(VLOOKUP(B274,input_454100!L:R,7,FALSE),VLOOKUP(tables_454100!C274,input_454100!A:H,8,FALSE))</f>
        <v>7429</v>
      </c>
      <c r="P274" s="46">
        <f t="shared" ca="1" si="13"/>
        <v>2.6916666666978735E-4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input_454100!A$2</f>
        <v>454100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IFERROR(VLOOKUP(B275,input_454100!L:R,7,FALSE),VLOOKUP(tables_454100!C275,input_454100!A:H,8,FALSE))</f>
        <v>391</v>
      </c>
      <c r="P275" s="46">
        <f t="shared" ca="1" si="13"/>
        <v>1.4166666666830911E-5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input_454100!A$2</f>
        <v>454100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IFERROR(VLOOKUP(B276,input_454100!L:R,7,FALSE),VLOOKUP(tables_454100!C276,input_454100!A:H,8,FALSE))</f>
        <v>7429</v>
      </c>
      <c r="P276" s="46">
        <f t="shared" ca="1" si="13"/>
        <v>2.6916666666978735E-4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input_454100!A$2</f>
        <v>454100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IFERROR(VLOOKUP(B277,input_454100!L:R,7,FALSE),VLOOKUP(tables_454100!C277,input_454100!A:H,8,FALSE))</f>
        <v>391</v>
      </c>
      <c r="P277" s="46">
        <f t="shared" ca="1" si="13"/>
        <v>1.4166666666830911E-5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input_454100!A$2</f>
        <v>454100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IFERROR(VLOOKUP(B278,input_454100!L:R,7,FALSE),VLOOKUP(tables_454100!C278,input_454100!A:H,8,FALSE))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input_454100!A$2</f>
        <v>454100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IFERROR(VLOOKUP(B279,input_454100!L:R,7,FALSE),VLOOKUP(tables_454100!C279,input_454100!A:H,8,FALSE))</f>
        <v>235909.61538</v>
      </c>
      <c r="P279" s="46">
        <f t="shared" ca="1" si="13"/>
        <v>8.547449832707792E-3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input_454100!A$2</f>
        <v>454100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IFERROR(VLOOKUP(B280,input_454100!L:R,7,FALSE),VLOOKUP(tables_454100!C280,input_454100!A:H,8,FALSE))</f>
        <v>166.57692</v>
      </c>
      <c r="P280" s="46">
        <f t="shared" ca="1" si="13"/>
        <v>6.0353956522438859E-6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input_454100!A$2</f>
        <v>454100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IFERROR(VLOOKUP(B281,input_454100!L:R,7,FALSE),VLOOKUP(tables_454100!C281,input_454100!A:H,8,FALSE))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input_454100!A$2</f>
        <v>454100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IFERROR(VLOOKUP(B282,input_454100!L:R,7,FALSE),VLOOKUP(tables_454100!C282,input_454100!A:H,8,FALSE))</f>
        <v>235909.61538</v>
      </c>
      <c r="P282" s="46">
        <f t="shared" ca="1" si="13"/>
        <v>8.547449832707792E-3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input_454100!A$2</f>
        <v>454100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IFERROR(VLOOKUP(B283,input_454100!L:R,7,FALSE),VLOOKUP(tables_454100!C283,input_454100!A:H,8,FALSE))</f>
        <v>166.57692</v>
      </c>
      <c r="P283" s="46">
        <f t="shared" ca="1" si="13"/>
        <v>6.0353956522438859E-6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input_454100!A$2</f>
        <v>454100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IFERROR(VLOOKUP(B284,input_454100!L:R,7,FALSE),VLOOKUP(tables_454100!C284,input_454100!A:H,8,FALSE))</f>
        <v>7820</v>
      </c>
      <c r="P284" s="46">
        <f t="shared" ca="1" si="13"/>
        <v>2.8333333333661822E-4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input_454100!A$2</f>
        <v>454100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IFERROR(VLOOKUP(B285,input_454100!L:R,7,FALSE),VLOOKUP(tables_454100!C285,input_454100!A:H,8,FALSE))</f>
        <v>7820</v>
      </c>
      <c r="P285" s="46">
        <f t="shared" ca="1" si="13"/>
        <v>2.8333333333661822E-4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input_454100!A$2</f>
        <v>454100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IFERROR(VLOOKUP(B286,input_454100!L:R,7,FALSE),VLOOKUP(tables_454100!C286,input_454100!A:H,8,FALSE))</f>
        <v>241659.375</v>
      </c>
      <c r="P286" s="46">
        <f t="shared" ca="1" si="13"/>
        <v>8.7557744566232523E-3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input_454100!A$2</f>
        <v>454100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IFERROR(VLOOKUP(B287,input_454100!L:R,7,FALSE),VLOOKUP(tables_454100!C287,input_454100!A:H,8,FALSE))</f>
        <v>1370.45454</v>
      </c>
      <c r="P287" s="46">
        <f t="shared" ca="1" si="13"/>
        <v>4.9654150000575677E-5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input_454100!A$2</f>
        <v>454100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IFERROR(VLOOKUP(B288,input_454100!L:R,7,FALSE),VLOOKUP(tables_454100!C288,input_454100!A:H,8,FALSE))</f>
        <v>241659.375</v>
      </c>
      <c r="P288" s="46">
        <f t="shared" ca="1" si="13"/>
        <v>8.7557744566232523E-3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input_454100!A$2</f>
        <v>454100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IFERROR(VLOOKUP(B289,input_454100!L:R,7,FALSE),VLOOKUP(tables_454100!C289,input_454100!A:H,8,FALSE))</f>
        <v>1370.45454</v>
      </c>
      <c r="P289" s="46">
        <f t="shared" ca="1" si="13"/>
        <v>4.9654150000575677E-5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input_454100!A$2</f>
        <v>454100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IFERROR(VLOOKUP(B290,input_454100!L:R,7,FALSE),VLOOKUP(tables_454100!C290,input_454100!A:H,8,FALSE))</f>
        <v>241659.375</v>
      </c>
      <c r="P290" s="46">
        <f t="shared" ca="1" si="13"/>
        <v>8.7557744566232523E-3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input_454100!A$2</f>
        <v>454100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IFERROR(VLOOKUP(B291,input_454100!L:R,7,FALSE),VLOOKUP(tables_454100!C291,input_454100!A:H,8,FALSE))</f>
        <v>1370.45454</v>
      </c>
      <c r="P291" s="46">
        <f t="shared" ca="1" si="13"/>
        <v>4.9654150000575677E-5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input_454100!A$2</f>
        <v>454100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IFERROR(VLOOKUP(B292,input_454100!L:R,7,FALSE),VLOOKUP(tables_454100!C292,input_454100!A:H,8,FALSE))</f>
        <v>241659.375</v>
      </c>
      <c r="P292" s="46">
        <f t="shared" ca="1" si="13"/>
        <v>8.7557744566232523E-3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input_454100!A$2</f>
        <v>454100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IFERROR(VLOOKUP(B293,input_454100!L:R,7,FALSE),VLOOKUP(tables_454100!C293,input_454100!A:H,8,FALSE))</f>
        <v>1370.45454</v>
      </c>
      <c r="P293" s="46">
        <f t="shared" ca="1" si="13"/>
        <v>4.9654150000575677E-5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input_454100!A$2</f>
        <v>454100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IFERROR(VLOOKUP(B294,input_454100!L:R,7,FALSE),VLOOKUP(tables_454100!C294,input_454100!A:H,8,FALSE))</f>
        <v>7820</v>
      </c>
      <c r="P294" s="46">
        <f t="shared" ca="1" si="13"/>
        <v>2.8333333333661822E-4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input_454100!A$2</f>
        <v>454100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IFERROR(VLOOKUP(B295,input_454100!L:R,7,FALSE),VLOOKUP(tables_454100!C295,input_454100!A:H,8,FALSE))</f>
        <v>7820</v>
      </c>
      <c r="P295" s="46">
        <f t="shared" ref="P295:P299" ca="1" si="20">O295/SUM(O:O)</f>
        <v>2.8333333333661822E-4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input_454100!A$2</f>
        <v>454100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IFERROR(VLOOKUP(B296,input_454100!L:R,7,FALSE),VLOOKUP(tables_454100!C296,input_454100!A:H,8,FALSE))</f>
        <v>7820</v>
      </c>
      <c r="P296" s="46">
        <f t="shared" ca="1" si="20"/>
        <v>2.8333333333661822E-4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input_454100!A$2</f>
        <v>454100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IFERROR(VLOOKUP(B297,input_454100!L:R,7,FALSE),VLOOKUP(tables_454100!C297,input_454100!A:H,8,FALSE))</f>
        <v>241659.375</v>
      </c>
      <c r="P297" s="46">
        <f t="shared" ca="1" si="20"/>
        <v>8.7557744566232523E-3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input_454100!A$2</f>
        <v>454100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IFERROR(VLOOKUP(B298,input_454100!L:R,7,FALSE),VLOOKUP(tables_454100!C298,input_454100!A:H,8,FALSE))</f>
        <v>1370.45454</v>
      </c>
      <c r="P298" s="46">
        <f t="shared" ca="1" si="20"/>
        <v>4.9654150000575677E-5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input_454100!A$2</f>
        <v>454100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IFERROR(VLOOKUP(B299,input_454100!L:R,7,FALSE),VLOOKUP(tables_454100!C299,input_454100!A:H,8,FALSE))</f>
        <v>7820</v>
      </c>
      <c r="P299" s="46">
        <f t="shared" ca="1" si="20"/>
        <v>2.8333333333661822E-4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input_454100!A$2</f>
        <v>454100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IFERROR(VLOOKUP(B300,input_454100!L:R,7,FALSE),VLOOKUP(tables_454100!C300,input_454100!A:H,8,FALSE))</f>
        <v>7820</v>
      </c>
      <c r="P300" s="46">
        <f t="shared" ref="P300:P304" ca="1" si="22">O300/SUM(O:O)</f>
        <v>2.8333333333661822E-4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input_454100!A$2</f>
        <v>454100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IFERROR(VLOOKUP(B301,input_454100!L:R,7,FALSE),VLOOKUP(tables_454100!C301,input_454100!A:H,8,FALSE))</f>
        <v>7820</v>
      </c>
      <c r="P301" s="46">
        <f t="shared" ca="1" si="22"/>
        <v>2.8333333333661822E-4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input_454100!A$2</f>
        <v>454100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IFERROR(VLOOKUP(B302,input_454100!L:R,7,FALSE),VLOOKUP(tables_454100!C302,input_454100!A:H,8,FALSE))</f>
        <v>7820</v>
      </c>
      <c r="P302" s="46">
        <f t="shared" ca="1" si="22"/>
        <v>2.8333333333661822E-4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input_454100!A$2</f>
        <v>454100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IFERROR(VLOOKUP(B303,input_454100!L:R,7,FALSE),VLOOKUP(tables_454100!C303,input_454100!A:H,8,FALSE))</f>
        <v>241659.375</v>
      </c>
      <c r="P303" s="46">
        <f t="shared" ca="1" si="22"/>
        <v>8.7557744566232523E-3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input_454100!A$2</f>
        <v>454100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IFERROR(VLOOKUP(B304,input_454100!L:R,7,FALSE),VLOOKUP(tables_454100!C304,input_454100!A:H,8,FALSE))</f>
        <v>1370.45454</v>
      </c>
      <c r="P304" s="46">
        <f t="shared" ca="1" si="22"/>
        <v>4.9654150000575677E-5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input_454100!A$2</f>
        <v>454100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IFERROR(VLOOKUP(B305,input_454100!L:R,7,FALSE),VLOOKUP(tables_454100!C305,input_454100!A:H,8,FALSE))</f>
        <v>7820</v>
      </c>
      <c r="P305" s="46">
        <f t="shared" ref="P305:P308" ca="1" si="24">O305/SUM(O:O)</f>
        <v>2.8333333333661822E-4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input_454100!A$2</f>
        <v>454100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IFERROR(VLOOKUP(B306,input_454100!L:R,7,FALSE),VLOOKUP(tables_454100!C306,input_454100!A:H,8,FALSE))</f>
        <v>241659.375</v>
      </c>
      <c r="P306" s="46">
        <f t="shared" ca="1" si="24"/>
        <v>8.7557744566232523E-3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input_454100!A$2</f>
        <v>454100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IFERROR(VLOOKUP(B307,input_454100!L:R,7,FALSE),VLOOKUP(tables_454100!C307,input_454100!A:H,8,FALSE))</f>
        <v>1370.45454</v>
      </c>
      <c r="P307" s="46">
        <f t="shared" ca="1" si="24"/>
        <v>4.9654150000575677E-5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input_454100!A$2</f>
        <v>454100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IFERROR(VLOOKUP(B308,input_454100!L:R,7,FALSE),VLOOKUP(tables_454100!C308,input_454100!A:H,8,FALSE))</f>
        <v>7820</v>
      </c>
      <c r="P308" s="46">
        <f t="shared" ca="1" si="24"/>
        <v>2.8333333333661822E-4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input_454100!A$2</f>
        <v>454100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IFERROR(VLOOKUP(B309,input_454100!L:R,7,FALSE),VLOOKUP(tables_454100!C309,input_454100!A:H,8,FALSE))</f>
        <v>7820</v>
      </c>
      <c r="P309" s="46">
        <f t="shared" ref="P309" ca="1" si="26">O309/SUM(O:O)</f>
        <v>2.8333333333661822E-4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input_454100!A$2</f>
        <v>454100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IFERROR(VLOOKUP(B310,input_454100!L:R,7,FALSE),VLOOKUP(tables_454100!C310,input_454100!A:H,8,FALSE))</f>
        <v>7820</v>
      </c>
      <c r="P310" s="46">
        <f t="shared" ref="P310:P314" ca="1" si="28">O310/SUM(O:O)</f>
        <v>2.8333333333661822E-4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input_454100!A$2</f>
        <v>454100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IFERROR(VLOOKUP(B311,input_454100!L:R,7,FALSE),VLOOKUP(tables_454100!C311,input_454100!A:H,8,FALSE))</f>
        <v>241659.375</v>
      </c>
      <c r="P311" s="46">
        <f t="shared" ca="1" si="28"/>
        <v>8.7557744566232523E-3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input_454100!A$2</f>
        <v>454100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IFERROR(VLOOKUP(B312,input_454100!L:R,7,FALSE),VLOOKUP(tables_454100!C312,input_454100!A:H,8,FALSE))</f>
        <v>1370.45454</v>
      </c>
      <c r="P312" s="46">
        <f t="shared" ca="1" si="28"/>
        <v>4.9654150000575677E-5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input_454100!A$2</f>
        <v>454100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IFERROR(VLOOKUP(B313,input_454100!L:R,7,FALSE),VLOOKUP(tables_454100!C313,input_454100!A:H,8,FALSE))</f>
        <v>7820</v>
      </c>
      <c r="P313" s="46">
        <f t="shared" ca="1" si="28"/>
        <v>2.8333333333661822E-4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input_454100!A$2</f>
        <v>454100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IFERROR(VLOOKUP(B314,input_454100!L:R,7,FALSE),VLOOKUP(tables_454100!C314,input_454100!A:H,8,FALSE))</f>
        <v>7820</v>
      </c>
      <c r="P314" s="46">
        <f t="shared" ca="1" si="28"/>
        <v>2.8333333333661822E-4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input_454100!A$2</f>
        <v>454100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IFERROR(VLOOKUP(B315,input_454100!L:R,7,FALSE),VLOOKUP(tables_454100!C315,input_454100!A:H,8,FALSE))</f>
        <v>7820</v>
      </c>
      <c r="P315" s="46">
        <f t="shared" ref="P315:P319" ca="1" si="30">O315/SUM(O:O)</f>
        <v>2.8333333333661822E-4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input_454100!A$2</f>
        <v>454100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IFERROR(VLOOKUP(B316,input_454100!L:R,7,FALSE),VLOOKUP(tables_454100!C316,input_454100!A:H,8,FALSE))</f>
        <v>7820</v>
      </c>
      <c r="P316" s="46">
        <f t="shared" ca="1" si="30"/>
        <v>2.8333333333661822E-4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input_454100!A$2</f>
        <v>454100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IFERROR(VLOOKUP(B317,input_454100!L:R,7,FALSE),VLOOKUP(tables_454100!C317,input_454100!A:H,8,FALSE))</f>
        <v>7820</v>
      </c>
      <c r="P317" s="46">
        <f t="shared" ca="1" si="30"/>
        <v>2.8333333333661822E-4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input_454100!A$2</f>
        <v>454100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IFERROR(VLOOKUP(B318,input_454100!L:R,7,FALSE),VLOOKUP(tables_454100!C318,input_454100!A:H,8,FALSE))</f>
        <v>241659.375</v>
      </c>
      <c r="P318" s="46">
        <f t="shared" ca="1" si="30"/>
        <v>8.7557744566232523E-3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input_454100!A$2</f>
        <v>454100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IFERROR(VLOOKUP(B319,input_454100!L:R,7,FALSE),VLOOKUP(tables_454100!C319,input_454100!A:H,8,FALSE))</f>
        <v>1370.45454</v>
      </c>
      <c r="P319" s="46">
        <f t="shared" ca="1" si="30"/>
        <v>4.9654150000575677E-5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input_454100!A$2</f>
        <v>454100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IFERROR(VLOOKUP(B320,input_454100!L:R,7,FALSE),VLOOKUP(tables_454100!C320,input_454100!A:H,8,FALSE))</f>
        <v>7820</v>
      </c>
      <c r="P320" s="46">
        <f t="shared" ref="P320:P324" ca="1" si="32">O320/SUM(O:O)</f>
        <v>2.8333333333661822E-4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input_454100!A$2</f>
        <v>454100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IFERROR(VLOOKUP(B321,input_454100!L:R,7,FALSE),VLOOKUP(tables_454100!C321,input_454100!A:H,8,FALSE))</f>
        <v>7820</v>
      </c>
      <c r="P321" s="46">
        <f t="shared" ca="1" si="32"/>
        <v>2.8333333333661822E-4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input_454100!A$2</f>
        <v>454100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IFERROR(VLOOKUP(B322,input_454100!L:R,7,FALSE),VLOOKUP(tables_454100!C322,input_454100!A:H,8,FALSE))</f>
        <v>7820</v>
      </c>
      <c r="P322" s="46">
        <f t="shared" ca="1" si="32"/>
        <v>2.8333333333661822E-4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input_454100!A$2</f>
        <v>454100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IFERROR(VLOOKUP(B323,input_454100!L:R,7,FALSE),VLOOKUP(tables_454100!C323,input_454100!A:H,8,FALSE))</f>
        <v>7820</v>
      </c>
      <c r="P323" s="46">
        <f t="shared" ca="1" si="32"/>
        <v>2.8333333333661822E-4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input_454100!A$2</f>
        <v>454100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IFERROR(VLOOKUP(B324,input_454100!L:R,7,FALSE),VLOOKUP(tables_454100!C324,input_454100!A:H,8,FALSE))</f>
        <v>241659.375</v>
      </c>
      <c r="P324" s="46">
        <f t="shared" ca="1" si="32"/>
        <v>8.7557744566232523E-3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input_454100!A$2</f>
        <v>454100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IFERROR(VLOOKUP(B325,input_454100!L:R,7,FALSE),VLOOKUP(tables_454100!C325,input_454100!A:H,8,FALSE))</f>
        <v>1370.45454</v>
      </c>
      <c r="P325" s="46">
        <f t="shared" ref="P325:P330" ca="1" si="35">O325/SUM(O:O)</f>
        <v>4.9654150000575677E-5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input_454100!A$2</f>
        <v>454100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IFERROR(VLOOKUP(B326,input_454100!L:R,7,FALSE),VLOOKUP(tables_454100!C326,input_454100!A:H,8,FALSE))</f>
        <v>241659.375</v>
      </c>
      <c r="P326" s="46">
        <f t="shared" ca="1" si="35"/>
        <v>8.7557744566232523E-3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input_454100!A$2</f>
        <v>454100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IFERROR(VLOOKUP(B327,input_454100!L:R,7,FALSE),VLOOKUP(tables_454100!C327,input_454100!A:H,8,FALSE))</f>
        <v>1370.45454</v>
      </c>
      <c r="P327" s="46">
        <f t="shared" ca="1" si="35"/>
        <v>4.9654150000575677E-5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input_454100!A$2</f>
        <v>454100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IFERROR(VLOOKUP(B328,input_454100!L:R,7,FALSE),VLOOKUP(tables_454100!C328,input_454100!A:H,8,FALSE))</f>
        <v>7820</v>
      </c>
      <c r="P328" s="46">
        <f t="shared" ca="1" si="35"/>
        <v>2.8333333333661822E-4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input_454100!A$2</f>
        <v>454100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IFERROR(VLOOKUP(B329,input_454100!L:R,7,FALSE),VLOOKUP(tables_454100!C329,input_454100!A:H,8,FALSE))</f>
        <v>7820</v>
      </c>
      <c r="P329" s="46">
        <f t="shared" ca="1" si="35"/>
        <v>2.8333333333661822E-4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input_454100!A$2</f>
        <v>454100</v>
      </c>
      <c r="B330" s="2">
        <v>1157</v>
      </c>
      <c r="C330" s="7" t="str">
        <f t="shared" si="34"/>
        <v>PremiumSS5R5only</v>
      </c>
      <c r="D330" s="98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IFERROR(VLOOKUP(B330,input_454100!L:R,7,FALSE),VLOOKUP(tables_454100!C330,input_454100!A:H,8,FALSE))</f>
        <v>7820</v>
      </c>
      <c r="P330" s="46">
        <f t="shared" ca="1" si="35"/>
        <v>2.8333333333661822E-4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input_454100!A$2</f>
        <v>454100</v>
      </c>
      <c r="B331" s="60">
        <v>1214</v>
      </c>
      <c r="C331" s="7" t="str">
        <f t="shared" ref="C331:C335" si="36">D331&amp;J331&amp;E331&amp;F331&amp;G331</f>
        <v>PremiumSS5R5only</v>
      </c>
      <c r="D331" s="98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IFERROR(VLOOKUP(B331,input_454100!L:R,7,FALSE),VLOOKUP(tables_454100!C331,input_454100!A:H,8,FALSE))</f>
        <v>7820</v>
      </c>
      <c r="P331" s="46">
        <f t="shared" ref="P331:P335" ca="1" si="38">O331/SUM(O:O)</f>
        <v>2.8333333333661822E-4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input_454100!A$2</f>
        <v>454100</v>
      </c>
      <c r="B332" s="60">
        <v>1212</v>
      </c>
      <c r="C332" s="7" t="str">
        <f t="shared" si="36"/>
        <v>PremiumSS5R5only</v>
      </c>
      <c r="D332" s="98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IFERROR(VLOOKUP(B332,input_454100!L:R,7,FALSE),VLOOKUP(tables_454100!C332,input_454100!A:H,8,FALSE))</f>
        <v>7820</v>
      </c>
      <c r="P332" s="46">
        <f t="shared" ca="1" si="38"/>
        <v>2.8333333333661822E-4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input_454100!A$2</f>
        <v>454100</v>
      </c>
      <c r="B333" s="60">
        <v>1208</v>
      </c>
      <c r="C333" s="7" t="str">
        <f t="shared" si="36"/>
        <v>PremiumSS5R5only</v>
      </c>
      <c r="D333" s="98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IFERROR(VLOOKUP(B333,input_454100!L:R,7,FALSE),VLOOKUP(tables_454100!C333,input_454100!A:H,8,FALSE))</f>
        <v>7820</v>
      </c>
      <c r="P333" s="46">
        <f t="shared" ca="1" si="38"/>
        <v>2.8333333333661822E-4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input_454100!A$2</f>
        <v>454100</v>
      </c>
      <c r="B334" s="93">
        <v>1210</v>
      </c>
      <c r="C334" s="7" t="str">
        <f t="shared" si="36"/>
        <v>Premium4R3less</v>
      </c>
      <c r="D334" s="98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IFERROR(VLOOKUP(B334,input_454100!L:R,7,FALSE),VLOOKUP(tables_454100!C334,input_454100!A:H,8,FALSE))</f>
        <v>241659.375</v>
      </c>
      <c r="P334" s="46">
        <f t="shared" ca="1" si="38"/>
        <v>8.7557744566232523E-3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input_454100!A$2</f>
        <v>454100</v>
      </c>
      <c r="B335" s="60">
        <v>1211</v>
      </c>
      <c r="C335" s="7" t="str">
        <f t="shared" si="36"/>
        <v>Premium5R3less</v>
      </c>
      <c r="D335" s="98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IFERROR(VLOOKUP(B335,input_454100!L:R,7,FALSE),VLOOKUP(tables_454100!C335,input_454100!A:H,8,FALSE))</f>
        <v>1370.45454</v>
      </c>
      <c r="P335" s="46">
        <f t="shared" ca="1" si="38"/>
        <v>4.9654150000575677E-5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input_454100!A$2</f>
        <v>454100</v>
      </c>
      <c r="B336" s="60">
        <v>1228</v>
      </c>
      <c r="C336" s="7" t="str">
        <f t="shared" ref="C336:C340" si="39">D336&amp;J336&amp;E336&amp;F336&amp;G336</f>
        <v>PremiumSS5R5only</v>
      </c>
      <c r="D336" s="98" t="str">
        <f t="shared" ref="D336:D340" si="4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>IFERROR(VLOOKUP(B336,input_454100!L:R,7,FALSE),VLOOKUP(tables_454100!C336,input_454100!A:H,8,FALSE))</f>
        <v>248399.99999999997</v>
      </c>
      <c r="P336" s="46">
        <f t="shared" ref="P336:P340" ca="1" si="41">O336/SUM(O:O)</f>
        <v>9.0000000001043429E-3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input_454100!A$2</f>
        <v>454100</v>
      </c>
      <c r="B337" s="60">
        <v>1226</v>
      </c>
      <c r="C337" s="7" t="str">
        <f t="shared" si="39"/>
        <v>PremiumSS5R5only</v>
      </c>
      <c r="D337" s="98" t="str">
        <f t="shared" si="4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>IFERROR(VLOOKUP(B337,input_454100!L:R,7,FALSE),VLOOKUP(tables_454100!C337,input_454100!A:H,8,FALSE))</f>
        <v>331200</v>
      </c>
      <c r="P337" s="46">
        <f t="shared" ca="1" si="41"/>
        <v>1.2000000000139125E-2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input_454100!A$2</f>
        <v>454100</v>
      </c>
      <c r="B338" s="60">
        <v>1230</v>
      </c>
      <c r="C338" s="7" t="str">
        <f t="shared" si="39"/>
        <v>PremiumSS5R5only</v>
      </c>
      <c r="D338" s="98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>IFERROR(VLOOKUP(B338,input_454100!L:R,7,FALSE),VLOOKUP(tables_454100!C338,input_454100!A:H,8,FALSE))</f>
        <v>331200</v>
      </c>
      <c r="P338" s="46">
        <f t="shared" ca="1" si="41"/>
        <v>1.2000000000139125E-2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input_454100!A$2</f>
        <v>454100</v>
      </c>
      <c r="B339" s="93">
        <v>1224</v>
      </c>
      <c r="C339" s="7" t="str">
        <f t="shared" si="39"/>
        <v>Premium4R3less</v>
      </c>
      <c r="D339" s="98" t="str">
        <f t="shared" si="4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>IFERROR(VLOOKUP(B339,input_454100!L:R,7,FALSE),VLOOKUP(tables_454100!C339,input_454100!A:H,8,FALSE))</f>
        <v>2228700</v>
      </c>
      <c r="P339" s="46">
        <f t="shared" ca="1" si="41"/>
        <v>8.0750000000936198E-2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input_454100!A$2</f>
        <v>454100</v>
      </c>
      <c r="B340" s="60">
        <v>1225</v>
      </c>
      <c r="C340" s="7" t="str">
        <f t="shared" si="39"/>
        <v>Premium5R3less</v>
      </c>
      <c r="D340" s="98" t="str">
        <f t="shared" si="4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>IFERROR(VLOOKUP(B340,input_454100!L:R,7,FALSE),VLOOKUP(tables_454100!C340,input_454100!A:H,8,FALSE))</f>
        <v>117300.00000000001</v>
      </c>
      <c r="P340" s="46">
        <f t="shared" ca="1" si="41"/>
        <v>4.2500000000492743E-3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C11" sqref="C11:C1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input_454100!A$2</f>
        <v>454100</v>
      </c>
      <c r="B2" s="60">
        <v>1228</v>
      </c>
      <c r="C2" s="7" t="str">
        <f t="shared" ref="C2:C6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芥川龍之介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>
        <f>VLOOKUP(B2,[1]characters!$A:$G,7,FALSE)</f>
        <v>0</v>
      </c>
      <c r="O2" s="45">
        <v>10</v>
      </c>
      <c r="P2" s="46">
        <f t="shared" ref="P2:P6" si="1">O2/SUM(O:O)</f>
        <v>0.1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input_454100!A$2</f>
        <v>454100</v>
      </c>
      <c r="B3" s="60">
        <v>1226</v>
      </c>
      <c r="C3" s="7" t="str">
        <f t="shared" si="0"/>
        <v>PremiumSS5R5only</v>
      </c>
      <c r="D3" s="7" t="str">
        <f t="shared" ref="D3:D6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トルストイ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>
        <f>VLOOKUP(B3,[1]characters!$A:$G,7,FALSE)</f>
        <v>0</v>
      </c>
      <c r="O3" s="45">
        <v>20</v>
      </c>
      <c r="P3" s="46">
        <f t="shared" si="1"/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input_454100!A$2</f>
        <v>454100</v>
      </c>
      <c r="B4" s="60">
        <v>1230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夏目漱石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heal</v>
      </c>
      <c r="M4" s="7" t="str">
        <f>VLOOKUP(B4,[1]characters!$A:$M,13,FALSE)</f>
        <v>animal</v>
      </c>
      <c r="N4" s="7">
        <f>VLOOKUP(B4,[1]characters!$A:$G,7,FALSE)</f>
        <v>0</v>
      </c>
      <c r="O4" s="45">
        <v>20</v>
      </c>
      <c r="P4" s="46">
        <f t="shared" si="1"/>
        <v>0.2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input_454100!A$2</f>
        <v>454100</v>
      </c>
      <c r="B5" s="93">
        <v>1224</v>
      </c>
      <c r="C5" s="7" t="str">
        <f t="shared" si="0"/>
        <v>Premium4R3less</v>
      </c>
      <c r="D5" s="7" t="str">
        <f t="shared" si="2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セルバンテス</v>
      </c>
      <c r="I5" s="7" t="str">
        <f>VLOOKUP(B5,[1]characters!$A:$J,10,FALSE)</f>
        <v>PremiumS</v>
      </c>
      <c r="J5" s="7">
        <f>VLOOKUP(B5,[1]characters!$A:$I,9,FALSE)</f>
        <v>4</v>
      </c>
      <c r="K5" s="7" t="str">
        <f>VLOOKUP(B5,[1]characters!$A:$H,8,FALSE)</f>
        <v>red</v>
      </c>
      <c r="L5" s="7" t="str">
        <f>VLOOKUP(B5,[1]characters!$A:$K,11,FALSE)</f>
        <v>attack</v>
      </c>
      <c r="M5" s="7" t="str">
        <f>VLOOKUP(B5,[1]characters!$A:$M,13,FALSE)</f>
        <v>human</v>
      </c>
      <c r="N5" s="7">
        <f>VLOOKUP(B5,[1]characters!$A:$G,7,FALSE)</f>
        <v>0</v>
      </c>
      <c r="O5" s="45">
        <v>45</v>
      </c>
      <c r="P5" s="46">
        <f t="shared" si="1"/>
        <v>0.45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input_454100!A$2</f>
        <v>454100</v>
      </c>
      <c r="B6" s="60">
        <v>1225</v>
      </c>
      <c r="C6" s="7" t="str">
        <f t="shared" si="0"/>
        <v>Premium5R3less</v>
      </c>
      <c r="D6" s="7" t="str">
        <f t="shared" si="2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セルバンテス</v>
      </c>
      <c r="I6" s="7" t="str">
        <f>VLOOKUP(B6,[1]characters!$A:$J,10,FALSE)</f>
        <v>PremiumS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attack</v>
      </c>
      <c r="M6" s="7" t="str">
        <f>VLOOKUP(B6,[1]characters!$A:$M,13,FALSE)</f>
        <v>human</v>
      </c>
      <c r="N6" s="7">
        <f>VLOOKUP(B6,[1]characters!$A:$G,7,FALSE)</f>
        <v>0</v>
      </c>
      <c r="O6" s="45">
        <v>5</v>
      </c>
      <c r="P6" s="46">
        <f t="shared" si="1"/>
        <v>0.05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100"/>
      <c r="P7" s="101"/>
      <c r="Q7" s="102"/>
      <c r="R7" s="102"/>
      <c r="S7" s="102"/>
      <c r="T7" s="102"/>
      <c r="U7" s="102"/>
      <c r="V7" s="102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100"/>
      <c r="P8" s="101"/>
      <c r="Q8" s="102"/>
      <c r="R8" s="102"/>
      <c r="S8" s="102"/>
      <c r="T8" s="102"/>
      <c r="U8" s="102"/>
      <c r="V8" s="102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100"/>
      <c r="P9" s="101"/>
      <c r="Q9" s="102"/>
      <c r="R9" s="102"/>
      <c r="S9" s="102"/>
      <c r="T9" s="102"/>
      <c r="U9" s="102"/>
      <c r="V9" s="102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100"/>
      <c r="P10" s="101"/>
      <c r="Q10" s="102"/>
      <c r="R10" s="102"/>
      <c r="S10" s="102"/>
      <c r="T10" s="102"/>
      <c r="U10" s="102"/>
      <c r="V10" s="102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100"/>
      <c r="P11" s="101"/>
      <c r="Q11" s="102"/>
      <c r="R11" s="102"/>
      <c r="S11" s="102"/>
      <c r="T11" s="102"/>
      <c r="U11" s="102"/>
      <c r="V11" s="102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100"/>
      <c r="P12" s="101"/>
      <c r="Q12" s="102"/>
      <c r="R12" s="102"/>
      <c r="S12" s="102"/>
      <c r="T12" s="102"/>
      <c r="U12" s="102"/>
      <c r="V12" s="102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100"/>
      <c r="P13" s="101"/>
      <c r="Q13" s="102"/>
      <c r="R13" s="102"/>
      <c r="S13" s="102"/>
      <c r="T13" s="102"/>
      <c r="U13" s="102"/>
      <c r="V13" s="102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100"/>
      <c r="P14" s="101"/>
      <c r="Q14" s="102"/>
      <c r="R14" s="102"/>
      <c r="S14" s="102"/>
      <c r="T14" s="102"/>
      <c r="U14" s="102"/>
      <c r="V14" s="102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100"/>
      <c r="P15" s="101"/>
      <c r="Q15" s="102"/>
      <c r="R15" s="102"/>
      <c r="S15" s="102"/>
      <c r="T15" s="102"/>
      <c r="U15" s="102"/>
      <c r="V15" s="102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100"/>
      <c r="P16" s="101"/>
      <c r="Q16" s="102"/>
      <c r="R16" s="102"/>
      <c r="S16" s="102"/>
      <c r="T16" s="102"/>
      <c r="U16" s="102"/>
      <c r="V16" s="102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100"/>
      <c r="P17" s="101"/>
      <c r="Q17" s="102"/>
      <c r="R17" s="102"/>
      <c r="S17" s="102"/>
      <c r="T17" s="102"/>
      <c r="U17" s="102"/>
      <c r="V17" s="102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100"/>
      <c r="P18" s="101"/>
      <c r="Q18" s="102"/>
      <c r="R18" s="102"/>
      <c r="S18" s="102"/>
      <c r="T18" s="102"/>
      <c r="U18" s="102"/>
      <c r="V18" s="102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100"/>
      <c r="P19" s="101"/>
      <c r="Q19" s="102"/>
      <c r="R19" s="102"/>
      <c r="S19" s="102"/>
      <c r="T19" s="102"/>
      <c r="U19" s="102"/>
      <c r="V19" s="102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100"/>
      <c r="P20" s="101"/>
      <c r="Q20" s="102"/>
      <c r="R20" s="102"/>
      <c r="S20" s="102"/>
      <c r="T20" s="102"/>
      <c r="U20" s="102"/>
      <c r="V20" s="102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100"/>
      <c r="P21" s="101"/>
      <c r="Q21" s="102"/>
      <c r="R21" s="102"/>
      <c r="S21" s="102"/>
      <c r="T21" s="102"/>
      <c r="U21" s="102"/>
      <c r="V21" s="102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100"/>
      <c r="P22" s="101"/>
      <c r="Q22" s="102"/>
      <c r="R22" s="102"/>
      <c r="S22" s="102"/>
      <c r="T22" s="102"/>
      <c r="U22" s="102"/>
      <c r="V22" s="102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100"/>
      <c r="P23" s="101"/>
      <c r="Q23" s="102"/>
      <c r="R23" s="102"/>
      <c r="S23" s="102"/>
      <c r="T23" s="102"/>
      <c r="U23" s="102"/>
      <c r="V23" s="102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100"/>
      <c r="P24" s="101"/>
      <c r="Q24" s="102"/>
      <c r="R24" s="102"/>
      <c r="S24" s="102"/>
      <c r="T24" s="102"/>
      <c r="U24" s="102"/>
      <c r="V24" s="102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100"/>
      <c r="P25" s="101"/>
      <c r="Q25" s="102"/>
      <c r="R25" s="102"/>
      <c r="S25" s="102"/>
      <c r="T25" s="102"/>
      <c r="U25" s="102"/>
      <c r="V25" s="102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100"/>
      <c r="P26" s="101"/>
      <c r="Q26" s="102"/>
      <c r="R26" s="102"/>
      <c r="S26" s="102"/>
      <c r="T26" s="102"/>
      <c r="U26" s="102"/>
      <c r="V26" s="102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100"/>
      <c r="P27" s="101"/>
      <c r="Q27" s="102"/>
      <c r="R27" s="102"/>
      <c r="S27" s="102"/>
      <c r="T27" s="102"/>
      <c r="U27" s="102"/>
      <c r="V27" s="102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100"/>
      <c r="P28" s="101"/>
      <c r="Q28" s="102"/>
      <c r="R28" s="102"/>
      <c r="S28" s="102"/>
      <c r="T28" s="102"/>
      <c r="U28" s="102"/>
      <c r="V28" s="102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100"/>
      <c r="P29" s="101"/>
      <c r="Q29" s="102"/>
      <c r="R29" s="102"/>
      <c r="S29" s="102"/>
      <c r="T29" s="102"/>
      <c r="U29" s="102"/>
      <c r="V29" s="102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100"/>
      <c r="P30" s="101"/>
      <c r="Q30" s="102"/>
      <c r="R30" s="102"/>
      <c r="S30" s="102"/>
      <c r="T30" s="102"/>
      <c r="U30" s="102"/>
      <c r="V30" s="102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100"/>
      <c r="P31" s="101"/>
      <c r="Q31" s="102"/>
      <c r="R31" s="102"/>
      <c r="S31" s="102"/>
      <c r="T31" s="102"/>
      <c r="U31" s="102"/>
      <c r="V31" s="102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100"/>
      <c r="P32" s="101"/>
      <c r="Q32" s="102"/>
      <c r="R32" s="102"/>
      <c r="S32" s="102"/>
      <c r="T32" s="102"/>
      <c r="U32" s="102"/>
      <c r="V32" s="102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100"/>
      <c r="P33" s="101"/>
      <c r="Q33" s="102"/>
      <c r="R33" s="102"/>
      <c r="S33" s="102"/>
      <c r="T33" s="102"/>
      <c r="U33" s="102"/>
      <c r="V33" s="102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100"/>
      <c r="P34" s="101"/>
      <c r="Q34" s="102"/>
      <c r="R34" s="102"/>
      <c r="S34" s="102"/>
      <c r="T34" s="102"/>
      <c r="U34" s="102"/>
      <c r="V34" s="102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100"/>
      <c r="P35" s="101"/>
      <c r="Q35" s="102"/>
      <c r="R35" s="102"/>
      <c r="S35" s="102"/>
      <c r="T35" s="102"/>
      <c r="U35" s="102"/>
      <c r="V35" s="102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100"/>
      <c r="P36" s="101"/>
      <c r="Q36" s="102"/>
      <c r="R36" s="102"/>
      <c r="S36" s="102"/>
      <c r="T36" s="102"/>
      <c r="U36" s="102"/>
      <c r="V36" s="102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100"/>
      <c r="P37" s="101"/>
      <c r="Q37" s="102"/>
      <c r="R37" s="102"/>
      <c r="S37" s="102"/>
      <c r="T37" s="102"/>
      <c r="U37" s="102"/>
      <c r="V37" s="102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100"/>
      <c r="P38" s="101"/>
      <c r="Q38" s="102"/>
      <c r="R38" s="102"/>
      <c r="S38" s="102"/>
      <c r="T38" s="102"/>
      <c r="U38" s="102"/>
      <c r="V38" s="102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100"/>
      <c r="P39" s="101"/>
      <c r="Q39" s="102"/>
      <c r="R39" s="102"/>
      <c r="S39" s="102"/>
      <c r="T39" s="102"/>
      <c r="U39" s="102"/>
      <c r="V39" s="102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100"/>
      <c r="P40" s="101"/>
      <c r="Q40" s="102"/>
      <c r="R40" s="102"/>
      <c r="S40" s="102"/>
      <c r="T40" s="102"/>
      <c r="U40" s="102"/>
      <c r="V40" s="102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100"/>
      <c r="P41" s="101"/>
      <c r="Q41" s="102"/>
      <c r="R41" s="102"/>
      <c r="S41" s="102"/>
      <c r="T41" s="102"/>
      <c r="U41" s="102"/>
      <c r="V41" s="102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100"/>
      <c r="P42" s="101"/>
      <c r="Q42" s="102"/>
      <c r="R42" s="102"/>
      <c r="S42" s="102"/>
      <c r="T42" s="102"/>
      <c r="U42" s="102"/>
      <c r="V42" s="102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100"/>
      <c r="P43" s="101"/>
      <c r="Q43" s="102"/>
      <c r="R43" s="102"/>
      <c r="S43" s="102"/>
      <c r="T43" s="102"/>
      <c r="U43" s="102"/>
      <c r="V43" s="102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100"/>
      <c r="P44" s="101"/>
      <c r="Q44" s="102"/>
      <c r="R44" s="102"/>
      <c r="S44" s="102"/>
      <c r="T44" s="102"/>
      <c r="U44" s="102"/>
      <c r="V44" s="102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100"/>
      <c r="P45" s="101"/>
      <c r="Q45" s="102"/>
      <c r="R45" s="102"/>
      <c r="S45" s="102"/>
      <c r="T45" s="102"/>
      <c r="U45" s="102"/>
      <c r="V45" s="102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100"/>
      <c r="P46" s="101"/>
      <c r="Q46" s="102"/>
      <c r="R46" s="102"/>
      <c r="S46" s="102"/>
      <c r="T46" s="102"/>
      <c r="U46" s="102"/>
      <c r="V46" s="102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100"/>
      <c r="P47" s="101"/>
      <c r="Q47" s="102"/>
      <c r="R47" s="102"/>
      <c r="S47" s="102"/>
      <c r="T47" s="102"/>
      <c r="U47" s="102"/>
      <c r="V47" s="102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100"/>
      <c r="P48" s="101"/>
      <c r="Q48" s="102"/>
      <c r="R48" s="102"/>
      <c r="S48" s="102"/>
      <c r="T48" s="102"/>
      <c r="U48" s="102"/>
      <c r="V48" s="102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100"/>
      <c r="P49" s="101"/>
      <c r="Q49" s="102"/>
      <c r="R49" s="102"/>
      <c r="S49" s="102"/>
      <c r="T49" s="102"/>
      <c r="U49" s="102"/>
      <c r="V49" s="102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100"/>
      <c r="P50" s="101"/>
      <c r="Q50" s="102"/>
      <c r="R50" s="102"/>
      <c r="S50" s="102"/>
      <c r="T50" s="102"/>
      <c r="U50" s="102"/>
      <c r="V50" s="102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100"/>
      <c r="P51" s="101"/>
      <c r="Q51" s="102"/>
      <c r="R51" s="102"/>
      <c r="S51" s="102"/>
      <c r="T51" s="102"/>
      <c r="U51" s="102"/>
      <c r="V51" s="102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100"/>
      <c r="P52" s="101"/>
      <c r="Q52" s="102"/>
      <c r="R52" s="102"/>
      <c r="S52" s="102"/>
      <c r="T52" s="102"/>
      <c r="U52" s="102"/>
      <c r="V52" s="102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100"/>
      <c r="P53" s="101"/>
      <c r="Q53" s="102"/>
      <c r="R53" s="102"/>
      <c r="S53" s="102"/>
      <c r="T53" s="102"/>
      <c r="U53" s="102"/>
      <c r="V53" s="102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100"/>
      <c r="P54" s="101"/>
      <c r="Q54" s="102"/>
      <c r="R54" s="102"/>
      <c r="S54" s="102"/>
      <c r="T54" s="102"/>
      <c r="U54" s="102"/>
      <c r="V54" s="102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100"/>
      <c r="P55" s="101"/>
      <c r="Q55" s="102"/>
      <c r="R55" s="102"/>
      <c r="S55" s="102"/>
      <c r="T55" s="102"/>
      <c r="U55" s="102"/>
      <c r="V55" s="102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100"/>
      <c r="P56" s="101"/>
      <c r="Q56" s="102"/>
      <c r="R56" s="102"/>
      <c r="S56" s="102"/>
      <c r="T56" s="102"/>
      <c r="U56" s="102"/>
      <c r="V56" s="102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100"/>
      <c r="P57" s="101"/>
      <c r="Q57" s="102"/>
      <c r="R57" s="102"/>
      <c r="S57" s="102"/>
      <c r="T57" s="102"/>
      <c r="U57" s="102"/>
      <c r="V57" s="102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100"/>
      <c r="P58" s="101"/>
      <c r="Q58" s="102"/>
      <c r="R58" s="102"/>
      <c r="S58" s="102"/>
      <c r="T58" s="102"/>
      <c r="U58" s="102"/>
      <c r="V58" s="102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100"/>
      <c r="P59" s="101"/>
      <c r="Q59" s="102"/>
      <c r="R59" s="102"/>
      <c r="S59" s="102"/>
      <c r="T59" s="102"/>
      <c r="U59" s="102"/>
      <c r="V59" s="102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100"/>
      <c r="P60" s="101"/>
      <c r="Q60" s="102"/>
      <c r="R60" s="102"/>
      <c r="S60" s="102"/>
      <c r="T60" s="102"/>
      <c r="U60" s="102"/>
      <c r="V60" s="102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100"/>
      <c r="P61" s="101"/>
      <c r="Q61" s="102"/>
      <c r="R61" s="102"/>
      <c r="S61" s="102"/>
      <c r="T61" s="102"/>
      <c r="U61" s="102"/>
      <c r="V61" s="102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100"/>
      <c r="P62" s="101"/>
      <c r="Q62" s="102"/>
      <c r="R62" s="102"/>
      <c r="S62" s="102"/>
      <c r="T62" s="102"/>
      <c r="U62" s="102"/>
      <c r="V62" s="102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100"/>
      <c r="P63" s="101"/>
      <c r="Q63" s="102"/>
      <c r="R63" s="102"/>
      <c r="S63" s="102"/>
      <c r="T63" s="102"/>
      <c r="U63" s="102"/>
      <c r="V63" s="102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100"/>
      <c r="P64" s="101"/>
      <c r="Q64" s="102"/>
      <c r="R64" s="102"/>
      <c r="S64" s="102"/>
      <c r="T64" s="102"/>
      <c r="U64" s="102"/>
      <c r="V64" s="102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100"/>
      <c r="P65" s="101"/>
      <c r="Q65" s="102"/>
      <c r="R65" s="102"/>
      <c r="S65" s="102"/>
      <c r="T65" s="102"/>
      <c r="U65" s="102"/>
      <c r="V65" s="102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100"/>
      <c r="P66" s="101"/>
      <c r="Q66" s="102"/>
      <c r="R66" s="102"/>
      <c r="S66" s="102"/>
      <c r="T66" s="102"/>
      <c r="U66" s="102"/>
      <c r="V66" s="102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100"/>
      <c r="P67" s="101"/>
      <c r="Q67" s="102"/>
      <c r="R67" s="102"/>
      <c r="S67" s="102"/>
      <c r="T67" s="102"/>
      <c r="U67" s="102"/>
      <c r="V67" s="102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100"/>
      <c r="P68" s="101"/>
      <c r="Q68" s="102"/>
      <c r="R68" s="102"/>
      <c r="S68" s="102"/>
      <c r="T68" s="102"/>
      <c r="U68" s="102"/>
      <c r="V68" s="102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100"/>
      <c r="P69" s="101"/>
      <c r="Q69" s="102"/>
      <c r="R69" s="102"/>
      <c r="S69" s="102"/>
      <c r="T69" s="102"/>
      <c r="U69" s="102"/>
      <c r="V69" s="102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100"/>
      <c r="P70" s="101"/>
      <c r="Q70" s="102"/>
      <c r="R70" s="102"/>
      <c r="S70" s="102"/>
      <c r="T70" s="102"/>
      <c r="U70" s="102"/>
      <c r="V70" s="102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100"/>
      <c r="P71" s="101"/>
      <c r="Q71" s="102"/>
      <c r="R71" s="102"/>
      <c r="S71" s="102"/>
      <c r="T71" s="102"/>
      <c r="U71" s="102"/>
      <c r="V71" s="102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100"/>
      <c r="P72" s="101"/>
      <c r="Q72" s="102"/>
      <c r="R72" s="102"/>
      <c r="S72" s="102"/>
      <c r="T72" s="102"/>
      <c r="U72" s="102"/>
      <c r="V72" s="102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100"/>
      <c r="P73" s="101"/>
      <c r="Q73" s="102"/>
      <c r="R73" s="102"/>
      <c r="S73" s="102"/>
      <c r="T73" s="102"/>
      <c r="U73" s="102"/>
      <c r="V73" s="102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100"/>
      <c r="P74" s="101"/>
      <c r="Q74" s="102"/>
      <c r="R74" s="102"/>
      <c r="S74" s="102"/>
      <c r="T74" s="102"/>
      <c r="U74" s="102"/>
      <c r="V74" s="102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100"/>
      <c r="P75" s="101"/>
      <c r="Q75" s="102"/>
      <c r="R75" s="102"/>
      <c r="S75" s="102"/>
      <c r="T75" s="102"/>
      <c r="U75" s="102"/>
      <c r="V75" s="102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100"/>
      <c r="P76" s="101"/>
      <c r="Q76" s="102"/>
      <c r="R76" s="102"/>
      <c r="S76" s="102"/>
      <c r="T76" s="102"/>
      <c r="U76" s="102"/>
      <c r="V76" s="102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100"/>
      <c r="P77" s="101"/>
      <c r="Q77" s="102"/>
      <c r="R77" s="102"/>
      <c r="S77" s="102"/>
      <c r="T77" s="102"/>
      <c r="U77" s="102"/>
      <c r="V77" s="102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100"/>
      <c r="P78" s="101"/>
      <c r="Q78" s="102"/>
      <c r="R78" s="102"/>
      <c r="S78" s="102"/>
      <c r="T78" s="102"/>
      <c r="U78" s="102"/>
      <c r="V78" s="102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100"/>
      <c r="P79" s="101"/>
      <c r="Q79" s="102"/>
      <c r="R79" s="102"/>
      <c r="S79" s="102"/>
      <c r="T79" s="102"/>
      <c r="U79" s="102"/>
      <c r="V79" s="102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100"/>
      <c r="P80" s="101"/>
      <c r="Q80" s="102"/>
      <c r="R80" s="102"/>
      <c r="S80" s="102"/>
      <c r="T80" s="102"/>
      <c r="U80" s="102"/>
      <c r="V80" s="102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100"/>
      <c r="P81" s="101"/>
      <c r="Q81" s="102"/>
      <c r="R81" s="102"/>
      <c r="S81" s="102"/>
      <c r="T81" s="102"/>
      <c r="U81" s="102"/>
      <c r="V81" s="102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100"/>
      <c r="P82" s="101"/>
      <c r="Q82" s="102"/>
      <c r="R82" s="102"/>
      <c r="S82" s="102"/>
      <c r="T82" s="102"/>
      <c r="U82" s="102"/>
      <c r="V82" s="102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100"/>
      <c r="P83" s="101"/>
      <c r="Q83" s="102"/>
      <c r="R83" s="102"/>
      <c r="S83" s="102"/>
      <c r="T83" s="102"/>
      <c r="U83" s="102"/>
      <c r="V83" s="102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100"/>
      <c r="P84" s="101"/>
      <c r="Q84" s="102"/>
      <c r="R84" s="102"/>
      <c r="S84" s="102"/>
      <c r="T84" s="102"/>
      <c r="U84" s="102"/>
      <c r="V84" s="102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100"/>
      <c r="P85" s="101"/>
      <c r="Q85" s="102"/>
      <c r="R85" s="102"/>
      <c r="S85" s="102"/>
      <c r="T85" s="102"/>
      <c r="U85" s="102"/>
      <c r="V85" s="102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100"/>
      <c r="P86" s="101"/>
      <c r="Q86" s="102"/>
      <c r="R86" s="102"/>
      <c r="S86" s="102"/>
      <c r="T86" s="102"/>
      <c r="U86" s="102"/>
      <c r="V86" s="102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100"/>
      <c r="P87" s="101"/>
      <c r="Q87" s="102"/>
      <c r="R87" s="102"/>
      <c r="S87" s="102"/>
      <c r="T87" s="102"/>
      <c r="U87" s="102"/>
      <c r="V87" s="102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100"/>
      <c r="P88" s="101"/>
      <c r="Q88" s="102"/>
      <c r="R88" s="102"/>
      <c r="S88" s="102"/>
      <c r="T88" s="102"/>
      <c r="U88" s="102"/>
      <c r="V88" s="102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100"/>
      <c r="P89" s="101"/>
      <c r="Q89" s="102"/>
      <c r="R89" s="102"/>
      <c r="S89" s="102"/>
      <c r="T89" s="102"/>
      <c r="U89" s="102"/>
      <c r="V89" s="102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100"/>
      <c r="P90" s="101"/>
      <c r="Q90" s="102"/>
      <c r="R90" s="102"/>
      <c r="S90" s="102"/>
      <c r="T90" s="102"/>
      <c r="U90" s="102"/>
      <c r="V90" s="102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100"/>
      <c r="P91" s="101"/>
      <c r="Q91" s="102"/>
      <c r="R91" s="102"/>
      <c r="S91" s="102"/>
      <c r="T91" s="102"/>
      <c r="U91" s="102"/>
      <c r="V91" s="102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100"/>
      <c r="P92" s="101"/>
      <c r="Q92" s="102"/>
      <c r="R92" s="102"/>
      <c r="S92" s="102"/>
      <c r="T92" s="102"/>
      <c r="U92" s="102"/>
      <c r="V92" s="102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100"/>
      <c r="P93" s="101"/>
      <c r="Q93" s="102"/>
      <c r="R93" s="102"/>
      <c r="S93" s="102"/>
      <c r="T93" s="102"/>
      <c r="U93" s="102"/>
      <c r="V93" s="102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100"/>
      <c r="P94" s="101"/>
      <c r="Q94" s="102"/>
      <c r="R94" s="102"/>
      <c r="S94" s="102"/>
      <c r="T94" s="102"/>
      <c r="U94" s="102"/>
      <c r="V94" s="102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100"/>
      <c r="P95" s="101"/>
      <c r="Q95" s="102"/>
      <c r="R95" s="102"/>
      <c r="S95" s="102"/>
      <c r="T95" s="102"/>
      <c r="U95" s="102"/>
      <c r="V95" s="102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100"/>
      <c r="P96" s="101"/>
      <c r="Q96" s="102"/>
      <c r="R96" s="102"/>
      <c r="S96" s="102"/>
      <c r="T96" s="102"/>
      <c r="U96" s="102"/>
      <c r="V96" s="102"/>
    </row>
    <row r="97" spans="1:22" ht="21" customHeight="1" x14ac:dyDescent="0.1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100"/>
      <c r="P97" s="101"/>
      <c r="Q97" s="102"/>
      <c r="R97" s="102"/>
      <c r="S97" s="102"/>
      <c r="T97" s="102"/>
      <c r="U97" s="102"/>
      <c r="V97" s="102"/>
    </row>
    <row r="98" spans="1:22" ht="21" customHeight="1" x14ac:dyDescent="0.1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100"/>
      <c r="P98" s="101"/>
      <c r="Q98" s="102"/>
      <c r="R98" s="102"/>
      <c r="S98" s="102"/>
      <c r="T98" s="102"/>
      <c r="U98" s="102"/>
      <c r="V98" s="102"/>
    </row>
    <row r="99" spans="1:22" ht="21" customHeight="1" x14ac:dyDescent="0.1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100"/>
      <c r="P99" s="101"/>
      <c r="Q99" s="102"/>
      <c r="R99" s="102"/>
      <c r="S99" s="102"/>
      <c r="T99" s="102"/>
      <c r="U99" s="102"/>
      <c r="V99" s="102"/>
    </row>
    <row r="100" spans="1:22" ht="21" customHeight="1" x14ac:dyDescent="0.1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100"/>
      <c r="P100" s="101"/>
      <c r="Q100" s="102"/>
      <c r="R100" s="102"/>
      <c r="S100" s="102"/>
      <c r="T100" s="102"/>
      <c r="U100" s="102"/>
      <c r="V100" s="102"/>
    </row>
    <row r="101" spans="1:22" ht="21" customHeight="1" x14ac:dyDescent="0.1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100"/>
      <c r="P101" s="101"/>
      <c r="Q101" s="102"/>
      <c r="R101" s="102"/>
      <c r="S101" s="102"/>
      <c r="T101" s="102"/>
      <c r="U101" s="102"/>
      <c r="V101" s="102"/>
    </row>
    <row r="102" spans="1:22" ht="21" customHeight="1" x14ac:dyDescent="0.1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100"/>
      <c r="P102" s="101"/>
      <c r="Q102" s="102"/>
      <c r="R102" s="102"/>
      <c r="S102" s="102"/>
      <c r="T102" s="102"/>
      <c r="U102" s="102"/>
      <c r="V102" s="102"/>
    </row>
    <row r="103" spans="1:22" ht="21" customHeight="1" x14ac:dyDescent="0.1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100"/>
      <c r="P103" s="101"/>
      <c r="Q103" s="102"/>
      <c r="R103" s="102"/>
      <c r="S103" s="102"/>
      <c r="T103" s="102"/>
      <c r="U103" s="102"/>
      <c r="V103" s="102"/>
    </row>
    <row r="104" spans="1:22" ht="21" customHeight="1" x14ac:dyDescent="0.1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100"/>
      <c r="P104" s="101"/>
      <c r="Q104" s="102"/>
      <c r="R104" s="102"/>
      <c r="S104" s="102"/>
      <c r="T104" s="102"/>
      <c r="U104" s="102"/>
      <c r="V104" s="102"/>
    </row>
    <row r="105" spans="1:22" ht="21" customHeight="1" x14ac:dyDescent="0.1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100"/>
      <c r="P105" s="101"/>
      <c r="Q105" s="102"/>
      <c r="R105" s="102"/>
      <c r="S105" s="102"/>
      <c r="T105" s="102"/>
      <c r="U105" s="102"/>
      <c r="V105" s="102"/>
    </row>
    <row r="106" spans="1:22" ht="21" customHeight="1" x14ac:dyDescent="0.1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100"/>
      <c r="P106" s="101"/>
      <c r="Q106" s="102"/>
      <c r="R106" s="102"/>
      <c r="S106" s="102"/>
      <c r="T106" s="102"/>
      <c r="U106" s="102"/>
      <c r="V106" s="102"/>
    </row>
    <row r="107" spans="1:22" ht="21" customHeight="1" x14ac:dyDescent="0.1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100"/>
      <c r="P107" s="101"/>
      <c r="Q107" s="102"/>
      <c r="R107" s="102"/>
      <c r="S107" s="102"/>
      <c r="T107" s="102"/>
      <c r="U107" s="102"/>
      <c r="V107" s="102"/>
    </row>
    <row r="108" spans="1:22" ht="21" customHeight="1" x14ac:dyDescent="0.1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100"/>
      <c r="P108" s="101"/>
      <c r="Q108" s="102"/>
      <c r="R108" s="102"/>
      <c r="S108" s="102"/>
      <c r="T108" s="102"/>
      <c r="U108" s="102"/>
      <c r="V108" s="102"/>
    </row>
    <row r="109" spans="1:22" ht="21" customHeight="1" x14ac:dyDescent="0.1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100"/>
      <c r="P109" s="101"/>
      <c r="Q109" s="102"/>
      <c r="R109" s="102"/>
      <c r="S109" s="102"/>
      <c r="T109" s="102"/>
      <c r="U109" s="102"/>
      <c r="V109" s="102"/>
    </row>
    <row r="110" spans="1:22" ht="21" customHeight="1" x14ac:dyDescent="0.1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100"/>
      <c r="P110" s="101"/>
      <c r="Q110" s="102"/>
      <c r="R110" s="102"/>
      <c r="S110" s="102"/>
      <c r="T110" s="102"/>
      <c r="U110" s="102"/>
      <c r="V110" s="102"/>
    </row>
    <row r="111" spans="1:22" ht="21" customHeight="1" x14ac:dyDescent="0.1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100"/>
      <c r="P111" s="101"/>
      <c r="Q111" s="102"/>
      <c r="R111" s="102"/>
      <c r="S111" s="102"/>
      <c r="T111" s="102"/>
      <c r="U111" s="102"/>
      <c r="V111" s="102"/>
    </row>
    <row r="112" spans="1:22" ht="21" customHeight="1" x14ac:dyDescent="0.1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100"/>
      <c r="P112" s="101"/>
      <c r="Q112" s="102"/>
      <c r="R112" s="102"/>
      <c r="S112" s="102"/>
      <c r="T112" s="102"/>
      <c r="U112" s="102"/>
      <c r="V112" s="102"/>
    </row>
    <row r="113" spans="1:22" ht="21" customHeight="1" x14ac:dyDescent="0.1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100"/>
      <c r="P113" s="101"/>
      <c r="Q113" s="102"/>
      <c r="R113" s="102"/>
      <c r="S113" s="102"/>
      <c r="T113" s="102"/>
      <c r="U113" s="102"/>
      <c r="V113" s="102"/>
    </row>
    <row r="114" spans="1:22" ht="21" customHeight="1" x14ac:dyDescent="0.1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100"/>
      <c r="P114" s="101"/>
      <c r="Q114" s="102"/>
      <c r="R114" s="102"/>
      <c r="S114" s="102"/>
      <c r="T114" s="102"/>
      <c r="U114" s="102"/>
      <c r="V114" s="102"/>
    </row>
    <row r="115" spans="1:22" ht="21" customHeight="1" x14ac:dyDescent="0.1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100"/>
      <c r="P115" s="101"/>
      <c r="Q115" s="102"/>
      <c r="R115" s="102"/>
      <c r="S115" s="102"/>
      <c r="T115" s="102"/>
      <c r="U115" s="102"/>
      <c r="V115" s="102"/>
    </row>
    <row r="116" spans="1:22" ht="21" customHeight="1" x14ac:dyDescent="0.1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100"/>
      <c r="P116" s="101"/>
      <c r="Q116" s="102"/>
      <c r="R116" s="102"/>
      <c r="S116" s="102"/>
      <c r="T116" s="102"/>
      <c r="U116" s="102"/>
      <c r="V116" s="102"/>
    </row>
    <row r="117" spans="1:22" ht="21" customHeight="1" x14ac:dyDescent="0.1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100"/>
      <c r="P117" s="101"/>
      <c r="Q117" s="102"/>
      <c r="R117" s="102"/>
      <c r="S117" s="102"/>
      <c r="T117" s="102"/>
      <c r="U117" s="102"/>
      <c r="V117" s="102"/>
    </row>
    <row r="118" spans="1:22" ht="21" customHeight="1" x14ac:dyDescent="0.1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100"/>
      <c r="P118" s="101"/>
      <c r="Q118" s="102"/>
      <c r="R118" s="102"/>
      <c r="S118" s="102"/>
      <c r="T118" s="102"/>
      <c r="U118" s="102"/>
      <c r="V118" s="102"/>
    </row>
    <row r="119" spans="1:22" ht="21" customHeight="1" x14ac:dyDescent="0.1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100"/>
      <c r="P119" s="101"/>
      <c r="Q119" s="102"/>
      <c r="R119" s="102"/>
      <c r="S119" s="102"/>
      <c r="T119" s="102"/>
      <c r="U119" s="102"/>
      <c r="V119" s="102"/>
    </row>
    <row r="120" spans="1:22" ht="21" customHeight="1" x14ac:dyDescent="0.1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100"/>
      <c r="P120" s="101"/>
      <c r="Q120" s="102"/>
      <c r="R120" s="102"/>
      <c r="S120" s="102"/>
      <c r="T120" s="102"/>
      <c r="U120" s="102"/>
      <c r="V120" s="102"/>
    </row>
    <row r="121" spans="1:22" ht="21" customHeight="1" x14ac:dyDescent="0.1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100"/>
      <c r="P121" s="101"/>
      <c r="Q121" s="102"/>
      <c r="R121" s="102"/>
      <c r="S121" s="102"/>
      <c r="T121" s="102"/>
      <c r="U121" s="102"/>
      <c r="V121" s="102"/>
    </row>
    <row r="122" spans="1:22" ht="21" customHeight="1" x14ac:dyDescent="0.1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100"/>
      <c r="P122" s="101"/>
      <c r="Q122" s="102"/>
      <c r="R122" s="102"/>
      <c r="S122" s="102"/>
      <c r="T122" s="102"/>
      <c r="U122" s="102"/>
      <c r="V122" s="102"/>
    </row>
    <row r="123" spans="1:22" ht="21" customHeight="1" x14ac:dyDescent="0.1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100"/>
      <c r="P123" s="101"/>
      <c r="Q123" s="102"/>
      <c r="R123" s="102"/>
      <c r="S123" s="102"/>
      <c r="T123" s="102"/>
      <c r="U123" s="102"/>
      <c r="V123" s="102"/>
    </row>
    <row r="124" spans="1:22" ht="21" customHeight="1" x14ac:dyDescent="0.1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100"/>
      <c r="P124" s="101"/>
      <c r="Q124" s="102"/>
      <c r="R124" s="102"/>
      <c r="S124" s="102"/>
      <c r="T124" s="102"/>
      <c r="U124" s="102"/>
      <c r="V124" s="102"/>
    </row>
    <row r="125" spans="1:22" ht="21" customHeight="1" x14ac:dyDescent="0.1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100"/>
      <c r="P125" s="101"/>
      <c r="Q125" s="102"/>
      <c r="R125" s="102"/>
      <c r="S125" s="102"/>
      <c r="T125" s="102"/>
      <c r="U125" s="102"/>
      <c r="V125" s="102"/>
    </row>
    <row r="126" spans="1:22" ht="21" customHeight="1" x14ac:dyDescent="0.1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100"/>
      <c r="P126" s="101"/>
      <c r="Q126" s="102"/>
      <c r="R126" s="102"/>
      <c r="S126" s="102"/>
      <c r="T126" s="102"/>
      <c r="U126" s="102"/>
      <c r="V126" s="102"/>
    </row>
    <row r="127" spans="1:22" ht="21" customHeight="1" x14ac:dyDescent="0.1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100"/>
      <c r="P127" s="101"/>
      <c r="Q127" s="102"/>
      <c r="R127" s="102"/>
      <c r="S127" s="102"/>
      <c r="T127" s="102"/>
      <c r="U127" s="102"/>
      <c r="V127" s="102"/>
    </row>
    <row r="128" spans="1:22" ht="21" customHeight="1" x14ac:dyDescent="0.1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100"/>
      <c r="P128" s="101"/>
      <c r="Q128" s="102"/>
      <c r="R128" s="102"/>
      <c r="S128" s="102"/>
      <c r="T128" s="102"/>
      <c r="U128" s="102"/>
      <c r="V128" s="102"/>
    </row>
    <row r="129" spans="1:22" ht="21" customHeight="1" x14ac:dyDescent="0.1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100"/>
      <c r="P129" s="101"/>
      <c r="Q129" s="102"/>
      <c r="R129" s="102"/>
      <c r="S129" s="102"/>
      <c r="T129" s="102"/>
      <c r="U129" s="102"/>
      <c r="V129" s="102"/>
    </row>
    <row r="130" spans="1:22" ht="21" customHeight="1" x14ac:dyDescent="0.1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100"/>
      <c r="P130" s="101"/>
      <c r="Q130" s="102"/>
      <c r="R130" s="102"/>
      <c r="S130" s="102"/>
      <c r="T130" s="102"/>
      <c r="U130" s="102"/>
      <c r="V130" s="102"/>
    </row>
    <row r="131" spans="1:22" ht="21" customHeight="1" x14ac:dyDescent="0.1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100"/>
      <c r="P131" s="101"/>
      <c r="Q131" s="102"/>
      <c r="R131" s="102"/>
      <c r="S131" s="102"/>
      <c r="T131" s="102"/>
      <c r="U131" s="102"/>
      <c r="V131" s="102"/>
    </row>
    <row r="132" spans="1:22" ht="21" customHeight="1" x14ac:dyDescent="0.1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100"/>
      <c r="P132" s="101"/>
      <c r="Q132" s="102"/>
      <c r="R132" s="102"/>
      <c r="S132" s="102"/>
      <c r="T132" s="102"/>
      <c r="U132" s="102"/>
      <c r="V132" s="102"/>
    </row>
    <row r="133" spans="1:22" ht="21" customHeight="1" x14ac:dyDescent="0.1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100"/>
      <c r="P133" s="101"/>
      <c r="Q133" s="102"/>
      <c r="R133" s="102"/>
      <c r="S133" s="102"/>
      <c r="T133" s="102"/>
      <c r="U133" s="102"/>
      <c r="V133" s="102"/>
    </row>
    <row r="134" spans="1:22" ht="21" customHeight="1" x14ac:dyDescent="0.15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100"/>
      <c r="P134" s="101"/>
      <c r="Q134" s="102"/>
      <c r="R134" s="102"/>
      <c r="S134" s="102"/>
      <c r="T134" s="102"/>
      <c r="U134" s="102"/>
      <c r="V134" s="102"/>
    </row>
    <row r="135" spans="1:22" ht="21" customHeight="1" x14ac:dyDescent="0.15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100"/>
      <c r="P135" s="101"/>
      <c r="Q135" s="102"/>
      <c r="R135" s="102"/>
      <c r="S135" s="102"/>
      <c r="T135" s="102"/>
      <c r="U135" s="102"/>
      <c r="V135" s="102"/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input_454010</vt:lpstr>
      <vt:lpstr>tables_454010</vt:lpstr>
      <vt:lpstr>input_454100</vt:lpstr>
      <vt:lpstr>tables_454100</vt:lpstr>
      <vt:lpstr>tables_settle_454100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2016-11-15T14:08:04Z</dcterms:modified>
</cp:coreProperties>
</file>