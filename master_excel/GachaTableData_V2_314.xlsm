
<file path=[Content_Types].xml><?xml version="1.0" encoding="utf-8"?>
<Types xmlns="http://schemas.openxmlformats.org/package/2006/content-types">
  <Default Extension="xml" ContentType="application/xml"/>
  <Default Extension="bin" ContentType="application/vnd.ms-office.vbaProject"/>
  <Default Extension="vml" ContentType="application/vnd.openxmlformats-officedocument.vmlDrawing"/>
  <Default Extension="rels" ContentType="application/vnd.openxmlformats-package.relationships+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25516" codeName="{00000000-0000-0000-0000-000000000000}"/>
  <workbookPr showInkAnnotation="0" codeName="ThisWorkbook" autoCompressPictures="0"/>
  <bookViews>
    <workbookView xWindow="33800" yWindow="-2800" windowWidth="24180" windowHeight="14640" tabRatio="943" activeTab="1"/>
  </bookViews>
  <sheets>
    <sheet name="Sheet1" sheetId="107" r:id="rId1"/>
    <sheet name="output" sheetId="103" r:id="rId2"/>
    <sheet name="input_314010" sheetId="106" r:id="rId3"/>
    <sheet name="tables_314010" sheetId="82" r:id="rId4"/>
    <sheet name="input_314101" sheetId="110" r:id="rId5"/>
    <sheet name="tables_314101" sheetId="111" r:id="rId6"/>
    <sheet name="input_314100" sheetId="112" r:id="rId7"/>
    <sheet name="tables_314100" sheetId="113" r:id="rId8"/>
    <sheet name="gacha_bonus_tables" sheetId="98" r:id="rId9"/>
    <sheet name="bug_conf_sheet" sheetId="104" r:id="rId10"/>
    <sheet name="check_sheet" sheetId="105" r:id="rId11"/>
  </sheets>
  <externalReferences>
    <externalReference r:id="rId12"/>
  </externalReferences>
  <definedNames>
    <definedName name="_xlnm._FilterDatabase" localSheetId="8" hidden="1">gacha_bonus_tables!$A$1:$F$1</definedName>
    <definedName name="_xlnm._FilterDatabase" localSheetId="3" hidden="1">tables_314010!$A$1:$T$259</definedName>
    <definedName name="_xlnm._FilterDatabase" localSheetId="7" hidden="1">tables_314100!$A$1:$T$249</definedName>
    <definedName name="_xlnm._FilterDatabase" localSheetId="5" hidden="1">tables_314101!$A$1:$T$249</definedName>
  </definedNames>
  <calcPr calcId="140001" concurrentCalc="0"/>
  <extLst>
    <ext xmlns:mx="http://schemas.microsoft.com/office/mac/excel/2008/main" uri="{7523E5D3-25F3-A5E0-1632-64F254C22452}">
      <mx:ArchID Flags="2"/>
    </ext>
  </extLst>
</workbook>
</file>

<file path=xl/calcChain.xml><?xml version="1.0" encoding="utf-8"?>
<calcChain xmlns="http://schemas.openxmlformats.org/spreadsheetml/2006/main">
  <c r="A36" i="112" l="1"/>
  <c r="A2" i="112"/>
  <c r="A250" i="113"/>
  <c r="G250" i="113"/>
  <c r="C250" i="113"/>
  <c r="I250" i="113"/>
  <c r="D250" i="113"/>
  <c r="H250" i="113"/>
  <c r="B250" i="113"/>
  <c r="F250" i="113"/>
  <c r="J250" i="113"/>
  <c r="K250" i="113"/>
  <c r="L250" i="113"/>
  <c r="G251" i="113"/>
  <c r="C251" i="113"/>
  <c r="I251" i="113"/>
  <c r="D251" i="113"/>
  <c r="H251" i="113"/>
  <c r="B251" i="113"/>
  <c r="G252" i="113"/>
  <c r="C252" i="113"/>
  <c r="I252" i="113"/>
  <c r="D252" i="113"/>
  <c r="H252" i="113"/>
  <c r="B252" i="113"/>
  <c r="G253" i="113"/>
  <c r="C253" i="113"/>
  <c r="I253" i="113"/>
  <c r="D253" i="113"/>
  <c r="H253" i="113"/>
  <c r="B253" i="113"/>
  <c r="G254" i="113"/>
  <c r="C254" i="113"/>
  <c r="I254" i="113"/>
  <c r="D254" i="113"/>
  <c r="H254" i="113"/>
  <c r="B254" i="113"/>
  <c r="G255" i="113"/>
  <c r="C255" i="113"/>
  <c r="I255" i="113"/>
  <c r="D255" i="113"/>
  <c r="H255" i="113"/>
  <c r="B255" i="113"/>
  <c r="G256" i="113"/>
  <c r="C256" i="113"/>
  <c r="I256" i="113"/>
  <c r="D256" i="113"/>
  <c r="H256" i="113"/>
  <c r="B256" i="113"/>
  <c r="G257" i="113"/>
  <c r="C257" i="113"/>
  <c r="I257" i="113"/>
  <c r="D257" i="113"/>
  <c r="H257" i="113"/>
  <c r="B257" i="113"/>
  <c r="G258" i="113"/>
  <c r="C258" i="113"/>
  <c r="I258" i="113"/>
  <c r="D258" i="113"/>
  <c r="H258" i="113"/>
  <c r="B258" i="113"/>
  <c r="G259" i="113"/>
  <c r="C259" i="113"/>
  <c r="I259" i="113"/>
  <c r="D259" i="113"/>
  <c r="H259" i="113"/>
  <c r="B259" i="113"/>
  <c r="G249" i="113"/>
  <c r="C249" i="113"/>
  <c r="I249" i="113"/>
  <c r="D249" i="113"/>
  <c r="H249" i="113"/>
  <c r="B249" i="113"/>
  <c r="G2" i="113"/>
  <c r="C2" i="113"/>
  <c r="H2" i="113"/>
  <c r="B2" i="113"/>
  <c r="G3" i="113"/>
  <c r="C3" i="113"/>
  <c r="H3" i="113"/>
  <c r="B3" i="113"/>
  <c r="G4" i="113"/>
  <c r="C4" i="113"/>
  <c r="H4" i="113"/>
  <c r="B4" i="113"/>
  <c r="G5" i="113"/>
  <c r="C5" i="113"/>
  <c r="H5" i="113"/>
  <c r="B5" i="113"/>
  <c r="G6" i="113"/>
  <c r="C6" i="113"/>
  <c r="H6" i="113"/>
  <c r="B6" i="113"/>
  <c r="G7" i="113"/>
  <c r="C7" i="113"/>
  <c r="H7" i="113"/>
  <c r="B7" i="113"/>
  <c r="G8" i="113"/>
  <c r="C8" i="113"/>
  <c r="H8" i="113"/>
  <c r="B8" i="113"/>
  <c r="G9" i="113"/>
  <c r="C9" i="113"/>
  <c r="H9" i="113"/>
  <c r="B9" i="113"/>
  <c r="G10" i="113"/>
  <c r="C10" i="113"/>
  <c r="H10" i="113"/>
  <c r="B10" i="113"/>
  <c r="G11" i="113"/>
  <c r="C11" i="113"/>
  <c r="H11" i="113"/>
  <c r="B11" i="113"/>
  <c r="G12" i="113"/>
  <c r="C12" i="113"/>
  <c r="H12" i="113"/>
  <c r="B12" i="113"/>
  <c r="G13" i="113"/>
  <c r="C13" i="113"/>
  <c r="H13" i="113"/>
  <c r="B13" i="113"/>
  <c r="G14" i="113"/>
  <c r="C14" i="113"/>
  <c r="H14" i="113"/>
  <c r="B14" i="113"/>
  <c r="G15" i="113"/>
  <c r="C15" i="113"/>
  <c r="H15" i="113"/>
  <c r="B15" i="113"/>
  <c r="G16" i="113"/>
  <c r="C16" i="113"/>
  <c r="H16" i="113"/>
  <c r="B16" i="113"/>
  <c r="G17" i="113"/>
  <c r="C17" i="113"/>
  <c r="H17" i="113"/>
  <c r="B17" i="113"/>
  <c r="G18" i="113"/>
  <c r="C18" i="113"/>
  <c r="H18" i="113"/>
  <c r="B18" i="113"/>
  <c r="G19" i="113"/>
  <c r="C19" i="113"/>
  <c r="H19" i="113"/>
  <c r="B19" i="113"/>
  <c r="G20" i="113"/>
  <c r="C20" i="113"/>
  <c r="H20" i="113"/>
  <c r="B20" i="113"/>
  <c r="G21" i="113"/>
  <c r="C21" i="113"/>
  <c r="H21" i="113"/>
  <c r="B21" i="113"/>
  <c r="G22" i="113"/>
  <c r="C22" i="113"/>
  <c r="H22" i="113"/>
  <c r="B22" i="113"/>
  <c r="G23" i="113"/>
  <c r="C23" i="113"/>
  <c r="H23" i="113"/>
  <c r="B23" i="113"/>
  <c r="G24" i="113"/>
  <c r="C24" i="113"/>
  <c r="H24" i="113"/>
  <c r="B24" i="113"/>
  <c r="G25" i="113"/>
  <c r="C25" i="113"/>
  <c r="H25" i="113"/>
  <c r="B25" i="113"/>
  <c r="G26" i="113"/>
  <c r="C26" i="113"/>
  <c r="H26" i="113"/>
  <c r="B26" i="113"/>
  <c r="G27" i="113"/>
  <c r="C27" i="113"/>
  <c r="H27" i="113"/>
  <c r="B27" i="113"/>
  <c r="G28" i="113"/>
  <c r="C28" i="113"/>
  <c r="H28" i="113"/>
  <c r="B28" i="113"/>
  <c r="G29" i="113"/>
  <c r="C29" i="113"/>
  <c r="H29" i="113"/>
  <c r="B29" i="113"/>
  <c r="G30" i="113"/>
  <c r="C30" i="113"/>
  <c r="H30" i="113"/>
  <c r="B30" i="113"/>
  <c r="G31" i="113"/>
  <c r="C31" i="113"/>
  <c r="H31" i="113"/>
  <c r="B31" i="113"/>
  <c r="G32" i="113"/>
  <c r="C32" i="113"/>
  <c r="H32" i="113"/>
  <c r="B32" i="113"/>
  <c r="G33" i="113"/>
  <c r="C33" i="113"/>
  <c r="H33" i="113"/>
  <c r="B33" i="113"/>
  <c r="G34" i="113"/>
  <c r="C34" i="113"/>
  <c r="H34" i="113"/>
  <c r="B34" i="113"/>
  <c r="G35" i="113"/>
  <c r="C35" i="113"/>
  <c r="H35" i="113"/>
  <c r="B35" i="113"/>
  <c r="G36" i="113"/>
  <c r="C36" i="113"/>
  <c r="H36" i="113"/>
  <c r="B36" i="113"/>
  <c r="G37" i="113"/>
  <c r="C37" i="113"/>
  <c r="H37" i="113"/>
  <c r="B37" i="113"/>
  <c r="G38" i="113"/>
  <c r="C38" i="113"/>
  <c r="H38" i="113"/>
  <c r="B38" i="113"/>
  <c r="G39" i="113"/>
  <c r="C39" i="113"/>
  <c r="H39" i="113"/>
  <c r="B39" i="113"/>
  <c r="G40" i="113"/>
  <c r="C40" i="113"/>
  <c r="H40" i="113"/>
  <c r="B40" i="113"/>
  <c r="G41" i="113"/>
  <c r="C41" i="113"/>
  <c r="H41" i="113"/>
  <c r="B41" i="113"/>
  <c r="G42" i="113"/>
  <c r="C42" i="113"/>
  <c r="H42" i="113"/>
  <c r="B42" i="113"/>
  <c r="G43" i="113"/>
  <c r="C43" i="113"/>
  <c r="H43" i="113"/>
  <c r="B43" i="113"/>
  <c r="G44" i="113"/>
  <c r="C44" i="113"/>
  <c r="H44" i="113"/>
  <c r="B44" i="113"/>
  <c r="G45" i="113"/>
  <c r="C45" i="113"/>
  <c r="H45" i="113"/>
  <c r="B45" i="113"/>
  <c r="G46" i="113"/>
  <c r="C46" i="113"/>
  <c r="H46" i="113"/>
  <c r="B46" i="113"/>
  <c r="G47" i="113"/>
  <c r="C47" i="113"/>
  <c r="H47" i="113"/>
  <c r="B47" i="113"/>
  <c r="G48" i="113"/>
  <c r="C48" i="113"/>
  <c r="H48" i="113"/>
  <c r="B48" i="113"/>
  <c r="G49" i="113"/>
  <c r="C49" i="113"/>
  <c r="H49" i="113"/>
  <c r="B49" i="113"/>
  <c r="G50" i="113"/>
  <c r="C50" i="113"/>
  <c r="H50" i="113"/>
  <c r="B50" i="113"/>
  <c r="G51" i="113"/>
  <c r="C51" i="113"/>
  <c r="H51" i="113"/>
  <c r="B51" i="113"/>
  <c r="G52" i="113"/>
  <c r="C52" i="113"/>
  <c r="H52" i="113"/>
  <c r="B52" i="113"/>
  <c r="G53" i="113"/>
  <c r="C53" i="113"/>
  <c r="H53" i="113"/>
  <c r="B53" i="113"/>
  <c r="G54" i="113"/>
  <c r="C54" i="113"/>
  <c r="H54" i="113"/>
  <c r="B54" i="113"/>
  <c r="G55" i="113"/>
  <c r="C55" i="113"/>
  <c r="H55" i="113"/>
  <c r="B55" i="113"/>
  <c r="G56" i="113"/>
  <c r="C56" i="113"/>
  <c r="H56" i="113"/>
  <c r="B56" i="113"/>
  <c r="G57" i="113"/>
  <c r="C57" i="113"/>
  <c r="H57" i="113"/>
  <c r="B57" i="113"/>
  <c r="G58" i="113"/>
  <c r="C58" i="113"/>
  <c r="H58" i="113"/>
  <c r="B58" i="113"/>
  <c r="G59" i="113"/>
  <c r="C59" i="113"/>
  <c r="H59" i="113"/>
  <c r="B59" i="113"/>
  <c r="G60" i="113"/>
  <c r="C60" i="113"/>
  <c r="H60" i="113"/>
  <c r="B60" i="113"/>
  <c r="G61" i="113"/>
  <c r="C61" i="113"/>
  <c r="H61" i="113"/>
  <c r="B61" i="113"/>
  <c r="G62" i="113"/>
  <c r="C62" i="113"/>
  <c r="H62" i="113"/>
  <c r="B62" i="113"/>
  <c r="G63" i="113"/>
  <c r="C63" i="113"/>
  <c r="H63" i="113"/>
  <c r="B63" i="113"/>
  <c r="G64" i="113"/>
  <c r="C64" i="113"/>
  <c r="H64" i="113"/>
  <c r="B64" i="113"/>
  <c r="G65" i="113"/>
  <c r="C65" i="113"/>
  <c r="H65" i="113"/>
  <c r="B65" i="113"/>
  <c r="G66" i="113"/>
  <c r="C66" i="113"/>
  <c r="H66" i="113"/>
  <c r="B66" i="113"/>
  <c r="G67" i="113"/>
  <c r="C67" i="113"/>
  <c r="H67" i="113"/>
  <c r="B67" i="113"/>
  <c r="G68" i="113"/>
  <c r="C68" i="113"/>
  <c r="H68" i="113"/>
  <c r="B68" i="113"/>
  <c r="G69" i="113"/>
  <c r="C69" i="113"/>
  <c r="H69" i="113"/>
  <c r="B69" i="113"/>
  <c r="G70" i="113"/>
  <c r="C70" i="113"/>
  <c r="H70" i="113"/>
  <c r="B70" i="113"/>
  <c r="G71" i="113"/>
  <c r="C71" i="113"/>
  <c r="H71" i="113"/>
  <c r="B71" i="113"/>
  <c r="G72" i="113"/>
  <c r="C72" i="113"/>
  <c r="H72" i="113"/>
  <c r="B72" i="113"/>
  <c r="G73" i="113"/>
  <c r="C73" i="113"/>
  <c r="H73" i="113"/>
  <c r="B73" i="113"/>
  <c r="G74" i="113"/>
  <c r="C74" i="113"/>
  <c r="H74" i="113"/>
  <c r="B74" i="113"/>
  <c r="G75" i="113"/>
  <c r="C75" i="113"/>
  <c r="H75" i="113"/>
  <c r="B75" i="113"/>
  <c r="G76" i="113"/>
  <c r="C76" i="113"/>
  <c r="H76" i="113"/>
  <c r="B76" i="113"/>
  <c r="G77" i="113"/>
  <c r="C77" i="113"/>
  <c r="H77" i="113"/>
  <c r="B77" i="113"/>
  <c r="G78" i="113"/>
  <c r="C78" i="113"/>
  <c r="H78" i="113"/>
  <c r="B78" i="113"/>
  <c r="G79" i="113"/>
  <c r="C79" i="113"/>
  <c r="H79" i="113"/>
  <c r="B79" i="113"/>
  <c r="G80" i="113"/>
  <c r="C80" i="113"/>
  <c r="H80" i="113"/>
  <c r="B80" i="113"/>
  <c r="G81" i="113"/>
  <c r="C81" i="113"/>
  <c r="H81" i="113"/>
  <c r="B81" i="113"/>
  <c r="G82" i="113"/>
  <c r="C82" i="113"/>
  <c r="H82" i="113"/>
  <c r="B82" i="113"/>
  <c r="G83" i="113"/>
  <c r="C83" i="113"/>
  <c r="H83" i="113"/>
  <c r="B83" i="113"/>
  <c r="G84" i="113"/>
  <c r="C84" i="113"/>
  <c r="H84" i="113"/>
  <c r="B84" i="113"/>
  <c r="G85" i="113"/>
  <c r="C85" i="113"/>
  <c r="H85" i="113"/>
  <c r="B85" i="113"/>
  <c r="G86" i="113"/>
  <c r="C86" i="113"/>
  <c r="H86" i="113"/>
  <c r="B86" i="113"/>
  <c r="G87" i="113"/>
  <c r="C87" i="113"/>
  <c r="H87" i="113"/>
  <c r="B87" i="113"/>
  <c r="G88" i="113"/>
  <c r="C88" i="113"/>
  <c r="H88" i="113"/>
  <c r="B88" i="113"/>
  <c r="G89" i="113"/>
  <c r="C89" i="113"/>
  <c r="H89" i="113"/>
  <c r="B89" i="113"/>
  <c r="G90" i="113"/>
  <c r="C90" i="113"/>
  <c r="H90" i="113"/>
  <c r="B90" i="113"/>
  <c r="G91" i="113"/>
  <c r="C91" i="113"/>
  <c r="H91" i="113"/>
  <c r="B91" i="113"/>
  <c r="G92" i="113"/>
  <c r="C92" i="113"/>
  <c r="H92" i="113"/>
  <c r="B92" i="113"/>
  <c r="G93" i="113"/>
  <c r="C93" i="113"/>
  <c r="H93" i="113"/>
  <c r="B93" i="113"/>
  <c r="G94" i="113"/>
  <c r="C94" i="113"/>
  <c r="H94" i="113"/>
  <c r="B94" i="113"/>
  <c r="G95" i="113"/>
  <c r="C95" i="113"/>
  <c r="H95" i="113"/>
  <c r="B95" i="113"/>
  <c r="G96" i="113"/>
  <c r="C96" i="113"/>
  <c r="H96" i="113"/>
  <c r="B96" i="113"/>
  <c r="G97" i="113"/>
  <c r="C97" i="113"/>
  <c r="H97" i="113"/>
  <c r="B97" i="113"/>
  <c r="G98" i="113"/>
  <c r="C98" i="113"/>
  <c r="H98" i="113"/>
  <c r="B98" i="113"/>
  <c r="G99" i="113"/>
  <c r="C99" i="113"/>
  <c r="H99" i="113"/>
  <c r="B99" i="113"/>
  <c r="G100" i="113"/>
  <c r="C100" i="113"/>
  <c r="H100" i="113"/>
  <c r="B100" i="113"/>
  <c r="G101" i="113"/>
  <c r="C101" i="113"/>
  <c r="H101" i="113"/>
  <c r="B101" i="113"/>
  <c r="G102" i="113"/>
  <c r="C102" i="113"/>
  <c r="H102" i="113"/>
  <c r="B102" i="113"/>
  <c r="G103" i="113"/>
  <c r="C103" i="113"/>
  <c r="H103" i="113"/>
  <c r="B103" i="113"/>
  <c r="G104" i="113"/>
  <c r="C104" i="113"/>
  <c r="H104" i="113"/>
  <c r="B104" i="113"/>
  <c r="G105" i="113"/>
  <c r="C105" i="113"/>
  <c r="H105" i="113"/>
  <c r="B105" i="113"/>
  <c r="G106" i="113"/>
  <c r="C106" i="113"/>
  <c r="H106" i="113"/>
  <c r="B106" i="113"/>
  <c r="G107" i="113"/>
  <c r="C107" i="113"/>
  <c r="H107" i="113"/>
  <c r="B107" i="113"/>
  <c r="G108" i="113"/>
  <c r="C108" i="113"/>
  <c r="H108" i="113"/>
  <c r="B108" i="113"/>
  <c r="G109" i="113"/>
  <c r="C109" i="113"/>
  <c r="H109" i="113"/>
  <c r="B109" i="113"/>
  <c r="G110" i="113"/>
  <c r="C110" i="113"/>
  <c r="H110" i="113"/>
  <c r="B110" i="113"/>
  <c r="G111" i="113"/>
  <c r="C111" i="113"/>
  <c r="H111" i="113"/>
  <c r="B111" i="113"/>
  <c r="G112" i="113"/>
  <c r="C112" i="113"/>
  <c r="H112" i="113"/>
  <c r="B112" i="113"/>
  <c r="G113" i="113"/>
  <c r="C113" i="113"/>
  <c r="H113" i="113"/>
  <c r="B113" i="113"/>
  <c r="G114" i="113"/>
  <c r="C114" i="113"/>
  <c r="H114" i="113"/>
  <c r="B114" i="113"/>
  <c r="G115" i="113"/>
  <c r="C115" i="113"/>
  <c r="H115" i="113"/>
  <c r="B115" i="113"/>
  <c r="G116" i="113"/>
  <c r="C116" i="113"/>
  <c r="H116" i="113"/>
  <c r="B116" i="113"/>
  <c r="G117" i="113"/>
  <c r="C117" i="113"/>
  <c r="H117" i="113"/>
  <c r="B117" i="113"/>
  <c r="G118" i="113"/>
  <c r="C118" i="113"/>
  <c r="H118" i="113"/>
  <c r="B118" i="113"/>
  <c r="G119" i="113"/>
  <c r="C119" i="113"/>
  <c r="H119" i="113"/>
  <c r="B119" i="113"/>
  <c r="G120" i="113"/>
  <c r="C120" i="113"/>
  <c r="H120" i="113"/>
  <c r="B120" i="113"/>
  <c r="G121" i="113"/>
  <c r="C121" i="113"/>
  <c r="H121" i="113"/>
  <c r="B121" i="113"/>
  <c r="G122" i="113"/>
  <c r="C122" i="113"/>
  <c r="H122" i="113"/>
  <c r="B122" i="113"/>
  <c r="G123" i="113"/>
  <c r="C123" i="113"/>
  <c r="H123" i="113"/>
  <c r="B123" i="113"/>
  <c r="G124" i="113"/>
  <c r="C124" i="113"/>
  <c r="H124" i="113"/>
  <c r="B124" i="113"/>
  <c r="G125" i="113"/>
  <c r="C125" i="113"/>
  <c r="H125" i="113"/>
  <c r="B125" i="113"/>
  <c r="G126" i="113"/>
  <c r="C126" i="113"/>
  <c r="H126" i="113"/>
  <c r="B126" i="113"/>
  <c r="G127" i="113"/>
  <c r="C127" i="113"/>
  <c r="H127" i="113"/>
  <c r="B127" i="113"/>
  <c r="G128" i="113"/>
  <c r="C128" i="113"/>
  <c r="H128" i="113"/>
  <c r="B128" i="113"/>
  <c r="G129" i="113"/>
  <c r="C129" i="113"/>
  <c r="H129" i="113"/>
  <c r="B129" i="113"/>
  <c r="G130" i="113"/>
  <c r="C130" i="113"/>
  <c r="H130" i="113"/>
  <c r="B130" i="113"/>
  <c r="G131" i="113"/>
  <c r="C131" i="113"/>
  <c r="H131" i="113"/>
  <c r="B131" i="113"/>
  <c r="G132" i="113"/>
  <c r="C132" i="113"/>
  <c r="H132" i="113"/>
  <c r="B132" i="113"/>
  <c r="G133" i="113"/>
  <c r="C133" i="113"/>
  <c r="H133" i="113"/>
  <c r="B133" i="113"/>
  <c r="G134" i="113"/>
  <c r="C134" i="113"/>
  <c r="H134" i="113"/>
  <c r="B134" i="113"/>
  <c r="G135" i="113"/>
  <c r="C135" i="113"/>
  <c r="H135" i="113"/>
  <c r="B135" i="113"/>
  <c r="G136" i="113"/>
  <c r="C136" i="113"/>
  <c r="H136" i="113"/>
  <c r="B136" i="113"/>
  <c r="G137" i="113"/>
  <c r="C137" i="113"/>
  <c r="H137" i="113"/>
  <c r="B137" i="113"/>
  <c r="G138" i="113"/>
  <c r="C138" i="113"/>
  <c r="I138" i="113"/>
  <c r="D138" i="113"/>
  <c r="H138" i="113"/>
  <c r="B138" i="113"/>
  <c r="G139" i="113"/>
  <c r="C139" i="113"/>
  <c r="I139" i="113"/>
  <c r="D139" i="113"/>
  <c r="H139" i="113"/>
  <c r="B139" i="113"/>
  <c r="G140" i="113"/>
  <c r="C140" i="113"/>
  <c r="I140" i="113"/>
  <c r="D140" i="113"/>
  <c r="H140" i="113"/>
  <c r="B140" i="113"/>
  <c r="G141" i="113"/>
  <c r="C141" i="113"/>
  <c r="I141" i="113"/>
  <c r="D141" i="113"/>
  <c r="H141" i="113"/>
  <c r="B141" i="113"/>
  <c r="G142" i="113"/>
  <c r="C142" i="113"/>
  <c r="I142" i="113"/>
  <c r="D142" i="113"/>
  <c r="H142" i="113"/>
  <c r="B142" i="113"/>
  <c r="G143" i="113"/>
  <c r="C143" i="113"/>
  <c r="I143" i="113"/>
  <c r="D143" i="113"/>
  <c r="H143" i="113"/>
  <c r="B143" i="113"/>
  <c r="G144" i="113"/>
  <c r="C144" i="113"/>
  <c r="I144" i="113"/>
  <c r="D144" i="113"/>
  <c r="H144" i="113"/>
  <c r="B144" i="113"/>
  <c r="G145" i="113"/>
  <c r="C145" i="113"/>
  <c r="I145" i="113"/>
  <c r="D145" i="113"/>
  <c r="H145" i="113"/>
  <c r="B145" i="113"/>
  <c r="G146" i="113"/>
  <c r="C146" i="113"/>
  <c r="H146" i="113"/>
  <c r="B146" i="113"/>
  <c r="G147" i="113"/>
  <c r="C147" i="113"/>
  <c r="H147" i="113"/>
  <c r="B147" i="113"/>
  <c r="G148" i="113"/>
  <c r="C148" i="113"/>
  <c r="H148" i="113"/>
  <c r="B148" i="113"/>
  <c r="G149" i="113"/>
  <c r="C149" i="113"/>
  <c r="I149" i="113"/>
  <c r="D149" i="113"/>
  <c r="H149" i="113"/>
  <c r="B149" i="113"/>
  <c r="G150" i="113"/>
  <c r="C150" i="113"/>
  <c r="I150" i="113"/>
  <c r="D150" i="113"/>
  <c r="H150" i="113"/>
  <c r="B150" i="113"/>
  <c r="G151" i="113"/>
  <c r="C151" i="113"/>
  <c r="I151" i="113"/>
  <c r="D151" i="113"/>
  <c r="H151" i="113"/>
  <c r="B151" i="113"/>
  <c r="G152" i="113"/>
  <c r="C152" i="113"/>
  <c r="I152" i="113"/>
  <c r="D152" i="113"/>
  <c r="H152" i="113"/>
  <c r="B152" i="113"/>
  <c r="G153" i="113"/>
  <c r="C153" i="113"/>
  <c r="H153" i="113"/>
  <c r="B153" i="113"/>
  <c r="G154" i="113"/>
  <c r="C154" i="113"/>
  <c r="H154" i="113"/>
  <c r="B154" i="113"/>
  <c r="G155" i="113"/>
  <c r="C155" i="113"/>
  <c r="H155" i="113"/>
  <c r="B155" i="113"/>
  <c r="G156" i="113"/>
  <c r="C156" i="113"/>
  <c r="I156" i="113"/>
  <c r="D156" i="113"/>
  <c r="H156" i="113"/>
  <c r="B156" i="113"/>
  <c r="G157" i="113"/>
  <c r="C157" i="113"/>
  <c r="I157" i="113"/>
  <c r="D157" i="113"/>
  <c r="H157" i="113"/>
  <c r="B157" i="113"/>
  <c r="G158" i="113"/>
  <c r="C158" i="113"/>
  <c r="H158" i="113"/>
  <c r="B158" i="113"/>
  <c r="G159" i="113"/>
  <c r="C159" i="113"/>
  <c r="H159" i="113"/>
  <c r="B159" i="113"/>
  <c r="G160" i="113"/>
  <c r="C160" i="113"/>
  <c r="H160" i="113"/>
  <c r="B160" i="113"/>
  <c r="G161" i="113"/>
  <c r="C161" i="113"/>
  <c r="H161" i="113"/>
  <c r="B161" i="113"/>
  <c r="G162" i="113"/>
  <c r="C162" i="113"/>
  <c r="H162" i="113"/>
  <c r="B162" i="113"/>
  <c r="G163" i="113"/>
  <c r="C163" i="113"/>
  <c r="H163" i="113"/>
  <c r="B163" i="113"/>
  <c r="G164" i="113"/>
  <c r="C164" i="113"/>
  <c r="I164" i="113"/>
  <c r="D164" i="113"/>
  <c r="H164" i="113"/>
  <c r="B164" i="113"/>
  <c r="G165" i="113"/>
  <c r="C165" i="113"/>
  <c r="I165" i="113"/>
  <c r="D165" i="113"/>
  <c r="H165" i="113"/>
  <c r="B165" i="113"/>
  <c r="G166" i="113"/>
  <c r="C166" i="113"/>
  <c r="H166" i="113"/>
  <c r="B166" i="113"/>
  <c r="G167" i="113"/>
  <c r="C167" i="113"/>
  <c r="H167" i="113"/>
  <c r="B167" i="113"/>
  <c r="G168" i="113"/>
  <c r="C168" i="113"/>
  <c r="H168" i="113"/>
  <c r="B168" i="113"/>
  <c r="G169" i="113"/>
  <c r="C169" i="113"/>
  <c r="I169" i="113"/>
  <c r="D169" i="113"/>
  <c r="H169" i="113"/>
  <c r="B169" i="113"/>
  <c r="G170" i="113"/>
  <c r="C170" i="113"/>
  <c r="I170" i="113"/>
  <c r="D170" i="113"/>
  <c r="H170" i="113"/>
  <c r="B170" i="113"/>
  <c r="G171" i="113"/>
  <c r="C171" i="113"/>
  <c r="H171" i="113"/>
  <c r="B171" i="113"/>
  <c r="G172" i="113"/>
  <c r="C172" i="113"/>
  <c r="H172" i="113"/>
  <c r="B172" i="113"/>
  <c r="G173" i="113"/>
  <c r="C173" i="113"/>
  <c r="H173" i="113"/>
  <c r="B173" i="113"/>
  <c r="G174" i="113"/>
  <c r="C174" i="113"/>
  <c r="I174" i="113"/>
  <c r="D174" i="113"/>
  <c r="H174" i="113"/>
  <c r="B174" i="113"/>
  <c r="G175" i="113"/>
  <c r="C175" i="113"/>
  <c r="I175" i="113"/>
  <c r="D175" i="113"/>
  <c r="H175" i="113"/>
  <c r="B175" i="113"/>
  <c r="G176" i="113"/>
  <c r="C176" i="113"/>
  <c r="I176" i="113"/>
  <c r="D176" i="113"/>
  <c r="H176" i="113"/>
  <c r="B176" i="113"/>
  <c r="G177" i="113"/>
  <c r="C177" i="113"/>
  <c r="I177" i="113"/>
  <c r="D177" i="113"/>
  <c r="H177" i="113"/>
  <c r="B177" i="113"/>
  <c r="G178" i="113"/>
  <c r="C178" i="113"/>
  <c r="H178" i="113"/>
  <c r="B178" i="113"/>
  <c r="G179" i="113"/>
  <c r="C179" i="113"/>
  <c r="H179" i="113"/>
  <c r="B179" i="113"/>
  <c r="G180" i="113"/>
  <c r="C180" i="113"/>
  <c r="H180" i="113"/>
  <c r="B180" i="113"/>
  <c r="G181" i="113"/>
  <c r="C181" i="113"/>
  <c r="H181" i="113"/>
  <c r="B181" i="113"/>
  <c r="G182" i="113"/>
  <c r="C182" i="113"/>
  <c r="H182" i="113"/>
  <c r="B182" i="113"/>
  <c r="G183" i="113"/>
  <c r="C183" i="113"/>
  <c r="H183" i="113"/>
  <c r="B183" i="113"/>
  <c r="G184" i="113"/>
  <c r="C184" i="113"/>
  <c r="I184" i="113"/>
  <c r="D184" i="113"/>
  <c r="H184" i="113"/>
  <c r="B184" i="113"/>
  <c r="G185" i="113"/>
  <c r="C185" i="113"/>
  <c r="I185" i="113"/>
  <c r="D185" i="113"/>
  <c r="H185" i="113"/>
  <c r="B185" i="113"/>
  <c r="G186" i="113"/>
  <c r="C186" i="113"/>
  <c r="H186" i="113"/>
  <c r="B186" i="113"/>
  <c r="G187" i="113"/>
  <c r="C187" i="113"/>
  <c r="H187" i="113"/>
  <c r="B187" i="113"/>
  <c r="G188" i="113"/>
  <c r="C188" i="113"/>
  <c r="H188" i="113"/>
  <c r="B188" i="113"/>
  <c r="G189" i="113"/>
  <c r="C189" i="113"/>
  <c r="I189" i="113"/>
  <c r="D189" i="113"/>
  <c r="H189" i="113"/>
  <c r="B189" i="113"/>
  <c r="G190" i="113"/>
  <c r="C190" i="113"/>
  <c r="I190" i="113"/>
  <c r="D190" i="113"/>
  <c r="H190" i="113"/>
  <c r="B190" i="113"/>
  <c r="G191" i="113"/>
  <c r="C191" i="113"/>
  <c r="I191" i="113"/>
  <c r="D191" i="113"/>
  <c r="H191" i="113"/>
  <c r="B191" i="113"/>
  <c r="G192" i="113"/>
  <c r="C192" i="113"/>
  <c r="I192" i="113"/>
  <c r="D192" i="113"/>
  <c r="H192" i="113"/>
  <c r="B192" i="113"/>
  <c r="G193" i="113"/>
  <c r="C193" i="113"/>
  <c r="H193" i="113"/>
  <c r="B193" i="113"/>
  <c r="G194" i="113"/>
  <c r="C194" i="113"/>
  <c r="H194" i="113"/>
  <c r="B194" i="113"/>
  <c r="G195" i="113"/>
  <c r="C195" i="113"/>
  <c r="H195" i="113"/>
  <c r="B195" i="113"/>
  <c r="G196" i="113"/>
  <c r="C196" i="113"/>
  <c r="I196" i="113"/>
  <c r="D196" i="113"/>
  <c r="H196" i="113"/>
  <c r="B196" i="113"/>
  <c r="G197" i="113"/>
  <c r="C197" i="113"/>
  <c r="I197" i="113"/>
  <c r="D197" i="113"/>
  <c r="H197" i="113"/>
  <c r="B197" i="113"/>
  <c r="G198" i="113"/>
  <c r="C198" i="113"/>
  <c r="H198" i="113"/>
  <c r="B198" i="113"/>
  <c r="G199" i="113"/>
  <c r="C199" i="113"/>
  <c r="H199" i="113"/>
  <c r="B199" i="113"/>
  <c r="G200" i="113"/>
  <c r="C200" i="113"/>
  <c r="H200" i="113"/>
  <c r="B200" i="113"/>
  <c r="G201" i="113"/>
  <c r="C201" i="113"/>
  <c r="I201" i="113"/>
  <c r="D201" i="113"/>
  <c r="H201" i="113"/>
  <c r="B201" i="113"/>
  <c r="G202" i="113"/>
  <c r="C202" i="113"/>
  <c r="I202" i="113"/>
  <c r="D202" i="113"/>
  <c r="H202" i="113"/>
  <c r="B202" i="113"/>
  <c r="G203" i="113"/>
  <c r="C203" i="113"/>
  <c r="H203" i="113"/>
  <c r="B203" i="113"/>
  <c r="G204" i="113"/>
  <c r="C204" i="113"/>
  <c r="H204" i="113"/>
  <c r="B204" i="113"/>
  <c r="G205" i="113"/>
  <c r="C205" i="113"/>
  <c r="H205" i="113"/>
  <c r="B205" i="113"/>
  <c r="G206" i="113"/>
  <c r="C206" i="113"/>
  <c r="I206" i="113"/>
  <c r="D206" i="113"/>
  <c r="H206" i="113"/>
  <c r="B206" i="113"/>
  <c r="G207" i="113"/>
  <c r="C207" i="113"/>
  <c r="I207" i="113"/>
  <c r="D207" i="113"/>
  <c r="H207" i="113"/>
  <c r="B207" i="113"/>
  <c r="G208" i="113"/>
  <c r="C208" i="113"/>
  <c r="I208" i="113"/>
  <c r="D208" i="113"/>
  <c r="H208" i="113"/>
  <c r="B208" i="113"/>
  <c r="G209" i="113"/>
  <c r="C209" i="113"/>
  <c r="I209" i="113"/>
  <c r="D209" i="113"/>
  <c r="H209" i="113"/>
  <c r="B209" i="113"/>
  <c r="G210" i="113"/>
  <c r="C210" i="113"/>
  <c r="H210" i="113"/>
  <c r="B210" i="113"/>
  <c r="G211" i="113"/>
  <c r="C211" i="113"/>
  <c r="H211" i="113"/>
  <c r="B211" i="113"/>
  <c r="G212" i="113"/>
  <c r="C212" i="113"/>
  <c r="H212" i="113"/>
  <c r="B212" i="113"/>
  <c r="G213" i="113"/>
  <c r="C213" i="113"/>
  <c r="I213" i="113"/>
  <c r="D213" i="113"/>
  <c r="H213" i="113"/>
  <c r="B213" i="113"/>
  <c r="G214" i="113"/>
  <c r="C214" i="113"/>
  <c r="I214" i="113"/>
  <c r="D214" i="113"/>
  <c r="H214" i="113"/>
  <c r="B214" i="113"/>
  <c r="G215" i="113"/>
  <c r="C215" i="113"/>
  <c r="I215" i="113"/>
  <c r="D215" i="113"/>
  <c r="H215" i="113"/>
  <c r="B215" i="113"/>
  <c r="G216" i="113"/>
  <c r="C216" i="113"/>
  <c r="I216" i="113"/>
  <c r="D216" i="113"/>
  <c r="H216" i="113"/>
  <c r="B216" i="113"/>
  <c r="G217" i="113"/>
  <c r="C217" i="113"/>
  <c r="H217" i="113"/>
  <c r="B217" i="113"/>
  <c r="G218" i="113"/>
  <c r="C218" i="113"/>
  <c r="H218" i="113"/>
  <c r="B218" i="113"/>
  <c r="G219" i="113"/>
  <c r="C219" i="113"/>
  <c r="H219" i="113"/>
  <c r="B219" i="113"/>
  <c r="G220" i="113"/>
  <c r="C220" i="113"/>
  <c r="H220" i="113"/>
  <c r="B220" i="113"/>
  <c r="G221" i="113"/>
  <c r="C221" i="113"/>
  <c r="H221" i="113"/>
  <c r="B221" i="113"/>
  <c r="G222" i="113"/>
  <c r="C222" i="113"/>
  <c r="H222" i="113"/>
  <c r="B222" i="113"/>
  <c r="G223" i="113"/>
  <c r="C223" i="113"/>
  <c r="I223" i="113"/>
  <c r="D223" i="113"/>
  <c r="H223" i="113"/>
  <c r="B223" i="113"/>
  <c r="G224" i="113"/>
  <c r="C224" i="113"/>
  <c r="I224" i="113"/>
  <c r="D224" i="113"/>
  <c r="H224" i="113"/>
  <c r="B224" i="113"/>
  <c r="G225" i="113"/>
  <c r="C225" i="113"/>
  <c r="H225" i="113"/>
  <c r="B225" i="113"/>
  <c r="G226" i="113"/>
  <c r="C226" i="113"/>
  <c r="H226" i="113"/>
  <c r="B226" i="113"/>
  <c r="G227" i="113"/>
  <c r="C227" i="113"/>
  <c r="H227" i="113"/>
  <c r="B227" i="113"/>
  <c r="G228" i="113"/>
  <c r="C228" i="113"/>
  <c r="H228" i="113"/>
  <c r="B228" i="113"/>
  <c r="G229" i="113"/>
  <c r="C229" i="113"/>
  <c r="H229" i="113"/>
  <c r="B229" i="113"/>
  <c r="G230" i="113"/>
  <c r="C230" i="113"/>
  <c r="H230" i="113"/>
  <c r="B230" i="113"/>
  <c r="G231" i="113"/>
  <c r="C231" i="113"/>
  <c r="I231" i="113"/>
  <c r="D231" i="113"/>
  <c r="H231" i="113"/>
  <c r="B231" i="113"/>
  <c r="G232" i="113"/>
  <c r="C232" i="113"/>
  <c r="I232" i="113"/>
  <c r="D232" i="113"/>
  <c r="H232" i="113"/>
  <c r="B232" i="113"/>
  <c r="G233" i="113"/>
  <c r="C233" i="113"/>
  <c r="H233" i="113"/>
  <c r="B233" i="113"/>
  <c r="G234" i="113"/>
  <c r="C234" i="113"/>
  <c r="H234" i="113"/>
  <c r="B234" i="113"/>
  <c r="G235" i="113"/>
  <c r="C235" i="113"/>
  <c r="H235" i="113"/>
  <c r="B235" i="113"/>
  <c r="G236" i="113"/>
  <c r="C236" i="113"/>
  <c r="I236" i="113"/>
  <c r="D236" i="113"/>
  <c r="H236" i="113"/>
  <c r="B236" i="113"/>
  <c r="G237" i="113"/>
  <c r="C237" i="113"/>
  <c r="I237" i="113"/>
  <c r="D237" i="113"/>
  <c r="H237" i="113"/>
  <c r="B237" i="113"/>
  <c r="G238" i="113"/>
  <c r="C238" i="113"/>
  <c r="I238" i="113"/>
  <c r="D238" i="113"/>
  <c r="H238" i="113"/>
  <c r="B238" i="113"/>
  <c r="G239" i="113"/>
  <c r="C239" i="113"/>
  <c r="I239" i="113"/>
  <c r="D239" i="113"/>
  <c r="H239" i="113"/>
  <c r="B239" i="113"/>
  <c r="G240" i="113"/>
  <c r="C240" i="113"/>
  <c r="H240" i="113"/>
  <c r="B240" i="113"/>
  <c r="G241" i="113"/>
  <c r="C241" i="113"/>
  <c r="H241" i="113"/>
  <c r="B241" i="113"/>
  <c r="G242" i="113"/>
  <c r="C242" i="113"/>
  <c r="H242" i="113"/>
  <c r="B242" i="113"/>
  <c r="G243" i="113"/>
  <c r="C243" i="113"/>
  <c r="H243" i="113"/>
  <c r="B243" i="113"/>
  <c r="G244" i="113"/>
  <c r="C244" i="113"/>
  <c r="H244" i="113"/>
  <c r="B244" i="113"/>
  <c r="G245" i="113"/>
  <c r="C245" i="113"/>
  <c r="H245" i="113"/>
  <c r="B245" i="113"/>
  <c r="G246" i="113"/>
  <c r="C246" i="113"/>
  <c r="I246" i="113"/>
  <c r="D246" i="113"/>
  <c r="H246" i="113"/>
  <c r="B246" i="113"/>
  <c r="G247" i="113"/>
  <c r="C247" i="113"/>
  <c r="I247" i="113"/>
  <c r="D247" i="113"/>
  <c r="H247" i="113"/>
  <c r="B247" i="113"/>
  <c r="G248" i="113"/>
  <c r="C248" i="113"/>
  <c r="I248" i="113"/>
  <c r="D248" i="113"/>
  <c r="H248" i="113"/>
  <c r="B248" i="113"/>
  <c r="E26" i="112"/>
  <c r="D26" i="112"/>
  <c r="G26" i="112"/>
  <c r="H26" i="112"/>
  <c r="E17" i="112"/>
  <c r="G17" i="112"/>
  <c r="H17" i="112"/>
  <c r="M250" i="113"/>
  <c r="M2" i="113"/>
  <c r="E18" i="112"/>
  <c r="G18" i="112"/>
  <c r="H18" i="112"/>
  <c r="M3" i="113"/>
  <c r="M4" i="113"/>
  <c r="M5" i="113"/>
  <c r="M6" i="113"/>
  <c r="M7" i="113"/>
  <c r="M8" i="113"/>
  <c r="M9" i="113"/>
  <c r="M10" i="113"/>
  <c r="M11" i="113"/>
  <c r="M12" i="113"/>
  <c r="M13" i="113"/>
  <c r="M14" i="113"/>
  <c r="M15" i="113"/>
  <c r="M16" i="113"/>
  <c r="M17" i="113"/>
  <c r="M18" i="113"/>
  <c r="M19" i="113"/>
  <c r="M20" i="113"/>
  <c r="M21" i="113"/>
  <c r="M22" i="113"/>
  <c r="M23" i="113"/>
  <c r="M24" i="113"/>
  <c r="M25" i="113"/>
  <c r="M26" i="113"/>
  <c r="M27" i="113"/>
  <c r="M28" i="113"/>
  <c r="M29" i="113"/>
  <c r="M30" i="113"/>
  <c r="M31" i="113"/>
  <c r="M32" i="113"/>
  <c r="M33" i="113"/>
  <c r="M34" i="113"/>
  <c r="M35" i="113"/>
  <c r="M36" i="113"/>
  <c r="M37" i="113"/>
  <c r="M38" i="113"/>
  <c r="M39" i="113"/>
  <c r="M40" i="113"/>
  <c r="M41" i="113"/>
  <c r="M42" i="113"/>
  <c r="M43" i="113"/>
  <c r="E23" i="112"/>
  <c r="B23" i="112"/>
  <c r="D23" i="112"/>
  <c r="G23" i="112"/>
  <c r="H23" i="112"/>
  <c r="M44" i="113"/>
  <c r="M45" i="113"/>
  <c r="M46" i="113"/>
  <c r="M47" i="113"/>
  <c r="M48" i="113"/>
  <c r="M49" i="113"/>
  <c r="M50" i="113"/>
  <c r="M51" i="113"/>
  <c r="M52" i="113"/>
  <c r="M53" i="113"/>
  <c r="M54" i="113"/>
  <c r="M55" i="113"/>
  <c r="M56" i="113"/>
  <c r="M57" i="113"/>
  <c r="M58" i="113"/>
  <c r="M59" i="113"/>
  <c r="M60" i="113"/>
  <c r="M61" i="113"/>
  <c r="M62" i="113"/>
  <c r="M63" i="113"/>
  <c r="M64" i="113"/>
  <c r="M65" i="113"/>
  <c r="M66" i="113"/>
  <c r="M67" i="113"/>
  <c r="M68" i="113"/>
  <c r="M69" i="113"/>
  <c r="M70" i="113"/>
  <c r="M71" i="113"/>
  <c r="M72" i="113"/>
  <c r="M73" i="113"/>
  <c r="M74" i="113"/>
  <c r="M75" i="113"/>
  <c r="M76" i="113"/>
  <c r="M77" i="113"/>
  <c r="M78" i="113"/>
  <c r="M79" i="113"/>
  <c r="M80" i="113"/>
  <c r="M81" i="113"/>
  <c r="M82" i="113"/>
  <c r="M83" i="113"/>
  <c r="M84" i="113"/>
  <c r="M85" i="113"/>
  <c r="M86" i="113"/>
  <c r="M87" i="113"/>
  <c r="M88" i="113"/>
  <c r="M89" i="113"/>
  <c r="M90" i="113"/>
  <c r="M91" i="113"/>
  <c r="M92" i="113"/>
  <c r="M93" i="113"/>
  <c r="M94" i="113"/>
  <c r="M95" i="113"/>
  <c r="M96" i="113"/>
  <c r="M97" i="113"/>
  <c r="M98" i="113"/>
  <c r="M99" i="113"/>
  <c r="M100" i="113"/>
  <c r="M101" i="113"/>
  <c r="M102" i="113"/>
  <c r="M103" i="113"/>
  <c r="M104" i="113"/>
  <c r="M105" i="113"/>
  <c r="M106" i="113"/>
  <c r="M107" i="113"/>
  <c r="M108" i="113"/>
  <c r="M109" i="113"/>
  <c r="M110" i="113"/>
  <c r="M111" i="113"/>
  <c r="M112" i="113"/>
  <c r="M113" i="113"/>
  <c r="M114" i="113"/>
  <c r="M115" i="113"/>
  <c r="M116" i="113"/>
  <c r="M117" i="113"/>
  <c r="M118" i="113"/>
  <c r="M119" i="113"/>
  <c r="M120" i="113"/>
  <c r="M121" i="113"/>
  <c r="M122" i="113"/>
  <c r="M123" i="113"/>
  <c r="M124" i="113"/>
  <c r="M125" i="113"/>
  <c r="M126" i="113"/>
  <c r="M127" i="113"/>
  <c r="M128" i="113"/>
  <c r="M129" i="113"/>
  <c r="M130" i="113"/>
  <c r="M131" i="113"/>
  <c r="M132" i="113"/>
  <c r="M133" i="113"/>
  <c r="M134" i="113"/>
  <c r="M135" i="113"/>
  <c r="M136" i="113"/>
  <c r="M137" i="113"/>
  <c r="E19" i="112"/>
  <c r="G19" i="112"/>
  <c r="H19" i="112"/>
  <c r="M138" i="113"/>
  <c r="E24" i="112"/>
  <c r="G24" i="112"/>
  <c r="H24" i="112"/>
  <c r="M139" i="113"/>
  <c r="E20" i="112"/>
  <c r="G20" i="112"/>
  <c r="H20" i="112"/>
  <c r="M140" i="113"/>
  <c r="E25" i="112"/>
  <c r="G25" i="112"/>
  <c r="H25" i="112"/>
  <c r="M141" i="113"/>
  <c r="M142" i="113"/>
  <c r="M143" i="113"/>
  <c r="M144" i="113"/>
  <c r="M145" i="113"/>
  <c r="M146" i="113"/>
  <c r="M147" i="113"/>
  <c r="M148" i="113"/>
  <c r="M149" i="113"/>
  <c r="M150" i="113"/>
  <c r="M151" i="113"/>
  <c r="M152" i="113"/>
  <c r="M153" i="113"/>
  <c r="M154" i="113"/>
  <c r="M155" i="113"/>
  <c r="M156" i="113"/>
  <c r="M157" i="113"/>
  <c r="M158" i="113"/>
  <c r="M159" i="113"/>
  <c r="M160" i="113"/>
  <c r="M161" i="113"/>
  <c r="M162" i="113"/>
  <c r="M163" i="113"/>
  <c r="M164" i="113"/>
  <c r="M165" i="113"/>
  <c r="M166" i="113"/>
  <c r="M167" i="113"/>
  <c r="M168" i="113"/>
  <c r="M169" i="113"/>
  <c r="M170" i="113"/>
  <c r="M171" i="113"/>
  <c r="M172" i="113"/>
  <c r="M173" i="113"/>
  <c r="M174" i="113"/>
  <c r="M175" i="113"/>
  <c r="M176" i="113"/>
  <c r="M177" i="113"/>
  <c r="M178" i="113"/>
  <c r="M179" i="113"/>
  <c r="M180" i="113"/>
  <c r="M181" i="113"/>
  <c r="M182" i="113"/>
  <c r="M183" i="113"/>
  <c r="M184" i="113"/>
  <c r="M185" i="113"/>
  <c r="M186" i="113"/>
  <c r="M187" i="113"/>
  <c r="M188" i="113"/>
  <c r="M189" i="113"/>
  <c r="M190" i="113"/>
  <c r="M191" i="113"/>
  <c r="M192" i="113"/>
  <c r="M193" i="113"/>
  <c r="M194" i="113"/>
  <c r="M195" i="113"/>
  <c r="M196" i="113"/>
  <c r="M197" i="113"/>
  <c r="M198" i="113"/>
  <c r="M199" i="113"/>
  <c r="M200" i="113"/>
  <c r="M201" i="113"/>
  <c r="M202" i="113"/>
  <c r="M203" i="113"/>
  <c r="M204" i="113"/>
  <c r="M205" i="113"/>
  <c r="M206" i="113"/>
  <c r="M207" i="113"/>
  <c r="M208" i="113"/>
  <c r="M209" i="113"/>
  <c r="M210" i="113"/>
  <c r="M211" i="113"/>
  <c r="M212" i="113"/>
  <c r="M213" i="113"/>
  <c r="M214" i="113"/>
  <c r="M215" i="113"/>
  <c r="M216" i="113"/>
  <c r="M217" i="113"/>
  <c r="M218" i="113"/>
  <c r="M219" i="113"/>
  <c r="M220" i="113"/>
  <c r="M221" i="113"/>
  <c r="M222" i="113"/>
  <c r="M223" i="113"/>
  <c r="M224" i="113"/>
  <c r="M225" i="113"/>
  <c r="M226" i="113"/>
  <c r="M227" i="113"/>
  <c r="M228" i="113"/>
  <c r="M229" i="113"/>
  <c r="M230" i="113"/>
  <c r="M231" i="113"/>
  <c r="M232" i="113"/>
  <c r="M233" i="113"/>
  <c r="M234" i="113"/>
  <c r="M235" i="113"/>
  <c r="M236" i="113"/>
  <c r="M237" i="113"/>
  <c r="M238" i="113"/>
  <c r="M239" i="113"/>
  <c r="M240" i="113"/>
  <c r="M241" i="113"/>
  <c r="M242" i="113"/>
  <c r="M243" i="113"/>
  <c r="M244" i="113"/>
  <c r="M245" i="113"/>
  <c r="M246" i="113"/>
  <c r="E27" i="112"/>
  <c r="D27" i="112"/>
  <c r="G27" i="112"/>
  <c r="H27" i="112"/>
  <c r="M247" i="113"/>
  <c r="M248" i="113"/>
  <c r="M249" i="113"/>
  <c r="M251" i="113"/>
  <c r="M252" i="113"/>
  <c r="M253" i="113"/>
  <c r="M254" i="113"/>
  <c r="M255" i="113"/>
  <c r="M256" i="113"/>
  <c r="M257" i="113"/>
  <c r="M258" i="113"/>
  <c r="M259" i="113"/>
  <c r="N250" i="113"/>
  <c r="O250" i="113"/>
  <c r="P250" i="113"/>
  <c r="Q250" i="113"/>
  <c r="R250" i="113"/>
  <c r="S250" i="113"/>
  <c r="T250" i="113"/>
  <c r="A251" i="113"/>
  <c r="F251" i="113"/>
  <c r="J251" i="113"/>
  <c r="K251" i="113"/>
  <c r="L251" i="113"/>
  <c r="N251" i="113"/>
  <c r="O251" i="113"/>
  <c r="P251" i="113"/>
  <c r="Q251" i="113"/>
  <c r="R251" i="113"/>
  <c r="S251" i="113"/>
  <c r="T251" i="113"/>
  <c r="A252" i="113"/>
  <c r="F252" i="113"/>
  <c r="J252" i="113"/>
  <c r="K252" i="113"/>
  <c r="L252" i="113"/>
  <c r="N252" i="113"/>
  <c r="O252" i="113"/>
  <c r="P252" i="113"/>
  <c r="Q252" i="113"/>
  <c r="R252" i="113"/>
  <c r="S252" i="113"/>
  <c r="T252" i="113"/>
  <c r="A253" i="113"/>
  <c r="F253" i="113"/>
  <c r="J253" i="113"/>
  <c r="K253" i="113"/>
  <c r="L253" i="113"/>
  <c r="N253" i="113"/>
  <c r="O253" i="113"/>
  <c r="P253" i="113"/>
  <c r="Q253" i="113"/>
  <c r="R253" i="113"/>
  <c r="S253" i="113"/>
  <c r="T253" i="113"/>
  <c r="A254" i="113"/>
  <c r="F254" i="113"/>
  <c r="J254" i="113"/>
  <c r="K254" i="113"/>
  <c r="L254" i="113"/>
  <c r="N254" i="113"/>
  <c r="O254" i="113"/>
  <c r="P254" i="113"/>
  <c r="Q254" i="113"/>
  <c r="R254" i="113"/>
  <c r="S254" i="113"/>
  <c r="T254" i="113"/>
  <c r="A255" i="113"/>
  <c r="F255" i="113"/>
  <c r="J255" i="113"/>
  <c r="K255" i="113"/>
  <c r="L255" i="113"/>
  <c r="N255" i="113"/>
  <c r="O255" i="113"/>
  <c r="P255" i="113"/>
  <c r="Q255" i="113"/>
  <c r="R255" i="113"/>
  <c r="S255" i="113"/>
  <c r="T255" i="113"/>
  <c r="A256" i="113"/>
  <c r="F256" i="113"/>
  <c r="J256" i="113"/>
  <c r="K256" i="113"/>
  <c r="L256" i="113"/>
  <c r="N256" i="113"/>
  <c r="O256" i="113"/>
  <c r="P256" i="113"/>
  <c r="Q256" i="113"/>
  <c r="R256" i="113"/>
  <c r="S256" i="113"/>
  <c r="T256" i="113"/>
  <c r="A257" i="113"/>
  <c r="F257" i="113"/>
  <c r="J257" i="113"/>
  <c r="K257" i="113"/>
  <c r="L257" i="113"/>
  <c r="N257" i="113"/>
  <c r="O257" i="113"/>
  <c r="P257" i="113"/>
  <c r="Q257" i="113"/>
  <c r="R257" i="113"/>
  <c r="S257" i="113"/>
  <c r="T257" i="113"/>
  <c r="A258" i="113"/>
  <c r="F258" i="113"/>
  <c r="J258" i="113"/>
  <c r="K258" i="113"/>
  <c r="L258" i="113"/>
  <c r="N258" i="113"/>
  <c r="O258" i="113"/>
  <c r="P258" i="113"/>
  <c r="Q258" i="113"/>
  <c r="R258" i="113"/>
  <c r="S258" i="113"/>
  <c r="T258" i="113"/>
  <c r="A259" i="113"/>
  <c r="F259" i="113"/>
  <c r="J259" i="113"/>
  <c r="K259" i="113"/>
  <c r="L259" i="113"/>
  <c r="N259" i="113"/>
  <c r="O259" i="113"/>
  <c r="P259" i="113"/>
  <c r="Q259" i="113"/>
  <c r="R259" i="113"/>
  <c r="S259" i="113"/>
  <c r="T259" i="113"/>
  <c r="A36" i="110"/>
  <c r="A2" i="110"/>
  <c r="A250" i="111"/>
  <c r="G250" i="111"/>
  <c r="C250" i="111"/>
  <c r="I250" i="111"/>
  <c r="D250" i="111"/>
  <c r="H250" i="111"/>
  <c r="B250" i="111"/>
  <c r="F250" i="111"/>
  <c r="J250" i="111"/>
  <c r="K250" i="111"/>
  <c r="L250" i="111"/>
  <c r="G251" i="111"/>
  <c r="C251" i="111"/>
  <c r="I251" i="111"/>
  <c r="D251" i="111"/>
  <c r="H251" i="111"/>
  <c r="B251" i="111"/>
  <c r="G252" i="111"/>
  <c r="C252" i="111"/>
  <c r="I252" i="111"/>
  <c r="D252" i="111"/>
  <c r="H252" i="111"/>
  <c r="B252" i="111"/>
  <c r="G253" i="111"/>
  <c r="C253" i="111"/>
  <c r="I253" i="111"/>
  <c r="D253" i="111"/>
  <c r="H253" i="111"/>
  <c r="B253" i="111"/>
  <c r="G254" i="111"/>
  <c r="C254" i="111"/>
  <c r="I254" i="111"/>
  <c r="D254" i="111"/>
  <c r="H254" i="111"/>
  <c r="B254" i="111"/>
  <c r="G255" i="111"/>
  <c r="C255" i="111"/>
  <c r="I255" i="111"/>
  <c r="D255" i="111"/>
  <c r="H255" i="111"/>
  <c r="B255" i="111"/>
  <c r="G256" i="111"/>
  <c r="C256" i="111"/>
  <c r="I256" i="111"/>
  <c r="D256" i="111"/>
  <c r="H256" i="111"/>
  <c r="B256" i="111"/>
  <c r="G257" i="111"/>
  <c r="C257" i="111"/>
  <c r="I257" i="111"/>
  <c r="D257" i="111"/>
  <c r="H257" i="111"/>
  <c r="B257" i="111"/>
  <c r="G258" i="111"/>
  <c r="C258" i="111"/>
  <c r="I258" i="111"/>
  <c r="D258" i="111"/>
  <c r="H258" i="111"/>
  <c r="B258" i="111"/>
  <c r="G259" i="111"/>
  <c r="C259" i="111"/>
  <c r="I259" i="111"/>
  <c r="D259" i="111"/>
  <c r="H259" i="111"/>
  <c r="B259" i="111"/>
  <c r="G2" i="111"/>
  <c r="C2" i="111"/>
  <c r="H2" i="111"/>
  <c r="B2" i="111"/>
  <c r="G3" i="111"/>
  <c r="C3" i="111"/>
  <c r="H3" i="111"/>
  <c r="B3" i="111"/>
  <c r="G4" i="111"/>
  <c r="C4" i="111"/>
  <c r="H4" i="111"/>
  <c r="B4" i="111"/>
  <c r="G5" i="111"/>
  <c r="C5" i="111"/>
  <c r="H5" i="111"/>
  <c r="B5" i="111"/>
  <c r="G6" i="111"/>
  <c r="C6" i="111"/>
  <c r="H6" i="111"/>
  <c r="B6" i="111"/>
  <c r="G7" i="111"/>
  <c r="C7" i="111"/>
  <c r="H7" i="111"/>
  <c r="B7" i="111"/>
  <c r="G8" i="111"/>
  <c r="C8" i="111"/>
  <c r="H8" i="111"/>
  <c r="B8" i="111"/>
  <c r="G9" i="111"/>
  <c r="C9" i="111"/>
  <c r="H9" i="111"/>
  <c r="B9" i="111"/>
  <c r="G10" i="111"/>
  <c r="C10" i="111"/>
  <c r="H10" i="111"/>
  <c r="B10" i="111"/>
  <c r="G11" i="111"/>
  <c r="C11" i="111"/>
  <c r="H11" i="111"/>
  <c r="B11" i="111"/>
  <c r="G12" i="111"/>
  <c r="C12" i="111"/>
  <c r="H12" i="111"/>
  <c r="B12" i="111"/>
  <c r="G13" i="111"/>
  <c r="C13" i="111"/>
  <c r="H13" i="111"/>
  <c r="B13" i="111"/>
  <c r="G14" i="111"/>
  <c r="C14" i="111"/>
  <c r="H14" i="111"/>
  <c r="B14" i="111"/>
  <c r="G15" i="111"/>
  <c r="C15" i="111"/>
  <c r="H15" i="111"/>
  <c r="B15" i="111"/>
  <c r="G16" i="111"/>
  <c r="C16" i="111"/>
  <c r="H16" i="111"/>
  <c r="B16" i="111"/>
  <c r="G17" i="111"/>
  <c r="C17" i="111"/>
  <c r="H17" i="111"/>
  <c r="B17" i="111"/>
  <c r="G18" i="111"/>
  <c r="C18" i="111"/>
  <c r="H18" i="111"/>
  <c r="B18" i="111"/>
  <c r="G19" i="111"/>
  <c r="C19" i="111"/>
  <c r="H19" i="111"/>
  <c r="B19" i="111"/>
  <c r="G20" i="111"/>
  <c r="C20" i="111"/>
  <c r="H20" i="111"/>
  <c r="B20" i="111"/>
  <c r="G21" i="111"/>
  <c r="C21" i="111"/>
  <c r="H21" i="111"/>
  <c r="B21" i="111"/>
  <c r="G22" i="111"/>
  <c r="C22" i="111"/>
  <c r="H22" i="111"/>
  <c r="B22" i="111"/>
  <c r="G23" i="111"/>
  <c r="C23" i="111"/>
  <c r="H23" i="111"/>
  <c r="B23" i="111"/>
  <c r="G24" i="111"/>
  <c r="C24" i="111"/>
  <c r="H24" i="111"/>
  <c r="B24" i="111"/>
  <c r="G25" i="111"/>
  <c r="C25" i="111"/>
  <c r="H25" i="111"/>
  <c r="B25" i="111"/>
  <c r="G26" i="111"/>
  <c r="C26" i="111"/>
  <c r="H26" i="111"/>
  <c r="B26" i="111"/>
  <c r="G27" i="111"/>
  <c r="C27" i="111"/>
  <c r="H27" i="111"/>
  <c r="B27" i="111"/>
  <c r="G28" i="111"/>
  <c r="C28" i="111"/>
  <c r="H28" i="111"/>
  <c r="B28" i="111"/>
  <c r="G29" i="111"/>
  <c r="C29" i="111"/>
  <c r="H29" i="111"/>
  <c r="B29" i="111"/>
  <c r="G30" i="111"/>
  <c r="C30" i="111"/>
  <c r="H30" i="111"/>
  <c r="B30" i="111"/>
  <c r="G31" i="111"/>
  <c r="C31" i="111"/>
  <c r="H31" i="111"/>
  <c r="B31" i="111"/>
  <c r="G32" i="111"/>
  <c r="C32" i="111"/>
  <c r="H32" i="111"/>
  <c r="B32" i="111"/>
  <c r="G33" i="111"/>
  <c r="C33" i="111"/>
  <c r="H33" i="111"/>
  <c r="B33" i="111"/>
  <c r="G34" i="111"/>
  <c r="C34" i="111"/>
  <c r="H34" i="111"/>
  <c r="B34" i="111"/>
  <c r="G35" i="111"/>
  <c r="C35" i="111"/>
  <c r="H35" i="111"/>
  <c r="B35" i="111"/>
  <c r="G36" i="111"/>
  <c r="C36" i="111"/>
  <c r="H36" i="111"/>
  <c r="B36" i="111"/>
  <c r="G37" i="111"/>
  <c r="C37" i="111"/>
  <c r="H37" i="111"/>
  <c r="B37" i="111"/>
  <c r="G38" i="111"/>
  <c r="C38" i="111"/>
  <c r="H38" i="111"/>
  <c r="B38" i="111"/>
  <c r="G39" i="111"/>
  <c r="C39" i="111"/>
  <c r="H39" i="111"/>
  <c r="B39" i="111"/>
  <c r="G40" i="111"/>
  <c r="C40" i="111"/>
  <c r="H40" i="111"/>
  <c r="B40" i="111"/>
  <c r="G41" i="111"/>
  <c r="C41" i="111"/>
  <c r="H41" i="111"/>
  <c r="B41" i="111"/>
  <c r="G42" i="111"/>
  <c r="C42" i="111"/>
  <c r="H42" i="111"/>
  <c r="B42" i="111"/>
  <c r="G43" i="111"/>
  <c r="C43" i="111"/>
  <c r="H43" i="111"/>
  <c r="B43" i="111"/>
  <c r="G44" i="111"/>
  <c r="C44" i="111"/>
  <c r="H44" i="111"/>
  <c r="B44" i="111"/>
  <c r="G45" i="111"/>
  <c r="C45" i="111"/>
  <c r="H45" i="111"/>
  <c r="B45" i="111"/>
  <c r="G46" i="111"/>
  <c r="C46" i="111"/>
  <c r="H46" i="111"/>
  <c r="B46" i="111"/>
  <c r="G47" i="111"/>
  <c r="C47" i="111"/>
  <c r="H47" i="111"/>
  <c r="B47" i="111"/>
  <c r="G48" i="111"/>
  <c r="C48" i="111"/>
  <c r="H48" i="111"/>
  <c r="B48" i="111"/>
  <c r="G49" i="111"/>
  <c r="C49" i="111"/>
  <c r="H49" i="111"/>
  <c r="B49" i="111"/>
  <c r="G50" i="111"/>
  <c r="C50" i="111"/>
  <c r="H50" i="111"/>
  <c r="B50" i="111"/>
  <c r="G51" i="111"/>
  <c r="C51" i="111"/>
  <c r="H51" i="111"/>
  <c r="B51" i="111"/>
  <c r="G52" i="111"/>
  <c r="C52" i="111"/>
  <c r="H52" i="111"/>
  <c r="B52" i="111"/>
  <c r="G53" i="111"/>
  <c r="C53" i="111"/>
  <c r="H53" i="111"/>
  <c r="B53" i="111"/>
  <c r="G54" i="111"/>
  <c r="C54" i="111"/>
  <c r="H54" i="111"/>
  <c r="B54" i="111"/>
  <c r="G55" i="111"/>
  <c r="C55" i="111"/>
  <c r="H55" i="111"/>
  <c r="B55" i="111"/>
  <c r="G56" i="111"/>
  <c r="C56" i="111"/>
  <c r="H56" i="111"/>
  <c r="B56" i="111"/>
  <c r="G57" i="111"/>
  <c r="C57" i="111"/>
  <c r="H57" i="111"/>
  <c r="B57" i="111"/>
  <c r="G58" i="111"/>
  <c r="C58" i="111"/>
  <c r="H58" i="111"/>
  <c r="B58" i="111"/>
  <c r="G59" i="111"/>
  <c r="C59" i="111"/>
  <c r="H59" i="111"/>
  <c r="B59" i="111"/>
  <c r="G60" i="111"/>
  <c r="C60" i="111"/>
  <c r="H60" i="111"/>
  <c r="B60" i="111"/>
  <c r="G61" i="111"/>
  <c r="C61" i="111"/>
  <c r="H61" i="111"/>
  <c r="B61" i="111"/>
  <c r="G62" i="111"/>
  <c r="C62" i="111"/>
  <c r="H62" i="111"/>
  <c r="B62" i="111"/>
  <c r="G63" i="111"/>
  <c r="C63" i="111"/>
  <c r="H63" i="111"/>
  <c r="B63" i="111"/>
  <c r="G64" i="111"/>
  <c r="C64" i="111"/>
  <c r="H64" i="111"/>
  <c r="B64" i="111"/>
  <c r="G65" i="111"/>
  <c r="C65" i="111"/>
  <c r="H65" i="111"/>
  <c r="B65" i="111"/>
  <c r="G66" i="111"/>
  <c r="C66" i="111"/>
  <c r="H66" i="111"/>
  <c r="B66" i="111"/>
  <c r="G67" i="111"/>
  <c r="C67" i="111"/>
  <c r="H67" i="111"/>
  <c r="B67" i="111"/>
  <c r="G68" i="111"/>
  <c r="C68" i="111"/>
  <c r="H68" i="111"/>
  <c r="B68" i="111"/>
  <c r="G69" i="111"/>
  <c r="C69" i="111"/>
  <c r="H69" i="111"/>
  <c r="B69" i="111"/>
  <c r="G70" i="111"/>
  <c r="C70" i="111"/>
  <c r="H70" i="111"/>
  <c r="B70" i="111"/>
  <c r="G71" i="111"/>
  <c r="C71" i="111"/>
  <c r="H71" i="111"/>
  <c r="B71" i="111"/>
  <c r="G72" i="111"/>
  <c r="C72" i="111"/>
  <c r="H72" i="111"/>
  <c r="B72" i="111"/>
  <c r="G73" i="111"/>
  <c r="C73" i="111"/>
  <c r="H73" i="111"/>
  <c r="B73" i="111"/>
  <c r="G74" i="111"/>
  <c r="C74" i="111"/>
  <c r="H74" i="111"/>
  <c r="B74" i="111"/>
  <c r="G75" i="111"/>
  <c r="C75" i="111"/>
  <c r="H75" i="111"/>
  <c r="B75" i="111"/>
  <c r="G76" i="111"/>
  <c r="C76" i="111"/>
  <c r="H76" i="111"/>
  <c r="B76" i="111"/>
  <c r="G77" i="111"/>
  <c r="C77" i="111"/>
  <c r="H77" i="111"/>
  <c r="B77" i="111"/>
  <c r="G78" i="111"/>
  <c r="C78" i="111"/>
  <c r="H78" i="111"/>
  <c r="B78" i="111"/>
  <c r="G79" i="111"/>
  <c r="C79" i="111"/>
  <c r="H79" i="111"/>
  <c r="B79" i="111"/>
  <c r="G80" i="111"/>
  <c r="C80" i="111"/>
  <c r="H80" i="111"/>
  <c r="B80" i="111"/>
  <c r="G81" i="111"/>
  <c r="C81" i="111"/>
  <c r="H81" i="111"/>
  <c r="B81" i="111"/>
  <c r="G82" i="111"/>
  <c r="C82" i="111"/>
  <c r="H82" i="111"/>
  <c r="B82" i="111"/>
  <c r="G83" i="111"/>
  <c r="C83" i="111"/>
  <c r="H83" i="111"/>
  <c r="B83" i="111"/>
  <c r="G84" i="111"/>
  <c r="C84" i="111"/>
  <c r="H84" i="111"/>
  <c r="B84" i="111"/>
  <c r="G85" i="111"/>
  <c r="C85" i="111"/>
  <c r="H85" i="111"/>
  <c r="B85" i="111"/>
  <c r="G86" i="111"/>
  <c r="C86" i="111"/>
  <c r="H86" i="111"/>
  <c r="B86" i="111"/>
  <c r="G87" i="111"/>
  <c r="C87" i="111"/>
  <c r="H87" i="111"/>
  <c r="B87" i="111"/>
  <c r="G88" i="111"/>
  <c r="C88" i="111"/>
  <c r="H88" i="111"/>
  <c r="B88" i="111"/>
  <c r="G89" i="111"/>
  <c r="C89" i="111"/>
  <c r="H89" i="111"/>
  <c r="B89" i="111"/>
  <c r="G90" i="111"/>
  <c r="C90" i="111"/>
  <c r="H90" i="111"/>
  <c r="B90" i="111"/>
  <c r="G91" i="111"/>
  <c r="C91" i="111"/>
  <c r="H91" i="111"/>
  <c r="B91" i="111"/>
  <c r="G92" i="111"/>
  <c r="C92" i="111"/>
  <c r="H92" i="111"/>
  <c r="B92" i="111"/>
  <c r="G93" i="111"/>
  <c r="C93" i="111"/>
  <c r="H93" i="111"/>
  <c r="B93" i="111"/>
  <c r="G94" i="111"/>
  <c r="C94" i="111"/>
  <c r="H94" i="111"/>
  <c r="B94" i="111"/>
  <c r="G95" i="111"/>
  <c r="C95" i="111"/>
  <c r="H95" i="111"/>
  <c r="B95" i="111"/>
  <c r="G96" i="111"/>
  <c r="C96" i="111"/>
  <c r="H96" i="111"/>
  <c r="B96" i="111"/>
  <c r="G97" i="111"/>
  <c r="C97" i="111"/>
  <c r="H97" i="111"/>
  <c r="B97" i="111"/>
  <c r="G98" i="111"/>
  <c r="C98" i="111"/>
  <c r="H98" i="111"/>
  <c r="B98" i="111"/>
  <c r="G99" i="111"/>
  <c r="C99" i="111"/>
  <c r="H99" i="111"/>
  <c r="B99" i="111"/>
  <c r="G100" i="111"/>
  <c r="C100" i="111"/>
  <c r="H100" i="111"/>
  <c r="B100" i="111"/>
  <c r="G101" i="111"/>
  <c r="C101" i="111"/>
  <c r="H101" i="111"/>
  <c r="B101" i="111"/>
  <c r="G102" i="111"/>
  <c r="C102" i="111"/>
  <c r="H102" i="111"/>
  <c r="B102" i="111"/>
  <c r="G103" i="111"/>
  <c r="C103" i="111"/>
  <c r="H103" i="111"/>
  <c r="B103" i="111"/>
  <c r="G104" i="111"/>
  <c r="C104" i="111"/>
  <c r="H104" i="111"/>
  <c r="B104" i="111"/>
  <c r="G105" i="111"/>
  <c r="C105" i="111"/>
  <c r="H105" i="111"/>
  <c r="B105" i="111"/>
  <c r="G106" i="111"/>
  <c r="C106" i="111"/>
  <c r="H106" i="111"/>
  <c r="B106" i="111"/>
  <c r="G107" i="111"/>
  <c r="C107" i="111"/>
  <c r="H107" i="111"/>
  <c r="B107" i="111"/>
  <c r="G108" i="111"/>
  <c r="C108" i="111"/>
  <c r="H108" i="111"/>
  <c r="B108" i="111"/>
  <c r="G109" i="111"/>
  <c r="C109" i="111"/>
  <c r="H109" i="111"/>
  <c r="B109" i="111"/>
  <c r="G110" i="111"/>
  <c r="C110" i="111"/>
  <c r="H110" i="111"/>
  <c r="B110" i="111"/>
  <c r="G111" i="111"/>
  <c r="C111" i="111"/>
  <c r="H111" i="111"/>
  <c r="B111" i="111"/>
  <c r="G112" i="111"/>
  <c r="C112" i="111"/>
  <c r="H112" i="111"/>
  <c r="B112" i="111"/>
  <c r="G113" i="111"/>
  <c r="C113" i="111"/>
  <c r="H113" i="111"/>
  <c r="B113" i="111"/>
  <c r="G114" i="111"/>
  <c r="C114" i="111"/>
  <c r="H114" i="111"/>
  <c r="B114" i="111"/>
  <c r="G115" i="111"/>
  <c r="C115" i="111"/>
  <c r="H115" i="111"/>
  <c r="B115" i="111"/>
  <c r="G116" i="111"/>
  <c r="C116" i="111"/>
  <c r="H116" i="111"/>
  <c r="B116" i="111"/>
  <c r="G117" i="111"/>
  <c r="C117" i="111"/>
  <c r="H117" i="111"/>
  <c r="B117" i="111"/>
  <c r="G118" i="111"/>
  <c r="C118" i="111"/>
  <c r="H118" i="111"/>
  <c r="B118" i="111"/>
  <c r="G119" i="111"/>
  <c r="C119" i="111"/>
  <c r="H119" i="111"/>
  <c r="B119" i="111"/>
  <c r="G120" i="111"/>
  <c r="C120" i="111"/>
  <c r="H120" i="111"/>
  <c r="B120" i="111"/>
  <c r="G121" i="111"/>
  <c r="C121" i="111"/>
  <c r="H121" i="111"/>
  <c r="B121" i="111"/>
  <c r="G122" i="111"/>
  <c r="C122" i="111"/>
  <c r="H122" i="111"/>
  <c r="B122" i="111"/>
  <c r="G123" i="111"/>
  <c r="C123" i="111"/>
  <c r="H123" i="111"/>
  <c r="B123" i="111"/>
  <c r="G124" i="111"/>
  <c r="C124" i="111"/>
  <c r="H124" i="111"/>
  <c r="B124" i="111"/>
  <c r="G125" i="111"/>
  <c r="C125" i="111"/>
  <c r="H125" i="111"/>
  <c r="B125" i="111"/>
  <c r="G126" i="111"/>
  <c r="C126" i="111"/>
  <c r="H126" i="111"/>
  <c r="B126" i="111"/>
  <c r="G127" i="111"/>
  <c r="C127" i="111"/>
  <c r="H127" i="111"/>
  <c r="B127" i="111"/>
  <c r="G128" i="111"/>
  <c r="C128" i="111"/>
  <c r="H128" i="111"/>
  <c r="B128" i="111"/>
  <c r="G129" i="111"/>
  <c r="C129" i="111"/>
  <c r="H129" i="111"/>
  <c r="B129" i="111"/>
  <c r="G130" i="111"/>
  <c r="C130" i="111"/>
  <c r="H130" i="111"/>
  <c r="B130" i="111"/>
  <c r="G131" i="111"/>
  <c r="C131" i="111"/>
  <c r="H131" i="111"/>
  <c r="B131" i="111"/>
  <c r="G132" i="111"/>
  <c r="C132" i="111"/>
  <c r="H132" i="111"/>
  <c r="B132" i="111"/>
  <c r="G133" i="111"/>
  <c r="C133" i="111"/>
  <c r="H133" i="111"/>
  <c r="B133" i="111"/>
  <c r="G134" i="111"/>
  <c r="C134" i="111"/>
  <c r="H134" i="111"/>
  <c r="B134" i="111"/>
  <c r="G135" i="111"/>
  <c r="C135" i="111"/>
  <c r="H135" i="111"/>
  <c r="B135" i="111"/>
  <c r="G136" i="111"/>
  <c r="C136" i="111"/>
  <c r="H136" i="111"/>
  <c r="B136" i="111"/>
  <c r="G137" i="111"/>
  <c r="C137" i="111"/>
  <c r="H137" i="111"/>
  <c r="B137" i="111"/>
  <c r="G138" i="111"/>
  <c r="C138" i="111"/>
  <c r="I138" i="111"/>
  <c r="D138" i="111"/>
  <c r="H138" i="111"/>
  <c r="B138" i="111"/>
  <c r="G139" i="111"/>
  <c r="C139" i="111"/>
  <c r="I139" i="111"/>
  <c r="D139" i="111"/>
  <c r="H139" i="111"/>
  <c r="B139" i="111"/>
  <c r="G140" i="111"/>
  <c r="C140" i="111"/>
  <c r="I140" i="111"/>
  <c r="D140" i="111"/>
  <c r="H140" i="111"/>
  <c r="B140" i="111"/>
  <c r="G141" i="111"/>
  <c r="C141" i="111"/>
  <c r="I141" i="111"/>
  <c r="D141" i="111"/>
  <c r="H141" i="111"/>
  <c r="B141" i="111"/>
  <c r="G142" i="111"/>
  <c r="C142" i="111"/>
  <c r="I142" i="111"/>
  <c r="D142" i="111"/>
  <c r="H142" i="111"/>
  <c r="B142" i="111"/>
  <c r="G143" i="111"/>
  <c r="C143" i="111"/>
  <c r="I143" i="111"/>
  <c r="D143" i="111"/>
  <c r="H143" i="111"/>
  <c r="B143" i="111"/>
  <c r="G144" i="111"/>
  <c r="C144" i="111"/>
  <c r="I144" i="111"/>
  <c r="D144" i="111"/>
  <c r="H144" i="111"/>
  <c r="B144" i="111"/>
  <c r="G145" i="111"/>
  <c r="C145" i="111"/>
  <c r="I145" i="111"/>
  <c r="D145" i="111"/>
  <c r="H145" i="111"/>
  <c r="B145" i="111"/>
  <c r="G146" i="111"/>
  <c r="C146" i="111"/>
  <c r="H146" i="111"/>
  <c r="B146" i="111"/>
  <c r="G147" i="111"/>
  <c r="C147" i="111"/>
  <c r="H147" i="111"/>
  <c r="B147" i="111"/>
  <c r="G148" i="111"/>
  <c r="C148" i="111"/>
  <c r="H148" i="111"/>
  <c r="B148" i="111"/>
  <c r="G149" i="111"/>
  <c r="C149" i="111"/>
  <c r="I149" i="111"/>
  <c r="D149" i="111"/>
  <c r="H149" i="111"/>
  <c r="B149" i="111"/>
  <c r="G150" i="111"/>
  <c r="C150" i="111"/>
  <c r="I150" i="111"/>
  <c r="D150" i="111"/>
  <c r="H150" i="111"/>
  <c r="B150" i="111"/>
  <c r="G151" i="111"/>
  <c r="C151" i="111"/>
  <c r="I151" i="111"/>
  <c r="D151" i="111"/>
  <c r="H151" i="111"/>
  <c r="B151" i="111"/>
  <c r="G152" i="111"/>
  <c r="C152" i="111"/>
  <c r="I152" i="111"/>
  <c r="D152" i="111"/>
  <c r="H152" i="111"/>
  <c r="B152" i="111"/>
  <c r="G153" i="111"/>
  <c r="C153" i="111"/>
  <c r="H153" i="111"/>
  <c r="B153" i="111"/>
  <c r="G154" i="111"/>
  <c r="C154" i="111"/>
  <c r="H154" i="111"/>
  <c r="B154" i="111"/>
  <c r="G155" i="111"/>
  <c r="C155" i="111"/>
  <c r="H155" i="111"/>
  <c r="B155" i="111"/>
  <c r="G156" i="111"/>
  <c r="C156" i="111"/>
  <c r="I156" i="111"/>
  <c r="D156" i="111"/>
  <c r="H156" i="111"/>
  <c r="B156" i="111"/>
  <c r="G157" i="111"/>
  <c r="C157" i="111"/>
  <c r="I157" i="111"/>
  <c r="D157" i="111"/>
  <c r="H157" i="111"/>
  <c r="B157" i="111"/>
  <c r="G158" i="111"/>
  <c r="C158" i="111"/>
  <c r="H158" i="111"/>
  <c r="B158" i="111"/>
  <c r="G159" i="111"/>
  <c r="C159" i="111"/>
  <c r="H159" i="111"/>
  <c r="B159" i="111"/>
  <c r="G160" i="111"/>
  <c r="C160" i="111"/>
  <c r="H160" i="111"/>
  <c r="B160" i="111"/>
  <c r="G161" i="111"/>
  <c r="C161" i="111"/>
  <c r="H161" i="111"/>
  <c r="B161" i="111"/>
  <c r="G162" i="111"/>
  <c r="C162" i="111"/>
  <c r="H162" i="111"/>
  <c r="B162" i="111"/>
  <c r="G163" i="111"/>
  <c r="C163" i="111"/>
  <c r="H163" i="111"/>
  <c r="B163" i="111"/>
  <c r="G164" i="111"/>
  <c r="C164" i="111"/>
  <c r="I164" i="111"/>
  <c r="D164" i="111"/>
  <c r="H164" i="111"/>
  <c r="B164" i="111"/>
  <c r="G165" i="111"/>
  <c r="C165" i="111"/>
  <c r="I165" i="111"/>
  <c r="D165" i="111"/>
  <c r="H165" i="111"/>
  <c r="B165" i="111"/>
  <c r="G166" i="111"/>
  <c r="C166" i="111"/>
  <c r="H166" i="111"/>
  <c r="B166" i="111"/>
  <c r="G167" i="111"/>
  <c r="C167" i="111"/>
  <c r="H167" i="111"/>
  <c r="B167" i="111"/>
  <c r="G168" i="111"/>
  <c r="C168" i="111"/>
  <c r="H168" i="111"/>
  <c r="B168" i="111"/>
  <c r="G169" i="111"/>
  <c r="C169" i="111"/>
  <c r="I169" i="111"/>
  <c r="D169" i="111"/>
  <c r="H169" i="111"/>
  <c r="B169" i="111"/>
  <c r="G170" i="111"/>
  <c r="C170" i="111"/>
  <c r="I170" i="111"/>
  <c r="D170" i="111"/>
  <c r="H170" i="111"/>
  <c r="B170" i="111"/>
  <c r="G171" i="111"/>
  <c r="C171" i="111"/>
  <c r="H171" i="111"/>
  <c r="B171" i="111"/>
  <c r="G172" i="111"/>
  <c r="C172" i="111"/>
  <c r="H172" i="111"/>
  <c r="B172" i="111"/>
  <c r="G173" i="111"/>
  <c r="C173" i="111"/>
  <c r="H173" i="111"/>
  <c r="B173" i="111"/>
  <c r="G174" i="111"/>
  <c r="C174" i="111"/>
  <c r="I174" i="111"/>
  <c r="D174" i="111"/>
  <c r="H174" i="111"/>
  <c r="B174" i="111"/>
  <c r="G175" i="111"/>
  <c r="C175" i="111"/>
  <c r="I175" i="111"/>
  <c r="D175" i="111"/>
  <c r="H175" i="111"/>
  <c r="B175" i="111"/>
  <c r="G176" i="111"/>
  <c r="C176" i="111"/>
  <c r="I176" i="111"/>
  <c r="D176" i="111"/>
  <c r="H176" i="111"/>
  <c r="B176" i="111"/>
  <c r="G177" i="111"/>
  <c r="C177" i="111"/>
  <c r="I177" i="111"/>
  <c r="D177" i="111"/>
  <c r="H177" i="111"/>
  <c r="B177" i="111"/>
  <c r="G178" i="111"/>
  <c r="C178" i="111"/>
  <c r="H178" i="111"/>
  <c r="B178" i="111"/>
  <c r="G179" i="111"/>
  <c r="C179" i="111"/>
  <c r="H179" i="111"/>
  <c r="B179" i="111"/>
  <c r="G180" i="111"/>
  <c r="C180" i="111"/>
  <c r="H180" i="111"/>
  <c r="B180" i="111"/>
  <c r="G181" i="111"/>
  <c r="C181" i="111"/>
  <c r="H181" i="111"/>
  <c r="B181" i="111"/>
  <c r="G182" i="111"/>
  <c r="C182" i="111"/>
  <c r="H182" i="111"/>
  <c r="B182" i="111"/>
  <c r="G183" i="111"/>
  <c r="C183" i="111"/>
  <c r="H183" i="111"/>
  <c r="B183" i="111"/>
  <c r="G184" i="111"/>
  <c r="C184" i="111"/>
  <c r="I184" i="111"/>
  <c r="D184" i="111"/>
  <c r="H184" i="111"/>
  <c r="B184" i="111"/>
  <c r="G185" i="111"/>
  <c r="C185" i="111"/>
  <c r="I185" i="111"/>
  <c r="D185" i="111"/>
  <c r="H185" i="111"/>
  <c r="B185" i="111"/>
  <c r="G186" i="111"/>
  <c r="C186" i="111"/>
  <c r="H186" i="111"/>
  <c r="B186" i="111"/>
  <c r="G187" i="111"/>
  <c r="C187" i="111"/>
  <c r="H187" i="111"/>
  <c r="B187" i="111"/>
  <c r="G188" i="111"/>
  <c r="C188" i="111"/>
  <c r="H188" i="111"/>
  <c r="B188" i="111"/>
  <c r="G189" i="111"/>
  <c r="C189" i="111"/>
  <c r="I189" i="111"/>
  <c r="D189" i="111"/>
  <c r="H189" i="111"/>
  <c r="B189" i="111"/>
  <c r="G190" i="111"/>
  <c r="C190" i="111"/>
  <c r="I190" i="111"/>
  <c r="D190" i="111"/>
  <c r="H190" i="111"/>
  <c r="B190" i="111"/>
  <c r="G191" i="111"/>
  <c r="C191" i="111"/>
  <c r="I191" i="111"/>
  <c r="D191" i="111"/>
  <c r="H191" i="111"/>
  <c r="B191" i="111"/>
  <c r="G192" i="111"/>
  <c r="C192" i="111"/>
  <c r="I192" i="111"/>
  <c r="D192" i="111"/>
  <c r="H192" i="111"/>
  <c r="B192" i="111"/>
  <c r="G193" i="111"/>
  <c r="C193" i="111"/>
  <c r="H193" i="111"/>
  <c r="B193" i="111"/>
  <c r="G194" i="111"/>
  <c r="C194" i="111"/>
  <c r="H194" i="111"/>
  <c r="B194" i="111"/>
  <c r="G195" i="111"/>
  <c r="C195" i="111"/>
  <c r="H195" i="111"/>
  <c r="B195" i="111"/>
  <c r="G196" i="111"/>
  <c r="C196" i="111"/>
  <c r="I196" i="111"/>
  <c r="D196" i="111"/>
  <c r="H196" i="111"/>
  <c r="B196" i="111"/>
  <c r="G197" i="111"/>
  <c r="C197" i="111"/>
  <c r="I197" i="111"/>
  <c r="D197" i="111"/>
  <c r="H197" i="111"/>
  <c r="B197" i="111"/>
  <c r="G198" i="111"/>
  <c r="C198" i="111"/>
  <c r="H198" i="111"/>
  <c r="B198" i="111"/>
  <c r="G199" i="111"/>
  <c r="C199" i="111"/>
  <c r="H199" i="111"/>
  <c r="B199" i="111"/>
  <c r="G200" i="111"/>
  <c r="C200" i="111"/>
  <c r="H200" i="111"/>
  <c r="B200" i="111"/>
  <c r="G201" i="111"/>
  <c r="C201" i="111"/>
  <c r="I201" i="111"/>
  <c r="D201" i="111"/>
  <c r="H201" i="111"/>
  <c r="B201" i="111"/>
  <c r="G202" i="111"/>
  <c r="C202" i="111"/>
  <c r="I202" i="111"/>
  <c r="D202" i="111"/>
  <c r="H202" i="111"/>
  <c r="B202" i="111"/>
  <c r="G203" i="111"/>
  <c r="C203" i="111"/>
  <c r="H203" i="111"/>
  <c r="B203" i="111"/>
  <c r="G204" i="111"/>
  <c r="C204" i="111"/>
  <c r="H204" i="111"/>
  <c r="B204" i="111"/>
  <c r="G205" i="111"/>
  <c r="C205" i="111"/>
  <c r="H205" i="111"/>
  <c r="B205" i="111"/>
  <c r="G206" i="111"/>
  <c r="C206" i="111"/>
  <c r="I206" i="111"/>
  <c r="D206" i="111"/>
  <c r="H206" i="111"/>
  <c r="B206" i="111"/>
  <c r="G207" i="111"/>
  <c r="C207" i="111"/>
  <c r="I207" i="111"/>
  <c r="D207" i="111"/>
  <c r="H207" i="111"/>
  <c r="B207" i="111"/>
  <c r="G208" i="111"/>
  <c r="C208" i="111"/>
  <c r="I208" i="111"/>
  <c r="D208" i="111"/>
  <c r="H208" i="111"/>
  <c r="B208" i="111"/>
  <c r="G209" i="111"/>
  <c r="C209" i="111"/>
  <c r="I209" i="111"/>
  <c r="D209" i="111"/>
  <c r="H209" i="111"/>
  <c r="B209" i="111"/>
  <c r="G210" i="111"/>
  <c r="C210" i="111"/>
  <c r="H210" i="111"/>
  <c r="B210" i="111"/>
  <c r="G211" i="111"/>
  <c r="C211" i="111"/>
  <c r="H211" i="111"/>
  <c r="B211" i="111"/>
  <c r="G212" i="111"/>
  <c r="C212" i="111"/>
  <c r="H212" i="111"/>
  <c r="B212" i="111"/>
  <c r="G213" i="111"/>
  <c r="C213" i="111"/>
  <c r="I213" i="111"/>
  <c r="D213" i="111"/>
  <c r="H213" i="111"/>
  <c r="B213" i="111"/>
  <c r="G214" i="111"/>
  <c r="C214" i="111"/>
  <c r="I214" i="111"/>
  <c r="D214" i="111"/>
  <c r="H214" i="111"/>
  <c r="B214" i="111"/>
  <c r="G215" i="111"/>
  <c r="C215" i="111"/>
  <c r="I215" i="111"/>
  <c r="D215" i="111"/>
  <c r="H215" i="111"/>
  <c r="B215" i="111"/>
  <c r="G216" i="111"/>
  <c r="C216" i="111"/>
  <c r="I216" i="111"/>
  <c r="D216" i="111"/>
  <c r="H216" i="111"/>
  <c r="B216" i="111"/>
  <c r="G217" i="111"/>
  <c r="C217" i="111"/>
  <c r="H217" i="111"/>
  <c r="B217" i="111"/>
  <c r="G218" i="111"/>
  <c r="C218" i="111"/>
  <c r="H218" i="111"/>
  <c r="B218" i="111"/>
  <c r="G219" i="111"/>
  <c r="C219" i="111"/>
  <c r="H219" i="111"/>
  <c r="B219" i="111"/>
  <c r="G220" i="111"/>
  <c r="C220" i="111"/>
  <c r="H220" i="111"/>
  <c r="B220" i="111"/>
  <c r="G221" i="111"/>
  <c r="C221" i="111"/>
  <c r="H221" i="111"/>
  <c r="B221" i="111"/>
  <c r="G222" i="111"/>
  <c r="C222" i="111"/>
  <c r="H222" i="111"/>
  <c r="B222" i="111"/>
  <c r="G223" i="111"/>
  <c r="C223" i="111"/>
  <c r="I223" i="111"/>
  <c r="D223" i="111"/>
  <c r="H223" i="111"/>
  <c r="B223" i="111"/>
  <c r="G224" i="111"/>
  <c r="C224" i="111"/>
  <c r="I224" i="111"/>
  <c r="D224" i="111"/>
  <c r="H224" i="111"/>
  <c r="B224" i="111"/>
  <c r="G225" i="111"/>
  <c r="C225" i="111"/>
  <c r="H225" i="111"/>
  <c r="B225" i="111"/>
  <c r="G226" i="111"/>
  <c r="C226" i="111"/>
  <c r="H226" i="111"/>
  <c r="B226" i="111"/>
  <c r="G227" i="111"/>
  <c r="C227" i="111"/>
  <c r="H227" i="111"/>
  <c r="B227" i="111"/>
  <c r="G228" i="111"/>
  <c r="C228" i="111"/>
  <c r="H228" i="111"/>
  <c r="B228" i="111"/>
  <c r="G229" i="111"/>
  <c r="C229" i="111"/>
  <c r="H229" i="111"/>
  <c r="B229" i="111"/>
  <c r="G230" i="111"/>
  <c r="C230" i="111"/>
  <c r="H230" i="111"/>
  <c r="B230" i="111"/>
  <c r="G231" i="111"/>
  <c r="C231" i="111"/>
  <c r="I231" i="111"/>
  <c r="D231" i="111"/>
  <c r="H231" i="111"/>
  <c r="B231" i="111"/>
  <c r="G232" i="111"/>
  <c r="C232" i="111"/>
  <c r="I232" i="111"/>
  <c r="D232" i="111"/>
  <c r="H232" i="111"/>
  <c r="B232" i="111"/>
  <c r="G233" i="111"/>
  <c r="C233" i="111"/>
  <c r="H233" i="111"/>
  <c r="B233" i="111"/>
  <c r="G234" i="111"/>
  <c r="C234" i="111"/>
  <c r="H234" i="111"/>
  <c r="B234" i="111"/>
  <c r="G235" i="111"/>
  <c r="C235" i="111"/>
  <c r="H235" i="111"/>
  <c r="B235" i="111"/>
  <c r="G236" i="111"/>
  <c r="C236" i="111"/>
  <c r="I236" i="111"/>
  <c r="D236" i="111"/>
  <c r="H236" i="111"/>
  <c r="B236" i="111"/>
  <c r="G237" i="111"/>
  <c r="C237" i="111"/>
  <c r="I237" i="111"/>
  <c r="D237" i="111"/>
  <c r="H237" i="111"/>
  <c r="B237" i="111"/>
  <c r="G238" i="111"/>
  <c r="C238" i="111"/>
  <c r="I238" i="111"/>
  <c r="D238" i="111"/>
  <c r="H238" i="111"/>
  <c r="B238" i="111"/>
  <c r="G239" i="111"/>
  <c r="C239" i="111"/>
  <c r="I239" i="111"/>
  <c r="D239" i="111"/>
  <c r="H239" i="111"/>
  <c r="B239" i="111"/>
  <c r="G240" i="111"/>
  <c r="C240" i="111"/>
  <c r="H240" i="111"/>
  <c r="B240" i="111"/>
  <c r="G241" i="111"/>
  <c r="C241" i="111"/>
  <c r="H241" i="111"/>
  <c r="B241" i="111"/>
  <c r="G242" i="111"/>
  <c r="C242" i="111"/>
  <c r="H242" i="111"/>
  <c r="B242" i="111"/>
  <c r="G243" i="111"/>
  <c r="C243" i="111"/>
  <c r="H243" i="111"/>
  <c r="B243" i="111"/>
  <c r="G244" i="111"/>
  <c r="C244" i="111"/>
  <c r="H244" i="111"/>
  <c r="B244" i="111"/>
  <c r="G245" i="111"/>
  <c r="C245" i="111"/>
  <c r="H245" i="111"/>
  <c r="B245" i="111"/>
  <c r="G246" i="111"/>
  <c r="C246" i="111"/>
  <c r="I246" i="111"/>
  <c r="D246" i="111"/>
  <c r="H246" i="111"/>
  <c r="B246" i="111"/>
  <c r="G247" i="111"/>
  <c r="C247" i="111"/>
  <c r="I247" i="111"/>
  <c r="D247" i="111"/>
  <c r="H247" i="111"/>
  <c r="B247" i="111"/>
  <c r="G248" i="111"/>
  <c r="C248" i="111"/>
  <c r="I248" i="111"/>
  <c r="D248" i="111"/>
  <c r="H248" i="111"/>
  <c r="B248" i="111"/>
  <c r="G249" i="111"/>
  <c r="C249" i="111"/>
  <c r="I249" i="111"/>
  <c r="D249" i="111"/>
  <c r="H249" i="111"/>
  <c r="B249" i="111"/>
  <c r="E26" i="110"/>
  <c r="D26" i="110"/>
  <c r="G26" i="110"/>
  <c r="H26" i="110"/>
  <c r="E17" i="110"/>
  <c r="G17" i="110"/>
  <c r="H17" i="110"/>
  <c r="M250" i="111"/>
  <c r="M2" i="111"/>
  <c r="E18" i="110"/>
  <c r="G18" i="110"/>
  <c r="H18" i="110"/>
  <c r="M3" i="111"/>
  <c r="M4" i="111"/>
  <c r="M5" i="111"/>
  <c r="M6" i="111"/>
  <c r="M7" i="111"/>
  <c r="M8" i="111"/>
  <c r="M9" i="111"/>
  <c r="M10" i="111"/>
  <c r="M11" i="111"/>
  <c r="M12" i="111"/>
  <c r="M13" i="111"/>
  <c r="M14" i="111"/>
  <c r="M15" i="111"/>
  <c r="M16" i="111"/>
  <c r="M17" i="111"/>
  <c r="M18" i="111"/>
  <c r="M19" i="111"/>
  <c r="M20" i="111"/>
  <c r="M21" i="111"/>
  <c r="M22" i="111"/>
  <c r="M23" i="111"/>
  <c r="M24" i="111"/>
  <c r="M25" i="111"/>
  <c r="M26" i="111"/>
  <c r="M27" i="111"/>
  <c r="M28" i="111"/>
  <c r="M29" i="111"/>
  <c r="M30" i="111"/>
  <c r="M31" i="111"/>
  <c r="M32" i="111"/>
  <c r="M33" i="111"/>
  <c r="M34" i="111"/>
  <c r="M35" i="111"/>
  <c r="M36" i="111"/>
  <c r="M37" i="111"/>
  <c r="M38" i="111"/>
  <c r="M39" i="111"/>
  <c r="M40" i="111"/>
  <c r="M41" i="111"/>
  <c r="M42" i="111"/>
  <c r="M43" i="111"/>
  <c r="E23" i="110"/>
  <c r="B23" i="110"/>
  <c r="D23" i="110"/>
  <c r="G23" i="110"/>
  <c r="H23" i="110"/>
  <c r="M44" i="111"/>
  <c r="M45" i="111"/>
  <c r="M46" i="111"/>
  <c r="M47" i="111"/>
  <c r="M48" i="111"/>
  <c r="M49" i="111"/>
  <c r="M50" i="111"/>
  <c r="M51" i="111"/>
  <c r="M52" i="111"/>
  <c r="M53" i="111"/>
  <c r="M54" i="111"/>
  <c r="M55" i="111"/>
  <c r="M56" i="111"/>
  <c r="M57" i="111"/>
  <c r="M58" i="111"/>
  <c r="M59" i="111"/>
  <c r="M60" i="111"/>
  <c r="M61" i="111"/>
  <c r="M62" i="111"/>
  <c r="M63" i="111"/>
  <c r="M64" i="111"/>
  <c r="M65" i="111"/>
  <c r="M66" i="111"/>
  <c r="M67" i="111"/>
  <c r="M68" i="111"/>
  <c r="M69" i="111"/>
  <c r="M70" i="111"/>
  <c r="M71" i="111"/>
  <c r="M72" i="111"/>
  <c r="M73" i="111"/>
  <c r="M74" i="111"/>
  <c r="M75" i="111"/>
  <c r="M76" i="111"/>
  <c r="M77" i="111"/>
  <c r="M78" i="111"/>
  <c r="M79" i="111"/>
  <c r="M80" i="111"/>
  <c r="M81" i="111"/>
  <c r="M82" i="111"/>
  <c r="M83" i="111"/>
  <c r="M84" i="111"/>
  <c r="M85" i="111"/>
  <c r="M86" i="111"/>
  <c r="M87" i="111"/>
  <c r="M88" i="111"/>
  <c r="M89" i="111"/>
  <c r="M90" i="111"/>
  <c r="M91" i="111"/>
  <c r="M92" i="111"/>
  <c r="M93" i="111"/>
  <c r="M94" i="111"/>
  <c r="M95" i="111"/>
  <c r="M96" i="111"/>
  <c r="M97" i="111"/>
  <c r="M98" i="111"/>
  <c r="M99" i="111"/>
  <c r="M100" i="111"/>
  <c r="M101" i="111"/>
  <c r="M102" i="111"/>
  <c r="M103" i="111"/>
  <c r="M104" i="111"/>
  <c r="M105" i="111"/>
  <c r="M106" i="111"/>
  <c r="M107" i="111"/>
  <c r="M108" i="111"/>
  <c r="M109" i="111"/>
  <c r="M110" i="111"/>
  <c r="M111" i="111"/>
  <c r="M112" i="111"/>
  <c r="M113" i="111"/>
  <c r="M114" i="111"/>
  <c r="M115" i="111"/>
  <c r="M116" i="111"/>
  <c r="M117" i="111"/>
  <c r="M118" i="111"/>
  <c r="M119" i="111"/>
  <c r="M120" i="111"/>
  <c r="M121" i="111"/>
  <c r="M122" i="111"/>
  <c r="M123" i="111"/>
  <c r="M124" i="111"/>
  <c r="M125" i="111"/>
  <c r="M126" i="111"/>
  <c r="M127" i="111"/>
  <c r="M128" i="111"/>
  <c r="M129" i="111"/>
  <c r="M130" i="111"/>
  <c r="M131" i="111"/>
  <c r="M132" i="111"/>
  <c r="M133" i="111"/>
  <c r="M134" i="111"/>
  <c r="M135" i="111"/>
  <c r="M136" i="111"/>
  <c r="M137" i="111"/>
  <c r="E19" i="110"/>
  <c r="G19" i="110"/>
  <c r="H19" i="110"/>
  <c r="M138" i="111"/>
  <c r="E24" i="110"/>
  <c r="G24" i="110"/>
  <c r="H24" i="110"/>
  <c r="M139" i="111"/>
  <c r="E20" i="110"/>
  <c r="G20" i="110"/>
  <c r="H20" i="110"/>
  <c r="M140" i="111"/>
  <c r="E25" i="110"/>
  <c r="G25" i="110"/>
  <c r="H25" i="110"/>
  <c r="M141" i="111"/>
  <c r="M142" i="111"/>
  <c r="M143" i="111"/>
  <c r="M144" i="111"/>
  <c r="M145" i="111"/>
  <c r="M146" i="111"/>
  <c r="M147" i="111"/>
  <c r="M148" i="111"/>
  <c r="M149" i="111"/>
  <c r="M150" i="111"/>
  <c r="M151" i="111"/>
  <c r="M152" i="111"/>
  <c r="M153" i="111"/>
  <c r="M154" i="111"/>
  <c r="M155" i="111"/>
  <c r="M156" i="111"/>
  <c r="M157" i="111"/>
  <c r="M158" i="111"/>
  <c r="M159" i="111"/>
  <c r="M160" i="111"/>
  <c r="M161" i="111"/>
  <c r="M162" i="111"/>
  <c r="M163" i="111"/>
  <c r="M164" i="111"/>
  <c r="M165" i="111"/>
  <c r="M166" i="111"/>
  <c r="M167" i="111"/>
  <c r="M168" i="111"/>
  <c r="M169" i="111"/>
  <c r="M170" i="111"/>
  <c r="M171" i="111"/>
  <c r="M172" i="111"/>
  <c r="M173" i="111"/>
  <c r="M174" i="111"/>
  <c r="M175" i="111"/>
  <c r="M176" i="111"/>
  <c r="M177" i="111"/>
  <c r="M178" i="111"/>
  <c r="M179" i="111"/>
  <c r="M180" i="111"/>
  <c r="M181" i="111"/>
  <c r="M182" i="111"/>
  <c r="M183" i="111"/>
  <c r="M184" i="111"/>
  <c r="M185" i="111"/>
  <c r="M186" i="111"/>
  <c r="M187" i="111"/>
  <c r="M188" i="111"/>
  <c r="M189" i="111"/>
  <c r="M190" i="111"/>
  <c r="M191" i="111"/>
  <c r="M192" i="111"/>
  <c r="M193" i="111"/>
  <c r="M194" i="111"/>
  <c r="M195" i="111"/>
  <c r="M196" i="111"/>
  <c r="M197" i="111"/>
  <c r="M198" i="111"/>
  <c r="M199" i="111"/>
  <c r="M200" i="111"/>
  <c r="M201" i="111"/>
  <c r="M202" i="111"/>
  <c r="M203" i="111"/>
  <c r="M204" i="111"/>
  <c r="M205" i="111"/>
  <c r="M206" i="111"/>
  <c r="M207" i="111"/>
  <c r="M208" i="111"/>
  <c r="M209" i="111"/>
  <c r="M210" i="111"/>
  <c r="M211" i="111"/>
  <c r="M212" i="111"/>
  <c r="M213" i="111"/>
  <c r="M214" i="111"/>
  <c r="M215" i="111"/>
  <c r="M216" i="111"/>
  <c r="M217" i="111"/>
  <c r="M218" i="111"/>
  <c r="M219" i="111"/>
  <c r="M220" i="111"/>
  <c r="M221" i="111"/>
  <c r="M222" i="111"/>
  <c r="M223" i="111"/>
  <c r="M224" i="111"/>
  <c r="M225" i="111"/>
  <c r="M226" i="111"/>
  <c r="M227" i="111"/>
  <c r="M228" i="111"/>
  <c r="M229" i="111"/>
  <c r="M230" i="111"/>
  <c r="M231" i="111"/>
  <c r="M232" i="111"/>
  <c r="M233" i="111"/>
  <c r="M234" i="111"/>
  <c r="M235" i="111"/>
  <c r="M236" i="111"/>
  <c r="M237" i="111"/>
  <c r="M238" i="111"/>
  <c r="M239" i="111"/>
  <c r="M240" i="111"/>
  <c r="M241" i="111"/>
  <c r="M242" i="111"/>
  <c r="M243" i="111"/>
  <c r="M244" i="111"/>
  <c r="M245" i="111"/>
  <c r="M246" i="111"/>
  <c r="E27" i="110"/>
  <c r="D27" i="110"/>
  <c r="G27" i="110"/>
  <c r="H27" i="110"/>
  <c r="M247" i="111"/>
  <c r="M248" i="111"/>
  <c r="M249" i="111"/>
  <c r="M251" i="111"/>
  <c r="M252" i="111"/>
  <c r="M253" i="111"/>
  <c r="M254" i="111"/>
  <c r="M255" i="111"/>
  <c r="M256" i="111"/>
  <c r="M257" i="111"/>
  <c r="M258" i="111"/>
  <c r="M259" i="111"/>
  <c r="N250" i="111"/>
  <c r="O250" i="111"/>
  <c r="P250" i="111"/>
  <c r="Q250" i="111"/>
  <c r="R250" i="111"/>
  <c r="S250" i="111"/>
  <c r="T250" i="111"/>
  <c r="A251" i="111"/>
  <c r="F251" i="111"/>
  <c r="J251" i="111"/>
  <c r="K251" i="111"/>
  <c r="L251" i="111"/>
  <c r="N251" i="111"/>
  <c r="O251" i="111"/>
  <c r="P251" i="111"/>
  <c r="Q251" i="111"/>
  <c r="R251" i="111"/>
  <c r="S251" i="111"/>
  <c r="T251" i="111"/>
  <c r="A252" i="111"/>
  <c r="F252" i="111"/>
  <c r="J252" i="111"/>
  <c r="K252" i="111"/>
  <c r="L252" i="111"/>
  <c r="N252" i="111"/>
  <c r="O252" i="111"/>
  <c r="P252" i="111"/>
  <c r="Q252" i="111"/>
  <c r="R252" i="111"/>
  <c r="S252" i="111"/>
  <c r="T252" i="111"/>
  <c r="A253" i="111"/>
  <c r="F253" i="111"/>
  <c r="J253" i="111"/>
  <c r="K253" i="111"/>
  <c r="L253" i="111"/>
  <c r="N253" i="111"/>
  <c r="O253" i="111"/>
  <c r="P253" i="111"/>
  <c r="Q253" i="111"/>
  <c r="R253" i="111"/>
  <c r="S253" i="111"/>
  <c r="T253" i="111"/>
  <c r="A254" i="111"/>
  <c r="F254" i="111"/>
  <c r="J254" i="111"/>
  <c r="K254" i="111"/>
  <c r="L254" i="111"/>
  <c r="N254" i="111"/>
  <c r="O254" i="111"/>
  <c r="P254" i="111"/>
  <c r="Q254" i="111"/>
  <c r="R254" i="111"/>
  <c r="S254" i="111"/>
  <c r="T254" i="111"/>
  <c r="A255" i="111"/>
  <c r="F255" i="111"/>
  <c r="J255" i="111"/>
  <c r="K255" i="111"/>
  <c r="L255" i="111"/>
  <c r="N255" i="111"/>
  <c r="O255" i="111"/>
  <c r="P255" i="111"/>
  <c r="Q255" i="111"/>
  <c r="R255" i="111"/>
  <c r="S255" i="111"/>
  <c r="T255" i="111"/>
  <c r="A256" i="111"/>
  <c r="F256" i="111"/>
  <c r="J256" i="111"/>
  <c r="K256" i="111"/>
  <c r="L256" i="111"/>
  <c r="N256" i="111"/>
  <c r="O256" i="111"/>
  <c r="P256" i="111"/>
  <c r="Q256" i="111"/>
  <c r="R256" i="111"/>
  <c r="S256" i="111"/>
  <c r="T256" i="111"/>
  <c r="A257" i="111"/>
  <c r="F257" i="111"/>
  <c r="J257" i="111"/>
  <c r="K257" i="111"/>
  <c r="L257" i="111"/>
  <c r="N257" i="111"/>
  <c r="O257" i="111"/>
  <c r="P257" i="111"/>
  <c r="Q257" i="111"/>
  <c r="R257" i="111"/>
  <c r="S257" i="111"/>
  <c r="T257" i="111"/>
  <c r="A258" i="111"/>
  <c r="F258" i="111"/>
  <c r="J258" i="111"/>
  <c r="K258" i="111"/>
  <c r="L258" i="111"/>
  <c r="N258" i="111"/>
  <c r="O258" i="111"/>
  <c r="P258" i="111"/>
  <c r="Q258" i="111"/>
  <c r="R258" i="111"/>
  <c r="S258" i="111"/>
  <c r="T258" i="111"/>
  <c r="A259" i="111"/>
  <c r="F259" i="111"/>
  <c r="J259" i="111"/>
  <c r="K259" i="111"/>
  <c r="L259" i="111"/>
  <c r="N259" i="111"/>
  <c r="O259" i="111"/>
  <c r="P259" i="111"/>
  <c r="Q259" i="111"/>
  <c r="R259" i="111"/>
  <c r="S259" i="111"/>
  <c r="T259" i="111"/>
  <c r="A36" i="106"/>
  <c r="G3" i="82"/>
  <c r="C3" i="82"/>
  <c r="H3" i="82"/>
  <c r="B3" i="82"/>
  <c r="G4" i="82"/>
  <c r="C4" i="82"/>
  <c r="H4" i="82"/>
  <c r="B4" i="82"/>
  <c r="G5" i="82"/>
  <c r="C5" i="82"/>
  <c r="H5" i="82"/>
  <c r="B5" i="82"/>
  <c r="G6" i="82"/>
  <c r="C6" i="82"/>
  <c r="H6" i="82"/>
  <c r="B6" i="82"/>
  <c r="G7" i="82"/>
  <c r="C7" i="82"/>
  <c r="H7" i="82"/>
  <c r="B7" i="82"/>
  <c r="G8" i="82"/>
  <c r="C8" i="82"/>
  <c r="H8" i="82"/>
  <c r="B8" i="82"/>
  <c r="G9" i="82"/>
  <c r="C9" i="82"/>
  <c r="H9" i="82"/>
  <c r="B9" i="82"/>
  <c r="G10" i="82"/>
  <c r="C10" i="82"/>
  <c r="H10" i="82"/>
  <c r="B10" i="82"/>
  <c r="G11" i="82"/>
  <c r="C11" i="82"/>
  <c r="H11" i="82"/>
  <c r="B11" i="82"/>
  <c r="G12" i="82"/>
  <c r="C12" i="82"/>
  <c r="H12" i="82"/>
  <c r="B12" i="82"/>
  <c r="G13" i="82"/>
  <c r="C13" i="82"/>
  <c r="H13" i="82"/>
  <c r="B13" i="82"/>
  <c r="G14" i="82"/>
  <c r="C14" i="82"/>
  <c r="H14" i="82"/>
  <c r="B14" i="82"/>
  <c r="G15" i="82"/>
  <c r="C15" i="82"/>
  <c r="H15" i="82"/>
  <c r="B15" i="82"/>
  <c r="G16" i="82"/>
  <c r="C16" i="82"/>
  <c r="H16" i="82"/>
  <c r="B16" i="82"/>
  <c r="G17" i="82"/>
  <c r="C17" i="82"/>
  <c r="H17" i="82"/>
  <c r="B17" i="82"/>
  <c r="G18" i="82"/>
  <c r="C18" i="82"/>
  <c r="H18" i="82"/>
  <c r="B18" i="82"/>
  <c r="G19" i="82"/>
  <c r="C19" i="82"/>
  <c r="H19" i="82"/>
  <c r="B19" i="82"/>
  <c r="G20" i="82"/>
  <c r="C20" i="82"/>
  <c r="H20" i="82"/>
  <c r="B20" i="82"/>
  <c r="G21" i="82"/>
  <c r="C21" i="82"/>
  <c r="H21" i="82"/>
  <c r="B21" i="82"/>
  <c r="G22" i="82"/>
  <c r="C22" i="82"/>
  <c r="H22" i="82"/>
  <c r="B22" i="82"/>
  <c r="G23" i="82"/>
  <c r="C23" i="82"/>
  <c r="H23" i="82"/>
  <c r="B23" i="82"/>
  <c r="G24" i="82"/>
  <c r="C24" i="82"/>
  <c r="H24" i="82"/>
  <c r="B24" i="82"/>
  <c r="G25" i="82"/>
  <c r="C25" i="82"/>
  <c r="H25" i="82"/>
  <c r="B25" i="82"/>
  <c r="G26" i="82"/>
  <c r="C26" i="82"/>
  <c r="H26" i="82"/>
  <c r="B26" i="82"/>
  <c r="G27" i="82"/>
  <c r="C27" i="82"/>
  <c r="H27" i="82"/>
  <c r="B27" i="82"/>
  <c r="G28" i="82"/>
  <c r="C28" i="82"/>
  <c r="H28" i="82"/>
  <c r="B28" i="82"/>
  <c r="G29" i="82"/>
  <c r="C29" i="82"/>
  <c r="H29" i="82"/>
  <c r="B29" i="82"/>
  <c r="G30" i="82"/>
  <c r="C30" i="82"/>
  <c r="H30" i="82"/>
  <c r="B30" i="82"/>
  <c r="G31" i="82"/>
  <c r="C31" i="82"/>
  <c r="H31" i="82"/>
  <c r="B31" i="82"/>
  <c r="G32" i="82"/>
  <c r="C32" i="82"/>
  <c r="H32" i="82"/>
  <c r="B32" i="82"/>
  <c r="G33" i="82"/>
  <c r="C33" i="82"/>
  <c r="H33" i="82"/>
  <c r="B33" i="82"/>
  <c r="G34" i="82"/>
  <c r="C34" i="82"/>
  <c r="H34" i="82"/>
  <c r="B34" i="82"/>
  <c r="G35" i="82"/>
  <c r="C35" i="82"/>
  <c r="H35" i="82"/>
  <c r="B35" i="82"/>
  <c r="G36" i="82"/>
  <c r="C36" i="82"/>
  <c r="H36" i="82"/>
  <c r="B36" i="82"/>
  <c r="G37" i="82"/>
  <c r="C37" i="82"/>
  <c r="H37" i="82"/>
  <c r="B37" i="82"/>
  <c r="G38" i="82"/>
  <c r="C38" i="82"/>
  <c r="H38" i="82"/>
  <c r="B38" i="82"/>
  <c r="G39" i="82"/>
  <c r="C39" i="82"/>
  <c r="H39" i="82"/>
  <c r="B39" i="82"/>
  <c r="G40" i="82"/>
  <c r="C40" i="82"/>
  <c r="H40" i="82"/>
  <c r="B40" i="82"/>
  <c r="G41" i="82"/>
  <c r="C41" i="82"/>
  <c r="H41" i="82"/>
  <c r="B41" i="82"/>
  <c r="G42" i="82"/>
  <c r="C42" i="82"/>
  <c r="H42" i="82"/>
  <c r="B42" i="82"/>
  <c r="G43" i="82"/>
  <c r="C43" i="82"/>
  <c r="H43" i="82"/>
  <c r="B43" i="82"/>
  <c r="G44" i="82"/>
  <c r="C44" i="82"/>
  <c r="H44" i="82"/>
  <c r="B44" i="82"/>
  <c r="G45" i="82"/>
  <c r="C45" i="82"/>
  <c r="H45" i="82"/>
  <c r="B45" i="82"/>
  <c r="G46" i="82"/>
  <c r="C46" i="82"/>
  <c r="H46" i="82"/>
  <c r="B46" i="82"/>
  <c r="G47" i="82"/>
  <c r="C47" i="82"/>
  <c r="H47" i="82"/>
  <c r="B47" i="82"/>
  <c r="G48" i="82"/>
  <c r="C48" i="82"/>
  <c r="H48" i="82"/>
  <c r="B48" i="82"/>
  <c r="G49" i="82"/>
  <c r="C49" i="82"/>
  <c r="H49" i="82"/>
  <c r="B49" i="82"/>
  <c r="G50" i="82"/>
  <c r="C50" i="82"/>
  <c r="H50" i="82"/>
  <c r="B50" i="82"/>
  <c r="G51" i="82"/>
  <c r="C51" i="82"/>
  <c r="H51" i="82"/>
  <c r="B51" i="82"/>
  <c r="G52" i="82"/>
  <c r="C52" i="82"/>
  <c r="H52" i="82"/>
  <c r="B52" i="82"/>
  <c r="G53" i="82"/>
  <c r="C53" i="82"/>
  <c r="H53" i="82"/>
  <c r="B53" i="82"/>
  <c r="G54" i="82"/>
  <c r="C54" i="82"/>
  <c r="H54" i="82"/>
  <c r="B54" i="82"/>
  <c r="G55" i="82"/>
  <c r="C55" i="82"/>
  <c r="H55" i="82"/>
  <c r="B55" i="82"/>
  <c r="G56" i="82"/>
  <c r="C56" i="82"/>
  <c r="H56" i="82"/>
  <c r="B56" i="82"/>
  <c r="G57" i="82"/>
  <c r="C57" i="82"/>
  <c r="H57" i="82"/>
  <c r="B57" i="82"/>
  <c r="G58" i="82"/>
  <c r="C58" i="82"/>
  <c r="H58" i="82"/>
  <c r="B58" i="82"/>
  <c r="G59" i="82"/>
  <c r="C59" i="82"/>
  <c r="H59" i="82"/>
  <c r="B59" i="82"/>
  <c r="G60" i="82"/>
  <c r="C60" i="82"/>
  <c r="H60" i="82"/>
  <c r="B60" i="82"/>
  <c r="G61" i="82"/>
  <c r="C61" i="82"/>
  <c r="H61" i="82"/>
  <c r="B61" i="82"/>
  <c r="G62" i="82"/>
  <c r="C62" i="82"/>
  <c r="H62" i="82"/>
  <c r="B62" i="82"/>
  <c r="G63" i="82"/>
  <c r="C63" i="82"/>
  <c r="H63" i="82"/>
  <c r="B63" i="82"/>
  <c r="G64" i="82"/>
  <c r="C64" i="82"/>
  <c r="H64" i="82"/>
  <c r="B64" i="82"/>
  <c r="G65" i="82"/>
  <c r="C65" i="82"/>
  <c r="H65" i="82"/>
  <c r="B65" i="82"/>
  <c r="G66" i="82"/>
  <c r="C66" i="82"/>
  <c r="H66" i="82"/>
  <c r="B66" i="82"/>
  <c r="G67" i="82"/>
  <c r="C67" i="82"/>
  <c r="H67" i="82"/>
  <c r="B67" i="82"/>
  <c r="G68" i="82"/>
  <c r="C68" i="82"/>
  <c r="H68" i="82"/>
  <c r="B68" i="82"/>
  <c r="G69" i="82"/>
  <c r="C69" i="82"/>
  <c r="H69" i="82"/>
  <c r="B69" i="82"/>
  <c r="G70" i="82"/>
  <c r="C70" i="82"/>
  <c r="H70" i="82"/>
  <c r="B70" i="82"/>
  <c r="G71" i="82"/>
  <c r="C71" i="82"/>
  <c r="H71" i="82"/>
  <c r="B71" i="82"/>
  <c r="G72" i="82"/>
  <c r="C72" i="82"/>
  <c r="H72" i="82"/>
  <c r="B72" i="82"/>
  <c r="G73" i="82"/>
  <c r="C73" i="82"/>
  <c r="H73" i="82"/>
  <c r="B73" i="82"/>
  <c r="G74" i="82"/>
  <c r="C74" i="82"/>
  <c r="H74" i="82"/>
  <c r="B74" i="82"/>
  <c r="G75" i="82"/>
  <c r="C75" i="82"/>
  <c r="H75" i="82"/>
  <c r="B75" i="82"/>
  <c r="G76" i="82"/>
  <c r="C76" i="82"/>
  <c r="H76" i="82"/>
  <c r="B76" i="82"/>
  <c r="G77" i="82"/>
  <c r="C77" i="82"/>
  <c r="H77" i="82"/>
  <c r="B77" i="82"/>
  <c r="G78" i="82"/>
  <c r="C78" i="82"/>
  <c r="H78" i="82"/>
  <c r="B78" i="82"/>
  <c r="G79" i="82"/>
  <c r="C79" i="82"/>
  <c r="H79" i="82"/>
  <c r="B79" i="82"/>
  <c r="G80" i="82"/>
  <c r="C80" i="82"/>
  <c r="H80" i="82"/>
  <c r="B80" i="82"/>
  <c r="G81" i="82"/>
  <c r="C81" i="82"/>
  <c r="H81" i="82"/>
  <c r="B81" i="82"/>
  <c r="G82" i="82"/>
  <c r="C82" i="82"/>
  <c r="H82" i="82"/>
  <c r="B82" i="82"/>
  <c r="G83" i="82"/>
  <c r="C83" i="82"/>
  <c r="H83" i="82"/>
  <c r="B83" i="82"/>
  <c r="G84" i="82"/>
  <c r="C84" i="82"/>
  <c r="H84" i="82"/>
  <c r="B84" i="82"/>
  <c r="G85" i="82"/>
  <c r="C85" i="82"/>
  <c r="H85" i="82"/>
  <c r="B85" i="82"/>
  <c r="G86" i="82"/>
  <c r="C86" i="82"/>
  <c r="H86" i="82"/>
  <c r="B86" i="82"/>
  <c r="G87" i="82"/>
  <c r="C87" i="82"/>
  <c r="H87" i="82"/>
  <c r="B87" i="82"/>
  <c r="G88" i="82"/>
  <c r="C88" i="82"/>
  <c r="H88" i="82"/>
  <c r="B88" i="82"/>
  <c r="G89" i="82"/>
  <c r="C89" i="82"/>
  <c r="H89" i="82"/>
  <c r="B89" i="82"/>
  <c r="G90" i="82"/>
  <c r="C90" i="82"/>
  <c r="H90" i="82"/>
  <c r="B90" i="82"/>
  <c r="G91" i="82"/>
  <c r="C91" i="82"/>
  <c r="H91" i="82"/>
  <c r="B91" i="82"/>
  <c r="G92" i="82"/>
  <c r="C92" i="82"/>
  <c r="H92" i="82"/>
  <c r="B92" i="82"/>
  <c r="G93" i="82"/>
  <c r="C93" i="82"/>
  <c r="H93" i="82"/>
  <c r="B93" i="82"/>
  <c r="G94" i="82"/>
  <c r="C94" i="82"/>
  <c r="H94" i="82"/>
  <c r="B94" i="82"/>
  <c r="G95" i="82"/>
  <c r="C95" i="82"/>
  <c r="H95" i="82"/>
  <c r="B95" i="82"/>
  <c r="G96" i="82"/>
  <c r="C96" i="82"/>
  <c r="H96" i="82"/>
  <c r="B96" i="82"/>
  <c r="G97" i="82"/>
  <c r="C97" i="82"/>
  <c r="H97" i="82"/>
  <c r="B97" i="82"/>
  <c r="G98" i="82"/>
  <c r="C98" i="82"/>
  <c r="H98" i="82"/>
  <c r="B98" i="82"/>
  <c r="G99" i="82"/>
  <c r="C99" i="82"/>
  <c r="H99" i="82"/>
  <c r="B99" i="82"/>
  <c r="G100" i="82"/>
  <c r="C100" i="82"/>
  <c r="H100" i="82"/>
  <c r="B100" i="82"/>
  <c r="G101" i="82"/>
  <c r="C101" i="82"/>
  <c r="H101" i="82"/>
  <c r="B101" i="82"/>
  <c r="G102" i="82"/>
  <c r="C102" i="82"/>
  <c r="H102" i="82"/>
  <c r="B102" i="82"/>
  <c r="G103" i="82"/>
  <c r="C103" i="82"/>
  <c r="H103" i="82"/>
  <c r="B103" i="82"/>
  <c r="G104" i="82"/>
  <c r="C104" i="82"/>
  <c r="H104" i="82"/>
  <c r="B104" i="82"/>
  <c r="G105" i="82"/>
  <c r="C105" i="82"/>
  <c r="H105" i="82"/>
  <c r="B105" i="82"/>
  <c r="G106" i="82"/>
  <c r="C106" i="82"/>
  <c r="H106" i="82"/>
  <c r="B106" i="82"/>
  <c r="G107" i="82"/>
  <c r="C107" i="82"/>
  <c r="H107" i="82"/>
  <c r="B107" i="82"/>
  <c r="G108" i="82"/>
  <c r="C108" i="82"/>
  <c r="H108" i="82"/>
  <c r="B108" i="82"/>
  <c r="G109" i="82"/>
  <c r="C109" i="82"/>
  <c r="H109" i="82"/>
  <c r="B109" i="82"/>
  <c r="G110" i="82"/>
  <c r="C110" i="82"/>
  <c r="H110" i="82"/>
  <c r="B110" i="82"/>
  <c r="G111" i="82"/>
  <c r="C111" i="82"/>
  <c r="H111" i="82"/>
  <c r="B111" i="82"/>
  <c r="G112" i="82"/>
  <c r="C112" i="82"/>
  <c r="H112" i="82"/>
  <c r="B112" i="82"/>
  <c r="G113" i="82"/>
  <c r="C113" i="82"/>
  <c r="H113" i="82"/>
  <c r="B113" i="82"/>
  <c r="G114" i="82"/>
  <c r="C114" i="82"/>
  <c r="H114" i="82"/>
  <c r="B114" i="82"/>
  <c r="G115" i="82"/>
  <c r="C115" i="82"/>
  <c r="H115" i="82"/>
  <c r="B115" i="82"/>
  <c r="G116" i="82"/>
  <c r="C116" i="82"/>
  <c r="H116" i="82"/>
  <c r="B116" i="82"/>
  <c r="G117" i="82"/>
  <c r="C117" i="82"/>
  <c r="H117" i="82"/>
  <c r="B117" i="82"/>
  <c r="G118" i="82"/>
  <c r="C118" i="82"/>
  <c r="H118" i="82"/>
  <c r="B118" i="82"/>
  <c r="G119" i="82"/>
  <c r="C119" i="82"/>
  <c r="H119" i="82"/>
  <c r="B119" i="82"/>
  <c r="G120" i="82"/>
  <c r="C120" i="82"/>
  <c r="H120" i="82"/>
  <c r="B120" i="82"/>
  <c r="G121" i="82"/>
  <c r="C121" i="82"/>
  <c r="H121" i="82"/>
  <c r="B121" i="82"/>
  <c r="G122" i="82"/>
  <c r="C122" i="82"/>
  <c r="H122" i="82"/>
  <c r="B122" i="82"/>
  <c r="G123" i="82"/>
  <c r="C123" i="82"/>
  <c r="H123" i="82"/>
  <c r="B123" i="82"/>
  <c r="G124" i="82"/>
  <c r="C124" i="82"/>
  <c r="H124" i="82"/>
  <c r="B124" i="82"/>
  <c r="G125" i="82"/>
  <c r="C125" i="82"/>
  <c r="H125" i="82"/>
  <c r="B125" i="82"/>
  <c r="G126" i="82"/>
  <c r="C126" i="82"/>
  <c r="H126" i="82"/>
  <c r="B126" i="82"/>
  <c r="G127" i="82"/>
  <c r="C127" i="82"/>
  <c r="H127" i="82"/>
  <c r="B127" i="82"/>
  <c r="G128" i="82"/>
  <c r="C128" i="82"/>
  <c r="H128" i="82"/>
  <c r="B128" i="82"/>
  <c r="G129" i="82"/>
  <c r="C129" i="82"/>
  <c r="H129" i="82"/>
  <c r="B129" i="82"/>
  <c r="G130" i="82"/>
  <c r="C130" i="82"/>
  <c r="H130" i="82"/>
  <c r="B130" i="82"/>
  <c r="G131" i="82"/>
  <c r="C131" i="82"/>
  <c r="H131" i="82"/>
  <c r="B131" i="82"/>
  <c r="G132" i="82"/>
  <c r="C132" i="82"/>
  <c r="H132" i="82"/>
  <c r="B132" i="82"/>
  <c r="G133" i="82"/>
  <c r="C133" i="82"/>
  <c r="H133" i="82"/>
  <c r="B133" i="82"/>
  <c r="G134" i="82"/>
  <c r="C134" i="82"/>
  <c r="H134" i="82"/>
  <c r="B134" i="82"/>
  <c r="G135" i="82"/>
  <c r="C135" i="82"/>
  <c r="H135" i="82"/>
  <c r="B135" i="82"/>
  <c r="G136" i="82"/>
  <c r="C136" i="82"/>
  <c r="H136" i="82"/>
  <c r="B136" i="82"/>
  <c r="G137" i="82"/>
  <c r="C137" i="82"/>
  <c r="H137" i="82"/>
  <c r="B137" i="82"/>
  <c r="G138" i="82"/>
  <c r="C138" i="82"/>
  <c r="I138" i="82"/>
  <c r="D138" i="82"/>
  <c r="H138" i="82"/>
  <c r="B138" i="82"/>
  <c r="G139" i="82"/>
  <c r="C139" i="82"/>
  <c r="I139" i="82"/>
  <c r="D139" i="82"/>
  <c r="H139" i="82"/>
  <c r="B139" i="82"/>
  <c r="G140" i="82"/>
  <c r="C140" i="82"/>
  <c r="I140" i="82"/>
  <c r="D140" i="82"/>
  <c r="H140" i="82"/>
  <c r="B140" i="82"/>
  <c r="G141" i="82"/>
  <c r="C141" i="82"/>
  <c r="I141" i="82"/>
  <c r="D141" i="82"/>
  <c r="H141" i="82"/>
  <c r="B141" i="82"/>
  <c r="G142" i="82"/>
  <c r="C142" i="82"/>
  <c r="I142" i="82"/>
  <c r="D142" i="82"/>
  <c r="H142" i="82"/>
  <c r="B142" i="82"/>
  <c r="G143" i="82"/>
  <c r="C143" i="82"/>
  <c r="I143" i="82"/>
  <c r="D143" i="82"/>
  <c r="H143" i="82"/>
  <c r="B143" i="82"/>
  <c r="G144" i="82"/>
  <c r="C144" i="82"/>
  <c r="I144" i="82"/>
  <c r="D144" i="82"/>
  <c r="H144" i="82"/>
  <c r="B144" i="82"/>
  <c r="G145" i="82"/>
  <c r="C145" i="82"/>
  <c r="I145" i="82"/>
  <c r="D145" i="82"/>
  <c r="H145" i="82"/>
  <c r="B145" i="82"/>
  <c r="G146" i="82"/>
  <c r="C146" i="82"/>
  <c r="H146" i="82"/>
  <c r="B146" i="82"/>
  <c r="G147" i="82"/>
  <c r="C147" i="82"/>
  <c r="H147" i="82"/>
  <c r="B147" i="82"/>
  <c r="G148" i="82"/>
  <c r="C148" i="82"/>
  <c r="H148" i="82"/>
  <c r="B148" i="82"/>
  <c r="G149" i="82"/>
  <c r="C149" i="82"/>
  <c r="I149" i="82"/>
  <c r="D149" i="82"/>
  <c r="H149" i="82"/>
  <c r="B149" i="82"/>
  <c r="G150" i="82"/>
  <c r="C150" i="82"/>
  <c r="I150" i="82"/>
  <c r="D150" i="82"/>
  <c r="H150" i="82"/>
  <c r="B150" i="82"/>
  <c r="G151" i="82"/>
  <c r="C151" i="82"/>
  <c r="I151" i="82"/>
  <c r="D151" i="82"/>
  <c r="H151" i="82"/>
  <c r="B151" i="82"/>
  <c r="G152" i="82"/>
  <c r="C152" i="82"/>
  <c r="I152" i="82"/>
  <c r="D152" i="82"/>
  <c r="H152" i="82"/>
  <c r="B152" i="82"/>
  <c r="G153" i="82"/>
  <c r="C153" i="82"/>
  <c r="H153" i="82"/>
  <c r="B153" i="82"/>
  <c r="G154" i="82"/>
  <c r="C154" i="82"/>
  <c r="H154" i="82"/>
  <c r="B154" i="82"/>
  <c r="G155" i="82"/>
  <c r="C155" i="82"/>
  <c r="H155" i="82"/>
  <c r="B155" i="82"/>
  <c r="G156" i="82"/>
  <c r="C156" i="82"/>
  <c r="I156" i="82"/>
  <c r="D156" i="82"/>
  <c r="H156" i="82"/>
  <c r="B156" i="82"/>
  <c r="G157" i="82"/>
  <c r="C157" i="82"/>
  <c r="I157" i="82"/>
  <c r="D157" i="82"/>
  <c r="H157" i="82"/>
  <c r="B157" i="82"/>
  <c r="G158" i="82"/>
  <c r="C158" i="82"/>
  <c r="H158" i="82"/>
  <c r="B158" i="82"/>
  <c r="G159" i="82"/>
  <c r="C159" i="82"/>
  <c r="H159" i="82"/>
  <c r="B159" i="82"/>
  <c r="G160" i="82"/>
  <c r="C160" i="82"/>
  <c r="H160" i="82"/>
  <c r="B160" i="82"/>
  <c r="G161" i="82"/>
  <c r="C161" i="82"/>
  <c r="H161" i="82"/>
  <c r="B161" i="82"/>
  <c r="G162" i="82"/>
  <c r="C162" i="82"/>
  <c r="H162" i="82"/>
  <c r="B162" i="82"/>
  <c r="G163" i="82"/>
  <c r="C163" i="82"/>
  <c r="H163" i="82"/>
  <c r="B163" i="82"/>
  <c r="G164" i="82"/>
  <c r="C164" i="82"/>
  <c r="I164" i="82"/>
  <c r="D164" i="82"/>
  <c r="H164" i="82"/>
  <c r="B164" i="82"/>
  <c r="G165" i="82"/>
  <c r="C165" i="82"/>
  <c r="I165" i="82"/>
  <c r="D165" i="82"/>
  <c r="H165" i="82"/>
  <c r="B165" i="82"/>
  <c r="G166" i="82"/>
  <c r="C166" i="82"/>
  <c r="H166" i="82"/>
  <c r="B166" i="82"/>
  <c r="G167" i="82"/>
  <c r="C167" i="82"/>
  <c r="H167" i="82"/>
  <c r="B167" i="82"/>
  <c r="G168" i="82"/>
  <c r="C168" i="82"/>
  <c r="H168" i="82"/>
  <c r="B168" i="82"/>
  <c r="G169" i="82"/>
  <c r="C169" i="82"/>
  <c r="I169" i="82"/>
  <c r="D169" i="82"/>
  <c r="H169" i="82"/>
  <c r="B169" i="82"/>
  <c r="G170" i="82"/>
  <c r="C170" i="82"/>
  <c r="I170" i="82"/>
  <c r="D170" i="82"/>
  <c r="H170" i="82"/>
  <c r="B170" i="82"/>
  <c r="G171" i="82"/>
  <c r="C171" i="82"/>
  <c r="H171" i="82"/>
  <c r="B171" i="82"/>
  <c r="G172" i="82"/>
  <c r="C172" i="82"/>
  <c r="H172" i="82"/>
  <c r="B172" i="82"/>
  <c r="G173" i="82"/>
  <c r="C173" i="82"/>
  <c r="H173" i="82"/>
  <c r="B173" i="82"/>
  <c r="G174" i="82"/>
  <c r="C174" i="82"/>
  <c r="I174" i="82"/>
  <c r="D174" i="82"/>
  <c r="H174" i="82"/>
  <c r="B174" i="82"/>
  <c r="G175" i="82"/>
  <c r="C175" i="82"/>
  <c r="I175" i="82"/>
  <c r="D175" i="82"/>
  <c r="H175" i="82"/>
  <c r="B175" i="82"/>
  <c r="G176" i="82"/>
  <c r="C176" i="82"/>
  <c r="I176" i="82"/>
  <c r="D176" i="82"/>
  <c r="H176" i="82"/>
  <c r="B176" i="82"/>
  <c r="G177" i="82"/>
  <c r="C177" i="82"/>
  <c r="I177" i="82"/>
  <c r="D177" i="82"/>
  <c r="H177" i="82"/>
  <c r="B177" i="82"/>
  <c r="G178" i="82"/>
  <c r="C178" i="82"/>
  <c r="H178" i="82"/>
  <c r="B178" i="82"/>
  <c r="G179" i="82"/>
  <c r="C179" i="82"/>
  <c r="H179" i="82"/>
  <c r="B179" i="82"/>
  <c r="G180" i="82"/>
  <c r="C180" i="82"/>
  <c r="H180" i="82"/>
  <c r="B180" i="82"/>
  <c r="G181" i="82"/>
  <c r="C181" i="82"/>
  <c r="H181" i="82"/>
  <c r="B181" i="82"/>
  <c r="G182" i="82"/>
  <c r="C182" i="82"/>
  <c r="H182" i="82"/>
  <c r="B182" i="82"/>
  <c r="G183" i="82"/>
  <c r="C183" i="82"/>
  <c r="H183" i="82"/>
  <c r="B183" i="82"/>
  <c r="G184" i="82"/>
  <c r="C184" i="82"/>
  <c r="I184" i="82"/>
  <c r="D184" i="82"/>
  <c r="H184" i="82"/>
  <c r="B184" i="82"/>
  <c r="G185" i="82"/>
  <c r="C185" i="82"/>
  <c r="I185" i="82"/>
  <c r="D185" i="82"/>
  <c r="H185" i="82"/>
  <c r="B185" i="82"/>
  <c r="G186" i="82"/>
  <c r="C186" i="82"/>
  <c r="H186" i="82"/>
  <c r="B186" i="82"/>
  <c r="G187" i="82"/>
  <c r="C187" i="82"/>
  <c r="H187" i="82"/>
  <c r="B187" i="82"/>
  <c r="G188" i="82"/>
  <c r="C188" i="82"/>
  <c r="H188" i="82"/>
  <c r="B188" i="82"/>
  <c r="G189" i="82"/>
  <c r="C189" i="82"/>
  <c r="I189" i="82"/>
  <c r="D189" i="82"/>
  <c r="H189" i="82"/>
  <c r="B189" i="82"/>
  <c r="G190" i="82"/>
  <c r="C190" i="82"/>
  <c r="I190" i="82"/>
  <c r="D190" i="82"/>
  <c r="H190" i="82"/>
  <c r="B190" i="82"/>
  <c r="G191" i="82"/>
  <c r="C191" i="82"/>
  <c r="I191" i="82"/>
  <c r="D191" i="82"/>
  <c r="H191" i="82"/>
  <c r="B191" i="82"/>
  <c r="G192" i="82"/>
  <c r="C192" i="82"/>
  <c r="I192" i="82"/>
  <c r="D192" i="82"/>
  <c r="H192" i="82"/>
  <c r="B192" i="82"/>
  <c r="G193" i="82"/>
  <c r="C193" i="82"/>
  <c r="H193" i="82"/>
  <c r="B193" i="82"/>
  <c r="G194" i="82"/>
  <c r="C194" i="82"/>
  <c r="H194" i="82"/>
  <c r="B194" i="82"/>
  <c r="G195" i="82"/>
  <c r="C195" i="82"/>
  <c r="H195" i="82"/>
  <c r="B195" i="82"/>
  <c r="G196" i="82"/>
  <c r="C196" i="82"/>
  <c r="I196" i="82"/>
  <c r="D196" i="82"/>
  <c r="H196" i="82"/>
  <c r="B196" i="82"/>
  <c r="G197" i="82"/>
  <c r="C197" i="82"/>
  <c r="I197" i="82"/>
  <c r="D197" i="82"/>
  <c r="H197" i="82"/>
  <c r="B197" i="82"/>
  <c r="G198" i="82"/>
  <c r="C198" i="82"/>
  <c r="H198" i="82"/>
  <c r="B198" i="82"/>
  <c r="G199" i="82"/>
  <c r="C199" i="82"/>
  <c r="H199" i="82"/>
  <c r="B199" i="82"/>
  <c r="G200" i="82"/>
  <c r="C200" i="82"/>
  <c r="H200" i="82"/>
  <c r="B200" i="82"/>
  <c r="G201" i="82"/>
  <c r="C201" i="82"/>
  <c r="I201" i="82"/>
  <c r="D201" i="82"/>
  <c r="H201" i="82"/>
  <c r="B201" i="82"/>
  <c r="G202" i="82"/>
  <c r="C202" i="82"/>
  <c r="I202" i="82"/>
  <c r="D202" i="82"/>
  <c r="H202" i="82"/>
  <c r="B202" i="82"/>
  <c r="G203" i="82"/>
  <c r="C203" i="82"/>
  <c r="H203" i="82"/>
  <c r="B203" i="82"/>
  <c r="G204" i="82"/>
  <c r="C204" i="82"/>
  <c r="H204" i="82"/>
  <c r="B204" i="82"/>
  <c r="G205" i="82"/>
  <c r="C205" i="82"/>
  <c r="H205" i="82"/>
  <c r="B205" i="82"/>
  <c r="G206" i="82"/>
  <c r="C206" i="82"/>
  <c r="I206" i="82"/>
  <c r="D206" i="82"/>
  <c r="H206" i="82"/>
  <c r="B206" i="82"/>
  <c r="G207" i="82"/>
  <c r="C207" i="82"/>
  <c r="I207" i="82"/>
  <c r="D207" i="82"/>
  <c r="H207" i="82"/>
  <c r="B207" i="82"/>
  <c r="G208" i="82"/>
  <c r="C208" i="82"/>
  <c r="I208" i="82"/>
  <c r="D208" i="82"/>
  <c r="H208" i="82"/>
  <c r="B208" i="82"/>
  <c r="G209" i="82"/>
  <c r="C209" i="82"/>
  <c r="I209" i="82"/>
  <c r="D209" i="82"/>
  <c r="H209" i="82"/>
  <c r="B209" i="82"/>
  <c r="G210" i="82"/>
  <c r="C210" i="82"/>
  <c r="H210" i="82"/>
  <c r="B210" i="82"/>
  <c r="G211" i="82"/>
  <c r="C211" i="82"/>
  <c r="H211" i="82"/>
  <c r="B211" i="82"/>
  <c r="G212" i="82"/>
  <c r="C212" i="82"/>
  <c r="H212" i="82"/>
  <c r="B212" i="82"/>
  <c r="G213" i="82"/>
  <c r="C213" i="82"/>
  <c r="I213" i="82"/>
  <c r="D213" i="82"/>
  <c r="H213" i="82"/>
  <c r="B213" i="82"/>
  <c r="G214" i="82"/>
  <c r="C214" i="82"/>
  <c r="I214" i="82"/>
  <c r="D214" i="82"/>
  <c r="H214" i="82"/>
  <c r="B214" i="82"/>
  <c r="G215" i="82"/>
  <c r="C215" i="82"/>
  <c r="I215" i="82"/>
  <c r="D215" i="82"/>
  <c r="H215" i="82"/>
  <c r="B215" i="82"/>
  <c r="G216" i="82"/>
  <c r="C216" i="82"/>
  <c r="I216" i="82"/>
  <c r="D216" i="82"/>
  <c r="H216" i="82"/>
  <c r="B216" i="82"/>
  <c r="G217" i="82"/>
  <c r="C217" i="82"/>
  <c r="H217" i="82"/>
  <c r="B217" i="82"/>
  <c r="G218" i="82"/>
  <c r="C218" i="82"/>
  <c r="H218" i="82"/>
  <c r="B218" i="82"/>
  <c r="G219" i="82"/>
  <c r="C219" i="82"/>
  <c r="H219" i="82"/>
  <c r="B219" i="82"/>
  <c r="G220" i="82"/>
  <c r="C220" i="82"/>
  <c r="H220" i="82"/>
  <c r="B220" i="82"/>
  <c r="G221" i="82"/>
  <c r="C221" i="82"/>
  <c r="H221" i="82"/>
  <c r="B221" i="82"/>
  <c r="G222" i="82"/>
  <c r="C222" i="82"/>
  <c r="H222" i="82"/>
  <c r="B222" i="82"/>
  <c r="G223" i="82"/>
  <c r="C223" i="82"/>
  <c r="I223" i="82"/>
  <c r="D223" i="82"/>
  <c r="H223" i="82"/>
  <c r="B223" i="82"/>
  <c r="G224" i="82"/>
  <c r="C224" i="82"/>
  <c r="I224" i="82"/>
  <c r="D224" i="82"/>
  <c r="H224" i="82"/>
  <c r="B224" i="82"/>
  <c r="G225" i="82"/>
  <c r="C225" i="82"/>
  <c r="H225" i="82"/>
  <c r="B225" i="82"/>
  <c r="G226" i="82"/>
  <c r="C226" i="82"/>
  <c r="H226" i="82"/>
  <c r="B226" i="82"/>
  <c r="G227" i="82"/>
  <c r="C227" i="82"/>
  <c r="H227" i="82"/>
  <c r="B227" i="82"/>
  <c r="G228" i="82"/>
  <c r="C228" i="82"/>
  <c r="H228" i="82"/>
  <c r="B228" i="82"/>
  <c r="G229" i="82"/>
  <c r="C229" i="82"/>
  <c r="H229" i="82"/>
  <c r="B229" i="82"/>
  <c r="G230" i="82"/>
  <c r="C230" i="82"/>
  <c r="H230" i="82"/>
  <c r="B230" i="82"/>
  <c r="G231" i="82"/>
  <c r="C231" i="82"/>
  <c r="I231" i="82"/>
  <c r="D231" i="82"/>
  <c r="H231" i="82"/>
  <c r="B231" i="82"/>
  <c r="G232" i="82"/>
  <c r="C232" i="82"/>
  <c r="I232" i="82"/>
  <c r="D232" i="82"/>
  <c r="H232" i="82"/>
  <c r="B232" i="82"/>
  <c r="G233" i="82"/>
  <c r="C233" i="82"/>
  <c r="H233" i="82"/>
  <c r="B233" i="82"/>
  <c r="G234" i="82"/>
  <c r="C234" i="82"/>
  <c r="H234" i="82"/>
  <c r="B234" i="82"/>
  <c r="G235" i="82"/>
  <c r="C235" i="82"/>
  <c r="H235" i="82"/>
  <c r="B235" i="82"/>
  <c r="G236" i="82"/>
  <c r="C236" i="82"/>
  <c r="I236" i="82"/>
  <c r="D236" i="82"/>
  <c r="H236" i="82"/>
  <c r="B236" i="82"/>
  <c r="G237" i="82"/>
  <c r="C237" i="82"/>
  <c r="I237" i="82"/>
  <c r="D237" i="82"/>
  <c r="H237" i="82"/>
  <c r="B237" i="82"/>
  <c r="G238" i="82"/>
  <c r="C238" i="82"/>
  <c r="I238" i="82"/>
  <c r="D238" i="82"/>
  <c r="H238" i="82"/>
  <c r="B238" i="82"/>
  <c r="G239" i="82"/>
  <c r="C239" i="82"/>
  <c r="I239" i="82"/>
  <c r="D239" i="82"/>
  <c r="H239" i="82"/>
  <c r="B239" i="82"/>
  <c r="G240" i="82"/>
  <c r="C240" i="82"/>
  <c r="H240" i="82"/>
  <c r="B240" i="82"/>
  <c r="G241" i="82"/>
  <c r="C241" i="82"/>
  <c r="H241" i="82"/>
  <c r="B241" i="82"/>
  <c r="G242" i="82"/>
  <c r="C242" i="82"/>
  <c r="H242" i="82"/>
  <c r="B242" i="82"/>
  <c r="G243" i="82"/>
  <c r="C243" i="82"/>
  <c r="H243" i="82"/>
  <c r="B243" i="82"/>
  <c r="G244" i="82"/>
  <c r="C244" i="82"/>
  <c r="H244" i="82"/>
  <c r="B244" i="82"/>
  <c r="G245" i="82"/>
  <c r="C245" i="82"/>
  <c r="H245" i="82"/>
  <c r="B245" i="82"/>
  <c r="G246" i="82"/>
  <c r="C246" i="82"/>
  <c r="I246" i="82"/>
  <c r="D246" i="82"/>
  <c r="H246" i="82"/>
  <c r="B246" i="82"/>
  <c r="G247" i="82"/>
  <c r="C247" i="82"/>
  <c r="I247" i="82"/>
  <c r="D247" i="82"/>
  <c r="H247" i="82"/>
  <c r="B247" i="82"/>
  <c r="G248" i="82"/>
  <c r="C248" i="82"/>
  <c r="I248" i="82"/>
  <c r="D248" i="82"/>
  <c r="H248" i="82"/>
  <c r="B248" i="82"/>
  <c r="G249" i="82"/>
  <c r="C249" i="82"/>
  <c r="I249" i="82"/>
  <c r="D249" i="82"/>
  <c r="H249" i="82"/>
  <c r="B249" i="82"/>
  <c r="G250" i="82"/>
  <c r="C250" i="82"/>
  <c r="H250" i="82"/>
  <c r="B250" i="82"/>
  <c r="G251" i="82"/>
  <c r="C251" i="82"/>
  <c r="H251" i="82"/>
  <c r="B251" i="82"/>
  <c r="G252" i="82"/>
  <c r="C252" i="82"/>
  <c r="H252" i="82"/>
  <c r="B252" i="82"/>
  <c r="G253" i="82"/>
  <c r="C253" i="82"/>
  <c r="H253" i="82"/>
  <c r="B253" i="82"/>
  <c r="G254" i="82"/>
  <c r="C254" i="82"/>
  <c r="H254" i="82"/>
  <c r="B254" i="82"/>
  <c r="G255" i="82"/>
  <c r="C255" i="82"/>
  <c r="H255" i="82"/>
  <c r="B255" i="82"/>
  <c r="G256" i="82"/>
  <c r="C256" i="82"/>
  <c r="I256" i="82"/>
  <c r="D256" i="82"/>
  <c r="H256" i="82"/>
  <c r="B256" i="82"/>
  <c r="G257" i="82"/>
  <c r="C257" i="82"/>
  <c r="I257" i="82"/>
  <c r="D257" i="82"/>
  <c r="H257" i="82"/>
  <c r="B257" i="82"/>
  <c r="G258" i="82"/>
  <c r="C258" i="82"/>
  <c r="I258" i="82"/>
  <c r="D258" i="82"/>
  <c r="H258" i="82"/>
  <c r="B258" i="82"/>
  <c r="G259" i="82"/>
  <c r="C259" i="82"/>
  <c r="I259" i="82"/>
  <c r="D259" i="82"/>
  <c r="H259" i="82"/>
  <c r="B259" i="82"/>
  <c r="A2" i="106"/>
  <c r="A250" i="82"/>
  <c r="I250" i="82"/>
  <c r="D250" i="82"/>
  <c r="F250" i="82"/>
  <c r="J250" i="82"/>
  <c r="K250" i="82"/>
  <c r="L250" i="82"/>
  <c r="I251" i="82"/>
  <c r="D251" i="82"/>
  <c r="I252" i="82"/>
  <c r="D252" i="82"/>
  <c r="I253" i="82"/>
  <c r="D253" i="82"/>
  <c r="I254" i="82"/>
  <c r="D254" i="82"/>
  <c r="I255" i="82"/>
  <c r="D255" i="82"/>
  <c r="G2" i="82"/>
  <c r="C2" i="82"/>
  <c r="H2" i="82"/>
  <c r="B2" i="82"/>
  <c r="E26" i="106"/>
  <c r="D26" i="106"/>
  <c r="G26" i="106"/>
  <c r="H26" i="106"/>
  <c r="E18" i="106"/>
  <c r="G18" i="106"/>
  <c r="H18" i="106"/>
  <c r="E17" i="106"/>
  <c r="G17" i="106"/>
  <c r="H17" i="106"/>
  <c r="M250" i="82"/>
  <c r="M2" i="82"/>
  <c r="M3" i="82"/>
  <c r="M4" i="82"/>
  <c r="M5" i="82"/>
  <c r="M6" i="82"/>
  <c r="M7" i="82"/>
  <c r="M8" i="82"/>
  <c r="M9" i="82"/>
  <c r="M10" i="82"/>
  <c r="M11" i="82"/>
  <c r="M12" i="82"/>
  <c r="M13" i="82"/>
  <c r="M14" i="82"/>
  <c r="M15" i="82"/>
  <c r="M16" i="82"/>
  <c r="M17" i="82"/>
  <c r="M18" i="82"/>
  <c r="M19" i="82"/>
  <c r="M20" i="82"/>
  <c r="M21" i="82"/>
  <c r="M22" i="82"/>
  <c r="M23" i="82"/>
  <c r="M24" i="82"/>
  <c r="M25" i="82"/>
  <c r="M26" i="82"/>
  <c r="M27" i="82"/>
  <c r="M28" i="82"/>
  <c r="M29" i="82"/>
  <c r="M30" i="82"/>
  <c r="M31" i="82"/>
  <c r="M32" i="82"/>
  <c r="M33" i="82"/>
  <c r="M34" i="82"/>
  <c r="M35" i="82"/>
  <c r="M36" i="82"/>
  <c r="M37" i="82"/>
  <c r="M38" i="82"/>
  <c r="M39" i="82"/>
  <c r="M40" i="82"/>
  <c r="M41" i="82"/>
  <c r="M42" i="82"/>
  <c r="M43" i="82"/>
  <c r="E23" i="106"/>
  <c r="B23" i="106"/>
  <c r="D23" i="106"/>
  <c r="G23" i="106"/>
  <c r="H23" i="106"/>
  <c r="M44" i="82"/>
  <c r="M45" i="82"/>
  <c r="M46" i="82"/>
  <c r="M47" i="82"/>
  <c r="M48" i="82"/>
  <c r="M49" i="82"/>
  <c r="M50" i="82"/>
  <c r="M51" i="82"/>
  <c r="M52" i="82"/>
  <c r="M53" i="82"/>
  <c r="M54" i="82"/>
  <c r="M55" i="82"/>
  <c r="M56" i="82"/>
  <c r="M57" i="82"/>
  <c r="M58" i="82"/>
  <c r="M59" i="82"/>
  <c r="M60" i="82"/>
  <c r="M61" i="82"/>
  <c r="M62" i="82"/>
  <c r="M63" i="82"/>
  <c r="M64" i="82"/>
  <c r="M65" i="82"/>
  <c r="M66" i="82"/>
  <c r="M67" i="82"/>
  <c r="M68" i="82"/>
  <c r="M69" i="82"/>
  <c r="M70" i="82"/>
  <c r="M71" i="82"/>
  <c r="M72" i="82"/>
  <c r="M73" i="82"/>
  <c r="M74" i="82"/>
  <c r="M75" i="82"/>
  <c r="M76" i="82"/>
  <c r="M77" i="82"/>
  <c r="M78" i="82"/>
  <c r="M79" i="82"/>
  <c r="M80" i="82"/>
  <c r="M81" i="82"/>
  <c r="M82" i="82"/>
  <c r="M83" i="82"/>
  <c r="M84" i="82"/>
  <c r="M85" i="82"/>
  <c r="M86" i="82"/>
  <c r="M87" i="82"/>
  <c r="M88" i="82"/>
  <c r="M89" i="82"/>
  <c r="M90" i="82"/>
  <c r="M91" i="82"/>
  <c r="M92" i="82"/>
  <c r="M93" i="82"/>
  <c r="M94" i="82"/>
  <c r="M95" i="82"/>
  <c r="M96" i="82"/>
  <c r="M97" i="82"/>
  <c r="M98" i="82"/>
  <c r="M99" i="82"/>
  <c r="M100" i="82"/>
  <c r="M101" i="82"/>
  <c r="M102" i="82"/>
  <c r="M103" i="82"/>
  <c r="M104" i="82"/>
  <c r="M105" i="82"/>
  <c r="M106" i="82"/>
  <c r="M107" i="82"/>
  <c r="M108" i="82"/>
  <c r="M109" i="82"/>
  <c r="M110" i="82"/>
  <c r="M111" i="82"/>
  <c r="M112" i="82"/>
  <c r="M113" i="82"/>
  <c r="M114" i="82"/>
  <c r="M115" i="82"/>
  <c r="M116" i="82"/>
  <c r="M117" i="82"/>
  <c r="M118" i="82"/>
  <c r="M119" i="82"/>
  <c r="M120" i="82"/>
  <c r="M121" i="82"/>
  <c r="M122" i="82"/>
  <c r="M123" i="82"/>
  <c r="M124" i="82"/>
  <c r="M125" i="82"/>
  <c r="M126" i="82"/>
  <c r="M127" i="82"/>
  <c r="M128" i="82"/>
  <c r="M129" i="82"/>
  <c r="M130" i="82"/>
  <c r="M131" i="82"/>
  <c r="M132" i="82"/>
  <c r="M133" i="82"/>
  <c r="M134" i="82"/>
  <c r="M135" i="82"/>
  <c r="M136" i="82"/>
  <c r="M137" i="82"/>
  <c r="E19" i="106"/>
  <c r="G19" i="106"/>
  <c r="H19" i="106"/>
  <c r="M138" i="82"/>
  <c r="E24" i="106"/>
  <c r="G24" i="106"/>
  <c r="H24" i="106"/>
  <c r="M139" i="82"/>
  <c r="E20" i="106"/>
  <c r="G20" i="106"/>
  <c r="H20" i="106"/>
  <c r="M140" i="82"/>
  <c r="E25" i="106"/>
  <c r="G25" i="106"/>
  <c r="H25" i="106"/>
  <c r="M141" i="82"/>
  <c r="M142" i="82"/>
  <c r="M143" i="82"/>
  <c r="M144" i="82"/>
  <c r="M145" i="82"/>
  <c r="M146" i="82"/>
  <c r="M147" i="82"/>
  <c r="M148" i="82"/>
  <c r="M149" i="82"/>
  <c r="M150" i="82"/>
  <c r="M151" i="82"/>
  <c r="M152" i="82"/>
  <c r="M153" i="82"/>
  <c r="M154" i="82"/>
  <c r="M155" i="82"/>
  <c r="M156" i="82"/>
  <c r="M157" i="82"/>
  <c r="M158" i="82"/>
  <c r="M159" i="82"/>
  <c r="M160" i="82"/>
  <c r="M161" i="82"/>
  <c r="M162" i="82"/>
  <c r="M163" i="82"/>
  <c r="M164" i="82"/>
  <c r="M165" i="82"/>
  <c r="M166" i="82"/>
  <c r="M167" i="82"/>
  <c r="M168" i="82"/>
  <c r="M169" i="82"/>
  <c r="M170" i="82"/>
  <c r="M171" i="82"/>
  <c r="M172" i="82"/>
  <c r="M173" i="82"/>
  <c r="M174" i="82"/>
  <c r="M175" i="82"/>
  <c r="M176" i="82"/>
  <c r="M177" i="82"/>
  <c r="M178" i="82"/>
  <c r="M179" i="82"/>
  <c r="M180" i="82"/>
  <c r="M181" i="82"/>
  <c r="M182" i="82"/>
  <c r="M183" i="82"/>
  <c r="M184" i="82"/>
  <c r="M185" i="82"/>
  <c r="M186" i="82"/>
  <c r="M187" i="82"/>
  <c r="M188" i="82"/>
  <c r="M189" i="82"/>
  <c r="M190" i="82"/>
  <c r="M191" i="82"/>
  <c r="M192" i="82"/>
  <c r="M193" i="82"/>
  <c r="M194" i="82"/>
  <c r="M195" i="82"/>
  <c r="M196" i="82"/>
  <c r="M197" i="82"/>
  <c r="M198" i="82"/>
  <c r="M199" i="82"/>
  <c r="M200" i="82"/>
  <c r="M201" i="82"/>
  <c r="M202" i="82"/>
  <c r="M203" i="82"/>
  <c r="M204" i="82"/>
  <c r="M205" i="82"/>
  <c r="M206" i="82"/>
  <c r="M207" i="82"/>
  <c r="M208" i="82"/>
  <c r="M209" i="82"/>
  <c r="M210" i="82"/>
  <c r="M211" i="82"/>
  <c r="M212" i="82"/>
  <c r="M213" i="82"/>
  <c r="M214" i="82"/>
  <c r="M215" i="82"/>
  <c r="M216" i="82"/>
  <c r="M217" i="82"/>
  <c r="M218" i="82"/>
  <c r="M219" i="82"/>
  <c r="M220" i="82"/>
  <c r="M221" i="82"/>
  <c r="M222" i="82"/>
  <c r="M223" i="82"/>
  <c r="M224" i="82"/>
  <c r="M225" i="82"/>
  <c r="M226" i="82"/>
  <c r="M227" i="82"/>
  <c r="M228" i="82"/>
  <c r="M229" i="82"/>
  <c r="M230" i="82"/>
  <c r="M231" i="82"/>
  <c r="M232" i="82"/>
  <c r="M233" i="82"/>
  <c r="M234" i="82"/>
  <c r="M235" i="82"/>
  <c r="M236" i="82"/>
  <c r="M237" i="82"/>
  <c r="M238" i="82"/>
  <c r="M239" i="82"/>
  <c r="M240" i="82"/>
  <c r="M241" i="82"/>
  <c r="M242" i="82"/>
  <c r="M243" i="82"/>
  <c r="M244" i="82"/>
  <c r="M245" i="82"/>
  <c r="M246" i="82"/>
  <c r="E27" i="106"/>
  <c r="D27" i="106"/>
  <c r="G27" i="106"/>
  <c r="H27" i="106"/>
  <c r="M247" i="82"/>
  <c r="M248" i="82"/>
  <c r="M249" i="82"/>
  <c r="M251" i="82"/>
  <c r="M252" i="82"/>
  <c r="M253" i="82"/>
  <c r="M254" i="82"/>
  <c r="M255" i="82"/>
  <c r="M256" i="82"/>
  <c r="M257" i="82"/>
  <c r="M258" i="82"/>
  <c r="M259" i="82"/>
  <c r="N250" i="82"/>
  <c r="O250" i="82"/>
  <c r="P250" i="82"/>
  <c r="Q250" i="82"/>
  <c r="R250" i="82"/>
  <c r="S250" i="82"/>
  <c r="T250" i="82"/>
  <c r="A251" i="82"/>
  <c r="F251" i="82"/>
  <c r="J251" i="82"/>
  <c r="K251" i="82"/>
  <c r="L251" i="82"/>
  <c r="N251" i="82"/>
  <c r="O251" i="82"/>
  <c r="P251" i="82"/>
  <c r="Q251" i="82"/>
  <c r="R251" i="82"/>
  <c r="S251" i="82"/>
  <c r="T251" i="82"/>
  <c r="A252" i="82"/>
  <c r="F252" i="82"/>
  <c r="J252" i="82"/>
  <c r="K252" i="82"/>
  <c r="L252" i="82"/>
  <c r="N252" i="82"/>
  <c r="O252" i="82"/>
  <c r="P252" i="82"/>
  <c r="Q252" i="82"/>
  <c r="R252" i="82"/>
  <c r="S252" i="82"/>
  <c r="T252" i="82"/>
  <c r="A253" i="82"/>
  <c r="F253" i="82"/>
  <c r="J253" i="82"/>
  <c r="K253" i="82"/>
  <c r="L253" i="82"/>
  <c r="N253" i="82"/>
  <c r="O253" i="82"/>
  <c r="P253" i="82"/>
  <c r="Q253" i="82"/>
  <c r="R253" i="82"/>
  <c r="S253" i="82"/>
  <c r="T253" i="82"/>
  <c r="A254" i="82"/>
  <c r="F254" i="82"/>
  <c r="J254" i="82"/>
  <c r="K254" i="82"/>
  <c r="L254" i="82"/>
  <c r="N254" i="82"/>
  <c r="O254" i="82"/>
  <c r="P254" i="82"/>
  <c r="Q254" i="82"/>
  <c r="R254" i="82"/>
  <c r="S254" i="82"/>
  <c r="T254" i="82"/>
  <c r="A255" i="82"/>
  <c r="F255" i="82"/>
  <c r="J255" i="82"/>
  <c r="K255" i="82"/>
  <c r="L255" i="82"/>
  <c r="N255" i="82"/>
  <c r="O255" i="82"/>
  <c r="P255" i="82"/>
  <c r="Q255" i="82"/>
  <c r="R255" i="82"/>
  <c r="S255" i="82"/>
  <c r="T255" i="82"/>
  <c r="A256" i="82"/>
  <c r="F256" i="82"/>
  <c r="J256" i="82"/>
  <c r="K256" i="82"/>
  <c r="L256" i="82"/>
  <c r="N256" i="82"/>
  <c r="O256" i="82"/>
  <c r="P256" i="82"/>
  <c r="Q256" i="82"/>
  <c r="R256" i="82"/>
  <c r="S256" i="82"/>
  <c r="T256" i="82"/>
  <c r="A257" i="82"/>
  <c r="F257" i="82"/>
  <c r="J257" i="82"/>
  <c r="K257" i="82"/>
  <c r="L257" i="82"/>
  <c r="N257" i="82"/>
  <c r="O257" i="82"/>
  <c r="P257" i="82"/>
  <c r="Q257" i="82"/>
  <c r="R257" i="82"/>
  <c r="S257" i="82"/>
  <c r="T257" i="82"/>
  <c r="A258" i="82"/>
  <c r="F258" i="82"/>
  <c r="J258" i="82"/>
  <c r="K258" i="82"/>
  <c r="L258" i="82"/>
  <c r="N258" i="82"/>
  <c r="O258" i="82"/>
  <c r="P258" i="82"/>
  <c r="Q258" i="82"/>
  <c r="R258" i="82"/>
  <c r="S258" i="82"/>
  <c r="T258" i="82"/>
  <c r="A259" i="82"/>
  <c r="F259" i="82"/>
  <c r="J259" i="82"/>
  <c r="K259" i="82"/>
  <c r="L259" i="82"/>
  <c r="N259" i="82"/>
  <c r="O259" i="82"/>
  <c r="P259" i="82"/>
  <c r="Q259" i="82"/>
  <c r="R259" i="82"/>
  <c r="S259" i="82"/>
  <c r="T259" i="82"/>
  <c r="B20" i="112"/>
  <c r="B19" i="112"/>
  <c r="B20" i="110"/>
  <c r="B19" i="110"/>
  <c r="B20" i="106"/>
  <c r="B19" i="106"/>
  <c r="C3" i="103"/>
  <c r="C4" i="103"/>
  <c r="C2" i="103"/>
  <c r="T249" i="113"/>
  <c r="S249" i="113"/>
  <c r="R249" i="113"/>
  <c r="Q249" i="113"/>
  <c r="P249" i="113"/>
  <c r="O249" i="113"/>
  <c r="C26" i="112"/>
  <c r="B5" i="112"/>
  <c r="B17" i="112"/>
  <c r="C17" i="112"/>
  <c r="D17" i="112"/>
  <c r="B18" i="112"/>
  <c r="C18" i="112"/>
  <c r="D18" i="112"/>
  <c r="C23" i="112"/>
  <c r="C19" i="112"/>
  <c r="D19" i="112"/>
  <c r="C24" i="112"/>
  <c r="D24" i="112"/>
  <c r="C20" i="112"/>
  <c r="D20" i="112"/>
  <c r="C25" i="112"/>
  <c r="D25" i="112"/>
  <c r="C27" i="112"/>
  <c r="N249" i="113"/>
  <c r="L249" i="113"/>
  <c r="K249" i="113"/>
  <c r="J249" i="113"/>
  <c r="F249" i="113"/>
  <c r="A249" i="113"/>
  <c r="T248" i="113"/>
  <c r="S248" i="113"/>
  <c r="R248" i="113"/>
  <c r="Q248" i="113"/>
  <c r="P248" i="113"/>
  <c r="O248" i="113"/>
  <c r="N248" i="113"/>
  <c r="L248" i="113"/>
  <c r="K248" i="113"/>
  <c r="J248" i="113"/>
  <c r="F248" i="113"/>
  <c r="A248" i="113"/>
  <c r="T247" i="113"/>
  <c r="S247" i="113"/>
  <c r="R247" i="113"/>
  <c r="Q247" i="113"/>
  <c r="P247" i="113"/>
  <c r="O247" i="113"/>
  <c r="N247" i="113"/>
  <c r="L247" i="113"/>
  <c r="K247" i="113"/>
  <c r="J247" i="113"/>
  <c r="F247" i="113"/>
  <c r="A247" i="113"/>
  <c r="T246" i="113"/>
  <c r="S246" i="113"/>
  <c r="R246" i="113"/>
  <c r="Q246" i="113"/>
  <c r="P246" i="113"/>
  <c r="O246" i="113"/>
  <c r="N246" i="113"/>
  <c r="L246" i="113"/>
  <c r="K246" i="113"/>
  <c r="J246" i="113"/>
  <c r="F246" i="113"/>
  <c r="A246" i="113"/>
  <c r="T245" i="113"/>
  <c r="S245" i="113"/>
  <c r="R245" i="113"/>
  <c r="Q245" i="113"/>
  <c r="P245" i="113"/>
  <c r="O245" i="113"/>
  <c r="N245" i="113"/>
  <c r="L245" i="113"/>
  <c r="K245" i="113"/>
  <c r="J245" i="113"/>
  <c r="I245" i="113"/>
  <c r="F245" i="113"/>
  <c r="D245" i="113"/>
  <c r="A245" i="113"/>
  <c r="T244" i="113"/>
  <c r="S244" i="113"/>
  <c r="R244" i="113"/>
  <c r="Q244" i="113"/>
  <c r="P244" i="113"/>
  <c r="O244" i="113"/>
  <c r="N244" i="113"/>
  <c r="L244" i="113"/>
  <c r="K244" i="113"/>
  <c r="J244" i="113"/>
  <c r="I244" i="113"/>
  <c r="F244" i="113"/>
  <c r="D244" i="113"/>
  <c r="A244" i="113"/>
  <c r="T243" i="113"/>
  <c r="S243" i="113"/>
  <c r="R243" i="113"/>
  <c r="Q243" i="113"/>
  <c r="P243" i="113"/>
  <c r="O243" i="113"/>
  <c r="N243" i="113"/>
  <c r="L243" i="113"/>
  <c r="K243" i="113"/>
  <c r="J243" i="113"/>
  <c r="I243" i="113"/>
  <c r="F243" i="113"/>
  <c r="D243" i="113"/>
  <c r="A243" i="113"/>
  <c r="T242" i="113"/>
  <c r="S242" i="113"/>
  <c r="R242" i="113"/>
  <c r="Q242" i="113"/>
  <c r="P242" i="113"/>
  <c r="O242" i="113"/>
  <c r="N242" i="113"/>
  <c r="L242" i="113"/>
  <c r="K242" i="113"/>
  <c r="J242" i="113"/>
  <c r="I242" i="113"/>
  <c r="F242" i="113"/>
  <c r="D242" i="113"/>
  <c r="A242" i="113"/>
  <c r="T241" i="113"/>
  <c r="S241" i="113"/>
  <c r="R241" i="113"/>
  <c r="Q241" i="113"/>
  <c r="P241" i="113"/>
  <c r="O241" i="113"/>
  <c r="N241" i="113"/>
  <c r="L241" i="113"/>
  <c r="K241" i="113"/>
  <c r="J241" i="113"/>
  <c r="I241" i="113"/>
  <c r="F241" i="113"/>
  <c r="D241" i="113"/>
  <c r="A241" i="113"/>
  <c r="T240" i="113"/>
  <c r="S240" i="113"/>
  <c r="R240" i="113"/>
  <c r="Q240" i="113"/>
  <c r="P240" i="113"/>
  <c r="O240" i="113"/>
  <c r="N240" i="113"/>
  <c r="L240" i="113"/>
  <c r="K240" i="113"/>
  <c r="J240" i="113"/>
  <c r="I240" i="113"/>
  <c r="F240" i="113"/>
  <c r="D240" i="113"/>
  <c r="A240" i="113"/>
  <c r="T239" i="113"/>
  <c r="S239" i="113"/>
  <c r="R239" i="113"/>
  <c r="Q239" i="113"/>
  <c r="P239" i="113"/>
  <c r="O239" i="113"/>
  <c r="N239" i="113"/>
  <c r="L239" i="113"/>
  <c r="K239" i="113"/>
  <c r="J239" i="113"/>
  <c r="F239" i="113"/>
  <c r="A239" i="113"/>
  <c r="T238" i="113"/>
  <c r="S238" i="113"/>
  <c r="R238" i="113"/>
  <c r="Q238" i="113"/>
  <c r="P238" i="113"/>
  <c r="O238" i="113"/>
  <c r="N238" i="113"/>
  <c r="L238" i="113"/>
  <c r="K238" i="113"/>
  <c r="J238" i="113"/>
  <c r="F238" i="113"/>
  <c r="A238" i="113"/>
  <c r="T237" i="113"/>
  <c r="S237" i="113"/>
  <c r="R237" i="113"/>
  <c r="Q237" i="113"/>
  <c r="P237" i="113"/>
  <c r="O237" i="113"/>
  <c r="N237" i="113"/>
  <c r="L237" i="113"/>
  <c r="K237" i="113"/>
  <c r="J237" i="113"/>
  <c r="F237" i="113"/>
  <c r="A237" i="113"/>
  <c r="T236" i="113"/>
  <c r="S236" i="113"/>
  <c r="R236" i="113"/>
  <c r="Q236" i="113"/>
  <c r="P236" i="113"/>
  <c r="O236" i="113"/>
  <c r="N236" i="113"/>
  <c r="L236" i="113"/>
  <c r="K236" i="113"/>
  <c r="J236" i="113"/>
  <c r="F236" i="113"/>
  <c r="A236" i="113"/>
  <c r="T235" i="113"/>
  <c r="S235" i="113"/>
  <c r="R235" i="113"/>
  <c r="Q235" i="113"/>
  <c r="P235" i="113"/>
  <c r="O235" i="113"/>
  <c r="N235" i="113"/>
  <c r="L235" i="113"/>
  <c r="K235" i="113"/>
  <c r="J235" i="113"/>
  <c r="I235" i="113"/>
  <c r="F235" i="113"/>
  <c r="D235" i="113"/>
  <c r="A235" i="113"/>
  <c r="T234" i="113"/>
  <c r="S234" i="113"/>
  <c r="R234" i="113"/>
  <c r="Q234" i="113"/>
  <c r="P234" i="113"/>
  <c r="O234" i="113"/>
  <c r="N234" i="113"/>
  <c r="L234" i="113"/>
  <c r="K234" i="113"/>
  <c r="J234" i="113"/>
  <c r="I234" i="113"/>
  <c r="F234" i="113"/>
  <c r="D234" i="113"/>
  <c r="A234" i="113"/>
  <c r="T233" i="113"/>
  <c r="S233" i="113"/>
  <c r="R233" i="113"/>
  <c r="Q233" i="113"/>
  <c r="P233" i="113"/>
  <c r="O233" i="113"/>
  <c r="N233" i="113"/>
  <c r="L233" i="113"/>
  <c r="K233" i="113"/>
  <c r="J233" i="113"/>
  <c r="I233" i="113"/>
  <c r="F233" i="113"/>
  <c r="D233" i="113"/>
  <c r="A233" i="113"/>
  <c r="T232" i="113"/>
  <c r="S232" i="113"/>
  <c r="R232" i="113"/>
  <c r="Q232" i="113"/>
  <c r="P232" i="113"/>
  <c r="O232" i="113"/>
  <c r="N232" i="113"/>
  <c r="L232" i="113"/>
  <c r="K232" i="113"/>
  <c r="J232" i="113"/>
  <c r="F232" i="113"/>
  <c r="A232" i="113"/>
  <c r="T231" i="113"/>
  <c r="S231" i="113"/>
  <c r="R231" i="113"/>
  <c r="Q231" i="113"/>
  <c r="P231" i="113"/>
  <c r="O231" i="113"/>
  <c r="N231" i="113"/>
  <c r="L231" i="113"/>
  <c r="K231" i="113"/>
  <c r="J231" i="113"/>
  <c r="F231" i="113"/>
  <c r="A231" i="113"/>
  <c r="T230" i="113"/>
  <c r="S230" i="113"/>
  <c r="R230" i="113"/>
  <c r="Q230" i="113"/>
  <c r="P230" i="113"/>
  <c r="O230" i="113"/>
  <c r="N230" i="113"/>
  <c r="L230" i="113"/>
  <c r="K230" i="113"/>
  <c r="J230" i="113"/>
  <c r="I230" i="113"/>
  <c r="F230" i="113"/>
  <c r="D230" i="113"/>
  <c r="A230" i="113"/>
  <c r="T229" i="113"/>
  <c r="S229" i="113"/>
  <c r="R229" i="113"/>
  <c r="Q229" i="113"/>
  <c r="P229" i="113"/>
  <c r="O229" i="113"/>
  <c r="N229" i="113"/>
  <c r="L229" i="113"/>
  <c r="K229" i="113"/>
  <c r="J229" i="113"/>
  <c r="I229" i="113"/>
  <c r="F229" i="113"/>
  <c r="D229" i="113"/>
  <c r="A229" i="113"/>
  <c r="T228" i="113"/>
  <c r="S228" i="113"/>
  <c r="R228" i="113"/>
  <c r="Q228" i="113"/>
  <c r="P228" i="113"/>
  <c r="O228" i="113"/>
  <c r="N228" i="113"/>
  <c r="L228" i="113"/>
  <c r="K228" i="113"/>
  <c r="J228" i="113"/>
  <c r="I228" i="113"/>
  <c r="F228" i="113"/>
  <c r="D228" i="113"/>
  <c r="A228" i="113"/>
  <c r="T227" i="113"/>
  <c r="S227" i="113"/>
  <c r="R227" i="113"/>
  <c r="Q227" i="113"/>
  <c r="P227" i="113"/>
  <c r="O227" i="113"/>
  <c r="N227" i="113"/>
  <c r="L227" i="113"/>
  <c r="K227" i="113"/>
  <c r="J227" i="113"/>
  <c r="I227" i="113"/>
  <c r="F227" i="113"/>
  <c r="D227" i="113"/>
  <c r="A227" i="113"/>
  <c r="T226" i="113"/>
  <c r="S226" i="113"/>
  <c r="R226" i="113"/>
  <c r="Q226" i="113"/>
  <c r="P226" i="113"/>
  <c r="O226" i="113"/>
  <c r="N226" i="113"/>
  <c r="L226" i="113"/>
  <c r="K226" i="113"/>
  <c r="J226" i="113"/>
  <c r="I226" i="113"/>
  <c r="F226" i="113"/>
  <c r="D226" i="113"/>
  <c r="A226" i="113"/>
  <c r="T225" i="113"/>
  <c r="S225" i="113"/>
  <c r="R225" i="113"/>
  <c r="Q225" i="113"/>
  <c r="P225" i="113"/>
  <c r="O225" i="113"/>
  <c r="N225" i="113"/>
  <c r="L225" i="113"/>
  <c r="K225" i="113"/>
  <c r="J225" i="113"/>
  <c r="I225" i="113"/>
  <c r="F225" i="113"/>
  <c r="D225" i="113"/>
  <c r="A225" i="113"/>
  <c r="T224" i="113"/>
  <c r="S224" i="113"/>
  <c r="R224" i="113"/>
  <c r="Q224" i="113"/>
  <c r="P224" i="113"/>
  <c r="O224" i="113"/>
  <c r="N224" i="113"/>
  <c r="L224" i="113"/>
  <c r="K224" i="113"/>
  <c r="J224" i="113"/>
  <c r="F224" i="113"/>
  <c r="A224" i="113"/>
  <c r="T223" i="113"/>
  <c r="S223" i="113"/>
  <c r="R223" i="113"/>
  <c r="Q223" i="113"/>
  <c r="P223" i="113"/>
  <c r="O223" i="113"/>
  <c r="N223" i="113"/>
  <c r="L223" i="113"/>
  <c r="K223" i="113"/>
  <c r="J223" i="113"/>
  <c r="F223" i="113"/>
  <c r="A223" i="113"/>
  <c r="T222" i="113"/>
  <c r="S222" i="113"/>
  <c r="R222" i="113"/>
  <c r="Q222" i="113"/>
  <c r="P222" i="113"/>
  <c r="O222" i="113"/>
  <c r="N222" i="113"/>
  <c r="L222" i="113"/>
  <c r="K222" i="113"/>
  <c r="J222" i="113"/>
  <c r="I222" i="113"/>
  <c r="F222" i="113"/>
  <c r="D222" i="113"/>
  <c r="A222" i="113"/>
  <c r="T221" i="113"/>
  <c r="S221" i="113"/>
  <c r="R221" i="113"/>
  <c r="Q221" i="113"/>
  <c r="P221" i="113"/>
  <c r="O221" i="113"/>
  <c r="N221" i="113"/>
  <c r="L221" i="113"/>
  <c r="K221" i="113"/>
  <c r="J221" i="113"/>
  <c r="I221" i="113"/>
  <c r="F221" i="113"/>
  <c r="D221" i="113"/>
  <c r="A221" i="113"/>
  <c r="T220" i="113"/>
  <c r="S220" i="113"/>
  <c r="R220" i="113"/>
  <c r="Q220" i="113"/>
  <c r="P220" i="113"/>
  <c r="O220" i="113"/>
  <c r="N220" i="113"/>
  <c r="L220" i="113"/>
  <c r="K220" i="113"/>
  <c r="J220" i="113"/>
  <c r="I220" i="113"/>
  <c r="F220" i="113"/>
  <c r="D220" i="113"/>
  <c r="A220" i="113"/>
  <c r="T219" i="113"/>
  <c r="S219" i="113"/>
  <c r="R219" i="113"/>
  <c r="Q219" i="113"/>
  <c r="P219" i="113"/>
  <c r="O219" i="113"/>
  <c r="N219" i="113"/>
  <c r="L219" i="113"/>
  <c r="K219" i="113"/>
  <c r="J219" i="113"/>
  <c r="I219" i="113"/>
  <c r="F219" i="113"/>
  <c r="D219" i="113"/>
  <c r="A219" i="113"/>
  <c r="T218" i="113"/>
  <c r="S218" i="113"/>
  <c r="R218" i="113"/>
  <c r="Q218" i="113"/>
  <c r="P218" i="113"/>
  <c r="O218" i="113"/>
  <c r="N218" i="113"/>
  <c r="L218" i="113"/>
  <c r="K218" i="113"/>
  <c r="J218" i="113"/>
  <c r="I218" i="113"/>
  <c r="F218" i="113"/>
  <c r="D218" i="113"/>
  <c r="A218" i="113"/>
  <c r="T217" i="113"/>
  <c r="S217" i="113"/>
  <c r="R217" i="113"/>
  <c r="Q217" i="113"/>
  <c r="P217" i="113"/>
  <c r="O217" i="113"/>
  <c r="N217" i="113"/>
  <c r="L217" i="113"/>
  <c r="K217" i="113"/>
  <c r="J217" i="113"/>
  <c r="I217" i="113"/>
  <c r="F217" i="113"/>
  <c r="D217" i="113"/>
  <c r="A217" i="113"/>
  <c r="T216" i="113"/>
  <c r="S216" i="113"/>
  <c r="R216" i="113"/>
  <c r="Q216" i="113"/>
  <c r="P216" i="113"/>
  <c r="O216" i="113"/>
  <c r="N216" i="113"/>
  <c r="L216" i="113"/>
  <c r="K216" i="113"/>
  <c r="J216" i="113"/>
  <c r="F216" i="113"/>
  <c r="A216" i="113"/>
  <c r="T215" i="113"/>
  <c r="S215" i="113"/>
  <c r="R215" i="113"/>
  <c r="Q215" i="113"/>
  <c r="P215" i="113"/>
  <c r="O215" i="113"/>
  <c r="N215" i="113"/>
  <c r="L215" i="113"/>
  <c r="K215" i="113"/>
  <c r="J215" i="113"/>
  <c r="F215" i="113"/>
  <c r="A215" i="113"/>
  <c r="T214" i="113"/>
  <c r="S214" i="113"/>
  <c r="R214" i="113"/>
  <c r="Q214" i="113"/>
  <c r="P214" i="113"/>
  <c r="O214" i="113"/>
  <c r="N214" i="113"/>
  <c r="L214" i="113"/>
  <c r="K214" i="113"/>
  <c r="J214" i="113"/>
  <c r="F214" i="113"/>
  <c r="A214" i="113"/>
  <c r="T213" i="113"/>
  <c r="S213" i="113"/>
  <c r="R213" i="113"/>
  <c r="Q213" i="113"/>
  <c r="P213" i="113"/>
  <c r="O213" i="113"/>
  <c r="N213" i="113"/>
  <c r="L213" i="113"/>
  <c r="K213" i="113"/>
  <c r="J213" i="113"/>
  <c r="F213" i="113"/>
  <c r="A213" i="113"/>
  <c r="T212" i="113"/>
  <c r="S212" i="113"/>
  <c r="R212" i="113"/>
  <c r="Q212" i="113"/>
  <c r="P212" i="113"/>
  <c r="O212" i="113"/>
  <c r="N212" i="113"/>
  <c r="L212" i="113"/>
  <c r="K212" i="113"/>
  <c r="J212" i="113"/>
  <c r="I212" i="113"/>
  <c r="F212" i="113"/>
  <c r="D212" i="113"/>
  <c r="A212" i="113"/>
  <c r="T211" i="113"/>
  <c r="S211" i="113"/>
  <c r="R211" i="113"/>
  <c r="Q211" i="113"/>
  <c r="P211" i="113"/>
  <c r="O211" i="113"/>
  <c r="N211" i="113"/>
  <c r="L211" i="113"/>
  <c r="K211" i="113"/>
  <c r="J211" i="113"/>
  <c r="I211" i="113"/>
  <c r="F211" i="113"/>
  <c r="D211" i="113"/>
  <c r="A211" i="113"/>
  <c r="T210" i="113"/>
  <c r="S210" i="113"/>
  <c r="R210" i="113"/>
  <c r="Q210" i="113"/>
  <c r="P210" i="113"/>
  <c r="O210" i="113"/>
  <c r="N210" i="113"/>
  <c r="L210" i="113"/>
  <c r="K210" i="113"/>
  <c r="J210" i="113"/>
  <c r="I210" i="113"/>
  <c r="F210" i="113"/>
  <c r="D210" i="113"/>
  <c r="A210" i="113"/>
  <c r="T209" i="113"/>
  <c r="S209" i="113"/>
  <c r="R209" i="113"/>
  <c r="Q209" i="113"/>
  <c r="P209" i="113"/>
  <c r="O209" i="113"/>
  <c r="N209" i="113"/>
  <c r="L209" i="113"/>
  <c r="K209" i="113"/>
  <c r="J209" i="113"/>
  <c r="F209" i="113"/>
  <c r="A209" i="113"/>
  <c r="T208" i="113"/>
  <c r="S208" i="113"/>
  <c r="R208" i="113"/>
  <c r="Q208" i="113"/>
  <c r="P208" i="113"/>
  <c r="O208" i="113"/>
  <c r="N208" i="113"/>
  <c r="L208" i="113"/>
  <c r="K208" i="113"/>
  <c r="J208" i="113"/>
  <c r="F208" i="113"/>
  <c r="A208" i="113"/>
  <c r="T207" i="113"/>
  <c r="S207" i="113"/>
  <c r="R207" i="113"/>
  <c r="Q207" i="113"/>
  <c r="P207" i="113"/>
  <c r="O207" i="113"/>
  <c r="N207" i="113"/>
  <c r="L207" i="113"/>
  <c r="K207" i="113"/>
  <c r="J207" i="113"/>
  <c r="F207" i="113"/>
  <c r="A207" i="113"/>
  <c r="T206" i="113"/>
  <c r="S206" i="113"/>
  <c r="R206" i="113"/>
  <c r="Q206" i="113"/>
  <c r="P206" i="113"/>
  <c r="O206" i="113"/>
  <c r="N206" i="113"/>
  <c r="L206" i="113"/>
  <c r="K206" i="113"/>
  <c r="J206" i="113"/>
  <c r="F206" i="113"/>
  <c r="A206" i="113"/>
  <c r="T205" i="113"/>
  <c r="S205" i="113"/>
  <c r="R205" i="113"/>
  <c r="Q205" i="113"/>
  <c r="P205" i="113"/>
  <c r="O205" i="113"/>
  <c r="N205" i="113"/>
  <c r="L205" i="113"/>
  <c r="K205" i="113"/>
  <c r="J205" i="113"/>
  <c r="I205" i="113"/>
  <c r="F205" i="113"/>
  <c r="D205" i="113"/>
  <c r="A205" i="113"/>
  <c r="T204" i="113"/>
  <c r="S204" i="113"/>
  <c r="R204" i="113"/>
  <c r="Q204" i="113"/>
  <c r="P204" i="113"/>
  <c r="O204" i="113"/>
  <c r="N204" i="113"/>
  <c r="L204" i="113"/>
  <c r="K204" i="113"/>
  <c r="J204" i="113"/>
  <c r="I204" i="113"/>
  <c r="F204" i="113"/>
  <c r="D204" i="113"/>
  <c r="A204" i="113"/>
  <c r="T203" i="113"/>
  <c r="S203" i="113"/>
  <c r="R203" i="113"/>
  <c r="Q203" i="113"/>
  <c r="P203" i="113"/>
  <c r="O203" i="113"/>
  <c r="N203" i="113"/>
  <c r="L203" i="113"/>
  <c r="K203" i="113"/>
  <c r="J203" i="113"/>
  <c r="I203" i="113"/>
  <c r="F203" i="113"/>
  <c r="D203" i="113"/>
  <c r="A203" i="113"/>
  <c r="T202" i="113"/>
  <c r="S202" i="113"/>
  <c r="R202" i="113"/>
  <c r="Q202" i="113"/>
  <c r="P202" i="113"/>
  <c r="O202" i="113"/>
  <c r="N202" i="113"/>
  <c r="L202" i="113"/>
  <c r="K202" i="113"/>
  <c r="J202" i="113"/>
  <c r="F202" i="113"/>
  <c r="A202" i="113"/>
  <c r="T201" i="113"/>
  <c r="S201" i="113"/>
  <c r="R201" i="113"/>
  <c r="Q201" i="113"/>
  <c r="P201" i="113"/>
  <c r="O201" i="113"/>
  <c r="N201" i="113"/>
  <c r="L201" i="113"/>
  <c r="K201" i="113"/>
  <c r="J201" i="113"/>
  <c r="F201" i="113"/>
  <c r="A201" i="113"/>
  <c r="T200" i="113"/>
  <c r="S200" i="113"/>
  <c r="R200" i="113"/>
  <c r="Q200" i="113"/>
  <c r="P200" i="113"/>
  <c r="O200" i="113"/>
  <c r="N200" i="113"/>
  <c r="L200" i="113"/>
  <c r="K200" i="113"/>
  <c r="J200" i="113"/>
  <c r="I200" i="113"/>
  <c r="F200" i="113"/>
  <c r="D200" i="113"/>
  <c r="A200" i="113"/>
  <c r="T199" i="113"/>
  <c r="S199" i="113"/>
  <c r="R199" i="113"/>
  <c r="Q199" i="113"/>
  <c r="P199" i="113"/>
  <c r="O199" i="113"/>
  <c r="N199" i="113"/>
  <c r="L199" i="113"/>
  <c r="K199" i="113"/>
  <c r="J199" i="113"/>
  <c r="I199" i="113"/>
  <c r="F199" i="113"/>
  <c r="D199" i="113"/>
  <c r="A199" i="113"/>
  <c r="T198" i="113"/>
  <c r="S198" i="113"/>
  <c r="R198" i="113"/>
  <c r="Q198" i="113"/>
  <c r="P198" i="113"/>
  <c r="O198" i="113"/>
  <c r="N198" i="113"/>
  <c r="L198" i="113"/>
  <c r="K198" i="113"/>
  <c r="J198" i="113"/>
  <c r="I198" i="113"/>
  <c r="F198" i="113"/>
  <c r="D198" i="113"/>
  <c r="A198" i="113"/>
  <c r="T197" i="113"/>
  <c r="S197" i="113"/>
  <c r="R197" i="113"/>
  <c r="Q197" i="113"/>
  <c r="P197" i="113"/>
  <c r="O197" i="113"/>
  <c r="N197" i="113"/>
  <c r="L197" i="113"/>
  <c r="K197" i="113"/>
  <c r="J197" i="113"/>
  <c r="F197" i="113"/>
  <c r="A197" i="113"/>
  <c r="T196" i="113"/>
  <c r="S196" i="113"/>
  <c r="R196" i="113"/>
  <c r="Q196" i="113"/>
  <c r="P196" i="113"/>
  <c r="O196" i="113"/>
  <c r="N196" i="113"/>
  <c r="L196" i="113"/>
  <c r="K196" i="113"/>
  <c r="J196" i="113"/>
  <c r="F196" i="113"/>
  <c r="A196" i="113"/>
  <c r="T195" i="113"/>
  <c r="S195" i="113"/>
  <c r="R195" i="113"/>
  <c r="Q195" i="113"/>
  <c r="P195" i="113"/>
  <c r="O195" i="113"/>
  <c r="N195" i="113"/>
  <c r="L195" i="113"/>
  <c r="K195" i="113"/>
  <c r="J195" i="113"/>
  <c r="I195" i="113"/>
  <c r="F195" i="113"/>
  <c r="D195" i="113"/>
  <c r="A195" i="113"/>
  <c r="T194" i="113"/>
  <c r="S194" i="113"/>
  <c r="R194" i="113"/>
  <c r="Q194" i="113"/>
  <c r="P194" i="113"/>
  <c r="O194" i="113"/>
  <c r="N194" i="113"/>
  <c r="L194" i="113"/>
  <c r="K194" i="113"/>
  <c r="J194" i="113"/>
  <c r="I194" i="113"/>
  <c r="F194" i="113"/>
  <c r="D194" i="113"/>
  <c r="A194" i="113"/>
  <c r="T193" i="113"/>
  <c r="S193" i="113"/>
  <c r="R193" i="113"/>
  <c r="Q193" i="113"/>
  <c r="P193" i="113"/>
  <c r="O193" i="113"/>
  <c r="N193" i="113"/>
  <c r="L193" i="113"/>
  <c r="K193" i="113"/>
  <c r="J193" i="113"/>
  <c r="I193" i="113"/>
  <c r="F193" i="113"/>
  <c r="D193" i="113"/>
  <c r="A193" i="113"/>
  <c r="T192" i="113"/>
  <c r="S192" i="113"/>
  <c r="R192" i="113"/>
  <c r="Q192" i="113"/>
  <c r="P192" i="113"/>
  <c r="O192" i="113"/>
  <c r="N192" i="113"/>
  <c r="L192" i="113"/>
  <c r="K192" i="113"/>
  <c r="J192" i="113"/>
  <c r="F192" i="113"/>
  <c r="A192" i="113"/>
  <c r="T191" i="113"/>
  <c r="S191" i="113"/>
  <c r="R191" i="113"/>
  <c r="Q191" i="113"/>
  <c r="P191" i="113"/>
  <c r="O191" i="113"/>
  <c r="N191" i="113"/>
  <c r="L191" i="113"/>
  <c r="K191" i="113"/>
  <c r="J191" i="113"/>
  <c r="F191" i="113"/>
  <c r="A191" i="113"/>
  <c r="T190" i="113"/>
  <c r="S190" i="113"/>
  <c r="R190" i="113"/>
  <c r="Q190" i="113"/>
  <c r="P190" i="113"/>
  <c r="O190" i="113"/>
  <c r="N190" i="113"/>
  <c r="L190" i="113"/>
  <c r="K190" i="113"/>
  <c r="J190" i="113"/>
  <c r="F190" i="113"/>
  <c r="A190" i="113"/>
  <c r="T189" i="113"/>
  <c r="S189" i="113"/>
  <c r="R189" i="113"/>
  <c r="Q189" i="113"/>
  <c r="P189" i="113"/>
  <c r="O189" i="113"/>
  <c r="N189" i="113"/>
  <c r="L189" i="113"/>
  <c r="K189" i="113"/>
  <c r="J189" i="113"/>
  <c r="F189" i="113"/>
  <c r="A189" i="113"/>
  <c r="T188" i="113"/>
  <c r="S188" i="113"/>
  <c r="R188" i="113"/>
  <c r="Q188" i="113"/>
  <c r="P188" i="113"/>
  <c r="O188" i="113"/>
  <c r="N188" i="113"/>
  <c r="L188" i="113"/>
  <c r="K188" i="113"/>
  <c r="J188" i="113"/>
  <c r="I188" i="113"/>
  <c r="F188" i="113"/>
  <c r="D188" i="113"/>
  <c r="A188" i="113"/>
  <c r="T187" i="113"/>
  <c r="S187" i="113"/>
  <c r="R187" i="113"/>
  <c r="Q187" i="113"/>
  <c r="P187" i="113"/>
  <c r="O187" i="113"/>
  <c r="N187" i="113"/>
  <c r="L187" i="113"/>
  <c r="K187" i="113"/>
  <c r="J187" i="113"/>
  <c r="I187" i="113"/>
  <c r="F187" i="113"/>
  <c r="D187" i="113"/>
  <c r="A187" i="113"/>
  <c r="T186" i="113"/>
  <c r="S186" i="113"/>
  <c r="R186" i="113"/>
  <c r="Q186" i="113"/>
  <c r="P186" i="113"/>
  <c r="O186" i="113"/>
  <c r="N186" i="113"/>
  <c r="L186" i="113"/>
  <c r="K186" i="113"/>
  <c r="J186" i="113"/>
  <c r="I186" i="113"/>
  <c r="F186" i="113"/>
  <c r="D186" i="113"/>
  <c r="A186" i="113"/>
  <c r="T185" i="113"/>
  <c r="S185" i="113"/>
  <c r="R185" i="113"/>
  <c r="Q185" i="113"/>
  <c r="P185" i="113"/>
  <c r="O185" i="113"/>
  <c r="N185" i="113"/>
  <c r="L185" i="113"/>
  <c r="K185" i="113"/>
  <c r="J185" i="113"/>
  <c r="F185" i="113"/>
  <c r="A185" i="113"/>
  <c r="T184" i="113"/>
  <c r="S184" i="113"/>
  <c r="R184" i="113"/>
  <c r="Q184" i="113"/>
  <c r="P184" i="113"/>
  <c r="O184" i="113"/>
  <c r="N184" i="113"/>
  <c r="L184" i="113"/>
  <c r="K184" i="113"/>
  <c r="J184" i="113"/>
  <c r="F184" i="113"/>
  <c r="A184" i="113"/>
  <c r="T183" i="113"/>
  <c r="S183" i="113"/>
  <c r="R183" i="113"/>
  <c r="Q183" i="113"/>
  <c r="P183" i="113"/>
  <c r="O183" i="113"/>
  <c r="N183" i="113"/>
  <c r="L183" i="113"/>
  <c r="K183" i="113"/>
  <c r="J183" i="113"/>
  <c r="I183" i="113"/>
  <c r="F183" i="113"/>
  <c r="D183" i="113"/>
  <c r="A183" i="113"/>
  <c r="T182" i="113"/>
  <c r="S182" i="113"/>
  <c r="R182" i="113"/>
  <c r="Q182" i="113"/>
  <c r="P182" i="113"/>
  <c r="O182" i="113"/>
  <c r="N182" i="113"/>
  <c r="L182" i="113"/>
  <c r="K182" i="113"/>
  <c r="J182" i="113"/>
  <c r="I182" i="113"/>
  <c r="F182" i="113"/>
  <c r="D182" i="113"/>
  <c r="A182" i="113"/>
  <c r="T181" i="113"/>
  <c r="S181" i="113"/>
  <c r="R181" i="113"/>
  <c r="Q181" i="113"/>
  <c r="P181" i="113"/>
  <c r="O181" i="113"/>
  <c r="N181" i="113"/>
  <c r="L181" i="113"/>
  <c r="K181" i="113"/>
  <c r="J181" i="113"/>
  <c r="I181" i="113"/>
  <c r="F181" i="113"/>
  <c r="D181" i="113"/>
  <c r="A181" i="113"/>
  <c r="T180" i="113"/>
  <c r="S180" i="113"/>
  <c r="R180" i="113"/>
  <c r="Q180" i="113"/>
  <c r="P180" i="113"/>
  <c r="O180" i="113"/>
  <c r="N180" i="113"/>
  <c r="L180" i="113"/>
  <c r="K180" i="113"/>
  <c r="J180" i="113"/>
  <c r="I180" i="113"/>
  <c r="F180" i="113"/>
  <c r="D180" i="113"/>
  <c r="A180" i="113"/>
  <c r="T179" i="113"/>
  <c r="S179" i="113"/>
  <c r="R179" i="113"/>
  <c r="Q179" i="113"/>
  <c r="P179" i="113"/>
  <c r="O179" i="113"/>
  <c r="N179" i="113"/>
  <c r="L179" i="113"/>
  <c r="K179" i="113"/>
  <c r="J179" i="113"/>
  <c r="I179" i="113"/>
  <c r="F179" i="113"/>
  <c r="D179" i="113"/>
  <c r="A179" i="113"/>
  <c r="T178" i="113"/>
  <c r="S178" i="113"/>
  <c r="R178" i="113"/>
  <c r="Q178" i="113"/>
  <c r="P178" i="113"/>
  <c r="O178" i="113"/>
  <c r="N178" i="113"/>
  <c r="L178" i="113"/>
  <c r="K178" i="113"/>
  <c r="J178" i="113"/>
  <c r="I178" i="113"/>
  <c r="F178" i="113"/>
  <c r="D178" i="113"/>
  <c r="A178" i="113"/>
  <c r="T177" i="113"/>
  <c r="S177" i="113"/>
  <c r="R177" i="113"/>
  <c r="Q177" i="113"/>
  <c r="P177" i="113"/>
  <c r="O177" i="113"/>
  <c r="N177" i="113"/>
  <c r="L177" i="113"/>
  <c r="K177" i="113"/>
  <c r="J177" i="113"/>
  <c r="F177" i="113"/>
  <c r="A177" i="113"/>
  <c r="T176" i="113"/>
  <c r="S176" i="113"/>
  <c r="R176" i="113"/>
  <c r="Q176" i="113"/>
  <c r="P176" i="113"/>
  <c r="O176" i="113"/>
  <c r="N176" i="113"/>
  <c r="L176" i="113"/>
  <c r="K176" i="113"/>
  <c r="J176" i="113"/>
  <c r="F176" i="113"/>
  <c r="A176" i="113"/>
  <c r="T175" i="113"/>
  <c r="S175" i="113"/>
  <c r="R175" i="113"/>
  <c r="Q175" i="113"/>
  <c r="P175" i="113"/>
  <c r="O175" i="113"/>
  <c r="N175" i="113"/>
  <c r="L175" i="113"/>
  <c r="K175" i="113"/>
  <c r="J175" i="113"/>
  <c r="F175" i="113"/>
  <c r="A175" i="113"/>
  <c r="T174" i="113"/>
  <c r="S174" i="113"/>
  <c r="R174" i="113"/>
  <c r="Q174" i="113"/>
  <c r="P174" i="113"/>
  <c r="O174" i="113"/>
  <c r="N174" i="113"/>
  <c r="L174" i="113"/>
  <c r="K174" i="113"/>
  <c r="J174" i="113"/>
  <c r="F174" i="113"/>
  <c r="A174" i="113"/>
  <c r="T173" i="113"/>
  <c r="S173" i="113"/>
  <c r="R173" i="113"/>
  <c r="Q173" i="113"/>
  <c r="P173" i="113"/>
  <c r="O173" i="113"/>
  <c r="N173" i="113"/>
  <c r="L173" i="113"/>
  <c r="K173" i="113"/>
  <c r="J173" i="113"/>
  <c r="I173" i="113"/>
  <c r="F173" i="113"/>
  <c r="D173" i="113"/>
  <c r="A173" i="113"/>
  <c r="T172" i="113"/>
  <c r="S172" i="113"/>
  <c r="R172" i="113"/>
  <c r="Q172" i="113"/>
  <c r="P172" i="113"/>
  <c r="O172" i="113"/>
  <c r="N172" i="113"/>
  <c r="L172" i="113"/>
  <c r="K172" i="113"/>
  <c r="J172" i="113"/>
  <c r="I172" i="113"/>
  <c r="F172" i="113"/>
  <c r="D172" i="113"/>
  <c r="A172" i="113"/>
  <c r="T171" i="113"/>
  <c r="S171" i="113"/>
  <c r="R171" i="113"/>
  <c r="Q171" i="113"/>
  <c r="P171" i="113"/>
  <c r="O171" i="113"/>
  <c r="N171" i="113"/>
  <c r="L171" i="113"/>
  <c r="K171" i="113"/>
  <c r="J171" i="113"/>
  <c r="I171" i="113"/>
  <c r="F171" i="113"/>
  <c r="D171" i="113"/>
  <c r="A171" i="113"/>
  <c r="T170" i="113"/>
  <c r="S170" i="113"/>
  <c r="R170" i="113"/>
  <c r="Q170" i="113"/>
  <c r="P170" i="113"/>
  <c r="O170" i="113"/>
  <c r="N170" i="113"/>
  <c r="L170" i="113"/>
  <c r="K170" i="113"/>
  <c r="J170" i="113"/>
  <c r="F170" i="113"/>
  <c r="A170" i="113"/>
  <c r="T169" i="113"/>
  <c r="S169" i="113"/>
  <c r="R169" i="113"/>
  <c r="Q169" i="113"/>
  <c r="P169" i="113"/>
  <c r="O169" i="113"/>
  <c r="N169" i="113"/>
  <c r="L169" i="113"/>
  <c r="K169" i="113"/>
  <c r="J169" i="113"/>
  <c r="F169" i="113"/>
  <c r="A169" i="113"/>
  <c r="T168" i="113"/>
  <c r="S168" i="113"/>
  <c r="R168" i="113"/>
  <c r="Q168" i="113"/>
  <c r="P168" i="113"/>
  <c r="O168" i="113"/>
  <c r="N168" i="113"/>
  <c r="L168" i="113"/>
  <c r="K168" i="113"/>
  <c r="J168" i="113"/>
  <c r="I168" i="113"/>
  <c r="F168" i="113"/>
  <c r="D168" i="113"/>
  <c r="A168" i="113"/>
  <c r="T167" i="113"/>
  <c r="S167" i="113"/>
  <c r="R167" i="113"/>
  <c r="Q167" i="113"/>
  <c r="P167" i="113"/>
  <c r="O167" i="113"/>
  <c r="N167" i="113"/>
  <c r="L167" i="113"/>
  <c r="K167" i="113"/>
  <c r="J167" i="113"/>
  <c r="I167" i="113"/>
  <c r="F167" i="113"/>
  <c r="D167" i="113"/>
  <c r="A167" i="113"/>
  <c r="T166" i="113"/>
  <c r="S166" i="113"/>
  <c r="R166" i="113"/>
  <c r="Q166" i="113"/>
  <c r="P166" i="113"/>
  <c r="O166" i="113"/>
  <c r="N166" i="113"/>
  <c r="L166" i="113"/>
  <c r="K166" i="113"/>
  <c r="J166" i="113"/>
  <c r="I166" i="113"/>
  <c r="F166" i="113"/>
  <c r="D166" i="113"/>
  <c r="A166" i="113"/>
  <c r="T165" i="113"/>
  <c r="S165" i="113"/>
  <c r="R165" i="113"/>
  <c r="Q165" i="113"/>
  <c r="P165" i="113"/>
  <c r="O165" i="113"/>
  <c r="N165" i="113"/>
  <c r="L165" i="113"/>
  <c r="K165" i="113"/>
  <c r="J165" i="113"/>
  <c r="F165" i="113"/>
  <c r="A165" i="113"/>
  <c r="T164" i="113"/>
  <c r="S164" i="113"/>
  <c r="R164" i="113"/>
  <c r="Q164" i="113"/>
  <c r="P164" i="113"/>
  <c r="O164" i="113"/>
  <c r="N164" i="113"/>
  <c r="L164" i="113"/>
  <c r="K164" i="113"/>
  <c r="J164" i="113"/>
  <c r="F164" i="113"/>
  <c r="A164" i="113"/>
  <c r="T163" i="113"/>
  <c r="S163" i="113"/>
  <c r="R163" i="113"/>
  <c r="Q163" i="113"/>
  <c r="P163" i="113"/>
  <c r="O163" i="113"/>
  <c r="N163" i="113"/>
  <c r="L163" i="113"/>
  <c r="K163" i="113"/>
  <c r="J163" i="113"/>
  <c r="I163" i="113"/>
  <c r="F163" i="113"/>
  <c r="D163" i="113"/>
  <c r="A163" i="113"/>
  <c r="T162" i="113"/>
  <c r="S162" i="113"/>
  <c r="R162" i="113"/>
  <c r="Q162" i="113"/>
  <c r="P162" i="113"/>
  <c r="O162" i="113"/>
  <c r="N162" i="113"/>
  <c r="L162" i="113"/>
  <c r="K162" i="113"/>
  <c r="J162" i="113"/>
  <c r="I162" i="113"/>
  <c r="F162" i="113"/>
  <c r="D162" i="113"/>
  <c r="A162" i="113"/>
  <c r="T161" i="113"/>
  <c r="S161" i="113"/>
  <c r="R161" i="113"/>
  <c r="Q161" i="113"/>
  <c r="P161" i="113"/>
  <c r="O161" i="113"/>
  <c r="N161" i="113"/>
  <c r="L161" i="113"/>
  <c r="K161" i="113"/>
  <c r="J161" i="113"/>
  <c r="I161" i="113"/>
  <c r="F161" i="113"/>
  <c r="D161" i="113"/>
  <c r="A161" i="113"/>
  <c r="T160" i="113"/>
  <c r="S160" i="113"/>
  <c r="R160" i="113"/>
  <c r="Q160" i="113"/>
  <c r="P160" i="113"/>
  <c r="O160" i="113"/>
  <c r="N160" i="113"/>
  <c r="L160" i="113"/>
  <c r="K160" i="113"/>
  <c r="J160" i="113"/>
  <c r="I160" i="113"/>
  <c r="F160" i="113"/>
  <c r="D160" i="113"/>
  <c r="A160" i="113"/>
  <c r="T159" i="113"/>
  <c r="S159" i="113"/>
  <c r="R159" i="113"/>
  <c r="Q159" i="113"/>
  <c r="P159" i="113"/>
  <c r="O159" i="113"/>
  <c r="N159" i="113"/>
  <c r="L159" i="113"/>
  <c r="K159" i="113"/>
  <c r="J159" i="113"/>
  <c r="I159" i="113"/>
  <c r="F159" i="113"/>
  <c r="D159" i="113"/>
  <c r="A159" i="113"/>
  <c r="T158" i="113"/>
  <c r="S158" i="113"/>
  <c r="R158" i="113"/>
  <c r="Q158" i="113"/>
  <c r="P158" i="113"/>
  <c r="O158" i="113"/>
  <c r="N158" i="113"/>
  <c r="L158" i="113"/>
  <c r="K158" i="113"/>
  <c r="J158" i="113"/>
  <c r="I158" i="113"/>
  <c r="F158" i="113"/>
  <c r="D158" i="113"/>
  <c r="A158" i="113"/>
  <c r="T157" i="113"/>
  <c r="S157" i="113"/>
  <c r="R157" i="113"/>
  <c r="Q157" i="113"/>
  <c r="P157" i="113"/>
  <c r="O157" i="113"/>
  <c r="N157" i="113"/>
  <c r="L157" i="113"/>
  <c r="K157" i="113"/>
  <c r="J157" i="113"/>
  <c r="F157" i="113"/>
  <c r="A157" i="113"/>
  <c r="T156" i="113"/>
  <c r="S156" i="113"/>
  <c r="R156" i="113"/>
  <c r="Q156" i="113"/>
  <c r="P156" i="113"/>
  <c r="O156" i="113"/>
  <c r="N156" i="113"/>
  <c r="L156" i="113"/>
  <c r="K156" i="113"/>
  <c r="J156" i="113"/>
  <c r="F156" i="113"/>
  <c r="A156" i="113"/>
  <c r="T155" i="113"/>
  <c r="S155" i="113"/>
  <c r="R155" i="113"/>
  <c r="Q155" i="113"/>
  <c r="P155" i="113"/>
  <c r="O155" i="113"/>
  <c r="N155" i="113"/>
  <c r="L155" i="113"/>
  <c r="K155" i="113"/>
  <c r="J155" i="113"/>
  <c r="I155" i="113"/>
  <c r="F155" i="113"/>
  <c r="D155" i="113"/>
  <c r="A155" i="113"/>
  <c r="T154" i="113"/>
  <c r="S154" i="113"/>
  <c r="R154" i="113"/>
  <c r="Q154" i="113"/>
  <c r="P154" i="113"/>
  <c r="O154" i="113"/>
  <c r="N154" i="113"/>
  <c r="L154" i="113"/>
  <c r="K154" i="113"/>
  <c r="J154" i="113"/>
  <c r="I154" i="113"/>
  <c r="F154" i="113"/>
  <c r="D154" i="113"/>
  <c r="A154" i="113"/>
  <c r="T153" i="113"/>
  <c r="S153" i="113"/>
  <c r="R153" i="113"/>
  <c r="Q153" i="113"/>
  <c r="P153" i="113"/>
  <c r="O153" i="113"/>
  <c r="N153" i="113"/>
  <c r="L153" i="113"/>
  <c r="K153" i="113"/>
  <c r="J153" i="113"/>
  <c r="I153" i="113"/>
  <c r="F153" i="113"/>
  <c r="D153" i="113"/>
  <c r="A153" i="113"/>
  <c r="T152" i="113"/>
  <c r="S152" i="113"/>
  <c r="R152" i="113"/>
  <c r="Q152" i="113"/>
  <c r="P152" i="113"/>
  <c r="O152" i="113"/>
  <c r="N152" i="113"/>
  <c r="L152" i="113"/>
  <c r="K152" i="113"/>
  <c r="J152" i="113"/>
  <c r="F152" i="113"/>
  <c r="A152" i="113"/>
  <c r="T151" i="113"/>
  <c r="S151" i="113"/>
  <c r="R151" i="113"/>
  <c r="Q151" i="113"/>
  <c r="P151" i="113"/>
  <c r="O151" i="113"/>
  <c r="N151" i="113"/>
  <c r="L151" i="113"/>
  <c r="K151" i="113"/>
  <c r="J151" i="113"/>
  <c r="F151" i="113"/>
  <c r="A151" i="113"/>
  <c r="T150" i="113"/>
  <c r="S150" i="113"/>
  <c r="R150" i="113"/>
  <c r="Q150" i="113"/>
  <c r="P150" i="113"/>
  <c r="O150" i="113"/>
  <c r="N150" i="113"/>
  <c r="L150" i="113"/>
  <c r="K150" i="113"/>
  <c r="J150" i="113"/>
  <c r="F150" i="113"/>
  <c r="A150" i="113"/>
  <c r="T149" i="113"/>
  <c r="S149" i="113"/>
  <c r="R149" i="113"/>
  <c r="Q149" i="113"/>
  <c r="P149" i="113"/>
  <c r="O149" i="113"/>
  <c r="N149" i="113"/>
  <c r="L149" i="113"/>
  <c r="K149" i="113"/>
  <c r="J149" i="113"/>
  <c r="F149" i="113"/>
  <c r="A149" i="113"/>
  <c r="T148" i="113"/>
  <c r="S148" i="113"/>
  <c r="R148" i="113"/>
  <c r="Q148" i="113"/>
  <c r="P148" i="113"/>
  <c r="O148" i="113"/>
  <c r="N148" i="113"/>
  <c r="L148" i="113"/>
  <c r="K148" i="113"/>
  <c r="J148" i="113"/>
  <c r="I148" i="113"/>
  <c r="F148" i="113"/>
  <c r="D148" i="113"/>
  <c r="A148" i="113"/>
  <c r="T147" i="113"/>
  <c r="S147" i="113"/>
  <c r="R147" i="113"/>
  <c r="Q147" i="113"/>
  <c r="P147" i="113"/>
  <c r="O147" i="113"/>
  <c r="N147" i="113"/>
  <c r="L147" i="113"/>
  <c r="K147" i="113"/>
  <c r="J147" i="113"/>
  <c r="I147" i="113"/>
  <c r="F147" i="113"/>
  <c r="D147" i="113"/>
  <c r="A147" i="113"/>
  <c r="T146" i="113"/>
  <c r="S146" i="113"/>
  <c r="R146" i="113"/>
  <c r="Q146" i="113"/>
  <c r="P146" i="113"/>
  <c r="O146" i="113"/>
  <c r="N146" i="113"/>
  <c r="L146" i="113"/>
  <c r="K146" i="113"/>
  <c r="J146" i="113"/>
  <c r="I146" i="113"/>
  <c r="F146" i="113"/>
  <c r="D146" i="113"/>
  <c r="A146" i="113"/>
  <c r="T145" i="113"/>
  <c r="S145" i="113"/>
  <c r="R145" i="113"/>
  <c r="Q145" i="113"/>
  <c r="P145" i="113"/>
  <c r="O145" i="113"/>
  <c r="N145" i="113"/>
  <c r="L145" i="113"/>
  <c r="K145" i="113"/>
  <c r="J145" i="113"/>
  <c r="F145" i="113"/>
  <c r="A145" i="113"/>
  <c r="T144" i="113"/>
  <c r="S144" i="113"/>
  <c r="R144" i="113"/>
  <c r="Q144" i="113"/>
  <c r="P144" i="113"/>
  <c r="O144" i="113"/>
  <c r="N144" i="113"/>
  <c r="L144" i="113"/>
  <c r="K144" i="113"/>
  <c r="J144" i="113"/>
  <c r="F144" i="113"/>
  <c r="A144" i="113"/>
  <c r="T143" i="113"/>
  <c r="S143" i="113"/>
  <c r="R143" i="113"/>
  <c r="Q143" i="113"/>
  <c r="P143" i="113"/>
  <c r="O143" i="113"/>
  <c r="N143" i="113"/>
  <c r="L143" i="113"/>
  <c r="K143" i="113"/>
  <c r="J143" i="113"/>
  <c r="F143" i="113"/>
  <c r="A143" i="113"/>
  <c r="T142" i="113"/>
  <c r="S142" i="113"/>
  <c r="R142" i="113"/>
  <c r="Q142" i="113"/>
  <c r="P142" i="113"/>
  <c r="O142" i="113"/>
  <c r="N142" i="113"/>
  <c r="L142" i="113"/>
  <c r="K142" i="113"/>
  <c r="J142" i="113"/>
  <c r="F142" i="113"/>
  <c r="A142" i="113"/>
  <c r="T141" i="113"/>
  <c r="S141" i="113"/>
  <c r="R141" i="113"/>
  <c r="Q141" i="113"/>
  <c r="P141" i="113"/>
  <c r="O141" i="113"/>
  <c r="N141" i="113"/>
  <c r="L141" i="113"/>
  <c r="K141" i="113"/>
  <c r="J141" i="113"/>
  <c r="F141" i="113"/>
  <c r="A141" i="113"/>
  <c r="T140" i="113"/>
  <c r="S140" i="113"/>
  <c r="R140" i="113"/>
  <c r="Q140" i="113"/>
  <c r="P140" i="113"/>
  <c r="O140" i="113"/>
  <c r="N140" i="113"/>
  <c r="L140" i="113"/>
  <c r="K140" i="113"/>
  <c r="J140" i="113"/>
  <c r="F140" i="113"/>
  <c r="A140" i="113"/>
  <c r="T139" i="113"/>
  <c r="S139" i="113"/>
  <c r="R139" i="113"/>
  <c r="Q139" i="113"/>
  <c r="P139" i="113"/>
  <c r="O139" i="113"/>
  <c r="N139" i="113"/>
  <c r="L139" i="113"/>
  <c r="K139" i="113"/>
  <c r="J139" i="113"/>
  <c r="F139" i="113"/>
  <c r="A139" i="113"/>
  <c r="T138" i="113"/>
  <c r="S138" i="113"/>
  <c r="R138" i="113"/>
  <c r="Q138" i="113"/>
  <c r="P138" i="113"/>
  <c r="O138" i="113"/>
  <c r="N138" i="113"/>
  <c r="L138" i="113"/>
  <c r="K138" i="113"/>
  <c r="J138" i="113"/>
  <c r="F138" i="113"/>
  <c r="A138" i="113"/>
  <c r="T137" i="113"/>
  <c r="S137" i="113"/>
  <c r="R137" i="113"/>
  <c r="Q137" i="113"/>
  <c r="P137" i="113"/>
  <c r="O137" i="113"/>
  <c r="N137" i="113"/>
  <c r="L137" i="113"/>
  <c r="K137" i="113"/>
  <c r="J137" i="113"/>
  <c r="I137" i="113"/>
  <c r="F137" i="113"/>
  <c r="D137" i="113"/>
  <c r="A137" i="113"/>
  <c r="T136" i="113"/>
  <c r="S136" i="113"/>
  <c r="R136" i="113"/>
  <c r="Q136" i="113"/>
  <c r="P136" i="113"/>
  <c r="O136" i="113"/>
  <c r="N136" i="113"/>
  <c r="L136" i="113"/>
  <c r="K136" i="113"/>
  <c r="J136" i="113"/>
  <c r="I136" i="113"/>
  <c r="F136" i="113"/>
  <c r="D136" i="113"/>
  <c r="A136" i="113"/>
  <c r="T135" i="113"/>
  <c r="S135" i="113"/>
  <c r="R135" i="113"/>
  <c r="Q135" i="113"/>
  <c r="P135" i="113"/>
  <c r="O135" i="113"/>
  <c r="N135" i="113"/>
  <c r="L135" i="113"/>
  <c r="K135" i="113"/>
  <c r="J135" i="113"/>
  <c r="I135" i="113"/>
  <c r="F135" i="113"/>
  <c r="D135" i="113"/>
  <c r="A135" i="113"/>
  <c r="T134" i="113"/>
  <c r="S134" i="113"/>
  <c r="R134" i="113"/>
  <c r="Q134" i="113"/>
  <c r="P134" i="113"/>
  <c r="O134" i="113"/>
  <c r="N134" i="113"/>
  <c r="L134" i="113"/>
  <c r="K134" i="113"/>
  <c r="J134" i="113"/>
  <c r="I134" i="113"/>
  <c r="F134" i="113"/>
  <c r="D134" i="113"/>
  <c r="A134" i="113"/>
  <c r="T133" i="113"/>
  <c r="S133" i="113"/>
  <c r="R133" i="113"/>
  <c r="Q133" i="113"/>
  <c r="P133" i="113"/>
  <c r="O133" i="113"/>
  <c r="N133" i="113"/>
  <c r="L133" i="113"/>
  <c r="K133" i="113"/>
  <c r="J133" i="113"/>
  <c r="I133" i="113"/>
  <c r="F133" i="113"/>
  <c r="D133" i="113"/>
  <c r="A133" i="113"/>
  <c r="T132" i="113"/>
  <c r="S132" i="113"/>
  <c r="R132" i="113"/>
  <c r="Q132" i="113"/>
  <c r="P132" i="113"/>
  <c r="O132" i="113"/>
  <c r="N132" i="113"/>
  <c r="L132" i="113"/>
  <c r="K132" i="113"/>
  <c r="J132" i="113"/>
  <c r="I132" i="113"/>
  <c r="F132" i="113"/>
  <c r="D132" i="113"/>
  <c r="A132" i="113"/>
  <c r="T131" i="113"/>
  <c r="S131" i="113"/>
  <c r="R131" i="113"/>
  <c r="Q131" i="113"/>
  <c r="P131" i="113"/>
  <c r="O131" i="113"/>
  <c r="N131" i="113"/>
  <c r="L131" i="113"/>
  <c r="K131" i="113"/>
  <c r="J131" i="113"/>
  <c r="I131" i="113"/>
  <c r="F131" i="113"/>
  <c r="D131" i="113"/>
  <c r="A131" i="113"/>
  <c r="T130" i="113"/>
  <c r="S130" i="113"/>
  <c r="R130" i="113"/>
  <c r="Q130" i="113"/>
  <c r="P130" i="113"/>
  <c r="O130" i="113"/>
  <c r="N130" i="113"/>
  <c r="L130" i="113"/>
  <c r="K130" i="113"/>
  <c r="J130" i="113"/>
  <c r="I130" i="113"/>
  <c r="F130" i="113"/>
  <c r="D130" i="113"/>
  <c r="A130" i="113"/>
  <c r="T129" i="113"/>
  <c r="S129" i="113"/>
  <c r="R129" i="113"/>
  <c r="Q129" i="113"/>
  <c r="P129" i="113"/>
  <c r="O129" i="113"/>
  <c r="N129" i="113"/>
  <c r="L129" i="113"/>
  <c r="K129" i="113"/>
  <c r="J129" i="113"/>
  <c r="I129" i="113"/>
  <c r="F129" i="113"/>
  <c r="D129" i="113"/>
  <c r="A129" i="113"/>
  <c r="T128" i="113"/>
  <c r="S128" i="113"/>
  <c r="R128" i="113"/>
  <c r="Q128" i="113"/>
  <c r="P128" i="113"/>
  <c r="O128" i="113"/>
  <c r="N128" i="113"/>
  <c r="L128" i="113"/>
  <c r="K128" i="113"/>
  <c r="J128" i="113"/>
  <c r="I128" i="113"/>
  <c r="F128" i="113"/>
  <c r="D128" i="113"/>
  <c r="A128" i="113"/>
  <c r="T127" i="113"/>
  <c r="S127" i="113"/>
  <c r="R127" i="113"/>
  <c r="Q127" i="113"/>
  <c r="P127" i="113"/>
  <c r="O127" i="113"/>
  <c r="N127" i="113"/>
  <c r="L127" i="113"/>
  <c r="K127" i="113"/>
  <c r="J127" i="113"/>
  <c r="I127" i="113"/>
  <c r="F127" i="113"/>
  <c r="D127" i="113"/>
  <c r="A127" i="113"/>
  <c r="T126" i="113"/>
  <c r="S126" i="113"/>
  <c r="R126" i="113"/>
  <c r="Q126" i="113"/>
  <c r="P126" i="113"/>
  <c r="O126" i="113"/>
  <c r="N126" i="113"/>
  <c r="L126" i="113"/>
  <c r="K126" i="113"/>
  <c r="J126" i="113"/>
  <c r="I126" i="113"/>
  <c r="F126" i="113"/>
  <c r="D126" i="113"/>
  <c r="A126" i="113"/>
  <c r="T125" i="113"/>
  <c r="S125" i="113"/>
  <c r="R125" i="113"/>
  <c r="Q125" i="113"/>
  <c r="P125" i="113"/>
  <c r="O125" i="113"/>
  <c r="N125" i="113"/>
  <c r="L125" i="113"/>
  <c r="K125" i="113"/>
  <c r="J125" i="113"/>
  <c r="I125" i="113"/>
  <c r="F125" i="113"/>
  <c r="D125" i="113"/>
  <c r="A125" i="113"/>
  <c r="T124" i="113"/>
  <c r="S124" i="113"/>
  <c r="R124" i="113"/>
  <c r="Q124" i="113"/>
  <c r="P124" i="113"/>
  <c r="O124" i="113"/>
  <c r="N124" i="113"/>
  <c r="L124" i="113"/>
  <c r="K124" i="113"/>
  <c r="J124" i="113"/>
  <c r="I124" i="113"/>
  <c r="F124" i="113"/>
  <c r="D124" i="113"/>
  <c r="A124" i="113"/>
  <c r="T123" i="113"/>
  <c r="S123" i="113"/>
  <c r="R123" i="113"/>
  <c r="Q123" i="113"/>
  <c r="P123" i="113"/>
  <c r="O123" i="113"/>
  <c r="N123" i="113"/>
  <c r="L123" i="113"/>
  <c r="K123" i="113"/>
  <c r="J123" i="113"/>
  <c r="I123" i="113"/>
  <c r="F123" i="113"/>
  <c r="D123" i="113"/>
  <c r="A123" i="113"/>
  <c r="T122" i="113"/>
  <c r="S122" i="113"/>
  <c r="R122" i="113"/>
  <c r="Q122" i="113"/>
  <c r="P122" i="113"/>
  <c r="O122" i="113"/>
  <c r="N122" i="113"/>
  <c r="L122" i="113"/>
  <c r="K122" i="113"/>
  <c r="J122" i="113"/>
  <c r="I122" i="113"/>
  <c r="F122" i="113"/>
  <c r="D122" i="113"/>
  <c r="A122" i="113"/>
  <c r="T121" i="113"/>
  <c r="S121" i="113"/>
  <c r="R121" i="113"/>
  <c r="Q121" i="113"/>
  <c r="P121" i="113"/>
  <c r="O121" i="113"/>
  <c r="N121" i="113"/>
  <c r="L121" i="113"/>
  <c r="K121" i="113"/>
  <c r="J121" i="113"/>
  <c r="I121" i="113"/>
  <c r="F121" i="113"/>
  <c r="D121" i="113"/>
  <c r="A121" i="113"/>
  <c r="T120" i="113"/>
  <c r="S120" i="113"/>
  <c r="R120" i="113"/>
  <c r="Q120" i="113"/>
  <c r="P120" i="113"/>
  <c r="O120" i="113"/>
  <c r="N120" i="113"/>
  <c r="L120" i="113"/>
  <c r="K120" i="113"/>
  <c r="J120" i="113"/>
  <c r="I120" i="113"/>
  <c r="F120" i="113"/>
  <c r="D120" i="113"/>
  <c r="A120" i="113"/>
  <c r="T119" i="113"/>
  <c r="S119" i="113"/>
  <c r="R119" i="113"/>
  <c r="Q119" i="113"/>
  <c r="P119" i="113"/>
  <c r="O119" i="113"/>
  <c r="N119" i="113"/>
  <c r="L119" i="113"/>
  <c r="K119" i="113"/>
  <c r="J119" i="113"/>
  <c r="I119" i="113"/>
  <c r="F119" i="113"/>
  <c r="D119" i="113"/>
  <c r="A119" i="113"/>
  <c r="T118" i="113"/>
  <c r="S118" i="113"/>
  <c r="R118" i="113"/>
  <c r="Q118" i="113"/>
  <c r="P118" i="113"/>
  <c r="O118" i="113"/>
  <c r="N118" i="113"/>
  <c r="L118" i="113"/>
  <c r="K118" i="113"/>
  <c r="J118" i="113"/>
  <c r="I118" i="113"/>
  <c r="F118" i="113"/>
  <c r="D118" i="113"/>
  <c r="A118" i="113"/>
  <c r="T117" i="113"/>
  <c r="S117" i="113"/>
  <c r="R117" i="113"/>
  <c r="Q117" i="113"/>
  <c r="P117" i="113"/>
  <c r="O117" i="113"/>
  <c r="N117" i="113"/>
  <c r="L117" i="113"/>
  <c r="K117" i="113"/>
  <c r="J117" i="113"/>
  <c r="I117" i="113"/>
  <c r="F117" i="113"/>
  <c r="D117" i="113"/>
  <c r="A117" i="113"/>
  <c r="T116" i="113"/>
  <c r="S116" i="113"/>
  <c r="R116" i="113"/>
  <c r="Q116" i="113"/>
  <c r="P116" i="113"/>
  <c r="O116" i="113"/>
  <c r="N116" i="113"/>
  <c r="L116" i="113"/>
  <c r="K116" i="113"/>
  <c r="J116" i="113"/>
  <c r="I116" i="113"/>
  <c r="F116" i="113"/>
  <c r="D116" i="113"/>
  <c r="A116" i="113"/>
  <c r="T115" i="113"/>
  <c r="S115" i="113"/>
  <c r="R115" i="113"/>
  <c r="Q115" i="113"/>
  <c r="P115" i="113"/>
  <c r="O115" i="113"/>
  <c r="N115" i="113"/>
  <c r="L115" i="113"/>
  <c r="K115" i="113"/>
  <c r="J115" i="113"/>
  <c r="I115" i="113"/>
  <c r="F115" i="113"/>
  <c r="D115" i="113"/>
  <c r="A115" i="113"/>
  <c r="T114" i="113"/>
  <c r="S114" i="113"/>
  <c r="R114" i="113"/>
  <c r="Q114" i="113"/>
  <c r="P114" i="113"/>
  <c r="O114" i="113"/>
  <c r="N114" i="113"/>
  <c r="L114" i="113"/>
  <c r="K114" i="113"/>
  <c r="J114" i="113"/>
  <c r="I114" i="113"/>
  <c r="F114" i="113"/>
  <c r="D114" i="113"/>
  <c r="A114" i="113"/>
  <c r="T113" i="113"/>
  <c r="S113" i="113"/>
  <c r="R113" i="113"/>
  <c r="Q113" i="113"/>
  <c r="P113" i="113"/>
  <c r="O113" i="113"/>
  <c r="N113" i="113"/>
  <c r="L113" i="113"/>
  <c r="K113" i="113"/>
  <c r="J113" i="113"/>
  <c r="I113" i="113"/>
  <c r="F113" i="113"/>
  <c r="D113" i="113"/>
  <c r="A113" i="113"/>
  <c r="T112" i="113"/>
  <c r="S112" i="113"/>
  <c r="R112" i="113"/>
  <c r="Q112" i="113"/>
  <c r="P112" i="113"/>
  <c r="O112" i="113"/>
  <c r="N112" i="113"/>
  <c r="L112" i="113"/>
  <c r="K112" i="113"/>
  <c r="J112" i="113"/>
  <c r="I112" i="113"/>
  <c r="F112" i="113"/>
  <c r="D112" i="113"/>
  <c r="A112" i="113"/>
  <c r="T111" i="113"/>
  <c r="S111" i="113"/>
  <c r="R111" i="113"/>
  <c r="Q111" i="113"/>
  <c r="P111" i="113"/>
  <c r="O111" i="113"/>
  <c r="N111" i="113"/>
  <c r="L111" i="113"/>
  <c r="K111" i="113"/>
  <c r="J111" i="113"/>
  <c r="I111" i="113"/>
  <c r="F111" i="113"/>
  <c r="D111" i="113"/>
  <c r="A111" i="113"/>
  <c r="T110" i="113"/>
  <c r="S110" i="113"/>
  <c r="R110" i="113"/>
  <c r="Q110" i="113"/>
  <c r="P110" i="113"/>
  <c r="O110" i="113"/>
  <c r="N110" i="113"/>
  <c r="L110" i="113"/>
  <c r="K110" i="113"/>
  <c r="J110" i="113"/>
  <c r="I110" i="113"/>
  <c r="F110" i="113"/>
  <c r="D110" i="113"/>
  <c r="A110" i="113"/>
  <c r="T109" i="113"/>
  <c r="S109" i="113"/>
  <c r="R109" i="113"/>
  <c r="Q109" i="113"/>
  <c r="P109" i="113"/>
  <c r="O109" i="113"/>
  <c r="N109" i="113"/>
  <c r="L109" i="113"/>
  <c r="K109" i="113"/>
  <c r="J109" i="113"/>
  <c r="I109" i="113"/>
  <c r="F109" i="113"/>
  <c r="D109" i="113"/>
  <c r="A109" i="113"/>
  <c r="T108" i="113"/>
  <c r="S108" i="113"/>
  <c r="R108" i="113"/>
  <c r="Q108" i="113"/>
  <c r="P108" i="113"/>
  <c r="O108" i="113"/>
  <c r="N108" i="113"/>
  <c r="L108" i="113"/>
  <c r="K108" i="113"/>
  <c r="J108" i="113"/>
  <c r="I108" i="113"/>
  <c r="F108" i="113"/>
  <c r="D108" i="113"/>
  <c r="A108" i="113"/>
  <c r="T107" i="113"/>
  <c r="S107" i="113"/>
  <c r="R107" i="113"/>
  <c r="Q107" i="113"/>
  <c r="P107" i="113"/>
  <c r="O107" i="113"/>
  <c r="N107" i="113"/>
  <c r="L107" i="113"/>
  <c r="K107" i="113"/>
  <c r="J107" i="113"/>
  <c r="I107" i="113"/>
  <c r="F107" i="113"/>
  <c r="D107" i="113"/>
  <c r="A107" i="113"/>
  <c r="T106" i="113"/>
  <c r="S106" i="113"/>
  <c r="R106" i="113"/>
  <c r="Q106" i="113"/>
  <c r="P106" i="113"/>
  <c r="O106" i="113"/>
  <c r="N106" i="113"/>
  <c r="L106" i="113"/>
  <c r="K106" i="113"/>
  <c r="J106" i="113"/>
  <c r="I106" i="113"/>
  <c r="F106" i="113"/>
  <c r="D106" i="113"/>
  <c r="A106" i="113"/>
  <c r="T105" i="113"/>
  <c r="S105" i="113"/>
  <c r="R105" i="113"/>
  <c r="Q105" i="113"/>
  <c r="P105" i="113"/>
  <c r="O105" i="113"/>
  <c r="N105" i="113"/>
  <c r="L105" i="113"/>
  <c r="K105" i="113"/>
  <c r="J105" i="113"/>
  <c r="I105" i="113"/>
  <c r="F105" i="113"/>
  <c r="D105" i="113"/>
  <c r="A105" i="113"/>
  <c r="T104" i="113"/>
  <c r="S104" i="113"/>
  <c r="R104" i="113"/>
  <c r="Q104" i="113"/>
  <c r="P104" i="113"/>
  <c r="O104" i="113"/>
  <c r="N104" i="113"/>
  <c r="L104" i="113"/>
  <c r="K104" i="113"/>
  <c r="J104" i="113"/>
  <c r="I104" i="113"/>
  <c r="F104" i="113"/>
  <c r="D104" i="113"/>
  <c r="A104" i="113"/>
  <c r="T103" i="113"/>
  <c r="S103" i="113"/>
  <c r="R103" i="113"/>
  <c r="Q103" i="113"/>
  <c r="P103" i="113"/>
  <c r="O103" i="113"/>
  <c r="N103" i="113"/>
  <c r="L103" i="113"/>
  <c r="K103" i="113"/>
  <c r="J103" i="113"/>
  <c r="I103" i="113"/>
  <c r="F103" i="113"/>
  <c r="D103" i="113"/>
  <c r="A103" i="113"/>
  <c r="T102" i="113"/>
  <c r="S102" i="113"/>
  <c r="R102" i="113"/>
  <c r="Q102" i="113"/>
  <c r="P102" i="113"/>
  <c r="O102" i="113"/>
  <c r="N102" i="113"/>
  <c r="L102" i="113"/>
  <c r="K102" i="113"/>
  <c r="J102" i="113"/>
  <c r="I102" i="113"/>
  <c r="F102" i="113"/>
  <c r="D102" i="113"/>
  <c r="A102" i="113"/>
  <c r="T101" i="113"/>
  <c r="S101" i="113"/>
  <c r="R101" i="113"/>
  <c r="Q101" i="113"/>
  <c r="P101" i="113"/>
  <c r="O101" i="113"/>
  <c r="N101" i="113"/>
  <c r="L101" i="113"/>
  <c r="K101" i="113"/>
  <c r="J101" i="113"/>
  <c r="I101" i="113"/>
  <c r="F101" i="113"/>
  <c r="D101" i="113"/>
  <c r="A101" i="113"/>
  <c r="T100" i="113"/>
  <c r="S100" i="113"/>
  <c r="R100" i="113"/>
  <c r="Q100" i="113"/>
  <c r="P100" i="113"/>
  <c r="O100" i="113"/>
  <c r="N100" i="113"/>
  <c r="L100" i="113"/>
  <c r="K100" i="113"/>
  <c r="J100" i="113"/>
  <c r="I100" i="113"/>
  <c r="F100" i="113"/>
  <c r="D100" i="113"/>
  <c r="A100" i="113"/>
  <c r="T99" i="113"/>
  <c r="S99" i="113"/>
  <c r="R99" i="113"/>
  <c r="Q99" i="113"/>
  <c r="P99" i="113"/>
  <c r="O99" i="113"/>
  <c r="N99" i="113"/>
  <c r="L99" i="113"/>
  <c r="K99" i="113"/>
  <c r="J99" i="113"/>
  <c r="I99" i="113"/>
  <c r="F99" i="113"/>
  <c r="D99" i="113"/>
  <c r="A99" i="113"/>
  <c r="T98" i="113"/>
  <c r="S98" i="113"/>
  <c r="R98" i="113"/>
  <c r="Q98" i="113"/>
  <c r="P98" i="113"/>
  <c r="O98" i="113"/>
  <c r="N98" i="113"/>
  <c r="L98" i="113"/>
  <c r="K98" i="113"/>
  <c r="J98" i="113"/>
  <c r="I98" i="113"/>
  <c r="F98" i="113"/>
  <c r="D98" i="113"/>
  <c r="A98" i="113"/>
  <c r="T97" i="113"/>
  <c r="S97" i="113"/>
  <c r="R97" i="113"/>
  <c r="Q97" i="113"/>
  <c r="P97" i="113"/>
  <c r="O97" i="113"/>
  <c r="N97" i="113"/>
  <c r="L97" i="113"/>
  <c r="K97" i="113"/>
  <c r="J97" i="113"/>
  <c r="I97" i="113"/>
  <c r="F97" i="113"/>
  <c r="D97" i="113"/>
  <c r="A97" i="113"/>
  <c r="T96" i="113"/>
  <c r="S96" i="113"/>
  <c r="R96" i="113"/>
  <c r="Q96" i="113"/>
  <c r="P96" i="113"/>
  <c r="O96" i="113"/>
  <c r="N96" i="113"/>
  <c r="L96" i="113"/>
  <c r="K96" i="113"/>
  <c r="J96" i="113"/>
  <c r="I96" i="113"/>
  <c r="F96" i="113"/>
  <c r="D96" i="113"/>
  <c r="A96" i="113"/>
  <c r="T95" i="113"/>
  <c r="S95" i="113"/>
  <c r="R95" i="113"/>
  <c r="Q95" i="113"/>
  <c r="P95" i="113"/>
  <c r="O95" i="113"/>
  <c r="N95" i="113"/>
  <c r="L95" i="113"/>
  <c r="K95" i="113"/>
  <c r="J95" i="113"/>
  <c r="I95" i="113"/>
  <c r="F95" i="113"/>
  <c r="D95" i="113"/>
  <c r="A95" i="113"/>
  <c r="T94" i="113"/>
  <c r="S94" i="113"/>
  <c r="R94" i="113"/>
  <c r="Q94" i="113"/>
  <c r="P94" i="113"/>
  <c r="O94" i="113"/>
  <c r="N94" i="113"/>
  <c r="L94" i="113"/>
  <c r="K94" i="113"/>
  <c r="J94" i="113"/>
  <c r="I94" i="113"/>
  <c r="F94" i="113"/>
  <c r="D94" i="113"/>
  <c r="A94" i="113"/>
  <c r="T93" i="113"/>
  <c r="S93" i="113"/>
  <c r="R93" i="113"/>
  <c r="Q93" i="113"/>
  <c r="P93" i="113"/>
  <c r="O93" i="113"/>
  <c r="N93" i="113"/>
  <c r="L93" i="113"/>
  <c r="K93" i="113"/>
  <c r="J93" i="113"/>
  <c r="I93" i="113"/>
  <c r="F93" i="113"/>
  <c r="D93" i="113"/>
  <c r="A93" i="113"/>
  <c r="T92" i="113"/>
  <c r="S92" i="113"/>
  <c r="R92" i="113"/>
  <c r="Q92" i="113"/>
  <c r="P92" i="113"/>
  <c r="O92" i="113"/>
  <c r="N92" i="113"/>
  <c r="L92" i="113"/>
  <c r="K92" i="113"/>
  <c r="J92" i="113"/>
  <c r="I92" i="113"/>
  <c r="F92" i="113"/>
  <c r="D92" i="113"/>
  <c r="A92" i="113"/>
  <c r="T91" i="113"/>
  <c r="S91" i="113"/>
  <c r="R91" i="113"/>
  <c r="Q91" i="113"/>
  <c r="P91" i="113"/>
  <c r="O91" i="113"/>
  <c r="N91" i="113"/>
  <c r="L91" i="113"/>
  <c r="K91" i="113"/>
  <c r="J91" i="113"/>
  <c r="I91" i="113"/>
  <c r="F91" i="113"/>
  <c r="D91" i="113"/>
  <c r="A91" i="113"/>
  <c r="T90" i="113"/>
  <c r="S90" i="113"/>
  <c r="R90" i="113"/>
  <c r="Q90" i="113"/>
  <c r="P90" i="113"/>
  <c r="O90" i="113"/>
  <c r="N90" i="113"/>
  <c r="L90" i="113"/>
  <c r="K90" i="113"/>
  <c r="J90" i="113"/>
  <c r="I90" i="113"/>
  <c r="F90" i="113"/>
  <c r="D90" i="113"/>
  <c r="A90" i="113"/>
  <c r="T89" i="113"/>
  <c r="S89" i="113"/>
  <c r="R89" i="113"/>
  <c r="Q89" i="113"/>
  <c r="P89" i="113"/>
  <c r="O89" i="113"/>
  <c r="N89" i="113"/>
  <c r="L89" i="113"/>
  <c r="K89" i="113"/>
  <c r="J89" i="113"/>
  <c r="I89" i="113"/>
  <c r="F89" i="113"/>
  <c r="D89" i="113"/>
  <c r="A89" i="113"/>
  <c r="T88" i="113"/>
  <c r="S88" i="113"/>
  <c r="R88" i="113"/>
  <c r="Q88" i="113"/>
  <c r="P88" i="113"/>
  <c r="O88" i="113"/>
  <c r="N88" i="113"/>
  <c r="L88" i="113"/>
  <c r="K88" i="113"/>
  <c r="J88" i="113"/>
  <c r="I88" i="113"/>
  <c r="F88" i="113"/>
  <c r="D88" i="113"/>
  <c r="A88" i="113"/>
  <c r="T87" i="113"/>
  <c r="S87" i="113"/>
  <c r="R87" i="113"/>
  <c r="Q87" i="113"/>
  <c r="P87" i="113"/>
  <c r="O87" i="113"/>
  <c r="N87" i="113"/>
  <c r="L87" i="113"/>
  <c r="K87" i="113"/>
  <c r="J87" i="113"/>
  <c r="I87" i="113"/>
  <c r="F87" i="113"/>
  <c r="D87" i="113"/>
  <c r="A87" i="113"/>
  <c r="T86" i="113"/>
  <c r="S86" i="113"/>
  <c r="R86" i="113"/>
  <c r="Q86" i="113"/>
  <c r="P86" i="113"/>
  <c r="O86" i="113"/>
  <c r="N86" i="113"/>
  <c r="L86" i="113"/>
  <c r="K86" i="113"/>
  <c r="J86" i="113"/>
  <c r="I86" i="113"/>
  <c r="F86" i="113"/>
  <c r="D86" i="113"/>
  <c r="A86" i="113"/>
  <c r="T85" i="113"/>
  <c r="S85" i="113"/>
  <c r="R85" i="113"/>
  <c r="Q85" i="113"/>
  <c r="P85" i="113"/>
  <c r="O85" i="113"/>
  <c r="N85" i="113"/>
  <c r="L85" i="113"/>
  <c r="K85" i="113"/>
  <c r="J85" i="113"/>
  <c r="I85" i="113"/>
  <c r="F85" i="113"/>
  <c r="D85" i="113"/>
  <c r="A85" i="113"/>
  <c r="T84" i="113"/>
  <c r="S84" i="113"/>
  <c r="R84" i="113"/>
  <c r="Q84" i="113"/>
  <c r="P84" i="113"/>
  <c r="O84" i="113"/>
  <c r="N84" i="113"/>
  <c r="L84" i="113"/>
  <c r="K84" i="113"/>
  <c r="J84" i="113"/>
  <c r="I84" i="113"/>
  <c r="F84" i="113"/>
  <c r="D84" i="113"/>
  <c r="A84" i="113"/>
  <c r="T83" i="113"/>
  <c r="S83" i="113"/>
  <c r="R83" i="113"/>
  <c r="Q83" i="113"/>
  <c r="P83" i="113"/>
  <c r="O83" i="113"/>
  <c r="N83" i="113"/>
  <c r="L83" i="113"/>
  <c r="K83" i="113"/>
  <c r="J83" i="113"/>
  <c r="I83" i="113"/>
  <c r="F83" i="113"/>
  <c r="D83" i="113"/>
  <c r="A83" i="113"/>
  <c r="T82" i="113"/>
  <c r="S82" i="113"/>
  <c r="R82" i="113"/>
  <c r="Q82" i="113"/>
  <c r="P82" i="113"/>
  <c r="O82" i="113"/>
  <c r="N82" i="113"/>
  <c r="L82" i="113"/>
  <c r="K82" i="113"/>
  <c r="J82" i="113"/>
  <c r="I82" i="113"/>
  <c r="F82" i="113"/>
  <c r="D82" i="113"/>
  <c r="A82" i="113"/>
  <c r="T81" i="113"/>
  <c r="S81" i="113"/>
  <c r="R81" i="113"/>
  <c r="Q81" i="113"/>
  <c r="P81" i="113"/>
  <c r="O81" i="113"/>
  <c r="N81" i="113"/>
  <c r="L81" i="113"/>
  <c r="K81" i="113"/>
  <c r="J81" i="113"/>
  <c r="I81" i="113"/>
  <c r="F81" i="113"/>
  <c r="D81" i="113"/>
  <c r="A81" i="113"/>
  <c r="T80" i="113"/>
  <c r="S80" i="113"/>
  <c r="R80" i="113"/>
  <c r="Q80" i="113"/>
  <c r="P80" i="113"/>
  <c r="O80" i="113"/>
  <c r="N80" i="113"/>
  <c r="L80" i="113"/>
  <c r="K80" i="113"/>
  <c r="J80" i="113"/>
  <c r="I80" i="113"/>
  <c r="F80" i="113"/>
  <c r="D80" i="113"/>
  <c r="A80" i="113"/>
  <c r="T79" i="113"/>
  <c r="S79" i="113"/>
  <c r="R79" i="113"/>
  <c r="Q79" i="113"/>
  <c r="P79" i="113"/>
  <c r="O79" i="113"/>
  <c r="N79" i="113"/>
  <c r="L79" i="113"/>
  <c r="K79" i="113"/>
  <c r="J79" i="113"/>
  <c r="I79" i="113"/>
  <c r="F79" i="113"/>
  <c r="D79" i="113"/>
  <c r="A79" i="113"/>
  <c r="T78" i="113"/>
  <c r="S78" i="113"/>
  <c r="R78" i="113"/>
  <c r="Q78" i="113"/>
  <c r="P78" i="113"/>
  <c r="O78" i="113"/>
  <c r="N78" i="113"/>
  <c r="L78" i="113"/>
  <c r="K78" i="113"/>
  <c r="J78" i="113"/>
  <c r="I78" i="113"/>
  <c r="F78" i="113"/>
  <c r="D78" i="113"/>
  <c r="A78" i="113"/>
  <c r="T77" i="113"/>
  <c r="S77" i="113"/>
  <c r="R77" i="113"/>
  <c r="Q77" i="113"/>
  <c r="P77" i="113"/>
  <c r="O77" i="113"/>
  <c r="N77" i="113"/>
  <c r="L77" i="113"/>
  <c r="K77" i="113"/>
  <c r="J77" i="113"/>
  <c r="I77" i="113"/>
  <c r="F77" i="113"/>
  <c r="D77" i="113"/>
  <c r="A77" i="113"/>
  <c r="T76" i="113"/>
  <c r="S76" i="113"/>
  <c r="R76" i="113"/>
  <c r="Q76" i="113"/>
  <c r="P76" i="113"/>
  <c r="O76" i="113"/>
  <c r="N76" i="113"/>
  <c r="L76" i="113"/>
  <c r="K76" i="113"/>
  <c r="J76" i="113"/>
  <c r="I76" i="113"/>
  <c r="F76" i="113"/>
  <c r="D76" i="113"/>
  <c r="A76" i="113"/>
  <c r="T75" i="113"/>
  <c r="S75" i="113"/>
  <c r="R75" i="113"/>
  <c r="Q75" i="113"/>
  <c r="P75" i="113"/>
  <c r="O75" i="113"/>
  <c r="N75" i="113"/>
  <c r="L75" i="113"/>
  <c r="K75" i="113"/>
  <c r="J75" i="113"/>
  <c r="I75" i="113"/>
  <c r="F75" i="113"/>
  <c r="D75" i="113"/>
  <c r="A75" i="113"/>
  <c r="T74" i="113"/>
  <c r="S74" i="113"/>
  <c r="R74" i="113"/>
  <c r="Q74" i="113"/>
  <c r="P74" i="113"/>
  <c r="O74" i="113"/>
  <c r="N74" i="113"/>
  <c r="L74" i="113"/>
  <c r="K74" i="113"/>
  <c r="J74" i="113"/>
  <c r="I74" i="113"/>
  <c r="F74" i="113"/>
  <c r="D74" i="113"/>
  <c r="A74" i="113"/>
  <c r="T73" i="113"/>
  <c r="S73" i="113"/>
  <c r="R73" i="113"/>
  <c r="Q73" i="113"/>
  <c r="P73" i="113"/>
  <c r="O73" i="113"/>
  <c r="N73" i="113"/>
  <c r="L73" i="113"/>
  <c r="K73" i="113"/>
  <c r="J73" i="113"/>
  <c r="I73" i="113"/>
  <c r="F73" i="113"/>
  <c r="D73" i="113"/>
  <c r="A73" i="113"/>
  <c r="T72" i="113"/>
  <c r="S72" i="113"/>
  <c r="R72" i="113"/>
  <c r="Q72" i="113"/>
  <c r="P72" i="113"/>
  <c r="O72" i="113"/>
  <c r="N72" i="113"/>
  <c r="L72" i="113"/>
  <c r="K72" i="113"/>
  <c r="J72" i="113"/>
  <c r="I72" i="113"/>
  <c r="F72" i="113"/>
  <c r="D72" i="113"/>
  <c r="A72" i="113"/>
  <c r="T71" i="113"/>
  <c r="S71" i="113"/>
  <c r="R71" i="113"/>
  <c r="Q71" i="113"/>
  <c r="P71" i="113"/>
  <c r="O71" i="113"/>
  <c r="N71" i="113"/>
  <c r="L71" i="113"/>
  <c r="K71" i="113"/>
  <c r="J71" i="113"/>
  <c r="I71" i="113"/>
  <c r="F71" i="113"/>
  <c r="D71" i="113"/>
  <c r="A71" i="113"/>
  <c r="T70" i="113"/>
  <c r="S70" i="113"/>
  <c r="R70" i="113"/>
  <c r="Q70" i="113"/>
  <c r="P70" i="113"/>
  <c r="O70" i="113"/>
  <c r="N70" i="113"/>
  <c r="L70" i="113"/>
  <c r="K70" i="113"/>
  <c r="J70" i="113"/>
  <c r="I70" i="113"/>
  <c r="F70" i="113"/>
  <c r="D70" i="113"/>
  <c r="A70" i="113"/>
  <c r="T69" i="113"/>
  <c r="S69" i="113"/>
  <c r="R69" i="113"/>
  <c r="Q69" i="113"/>
  <c r="P69" i="113"/>
  <c r="O69" i="113"/>
  <c r="N69" i="113"/>
  <c r="L69" i="113"/>
  <c r="K69" i="113"/>
  <c r="J69" i="113"/>
  <c r="I69" i="113"/>
  <c r="F69" i="113"/>
  <c r="D69" i="113"/>
  <c r="A69" i="113"/>
  <c r="T68" i="113"/>
  <c r="S68" i="113"/>
  <c r="R68" i="113"/>
  <c r="Q68" i="113"/>
  <c r="P68" i="113"/>
  <c r="O68" i="113"/>
  <c r="N68" i="113"/>
  <c r="L68" i="113"/>
  <c r="K68" i="113"/>
  <c r="J68" i="113"/>
  <c r="I68" i="113"/>
  <c r="F68" i="113"/>
  <c r="D68" i="113"/>
  <c r="A68" i="113"/>
  <c r="T67" i="113"/>
  <c r="S67" i="113"/>
  <c r="R67" i="113"/>
  <c r="Q67" i="113"/>
  <c r="P67" i="113"/>
  <c r="O67" i="113"/>
  <c r="N67" i="113"/>
  <c r="L67" i="113"/>
  <c r="K67" i="113"/>
  <c r="J67" i="113"/>
  <c r="I67" i="113"/>
  <c r="F67" i="113"/>
  <c r="D67" i="113"/>
  <c r="A67" i="113"/>
  <c r="T66" i="113"/>
  <c r="S66" i="113"/>
  <c r="R66" i="113"/>
  <c r="Q66" i="113"/>
  <c r="P66" i="113"/>
  <c r="O66" i="113"/>
  <c r="N66" i="113"/>
  <c r="L66" i="113"/>
  <c r="K66" i="113"/>
  <c r="J66" i="113"/>
  <c r="I66" i="113"/>
  <c r="F66" i="113"/>
  <c r="D66" i="113"/>
  <c r="A66" i="113"/>
  <c r="T65" i="113"/>
  <c r="S65" i="113"/>
  <c r="R65" i="113"/>
  <c r="Q65" i="113"/>
  <c r="P65" i="113"/>
  <c r="O65" i="113"/>
  <c r="N65" i="113"/>
  <c r="L65" i="113"/>
  <c r="K65" i="113"/>
  <c r="J65" i="113"/>
  <c r="I65" i="113"/>
  <c r="F65" i="113"/>
  <c r="D65" i="113"/>
  <c r="A65" i="113"/>
  <c r="T64" i="113"/>
  <c r="S64" i="113"/>
  <c r="R64" i="113"/>
  <c r="Q64" i="113"/>
  <c r="P64" i="113"/>
  <c r="O64" i="113"/>
  <c r="N64" i="113"/>
  <c r="L64" i="113"/>
  <c r="K64" i="113"/>
  <c r="J64" i="113"/>
  <c r="I64" i="113"/>
  <c r="F64" i="113"/>
  <c r="D64" i="113"/>
  <c r="A64" i="113"/>
  <c r="T63" i="113"/>
  <c r="S63" i="113"/>
  <c r="R63" i="113"/>
  <c r="Q63" i="113"/>
  <c r="P63" i="113"/>
  <c r="O63" i="113"/>
  <c r="N63" i="113"/>
  <c r="L63" i="113"/>
  <c r="K63" i="113"/>
  <c r="J63" i="113"/>
  <c r="I63" i="113"/>
  <c r="F63" i="113"/>
  <c r="D63" i="113"/>
  <c r="A63" i="113"/>
  <c r="T62" i="113"/>
  <c r="S62" i="113"/>
  <c r="R62" i="113"/>
  <c r="Q62" i="113"/>
  <c r="P62" i="113"/>
  <c r="O62" i="113"/>
  <c r="N62" i="113"/>
  <c r="L62" i="113"/>
  <c r="K62" i="113"/>
  <c r="J62" i="113"/>
  <c r="I62" i="113"/>
  <c r="F62" i="113"/>
  <c r="D62" i="113"/>
  <c r="A62" i="113"/>
  <c r="T61" i="113"/>
  <c r="S61" i="113"/>
  <c r="R61" i="113"/>
  <c r="Q61" i="113"/>
  <c r="P61" i="113"/>
  <c r="O61" i="113"/>
  <c r="N61" i="113"/>
  <c r="L61" i="113"/>
  <c r="K61" i="113"/>
  <c r="J61" i="113"/>
  <c r="I61" i="113"/>
  <c r="F61" i="113"/>
  <c r="D61" i="113"/>
  <c r="A61" i="113"/>
  <c r="T60" i="113"/>
  <c r="S60" i="113"/>
  <c r="R60" i="113"/>
  <c r="Q60" i="113"/>
  <c r="P60" i="113"/>
  <c r="O60" i="113"/>
  <c r="N60" i="113"/>
  <c r="L60" i="113"/>
  <c r="K60" i="113"/>
  <c r="J60" i="113"/>
  <c r="I60" i="113"/>
  <c r="F60" i="113"/>
  <c r="D60" i="113"/>
  <c r="A60" i="113"/>
  <c r="T59" i="113"/>
  <c r="S59" i="113"/>
  <c r="R59" i="113"/>
  <c r="Q59" i="113"/>
  <c r="P59" i="113"/>
  <c r="O59" i="113"/>
  <c r="N59" i="113"/>
  <c r="L59" i="113"/>
  <c r="K59" i="113"/>
  <c r="J59" i="113"/>
  <c r="I59" i="113"/>
  <c r="F59" i="113"/>
  <c r="D59" i="113"/>
  <c r="A59" i="113"/>
  <c r="T58" i="113"/>
  <c r="S58" i="113"/>
  <c r="R58" i="113"/>
  <c r="Q58" i="113"/>
  <c r="P58" i="113"/>
  <c r="O58" i="113"/>
  <c r="N58" i="113"/>
  <c r="L58" i="113"/>
  <c r="K58" i="113"/>
  <c r="J58" i="113"/>
  <c r="I58" i="113"/>
  <c r="F58" i="113"/>
  <c r="D58" i="113"/>
  <c r="A58" i="113"/>
  <c r="T57" i="113"/>
  <c r="S57" i="113"/>
  <c r="R57" i="113"/>
  <c r="Q57" i="113"/>
  <c r="P57" i="113"/>
  <c r="O57" i="113"/>
  <c r="N57" i="113"/>
  <c r="L57" i="113"/>
  <c r="K57" i="113"/>
  <c r="J57" i="113"/>
  <c r="I57" i="113"/>
  <c r="F57" i="113"/>
  <c r="D57" i="113"/>
  <c r="A57" i="113"/>
  <c r="T56" i="113"/>
  <c r="S56" i="113"/>
  <c r="R56" i="113"/>
  <c r="Q56" i="113"/>
  <c r="P56" i="113"/>
  <c r="O56" i="113"/>
  <c r="N56" i="113"/>
  <c r="L56" i="113"/>
  <c r="K56" i="113"/>
  <c r="J56" i="113"/>
  <c r="I56" i="113"/>
  <c r="F56" i="113"/>
  <c r="D56" i="113"/>
  <c r="A56" i="113"/>
  <c r="T55" i="113"/>
  <c r="S55" i="113"/>
  <c r="R55" i="113"/>
  <c r="Q55" i="113"/>
  <c r="P55" i="113"/>
  <c r="O55" i="113"/>
  <c r="N55" i="113"/>
  <c r="L55" i="113"/>
  <c r="K55" i="113"/>
  <c r="J55" i="113"/>
  <c r="I55" i="113"/>
  <c r="F55" i="113"/>
  <c r="D55" i="113"/>
  <c r="A55" i="113"/>
  <c r="T54" i="113"/>
  <c r="S54" i="113"/>
  <c r="R54" i="113"/>
  <c r="Q54" i="113"/>
  <c r="P54" i="113"/>
  <c r="O54" i="113"/>
  <c r="N54" i="113"/>
  <c r="L54" i="113"/>
  <c r="K54" i="113"/>
  <c r="J54" i="113"/>
  <c r="I54" i="113"/>
  <c r="F54" i="113"/>
  <c r="D54" i="113"/>
  <c r="A54" i="113"/>
  <c r="T53" i="113"/>
  <c r="S53" i="113"/>
  <c r="R53" i="113"/>
  <c r="Q53" i="113"/>
  <c r="P53" i="113"/>
  <c r="O53" i="113"/>
  <c r="N53" i="113"/>
  <c r="L53" i="113"/>
  <c r="K53" i="113"/>
  <c r="J53" i="113"/>
  <c r="I53" i="113"/>
  <c r="F53" i="113"/>
  <c r="D53" i="113"/>
  <c r="A53" i="113"/>
  <c r="T52" i="113"/>
  <c r="S52" i="113"/>
  <c r="R52" i="113"/>
  <c r="Q52" i="113"/>
  <c r="P52" i="113"/>
  <c r="O52" i="113"/>
  <c r="N52" i="113"/>
  <c r="L52" i="113"/>
  <c r="K52" i="113"/>
  <c r="J52" i="113"/>
  <c r="I52" i="113"/>
  <c r="F52" i="113"/>
  <c r="D52" i="113"/>
  <c r="A52" i="113"/>
  <c r="T51" i="113"/>
  <c r="S51" i="113"/>
  <c r="R51" i="113"/>
  <c r="Q51" i="113"/>
  <c r="P51" i="113"/>
  <c r="O51" i="113"/>
  <c r="N51" i="113"/>
  <c r="L51" i="113"/>
  <c r="K51" i="113"/>
  <c r="J51" i="113"/>
  <c r="I51" i="113"/>
  <c r="F51" i="113"/>
  <c r="D51" i="113"/>
  <c r="A51" i="113"/>
  <c r="T50" i="113"/>
  <c r="S50" i="113"/>
  <c r="R50" i="113"/>
  <c r="Q50" i="113"/>
  <c r="P50" i="113"/>
  <c r="O50" i="113"/>
  <c r="N50" i="113"/>
  <c r="L50" i="113"/>
  <c r="K50" i="113"/>
  <c r="J50" i="113"/>
  <c r="I50" i="113"/>
  <c r="F50" i="113"/>
  <c r="D50" i="113"/>
  <c r="A50" i="113"/>
  <c r="T49" i="113"/>
  <c r="S49" i="113"/>
  <c r="R49" i="113"/>
  <c r="Q49" i="113"/>
  <c r="P49" i="113"/>
  <c r="O49" i="113"/>
  <c r="N49" i="113"/>
  <c r="L49" i="113"/>
  <c r="K49" i="113"/>
  <c r="J49" i="113"/>
  <c r="I49" i="113"/>
  <c r="F49" i="113"/>
  <c r="D49" i="113"/>
  <c r="A49" i="113"/>
  <c r="T48" i="113"/>
  <c r="S48" i="113"/>
  <c r="R48" i="113"/>
  <c r="Q48" i="113"/>
  <c r="P48" i="113"/>
  <c r="O48" i="113"/>
  <c r="N48" i="113"/>
  <c r="L48" i="113"/>
  <c r="K48" i="113"/>
  <c r="J48" i="113"/>
  <c r="I48" i="113"/>
  <c r="F48" i="113"/>
  <c r="D48" i="113"/>
  <c r="A48" i="113"/>
  <c r="T47" i="113"/>
  <c r="S47" i="113"/>
  <c r="R47" i="113"/>
  <c r="Q47" i="113"/>
  <c r="P47" i="113"/>
  <c r="O47" i="113"/>
  <c r="N47" i="113"/>
  <c r="L47" i="113"/>
  <c r="K47" i="113"/>
  <c r="J47" i="113"/>
  <c r="I47" i="113"/>
  <c r="F47" i="113"/>
  <c r="D47" i="113"/>
  <c r="A47" i="113"/>
  <c r="T46" i="113"/>
  <c r="S46" i="113"/>
  <c r="R46" i="113"/>
  <c r="Q46" i="113"/>
  <c r="P46" i="113"/>
  <c r="O46" i="113"/>
  <c r="N46" i="113"/>
  <c r="L46" i="113"/>
  <c r="K46" i="113"/>
  <c r="J46" i="113"/>
  <c r="I46" i="113"/>
  <c r="F46" i="113"/>
  <c r="D46" i="113"/>
  <c r="A46" i="113"/>
  <c r="T45" i="113"/>
  <c r="S45" i="113"/>
  <c r="R45" i="113"/>
  <c r="Q45" i="113"/>
  <c r="P45" i="113"/>
  <c r="O45" i="113"/>
  <c r="N45" i="113"/>
  <c r="L45" i="113"/>
  <c r="K45" i="113"/>
  <c r="J45" i="113"/>
  <c r="I45" i="113"/>
  <c r="F45" i="113"/>
  <c r="D45" i="113"/>
  <c r="A45" i="113"/>
  <c r="T44" i="113"/>
  <c r="S44" i="113"/>
  <c r="R44" i="113"/>
  <c r="Q44" i="113"/>
  <c r="P44" i="113"/>
  <c r="O44" i="113"/>
  <c r="N44" i="113"/>
  <c r="L44" i="113"/>
  <c r="K44" i="113"/>
  <c r="J44" i="113"/>
  <c r="I44" i="113"/>
  <c r="F44" i="113"/>
  <c r="D44" i="113"/>
  <c r="A44" i="113"/>
  <c r="T43" i="113"/>
  <c r="S43" i="113"/>
  <c r="R43" i="113"/>
  <c r="Q43" i="113"/>
  <c r="P43" i="113"/>
  <c r="O43" i="113"/>
  <c r="N43" i="113"/>
  <c r="L43" i="113"/>
  <c r="K43" i="113"/>
  <c r="J43" i="113"/>
  <c r="I43" i="113"/>
  <c r="F43" i="113"/>
  <c r="D43" i="113"/>
  <c r="A43" i="113"/>
  <c r="T42" i="113"/>
  <c r="S42" i="113"/>
  <c r="R42" i="113"/>
  <c r="Q42" i="113"/>
  <c r="P42" i="113"/>
  <c r="O42" i="113"/>
  <c r="N42" i="113"/>
  <c r="L42" i="113"/>
  <c r="K42" i="113"/>
  <c r="J42" i="113"/>
  <c r="I42" i="113"/>
  <c r="F42" i="113"/>
  <c r="D42" i="113"/>
  <c r="A42" i="113"/>
  <c r="T41" i="113"/>
  <c r="S41" i="113"/>
  <c r="R41" i="113"/>
  <c r="Q41" i="113"/>
  <c r="P41" i="113"/>
  <c r="O41" i="113"/>
  <c r="N41" i="113"/>
  <c r="L41" i="113"/>
  <c r="K41" i="113"/>
  <c r="J41" i="113"/>
  <c r="I41" i="113"/>
  <c r="F41" i="113"/>
  <c r="D41" i="113"/>
  <c r="A41" i="113"/>
  <c r="T40" i="113"/>
  <c r="S40" i="113"/>
  <c r="R40" i="113"/>
  <c r="Q40" i="113"/>
  <c r="P40" i="113"/>
  <c r="O40" i="113"/>
  <c r="N40" i="113"/>
  <c r="L40" i="113"/>
  <c r="K40" i="113"/>
  <c r="J40" i="113"/>
  <c r="I40" i="113"/>
  <c r="F40" i="113"/>
  <c r="D40" i="113"/>
  <c r="A40" i="113"/>
  <c r="T39" i="113"/>
  <c r="S39" i="113"/>
  <c r="R39" i="113"/>
  <c r="Q39" i="113"/>
  <c r="P39" i="113"/>
  <c r="O39" i="113"/>
  <c r="N39" i="113"/>
  <c r="L39" i="113"/>
  <c r="K39" i="113"/>
  <c r="J39" i="113"/>
  <c r="I39" i="113"/>
  <c r="F39" i="113"/>
  <c r="D39" i="113"/>
  <c r="A39" i="113"/>
  <c r="T38" i="113"/>
  <c r="S38" i="113"/>
  <c r="R38" i="113"/>
  <c r="Q38" i="113"/>
  <c r="P38" i="113"/>
  <c r="O38" i="113"/>
  <c r="N38" i="113"/>
  <c r="L38" i="113"/>
  <c r="K38" i="113"/>
  <c r="J38" i="113"/>
  <c r="I38" i="113"/>
  <c r="F38" i="113"/>
  <c r="D38" i="113"/>
  <c r="A38" i="113"/>
  <c r="T37" i="113"/>
  <c r="S37" i="113"/>
  <c r="R37" i="113"/>
  <c r="Q37" i="113"/>
  <c r="P37" i="113"/>
  <c r="O37" i="113"/>
  <c r="N37" i="113"/>
  <c r="L37" i="113"/>
  <c r="K37" i="113"/>
  <c r="J37" i="113"/>
  <c r="I37" i="113"/>
  <c r="F37" i="113"/>
  <c r="D37" i="113"/>
  <c r="A37" i="113"/>
  <c r="T36" i="113"/>
  <c r="S36" i="113"/>
  <c r="R36" i="113"/>
  <c r="Q36" i="113"/>
  <c r="P36" i="113"/>
  <c r="O36" i="113"/>
  <c r="N36" i="113"/>
  <c r="L36" i="113"/>
  <c r="K36" i="113"/>
  <c r="J36" i="113"/>
  <c r="I36" i="113"/>
  <c r="F36" i="113"/>
  <c r="D36" i="113"/>
  <c r="A36" i="113"/>
  <c r="T35" i="113"/>
  <c r="S35" i="113"/>
  <c r="R35" i="113"/>
  <c r="Q35" i="113"/>
  <c r="P35" i="113"/>
  <c r="O35" i="113"/>
  <c r="N35" i="113"/>
  <c r="L35" i="113"/>
  <c r="K35" i="113"/>
  <c r="J35" i="113"/>
  <c r="I35" i="113"/>
  <c r="F35" i="113"/>
  <c r="D35" i="113"/>
  <c r="A35" i="113"/>
  <c r="T34" i="113"/>
  <c r="S34" i="113"/>
  <c r="R34" i="113"/>
  <c r="Q34" i="113"/>
  <c r="P34" i="113"/>
  <c r="O34" i="113"/>
  <c r="N34" i="113"/>
  <c r="L34" i="113"/>
  <c r="K34" i="113"/>
  <c r="J34" i="113"/>
  <c r="I34" i="113"/>
  <c r="F34" i="113"/>
  <c r="D34" i="113"/>
  <c r="A34" i="113"/>
  <c r="T33" i="113"/>
  <c r="S33" i="113"/>
  <c r="R33" i="113"/>
  <c r="Q33" i="113"/>
  <c r="P33" i="113"/>
  <c r="O33" i="113"/>
  <c r="N33" i="113"/>
  <c r="L33" i="113"/>
  <c r="K33" i="113"/>
  <c r="J33" i="113"/>
  <c r="I33" i="113"/>
  <c r="F33" i="113"/>
  <c r="D33" i="113"/>
  <c r="A33" i="113"/>
  <c r="T32" i="113"/>
  <c r="S32" i="113"/>
  <c r="R32" i="113"/>
  <c r="Q32" i="113"/>
  <c r="P32" i="113"/>
  <c r="O32" i="113"/>
  <c r="N32" i="113"/>
  <c r="L32" i="113"/>
  <c r="K32" i="113"/>
  <c r="J32" i="113"/>
  <c r="I32" i="113"/>
  <c r="F32" i="113"/>
  <c r="D32" i="113"/>
  <c r="A32" i="113"/>
  <c r="T31" i="113"/>
  <c r="S31" i="113"/>
  <c r="R31" i="113"/>
  <c r="Q31" i="113"/>
  <c r="P31" i="113"/>
  <c r="O31" i="113"/>
  <c r="N31" i="113"/>
  <c r="L31" i="113"/>
  <c r="K31" i="113"/>
  <c r="J31" i="113"/>
  <c r="I31" i="113"/>
  <c r="F31" i="113"/>
  <c r="D31" i="113"/>
  <c r="A31" i="113"/>
  <c r="T30" i="113"/>
  <c r="S30" i="113"/>
  <c r="R30" i="113"/>
  <c r="Q30" i="113"/>
  <c r="P30" i="113"/>
  <c r="O30" i="113"/>
  <c r="N30" i="113"/>
  <c r="L30" i="113"/>
  <c r="K30" i="113"/>
  <c r="J30" i="113"/>
  <c r="I30" i="113"/>
  <c r="F30" i="113"/>
  <c r="D30" i="113"/>
  <c r="A30" i="113"/>
  <c r="T29" i="113"/>
  <c r="S29" i="113"/>
  <c r="R29" i="113"/>
  <c r="Q29" i="113"/>
  <c r="P29" i="113"/>
  <c r="O29" i="113"/>
  <c r="N29" i="113"/>
  <c r="L29" i="113"/>
  <c r="K29" i="113"/>
  <c r="J29" i="113"/>
  <c r="I29" i="113"/>
  <c r="F29" i="113"/>
  <c r="D29" i="113"/>
  <c r="A29" i="113"/>
  <c r="T28" i="113"/>
  <c r="S28" i="113"/>
  <c r="R28" i="113"/>
  <c r="Q28" i="113"/>
  <c r="P28" i="113"/>
  <c r="O28" i="113"/>
  <c r="N28" i="113"/>
  <c r="L28" i="113"/>
  <c r="K28" i="113"/>
  <c r="J28" i="113"/>
  <c r="I28" i="113"/>
  <c r="F28" i="113"/>
  <c r="D28" i="113"/>
  <c r="A28" i="113"/>
  <c r="T27" i="113"/>
  <c r="S27" i="113"/>
  <c r="R27" i="113"/>
  <c r="Q27" i="113"/>
  <c r="P27" i="113"/>
  <c r="O27" i="113"/>
  <c r="N27" i="113"/>
  <c r="L27" i="113"/>
  <c r="K27" i="113"/>
  <c r="J27" i="113"/>
  <c r="I27" i="113"/>
  <c r="F27" i="113"/>
  <c r="D27" i="113"/>
  <c r="A27" i="113"/>
  <c r="T26" i="113"/>
  <c r="S26" i="113"/>
  <c r="R26" i="113"/>
  <c r="Q26" i="113"/>
  <c r="P26" i="113"/>
  <c r="O26" i="113"/>
  <c r="N26" i="113"/>
  <c r="L26" i="113"/>
  <c r="K26" i="113"/>
  <c r="J26" i="113"/>
  <c r="I26" i="113"/>
  <c r="F26" i="113"/>
  <c r="D26" i="113"/>
  <c r="A26" i="113"/>
  <c r="T25" i="113"/>
  <c r="S25" i="113"/>
  <c r="R25" i="113"/>
  <c r="Q25" i="113"/>
  <c r="P25" i="113"/>
  <c r="O25" i="113"/>
  <c r="N25" i="113"/>
  <c r="L25" i="113"/>
  <c r="K25" i="113"/>
  <c r="J25" i="113"/>
  <c r="I25" i="113"/>
  <c r="F25" i="113"/>
  <c r="D25" i="113"/>
  <c r="A25" i="113"/>
  <c r="T24" i="113"/>
  <c r="S24" i="113"/>
  <c r="R24" i="113"/>
  <c r="Q24" i="113"/>
  <c r="P24" i="113"/>
  <c r="O24" i="113"/>
  <c r="N24" i="113"/>
  <c r="L24" i="113"/>
  <c r="K24" i="113"/>
  <c r="J24" i="113"/>
  <c r="I24" i="113"/>
  <c r="F24" i="113"/>
  <c r="D24" i="113"/>
  <c r="A24" i="113"/>
  <c r="T23" i="113"/>
  <c r="S23" i="113"/>
  <c r="R23" i="113"/>
  <c r="Q23" i="113"/>
  <c r="P23" i="113"/>
  <c r="O23" i="113"/>
  <c r="N23" i="113"/>
  <c r="L23" i="113"/>
  <c r="K23" i="113"/>
  <c r="J23" i="113"/>
  <c r="I23" i="113"/>
  <c r="F23" i="113"/>
  <c r="D23" i="113"/>
  <c r="A23" i="113"/>
  <c r="T22" i="113"/>
  <c r="S22" i="113"/>
  <c r="R22" i="113"/>
  <c r="Q22" i="113"/>
  <c r="P22" i="113"/>
  <c r="O22" i="113"/>
  <c r="N22" i="113"/>
  <c r="L22" i="113"/>
  <c r="K22" i="113"/>
  <c r="J22" i="113"/>
  <c r="I22" i="113"/>
  <c r="F22" i="113"/>
  <c r="D22" i="113"/>
  <c r="A22" i="113"/>
  <c r="T21" i="113"/>
  <c r="S21" i="113"/>
  <c r="R21" i="113"/>
  <c r="Q21" i="113"/>
  <c r="P21" i="113"/>
  <c r="O21" i="113"/>
  <c r="N21" i="113"/>
  <c r="L21" i="113"/>
  <c r="K21" i="113"/>
  <c r="J21" i="113"/>
  <c r="I21" i="113"/>
  <c r="F21" i="113"/>
  <c r="D21" i="113"/>
  <c r="A21" i="113"/>
  <c r="T20" i="113"/>
  <c r="S20" i="113"/>
  <c r="R20" i="113"/>
  <c r="Q20" i="113"/>
  <c r="P20" i="113"/>
  <c r="O20" i="113"/>
  <c r="N20" i="113"/>
  <c r="L20" i="113"/>
  <c r="K20" i="113"/>
  <c r="J20" i="113"/>
  <c r="I20" i="113"/>
  <c r="F20" i="113"/>
  <c r="D20" i="113"/>
  <c r="A20" i="113"/>
  <c r="T19" i="113"/>
  <c r="S19" i="113"/>
  <c r="R19" i="113"/>
  <c r="Q19" i="113"/>
  <c r="P19" i="113"/>
  <c r="O19" i="113"/>
  <c r="N19" i="113"/>
  <c r="L19" i="113"/>
  <c r="K19" i="113"/>
  <c r="J19" i="113"/>
  <c r="I19" i="113"/>
  <c r="F19" i="113"/>
  <c r="D19" i="113"/>
  <c r="A19" i="113"/>
  <c r="T18" i="113"/>
  <c r="S18" i="113"/>
  <c r="R18" i="113"/>
  <c r="Q18" i="113"/>
  <c r="P18" i="113"/>
  <c r="O18" i="113"/>
  <c r="N18" i="113"/>
  <c r="L18" i="113"/>
  <c r="K18" i="113"/>
  <c r="J18" i="113"/>
  <c r="I18" i="113"/>
  <c r="F18" i="113"/>
  <c r="D18" i="113"/>
  <c r="A18" i="113"/>
  <c r="T17" i="113"/>
  <c r="S17" i="113"/>
  <c r="R17" i="113"/>
  <c r="Q17" i="113"/>
  <c r="P17" i="113"/>
  <c r="O17" i="113"/>
  <c r="N17" i="113"/>
  <c r="L17" i="113"/>
  <c r="K17" i="113"/>
  <c r="J17" i="113"/>
  <c r="I17" i="113"/>
  <c r="F17" i="113"/>
  <c r="D17" i="113"/>
  <c r="A17" i="113"/>
  <c r="T16" i="113"/>
  <c r="S16" i="113"/>
  <c r="R16" i="113"/>
  <c r="Q16" i="113"/>
  <c r="P16" i="113"/>
  <c r="O16" i="113"/>
  <c r="N16" i="113"/>
  <c r="L16" i="113"/>
  <c r="K16" i="113"/>
  <c r="J16" i="113"/>
  <c r="I16" i="113"/>
  <c r="F16" i="113"/>
  <c r="D16" i="113"/>
  <c r="A16" i="113"/>
  <c r="T15" i="113"/>
  <c r="S15" i="113"/>
  <c r="R15" i="113"/>
  <c r="Q15" i="113"/>
  <c r="P15" i="113"/>
  <c r="O15" i="113"/>
  <c r="N15" i="113"/>
  <c r="L15" i="113"/>
  <c r="K15" i="113"/>
  <c r="J15" i="113"/>
  <c r="I15" i="113"/>
  <c r="F15" i="113"/>
  <c r="D15" i="113"/>
  <c r="A15" i="113"/>
  <c r="T14" i="113"/>
  <c r="S14" i="113"/>
  <c r="R14" i="113"/>
  <c r="Q14" i="113"/>
  <c r="P14" i="113"/>
  <c r="O14" i="113"/>
  <c r="N14" i="113"/>
  <c r="L14" i="113"/>
  <c r="K14" i="113"/>
  <c r="J14" i="113"/>
  <c r="I14" i="113"/>
  <c r="F14" i="113"/>
  <c r="D14" i="113"/>
  <c r="A14" i="113"/>
  <c r="T13" i="113"/>
  <c r="S13" i="113"/>
  <c r="R13" i="113"/>
  <c r="Q13" i="113"/>
  <c r="P13" i="113"/>
  <c r="O13" i="113"/>
  <c r="N13" i="113"/>
  <c r="L13" i="113"/>
  <c r="K13" i="113"/>
  <c r="J13" i="113"/>
  <c r="I13" i="113"/>
  <c r="F13" i="113"/>
  <c r="D13" i="113"/>
  <c r="A13" i="113"/>
  <c r="T12" i="113"/>
  <c r="S12" i="113"/>
  <c r="R12" i="113"/>
  <c r="Q12" i="113"/>
  <c r="P12" i="113"/>
  <c r="O12" i="113"/>
  <c r="N12" i="113"/>
  <c r="L12" i="113"/>
  <c r="K12" i="113"/>
  <c r="J12" i="113"/>
  <c r="I12" i="113"/>
  <c r="F12" i="113"/>
  <c r="D12" i="113"/>
  <c r="A12" i="113"/>
  <c r="T11" i="113"/>
  <c r="S11" i="113"/>
  <c r="R11" i="113"/>
  <c r="Q11" i="113"/>
  <c r="P11" i="113"/>
  <c r="O11" i="113"/>
  <c r="N11" i="113"/>
  <c r="L11" i="113"/>
  <c r="K11" i="113"/>
  <c r="J11" i="113"/>
  <c r="I11" i="113"/>
  <c r="F11" i="113"/>
  <c r="D11" i="113"/>
  <c r="A11" i="113"/>
  <c r="T10" i="113"/>
  <c r="S10" i="113"/>
  <c r="R10" i="113"/>
  <c r="Q10" i="113"/>
  <c r="P10" i="113"/>
  <c r="O10" i="113"/>
  <c r="N10" i="113"/>
  <c r="L10" i="113"/>
  <c r="K10" i="113"/>
  <c r="J10" i="113"/>
  <c r="I10" i="113"/>
  <c r="F10" i="113"/>
  <c r="D10" i="113"/>
  <c r="A10" i="113"/>
  <c r="T9" i="113"/>
  <c r="S9" i="113"/>
  <c r="R9" i="113"/>
  <c r="Q9" i="113"/>
  <c r="P9" i="113"/>
  <c r="O9" i="113"/>
  <c r="N9" i="113"/>
  <c r="L9" i="113"/>
  <c r="K9" i="113"/>
  <c r="J9" i="113"/>
  <c r="I9" i="113"/>
  <c r="F9" i="113"/>
  <c r="D9" i="113"/>
  <c r="A9" i="113"/>
  <c r="T8" i="113"/>
  <c r="S8" i="113"/>
  <c r="R8" i="113"/>
  <c r="Q8" i="113"/>
  <c r="P8" i="113"/>
  <c r="O8" i="113"/>
  <c r="N8" i="113"/>
  <c r="L8" i="113"/>
  <c r="K8" i="113"/>
  <c r="J8" i="113"/>
  <c r="I8" i="113"/>
  <c r="F8" i="113"/>
  <c r="D8" i="113"/>
  <c r="A8" i="113"/>
  <c r="T7" i="113"/>
  <c r="S7" i="113"/>
  <c r="R7" i="113"/>
  <c r="Q7" i="113"/>
  <c r="P7" i="113"/>
  <c r="O7" i="113"/>
  <c r="N7" i="113"/>
  <c r="L7" i="113"/>
  <c r="K7" i="113"/>
  <c r="J7" i="113"/>
  <c r="I7" i="113"/>
  <c r="F7" i="113"/>
  <c r="D7" i="113"/>
  <c r="A7" i="113"/>
  <c r="T6" i="113"/>
  <c r="S6" i="113"/>
  <c r="R6" i="113"/>
  <c r="Q6" i="113"/>
  <c r="P6" i="113"/>
  <c r="O6" i="113"/>
  <c r="N6" i="113"/>
  <c r="L6" i="113"/>
  <c r="K6" i="113"/>
  <c r="J6" i="113"/>
  <c r="I6" i="113"/>
  <c r="F6" i="113"/>
  <c r="D6" i="113"/>
  <c r="A6" i="113"/>
  <c r="T5" i="113"/>
  <c r="S5" i="113"/>
  <c r="R5" i="113"/>
  <c r="Q5" i="113"/>
  <c r="P5" i="113"/>
  <c r="O5" i="113"/>
  <c r="N5" i="113"/>
  <c r="L5" i="113"/>
  <c r="K5" i="113"/>
  <c r="J5" i="113"/>
  <c r="I5" i="113"/>
  <c r="F5" i="113"/>
  <c r="D5" i="113"/>
  <c r="A5" i="113"/>
  <c r="T4" i="113"/>
  <c r="S4" i="113"/>
  <c r="R4" i="113"/>
  <c r="Q4" i="113"/>
  <c r="P4" i="113"/>
  <c r="O4" i="113"/>
  <c r="N4" i="113"/>
  <c r="L4" i="113"/>
  <c r="K4" i="113"/>
  <c r="J4" i="113"/>
  <c r="I4" i="113"/>
  <c r="F4" i="113"/>
  <c r="D4" i="113"/>
  <c r="A4" i="113"/>
  <c r="T3" i="113"/>
  <c r="S3" i="113"/>
  <c r="R3" i="113"/>
  <c r="Q3" i="113"/>
  <c r="P3" i="113"/>
  <c r="O3" i="113"/>
  <c r="N3" i="113"/>
  <c r="L3" i="113"/>
  <c r="K3" i="113"/>
  <c r="J3" i="113"/>
  <c r="I3" i="113"/>
  <c r="F3" i="113"/>
  <c r="D3" i="113"/>
  <c r="A3" i="113"/>
  <c r="T2" i="113"/>
  <c r="S2" i="113"/>
  <c r="R2" i="113"/>
  <c r="Q2" i="113"/>
  <c r="P2" i="113"/>
  <c r="O2" i="113"/>
  <c r="N2" i="113"/>
  <c r="L2" i="113"/>
  <c r="K2" i="113"/>
  <c r="J2" i="113"/>
  <c r="I2" i="113"/>
  <c r="F2" i="113"/>
  <c r="D2" i="113"/>
  <c r="A2" i="113"/>
  <c r="B44" i="112"/>
  <c r="B40" i="112"/>
  <c r="B41" i="112"/>
  <c r="B42" i="112"/>
  <c r="B43" i="112"/>
  <c r="B45" i="112"/>
  <c r="B46" i="112"/>
  <c r="B47" i="112"/>
  <c r="B48" i="112"/>
  <c r="B49" i="112"/>
  <c r="B50" i="112"/>
  <c r="B51" i="112"/>
  <c r="C44" i="112"/>
  <c r="C45" i="112"/>
  <c r="C49" i="112"/>
  <c r="C50" i="112"/>
  <c r="F51" i="112"/>
  <c r="C42" i="112"/>
  <c r="C43" i="112"/>
  <c r="C47" i="112"/>
  <c r="C48" i="112"/>
  <c r="F50" i="112"/>
  <c r="C40" i="112"/>
  <c r="C41" i="112"/>
  <c r="C46" i="112"/>
  <c r="F47" i="112"/>
  <c r="F42" i="112"/>
  <c r="F41" i="112"/>
  <c r="F40" i="112"/>
  <c r="B28" i="112"/>
  <c r="C21" i="112"/>
  <c r="C22" i="112"/>
  <c r="C28" i="112"/>
  <c r="D28" i="112"/>
  <c r="I27" i="112"/>
  <c r="J27" i="112"/>
  <c r="F27" i="112"/>
  <c r="I26" i="112"/>
  <c r="J26" i="112"/>
  <c r="F26" i="112"/>
  <c r="I25" i="112"/>
  <c r="J25" i="112"/>
  <c r="F25" i="112"/>
  <c r="I24" i="112"/>
  <c r="J24" i="112"/>
  <c r="F24" i="112"/>
  <c r="I23" i="112"/>
  <c r="J23" i="112"/>
  <c r="F23" i="112"/>
  <c r="D22" i="112"/>
  <c r="G22" i="112"/>
  <c r="E22" i="112"/>
  <c r="H22" i="112"/>
  <c r="I22" i="112"/>
  <c r="J22" i="112"/>
  <c r="F22" i="112"/>
  <c r="D21" i="112"/>
  <c r="G21" i="112"/>
  <c r="E21" i="112"/>
  <c r="H21" i="112"/>
  <c r="I21" i="112"/>
  <c r="J21" i="112"/>
  <c r="F21" i="112"/>
  <c r="I20" i="112"/>
  <c r="J20" i="112"/>
  <c r="F20" i="112"/>
  <c r="I19" i="112"/>
  <c r="J19" i="112"/>
  <c r="F19" i="112"/>
  <c r="I18" i="112"/>
  <c r="J18" i="112"/>
  <c r="F18" i="112"/>
  <c r="I17" i="112"/>
  <c r="J17" i="112"/>
  <c r="F17" i="112"/>
  <c r="B10" i="112"/>
  <c r="T249" i="111"/>
  <c r="S249" i="111"/>
  <c r="R249" i="111"/>
  <c r="Q249" i="111"/>
  <c r="P249" i="111"/>
  <c r="O249" i="111"/>
  <c r="C26" i="110"/>
  <c r="B5" i="110"/>
  <c r="B17" i="110"/>
  <c r="C17" i="110"/>
  <c r="D17" i="110"/>
  <c r="B18" i="110"/>
  <c r="C18" i="110"/>
  <c r="D18" i="110"/>
  <c r="C23" i="110"/>
  <c r="C19" i="110"/>
  <c r="D19" i="110"/>
  <c r="C24" i="110"/>
  <c r="D24" i="110"/>
  <c r="C20" i="110"/>
  <c r="D20" i="110"/>
  <c r="C25" i="110"/>
  <c r="D25" i="110"/>
  <c r="C27" i="110"/>
  <c r="N249" i="111"/>
  <c r="L249" i="111"/>
  <c r="K249" i="111"/>
  <c r="J249" i="111"/>
  <c r="F249" i="111"/>
  <c r="A249" i="111"/>
  <c r="T248" i="111"/>
  <c r="S248" i="111"/>
  <c r="R248" i="111"/>
  <c r="Q248" i="111"/>
  <c r="P248" i="111"/>
  <c r="O248" i="111"/>
  <c r="N248" i="111"/>
  <c r="L248" i="111"/>
  <c r="K248" i="111"/>
  <c r="J248" i="111"/>
  <c r="F248" i="111"/>
  <c r="A248" i="111"/>
  <c r="T247" i="111"/>
  <c r="S247" i="111"/>
  <c r="R247" i="111"/>
  <c r="Q247" i="111"/>
  <c r="P247" i="111"/>
  <c r="O247" i="111"/>
  <c r="N247" i="111"/>
  <c r="L247" i="111"/>
  <c r="K247" i="111"/>
  <c r="J247" i="111"/>
  <c r="F247" i="111"/>
  <c r="A247" i="111"/>
  <c r="T246" i="111"/>
  <c r="S246" i="111"/>
  <c r="R246" i="111"/>
  <c r="Q246" i="111"/>
  <c r="P246" i="111"/>
  <c r="O246" i="111"/>
  <c r="N246" i="111"/>
  <c r="L246" i="111"/>
  <c r="K246" i="111"/>
  <c r="J246" i="111"/>
  <c r="F246" i="111"/>
  <c r="A246" i="111"/>
  <c r="T245" i="111"/>
  <c r="S245" i="111"/>
  <c r="R245" i="111"/>
  <c r="Q245" i="111"/>
  <c r="P245" i="111"/>
  <c r="O245" i="111"/>
  <c r="N245" i="111"/>
  <c r="L245" i="111"/>
  <c r="K245" i="111"/>
  <c r="J245" i="111"/>
  <c r="I245" i="111"/>
  <c r="F245" i="111"/>
  <c r="D245" i="111"/>
  <c r="A245" i="111"/>
  <c r="T244" i="111"/>
  <c r="S244" i="111"/>
  <c r="R244" i="111"/>
  <c r="Q244" i="111"/>
  <c r="P244" i="111"/>
  <c r="O244" i="111"/>
  <c r="N244" i="111"/>
  <c r="L244" i="111"/>
  <c r="K244" i="111"/>
  <c r="J244" i="111"/>
  <c r="I244" i="111"/>
  <c r="F244" i="111"/>
  <c r="D244" i="111"/>
  <c r="A244" i="111"/>
  <c r="T243" i="111"/>
  <c r="S243" i="111"/>
  <c r="R243" i="111"/>
  <c r="Q243" i="111"/>
  <c r="P243" i="111"/>
  <c r="O243" i="111"/>
  <c r="N243" i="111"/>
  <c r="L243" i="111"/>
  <c r="K243" i="111"/>
  <c r="J243" i="111"/>
  <c r="I243" i="111"/>
  <c r="F243" i="111"/>
  <c r="D243" i="111"/>
  <c r="A243" i="111"/>
  <c r="T242" i="111"/>
  <c r="S242" i="111"/>
  <c r="R242" i="111"/>
  <c r="Q242" i="111"/>
  <c r="P242" i="111"/>
  <c r="O242" i="111"/>
  <c r="N242" i="111"/>
  <c r="L242" i="111"/>
  <c r="K242" i="111"/>
  <c r="J242" i="111"/>
  <c r="I242" i="111"/>
  <c r="F242" i="111"/>
  <c r="D242" i="111"/>
  <c r="A242" i="111"/>
  <c r="T241" i="111"/>
  <c r="S241" i="111"/>
  <c r="R241" i="111"/>
  <c r="Q241" i="111"/>
  <c r="P241" i="111"/>
  <c r="O241" i="111"/>
  <c r="N241" i="111"/>
  <c r="L241" i="111"/>
  <c r="K241" i="111"/>
  <c r="J241" i="111"/>
  <c r="I241" i="111"/>
  <c r="F241" i="111"/>
  <c r="D241" i="111"/>
  <c r="A241" i="111"/>
  <c r="T240" i="111"/>
  <c r="S240" i="111"/>
  <c r="R240" i="111"/>
  <c r="Q240" i="111"/>
  <c r="P240" i="111"/>
  <c r="O240" i="111"/>
  <c r="N240" i="111"/>
  <c r="L240" i="111"/>
  <c r="K240" i="111"/>
  <c r="J240" i="111"/>
  <c r="I240" i="111"/>
  <c r="F240" i="111"/>
  <c r="D240" i="111"/>
  <c r="A240" i="111"/>
  <c r="T239" i="111"/>
  <c r="S239" i="111"/>
  <c r="R239" i="111"/>
  <c r="Q239" i="111"/>
  <c r="P239" i="111"/>
  <c r="O239" i="111"/>
  <c r="N239" i="111"/>
  <c r="L239" i="111"/>
  <c r="K239" i="111"/>
  <c r="J239" i="111"/>
  <c r="F239" i="111"/>
  <c r="A239" i="111"/>
  <c r="T238" i="111"/>
  <c r="S238" i="111"/>
  <c r="R238" i="111"/>
  <c r="Q238" i="111"/>
  <c r="P238" i="111"/>
  <c r="O238" i="111"/>
  <c r="N238" i="111"/>
  <c r="L238" i="111"/>
  <c r="K238" i="111"/>
  <c r="J238" i="111"/>
  <c r="F238" i="111"/>
  <c r="A238" i="111"/>
  <c r="T237" i="111"/>
  <c r="S237" i="111"/>
  <c r="R237" i="111"/>
  <c r="Q237" i="111"/>
  <c r="P237" i="111"/>
  <c r="O237" i="111"/>
  <c r="N237" i="111"/>
  <c r="L237" i="111"/>
  <c r="K237" i="111"/>
  <c r="J237" i="111"/>
  <c r="F237" i="111"/>
  <c r="A237" i="111"/>
  <c r="T236" i="111"/>
  <c r="S236" i="111"/>
  <c r="R236" i="111"/>
  <c r="Q236" i="111"/>
  <c r="P236" i="111"/>
  <c r="O236" i="111"/>
  <c r="N236" i="111"/>
  <c r="L236" i="111"/>
  <c r="K236" i="111"/>
  <c r="J236" i="111"/>
  <c r="F236" i="111"/>
  <c r="A236" i="111"/>
  <c r="T235" i="111"/>
  <c r="S235" i="111"/>
  <c r="R235" i="111"/>
  <c r="Q235" i="111"/>
  <c r="P235" i="111"/>
  <c r="O235" i="111"/>
  <c r="N235" i="111"/>
  <c r="L235" i="111"/>
  <c r="K235" i="111"/>
  <c r="J235" i="111"/>
  <c r="I235" i="111"/>
  <c r="F235" i="111"/>
  <c r="D235" i="111"/>
  <c r="A235" i="111"/>
  <c r="T234" i="111"/>
  <c r="S234" i="111"/>
  <c r="R234" i="111"/>
  <c r="Q234" i="111"/>
  <c r="P234" i="111"/>
  <c r="O234" i="111"/>
  <c r="N234" i="111"/>
  <c r="L234" i="111"/>
  <c r="K234" i="111"/>
  <c r="J234" i="111"/>
  <c r="I234" i="111"/>
  <c r="F234" i="111"/>
  <c r="D234" i="111"/>
  <c r="A234" i="111"/>
  <c r="T233" i="111"/>
  <c r="S233" i="111"/>
  <c r="R233" i="111"/>
  <c r="Q233" i="111"/>
  <c r="P233" i="111"/>
  <c r="O233" i="111"/>
  <c r="N233" i="111"/>
  <c r="L233" i="111"/>
  <c r="K233" i="111"/>
  <c r="J233" i="111"/>
  <c r="I233" i="111"/>
  <c r="F233" i="111"/>
  <c r="D233" i="111"/>
  <c r="A233" i="111"/>
  <c r="T232" i="111"/>
  <c r="S232" i="111"/>
  <c r="R232" i="111"/>
  <c r="Q232" i="111"/>
  <c r="P232" i="111"/>
  <c r="O232" i="111"/>
  <c r="N232" i="111"/>
  <c r="L232" i="111"/>
  <c r="K232" i="111"/>
  <c r="J232" i="111"/>
  <c r="F232" i="111"/>
  <c r="A232" i="111"/>
  <c r="T231" i="111"/>
  <c r="S231" i="111"/>
  <c r="R231" i="111"/>
  <c r="Q231" i="111"/>
  <c r="P231" i="111"/>
  <c r="O231" i="111"/>
  <c r="N231" i="111"/>
  <c r="L231" i="111"/>
  <c r="K231" i="111"/>
  <c r="J231" i="111"/>
  <c r="F231" i="111"/>
  <c r="A231" i="111"/>
  <c r="T230" i="111"/>
  <c r="S230" i="111"/>
  <c r="R230" i="111"/>
  <c r="Q230" i="111"/>
  <c r="P230" i="111"/>
  <c r="O230" i="111"/>
  <c r="N230" i="111"/>
  <c r="L230" i="111"/>
  <c r="K230" i="111"/>
  <c r="J230" i="111"/>
  <c r="I230" i="111"/>
  <c r="F230" i="111"/>
  <c r="D230" i="111"/>
  <c r="A230" i="111"/>
  <c r="T229" i="111"/>
  <c r="S229" i="111"/>
  <c r="R229" i="111"/>
  <c r="Q229" i="111"/>
  <c r="P229" i="111"/>
  <c r="O229" i="111"/>
  <c r="N229" i="111"/>
  <c r="L229" i="111"/>
  <c r="K229" i="111"/>
  <c r="J229" i="111"/>
  <c r="I229" i="111"/>
  <c r="F229" i="111"/>
  <c r="D229" i="111"/>
  <c r="A229" i="111"/>
  <c r="T228" i="111"/>
  <c r="S228" i="111"/>
  <c r="R228" i="111"/>
  <c r="Q228" i="111"/>
  <c r="P228" i="111"/>
  <c r="O228" i="111"/>
  <c r="N228" i="111"/>
  <c r="L228" i="111"/>
  <c r="K228" i="111"/>
  <c r="J228" i="111"/>
  <c r="I228" i="111"/>
  <c r="F228" i="111"/>
  <c r="D228" i="111"/>
  <c r="A228" i="111"/>
  <c r="T227" i="111"/>
  <c r="S227" i="111"/>
  <c r="R227" i="111"/>
  <c r="Q227" i="111"/>
  <c r="P227" i="111"/>
  <c r="O227" i="111"/>
  <c r="N227" i="111"/>
  <c r="L227" i="111"/>
  <c r="K227" i="111"/>
  <c r="J227" i="111"/>
  <c r="I227" i="111"/>
  <c r="F227" i="111"/>
  <c r="D227" i="111"/>
  <c r="A227" i="111"/>
  <c r="T226" i="111"/>
  <c r="S226" i="111"/>
  <c r="R226" i="111"/>
  <c r="Q226" i="111"/>
  <c r="P226" i="111"/>
  <c r="O226" i="111"/>
  <c r="N226" i="111"/>
  <c r="L226" i="111"/>
  <c r="K226" i="111"/>
  <c r="J226" i="111"/>
  <c r="I226" i="111"/>
  <c r="F226" i="111"/>
  <c r="D226" i="111"/>
  <c r="A226" i="111"/>
  <c r="T225" i="111"/>
  <c r="S225" i="111"/>
  <c r="R225" i="111"/>
  <c r="Q225" i="111"/>
  <c r="P225" i="111"/>
  <c r="O225" i="111"/>
  <c r="N225" i="111"/>
  <c r="L225" i="111"/>
  <c r="K225" i="111"/>
  <c r="J225" i="111"/>
  <c r="I225" i="111"/>
  <c r="F225" i="111"/>
  <c r="D225" i="111"/>
  <c r="A225" i="111"/>
  <c r="T224" i="111"/>
  <c r="S224" i="111"/>
  <c r="R224" i="111"/>
  <c r="Q224" i="111"/>
  <c r="P224" i="111"/>
  <c r="O224" i="111"/>
  <c r="N224" i="111"/>
  <c r="L224" i="111"/>
  <c r="K224" i="111"/>
  <c r="J224" i="111"/>
  <c r="F224" i="111"/>
  <c r="A224" i="111"/>
  <c r="T223" i="111"/>
  <c r="S223" i="111"/>
  <c r="R223" i="111"/>
  <c r="Q223" i="111"/>
  <c r="P223" i="111"/>
  <c r="O223" i="111"/>
  <c r="N223" i="111"/>
  <c r="L223" i="111"/>
  <c r="K223" i="111"/>
  <c r="J223" i="111"/>
  <c r="F223" i="111"/>
  <c r="A223" i="111"/>
  <c r="T222" i="111"/>
  <c r="S222" i="111"/>
  <c r="R222" i="111"/>
  <c r="Q222" i="111"/>
  <c r="P222" i="111"/>
  <c r="O222" i="111"/>
  <c r="N222" i="111"/>
  <c r="L222" i="111"/>
  <c r="K222" i="111"/>
  <c r="J222" i="111"/>
  <c r="I222" i="111"/>
  <c r="F222" i="111"/>
  <c r="D222" i="111"/>
  <c r="A222" i="111"/>
  <c r="T221" i="111"/>
  <c r="S221" i="111"/>
  <c r="R221" i="111"/>
  <c r="Q221" i="111"/>
  <c r="P221" i="111"/>
  <c r="O221" i="111"/>
  <c r="N221" i="111"/>
  <c r="L221" i="111"/>
  <c r="K221" i="111"/>
  <c r="J221" i="111"/>
  <c r="I221" i="111"/>
  <c r="F221" i="111"/>
  <c r="D221" i="111"/>
  <c r="A221" i="111"/>
  <c r="T220" i="111"/>
  <c r="S220" i="111"/>
  <c r="R220" i="111"/>
  <c r="Q220" i="111"/>
  <c r="P220" i="111"/>
  <c r="O220" i="111"/>
  <c r="N220" i="111"/>
  <c r="L220" i="111"/>
  <c r="K220" i="111"/>
  <c r="J220" i="111"/>
  <c r="I220" i="111"/>
  <c r="F220" i="111"/>
  <c r="D220" i="111"/>
  <c r="A220" i="111"/>
  <c r="T219" i="111"/>
  <c r="S219" i="111"/>
  <c r="R219" i="111"/>
  <c r="Q219" i="111"/>
  <c r="P219" i="111"/>
  <c r="O219" i="111"/>
  <c r="N219" i="111"/>
  <c r="L219" i="111"/>
  <c r="K219" i="111"/>
  <c r="J219" i="111"/>
  <c r="I219" i="111"/>
  <c r="F219" i="111"/>
  <c r="D219" i="111"/>
  <c r="A219" i="111"/>
  <c r="T218" i="111"/>
  <c r="S218" i="111"/>
  <c r="R218" i="111"/>
  <c r="Q218" i="111"/>
  <c r="P218" i="111"/>
  <c r="O218" i="111"/>
  <c r="N218" i="111"/>
  <c r="L218" i="111"/>
  <c r="K218" i="111"/>
  <c r="J218" i="111"/>
  <c r="I218" i="111"/>
  <c r="F218" i="111"/>
  <c r="D218" i="111"/>
  <c r="A218" i="111"/>
  <c r="T217" i="111"/>
  <c r="S217" i="111"/>
  <c r="R217" i="111"/>
  <c r="Q217" i="111"/>
  <c r="P217" i="111"/>
  <c r="O217" i="111"/>
  <c r="N217" i="111"/>
  <c r="L217" i="111"/>
  <c r="K217" i="111"/>
  <c r="J217" i="111"/>
  <c r="I217" i="111"/>
  <c r="F217" i="111"/>
  <c r="D217" i="111"/>
  <c r="A217" i="111"/>
  <c r="T216" i="111"/>
  <c r="S216" i="111"/>
  <c r="R216" i="111"/>
  <c r="Q216" i="111"/>
  <c r="P216" i="111"/>
  <c r="O216" i="111"/>
  <c r="N216" i="111"/>
  <c r="L216" i="111"/>
  <c r="K216" i="111"/>
  <c r="J216" i="111"/>
  <c r="F216" i="111"/>
  <c r="A216" i="111"/>
  <c r="T215" i="111"/>
  <c r="S215" i="111"/>
  <c r="R215" i="111"/>
  <c r="Q215" i="111"/>
  <c r="P215" i="111"/>
  <c r="O215" i="111"/>
  <c r="N215" i="111"/>
  <c r="L215" i="111"/>
  <c r="K215" i="111"/>
  <c r="J215" i="111"/>
  <c r="F215" i="111"/>
  <c r="A215" i="111"/>
  <c r="T214" i="111"/>
  <c r="S214" i="111"/>
  <c r="R214" i="111"/>
  <c r="Q214" i="111"/>
  <c r="P214" i="111"/>
  <c r="O214" i="111"/>
  <c r="N214" i="111"/>
  <c r="L214" i="111"/>
  <c r="K214" i="111"/>
  <c r="J214" i="111"/>
  <c r="F214" i="111"/>
  <c r="A214" i="111"/>
  <c r="T213" i="111"/>
  <c r="S213" i="111"/>
  <c r="R213" i="111"/>
  <c r="Q213" i="111"/>
  <c r="P213" i="111"/>
  <c r="O213" i="111"/>
  <c r="N213" i="111"/>
  <c r="L213" i="111"/>
  <c r="K213" i="111"/>
  <c r="J213" i="111"/>
  <c r="F213" i="111"/>
  <c r="A213" i="111"/>
  <c r="T212" i="111"/>
  <c r="S212" i="111"/>
  <c r="R212" i="111"/>
  <c r="Q212" i="111"/>
  <c r="P212" i="111"/>
  <c r="O212" i="111"/>
  <c r="N212" i="111"/>
  <c r="L212" i="111"/>
  <c r="K212" i="111"/>
  <c r="J212" i="111"/>
  <c r="I212" i="111"/>
  <c r="F212" i="111"/>
  <c r="D212" i="111"/>
  <c r="A212" i="111"/>
  <c r="T211" i="111"/>
  <c r="S211" i="111"/>
  <c r="R211" i="111"/>
  <c r="Q211" i="111"/>
  <c r="P211" i="111"/>
  <c r="O211" i="111"/>
  <c r="N211" i="111"/>
  <c r="L211" i="111"/>
  <c r="K211" i="111"/>
  <c r="J211" i="111"/>
  <c r="I211" i="111"/>
  <c r="F211" i="111"/>
  <c r="D211" i="111"/>
  <c r="A211" i="111"/>
  <c r="T210" i="111"/>
  <c r="S210" i="111"/>
  <c r="R210" i="111"/>
  <c r="Q210" i="111"/>
  <c r="P210" i="111"/>
  <c r="O210" i="111"/>
  <c r="N210" i="111"/>
  <c r="L210" i="111"/>
  <c r="K210" i="111"/>
  <c r="J210" i="111"/>
  <c r="I210" i="111"/>
  <c r="F210" i="111"/>
  <c r="D210" i="111"/>
  <c r="A210" i="111"/>
  <c r="T209" i="111"/>
  <c r="S209" i="111"/>
  <c r="R209" i="111"/>
  <c r="Q209" i="111"/>
  <c r="P209" i="111"/>
  <c r="O209" i="111"/>
  <c r="N209" i="111"/>
  <c r="L209" i="111"/>
  <c r="K209" i="111"/>
  <c r="J209" i="111"/>
  <c r="F209" i="111"/>
  <c r="A209" i="111"/>
  <c r="T208" i="111"/>
  <c r="S208" i="111"/>
  <c r="R208" i="111"/>
  <c r="Q208" i="111"/>
  <c r="P208" i="111"/>
  <c r="O208" i="111"/>
  <c r="N208" i="111"/>
  <c r="L208" i="111"/>
  <c r="K208" i="111"/>
  <c r="J208" i="111"/>
  <c r="F208" i="111"/>
  <c r="A208" i="111"/>
  <c r="T207" i="111"/>
  <c r="S207" i="111"/>
  <c r="R207" i="111"/>
  <c r="Q207" i="111"/>
  <c r="P207" i="111"/>
  <c r="O207" i="111"/>
  <c r="N207" i="111"/>
  <c r="L207" i="111"/>
  <c r="K207" i="111"/>
  <c r="J207" i="111"/>
  <c r="F207" i="111"/>
  <c r="A207" i="111"/>
  <c r="T206" i="111"/>
  <c r="S206" i="111"/>
  <c r="R206" i="111"/>
  <c r="Q206" i="111"/>
  <c r="P206" i="111"/>
  <c r="O206" i="111"/>
  <c r="N206" i="111"/>
  <c r="L206" i="111"/>
  <c r="K206" i="111"/>
  <c r="J206" i="111"/>
  <c r="F206" i="111"/>
  <c r="A206" i="111"/>
  <c r="T205" i="111"/>
  <c r="S205" i="111"/>
  <c r="R205" i="111"/>
  <c r="Q205" i="111"/>
  <c r="P205" i="111"/>
  <c r="O205" i="111"/>
  <c r="N205" i="111"/>
  <c r="L205" i="111"/>
  <c r="K205" i="111"/>
  <c r="J205" i="111"/>
  <c r="I205" i="111"/>
  <c r="F205" i="111"/>
  <c r="D205" i="111"/>
  <c r="A205" i="111"/>
  <c r="T204" i="111"/>
  <c r="S204" i="111"/>
  <c r="R204" i="111"/>
  <c r="Q204" i="111"/>
  <c r="P204" i="111"/>
  <c r="O204" i="111"/>
  <c r="N204" i="111"/>
  <c r="L204" i="111"/>
  <c r="K204" i="111"/>
  <c r="J204" i="111"/>
  <c r="I204" i="111"/>
  <c r="F204" i="111"/>
  <c r="D204" i="111"/>
  <c r="A204" i="111"/>
  <c r="T203" i="111"/>
  <c r="S203" i="111"/>
  <c r="R203" i="111"/>
  <c r="Q203" i="111"/>
  <c r="P203" i="111"/>
  <c r="O203" i="111"/>
  <c r="N203" i="111"/>
  <c r="L203" i="111"/>
  <c r="K203" i="111"/>
  <c r="J203" i="111"/>
  <c r="I203" i="111"/>
  <c r="F203" i="111"/>
  <c r="D203" i="111"/>
  <c r="A203" i="111"/>
  <c r="T202" i="111"/>
  <c r="S202" i="111"/>
  <c r="R202" i="111"/>
  <c r="Q202" i="111"/>
  <c r="P202" i="111"/>
  <c r="O202" i="111"/>
  <c r="N202" i="111"/>
  <c r="L202" i="111"/>
  <c r="K202" i="111"/>
  <c r="J202" i="111"/>
  <c r="F202" i="111"/>
  <c r="A202" i="111"/>
  <c r="T201" i="111"/>
  <c r="S201" i="111"/>
  <c r="R201" i="111"/>
  <c r="Q201" i="111"/>
  <c r="P201" i="111"/>
  <c r="O201" i="111"/>
  <c r="N201" i="111"/>
  <c r="L201" i="111"/>
  <c r="K201" i="111"/>
  <c r="J201" i="111"/>
  <c r="F201" i="111"/>
  <c r="A201" i="111"/>
  <c r="T200" i="111"/>
  <c r="S200" i="111"/>
  <c r="R200" i="111"/>
  <c r="Q200" i="111"/>
  <c r="P200" i="111"/>
  <c r="O200" i="111"/>
  <c r="N200" i="111"/>
  <c r="L200" i="111"/>
  <c r="K200" i="111"/>
  <c r="J200" i="111"/>
  <c r="I200" i="111"/>
  <c r="F200" i="111"/>
  <c r="D200" i="111"/>
  <c r="A200" i="111"/>
  <c r="T199" i="111"/>
  <c r="S199" i="111"/>
  <c r="R199" i="111"/>
  <c r="Q199" i="111"/>
  <c r="P199" i="111"/>
  <c r="O199" i="111"/>
  <c r="N199" i="111"/>
  <c r="L199" i="111"/>
  <c r="K199" i="111"/>
  <c r="J199" i="111"/>
  <c r="I199" i="111"/>
  <c r="F199" i="111"/>
  <c r="D199" i="111"/>
  <c r="A199" i="111"/>
  <c r="T198" i="111"/>
  <c r="S198" i="111"/>
  <c r="R198" i="111"/>
  <c r="Q198" i="111"/>
  <c r="P198" i="111"/>
  <c r="O198" i="111"/>
  <c r="N198" i="111"/>
  <c r="L198" i="111"/>
  <c r="K198" i="111"/>
  <c r="J198" i="111"/>
  <c r="I198" i="111"/>
  <c r="F198" i="111"/>
  <c r="D198" i="111"/>
  <c r="A198" i="111"/>
  <c r="T197" i="111"/>
  <c r="S197" i="111"/>
  <c r="R197" i="111"/>
  <c r="Q197" i="111"/>
  <c r="P197" i="111"/>
  <c r="O197" i="111"/>
  <c r="N197" i="111"/>
  <c r="L197" i="111"/>
  <c r="K197" i="111"/>
  <c r="J197" i="111"/>
  <c r="F197" i="111"/>
  <c r="A197" i="111"/>
  <c r="T196" i="111"/>
  <c r="S196" i="111"/>
  <c r="R196" i="111"/>
  <c r="Q196" i="111"/>
  <c r="P196" i="111"/>
  <c r="O196" i="111"/>
  <c r="N196" i="111"/>
  <c r="L196" i="111"/>
  <c r="K196" i="111"/>
  <c r="J196" i="111"/>
  <c r="F196" i="111"/>
  <c r="A196" i="111"/>
  <c r="T195" i="111"/>
  <c r="S195" i="111"/>
  <c r="R195" i="111"/>
  <c r="Q195" i="111"/>
  <c r="P195" i="111"/>
  <c r="O195" i="111"/>
  <c r="N195" i="111"/>
  <c r="L195" i="111"/>
  <c r="K195" i="111"/>
  <c r="J195" i="111"/>
  <c r="I195" i="111"/>
  <c r="F195" i="111"/>
  <c r="D195" i="111"/>
  <c r="A195" i="111"/>
  <c r="T194" i="111"/>
  <c r="S194" i="111"/>
  <c r="R194" i="111"/>
  <c r="Q194" i="111"/>
  <c r="P194" i="111"/>
  <c r="O194" i="111"/>
  <c r="N194" i="111"/>
  <c r="L194" i="111"/>
  <c r="K194" i="111"/>
  <c r="J194" i="111"/>
  <c r="I194" i="111"/>
  <c r="F194" i="111"/>
  <c r="D194" i="111"/>
  <c r="A194" i="111"/>
  <c r="T193" i="111"/>
  <c r="S193" i="111"/>
  <c r="R193" i="111"/>
  <c r="Q193" i="111"/>
  <c r="P193" i="111"/>
  <c r="O193" i="111"/>
  <c r="N193" i="111"/>
  <c r="L193" i="111"/>
  <c r="K193" i="111"/>
  <c r="J193" i="111"/>
  <c r="I193" i="111"/>
  <c r="F193" i="111"/>
  <c r="D193" i="111"/>
  <c r="A193" i="111"/>
  <c r="T192" i="111"/>
  <c r="S192" i="111"/>
  <c r="R192" i="111"/>
  <c r="Q192" i="111"/>
  <c r="P192" i="111"/>
  <c r="O192" i="111"/>
  <c r="N192" i="111"/>
  <c r="L192" i="111"/>
  <c r="K192" i="111"/>
  <c r="J192" i="111"/>
  <c r="F192" i="111"/>
  <c r="A192" i="111"/>
  <c r="T191" i="111"/>
  <c r="S191" i="111"/>
  <c r="R191" i="111"/>
  <c r="Q191" i="111"/>
  <c r="P191" i="111"/>
  <c r="O191" i="111"/>
  <c r="N191" i="111"/>
  <c r="L191" i="111"/>
  <c r="K191" i="111"/>
  <c r="J191" i="111"/>
  <c r="F191" i="111"/>
  <c r="A191" i="111"/>
  <c r="T190" i="111"/>
  <c r="S190" i="111"/>
  <c r="R190" i="111"/>
  <c r="Q190" i="111"/>
  <c r="P190" i="111"/>
  <c r="O190" i="111"/>
  <c r="N190" i="111"/>
  <c r="L190" i="111"/>
  <c r="K190" i="111"/>
  <c r="J190" i="111"/>
  <c r="F190" i="111"/>
  <c r="A190" i="111"/>
  <c r="T189" i="111"/>
  <c r="S189" i="111"/>
  <c r="R189" i="111"/>
  <c r="Q189" i="111"/>
  <c r="P189" i="111"/>
  <c r="O189" i="111"/>
  <c r="N189" i="111"/>
  <c r="L189" i="111"/>
  <c r="K189" i="111"/>
  <c r="J189" i="111"/>
  <c r="F189" i="111"/>
  <c r="A189" i="111"/>
  <c r="T188" i="111"/>
  <c r="S188" i="111"/>
  <c r="R188" i="111"/>
  <c r="Q188" i="111"/>
  <c r="P188" i="111"/>
  <c r="O188" i="111"/>
  <c r="N188" i="111"/>
  <c r="L188" i="111"/>
  <c r="K188" i="111"/>
  <c r="J188" i="111"/>
  <c r="I188" i="111"/>
  <c r="F188" i="111"/>
  <c r="D188" i="111"/>
  <c r="A188" i="111"/>
  <c r="T187" i="111"/>
  <c r="S187" i="111"/>
  <c r="R187" i="111"/>
  <c r="Q187" i="111"/>
  <c r="P187" i="111"/>
  <c r="O187" i="111"/>
  <c r="N187" i="111"/>
  <c r="L187" i="111"/>
  <c r="K187" i="111"/>
  <c r="J187" i="111"/>
  <c r="I187" i="111"/>
  <c r="F187" i="111"/>
  <c r="D187" i="111"/>
  <c r="A187" i="111"/>
  <c r="T186" i="111"/>
  <c r="S186" i="111"/>
  <c r="R186" i="111"/>
  <c r="Q186" i="111"/>
  <c r="P186" i="111"/>
  <c r="O186" i="111"/>
  <c r="N186" i="111"/>
  <c r="L186" i="111"/>
  <c r="K186" i="111"/>
  <c r="J186" i="111"/>
  <c r="I186" i="111"/>
  <c r="F186" i="111"/>
  <c r="D186" i="111"/>
  <c r="A186" i="111"/>
  <c r="T185" i="111"/>
  <c r="S185" i="111"/>
  <c r="R185" i="111"/>
  <c r="Q185" i="111"/>
  <c r="P185" i="111"/>
  <c r="O185" i="111"/>
  <c r="N185" i="111"/>
  <c r="L185" i="111"/>
  <c r="K185" i="111"/>
  <c r="J185" i="111"/>
  <c r="F185" i="111"/>
  <c r="A185" i="111"/>
  <c r="T184" i="111"/>
  <c r="S184" i="111"/>
  <c r="R184" i="111"/>
  <c r="Q184" i="111"/>
  <c r="P184" i="111"/>
  <c r="O184" i="111"/>
  <c r="N184" i="111"/>
  <c r="L184" i="111"/>
  <c r="K184" i="111"/>
  <c r="J184" i="111"/>
  <c r="F184" i="111"/>
  <c r="A184" i="111"/>
  <c r="T183" i="111"/>
  <c r="S183" i="111"/>
  <c r="R183" i="111"/>
  <c r="Q183" i="111"/>
  <c r="P183" i="111"/>
  <c r="O183" i="111"/>
  <c r="N183" i="111"/>
  <c r="L183" i="111"/>
  <c r="K183" i="111"/>
  <c r="J183" i="111"/>
  <c r="I183" i="111"/>
  <c r="F183" i="111"/>
  <c r="D183" i="111"/>
  <c r="A183" i="111"/>
  <c r="T182" i="111"/>
  <c r="S182" i="111"/>
  <c r="R182" i="111"/>
  <c r="Q182" i="111"/>
  <c r="P182" i="111"/>
  <c r="O182" i="111"/>
  <c r="N182" i="111"/>
  <c r="L182" i="111"/>
  <c r="K182" i="111"/>
  <c r="J182" i="111"/>
  <c r="I182" i="111"/>
  <c r="F182" i="111"/>
  <c r="D182" i="111"/>
  <c r="A182" i="111"/>
  <c r="T181" i="111"/>
  <c r="S181" i="111"/>
  <c r="R181" i="111"/>
  <c r="Q181" i="111"/>
  <c r="P181" i="111"/>
  <c r="O181" i="111"/>
  <c r="N181" i="111"/>
  <c r="L181" i="111"/>
  <c r="K181" i="111"/>
  <c r="J181" i="111"/>
  <c r="I181" i="111"/>
  <c r="F181" i="111"/>
  <c r="D181" i="111"/>
  <c r="A181" i="111"/>
  <c r="T180" i="111"/>
  <c r="S180" i="111"/>
  <c r="R180" i="111"/>
  <c r="Q180" i="111"/>
  <c r="P180" i="111"/>
  <c r="O180" i="111"/>
  <c r="N180" i="111"/>
  <c r="L180" i="111"/>
  <c r="K180" i="111"/>
  <c r="J180" i="111"/>
  <c r="I180" i="111"/>
  <c r="F180" i="111"/>
  <c r="D180" i="111"/>
  <c r="A180" i="111"/>
  <c r="T179" i="111"/>
  <c r="S179" i="111"/>
  <c r="R179" i="111"/>
  <c r="Q179" i="111"/>
  <c r="P179" i="111"/>
  <c r="O179" i="111"/>
  <c r="N179" i="111"/>
  <c r="L179" i="111"/>
  <c r="K179" i="111"/>
  <c r="J179" i="111"/>
  <c r="I179" i="111"/>
  <c r="F179" i="111"/>
  <c r="D179" i="111"/>
  <c r="A179" i="111"/>
  <c r="T178" i="111"/>
  <c r="S178" i="111"/>
  <c r="R178" i="111"/>
  <c r="Q178" i="111"/>
  <c r="P178" i="111"/>
  <c r="O178" i="111"/>
  <c r="N178" i="111"/>
  <c r="L178" i="111"/>
  <c r="K178" i="111"/>
  <c r="J178" i="111"/>
  <c r="I178" i="111"/>
  <c r="F178" i="111"/>
  <c r="D178" i="111"/>
  <c r="A178" i="111"/>
  <c r="T177" i="111"/>
  <c r="S177" i="111"/>
  <c r="R177" i="111"/>
  <c r="Q177" i="111"/>
  <c r="P177" i="111"/>
  <c r="O177" i="111"/>
  <c r="N177" i="111"/>
  <c r="L177" i="111"/>
  <c r="K177" i="111"/>
  <c r="J177" i="111"/>
  <c r="F177" i="111"/>
  <c r="A177" i="111"/>
  <c r="T176" i="111"/>
  <c r="S176" i="111"/>
  <c r="R176" i="111"/>
  <c r="Q176" i="111"/>
  <c r="P176" i="111"/>
  <c r="O176" i="111"/>
  <c r="N176" i="111"/>
  <c r="L176" i="111"/>
  <c r="K176" i="111"/>
  <c r="J176" i="111"/>
  <c r="F176" i="111"/>
  <c r="A176" i="111"/>
  <c r="T175" i="111"/>
  <c r="S175" i="111"/>
  <c r="R175" i="111"/>
  <c r="Q175" i="111"/>
  <c r="P175" i="111"/>
  <c r="O175" i="111"/>
  <c r="N175" i="111"/>
  <c r="L175" i="111"/>
  <c r="K175" i="111"/>
  <c r="J175" i="111"/>
  <c r="F175" i="111"/>
  <c r="A175" i="111"/>
  <c r="T174" i="111"/>
  <c r="S174" i="111"/>
  <c r="R174" i="111"/>
  <c r="Q174" i="111"/>
  <c r="P174" i="111"/>
  <c r="O174" i="111"/>
  <c r="N174" i="111"/>
  <c r="L174" i="111"/>
  <c r="K174" i="111"/>
  <c r="J174" i="111"/>
  <c r="F174" i="111"/>
  <c r="A174" i="111"/>
  <c r="T173" i="111"/>
  <c r="S173" i="111"/>
  <c r="R173" i="111"/>
  <c r="Q173" i="111"/>
  <c r="P173" i="111"/>
  <c r="O173" i="111"/>
  <c r="N173" i="111"/>
  <c r="L173" i="111"/>
  <c r="K173" i="111"/>
  <c r="J173" i="111"/>
  <c r="I173" i="111"/>
  <c r="F173" i="111"/>
  <c r="D173" i="111"/>
  <c r="A173" i="111"/>
  <c r="T172" i="111"/>
  <c r="S172" i="111"/>
  <c r="R172" i="111"/>
  <c r="Q172" i="111"/>
  <c r="P172" i="111"/>
  <c r="O172" i="111"/>
  <c r="N172" i="111"/>
  <c r="L172" i="111"/>
  <c r="K172" i="111"/>
  <c r="J172" i="111"/>
  <c r="I172" i="111"/>
  <c r="F172" i="111"/>
  <c r="D172" i="111"/>
  <c r="A172" i="111"/>
  <c r="T171" i="111"/>
  <c r="S171" i="111"/>
  <c r="R171" i="111"/>
  <c r="Q171" i="111"/>
  <c r="P171" i="111"/>
  <c r="O171" i="111"/>
  <c r="N171" i="111"/>
  <c r="L171" i="111"/>
  <c r="K171" i="111"/>
  <c r="J171" i="111"/>
  <c r="I171" i="111"/>
  <c r="F171" i="111"/>
  <c r="D171" i="111"/>
  <c r="A171" i="111"/>
  <c r="T170" i="111"/>
  <c r="S170" i="111"/>
  <c r="R170" i="111"/>
  <c r="Q170" i="111"/>
  <c r="P170" i="111"/>
  <c r="O170" i="111"/>
  <c r="N170" i="111"/>
  <c r="L170" i="111"/>
  <c r="K170" i="111"/>
  <c r="J170" i="111"/>
  <c r="F170" i="111"/>
  <c r="A170" i="111"/>
  <c r="T169" i="111"/>
  <c r="S169" i="111"/>
  <c r="R169" i="111"/>
  <c r="Q169" i="111"/>
  <c r="P169" i="111"/>
  <c r="O169" i="111"/>
  <c r="N169" i="111"/>
  <c r="L169" i="111"/>
  <c r="K169" i="111"/>
  <c r="J169" i="111"/>
  <c r="F169" i="111"/>
  <c r="A169" i="111"/>
  <c r="T168" i="111"/>
  <c r="S168" i="111"/>
  <c r="R168" i="111"/>
  <c r="Q168" i="111"/>
  <c r="P168" i="111"/>
  <c r="O168" i="111"/>
  <c r="N168" i="111"/>
  <c r="L168" i="111"/>
  <c r="K168" i="111"/>
  <c r="J168" i="111"/>
  <c r="I168" i="111"/>
  <c r="F168" i="111"/>
  <c r="D168" i="111"/>
  <c r="A168" i="111"/>
  <c r="T167" i="111"/>
  <c r="S167" i="111"/>
  <c r="R167" i="111"/>
  <c r="Q167" i="111"/>
  <c r="P167" i="111"/>
  <c r="O167" i="111"/>
  <c r="N167" i="111"/>
  <c r="L167" i="111"/>
  <c r="K167" i="111"/>
  <c r="J167" i="111"/>
  <c r="I167" i="111"/>
  <c r="F167" i="111"/>
  <c r="D167" i="111"/>
  <c r="A167" i="111"/>
  <c r="T166" i="111"/>
  <c r="S166" i="111"/>
  <c r="R166" i="111"/>
  <c r="Q166" i="111"/>
  <c r="P166" i="111"/>
  <c r="O166" i="111"/>
  <c r="N166" i="111"/>
  <c r="L166" i="111"/>
  <c r="K166" i="111"/>
  <c r="J166" i="111"/>
  <c r="I166" i="111"/>
  <c r="F166" i="111"/>
  <c r="D166" i="111"/>
  <c r="A166" i="111"/>
  <c r="T165" i="111"/>
  <c r="S165" i="111"/>
  <c r="R165" i="111"/>
  <c r="Q165" i="111"/>
  <c r="P165" i="111"/>
  <c r="O165" i="111"/>
  <c r="N165" i="111"/>
  <c r="L165" i="111"/>
  <c r="K165" i="111"/>
  <c r="J165" i="111"/>
  <c r="F165" i="111"/>
  <c r="A165" i="111"/>
  <c r="T164" i="111"/>
  <c r="S164" i="111"/>
  <c r="R164" i="111"/>
  <c r="Q164" i="111"/>
  <c r="P164" i="111"/>
  <c r="O164" i="111"/>
  <c r="N164" i="111"/>
  <c r="L164" i="111"/>
  <c r="K164" i="111"/>
  <c r="J164" i="111"/>
  <c r="F164" i="111"/>
  <c r="A164" i="111"/>
  <c r="T163" i="111"/>
  <c r="S163" i="111"/>
  <c r="R163" i="111"/>
  <c r="Q163" i="111"/>
  <c r="P163" i="111"/>
  <c r="O163" i="111"/>
  <c r="N163" i="111"/>
  <c r="L163" i="111"/>
  <c r="K163" i="111"/>
  <c r="J163" i="111"/>
  <c r="I163" i="111"/>
  <c r="F163" i="111"/>
  <c r="D163" i="111"/>
  <c r="A163" i="111"/>
  <c r="T162" i="111"/>
  <c r="S162" i="111"/>
  <c r="R162" i="111"/>
  <c r="Q162" i="111"/>
  <c r="P162" i="111"/>
  <c r="O162" i="111"/>
  <c r="N162" i="111"/>
  <c r="L162" i="111"/>
  <c r="K162" i="111"/>
  <c r="J162" i="111"/>
  <c r="I162" i="111"/>
  <c r="F162" i="111"/>
  <c r="D162" i="111"/>
  <c r="A162" i="111"/>
  <c r="T161" i="111"/>
  <c r="S161" i="111"/>
  <c r="R161" i="111"/>
  <c r="Q161" i="111"/>
  <c r="P161" i="111"/>
  <c r="O161" i="111"/>
  <c r="N161" i="111"/>
  <c r="L161" i="111"/>
  <c r="K161" i="111"/>
  <c r="J161" i="111"/>
  <c r="I161" i="111"/>
  <c r="F161" i="111"/>
  <c r="D161" i="111"/>
  <c r="A161" i="111"/>
  <c r="T160" i="111"/>
  <c r="S160" i="111"/>
  <c r="R160" i="111"/>
  <c r="Q160" i="111"/>
  <c r="P160" i="111"/>
  <c r="O160" i="111"/>
  <c r="N160" i="111"/>
  <c r="L160" i="111"/>
  <c r="K160" i="111"/>
  <c r="J160" i="111"/>
  <c r="I160" i="111"/>
  <c r="F160" i="111"/>
  <c r="D160" i="111"/>
  <c r="A160" i="111"/>
  <c r="T159" i="111"/>
  <c r="S159" i="111"/>
  <c r="R159" i="111"/>
  <c r="Q159" i="111"/>
  <c r="P159" i="111"/>
  <c r="O159" i="111"/>
  <c r="N159" i="111"/>
  <c r="L159" i="111"/>
  <c r="K159" i="111"/>
  <c r="J159" i="111"/>
  <c r="I159" i="111"/>
  <c r="F159" i="111"/>
  <c r="D159" i="111"/>
  <c r="A159" i="111"/>
  <c r="T158" i="111"/>
  <c r="S158" i="111"/>
  <c r="R158" i="111"/>
  <c r="Q158" i="111"/>
  <c r="P158" i="111"/>
  <c r="O158" i="111"/>
  <c r="N158" i="111"/>
  <c r="L158" i="111"/>
  <c r="K158" i="111"/>
  <c r="J158" i="111"/>
  <c r="I158" i="111"/>
  <c r="F158" i="111"/>
  <c r="D158" i="111"/>
  <c r="A158" i="111"/>
  <c r="T157" i="111"/>
  <c r="S157" i="111"/>
  <c r="R157" i="111"/>
  <c r="Q157" i="111"/>
  <c r="P157" i="111"/>
  <c r="O157" i="111"/>
  <c r="N157" i="111"/>
  <c r="L157" i="111"/>
  <c r="K157" i="111"/>
  <c r="J157" i="111"/>
  <c r="F157" i="111"/>
  <c r="A157" i="111"/>
  <c r="T156" i="111"/>
  <c r="S156" i="111"/>
  <c r="R156" i="111"/>
  <c r="Q156" i="111"/>
  <c r="P156" i="111"/>
  <c r="O156" i="111"/>
  <c r="N156" i="111"/>
  <c r="L156" i="111"/>
  <c r="K156" i="111"/>
  <c r="J156" i="111"/>
  <c r="F156" i="111"/>
  <c r="A156" i="111"/>
  <c r="T155" i="111"/>
  <c r="S155" i="111"/>
  <c r="R155" i="111"/>
  <c r="Q155" i="111"/>
  <c r="P155" i="111"/>
  <c r="O155" i="111"/>
  <c r="N155" i="111"/>
  <c r="L155" i="111"/>
  <c r="K155" i="111"/>
  <c r="J155" i="111"/>
  <c r="I155" i="111"/>
  <c r="F155" i="111"/>
  <c r="D155" i="111"/>
  <c r="A155" i="111"/>
  <c r="T154" i="111"/>
  <c r="S154" i="111"/>
  <c r="R154" i="111"/>
  <c r="Q154" i="111"/>
  <c r="P154" i="111"/>
  <c r="O154" i="111"/>
  <c r="N154" i="111"/>
  <c r="L154" i="111"/>
  <c r="K154" i="111"/>
  <c r="J154" i="111"/>
  <c r="I154" i="111"/>
  <c r="F154" i="111"/>
  <c r="D154" i="111"/>
  <c r="A154" i="111"/>
  <c r="T153" i="111"/>
  <c r="S153" i="111"/>
  <c r="R153" i="111"/>
  <c r="Q153" i="111"/>
  <c r="P153" i="111"/>
  <c r="O153" i="111"/>
  <c r="N153" i="111"/>
  <c r="L153" i="111"/>
  <c r="K153" i="111"/>
  <c r="J153" i="111"/>
  <c r="I153" i="111"/>
  <c r="F153" i="111"/>
  <c r="D153" i="111"/>
  <c r="A153" i="111"/>
  <c r="T152" i="111"/>
  <c r="S152" i="111"/>
  <c r="R152" i="111"/>
  <c r="Q152" i="111"/>
  <c r="P152" i="111"/>
  <c r="O152" i="111"/>
  <c r="N152" i="111"/>
  <c r="L152" i="111"/>
  <c r="K152" i="111"/>
  <c r="J152" i="111"/>
  <c r="F152" i="111"/>
  <c r="A152" i="111"/>
  <c r="T151" i="111"/>
  <c r="S151" i="111"/>
  <c r="R151" i="111"/>
  <c r="Q151" i="111"/>
  <c r="P151" i="111"/>
  <c r="O151" i="111"/>
  <c r="N151" i="111"/>
  <c r="L151" i="111"/>
  <c r="K151" i="111"/>
  <c r="J151" i="111"/>
  <c r="F151" i="111"/>
  <c r="A151" i="111"/>
  <c r="T150" i="111"/>
  <c r="S150" i="111"/>
  <c r="R150" i="111"/>
  <c r="Q150" i="111"/>
  <c r="P150" i="111"/>
  <c r="O150" i="111"/>
  <c r="N150" i="111"/>
  <c r="L150" i="111"/>
  <c r="K150" i="111"/>
  <c r="J150" i="111"/>
  <c r="F150" i="111"/>
  <c r="A150" i="111"/>
  <c r="T149" i="111"/>
  <c r="S149" i="111"/>
  <c r="R149" i="111"/>
  <c r="Q149" i="111"/>
  <c r="P149" i="111"/>
  <c r="O149" i="111"/>
  <c r="N149" i="111"/>
  <c r="L149" i="111"/>
  <c r="K149" i="111"/>
  <c r="J149" i="111"/>
  <c r="F149" i="111"/>
  <c r="A149" i="111"/>
  <c r="T148" i="111"/>
  <c r="S148" i="111"/>
  <c r="R148" i="111"/>
  <c r="Q148" i="111"/>
  <c r="P148" i="111"/>
  <c r="O148" i="111"/>
  <c r="N148" i="111"/>
  <c r="L148" i="111"/>
  <c r="K148" i="111"/>
  <c r="J148" i="111"/>
  <c r="I148" i="111"/>
  <c r="F148" i="111"/>
  <c r="D148" i="111"/>
  <c r="A148" i="111"/>
  <c r="T147" i="111"/>
  <c r="S147" i="111"/>
  <c r="R147" i="111"/>
  <c r="Q147" i="111"/>
  <c r="P147" i="111"/>
  <c r="O147" i="111"/>
  <c r="N147" i="111"/>
  <c r="L147" i="111"/>
  <c r="K147" i="111"/>
  <c r="J147" i="111"/>
  <c r="I147" i="111"/>
  <c r="F147" i="111"/>
  <c r="D147" i="111"/>
  <c r="A147" i="111"/>
  <c r="T146" i="111"/>
  <c r="S146" i="111"/>
  <c r="R146" i="111"/>
  <c r="Q146" i="111"/>
  <c r="P146" i="111"/>
  <c r="O146" i="111"/>
  <c r="N146" i="111"/>
  <c r="L146" i="111"/>
  <c r="K146" i="111"/>
  <c r="J146" i="111"/>
  <c r="I146" i="111"/>
  <c r="F146" i="111"/>
  <c r="D146" i="111"/>
  <c r="A146" i="111"/>
  <c r="T145" i="111"/>
  <c r="S145" i="111"/>
  <c r="R145" i="111"/>
  <c r="Q145" i="111"/>
  <c r="P145" i="111"/>
  <c r="O145" i="111"/>
  <c r="N145" i="111"/>
  <c r="L145" i="111"/>
  <c r="K145" i="111"/>
  <c r="J145" i="111"/>
  <c r="F145" i="111"/>
  <c r="A145" i="111"/>
  <c r="T144" i="111"/>
  <c r="S144" i="111"/>
  <c r="R144" i="111"/>
  <c r="Q144" i="111"/>
  <c r="P144" i="111"/>
  <c r="O144" i="111"/>
  <c r="N144" i="111"/>
  <c r="L144" i="111"/>
  <c r="K144" i="111"/>
  <c r="J144" i="111"/>
  <c r="F144" i="111"/>
  <c r="A144" i="111"/>
  <c r="T143" i="111"/>
  <c r="S143" i="111"/>
  <c r="R143" i="111"/>
  <c r="Q143" i="111"/>
  <c r="P143" i="111"/>
  <c r="O143" i="111"/>
  <c r="N143" i="111"/>
  <c r="L143" i="111"/>
  <c r="K143" i="111"/>
  <c r="J143" i="111"/>
  <c r="F143" i="111"/>
  <c r="A143" i="111"/>
  <c r="T142" i="111"/>
  <c r="S142" i="111"/>
  <c r="R142" i="111"/>
  <c r="Q142" i="111"/>
  <c r="P142" i="111"/>
  <c r="O142" i="111"/>
  <c r="N142" i="111"/>
  <c r="L142" i="111"/>
  <c r="K142" i="111"/>
  <c r="J142" i="111"/>
  <c r="F142" i="111"/>
  <c r="A142" i="111"/>
  <c r="T141" i="111"/>
  <c r="S141" i="111"/>
  <c r="R141" i="111"/>
  <c r="Q141" i="111"/>
  <c r="P141" i="111"/>
  <c r="O141" i="111"/>
  <c r="N141" i="111"/>
  <c r="L141" i="111"/>
  <c r="K141" i="111"/>
  <c r="J141" i="111"/>
  <c r="F141" i="111"/>
  <c r="A141" i="111"/>
  <c r="T140" i="111"/>
  <c r="S140" i="111"/>
  <c r="R140" i="111"/>
  <c r="Q140" i="111"/>
  <c r="P140" i="111"/>
  <c r="O140" i="111"/>
  <c r="N140" i="111"/>
  <c r="L140" i="111"/>
  <c r="K140" i="111"/>
  <c r="J140" i="111"/>
  <c r="F140" i="111"/>
  <c r="A140" i="111"/>
  <c r="T139" i="111"/>
  <c r="S139" i="111"/>
  <c r="R139" i="111"/>
  <c r="Q139" i="111"/>
  <c r="P139" i="111"/>
  <c r="O139" i="111"/>
  <c r="N139" i="111"/>
  <c r="L139" i="111"/>
  <c r="K139" i="111"/>
  <c r="J139" i="111"/>
  <c r="F139" i="111"/>
  <c r="A139" i="111"/>
  <c r="T138" i="111"/>
  <c r="S138" i="111"/>
  <c r="R138" i="111"/>
  <c r="Q138" i="111"/>
  <c r="P138" i="111"/>
  <c r="O138" i="111"/>
  <c r="N138" i="111"/>
  <c r="L138" i="111"/>
  <c r="K138" i="111"/>
  <c r="J138" i="111"/>
  <c r="F138" i="111"/>
  <c r="A138" i="111"/>
  <c r="T137" i="111"/>
  <c r="S137" i="111"/>
  <c r="R137" i="111"/>
  <c r="Q137" i="111"/>
  <c r="P137" i="111"/>
  <c r="O137" i="111"/>
  <c r="N137" i="111"/>
  <c r="L137" i="111"/>
  <c r="K137" i="111"/>
  <c r="J137" i="111"/>
  <c r="I137" i="111"/>
  <c r="F137" i="111"/>
  <c r="D137" i="111"/>
  <c r="A137" i="111"/>
  <c r="T136" i="111"/>
  <c r="S136" i="111"/>
  <c r="R136" i="111"/>
  <c r="Q136" i="111"/>
  <c r="P136" i="111"/>
  <c r="O136" i="111"/>
  <c r="N136" i="111"/>
  <c r="L136" i="111"/>
  <c r="K136" i="111"/>
  <c r="J136" i="111"/>
  <c r="I136" i="111"/>
  <c r="F136" i="111"/>
  <c r="D136" i="111"/>
  <c r="A136" i="111"/>
  <c r="T135" i="111"/>
  <c r="S135" i="111"/>
  <c r="R135" i="111"/>
  <c r="Q135" i="111"/>
  <c r="P135" i="111"/>
  <c r="O135" i="111"/>
  <c r="N135" i="111"/>
  <c r="L135" i="111"/>
  <c r="K135" i="111"/>
  <c r="J135" i="111"/>
  <c r="I135" i="111"/>
  <c r="F135" i="111"/>
  <c r="D135" i="111"/>
  <c r="A135" i="111"/>
  <c r="T134" i="111"/>
  <c r="S134" i="111"/>
  <c r="R134" i="111"/>
  <c r="Q134" i="111"/>
  <c r="P134" i="111"/>
  <c r="O134" i="111"/>
  <c r="N134" i="111"/>
  <c r="L134" i="111"/>
  <c r="K134" i="111"/>
  <c r="J134" i="111"/>
  <c r="I134" i="111"/>
  <c r="F134" i="111"/>
  <c r="D134" i="111"/>
  <c r="A134" i="111"/>
  <c r="T133" i="111"/>
  <c r="S133" i="111"/>
  <c r="R133" i="111"/>
  <c r="Q133" i="111"/>
  <c r="P133" i="111"/>
  <c r="O133" i="111"/>
  <c r="N133" i="111"/>
  <c r="L133" i="111"/>
  <c r="K133" i="111"/>
  <c r="J133" i="111"/>
  <c r="I133" i="111"/>
  <c r="F133" i="111"/>
  <c r="D133" i="111"/>
  <c r="A133" i="111"/>
  <c r="T132" i="111"/>
  <c r="S132" i="111"/>
  <c r="R132" i="111"/>
  <c r="Q132" i="111"/>
  <c r="P132" i="111"/>
  <c r="O132" i="111"/>
  <c r="N132" i="111"/>
  <c r="L132" i="111"/>
  <c r="K132" i="111"/>
  <c r="J132" i="111"/>
  <c r="I132" i="111"/>
  <c r="F132" i="111"/>
  <c r="D132" i="111"/>
  <c r="A132" i="111"/>
  <c r="T131" i="111"/>
  <c r="S131" i="111"/>
  <c r="R131" i="111"/>
  <c r="Q131" i="111"/>
  <c r="P131" i="111"/>
  <c r="O131" i="111"/>
  <c r="N131" i="111"/>
  <c r="L131" i="111"/>
  <c r="K131" i="111"/>
  <c r="J131" i="111"/>
  <c r="I131" i="111"/>
  <c r="F131" i="111"/>
  <c r="D131" i="111"/>
  <c r="A131" i="111"/>
  <c r="T130" i="111"/>
  <c r="S130" i="111"/>
  <c r="R130" i="111"/>
  <c r="Q130" i="111"/>
  <c r="P130" i="111"/>
  <c r="O130" i="111"/>
  <c r="N130" i="111"/>
  <c r="L130" i="111"/>
  <c r="K130" i="111"/>
  <c r="J130" i="111"/>
  <c r="I130" i="111"/>
  <c r="F130" i="111"/>
  <c r="D130" i="111"/>
  <c r="A130" i="111"/>
  <c r="T129" i="111"/>
  <c r="S129" i="111"/>
  <c r="R129" i="111"/>
  <c r="Q129" i="111"/>
  <c r="P129" i="111"/>
  <c r="O129" i="111"/>
  <c r="N129" i="111"/>
  <c r="L129" i="111"/>
  <c r="K129" i="111"/>
  <c r="J129" i="111"/>
  <c r="I129" i="111"/>
  <c r="F129" i="111"/>
  <c r="D129" i="111"/>
  <c r="A129" i="111"/>
  <c r="T128" i="111"/>
  <c r="S128" i="111"/>
  <c r="R128" i="111"/>
  <c r="Q128" i="111"/>
  <c r="P128" i="111"/>
  <c r="O128" i="111"/>
  <c r="N128" i="111"/>
  <c r="L128" i="111"/>
  <c r="K128" i="111"/>
  <c r="J128" i="111"/>
  <c r="I128" i="111"/>
  <c r="F128" i="111"/>
  <c r="D128" i="111"/>
  <c r="A128" i="111"/>
  <c r="T127" i="111"/>
  <c r="S127" i="111"/>
  <c r="R127" i="111"/>
  <c r="Q127" i="111"/>
  <c r="P127" i="111"/>
  <c r="O127" i="111"/>
  <c r="N127" i="111"/>
  <c r="L127" i="111"/>
  <c r="K127" i="111"/>
  <c r="J127" i="111"/>
  <c r="I127" i="111"/>
  <c r="F127" i="111"/>
  <c r="D127" i="111"/>
  <c r="A127" i="111"/>
  <c r="T126" i="111"/>
  <c r="S126" i="111"/>
  <c r="R126" i="111"/>
  <c r="Q126" i="111"/>
  <c r="P126" i="111"/>
  <c r="O126" i="111"/>
  <c r="N126" i="111"/>
  <c r="L126" i="111"/>
  <c r="K126" i="111"/>
  <c r="J126" i="111"/>
  <c r="I126" i="111"/>
  <c r="F126" i="111"/>
  <c r="D126" i="111"/>
  <c r="A126" i="111"/>
  <c r="T125" i="111"/>
  <c r="S125" i="111"/>
  <c r="R125" i="111"/>
  <c r="Q125" i="111"/>
  <c r="P125" i="111"/>
  <c r="O125" i="111"/>
  <c r="N125" i="111"/>
  <c r="L125" i="111"/>
  <c r="K125" i="111"/>
  <c r="J125" i="111"/>
  <c r="I125" i="111"/>
  <c r="F125" i="111"/>
  <c r="D125" i="111"/>
  <c r="A125" i="111"/>
  <c r="T124" i="111"/>
  <c r="S124" i="111"/>
  <c r="R124" i="111"/>
  <c r="Q124" i="111"/>
  <c r="P124" i="111"/>
  <c r="O124" i="111"/>
  <c r="N124" i="111"/>
  <c r="L124" i="111"/>
  <c r="K124" i="111"/>
  <c r="J124" i="111"/>
  <c r="I124" i="111"/>
  <c r="F124" i="111"/>
  <c r="D124" i="111"/>
  <c r="A124" i="111"/>
  <c r="T123" i="111"/>
  <c r="S123" i="111"/>
  <c r="R123" i="111"/>
  <c r="Q123" i="111"/>
  <c r="P123" i="111"/>
  <c r="O123" i="111"/>
  <c r="N123" i="111"/>
  <c r="L123" i="111"/>
  <c r="K123" i="111"/>
  <c r="J123" i="111"/>
  <c r="I123" i="111"/>
  <c r="F123" i="111"/>
  <c r="D123" i="111"/>
  <c r="A123" i="111"/>
  <c r="T122" i="111"/>
  <c r="S122" i="111"/>
  <c r="R122" i="111"/>
  <c r="Q122" i="111"/>
  <c r="P122" i="111"/>
  <c r="O122" i="111"/>
  <c r="N122" i="111"/>
  <c r="L122" i="111"/>
  <c r="K122" i="111"/>
  <c r="J122" i="111"/>
  <c r="I122" i="111"/>
  <c r="F122" i="111"/>
  <c r="D122" i="111"/>
  <c r="A122" i="111"/>
  <c r="T121" i="111"/>
  <c r="S121" i="111"/>
  <c r="R121" i="111"/>
  <c r="Q121" i="111"/>
  <c r="P121" i="111"/>
  <c r="O121" i="111"/>
  <c r="N121" i="111"/>
  <c r="L121" i="111"/>
  <c r="K121" i="111"/>
  <c r="J121" i="111"/>
  <c r="I121" i="111"/>
  <c r="F121" i="111"/>
  <c r="D121" i="111"/>
  <c r="A121" i="111"/>
  <c r="T120" i="111"/>
  <c r="S120" i="111"/>
  <c r="R120" i="111"/>
  <c r="Q120" i="111"/>
  <c r="P120" i="111"/>
  <c r="O120" i="111"/>
  <c r="N120" i="111"/>
  <c r="L120" i="111"/>
  <c r="K120" i="111"/>
  <c r="J120" i="111"/>
  <c r="I120" i="111"/>
  <c r="F120" i="111"/>
  <c r="D120" i="111"/>
  <c r="A120" i="111"/>
  <c r="T119" i="111"/>
  <c r="S119" i="111"/>
  <c r="R119" i="111"/>
  <c r="Q119" i="111"/>
  <c r="P119" i="111"/>
  <c r="O119" i="111"/>
  <c r="N119" i="111"/>
  <c r="L119" i="111"/>
  <c r="K119" i="111"/>
  <c r="J119" i="111"/>
  <c r="I119" i="111"/>
  <c r="F119" i="111"/>
  <c r="D119" i="111"/>
  <c r="A119" i="111"/>
  <c r="T118" i="111"/>
  <c r="S118" i="111"/>
  <c r="R118" i="111"/>
  <c r="Q118" i="111"/>
  <c r="P118" i="111"/>
  <c r="O118" i="111"/>
  <c r="N118" i="111"/>
  <c r="L118" i="111"/>
  <c r="K118" i="111"/>
  <c r="J118" i="111"/>
  <c r="I118" i="111"/>
  <c r="F118" i="111"/>
  <c r="D118" i="111"/>
  <c r="A118" i="111"/>
  <c r="T117" i="111"/>
  <c r="S117" i="111"/>
  <c r="R117" i="111"/>
  <c r="Q117" i="111"/>
  <c r="P117" i="111"/>
  <c r="O117" i="111"/>
  <c r="N117" i="111"/>
  <c r="L117" i="111"/>
  <c r="K117" i="111"/>
  <c r="J117" i="111"/>
  <c r="I117" i="111"/>
  <c r="F117" i="111"/>
  <c r="D117" i="111"/>
  <c r="A117" i="111"/>
  <c r="T116" i="111"/>
  <c r="S116" i="111"/>
  <c r="R116" i="111"/>
  <c r="Q116" i="111"/>
  <c r="P116" i="111"/>
  <c r="O116" i="111"/>
  <c r="N116" i="111"/>
  <c r="L116" i="111"/>
  <c r="K116" i="111"/>
  <c r="J116" i="111"/>
  <c r="I116" i="111"/>
  <c r="F116" i="111"/>
  <c r="D116" i="111"/>
  <c r="A116" i="111"/>
  <c r="T115" i="111"/>
  <c r="S115" i="111"/>
  <c r="R115" i="111"/>
  <c r="Q115" i="111"/>
  <c r="P115" i="111"/>
  <c r="O115" i="111"/>
  <c r="N115" i="111"/>
  <c r="L115" i="111"/>
  <c r="K115" i="111"/>
  <c r="J115" i="111"/>
  <c r="I115" i="111"/>
  <c r="F115" i="111"/>
  <c r="D115" i="111"/>
  <c r="A115" i="111"/>
  <c r="T114" i="111"/>
  <c r="S114" i="111"/>
  <c r="R114" i="111"/>
  <c r="Q114" i="111"/>
  <c r="P114" i="111"/>
  <c r="O114" i="111"/>
  <c r="N114" i="111"/>
  <c r="L114" i="111"/>
  <c r="K114" i="111"/>
  <c r="J114" i="111"/>
  <c r="I114" i="111"/>
  <c r="F114" i="111"/>
  <c r="D114" i="111"/>
  <c r="A114" i="111"/>
  <c r="T113" i="111"/>
  <c r="S113" i="111"/>
  <c r="R113" i="111"/>
  <c r="Q113" i="111"/>
  <c r="P113" i="111"/>
  <c r="O113" i="111"/>
  <c r="N113" i="111"/>
  <c r="L113" i="111"/>
  <c r="K113" i="111"/>
  <c r="J113" i="111"/>
  <c r="I113" i="111"/>
  <c r="F113" i="111"/>
  <c r="D113" i="111"/>
  <c r="A113" i="111"/>
  <c r="T112" i="111"/>
  <c r="S112" i="111"/>
  <c r="R112" i="111"/>
  <c r="Q112" i="111"/>
  <c r="P112" i="111"/>
  <c r="O112" i="111"/>
  <c r="N112" i="111"/>
  <c r="L112" i="111"/>
  <c r="K112" i="111"/>
  <c r="J112" i="111"/>
  <c r="I112" i="111"/>
  <c r="F112" i="111"/>
  <c r="D112" i="111"/>
  <c r="A112" i="111"/>
  <c r="T111" i="111"/>
  <c r="S111" i="111"/>
  <c r="R111" i="111"/>
  <c r="Q111" i="111"/>
  <c r="P111" i="111"/>
  <c r="O111" i="111"/>
  <c r="N111" i="111"/>
  <c r="L111" i="111"/>
  <c r="K111" i="111"/>
  <c r="J111" i="111"/>
  <c r="I111" i="111"/>
  <c r="F111" i="111"/>
  <c r="D111" i="111"/>
  <c r="A111" i="111"/>
  <c r="T110" i="111"/>
  <c r="S110" i="111"/>
  <c r="R110" i="111"/>
  <c r="Q110" i="111"/>
  <c r="P110" i="111"/>
  <c r="O110" i="111"/>
  <c r="N110" i="111"/>
  <c r="L110" i="111"/>
  <c r="K110" i="111"/>
  <c r="J110" i="111"/>
  <c r="I110" i="111"/>
  <c r="F110" i="111"/>
  <c r="D110" i="111"/>
  <c r="A110" i="111"/>
  <c r="T109" i="111"/>
  <c r="S109" i="111"/>
  <c r="R109" i="111"/>
  <c r="Q109" i="111"/>
  <c r="P109" i="111"/>
  <c r="O109" i="111"/>
  <c r="N109" i="111"/>
  <c r="L109" i="111"/>
  <c r="K109" i="111"/>
  <c r="J109" i="111"/>
  <c r="I109" i="111"/>
  <c r="F109" i="111"/>
  <c r="D109" i="111"/>
  <c r="A109" i="111"/>
  <c r="T108" i="111"/>
  <c r="S108" i="111"/>
  <c r="R108" i="111"/>
  <c r="Q108" i="111"/>
  <c r="P108" i="111"/>
  <c r="O108" i="111"/>
  <c r="N108" i="111"/>
  <c r="L108" i="111"/>
  <c r="K108" i="111"/>
  <c r="J108" i="111"/>
  <c r="I108" i="111"/>
  <c r="F108" i="111"/>
  <c r="D108" i="111"/>
  <c r="A108" i="111"/>
  <c r="T107" i="111"/>
  <c r="S107" i="111"/>
  <c r="R107" i="111"/>
  <c r="Q107" i="111"/>
  <c r="P107" i="111"/>
  <c r="O107" i="111"/>
  <c r="N107" i="111"/>
  <c r="L107" i="111"/>
  <c r="K107" i="111"/>
  <c r="J107" i="111"/>
  <c r="I107" i="111"/>
  <c r="F107" i="111"/>
  <c r="D107" i="111"/>
  <c r="A107" i="111"/>
  <c r="T106" i="111"/>
  <c r="S106" i="111"/>
  <c r="R106" i="111"/>
  <c r="Q106" i="111"/>
  <c r="P106" i="111"/>
  <c r="O106" i="111"/>
  <c r="N106" i="111"/>
  <c r="L106" i="111"/>
  <c r="K106" i="111"/>
  <c r="J106" i="111"/>
  <c r="I106" i="111"/>
  <c r="F106" i="111"/>
  <c r="D106" i="111"/>
  <c r="A106" i="111"/>
  <c r="T105" i="111"/>
  <c r="S105" i="111"/>
  <c r="R105" i="111"/>
  <c r="Q105" i="111"/>
  <c r="P105" i="111"/>
  <c r="O105" i="111"/>
  <c r="N105" i="111"/>
  <c r="L105" i="111"/>
  <c r="K105" i="111"/>
  <c r="J105" i="111"/>
  <c r="I105" i="111"/>
  <c r="F105" i="111"/>
  <c r="D105" i="111"/>
  <c r="A105" i="111"/>
  <c r="T104" i="111"/>
  <c r="S104" i="111"/>
  <c r="R104" i="111"/>
  <c r="Q104" i="111"/>
  <c r="P104" i="111"/>
  <c r="O104" i="111"/>
  <c r="N104" i="111"/>
  <c r="L104" i="111"/>
  <c r="K104" i="111"/>
  <c r="J104" i="111"/>
  <c r="I104" i="111"/>
  <c r="F104" i="111"/>
  <c r="D104" i="111"/>
  <c r="A104" i="111"/>
  <c r="T103" i="111"/>
  <c r="S103" i="111"/>
  <c r="R103" i="111"/>
  <c r="Q103" i="111"/>
  <c r="P103" i="111"/>
  <c r="O103" i="111"/>
  <c r="N103" i="111"/>
  <c r="L103" i="111"/>
  <c r="K103" i="111"/>
  <c r="J103" i="111"/>
  <c r="I103" i="111"/>
  <c r="F103" i="111"/>
  <c r="D103" i="111"/>
  <c r="A103" i="111"/>
  <c r="T102" i="111"/>
  <c r="S102" i="111"/>
  <c r="R102" i="111"/>
  <c r="Q102" i="111"/>
  <c r="P102" i="111"/>
  <c r="O102" i="111"/>
  <c r="N102" i="111"/>
  <c r="L102" i="111"/>
  <c r="K102" i="111"/>
  <c r="J102" i="111"/>
  <c r="I102" i="111"/>
  <c r="F102" i="111"/>
  <c r="D102" i="111"/>
  <c r="A102" i="111"/>
  <c r="T101" i="111"/>
  <c r="S101" i="111"/>
  <c r="R101" i="111"/>
  <c r="Q101" i="111"/>
  <c r="P101" i="111"/>
  <c r="O101" i="111"/>
  <c r="N101" i="111"/>
  <c r="L101" i="111"/>
  <c r="K101" i="111"/>
  <c r="J101" i="111"/>
  <c r="I101" i="111"/>
  <c r="F101" i="111"/>
  <c r="D101" i="111"/>
  <c r="A101" i="111"/>
  <c r="T100" i="111"/>
  <c r="S100" i="111"/>
  <c r="R100" i="111"/>
  <c r="Q100" i="111"/>
  <c r="P100" i="111"/>
  <c r="O100" i="111"/>
  <c r="N100" i="111"/>
  <c r="L100" i="111"/>
  <c r="K100" i="111"/>
  <c r="J100" i="111"/>
  <c r="I100" i="111"/>
  <c r="F100" i="111"/>
  <c r="D100" i="111"/>
  <c r="A100" i="111"/>
  <c r="T99" i="111"/>
  <c r="S99" i="111"/>
  <c r="R99" i="111"/>
  <c r="Q99" i="111"/>
  <c r="P99" i="111"/>
  <c r="O99" i="111"/>
  <c r="N99" i="111"/>
  <c r="L99" i="111"/>
  <c r="K99" i="111"/>
  <c r="J99" i="111"/>
  <c r="I99" i="111"/>
  <c r="F99" i="111"/>
  <c r="D99" i="111"/>
  <c r="A99" i="111"/>
  <c r="T98" i="111"/>
  <c r="S98" i="111"/>
  <c r="R98" i="111"/>
  <c r="Q98" i="111"/>
  <c r="P98" i="111"/>
  <c r="O98" i="111"/>
  <c r="N98" i="111"/>
  <c r="L98" i="111"/>
  <c r="K98" i="111"/>
  <c r="J98" i="111"/>
  <c r="I98" i="111"/>
  <c r="F98" i="111"/>
  <c r="D98" i="111"/>
  <c r="A98" i="111"/>
  <c r="T97" i="111"/>
  <c r="S97" i="111"/>
  <c r="R97" i="111"/>
  <c r="Q97" i="111"/>
  <c r="P97" i="111"/>
  <c r="O97" i="111"/>
  <c r="N97" i="111"/>
  <c r="L97" i="111"/>
  <c r="K97" i="111"/>
  <c r="J97" i="111"/>
  <c r="I97" i="111"/>
  <c r="F97" i="111"/>
  <c r="D97" i="111"/>
  <c r="A97" i="111"/>
  <c r="T96" i="111"/>
  <c r="S96" i="111"/>
  <c r="R96" i="111"/>
  <c r="Q96" i="111"/>
  <c r="P96" i="111"/>
  <c r="O96" i="111"/>
  <c r="N96" i="111"/>
  <c r="L96" i="111"/>
  <c r="K96" i="111"/>
  <c r="J96" i="111"/>
  <c r="I96" i="111"/>
  <c r="F96" i="111"/>
  <c r="D96" i="111"/>
  <c r="A96" i="111"/>
  <c r="T95" i="111"/>
  <c r="S95" i="111"/>
  <c r="R95" i="111"/>
  <c r="Q95" i="111"/>
  <c r="P95" i="111"/>
  <c r="O95" i="111"/>
  <c r="N95" i="111"/>
  <c r="L95" i="111"/>
  <c r="K95" i="111"/>
  <c r="J95" i="111"/>
  <c r="I95" i="111"/>
  <c r="F95" i="111"/>
  <c r="D95" i="111"/>
  <c r="A95" i="111"/>
  <c r="T94" i="111"/>
  <c r="S94" i="111"/>
  <c r="R94" i="111"/>
  <c r="Q94" i="111"/>
  <c r="P94" i="111"/>
  <c r="O94" i="111"/>
  <c r="N94" i="111"/>
  <c r="L94" i="111"/>
  <c r="K94" i="111"/>
  <c r="J94" i="111"/>
  <c r="I94" i="111"/>
  <c r="F94" i="111"/>
  <c r="D94" i="111"/>
  <c r="A94" i="111"/>
  <c r="T93" i="111"/>
  <c r="S93" i="111"/>
  <c r="R93" i="111"/>
  <c r="Q93" i="111"/>
  <c r="P93" i="111"/>
  <c r="O93" i="111"/>
  <c r="N93" i="111"/>
  <c r="L93" i="111"/>
  <c r="K93" i="111"/>
  <c r="J93" i="111"/>
  <c r="I93" i="111"/>
  <c r="F93" i="111"/>
  <c r="D93" i="111"/>
  <c r="A93" i="111"/>
  <c r="T92" i="111"/>
  <c r="S92" i="111"/>
  <c r="R92" i="111"/>
  <c r="Q92" i="111"/>
  <c r="P92" i="111"/>
  <c r="O92" i="111"/>
  <c r="N92" i="111"/>
  <c r="L92" i="111"/>
  <c r="K92" i="111"/>
  <c r="J92" i="111"/>
  <c r="I92" i="111"/>
  <c r="F92" i="111"/>
  <c r="D92" i="111"/>
  <c r="A92" i="111"/>
  <c r="T91" i="111"/>
  <c r="S91" i="111"/>
  <c r="R91" i="111"/>
  <c r="Q91" i="111"/>
  <c r="P91" i="111"/>
  <c r="O91" i="111"/>
  <c r="N91" i="111"/>
  <c r="L91" i="111"/>
  <c r="K91" i="111"/>
  <c r="J91" i="111"/>
  <c r="I91" i="111"/>
  <c r="F91" i="111"/>
  <c r="D91" i="111"/>
  <c r="A91" i="111"/>
  <c r="T90" i="111"/>
  <c r="S90" i="111"/>
  <c r="R90" i="111"/>
  <c r="Q90" i="111"/>
  <c r="P90" i="111"/>
  <c r="O90" i="111"/>
  <c r="N90" i="111"/>
  <c r="L90" i="111"/>
  <c r="K90" i="111"/>
  <c r="J90" i="111"/>
  <c r="I90" i="111"/>
  <c r="F90" i="111"/>
  <c r="D90" i="111"/>
  <c r="A90" i="111"/>
  <c r="T89" i="111"/>
  <c r="S89" i="111"/>
  <c r="R89" i="111"/>
  <c r="Q89" i="111"/>
  <c r="P89" i="111"/>
  <c r="O89" i="111"/>
  <c r="N89" i="111"/>
  <c r="L89" i="111"/>
  <c r="K89" i="111"/>
  <c r="J89" i="111"/>
  <c r="I89" i="111"/>
  <c r="F89" i="111"/>
  <c r="D89" i="111"/>
  <c r="A89" i="111"/>
  <c r="T88" i="111"/>
  <c r="S88" i="111"/>
  <c r="R88" i="111"/>
  <c r="Q88" i="111"/>
  <c r="P88" i="111"/>
  <c r="O88" i="111"/>
  <c r="N88" i="111"/>
  <c r="L88" i="111"/>
  <c r="K88" i="111"/>
  <c r="J88" i="111"/>
  <c r="I88" i="111"/>
  <c r="F88" i="111"/>
  <c r="D88" i="111"/>
  <c r="A88" i="111"/>
  <c r="T87" i="111"/>
  <c r="S87" i="111"/>
  <c r="R87" i="111"/>
  <c r="Q87" i="111"/>
  <c r="P87" i="111"/>
  <c r="O87" i="111"/>
  <c r="N87" i="111"/>
  <c r="L87" i="111"/>
  <c r="K87" i="111"/>
  <c r="J87" i="111"/>
  <c r="I87" i="111"/>
  <c r="F87" i="111"/>
  <c r="D87" i="111"/>
  <c r="A87" i="111"/>
  <c r="T86" i="111"/>
  <c r="S86" i="111"/>
  <c r="R86" i="111"/>
  <c r="Q86" i="111"/>
  <c r="P86" i="111"/>
  <c r="O86" i="111"/>
  <c r="N86" i="111"/>
  <c r="L86" i="111"/>
  <c r="K86" i="111"/>
  <c r="J86" i="111"/>
  <c r="I86" i="111"/>
  <c r="F86" i="111"/>
  <c r="D86" i="111"/>
  <c r="A86" i="111"/>
  <c r="T85" i="111"/>
  <c r="S85" i="111"/>
  <c r="R85" i="111"/>
  <c r="Q85" i="111"/>
  <c r="P85" i="111"/>
  <c r="O85" i="111"/>
  <c r="N85" i="111"/>
  <c r="L85" i="111"/>
  <c r="K85" i="111"/>
  <c r="J85" i="111"/>
  <c r="I85" i="111"/>
  <c r="F85" i="111"/>
  <c r="D85" i="111"/>
  <c r="A85" i="111"/>
  <c r="T84" i="111"/>
  <c r="S84" i="111"/>
  <c r="R84" i="111"/>
  <c r="Q84" i="111"/>
  <c r="P84" i="111"/>
  <c r="O84" i="111"/>
  <c r="N84" i="111"/>
  <c r="L84" i="111"/>
  <c r="K84" i="111"/>
  <c r="J84" i="111"/>
  <c r="I84" i="111"/>
  <c r="F84" i="111"/>
  <c r="D84" i="111"/>
  <c r="A84" i="111"/>
  <c r="T83" i="111"/>
  <c r="S83" i="111"/>
  <c r="R83" i="111"/>
  <c r="Q83" i="111"/>
  <c r="P83" i="111"/>
  <c r="O83" i="111"/>
  <c r="N83" i="111"/>
  <c r="L83" i="111"/>
  <c r="K83" i="111"/>
  <c r="J83" i="111"/>
  <c r="I83" i="111"/>
  <c r="F83" i="111"/>
  <c r="D83" i="111"/>
  <c r="A83" i="111"/>
  <c r="T82" i="111"/>
  <c r="S82" i="111"/>
  <c r="R82" i="111"/>
  <c r="Q82" i="111"/>
  <c r="P82" i="111"/>
  <c r="O82" i="111"/>
  <c r="N82" i="111"/>
  <c r="L82" i="111"/>
  <c r="K82" i="111"/>
  <c r="J82" i="111"/>
  <c r="I82" i="111"/>
  <c r="F82" i="111"/>
  <c r="D82" i="111"/>
  <c r="A82" i="111"/>
  <c r="T81" i="111"/>
  <c r="S81" i="111"/>
  <c r="R81" i="111"/>
  <c r="Q81" i="111"/>
  <c r="P81" i="111"/>
  <c r="O81" i="111"/>
  <c r="N81" i="111"/>
  <c r="L81" i="111"/>
  <c r="K81" i="111"/>
  <c r="J81" i="111"/>
  <c r="I81" i="111"/>
  <c r="F81" i="111"/>
  <c r="D81" i="111"/>
  <c r="A81" i="111"/>
  <c r="T80" i="111"/>
  <c r="S80" i="111"/>
  <c r="R80" i="111"/>
  <c r="Q80" i="111"/>
  <c r="P80" i="111"/>
  <c r="O80" i="111"/>
  <c r="N80" i="111"/>
  <c r="L80" i="111"/>
  <c r="K80" i="111"/>
  <c r="J80" i="111"/>
  <c r="I80" i="111"/>
  <c r="F80" i="111"/>
  <c r="D80" i="111"/>
  <c r="A80" i="111"/>
  <c r="T79" i="111"/>
  <c r="S79" i="111"/>
  <c r="R79" i="111"/>
  <c r="Q79" i="111"/>
  <c r="P79" i="111"/>
  <c r="O79" i="111"/>
  <c r="N79" i="111"/>
  <c r="L79" i="111"/>
  <c r="K79" i="111"/>
  <c r="J79" i="111"/>
  <c r="I79" i="111"/>
  <c r="F79" i="111"/>
  <c r="D79" i="111"/>
  <c r="A79" i="111"/>
  <c r="T78" i="111"/>
  <c r="S78" i="111"/>
  <c r="R78" i="111"/>
  <c r="Q78" i="111"/>
  <c r="P78" i="111"/>
  <c r="O78" i="111"/>
  <c r="N78" i="111"/>
  <c r="L78" i="111"/>
  <c r="K78" i="111"/>
  <c r="J78" i="111"/>
  <c r="I78" i="111"/>
  <c r="F78" i="111"/>
  <c r="D78" i="111"/>
  <c r="A78" i="111"/>
  <c r="T77" i="111"/>
  <c r="S77" i="111"/>
  <c r="R77" i="111"/>
  <c r="Q77" i="111"/>
  <c r="P77" i="111"/>
  <c r="O77" i="111"/>
  <c r="N77" i="111"/>
  <c r="L77" i="111"/>
  <c r="K77" i="111"/>
  <c r="J77" i="111"/>
  <c r="I77" i="111"/>
  <c r="F77" i="111"/>
  <c r="D77" i="111"/>
  <c r="A77" i="111"/>
  <c r="T76" i="111"/>
  <c r="S76" i="111"/>
  <c r="R76" i="111"/>
  <c r="Q76" i="111"/>
  <c r="P76" i="111"/>
  <c r="O76" i="111"/>
  <c r="N76" i="111"/>
  <c r="L76" i="111"/>
  <c r="K76" i="111"/>
  <c r="J76" i="111"/>
  <c r="I76" i="111"/>
  <c r="F76" i="111"/>
  <c r="D76" i="111"/>
  <c r="A76" i="111"/>
  <c r="T75" i="111"/>
  <c r="S75" i="111"/>
  <c r="R75" i="111"/>
  <c r="Q75" i="111"/>
  <c r="P75" i="111"/>
  <c r="O75" i="111"/>
  <c r="N75" i="111"/>
  <c r="L75" i="111"/>
  <c r="K75" i="111"/>
  <c r="J75" i="111"/>
  <c r="I75" i="111"/>
  <c r="F75" i="111"/>
  <c r="D75" i="111"/>
  <c r="A75" i="111"/>
  <c r="T74" i="111"/>
  <c r="S74" i="111"/>
  <c r="R74" i="111"/>
  <c r="Q74" i="111"/>
  <c r="P74" i="111"/>
  <c r="O74" i="111"/>
  <c r="N74" i="111"/>
  <c r="L74" i="111"/>
  <c r="K74" i="111"/>
  <c r="J74" i="111"/>
  <c r="I74" i="111"/>
  <c r="F74" i="111"/>
  <c r="D74" i="111"/>
  <c r="A74" i="111"/>
  <c r="T73" i="111"/>
  <c r="S73" i="111"/>
  <c r="R73" i="111"/>
  <c r="Q73" i="111"/>
  <c r="P73" i="111"/>
  <c r="O73" i="111"/>
  <c r="N73" i="111"/>
  <c r="L73" i="111"/>
  <c r="K73" i="111"/>
  <c r="J73" i="111"/>
  <c r="I73" i="111"/>
  <c r="F73" i="111"/>
  <c r="D73" i="111"/>
  <c r="A73" i="111"/>
  <c r="T72" i="111"/>
  <c r="S72" i="111"/>
  <c r="R72" i="111"/>
  <c r="Q72" i="111"/>
  <c r="P72" i="111"/>
  <c r="O72" i="111"/>
  <c r="N72" i="111"/>
  <c r="L72" i="111"/>
  <c r="K72" i="111"/>
  <c r="J72" i="111"/>
  <c r="I72" i="111"/>
  <c r="F72" i="111"/>
  <c r="D72" i="111"/>
  <c r="A72" i="111"/>
  <c r="T71" i="111"/>
  <c r="S71" i="111"/>
  <c r="R71" i="111"/>
  <c r="Q71" i="111"/>
  <c r="P71" i="111"/>
  <c r="O71" i="111"/>
  <c r="N71" i="111"/>
  <c r="L71" i="111"/>
  <c r="K71" i="111"/>
  <c r="J71" i="111"/>
  <c r="I71" i="111"/>
  <c r="F71" i="111"/>
  <c r="D71" i="111"/>
  <c r="A71" i="111"/>
  <c r="T70" i="111"/>
  <c r="S70" i="111"/>
  <c r="R70" i="111"/>
  <c r="Q70" i="111"/>
  <c r="P70" i="111"/>
  <c r="O70" i="111"/>
  <c r="N70" i="111"/>
  <c r="L70" i="111"/>
  <c r="K70" i="111"/>
  <c r="J70" i="111"/>
  <c r="I70" i="111"/>
  <c r="F70" i="111"/>
  <c r="D70" i="111"/>
  <c r="A70" i="111"/>
  <c r="T69" i="111"/>
  <c r="S69" i="111"/>
  <c r="R69" i="111"/>
  <c r="Q69" i="111"/>
  <c r="P69" i="111"/>
  <c r="O69" i="111"/>
  <c r="N69" i="111"/>
  <c r="L69" i="111"/>
  <c r="K69" i="111"/>
  <c r="J69" i="111"/>
  <c r="I69" i="111"/>
  <c r="F69" i="111"/>
  <c r="D69" i="111"/>
  <c r="A69" i="111"/>
  <c r="T68" i="111"/>
  <c r="S68" i="111"/>
  <c r="R68" i="111"/>
  <c r="Q68" i="111"/>
  <c r="P68" i="111"/>
  <c r="O68" i="111"/>
  <c r="N68" i="111"/>
  <c r="L68" i="111"/>
  <c r="K68" i="111"/>
  <c r="J68" i="111"/>
  <c r="I68" i="111"/>
  <c r="F68" i="111"/>
  <c r="D68" i="111"/>
  <c r="A68" i="111"/>
  <c r="T67" i="111"/>
  <c r="S67" i="111"/>
  <c r="R67" i="111"/>
  <c r="Q67" i="111"/>
  <c r="P67" i="111"/>
  <c r="O67" i="111"/>
  <c r="N67" i="111"/>
  <c r="L67" i="111"/>
  <c r="K67" i="111"/>
  <c r="J67" i="111"/>
  <c r="I67" i="111"/>
  <c r="F67" i="111"/>
  <c r="D67" i="111"/>
  <c r="A67" i="111"/>
  <c r="T66" i="111"/>
  <c r="S66" i="111"/>
  <c r="R66" i="111"/>
  <c r="Q66" i="111"/>
  <c r="P66" i="111"/>
  <c r="O66" i="111"/>
  <c r="N66" i="111"/>
  <c r="L66" i="111"/>
  <c r="K66" i="111"/>
  <c r="J66" i="111"/>
  <c r="I66" i="111"/>
  <c r="F66" i="111"/>
  <c r="D66" i="111"/>
  <c r="A66" i="111"/>
  <c r="T65" i="111"/>
  <c r="S65" i="111"/>
  <c r="R65" i="111"/>
  <c r="Q65" i="111"/>
  <c r="P65" i="111"/>
  <c r="O65" i="111"/>
  <c r="N65" i="111"/>
  <c r="L65" i="111"/>
  <c r="K65" i="111"/>
  <c r="J65" i="111"/>
  <c r="I65" i="111"/>
  <c r="F65" i="111"/>
  <c r="D65" i="111"/>
  <c r="A65" i="111"/>
  <c r="T64" i="111"/>
  <c r="S64" i="111"/>
  <c r="R64" i="111"/>
  <c r="Q64" i="111"/>
  <c r="P64" i="111"/>
  <c r="O64" i="111"/>
  <c r="N64" i="111"/>
  <c r="L64" i="111"/>
  <c r="K64" i="111"/>
  <c r="J64" i="111"/>
  <c r="I64" i="111"/>
  <c r="F64" i="111"/>
  <c r="D64" i="111"/>
  <c r="A64" i="111"/>
  <c r="T63" i="111"/>
  <c r="S63" i="111"/>
  <c r="R63" i="111"/>
  <c r="Q63" i="111"/>
  <c r="P63" i="111"/>
  <c r="O63" i="111"/>
  <c r="N63" i="111"/>
  <c r="L63" i="111"/>
  <c r="K63" i="111"/>
  <c r="J63" i="111"/>
  <c r="I63" i="111"/>
  <c r="F63" i="111"/>
  <c r="D63" i="111"/>
  <c r="A63" i="111"/>
  <c r="T62" i="111"/>
  <c r="S62" i="111"/>
  <c r="R62" i="111"/>
  <c r="Q62" i="111"/>
  <c r="P62" i="111"/>
  <c r="O62" i="111"/>
  <c r="N62" i="111"/>
  <c r="L62" i="111"/>
  <c r="K62" i="111"/>
  <c r="J62" i="111"/>
  <c r="I62" i="111"/>
  <c r="F62" i="111"/>
  <c r="D62" i="111"/>
  <c r="A62" i="111"/>
  <c r="T61" i="111"/>
  <c r="S61" i="111"/>
  <c r="R61" i="111"/>
  <c r="Q61" i="111"/>
  <c r="P61" i="111"/>
  <c r="O61" i="111"/>
  <c r="N61" i="111"/>
  <c r="L61" i="111"/>
  <c r="K61" i="111"/>
  <c r="J61" i="111"/>
  <c r="I61" i="111"/>
  <c r="F61" i="111"/>
  <c r="D61" i="111"/>
  <c r="A61" i="111"/>
  <c r="T60" i="111"/>
  <c r="S60" i="111"/>
  <c r="R60" i="111"/>
  <c r="Q60" i="111"/>
  <c r="P60" i="111"/>
  <c r="O60" i="111"/>
  <c r="N60" i="111"/>
  <c r="L60" i="111"/>
  <c r="K60" i="111"/>
  <c r="J60" i="111"/>
  <c r="I60" i="111"/>
  <c r="F60" i="111"/>
  <c r="D60" i="111"/>
  <c r="A60" i="111"/>
  <c r="T59" i="111"/>
  <c r="S59" i="111"/>
  <c r="R59" i="111"/>
  <c r="Q59" i="111"/>
  <c r="P59" i="111"/>
  <c r="O59" i="111"/>
  <c r="N59" i="111"/>
  <c r="L59" i="111"/>
  <c r="K59" i="111"/>
  <c r="J59" i="111"/>
  <c r="I59" i="111"/>
  <c r="F59" i="111"/>
  <c r="D59" i="111"/>
  <c r="A59" i="111"/>
  <c r="T58" i="111"/>
  <c r="S58" i="111"/>
  <c r="R58" i="111"/>
  <c r="Q58" i="111"/>
  <c r="P58" i="111"/>
  <c r="O58" i="111"/>
  <c r="N58" i="111"/>
  <c r="L58" i="111"/>
  <c r="K58" i="111"/>
  <c r="J58" i="111"/>
  <c r="I58" i="111"/>
  <c r="F58" i="111"/>
  <c r="D58" i="111"/>
  <c r="A58" i="111"/>
  <c r="T57" i="111"/>
  <c r="S57" i="111"/>
  <c r="R57" i="111"/>
  <c r="Q57" i="111"/>
  <c r="P57" i="111"/>
  <c r="O57" i="111"/>
  <c r="N57" i="111"/>
  <c r="L57" i="111"/>
  <c r="K57" i="111"/>
  <c r="J57" i="111"/>
  <c r="I57" i="111"/>
  <c r="F57" i="111"/>
  <c r="D57" i="111"/>
  <c r="A57" i="111"/>
  <c r="T56" i="111"/>
  <c r="S56" i="111"/>
  <c r="R56" i="111"/>
  <c r="Q56" i="111"/>
  <c r="P56" i="111"/>
  <c r="O56" i="111"/>
  <c r="N56" i="111"/>
  <c r="L56" i="111"/>
  <c r="K56" i="111"/>
  <c r="J56" i="111"/>
  <c r="I56" i="111"/>
  <c r="F56" i="111"/>
  <c r="D56" i="111"/>
  <c r="A56" i="111"/>
  <c r="T55" i="111"/>
  <c r="S55" i="111"/>
  <c r="R55" i="111"/>
  <c r="Q55" i="111"/>
  <c r="P55" i="111"/>
  <c r="O55" i="111"/>
  <c r="N55" i="111"/>
  <c r="L55" i="111"/>
  <c r="K55" i="111"/>
  <c r="J55" i="111"/>
  <c r="I55" i="111"/>
  <c r="F55" i="111"/>
  <c r="D55" i="111"/>
  <c r="A55" i="111"/>
  <c r="T54" i="111"/>
  <c r="S54" i="111"/>
  <c r="R54" i="111"/>
  <c r="Q54" i="111"/>
  <c r="P54" i="111"/>
  <c r="O54" i="111"/>
  <c r="N54" i="111"/>
  <c r="L54" i="111"/>
  <c r="K54" i="111"/>
  <c r="J54" i="111"/>
  <c r="I54" i="111"/>
  <c r="F54" i="111"/>
  <c r="D54" i="111"/>
  <c r="A54" i="111"/>
  <c r="T53" i="111"/>
  <c r="S53" i="111"/>
  <c r="R53" i="111"/>
  <c r="Q53" i="111"/>
  <c r="P53" i="111"/>
  <c r="O53" i="111"/>
  <c r="N53" i="111"/>
  <c r="L53" i="111"/>
  <c r="K53" i="111"/>
  <c r="J53" i="111"/>
  <c r="I53" i="111"/>
  <c r="F53" i="111"/>
  <c r="D53" i="111"/>
  <c r="A53" i="111"/>
  <c r="T52" i="111"/>
  <c r="S52" i="111"/>
  <c r="R52" i="111"/>
  <c r="Q52" i="111"/>
  <c r="P52" i="111"/>
  <c r="O52" i="111"/>
  <c r="N52" i="111"/>
  <c r="L52" i="111"/>
  <c r="K52" i="111"/>
  <c r="J52" i="111"/>
  <c r="I52" i="111"/>
  <c r="F52" i="111"/>
  <c r="D52" i="111"/>
  <c r="A52" i="111"/>
  <c r="T51" i="111"/>
  <c r="S51" i="111"/>
  <c r="R51" i="111"/>
  <c r="Q51" i="111"/>
  <c r="P51" i="111"/>
  <c r="O51" i="111"/>
  <c r="N51" i="111"/>
  <c r="L51" i="111"/>
  <c r="K51" i="111"/>
  <c r="J51" i="111"/>
  <c r="I51" i="111"/>
  <c r="F51" i="111"/>
  <c r="D51" i="111"/>
  <c r="A51" i="111"/>
  <c r="T50" i="111"/>
  <c r="S50" i="111"/>
  <c r="R50" i="111"/>
  <c r="Q50" i="111"/>
  <c r="P50" i="111"/>
  <c r="O50" i="111"/>
  <c r="N50" i="111"/>
  <c r="L50" i="111"/>
  <c r="K50" i="111"/>
  <c r="J50" i="111"/>
  <c r="I50" i="111"/>
  <c r="F50" i="111"/>
  <c r="D50" i="111"/>
  <c r="A50" i="111"/>
  <c r="T49" i="111"/>
  <c r="S49" i="111"/>
  <c r="R49" i="111"/>
  <c r="Q49" i="111"/>
  <c r="P49" i="111"/>
  <c r="O49" i="111"/>
  <c r="N49" i="111"/>
  <c r="L49" i="111"/>
  <c r="K49" i="111"/>
  <c r="J49" i="111"/>
  <c r="I49" i="111"/>
  <c r="F49" i="111"/>
  <c r="D49" i="111"/>
  <c r="A49" i="111"/>
  <c r="T48" i="111"/>
  <c r="S48" i="111"/>
  <c r="R48" i="111"/>
  <c r="Q48" i="111"/>
  <c r="P48" i="111"/>
  <c r="O48" i="111"/>
  <c r="N48" i="111"/>
  <c r="L48" i="111"/>
  <c r="K48" i="111"/>
  <c r="J48" i="111"/>
  <c r="I48" i="111"/>
  <c r="F48" i="111"/>
  <c r="D48" i="111"/>
  <c r="A48" i="111"/>
  <c r="T47" i="111"/>
  <c r="S47" i="111"/>
  <c r="R47" i="111"/>
  <c r="Q47" i="111"/>
  <c r="P47" i="111"/>
  <c r="O47" i="111"/>
  <c r="N47" i="111"/>
  <c r="L47" i="111"/>
  <c r="K47" i="111"/>
  <c r="J47" i="111"/>
  <c r="I47" i="111"/>
  <c r="F47" i="111"/>
  <c r="D47" i="111"/>
  <c r="A47" i="111"/>
  <c r="T46" i="111"/>
  <c r="S46" i="111"/>
  <c r="R46" i="111"/>
  <c r="Q46" i="111"/>
  <c r="P46" i="111"/>
  <c r="O46" i="111"/>
  <c r="N46" i="111"/>
  <c r="L46" i="111"/>
  <c r="K46" i="111"/>
  <c r="J46" i="111"/>
  <c r="I46" i="111"/>
  <c r="F46" i="111"/>
  <c r="D46" i="111"/>
  <c r="A46" i="111"/>
  <c r="T45" i="111"/>
  <c r="S45" i="111"/>
  <c r="R45" i="111"/>
  <c r="Q45" i="111"/>
  <c r="P45" i="111"/>
  <c r="O45" i="111"/>
  <c r="N45" i="111"/>
  <c r="L45" i="111"/>
  <c r="K45" i="111"/>
  <c r="J45" i="111"/>
  <c r="I45" i="111"/>
  <c r="F45" i="111"/>
  <c r="D45" i="111"/>
  <c r="A45" i="111"/>
  <c r="T44" i="111"/>
  <c r="S44" i="111"/>
  <c r="R44" i="111"/>
  <c r="Q44" i="111"/>
  <c r="P44" i="111"/>
  <c r="O44" i="111"/>
  <c r="N44" i="111"/>
  <c r="L44" i="111"/>
  <c r="K44" i="111"/>
  <c r="J44" i="111"/>
  <c r="I44" i="111"/>
  <c r="F44" i="111"/>
  <c r="D44" i="111"/>
  <c r="A44" i="111"/>
  <c r="T43" i="111"/>
  <c r="S43" i="111"/>
  <c r="R43" i="111"/>
  <c r="Q43" i="111"/>
  <c r="P43" i="111"/>
  <c r="O43" i="111"/>
  <c r="N43" i="111"/>
  <c r="L43" i="111"/>
  <c r="K43" i="111"/>
  <c r="J43" i="111"/>
  <c r="I43" i="111"/>
  <c r="F43" i="111"/>
  <c r="D43" i="111"/>
  <c r="A43" i="111"/>
  <c r="T42" i="111"/>
  <c r="S42" i="111"/>
  <c r="R42" i="111"/>
  <c r="Q42" i="111"/>
  <c r="P42" i="111"/>
  <c r="O42" i="111"/>
  <c r="N42" i="111"/>
  <c r="L42" i="111"/>
  <c r="K42" i="111"/>
  <c r="J42" i="111"/>
  <c r="I42" i="111"/>
  <c r="F42" i="111"/>
  <c r="D42" i="111"/>
  <c r="A42" i="111"/>
  <c r="T41" i="111"/>
  <c r="S41" i="111"/>
  <c r="R41" i="111"/>
  <c r="Q41" i="111"/>
  <c r="P41" i="111"/>
  <c r="O41" i="111"/>
  <c r="N41" i="111"/>
  <c r="L41" i="111"/>
  <c r="K41" i="111"/>
  <c r="J41" i="111"/>
  <c r="I41" i="111"/>
  <c r="F41" i="111"/>
  <c r="D41" i="111"/>
  <c r="A41" i="111"/>
  <c r="T40" i="111"/>
  <c r="S40" i="111"/>
  <c r="R40" i="111"/>
  <c r="Q40" i="111"/>
  <c r="P40" i="111"/>
  <c r="O40" i="111"/>
  <c r="N40" i="111"/>
  <c r="L40" i="111"/>
  <c r="K40" i="111"/>
  <c r="J40" i="111"/>
  <c r="I40" i="111"/>
  <c r="F40" i="111"/>
  <c r="D40" i="111"/>
  <c r="A40" i="111"/>
  <c r="T39" i="111"/>
  <c r="S39" i="111"/>
  <c r="R39" i="111"/>
  <c r="Q39" i="111"/>
  <c r="P39" i="111"/>
  <c r="O39" i="111"/>
  <c r="N39" i="111"/>
  <c r="L39" i="111"/>
  <c r="K39" i="111"/>
  <c r="J39" i="111"/>
  <c r="I39" i="111"/>
  <c r="F39" i="111"/>
  <c r="D39" i="111"/>
  <c r="A39" i="111"/>
  <c r="T38" i="111"/>
  <c r="S38" i="111"/>
  <c r="R38" i="111"/>
  <c r="Q38" i="111"/>
  <c r="P38" i="111"/>
  <c r="O38" i="111"/>
  <c r="N38" i="111"/>
  <c r="L38" i="111"/>
  <c r="K38" i="111"/>
  <c r="J38" i="111"/>
  <c r="I38" i="111"/>
  <c r="F38" i="111"/>
  <c r="D38" i="111"/>
  <c r="A38" i="111"/>
  <c r="T37" i="111"/>
  <c r="S37" i="111"/>
  <c r="R37" i="111"/>
  <c r="Q37" i="111"/>
  <c r="P37" i="111"/>
  <c r="O37" i="111"/>
  <c r="N37" i="111"/>
  <c r="L37" i="111"/>
  <c r="K37" i="111"/>
  <c r="J37" i="111"/>
  <c r="I37" i="111"/>
  <c r="F37" i="111"/>
  <c r="D37" i="111"/>
  <c r="A37" i="111"/>
  <c r="T36" i="111"/>
  <c r="S36" i="111"/>
  <c r="R36" i="111"/>
  <c r="Q36" i="111"/>
  <c r="P36" i="111"/>
  <c r="O36" i="111"/>
  <c r="N36" i="111"/>
  <c r="L36" i="111"/>
  <c r="K36" i="111"/>
  <c r="J36" i="111"/>
  <c r="I36" i="111"/>
  <c r="F36" i="111"/>
  <c r="D36" i="111"/>
  <c r="A36" i="111"/>
  <c r="T35" i="111"/>
  <c r="S35" i="111"/>
  <c r="R35" i="111"/>
  <c r="Q35" i="111"/>
  <c r="P35" i="111"/>
  <c r="O35" i="111"/>
  <c r="N35" i="111"/>
  <c r="L35" i="111"/>
  <c r="K35" i="111"/>
  <c r="J35" i="111"/>
  <c r="I35" i="111"/>
  <c r="F35" i="111"/>
  <c r="D35" i="111"/>
  <c r="A35" i="111"/>
  <c r="T34" i="111"/>
  <c r="S34" i="111"/>
  <c r="R34" i="111"/>
  <c r="Q34" i="111"/>
  <c r="P34" i="111"/>
  <c r="O34" i="111"/>
  <c r="N34" i="111"/>
  <c r="L34" i="111"/>
  <c r="K34" i="111"/>
  <c r="J34" i="111"/>
  <c r="I34" i="111"/>
  <c r="F34" i="111"/>
  <c r="D34" i="111"/>
  <c r="A34" i="111"/>
  <c r="T33" i="111"/>
  <c r="S33" i="111"/>
  <c r="R33" i="111"/>
  <c r="Q33" i="111"/>
  <c r="P33" i="111"/>
  <c r="O33" i="111"/>
  <c r="N33" i="111"/>
  <c r="L33" i="111"/>
  <c r="K33" i="111"/>
  <c r="J33" i="111"/>
  <c r="I33" i="111"/>
  <c r="F33" i="111"/>
  <c r="D33" i="111"/>
  <c r="A33" i="111"/>
  <c r="T32" i="111"/>
  <c r="S32" i="111"/>
  <c r="R32" i="111"/>
  <c r="Q32" i="111"/>
  <c r="P32" i="111"/>
  <c r="O32" i="111"/>
  <c r="N32" i="111"/>
  <c r="L32" i="111"/>
  <c r="K32" i="111"/>
  <c r="J32" i="111"/>
  <c r="I32" i="111"/>
  <c r="F32" i="111"/>
  <c r="D32" i="111"/>
  <c r="A32" i="111"/>
  <c r="T31" i="111"/>
  <c r="S31" i="111"/>
  <c r="R31" i="111"/>
  <c r="Q31" i="111"/>
  <c r="P31" i="111"/>
  <c r="O31" i="111"/>
  <c r="N31" i="111"/>
  <c r="L31" i="111"/>
  <c r="K31" i="111"/>
  <c r="J31" i="111"/>
  <c r="I31" i="111"/>
  <c r="F31" i="111"/>
  <c r="D31" i="111"/>
  <c r="A31" i="111"/>
  <c r="T30" i="111"/>
  <c r="S30" i="111"/>
  <c r="R30" i="111"/>
  <c r="Q30" i="111"/>
  <c r="P30" i="111"/>
  <c r="O30" i="111"/>
  <c r="N30" i="111"/>
  <c r="L30" i="111"/>
  <c r="K30" i="111"/>
  <c r="J30" i="111"/>
  <c r="I30" i="111"/>
  <c r="F30" i="111"/>
  <c r="D30" i="111"/>
  <c r="A30" i="111"/>
  <c r="T29" i="111"/>
  <c r="S29" i="111"/>
  <c r="R29" i="111"/>
  <c r="Q29" i="111"/>
  <c r="P29" i="111"/>
  <c r="O29" i="111"/>
  <c r="N29" i="111"/>
  <c r="L29" i="111"/>
  <c r="K29" i="111"/>
  <c r="J29" i="111"/>
  <c r="I29" i="111"/>
  <c r="F29" i="111"/>
  <c r="D29" i="111"/>
  <c r="A29" i="111"/>
  <c r="T28" i="111"/>
  <c r="S28" i="111"/>
  <c r="R28" i="111"/>
  <c r="Q28" i="111"/>
  <c r="P28" i="111"/>
  <c r="O28" i="111"/>
  <c r="N28" i="111"/>
  <c r="L28" i="111"/>
  <c r="K28" i="111"/>
  <c r="J28" i="111"/>
  <c r="I28" i="111"/>
  <c r="F28" i="111"/>
  <c r="D28" i="111"/>
  <c r="A28" i="111"/>
  <c r="T27" i="111"/>
  <c r="S27" i="111"/>
  <c r="R27" i="111"/>
  <c r="Q27" i="111"/>
  <c r="P27" i="111"/>
  <c r="O27" i="111"/>
  <c r="N27" i="111"/>
  <c r="L27" i="111"/>
  <c r="K27" i="111"/>
  <c r="J27" i="111"/>
  <c r="I27" i="111"/>
  <c r="F27" i="111"/>
  <c r="D27" i="111"/>
  <c r="A27" i="111"/>
  <c r="T26" i="111"/>
  <c r="S26" i="111"/>
  <c r="R26" i="111"/>
  <c r="Q26" i="111"/>
  <c r="P26" i="111"/>
  <c r="O26" i="111"/>
  <c r="N26" i="111"/>
  <c r="L26" i="111"/>
  <c r="K26" i="111"/>
  <c r="J26" i="111"/>
  <c r="I26" i="111"/>
  <c r="F26" i="111"/>
  <c r="D26" i="111"/>
  <c r="A26" i="111"/>
  <c r="T25" i="111"/>
  <c r="S25" i="111"/>
  <c r="R25" i="111"/>
  <c r="Q25" i="111"/>
  <c r="P25" i="111"/>
  <c r="O25" i="111"/>
  <c r="N25" i="111"/>
  <c r="L25" i="111"/>
  <c r="K25" i="111"/>
  <c r="J25" i="111"/>
  <c r="I25" i="111"/>
  <c r="F25" i="111"/>
  <c r="D25" i="111"/>
  <c r="A25" i="111"/>
  <c r="T24" i="111"/>
  <c r="S24" i="111"/>
  <c r="R24" i="111"/>
  <c r="Q24" i="111"/>
  <c r="P24" i="111"/>
  <c r="O24" i="111"/>
  <c r="N24" i="111"/>
  <c r="L24" i="111"/>
  <c r="K24" i="111"/>
  <c r="J24" i="111"/>
  <c r="I24" i="111"/>
  <c r="F24" i="111"/>
  <c r="D24" i="111"/>
  <c r="A24" i="111"/>
  <c r="T23" i="111"/>
  <c r="S23" i="111"/>
  <c r="R23" i="111"/>
  <c r="Q23" i="111"/>
  <c r="P23" i="111"/>
  <c r="O23" i="111"/>
  <c r="N23" i="111"/>
  <c r="L23" i="111"/>
  <c r="K23" i="111"/>
  <c r="J23" i="111"/>
  <c r="I23" i="111"/>
  <c r="F23" i="111"/>
  <c r="D23" i="111"/>
  <c r="A23" i="111"/>
  <c r="T22" i="111"/>
  <c r="S22" i="111"/>
  <c r="R22" i="111"/>
  <c r="Q22" i="111"/>
  <c r="P22" i="111"/>
  <c r="O22" i="111"/>
  <c r="N22" i="111"/>
  <c r="L22" i="111"/>
  <c r="K22" i="111"/>
  <c r="J22" i="111"/>
  <c r="I22" i="111"/>
  <c r="F22" i="111"/>
  <c r="D22" i="111"/>
  <c r="A22" i="111"/>
  <c r="T21" i="111"/>
  <c r="S21" i="111"/>
  <c r="R21" i="111"/>
  <c r="Q21" i="111"/>
  <c r="P21" i="111"/>
  <c r="O21" i="111"/>
  <c r="N21" i="111"/>
  <c r="L21" i="111"/>
  <c r="K21" i="111"/>
  <c r="J21" i="111"/>
  <c r="I21" i="111"/>
  <c r="F21" i="111"/>
  <c r="D21" i="111"/>
  <c r="A21" i="111"/>
  <c r="T20" i="111"/>
  <c r="S20" i="111"/>
  <c r="R20" i="111"/>
  <c r="Q20" i="111"/>
  <c r="P20" i="111"/>
  <c r="O20" i="111"/>
  <c r="N20" i="111"/>
  <c r="L20" i="111"/>
  <c r="K20" i="111"/>
  <c r="J20" i="111"/>
  <c r="I20" i="111"/>
  <c r="F20" i="111"/>
  <c r="D20" i="111"/>
  <c r="A20" i="111"/>
  <c r="T19" i="111"/>
  <c r="S19" i="111"/>
  <c r="R19" i="111"/>
  <c r="Q19" i="111"/>
  <c r="P19" i="111"/>
  <c r="O19" i="111"/>
  <c r="N19" i="111"/>
  <c r="L19" i="111"/>
  <c r="K19" i="111"/>
  <c r="J19" i="111"/>
  <c r="I19" i="111"/>
  <c r="F19" i="111"/>
  <c r="D19" i="111"/>
  <c r="A19" i="111"/>
  <c r="T18" i="111"/>
  <c r="S18" i="111"/>
  <c r="R18" i="111"/>
  <c r="Q18" i="111"/>
  <c r="P18" i="111"/>
  <c r="O18" i="111"/>
  <c r="N18" i="111"/>
  <c r="L18" i="111"/>
  <c r="K18" i="111"/>
  <c r="J18" i="111"/>
  <c r="I18" i="111"/>
  <c r="F18" i="111"/>
  <c r="D18" i="111"/>
  <c r="A18" i="111"/>
  <c r="T17" i="111"/>
  <c r="S17" i="111"/>
  <c r="R17" i="111"/>
  <c r="Q17" i="111"/>
  <c r="P17" i="111"/>
  <c r="O17" i="111"/>
  <c r="N17" i="111"/>
  <c r="L17" i="111"/>
  <c r="K17" i="111"/>
  <c r="J17" i="111"/>
  <c r="I17" i="111"/>
  <c r="F17" i="111"/>
  <c r="D17" i="111"/>
  <c r="A17" i="111"/>
  <c r="T16" i="111"/>
  <c r="S16" i="111"/>
  <c r="R16" i="111"/>
  <c r="Q16" i="111"/>
  <c r="P16" i="111"/>
  <c r="O16" i="111"/>
  <c r="N16" i="111"/>
  <c r="L16" i="111"/>
  <c r="K16" i="111"/>
  <c r="J16" i="111"/>
  <c r="I16" i="111"/>
  <c r="F16" i="111"/>
  <c r="D16" i="111"/>
  <c r="A16" i="111"/>
  <c r="T15" i="111"/>
  <c r="S15" i="111"/>
  <c r="R15" i="111"/>
  <c r="Q15" i="111"/>
  <c r="P15" i="111"/>
  <c r="O15" i="111"/>
  <c r="N15" i="111"/>
  <c r="L15" i="111"/>
  <c r="K15" i="111"/>
  <c r="J15" i="111"/>
  <c r="I15" i="111"/>
  <c r="F15" i="111"/>
  <c r="D15" i="111"/>
  <c r="A15" i="111"/>
  <c r="T14" i="111"/>
  <c r="S14" i="111"/>
  <c r="R14" i="111"/>
  <c r="Q14" i="111"/>
  <c r="P14" i="111"/>
  <c r="O14" i="111"/>
  <c r="N14" i="111"/>
  <c r="L14" i="111"/>
  <c r="K14" i="111"/>
  <c r="J14" i="111"/>
  <c r="I14" i="111"/>
  <c r="F14" i="111"/>
  <c r="D14" i="111"/>
  <c r="A14" i="111"/>
  <c r="T13" i="111"/>
  <c r="S13" i="111"/>
  <c r="R13" i="111"/>
  <c r="Q13" i="111"/>
  <c r="P13" i="111"/>
  <c r="O13" i="111"/>
  <c r="N13" i="111"/>
  <c r="L13" i="111"/>
  <c r="K13" i="111"/>
  <c r="J13" i="111"/>
  <c r="I13" i="111"/>
  <c r="F13" i="111"/>
  <c r="D13" i="111"/>
  <c r="A13" i="111"/>
  <c r="T12" i="111"/>
  <c r="S12" i="111"/>
  <c r="R12" i="111"/>
  <c r="Q12" i="111"/>
  <c r="P12" i="111"/>
  <c r="O12" i="111"/>
  <c r="N12" i="111"/>
  <c r="L12" i="111"/>
  <c r="K12" i="111"/>
  <c r="J12" i="111"/>
  <c r="I12" i="111"/>
  <c r="F12" i="111"/>
  <c r="D12" i="111"/>
  <c r="A12" i="111"/>
  <c r="T11" i="111"/>
  <c r="S11" i="111"/>
  <c r="R11" i="111"/>
  <c r="Q11" i="111"/>
  <c r="P11" i="111"/>
  <c r="O11" i="111"/>
  <c r="N11" i="111"/>
  <c r="L11" i="111"/>
  <c r="K11" i="111"/>
  <c r="J11" i="111"/>
  <c r="I11" i="111"/>
  <c r="F11" i="111"/>
  <c r="D11" i="111"/>
  <c r="A11" i="111"/>
  <c r="T10" i="111"/>
  <c r="S10" i="111"/>
  <c r="R10" i="111"/>
  <c r="Q10" i="111"/>
  <c r="P10" i="111"/>
  <c r="O10" i="111"/>
  <c r="N10" i="111"/>
  <c r="L10" i="111"/>
  <c r="K10" i="111"/>
  <c r="J10" i="111"/>
  <c r="I10" i="111"/>
  <c r="F10" i="111"/>
  <c r="D10" i="111"/>
  <c r="A10" i="111"/>
  <c r="T9" i="111"/>
  <c r="S9" i="111"/>
  <c r="R9" i="111"/>
  <c r="Q9" i="111"/>
  <c r="P9" i="111"/>
  <c r="O9" i="111"/>
  <c r="N9" i="111"/>
  <c r="L9" i="111"/>
  <c r="K9" i="111"/>
  <c r="J9" i="111"/>
  <c r="I9" i="111"/>
  <c r="F9" i="111"/>
  <c r="D9" i="111"/>
  <c r="A9" i="111"/>
  <c r="T8" i="111"/>
  <c r="S8" i="111"/>
  <c r="R8" i="111"/>
  <c r="Q8" i="111"/>
  <c r="P8" i="111"/>
  <c r="O8" i="111"/>
  <c r="N8" i="111"/>
  <c r="L8" i="111"/>
  <c r="K8" i="111"/>
  <c r="J8" i="111"/>
  <c r="I8" i="111"/>
  <c r="F8" i="111"/>
  <c r="D8" i="111"/>
  <c r="A8" i="111"/>
  <c r="T7" i="111"/>
  <c r="S7" i="111"/>
  <c r="R7" i="111"/>
  <c r="Q7" i="111"/>
  <c r="P7" i="111"/>
  <c r="O7" i="111"/>
  <c r="N7" i="111"/>
  <c r="L7" i="111"/>
  <c r="K7" i="111"/>
  <c r="J7" i="111"/>
  <c r="I7" i="111"/>
  <c r="F7" i="111"/>
  <c r="D7" i="111"/>
  <c r="A7" i="111"/>
  <c r="T6" i="111"/>
  <c r="S6" i="111"/>
  <c r="R6" i="111"/>
  <c r="Q6" i="111"/>
  <c r="P6" i="111"/>
  <c r="O6" i="111"/>
  <c r="N6" i="111"/>
  <c r="L6" i="111"/>
  <c r="K6" i="111"/>
  <c r="J6" i="111"/>
  <c r="I6" i="111"/>
  <c r="F6" i="111"/>
  <c r="D6" i="111"/>
  <c r="A6" i="111"/>
  <c r="T5" i="111"/>
  <c r="S5" i="111"/>
  <c r="R5" i="111"/>
  <c r="Q5" i="111"/>
  <c r="P5" i="111"/>
  <c r="O5" i="111"/>
  <c r="N5" i="111"/>
  <c r="L5" i="111"/>
  <c r="K5" i="111"/>
  <c r="J5" i="111"/>
  <c r="I5" i="111"/>
  <c r="F5" i="111"/>
  <c r="D5" i="111"/>
  <c r="A5" i="111"/>
  <c r="T4" i="111"/>
  <c r="S4" i="111"/>
  <c r="R4" i="111"/>
  <c r="Q4" i="111"/>
  <c r="P4" i="111"/>
  <c r="O4" i="111"/>
  <c r="N4" i="111"/>
  <c r="L4" i="111"/>
  <c r="K4" i="111"/>
  <c r="J4" i="111"/>
  <c r="I4" i="111"/>
  <c r="F4" i="111"/>
  <c r="D4" i="111"/>
  <c r="A4" i="111"/>
  <c r="T3" i="111"/>
  <c r="S3" i="111"/>
  <c r="R3" i="111"/>
  <c r="Q3" i="111"/>
  <c r="P3" i="111"/>
  <c r="O3" i="111"/>
  <c r="N3" i="111"/>
  <c r="L3" i="111"/>
  <c r="K3" i="111"/>
  <c r="J3" i="111"/>
  <c r="I3" i="111"/>
  <c r="F3" i="111"/>
  <c r="D3" i="111"/>
  <c r="A3" i="111"/>
  <c r="T2" i="111"/>
  <c r="S2" i="111"/>
  <c r="R2" i="111"/>
  <c r="Q2" i="111"/>
  <c r="P2" i="111"/>
  <c r="O2" i="111"/>
  <c r="N2" i="111"/>
  <c r="L2" i="111"/>
  <c r="K2" i="111"/>
  <c r="J2" i="111"/>
  <c r="I2" i="111"/>
  <c r="F2" i="111"/>
  <c r="D2" i="111"/>
  <c r="A2" i="111"/>
  <c r="B44" i="110"/>
  <c r="B40" i="110"/>
  <c r="B41" i="110"/>
  <c r="B42" i="110"/>
  <c r="B43" i="110"/>
  <c r="B45" i="110"/>
  <c r="B46" i="110"/>
  <c r="B47" i="110"/>
  <c r="B48" i="110"/>
  <c r="B49" i="110"/>
  <c r="B50" i="110"/>
  <c r="B51" i="110"/>
  <c r="C44" i="110"/>
  <c r="C45" i="110"/>
  <c r="C49" i="110"/>
  <c r="C50" i="110"/>
  <c r="F51" i="110"/>
  <c r="C42" i="110"/>
  <c r="C43" i="110"/>
  <c r="C47" i="110"/>
  <c r="C48" i="110"/>
  <c r="F50" i="110"/>
  <c r="C40" i="110"/>
  <c r="C41" i="110"/>
  <c r="C46" i="110"/>
  <c r="F47" i="110"/>
  <c r="F42" i="110"/>
  <c r="F41" i="110"/>
  <c r="F40" i="110"/>
  <c r="B28" i="110"/>
  <c r="C21" i="110"/>
  <c r="C22" i="110"/>
  <c r="C28" i="110"/>
  <c r="D28" i="110"/>
  <c r="I27" i="110"/>
  <c r="J27" i="110"/>
  <c r="F27" i="110"/>
  <c r="I26" i="110"/>
  <c r="J26" i="110"/>
  <c r="F26" i="110"/>
  <c r="I25" i="110"/>
  <c r="J25" i="110"/>
  <c r="F25" i="110"/>
  <c r="I24" i="110"/>
  <c r="J24" i="110"/>
  <c r="F24" i="110"/>
  <c r="I23" i="110"/>
  <c r="J23" i="110"/>
  <c r="F23" i="110"/>
  <c r="D22" i="110"/>
  <c r="G22" i="110"/>
  <c r="E22" i="110"/>
  <c r="H22" i="110"/>
  <c r="I22" i="110"/>
  <c r="J22" i="110"/>
  <c r="F22" i="110"/>
  <c r="D21" i="110"/>
  <c r="G21" i="110"/>
  <c r="E21" i="110"/>
  <c r="H21" i="110"/>
  <c r="I21" i="110"/>
  <c r="J21" i="110"/>
  <c r="F21" i="110"/>
  <c r="I20" i="110"/>
  <c r="J20" i="110"/>
  <c r="F20" i="110"/>
  <c r="I19" i="110"/>
  <c r="J19" i="110"/>
  <c r="F19" i="110"/>
  <c r="I18" i="110"/>
  <c r="J18" i="110"/>
  <c r="F18" i="110"/>
  <c r="I17" i="110"/>
  <c r="J17" i="110"/>
  <c r="F17" i="110"/>
  <c r="B10" i="110"/>
  <c r="A246" i="82"/>
  <c r="F246" i="82"/>
  <c r="J246" i="82"/>
  <c r="K246" i="82"/>
  <c r="L246" i="82"/>
  <c r="B18" i="106"/>
  <c r="D18" i="106"/>
  <c r="D19" i="106"/>
  <c r="D24" i="106"/>
  <c r="D20" i="106"/>
  <c r="D25" i="106"/>
  <c r="N246" i="82"/>
  <c r="O246" i="82"/>
  <c r="P246" i="82"/>
  <c r="Q246" i="82"/>
  <c r="R246" i="82"/>
  <c r="S246" i="82"/>
  <c r="T246" i="82"/>
  <c r="A247" i="82"/>
  <c r="F247" i="82"/>
  <c r="J247" i="82"/>
  <c r="K247" i="82"/>
  <c r="L247" i="82"/>
  <c r="N247" i="82"/>
  <c r="O247" i="82"/>
  <c r="P247" i="82"/>
  <c r="Q247" i="82"/>
  <c r="R247" i="82"/>
  <c r="S247" i="82"/>
  <c r="T247" i="82"/>
  <c r="A248" i="82"/>
  <c r="F248" i="82"/>
  <c r="J248" i="82"/>
  <c r="K248" i="82"/>
  <c r="L248" i="82"/>
  <c r="N248" i="82"/>
  <c r="O248" i="82"/>
  <c r="P248" i="82"/>
  <c r="Q248" i="82"/>
  <c r="R248" i="82"/>
  <c r="S248" i="82"/>
  <c r="T248" i="82"/>
  <c r="A249" i="82"/>
  <c r="F249" i="82"/>
  <c r="J249" i="82"/>
  <c r="K249" i="82"/>
  <c r="L249" i="82"/>
  <c r="N249" i="82"/>
  <c r="O249" i="82"/>
  <c r="P249" i="82"/>
  <c r="Q249" i="82"/>
  <c r="R249" i="82"/>
  <c r="S249" i="82"/>
  <c r="T249" i="82"/>
  <c r="B28" i="106"/>
  <c r="B40" i="106"/>
  <c r="B41" i="106"/>
  <c r="B42" i="106"/>
  <c r="B43" i="106"/>
  <c r="B44" i="106"/>
  <c r="B45" i="106"/>
  <c r="B46" i="106"/>
  <c r="B47" i="106"/>
  <c r="B48" i="106"/>
  <c r="B49" i="106"/>
  <c r="B50" i="106"/>
  <c r="B51" i="106"/>
  <c r="C47" i="106"/>
  <c r="C20" i="106"/>
  <c r="C21" i="106"/>
  <c r="D21" i="106"/>
  <c r="C22" i="106"/>
  <c r="D22" i="106"/>
  <c r="C23" i="106"/>
  <c r="C24" i="106"/>
  <c r="C25" i="106"/>
  <c r="C26" i="106"/>
  <c r="C27" i="106"/>
  <c r="D17" i="106"/>
  <c r="C44" i="106"/>
  <c r="C45" i="106"/>
  <c r="C49" i="106"/>
  <c r="C50" i="106"/>
  <c r="F51" i="106"/>
  <c r="C42" i="106"/>
  <c r="C43" i="106"/>
  <c r="C48" i="106"/>
  <c r="F50" i="106"/>
  <c r="C40" i="106"/>
  <c r="C41" i="106"/>
  <c r="C46" i="106"/>
  <c r="F47" i="106"/>
  <c r="F42" i="106"/>
  <c r="F41" i="106"/>
  <c r="F40" i="106"/>
  <c r="I17" i="106"/>
  <c r="I18" i="106"/>
  <c r="J18" i="106"/>
  <c r="I19" i="106"/>
  <c r="J19" i="106"/>
  <c r="I20" i="106"/>
  <c r="J20" i="106"/>
  <c r="G21" i="106"/>
  <c r="E21" i="106"/>
  <c r="H21" i="106"/>
  <c r="I21" i="106"/>
  <c r="J21" i="106"/>
  <c r="G22" i="106"/>
  <c r="E22" i="106"/>
  <c r="H22" i="106"/>
  <c r="I22" i="106"/>
  <c r="J22" i="106"/>
  <c r="I23" i="106"/>
  <c r="J23" i="106"/>
  <c r="I24" i="106"/>
  <c r="J24" i="106"/>
  <c r="I25" i="106"/>
  <c r="J25" i="106"/>
  <c r="I26" i="106"/>
  <c r="J26" i="106"/>
  <c r="I27" i="106"/>
  <c r="J27" i="106"/>
  <c r="F18" i="106"/>
  <c r="F19" i="106"/>
  <c r="F20" i="106"/>
  <c r="F21" i="106"/>
  <c r="F22" i="106"/>
  <c r="F23" i="106"/>
  <c r="F24" i="106"/>
  <c r="F25" i="106"/>
  <c r="F26" i="106"/>
  <c r="F27" i="106"/>
  <c r="I3" i="82"/>
  <c r="D3" i="82"/>
  <c r="I4" i="82"/>
  <c r="D4" i="82"/>
  <c r="I5" i="82"/>
  <c r="D5" i="82"/>
  <c r="I6" i="82"/>
  <c r="D6" i="82"/>
  <c r="I7" i="82"/>
  <c r="D7" i="82"/>
  <c r="I8" i="82"/>
  <c r="D8" i="82"/>
  <c r="I9" i="82"/>
  <c r="D9" i="82"/>
  <c r="I10" i="82"/>
  <c r="D10" i="82"/>
  <c r="I11" i="82"/>
  <c r="D11" i="82"/>
  <c r="I12" i="82"/>
  <c r="D12" i="82"/>
  <c r="I13" i="82"/>
  <c r="D13" i="82"/>
  <c r="I14" i="82"/>
  <c r="D14" i="82"/>
  <c r="I15" i="82"/>
  <c r="D15" i="82"/>
  <c r="I16" i="82"/>
  <c r="D16" i="82"/>
  <c r="I17" i="82"/>
  <c r="D17" i="82"/>
  <c r="I18" i="82"/>
  <c r="D18" i="82"/>
  <c r="I19" i="82"/>
  <c r="D19" i="82"/>
  <c r="I20" i="82"/>
  <c r="D20" i="82"/>
  <c r="I21" i="82"/>
  <c r="D21" i="82"/>
  <c r="I22" i="82"/>
  <c r="D22" i="82"/>
  <c r="I23" i="82"/>
  <c r="D23" i="82"/>
  <c r="I24" i="82"/>
  <c r="D24" i="82"/>
  <c r="I25" i="82"/>
  <c r="D25" i="82"/>
  <c r="I26" i="82"/>
  <c r="D26" i="82"/>
  <c r="I27" i="82"/>
  <c r="D27" i="82"/>
  <c r="I28" i="82"/>
  <c r="D28" i="82"/>
  <c r="I29" i="82"/>
  <c r="D29" i="82"/>
  <c r="I30" i="82"/>
  <c r="D30" i="82"/>
  <c r="I31" i="82"/>
  <c r="D31" i="82"/>
  <c r="I32" i="82"/>
  <c r="D32" i="82"/>
  <c r="I33" i="82"/>
  <c r="D33" i="82"/>
  <c r="I34" i="82"/>
  <c r="D34" i="82"/>
  <c r="I35" i="82"/>
  <c r="D35" i="82"/>
  <c r="I36" i="82"/>
  <c r="D36" i="82"/>
  <c r="I37" i="82"/>
  <c r="D37" i="82"/>
  <c r="I38" i="82"/>
  <c r="D38" i="82"/>
  <c r="I39" i="82"/>
  <c r="D39" i="82"/>
  <c r="I40" i="82"/>
  <c r="D40" i="82"/>
  <c r="I41" i="82"/>
  <c r="D41" i="82"/>
  <c r="I42" i="82"/>
  <c r="D42" i="82"/>
  <c r="I43" i="82"/>
  <c r="D43" i="82"/>
  <c r="I44" i="82"/>
  <c r="D44" i="82"/>
  <c r="I45" i="82"/>
  <c r="D45" i="82"/>
  <c r="I46" i="82"/>
  <c r="D46" i="82"/>
  <c r="I47" i="82"/>
  <c r="D47" i="82"/>
  <c r="I48" i="82"/>
  <c r="D48" i="82"/>
  <c r="I49" i="82"/>
  <c r="D49" i="82"/>
  <c r="I50" i="82"/>
  <c r="D50" i="82"/>
  <c r="I51" i="82"/>
  <c r="D51" i="82"/>
  <c r="I52" i="82"/>
  <c r="D52" i="82"/>
  <c r="I53" i="82"/>
  <c r="D53" i="82"/>
  <c r="I54" i="82"/>
  <c r="D54" i="82"/>
  <c r="I55" i="82"/>
  <c r="D55" i="82"/>
  <c r="I56" i="82"/>
  <c r="D56" i="82"/>
  <c r="I57" i="82"/>
  <c r="D57" i="82"/>
  <c r="I58" i="82"/>
  <c r="D58" i="82"/>
  <c r="I59" i="82"/>
  <c r="D59" i="82"/>
  <c r="I60" i="82"/>
  <c r="D60" i="82"/>
  <c r="I61" i="82"/>
  <c r="D61" i="82"/>
  <c r="I62" i="82"/>
  <c r="D62" i="82"/>
  <c r="I63" i="82"/>
  <c r="D63" i="82"/>
  <c r="I64" i="82"/>
  <c r="D64" i="82"/>
  <c r="I65" i="82"/>
  <c r="D65" i="82"/>
  <c r="I66" i="82"/>
  <c r="D66" i="82"/>
  <c r="I67" i="82"/>
  <c r="D67" i="82"/>
  <c r="I68" i="82"/>
  <c r="D68" i="82"/>
  <c r="I69" i="82"/>
  <c r="D69" i="82"/>
  <c r="I70" i="82"/>
  <c r="D70" i="82"/>
  <c r="I71" i="82"/>
  <c r="D71" i="82"/>
  <c r="I72" i="82"/>
  <c r="D72" i="82"/>
  <c r="I73" i="82"/>
  <c r="D73" i="82"/>
  <c r="I74" i="82"/>
  <c r="D74" i="82"/>
  <c r="I75" i="82"/>
  <c r="D75" i="82"/>
  <c r="I76" i="82"/>
  <c r="D76" i="82"/>
  <c r="I77" i="82"/>
  <c r="D77" i="82"/>
  <c r="I78" i="82"/>
  <c r="D78" i="82"/>
  <c r="I79" i="82"/>
  <c r="D79" i="82"/>
  <c r="I80" i="82"/>
  <c r="D80" i="82"/>
  <c r="I81" i="82"/>
  <c r="D81" i="82"/>
  <c r="I82" i="82"/>
  <c r="D82" i="82"/>
  <c r="I83" i="82"/>
  <c r="D83" i="82"/>
  <c r="I84" i="82"/>
  <c r="D84" i="82"/>
  <c r="I85" i="82"/>
  <c r="D85" i="82"/>
  <c r="I86" i="82"/>
  <c r="D86" i="82"/>
  <c r="I87" i="82"/>
  <c r="D87" i="82"/>
  <c r="I88" i="82"/>
  <c r="D88" i="82"/>
  <c r="I89" i="82"/>
  <c r="D89" i="82"/>
  <c r="I90" i="82"/>
  <c r="D90" i="82"/>
  <c r="I91" i="82"/>
  <c r="D91" i="82"/>
  <c r="I92" i="82"/>
  <c r="D92" i="82"/>
  <c r="I93" i="82"/>
  <c r="D93" i="82"/>
  <c r="I94" i="82"/>
  <c r="D94" i="82"/>
  <c r="I95" i="82"/>
  <c r="D95" i="82"/>
  <c r="I96" i="82"/>
  <c r="D96" i="82"/>
  <c r="I97" i="82"/>
  <c r="D97" i="82"/>
  <c r="I98" i="82"/>
  <c r="D98" i="82"/>
  <c r="I99" i="82"/>
  <c r="D99" i="82"/>
  <c r="I100" i="82"/>
  <c r="D100" i="82"/>
  <c r="I101" i="82"/>
  <c r="D101" i="82"/>
  <c r="I102" i="82"/>
  <c r="D102" i="82"/>
  <c r="I103" i="82"/>
  <c r="D103" i="82"/>
  <c r="I104" i="82"/>
  <c r="D104" i="82"/>
  <c r="I105" i="82"/>
  <c r="D105" i="82"/>
  <c r="I106" i="82"/>
  <c r="D106" i="82"/>
  <c r="I107" i="82"/>
  <c r="D107" i="82"/>
  <c r="I108" i="82"/>
  <c r="D108" i="82"/>
  <c r="I109" i="82"/>
  <c r="D109" i="82"/>
  <c r="I110" i="82"/>
  <c r="D110" i="82"/>
  <c r="I111" i="82"/>
  <c r="D111" i="82"/>
  <c r="I112" i="82"/>
  <c r="D112" i="82"/>
  <c r="I113" i="82"/>
  <c r="D113" i="82"/>
  <c r="I114" i="82"/>
  <c r="D114" i="82"/>
  <c r="I115" i="82"/>
  <c r="D115" i="82"/>
  <c r="I116" i="82"/>
  <c r="D116" i="82"/>
  <c r="I117" i="82"/>
  <c r="D117" i="82"/>
  <c r="I118" i="82"/>
  <c r="D118" i="82"/>
  <c r="I119" i="82"/>
  <c r="D119" i="82"/>
  <c r="I120" i="82"/>
  <c r="D120" i="82"/>
  <c r="I121" i="82"/>
  <c r="D121" i="82"/>
  <c r="I122" i="82"/>
  <c r="D122" i="82"/>
  <c r="I123" i="82"/>
  <c r="D123" i="82"/>
  <c r="I124" i="82"/>
  <c r="D124" i="82"/>
  <c r="I125" i="82"/>
  <c r="D125" i="82"/>
  <c r="I126" i="82"/>
  <c r="D126" i="82"/>
  <c r="I127" i="82"/>
  <c r="D127" i="82"/>
  <c r="I128" i="82"/>
  <c r="D128" i="82"/>
  <c r="I129" i="82"/>
  <c r="D129" i="82"/>
  <c r="I130" i="82"/>
  <c r="D130" i="82"/>
  <c r="I131" i="82"/>
  <c r="D131" i="82"/>
  <c r="I132" i="82"/>
  <c r="D132" i="82"/>
  <c r="I133" i="82"/>
  <c r="D133" i="82"/>
  <c r="I134" i="82"/>
  <c r="D134" i="82"/>
  <c r="I135" i="82"/>
  <c r="D135" i="82"/>
  <c r="I136" i="82"/>
  <c r="D136" i="82"/>
  <c r="I137" i="82"/>
  <c r="D137" i="82"/>
  <c r="I146" i="82"/>
  <c r="D146" i="82"/>
  <c r="I147" i="82"/>
  <c r="D147" i="82"/>
  <c r="I148" i="82"/>
  <c r="D148" i="82"/>
  <c r="I153" i="82"/>
  <c r="D153" i="82"/>
  <c r="I154" i="82"/>
  <c r="D154" i="82"/>
  <c r="I155" i="82"/>
  <c r="D155" i="82"/>
  <c r="I158" i="82"/>
  <c r="D158" i="82"/>
  <c r="I159" i="82"/>
  <c r="D159" i="82"/>
  <c r="I160" i="82"/>
  <c r="D160" i="82"/>
  <c r="I161" i="82"/>
  <c r="D161" i="82"/>
  <c r="I162" i="82"/>
  <c r="D162" i="82"/>
  <c r="I163" i="82"/>
  <c r="D163" i="82"/>
  <c r="I166" i="82"/>
  <c r="D166" i="82"/>
  <c r="I167" i="82"/>
  <c r="D167" i="82"/>
  <c r="I168" i="82"/>
  <c r="D168" i="82"/>
  <c r="I171" i="82"/>
  <c r="D171" i="82"/>
  <c r="I172" i="82"/>
  <c r="D172" i="82"/>
  <c r="I173" i="82"/>
  <c r="D173" i="82"/>
  <c r="I178" i="82"/>
  <c r="D178" i="82"/>
  <c r="I179" i="82"/>
  <c r="D179" i="82"/>
  <c r="I180" i="82"/>
  <c r="D180" i="82"/>
  <c r="I181" i="82"/>
  <c r="D181" i="82"/>
  <c r="I182" i="82"/>
  <c r="D182" i="82"/>
  <c r="I183" i="82"/>
  <c r="D183" i="82"/>
  <c r="I186" i="82"/>
  <c r="D186" i="82"/>
  <c r="I187" i="82"/>
  <c r="D187" i="82"/>
  <c r="I188" i="82"/>
  <c r="D188" i="82"/>
  <c r="I193" i="82"/>
  <c r="D193" i="82"/>
  <c r="I194" i="82"/>
  <c r="D194" i="82"/>
  <c r="I195" i="82"/>
  <c r="D195" i="82"/>
  <c r="I198" i="82"/>
  <c r="D198" i="82"/>
  <c r="I199" i="82"/>
  <c r="D199" i="82"/>
  <c r="I200" i="82"/>
  <c r="D200" i="82"/>
  <c r="I203" i="82"/>
  <c r="D203" i="82"/>
  <c r="I204" i="82"/>
  <c r="D204" i="82"/>
  <c r="I205" i="82"/>
  <c r="D205" i="82"/>
  <c r="I210" i="82"/>
  <c r="D210" i="82"/>
  <c r="I211" i="82"/>
  <c r="D211" i="82"/>
  <c r="I212" i="82"/>
  <c r="D212" i="82"/>
  <c r="I217" i="82"/>
  <c r="D217" i="82"/>
  <c r="I218" i="82"/>
  <c r="D218" i="82"/>
  <c r="I219" i="82"/>
  <c r="D219" i="82"/>
  <c r="I220" i="82"/>
  <c r="D220" i="82"/>
  <c r="I221" i="82"/>
  <c r="D221" i="82"/>
  <c r="I222" i="82"/>
  <c r="D222" i="82"/>
  <c r="I225" i="82"/>
  <c r="D225" i="82"/>
  <c r="I226" i="82"/>
  <c r="D226" i="82"/>
  <c r="I227" i="82"/>
  <c r="D227" i="82"/>
  <c r="I228" i="82"/>
  <c r="D228" i="82"/>
  <c r="I229" i="82"/>
  <c r="D229" i="82"/>
  <c r="I230" i="82"/>
  <c r="D230" i="82"/>
  <c r="I233" i="82"/>
  <c r="D233" i="82"/>
  <c r="I234" i="82"/>
  <c r="D234" i="82"/>
  <c r="I235" i="82"/>
  <c r="D235" i="82"/>
  <c r="I240" i="82"/>
  <c r="D240" i="82"/>
  <c r="I241" i="82"/>
  <c r="D241" i="82"/>
  <c r="I242" i="82"/>
  <c r="D242" i="82"/>
  <c r="I243" i="82"/>
  <c r="D243" i="82"/>
  <c r="I244" i="82"/>
  <c r="D244" i="82"/>
  <c r="I245" i="82"/>
  <c r="D245" i="82"/>
  <c r="I2" i="82"/>
  <c r="D2" i="82"/>
  <c r="C17" i="106"/>
  <c r="C18" i="106"/>
  <c r="C19" i="106"/>
  <c r="B5" i="106"/>
  <c r="B17" i="106"/>
  <c r="E3" i="103"/>
  <c r="A3" i="82"/>
  <c r="A4" i="82"/>
  <c r="A5" i="82"/>
  <c r="A6" i="82"/>
  <c r="A7" i="82"/>
  <c r="A8" i="82"/>
  <c r="A9" i="82"/>
  <c r="A10" i="82"/>
  <c r="A11" i="82"/>
  <c r="A12" i="82"/>
  <c r="A13" i="82"/>
  <c r="A14" i="82"/>
  <c r="A15" i="82"/>
  <c r="A16" i="82"/>
  <c r="A17" i="82"/>
  <c r="A18" i="82"/>
  <c r="A19" i="82"/>
  <c r="A20" i="82"/>
  <c r="A21" i="82"/>
  <c r="A22" i="82"/>
  <c r="A23" i="82"/>
  <c r="A24" i="82"/>
  <c r="A25" i="82"/>
  <c r="A26" i="82"/>
  <c r="A27" i="82"/>
  <c r="A28" i="82"/>
  <c r="A29" i="82"/>
  <c r="A30" i="82"/>
  <c r="A31" i="82"/>
  <c r="A32" i="82"/>
  <c r="A33" i="82"/>
  <c r="A34" i="82"/>
  <c r="A35" i="82"/>
  <c r="A36" i="82"/>
  <c r="A37" i="82"/>
  <c r="A38" i="82"/>
  <c r="A39" i="82"/>
  <c r="A40" i="82"/>
  <c r="A41" i="82"/>
  <c r="A42" i="82"/>
  <c r="A43" i="82"/>
  <c r="A44" i="82"/>
  <c r="A45" i="82"/>
  <c r="A46" i="82"/>
  <c r="A47" i="82"/>
  <c r="A48" i="82"/>
  <c r="A49" i="82"/>
  <c r="A50" i="82"/>
  <c r="A51" i="82"/>
  <c r="A52" i="82"/>
  <c r="A53" i="82"/>
  <c r="A54" i="82"/>
  <c r="A55" i="82"/>
  <c r="A56" i="82"/>
  <c r="A57" i="82"/>
  <c r="A58" i="82"/>
  <c r="A59" i="82"/>
  <c r="A60" i="82"/>
  <c r="A61" i="82"/>
  <c r="A62" i="82"/>
  <c r="A63" i="82"/>
  <c r="A64" i="82"/>
  <c r="A65" i="82"/>
  <c r="A66" i="82"/>
  <c r="A67" i="82"/>
  <c r="A68" i="82"/>
  <c r="A69" i="82"/>
  <c r="A70" i="82"/>
  <c r="A71" i="82"/>
  <c r="A72" i="82"/>
  <c r="A73" i="82"/>
  <c r="A74" i="82"/>
  <c r="A75" i="82"/>
  <c r="A76" i="82"/>
  <c r="A77" i="82"/>
  <c r="A78" i="82"/>
  <c r="A79" i="82"/>
  <c r="A80" i="82"/>
  <c r="A81" i="82"/>
  <c r="A82" i="82"/>
  <c r="A83" i="82"/>
  <c r="A84" i="82"/>
  <c r="A85" i="82"/>
  <c r="A86" i="82"/>
  <c r="A87" i="82"/>
  <c r="A88" i="82"/>
  <c r="A89" i="82"/>
  <c r="A90" i="82"/>
  <c r="A91" i="82"/>
  <c r="A92" i="82"/>
  <c r="A93" i="82"/>
  <c r="A94" i="82"/>
  <c r="A95" i="82"/>
  <c r="A96" i="82"/>
  <c r="A97" i="82"/>
  <c r="A98" i="82"/>
  <c r="A99" i="82"/>
  <c r="A100" i="82"/>
  <c r="A101" i="82"/>
  <c r="A102" i="82"/>
  <c r="A103" i="82"/>
  <c r="A104" i="82"/>
  <c r="A105" i="82"/>
  <c r="A106" i="82"/>
  <c r="A107" i="82"/>
  <c r="A108" i="82"/>
  <c r="A109" i="82"/>
  <c r="A110" i="82"/>
  <c r="A111" i="82"/>
  <c r="A112" i="82"/>
  <c r="A113" i="82"/>
  <c r="A114" i="82"/>
  <c r="A115" i="82"/>
  <c r="A116" i="82"/>
  <c r="A117" i="82"/>
  <c r="A118" i="82"/>
  <c r="A119" i="82"/>
  <c r="A120" i="82"/>
  <c r="A121" i="82"/>
  <c r="A122" i="82"/>
  <c r="A123" i="82"/>
  <c r="A124" i="82"/>
  <c r="A125" i="82"/>
  <c r="A126" i="82"/>
  <c r="A127" i="82"/>
  <c r="A128" i="82"/>
  <c r="A129" i="82"/>
  <c r="A130" i="82"/>
  <c r="A131" i="82"/>
  <c r="A132" i="82"/>
  <c r="A133" i="82"/>
  <c r="A134" i="82"/>
  <c r="A135" i="82"/>
  <c r="A136" i="82"/>
  <c r="A137" i="82"/>
  <c r="A138" i="82"/>
  <c r="A139" i="82"/>
  <c r="A140" i="82"/>
  <c r="A141" i="82"/>
  <c r="A142" i="82"/>
  <c r="A143" i="82"/>
  <c r="A144" i="82"/>
  <c r="A145" i="82"/>
  <c r="A146" i="82"/>
  <c r="A147" i="82"/>
  <c r="A148" i="82"/>
  <c r="A149" i="82"/>
  <c r="A150" i="82"/>
  <c r="A151" i="82"/>
  <c r="A152" i="82"/>
  <c r="A153" i="82"/>
  <c r="A154" i="82"/>
  <c r="A155" i="82"/>
  <c r="A156" i="82"/>
  <c r="A157" i="82"/>
  <c r="A158" i="82"/>
  <c r="A159" i="82"/>
  <c r="A160" i="82"/>
  <c r="A161" i="82"/>
  <c r="A162" i="82"/>
  <c r="A163" i="82"/>
  <c r="A164" i="82"/>
  <c r="A165" i="82"/>
  <c r="A166" i="82"/>
  <c r="A167" i="82"/>
  <c r="A168" i="82"/>
  <c r="A169" i="82"/>
  <c r="A170" i="82"/>
  <c r="A171" i="82"/>
  <c r="A172" i="82"/>
  <c r="A173" i="82"/>
  <c r="A174" i="82"/>
  <c r="A175" i="82"/>
  <c r="A176" i="82"/>
  <c r="A177" i="82"/>
  <c r="A178" i="82"/>
  <c r="A179" i="82"/>
  <c r="A180" i="82"/>
  <c r="A181" i="82"/>
  <c r="A182" i="82"/>
  <c r="A183" i="82"/>
  <c r="A184" i="82"/>
  <c r="A185" i="82"/>
  <c r="A186" i="82"/>
  <c r="A187" i="82"/>
  <c r="A188" i="82"/>
  <c r="A189" i="82"/>
  <c r="A190" i="82"/>
  <c r="A191" i="82"/>
  <c r="A192" i="82"/>
  <c r="A193" i="82"/>
  <c r="A194" i="82"/>
  <c r="A195" i="82"/>
  <c r="A196" i="82"/>
  <c r="A197" i="82"/>
  <c r="A198" i="82"/>
  <c r="A199" i="82"/>
  <c r="A200" i="82"/>
  <c r="A201" i="82"/>
  <c r="A202" i="82"/>
  <c r="A203" i="82"/>
  <c r="A204" i="82"/>
  <c r="A205" i="82"/>
  <c r="A206" i="82"/>
  <c r="A207" i="82"/>
  <c r="A208" i="82"/>
  <c r="A209" i="82"/>
  <c r="A210" i="82"/>
  <c r="A211" i="82"/>
  <c r="A212" i="82"/>
  <c r="A213" i="82"/>
  <c r="A214" i="82"/>
  <c r="A215" i="82"/>
  <c r="A216" i="82"/>
  <c r="A217" i="82"/>
  <c r="A218" i="82"/>
  <c r="A219" i="82"/>
  <c r="A220" i="82"/>
  <c r="A221" i="82"/>
  <c r="A222" i="82"/>
  <c r="A223" i="82"/>
  <c r="A224" i="82"/>
  <c r="A225" i="82"/>
  <c r="A226" i="82"/>
  <c r="A227" i="82"/>
  <c r="A228" i="82"/>
  <c r="A229" i="82"/>
  <c r="A230" i="82"/>
  <c r="A231" i="82"/>
  <c r="A232" i="82"/>
  <c r="A233" i="82"/>
  <c r="A234" i="82"/>
  <c r="A235" i="82"/>
  <c r="A236" i="82"/>
  <c r="A237" i="82"/>
  <c r="A238" i="82"/>
  <c r="A239" i="82"/>
  <c r="A240" i="82"/>
  <c r="A241" i="82"/>
  <c r="A242" i="82"/>
  <c r="A243" i="82"/>
  <c r="A244" i="82"/>
  <c r="A245" i="82"/>
  <c r="A2" i="82"/>
  <c r="J17" i="106"/>
  <c r="N3" i="82"/>
  <c r="N4" i="82"/>
  <c r="N5" i="82"/>
  <c r="N6" i="82"/>
  <c r="N7" i="82"/>
  <c r="N8" i="82"/>
  <c r="N9" i="82"/>
  <c r="N10" i="82"/>
  <c r="N11" i="82"/>
  <c r="N12" i="82"/>
  <c r="N13" i="82"/>
  <c r="N14" i="82"/>
  <c r="N15" i="82"/>
  <c r="N16" i="82"/>
  <c r="N17" i="82"/>
  <c r="N18" i="82"/>
  <c r="N19" i="82"/>
  <c r="N20" i="82"/>
  <c r="N21" i="82"/>
  <c r="N22" i="82"/>
  <c r="N23" i="82"/>
  <c r="N24" i="82"/>
  <c r="N25" i="82"/>
  <c r="N26" i="82"/>
  <c r="N27" i="82"/>
  <c r="N28" i="82"/>
  <c r="N29" i="82"/>
  <c r="N30" i="82"/>
  <c r="N31" i="82"/>
  <c r="N32" i="82"/>
  <c r="N33" i="82"/>
  <c r="N34" i="82"/>
  <c r="N35" i="82"/>
  <c r="N36" i="82"/>
  <c r="N37" i="82"/>
  <c r="N38" i="82"/>
  <c r="N39" i="82"/>
  <c r="N40" i="82"/>
  <c r="N41" i="82"/>
  <c r="N42" i="82"/>
  <c r="N43" i="82"/>
  <c r="N44" i="82"/>
  <c r="N45" i="82"/>
  <c r="N46" i="82"/>
  <c r="N47" i="82"/>
  <c r="N48" i="82"/>
  <c r="N49" i="82"/>
  <c r="N50" i="82"/>
  <c r="N51" i="82"/>
  <c r="N52" i="82"/>
  <c r="N53" i="82"/>
  <c r="N54" i="82"/>
  <c r="N55" i="82"/>
  <c r="N56" i="82"/>
  <c r="N57" i="82"/>
  <c r="N58" i="82"/>
  <c r="N59" i="82"/>
  <c r="N60" i="82"/>
  <c r="N61" i="82"/>
  <c r="N62" i="82"/>
  <c r="N63" i="82"/>
  <c r="N64" i="82"/>
  <c r="N65" i="82"/>
  <c r="N66" i="82"/>
  <c r="N67" i="82"/>
  <c r="N68" i="82"/>
  <c r="N69" i="82"/>
  <c r="N70" i="82"/>
  <c r="N71" i="82"/>
  <c r="N72" i="82"/>
  <c r="N73" i="82"/>
  <c r="N74" i="82"/>
  <c r="N75" i="82"/>
  <c r="N76" i="82"/>
  <c r="N77" i="82"/>
  <c r="N78" i="82"/>
  <c r="N79" i="82"/>
  <c r="N80" i="82"/>
  <c r="N81" i="82"/>
  <c r="N82" i="82"/>
  <c r="N83" i="82"/>
  <c r="N84" i="82"/>
  <c r="N85" i="82"/>
  <c r="N86" i="82"/>
  <c r="N87" i="82"/>
  <c r="N88" i="82"/>
  <c r="N89" i="82"/>
  <c r="N90" i="82"/>
  <c r="N91" i="82"/>
  <c r="N92" i="82"/>
  <c r="N93" i="82"/>
  <c r="N94" i="82"/>
  <c r="N95" i="82"/>
  <c r="N96" i="82"/>
  <c r="N97" i="82"/>
  <c r="N98" i="82"/>
  <c r="N99" i="82"/>
  <c r="N100" i="82"/>
  <c r="N101" i="82"/>
  <c r="N102" i="82"/>
  <c r="N103" i="82"/>
  <c r="N104" i="82"/>
  <c r="N105" i="82"/>
  <c r="N106" i="82"/>
  <c r="N107" i="82"/>
  <c r="N108" i="82"/>
  <c r="N109" i="82"/>
  <c r="N110" i="82"/>
  <c r="N111" i="82"/>
  <c r="N112" i="82"/>
  <c r="N113" i="82"/>
  <c r="N114" i="82"/>
  <c r="N115" i="82"/>
  <c r="N116" i="82"/>
  <c r="N117" i="82"/>
  <c r="N118" i="82"/>
  <c r="N119" i="82"/>
  <c r="N120" i="82"/>
  <c r="N121" i="82"/>
  <c r="N122" i="82"/>
  <c r="N123" i="82"/>
  <c r="N124" i="82"/>
  <c r="N125" i="82"/>
  <c r="N126" i="82"/>
  <c r="N127" i="82"/>
  <c r="N128" i="82"/>
  <c r="N129" i="82"/>
  <c r="N130" i="82"/>
  <c r="N131" i="82"/>
  <c r="N132" i="82"/>
  <c r="N133" i="82"/>
  <c r="N134" i="82"/>
  <c r="N135" i="82"/>
  <c r="N136" i="82"/>
  <c r="N137" i="82"/>
  <c r="N138" i="82"/>
  <c r="N139" i="82"/>
  <c r="N140" i="82"/>
  <c r="N141" i="82"/>
  <c r="N142" i="82"/>
  <c r="N143" i="82"/>
  <c r="N144" i="82"/>
  <c r="N145" i="82"/>
  <c r="N146" i="82"/>
  <c r="N147" i="82"/>
  <c r="N148" i="82"/>
  <c r="N149" i="82"/>
  <c r="N150" i="82"/>
  <c r="N151" i="82"/>
  <c r="N152" i="82"/>
  <c r="N153" i="82"/>
  <c r="N154" i="82"/>
  <c r="N155" i="82"/>
  <c r="N156" i="82"/>
  <c r="N157" i="82"/>
  <c r="N158" i="82"/>
  <c r="N159" i="82"/>
  <c r="N160" i="82"/>
  <c r="N161" i="82"/>
  <c r="N162" i="82"/>
  <c r="N163" i="82"/>
  <c r="N164" i="82"/>
  <c r="N165" i="82"/>
  <c r="N166" i="82"/>
  <c r="N167" i="82"/>
  <c r="N168" i="82"/>
  <c r="N169" i="82"/>
  <c r="N170" i="82"/>
  <c r="N171" i="82"/>
  <c r="N172" i="82"/>
  <c r="N173" i="82"/>
  <c r="N174" i="82"/>
  <c r="N175" i="82"/>
  <c r="N176" i="82"/>
  <c r="N177" i="82"/>
  <c r="N178" i="82"/>
  <c r="N179" i="82"/>
  <c r="N180" i="82"/>
  <c r="N181" i="82"/>
  <c r="N182" i="82"/>
  <c r="N183" i="82"/>
  <c r="N184" i="82"/>
  <c r="N185" i="82"/>
  <c r="N186" i="82"/>
  <c r="N187" i="82"/>
  <c r="N188" i="82"/>
  <c r="N189" i="82"/>
  <c r="N190" i="82"/>
  <c r="N191" i="82"/>
  <c r="N192" i="82"/>
  <c r="N193" i="82"/>
  <c r="N194" i="82"/>
  <c r="N195" i="82"/>
  <c r="N196" i="82"/>
  <c r="N197" i="82"/>
  <c r="N198" i="82"/>
  <c r="N199" i="82"/>
  <c r="N200" i="82"/>
  <c r="N201" i="82"/>
  <c r="N202" i="82"/>
  <c r="N203" i="82"/>
  <c r="N204" i="82"/>
  <c r="N205" i="82"/>
  <c r="N206" i="82"/>
  <c r="N207" i="82"/>
  <c r="N208" i="82"/>
  <c r="N209" i="82"/>
  <c r="N210" i="82"/>
  <c r="N211" i="82"/>
  <c r="N212" i="82"/>
  <c r="N213" i="82"/>
  <c r="N214" i="82"/>
  <c r="N215" i="82"/>
  <c r="N216" i="82"/>
  <c r="N217" i="82"/>
  <c r="N218" i="82"/>
  <c r="N219" i="82"/>
  <c r="N220" i="82"/>
  <c r="N221" i="82"/>
  <c r="N222" i="82"/>
  <c r="N223" i="82"/>
  <c r="N224" i="82"/>
  <c r="N225" i="82"/>
  <c r="N226" i="82"/>
  <c r="N227" i="82"/>
  <c r="N228" i="82"/>
  <c r="N229" i="82"/>
  <c r="N230" i="82"/>
  <c r="N231" i="82"/>
  <c r="N232" i="82"/>
  <c r="N233" i="82"/>
  <c r="N234" i="82"/>
  <c r="N235" i="82"/>
  <c r="N236" i="82"/>
  <c r="N237" i="82"/>
  <c r="N238" i="82"/>
  <c r="N239" i="82"/>
  <c r="N240" i="82"/>
  <c r="N241" i="82"/>
  <c r="N242" i="82"/>
  <c r="N243" i="82"/>
  <c r="N244" i="82"/>
  <c r="N245" i="82"/>
  <c r="N2" i="82"/>
  <c r="C28" i="106"/>
  <c r="D28" i="106"/>
  <c r="F17" i="106"/>
  <c r="B10" i="106"/>
  <c r="L2" i="82"/>
  <c r="L3" i="82"/>
  <c r="L4" i="82"/>
  <c r="L5" i="82"/>
  <c r="L6" i="82"/>
  <c r="L7" i="82"/>
  <c r="L8" i="82"/>
  <c r="L9" i="82"/>
  <c r="L10" i="82"/>
  <c r="L11" i="82"/>
  <c r="L12" i="82"/>
  <c r="L13" i="82"/>
  <c r="L14" i="82"/>
  <c r="L15" i="82"/>
  <c r="L16" i="82"/>
  <c r="L17" i="82"/>
  <c r="L18" i="82"/>
  <c r="L19" i="82"/>
  <c r="L20" i="82"/>
  <c r="L21" i="82"/>
  <c r="L22" i="82"/>
  <c r="L23" i="82"/>
  <c r="L24" i="82"/>
  <c r="L25" i="82"/>
  <c r="L26" i="82"/>
  <c r="L27" i="82"/>
  <c r="L28" i="82"/>
  <c r="L29" i="82"/>
  <c r="L30" i="82"/>
  <c r="L31" i="82"/>
  <c r="L32" i="82"/>
  <c r="L33" i="82"/>
  <c r="L34" i="82"/>
  <c r="L35" i="82"/>
  <c r="L36" i="82"/>
  <c r="L37" i="82"/>
  <c r="L38" i="82"/>
  <c r="L39" i="82"/>
  <c r="L40" i="82"/>
  <c r="L41" i="82"/>
  <c r="L42" i="82"/>
  <c r="L43" i="82"/>
  <c r="L44" i="82"/>
  <c r="L45" i="82"/>
  <c r="L46" i="82"/>
  <c r="L47" i="82"/>
  <c r="L48" i="82"/>
  <c r="L49" i="82"/>
  <c r="L50" i="82"/>
  <c r="L51" i="82"/>
  <c r="L52" i="82"/>
  <c r="L53" i="82"/>
  <c r="L54" i="82"/>
  <c r="L55" i="82"/>
  <c r="L56" i="82"/>
  <c r="L57" i="82"/>
  <c r="L58" i="82"/>
  <c r="L59" i="82"/>
  <c r="L60" i="82"/>
  <c r="L61" i="82"/>
  <c r="L62" i="82"/>
  <c r="L63" i="82"/>
  <c r="L64" i="82"/>
  <c r="L65" i="82"/>
  <c r="L66" i="82"/>
  <c r="L67" i="82"/>
  <c r="L68" i="82"/>
  <c r="L69" i="82"/>
  <c r="L70" i="82"/>
  <c r="L71" i="82"/>
  <c r="L72" i="82"/>
  <c r="L73" i="82"/>
  <c r="L74" i="82"/>
  <c r="L75" i="82"/>
  <c r="L76" i="82"/>
  <c r="L77" i="82"/>
  <c r="L78" i="82"/>
  <c r="L79" i="82"/>
  <c r="L80" i="82"/>
  <c r="L81" i="82"/>
  <c r="L82" i="82"/>
  <c r="L83" i="82"/>
  <c r="L84" i="82"/>
  <c r="L85" i="82"/>
  <c r="L86" i="82"/>
  <c r="L87" i="82"/>
  <c r="L88" i="82"/>
  <c r="L89" i="82"/>
  <c r="L90" i="82"/>
  <c r="L91" i="82"/>
  <c r="L92" i="82"/>
  <c r="L93" i="82"/>
  <c r="L94" i="82"/>
  <c r="L95" i="82"/>
  <c r="L96" i="82"/>
  <c r="L97" i="82"/>
  <c r="L98" i="82"/>
  <c r="L99" i="82"/>
  <c r="L100" i="82"/>
  <c r="L101" i="82"/>
  <c r="L102" i="82"/>
  <c r="L103" i="82"/>
  <c r="L104" i="82"/>
  <c r="L105" i="82"/>
  <c r="L106" i="82"/>
  <c r="L107" i="82"/>
  <c r="L108" i="82"/>
  <c r="L109" i="82"/>
  <c r="L110" i="82"/>
  <c r="L111" i="82"/>
  <c r="L112" i="82"/>
  <c r="L113" i="82"/>
  <c r="L114" i="82"/>
  <c r="L115" i="82"/>
  <c r="L116" i="82"/>
  <c r="L117" i="82"/>
  <c r="L118" i="82"/>
  <c r="L119" i="82"/>
  <c r="L120" i="82"/>
  <c r="L121" i="82"/>
  <c r="L122" i="82"/>
  <c r="L123" i="82"/>
  <c r="L124" i="82"/>
  <c r="L125" i="82"/>
  <c r="L126" i="82"/>
  <c r="L127" i="82"/>
  <c r="L128" i="82"/>
  <c r="L129" i="82"/>
  <c r="L130" i="82"/>
  <c r="L131" i="82"/>
  <c r="L132" i="82"/>
  <c r="L133" i="82"/>
  <c r="L134" i="82"/>
  <c r="L135" i="82"/>
  <c r="L136" i="82"/>
  <c r="L137" i="82"/>
  <c r="L138" i="82"/>
  <c r="L139" i="82"/>
  <c r="L140" i="82"/>
  <c r="L141" i="82"/>
  <c r="L142" i="82"/>
  <c r="L143" i="82"/>
  <c r="L144" i="82"/>
  <c r="L145" i="82"/>
  <c r="L146" i="82"/>
  <c r="L147" i="82"/>
  <c r="L148" i="82"/>
  <c r="L149" i="82"/>
  <c r="L150" i="82"/>
  <c r="L151" i="82"/>
  <c r="L152" i="82"/>
  <c r="L153" i="82"/>
  <c r="L154" i="82"/>
  <c r="L155" i="82"/>
  <c r="L156" i="82"/>
  <c r="L157" i="82"/>
  <c r="L158" i="82"/>
  <c r="L159" i="82"/>
  <c r="L160" i="82"/>
  <c r="L161" i="82"/>
  <c r="L162" i="82"/>
  <c r="L163" i="82"/>
  <c r="L164" i="82"/>
  <c r="L165" i="82"/>
  <c r="L166" i="82"/>
  <c r="L167" i="82"/>
  <c r="L168" i="82"/>
  <c r="L169" i="82"/>
  <c r="L170" i="82"/>
  <c r="L171" i="82"/>
  <c r="L172" i="82"/>
  <c r="L173" i="82"/>
  <c r="L174" i="82"/>
  <c r="L175" i="82"/>
  <c r="L176" i="82"/>
  <c r="L177" i="82"/>
  <c r="L178" i="82"/>
  <c r="L179" i="82"/>
  <c r="L180" i="82"/>
  <c r="L181" i="82"/>
  <c r="L182" i="82"/>
  <c r="L183" i="82"/>
  <c r="L184" i="82"/>
  <c r="L185" i="82"/>
  <c r="L186" i="82"/>
  <c r="L187" i="82"/>
  <c r="L188" i="82"/>
  <c r="L189" i="82"/>
  <c r="L190" i="82"/>
  <c r="L191" i="82"/>
  <c r="L192" i="82"/>
  <c r="L193" i="82"/>
  <c r="L194" i="82"/>
  <c r="L195" i="82"/>
  <c r="L196" i="82"/>
  <c r="L197" i="82"/>
  <c r="L198" i="82"/>
  <c r="L199" i="82"/>
  <c r="L200" i="82"/>
  <c r="L201" i="82"/>
  <c r="L202" i="82"/>
  <c r="L203" i="82"/>
  <c r="L204" i="82"/>
  <c r="L205" i="82"/>
  <c r="L206" i="82"/>
  <c r="L207" i="82"/>
  <c r="L208" i="82"/>
  <c r="L209" i="82"/>
  <c r="L210" i="82"/>
  <c r="L211" i="82"/>
  <c r="L212" i="82"/>
  <c r="L213" i="82"/>
  <c r="L214" i="82"/>
  <c r="L215" i="82"/>
  <c r="L216" i="82"/>
  <c r="L217" i="82"/>
  <c r="L218" i="82"/>
  <c r="L219" i="82"/>
  <c r="L220" i="82"/>
  <c r="L221" i="82"/>
  <c r="L222" i="82"/>
  <c r="L223" i="82"/>
  <c r="L224" i="82"/>
  <c r="L225" i="82"/>
  <c r="L226" i="82"/>
  <c r="L227" i="82"/>
  <c r="L228" i="82"/>
  <c r="L229" i="82"/>
  <c r="L230" i="82"/>
  <c r="L231" i="82"/>
  <c r="L232" i="82"/>
  <c r="L233" i="82"/>
  <c r="L234" i="82"/>
  <c r="L235" i="82"/>
  <c r="L236" i="82"/>
  <c r="L237" i="82"/>
  <c r="L238" i="82"/>
  <c r="L239" i="82"/>
  <c r="L240" i="82"/>
  <c r="L241" i="82"/>
  <c r="L242" i="82"/>
  <c r="L243" i="82"/>
  <c r="L244" i="82"/>
  <c r="L245" i="82"/>
  <c r="B3" i="104"/>
  <c r="B4" i="104"/>
  <c r="B5" i="104"/>
  <c r="B6" i="104"/>
  <c r="B7" i="104"/>
  <c r="B8" i="104"/>
  <c r="B9" i="104"/>
  <c r="B10" i="104"/>
  <c r="B11" i="104"/>
  <c r="B2" i="104"/>
  <c r="F236" i="82"/>
  <c r="J236" i="82"/>
  <c r="K236" i="82"/>
  <c r="O236" i="82"/>
  <c r="P236" i="82"/>
  <c r="Q236" i="82"/>
  <c r="R236" i="82"/>
  <c r="S236" i="82"/>
  <c r="T236" i="82"/>
  <c r="F237" i="82"/>
  <c r="J237" i="82"/>
  <c r="K237" i="82"/>
  <c r="O237" i="82"/>
  <c r="P237" i="82"/>
  <c r="Q237" i="82"/>
  <c r="R237" i="82"/>
  <c r="S237" i="82"/>
  <c r="T237" i="82"/>
  <c r="F238" i="82"/>
  <c r="J238" i="82"/>
  <c r="K238" i="82"/>
  <c r="O238" i="82"/>
  <c r="P238" i="82"/>
  <c r="Q238" i="82"/>
  <c r="R238" i="82"/>
  <c r="S238" i="82"/>
  <c r="T238" i="82"/>
  <c r="F239" i="82"/>
  <c r="J239" i="82"/>
  <c r="K239" i="82"/>
  <c r="O239" i="82"/>
  <c r="P239" i="82"/>
  <c r="Q239" i="82"/>
  <c r="R239" i="82"/>
  <c r="S239" i="82"/>
  <c r="T239" i="82"/>
  <c r="F240" i="82"/>
  <c r="J240" i="82"/>
  <c r="K240" i="82"/>
  <c r="O240" i="82"/>
  <c r="P240" i="82"/>
  <c r="Q240" i="82"/>
  <c r="R240" i="82"/>
  <c r="S240" i="82"/>
  <c r="T240" i="82"/>
  <c r="F241" i="82"/>
  <c r="J241" i="82"/>
  <c r="K241" i="82"/>
  <c r="O241" i="82"/>
  <c r="P241" i="82"/>
  <c r="Q241" i="82"/>
  <c r="R241" i="82"/>
  <c r="S241" i="82"/>
  <c r="T241" i="82"/>
  <c r="F242" i="82"/>
  <c r="J242" i="82"/>
  <c r="K242" i="82"/>
  <c r="O242" i="82"/>
  <c r="P242" i="82"/>
  <c r="Q242" i="82"/>
  <c r="R242" i="82"/>
  <c r="S242" i="82"/>
  <c r="T242" i="82"/>
  <c r="F243" i="82"/>
  <c r="J243" i="82"/>
  <c r="K243" i="82"/>
  <c r="O243" i="82"/>
  <c r="P243" i="82"/>
  <c r="Q243" i="82"/>
  <c r="R243" i="82"/>
  <c r="S243" i="82"/>
  <c r="T243" i="82"/>
  <c r="F244" i="82"/>
  <c r="J244" i="82"/>
  <c r="K244" i="82"/>
  <c r="O244" i="82"/>
  <c r="P244" i="82"/>
  <c r="Q244" i="82"/>
  <c r="R244" i="82"/>
  <c r="S244" i="82"/>
  <c r="T244" i="82"/>
  <c r="F245" i="82"/>
  <c r="J245" i="82"/>
  <c r="K245" i="82"/>
  <c r="O245" i="82"/>
  <c r="P245" i="82"/>
  <c r="Q245" i="82"/>
  <c r="R245" i="82"/>
  <c r="S245" i="82"/>
  <c r="T245" i="82"/>
  <c r="H5" i="105"/>
  <c r="G16" i="105"/>
  <c r="G13" i="105"/>
  <c r="T2" i="82"/>
  <c r="T3" i="82"/>
  <c r="T4" i="82"/>
  <c r="T5" i="82"/>
  <c r="T6" i="82"/>
  <c r="T7" i="82"/>
  <c r="T8" i="82"/>
  <c r="T9" i="82"/>
  <c r="T10" i="82"/>
  <c r="T11" i="82"/>
  <c r="T12" i="82"/>
  <c r="T13" i="82"/>
  <c r="T14" i="82"/>
  <c r="T15" i="82"/>
  <c r="T16" i="82"/>
  <c r="T17" i="82"/>
  <c r="T18" i="82"/>
  <c r="T19" i="82"/>
  <c r="T20" i="82"/>
  <c r="T21" i="82"/>
  <c r="T22" i="82"/>
  <c r="T23" i="82"/>
  <c r="T24" i="82"/>
  <c r="T25" i="82"/>
  <c r="T26" i="82"/>
  <c r="T27" i="82"/>
  <c r="T28" i="82"/>
  <c r="T29" i="82"/>
  <c r="T30" i="82"/>
  <c r="T31" i="82"/>
  <c r="T32" i="82"/>
  <c r="T33" i="82"/>
  <c r="T34" i="82"/>
  <c r="T35" i="82"/>
  <c r="T36" i="82"/>
  <c r="T37" i="82"/>
  <c r="T38" i="82"/>
  <c r="T39" i="82"/>
  <c r="T40" i="82"/>
  <c r="T41" i="82"/>
  <c r="T42" i="82"/>
  <c r="T43" i="82"/>
  <c r="T44" i="82"/>
  <c r="T45" i="82"/>
  <c r="T46" i="82"/>
  <c r="T47" i="82"/>
  <c r="T48" i="82"/>
  <c r="T49" i="82"/>
  <c r="T50" i="82"/>
  <c r="T51" i="82"/>
  <c r="T52" i="82"/>
  <c r="T53" i="82"/>
  <c r="T54" i="82"/>
  <c r="T55" i="82"/>
  <c r="T56" i="82"/>
  <c r="T57" i="82"/>
  <c r="T58" i="82"/>
  <c r="T59" i="82"/>
  <c r="T60" i="82"/>
  <c r="T61" i="82"/>
  <c r="T62" i="82"/>
  <c r="T63" i="82"/>
  <c r="T64" i="82"/>
  <c r="T65" i="82"/>
  <c r="T66" i="82"/>
  <c r="T67" i="82"/>
  <c r="T68" i="82"/>
  <c r="T69" i="82"/>
  <c r="T70" i="82"/>
  <c r="T71" i="82"/>
  <c r="T72" i="82"/>
  <c r="T73" i="82"/>
  <c r="T74" i="82"/>
  <c r="T75" i="82"/>
  <c r="T76" i="82"/>
  <c r="T77" i="82"/>
  <c r="T78" i="82"/>
  <c r="T79" i="82"/>
  <c r="T80" i="82"/>
  <c r="T81" i="82"/>
  <c r="T82" i="82"/>
  <c r="T83" i="82"/>
  <c r="T84" i="82"/>
  <c r="T85" i="82"/>
  <c r="T86" i="82"/>
  <c r="T87" i="82"/>
  <c r="T88" i="82"/>
  <c r="T89" i="82"/>
  <c r="T90" i="82"/>
  <c r="T91" i="82"/>
  <c r="T92" i="82"/>
  <c r="T93" i="82"/>
  <c r="T94" i="82"/>
  <c r="T95" i="82"/>
  <c r="T96" i="82"/>
  <c r="T97" i="82"/>
  <c r="T98" i="82"/>
  <c r="T99" i="82"/>
  <c r="T100" i="82"/>
  <c r="T101" i="82"/>
  <c r="T102" i="82"/>
  <c r="T103" i="82"/>
  <c r="T104" i="82"/>
  <c r="T105" i="82"/>
  <c r="T106" i="82"/>
  <c r="T107" i="82"/>
  <c r="T108" i="82"/>
  <c r="T109" i="82"/>
  <c r="T110" i="82"/>
  <c r="T111" i="82"/>
  <c r="T112" i="82"/>
  <c r="T113" i="82"/>
  <c r="T114" i="82"/>
  <c r="T115" i="82"/>
  <c r="T116" i="82"/>
  <c r="T117" i="82"/>
  <c r="T118" i="82"/>
  <c r="T119" i="82"/>
  <c r="T120" i="82"/>
  <c r="T121" i="82"/>
  <c r="T122" i="82"/>
  <c r="T123" i="82"/>
  <c r="T124" i="82"/>
  <c r="T125" i="82"/>
  <c r="T126" i="82"/>
  <c r="T127" i="82"/>
  <c r="T128" i="82"/>
  <c r="T129" i="82"/>
  <c r="T130" i="82"/>
  <c r="T131" i="82"/>
  <c r="T132" i="82"/>
  <c r="T133" i="82"/>
  <c r="T134" i="82"/>
  <c r="T135" i="82"/>
  <c r="T136" i="82"/>
  <c r="T137" i="82"/>
  <c r="T138" i="82"/>
  <c r="T139" i="82"/>
  <c r="T140" i="82"/>
  <c r="T141" i="82"/>
  <c r="T142" i="82"/>
  <c r="T143" i="82"/>
  <c r="T144" i="82"/>
  <c r="T145" i="82"/>
  <c r="T146" i="82"/>
  <c r="T147" i="82"/>
  <c r="T148" i="82"/>
  <c r="T149" i="82"/>
  <c r="T150" i="82"/>
  <c r="T151" i="82"/>
  <c r="T152" i="82"/>
  <c r="T153" i="82"/>
  <c r="T154" i="82"/>
  <c r="T155" i="82"/>
  <c r="T156" i="82"/>
  <c r="T157" i="82"/>
  <c r="T158" i="82"/>
  <c r="T159" i="82"/>
  <c r="T160" i="82"/>
  <c r="T161" i="82"/>
  <c r="T162" i="82"/>
  <c r="T163" i="82"/>
  <c r="T164" i="82"/>
  <c r="T165" i="82"/>
  <c r="T166" i="82"/>
  <c r="T167" i="82"/>
  <c r="T168" i="82"/>
  <c r="T169" i="82"/>
  <c r="T170" i="82"/>
  <c r="T171" i="82"/>
  <c r="T172" i="82"/>
  <c r="T173" i="82"/>
  <c r="T174" i="82"/>
  <c r="T175" i="82"/>
  <c r="T176" i="82"/>
  <c r="T177" i="82"/>
  <c r="T178" i="82"/>
  <c r="T179" i="82"/>
  <c r="T180" i="82"/>
  <c r="T181" i="82"/>
  <c r="T182" i="82"/>
  <c r="T183" i="82"/>
  <c r="T184" i="82"/>
  <c r="T185" i="82"/>
  <c r="T186" i="82"/>
  <c r="T187" i="82"/>
  <c r="T188" i="82"/>
  <c r="T189" i="82"/>
  <c r="T190" i="82"/>
  <c r="T191" i="82"/>
  <c r="T192" i="82"/>
  <c r="T193" i="82"/>
  <c r="T194" i="82"/>
  <c r="T195" i="82"/>
  <c r="T196" i="82"/>
  <c r="T197" i="82"/>
  <c r="T198" i="82"/>
  <c r="T199" i="82"/>
  <c r="T200" i="82"/>
  <c r="T201" i="82"/>
  <c r="T202" i="82"/>
  <c r="T203" i="82"/>
  <c r="T204" i="82"/>
  <c r="T205" i="82"/>
  <c r="T206" i="82"/>
  <c r="T207" i="82"/>
  <c r="T208" i="82"/>
  <c r="T209" i="82"/>
  <c r="T210" i="82"/>
  <c r="T211" i="82"/>
  <c r="T212" i="82"/>
  <c r="T213" i="82"/>
  <c r="T214" i="82"/>
  <c r="T215" i="82"/>
  <c r="T216" i="82"/>
  <c r="T217" i="82"/>
  <c r="T218" i="82"/>
  <c r="T219" i="82"/>
  <c r="T220" i="82"/>
  <c r="T221" i="82"/>
  <c r="T222" i="82"/>
  <c r="T223" i="82"/>
  <c r="T224" i="82"/>
  <c r="T225" i="82"/>
  <c r="T226" i="82"/>
  <c r="T227" i="82"/>
  <c r="T228" i="82"/>
  <c r="T229" i="82"/>
  <c r="T230" i="82"/>
  <c r="T231" i="82"/>
  <c r="T232" i="82"/>
  <c r="T233" i="82"/>
  <c r="T234" i="82"/>
  <c r="T235" i="82"/>
  <c r="E5" i="105"/>
  <c r="D10" i="105"/>
  <c r="O2" i="82"/>
  <c r="O3" i="82"/>
  <c r="O4" i="82"/>
  <c r="O5" i="82"/>
  <c r="O6" i="82"/>
  <c r="O7" i="82"/>
  <c r="O8" i="82"/>
  <c r="O9" i="82"/>
  <c r="O10" i="82"/>
  <c r="O11" i="82"/>
  <c r="O12" i="82"/>
  <c r="O13" i="82"/>
  <c r="O14" i="82"/>
  <c r="O15" i="82"/>
  <c r="O16" i="82"/>
  <c r="O17" i="82"/>
  <c r="O18" i="82"/>
  <c r="O19" i="82"/>
  <c r="O20" i="82"/>
  <c r="O21" i="82"/>
  <c r="O22" i="82"/>
  <c r="O23" i="82"/>
  <c r="O24" i="82"/>
  <c r="O25" i="82"/>
  <c r="O26" i="82"/>
  <c r="O27" i="82"/>
  <c r="O28" i="82"/>
  <c r="O29" i="82"/>
  <c r="O30" i="82"/>
  <c r="O31" i="82"/>
  <c r="O32" i="82"/>
  <c r="O33" i="82"/>
  <c r="O34" i="82"/>
  <c r="O35" i="82"/>
  <c r="O36" i="82"/>
  <c r="O37" i="82"/>
  <c r="O38" i="82"/>
  <c r="O39" i="82"/>
  <c r="O40" i="82"/>
  <c r="O41" i="82"/>
  <c r="O42" i="82"/>
  <c r="O43" i="82"/>
  <c r="O44" i="82"/>
  <c r="O45" i="82"/>
  <c r="O46" i="82"/>
  <c r="O47" i="82"/>
  <c r="O48" i="82"/>
  <c r="O49" i="82"/>
  <c r="O50" i="82"/>
  <c r="O51" i="82"/>
  <c r="O52" i="82"/>
  <c r="O53" i="82"/>
  <c r="O54" i="82"/>
  <c r="O55" i="82"/>
  <c r="O56" i="82"/>
  <c r="O57" i="82"/>
  <c r="O58" i="82"/>
  <c r="O59" i="82"/>
  <c r="O60" i="82"/>
  <c r="O61" i="82"/>
  <c r="O62" i="82"/>
  <c r="O63" i="82"/>
  <c r="O64" i="82"/>
  <c r="O65" i="82"/>
  <c r="O66" i="82"/>
  <c r="O67" i="82"/>
  <c r="O68" i="82"/>
  <c r="O69" i="82"/>
  <c r="O70" i="82"/>
  <c r="O71" i="82"/>
  <c r="O72" i="82"/>
  <c r="O73" i="82"/>
  <c r="O74" i="82"/>
  <c r="O75" i="82"/>
  <c r="O76" i="82"/>
  <c r="O77" i="82"/>
  <c r="O78" i="82"/>
  <c r="O79" i="82"/>
  <c r="O80" i="82"/>
  <c r="O81" i="82"/>
  <c r="O82" i="82"/>
  <c r="O83" i="82"/>
  <c r="O84" i="82"/>
  <c r="O85" i="82"/>
  <c r="O86" i="82"/>
  <c r="O87" i="82"/>
  <c r="O88" i="82"/>
  <c r="O89" i="82"/>
  <c r="O90" i="82"/>
  <c r="O91" i="82"/>
  <c r="O92" i="82"/>
  <c r="O93" i="82"/>
  <c r="O94" i="82"/>
  <c r="O95" i="82"/>
  <c r="O96" i="82"/>
  <c r="O97" i="82"/>
  <c r="O98" i="82"/>
  <c r="O99" i="82"/>
  <c r="O100" i="82"/>
  <c r="O101" i="82"/>
  <c r="O102" i="82"/>
  <c r="O103" i="82"/>
  <c r="O104" i="82"/>
  <c r="O105" i="82"/>
  <c r="O106" i="82"/>
  <c r="O107" i="82"/>
  <c r="O108" i="82"/>
  <c r="O109" i="82"/>
  <c r="O110" i="82"/>
  <c r="O111" i="82"/>
  <c r="O112" i="82"/>
  <c r="O113" i="82"/>
  <c r="O114" i="82"/>
  <c r="O115" i="82"/>
  <c r="O116" i="82"/>
  <c r="O117" i="82"/>
  <c r="O118" i="82"/>
  <c r="O119" i="82"/>
  <c r="O120" i="82"/>
  <c r="O121" i="82"/>
  <c r="O122" i="82"/>
  <c r="O123" i="82"/>
  <c r="O124" i="82"/>
  <c r="O125" i="82"/>
  <c r="O126" i="82"/>
  <c r="O127" i="82"/>
  <c r="O128" i="82"/>
  <c r="O129" i="82"/>
  <c r="O130" i="82"/>
  <c r="O131" i="82"/>
  <c r="O132" i="82"/>
  <c r="O133" i="82"/>
  <c r="O134" i="82"/>
  <c r="O135" i="82"/>
  <c r="O136" i="82"/>
  <c r="O137" i="82"/>
  <c r="O138" i="82"/>
  <c r="O139" i="82"/>
  <c r="O140" i="82"/>
  <c r="O141" i="82"/>
  <c r="O142" i="82"/>
  <c r="O143" i="82"/>
  <c r="O144" i="82"/>
  <c r="O145" i="82"/>
  <c r="O146" i="82"/>
  <c r="O147" i="82"/>
  <c r="O148" i="82"/>
  <c r="O149" i="82"/>
  <c r="O150" i="82"/>
  <c r="O151" i="82"/>
  <c r="O152" i="82"/>
  <c r="O153" i="82"/>
  <c r="O154" i="82"/>
  <c r="O155" i="82"/>
  <c r="O156" i="82"/>
  <c r="O157" i="82"/>
  <c r="O158" i="82"/>
  <c r="O159" i="82"/>
  <c r="O160" i="82"/>
  <c r="O161" i="82"/>
  <c r="O162" i="82"/>
  <c r="O163" i="82"/>
  <c r="O164" i="82"/>
  <c r="O165" i="82"/>
  <c r="O166" i="82"/>
  <c r="O167" i="82"/>
  <c r="O168" i="82"/>
  <c r="O169" i="82"/>
  <c r="O170" i="82"/>
  <c r="O171" i="82"/>
  <c r="O172" i="82"/>
  <c r="O173" i="82"/>
  <c r="O174" i="82"/>
  <c r="O175" i="82"/>
  <c r="O176" i="82"/>
  <c r="O177" i="82"/>
  <c r="O178" i="82"/>
  <c r="O179" i="82"/>
  <c r="O180" i="82"/>
  <c r="O181" i="82"/>
  <c r="O182" i="82"/>
  <c r="O183" i="82"/>
  <c r="O184" i="82"/>
  <c r="O185" i="82"/>
  <c r="O186" i="82"/>
  <c r="O187" i="82"/>
  <c r="O188" i="82"/>
  <c r="O189" i="82"/>
  <c r="O190" i="82"/>
  <c r="O191" i="82"/>
  <c r="O192" i="82"/>
  <c r="O193" i="82"/>
  <c r="O194" i="82"/>
  <c r="O195" i="82"/>
  <c r="O196" i="82"/>
  <c r="O197" i="82"/>
  <c r="O198" i="82"/>
  <c r="O199" i="82"/>
  <c r="O200" i="82"/>
  <c r="O201" i="82"/>
  <c r="O202" i="82"/>
  <c r="O203" i="82"/>
  <c r="O204" i="82"/>
  <c r="O205" i="82"/>
  <c r="O206" i="82"/>
  <c r="O207" i="82"/>
  <c r="O208" i="82"/>
  <c r="O209" i="82"/>
  <c r="O210" i="82"/>
  <c r="O211" i="82"/>
  <c r="O212" i="82"/>
  <c r="O213" i="82"/>
  <c r="O214" i="82"/>
  <c r="O215" i="82"/>
  <c r="O216" i="82"/>
  <c r="O217" i="82"/>
  <c r="O218" i="82"/>
  <c r="O219" i="82"/>
  <c r="O220" i="82"/>
  <c r="O221" i="82"/>
  <c r="O222" i="82"/>
  <c r="O223" i="82"/>
  <c r="O224" i="82"/>
  <c r="O225" i="82"/>
  <c r="O226" i="82"/>
  <c r="O227" i="82"/>
  <c r="O228" i="82"/>
  <c r="O229" i="82"/>
  <c r="O230" i="82"/>
  <c r="O231" i="82"/>
  <c r="O232" i="82"/>
  <c r="O233" i="82"/>
  <c r="O234" i="82"/>
  <c r="O235" i="82"/>
  <c r="D13" i="105"/>
  <c r="B5" i="105"/>
  <c r="A13" i="105"/>
  <c r="D16" i="105"/>
  <c r="A16" i="105"/>
  <c r="F225" i="82"/>
  <c r="J225" i="82"/>
  <c r="K225" i="82"/>
  <c r="P225" i="82"/>
  <c r="Q225" i="82"/>
  <c r="R225" i="82"/>
  <c r="S225" i="82"/>
  <c r="F226" i="82"/>
  <c r="J226" i="82"/>
  <c r="K226" i="82"/>
  <c r="P226" i="82"/>
  <c r="Q226" i="82"/>
  <c r="R226" i="82"/>
  <c r="S226" i="82"/>
  <c r="F227" i="82"/>
  <c r="J227" i="82"/>
  <c r="K227" i="82"/>
  <c r="P227" i="82"/>
  <c r="Q227" i="82"/>
  <c r="R227" i="82"/>
  <c r="S227" i="82"/>
  <c r="F228" i="82"/>
  <c r="J228" i="82"/>
  <c r="K228" i="82"/>
  <c r="P228" i="82"/>
  <c r="Q228" i="82"/>
  <c r="R228" i="82"/>
  <c r="S228" i="82"/>
  <c r="F229" i="82"/>
  <c r="J229" i="82"/>
  <c r="K229" i="82"/>
  <c r="P229" i="82"/>
  <c r="Q229" i="82"/>
  <c r="R229" i="82"/>
  <c r="S229" i="82"/>
  <c r="F230" i="82"/>
  <c r="J230" i="82"/>
  <c r="K230" i="82"/>
  <c r="P230" i="82"/>
  <c r="Q230" i="82"/>
  <c r="R230" i="82"/>
  <c r="S230" i="82"/>
  <c r="F231" i="82"/>
  <c r="J231" i="82"/>
  <c r="K231" i="82"/>
  <c r="P231" i="82"/>
  <c r="Q231" i="82"/>
  <c r="R231" i="82"/>
  <c r="S231" i="82"/>
  <c r="F232" i="82"/>
  <c r="J232" i="82"/>
  <c r="K232" i="82"/>
  <c r="P232" i="82"/>
  <c r="Q232" i="82"/>
  <c r="R232" i="82"/>
  <c r="S232" i="82"/>
  <c r="F233" i="82"/>
  <c r="J233" i="82"/>
  <c r="K233" i="82"/>
  <c r="P233" i="82"/>
  <c r="Q233" i="82"/>
  <c r="R233" i="82"/>
  <c r="S233" i="82"/>
  <c r="F234" i="82"/>
  <c r="J234" i="82"/>
  <c r="K234" i="82"/>
  <c r="P234" i="82"/>
  <c r="Q234" i="82"/>
  <c r="R234" i="82"/>
  <c r="S234" i="82"/>
  <c r="F235" i="82"/>
  <c r="J235" i="82"/>
  <c r="K235" i="82"/>
  <c r="P235" i="82"/>
  <c r="Q235" i="82"/>
  <c r="R235" i="82"/>
  <c r="S235" i="82"/>
  <c r="S224" i="82"/>
  <c r="R224" i="82"/>
  <c r="Q224" i="82"/>
  <c r="P224" i="82"/>
  <c r="K224" i="82"/>
  <c r="J224" i="82"/>
  <c r="F224" i="82"/>
  <c r="S223" i="82"/>
  <c r="R223" i="82"/>
  <c r="Q223" i="82"/>
  <c r="P223" i="82"/>
  <c r="K223" i="82"/>
  <c r="J223" i="82"/>
  <c r="F223" i="82"/>
  <c r="S222" i="82"/>
  <c r="R222" i="82"/>
  <c r="Q222" i="82"/>
  <c r="P222" i="82"/>
  <c r="K222" i="82"/>
  <c r="J222" i="82"/>
  <c r="F222" i="82"/>
  <c r="S221" i="82"/>
  <c r="R221" i="82"/>
  <c r="Q221" i="82"/>
  <c r="P221" i="82"/>
  <c r="K221" i="82"/>
  <c r="J221" i="82"/>
  <c r="F221" i="82"/>
  <c r="S220" i="82"/>
  <c r="R220" i="82"/>
  <c r="Q220" i="82"/>
  <c r="P220" i="82"/>
  <c r="K220" i="82"/>
  <c r="J220" i="82"/>
  <c r="F220" i="82"/>
  <c r="S219" i="82"/>
  <c r="R219" i="82"/>
  <c r="Q219" i="82"/>
  <c r="P219" i="82"/>
  <c r="K219" i="82"/>
  <c r="J219" i="82"/>
  <c r="F219" i="82"/>
  <c r="S218" i="82"/>
  <c r="R218" i="82"/>
  <c r="Q218" i="82"/>
  <c r="P218" i="82"/>
  <c r="K218" i="82"/>
  <c r="J218" i="82"/>
  <c r="F218" i="82"/>
  <c r="S217" i="82"/>
  <c r="R217" i="82"/>
  <c r="Q217" i="82"/>
  <c r="P217" i="82"/>
  <c r="K217" i="82"/>
  <c r="J217" i="82"/>
  <c r="F217" i="82"/>
  <c r="S216" i="82"/>
  <c r="R216" i="82"/>
  <c r="Q216" i="82"/>
  <c r="P216" i="82"/>
  <c r="K216" i="82"/>
  <c r="J216" i="82"/>
  <c r="F216" i="82"/>
  <c r="S215" i="82"/>
  <c r="R215" i="82"/>
  <c r="Q215" i="82"/>
  <c r="P215" i="82"/>
  <c r="K215" i="82"/>
  <c r="J215" i="82"/>
  <c r="F215" i="82"/>
  <c r="S214" i="82"/>
  <c r="R214" i="82"/>
  <c r="Q214" i="82"/>
  <c r="P214" i="82"/>
  <c r="K214" i="82"/>
  <c r="J214" i="82"/>
  <c r="F214" i="82"/>
  <c r="S213" i="82"/>
  <c r="R213" i="82"/>
  <c r="Q213" i="82"/>
  <c r="P213" i="82"/>
  <c r="K213" i="82"/>
  <c r="J213" i="82"/>
  <c r="F213" i="82"/>
  <c r="S212" i="82"/>
  <c r="R212" i="82"/>
  <c r="Q212" i="82"/>
  <c r="P212" i="82"/>
  <c r="K212" i="82"/>
  <c r="J212" i="82"/>
  <c r="F212" i="82"/>
  <c r="S211" i="82"/>
  <c r="R211" i="82"/>
  <c r="Q211" i="82"/>
  <c r="P211" i="82"/>
  <c r="K211" i="82"/>
  <c r="J211" i="82"/>
  <c r="F211" i="82"/>
  <c r="S210" i="82"/>
  <c r="R210" i="82"/>
  <c r="Q210" i="82"/>
  <c r="P210" i="82"/>
  <c r="K210" i="82"/>
  <c r="J210" i="82"/>
  <c r="F210" i="82"/>
  <c r="S209" i="82"/>
  <c r="R209" i="82"/>
  <c r="Q209" i="82"/>
  <c r="P209" i="82"/>
  <c r="K209" i="82"/>
  <c r="J209" i="82"/>
  <c r="F209" i="82"/>
  <c r="S208" i="82"/>
  <c r="R208" i="82"/>
  <c r="Q208" i="82"/>
  <c r="P208" i="82"/>
  <c r="K208" i="82"/>
  <c r="J208" i="82"/>
  <c r="F208" i="82"/>
  <c r="S207" i="82"/>
  <c r="R207" i="82"/>
  <c r="Q207" i="82"/>
  <c r="P207" i="82"/>
  <c r="K207" i="82"/>
  <c r="J207" i="82"/>
  <c r="F207" i="82"/>
  <c r="S206" i="82"/>
  <c r="R206" i="82"/>
  <c r="Q206" i="82"/>
  <c r="P206" i="82"/>
  <c r="K206" i="82"/>
  <c r="J206" i="82"/>
  <c r="F206" i="82"/>
  <c r="S205" i="82"/>
  <c r="R205" i="82"/>
  <c r="Q205" i="82"/>
  <c r="P205" i="82"/>
  <c r="K205" i="82"/>
  <c r="J205" i="82"/>
  <c r="F205" i="82"/>
  <c r="S204" i="82"/>
  <c r="R204" i="82"/>
  <c r="Q204" i="82"/>
  <c r="P204" i="82"/>
  <c r="K204" i="82"/>
  <c r="J204" i="82"/>
  <c r="F204" i="82"/>
  <c r="S203" i="82"/>
  <c r="R203" i="82"/>
  <c r="Q203" i="82"/>
  <c r="P203" i="82"/>
  <c r="K203" i="82"/>
  <c r="J203" i="82"/>
  <c r="F203" i="82"/>
  <c r="S202" i="82"/>
  <c r="R202" i="82"/>
  <c r="Q202" i="82"/>
  <c r="P202" i="82"/>
  <c r="K202" i="82"/>
  <c r="J202" i="82"/>
  <c r="F202" i="82"/>
  <c r="S201" i="82"/>
  <c r="R201" i="82"/>
  <c r="Q201" i="82"/>
  <c r="P201" i="82"/>
  <c r="K201" i="82"/>
  <c r="J201" i="82"/>
  <c r="F201" i="82"/>
  <c r="S200" i="82"/>
  <c r="R200" i="82"/>
  <c r="Q200" i="82"/>
  <c r="P200" i="82"/>
  <c r="K200" i="82"/>
  <c r="J200" i="82"/>
  <c r="F200" i="82"/>
  <c r="S199" i="82"/>
  <c r="R199" i="82"/>
  <c r="Q199" i="82"/>
  <c r="P199" i="82"/>
  <c r="K199" i="82"/>
  <c r="J199" i="82"/>
  <c r="F199" i="82"/>
  <c r="S198" i="82"/>
  <c r="R198" i="82"/>
  <c r="Q198" i="82"/>
  <c r="P198" i="82"/>
  <c r="K198" i="82"/>
  <c r="J198" i="82"/>
  <c r="F198" i="82"/>
  <c r="S197" i="82"/>
  <c r="R197" i="82"/>
  <c r="Q197" i="82"/>
  <c r="P197" i="82"/>
  <c r="K197" i="82"/>
  <c r="J197" i="82"/>
  <c r="F197" i="82"/>
  <c r="S196" i="82"/>
  <c r="R196" i="82"/>
  <c r="Q196" i="82"/>
  <c r="P196" i="82"/>
  <c r="K196" i="82"/>
  <c r="J196" i="82"/>
  <c r="F196" i="82"/>
  <c r="S195" i="82"/>
  <c r="R195" i="82"/>
  <c r="Q195" i="82"/>
  <c r="P195" i="82"/>
  <c r="K195" i="82"/>
  <c r="J195" i="82"/>
  <c r="F195" i="82"/>
  <c r="S194" i="82"/>
  <c r="R194" i="82"/>
  <c r="Q194" i="82"/>
  <c r="P194" i="82"/>
  <c r="K194" i="82"/>
  <c r="J194" i="82"/>
  <c r="F194" i="82"/>
  <c r="S193" i="82"/>
  <c r="R193" i="82"/>
  <c r="Q193" i="82"/>
  <c r="P193" i="82"/>
  <c r="K193" i="82"/>
  <c r="J193" i="82"/>
  <c r="F193" i="82"/>
  <c r="S192" i="82"/>
  <c r="R192" i="82"/>
  <c r="Q192" i="82"/>
  <c r="P192" i="82"/>
  <c r="K192" i="82"/>
  <c r="J192" i="82"/>
  <c r="F192" i="82"/>
  <c r="S191" i="82"/>
  <c r="R191" i="82"/>
  <c r="Q191" i="82"/>
  <c r="P191" i="82"/>
  <c r="K191" i="82"/>
  <c r="J191" i="82"/>
  <c r="F191" i="82"/>
  <c r="S190" i="82"/>
  <c r="R190" i="82"/>
  <c r="Q190" i="82"/>
  <c r="P190" i="82"/>
  <c r="K190" i="82"/>
  <c r="J190" i="82"/>
  <c r="F190" i="82"/>
  <c r="S189" i="82"/>
  <c r="R189" i="82"/>
  <c r="Q189" i="82"/>
  <c r="P189" i="82"/>
  <c r="K189" i="82"/>
  <c r="J189" i="82"/>
  <c r="F189" i="82"/>
  <c r="S188" i="82"/>
  <c r="R188" i="82"/>
  <c r="Q188" i="82"/>
  <c r="P188" i="82"/>
  <c r="K188" i="82"/>
  <c r="J188" i="82"/>
  <c r="F188" i="82"/>
  <c r="S187" i="82"/>
  <c r="R187" i="82"/>
  <c r="Q187" i="82"/>
  <c r="P187" i="82"/>
  <c r="K187" i="82"/>
  <c r="J187" i="82"/>
  <c r="F187" i="82"/>
  <c r="S186" i="82"/>
  <c r="R186" i="82"/>
  <c r="Q186" i="82"/>
  <c r="P186" i="82"/>
  <c r="K186" i="82"/>
  <c r="J186" i="82"/>
  <c r="F186" i="82"/>
  <c r="S185" i="82"/>
  <c r="R185" i="82"/>
  <c r="Q185" i="82"/>
  <c r="P185" i="82"/>
  <c r="K185" i="82"/>
  <c r="J185" i="82"/>
  <c r="F185" i="82"/>
  <c r="S184" i="82"/>
  <c r="R184" i="82"/>
  <c r="Q184" i="82"/>
  <c r="P184" i="82"/>
  <c r="K184" i="82"/>
  <c r="J184" i="82"/>
  <c r="F184" i="82"/>
  <c r="S183" i="82"/>
  <c r="R183" i="82"/>
  <c r="Q183" i="82"/>
  <c r="P183" i="82"/>
  <c r="K183" i="82"/>
  <c r="J183" i="82"/>
  <c r="F183" i="82"/>
  <c r="S182" i="82"/>
  <c r="R182" i="82"/>
  <c r="Q182" i="82"/>
  <c r="P182" i="82"/>
  <c r="K182" i="82"/>
  <c r="J182" i="82"/>
  <c r="F182" i="82"/>
  <c r="S181" i="82"/>
  <c r="R181" i="82"/>
  <c r="Q181" i="82"/>
  <c r="P181" i="82"/>
  <c r="K181" i="82"/>
  <c r="J181" i="82"/>
  <c r="F181" i="82"/>
  <c r="S180" i="82"/>
  <c r="R180" i="82"/>
  <c r="Q180" i="82"/>
  <c r="P180" i="82"/>
  <c r="K180" i="82"/>
  <c r="J180" i="82"/>
  <c r="F180" i="82"/>
  <c r="S179" i="82"/>
  <c r="R179" i="82"/>
  <c r="Q179" i="82"/>
  <c r="P179" i="82"/>
  <c r="K179" i="82"/>
  <c r="J179" i="82"/>
  <c r="F179" i="82"/>
  <c r="S178" i="82"/>
  <c r="R178" i="82"/>
  <c r="Q178" i="82"/>
  <c r="P178" i="82"/>
  <c r="K178" i="82"/>
  <c r="J178" i="82"/>
  <c r="F178" i="82"/>
  <c r="S177" i="82"/>
  <c r="R177" i="82"/>
  <c r="Q177" i="82"/>
  <c r="P177" i="82"/>
  <c r="K177" i="82"/>
  <c r="J177" i="82"/>
  <c r="F177" i="82"/>
  <c r="S176" i="82"/>
  <c r="R176" i="82"/>
  <c r="Q176" i="82"/>
  <c r="P176" i="82"/>
  <c r="K176" i="82"/>
  <c r="J176" i="82"/>
  <c r="F176" i="82"/>
  <c r="S175" i="82"/>
  <c r="R175" i="82"/>
  <c r="Q175" i="82"/>
  <c r="P175" i="82"/>
  <c r="K175" i="82"/>
  <c r="J175" i="82"/>
  <c r="F175" i="82"/>
  <c r="S174" i="82"/>
  <c r="R174" i="82"/>
  <c r="Q174" i="82"/>
  <c r="P174" i="82"/>
  <c r="K174" i="82"/>
  <c r="J174" i="82"/>
  <c r="F174" i="82"/>
  <c r="S173" i="82"/>
  <c r="R173" i="82"/>
  <c r="Q173" i="82"/>
  <c r="P173" i="82"/>
  <c r="K173" i="82"/>
  <c r="J173" i="82"/>
  <c r="F173" i="82"/>
  <c r="S172" i="82"/>
  <c r="R172" i="82"/>
  <c r="Q172" i="82"/>
  <c r="P172" i="82"/>
  <c r="K172" i="82"/>
  <c r="J172" i="82"/>
  <c r="F172" i="82"/>
  <c r="S171" i="82"/>
  <c r="R171" i="82"/>
  <c r="Q171" i="82"/>
  <c r="P171" i="82"/>
  <c r="K171" i="82"/>
  <c r="J171" i="82"/>
  <c r="F171" i="82"/>
  <c r="S170" i="82"/>
  <c r="R170" i="82"/>
  <c r="Q170" i="82"/>
  <c r="P170" i="82"/>
  <c r="K170" i="82"/>
  <c r="J170" i="82"/>
  <c r="F170" i="82"/>
  <c r="S169" i="82"/>
  <c r="R169" i="82"/>
  <c r="Q169" i="82"/>
  <c r="P169" i="82"/>
  <c r="K169" i="82"/>
  <c r="J169" i="82"/>
  <c r="F169" i="82"/>
  <c r="S168" i="82"/>
  <c r="R168" i="82"/>
  <c r="Q168" i="82"/>
  <c r="P168" i="82"/>
  <c r="K168" i="82"/>
  <c r="J168" i="82"/>
  <c r="F168" i="82"/>
  <c r="S167" i="82"/>
  <c r="R167" i="82"/>
  <c r="Q167" i="82"/>
  <c r="P167" i="82"/>
  <c r="K167" i="82"/>
  <c r="J167" i="82"/>
  <c r="F167" i="82"/>
  <c r="S166" i="82"/>
  <c r="R166" i="82"/>
  <c r="Q166" i="82"/>
  <c r="P166" i="82"/>
  <c r="K166" i="82"/>
  <c r="J166" i="82"/>
  <c r="F166" i="82"/>
  <c r="S165" i="82"/>
  <c r="R165" i="82"/>
  <c r="Q165" i="82"/>
  <c r="P165" i="82"/>
  <c r="K165" i="82"/>
  <c r="J165" i="82"/>
  <c r="F165" i="82"/>
  <c r="S164" i="82"/>
  <c r="R164" i="82"/>
  <c r="Q164" i="82"/>
  <c r="P164" i="82"/>
  <c r="K164" i="82"/>
  <c r="J164" i="82"/>
  <c r="F164" i="82"/>
  <c r="S163" i="82"/>
  <c r="R163" i="82"/>
  <c r="Q163" i="82"/>
  <c r="P163" i="82"/>
  <c r="K163" i="82"/>
  <c r="J163" i="82"/>
  <c r="F163" i="82"/>
  <c r="S162" i="82"/>
  <c r="R162" i="82"/>
  <c r="Q162" i="82"/>
  <c r="P162" i="82"/>
  <c r="K162" i="82"/>
  <c r="J162" i="82"/>
  <c r="F162" i="82"/>
  <c r="S161" i="82"/>
  <c r="R161" i="82"/>
  <c r="Q161" i="82"/>
  <c r="P161" i="82"/>
  <c r="K161" i="82"/>
  <c r="J161" i="82"/>
  <c r="F161" i="82"/>
  <c r="S160" i="82"/>
  <c r="R160" i="82"/>
  <c r="Q160" i="82"/>
  <c r="P160" i="82"/>
  <c r="K160" i="82"/>
  <c r="J160" i="82"/>
  <c r="F160" i="82"/>
  <c r="S159" i="82"/>
  <c r="R159" i="82"/>
  <c r="Q159" i="82"/>
  <c r="P159" i="82"/>
  <c r="K159" i="82"/>
  <c r="J159" i="82"/>
  <c r="F159" i="82"/>
  <c r="S158" i="82"/>
  <c r="R158" i="82"/>
  <c r="Q158" i="82"/>
  <c r="P158" i="82"/>
  <c r="K158" i="82"/>
  <c r="J158" i="82"/>
  <c r="F158" i="82"/>
  <c r="S157" i="82"/>
  <c r="R157" i="82"/>
  <c r="Q157" i="82"/>
  <c r="P157" i="82"/>
  <c r="K157" i="82"/>
  <c r="J157" i="82"/>
  <c r="F157" i="82"/>
  <c r="S156" i="82"/>
  <c r="R156" i="82"/>
  <c r="Q156" i="82"/>
  <c r="P156" i="82"/>
  <c r="K156" i="82"/>
  <c r="J156" i="82"/>
  <c r="F156" i="82"/>
  <c r="S155" i="82"/>
  <c r="R155" i="82"/>
  <c r="Q155" i="82"/>
  <c r="P155" i="82"/>
  <c r="K155" i="82"/>
  <c r="J155" i="82"/>
  <c r="F155" i="82"/>
  <c r="S154" i="82"/>
  <c r="R154" i="82"/>
  <c r="Q154" i="82"/>
  <c r="P154" i="82"/>
  <c r="K154" i="82"/>
  <c r="J154" i="82"/>
  <c r="F154" i="82"/>
  <c r="S153" i="82"/>
  <c r="R153" i="82"/>
  <c r="Q153" i="82"/>
  <c r="P153" i="82"/>
  <c r="K153" i="82"/>
  <c r="J153" i="82"/>
  <c r="F153" i="82"/>
  <c r="S152" i="82"/>
  <c r="R152" i="82"/>
  <c r="Q152" i="82"/>
  <c r="P152" i="82"/>
  <c r="K152" i="82"/>
  <c r="J152" i="82"/>
  <c r="F152" i="82"/>
  <c r="S151" i="82"/>
  <c r="R151" i="82"/>
  <c r="Q151" i="82"/>
  <c r="P151" i="82"/>
  <c r="K151" i="82"/>
  <c r="J151" i="82"/>
  <c r="F151" i="82"/>
  <c r="S150" i="82"/>
  <c r="R150" i="82"/>
  <c r="Q150" i="82"/>
  <c r="P150" i="82"/>
  <c r="K150" i="82"/>
  <c r="J150" i="82"/>
  <c r="F150" i="82"/>
  <c r="S149" i="82"/>
  <c r="R149" i="82"/>
  <c r="Q149" i="82"/>
  <c r="P149" i="82"/>
  <c r="K149" i="82"/>
  <c r="J149" i="82"/>
  <c r="F149" i="82"/>
  <c r="S148" i="82"/>
  <c r="R148" i="82"/>
  <c r="Q148" i="82"/>
  <c r="P148" i="82"/>
  <c r="K148" i="82"/>
  <c r="J148" i="82"/>
  <c r="F148" i="82"/>
  <c r="S147" i="82"/>
  <c r="R147" i="82"/>
  <c r="Q147" i="82"/>
  <c r="P147" i="82"/>
  <c r="K147" i="82"/>
  <c r="J147" i="82"/>
  <c r="F147" i="82"/>
  <c r="S146" i="82"/>
  <c r="R146" i="82"/>
  <c r="Q146" i="82"/>
  <c r="P146" i="82"/>
  <c r="K146" i="82"/>
  <c r="J146" i="82"/>
  <c r="F146" i="82"/>
  <c r="S145" i="82"/>
  <c r="R145" i="82"/>
  <c r="Q145" i="82"/>
  <c r="P145" i="82"/>
  <c r="K145" i="82"/>
  <c r="J145" i="82"/>
  <c r="F145" i="82"/>
  <c r="S144" i="82"/>
  <c r="R144" i="82"/>
  <c r="Q144" i="82"/>
  <c r="P144" i="82"/>
  <c r="K144" i="82"/>
  <c r="J144" i="82"/>
  <c r="F144" i="82"/>
  <c r="S143" i="82"/>
  <c r="R143" i="82"/>
  <c r="Q143" i="82"/>
  <c r="P143" i="82"/>
  <c r="K143" i="82"/>
  <c r="J143" i="82"/>
  <c r="F143" i="82"/>
  <c r="S142" i="82"/>
  <c r="R142" i="82"/>
  <c r="Q142" i="82"/>
  <c r="P142" i="82"/>
  <c r="K142" i="82"/>
  <c r="J142" i="82"/>
  <c r="F142" i="82"/>
  <c r="S141" i="82"/>
  <c r="R141" i="82"/>
  <c r="Q141" i="82"/>
  <c r="P141" i="82"/>
  <c r="K141" i="82"/>
  <c r="J141" i="82"/>
  <c r="F141" i="82"/>
  <c r="S140" i="82"/>
  <c r="R140" i="82"/>
  <c r="Q140" i="82"/>
  <c r="P140" i="82"/>
  <c r="K140" i="82"/>
  <c r="J140" i="82"/>
  <c r="F140" i="82"/>
  <c r="S139" i="82"/>
  <c r="R139" i="82"/>
  <c r="Q139" i="82"/>
  <c r="P139" i="82"/>
  <c r="K139" i="82"/>
  <c r="J139" i="82"/>
  <c r="F139" i="82"/>
  <c r="S138" i="82"/>
  <c r="R138" i="82"/>
  <c r="Q138" i="82"/>
  <c r="P138" i="82"/>
  <c r="K138" i="82"/>
  <c r="J138" i="82"/>
  <c r="F138" i="82"/>
  <c r="S137" i="82"/>
  <c r="R137" i="82"/>
  <c r="Q137" i="82"/>
  <c r="P137" i="82"/>
  <c r="K137" i="82"/>
  <c r="J137" i="82"/>
  <c r="F137" i="82"/>
  <c r="S136" i="82"/>
  <c r="R136" i="82"/>
  <c r="Q136" i="82"/>
  <c r="P136" i="82"/>
  <c r="K136" i="82"/>
  <c r="J136" i="82"/>
  <c r="F136" i="82"/>
  <c r="S135" i="82"/>
  <c r="R135" i="82"/>
  <c r="Q135" i="82"/>
  <c r="P135" i="82"/>
  <c r="K135" i="82"/>
  <c r="J135" i="82"/>
  <c r="F135" i="82"/>
  <c r="S134" i="82"/>
  <c r="R134" i="82"/>
  <c r="Q134" i="82"/>
  <c r="P134" i="82"/>
  <c r="K134" i="82"/>
  <c r="J134" i="82"/>
  <c r="F134" i="82"/>
  <c r="S133" i="82"/>
  <c r="R133" i="82"/>
  <c r="Q133" i="82"/>
  <c r="P133" i="82"/>
  <c r="K133" i="82"/>
  <c r="J133" i="82"/>
  <c r="F133" i="82"/>
  <c r="S132" i="82"/>
  <c r="R132" i="82"/>
  <c r="Q132" i="82"/>
  <c r="P132" i="82"/>
  <c r="K132" i="82"/>
  <c r="J132" i="82"/>
  <c r="F132" i="82"/>
  <c r="S131" i="82"/>
  <c r="R131" i="82"/>
  <c r="Q131" i="82"/>
  <c r="P131" i="82"/>
  <c r="K131" i="82"/>
  <c r="J131" i="82"/>
  <c r="F131" i="82"/>
  <c r="S130" i="82"/>
  <c r="R130" i="82"/>
  <c r="Q130" i="82"/>
  <c r="P130" i="82"/>
  <c r="K130" i="82"/>
  <c r="J130" i="82"/>
  <c r="F130" i="82"/>
  <c r="S129" i="82"/>
  <c r="R129" i="82"/>
  <c r="Q129" i="82"/>
  <c r="P129" i="82"/>
  <c r="K129" i="82"/>
  <c r="J129" i="82"/>
  <c r="F129" i="82"/>
  <c r="S128" i="82"/>
  <c r="R128" i="82"/>
  <c r="Q128" i="82"/>
  <c r="P128" i="82"/>
  <c r="K128" i="82"/>
  <c r="J128" i="82"/>
  <c r="F128" i="82"/>
  <c r="S127" i="82"/>
  <c r="R127" i="82"/>
  <c r="Q127" i="82"/>
  <c r="P127" i="82"/>
  <c r="K127" i="82"/>
  <c r="J127" i="82"/>
  <c r="F127" i="82"/>
  <c r="S126" i="82"/>
  <c r="R126" i="82"/>
  <c r="Q126" i="82"/>
  <c r="P126" i="82"/>
  <c r="K126" i="82"/>
  <c r="J126" i="82"/>
  <c r="F126" i="82"/>
  <c r="S125" i="82"/>
  <c r="R125" i="82"/>
  <c r="Q125" i="82"/>
  <c r="P125" i="82"/>
  <c r="K125" i="82"/>
  <c r="J125" i="82"/>
  <c r="F125" i="82"/>
  <c r="S124" i="82"/>
  <c r="R124" i="82"/>
  <c r="Q124" i="82"/>
  <c r="P124" i="82"/>
  <c r="K124" i="82"/>
  <c r="J124" i="82"/>
  <c r="F124" i="82"/>
  <c r="S123" i="82"/>
  <c r="R123" i="82"/>
  <c r="Q123" i="82"/>
  <c r="P123" i="82"/>
  <c r="K123" i="82"/>
  <c r="J123" i="82"/>
  <c r="F123" i="82"/>
  <c r="S122" i="82"/>
  <c r="R122" i="82"/>
  <c r="Q122" i="82"/>
  <c r="P122" i="82"/>
  <c r="K122" i="82"/>
  <c r="J122" i="82"/>
  <c r="F122" i="82"/>
  <c r="S121" i="82"/>
  <c r="R121" i="82"/>
  <c r="Q121" i="82"/>
  <c r="P121" i="82"/>
  <c r="K121" i="82"/>
  <c r="J121" i="82"/>
  <c r="F121" i="82"/>
  <c r="S120" i="82"/>
  <c r="R120" i="82"/>
  <c r="Q120" i="82"/>
  <c r="P120" i="82"/>
  <c r="K120" i="82"/>
  <c r="J120" i="82"/>
  <c r="F120" i="82"/>
  <c r="S119" i="82"/>
  <c r="R119" i="82"/>
  <c r="Q119" i="82"/>
  <c r="P119" i="82"/>
  <c r="K119" i="82"/>
  <c r="J119" i="82"/>
  <c r="F119" i="82"/>
  <c r="S118" i="82"/>
  <c r="R118" i="82"/>
  <c r="Q118" i="82"/>
  <c r="P118" i="82"/>
  <c r="K118" i="82"/>
  <c r="J118" i="82"/>
  <c r="F118" i="82"/>
  <c r="S117" i="82"/>
  <c r="R117" i="82"/>
  <c r="Q117" i="82"/>
  <c r="P117" i="82"/>
  <c r="K117" i="82"/>
  <c r="J117" i="82"/>
  <c r="F117" i="82"/>
  <c r="S116" i="82"/>
  <c r="R116" i="82"/>
  <c r="Q116" i="82"/>
  <c r="P116" i="82"/>
  <c r="K116" i="82"/>
  <c r="J116" i="82"/>
  <c r="F116" i="82"/>
  <c r="S115" i="82"/>
  <c r="R115" i="82"/>
  <c r="Q115" i="82"/>
  <c r="P115" i="82"/>
  <c r="K115" i="82"/>
  <c r="J115" i="82"/>
  <c r="F115" i="82"/>
  <c r="S114" i="82"/>
  <c r="R114" i="82"/>
  <c r="Q114" i="82"/>
  <c r="P114" i="82"/>
  <c r="K114" i="82"/>
  <c r="J114" i="82"/>
  <c r="F114" i="82"/>
  <c r="S113" i="82"/>
  <c r="R113" i="82"/>
  <c r="Q113" i="82"/>
  <c r="P113" i="82"/>
  <c r="K113" i="82"/>
  <c r="J113" i="82"/>
  <c r="F113" i="82"/>
  <c r="S112" i="82"/>
  <c r="R112" i="82"/>
  <c r="Q112" i="82"/>
  <c r="P112" i="82"/>
  <c r="K112" i="82"/>
  <c r="J112" i="82"/>
  <c r="F112" i="82"/>
  <c r="S111" i="82"/>
  <c r="R111" i="82"/>
  <c r="Q111" i="82"/>
  <c r="P111" i="82"/>
  <c r="K111" i="82"/>
  <c r="J111" i="82"/>
  <c r="F111" i="82"/>
  <c r="S110" i="82"/>
  <c r="R110" i="82"/>
  <c r="Q110" i="82"/>
  <c r="P110" i="82"/>
  <c r="K110" i="82"/>
  <c r="J110" i="82"/>
  <c r="F110" i="82"/>
  <c r="S109" i="82"/>
  <c r="R109" i="82"/>
  <c r="Q109" i="82"/>
  <c r="P109" i="82"/>
  <c r="K109" i="82"/>
  <c r="J109" i="82"/>
  <c r="F109" i="82"/>
  <c r="S108" i="82"/>
  <c r="R108" i="82"/>
  <c r="Q108" i="82"/>
  <c r="P108" i="82"/>
  <c r="K108" i="82"/>
  <c r="J108" i="82"/>
  <c r="F108" i="82"/>
  <c r="S107" i="82"/>
  <c r="R107" i="82"/>
  <c r="Q107" i="82"/>
  <c r="P107" i="82"/>
  <c r="K107" i="82"/>
  <c r="J107" i="82"/>
  <c r="F107" i="82"/>
  <c r="S106" i="82"/>
  <c r="R106" i="82"/>
  <c r="Q106" i="82"/>
  <c r="P106" i="82"/>
  <c r="K106" i="82"/>
  <c r="J106" i="82"/>
  <c r="F106" i="82"/>
  <c r="S105" i="82"/>
  <c r="R105" i="82"/>
  <c r="Q105" i="82"/>
  <c r="P105" i="82"/>
  <c r="K105" i="82"/>
  <c r="J105" i="82"/>
  <c r="F105" i="82"/>
  <c r="S104" i="82"/>
  <c r="R104" i="82"/>
  <c r="Q104" i="82"/>
  <c r="P104" i="82"/>
  <c r="K104" i="82"/>
  <c r="J104" i="82"/>
  <c r="F104" i="82"/>
  <c r="S103" i="82"/>
  <c r="R103" i="82"/>
  <c r="Q103" i="82"/>
  <c r="P103" i="82"/>
  <c r="K103" i="82"/>
  <c r="J103" i="82"/>
  <c r="F103" i="82"/>
  <c r="S102" i="82"/>
  <c r="R102" i="82"/>
  <c r="Q102" i="82"/>
  <c r="P102" i="82"/>
  <c r="K102" i="82"/>
  <c r="J102" i="82"/>
  <c r="F102" i="82"/>
  <c r="S101" i="82"/>
  <c r="R101" i="82"/>
  <c r="Q101" i="82"/>
  <c r="P101" i="82"/>
  <c r="K101" i="82"/>
  <c r="J101" i="82"/>
  <c r="F101" i="82"/>
  <c r="S100" i="82"/>
  <c r="R100" i="82"/>
  <c r="Q100" i="82"/>
  <c r="P100" i="82"/>
  <c r="K100" i="82"/>
  <c r="J100" i="82"/>
  <c r="F100" i="82"/>
  <c r="S99" i="82"/>
  <c r="R99" i="82"/>
  <c r="Q99" i="82"/>
  <c r="P99" i="82"/>
  <c r="K99" i="82"/>
  <c r="J99" i="82"/>
  <c r="F99" i="82"/>
  <c r="S98" i="82"/>
  <c r="R98" i="82"/>
  <c r="Q98" i="82"/>
  <c r="P98" i="82"/>
  <c r="K98" i="82"/>
  <c r="J98" i="82"/>
  <c r="F98" i="82"/>
  <c r="S97" i="82"/>
  <c r="R97" i="82"/>
  <c r="Q97" i="82"/>
  <c r="P97" i="82"/>
  <c r="K97" i="82"/>
  <c r="J97" i="82"/>
  <c r="F97" i="82"/>
  <c r="S96" i="82"/>
  <c r="R96" i="82"/>
  <c r="Q96" i="82"/>
  <c r="P96" i="82"/>
  <c r="K96" i="82"/>
  <c r="J96" i="82"/>
  <c r="F96" i="82"/>
  <c r="S95" i="82"/>
  <c r="R95" i="82"/>
  <c r="Q95" i="82"/>
  <c r="P95" i="82"/>
  <c r="K95" i="82"/>
  <c r="J95" i="82"/>
  <c r="F95" i="82"/>
  <c r="S94" i="82"/>
  <c r="R94" i="82"/>
  <c r="Q94" i="82"/>
  <c r="P94" i="82"/>
  <c r="K94" i="82"/>
  <c r="J94" i="82"/>
  <c r="F94" i="82"/>
  <c r="S93" i="82"/>
  <c r="R93" i="82"/>
  <c r="Q93" i="82"/>
  <c r="P93" i="82"/>
  <c r="K93" i="82"/>
  <c r="J93" i="82"/>
  <c r="F93" i="82"/>
  <c r="S92" i="82"/>
  <c r="R92" i="82"/>
  <c r="Q92" i="82"/>
  <c r="P92" i="82"/>
  <c r="K92" i="82"/>
  <c r="J92" i="82"/>
  <c r="F92" i="82"/>
  <c r="S91" i="82"/>
  <c r="R91" i="82"/>
  <c r="Q91" i="82"/>
  <c r="P91" i="82"/>
  <c r="K91" i="82"/>
  <c r="J91" i="82"/>
  <c r="F91" i="82"/>
  <c r="S90" i="82"/>
  <c r="R90" i="82"/>
  <c r="Q90" i="82"/>
  <c r="P90" i="82"/>
  <c r="K90" i="82"/>
  <c r="J90" i="82"/>
  <c r="F90" i="82"/>
  <c r="S89" i="82"/>
  <c r="R89" i="82"/>
  <c r="Q89" i="82"/>
  <c r="P89" i="82"/>
  <c r="K89" i="82"/>
  <c r="J89" i="82"/>
  <c r="F89" i="82"/>
  <c r="S88" i="82"/>
  <c r="R88" i="82"/>
  <c r="Q88" i="82"/>
  <c r="P88" i="82"/>
  <c r="K88" i="82"/>
  <c r="J88" i="82"/>
  <c r="F88" i="82"/>
  <c r="S87" i="82"/>
  <c r="R87" i="82"/>
  <c r="Q87" i="82"/>
  <c r="P87" i="82"/>
  <c r="K87" i="82"/>
  <c r="J87" i="82"/>
  <c r="F87" i="82"/>
  <c r="S86" i="82"/>
  <c r="R86" i="82"/>
  <c r="Q86" i="82"/>
  <c r="P86" i="82"/>
  <c r="K86" i="82"/>
  <c r="J86" i="82"/>
  <c r="F86" i="82"/>
  <c r="S85" i="82"/>
  <c r="R85" i="82"/>
  <c r="Q85" i="82"/>
  <c r="P85" i="82"/>
  <c r="K85" i="82"/>
  <c r="J85" i="82"/>
  <c r="F85" i="82"/>
  <c r="S84" i="82"/>
  <c r="R84" i="82"/>
  <c r="Q84" i="82"/>
  <c r="P84" i="82"/>
  <c r="K84" i="82"/>
  <c r="J84" i="82"/>
  <c r="F84" i="82"/>
  <c r="S83" i="82"/>
  <c r="R83" i="82"/>
  <c r="Q83" i="82"/>
  <c r="P83" i="82"/>
  <c r="K83" i="82"/>
  <c r="J83" i="82"/>
  <c r="F83" i="82"/>
  <c r="S82" i="82"/>
  <c r="R82" i="82"/>
  <c r="Q82" i="82"/>
  <c r="P82" i="82"/>
  <c r="K82" i="82"/>
  <c r="J82" i="82"/>
  <c r="F82" i="82"/>
  <c r="S81" i="82"/>
  <c r="R81" i="82"/>
  <c r="Q81" i="82"/>
  <c r="P81" i="82"/>
  <c r="K81" i="82"/>
  <c r="J81" i="82"/>
  <c r="F81" i="82"/>
  <c r="S80" i="82"/>
  <c r="R80" i="82"/>
  <c r="Q80" i="82"/>
  <c r="P80" i="82"/>
  <c r="K80" i="82"/>
  <c r="J80" i="82"/>
  <c r="F80" i="82"/>
  <c r="S79" i="82"/>
  <c r="R79" i="82"/>
  <c r="Q79" i="82"/>
  <c r="P79" i="82"/>
  <c r="K79" i="82"/>
  <c r="J79" i="82"/>
  <c r="F79" i="82"/>
  <c r="S78" i="82"/>
  <c r="R78" i="82"/>
  <c r="Q78" i="82"/>
  <c r="P78" i="82"/>
  <c r="K78" i="82"/>
  <c r="J78" i="82"/>
  <c r="F78" i="82"/>
  <c r="S77" i="82"/>
  <c r="R77" i="82"/>
  <c r="Q77" i="82"/>
  <c r="P77" i="82"/>
  <c r="K77" i="82"/>
  <c r="J77" i="82"/>
  <c r="F77" i="82"/>
  <c r="S76" i="82"/>
  <c r="R76" i="82"/>
  <c r="Q76" i="82"/>
  <c r="P76" i="82"/>
  <c r="K76" i="82"/>
  <c r="J76" i="82"/>
  <c r="F76" i="82"/>
  <c r="S75" i="82"/>
  <c r="R75" i="82"/>
  <c r="Q75" i="82"/>
  <c r="P75" i="82"/>
  <c r="K75" i="82"/>
  <c r="J75" i="82"/>
  <c r="F75" i="82"/>
  <c r="S74" i="82"/>
  <c r="R74" i="82"/>
  <c r="Q74" i="82"/>
  <c r="P74" i="82"/>
  <c r="K74" i="82"/>
  <c r="J74" i="82"/>
  <c r="F74" i="82"/>
  <c r="S73" i="82"/>
  <c r="R73" i="82"/>
  <c r="Q73" i="82"/>
  <c r="P73" i="82"/>
  <c r="K73" i="82"/>
  <c r="J73" i="82"/>
  <c r="F73" i="82"/>
  <c r="S72" i="82"/>
  <c r="R72" i="82"/>
  <c r="Q72" i="82"/>
  <c r="P72" i="82"/>
  <c r="K72" i="82"/>
  <c r="J72" i="82"/>
  <c r="F72" i="82"/>
  <c r="S71" i="82"/>
  <c r="R71" i="82"/>
  <c r="Q71" i="82"/>
  <c r="P71" i="82"/>
  <c r="K71" i="82"/>
  <c r="J71" i="82"/>
  <c r="F71" i="82"/>
  <c r="S70" i="82"/>
  <c r="R70" i="82"/>
  <c r="Q70" i="82"/>
  <c r="P70" i="82"/>
  <c r="K70" i="82"/>
  <c r="J70" i="82"/>
  <c r="F70" i="82"/>
  <c r="S69" i="82"/>
  <c r="R69" i="82"/>
  <c r="Q69" i="82"/>
  <c r="P69" i="82"/>
  <c r="K69" i="82"/>
  <c r="J69" i="82"/>
  <c r="F69" i="82"/>
  <c r="S68" i="82"/>
  <c r="R68" i="82"/>
  <c r="Q68" i="82"/>
  <c r="P68" i="82"/>
  <c r="K68" i="82"/>
  <c r="J68" i="82"/>
  <c r="F68" i="82"/>
  <c r="S67" i="82"/>
  <c r="R67" i="82"/>
  <c r="Q67" i="82"/>
  <c r="P67" i="82"/>
  <c r="K67" i="82"/>
  <c r="J67" i="82"/>
  <c r="F67" i="82"/>
  <c r="S66" i="82"/>
  <c r="R66" i="82"/>
  <c r="Q66" i="82"/>
  <c r="P66" i="82"/>
  <c r="K66" i="82"/>
  <c r="J66" i="82"/>
  <c r="F66" i="82"/>
  <c r="S65" i="82"/>
  <c r="R65" i="82"/>
  <c r="Q65" i="82"/>
  <c r="P65" i="82"/>
  <c r="K65" i="82"/>
  <c r="J65" i="82"/>
  <c r="F65" i="82"/>
  <c r="S64" i="82"/>
  <c r="R64" i="82"/>
  <c r="Q64" i="82"/>
  <c r="P64" i="82"/>
  <c r="K64" i="82"/>
  <c r="J64" i="82"/>
  <c r="F64" i="82"/>
  <c r="S63" i="82"/>
  <c r="R63" i="82"/>
  <c r="Q63" i="82"/>
  <c r="P63" i="82"/>
  <c r="K63" i="82"/>
  <c r="J63" i="82"/>
  <c r="F63" i="82"/>
  <c r="S62" i="82"/>
  <c r="R62" i="82"/>
  <c r="Q62" i="82"/>
  <c r="P62" i="82"/>
  <c r="K62" i="82"/>
  <c r="J62" i="82"/>
  <c r="F62" i="82"/>
  <c r="S61" i="82"/>
  <c r="R61" i="82"/>
  <c r="Q61" i="82"/>
  <c r="P61" i="82"/>
  <c r="K61" i="82"/>
  <c r="J61" i="82"/>
  <c r="F61" i="82"/>
  <c r="S60" i="82"/>
  <c r="R60" i="82"/>
  <c r="Q60" i="82"/>
  <c r="P60" i="82"/>
  <c r="K60" i="82"/>
  <c r="J60" i="82"/>
  <c r="F60" i="82"/>
  <c r="S59" i="82"/>
  <c r="R59" i="82"/>
  <c r="Q59" i="82"/>
  <c r="P59" i="82"/>
  <c r="K59" i="82"/>
  <c r="J59" i="82"/>
  <c r="F59" i="82"/>
  <c r="S58" i="82"/>
  <c r="R58" i="82"/>
  <c r="Q58" i="82"/>
  <c r="P58" i="82"/>
  <c r="K58" i="82"/>
  <c r="J58" i="82"/>
  <c r="F58" i="82"/>
  <c r="S57" i="82"/>
  <c r="R57" i="82"/>
  <c r="Q57" i="82"/>
  <c r="P57" i="82"/>
  <c r="K57" i="82"/>
  <c r="J57" i="82"/>
  <c r="F57" i="82"/>
  <c r="S56" i="82"/>
  <c r="R56" i="82"/>
  <c r="Q56" i="82"/>
  <c r="P56" i="82"/>
  <c r="K56" i="82"/>
  <c r="J56" i="82"/>
  <c r="F56" i="82"/>
  <c r="S55" i="82"/>
  <c r="R55" i="82"/>
  <c r="Q55" i="82"/>
  <c r="P55" i="82"/>
  <c r="K55" i="82"/>
  <c r="J55" i="82"/>
  <c r="F55" i="82"/>
  <c r="S54" i="82"/>
  <c r="R54" i="82"/>
  <c r="Q54" i="82"/>
  <c r="P54" i="82"/>
  <c r="K54" i="82"/>
  <c r="J54" i="82"/>
  <c r="F54" i="82"/>
  <c r="S53" i="82"/>
  <c r="R53" i="82"/>
  <c r="Q53" i="82"/>
  <c r="P53" i="82"/>
  <c r="K53" i="82"/>
  <c r="J53" i="82"/>
  <c r="F53" i="82"/>
  <c r="S52" i="82"/>
  <c r="R52" i="82"/>
  <c r="Q52" i="82"/>
  <c r="P52" i="82"/>
  <c r="K52" i="82"/>
  <c r="J52" i="82"/>
  <c r="F52" i="82"/>
  <c r="S51" i="82"/>
  <c r="R51" i="82"/>
  <c r="Q51" i="82"/>
  <c r="P51" i="82"/>
  <c r="K51" i="82"/>
  <c r="J51" i="82"/>
  <c r="F51" i="82"/>
  <c r="S50" i="82"/>
  <c r="R50" i="82"/>
  <c r="Q50" i="82"/>
  <c r="P50" i="82"/>
  <c r="K50" i="82"/>
  <c r="J50" i="82"/>
  <c r="F50" i="82"/>
  <c r="S49" i="82"/>
  <c r="R49" i="82"/>
  <c r="Q49" i="82"/>
  <c r="P49" i="82"/>
  <c r="K49" i="82"/>
  <c r="J49" i="82"/>
  <c r="F49" i="82"/>
  <c r="S48" i="82"/>
  <c r="R48" i="82"/>
  <c r="Q48" i="82"/>
  <c r="P48" i="82"/>
  <c r="K48" i="82"/>
  <c r="J48" i="82"/>
  <c r="F48" i="82"/>
  <c r="S47" i="82"/>
  <c r="R47" i="82"/>
  <c r="Q47" i="82"/>
  <c r="P47" i="82"/>
  <c r="K47" i="82"/>
  <c r="J47" i="82"/>
  <c r="F47" i="82"/>
  <c r="S46" i="82"/>
  <c r="R46" i="82"/>
  <c r="Q46" i="82"/>
  <c r="P46" i="82"/>
  <c r="K46" i="82"/>
  <c r="J46" i="82"/>
  <c r="F46" i="82"/>
  <c r="S45" i="82"/>
  <c r="R45" i="82"/>
  <c r="Q45" i="82"/>
  <c r="P45" i="82"/>
  <c r="K45" i="82"/>
  <c r="J45" i="82"/>
  <c r="F45" i="82"/>
  <c r="S44" i="82"/>
  <c r="R44" i="82"/>
  <c r="Q44" i="82"/>
  <c r="P44" i="82"/>
  <c r="K44" i="82"/>
  <c r="J44" i="82"/>
  <c r="F44" i="82"/>
  <c r="S43" i="82"/>
  <c r="R43" i="82"/>
  <c r="Q43" i="82"/>
  <c r="P43" i="82"/>
  <c r="K43" i="82"/>
  <c r="J43" i="82"/>
  <c r="F43" i="82"/>
  <c r="S42" i="82"/>
  <c r="R42" i="82"/>
  <c r="Q42" i="82"/>
  <c r="P42" i="82"/>
  <c r="K42" i="82"/>
  <c r="J42" i="82"/>
  <c r="F42" i="82"/>
  <c r="S41" i="82"/>
  <c r="R41" i="82"/>
  <c r="Q41" i="82"/>
  <c r="P41" i="82"/>
  <c r="K41" i="82"/>
  <c r="J41" i="82"/>
  <c r="F41" i="82"/>
  <c r="S40" i="82"/>
  <c r="R40" i="82"/>
  <c r="Q40" i="82"/>
  <c r="P40" i="82"/>
  <c r="K40" i="82"/>
  <c r="J40" i="82"/>
  <c r="F40" i="82"/>
  <c r="S39" i="82"/>
  <c r="R39" i="82"/>
  <c r="Q39" i="82"/>
  <c r="P39" i="82"/>
  <c r="K39" i="82"/>
  <c r="J39" i="82"/>
  <c r="F39" i="82"/>
  <c r="S38" i="82"/>
  <c r="R38" i="82"/>
  <c r="Q38" i="82"/>
  <c r="P38" i="82"/>
  <c r="K38" i="82"/>
  <c r="J38" i="82"/>
  <c r="F38" i="82"/>
  <c r="S37" i="82"/>
  <c r="R37" i="82"/>
  <c r="Q37" i="82"/>
  <c r="P37" i="82"/>
  <c r="K37" i="82"/>
  <c r="J37" i="82"/>
  <c r="F37" i="82"/>
  <c r="S36" i="82"/>
  <c r="R36" i="82"/>
  <c r="Q36" i="82"/>
  <c r="P36" i="82"/>
  <c r="K36" i="82"/>
  <c r="J36" i="82"/>
  <c r="F36" i="82"/>
  <c r="S35" i="82"/>
  <c r="R35" i="82"/>
  <c r="Q35" i="82"/>
  <c r="P35" i="82"/>
  <c r="K35" i="82"/>
  <c r="J35" i="82"/>
  <c r="F35" i="82"/>
  <c r="S34" i="82"/>
  <c r="R34" i="82"/>
  <c r="Q34" i="82"/>
  <c r="P34" i="82"/>
  <c r="K34" i="82"/>
  <c r="J34" i="82"/>
  <c r="F34" i="82"/>
  <c r="S33" i="82"/>
  <c r="R33" i="82"/>
  <c r="Q33" i="82"/>
  <c r="P33" i="82"/>
  <c r="K33" i="82"/>
  <c r="J33" i="82"/>
  <c r="F33" i="82"/>
  <c r="S32" i="82"/>
  <c r="R32" i="82"/>
  <c r="Q32" i="82"/>
  <c r="P32" i="82"/>
  <c r="K32" i="82"/>
  <c r="J32" i="82"/>
  <c r="F32" i="82"/>
  <c r="S31" i="82"/>
  <c r="R31" i="82"/>
  <c r="Q31" i="82"/>
  <c r="P31" i="82"/>
  <c r="K31" i="82"/>
  <c r="J31" i="82"/>
  <c r="F31" i="82"/>
  <c r="S30" i="82"/>
  <c r="R30" i="82"/>
  <c r="Q30" i="82"/>
  <c r="P30" i="82"/>
  <c r="K30" i="82"/>
  <c r="J30" i="82"/>
  <c r="F30" i="82"/>
  <c r="S29" i="82"/>
  <c r="R29" i="82"/>
  <c r="Q29" i="82"/>
  <c r="P29" i="82"/>
  <c r="K29" i="82"/>
  <c r="J29" i="82"/>
  <c r="F29" i="82"/>
  <c r="S28" i="82"/>
  <c r="R28" i="82"/>
  <c r="Q28" i="82"/>
  <c r="P28" i="82"/>
  <c r="K28" i="82"/>
  <c r="J28" i="82"/>
  <c r="F28" i="82"/>
  <c r="S27" i="82"/>
  <c r="R27" i="82"/>
  <c r="Q27" i="82"/>
  <c r="P27" i="82"/>
  <c r="K27" i="82"/>
  <c r="J27" i="82"/>
  <c r="F27" i="82"/>
  <c r="S26" i="82"/>
  <c r="R26" i="82"/>
  <c r="Q26" i="82"/>
  <c r="P26" i="82"/>
  <c r="K26" i="82"/>
  <c r="J26" i="82"/>
  <c r="F26" i="82"/>
  <c r="S25" i="82"/>
  <c r="R25" i="82"/>
  <c r="Q25" i="82"/>
  <c r="P25" i="82"/>
  <c r="K25" i="82"/>
  <c r="J25" i="82"/>
  <c r="F25" i="82"/>
  <c r="S24" i="82"/>
  <c r="R24" i="82"/>
  <c r="Q24" i="82"/>
  <c r="P24" i="82"/>
  <c r="K24" i="82"/>
  <c r="J24" i="82"/>
  <c r="F24" i="82"/>
  <c r="S23" i="82"/>
  <c r="R23" i="82"/>
  <c r="Q23" i="82"/>
  <c r="P23" i="82"/>
  <c r="K23" i="82"/>
  <c r="J23" i="82"/>
  <c r="F23" i="82"/>
  <c r="S22" i="82"/>
  <c r="R22" i="82"/>
  <c r="Q22" i="82"/>
  <c r="P22" i="82"/>
  <c r="K22" i="82"/>
  <c r="J22" i="82"/>
  <c r="F22" i="82"/>
  <c r="S21" i="82"/>
  <c r="R21" i="82"/>
  <c r="Q21" i="82"/>
  <c r="P21" i="82"/>
  <c r="K21" i="82"/>
  <c r="J21" i="82"/>
  <c r="F21" i="82"/>
  <c r="S20" i="82"/>
  <c r="R20" i="82"/>
  <c r="Q20" i="82"/>
  <c r="P20" i="82"/>
  <c r="K20" i="82"/>
  <c r="J20" i="82"/>
  <c r="F20" i="82"/>
  <c r="S19" i="82"/>
  <c r="R19" i="82"/>
  <c r="Q19" i="82"/>
  <c r="P19" i="82"/>
  <c r="K19" i="82"/>
  <c r="J19" i="82"/>
  <c r="F19" i="82"/>
  <c r="S18" i="82"/>
  <c r="R18" i="82"/>
  <c r="Q18" i="82"/>
  <c r="P18" i="82"/>
  <c r="K18" i="82"/>
  <c r="J18" i="82"/>
  <c r="F18" i="82"/>
  <c r="S17" i="82"/>
  <c r="R17" i="82"/>
  <c r="Q17" i="82"/>
  <c r="P17" i="82"/>
  <c r="K17" i="82"/>
  <c r="J17" i="82"/>
  <c r="F17" i="82"/>
  <c r="S16" i="82"/>
  <c r="R16" i="82"/>
  <c r="Q16" i="82"/>
  <c r="P16" i="82"/>
  <c r="K16" i="82"/>
  <c r="J16" i="82"/>
  <c r="F16" i="82"/>
  <c r="S15" i="82"/>
  <c r="R15" i="82"/>
  <c r="Q15" i="82"/>
  <c r="P15" i="82"/>
  <c r="K15" i="82"/>
  <c r="J15" i="82"/>
  <c r="F15" i="82"/>
  <c r="S14" i="82"/>
  <c r="R14" i="82"/>
  <c r="Q14" i="82"/>
  <c r="P14" i="82"/>
  <c r="K14" i="82"/>
  <c r="J14" i="82"/>
  <c r="F14" i="82"/>
  <c r="S13" i="82"/>
  <c r="R13" i="82"/>
  <c r="Q13" i="82"/>
  <c r="P13" i="82"/>
  <c r="K13" i="82"/>
  <c r="J13" i="82"/>
  <c r="F13" i="82"/>
  <c r="S12" i="82"/>
  <c r="R12" i="82"/>
  <c r="Q12" i="82"/>
  <c r="P12" i="82"/>
  <c r="K12" i="82"/>
  <c r="J12" i="82"/>
  <c r="F12" i="82"/>
  <c r="S11" i="82"/>
  <c r="R11" i="82"/>
  <c r="Q11" i="82"/>
  <c r="P11" i="82"/>
  <c r="K11" i="82"/>
  <c r="J11" i="82"/>
  <c r="F11" i="82"/>
  <c r="S10" i="82"/>
  <c r="R10" i="82"/>
  <c r="Q10" i="82"/>
  <c r="P10" i="82"/>
  <c r="K10" i="82"/>
  <c r="J10" i="82"/>
  <c r="F10" i="82"/>
  <c r="S9" i="82"/>
  <c r="R9" i="82"/>
  <c r="Q9" i="82"/>
  <c r="P9" i="82"/>
  <c r="K9" i="82"/>
  <c r="J9" i="82"/>
  <c r="F9" i="82"/>
  <c r="S8" i="82"/>
  <c r="R8" i="82"/>
  <c r="Q8" i="82"/>
  <c r="P8" i="82"/>
  <c r="K8" i="82"/>
  <c r="J8" i="82"/>
  <c r="F8" i="82"/>
  <c r="S7" i="82"/>
  <c r="R7" i="82"/>
  <c r="Q7" i="82"/>
  <c r="P7" i="82"/>
  <c r="K7" i="82"/>
  <c r="J7" i="82"/>
  <c r="F7" i="82"/>
  <c r="S6" i="82"/>
  <c r="R6" i="82"/>
  <c r="Q6" i="82"/>
  <c r="P6" i="82"/>
  <c r="K6" i="82"/>
  <c r="J6" i="82"/>
  <c r="F6" i="82"/>
  <c r="S5" i="82"/>
  <c r="R5" i="82"/>
  <c r="Q5" i="82"/>
  <c r="P5" i="82"/>
  <c r="K5" i="82"/>
  <c r="J5" i="82"/>
  <c r="F5" i="82"/>
  <c r="S4" i="82"/>
  <c r="R4" i="82"/>
  <c r="Q4" i="82"/>
  <c r="P4" i="82"/>
  <c r="K4" i="82"/>
  <c r="J4" i="82"/>
  <c r="F4" i="82"/>
  <c r="S3" i="82"/>
  <c r="R3" i="82"/>
  <c r="Q3" i="82"/>
  <c r="P3" i="82"/>
  <c r="K3" i="82"/>
  <c r="J3" i="82"/>
  <c r="F3" i="82"/>
  <c r="S2" i="82"/>
  <c r="R2" i="82"/>
  <c r="Q2" i="82"/>
  <c r="P2" i="82"/>
  <c r="K2" i="82"/>
  <c r="J2" i="82"/>
  <c r="F2" i="82"/>
  <c r="A7" i="105"/>
  <c r="D7" i="105"/>
  <c r="A10" i="105"/>
  <c r="B13" i="104"/>
  <c r="G10" i="105"/>
  <c r="G7" i="105"/>
  <c r="E7" i="103"/>
  <c r="E6" i="103"/>
  <c r="E5" i="103"/>
  <c r="E4" i="103"/>
  <c r="E2" i="103"/>
</calcChain>
</file>

<file path=xl/comments1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2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3.xml><?xml version="1.0" encoding="utf-8"?>
<comments xmlns="http://schemas.openxmlformats.org/spreadsheetml/2006/main">
  <authors>
    <author>鷲見 政明</author>
  </authors>
  <commentList>
    <comment ref="M1" authorId="0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comments4.xml><?xml version="1.0" encoding="utf-8"?>
<comments xmlns="http://schemas.openxmlformats.org/spreadsheetml/2006/main">
  <authors>
    <author>加藤 雅大</author>
    <author>鷲見 政明</author>
  </authors>
  <commentList>
    <comment ref="B1" authorId="0">
      <text>
        <r>
          <rPr>
            <b/>
            <sz val="10"/>
            <color indexed="81"/>
            <rFont val="ＭＳ Ｐゴシック"/>
            <family val="3"/>
            <charset val="128"/>
          </rPr>
          <t>加藤 雅大:</t>
        </r>
        <r>
          <rPr>
            <sz val="10"/>
            <color indexed="81"/>
            <rFont val="ＭＳ Ｐゴシック"/>
            <family val="3"/>
            <charset val="128"/>
          </rPr>
          <t xml:space="preserve">
ガチャid+識別子でつければ被らないかなと思います</t>
        </r>
      </text>
    </comment>
    <comment ref="F1" authorId="1">
      <text>
        <r>
          <rPr>
            <b/>
            <sz val="10"/>
            <color indexed="81"/>
            <rFont val="ＭＳ Ｐゴシック"/>
            <family val="3"/>
            <charset val="128"/>
          </rPr>
          <t>鷲見 政明:</t>
        </r>
        <r>
          <rPr>
            <sz val="10"/>
            <color indexed="81"/>
            <rFont val="ＭＳ Ｐゴシック"/>
            <family val="3"/>
            <charset val="128"/>
          </rPr>
          <t xml:space="preserve">
出現率の重み</t>
        </r>
      </text>
    </comment>
  </commentList>
</comments>
</file>

<file path=xl/sharedStrings.xml><?xml version="1.0" encoding="utf-8"?>
<sst xmlns="http://schemas.openxmlformats.org/spreadsheetml/2006/main" count="380" uniqueCount="150">
  <si>
    <t>character_id</t>
  </si>
  <si>
    <t>character_id</t>
    <phoneticPr fontId="16"/>
  </si>
  <si>
    <t>weight</t>
    <phoneticPr fontId="16"/>
  </si>
  <si>
    <t>rare</t>
    <phoneticPr fontId="16"/>
  </si>
  <si>
    <t>unit_level</t>
  </si>
  <si>
    <t>weight</t>
  </si>
  <si>
    <t>hp_plus</t>
  </si>
  <si>
    <t>attack_plus</t>
  </si>
  <si>
    <t>defense_plus</t>
  </si>
  <si>
    <t>heal_plus</t>
  </si>
  <si>
    <t>bug</t>
  </si>
  <si>
    <t>bonus_table_no</t>
    <phoneticPr fontId="16"/>
  </si>
  <si>
    <t>bonus_table_no</t>
    <phoneticPr fontId="16"/>
  </si>
  <si>
    <t>weight</t>
    <phoneticPr fontId="16"/>
  </si>
  <si>
    <t>gift_id</t>
    <phoneticPr fontId="16"/>
  </si>
  <si>
    <t>gift_id</t>
    <phoneticPr fontId="16"/>
  </si>
  <si>
    <t>gift_type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</si>
  <si>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</si>
  <si>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</si>
  <si>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</si>
  <si>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</si>
  <si>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</si>
  <si>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</si>
  <si>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gift_id</t>
    <phoneticPr fontId="16"/>
  </si>
  <si>
    <t>gift_value</t>
    <phoneticPr fontId="16"/>
  </si>
  <si>
    <t>gift_value</t>
    <phoneticPr fontId="16"/>
  </si>
  <si>
    <t>gift_count</t>
    <phoneticPr fontId="16"/>
  </si>
  <si>
    <t>language</t>
    <phoneticPr fontId="16"/>
  </si>
  <si>
    <t>title</t>
    <phoneticPr fontId="16"/>
  </si>
  <si>
    <t>detail</t>
    <phoneticPr fontId="16"/>
  </si>
  <si>
    <t>message</t>
    <phoneticPr fontId="16"/>
  </si>
  <si>
    <t>gift_type</t>
    <phoneticPr fontId="16"/>
  </si>
  <si>
    <t>備考</t>
    <rPh sb="0" eb="2">
      <t>ビコウ</t>
    </rPh>
    <phoneticPr fontId="16"/>
  </si>
  <si>
    <t>character_id</t>
    <phoneticPr fontId="16"/>
  </si>
  <si>
    <t>name</t>
    <phoneticPr fontId="16"/>
  </si>
  <si>
    <t>drop_label</t>
    <phoneticPr fontId="16"/>
  </si>
  <si>
    <t>rare</t>
    <phoneticPr fontId="16"/>
  </si>
  <si>
    <t>character_type_id</t>
    <phoneticPr fontId="16"/>
  </si>
  <si>
    <t>character_tribe_id</t>
    <phoneticPr fontId="16"/>
  </si>
  <si>
    <t>unit_level</t>
    <phoneticPr fontId="16"/>
  </si>
  <si>
    <t>weight</t>
    <phoneticPr fontId="16"/>
  </si>
  <si>
    <t>接頭語</t>
    <rPh sb="0" eb="3">
      <t>セットウゴ</t>
    </rPh>
    <phoneticPr fontId="49"/>
  </si>
  <si>
    <t>識別子</t>
    <rPh sb="0" eb="3">
      <t>シキベツシ</t>
    </rPh>
    <phoneticPr fontId="49"/>
  </si>
  <si>
    <t>形式</t>
    <rPh sb="0" eb="2">
      <t>ケイシキ</t>
    </rPh>
    <phoneticPr fontId="49"/>
  </si>
  <si>
    <t>出力ファイル名</t>
    <rPh sb="0" eb="2">
      <t>シュツリョク</t>
    </rPh>
    <rPh sb="6" eb="7">
      <t>メイ</t>
    </rPh>
    <phoneticPr fontId="49"/>
  </si>
  <si>
    <t>入力シート名</t>
    <rPh sb="0" eb="2">
      <t>ニュウリョク</t>
    </rPh>
    <rPh sb="5" eb="6">
      <t>メイ</t>
    </rPh>
    <phoneticPr fontId="49"/>
  </si>
  <si>
    <t>出力データ</t>
    <rPh sb="0" eb="2">
      <t>シュツリョク</t>
    </rPh>
    <phoneticPr fontId="49"/>
  </si>
  <si>
    <t>.tmp</t>
    <phoneticPr fontId="49"/>
  </si>
  <si>
    <t>.tmp</t>
    <phoneticPr fontId="49"/>
  </si>
  <si>
    <t>gacha_bonus_tables</t>
    <phoneticPr fontId="49"/>
  </si>
  <si>
    <t>gifts_tmp_</t>
    <phoneticPr fontId="16"/>
  </si>
  <si>
    <t>gifts_i18n_</t>
    <phoneticPr fontId="16"/>
  </si>
  <si>
    <t>gacha_select_tables_</t>
  </si>
  <si>
    <r>
      <t>gacha_bonus_tables</t>
    </r>
    <r>
      <rPr>
        <sz val="12"/>
        <color theme="1"/>
        <rFont val="ＭＳ Ｐゴシック"/>
        <family val="2"/>
        <charset val="128"/>
        <scheme val="minor"/>
      </rPr>
      <t>_</t>
    </r>
    <phoneticPr fontId="16"/>
  </si>
  <si>
    <t>出力flg</t>
    <rPh sb="0" eb="2">
      <t>シュツリョク</t>
    </rPh>
    <phoneticPr fontId="49"/>
  </si>
  <si>
    <t>color</t>
    <phoneticPr fontId="16"/>
  </si>
  <si>
    <t>name</t>
    <phoneticPr fontId="16"/>
  </si>
  <si>
    <t>バグ設定ユニット数</t>
    <rPh sb="2" eb="9">
      <t>セッテイy</t>
    </rPh>
    <phoneticPr fontId="16"/>
  </si>
  <si>
    <t>単発ガチャ</t>
    <rPh sb="0" eb="5">
      <t>タンパt</t>
    </rPh>
    <phoneticPr fontId="16"/>
  </si>
  <si>
    <t>unit_level</t>
    <phoneticPr fontId="16"/>
  </si>
  <si>
    <t>フェス限定キャラ数</t>
    <rPh sb="3" eb="8">
      <t>ゲン</t>
    </rPh>
    <rPh sb="8" eb="9">
      <t>シュt</t>
    </rPh>
    <phoneticPr fontId="16"/>
  </si>
  <si>
    <t>１０連ガチャ</t>
    <rPh sb="2" eb="6">
      <t>レン</t>
    </rPh>
    <phoneticPr fontId="16"/>
  </si>
  <si>
    <t>確定枠</t>
    <rPh sb="0" eb="3">
      <t>カクテ</t>
    </rPh>
    <phoneticPr fontId="16"/>
  </si>
  <si>
    <t>今回のガチャID</t>
    <rPh sb="0" eb="3">
      <t>コンカ</t>
    </rPh>
    <phoneticPr fontId="16"/>
  </si>
  <si>
    <t>other</t>
    <phoneticPr fontId="16"/>
  </si>
  <si>
    <t>総ユニット数</t>
    <rPh sb="0" eb="1">
      <t>ソウ</t>
    </rPh>
    <rPh sb="5" eb="6">
      <t>ス</t>
    </rPh>
    <phoneticPr fontId="16"/>
  </si>
  <si>
    <t>総ユニット数</t>
    <rPh sb="0" eb="6">
      <t>ソウユニッt</t>
    </rPh>
    <phoneticPr fontId="16"/>
  </si>
  <si>
    <t>レベル設定ユニット数</t>
    <rPh sb="3" eb="10">
      <t>セッテイy</t>
    </rPh>
    <phoneticPr fontId="16"/>
  </si>
  <si>
    <t>skip</t>
    <phoneticPr fontId="16"/>
  </si>
  <si>
    <t>レアリティ別確率</t>
    <rPh sb="5" eb="6">
      <t>ベツ</t>
    </rPh>
    <rPh sb="6" eb="8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</si>
  <si>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</si>
  <si>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SSS</t>
    <phoneticPr fontId="16"/>
  </si>
  <si>
    <t>SS</t>
    <phoneticPr fontId="16"/>
  </si>
  <si>
    <t>hogehoge</t>
    <phoneticPr fontId="16"/>
  </si>
  <si>
    <t>ラベル*レアリティ標準確率</t>
    <rPh sb="9" eb="11">
      <t>ヒョウジュン</t>
    </rPh>
    <rPh sb="11" eb="13">
      <t>カクリツ</t>
    </rPh>
    <phoneticPr fontId="16"/>
  </si>
  <si>
    <t>性別</t>
    <rPh sb="0" eb="2">
      <t>セイベツ</t>
    </rPh>
    <phoneticPr fontId="16"/>
  </si>
  <si>
    <t>合計</t>
    <rPh sb="0" eb="2">
      <t>ゴウケイ</t>
    </rPh>
    <phoneticPr fontId="16"/>
  </si>
  <si>
    <t>グループ</t>
    <phoneticPr fontId="16"/>
  </si>
  <si>
    <t>基準確率</t>
    <rPh sb="0" eb="2">
      <t>キジュン</t>
    </rPh>
    <rPh sb="2" eb="4">
      <t>ヒョウジュンカクリツ</t>
    </rPh>
    <phoneticPr fontId="16"/>
  </si>
  <si>
    <t>ピックアップ確率</t>
    <rPh sb="6" eb="8">
      <t>カクリツ</t>
    </rPh>
    <phoneticPr fontId="16"/>
  </si>
  <si>
    <t>残り確率</t>
    <rPh sb="0" eb="1">
      <t>ノコ</t>
    </rPh>
    <rPh sb="2" eb="4">
      <t>カクリツ</t>
    </rPh>
    <phoneticPr fontId="16"/>
  </si>
  <si>
    <t>確率</t>
    <rPh sb="0" eb="2">
      <t>カクリツ</t>
    </rPh>
    <phoneticPr fontId="16"/>
  </si>
  <si>
    <t>所属グループ</t>
    <rPh sb="0" eb="2">
      <t>ショゾク</t>
    </rPh>
    <phoneticPr fontId="16"/>
  </si>
  <si>
    <t>名前</t>
    <rPh sb="0" eb="2">
      <t>ナマエ</t>
    </rPh>
    <phoneticPr fontId="16"/>
  </si>
  <si>
    <t>レアリティ</t>
    <phoneticPr fontId="16"/>
  </si>
  <si>
    <t>ラベル</t>
    <phoneticPr fontId="16"/>
  </si>
  <si>
    <t>R3</t>
    <phoneticPr fontId="16"/>
  </si>
  <si>
    <t>R4</t>
    <phoneticPr fontId="16"/>
  </si>
  <si>
    <t>R5</t>
    <phoneticPr fontId="16"/>
  </si>
  <si>
    <t>個別確率</t>
    <rPh sb="0" eb="4">
      <t>コベツカクリツ</t>
    </rPh>
    <phoneticPr fontId="16"/>
  </si>
  <si>
    <t>該当数(ピックアップ除く)</t>
    <rPh sb="0" eb="2">
      <t>ガイトウ</t>
    </rPh>
    <rPh sb="2" eb="3">
      <t>スウ</t>
    </rPh>
    <rPh sb="10" eb="11">
      <t>ノゾ</t>
    </rPh>
    <phoneticPr fontId="16"/>
  </si>
  <si>
    <t>個別weight</t>
    <rPh sb="0" eb="2">
      <t>コベツ</t>
    </rPh>
    <phoneticPr fontId="16"/>
  </si>
  <si>
    <t>グループweight</t>
    <phoneticPr fontId="16"/>
  </si>
  <si>
    <t>端数</t>
    <rPh sb="0" eb="2">
      <t>ハスウ</t>
    </rPh>
    <phoneticPr fontId="16"/>
  </si>
  <si>
    <t>確率</t>
    <rPh sb="0" eb="2">
      <t>カクリツ</t>
    </rPh>
    <phoneticPr fontId="16"/>
  </si>
  <si>
    <t>--検算用--</t>
    <rPh sb="3" eb="6">
      <t>ケンザンヨウ</t>
    </rPh>
    <phoneticPr fontId="16"/>
  </si>
  <si>
    <t>端数逆数</t>
    <rPh sb="0" eb="2">
      <t>ハスウ</t>
    </rPh>
    <rPh sb="2" eb="4">
      <t>ギャクスウ</t>
    </rPh>
    <phoneticPr fontId="16"/>
  </si>
  <si>
    <t>テーブルを増やしたい場合</t>
    <rPh sb="5" eb="6">
      <t>フ</t>
    </rPh>
    <rPh sb="10" eb="12">
      <t>バアイ</t>
    </rPh>
    <phoneticPr fontId="16"/>
  </si>
  <si>
    <t>１．Inputのシートを複製する（名前は一意につける）</t>
    <rPh sb="12" eb="14">
      <t>フクセイ</t>
    </rPh>
    <rPh sb="17" eb="19">
      <t>ナマエ</t>
    </rPh>
    <rPh sb="20" eb="22">
      <t>イチイ</t>
    </rPh>
    <phoneticPr fontId="16"/>
  </si>
  <si>
    <t>２．tablesのシートを複製する（名前は一意につける）</t>
    <rPh sb="13" eb="15">
      <t>フクセイ</t>
    </rPh>
    <rPh sb="18" eb="20">
      <t>ナマエ</t>
    </rPh>
    <rPh sb="21" eb="23">
      <t>イチイ</t>
    </rPh>
    <phoneticPr fontId="16"/>
  </si>
  <si>
    <t>３．outputシートで２で作ったtablesを指定する</t>
    <rPh sb="14" eb="15">
      <t>ツク</t>
    </rPh>
    <rPh sb="24" eb="26">
      <t>シテイ</t>
    </rPh>
    <phoneticPr fontId="16"/>
  </si>
  <si>
    <t>テーブルid</t>
    <phoneticPr fontId="16"/>
  </si>
  <si>
    <t>→ピックアップの確率は右のほうにいます</t>
    <rPh sb="8" eb="10">
      <t>カクリツ</t>
    </rPh>
    <rPh sb="11" eb="12">
      <t>ミギ</t>
    </rPh>
    <phoneticPr fontId="16"/>
  </si>
  <si>
    <t>table_no</t>
    <phoneticPr fontId="16"/>
  </si>
  <si>
    <t>table_no</t>
    <phoneticPr fontId="16"/>
  </si>
  <si>
    <t>skill_level</t>
  </si>
  <si>
    <t>level</t>
  </si>
  <si>
    <t>hp_plus</t>
    <phoneticPr fontId="49"/>
  </si>
  <si>
    <t>attack_plus</t>
    <phoneticPr fontId="49"/>
  </si>
  <si>
    <t>heal_plus</t>
    <phoneticPr fontId="49"/>
  </si>
  <si>
    <t>defense_plus</t>
    <phoneticPr fontId="49"/>
  </si>
  <si>
    <t>level</t>
    <phoneticPr fontId="49"/>
  </si>
  <si>
    <t>skill_level</t>
    <phoneticPr fontId="49"/>
  </si>
  <si>
    <t>bug</t>
    <phoneticPr fontId="49"/>
  </si>
  <si>
    <t>ja</t>
    <phoneticPr fontId="16"/>
  </si>
  <si>
    <t>drop_label2</t>
    <phoneticPr fontId="16"/>
  </si>
  <si>
    <t>Premium</t>
    <phoneticPr fontId="16"/>
  </si>
  <si>
    <t>Premium3</t>
    <phoneticPr fontId="16"/>
  </si>
  <si>
    <t>Premium4</t>
    <phoneticPr fontId="16"/>
  </si>
  <si>
    <t>Premium5</t>
    <phoneticPr fontId="16"/>
  </si>
  <si>
    <t>グループ確率</t>
    <rPh sb="4" eb="6">
      <t>カクリツ</t>
    </rPh>
    <phoneticPr fontId="16"/>
  </si>
  <si>
    <t>レア度別確率</t>
    <rPh sb="2" eb="4">
      <t>ドベツ</t>
    </rPh>
    <rPh sb="4" eb="6">
      <t>カクリツ</t>
    </rPh>
    <phoneticPr fontId="16"/>
  </si>
  <si>
    <t>ラベル別確率</t>
    <rPh sb="3" eb="4">
      <t>ベツ</t>
    </rPh>
    <rPh sb="4" eb="6">
      <t>カクリツ</t>
    </rPh>
    <phoneticPr fontId="16"/>
  </si>
  <si>
    <t>W.N.S</t>
    <phoneticPr fontId="16"/>
  </si>
  <si>
    <t>SS</t>
    <phoneticPr fontId="16"/>
  </si>
  <si>
    <t>SSS</t>
    <phoneticPr fontId="16"/>
  </si>
  <si>
    <t>color2</t>
    <phoneticPr fontId="16"/>
  </si>
  <si>
    <t>PremiumSSry4</t>
  </si>
  <si>
    <t>PremiumSSry4</t>
    <phoneticPr fontId="16"/>
  </si>
  <si>
    <t>PremiumSSbg4</t>
  </si>
  <si>
    <t>PremiumSSbg4</t>
    <phoneticPr fontId="16"/>
  </si>
  <si>
    <t>PremiumSSSry4</t>
  </si>
  <si>
    <t>PremiumSSSry4</t>
    <phoneticPr fontId="16"/>
  </si>
  <si>
    <t>PremiumSSSbg4</t>
  </si>
  <si>
    <t>PremiumSSSbg4</t>
    <phoneticPr fontId="16"/>
  </si>
  <si>
    <t>PremiumSSry5</t>
  </si>
  <si>
    <t>PremiumSSry5</t>
    <phoneticPr fontId="16"/>
  </si>
  <si>
    <t>PremiumSSbg5</t>
  </si>
  <si>
    <t>PremiumSSbg5</t>
    <phoneticPr fontId="16"/>
  </si>
  <si>
    <t>PremiumSSSry5</t>
  </si>
  <si>
    <t>PremiumSSSry5</t>
    <phoneticPr fontId="16"/>
  </si>
  <si>
    <t>PremiumSSSbg5</t>
  </si>
  <si>
    <t>PremiumSSSbg5</t>
    <phoneticPr fontId="16"/>
  </si>
  <si>
    <t>Premium3</t>
  </si>
  <si>
    <t>Premium4</t>
  </si>
  <si>
    <t>Premium5</t>
  </si>
  <si>
    <t>old</t>
    <phoneticPr fontId="16"/>
  </si>
  <si>
    <r>
      <t>tables_31</t>
    </r>
    <r>
      <rPr>
        <sz val="12"/>
        <color theme="1"/>
        <rFont val="ＭＳ Ｐゴシック"/>
        <family val="2"/>
        <charset val="128"/>
        <scheme val="minor"/>
      </rPr>
      <t>4</t>
    </r>
    <r>
      <rPr>
        <sz val="12"/>
        <color theme="1"/>
        <rFont val="ＭＳ Ｐゴシック"/>
        <family val="2"/>
        <charset val="128"/>
        <scheme val="minor"/>
      </rPr>
      <t>010</t>
    </r>
    <phoneticPr fontId="16"/>
  </si>
  <si>
    <r>
      <t>tables_31</t>
    </r>
    <r>
      <rPr>
        <sz val="12"/>
        <color theme="1"/>
        <rFont val="ＭＳ Ｐゴシック"/>
        <family val="2"/>
        <charset val="128"/>
        <scheme val="minor"/>
      </rPr>
      <t>4</t>
    </r>
    <r>
      <rPr>
        <sz val="12"/>
        <color theme="1"/>
        <rFont val="ＭＳ Ｐゴシック"/>
        <family val="2"/>
        <charset val="128"/>
        <scheme val="minor"/>
      </rPr>
      <t>101</t>
    </r>
    <phoneticPr fontId="16"/>
  </si>
  <si>
    <r>
      <t>tables_31</t>
    </r>
    <r>
      <rPr>
        <sz val="12"/>
        <color theme="1"/>
        <rFont val="ＭＳ Ｐゴシック"/>
        <family val="2"/>
        <charset val="128"/>
        <scheme val="minor"/>
      </rPr>
      <t>4</t>
    </r>
    <r>
      <rPr>
        <sz val="12"/>
        <color theme="1"/>
        <rFont val="ＭＳ Ｐゴシック"/>
        <family val="2"/>
        <charset val="128"/>
        <scheme val="minor"/>
      </rPr>
      <t>100</t>
    </r>
    <phoneticPr fontId="16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</si>
</sst>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4">
    <numFmt numFmtId="176" formatCode="0.000%"/>
    <numFmt numFmtId="177" formatCode="0.0000%"/>
    <numFmt numFmtId="178" formatCode="0.0%"/>
    <numFmt numFmtId="179" formatCode="0.00000%"/>
  </numFmts>
  <fonts count="53" x14ac:knownFonts="1">
    <font>
      <sz val="10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2"/>
      <color theme="1"/>
      <name val="ＭＳ Ｐゴシック"/>
      <family val="2"/>
      <charset val="128"/>
      <scheme val="minor"/>
    </font>
    <font>
      <sz val="10"/>
      <color indexed="8"/>
      <name val="Arial"/>
      <family val="2"/>
    </font>
    <font>
      <sz val="6"/>
      <name val="ＭＳ Ｐゴシック"/>
      <family val="2"/>
      <charset val="128"/>
    </font>
    <font>
      <sz val="10"/>
      <color indexed="81"/>
      <name val="ＭＳ Ｐゴシック"/>
      <family val="3"/>
      <charset val="128"/>
    </font>
    <font>
      <b/>
      <sz val="10"/>
      <color indexed="81"/>
      <name val="ＭＳ Ｐゴシック"/>
      <family val="3"/>
      <charset val="128"/>
    </font>
    <font>
      <sz val="12"/>
      <color theme="1"/>
      <name val="ＭＳ Ｐゴシック"/>
      <family val="2"/>
      <charset val="128"/>
      <scheme val="minor"/>
    </font>
    <font>
      <sz val="10"/>
      <color theme="1"/>
      <name val="ＭＳ Ｐゴシック"/>
      <family val="3"/>
      <charset val="128"/>
    </font>
    <font>
      <sz val="10"/>
      <color theme="1"/>
      <name val="ＭＳ Ｐゴシック"/>
      <family val="3"/>
      <charset val="128"/>
      <scheme val="minor"/>
    </font>
    <font>
      <sz val="10"/>
      <name val="ＭＳ Ｐゴシック"/>
      <family val="3"/>
      <charset val="128"/>
      <scheme val="minor"/>
    </font>
    <font>
      <sz val="12"/>
      <color theme="0"/>
      <name val="ＭＳ Ｐゴシック"/>
      <family val="2"/>
      <charset val="128"/>
      <scheme val="minor"/>
    </font>
    <font>
      <u/>
      <sz val="10"/>
      <color theme="10"/>
      <name val="ＭＳ Ｐゴシック"/>
      <family val="3"/>
      <charset val="128"/>
    </font>
    <font>
      <u/>
      <sz val="10"/>
      <color theme="11"/>
      <name val="ＭＳ Ｐゴシック"/>
      <family val="3"/>
      <charset val="128"/>
    </font>
    <font>
      <sz val="10"/>
      <color indexed="8"/>
      <name val="ＭＳ Ｐゴシック"/>
      <family val="3"/>
      <charset val="128"/>
    </font>
    <font>
      <sz val="12"/>
      <color indexed="60"/>
      <name val="lr oSVbN"/>
      <family val="3"/>
      <charset val="128"/>
    </font>
    <font>
      <sz val="12"/>
      <color indexed="62"/>
      <name val="lr oSVbN"/>
      <family val="3"/>
      <charset val="128"/>
    </font>
    <font>
      <i/>
      <sz val="12"/>
      <color indexed="23"/>
      <name val="lr oSVbN"/>
      <family val="3"/>
      <charset val="128"/>
    </font>
    <font>
      <sz val="12"/>
      <color indexed="14"/>
      <name val="lr oSVbN"/>
      <family val="3"/>
      <charset val="128"/>
    </font>
    <font>
      <b/>
      <sz val="12"/>
      <color indexed="9"/>
      <name val="lr oSVbN"/>
      <family val="3"/>
      <charset val="128"/>
    </font>
    <font>
      <b/>
      <sz val="18"/>
      <color indexed="62"/>
      <name val="lr oSVbN"/>
      <family val="3"/>
      <charset val="128"/>
    </font>
    <font>
      <b/>
      <sz val="15"/>
      <color indexed="62"/>
      <name val="lr oSVbN"/>
      <family val="3"/>
      <charset val="128"/>
    </font>
    <font>
      <b/>
      <sz val="13"/>
      <color indexed="62"/>
      <name val="lr oSVbN"/>
      <family val="3"/>
      <charset val="128"/>
    </font>
    <font>
      <b/>
      <sz val="11"/>
      <color indexed="62"/>
      <name val="lr oSVbN"/>
      <family val="3"/>
      <charset val="128"/>
    </font>
    <font>
      <sz val="12"/>
      <color indexed="8"/>
      <name val="lr oSVbN"/>
      <family val="3"/>
      <charset val="128"/>
    </font>
    <font>
      <sz val="12"/>
      <color indexed="9"/>
      <name val="lr oSVbN"/>
      <family val="3"/>
      <charset val="128"/>
    </font>
    <font>
      <sz val="12"/>
      <color indexed="17"/>
      <name val="lr oSVbN"/>
      <family val="3"/>
      <charset val="128"/>
    </font>
    <font>
      <sz val="12"/>
      <color indexed="52"/>
      <name val="lr oSVbN"/>
      <family val="3"/>
      <charset val="128"/>
    </font>
    <font>
      <b/>
      <sz val="12"/>
      <color indexed="63"/>
      <name val="lr oSVbN"/>
      <family val="3"/>
      <charset val="128"/>
    </font>
    <font>
      <b/>
      <sz val="12"/>
      <color indexed="8"/>
      <name val="lr oSVbN"/>
      <family val="3"/>
      <charset val="128"/>
    </font>
    <font>
      <b/>
      <sz val="12"/>
      <color indexed="52"/>
      <name val="lr oSVbN"/>
      <family val="3"/>
      <charset val="128"/>
    </font>
    <font>
      <sz val="12"/>
      <color indexed="10"/>
      <name val="lr oSVbN"/>
      <family val="3"/>
      <charset val="128"/>
    </font>
    <font>
      <b/>
      <sz val="15"/>
      <color indexed="56"/>
      <name val="lr oSVbN"/>
      <family val="3"/>
      <charset val="128"/>
    </font>
    <font>
      <sz val="12"/>
      <color indexed="15"/>
      <name val="ＭＳ Ｐゴシック"/>
      <family val="3"/>
      <charset val="128"/>
    </font>
    <font>
      <sz val="12"/>
      <color indexed="10"/>
      <name val="ＭＳ Ｐゴシック"/>
      <family val="3"/>
      <charset val="128"/>
    </font>
    <font>
      <sz val="12"/>
      <color indexed="52"/>
      <name val="ＭＳ Ｐゴシック"/>
      <family val="3"/>
      <charset val="128"/>
    </font>
    <font>
      <sz val="10"/>
      <color rgb="FF000000"/>
      <name val="ＭＳ Ｐゴシック"/>
      <family val="3"/>
      <charset val="128"/>
    </font>
    <font>
      <sz val="6"/>
      <name val="ＭＳ Ｐゴシック"/>
      <family val="2"/>
      <charset val="128"/>
      <scheme val="minor"/>
    </font>
    <font>
      <sz val="11"/>
      <color theme="1"/>
      <name val="ＭＳ Ｐゴシック"/>
      <family val="2"/>
      <charset val="128"/>
      <scheme val="minor"/>
    </font>
    <font>
      <sz val="10"/>
      <name val="ＭＳ Ｐゴシック"/>
      <family val="3"/>
      <charset val="128"/>
    </font>
    <font>
      <sz val="10"/>
      <color rgb="FFFF0000"/>
      <name val="ＭＳ Ｐゴシック"/>
      <charset val="128"/>
    </font>
  </fonts>
  <fills count="33">
    <fill>
      <patternFill patternType="none"/>
    </fill>
    <fill>
      <patternFill patternType="gray125"/>
    </fill>
    <fill>
      <patternFill patternType="solid">
        <fgColor theme="4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indexed="43"/>
        <bgColor indexed="26"/>
      </patternFill>
    </fill>
    <fill>
      <patternFill patternType="solid">
        <fgColor indexed="26"/>
        <bgColor indexed="9"/>
      </patternFill>
    </fill>
    <fill>
      <patternFill patternType="solid">
        <fgColor indexed="22"/>
        <bgColor indexed="31"/>
      </patternFill>
    </fill>
    <fill>
      <patternFill patternType="solid">
        <fgColor indexed="45"/>
        <bgColor indexed="29"/>
      </patternFill>
    </fill>
    <fill>
      <patternFill patternType="solid">
        <fgColor indexed="55"/>
        <bgColor indexed="23"/>
      </patternFill>
    </fill>
    <fill>
      <patternFill patternType="solid">
        <fgColor indexed="31"/>
        <bgColor indexed="22"/>
      </patternFill>
    </fill>
    <fill>
      <patternFill patternType="solid">
        <fgColor indexed="27"/>
        <bgColor indexed="41"/>
      </patternFill>
    </fill>
    <fill>
      <patternFill patternType="solid">
        <fgColor indexed="29"/>
        <bgColor indexed="45"/>
      </patternFill>
    </fill>
    <fill>
      <patternFill patternType="solid">
        <fgColor indexed="44"/>
        <bgColor indexed="31"/>
      </patternFill>
    </fill>
    <fill>
      <patternFill patternType="solid">
        <fgColor indexed="49"/>
        <bgColor indexed="40"/>
      </patternFill>
    </fill>
    <fill>
      <patternFill patternType="solid">
        <fgColor indexed="19"/>
        <bgColor indexed="23"/>
      </patternFill>
    </fill>
    <fill>
      <patternFill patternType="solid">
        <fgColor indexed="54"/>
        <bgColor indexed="23"/>
      </patternFill>
    </fill>
    <fill>
      <patternFill patternType="solid">
        <fgColor indexed="42"/>
        <bgColor indexed="27"/>
      </patternFill>
    </fill>
    <fill>
      <patternFill patternType="solid">
        <fgColor indexed="9"/>
        <bgColor indexed="26"/>
      </patternFill>
    </fill>
    <fill>
      <patternFill patternType="solid">
        <fgColor indexed="18"/>
        <bgColor indexed="32"/>
      </patternFill>
    </fill>
    <fill>
      <patternFill patternType="solid">
        <fgColor indexed="16"/>
        <bgColor indexed="59"/>
      </patternFill>
    </fill>
    <fill>
      <patternFill patternType="solid">
        <fgColor theme="4" tint="0.79998168889431442"/>
        <bgColor rgb="FF000000"/>
      </patternFill>
    </fill>
    <fill>
      <patternFill patternType="solid">
        <fgColor theme="1" tint="0.499984740745262"/>
        <bgColor indexed="64"/>
      </patternFill>
    </fill>
    <fill>
      <patternFill patternType="solid">
        <fgColor theme="0" tint="-0.14999847407452621"/>
        <bgColor rgb="FF000000"/>
      </patternFill>
    </fill>
    <fill>
      <patternFill patternType="solid">
        <fgColor rgb="FFFFFF00"/>
        <bgColor rgb="FF000000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D9D9D9"/>
        <bgColor rgb="FF000000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6" tint="0.79998168889431442"/>
        <bgColor rgb="FF000000"/>
      </patternFill>
    </fill>
  </fills>
  <borders count="23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49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49"/>
      </bottom>
      <diagonal/>
    </border>
    <border>
      <left/>
      <right/>
      <top/>
      <bottom style="double">
        <color indexed="5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49"/>
      </top>
      <bottom style="double">
        <color indexed="49"/>
      </bottom>
      <diagonal/>
    </border>
    <border>
      <left/>
      <right/>
      <top/>
      <bottom style="thick">
        <color indexed="62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/>
      <right/>
      <top style="thin">
        <color auto="1"/>
      </top>
      <bottom style="medium">
        <color auto="1"/>
      </bottom>
      <diagonal/>
    </border>
    <border>
      <left style="thin">
        <color auto="1"/>
      </left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auto="1"/>
      </right>
      <top/>
      <bottom/>
      <diagonal/>
    </border>
  </borders>
  <cellStyleXfs count="3646">
    <xf numFmtId="0" fontId="0" fillId="0" borderId="0"/>
    <xf numFmtId="0" fontId="15" fillId="0" borderId="0"/>
    <xf numFmtId="0" fontId="19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14" fillId="0" borderId="0"/>
    <xf numFmtId="0" fontId="26" fillId="5" borderId="2" applyNumberFormat="0" applyAlignment="0" applyProtection="0"/>
    <xf numFmtId="0" fontId="27" fillId="6" borderId="0" applyNumberFormat="0" applyBorder="0" applyAlignment="0" applyProtection="0"/>
    <xf numFmtId="0" fontId="28" fillId="7" borderId="3" applyNumberFormat="0" applyAlignment="0" applyProtection="0"/>
    <xf numFmtId="0" fontId="29" fillId="0" borderId="0" applyNumberFormat="0" applyFill="0" applyBorder="0" applyAlignment="0" applyProtection="0"/>
    <xf numFmtId="0" fontId="30" fillId="8" borderId="0" applyNumberFormat="0" applyBorder="0" applyAlignment="0" applyProtection="0"/>
    <xf numFmtId="0" fontId="31" fillId="9" borderId="4" applyNumberFormat="0" applyAlignment="0" applyProtection="0"/>
    <xf numFmtId="0" fontId="32" fillId="0" borderId="0" applyNumberFormat="0" applyFill="0" applyBorder="0" applyAlignment="0" applyProtection="0"/>
    <xf numFmtId="0" fontId="33" fillId="0" borderId="5" applyNumberFormat="0" applyFill="0" applyAlignment="0" applyProtection="0"/>
    <xf numFmtId="0" fontId="34" fillId="0" borderId="6" applyNumberFormat="0" applyFill="0" applyAlignment="0" applyProtection="0"/>
    <xf numFmtId="0" fontId="35" fillId="0" borderId="7" applyNumberFormat="0" applyFill="0" applyAlignment="0" applyProtection="0"/>
    <xf numFmtId="0" fontId="35" fillId="0" borderId="0" applyNumberFormat="0" applyFill="0" applyBorder="0" applyAlignment="0" applyProtection="0"/>
    <xf numFmtId="0" fontId="36" fillId="7" borderId="0" applyNumberFormat="0" applyBorder="0" applyAlignment="0" applyProtection="0"/>
    <xf numFmtId="0" fontId="36" fillId="6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1" borderId="0" applyNumberFormat="0" applyBorder="0" applyAlignment="0" applyProtection="0"/>
    <xf numFmtId="0" fontId="36" fillId="5" borderId="0" applyNumberFormat="0" applyBorder="0" applyAlignment="0" applyProtection="0"/>
    <xf numFmtId="0" fontId="36" fillId="7" borderId="0" applyNumberFormat="0" applyBorder="0" applyAlignment="0" applyProtection="0"/>
    <xf numFmtId="0" fontId="36" fillId="12" borderId="0" applyNumberFormat="0" applyBorder="0" applyAlignment="0" applyProtection="0"/>
    <xf numFmtId="0" fontId="36" fillId="10" borderId="0" applyNumberFormat="0" applyBorder="0" applyAlignment="0" applyProtection="0"/>
    <xf numFmtId="0" fontId="36" fillId="7" borderId="0" applyNumberFormat="0" applyBorder="0" applyAlignment="0" applyProtection="0"/>
    <xf numFmtId="0" fontId="36" fillId="13" borderId="0" applyNumberFormat="0" applyBorder="0" applyAlignment="0" applyProtection="0"/>
    <xf numFmtId="0" fontId="36" fillId="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7" fillId="10" borderId="0" applyNumberFormat="0" applyBorder="0" applyAlignment="0" applyProtection="0"/>
    <xf numFmtId="0" fontId="37" fillId="7" borderId="0" applyNumberFormat="0" applyBorder="0" applyAlignment="0" applyProtection="0"/>
    <xf numFmtId="0" fontId="37" fillId="14" borderId="0" applyNumberFormat="0" applyBorder="0" applyAlignment="0" applyProtection="0"/>
    <xf numFmtId="0" fontId="37" fillId="6" borderId="0" applyNumberFormat="0" applyBorder="0" applyAlignment="0" applyProtection="0"/>
    <xf numFmtId="0" fontId="29" fillId="0" borderId="0" applyNumberFormat="0" applyFill="0" applyBorder="0" applyAlignment="0" applyProtection="0"/>
    <xf numFmtId="0" fontId="37" fillId="14" borderId="0" applyNumberFormat="0" applyBorder="0" applyAlignment="0" applyProtection="0"/>
    <xf numFmtId="0" fontId="37" fillId="15" borderId="0" applyNumberFormat="0" applyBorder="0" applyAlignment="0" applyProtection="0"/>
    <xf numFmtId="0" fontId="37" fillId="10" borderId="0" applyNumberFormat="0" applyBorder="0" applyAlignment="0" applyProtection="0"/>
    <xf numFmtId="0" fontId="37" fillId="16" borderId="0" applyNumberFormat="0" applyBorder="0" applyAlignment="0" applyProtection="0"/>
    <xf numFmtId="0" fontId="37" fillId="14" borderId="0" applyNumberFormat="0" applyBorder="0" applyAlignment="0" applyProtection="0"/>
    <xf numFmtId="0" fontId="37" fillId="12" borderId="0" applyNumberFormat="0" applyBorder="0" applyAlignment="0" applyProtection="0"/>
    <xf numFmtId="0" fontId="38" fillId="17" borderId="0" applyNumberFormat="0" applyBorder="0" applyAlignment="0" applyProtection="0"/>
    <xf numFmtId="0" fontId="27" fillId="6" borderId="0" applyNumberFormat="0" applyBorder="0" applyAlignment="0" applyProtection="0"/>
    <xf numFmtId="0" fontId="39" fillId="0" borderId="8" applyNumberFormat="0" applyFill="0" applyAlignment="0" applyProtection="0"/>
    <xf numFmtId="0" fontId="40" fillId="7" borderId="9" applyNumberFormat="0" applyAlignment="0" applyProtection="0"/>
    <xf numFmtId="0" fontId="40" fillId="18" borderId="9" applyNumberFormat="0" applyAlignment="0" applyProtection="0"/>
    <xf numFmtId="0" fontId="28" fillId="6" borderId="3" applyNumberFormat="0" applyAlignment="0" applyProtection="0"/>
    <xf numFmtId="0" fontId="41" fillId="0" borderId="10" applyNumberFormat="0" applyFill="0" applyAlignment="0" applyProtection="0"/>
    <xf numFmtId="0" fontId="42" fillId="18" borderId="3" applyNumberFormat="0" applyAlignment="0" applyProtection="0"/>
    <xf numFmtId="0" fontId="43" fillId="0" borderId="0" applyNumberFormat="0" applyFill="0" applyBorder="0" applyAlignment="0" applyProtection="0"/>
    <xf numFmtId="0" fontId="43" fillId="0" borderId="0" applyNumberFormat="0" applyFill="0" applyBorder="0" applyAlignment="0" applyProtection="0"/>
    <xf numFmtId="0" fontId="44" fillId="0" borderId="11" applyNumberFormat="0" applyFill="0" applyAlignment="0" applyProtection="0"/>
    <xf numFmtId="38" fontId="14" fillId="0" borderId="0" applyFont="0" applyFill="0" applyBorder="0" applyAlignment="0" applyProtection="0">
      <alignment vertical="center"/>
    </xf>
    <xf numFmtId="0" fontId="45" fillId="19" borderId="0" applyNumberFormat="0" applyBorder="0" applyAlignment="0" applyProtection="0"/>
    <xf numFmtId="0" fontId="46" fillId="20" borderId="0" applyNumberFormat="0" applyBorder="0" applyAlignment="0" applyProtection="0"/>
    <xf numFmtId="0" fontId="14" fillId="0" borderId="0"/>
    <xf numFmtId="0" fontId="47" fillId="20" borderId="0" applyNumberFormat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9" fillId="0" borderId="0"/>
    <xf numFmtId="0" fontId="50" fillId="0" borderId="0">
      <alignment vertical="center"/>
    </xf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7" fillId="0" borderId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9" fontId="51" fillId="0" borderId="0" applyFon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  <xf numFmtId="0" fontId="24" fillId="0" borderId="0" applyNumberFormat="0" applyFill="0" applyBorder="0" applyAlignment="0" applyProtection="0"/>
    <xf numFmtId="0" fontId="25" fillId="0" borderId="0" applyNumberFormat="0" applyFill="0" applyBorder="0" applyAlignment="0" applyProtection="0"/>
  </cellStyleXfs>
  <cellXfs count="82">
    <xf numFmtId="0" fontId="0" fillId="0" borderId="0" xfId="0"/>
    <xf numFmtId="0" fontId="21" fillId="0" borderId="0" xfId="2" applyFont="1" applyAlignment="1">
      <alignment vertical="center"/>
    </xf>
    <xf numFmtId="0" fontId="21" fillId="0" borderId="1" xfId="2" applyFont="1" applyBorder="1" applyAlignment="1">
      <alignment vertical="center"/>
    </xf>
    <xf numFmtId="0" fontId="21" fillId="3" borderId="1" xfId="2" applyFont="1" applyFill="1" applyBorder="1" applyAlignment="1">
      <alignment horizontal="center" vertical="center"/>
    </xf>
    <xf numFmtId="0" fontId="21" fillId="0" borderId="0" xfId="2" applyFont="1" applyAlignment="1">
      <alignment horizontal="center" vertical="center"/>
    </xf>
    <xf numFmtId="0" fontId="21" fillId="4" borderId="1" xfId="2" applyFont="1" applyFill="1" applyBorder="1" applyAlignment="1">
      <alignment vertical="center"/>
    </xf>
    <xf numFmtId="0" fontId="20" fillId="4" borderId="1" xfId="0" applyFont="1" applyFill="1" applyBorder="1" applyAlignment="1">
      <alignment horizontal="right" vertical="center"/>
    </xf>
    <xf numFmtId="0" fontId="21" fillId="3" borderId="1" xfId="2" applyFont="1" applyFill="1" applyBorder="1" applyAlignment="1">
      <alignment vertical="center"/>
    </xf>
    <xf numFmtId="0" fontId="22" fillId="4" borderId="1" xfId="0" applyFont="1" applyFill="1" applyBorder="1" applyAlignment="1">
      <alignment vertical="center"/>
    </xf>
    <xf numFmtId="0" fontId="21" fillId="0" borderId="13" xfId="2" applyFont="1" applyBorder="1" applyAlignment="1">
      <alignment vertical="center"/>
    </xf>
    <xf numFmtId="0" fontId="20" fillId="4" borderId="12" xfId="0" applyFont="1" applyFill="1" applyBorder="1" applyAlignment="1">
      <alignment horizontal="right" vertical="center"/>
    </xf>
    <xf numFmtId="0" fontId="20" fillId="4" borderId="14" xfId="0" applyFont="1" applyFill="1" applyBorder="1" applyAlignment="1">
      <alignment horizontal="right" vertical="center"/>
    </xf>
    <xf numFmtId="0" fontId="21" fillId="0" borderId="15" xfId="2" applyFont="1" applyBorder="1" applyAlignment="1">
      <alignment vertical="center"/>
    </xf>
    <xf numFmtId="0" fontId="0" fillId="4" borderId="1" xfId="0" applyFill="1" applyBorder="1"/>
    <xf numFmtId="0" fontId="21" fillId="2" borderId="1" xfId="2" applyFont="1" applyFill="1" applyBorder="1" applyAlignment="1">
      <alignment horizontal="left" vertical="center"/>
    </xf>
    <xf numFmtId="0" fontId="48" fillId="21" borderId="1" xfId="0" applyFont="1" applyFill="1" applyBorder="1" applyAlignment="1">
      <alignment horizontal="left" vertical="center"/>
    </xf>
    <xf numFmtId="0" fontId="21" fillId="2" borderId="1" xfId="2" applyFont="1" applyFill="1" applyBorder="1" applyAlignment="1">
      <alignment horizontal="center" vertical="center"/>
    </xf>
    <xf numFmtId="0" fontId="23" fillId="22" borderId="1" xfId="2978" applyFont="1" applyFill="1" applyBorder="1"/>
    <xf numFmtId="0" fontId="9" fillId="22" borderId="1" xfId="2978" applyFill="1" applyBorder="1"/>
    <xf numFmtId="0" fontId="9" fillId="0" borderId="0" xfId="2978"/>
    <xf numFmtId="0" fontId="9" fillId="0" borderId="1" xfId="2978" applyBorder="1"/>
    <xf numFmtId="0" fontId="9" fillId="2" borderId="1" xfId="2978" applyFill="1" applyBorder="1"/>
    <xf numFmtId="0" fontId="13" fillId="2" borderId="1" xfId="19" applyFont="1" applyFill="1" applyBorder="1"/>
    <xf numFmtId="0" fontId="14" fillId="2" borderId="1" xfId="19" applyFill="1" applyBorder="1"/>
    <xf numFmtId="0" fontId="12" fillId="2" borderId="1" xfId="19" applyFont="1" applyFill="1" applyBorder="1"/>
    <xf numFmtId="0" fontId="10" fillId="2" borderId="1" xfId="19" applyFont="1" applyFill="1" applyBorder="1"/>
    <xf numFmtId="0" fontId="11" fillId="2" borderId="1" xfId="19" applyFont="1" applyFill="1" applyBorder="1"/>
    <xf numFmtId="0" fontId="9" fillId="2" borderId="1" xfId="19" applyFont="1" applyFill="1" applyBorder="1"/>
    <xf numFmtId="0" fontId="8" fillId="0" borderId="1" xfId="2978" applyFont="1" applyBorder="1"/>
    <xf numFmtId="0" fontId="23" fillId="22" borderId="1" xfId="0" applyFont="1" applyFill="1" applyBorder="1"/>
    <xf numFmtId="0" fontId="48" fillId="23" borderId="1" xfId="0" applyFont="1" applyFill="1" applyBorder="1" applyAlignment="1">
      <alignment horizontal="center" vertical="center"/>
    </xf>
    <xf numFmtId="0" fontId="48" fillId="3" borderId="1" xfId="0" applyFont="1" applyFill="1" applyBorder="1" applyAlignment="1">
      <alignment vertical="center"/>
    </xf>
    <xf numFmtId="0" fontId="0" fillId="4" borderId="1" xfId="0" applyFill="1" applyBorder="1" applyAlignment="1">
      <alignment horizontal="center" vertical="top"/>
    </xf>
    <xf numFmtId="0" fontId="48" fillId="24" borderId="1" xfId="0" applyFont="1" applyFill="1" applyBorder="1" applyAlignment="1">
      <alignment horizontal="center" vertical="center"/>
    </xf>
    <xf numFmtId="0" fontId="0" fillId="4" borderId="0" xfId="0" applyFill="1"/>
    <xf numFmtId="0" fontId="0" fillId="0" borderId="16" xfId="0" applyBorder="1"/>
    <xf numFmtId="0" fontId="0" fillId="0" borderId="17" xfId="0" applyBorder="1"/>
    <xf numFmtId="0" fontId="0" fillId="0" borderId="18" xfId="0" applyBorder="1"/>
    <xf numFmtId="0" fontId="0" fillId="0" borderId="19" xfId="0" applyBorder="1"/>
    <xf numFmtId="0" fontId="0" fillId="0" borderId="21" xfId="0" applyBorder="1"/>
    <xf numFmtId="0" fontId="0" fillId="25" borderId="18" xfId="0" applyFill="1" applyBorder="1"/>
    <xf numFmtId="0" fontId="0" fillId="25" borderId="20" xfId="0" applyFill="1" applyBorder="1"/>
    <xf numFmtId="0" fontId="0" fillId="3" borderId="1" xfId="0" applyFill="1" applyBorder="1" applyAlignment="1">
      <alignment horizontal="center" vertical="top"/>
    </xf>
    <xf numFmtId="0" fontId="0" fillId="0" borderId="0" xfId="0" applyBorder="1"/>
    <xf numFmtId="0" fontId="6" fillId="0" borderId="1" xfId="3036" applyFont="1" applyBorder="1"/>
    <xf numFmtId="0" fontId="48" fillId="26" borderId="1" xfId="0" applyFont="1" applyFill="1" applyBorder="1" applyAlignment="1">
      <alignment vertical="center"/>
    </xf>
    <xf numFmtId="0" fontId="5" fillId="0" borderId="1" xfId="2978" applyFont="1" applyBorder="1"/>
    <xf numFmtId="0" fontId="0" fillId="0" borderId="1" xfId="0" applyBorder="1"/>
    <xf numFmtId="9" fontId="0" fillId="0" borderId="1" xfId="0" applyNumberFormat="1" applyBorder="1"/>
    <xf numFmtId="0" fontId="0" fillId="27" borderId="0" xfId="0" applyFill="1"/>
    <xf numFmtId="0" fontId="0" fillId="25" borderId="0" xfId="0" applyFill="1"/>
    <xf numFmtId="10" fontId="0" fillId="0" borderId="1" xfId="0" applyNumberFormat="1" applyBorder="1"/>
    <xf numFmtId="0" fontId="0" fillId="28" borderId="0" xfId="0" applyFill="1"/>
    <xf numFmtId="0" fontId="0" fillId="3" borderId="1" xfId="0" applyFill="1" applyBorder="1"/>
    <xf numFmtId="0" fontId="0" fillId="29" borderId="0" xfId="0" applyFill="1"/>
    <xf numFmtId="0" fontId="0" fillId="30" borderId="1" xfId="0" applyFill="1" applyBorder="1"/>
    <xf numFmtId="10" fontId="0" fillId="30" borderId="1" xfId="0" applyNumberFormat="1" applyFill="1" applyBorder="1"/>
    <xf numFmtId="178" fontId="0" fillId="30" borderId="1" xfId="3575" applyNumberFormat="1" applyFont="1" applyFill="1" applyBorder="1"/>
    <xf numFmtId="10" fontId="0" fillId="3" borderId="1" xfId="0" applyNumberFormat="1" applyFill="1" applyBorder="1"/>
    <xf numFmtId="177" fontId="0" fillId="30" borderId="1" xfId="0" applyNumberFormat="1" applyFill="1" applyBorder="1"/>
    <xf numFmtId="179" fontId="0" fillId="0" borderId="0" xfId="3575" applyNumberFormat="1" applyFont="1"/>
    <xf numFmtId="0" fontId="0" fillId="3" borderId="22" xfId="0" applyFill="1" applyBorder="1"/>
    <xf numFmtId="0" fontId="0" fillId="31" borderId="1" xfId="0" applyFill="1" applyBorder="1"/>
    <xf numFmtId="177" fontId="0" fillId="31" borderId="1" xfId="3575" applyNumberFormat="1" applyFont="1" applyFill="1" applyBorder="1"/>
    <xf numFmtId="0" fontId="0" fillId="0" borderId="0" xfId="0" quotePrefix="1"/>
    <xf numFmtId="10" fontId="0" fillId="3" borderId="1" xfId="3575" applyNumberFormat="1" applyFont="1" applyFill="1" applyBorder="1"/>
    <xf numFmtId="0" fontId="0" fillId="30" borderId="0" xfId="0" applyFill="1"/>
    <xf numFmtId="0" fontId="4" fillId="2" borderId="1" xfId="19" applyFont="1" applyFill="1" applyBorder="1"/>
    <xf numFmtId="0" fontId="4" fillId="4" borderId="1" xfId="2978" applyFont="1" applyFill="1" applyBorder="1"/>
    <xf numFmtId="0" fontId="0" fillId="2" borderId="0" xfId="0" applyFill="1"/>
    <xf numFmtId="0" fontId="48" fillId="32" borderId="1" xfId="0" applyFont="1" applyFill="1" applyBorder="1" applyAlignment="1">
      <alignment horizontal="left" vertical="center"/>
    </xf>
    <xf numFmtId="0" fontId="21" fillId="27" borderId="1" xfId="2" applyFont="1" applyFill="1" applyBorder="1" applyAlignment="1">
      <alignment horizontal="left" vertical="center"/>
    </xf>
    <xf numFmtId="10" fontId="0" fillId="0" borderId="0" xfId="3575" applyNumberFormat="1" applyFont="1"/>
    <xf numFmtId="10" fontId="0" fillId="0" borderId="0" xfId="0" applyNumberFormat="1"/>
    <xf numFmtId="177" fontId="0" fillId="4" borderId="1" xfId="0" applyNumberFormat="1" applyFill="1" applyBorder="1"/>
    <xf numFmtId="176" fontId="0" fillId="4" borderId="1" xfId="0" applyNumberFormat="1" applyFont="1" applyFill="1" applyBorder="1"/>
    <xf numFmtId="177" fontId="0" fillId="4" borderId="1" xfId="0" applyNumberFormat="1" applyFont="1" applyFill="1" applyBorder="1"/>
    <xf numFmtId="176" fontId="0" fillId="3" borderId="1" xfId="0" applyNumberFormat="1" applyFont="1" applyFill="1" applyBorder="1"/>
    <xf numFmtId="10" fontId="0" fillId="3" borderId="1" xfId="0" applyNumberFormat="1" applyFont="1" applyFill="1" applyBorder="1"/>
    <xf numFmtId="10" fontId="52" fillId="3" borderId="1" xfId="0" applyNumberFormat="1" applyFont="1" applyFill="1" applyBorder="1"/>
    <xf numFmtId="0" fontId="3" fillId="0" borderId="1" xfId="3036" applyFont="1" applyBorder="1"/>
    <xf numFmtId="0" fontId="2" fillId="4" borderId="1" xfId="2978" applyFont="1" applyFill="1" applyBorder="1"/>
  </cellXfs>
  <cellStyles count="3646">
    <cellStyle name="" xfId="20"/>
    <cellStyle name="_" xfId="21"/>
    <cellStyle name="__" xfId="22"/>
    <cellStyle name="__÷" xfId="23"/>
    <cellStyle name="«¢" xfId="24"/>
    <cellStyle name="`FbN Z" xfId="25"/>
    <cellStyle name="^Cg" xfId="26"/>
    <cellStyle name="©oµ 1" xfId="27"/>
    <cellStyle name="©oµ 2" xfId="28"/>
    <cellStyle name="©oµ 3" xfId="29"/>
    <cellStyle name="©oµ 4" xfId="30"/>
    <cellStyle name="20% - ANZg1" xfId="31"/>
    <cellStyle name="20% - ANZg2" xfId="32"/>
    <cellStyle name="20% - ANZg3" xfId="33"/>
    <cellStyle name="20% - ANZg4" xfId="34"/>
    <cellStyle name="20% - ANZg5" xfId="35"/>
    <cellStyle name="20% - ANZg6" xfId="36"/>
    <cellStyle name="40% - ANZg1" xfId="37"/>
    <cellStyle name="40% - ANZg2" xfId="38"/>
    <cellStyle name="40% - ANZg3" xfId="39"/>
    <cellStyle name="40% - ANZg4" xfId="40"/>
    <cellStyle name="40% - ANZg5" xfId="41"/>
    <cellStyle name="40% - ANZg6" xfId="42"/>
    <cellStyle name="60% - ANZg1" xfId="43"/>
    <cellStyle name="60% - ANZg2" xfId="44"/>
    <cellStyle name="60% - ANZg3" xfId="45"/>
    <cellStyle name="60% - ANZg4" xfId="46"/>
    <cellStyle name="60% - ANZg5" xfId="47"/>
    <cellStyle name="60% - ANZg6" xfId="48"/>
    <cellStyle name="à¾¶" xfId="49"/>
    <cellStyle name="ANZg 1" xfId="50"/>
    <cellStyle name="ANZg 2" xfId="51"/>
    <cellStyle name="ANZg 3" xfId="52"/>
    <cellStyle name="ANZg 4" xfId="53"/>
    <cellStyle name="ANZg 5" xfId="54"/>
    <cellStyle name="ANZg 6" xfId="55"/>
    <cellStyle name="Ç¢" xfId="56"/>
    <cellStyle name="Ê" xfId="57"/>
    <cellStyle name="Excel Built-in Normal" xfId="1"/>
    <cellStyle name="N Z" xfId="58"/>
    <cellStyle name="o_" xfId="59"/>
    <cellStyle name="oÍ" xfId="60"/>
    <cellStyle name="üÍ" xfId="61"/>
    <cellStyle name="v" xfId="62"/>
    <cellStyle name="vZ" xfId="63"/>
    <cellStyle name="x¶" xfId="64"/>
    <cellStyle name="x÷" xfId="65"/>
    <cellStyle name="ýo_ 1" xfId="66"/>
    <cellStyle name="パーセント" xfId="3575" builtinId="5"/>
    <cellStyle name="ハイパーリンク" xfId="3" builtinId="8" hidden="1"/>
    <cellStyle name="ハイパーリンク" xfId="5" builtinId="8" hidden="1"/>
    <cellStyle name="ハイパーリンク" xfId="7" builtinId="8" hidden="1"/>
    <cellStyle name="ハイパーリンク" xfId="9" builtinId="8" hidden="1"/>
    <cellStyle name="ハイパーリンク" xfId="11" builtinId="8" hidden="1"/>
    <cellStyle name="ハイパーリンク" xfId="13" builtinId="8" hidden="1"/>
    <cellStyle name="ハイパーリンク" xfId="15" builtinId="8" hidden="1"/>
    <cellStyle name="ハイパーリンク" xfId="17" builtinId="8" hidden="1"/>
    <cellStyle name="ハイパーリンク" xfId="72" builtinId="8" hidden="1"/>
    <cellStyle name="ハイパーリンク" xfId="74" builtinId="8" hidden="1"/>
    <cellStyle name="ハイパーリンク" xfId="76" builtinId="8" hidden="1"/>
    <cellStyle name="ハイパーリンク" xfId="78" builtinId="8" hidden="1"/>
    <cellStyle name="ハイパーリンク" xfId="80" builtinId="8" hidden="1"/>
    <cellStyle name="ハイパーリンク" xfId="82" builtinId="8" hidden="1"/>
    <cellStyle name="ハイパーリンク" xfId="84" builtinId="8" hidden="1"/>
    <cellStyle name="ハイパーリンク" xfId="86" builtinId="8" hidden="1"/>
    <cellStyle name="ハイパーリンク" xfId="88" builtinId="8" hidden="1"/>
    <cellStyle name="ハイパーリンク" xfId="90" builtinId="8" hidden="1"/>
    <cellStyle name="ハイパーリンク" xfId="92" builtinId="8" hidden="1"/>
    <cellStyle name="ハイパーリンク" xfId="94" builtinId="8" hidden="1"/>
    <cellStyle name="ハイパーリンク" xfId="96" builtinId="8" hidden="1"/>
    <cellStyle name="ハイパーリンク" xfId="98" builtinId="8" hidden="1"/>
    <cellStyle name="ハイパーリンク" xfId="100" builtinId="8" hidden="1"/>
    <cellStyle name="ハイパーリンク" xfId="102" builtinId="8" hidden="1"/>
    <cellStyle name="ハイパーリンク" xfId="104" builtinId="8" hidden="1"/>
    <cellStyle name="ハイパーリンク" xfId="106" builtinId="8" hidden="1"/>
    <cellStyle name="ハイパーリンク" xfId="108" builtinId="8" hidden="1"/>
    <cellStyle name="ハイパーリンク" xfId="110" builtinId="8" hidden="1"/>
    <cellStyle name="ハイパーリンク" xfId="112" builtinId="8" hidden="1"/>
    <cellStyle name="ハイパーリンク" xfId="114" builtinId="8" hidden="1"/>
    <cellStyle name="ハイパーリンク" xfId="116" builtinId="8" hidden="1"/>
    <cellStyle name="ハイパーリンク" xfId="118" builtinId="8" hidden="1"/>
    <cellStyle name="ハイパーリンク" xfId="120" builtinId="8" hidden="1"/>
    <cellStyle name="ハイパーリンク" xfId="122" builtinId="8" hidden="1"/>
    <cellStyle name="ハイパーリンク" xfId="124" builtinId="8" hidden="1"/>
    <cellStyle name="ハイパーリンク" xfId="126" builtinId="8" hidden="1"/>
    <cellStyle name="ハイパーリンク" xfId="128" builtinId="8" hidden="1"/>
    <cellStyle name="ハイパーリンク" xfId="130" builtinId="8" hidden="1"/>
    <cellStyle name="ハイパーリンク" xfId="132" builtinId="8" hidden="1"/>
    <cellStyle name="ハイパーリンク" xfId="134" builtinId="8" hidden="1"/>
    <cellStyle name="ハイパーリンク" xfId="136" builtinId="8" hidden="1"/>
    <cellStyle name="ハイパーリンク" xfId="138" builtinId="8" hidden="1"/>
    <cellStyle name="ハイパーリンク" xfId="140" builtinId="8" hidden="1"/>
    <cellStyle name="ハイパーリンク" xfId="142" builtinId="8" hidden="1"/>
    <cellStyle name="ハイパーリンク" xfId="144" builtinId="8" hidden="1"/>
    <cellStyle name="ハイパーリンク" xfId="146" builtinId="8" hidden="1"/>
    <cellStyle name="ハイパーリンク" xfId="148" builtinId="8" hidden="1"/>
    <cellStyle name="ハイパーリンク" xfId="150" builtinId="8" hidden="1"/>
    <cellStyle name="ハイパーリンク" xfId="152" builtinId="8" hidden="1"/>
    <cellStyle name="ハイパーリンク" xfId="154" builtinId="8" hidden="1"/>
    <cellStyle name="ハイパーリンク" xfId="156" builtinId="8" hidden="1"/>
    <cellStyle name="ハイパーリンク" xfId="158" builtinId="8" hidden="1"/>
    <cellStyle name="ハイパーリンク" xfId="160" builtinId="8" hidden="1"/>
    <cellStyle name="ハイパーリンク" xfId="162" builtinId="8" hidden="1"/>
    <cellStyle name="ハイパーリンク" xfId="164" builtinId="8" hidden="1"/>
    <cellStyle name="ハイパーリンク" xfId="166" builtinId="8" hidden="1"/>
    <cellStyle name="ハイパーリンク" xfId="168" builtinId="8" hidden="1"/>
    <cellStyle name="ハイパーリンク" xfId="170" builtinId="8" hidden="1"/>
    <cellStyle name="ハイパーリンク" xfId="172" builtinId="8" hidden="1"/>
    <cellStyle name="ハイパーリンク" xfId="174" builtinId="8" hidden="1"/>
    <cellStyle name="ハイパーリンク" xfId="176" builtinId="8" hidden="1"/>
    <cellStyle name="ハイパーリンク" xfId="178" builtinId="8" hidden="1"/>
    <cellStyle name="ハイパーリンク" xfId="180" builtinId="8" hidden="1"/>
    <cellStyle name="ハイパーリンク" xfId="182" builtinId="8" hidden="1"/>
    <cellStyle name="ハイパーリンク" xfId="184" builtinId="8" hidden="1"/>
    <cellStyle name="ハイパーリンク" xfId="186" builtinId="8" hidden="1"/>
    <cellStyle name="ハイパーリンク" xfId="188" builtinId="8" hidden="1"/>
    <cellStyle name="ハイパーリンク" xfId="190" builtinId="8" hidden="1"/>
    <cellStyle name="ハイパーリンク" xfId="192" builtinId="8" hidden="1"/>
    <cellStyle name="ハイパーリンク" xfId="194" builtinId="8" hidden="1"/>
    <cellStyle name="ハイパーリンク" xfId="196" builtinId="8" hidden="1"/>
    <cellStyle name="ハイパーリンク" xfId="198" builtinId="8" hidden="1"/>
    <cellStyle name="ハイパーリンク" xfId="200" builtinId="8" hidden="1"/>
    <cellStyle name="ハイパーリンク" xfId="202" builtinId="8" hidden="1"/>
    <cellStyle name="ハイパーリンク" xfId="204" builtinId="8" hidden="1"/>
    <cellStyle name="ハイパーリンク" xfId="206" builtinId="8" hidden="1"/>
    <cellStyle name="ハイパーリンク" xfId="208" builtinId="8" hidden="1"/>
    <cellStyle name="ハイパーリンク" xfId="210" builtinId="8" hidden="1"/>
    <cellStyle name="ハイパーリンク" xfId="212" builtinId="8" hidden="1"/>
    <cellStyle name="ハイパーリンク" xfId="214" builtinId="8" hidden="1"/>
    <cellStyle name="ハイパーリンク" xfId="216" builtinId="8" hidden="1"/>
    <cellStyle name="ハイパーリンク" xfId="218" builtinId="8" hidden="1"/>
    <cellStyle name="ハイパーリンク" xfId="220" builtinId="8" hidden="1"/>
    <cellStyle name="ハイパーリンク" xfId="222" builtinId="8" hidden="1"/>
    <cellStyle name="ハイパーリンク" xfId="224" builtinId="8" hidden="1"/>
    <cellStyle name="ハイパーリンク" xfId="226" builtinId="8" hidden="1"/>
    <cellStyle name="ハイパーリンク" xfId="228" builtinId="8" hidden="1"/>
    <cellStyle name="ハイパーリンク" xfId="230" builtinId="8" hidden="1"/>
    <cellStyle name="ハイパーリンク" xfId="232" builtinId="8" hidden="1"/>
    <cellStyle name="ハイパーリンク" xfId="234" builtinId="8" hidden="1"/>
    <cellStyle name="ハイパーリンク" xfId="236" builtinId="8" hidden="1"/>
    <cellStyle name="ハイパーリンク" xfId="238" builtinId="8" hidden="1"/>
    <cellStyle name="ハイパーリンク" xfId="240" builtinId="8" hidden="1"/>
    <cellStyle name="ハイパーリンク" xfId="242" builtinId="8" hidden="1"/>
    <cellStyle name="ハイパーリンク" xfId="244" builtinId="8" hidden="1"/>
    <cellStyle name="ハイパーリンク" xfId="246" builtinId="8" hidden="1"/>
    <cellStyle name="ハイパーリンク" xfId="248" builtinId="8" hidden="1"/>
    <cellStyle name="ハイパーリンク" xfId="250" builtinId="8" hidden="1"/>
    <cellStyle name="ハイパーリンク" xfId="252" builtinId="8" hidden="1"/>
    <cellStyle name="ハイパーリンク" xfId="254" builtinId="8" hidden="1"/>
    <cellStyle name="ハイパーリンク" xfId="256" builtinId="8" hidden="1"/>
    <cellStyle name="ハイパーリンク" xfId="258" builtinId="8" hidden="1"/>
    <cellStyle name="ハイパーリンク" xfId="260" builtinId="8" hidden="1"/>
    <cellStyle name="ハイパーリンク" xfId="262" builtinId="8" hidden="1"/>
    <cellStyle name="ハイパーリンク" xfId="264" builtinId="8" hidden="1"/>
    <cellStyle name="ハイパーリンク" xfId="266" builtinId="8" hidden="1"/>
    <cellStyle name="ハイパーリンク" xfId="268" builtinId="8" hidden="1"/>
    <cellStyle name="ハイパーリンク" xfId="270" builtinId="8" hidden="1"/>
    <cellStyle name="ハイパーリンク" xfId="272" builtinId="8" hidden="1"/>
    <cellStyle name="ハイパーリンク" xfId="274" builtinId="8" hidden="1"/>
    <cellStyle name="ハイパーリンク" xfId="276" builtinId="8" hidden="1"/>
    <cellStyle name="ハイパーリンク" xfId="278" builtinId="8" hidden="1"/>
    <cellStyle name="ハイパーリンク" xfId="280" builtinId="8" hidden="1"/>
    <cellStyle name="ハイパーリンク" xfId="282" builtinId="8" hidden="1"/>
    <cellStyle name="ハイパーリンク" xfId="284" builtinId="8" hidden="1"/>
    <cellStyle name="ハイパーリンク" xfId="286" builtinId="8" hidden="1"/>
    <cellStyle name="ハイパーリンク" xfId="288" builtinId="8" hidden="1"/>
    <cellStyle name="ハイパーリンク" xfId="290" builtinId="8" hidden="1"/>
    <cellStyle name="ハイパーリンク" xfId="292" builtinId="8" hidden="1"/>
    <cellStyle name="ハイパーリンク" xfId="294" builtinId="8" hidden="1"/>
    <cellStyle name="ハイパーリンク" xfId="296" builtinId="8" hidden="1"/>
    <cellStyle name="ハイパーリンク" xfId="298" builtinId="8" hidden="1"/>
    <cellStyle name="ハイパーリンク" xfId="300" builtinId="8" hidden="1"/>
    <cellStyle name="ハイパーリンク" xfId="302" builtinId="8" hidden="1"/>
    <cellStyle name="ハイパーリンク" xfId="304" builtinId="8" hidden="1"/>
    <cellStyle name="ハイパーリンク" xfId="306" builtinId="8" hidden="1"/>
    <cellStyle name="ハイパーリンク" xfId="308" builtinId="8" hidden="1"/>
    <cellStyle name="ハイパーリンク" xfId="310" builtinId="8" hidden="1"/>
    <cellStyle name="ハイパーリンク" xfId="312" builtinId="8" hidden="1"/>
    <cellStyle name="ハイパーリンク" xfId="314" builtinId="8" hidden="1"/>
    <cellStyle name="ハイパーリンク" xfId="316" builtinId="8" hidden="1"/>
    <cellStyle name="ハイパーリンク" xfId="318" builtinId="8" hidden="1"/>
    <cellStyle name="ハイパーリンク" xfId="320" builtinId="8" hidden="1"/>
    <cellStyle name="ハイパーリンク" xfId="322" builtinId="8" hidden="1"/>
    <cellStyle name="ハイパーリンク" xfId="324" builtinId="8" hidden="1"/>
    <cellStyle name="ハイパーリンク" xfId="326" builtinId="8" hidden="1"/>
    <cellStyle name="ハイパーリンク" xfId="328" builtinId="8" hidden="1"/>
    <cellStyle name="ハイパーリンク" xfId="330" builtinId="8" hidden="1"/>
    <cellStyle name="ハイパーリンク" xfId="332" builtinId="8" hidden="1"/>
    <cellStyle name="ハイパーリンク" xfId="334" builtinId="8" hidden="1"/>
    <cellStyle name="ハイパーリンク" xfId="336" builtinId="8" hidden="1"/>
    <cellStyle name="ハイパーリンク" xfId="338" builtinId="8" hidden="1"/>
    <cellStyle name="ハイパーリンク" xfId="340" builtinId="8" hidden="1"/>
    <cellStyle name="ハイパーリンク" xfId="342" builtinId="8" hidden="1"/>
    <cellStyle name="ハイパーリンク" xfId="344" builtinId="8" hidden="1"/>
    <cellStyle name="ハイパーリンク" xfId="346" builtinId="8" hidden="1"/>
    <cellStyle name="ハイパーリンク" xfId="348" builtinId="8" hidden="1"/>
    <cellStyle name="ハイパーリンク" xfId="350" builtinId="8" hidden="1"/>
    <cellStyle name="ハイパーリンク" xfId="352" builtinId="8" hidden="1"/>
    <cellStyle name="ハイパーリンク" xfId="354" builtinId="8" hidden="1"/>
    <cellStyle name="ハイパーリンク" xfId="356" builtinId="8" hidden="1"/>
    <cellStyle name="ハイパーリンク" xfId="358" builtinId="8" hidden="1"/>
    <cellStyle name="ハイパーリンク" xfId="360" builtinId="8" hidden="1"/>
    <cellStyle name="ハイパーリンク" xfId="362" builtinId="8" hidden="1"/>
    <cellStyle name="ハイパーリンク" xfId="364" builtinId="8" hidden="1"/>
    <cellStyle name="ハイパーリンク" xfId="366" builtinId="8" hidden="1"/>
    <cellStyle name="ハイパーリンク" xfId="368" builtinId="8" hidden="1"/>
    <cellStyle name="ハイパーリンク" xfId="370" builtinId="8" hidden="1"/>
    <cellStyle name="ハイパーリンク" xfId="372" builtinId="8" hidden="1"/>
    <cellStyle name="ハイパーリンク" xfId="374" builtinId="8" hidden="1"/>
    <cellStyle name="ハイパーリンク" xfId="376" builtinId="8" hidden="1"/>
    <cellStyle name="ハイパーリンク" xfId="378" builtinId="8" hidden="1"/>
    <cellStyle name="ハイパーリンク" xfId="380" builtinId="8" hidden="1"/>
    <cellStyle name="ハイパーリンク" xfId="382" builtinId="8" hidden="1"/>
    <cellStyle name="ハイパーリンク" xfId="384" builtinId="8" hidden="1"/>
    <cellStyle name="ハイパーリンク" xfId="386" builtinId="8" hidden="1"/>
    <cellStyle name="ハイパーリンク" xfId="388" builtinId="8" hidden="1"/>
    <cellStyle name="ハイパーリンク" xfId="390" builtinId="8" hidden="1"/>
    <cellStyle name="ハイパーリンク" xfId="392" builtinId="8" hidden="1"/>
    <cellStyle name="ハイパーリンク" xfId="394" builtinId="8" hidden="1"/>
    <cellStyle name="ハイパーリンク" xfId="396" builtinId="8" hidden="1"/>
    <cellStyle name="ハイパーリンク" xfId="398" builtinId="8" hidden="1"/>
    <cellStyle name="ハイパーリンク" xfId="400" builtinId="8" hidden="1"/>
    <cellStyle name="ハイパーリンク" xfId="402" builtinId="8" hidden="1"/>
    <cellStyle name="ハイパーリンク" xfId="404" builtinId="8" hidden="1"/>
    <cellStyle name="ハイパーリンク" xfId="406" builtinId="8" hidden="1"/>
    <cellStyle name="ハイパーリンク" xfId="408" builtinId="8" hidden="1"/>
    <cellStyle name="ハイパーリンク" xfId="410" builtinId="8" hidden="1"/>
    <cellStyle name="ハイパーリンク" xfId="412" builtinId="8" hidden="1"/>
    <cellStyle name="ハイパーリンク" xfId="414" builtinId="8" hidden="1"/>
    <cellStyle name="ハイパーリンク" xfId="416" builtinId="8" hidden="1"/>
    <cellStyle name="ハイパーリンク" xfId="418" builtinId="8" hidden="1"/>
    <cellStyle name="ハイパーリンク" xfId="420" builtinId="8" hidden="1"/>
    <cellStyle name="ハイパーリンク" xfId="422" builtinId="8" hidden="1"/>
    <cellStyle name="ハイパーリンク" xfId="424" builtinId="8" hidden="1"/>
    <cellStyle name="ハイパーリンク" xfId="426" builtinId="8" hidden="1"/>
    <cellStyle name="ハイパーリンク" xfId="428" builtinId="8" hidden="1"/>
    <cellStyle name="ハイパーリンク" xfId="430" builtinId="8" hidden="1"/>
    <cellStyle name="ハイパーリンク" xfId="432" builtinId="8" hidden="1"/>
    <cellStyle name="ハイパーリンク" xfId="434" builtinId="8" hidden="1"/>
    <cellStyle name="ハイパーリンク" xfId="436" builtinId="8" hidden="1"/>
    <cellStyle name="ハイパーリンク" xfId="438" builtinId="8" hidden="1"/>
    <cellStyle name="ハイパーリンク" xfId="440" builtinId="8" hidden="1"/>
    <cellStyle name="ハイパーリンク" xfId="442" builtinId="8" hidden="1"/>
    <cellStyle name="ハイパーリンク" xfId="444" builtinId="8" hidden="1"/>
    <cellStyle name="ハイパーリンク" xfId="446" builtinId="8" hidden="1"/>
    <cellStyle name="ハイパーリンク" xfId="448" builtinId="8" hidden="1"/>
    <cellStyle name="ハイパーリンク" xfId="450" builtinId="8" hidden="1"/>
    <cellStyle name="ハイパーリンク" xfId="452" builtinId="8" hidden="1"/>
    <cellStyle name="ハイパーリンク" xfId="454" builtinId="8" hidden="1"/>
    <cellStyle name="ハイパーリンク" xfId="456" builtinId="8" hidden="1"/>
    <cellStyle name="ハイパーリンク" xfId="458" builtinId="8" hidden="1"/>
    <cellStyle name="ハイパーリンク" xfId="460" builtinId="8" hidden="1"/>
    <cellStyle name="ハイパーリンク" xfId="462" builtinId="8" hidden="1"/>
    <cellStyle name="ハイパーリンク" xfId="464" builtinId="8" hidden="1"/>
    <cellStyle name="ハイパーリンク" xfId="466" builtinId="8" hidden="1"/>
    <cellStyle name="ハイパーリンク" xfId="468" builtinId="8" hidden="1"/>
    <cellStyle name="ハイパーリンク" xfId="470" builtinId="8" hidden="1"/>
    <cellStyle name="ハイパーリンク" xfId="472" builtinId="8" hidden="1"/>
    <cellStyle name="ハイパーリンク" xfId="474" builtinId="8" hidden="1"/>
    <cellStyle name="ハイパーリンク" xfId="476" builtinId="8" hidden="1"/>
    <cellStyle name="ハイパーリンク" xfId="478" builtinId="8" hidden="1"/>
    <cellStyle name="ハイパーリンク" xfId="480" builtinId="8" hidden="1"/>
    <cellStyle name="ハイパーリンク" xfId="482" builtinId="8" hidden="1"/>
    <cellStyle name="ハイパーリンク" xfId="484" builtinId="8" hidden="1"/>
    <cellStyle name="ハイパーリンク" xfId="486" builtinId="8" hidden="1"/>
    <cellStyle name="ハイパーリンク" xfId="488" builtinId="8" hidden="1"/>
    <cellStyle name="ハイパーリンク" xfId="490" builtinId="8" hidden="1"/>
    <cellStyle name="ハイパーリンク" xfId="492" builtinId="8" hidden="1"/>
    <cellStyle name="ハイパーリンク" xfId="494" builtinId="8" hidden="1"/>
    <cellStyle name="ハイパーリンク" xfId="496" builtinId="8" hidden="1"/>
    <cellStyle name="ハイパーリンク" xfId="498" builtinId="8" hidden="1"/>
    <cellStyle name="ハイパーリンク" xfId="500" builtinId="8" hidden="1"/>
    <cellStyle name="ハイパーリンク" xfId="502" builtinId="8" hidden="1"/>
    <cellStyle name="ハイパーリンク" xfId="504" builtinId="8" hidden="1"/>
    <cellStyle name="ハイパーリンク" xfId="506" builtinId="8" hidden="1"/>
    <cellStyle name="ハイパーリンク" xfId="508" builtinId="8" hidden="1"/>
    <cellStyle name="ハイパーリンク" xfId="510" builtinId="8" hidden="1"/>
    <cellStyle name="ハイパーリンク" xfId="512" builtinId="8" hidden="1"/>
    <cellStyle name="ハイパーリンク" xfId="514" builtinId="8" hidden="1"/>
    <cellStyle name="ハイパーリンク" xfId="516" builtinId="8" hidden="1"/>
    <cellStyle name="ハイパーリンク" xfId="518" builtinId="8" hidden="1"/>
    <cellStyle name="ハイパーリンク" xfId="520" builtinId="8" hidden="1"/>
    <cellStyle name="ハイパーリンク" xfId="522" builtinId="8" hidden="1"/>
    <cellStyle name="ハイパーリンク" xfId="524" builtinId="8" hidden="1"/>
    <cellStyle name="ハイパーリンク" xfId="526" builtinId="8" hidden="1"/>
    <cellStyle name="ハイパーリンク" xfId="528" builtinId="8" hidden="1"/>
    <cellStyle name="ハイパーリンク" xfId="530" builtinId="8" hidden="1"/>
    <cellStyle name="ハイパーリンク" xfId="532" builtinId="8" hidden="1"/>
    <cellStyle name="ハイパーリンク" xfId="534" builtinId="8" hidden="1"/>
    <cellStyle name="ハイパーリンク" xfId="536" builtinId="8" hidden="1"/>
    <cellStyle name="ハイパーリンク" xfId="538" builtinId="8" hidden="1"/>
    <cellStyle name="ハイパーリンク" xfId="540" builtinId="8" hidden="1"/>
    <cellStyle name="ハイパーリンク" xfId="542" builtinId="8" hidden="1"/>
    <cellStyle name="ハイパーリンク" xfId="544" builtinId="8" hidden="1"/>
    <cellStyle name="ハイパーリンク" xfId="546" builtinId="8" hidden="1"/>
    <cellStyle name="ハイパーリンク" xfId="548" builtinId="8" hidden="1"/>
    <cellStyle name="ハイパーリンク" xfId="550" builtinId="8" hidden="1"/>
    <cellStyle name="ハイパーリンク" xfId="552" builtinId="8" hidden="1"/>
    <cellStyle name="ハイパーリンク" xfId="554" builtinId="8" hidden="1"/>
    <cellStyle name="ハイパーリンク" xfId="556" builtinId="8" hidden="1"/>
    <cellStyle name="ハイパーリンク" xfId="558" builtinId="8" hidden="1"/>
    <cellStyle name="ハイパーリンク" xfId="560" builtinId="8" hidden="1"/>
    <cellStyle name="ハイパーリンク" xfId="562" builtinId="8" hidden="1"/>
    <cellStyle name="ハイパーリンク" xfId="564" builtinId="8" hidden="1"/>
    <cellStyle name="ハイパーリンク" xfId="566" builtinId="8" hidden="1"/>
    <cellStyle name="ハイパーリンク" xfId="568" builtinId="8" hidden="1"/>
    <cellStyle name="ハイパーリンク" xfId="570" builtinId="8" hidden="1"/>
    <cellStyle name="ハイパーリンク" xfId="572" builtinId="8" hidden="1"/>
    <cellStyle name="ハイパーリンク" xfId="574" builtinId="8" hidden="1"/>
    <cellStyle name="ハイパーリンク" xfId="576" builtinId="8" hidden="1"/>
    <cellStyle name="ハイパーリンク" xfId="578" builtinId="8" hidden="1"/>
    <cellStyle name="ハイパーリンク" xfId="580" builtinId="8" hidden="1"/>
    <cellStyle name="ハイパーリンク" xfId="582" builtinId="8" hidden="1"/>
    <cellStyle name="ハイパーリンク" xfId="584" builtinId="8" hidden="1"/>
    <cellStyle name="ハイパーリンク" xfId="586" builtinId="8" hidden="1"/>
    <cellStyle name="ハイパーリンク" xfId="588" builtinId="8" hidden="1"/>
    <cellStyle name="ハイパーリンク" xfId="590" builtinId="8" hidden="1"/>
    <cellStyle name="ハイパーリンク" xfId="592" builtinId="8" hidden="1"/>
    <cellStyle name="ハイパーリンク" xfId="594" builtinId="8" hidden="1"/>
    <cellStyle name="ハイパーリンク" xfId="596" builtinId="8" hidden="1"/>
    <cellStyle name="ハイパーリンク" xfId="598" builtinId="8" hidden="1"/>
    <cellStyle name="ハイパーリンク" xfId="600" builtinId="8" hidden="1"/>
    <cellStyle name="ハイパーリンク" xfId="602" builtinId="8" hidden="1"/>
    <cellStyle name="ハイパーリンク" xfId="604" builtinId="8" hidden="1"/>
    <cellStyle name="ハイパーリンク" xfId="606" builtinId="8" hidden="1"/>
    <cellStyle name="ハイパーリンク" xfId="608" builtinId="8" hidden="1"/>
    <cellStyle name="ハイパーリンク" xfId="610" builtinId="8" hidden="1"/>
    <cellStyle name="ハイパーリンク" xfId="612" builtinId="8" hidden="1"/>
    <cellStyle name="ハイパーリンク" xfId="614" builtinId="8" hidden="1"/>
    <cellStyle name="ハイパーリンク" xfId="616" builtinId="8" hidden="1"/>
    <cellStyle name="ハイパーリンク" xfId="618" builtinId="8" hidden="1"/>
    <cellStyle name="ハイパーリンク" xfId="620" builtinId="8" hidden="1"/>
    <cellStyle name="ハイパーリンク" xfId="622" builtinId="8" hidden="1"/>
    <cellStyle name="ハイパーリンク" xfId="624" builtinId="8" hidden="1"/>
    <cellStyle name="ハイパーリンク" xfId="626" builtinId="8" hidden="1"/>
    <cellStyle name="ハイパーリンク" xfId="628" builtinId="8" hidden="1"/>
    <cellStyle name="ハイパーリンク" xfId="630" builtinId="8" hidden="1"/>
    <cellStyle name="ハイパーリンク" xfId="632" builtinId="8" hidden="1"/>
    <cellStyle name="ハイパーリンク" xfId="634" builtinId="8" hidden="1"/>
    <cellStyle name="ハイパーリンク" xfId="636" builtinId="8" hidden="1"/>
    <cellStyle name="ハイパーリンク" xfId="638" builtinId="8" hidden="1"/>
    <cellStyle name="ハイパーリンク" xfId="640" builtinId="8" hidden="1"/>
    <cellStyle name="ハイパーリンク" xfId="642" builtinId="8" hidden="1"/>
    <cellStyle name="ハイパーリンク" xfId="644" builtinId="8" hidden="1"/>
    <cellStyle name="ハイパーリンク" xfId="646" builtinId="8" hidden="1"/>
    <cellStyle name="ハイパーリンク" xfId="648" builtinId="8" hidden="1"/>
    <cellStyle name="ハイパーリンク" xfId="650" builtinId="8" hidden="1"/>
    <cellStyle name="ハイパーリンク" xfId="652" builtinId="8" hidden="1"/>
    <cellStyle name="ハイパーリンク" xfId="654" builtinId="8" hidden="1"/>
    <cellStyle name="ハイパーリンク" xfId="656" builtinId="8" hidden="1"/>
    <cellStyle name="ハイパーリンク" xfId="658" builtinId="8" hidden="1"/>
    <cellStyle name="ハイパーリンク" xfId="660" builtinId="8" hidden="1"/>
    <cellStyle name="ハイパーリンク" xfId="662" builtinId="8" hidden="1"/>
    <cellStyle name="ハイパーリンク" xfId="664" builtinId="8" hidden="1"/>
    <cellStyle name="ハイパーリンク" xfId="666" builtinId="8" hidden="1"/>
    <cellStyle name="ハイパーリンク" xfId="668" builtinId="8" hidden="1"/>
    <cellStyle name="ハイパーリンク" xfId="670" builtinId="8" hidden="1"/>
    <cellStyle name="ハイパーリンク" xfId="672" builtinId="8" hidden="1"/>
    <cellStyle name="ハイパーリンク" xfId="674" builtinId="8" hidden="1"/>
    <cellStyle name="ハイパーリンク" xfId="676" builtinId="8" hidden="1"/>
    <cellStyle name="ハイパーリンク" xfId="678" builtinId="8" hidden="1"/>
    <cellStyle name="ハイパーリンク" xfId="680" builtinId="8" hidden="1"/>
    <cellStyle name="ハイパーリンク" xfId="682" builtinId="8" hidden="1"/>
    <cellStyle name="ハイパーリンク" xfId="684" builtinId="8" hidden="1"/>
    <cellStyle name="ハイパーリンク" xfId="686" builtinId="8" hidden="1"/>
    <cellStyle name="ハイパーリンク" xfId="688" builtinId="8" hidden="1"/>
    <cellStyle name="ハイパーリンク" xfId="690" builtinId="8" hidden="1"/>
    <cellStyle name="ハイパーリンク" xfId="692" builtinId="8" hidden="1"/>
    <cellStyle name="ハイパーリンク" xfId="694" builtinId="8" hidden="1"/>
    <cellStyle name="ハイパーリンク" xfId="696" builtinId="8" hidden="1"/>
    <cellStyle name="ハイパーリンク" xfId="698" builtinId="8" hidden="1"/>
    <cellStyle name="ハイパーリンク" xfId="700" builtinId="8" hidden="1"/>
    <cellStyle name="ハイパーリンク" xfId="702" builtinId="8" hidden="1"/>
    <cellStyle name="ハイパーリンク" xfId="704" builtinId="8" hidden="1"/>
    <cellStyle name="ハイパーリンク" xfId="706" builtinId="8" hidden="1"/>
    <cellStyle name="ハイパーリンク" xfId="708" builtinId="8" hidden="1"/>
    <cellStyle name="ハイパーリンク" xfId="710" builtinId="8" hidden="1"/>
    <cellStyle name="ハイパーリンク" xfId="712" builtinId="8" hidden="1"/>
    <cellStyle name="ハイパーリンク" xfId="714" builtinId="8" hidden="1"/>
    <cellStyle name="ハイパーリンク" xfId="716" builtinId="8" hidden="1"/>
    <cellStyle name="ハイパーリンク" xfId="718" builtinId="8" hidden="1"/>
    <cellStyle name="ハイパーリンク" xfId="720" builtinId="8" hidden="1"/>
    <cellStyle name="ハイパーリンク" xfId="722" builtinId="8" hidden="1"/>
    <cellStyle name="ハイパーリンク" xfId="724" builtinId="8" hidden="1"/>
    <cellStyle name="ハイパーリンク" xfId="726" builtinId="8" hidden="1"/>
    <cellStyle name="ハイパーリンク" xfId="728" builtinId="8" hidden="1"/>
    <cellStyle name="ハイパーリンク" xfId="730" builtinId="8" hidden="1"/>
    <cellStyle name="ハイパーリンク" xfId="732" builtinId="8" hidden="1"/>
    <cellStyle name="ハイパーリンク" xfId="734" builtinId="8" hidden="1"/>
    <cellStyle name="ハイパーリンク" xfId="736" builtinId="8" hidden="1"/>
    <cellStyle name="ハイパーリンク" xfId="738" builtinId="8" hidden="1"/>
    <cellStyle name="ハイパーリンク" xfId="740" builtinId="8" hidden="1"/>
    <cellStyle name="ハイパーリンク" xfId="742" builtinId="8" hidden="1"/>
    <cellStyle name="ハイパーリンク" xfId="744" builtinId="8" hidden="1"/>
    <cellStyle name="ハイパーリンク" xfId="746" builtinId="8" hidden="1"/>
    <cellStyle name="ハイパーリンク" xfId="748" builtinId="8" hidden="1"/>
    <cellStyle name="ハイパーリンク" xfId="750" builtinId="8" hidden="1"/>
    <cellStyle name="ハイパーリンク" xfId="752" builtinId="8" hidden="1"/>
    <cellStyle name="ハイパーリンク" xfId="754" builtinId="8" hidden="1"/>
    <cellStyle name="ハイパーリンク" xfId="756" builtinId="8" hidden="1"/>
    <cellStyle name="ハイパーリンク" xfId="758" builtinId="8" hidden="1"/>
    <cellStyle name="ハイパーリンク" xfId="760" builtinId="8" hidden="1"/>
    <cellStyle name="ハイパーリンク" xfId="762" builtinId="8" hidden="1"/>
    <cellStyle name="ハイパーリンク" xfId="764" builtinId="8" hidden="1"/>
    <cellStyle name="ハイパーリンク" xfId="766" builtinId="8" hidden="1"/>
    <cellStyle name="ハイパーリンク" xfId="768" builtinId="8" hidden="1"/>
    <cellStyle name="ハイパーリンク" xfId="770" builtinId="8" hidden="1"/>
    <cellStyle name="ハイパーリンク" xfId="772" builtinId="8" hidden="1"/>
    <cellStyle name="ハイパーリンク" xfId="774" builtinId="8" hidden="1"/>
    <cellStyle name="ハイパーリンク" xfId="776" builtinId="8" hidden="1"/>
    <cellStyle name="ハイパーリンク" xfId="778" builtinId="8" hidden="1"/>
    <cellStyle name="ハイパーリンク" xfId="780" builtinId="8" hidden="1"/>
    <cellStyle name="ハイパーリンク" xfId="782" builtinId="8" hidden="1"/>
    <cellStyle name="ハイパーリンク" xfId="784" builtinId="8" hidden="1"/>
    <cellStyle name="ハイパーリンク" xfId="786" builtinId="8" hidden="1"/>
    <cellStyle name="ハイパーリンク" xfId="788" builtinId="8" hidden="1"/>
    <cellStyle name="ハイパーリンク" xfId="790" builtinId="8" hidden="1"/>
    <cellStyle name="ハイパーリンク" xfId="792" builtinId="8" hidden="1"/>
    <cellStyle name="ハイパーリンク" xfId="794" builtinId="8" hidden="1"/>
    <cellStyle name="ハイパーリンク" xfId="796" builtinId="8" hidden="1"/>
    <cellStyle name="ハイパーリンク" xfId="798" builtinId="8" hidden="1"/>
    <cellStyle name="ハイパーリンク" xfId="800" builtinId="8" hidden="1"/>
    <cellStyle name="ハイパーリンク" xfId="802" builtinId="8" hidden="1"/>
    <cellStyle name="ハイパーリンク" xfId="804" builtinId="8" hidden="1"/>
    <cellStyle name="ハイパーリンク" xfId="806" builtinId="8" hidden="1"/>
    <cellStyle name="ハイパーリンク" xfId="808" builtinId="8" hidden="1"/>
    <cellStyle name="ハイパーリンク" xfId="810" builtinId="8" hidden="1"/>
    <cellStyle name="ハイパーリンク" xfId="812" builtinId="8" hidden="1"/>
    <cellStyle name="ハイパーリンク" xfId="814" builtinId="8" hidden="1"/>
    <cellStyle name="ハイパーリンク" xfId="816" builtinId="8" hidden="1"/>
    <cellStyle name="ハイパーリンク" xfId="818" builtinId="8" hidden="1"/>
    <cellStyle name="ハイパーリンク" xfId="820" builtinId="8" hidden="1"/>
    <cellStyle name="ハイパーリンク" xfId="822" builtinId="8" hidden="1"/>
    <cellStyle name="ハイパーリンク" xfId="824" builtinId="8" hidden="1"/>
    <cellStyle name="ハイパーリンク" xfId="826" builtinId="8" hidden="1"/>
    <cellStyle name="ハイパーリンク" xfId="828" builtinId="8" hidden="1"/>
    <cellStyle name="ハイパーリンク" xfId="830" builtinId="8" hidden="1"/>
    <cellStyle name="ハイパーリンク" xfId="832" builtinId="8" hidden="1"/>
    <cellStyle name="ハイパーリンク" xfId="834" builtinId="8" hidden="1"/>
    <cellStyle name="ハイパーリンク" xfId="836" builtinId="8" hidden="1"/>
    <cellStyle name="ハイパーリンク" xfId="838" builtinId="8" hidden="1"/>
    <cellStyle name="ハイパーリンク" xfId="840" builtinId="8" hidden="1"/>
    <cellStyle name="ハイパーリンク" xfId="842" builtinId="8" hidden="1"/>
    <cellStyle name="ハイパーリンク" xfId="844" builtinId="8" hidden="1"/>
    <cellStyle name="ハイパーリンク" xfId="846" builtinId="8" hidden="1"/>
    <cellStyle name="ハイパーリンク" xfId="848" builtinId="8" hidden="1"/>
    <cellStyle name="ハイパーリンク" xfId="850" builtinId="8" hidden="1"/>
    <cellStyle name="ハイパーリンク" xfId="852" builtinId="8" hidden="1"/>
    <cellStyle name="ハイパーリンク" xfId="854" builtinId="8" hidden="1"/>
    <cellStyle name="ハイパーリンク" xfId="856" builtinId="8" hidden="1"/>
    <cellStyle name="ハイパーリンク" xfId="858" builtinId="8" hidden="1"/>
    <cellStyle name="ハイパーリンク" xfId="860" builtinId="8" hidden="1"/>
    <cellStyle name="ハイパーリンク" xfId="862" builtinId="8" hidden="1"/>
    <cellStyle name="ハイパーリンク" xfId="864" builtinId="8" hidden="1"/>
    <cellStyle name="ハイパーリンク" xfId="866" builtinId="8" hidden="1"/>
    <cellStyle name="ハイパーリンク" xfId="868" builtinId="8" hidden="1"/>
    <cellStyle name="ハイパーリンク" xfId="870" builtinId="8" hidden="1"/>
    <cellStyle name="ハイパーリンク" xfId="872" builtinId="8" hidden="1"/>
    <cellStyle name="ハイパーリンク" xfId="874" builtinId="8" hidden="1"/>
    <cellStyle name="ハイパーリンク" xfId="876" builtinId="8" hidden="1"/>
    <cellStyle name="ハイパーリンク" xfId="878" builtinId="8" hidden="1"/>
    <cellStyle name="ハイパーリンク" xfId="880" builtinId="8" hidden="1"/>
    <cellStyle name="ハイパーリンク" xfId="882" builtinId="8" hidden="1"/>
    <cellStyle name="ハイパーリンク" xfId="884" builtinId="8" hidden="1"/>
    <cellStyle name="ハイパーリンク" xfId="886" builtinId="8" hidden="1"/>
    <cellStyle name="ハイパーリンク" xfId="888" builtinId="8" hidden="1"/>
    <cellStyle name="ハイパーリンク" xfId="890" builtinId="8" hidden="1"/>
    <cellStyle name="ハイパーリンク" xfId="892" builtinId="8" hidden="1"/>
    <cellStyle name="ハイパーリンク" xfId="894" builtinId="8" hidden="1"/>
    <cellStyle name="ハイパーリンク" xfId="896" builtinId="8" hidden="1"/>
    <cellStyle name="ハイパーリンク" xfId="898" builtinId="8" hidden="1"/>
    <cellStyle name="ハイパーリンク" xfId="900" builtinId="8" hidden="1"/>
    <cellStyle name="ハイパーリンク" xfId="902" builtinId="8" hidden="1"/>
    <cellStyle name="ハイパーリンク" xfId="904" builtinId="8" hidden="1"/>
    <cellStyle name="ハイパーリンク" xfId="906" builtinId="8" hidden="1"/>
    <cellStyle name="ハイパーリンク" xfId="908" builtinId="8" hidden="1"/>
    <cellStyle name="ハイパーリンク" xfId="910" builtinId="8" hidden="1"/>
    <cellStyle name="ハイパーリンク" xfId="912" builtinId="8" hidden="1"/>
    <cellStyle name="ハイパーリンク" xfId="914" builtinId="8" hidden="1"/>
    <cellStyle name="ハイパーリンク" xfId="916" builtinId="8" hidden="1"/>
    <cellStyle name="ハイパーリンク" xfId="918" builtinId="8" hidden="1"/>
    <cellStyle name="ハイパーリンク" xfId="920" builtinId="8" hidden="1"/>
    <cellStyle name="ハイパーリンク" xfId="922" builtinId="8" hidden="1"/>
    <cellStyle name="ハイパーリンク" xfId="924" builtinId="8" hidden="1"/>
    <cellStyle name="ハイパーリンク" xfId="926" builtinId="8" hidden="1"/>
    <cellStyle name="ハイパーリンク" xfId="928" builtinId="8" hidden="1"/>
    <cellStyle name="ハイパーリンク" xfId="930" builtinId="8" hidden="1"/>
    <cellStyle name="ハイパーリンク" xfId="932" builtinId="8" hidden="1"/>
    <cellStyle name="ハイパーリンク" xfId="934" builtinId="8" hidden="1"/>
    <cellStyle name="ハイパーリンク" xfId="936" builtinId="8" hidden="1"/>
    <cellStyle name="ハイパーリンク" xfId="938" builtinId="8" hidden="1"/>
    <cellStyle name="ハイパーリンク" xfId="940" builtinId="8" hidden="1"/>
    <cellStyle name="ハイパーリンク" xfId="942" builtinId="8" hidden="1"/>
    <cellStyle name="ハイパーリンク" xfId="944" builtinId="8" hidden="1"/>
    <cellStyle name="ハイパーリンク" xfId="946" builtinId="8" hidden="1"/>
    <cellStyle name="ハイパーリンク" xfId="948" builtinId="8" hidden="1"/>
    <cellStyle name="ハイパーリンク" xfId="950" builtinId="8" hidden="1"/>
    <cellStyle name="ハイパーリンク" xfId="952" builtinId="8" hidden="1"/>
    <cellStyle name="ハイパーリンク" xfId="954" builtinId="8" hidden="1"/>
    <cellStyle name="ハイパーリンク" xfId="956" builtinId="8" hidden="1"/>
    <cellStyle name="ハイパーリンク" xfId="958" builtinId="8" hidden="1"/>
    <cellStyle name="ハイパーリンク" xfId="960" builtinId="8" hidden="1"/>
    <cellStyle name="ハイパーリンク" xfId="962" builtinId="8" hidden="1"/>
    <cellStyle name="ハイパーリンク" xfId="964" builtinId="8" hidden="1"/>
    <cellStyle name="ハイパーリンク" xfId="966" builtinId="8" hidden="1"/>
    <cellStyle name="ハイパーリンク" xfId="968" builtinId="8" hidden="1"/>
    <cellStyle name="ハイパーリンク" xfId="970" builtinId="8" hidden="1"/>
    <cellStyle name="ハイパーリンク" xfId="972" builtinId="8" hidden="1"/>
    <cellStyle name="ハイパーリンク" xfId="974" builtinId="8" hidden="1"/>
    <cellStyle name="ハイパーリンク" xfId="976" builtinId="8" hidden="1"/>
    <cellStyle name="ハイパーリンク" xfId="978" builtinId="8" hidden="1"/>
    <cellStyle name="ハイパーリンク" xfId="980" builtinId="8" hidden="1"/>
    <cellStyle name="ハイパーリンク" xfId="982" builtinId="8" hidden="1"/>
    <cellStyle name="ハイパーリンク" xfId="984" builtinId="8" hidden="1"/>
    <cellStyle name="ハイパーリンク" xfId="986" builtinId="8" hidden="1"/>
    <cellStyle name="ハイパーリンク" xfId="988" builtinId="8" hidden="1"/>
    <cellStyle name="ハイパーリンク" xfId="990" builtinId="8" hidden="1"/>
    <cellStyle name="ハイパーリンク" xfId="992" builtinId="8" hidden="1"/>
    <cellStyle name="ハイパーリンク" xfId="994" builtinId="8" hidden="1"/>
    <cellStyle name="ハイパーリンク" xfId="996" builtinId="8" hidden="1"/>
    <cellStyle name="ハイパーリンク" xfId="998" builtinId="8" hidden="1"/>
    <cellStyle name="ハイパーリンク" xfId="1000" builtinId="8" hidden="1"/>
    <cellStyle name="ハイパーリンク" xfId="1002" builtinId="8" hidden="1"/>
    <cellStyle name="ハイパーリンク" xfId="1004" builtinId="8" hidden="1"/>
    <cellStyle name="ハイパーリンク" xfId="1006" builtinId="8" hidden="1"/>
    <cellStyle name="ハイパーリンク" xfId="1008" builtinId="8" hidden="1"/>
    <cellStyle name="ハイパーリンク" xfId="1010" builtinId="8" hidden="1"/>
    <cellStyle name="ハイパーリンク" xfId="1012" builtinId="8" hidden="1"/>
    <cellStyle name="ハイパーリンク" xfId="1014" builtinId="8" hidden="1"/>
    <cellStyle name="ハイパーリンク" xfId="1016" builtinId="8" hidden="1"/>
    <cellStyle name="ハイパーリンク" xfId="1018" builtinId="8" hidden="1"/>
    <cellStyle name="ハイパーリンク" xfId="1020" builtinId="8" hidden="1"/>
    <cellStyle name="ハイパーリンク" xfId="1022" builtinId="8" hidden="1"/>
    <cellStyle name="ハイパーリンク" xfId="1024" builtinId="8" hidden="1"/>
    <cellStyle name="ハイパーリンク" xfId="1026" builtinId="8" hidden="1"/>
    <cellStyle name="ハイパーリンク" xfId="1028" builtinId="8" hidden="1"/>
    <cellStyle name="ハイパーリンク" xfId="1030" builtinId="8" hidden="1"/>
    <cellStyle name="ハイパーリンク" xfId="1032" builtinId="8" hidden="1"/>
    <cellStyle name="ハイパーリンク" xfId="1034" builtinId="8" hidden="1"/>
    <cellStyle name="ハイパーリンク" xfId="1036" builtinId="8" hidden="1"/>
    <cellStyle name="ハイパーリンク" xfId="1038" builtinId="8" hidden="1"/>
    <cellStyle name="ハイパーリンク" xfId="1040" builtinId="8" hidden="1"/>
    <cellStyle name="ハイパーリンク" xfId="1042" builtinId="8" hidden="1"/>
    <cellStyle name="ハイパーリンク" xfId="1044" builtinId="8" hidden="1"/>
    <cellStyle name="ハイパーリンク" xfId="1046" builtinId="8" hidden="1"/>
    <cellStyle name="ハイパーリンク" xfId="1048" builtinId="8" hidden="1"/>
    <cellStyle name="ハイパーリンク" xfId="1050" builtinId="8" hidden="1"/>
    <cellStyle name="ハイパーリンク" xfId="1052" builtinId="8" hidden="1"/>
    <cellStyle name="ハイパーリンク" xfId="1054" builtinId="8" hidden="1"/>
    <cellStyle name="ハイパーリンク" xfId="1056" builtinId="8" hidden="1"/>
    <cellStyle name="ハイパーリンク" xfId="1058" builtinId="8" hidden="1"/>
    <cellStyle name="ハイパーリンク" xfId="1060" builtinId="8" hidden="1"/>
    <cellStyle name="ハイパーリンク" xfId="1062" builtinId="8" hidden="1"/>
    <cellStyle name="ハイパーリンク" xfId="1064" builtinId="8" hidden="1"/>
    <cellStyle name="ハイパーリンク" xfId="1066" builtinId="8" hidden="1"/>
    <cellStyle name="ハイパーリンク" xfId="1068" builtinId="8" hidden="1"/>
    <cellStyle name="ハイパーリンク" xfId="1070" builtinId="8" hidden="1"/>
    <cellStyle name="ハイパーリンク" xfId="1072" builtinId="8" hidden="1"/>
    <cellStyle name="ハイパーリンク" xfId="1074" builtinId="8" hidden="1"/>
    <cellStyle name="ハイパーリンク" xfId="1076" builtinId="8" hidden="1"/>
    <cellStyle name="ハイパーリンク" xfId="1078" builtinId="8" hidden="1"/>
    <cellStyle name="ハイパーリンク" xfId="1080" builtinId="8" hidden="1"/>
    <cellStyle name="ハイパーリンク" xfId="1082" builtinId="8" hidden="1"/>
    <cellStyle name="ハイパーリンク" xfId="1084" builtinId="8" hidden="1"/>
    <cellStyle name="ハイパーリンク" xfId="1086" builtinId="8" hidden="1"/>
    <cellStyle name="ハイパーリンク" xfId="1088" builtinId="8" hidden="1"/>
    <cellStyle name="ハイパーリンク" xfId="1090" builtinId="8" hidden="1"/>
    <cellStyle name="ハイパーリンク" xfId="1092" builtinId="8" hidden="1"/>
    <cellStyle name="ハイパーリンク" xfId="1094" builtinId="8" hidden="1"/>
    <cellStyle name="ハイパーリンク" xfId="1096" builtinId="8" hidden="1"/>
    <cellStyle name="ハイパーリンク" xfId="1098" builtinId="8" hidden="1"/>
    <cellStyle name="ハイパーリンク" xfId="1100" builtinId="8" hidden="1"/>
    <cellStyle name="ハイパーリンク" xfId="1102" builtinId="8" hidden="1"/>
    <cellStyle name="ハイパーリンク" xfId="1104" builtinId="8" hidden="1"/>
    <cellStyle name="ハイパーリンク" xfId="1106" builtinId="8" hidden="1"/>
    <cellStyle name="ハイパーリンク" xfId="1108" builtinId="8" hidden="1"/>
    <cellStyle name="ハイパーリンク" xfId="1110" builtinId="8" hidden="1"/>
    <cellStyle name="ハイパーリンク" xfId="1112" builtinId="8" hidden="1"/>
    <cellStyle name="ハイパーリンク" xfId="1114" builtinId="8" hidden="1"/>
    <cellStyle name="ハイパーリンク" xfId="1116" builtinId="8" hidden="1"/>
    <cellStyle name="ハイパーリンク" xfId="1118" builtinId="8" hidden="1"/>
    <cellStyle name="ハイパーリンク" xfId="1120" builtinId="8" hidden="1"/>
    <cellStyle name="ハイパーリンク" xfId="1122" builtinId="8" hidden="1"/>
    <cellStyle name="ハイパーリンク" xfId="1124" builtinId="8" hidden="1"/>
    <cellStyle name="ハイパーリンク" xfId="1126" builtinId="8" hidden="1"/>
    <cellStyle name="ハイパーリンク" xfId="1128" builtinId="8" hidden="1"/>
    <cellStyle name="ハイパーリンク" xfId="1130" builtinId="8" hidden="1"/>
    <cellStyle name="ハイパーリンク" xfId="1132" builtinId="8" hidden="1"/>
    <cellStyle name="ハイパーリンク" xfId="1134" builtinId="8" hidden="1"/>
    <cellStyle name="ハイパーリンク" xfId="1136" builtinId="8" hidden="1"/>
    <cellStyle name="ハイパーリンク" xfId="1138" builtinId="8" hidden="1"/>
    <cellStyle name="ハイパーリンク" xfId="1140" builtinId="8" hidden="1"/>
    <cellStyle name="ハイパーリンク" xfId="1142" builtinId="8" hidden="1"/>
    <cellStyle name="ハイパーリンク" xfId="1144" builtinId="8" hidden="1"/>
    <cellStyle name="ハイパーリンク" xfId="1146" builtinId="8" hidden="1"/>
    <cellStyle name="ハイパーリンク" xfId="1148" builtinId="8" hidden="1"/>
    <cellStyle name="ハイパーリンク" xfId="1150" builtinId="8" hidden="1"/>
    <cellStyle name="ハイパーリンク" xfId="1152" builtinId="8" hidden="1"/>
    <cellStyle name="ハイパーリンク" xfId="1154" builtinId="8" hidden="1"/>
    <cellStyle name="ハイパーリンク" xfId="1156" builtinId="8" hidden="1"/>
    <cellStyle name="ハイパーリンク" xfId="1158" builtinId="8" hidden="1"/>
    <cellStyle name="ハイパーリンク" xfId="1160" builtinId="8" hidden="1"/>
    <cellStyle name="ハイパーリンク" xfId="1162" builtinId="8" hidden="1"/>
    <cellStyle name="ハイパーリンク" xfId="1164" builtinId="8" hidden="1"/>
    <cellStyle name="ハイパーリンク" xfId="1166" builtinId="8" hidden="1"/>
    <cellStyle name="ハイパーリンク" xfId="1168" builtinId="8" hidden="1"/>
    <cellStyle name="ハイパーリンク" xfId="1170" builtinId="8" hidden="1"/>
    <cellStyle name="ハイパーリンク" xfId="1172" builtinId="8" hidden="1"/>
    <cellStyle name="ハイパーリンク" xfId="1174" builtinId="8" hidden="1"/>
    <cellStyle name="ハイパーリンク" xfId="1176" builtinId="8" hidden="1"/>
    <cellStyle name="ハイパーリンク" xfId="1178" builtinId="8" hidden="1"/>
    <cellStyle name="ハイパーリンク" xfId="1180" builtinId="8" hidden="1"/>
    <cellStyle name="ハイパーリンク" xfId="1182" builtinId="8" hidden="1"/>
    <cellStyle name="ハイパーリンク" xfId="1184" builtinId="8" hidden="1"/>
    <cellStyle name="ハイパーリンク" xfId="1186" builtinId="8" hidden="1"/>
    <cellStyle name="ハイパーリンク" xfId="1188" builtinId="8" hidden="1"/>
    <cellStyle name="ハイパーリンク" xfId="1190" builtinId="8" hidden="1"/>
    <cellStyle name="ハイパーリンク" xfId="1192" builtinId="8" hidden="1"/>
    <cellStyle name="ハイパーリンク" xfId="1194" builtinId="8" hidden="1"/>
    <cellStyle name="ハイパーリンク" xfId="1196" builtinId="8" hidden="1"/>
    <cellStyle name="ハイパーリンク" xfId="1198" builtinId="8" hidden="1"/>
    <cellStyle name="ハイパーリンク" xfId="1200" builtinId="8" hidden="1"/>
    <cellStyle name="ハイパーリンク" xfId="1202" builtinId="8" hidden="1"/>
    <cellStyle name="ハイパーリンク" xfId="1204" builtinId="8" hidden="1"/>
    <cellStyle name="ハイパーリンク" xfId="1206" builtinId="8" hidden="1"/>
    <cellStyle name="ハイパーリンク" xfId="1208" builtinId="8" hidden="1"/>
    <cellStyle name="ハイパーリンク" xfId="1210" builtinId="8" hidden="1"/>
    <cellStyle name="ハイパーリンク" xfId="1212" builtinId="8" hidden="1"/>
    <cellStyle name="ハイパーリンク" xfId="1214" builtinId="8" hidden="1"/>
    <cellStyle name="ハイパーリンク" xfId="1216" builtinId="8" hidden="1"/>
    <cellStyle name="ハイパーリンク" xfId="1218" builtinId="8" hidden="1"/>
    <cellStyle name="ハイパーリンク" xfId="1220" builtinId="8" hidden="1"/>
    <cellStyle name="ハイパーリンク" xfId="1222" builtinId="8" hidden="1"/>
    <cellStyle name="ハイパーリンク" xfId="1224" builtinId="8" hidden="1"/>
    <cellStyle name="ハイパーリンク" xfId="1226" builtinId="8" hidden="1"/>
    <cellStyle name="ハイパーリンク" xfId="1228" builtinId="8" hidden="1"/>
    <cellStyle name="ハイパーリンク" xfId="1230" builtinId="8" hidden="1"/>
    <cellStyle name="ハイパーリンク" xfId="1232" builtinId="8" hidden="1"/>
    <cellStyle name="ハイパーリンク" xfId="1234" builtinId="8" hidden="1"/>
    <cellStyle name="ハイパーリンク" xfId="1236" builtinId="8" hidden="1"/>
    <cellStyle name="ハイパーリンク" xfId="1238" builtinId="8" hidden="1"/>
    <cellStyle name="ハイパーリンク" xfId="1240" builtinId="8" hidden="1"/>
    <cellStyle name="ハイパーリンク" xfId="1242" builtinId="8" hidden="1"/>
    <cellStyle name="ハイパーリンク" xfId="1244" builtinId="8" hidden="1"/>
    <cellStyle name="ハイパーリンク" xfId="1246" builtinId="8" hidden="1"/>
    <cellStyle name="ハイパーリンク" xfId="1248" builtinId="8" hidden="1"/>
    <cellStyle name="ハイパーリンク" xfId="1250" builtinId="8" hidden="1"/>
    <cellStyle name="ハイパーリンク" xfId="1252" builtinId="8" hidden="1"/>
    <cellStyle name="ハイパーリンク" xfId="1254" builtinId="8" hidden="1"/>
    <cellStyle name="ハイパーリンク" xfId="1256" builtinId="8" hidden="1"/>
    <cellStyle name="ハイパーリンク" xfId="1258" builtinId="8" hidden="1"/>
    <cellStyle name="ハイパーリンク" xfId="1260" builtinId="8" hidden="1"/>
    <cellStyle name="ハイパーリンク" xfId="1262" builtinId="8" hidden="1"/>
    <cellStyle name="ハイパーリンク" xfId="1264" builtinId="8" hidden="1"/>
    <cellStyle name="ハイパーリンク" xfId="1266" builtinId="8" hidden="1"/>
    <cellStyle name="ハイパーリンク" xfId="1268" builtinId="8" hidden="1"/>
    <cellStyle name="ハイパーリンク" xfId="1270" builtinId="8" hidden="1"/>
    <cellStyle name="ハイパーリンク" xfId="1272" builtinId="8" hidden="1"/>
    <cellStyle name="ハイパーリンク" xfId="1274" builtinId="8" hidden="1"/>
    <cellStyle name="ハイパーリンク" xfId="1276" builtinId="8" hidden="1"/>
    <cellStyle name="ハイパーリンク" xfId="1278" builtinId="8" hidden="1"/>
    <cellStyle name="ハイパーリンク" xfId="1280" builtinId="8" hidden="1"/>
    <cellStyle name="ハイパーリンク" xfId="1282" builtinId="8" hidden="1"/>
    <cellStyle name="ハイパーリンク" xfId="1284" builtinId="8" hidden="1"/>
    <cellStyle name="ハイパーリンク" xfId="1286" builtinId="8" hidden="1"/>
    <cellStyle name="ハイパーリンク" xfId="1288" builtinId="8" hidden="1"/>
    <cellStyle name="ハイパーリンク" xfId="1290" builtinId="8" hidden="1"/>
    <cellStyle name="ハイパーリンク" xfId="1292" builtinId="8" hidden="1"/>
    <cellStyle name="ハイパーリンク" xfId="1294" builtinId="8" hidden="1"/>
    <cellStyle name="ハイパーリンク" xfId="1296" builtinId="8" hidden="1"/>
    <cellStyle name="ハイパーリンク" xfId="1298" builtinId="8" hidden="1"/>
    <cellStyle name="ハイパーリンク" xfId="1300" builtinId="8" hidden="1"/>
    <cellStyle name="ハイパーリンク" xfId="1302" builtinId="8" hidden="1"/>
    <cellStyle name="ハイパーリンク" xfId="1304" builtinId="8" hidden="1"/>
    <cellStyle name="ハイパーリンク" xfId="1306" builtinId="8" hidden="1"/>
    <cellStyle name="ハイパーリンク" xfId="1308" builtinId="8" hidden="1"/>
    <cellStyle name="ハイパーリンク" xfId="1310" builtinId="8" hidden="1"/>
    <cellStyle name="ハイパーリンク" xfId="1312" builtinId="8" hidden="1"/>
    <cellStyle name="ハイパーリンク" xfId="1314" builtinId="8" hidden="1"/>
    <cellStyle name="ハイパーリンク" xfId="1316" builtinId="8" hidden="1"/>
    <cellStyle name="ハイパーリンク" xfId="1318" builtinId="8" hidden="1"/>
    <cellStyle name="ハイパーリンク" xfId="1320" builtinId="8" hidden="1"/>
    <cellStyle name="ハイパーリンク" xfId="1322" builtinId="8" hidden="1"/>
    <cellStyle name="ハイパーリンク" xfId="1324" builtinId="8" hidden="1"/>
    <cellStyle name="ハイパーリンク" xfId="1326" builtinId="8" hidden="1"/>
    <cellStyle name="ハイパーリンク" xfId="1328" builtinId="8" hidden="1"/>
    <cellStyle name="ハイパーリンク" xfId="1330" builtinId="8" hidden="1"/>
    <cellStyle name="ハイパーリンク" xfId="1332" builtinId="8" hidden="1"/>
    <cellStyle name="ハイパーリンク" xfId="1334" builtinId="8" hidden="1"/>
    <cellStyle name="ハイパーリンク" xfId="1336" builtinId="8" hidden="1"/>
    <cellStyle name="ハイパーリンク" xfId="1338" builtinId="8" hidden="1"/>
    <cellStyle name="ハイパーリンク" xfId="1340" builtinId="8" hidden="1"/>
    <cellStyle name="ハイパーリンク" xfId="1342" builtinId="8" hidden="1"/>
    <cellStyle name="ハイパーリンク" xfId="1344" builtinId="8" hidden="1"/>
    <cellStyle name="ハイパーリンク" xfId="1346" builtinId="8" hidden="1"/>
    <cellStyle name="ハイパーリンク" xfId="1348" builtinId="8" hidden="1"/>
    <cellStyle name="ハイパーリンク" xfId="1350" builtinId="8" hidden="1"/>
    <cellStyle name="ハイパーリンク" xfId="1352" builtinId="8" hidden="1"/>
    <cellStyle name="ハイパーリンク" xfId="1354" builtinId="8" hidden="1"/>
    <cellStyle name="ハイパーリンク" xfId="1356" builtinId="8" hidden="1"/>
    <cellStyle name="ハイパーリンク" xfId="1358" builtinId="8" hidden="1"/>
    <cellStyle name="ハイパーリンク" xfId="1360" builtinId="8" hidden="1"/>
    <cellStyle name="ハイパーリンク" xfId="1362" builtinId="8" hidden="1"/>
    <cellStyle name="ハイパーリンク" xfId="1364" builtinId="8" hidden="1"/>
    <cellStyle name="ハイパーリンク" xfId="1366" builtinId="8" hidden="1"/>
    <cellStyle name="ハイパーリンク" xfId="1368" builtinId="8" hidden="1"/>
    <cellStyle name="ハイパーリンク" xfId="1370" builtinId="8" hidden="1"/>
    <cellStyle name="ハイパーリンク" xfId="1372" builtinId="8" hidden="1"/>
    <cellStyle name="ハイパーリンク" xfId="1374" builtinId="8" hidden="1"/>
    <cellStyle name="ハイパーリンク" xfId="1376" builtinId="8" hidden="1"/>
    <cellStyle name="ハイパーリンク" xfId="1378" builtinId="8" hidden="1"/>
    <cellStyle name="ハイパーリンク" xfId="1380" builtinId="8" hidden="1"/>
    <cellStyle name="ハイパーリンク" xfId="1382" builtinId="8" hidden="1"/>
    <cellStyle name="ハイパーリンク" xfId="1384" builtinId="8" hidden="1"/>
    <cellStyle name="ハイパーリンク" xfId="1386" builtinId="8" hidden="1"/>
    <cellStyle name="ハイパーリンク" xfId="1388" builtinId="8" hidden="1"/>
    <cellStyle name="ハイパーリンク" xfId="1390" builtinId="8" hidden="1"/>
    <cellStyle name="ハイパーリンク" xfId="1392" builtinId="8" hidden="1"/>
    <cellStyle name="ハイパーリンク" xfId="1394" builtinId="8" hidden="1"/>
    <cellStyle name="ハイパーリンク" xfId="1396" builtinId="8" hidden="1"/>
    <cellStyle name="ハイパーリンク" xfId="1398" builtinId="8" hidden="1"/>
    <cellStyle name="ハイパーリンク" xfId="1400" builtinId="8" hidden="1"/>
    <cellStyle name="ハイパーリンク" xfId="1402" builtinId="8" hidden="1"/>
    <cellStyle name="ハイパーリンク" xfId="1404" builtinId="8" hidden="1"/>
    <cellStyle name="ハイパーリンク" xfId="1406" builtinId="8" hidden="1"/>
    <cellStyle name="ハイパーリンク" xfId="1408" builtinId="8" hidden="1"/>
    <cellStyle name="ハイパーリンク" xfId="1410" builtinId="8" hidden="1"/>
    <cellStyle name="ハイパーリンク" xfId="1412" builtinId="8" hidden="1"/>
    <cellStyle name="ハイパーリンク" xfId="1414" builtinId="8" hidden="1"/>
    <cellStyle name="ハイパーリンク" xfId="1416" builtinId="8" hidden="1"/>
    <cellStyle name="ハイパーリンク" xfId="1418" builtinId="8" hidden="1"/>
    <cellStyle name="ハイパーリンク" xfId="1420" builtinId="8" hidden="1"/>
    <cellStyle name="ハイパーリンク" xfId="1422" builtinId="8" hidden="1"/>
    <cellStyle name="ハイパーリンク" xfId="1424" builtinId="8" hidden="1"/>
    <cellStyle name="ハイパーリンク" xfId="1426" builtinId="8" hidden="1"/>
    <cellStyle name="ハイパーリンク" xfId="1428" builtinId="8" hidden="1"/>
    <cellStyle name="ハイパーリンク" xfId="1430" builtinId="8" hidden="1"/>
    <cellStyle name="ハイパーリンク" xfId="1432" builtinId="8" hidden="1"/>
    <cellStyle name="ハイパーリンク" xfId="1434" builtinId="8" hidden="1"/>
    <cellStyle name="ハイパーリンク" xfId="1436" builtinId="8" hidden="1"/>
    <cellStyle name="ハイパーリンク" xfId="1438" builtinId="8" hidden="1"/>
    <cellStyle name="ハイパーリンク" xfId="1440" builtinId="8" hidden="1"/>
    <cellStyle name="ハイパーリンク" xfId="1442" builtinId="8" hidden="1"/>
    <cellStyle name="ハイパーリンク" xfId="1444" builtinId="8" hidden="1"/>
    <cellStyle name="ハイパーリンク" xfId="1446" builtinId="8" hidden="1"/>
    <cellStyle name="ハイパーリンク" xfId="1448" builtinId="8" hidden="1"/>
    <cellStyle name="ハイパーリンク" xfId="1450" builtinId="8" hidden="1"/>
    <cellStyle name="ハイパーリンク" xfId="1452" builtinId="8" hidden="1"/>
    <cellStyle name="ハイパーリンク" xfId="1454" builtinId="8" hidden="1"/>
    <cellStyle name="ハイパーリンク" xfId="1456" builtinId="8" hidden="1"/>
    <cellStyle name="ハイパーリンク" xfId="1458" builtinId="8" hidden="1"/>
    <cellStyle name="ハイパーリンク" xfId="1460" builtinId="8" hidden="1"/>
    <cellStyle name="ハイパーリンク" xfId="1462" builtinId="8" hidden="1"/>
    <cellStyle name="ハイパーリンク" xfId="1464" builtinId="8" hidden="1"/>
    <cellStyle name="ハイパーリンク" xfId="1466" builtinId="8" hidden="1"/>
    <cellStyle name="ハイパーリンク" xfId="1468" builtinId="8" hidden="1"/>
    <cellStyle name="ハイパーリンク" xfId="1470" builtinId="8" hidden="1"/>
    <cellStyle name="ハイパーリンク" xfId="1472" builtinId="8" hidden="1"/>
    <cellStyle name="ハイパーリンク" xfId="1474" builtinId="8" hidden="1"/>
    <cellStyle name="ハイパーリンク" xfId="1476" builtinId="8" hidden="1"/>
    <cellStyle name="ハイパーリンク" xfId="1478" builtinId="8" hidden="1"/>
    <cellStyle name="ハイパーリンク" xfId="1480" builtinId="8" hidden="1"/>
    <cellStyle name="ハイパーリンク" xfId="1482" builtinId="8" hidden="1"/>
    <cellStyle name="ハイパーリンク" xfId="1484" builtinId="8" hidden="1"/>
    <cellStyle name="ハイパーリンク" xfId="1486" builtinId="8" hidden="1"/>
    <cellStyle name="ハイパーリンク" xfId="1488" builtinId="8" hidden="1"/>
    <cellStyle name="ハイパーリンク" xfId="1490" builtinId="8" hidden="1"/>
    <cellStyle name="ハイパーリンク" xfId="1492" builtinId="8" hidden="1"/>
    <cellStyle name="ハイパーリンク" xfId="1494" builtinId="8" hidden="1"/>
    <cellStyle name="ハイパーリンク" xfId="1496" builtinId="8" hidden="1"/>
    <cellStyle name="ハイパーリンク" xfId="1498" builtinId="8" hidden="1"/>
    <cellStyle name="ハイパーリンク" xfId="1500" builtinId="8" hidden="1"/>
    <cellStyle name="ハイパーリンク" xfId="1502" builtinId="8" hidden="1"/>
    <cellStyle name="ハイパーリンク" xfId="1504" builtinId="8" hidden="1"/>
    <cellStyle name="ハイパーリンク" xfId="1506" builtinId="8" hidden="1"/>
    <cellStyle name="ハイパーリンク" xfId="1508" builtinId="8" hidden="1"/>
    <cellStyle name="ハイパーリンク" xfId="1510" builtinId="8" hidden="1"/>
    <cellStyle name="ハイパーリンク" xfId="1512" builtinId="8" hidden="1"/>
    <cellStyle name="ハイパーリンク" xfId="1514" builtinId="8" hidden="1"/>
    <cellStyle name="ハイパーリンク" xfId="1516" builtinId="8" hidden="1"/>
    <cellStyle name="ハイパーリンク" xfId="1518" builtinId="8" hidden="1"/>
    <cellStyle name="ハイパーリンク" xfId="1520" builtinId="8" hidden="1"/>
    <cellStyle name="ハイパーリンク" xfId="1522" builtinId="8" hidden="1"/>
    <cellStyle name="ハイパーリンク" xfId="1524" builtinId="8" hidden="1"/>
    <cellStyle name="ハイパーリンク" xfId="1526" builtinId="8" hidden="1"/>
    <cellStyle name="ハイパーリンク" xfId="1528" builtinId="8" hidden="1"/>
    <cellStyle name="ハイパーリンク" xfId="1530" builtinId="8" hidden="1"/>
    <cellStyle name="ハイパーリンク" xfId="1532" builtinId="8" hidden="1"/>
    <cellStyle name="ハイパーリンク" xfId="1534" builtinId="8" hidden="1"/>
    <cellStyle name="ハイパーリンク" xfId="1536" builtinId="8" hidden="1"/>
    <cellStyle name="ハイパーリンク" xfId="1538" builtinId="8" hidden="1"/>
    <cellStyle name="ハイパーリンク" xfId="1540" builtinId="8" hidden="1"/>
    <cellStyle name="ハイパーリンク" xfId="1542" builtinId="8" hidden="1"/>
    <cellStyle name="ハイパーリンク" xfId="1544" builtinId="8" hidden="1"/>
    <cellStyle name="ハイパーリンク" xfId="1546" builtinId="8" hidden="1"/>
    <cellStyle name="ハイパーリンク" xfId="1548" builtinId="8" hidden="1"/>
    <cellStyle name="ハイパーリンク" xfId="1550" builtinId="8" hidden="1"/>
    <cellStyle name="ハイパーリンク" xfId="1552" builtinId="8" hidden="1"/>
    <cellStyle name="ハイパーリンク" xfId="1554" builtinId="8" hidden="1"/>
    <cellStyle name="ハイパーリンク" xfId="1556" builtinId="8" hidden="1"/>
    <cellStyle name="ハイパーリンク" xfId="1558" builtinId="8" hidden="1"/>
    <cellStyle name="ハイパーリンク" xfId="1560" builtinId="8" hidden="1"/>
    <cellStyle name="ハイパーリンク" xfId="1562" builtinId="8" hidden="1"/>
    <cellStyle name="ハイパーリンク" xfId="1564" builtinId="8" hidden="1"/>
    <cellStyle name="ハイパーリンク" xfId="1566" builtinId="8" hidden="1"/>
    <cellStyle name="ハイパーリンク" xfId="1568" builtinId="8" hidden="1"/>
    <cellStyle name="ハイパーリンク" xfId="1570" builtinId="8" hidden="1"/>
    <cellStyle name="ハイパーリンク" xfId="1572" builtinId="8" hidden="1"/>
    <cellStyle name="ハイパーリンク" xfId="1574" builtinId="8" hidden="1"/>
    <cellStyle name="ハイパーリンク" xfId="1576" builtinId="8" hidden="1"/>
    <cellStyle name="ハイパーリンク" xfId="1578" builtinId="8" hidden="1"/>
    <cellStyle name="ハイパーリンク" xfId="1580" builtinId="8" hidden="1"/>
    <cellStyle name="ハイパーリンク" xfId="1582" builtinId="8" hidden="1"/>
    <cellStyle name="ハイパーリンク" xfId="1584" builtinId="8" hidden="1"/>
    <cellStyle name="ハイパーリンク" xfId="1586" builtinId="8" hidden="1"/>
    <cellStyle name="ハイパーリンク" xfId="1588" builtinId="8" hidden="1"/>
    <cellStyle name="ハイパーリンク" xfId="1590" builtinId="8" hidden="1"/>
    <cellStyle name="ハイパーリンク" xfId="1592" builtinId="8" hidden="1"/>
    <cellStyle name="ハイパーリンク" xfId="1594" builtinId="8" hidden="1"/>
    <cellStyle name="ハイパーリンク" xfId="1596" builtinId="8" hidden="1"/>
    <cellStyle name="ハイパーリンク" xfId="1598" builtinId="8" hidden="1"/>
    <cellStyle name="ハイパーリンク" xfId="1600" builtinId="8" hidden="1"/>
    <cellStyle name="ハイパーリンク" xfId="1602" builtinId="8" hidden="1"/>
    <cellStyle name="ハイパーリンク" xfId="1604" builtinId="8" hidden="1"/>
    <cellStyle name="ハイパーリンク" xfId="1606" builtinId="8" hidden="1"/>
    <cellStyle name="ハイパーリンク" xfId="1608" builtinId="8" hidden="1"/>
    <cellStyle name="ハイパーリンク" xfId="1610" builtinId="8" hidden="1"/>
    <cellStyle name="ハイパーリンク" xfId="1612" builtinId="8" hidden="1"/>
    <cellStyle name="ハイパーリンク" xfId="1614" builtinId="8" hidden="1"/>
    <cellStyle name="ハイパーリンク" xfId="1616" builtinId="8" hidden="1"/>
    <cellStyle name="ハイパーリンク" xfId="1618" builtinId="8" hidden="1"/>
    <cellStyle name="ハイパーリンク" xfId="1620" builtinId="8" hidden="1"/>
    <cellStyle name="ハイパーリンク" xfId="1622" builtinId="8" hidden="1"/>
    <cellStyle name="ハイパーリンク" xfId="1624" builtinId="8" hidden="1"/>
    <cellStyle name="ハイパーリンク" xfId="1626" builtinId="8" hidden="1"/>
    <cellStyle name="ハイパーリンク" xfId="1628" builtinId="8" hidden="1"/>
    <cellStyle name="ハイパーリンク" xfId="1630" builtinId="8" hidden="1"/>
    <cellStyle name="ハイパーリンク" xfId="1632" builtinId="8" hidden="1"/>
    <cellStyle name="ハイパーリンク" xfId="1634" builtinId="8" hidden="1"/>
    <cellStyle name="ハイパーリンク" xfId="1636" builtinId="8" hidden="1"/>
    <cellStyle name="ハイパーリンク" xfId="1638" builtinId="8" hidden="1"/>
    <cellStyle name="ハイパーリンク" xfId="1640" builtinId="8" hidden="1"/>
    <cellStyle name="ハイパーリンク" xfId="1642" builtinId="8" hidden="1"/>
    <cellStyle name="ハイパーリンク" xfId="1644" builtinId="8" hidden="1"/>
    <cellStyle name="ハイパーリンク" xfId="1646" builtinId="8" hidden="1"/>
    <cellStyle name="ハイパーリンク" xfId="1648" builtinId="8" hidden="1"/>
    <cellStyle name="ハイパーリンク" xfId="1650" builtinId="8" hidden="1"/>
    <cellStyle name="ハイパーリンク" xfId="1652" builtinId="8" hidden="1"/>
    <cellStyle name="ハイパーリンク" xfId="1654" builtinId="8" hidden="1"/>
    <cellStyle name="ハイパーリンク" xfId="1656" builtinId="8" hidden="1"/>
    <cellStyle name="ハイパーリンク" xfId="1658" builtinId="8" hidden="1"/>
    <cellStyle name="ハイパーリンク" xfId="1660" builtinId="8" hidden="1"/>
    <cellStyle name="ハイパーリンク" xfId="1662" builtinId="8" hidden="1"/>
    <cellStyle name="ハイパーリンク" xfId="1664" builtinId="8" hidden="1"/>
    <cellStyle name="ハイパーリンク" xfId="1666" builtinId="8" hidden="1"/>
    <cellStyle name="ハイパーリンク" xfId="1668" builtinId="8" hidden="1"/>
    <cellStyle name="ハイパーリンク" xfId="1670" builtinId="8" hidden="1"/>
    <cellStyle name="ハイパーリンク" xfId="1672" builtinId="8" hidden="1"/>
    <cellStyle name="ハイパーリンク" xfId="1674" builtinId="8" hidden="1"/>
    <cellStyle name="ハイパーリンク" xfId="1676" builtinId="8" hidden="1"/>
    <cellStyle name="ハイパーリンク" xfId="1678" builtinId="8" hidden="1"/>
    <cellStyle name="ハイパーリンク" xfId="1680" builtinId="8" hidden="1"/>
    <cellStyle name="ハイパーリンク" xfId="1682" builtinId="8" hidden="1"/>
    <cellStyle name="ハイパーリンク" xfId="1684" builtinId="8" hidden="1"/>
    <cellStyle name="ハイパーリンク" xfId="1686" builtinId="8" hidden="1"/>
    <cellStyle name="ハイパーリンク" xfId="1688" builtinId="8" hidden="1"/>
    <cellStyle name="ハイパーリンク" xfId="1690" builtinId="8" hidden="1"/>
    <cellStyle name="ハイパーリンク" xfId="1692" builtinId="8" hidden="1"/>
    <cellStyle name="ハイパーリンク" xfId="1694" builtinId="8" hidden="1"/>
    <cellStyle name="ハイパーリンク" xfId="1696" builtinId="8" hidden="1"/>
    <cellStyle name="ハイパーリンク" xfId="1698" builtinId="8" hidden="1"/>
    <cellStyle name="ハイパーリンク" xfId="1700" builtinId="8" hidden="1"/>
    <cellStyle name="ハイパーリンク" xfId="1702" builtinId="8" hidden="1"/>
    <cellStyle name="ハイパーリンク" xfId="1704" builtinId="8" hidden="1"/>
    <cellStyle name="ハイパーリンク" xfId="1706" builtinId="8" hidden="1"/>
    <cellStyle name="ハイパーリンク" xfId="1708" builtinId="8" hidden="1"/>
    <cellStyle name="ハイパーリンク" xfId="1710" builtinId="8" hidden="1"/>
    <cellStyle name="ハイパーリンク" xfId="1712" builtinId="8" hidden="1"/>
    <cellStyle name="ハイパーリンク" xfId="1714" builtinId="8" hidden="1"/>
    <cellStyle name="ハイパーリンク" xfId="1716" builtinId="8" hidden="1"/>
    <cellStyle name="ハイパーリンク" xfId="1718" builtinId="8" hidden="1"/>
    <cellStyle name="ハイパーリンク" xfId="1720" builtinId="8" hidden="1"/>
    <cellStyle name="ハイパーリンク" xfId="1722" builtinId="8" hidden="1"/>
    <cellStyle name="ハイパーリンク" xfId="1724" builtinId="8" hidden="1"/>
    <cellStyle name="ハイパーリンク" xfId="1726" builtinId="8" hidden="1"/>
    <cellStyle name="ハイパーリンク" xfId="1728" builtinId="8" hidden="1"/>
    <cellStyle name="ハイパーリンク" xfId="1730" builtinId="8" hidden="1"/>
    <cellStyle name="ハイパーリンク" xfId="1732" builtinId="8" hidden="1"/>
    <cellStyle name="ハイパーリンク" xfId="1734" builtinId="8" hidden="1"/>
    <cellStyle name="ハイパーリンク" xfId="1736" builtinId="8" hidden="1"/>
    <cellStyle name="ハイパーリンク" xfId="1738" builtinId="8" hidden="1"/>
    <cellStyle name="ハイパーリンク" xfId="1740" builtinId="8" hidden="1"/>
    <cellStyle name="ハイパーリンク" xfId="1742" builtinId="8" hidden="1"/>
    <cellStyle name="ハイパーリンク" xfId="1744" builtinId="8" hidden="1"/>
    <cellStyle name="ハイパーリンク" xfId="1746" builtinId="8" hidden="1"/>
    <cellStyle name="ハイパーリンク" xfId="1748" builtinId="8" hidden="1"/>
    <cellStyle name="ハイパーリンク" xfId="1750" builtinId="8" hidden="1"/>
    <cellStyle name="ハイパーリンク" xfId="1752" builtinId="8" hidden="1"/>
    <cellStyle name="ハイパーリンク" xfId="1754" builtinId="8" hidden="1"/>
    <cellStyle name="ハイパーリンク" xfId="1756" builtinId="8" hidden="1"/>
    <cellStyle name="ハイパーリンク" xfId="1758" builtinId="8" hidden="1"/>
    <cellStyle name="ハイパーリンク" xfId="1760" builtinId="8" hidden="1"/>
    <cellStyle name="ハイパーリンク" xfId="1762" builtinId="8" hidden="1"/>
    <cellStyle name="ハイパーリンク" xfId="1764" builtinId="8" hidden="1"/>
    <cellStyle name="ハイパーリンク" xfId="1766" builtinId="8" hidden="1"/>
    <cellStyle name="ハイパーリンク" xfId="1768" builtinId="8" hidden="1"/>
    <cellStyle name="ハイパーリンク" xfId="1770" builtinId="8" hidden="1"/>
    <cellStyle name="ハイパーリンク" xfId="1772" builtinId="8" hidden="1"/>
    <cellStyle name="ハイパーリンク" xfId="1774" builtinId="8" hidden="1"/>
    <cellStyle name="ハイパーリンク" xfId="1776" builtinId="8" hidden="1"/>
    <cellStyle name="ハイパーリンク" xfId="1778" builtinId="8" hidden="1"/>
    <cellStyle name="ハイパーリンク" xfId="1780" builtinId="8" hidden="1"/>
    <cellStyle name="ハイパーリンク" xfId="1782" builtinId="8" hidden="1"/>
    <cellStyle name="ハイパーリンク" xfId="1784" builtinId="8" hidden="1"/>
    <cellStyle name="ハイパーリンク" xfId="1786" builtinId="8" hidden="1"/>
    <cellStyle name="ハイパーリンク" xfId="1788" builtinId="8" hidden="1"/>
    <cellStyle name="ハイパーリンク" xfId="1790" builtinId="8" hidden="1"/>
    <cellStyle name="ハイパーリンク" xfId="1792" builtinId="8" hidden="1"/>
    <cellStyle name="ハイパーリンク" xfId="1794" builtinId="8" hidden="1"/>
    <cellStyle name="ハイパーリンク" xfId="1796" builtinId="8" hidden="1"/>
    <cellStyle name="ハイパーリンク" xfId="1798" builtinId="8" hidden="1"/>
    <cellStyle name="ハイパーリンク" xfId="1800" builtinId="8" hidden="1"/>
    <cellStyle name="ハイパーリンク" xfId="1802" builtinId="8" hidden="1"/>
    <cellStyle name="ハイパーリンク" xfId="1804" builtinId="8" hidden="1"/>
    <cellStyle name="ハイパーリンク" xfId="1806" builtinId="8" hidden="1"/>
    <cellStyle name="ハイパーリンク" xfId="1808" builtinId="8" hidden="1"/>
    <cellStyle name="ハイパーリンク" xfId="1810" builtinId="8" hidden="1"/>
    <cellStyle name="ハイパーリンク" xfId="1812" builtinId="8" hidden="1"/>
    <cellStyle name="ハイパーリンク" xfId="1814" builtinId="8" hidden="1"/>
    <cellStyle name="ハイパーリンク" xfId="1816" builtinId="8" hidden="1"/>
    <cellStyle name="ハイパーリンク" xfId="1818" builtinId="8" hidden="1"/>
    <cellStyle name="ハイパーリンク" xfId="1820" builtinId="8" hidden="1"/>
    <cellStyle name="ハイパーリンク" xfId="1822" builtinId="8" hidden="1"/>
    <cellStyle name="ハイパーリンク" xfId="1824" builtinId="8" hidden="1"/>
    <cellStyle name="ハイパーリンク" xfId="1826" builtinId="8" hidden="1"/>
    <cellStyle name="ハイパーリンク" xfId="1828" builtinId="8" hidden="1"/>
    <cellStyle name="ハイパーリンク" xfId="1830" builtinId="8" hidden="1"/>
    <cellStyle name="ハイパーリンク" xfId="1832" builtinId="8" hidden="1"/>
    <cellStyle name="ハイパーリンク" xfId="1834" builtinId="8" hidden="1"/>
    <cellStyle name="ハイパーリンク" xfId="1836" builtinId="8" hidden="1"/>
    <cellStyle name="ハイパーリンク" xfId="1838" builtinId="8" hidden="1"/>
    <cellStyle name="ハイパーリンク" xfId="1840" builtinId="8" hidden="1"/>
    <cellStyle name="ハイパーリンク" xfId="1842" builtinId="8" hidden="1"/>
    <cellStyle name="ハイパーリンク" xfId="1844" builtinId="8" hidden="1"/>
    <cellStyle name="ハイパーリンク" xfId="1846" builtinId="8" hidden="1"/>
    <cellStyle name="ハイパーリンク" xfId="1848" builtinId="8" hidden="1"/>
    <cellStyle name="ハイパーリンク" xfId="1850" builtinId="8" hidden="1"/>
    <cellStyle name="ハイパーリンク" xfId="1852" builtinId="8" hidden="1"/>
    <cellStyle name="ハイパーリンク" xfId="1854" builtinId="8" hidden="1"/>
    <cellStyle name="ハイパーリンク" xfId="1856" builtinId="8" hidden="1"/>
    <cellStyle name="ハイパーリンク" xfId="1858" builtinId="8" hidden="1"/>
    <cellStyle name="ハイパーリンク" xfId="1860" builtinId="8" hidden="1"/>
    <cellStyle name="ハイパーリンク" xfId="1862" builtinId="8" hidden="1"/>
    <cellStyle name="ハイパーリンク" xfId="1864" builtinId="8" hidden="1"/>
    <cellStyle name="ハイパーリンク" xfId="1866" builtinId="8" hidden="1"/>
    <cellStyle name="ハイパーリンク" xfId="1868" builtinId="8" hidden="1"/>
    <cellStyle name="ハイパーリンク" xfId="1870" builtinId="8" hidden="1"/>
    <cellStyle name="ハイパーリンク" xfId="1872" builtinId="8" hidden="1"/>
    <cellStyle name="ハイパーリンク" xfId="1874" builtinId="8" hidden="1"/>
    <cellStyle name="ハイパーリンク" xfId="1876" builtinId="8" hidden="1"/>
    <cellStyle name="ハイパーリンク" xfId="1878" builtinId="8" hidden="1"/>
    <cellStyle name="ハイパーリンク" xfId="1880" builtinId="8" hidden="1"/>
    <cellStyle name="ハイパーリンク" xfId="1882" builtinId="8" hidden="1"/>
    <cellStyle name="ハイパーリンク" xfId="1884" builtinId="8" hidden="1"/>
    <cellStyle name="ハイパーリンク" xfId="1886" builtinId="8" hidden="1"/>
    <cellStyle name="ハイパーリンク" xfId="1888" builtinId="8" hidden="1"/>
    <cellStyle name="ハイパーリンク" xfId="1890" builtinId="8" hidden="1"/>
    <cellStyle name="ハイパーリンク" xfId="1892" builtinId="8" hidden="1"/>
    <cellStyle name="ハイパーリンク" xfId="1894" builtinId="8" hidden="1"/>
    <cellStyle name="ハイパーリンク" xfId="1896" builtinId="8" hidden="1"/>
    <cellStyle name="ハイパーリンク" xfId="1898" builtinId="8" hidden="1"/>
    <cellStyle name="ハイパーリンク" xfId="1900" builtinId="8" hidden="1"/>
    <cellStyle name="ハイパーリンク" xfId="1902" builtinId="8" hidden="1"/>
    <cellStyle name="ハイパーリンク" xfId="1904" builtinId="8" hidden="1"/>
    <cellStyle name="ハイパーリンク" xfId="1906" builtinId="8" hidden="1"/>
    <cellStyle name="ハイパーリンク" xfId="1908" builtinId="8" hidden="1"/>
    <cellStyle name="ハイパーリンク" xfId="1910" builtinId="8" hidden="1"/>
    <cellStyle name="ハイパーリンク" xfId="1912" builtinId="8" hidden="1"/>
    <cellStyle name="ハイパーリンク" xfId="1914" builtinId="8" hidden="1"/>
    <cellStyle name="ハイパーリンク" xfId="1916" builtinId="8" hidden="1"/>
    <cellStyle name="ハイパーリンク" xfId="1918" builtinId="8" hidden="1"/>
    <cellStyle name="ハイパーリンク" xfId="1920" builtinId="8" hidden="1"/>
    <cellStyle name="ハイパーリンク" xfId="1922" builtinId="8" hidden="1"/>
    <cellStyle name="ハイパーリンク" xfId="1924" builtinId="8" hidden="1"/>
    <cellStyle name="ハイパーリンク" xfId="1926" builtinId="8" hidden="1"/>
    <cellStyle name="ハイパーリンク" xfId="1928" builtinId="8" hidden="1"/>
    <cellStyle name="ハイパーリンク" xfId="1930" builtinId="8" hidden="1"/>
    <cellStyle name="ハイパーリンク" xfId="1932" builtinId="8" hidden="1"/>
    <cellStyle name="ハイパーリンク" xfId="1934" builtinId="8" hidden="1"/>
    <cellStyle name="ハイパーリンク" xfId="1936" builtinId="8" hidden="1"/>
    <cellStyle name="ハイパーリンク" xfId="1938" builtinId="8" hidden="1"/>
    <cellStyle name="ハイパーリンク" xfId="1940" builtinId="8" hidden="1"/>
    <cellStyle name="ハイパーリンク" xfId="1942" builtinId="8" hidden="1"/>
    <cellStyle name="ハイパーリンク" xfId="1944" builtinId="8" hidden="1"/>
    <cellStyle name="ハイパーリンク" xfId="1946" builtinId="8" hidden="1"/>
    <cellStyle name="ハイパーリンク" xfId="1948" builtinId="8" hidden="1"/>
    <cellStyle name="ハイパーリンク" xfId="1950" builtinId="8" hidden="1"/>
    <cellStyle name="ハイパーリンク" xfId="1952" builtinId="8" hidden="1"/>
    <cellStyle name="ハイパーリンク" xfId="1954" builtinId="8" hidden="1"/>
    <cellStyle name="ハイパーリンク" xfId="1956" builtinId="8" hidden="1"/>
    <cellStyle name="ハイパーリンク" xfId="1958" builtinId="8" hidden="1"/>
    <cellStyle name="ハイパーリンク" xfId="1960" builtinId="8" hidden="1"/>
    <cellStyle name="ハイパーリンク" xfId="1962" builtinId="8" hidden="1"/>
    <cellStyle name="ハイパーリンク" xfId="1964" builtinId="8" hidden="1"/>
    <cellStyle name="ハイパーリンク" xfId="1966" builtinId="8" hidden="1"/>
    <cellStyle name="ハイパーリンク" xfId="1968" builtinId="8" hidden="1"/>
    <cellStyle name="ハイパーリンク" xfId="1970" builtinId="8" hidden="1"/>
    <cellStyle name="ハイパーリンク" xfId="1972" builtinId="8" hidden="1"/>
    <cellStyle name="ハイパーリンク" xfId="1974" builtinId="8" hidden="1"/>
    <cellStyle name="ハイパーリンク" xfId="1976" builtinId="8" hidden="1"/>
    <cellStyle name="ハイパーリンク" xfId="1978" builtinId="8" hidden="1"/>
    <cellStyle name="ハイパーリンク" xfId="1980" builtinId="8" hidden="1"/>
    <cellStyle name="ハイパーリンク" xfId="1982" builtinId="8" hidden="1"/>
    <cellStyle name="ハイパーリンク" xfId="1984" builtinId="8" hidden="1"/>
    <cellStyle name="ハイパーリンク" xfId="1986" builtinId="8" hidden="1"/>
    <cellStyle name="ハイパーリンク" xfId="1988" builtinId="8" hidden="1"/>
    <cellStyle name="ハイパーリンク" xfId="1990" builtinId="8" hidden="1"/>
    <cellStyle name="ハイパーリンク" xfId="1992" builtinId="8" hidden="1"/>
    <cellStyle name="ハイパーリンク" xfId="1994" builtinId="8" hidden="1"/>
    <cellStyle name="ハイパーリンク" xfId="1996" builtinId="8" hidden="1"/>
    <cellStyle name="ハイパーリンク" xfId="1998" builtinId="8" hidden="1"/>
    <cellStyle name="ハイパーリンク" xfId="2000" builtinId="8" hidden="1"/>
    <cellStyle name="ハイパーリンク" xfId="2002" builtinId="8" hidden="1"/>
    <cellStyle name="ハイパーリンク" xfId="2004" builtinId="8" hidden="1"/>
    <cellStyle name="ハイパーリンク" xfId="2006" builtinId="8" hidden="1"/>
    <cellStyle name="ハイパーリンク" xfId="2008" builtinId="8" hidden="1"/>
    <cellStyle name="ハイパーリンク" xfId="2010" builtinId="8" hidden="1"/>
    <cellStyle name="ハイパーリンク" xfId="2012" builtinId="8" hidden="1"/>
    <cellStyle name="ハイパーリンク" xfId="2014" builtinId="8" hidden="1"/>
    <cellStyle name="ハイパーリンク" xfId="2016" builtinId="8" hidden="1"/>
    <cellStyle name="ハイパーリンク" xfId="2018" builtinId="8" hidden="1"/>
    <cellStyle name="ハイパーリンク" xfId="2020" builtinId="8" hidden="1"/>
    <cellStyle name="ハイパーリンク" xfId="2022" builtinId="8" hidden="1"/>
    <cellStyle name="ハイパーリンク" xfId="2024" builtinId="8" hidden="1"/>
    <cellStyle name="ハイパーリンク" xfId="2026" builtinId="8" hidden="1"/>
    <cellStyle name="ハイパーリンク" xfId="2028" builtinId="8" hidden="1"/>
    <cellStyle name="ハイパーリンク" xfId="2030" builtinId="8" hidden="1"/>
    <cellStyle name="ハイパーリンク" xfId="2032" builtinId="8" hidden="1"/>
    <cellStyle name="ハイパーリンク" xfId="2034" builtinId="8" hidden="1"/>
    <cellStyle name="ハイパーリンク" xfId="2036" builtinId="8" hidden="1"/>
    <cellStyle name="ハイパーリンク" xfId="2038" builtinId="8" hidden="1"/>
    <cellStyle name="ハイパーリンク" xfId="2040" builtinId="8" hidden="1"/>
    <cellStyle name="ハイパーリンク" xfId="2042" builtinId="8" hidden="1"/>
    <cellStyle name="ハイパーリンク" xfId="2044" builtinId="8" hidden="1"/>
    <cellStyle name="ハイパーリンク" xfId="2046" builtinId="8" hidden="1"/>
    <cellStyle name="ハイパーリンク" xfId="2048" builtinId="8" hidden="1"/>
    <cellStyle name="ハイパーリンク" xfId="2050" builtinId="8" hidden="1"/>
    <cellStyle name="ハイパーリンク" xfId="2052" builtinId="8" hidden="1"/>
    <cellStyle name="ハイパーリンク" xfId="2054" builtinId="8" hidden="1"/>
    <cellStyle name="ハイパーリンク" xfId="2056" builtinId="8" hidden="1"/>
    <cellStyle name="ハイパーリンク" xfId="2058" builtinId="8" hidden="1"/>
    <cellStyle name="ハイパーリンク" xfId="2060" builtinId="8" hidden="1"/>
    <cellStyle name="ハイパーリンク" xfId="2062" builtinId="8" hidden="1"/>
    <cellStyle name="ハイパーリンク" xfId="2064" builtinId="8" hidden="1"/>
    <cellStyle name="ハイパーリンク" xfId="2066" builtinId="8" hidden="1"/>
    <cellStyle name="ハイパーリンク" xfId="2068" builtinId="8" hidden="1"/>
    <cellStyle name="ハイパーリンク" xfId="2070" builtinId="8" hidden="1"/>
    <cellStyle name="ハイパーリンク" xfId="2072" builtinId="8" hidden="1"/>
    <cellStyle name="ハイパーリンク" xfId="2074" builtinId="8" hidden="1"/>
    <cellStyle name="ハイパーリンク" xfId="2076" builtinId="8" hidden="1"/>
    <cellStyle name="ハイパーリンク" xfId="2078" builtinId="8" hidden="1"/>
    <cellStyle name="ハイパーリンク" xfId="2080" builtinId="8" hidden="1"/>
    <cellStyle name="ハイパーリンク" xfId="2082" builtinId="8" hidden="1"/>
    <cellStyle name="ハイパーリンク" xfId="2084" builtinId="8" hidden="1"/>
    <cellStyle name="ハイパーリンク" xfId="2086" builtinId="8" hidden="1"/>
    <cellStyle name="ハイパーリンク" xfId="2088" builtinId="8" hidden="1"/>
    <cellStyle name="ハイパーリンク" xfId="2090" builtinId="8" hidden="1"/>
    <cellStyle name="ハイパーリンク" xfId="2092" builtinId="8" hidden="1"/>
    <cellStyle name="ハイパーリンク" xfId="2094" builtinId="8" hidden="1"/>
    <cellStyle name="ハイパーリンク" xfId="2096" builtinId="8" hidden="1"/>
    <cellStyle name="ハイパーリンク" xfId="2098" builtinId="8" hidden="1"/>
    <cellStyle name="ハイパーリンク" xfId="2100" builtinId="8" hidden="1"/>
    <cellStyle name="ハイパーリンク" xfId="2102" builtinId="8" hidden="1"/>
    <cellStyle name="ハイパーリンク" xfId="2104" builtinId="8" hidden="1"/>
    <cellStyle name="ハイパーリンク" xfId="2106" builtinId="8" hidden="1"/>
    <cellStyle name="ハイパーリンク" xfId="2108" builtinId="8" hidden="1"/>
    <cellStyle name="ハイパーリンク" xfId="2110" builtinId="8" hidden="1"/>
    <cellStyle name="ハイパーリンク" xfId="2112" builtinId="8" hidden="1"/>
    <cellStyle name="ハイパーリンク" xfId="2114" builtinId="8" hidden="1"/>
    <cellStyle name="ハイパーリンク" xfId="2116" builtinId="8" hidden="1"/>
    <cellStyle name="ハイパーリンク" xfId="2118" builtinId="8" hidden="1"/>
    <cellStyle name="ハイパーリンク" xfId="2120" builtinId="8" hidden="1"/>
    <cellStyle name="ハイパーリンク" xfId="2122" builtinId="8" hidden="1"/>
    <cellStyle name="ハイパーリンク" xfId="2124" builtinId="8" hidden="1"/>
    <cellStyle name="ハイパーリンク" xfId="2126" builtinId="8" hidden="1"/>
    <cellStyle name="ハイパーリンク" xfId="2128" builtinId="8" hidden="1"/>
    <cellStyle name="ハイパーリンク" xfId="2130" builtinId="8" hidden="1"/>
    <cellStyle name="ハイパーリンク" xfId="2132" builtinId="8" hidden="1"/>
    <cellStyle name="ハイパーリンク" xfId="2134" builtinId="8" hidden="1"/>
    <cellStyle name="ハイパーリンク" xfId="2136" builtinId="8" hidden="1"/>
    <cellStyle name="ハイパーリンク" xfId="2138" builtinId="8" hidden="1"/>
    <cellStyle name="ハイパーリンク" xfId="2140" builtinId="8" hidden="1"/>
    <cellStyle name="ハイパーリンク" xfId="2142" builtinId="8" hidden="1"/>
    <cellStyle name="ハイパーリンク" xfId="2144" builtinId="8" hidden="1"/>
    <cellStyle name="ハイパーリンク" xfId="2146" builtinId="8" hidden="1"/>
    <cellStyle name="ハイパーリンク" xfId="2148" builtinId="8" hidden="1"/>
    <cellStyle name="ハイパーリンク" xfId="2150" builtinId="8" hidden="1"/>
    <cellStyle name="ハイパーリンク" xfId="2152" builtinId="8" hidden="1"/>
    <cellStyle name="ハイパーリンク" xfId="2154" builtinId="8" hidden="1"/>
    <cellStyle name="ハイパーリンク" xfId="2156" builtinId="8" hidden="1"/>
    <cellStyle name="ハイパーリンク" xfId="2158" builtinId="8" hidden="1"/>
    <cellStyle name="ハイパーリンク" xfId="2160" builtinId="8" hidden="1"/>
    <cellStyle name="ハイパーリンク" xfId="2162" builtinId="8" hidden="1"/>
    <cellStyle name="ハイパーリンク" xfId="2164" builtinId="8" hidden="1"/>
    <cellStyle name="ハイパーリンク" xfId="2166" builtinId="8" hidden="1"/>
    <cellStyle name="ハイパーリンク" xfId="2168" builtinId="8" hidden="1"/>
    <cellStyle name="ハイパーリンク" xfId="2170" builtinId="8" hidden="1"/>
    <cellStyle name="ハイパーリンク" xfId="2172" builtinId="8" hidden="1"/>
    <cellStyle name="ハイパーリンク" xfId="2174" builtinId="8" hidden="1"/>
    <cellStyle name="ハイパーリンク" xfId="2176" builtinId="8" hidden="1"/>
    <cellStyle name="ハイパーリンク" xfId="2178" builtinId="8" hidden="1"/>
    <cellStyle name="ハイパーリンク" xfId="2180" builtinId="8" hidden="1"/>
    <cellStyle name="ハイパーリンク" xfId="2182" builtinId="8" hidden="1"/>
    <cellStyle name="ハイパーリンク" xfId="2184" builtinId="8" hidden="1"/>
    <cellStyle name="ハイパーリンク" xfId="2186" builtinId="8" hidden="1"/>
    <cellStyle name="ハイパーリンク" xfId="2188" builtinId="8" hidden="1"/>
    <cellStyle name="ハイパーリンク" xfId="2190" builtinId="8" hidden="1"/>
    <cellStyle name="ハイパーリンク" xfId="2192" builtinId="8" hidden="1"/>
    <cellStyle name="ハイパーリンク" xfId="2194" builtinId="8" hidden="1"/>
    <cellStyle name="ハイパーリンク" xfId="2196" builtinId="8" hidden="1"/>
    <cellStyle name="ハイパーリンク" xfId="2198" builtinId="8" hidden="1"/>
    <cellStyle name="ハイパーリンク" xfId="2200" builtinId="8" hidden="1"/>
    <cellStyle name="ハイパーリンク" xfId="2202" builtinId="8" hidden="1"/>
    <cellStyle name="ハイパーリンク" xfId="2204" builtinId="8" hidden="1"/>
    <cellStyle name="ハイパーリンク" xfId="2206" builtinId="8" hidden="1"/>
    <cellStyle name="ハイパーリンク" xfId="2208" builtinId="8" hidden="1"/>
    <cellStyle name="ハイパーリンク" xfId="2210" builtinId="8" hidden="1"/>
    <cellStyle name="ハイパーリンク" xfId="2212" builtinId="8" hidden="1"/>
    <cellStyle name="ハイパーリンク" xfId="2214" builtinId="8" hidden="1"/>
    <cellStyle name="ハイパーリンク" xfId="2216" builtinId="8" hidden="1"/>
    <cellStyle name="ハイパーリンク" xfId="2218" builtinId="8" hidden="1"/>
    <cellStyle name="ハイパーリンク" xfId="2220" builtinId="8" hidden="1"/>
    <cellStyle name="ハイパーリンク" xfId="2222" builtinId="8" hidden="1"/>
    <cellStyle name="ハイパーリンク" xfId="2224" builtinId="8" hidden="1"/>
    <cellStyle name="ハイパーリンク" xfId="2226" builtinId="8" hidden="1"/>
    <cellStyle name="ハイパーリンク" xfId="2228" builtinId="8" hidden="1"/>
    <cellStyle name="ハイパーリンク" xfId="2230" builtinId="8" hidden="1"/>
    <cellStyle name="ハイパーリンク" xfId="2232" builtinId="8" hidden="1"/>
    <cellStyle name="ハイパーリンク" xfId="2234" builtinId="8" hidden="1"/>
    <cellStyle name="ハイパーリンク" xfId="2236" builtinId="8" hidden="1"/>
    <cellStyle name="ハイパーリンク" xfId="2238" builtinId="8" hidden="1"/>
    <cellStyle name="ハイパーリンク" xfId="2240" builtinId="8" hidden="1"/>
    <cellStyle name="ハイパーリンク" xfId="2242" builtinId="8" hidden="1"/>
    <cellStyle name="ハイパーリンク" xfId="2244" builtinId="8" hidden="1"/>
    <cellStyle name="ハイパーリンク" xfId="2246" builtinId="8" hidden="1"/>
    <cellStyle name="ハイパーリンク" xfId="2248" builtinId="8" hidden="1"/>
    <cellStyle name="ハイパーリンク" xfId="2250" builtinId="8" hidden="1"/>
    <cellStyle name="ハイパーリンク" xfId="2252" builtinId="8" hidden="1"/>
    <cellStyle name="ハイパーリンク" xfId="2254" builtinId="8" hidden="1"/>
    <cellStyle name="ハイパーリンク" xfId="2256" builtinId="8" hidden="1"/>
    <cellStyle name="ハイパーリンク" xfId="2258" builtinId="8" hidden="1"/>
    <cellStyle name="ハイパーリンク" xfId="2260" builtinId="8" hidden="1"/>
    <cellStyle name="ハイパーリンク" xfId="2262" builtinId="8" hidden="1"/>
    <cellStyle name="ハイパーリンク" xfId="2264" builtinId="8" hidden="1"/>
    <cellStyle name="ハイパーリンク" xfId="2266" builtinId="8" hidden="1"/>
    <cellStyle name="ハイパーリンク" xfId="2268" builtinId="8" hidden="1"/>
    <cellStyle name="ハイパーリンク" xfId="2270" builtinId="8" hidden="1"/>
    <cellStyle name="ハイパーリンク" xfId="2272" builtinId="8" hidden="1"/>
    <cellStyle name="ハイパーリンク" xfId="2274" builtinId="8" hidden="1"/>
    <cellStyle name="ハイパーリンク" xfId="2276" builtinId="8" hidden="1"/>
    <cellStyle name="ハイパーリンク" xfId="2278" builtinId="8" hidden="1"/>
    <cellStyle name="ハイパーリンク" xfId="2280" builtinId="8" hidden="1"/>
    <cellStyle name="ハイパーリンク" xfId="2282" builtinId="8" hidden="1"/>
    <cellStyle name="ハイパーリンク" xfId="2284" builtinId="8" hidden="1"/>
    <cellStyle name="ハイパーリンク" xfId="2286" builtinId="8" hidden="1"/>
    <cellStyle name="ハイパーリンク" xfId="2288" builtinId="8" hidden="1"/>
    <cellStyle name="ハイパーリンク" xfId="2290" builtinId="8" hidden="1"/>
    <cellStyle name="ハイパーリンク" xfId="2292" builtinId="8" hidden="1"/>
    <cellStyle name="ハイパーリンク" xfId="2294" builtinId="8" hidden="1"/>
    <cellStyle name="ハイパーリンク" xfId="2296" builtinId="8" hidden="1"/>
    <cellStyle name="ハイパーリンク" xfId="2298" builtinId="8" hidden="1"/>
    <cellStyle name="ハイパーリンク" xfId="2300" builtinId="8" hidden="1"/>
    <cellStyle name="ハイパーリンク" xfId="2302" builtinId="8" hidden="1"/>
    <cellStyle name="ハイパーリンク" xfId="2304" builtinId="8" hidden="1"/>
    <cellStyle name="ハイパーリンク" xfId="2306" builtinId="8" hidden="1"/>
    <cellStyle name="ハイパーリンク" xfId="2308" builtinId="8" hidden="1"/>
    <cellStyle name="ハイパーリンク" xfId="2310" builtinId="8" hidden="1"/>
    <cellStyle name="ハイパーリンク" xfId="2312" builtinId="8" hidden="1"/>
    <cellStyle name="ハイパーリンク" xfId="2314" builtinId="8" hidden="1"/>
    <cellStyle name="ハイパーリンク" xfId="2316" builtinId="8" hidden="1"/>
    <cellStyle name="ハイパーリンク" xfId="2318" builtinId="8" hidden="1"/>
    <cellStyle name="ハイパーリンク" xfId="2320" builtinId="8" hidden="1"/>
    <cellStyle name="ハイパーリンク" xfId="2322" builtinId="8" hidden="1"/>
    <cellStyle name="ハイパーリンク" xfId="2324" builtinId="8" hidden="1"/>
    <cellStyle name="ハイパーリンク" xfId="2326" builtinId="8" hidden="1"/>
    <cellStyle name="ハイパーリンク" xfId="2328" builtinId="8" hidden="1"/>
    <cellStyle name="ハイパーリンク" xfId="2330" builtinId="8" hidden="1"/>
    <cellStyle name="ハイパーリンク" xfId="2332" builtinId="8" hidden="1"/>
    <cellStyle name="ハイパーリンク" xfId="2334" builtinId="8" hidden="1"/>
    <cellStyle name="ハイパーリンク" xfId="2336" builtinId="8" hidden="1"/>
    <cellStyle name="ハイパーリンク" xfId="2338" builtinId="8" hidden="1"/>
    <cellStyle name="ハイパーリンク" xfId="2340" builtinId="8" hidden="1"/>
    <cellStyle name="ハイパーリンク" xfId="2342" builtinId="8" hidden="1"/>
    <cellStyle name="ハイパーリンク" xfId="2344" builtinId="8" hidden="1"/>
    <cellStyle name="ハイパーリンク" xfId="2346" builtinId="8" hidden="1"/>
    <cellStyle name="ハイパーリンク" xfId="2348" builtinId="8" hidden="1"/>
    <cellStyle name="ハイパーリンク" xfId="2350" builtinId="8" hidden="1"/>
    <cellStyle name="ハイパーリンク" xfId="2352" builtinId="8" hidden="1"/>
    <cellStyle name="ハイパーリンク" xfId="2354" builtinId="8" hidden="1"/>
    <cellStyle name="ハイパーリンク" xfId="2356" builtinId="8" hidden="1"/>
    <cellStyle name="ハイパーリンク" xfId="2358" builtinId="8" hidden="1"/>
    <cellStyle name="ハイパーリンク" xfId="2360" builtinId="8" hidden="1"/>
    <cellStyle name="ハイパーリンク" xfId="2362" builtinId="8" hidden="1"/>
    <cellStyle name="ハイパーリンク" xfId="2364" builtinId="8" hidden="1"/>
    <cellStyle name="ハイパーリンク" xfId="2366" builtinId="8" hidden="1"/>
    <cellStyle name="ハイパーリンク" xfId="2368" builtinId="8" hidden="1"/>
    <cellStyle name="ハイパーリンク" xfId="2370" builtinId="8" hidden="1"/>
    <cellStyle name="ハイパーリンク" xfId="2372" builtinId="8" hidden="1"/>
    <cellStyle name="ハイパーリンク" xfId="2374" builtinId="8" hidden="1"/>
    <cellStyle name="ハイパーリンク" xfId="2376" builtinId="8" hidden="1"/>
    <cellStyle name="ハイパーリンク" xfId="2378" builtinId="8" hidden="1"/>
    <cellStyle name="ハイパーリンク" xfId="2380" builtinId="8" hidden="1"/>
    <cellStyle name="ハイパーリンク" xfId="2382" builtinId="8" hidden="1"/>
    <cellStyle name="ハイパーリンク" xfId="2384" builtinId="8" hidden="1"/>
    <cellStyle name="ハイパーリンク" xfId="2386" builtinId="8" hidden="1"/>
    <cellStyle name="ハイパーリンク" xfId="2388" builtinId="8" hidden="1"/>
    <cellStyle name="ハイパーリンク" xfId="2390" builtinId="8" hidden="1"/>
    <cellStyle name="ハイパーリンク" xfId="2392" builtinId="8" hidden="1"/>
    <cellStyle name="ハイパーリンク" xfId="2394" builtinId="8" hidden="1"/>
    <cellStyle name="ハイパーリンク" xfId="2396" builtinId="8" hidden="1"/>
    <cellStyle name="ハイパーリンク" xfId="2398" builtinId="8" hidden="1"/>
    <cellStyle name="ハイパーリンク" xfId="2400" builtinId="8" hidden="1"/>
    <cellStyle name="ハイパーリンク" xfId="2402" builtinId="8" hidden="1"/>
    <cellStyle name="ハイパーリンク" xfId="2404" builtinId="8" hidden="1"/>
    <cellStyle name="ハイパーリンク" xfId="2406" builtinId="8" hidden="1"/>
    <cellStyle name="ハイパーリンク" xfId="2408" builtinId="8" hidden="1"/>
    <cellStyle name="ハイパーリンク" xfId="2410" builtinId="8" hidden="1"/>
    <cellStyle name="ハイパーリンク" xfId="2412" builtinId="8" hidden="1"/>
    <cellStyle name="ハイパーリンク" xfId="2414" builtinId="8" hidden="1"/>
    <cellStyle name="ハイパーリンク" xfId="2416" builtinId="8" hidden="1"/>
    <cellStyle name="ハイパーリンク" xfId="2418" builtinId="8" hidden="1"/>
    <cellStyle name="ハイパーリンク" xfId="2420" builtinId="8" hidden="1"/>
    <cellStyle name="ハイパーリンク" xfId="2422" builtinId="8" hidden="1"/>
    <cellStyle name="ハイパーリンク" xfId="2424" builtinId="8" hidden="1"/>
    <cellStyle name="ハイパーリンク" xfId="2426" builtinId="8" hidden="1"/>
    <cellStyle name="ハイパーリンク" xfId="2428" builtinId="8" hidden="1"/>
    <cellStyle name="ハイパーリンク" xfId="2430" builtinId="8" hidden="1"/>
    <cellStyle name="ハイパーリンク" xfId="2432" builtinId="8" hidden="1"/>
    <cellStyle name="ハイパーリンク" xfId="2434" builtinId="8" hidden="1"/>
    <cellStyle name="ハイパーリンク" xfId="2436" builtinId="8" hidden="1"/>
    <cellStyle name="ハイパーリンク" xfId="2438" builtinId="8" hidden="1"/>
    <cellStyle name="ハイパーリンク" xfId="2440" builtinId="8" hidden="1"/>
    <cellStyle name="ハイパーリンク" xfId="2442" builtinId="8" hidden="1"/>
    <cellStyle name="ハイパーリンク" xfId="2444" builtinId="8" hidden="1"/>
    <cellStyle name="ハイパーリンク" xfId="2446" builtinId="8" hidden="1"/>
    <cellStyle name="ハイパーリンク" xfId="2448" builtinId="8" hidden="1"/>
    <cellStyle name="ハイパーリンク" xfId="2450" builtinId="8" hidden="1"/>
    <cellStyle name="ハイパーリンク" xfId="2452" builtinId="8" hidden="1"/>
    <cellStyle name="ハイパーリンク" xfId="2454" builtinId="8" hidden="1"/>
    <cellStyle name="ハイパーリンク" xfId="2456" builtinId="8" hidden="1"/>
    <cellStyle name="ハイパーリンク" xfId="2458" builtinId="8" hidden="1"/>
    <cellStyle name="ハイパーリンク" xfId="2460" builtinId="8" hidden="1"/>
    <cellStyle name="ハイパーリンク" xfId="2462" builtinId="8" hidden="1"/>
    <cellStyle name="ハイパーリンク" xfId="2464" builtinId="8" hidden="1"/>
    <cellStyle name="ハイパーリンク" xfId="2466" builtinId="8" hidden="1"/>
    <cellStyle name="ハイパーリンク" xfId="2468" builtinId="8" hidden="1"/>
    <cellStyle name="ハイパーリンク" xfId="2470" builtinId="8" hidden="1"/>
    <cellStyle name="ハイパーリンク" xfId="2472" builtinId="8" hidden="1"/>
    <cellStyle name="ハイパーリンク" xfId="2474" builtinId="8" hidden="1"/>
    <cellStyle name="ハイパーリンク" xfId="2476" builtinId="8" hidden="1"/>
    <cellStyle name="ハイパーリンク" xfId="2478" builtinId="8" hidden="1"/>
    <cellStyle name="ハイパーリンク" xfId="2480" builtinId="8" hidden="1"/>
    <cellStyle name="ハイパーリンク" xfId="2482" builtinId="8" hidden="1"/>
    <cellStyle name="ハイパーリンク" xfId="2484" builtinId="8" hidden="1"/>
    <cellStyle name="ハイパーリンク" xfId="2486" builtinId="8" hidden="1"/>
    <cellStyle name="ハイパーリンク" xfId="2488" builtinId="8" hidden="1"/>
    <cellStyle name="ハイパーリンク" xfId="2490" builtinId="8" hidden="1"/>
    <cellStyle name="ハイパーリンク" xfId="2492" builtinId="8" hidden="1"/>
    <cellStyle name="ハイパーリンク" xfId="2494" builtinId="8" hidden="1"/>
    <cellStyle name="ハイパーリンク" xfId="2496" builtinId="8" hidden="1"/>
    <cellStyle name="ハイパーリンク" xfId="2498" builtinId="8" hidden="1"/>
    <cellStyle name="ハイパーリンク" xfId="2500" builtinId="8" hidden="1"/>
    <cellStyle name="ハイパーリンク" xfId="2502" builtinId="8" hidden="1"/>
    <cellStyle name="ハイパーリンク" xfId="2504" builtinId="8" hidden="1"/>
    <cellStyle name="ハイパーリンク" xfId="2506" builtinId="8" hidden="1"/>
    <cellStyle name="ハイパーリンク" xfId="2508" builtinId="8" hidden="1"/>
    <cellStyle name="ハイパーリンク" xfId="2510" builtinId="8" hidden="1"/>
    <cellStyle name="ハイパーリンク" xfId="2512" builtinId="8" hidden="1"/>
    <cellStyle name="ハイパーリンク" xfId="2514" builtinId="8" hidden="1"/>
    <cellStyle name="ハイパーリンク" xfId="2516" builtinId="8" hidden="1"/>
    <cellStyle name="ハイパーリンク" xfId="2518" builtinId="8" hidden="1"/>
    <cellStyle name="ハイパーリンク" xfId="2520" builtinId="8" hidden="1"/>
    <cellStyle name="ハイパーリンク" xfId="2522" builtinId="8" hidden="1"/>
    <cellStyle name="ハイパーリンク" xfId="2524" builtinId="8" hidden="1"/>
    <cellStyle name="ハイパーリンク" xfId="2526" builtinId="8" hidden="1"/>
    <cellStyle name="ハイパーリンク" xfId="2528" builtinId="8" hidden="1"/>
    <cellStyle name="ハイパーリンク" xfId="2530" builtinId="8" hidden="1"/>
    <cellStyle name="ハイパーリンク" xfId="2532" builtinId="8" hidden="1"/>
    <cellStyle name="ハイパーリンク" xfId="2534" builtinId="8" hidden="1"/>
    <cellStyle name="ハイパーリンク" xfId="2536" builtinId="8" hidden="1"/>
    <cellStyle name="ハイパーリンク" xfId="2538" builtinId="8" hidden="1"/>
    <cellStyle name="ハイパーリンク" xfId="2540" builtinId="8" hidden="1"/>
    <cellStyle name="ハイパーリンク" xfId="2542" builtinId="8" hidden="1"/>
    <cellStyle name="ハイパーリンク" xfId="2544" builtinId="8" hidden="1"/>
    <cellStyle name="ハイパーリンク" xfId="2546" builtinId="8" hidden="1"/>
    <cellStyle name="ハイパーリンク" xfId="2548" builtinId="8" hidden="1"/>
    <cellStyle name="ハイパーリンク" xfId="2550" builtinId="8" hidden="1"/>
    <cellStyle name="ハイパーリンク" xfId="2552" builtinId="8" hidden="1"/>
    <cellStyle name="ハイパーリンク" xfId="2554" builtinId="8" hidden="1"/>
    <cellStyle name="ハイパーリンク" xfId="2556" builtinId="8" hidden="1"/>
    <cellStyle name="ハイパーリンク" xfId="2558" builtinId="8" hidden="1"/>
    <cellStyle name="ハイパーリンク" xfId="2560" builtinId="8" hidden="1"/>
    <cellStyle name="ハイパーリンク" xfId="2562" builtinId="8" hidden="1"/>
    <cellStyle name="ハイパーリンク" xfId="2564" builtinId="8" hidden="1"/>
    <cellStyle name="ハイパーリンク" xfId="2566" builtinId="8" hidden="1"/>
    <cellStyle name="ハイパーリンク" xfId="2568" builtinId="8" hidden="1"/>
    <cellStyle name="ハイパーリンク" xfId="2570" builtinId="8" hidden="1"/>
    <cellStyle name="ハイパーリンク" xfId="2572" builtinId="8" hidden="1"/>
    <cellStyle name="ハイパーリンク" xfId="2574" builtinId="8" hidden="1"/>
    <cellStyle name="ハイパーリンク" xfId="2576" builtinId="8" hidden="1"/>
    <cellStyle name="ハイパーリンク" xfId="2578" builtinId="8" hidden="1"/>
    <cellStyle name="ハイパーリンク" xfId="2580" builtinId="8" hidden="1"/>
    <cellStyle name="ハイパーリンク" xfId="2582" builtinId="8" hidden="1"/>
    <cellStyle name="ハイパーリンク" xfId="2584" builtinId="8" hidden="1"/>
    <cellStyle name="ハイパーリンク" xfId="2586" builtinId="8" hidden="1"/>
    <cellStyle name="ハイパーリンク" xfId="2588" builtinId="8" hidden="1"/>
    <cellStyle name="ハイパーリンク" xfId="2590" builtinId="8" hidden="1"/>
    <cellStyle name="ハイパーリンク" xfId="2592" builtinId="8" hidden="1"/>
    <cellStyle name="ハイパーリンク" xfId="2594" builtinId="8" hidden="1"/>
    <cellStyle name="ハイパーリンク" xfId="2596" builtinId="8" hidden="1"/>
    <cellStyle name="ハイパーリンク" xfId="2598" builtinId="8" hidden="1"/>
    <cellStyle name="ハイパーリンク" xfId="2600" builtinId="8" hidden="1"/>
    <cellStyle name="ハイパーリンク" xfId="2602" builtinId="8" hidden="1"/>
    <cellStyle name="ハイパーリンク" xfId="2604" builtinId="8" hidden="1"/>
    <cellStyle name="ハイパーリンク" xfId="2606" builtinId="8" hidden="1"/>
    <cellStyle name="ハイパーリンク" xfId="2608" builtinId="8" hidden="1"/>
    <cellStyle name="ハイパーリンク" xfId="2610" builtinId="8" hidden="1"/>
    <cellStyle name="ハイパーリンク" xfId="2612" builtinId="8" hidden="1"/>
    <cellStyle name="ハイパーリンク" xfId="2614" builtinId="8" hidden="1"/>
    <cellStyle name="ハイパーリンク" xfId="2616" builtinId="8" hidden="1"/>
    <cellStyle name="ハイパーリンク" xfId="2618" builtinId="8" hidden="1"/>
    <cellStyle name="ハイパーリンク" xfId="2620" builtinId="8" hidden="1"/>
    <cellStyle name="ハイパーリンク" xfId="2622" builtinId="8" hidden="1"/>
    <cellStyle name="ハイパーリンク" xfId="2624" builtinId="8" hidden="1"/>
    <cellStyle name="ハイパーリンク" xfId="2626" builtinId="8" hidden="1"/>
    <cellStyle name="ハイパーリンク" xfId="2628" builtinId="8" hidden="1"/>
    <cellStyle name="ハイパーリンク" xfId="2630" builtinId="8" hidden="1"/>
    <cellStyle name="ハイパーリンク" xfId="2632" builtinId="8" hidden="1"/>
    <cellStyle name="ハイパーリンク" xfId="2634" builtinId="8" hidden="1"/>
    <cellStyle name="ハイパーリンク" xfId="2636" builtinId="8" hidden="1"/>
    <cellStyle name="ハイパーリンク" xfId="2638" builtinId="8" hidden="1"/>
    <cellStyle name="ハイパーリンク" xfId="2640" builtinId="8" hidden="1"/>
    <cellStyle name="ハイパーリンク" xfId="2642" builtinId="8" hidden="1"/>
    <cellStyle name="ハイパーリンク" xfId="2644" builtinId="8" hidden="1"/>
    <cellStyle name="ハイパーリンク" xfId="2646" builtinId="8" hidden="1"/>
    <cellStyle name="ハイパーリンク" xfId="2648" builtinId="8" hidden="1"/>
    <cellStyle name="ハイパーリンク" xfId="2650" builtinId="8" hidden="1"/>
    <cellStyle name="ハイパーリンク" xfId="2652" builtinId="8" hidden="1"/>
    <cellStyle name="ハイパーリンク" xfId="2654" builtinId="8" hidden="1"/>
    <cellStyle name="ハイパーリンク" xfId="2656" builtinId="8" hidden="1"/>
    <cellStyle name="ハイパーリンク" xfId="2658" builtinId="8" hidden="1"/>
    <cellStyle name="ハイパーリンク" xfId="2660" builtinId="8" hidden="1"/>
    <cellStyle name="ハイパーリンク" xfId="2662" builtinId="8" hidden="1"/>
    <cellStyle name="ハイパーリンク" xfId="2664" builtinId="8" hidden="1"/>
    <cellStyle name="ハイパーリンク" xfId="2666" builtinId="8" hidden="1"/>
    <cellStyle name="ハイパーリンク" xfId="2668" builtinId="8" hidden="1"/>
    <cellStyle name="ハイパーリンク" xfId="2670" builtinId="8" hidden="1"/>
    <cellStyle name="ハイパーリンク" xfId="2672" builtinId="8" hidden="1"/>
    <cellStyle name="ハイパーリンク" xfId="2674" builtinId="8" hidden="1"/>
    <cellStyle name="ハイパーリンク" xfId="2676" builtinId="8" hidden="1"/>
    <cellStyle name="ハイパーリンク" xfId="2678" builtinId="8" hidden="1"/>
    <cellStyle name="ハイパーリンク" xfId="2680" builtinId="8" hidden="1"/>
    <cellStyle name="ハイパーリンク" xfId="2682" builtinId="8" hidden="1"/>
    <cellStyle name="ハイパーリンク" xfId="2684" builtinId="8" hidden="1"/>
    <cellStyle name="ハイパーリンク" xfId="2686" builtinId="8" hidden="1"/>
    <cellStyle name="ハイパーリンク" xfId="2688" builtinId="8" hidden="1"/>
    <cellStyle name="ハイパーリンク" xfId="2690" builtinId="8" hidden="1"/>
    <cellStyle name="ハイパーリンク" xfId="2692" builtinId="8" hidden="1"/>
    <cellStyle name="ハイパーリンク" xfId="2694" builtinId="8" hidden="1"/>
    <cellStyle name="ハイパーリンク" xfId="2696" builtinId="8" hidden="1"/>
    <cellStyle name="ハイパーリンク" xfId="2698" builtinId="8" hidden="1"/>
    <cellStyle name="ハイパーリンク" xfId="2700" builtinId="8" hidden="1"/>
    <cellStyle name="ハイパーリンク" xfId="2702" builtinId="8" hidden="1"/>
    <cellStyle name="ハイパーリンク" xfId="2704" builtinId="8" hidden="1"/>
    <cellStyle name="ハイパーリンク" xfId="2706" builtinId="8" hidden="1"/>
    <cellStyle name="ハイパーリンク" xfId="2708" builtinId="8" hidden="1"/>
    <cellStyle name="ハイパーリンク" xfId="2710" builtinId="8" hidden="1"/>
    <cellStyle name="ハイパーリンク" xfId="2712" builtinId="8" hidden="1"/>
    <cellStyle name="ハイパーリンク" xfId="2714" builtinId="8" hidden="1"/>
    <cellStyle name="ハイパーリンク" xfId="2716" builtinId="8" hidden="1"/>
    <cellStyle name="ハイパーリンク" xfId="2718" builtinId="8" hidden="1"/>
    <cellStyle name="ハイパーリンク" xfId="2720" builtinId="8" hidden="1"/>
    <cellStyle name="ハイパーリンク" xfId="2722" builtinId="8" hidden="1"/>
    <cellStyle name="ハイパーリンク" xfId="2724" builtinId="8" hidden="1"/>
    <cellStyle name="ハイパーリンク" xfId="2726" builtinId="8" hidden="1"/>
    <cellStyle name="ハイパーリンク" xfId="2728" builtinId="8" hidden="1"/>
    <cellStyle name="ハイパーリンク" xfId="2730" builtinId="8" hidden="1"/>
    <cellStyle name="ハイパーリンク" xfId="2732" builtinId="8" hidden="1"/>
    <cellStyle name="ハイパーリンク" xfId="2734" builtinId="8" hidden="1"/>
    <cellStyle name="ハイパーリンク" xfId="2736" builtinId="8" hidden="1"/>
    <cellStyle name="ハイパーリンク" xfId="2738" builtinId="8" hidden="1"/>
    <cellStyle name="ハイパーリンク" xfId="2740" builtinId="8" hidden="1"/>
    <cellStyle name="ハイパーリンク" xfId="2742" builtinId="8" hidden="1"/>
    <cellStyle name="ハイパーリンク" xfId="2744" builtinId="8" hidden="1"/>
    <cellStyle name="ハイパーリンク" xfId="2746" builtinId="8" hidden="1"/>
    <cellStyle name="ハイパーリンク" xfId="2748" builtinId="8" hidden="1"/>
    <cellStyle name="ハイパーリンク" xfId="2750" builtinId="8" hidden="1"/>
    <cellStyle name="ハイパーリンク" xfId="2752" builtinId="8" hidden="1"/>
    <cellStyle name="ハイパーリンク" xfId="2754" builtinId="8" hidden="1"/>
    <cellStyle name="ハイパーリンク" xfId="2756" builtinId="8" hidden="1"/>
    <cellStyle name="ハイパーリンク" xfId="2758" builtinId="8" hidden="1"/>
    <cellStyle name="ハイパーリンク" xfId="2760" builtinId="8" hidden="1"/>
    <cellStyle name="ハイパーリンク" xfId="2762" builtinId="8" hidden="1"/>
    <cellStyle name="ハイパーリンク" xfId="2764" builtinId="8" hidden="1"/>
    <cellStyle name="ハイパーリンク" xfId="2766" builtinId="8" hidden="1"/>
    <cellStyle name="ハイパーリンク" xfId="2768" builtinId="8" hidden="1"/>
    <cellStyle name="ハイパーリンク" xfId="2770" builtinId="8" hidden="1"/>
    <cellStyle name="ハイパーリンク" xfId="2772" builtinId="8" hidden="1"/>
    <cellStyle name="ハイパーリンク" xfId="2774" builtinId="8" hidden="1"/>
    <cellStyle name="ハイパーリンク" xfId="2776" builtinId="8" hidden="1"/>
    <cellStyle name="ハイパーリンク" xfId="2778" builtinId="8" hidden="1"/>
    <cellStyle name="ハイパーリンク" xfId="2780" builtinId="8" hidden="1"/>
    <cellStyle name="ハイパーリンク" xfId="2782" builtinId="8" hidden="1"/>
    <cellStyle name="ハイパーリンク" xfId="2784" builtinId="8" hidden="1"/>
    <cellStyle name="ハイパーリンク" xfId="2786" builtinId="8" hidden="1"/>
    <cellStyle name="ハイパーリンク" xfId="2788" builtinId="8" hidden="1"/>
    <cellStyle name="ハイパーリンク" xfId="2790" builtinId="8" hidden="1"/>
    <cellStyle name="ハイパーリンク" xfId="2792" builtinId="8" hidden="1"/>
    <cellStyle name="ハイパーリンク" xfId="2794" builtinId="8" hidden="1"/>
    <cellStyle name="ハイパーリンク" xfId="2796" builtinId="8" hidden="1"/>
    <cellStyle name="ハイパーリンク" xfId="2798" builtinId="8" hidden="1"/>
    <cellStyle name="ハイパーリンク" xfId="2800" builtinId="8" hidden="1"/>
    <cellStyle name="ハイパーリンク" xfId="2802" builtinId="8" hidden="1"/>
    <cellStyle name="ハイパーリンク" xfId="2804" builtinId="8" hidden="1"/>
    <cellStyle name="ハイパーリンク" xfId="2806" builtinId="8" hidden="1"/>
    <cellStyle name="ハイパーリンク" xfId="2808" builtinId="8" hidden="1"/>
    <cellStyle name="ハイパーリンク" xfId="2810" builtinId="8" hidden="1"/>
    <cellStyle name="ハイパーリンク" xfId="2812" builtinId="8" hidden="1"/>
    <cellStyle name="ハイパーリンク" xfId="2814" builtinId="8" hidden="1"/>
    <cellStyle name="ハイパーリンク" xfId="2816" builtinId="8" hidden="1"/>
    <cellStyle name="ハイパーリンク" xfId="2818" builtinId="8" hidden="1"/>
    <cellStyle name="ハイパーリンク" xfId="2820" builtinId="8" hidden="1"/>
    <cellStyle name="ハイパーリンク" xfId="2822" builtinId="8" hidden="1"/>
    <cellStyle name="ハイパーリンク" xfId="2824" builtinId="8" hidden="1"/>
    <cellStyle name="ハイパーリンク" xfId="2826" builtinId="8" hidden="1"/>
    <cellStyle name="ハイパーリンク" xfId="2828" builtinId="8" hidden="1"/>
    <cellStyle name="ハイパーリンク" xfId="2830" builtinId="8" hidden="1"/>
    <cellStyle name="ハイパーリンク" xfId="2832" builtinId="8" hidden="1"/>
    <cellStyle name="ハイパーリンク" xfId="2834" builtinId="8" hidden="1"/>
    <cellStyle name="ハイパーリンク" xfId="2836" builtinId="8" hidden="1"/>
    <cellStyle name="ハイパーリンク" xfId="2838" builtinId="8" hidden="1"/>
    <cellStyle name="ハイパーリンク" xfId="2840" builtinId="8" hidden="1"/>
    <cellStyle name="ハイパーリンク" xfId="2842" builtinId="8" hidden="1"/>
    <cellStyle name="ハイパーリンク" xfId="2844" builtinId="8" hidden="1"/>
    <cellStyle name="ハイパーリンク" xfId="2846" builtinId="8" hidden="1"/>
    <cellStyle name="ハイパーリンク" xfId="2848" builtinId="8" hidden="1"/>
    <cellStyle name="ハイパーリンク" xfId="2850" builtinId="8" hidden="1"/>
    <cellStyle name="ハイパーリンク" xfId="2852" builtinId="8" hidden="1"/>
    <cellStyle name="ハイパーリンク" xfId="2854" builtinId="8" hidden="1"/>
    <cellStyle name="ハイパーリンク" xfId="2856" builtinId="8" hidden="1"/>
    <cellStyle name="ハイパーリンク" xfId="2858" builtinId="8" hidden="1"/>
    <cellStyle name="ハイパーリンク" xfId="2860" builtinId="8" hidden="1"/>
    <cellStyle name="ハイパーリンク" xfId="2862" builtinId="8" hidden="1"/>
    <cellStyle name="ハイパーリンク" xfId="2864" builtinId="8" hidden="1"/>
    <cellStyle name="ハイパーリンク" xfId="2866" builtinId="8" hidden="1"/>
    <cellStyle name="ハイパーリンク" xfId="2868" builtinId="8" hidden="1"/>
    <cellStyle name="ハイパーリンク" xfId="2870" builtinId="8" hidden="1"/>
    <cellStyle name="ハイパーリンク" xfId="2872" builtinId="8" hidden="1"/>
    <cellStyle name="ハイパーリンク" xfId="2874" builtinId="8" hidden="1"/>
    <cellStyle name="ハイパーリンク" xfId="2876" builtinId="8" hidden="1"/>
    <cellStyle name="ハイパーリンク" xfId="2878" builtinId="8" hidden="1"/>
    <cellStyle name="ハイパーリンク" xfId="2880" builtinId="8" hidden="1"/>
    <cellStyle name="ハイパーリンク" xfId="2882" builtinId="8" hidden="1"/>
    <cellStyle name="ハイパーリンク" xfId="2884" builtinId="8" hidden="1"/>
    <cellStyle name="ハイパーリンク" xfId="2886" builtinId="8" hidden="1"/>
    <cellStyle name="ハイパーリンク" xfId="2888" builtinId="8" hidden="1"/>
    <cellStyle name="ハイパーリンク" xfId="2890" builtinId="8" hidden="1"/>
    <cellStyle name="ハイパーリンク" xfId="2892" builtinId="8" hidden="1"/>
    <cellStyle name="ハイパーリンク" xfId="2894" builtinId="8" hidden="1"/>
    <cellStyle name="ハイパーリンク" xfId="2896" builtinId="8" hidden="1"/>
    <cellStyle name="ハイパーリンク" xfId="2898" builtinId="8" hidden="1"/>
    <cellStyle name="ハイパーリンク" xfId="2900" builtinId="8" hidden="1"/>
    <cellStyle name="ハイパーリンク" xfId="2902" builtinId="8" hidden="1"/>
    <cellStyle name="ハイパーリンク" xfId="2904" builtinId="8" hidden="1"/>
    <cellStyle name="ハイパーリンク" xfId="2906" builtinId="8" hidden="1"/>
    <cellStyle name="ハイパーリンク" xfId="2908" builtinId="8" hidden="1"/>
    <cellStyle name="ハイパーリンク" xfId="2910" builtinId="8" hidden="1"/>
    <cellStyle name="ハイパーリンク" xfId="2912" builtinId="8" hidden="1"/>
    <cellStyle name="ハイパーリンク" xfId="2914" builtinId="8" hidden="1"/>
    <cellStyle name="ハイパーリンク" xfId="2916" builtinId="8" hidden="1"/>
    <cellStyle name="ハイパーリンク" xfId="2918" builtinId="8" hidden="1"/>
    <cellStyle name="ハイパーリンク" xfId="2920" builtinId="8" hidden="1"/>
    <cellStyle name="ハイパーリンク" xfId="2922" builtinId="8" hidden="1"/>
    <cellStyle name="ハイパーリンク" xfId="2924" builtinId="8" hidden="1"/>
    <cellStyle name="ハイパーリンク" xfId="2926" builtinId="8" hidden="1"/>
    <cellStyle name="ハイパーリンク" xfId="2928" builtinId="8" hidden="1"/>
    <cellStyle name="ハイパーリンク" xfId="2930" builtinId="8" hidden="1"/>
    <cellStyle name="ハイパーリンク" xfId="2932" builtinId="8" hidden="1"/>
    <cellStyle name="ハイパーリンク" xfId="2934" builtinId="8" hidden="1"/>
    <cellStyle name="ハイパーリンク" xfId="2936" builtinId="8" hidden="1"/>
    <cellStyle name="ハイパーリンク" xfId="2938" builtinId="8" hidden="1"/>
    <cellStyle name="ハイパーリンク" xfId="2940" builtinId="8" hidden="1"/>
    <cellStyle name="ハイパーリンク" xfId="2942" builtinId="8" hidden="1"/>
    <cellStyle name="ハイパーリンク" xfId="2944" builtinId="8" hidden="1"/>
    <cellStyle name="ハイパーリンク" xfId="2946" builtinId="8" hidden="1"/>
    <cellStyle name="ハイパーリンク" xfId="2948" builtinId="8" hidden="1"/>
    <cellStyle name="ハイパーリンク" xfId="2950" builtinId="8" hidden="1"/>
    <cellStyle name="ハイパーリンク" xfId="2952" builtinId="8" hidden="1"/>
    <cellStyle name="ハイパーリンク" xfId="2954" builtinId="8" hidden="1"/>
    <cellStyle name="ハイパーリンク" xfId="2956" builtinId="8" hidden="1"/>
    <cellStyle name="ハイパーリンク" xfId="2958" builtinId="8" hidden="1"/>
    <cellStyle name="ハイパーリンク" xfId="2960" builtinId="8" hidden="1"/>
    <cellStyle name="ハイパーリンク" xfId="2962" builtinId="8" hidden="1"/>
    <cellStyle name="ハイパーリンク" xfId="2964" builtinId="8" hidden="1"/>
    <cellStyle name="ハイパーリンク" xfId="2966" builtinId="8" hidden="1"/>
    <cellStyle name="ハイパーリンク" xfId="2968" builtinId="8" hidden="1"/>
    <cellStyle name="ハイパーリンク" xfId="2970" builtinId="8" hidden="1"/>
    <cellStyle name="ハイパーリンク" xfId="2972" builtinId="8" hidden="1"/>
    <cellStyle name="ハイパーリンク" xfId="2974" builtinId="8" hidden="1"/>
    <cellStyle name="ハイパーリンク" xfId="2976" builtinId="8" hidden="1"/>
    <cellStyle name="ハイパーリンク" xfId="2980" builtinId="8" hidden="1"/>
    <cellStyle name="ハイパーリンク" xfId="2982" builtinId="8" hidden="1"/>
    <cellStyle name="ハイパーリンク" xfId="2984" builtinId="8" hidden="1"/>
    <cellStyle name="ハイパーリンク" xfId="2986" builtinId="8" hidden="1"/>
    <cellStyle name="ハイパーリンク" xfId="2988" builtinId="8" hidden="1"/>
    <cellStyle name="ハイパーリンク" xfId="2990" builtinId="8" hidden="1"/>
    <cellStyle name="ハイパーリンク" xfId="2992" builtinId="8" hidden="1"/>
    <cellStyle name="ハイパーリンク" xfId="2994" builtinId="8" hidden="1"/>
    <cellStyle name="ハイパーリンク" xfId="2996" builtinId="8" hidden="1"/>
    <cellStyle name="ハイパーリンク" xfId="2998" builtinId="8" hidden="1"/>
    <cellStyle name="ハイパーリンク" xfId="3000" builtinId="8" hidden="1"/>
    <cellStyle name="ハイパーリンク" xfId="3002" builtinId="8" hidden="1"/>
    <cellStyle name="ハイパーリンク" xfId="3004" builtinId="8" hidden="1"/>
    <cellStyle name="ハイパーリンク" xfId="3006" builtinId="8" hidden="1"/>
    <cellStyle name="ハイパーリンク" xfId="3008" builtinId="8" hidden="1"/>
    <cellStyle name="ハイパーリンク" xfId="3010" builtinId="8" hidden="1"/>
    <cellStyle name="ハイパーリンク" xfId="3012" builtinId="8" hidden="1"/>
    <cellStyle name="ハイパーリンク" xfId="3014" builtinId="8" hidden="1"/>
    <cellStyle name="ハイパーリンク" xfId="3016" builtinId="8" hidden="1"/>
    <cellStyle name="ハイパーリンク" xfId="3018" builtinId="8" hidden="1"/>
    <cellStyle name="ハイパーリンク" xfId="3020" builtinId="8" hidden="1"/>
    <cellStyle name="ハイパーリンク" xfId="3022" builtinId="8" hidden="1"/>
    <cellStyle name="ハイパーリンク" xfId="3024" builtinId="8" hidden="1"/>
    <cellStyle name="ハイパーリンク" xfId="3026" builtinId="8" hidden="1"/>
    <cellStyle name="ハイパーリンク" xfId="3028" builtinId="8" hidden="1"/>
    <cellStyle name="ハイパーリンク" xfId="3030" builtinId="8" hidden="1"/>
    <cellStyle name="ハイパーリンク" xfId="3032" builtinId="8" hidden="1"/>
    <cellStyle name="ハイパーリンク" xfId="3034" builtinId="8" hidden="1"/>
    <cellStyle name="ハイパーリンク" xfId="3037" builtinId="8" hidden="1"/>
    <cellStyle name="ハイパーリンク" xfId="3039" builtinId="8" hidden="1"/>
    <cellStyle name="ハイパーリンク" xfId="3041" builtinId="8" hidden="1"/>
    <cellStyle name="ハイパーリンク" xfId="3043" builtinId="8" hidden="1"/>
    <cellStyle name="ハイパーリンク" xfId="3045" builtinId="8" hidden="1"/>
    <cellStyle name="ハイパーリンク" xfId="3047" builtinId="8" hidden="1"/>
    <cellStyle name="ハイパーリンク" xfId="3049" builtinId="8" hidden="1"/>
    <cellStyle name="ハイパーリンク" xfId="3051" builtinId="8" hidden="1"/>
    <cellStyle name="ハイパーリンク" xfId="3053" builtinId="8" hidden="1"/>
    <cellStyle name="ハイパーリンク" xfId="3055" builtinId="8" hidden="1"/>
    <cellStyle name="ハイパーリンク" xfId="3057" builtinId="8" hidden="1"/>
    <cellStyle name="ハイパーリンク" xfId="3059" builtinId="8" hidden="1"/>
    <cellStyle name="ハイパーリンク" xfId="3061" builtinId="8" hidden="1"/>
    <cellStyle name="ハイパーリンク" xfId="3063" builtinId="8" hidden="1"/>
    <cellStyle name="ハイパーリンク" xfId="3065" builtinId="8" hidden="1"/>
    <cellStyle name="ハイパーリンク" xfId="3067" builtinId="8" hidden="1"/>
    <cellStyle name="ハイパーリンク" xfId="3069" builtinId="8" hidden="1"/>
    <cellStyle name="ハイパーリンク" xfId="3071" builtinId="8" hidden="1"/>
    <cellStyle name="ハイパーリンク" xfId="3073" builtinId="8" hidden="1"/>
    <cellStyle name="ハイパーリンク" xfId="3075" builtinId="8" hidden="1"/>
    <cellStyle name="ハイパーリンク" xfId="3077" builtinId="8" hidden="1"/>
    <cellStyle name="ハイパーリンク" xfId="3079" builtinId="8" hidden="1"/>
    <cellStyle name="ハイパーリンク" xfId="3081" builtinId="8" hidden="1"/>
    <cellStyle name="ハイパーリンク" xfId="3083" builtinId="8" hidden="1"/>
    <cellStyle name="ハイパーリンク" xfId="3085" builtinId="8" hidden="1"/>
    <cellStyle name="ハイパーリンク" xfId="3087" builtinId="8" hidden="1"/>
    <cellStyle name="ハイパーリンク" xfId="3089" builtinId="8" hidden="1"/>
    <cellStyle name="ハイパーリンク" xfId="3091" builtinId="8" hidden="1"/>
    <cellStyle name="ハイパーリンク" xfId="3093" builtinId="8" hidden="1"/>
    <cellStyle name="ハイパーリンク" xfId="3095" builtinId="8" hidden="1"/>
    <cellStyle name="ハイパーリンク" xfId="3097" builtinId="8" hidden="1"/>
    <cellStyle name="ハイパーリンク" xfId="3099" builtinId="8" hidden="1"/>
    <cellStyle name="ハイパーリンク" xfId="3101" builtinId="8" hidden="1"/>
    <cellStyle name="ハイパーリンク" xfId="3103" builtinId="8" hidden="1"/>
    <cellStyle name="ハイパーリンク" xfId="3105" builtinId="8" hidden="1"/>
    <cellStyle name="ハイパーリンク" xfId="3107" builtinId="8" hidden="1"/>
    <cellStyle name="ハイパーリンク" xfId="3109" builtinId="8" hidden="1"/>
    <cellStyle name="ハイパーリンク" xfId="3111" builtinId="8" hidden="1"/>
    <cellStyle name="ハイパーリンク" xfId="3113" builtinId="8" hidden="1"/>
    <cellStyle name="ハイパーリンク" xfId="3115" builtinId="8" hidden="1"/>
    <cellStyle name="ハイパーリンク" xfId="3117" builtinId="8" hidden="1"/>
    <cellStyle name="ハイパーリンク" xfId="3119" builtinId="8" hidden="1"/>
    <cellStyle name="ハイパーリンク" xfId="3121" builtinId="8" hidden="1"/>
    <cellStyle name="ハイパーリンク" xfId="3123" builtinId="8" hidden="1"/>
    <cellStyle name="ハイパーリンク" xfId="3125" builtinId="8" hidden="1"/>
    <cellStyle name="ハイパーリンク" xfId="3127" builtinId="8" hidden="1"/>
    <cellStyle name="ハイパーリンク" xfId="3129" builtinId="8" hidden="1"/>
    <cellStyle name="ハイパーリンク" xfId="3131" builtinId="8" hidden="1"/>
    <cellStyle name="ハイパーリンク" xfId="3133" builtinId="8" hidden="1"/>
    <cellStyle name="ハイパーリンク" xfId="3135" builtinId="8" hidden="1"/>
    <cellStyle name="ハイパーリンク" xfId="3137" builtinId="8" hidden="1"/>
    <cellStyle name="ハイパーリンク" xfId="3139" builtinId="8" hidden="1"/>
    <cellStyle name="ハイパーリンク" xfId="3141" builtinId="8" hidden="1"/>
    <cellStyle name="ハイパーリンク" xfId="3143" builtinId="8" hidden="1"/>
    <cellStyle name="ハイパーリンク" xfId="3145" builtinId="8" hidden="1"/>
    <cellStyle name="ハイパーリンク" xfId="3147" builtinId="8" hidden="1"/>
    <cellStyle name="ハイパーリンク" xfId="3149" builtinId="8" hidden="1"/>
    <cellStyle name="ハイパーリンク" xfId="3151" builtinId="8" hidden="1"/>
    <cellStyle name="ハイパーリンク" xfId="3153" builtinId="8" hidden="1"/>
    <cellStyle name="ハイパーリンク" xfId="3155" builtinId="8" hidden="1"/>
    <cellStyle name="ハイパーリンク" xfId="3157" builtinId="8" hidden="1"/>
    <cellStyle name="ハイパーリンク" xfId="3159" builtinId="8" hidden="1"/>
    <cellStyle name="ハイパーリンク" xfId="3161" builtinId="8" hidden="1"/>
    <cellStyle name="ハイパーリンク" xfId="3163" builtinId="8" hidden="1"/>
    <cellStyle name="ハイパーリンク" xfId="3165" builtinId="8" hidden="1"/>
    <cellStyle name="ハイパーリンク" xfId="3167" builtinId="8" hidden="1"/>
    <cellStyle name="ハイパーリンク" xfId="3169" builtinId="8" hidden="1"/>
    <cellStyle name="ハイパーリンク" xfId="3171" builtinId="8" hidden="1"/>
    <cellStyle name="ハイパーリンク" xfId="3173" builtinId="8" hidden="1"/>
    <cellStyle name="ハイパーリンク" xfId="3175" builtinId="8" hidden="1"/>
    <cellStyle name="ハイパーリンク" xfId="3177" builtinId="8" hidden="1"/>
    <cellStyle name="ハイパーリンク" xfId="3179" builtinId="8" hidden="1"/>
    <cellStyle name="ハイパーリンク" xfId="3181" builtinId="8" hidden="1"/>
    <cellStyle name="ハイパーリンク" xfId="3183" builtinId="8" hidden="1"/>
    <cellStyle name="ハイパーリンク" xfId="3185" builtinId="8" hidden="1"/>
    <cellStyle name="ハイパーリンク" xfId="3187" builtinId="8" hidden="1"/>
    <cellStyle name="ハイパーリンク" xfId="3189" builtinId="8" hidden="1"/>
    <cellStyle name="ハイパーリンク" xfId="3191" builtinId="8" hidden="1"/>
    <cellStyle name="ハイパーリンク" xfId="3193" builtinId="8" hidden="1"/>
    <cellStyle name="ハイパーリンク" xfId="3195" builtinId="8" hidden="1"/>
    <cellStyle name="ハイパーリンク" xfId="3197" builtinId="8" hidden="1"/>
    <cellStyle name="ハイパーリンク" xfId="3199" builtinId="8" hidden="1"/>
    <cellStyle name="ハイパーリンク" xfId="3201" builtinId="8" hidden="1"/>
    <cellStyle name="ハイパーリンク" xfId="3203" builtinId="8" hidden="1"/>
    <cellStyle name="ハイパーリンク" xfId="3205" builtinId="8" hidden="1"/>
    <cellStyle name="ハイパーリンク" xfId="3207" builtinId="8" hidden="1"/>
    <cellStyle name="ハイパーリンク" xfId="3209" builtinId="8" hidden="1"/>
    <cellStyle name="ハイパーリンク" xfId="3211" builtinId="8" hidden="1"/>
    <cellStyle name="ハイパーリンク" xfId="3213" builtinId="8" hidden="1"/>
    <cellStyle name="ハイパーリンク" xfId="3215" builtinId="8" hidden="1"/>
    <cellStyle name="ハイパーリンク" xfId="3217" builtinId="8" hidden="1"/>
    <cellStyle name="ハイパーリンク" xfId="3219" builtinId="8" hidden="1"/>
    <cellStyle name="ハイパーリンク" xfId="3221" builtinId="8" hidden="1"/>
    <cellStyle name="ハイパーリンク" xfId="3223" builtinId="8" hidden="1"/>
    <cellStyle name="ハイパーリンク" xfId="3225" builtinId="8" hidden="1"/>
    <cellStyle name="ハイパーリンク" xfId="3227" builtinId="8" hidden="1"/>
    <cellStyle name="ハイパーリンク" xfId="3229" builtinId="8" hidden="1"/>
    <cellStyle name="ハイパーリンク" xfId="3231" builtinId="8" hidden="1"/>
    <cellStyle name="ハイパーリンク" xfId="3233" builtinId="8" hidden="1"/>
    <cellStyle name="ハイパーリンク" xfId="3235" builtinId="8" hidden="1"/>
    <cellStyle name="ハイパーリンク" xfId="3237" builtinId="8" hidden="1"/>
    <cellStyle name="ハイパーリンク" xfId="3239" builtinId="8" hidden="1"/>
    <cellStyle name="ハイパーリンク" xfId="3241" builtinId="8" hidden="1"/>
    <cellStyle name="ハイパーリンク" xfId="3243" builtinId="8" hidden="1"/>
    <cellStyle name="ハイパーリンク" xfId="3245" builtinId="8" hidden="1"/>
    <cellStyle name="ハイパーリンク" xfId="3247" builtinId="8" hidden="1"/>
    <cellStyle name="ハイパーリンク" xfId="3249" builtinId="8" hidden="1"/>
    <cellStyle name="ハイパーリンク" xfId="3251" builtinId="8" hidden="1"/>
    <cellStyle name="ハイパーリンク" xfId="3253" builtinId="8" hidden="1"/>
    <cellStyle name="ハイパーリンク" xfId="3255" builtinId="8" hidden="1"/>
    <cellStyle name="ハイパーリンク" xfId="3257" builtinId="8" hidden="1"/>
    <cellStyle name="ハイパーリンク" xfId="3259" builtinId="8" hidden="1"/>
    <cellStyle name="ハイパーリンク" xfId="3261" builtinId="8" hidden="1"/>
    <cellStyle name="ハイパーリンク" xfId="3263" builtinId="8" hidden="1"/>
    <cellStyle name="ハイパーリンク" xfId="3265" builtinId="8" hidden="1"/>
    <cellStyle name="ハイパーリンク" xfId="3267" builtinId="8" hidden="1"/>
    <cellStyle name="ハイパーリンク" xfId="3269" builtinId="8" hidden="1"/>
    <cellStyle name="ハイパーリンク" xfId="3271" builtinId="8" hidden="1"/>
    <cellStyle name="ハイパーリンク" xfId="3273" builtinId="8" hidden="1"/>
    <cellStyle name="ハイパーリンク" xfId="3275" builtinId="8" hidden="1"/>
    <cellStyle name="ハイパーリンク" xfId="3277" builtinId="8" hidden="1"/>
    <cellStyle name="ハイパーリンク" xfId="3279" builtinId="8" hidden="1"/>
    <cellStyle name="ハイパーリンク" xfId="3281" builtinId="8" hidden="1"/>
    <cellStyle name="ハイパーリンク" xfId="3283" builtinId="8" hidden="1"/>
    <cellStyle name="ハイパーリンク" xfId="3285" builtinId="8" hidden="1"/>
    <cellStyle name="ハイパーリンク" xfId="3287" builtinId="8" hidden="1"/>
    <cellStyle name="ハイパーリンク" xfId="3289" builtinId="8" hidden="1"/>
    <cellStyle name="ハイパーリンク" xfId="3291" builtinId="8" hidden="1"/>
    <cellStyle name="ハイパーリンク" xfId="3293" builtinId="8" hidden="1"/>
    <cellStyle name="ハイパーリンク" xfId="3295" builtinId="8" hidden="1"/>
    <cellStyle name="ハイパーリンク" xfId="3297" builtinId="8" hidden="1"/>
    <cellStyle name="ハイパーリンク" xfId="3299" builtinId="8" hidden="1"/>
    <cellStyle name="ハイパーリンク" xfId="3301" builtinId="8" hidden="1"/>
    <cellStyle name="ハイパーリンク" xfId="3303" builtinId="8" hidden="1"/>
    <cellStyle name="ハイパーリンク" xfId="3305" builtinId="8" hidden="1"/>
    <cellStyle name="ハイパーリンク" xfId="3307" builtinId="8" hidden="1"/>
    <cellStyle name="ハイパーリンク" xfId="3309" builtinId="8" hidden="1"/>
    <cellStyle name="ハイパーリンク" xfId="3311" builtinId="8" hidden="1"/>
    <cellStyle name="ハイパーリンク" xfId="3313" builtinId="8" hidden="1"/>
    <cellStyle name="ハイパーリンク" xfId="3315" builtinId="8" hidden="1"/>
    <cellStyle name="ハイパーリンク" xfId="3317" builtinId="8" hidden="1"/>
    <cellStyle name="ハイパーリンク" xfId="3319" builtinId="8" hidden="1"/>
    <cellStyle name="ハイパーリンク" xfId="3321" builtinId="8" hidden="1"/>
    <cellStyle name="ハイパーリンク" xfId="3323" builtinId="8" hidden="1"/>
    <cellStyle name="ハイパーリンク" xfId="3325" builtinId="8" hidden="1"/>
    <cellStyle name="ハイパーリンク" xfId="3327" builtinId="8" hidden="1"/>
    <cellStyle name="ハイパーリンク" xfId="3329" builtinId="8" hidden="1"/>
    <cellStyle name="ハイパーリンク" xfId="3331" builtinId="8" hidden="1"/>
    <cellStyle name="ハイパーリンク" xfId="3333" builtinId="8" hidden="1"/>
    <cellStyle name="ハイパーリンク" xfId="3335" builtinId="8" hidden="1"/>
    <cellStyle name="ハイパーリンク" xfId="3337" builtinId="8" hidden="1"/>
    <cellStyle name="ハイパーリンク" xfId="3339" builtinId="8" hidden="1"/>
    <cellStyle name="ハイパーリンク" xfId="3341" builtinId="8" hidden="1"/>
    <cellStyle name="ハイパーリンク" xfId="3343" builtinId="8" hidden="1"/>
    <cellStyle name="ハイパーリンク" xfId="3345" builtinId="8" hidden="1"/>
    <cellStyle name="ハイパーリンク" xfId="3347" builtinId="8" hidden="1"/>
    <cellStyle name="ハイパーリンク" xfId="3349" builtinId="8" hidden="1"/>
    <cellStyle name="ハイパーリンク" xfId="3351" builtinId="8" hidden="1"/>
    <cellStyle name="ハイパーリンク" xfId="3353" builtinId="8" hidden="1"/>
    <cellStyle name="ハイパーリンク" xfId="3355" builtinId="8" hidden="1"/>
    <cellStyle name="ハイパーリンク" xfId="3357" builtinId="8" hidden="1"/>
    <cellStyle name="ハイパーリンク" xfId="3359" builtinId="8" hidden="1"/>
    <cellStyle name="ハイパーリンク" xfId="3361" builtinId="8" hidden="1"/>
    <cellStyle name="ハイパーリンク" xfId="3363" builtinId="8" hidden="1"/>
    <cellStyle name="ハイパーリンク" xfId="3365" builtinId="8" hidden="1"/>
    <cellStyle name="ハイパーリンク" xfId="3367" builtinId="8" hidden="1"/>
    <cellStyle name="ハイパーリンク" xfId="3369" builtinId="8" hidden="1"/>
    <cellStyle name="ハイパーリンク" xfId="3371" builtinId="8" hidden="1"/>
    <cellStyle name="ハイパーリンク" xfId="3373" builtinId="8" hidden="1"/>
    <cellStyle name="ハイパーリンク" xfId="3375" builtinId="8" hidden="1"/>
    <cellStyle name="ハイパーリンク" xfId="3377" builtinId="8" hidden="1"/>
    <cellStyle name="ハイパーリンク" xfId="3379" builtinId="8" hidden="1"/>
    <cellStyle name="ハイパーリンク" xfId="3381" builtinId="8" hidden="1"/>
    <cellStyle name="ハイパーリンク" xfId="3383" builtinId="8" hidden="1"/>
    <cellStyle name="ハイパーリンク" xfId="3385" builtinId="8" hidden="1"/>
    <cellStyle name="ハイパーリンク" xfId="3387" builtinId="8" hidden="1"/>
    <cellStyle name="ハイパーリンク" xfId="3389" builtinId="8" hidden="1"/>
    <cellStyle name="ハイパーリンク" xfId="3391" builtinId="8" hidden="1"/>
    <cellStyle name="ハイパーリンク" xfId="3393" builtinId="8" hidden="1"/>
    <cellStyle name="ハイパーリンク" xfId="3395" builtinId="8" hidden="1"/>
    <cellStyle name="ハイパーリンク" xfId="3397" builtinId="8" hidden="1"/>
    <cellStyle name="ハイパーリンク" xfId="3399" builtinId="8" hidden="1"/>
    <cellStyle name="ハイパーリンク" xfId="3401" builtinId="8" hidden="1"/>
    <cellStyle name="ハイパーリンク" xfId="3403" builtinId="8" hidden="1"/>
    <cellStyle name="ハイパーリンク" xfId="3405" builtinId="8" hidden="1"/>
    <cellStyle name="ハイパーリンク" xfId="3407" builtinId="8" hidden="1"/>
    <cellStyle name="ハイパーリンク" xfId="3409" builtinId="8" hidden="1"/>
    <cellStyle name="ハイパーリンク" xfId="3411" builtinId="8" hidden="1"/>
    <cellStyle name="ハイパーリンク" xfId="3413" builtinId="8" hidden="1"/>
    <cellStyle name="ハイパーリンク" xfId="3415" builtinId="8" hidden="1"/>
    <cellStyle name="ハイパーリンク" xfId="3417" builtinId="8" hidden="1"/>
    <cellStyle name="ハイパーリンク" xfId="3419" builtinId="8" hidden="1"/>
    <cellStyle name="ハイパーリンク" xfId="3421" builtinId="8" hidden="1"/>
    <cellStyle name="ハイパーリンク" xfId="3423" builtinId="8" hidden="1"/>
    <cellStyle name="ハイパーリンク" xfId="3425" builtinId="8" hidden="1"/>
    <cellStyle name="ハイパーリンク" xfId="3427" builtinId="8" hidden="1"/>
    <cellStyle name="ハイパーリンク" xfId="3429" builtinId="8" hidden="1"/>
    <cellStyle name="ハイパーリンク" xfId="3431" builtinId="8" hidden="1"/>
    <cellStyle name="ハイパーリンク" xfId="3433" builtinId="8" hidden="1"/>
    <cellStyle name="ハイパーリンク" xfId="3435" builtinId="8" hidden="1"/>
    <cellStyle name="ハイパーリンク" xfId="3437" builtinId="8" hidden="1"/>
    <cellStyle name="ハイパーリンク" xfId="3439" builtinId="8" hidden="1"/>
    <cellStyle name="ハイパーリンク" xfId="3441" builtinId="8" hidden="1"/>
    <cellStyle name="ハイパーリンク" xfId="3443" builtinId="8" hidden="1"/>
    <cellStyle name="ハイパーリンク" xfId="3445" builtinId="8" hidden="1"/>
    <cellStyle name="ハイパーリンク" xfId="3447" builtinId="8" hidden="1"/>
    <cellStyle name="ハイパーリンク" xfId="3449" builtinId="8" hidden="1"/>
    <cellStyle name="ハイパーリンク" xfId="3451" builtinId="8" hidden="1"/>
    <cellStyle name="ハイパーリンク" xfId="3453" builtinId="8" hidden="1"/>
    <cellStyle name="ハイパーリンク" xfId="3455" builtinId="8" hidden="1"/>
    <cellStyle name="ハイパーリンク" xfId="3457" builtinId="8" hidden="1"/>
    <cellStyle name="ハイパーリンク" xfId="3459" builtinId="8" hidden="1"/>
    <cellStyle name="ハイパーリンク" xfId="3461" builtinId="8" hidden="1"/>
    <cellStyle name="ハイパーリンク" xfId="3463" builtinId="8" hidden="1"/>
    <cellStyle name="ハイパーリンク" xfId="3465" builtinId="8" hidden="1"/>
    <cellStyle name="ハイパーリンク" xfId="3467" builtinId="8" hidden="1"/>
    <cellStyle name="ハイパーリンク" xfId="3469" builtinId="8" hidden="1"/>
    <cellStyle name="ハイパーリンク" xfId="3471" builtinId="8" hidden="1"/>
    <cellStyle name="ハイパーリンク" xfId="3473" builtinId="8" hidden="1"/>
    <cellStyle name="ハイパーリンク" xfId="3475" builtinId="8" hidden="1"/>
    <cellStyle name="ハイパーリンク" xfId="3477" builtinId="8" hidden="1"/>
    <cellStyle name="ハイパーリンク" xfId="3479" builtinId="8" hidden="1"/>
    <cellStyle name="ハイパーリンク" xfId="3481" builtinId="8" hidden="1"/>
    <cellStyle name="ハイパーリンク" xfId="3483" builtinId="8" hidden="1"/>
    <cellStyle name="ハイパーリンク" xfId="3485" builtinId="8" hidden="1"/>
    <cellStyle name="ハイパーリンク" xfId="3487" builtinId="8" hidden="1"/>
    <cellStyle name="ハイパーリンク" xfId="3489" builtinId="8" hidden="1"/>
    <cellStyle name="ハイパーリンク" xfId="3491" builtinId="8" hidden="1"/>
    <cellStyle name="ハイパーリンク" xfId="3493" builtinId="8" hidden="1"/>
    <cellStyle name="ハイパーリンク" xfId="3495" builtinId="8" hidden="1"/>
    <cellStyle name="ハイパーリンク" xfId="3497" builtinId="8" hidden="1"/>
    <cellStyle name="ハイパーリンク" xfId="3499" builtinId="8" hidden="1"/>
    <cellStyle name="ハイパーリンク" xfId="3501" builtinId="8" hidden="1"/>
    <cellStyle name="ハイパーリンク" xfId="3503" builtinId="8" hidden="1"/>
    <cellStyle name="ハイパーリンク" xfId="3505" builtinId="8" hidden="1"/>
    <cellStyle name="ハイパーリンク" xfId="3507" builtinId="8" hidden="1"/>
    <cellStyle name="ハイパーリンク" xfId="3509" builtinId="8" hidden="1"/>
    <cellStyle name="ハイパーリンク" xfId="3511" builtinId="8" hidden="1"/>
    <cellStyle name="ハイパーリンク" xfId="3513" builtinId="8" hidden="1"/>
    <cellStyle name="ハイパーリンク" xfId="3515" builtinId="8" hidden="1"/>
    <cellStyle name="ハイパーリンク" xfId="3517" builtinId="8" hidden="1"/>
    <cellStyle name="ハイパーリンク" xfId="3519" builtinId="8" hidden="1"/>
    <cellStyle name="ハイパーリンク" xfId="3521" builtinId="8" hidden="1"/>
    <cellStyle name="ハイパーリンク" xfId="3523" builtinId="8" hidden="1"/>
    <cellStyle name="ハイパーリンク" xfId="3525" builtinId="8" hidden="1"/>
    <cellStyle name="ハイパーリンク" xfId="3527" builtinId="8" hidden="1"/>
    <cellStyle name="ハイパーリンク" xfId="3529" builtinId="8" hidden="1"/>
    <cellStyle name="ハイパーリンク" xfId="3531" builtinId="8" hidden="1"/>
    <cellStyle name="ハイパーリンク" xfId="3533" builtinId="8" hidden="1"/>
    <cellStyle name="ハイパーリンク" xfId="3535" builtinId="8" hidden="1"/>
    <cellStyle name="ハイパーリンク" xfId="3537" builtinId="8" hidden="1"/>
    <cellStyle name="ハイパーリンク" xfId="3539" builtinId="8" hidden="1"/>
    <cellStyle name="ハイパーリンク" xfId="3541" builtinId="8" hidden="1"/>
    <cellStyle name="ハイパーリンク" xfId="3543" builtinId="8" hidden="1"/>
    <cellStyle name="ハイパーリンク" xfId="3545" builtinId="8" hidden="1"/>
    <cellStyle name="ハイパーリンク" xfId="3547" builtinId="8" hidden="1"/>
    <cellStyle name="ハイパーリンク" xfId="3549" builtinId="8" hidden="1"/>
    <cellStyle name="ハイパーリンク" xfId="3551" builtinId="8" hidden="1"/>
    <cellStyle name="ハイパーリンク" xfId="3553" builtinId="8" hidden="1"/>
    <cellStyle name="ハイパーリンク" xfId="3555" builtinId="8" hidden="1"/>
    <cellStyle name="ハイパーリンク" xfId="3557" builtinId="8" hidden="1"/>
    <cellStyle name="ハイパーリンク" xfId="3559" builtinId="8" hidden="1"/>
    <cellStyle name="ハイパーリンク" xfId="3561" builtinId="8" hidden="1"/>
    <cellStyle name="ハイパーリンク" xfId="3563" builtinId="8" hidden="1"/>
    <cellStyle name="ハイパーリンク" xfId="3565" builtinId="8" hidden="1"/>
    <cellStyle name="ハイパーリンク" xfId="3567" builtinId="8" hidden="1"/>
    <cellStyle name="ハイパーリンク" xfId="3569" builtinId="8" hidden="1"/>
    <cellStyle name="ハイパーリンク" xfId="3571" builtinId="8" hidden="1"/>
    <cellStyle name="ハイパーリンク" xfId="3573" builtinId="8" hidden="1"/>
    <cellStyle name="ハイパーリンク" xfId="3576" builtinId="8" hidden="1"/>
    <cellStyle name="ハイパーリンク" xfId="3578" builtinId="8" hidden="1"/>
    <cellStyle name="ハイパーリンク" xfId="3580" builtinId="8" hidden="1"/>
    <cellStyle name="ハイパーリンク" xfId="3582" builtinId="8" hidden="1"/>
    <cellStyle name="ハイパーリンク" xfId="3584" builtinId="8" hidden="1"/>
    <cellStyle name="ハイパーリンク" xfId="3586" builtinId="8" hidden="1"/>
    <cellStyle name="ハイパーリンク" xfId="3588" builtinId="8" hidden="1"/>
    <cellStyle name="ハイパーリンク" xfId="3590" builtinId="8" hidden="1"/>
    <cellStyle name="ハイパーリンク" xfId="3592" builtinId="8" hidden="1"/>
    <cellStyle name="ハイパーリンク" xfId="3594" builtinId="8" hidden="1"/>
    <cellStyle name="ハイパーリンク" xfId="3596" builtinId="8" hidden="1"/>
    <cellStyle name="ハイパーリンク" xfId="3598" builtinId="8" hidden="1"/>
    <cellStyle name="ハイパーリンク" xfId="3600" builtinId="8" hidden="1"/>
    <cellStyle name="ハイパーリンク" xfId="3602" builtinId="8" hidden="1"/>
    <cellStyle name="ハイパーリンク" xfId="3604" builtinId="8" hidden="1"/>
    <cellStyle name="ハイパーリンク" xfId="3606" builtinId="8" hidden="1"/>
    <cellStyle name="ハイパーリンク" xfId="3608" builtinId="8" hidden="1"/>
    <cellStyle name="ハイパーリンク" xfId="3610" builtinId="8" hidden="1"/>
    <cellStyle name="ハイパーリンク" xfId="3612" builtinId="8" hidden="1"/>
    <cellStyle name="ハイパーリンク" xfId="3614" builtinId="8" hidden="1"/>
    <cellStyle name="ハイパーリンク" xfId="3616" builtinId="8" hidden="1"/>
    <cellStyle name="ハイパーリンク" xfId="3618" builtinId="8" hidden="1"/>
    <cellStyle name="ハイパーリンク" xfId="3620" builtinId="8" hidden="1"/>
    <cellStyle name="ハイパーリンク" xfId="3622" builtinId="8" hidden="1"/>
    <cellStyle name="ハイパーリンク" xfId="3624" builtinId="8" hidden="1"/>
    <cellStyle name="ハイパーリンク" xfId="3626" builtinId="8" hidden="1"/>
    <cellStyle name="ハイパーリンク" xfId="3628" builtinId="8" hidden="1"/>
    <cellStyle name="ハイパーリンク" xfId="3630" builtinId="8" hidden="1"/>
    <cellStyle name="ハイパーリンク" xfId="3632" builtinId="8" hidden="1"/>
    <cellStyle name="ハイパーリンク" xfId="3634" builtinId="8" hidden="1"/>
    <cellStyle name="ハイパーリンク" xfId="3636" builtinId="8" hidden="1"/>
    <cellStyle name="ハイパーリンク" xfId="3638" builtinId="8" hidden="1"/>
    <cellStyle name="ハイパーリンク" xfId="3640" builtinId="8" hidden="1"/>
    <cellStyle name="ハイパーリンク" xfId="3642" builtinId="8" hidden="1"/>
    <cellStyle name="ハイパーリンク" xfId="3644" builtinId="8" hidden="1"/>
    <cellStyle name="桁区切り 2" xfId="67"/>
    <cellStyle name="青字強調" xfId="68"/>
    <cellStyle name="赤字強調" xfId="69"/>
    <cellStyle name="標準" xfId="0" builtinId="0"/>
    <cellStyle name="標準 2" xfId="2"/>
    <cellStyle name="標準 2 2" xfId="2979"/>
    <cellStyle name="標準 3" xfId="19"/>
    <cellStyle name="標準 4" xfId="70"/>
    <cellStyle name="標準 5" xfId="2978"/>
    <cellStyle name="標準 6" xfId="3036"/>
    <cellStyle name="表示済みのハイパーリンク" xfId="4" builtinId="9" hidden="1"/>
    <cellStyle name="表示済みのハイパーリンク" xfId="6" builtinId="9" hidden="1"/>
    <cellStyle name="表示済みのハイパーリンク" xfId="8" builtinId="9" hidden="1"/>
    <cellStyle name="表示済みのハイパーリンク" xfId="10" builtinId="9" hidden="1"/>
    <cellStyle name="表示済みのハイパーリンク" xfId="12" builtinId="9" hidden="1"/>
    <cellStyle name="表示済みのハイパーリンク" xfId="14" builtinId="9" hidden="1"/>
    <cellStyle name="表示済みのハイパーリンク" xfId="16" builtinId="9" hidden="1"/>
    <cellStyle name="表示済みのハイパーリンク" xfId="18" builtinId="9" hidden="1"/>
    <cellStyle name="表示済みのハイパーリンク" xfId="73" builtinId="9" hidden="1"/>
    <cellStyle name="表示済みのハイパーリンク" xfId="75" builtinId="9" hidden="1"/>
    <cellStyle name="表示済みのハイパーリンク" xfId="77" builtinId="9" hidden="1"/>
    <cellStyle name="表示済みのハイパーリンク" xfId="79" builtinId="9" hidden="1"/>
    <cellStyle name="表示済みのハイパーリンク" xfId="81" builtinId="9" hidden="1"/>
    <cellStyle name="表示済みのハイパーリンク" xfId="83" builtinId="9" hidden="1"/>
    <cellStyle name="表示済みのハイパーリンク" xfId="85" builtinId="9" hidden="1"/>
    <cellStyle name="表示済みのハイパーリンク" xfId="87" builtinId="9" hidden="1"/>
    <cellStyle name="表示済みのハイパーリンク" xfId="89" builtinId="9" hidden="1"/>
    <cellStyle name="表示済みのハイパーリンク" xfId="91" builtinId="9" hidden="1"/>
    <cellStyle name="表示済みのハイパーリンク" xfId="93" builtinId="9" hidden="1"/>
    <cellStyle name="表示済みのハイパーリンク" xfId="95" builtinId="9" hidden="1"/>
    <cellStyle name="表示済みのハイパーリンク" xfId="97" builtinId="9" hidden="1"/>
    <cellStyle name="表示済みのハイパーリンク" xfId="99" builtinId="9" hidden="1"/>
    <cellStyle name="表示済みのハイパーリンク" xfId="101" builtinId="9" hidden="1"/>
    <cellStyle name="表示済みのハイパーリンク" xfId="103" builtinId="9" hidden="1"/>
    <cellStyle name="表示済みのハイパーリンク" xfId="105" builtinId="9" hidden="1"/>
    <cellStyle name="表示済みのハイパーリンク" xfId="107" builtinId="9" hidden="1"/>
    <cellStyle name="表示済みのハイパーリンク" xfId="109" builtinId="9" hidden="1"/>
    <cellStyle name="表示済みのハイパーリンク" xfId="111" builtinId="9" hidden="1"/>
    <cellStyle name="表示済みのハイパーリンク" xfId="113" builtinId="9" hidden="1"/>
    <cellStyle name="表示済みのハイパーリンク" xfId="115" builtinId="9" hidden="1"/>
    <cellStyle name="表示済みのハイパーリンク" xfId="117" builtinId="9" hidden="1"/>
    <cellStyle name="表示済みのハイパーリンク" xfId="119" builtinId="9" hidden="1"/>
    <cellStyle name="表示済みのハイパーリンク" xfId="121" builtinId="9" hidden="1"/>
    <cellStyle name="表示済みのハイパーリンク" xfId="123" builtinId="9" hidden="1"/>
    <cellStyle name="表示済みのハイパーリンク" xfId="125" builtinId="9" hidden="1"/>
    <cellStyle name="表示済みのハイパーリンク" xfId="127" builtinId="9" hidden="1"/>
    <cellStyle name="表示済みのハイパーリンク" xfId="129" builtinId="9" hidden="1"/>
    <cellStyle name="表示済みのハイパーリンク" xfId="131" builtinId="9" hidden="1"/>
    <cellStyle name="表示済みのハイパーリンク" xfId="133" builtinId="9" hidden="1"/>
    <cellStyle name="表示済みのハイパーリンク" xfId="135" builtinId="9" hidden="1"/>
    <cellStyle name="表示済みのハイパーリンク" xfId="137" builtinId="9" hidden="1"/>
    <cellStyle name="表示済みのハイパーリンク" xfId="139" builtinId="9" hidden="1"/>
    <cellStyle name="表示済みのハイパーリンク" xfId="141" builtinId="9" hidden="1"/>
    <cellStyle name="表示済みのハイパーリンク" xfId="143" builtinId="9" hidden="1"/>
    <cellStyle name="表示済みのハイパーリンク" xfId="145" builtinId="9" hidden="1"/>
    <cellStyle name="表示済みのハイパーリンク" xfId="147" builtinId="9" hidden="1"/>
    <cellStyle name="表示済みのハイパーリンク" xfId="149" builtinId="9" hidden="1"/>
    <cellStyle name="表示済みのハイパーリンク" xfId="151" builtinId="9" hidden="1"/>
    <cellStyle name="表示済みのハイパーリンク" xfId="153" builtinId="9" hidden="1"/>
    <cellStyle name="表示済みのハイパーリンク" xfId="155" builtinId="9" hidden="1"/>
    <cellStyle name="表示済みのハイパーリンク" xfId="157" builtinId="9" hidden="1"/>
    <cellStyle name="表示済みのハイパーリンク" xfId="159" builtinId="9" hidden="1"/>
    <cellStyle name="表示済みのハイパーリンク" xfId="161" builtinId="9" hidden="1"/>
    <cellStyle name="表示済みのハイパーリンク" xfId="163" builtinId="9" hidden="1"/>
    <cellStyle name="表示済みのハイパーリンク" xfId="165" builtinId="9" hidden="1"/>
    <cellStyle name="表示済みのハイパーリンク" xfId="167" builtinId="9" hidden="1"/>
    <cellStyle name="表示済みのハイパーリンク" xfId="169" builtinId="9" hidden="1"/>
    <cellStyle name="表示済みのハイパーリンク" xfId="171" builtinId="9" hidden="1"/>
    <cellStyle name="表示済みのハイパーリンク" xfId="173" builtinId="9" hidden="1"/>
    <cellStyle name="表示済みのハイパーリンク" xfId="175" builtinId="9" hidden="1"/>
    <cellStyle name="表示済みのハイパーリンク" xfId="177" builtinId="9" hidden="1"/>
    <cellStyle name="表示済みのハイパーリンク" xfId="179" builtinId="9" hidden="1"/>
    <cellStyle name="表示済みのハイパーリンク" xfId="181" builtinId="9" hidden="1"/>
    <cellStyle name="表示済みのハイパーリンク" xfId="183" builtinId="9" hidden="1"/>
    <cellStyle name="表示済みのハイパーリンク" xfId="185" builtinId="9" hidden="1"/>
    <cellStyle name="表示済みのハイパーリンク" xfId="187" builtinId="9" hidden="1"/>
    <cellStyle name="表示済みのハイパーリンク" xfId="189" builtinId="9" hidden="1"/>
    <cellStyle name="表示済みのハイパーリンク" xfId="191" builtinId="9" hidden="1"/>
    <cellStyle name="表示済みのハイパーリンク" xfId="193" builtinId="9" hidden="1"/>
    <cellStyle name="表示済みのハイパーリンク" xfId="195" builtinId="9" hidden="1"/>
    <cellStyle name="表示済みのハイパーリンク" xfId="197" builtinId="9" hidden="1"/>
    <cellStyle name="表示済みのハイパーリンク" xfId="199" builtinId="9" hidden="1"/>
    <cellStyle name="表示済みのハイパーリンク" xfId="201" builtinId="9" hidden="1"/>
    <cellStyle name="表示済みのハイパーリンク" xfId="203" builtinId="9" hidden="1"/>
    <cellStyle name="表示済みのハイパーリンク" xfId="205" builtinId="9" hidden="1"/>
    <cellStyle name="表示済みのハイパーリンク" xfId="207" builtinId="9" hidden="1"/>
    <cellStyle name="表示済みのハイパーリンク" xfId="209" builtinId="9" hidden="1"/>
    <cellStyle name="表示済みのハイパーリンク" xfId="211" builtinId="9" hidden="1"/>
    <cellStyle name="表示済みのハイパーリンク" xfId="213" builtinId="9" hidden="1"/>
    <cellStyle name="表示済みのハイパーリンク" xfId="215" builtinId="9" hidden="1"/>
    <cellStyle name="表示済みのハイパーリンク" xfId="217" builtinId="9" hidden="1"/>
    <cellStyle name="表示済みのハイパーリンク" xfId="219" builtinId="9" hidden="1"/>
    <cellStyle name="表示済みのハイパーリンク" xfId="221" builtinId="9" hidden="1"/>
    <cellStyle name="表示済みのハイパーリンク" xfId="223" builtinId="9" hidden="1"/>
    <cellStyle name="表示済みのハイパーリンク" xfId="225" builtinId="9" hidden="1"/>
    <cellStyle name="表示済みのハイパーリンク" xfId="227" builtinId="9" hidden="1"/>
    <cellStyle name="表示済みのハイパーリンク" xfId="229" builtinId="9" hidden="1"/>
    <cellStyle name="表示済みのハイパーリンク" xfId="231" builtinId="9" hidden="1"/>
    <cellStyle name="表示済みのハイパーリンク" xfId="233" builtinId="9" hidden="1"/>
    <cellStyle name="表示済みのハイパーリンク" xfId="235" builtinId="9" hidden="1"/>
    <cellStyle name="表示済みのハイパーリンク" xfId="237" builtinId="9" hidden="1"/>
    <cellStyle name="表示済みのハイパーリンク" xfId="239" builtinId="9" hidden="1"/>
    <cellStyle name="表示済みのハイパーリンク" xfId="241" builtinId="9" hidden="1"/>
    <cellStyle name="表示済みのハイパーリンク" xfId="243" builtinId="9" hidden="1"/>
    <cellStyle name="表示済みのハイパーリンク" xfId="245" builtinId="9" hidden="1"/>
    <cellStyle name="表示済みのハイパーリンク" xfId="247" builtinId="9" hidden="1"/>
    <cellStyle name="表示済みのハイパーリンク" xfId="249" builtinId="9" hidden="1"/>
    <cellStyle name="表示済みのハイパーリンク" xfId="251" builtinId="9" hidden="1"/>
    <cellStyle name="表示済みのハイパーリンク" xfId="253" builtinId="9" hidden="1"/>
    <cellStyle name="表示済みのハイパーリンク" xfId="255" builtinId="9" hidden="1"/>
    <cellStyle name="表示済みのハイパーリンク" xfId="257" builtinId="9" hidden="1"/>
    <cellStyle name="表示済みのハイパーリンク" xfId="259" builtinId="9" hidden="1"/>
    <cellStyle name="表示済みのハイパーリンク" xfId="261" builtinId="9" hidden="1"/>
    <cellStyle name="表示済みのハイパーリンク" xfId="263" builtinId="9" hidden="1"/>
    <cellStyle name="表示済みのハイパーリンク" xfId="265" builtinId="9" hidden="1"/>
    <cellStyle name="表示済みのハイパーリンク" xfId="267" builtinId="9" hidden="1"/>
    <cellStyle name="表示済みのハイパーリンク" xfId="269" builtinId="9" hidden="1"/>
    <cellStyle name="表示済みのハイパーリンク" xfId="271" builtinId="9" hidden="1"/>
    <cellStyle name="表示済みのハイパーリンク" xfId="273" builtinId="9" hidden="1"/>
    <cellStyle name="表示済みのハイパーリンク" xfId="275" builtinId="9" hidden="1"/>
    <cellStyle name="表示済みのハイパーリンク" xfId="277" builtinId="9" hidden="1"/>
    <cellStyle name="表示済みのハイパーリンク" xfId="279" builtinId="9" hidden="1"/>
    <cellStyle name="表示済みのハイパーリンク" xfId="281" builtinId="9" hidden="1"/>
    <cellStyle name="表示済みのハイパーリンク" xfId="283" builtinId="9" hidden="1"/>
    <cellStyle name="表示済みのハイパーリンク" xfId="285" builtinId="9" hidden="1"/>
    <cellStyle name="表示済みのハイパーリンク" xfId="287" builtinId="9" hidden="1"/>
    <cellStyle name="表示済みのハイパーリンク" xfId="289" builtinId="9" hidden="1"/>
    <cellStyle name="表示済みのハイパーリンク" xfId="291" builtinId="9" hidden="1"/>
    <cellStyle name="表示済みのハイパーリンク" xfId="293" builtinId="9" hidden="1"/>
    <cellStyle name="表示済みのハイパーリンク" xfId="295" builtinId="9" hidden="1"/>
    <cellStyle name="表示済みのハイパーリンク" xfId="297" builtinId="9" hidden="1"/>
    <cellStyle name="表示済みのハイパーリンク" xfId="299" builtinId="9" hidden="1"/>
    <cellStyle name="表示済みのハイパーリンク" xfId="301" builtinId="9" hidden="1"/>
    <cellStyle name="表示済みのハイパーリンク" xfId="303" builtinId="9" hidden="1"/>
    <cellStyle name="表示済みのハイパーリンク" xfId="305" builtinId="9" hidden="1"/>
    <cellStyle name="表示済みのハイパーリンク" xfId="307" builtinId="9" hidden="1"/>
    <cellStyle name="表示済みのハイパーリンク" xfId="309" builtinId="9" hidden="1"/>
    <cellStyle name="表示済みのハイパーリンク" xfId="311" builtinId="9" hidden="1"/>
    <cellStyle name="表示済みのハイパーリンク" xfId="313" builtinId="9" hidden="1"/>
    <cellStyle name="表示済みのハイパーリンク" xfId="315" builtinId="9" hidden="1"/>
    <cellStyle name="表示済みのハイパーリンク" xfId="317" builtinId="9" hidden="1"/>
    <cellStyle name="表示済みのハイパーリンク" xfId="319" builtinId="9" hidden="1"/>
    <cellStyle name="表示済みのハイパーリンク" xfId="321" builtinId="9" hidden="1"/>
    <cellStyle name="表示済みのハイパーリンク" xfId="323" builtinId="9" hidden="1"/>
    <cellStyle name="表示済みのハイパーリンク" xfId="325" builtinId="9" hidden="1"/>
    <cellStyle name="表示済みのハイパーリンク" xfId="327" builtinId="9" hidden="1"/>
    <cellStyle name="表示済みのハイパーリンク" xfId="329" builtinId="9" hidden="1"/>
    <cellStyle name="表示済みのハイパーリンク" xfId="331" builtinId="9" hidden="1"/>
    <cellStyle name="表示済みのハイパーリンク" xfId="333" builtinId="9" hidden="1"/>
    <cellStyle name="表示済みのハイパーリンク" xfId="335" builtinId="9" hidden="1"/>
    <cellStyle name="表示済みのハイパーリンク" xfId="337" builtinId="9" hidden="1"/>
    <cellStyle name="表示済みのハイパーリンク" xfId="339" builtinId="9" hidden="1"/>
    <cellStyle name="表示済みのハイパーリンク" xfId="341" builtinId="9" hidden="1"/>
    <cellStyle name="表示済みのハイパーリンク" xfId="343" builtinId="9" hidden="1"/>
    <cellStyle name="表示済みのハイパーリンク" xfId="345" builtinId="9" hidden="1"/>
    <cellStyle name="表示済みのハイパーリンク" xfId="347" builtinId="9" hidden="1"/>
    <cellStyle name="表示済みのハイパーリンク" xfId="349" builtinId="9" hidden="1"/>
    <cellStyle name="表示済みのハイパーリンク" xfId="351" builtinId="9" hidden="1"/>
    <cellStyle name="表示済みのハイパーリンク" xfId="353" builtinId="9" hidden="1"/>
    <cellStyle name="表示済みのハイパーリンク" xfId="355" builtinId="9" hidden="1"/>
    <cellStyle name="表示済みのハイパーリンク" xfId="357" builtinId="9" hidden="1"/>
    <cellStyle name="表示済みのハイパーリンク" xfId="359" builtinId="9" hidden="1"/>
    <cellStyle name="表示済みのハイパーリンク" xfId="361" builtinId="9" hidden="1"/>
    <cellStyle name="表示済みのハイパーリンク" xfId="363" builtinId="9" hidden="1"/>
    <cellStyle name="表示済みのハイパーリンク" xfId="365" builtinId="9" hidden="1"/>
    <cellStyle name="表示済みのハイパーリンク" xfId="367" builtinId="9" hidden="1"/>
    <cellStyle name="表示済みのハイパーリンク" xfId="369" builtinId="9" hidden="1"/>
    <cellStyle name="表示済みのハイパーリンク" xfId="371" builtinId="9" hidden="1"/>
    <cellStyle name="表示済みのハイパーリンク" xfId="373" builtinId="9" hidden="1"/>
    <cellStyle name="表示済みのハイパーリンク" xfId="375" builtinId="9" hidden="1"/>
    <cellStyle name="表示済みのハイパーリンク" xfId="377" builtinId="9" hidden="1"/>
    <cellStyle name="表示済みのハイパーリンク" xfId="379" builtinId="9" hidden="1"/>
    <cellStyle name="表示済みのハイパーリンク" xfId="381" builtinId="9" hidden="1"/>
    <cellStyle name="表示済みのハイパーリンク" xfId="383" builtinId="9" hidden="1"/>
    <cellStyle name="表示済みのハイパーリンク" xfId="385" builtinId="9" hidden="1"/>
    <cellStyle name="表示済みのハイパーリンク" xfId="387" builtinId="9" hidden="1"/>
    <cellStyle name="表示済みのハイパーリンク" xfId="389" builtinId="9" hidden="1"/>
    <cellStyle name="表示済みのハイパーリンク" xfId="391" builtinId="9" hidden="1"/>
    <cellStyle name="表示済みのハイパーリンク" xfId="393" builtinId="9" hidden="1"/>
    <cellStyle name="表示済みのハイパーリンク" xfId="395" builtinId="9" hidden="1"/>
    <cellStyle name="表示済みのハイパーリンク" xfId="397" builtinId="9" hidden="1"/>
    <cellStyle name="表示済みのハイパーリンク" xfId="399" builtinId="9" hidden="1"/>
    <cellStyle name="表示済みのハイパーリンク" xfId="401" builtinId="9" hidden="1"/>
    <cellStyle name="表示済みのハイパーリンク" xfId="403" builtinId="9" hidden="1"/>
    <cellStyle name="表示済みのハイパーリンク" xfId="405" builtinId="9" hidden="1"/>
    <cellStyle name="表示済みのハイパーリンク" xfId="407" builtinId="9" hidden="1"/>
    <cellStyle name="表示済みのハイパーリンク" xfId="409" builtinId="9" hidden="1"/>
    <cellStyle name="表示済みのハイパーリンク" xfId="411" builtinId="9" hidden="1"/>
    <cellStyle name="表示済みのハイパーリンク" xfId="413" builtinId="9" hidden="1"/>
    <cellStyle name="表示済みのハイパーリンク" xfId="415" builtinId="9" hidden="1"/>
    <cellStyle name="表示済みのハイパーリンク" xfId="417" builtinId="9" hidden="1"/>
    <cellStyle name="表示済みのハイパーリンク" xfId="419" builtinId="9" hidden="1"/>
    <cellStyle name="表示済みのハイパーリンク" xfId="421" builtinId="9" hidden="1"/>
    <cellStyle name="表示済みのハイパーリンク" xfId="423" builtinId="9" hidden="1"/>
    <cellStyle name="表示済みのハイパーリンク" xfId="425" builtinId="9" hidden="1"/>
    <cellStyle name="表示済みのハイパーリンク" xfId="427" builtinId="9" hidden="1"/>
    <cellStyle name="表示済みのハイパーリンク" xfId="429" builtinId="9" hidden="1"/>
    <cellStyle name="表示済みのハイパーリンク" xfId="431" builtinId="9" hidden="1"/>
    <cellStyle name="表示済みのハイパーリンク" xfId="433" builtinId="9" hidden="1"/>
    <cellStyle name="表示済みのハイパーリンク" xfId="435" builtinId="9" hidden="1"/>
    <cellStyle name="表示済みのハイパーリンク" xfId="437" builtinId="9" hidden="1"/>
    <cellStyle name="表示済みのハイパーリンク" xfId="439" builtinId="9" hidden="1"/>
    <cellStyle name="表示済みのハイパーリンク" xfId="441" builtinId="9" hidden="1"/>
    <cellStyle name="表示済みのハイパーリンク" xfId="443" builtinId="9" hidden="1"/>
    <cellStyle name="表示済みのハイパーリンク" xfId="445" builtinId="9" hidden="1"/>
    <cellStyle name="表示済みのハイパーリンク" xfId="447" builtinId="9" hidden="1"/>
    <cellStyle name="表示済みのハイパーリンク" xfId="449" builtinId="9" hidden="1"/>
    <cellStyle name="表示済みのハイパーリンク" xfId="451" builtinId="9" hidden="1"/>
    <cellStyle name="表示済みのハイパーリンク" xfId="453" builtinId="9" hidden="1"/>
    <cellStyle name="表示済みのハイパーリンク" xfId="455" builtinId="9" hidden="1"/>
    <cellStyle name="表示済みのハイパーリンク" xfId="457" builtinId="9" hidden="1"/>
    <cellStyle name="表示済みのハイパーリンク" xfId="459" builtinId="9" hidden="1"/>
    <cellStyle name="表示済みのハイパーリンク" xfId="461" builtinId="9" hidden="1"/>
    <cellStyle name="表示済みのハイパーリンク" xfId="463" builtinId="9" hidden="1"/>
    <cellStyle name="表示済みのハイパーリンク" xfId="465" builtinId="9" hidden="1"/>
    <cellStyle name="表示済みのハイパーリンク" xfId="467" builtinId="9" hidden="1"/>
    <cellStyle name="表示済みのハイパーリンク" xfId="469" builtinId="9" hidden="1"/>
    <cellStyle name="表示済みのハイパーリンク" xfId="471" builtinId="9" hidden="1"/>
    <cellStyle name="表示済みのハイパーリンク" xfId="473" builtinId="9" hidden="1"/>
    <cellStyle name="表示済みのハイパーリンク" xfId="475" builtinId="9" hidden="1"/>
    <cellStyle name="表示済みのハイパーリンク" xfId="477" builtinId="9" hidden="1"/>
    <cellStyle name="表示済みのハイパーリンク" xfId="479" builtinId="9" hidden="1"/>
    <cellStyle name="表示済みのハイパーリンク" xfId="481" builtinId="9" hidden="1"/>
    <cellStyle name="表示済みのハイパーリンク" xfId="483" builtinId="9" hidden="1"/>
    <cellStyle name="表示済みのハイパーリンク" xfId="485" builtinId="9" hidden="1"/>
    <cellStyle name="表示済みのハイパーリンク" xfId="487" builtinId="9" hidden="1"/>
    <cellStyle name="表示済みのハイパーリンク" xfId="489" builtinId="9" hidden="1"/>
    <cellStyle name="表示済みのハイパーリンク" xfId="491" builtinId="9" hidden="1"/>
    <cellStyle name="表示済みのハイパーリンク" xfId="493" builtinId="9" hidden="1"/>
    <cellStyle name="表示済みのハイパーリンク" xfId="495" builtinId="9" hidden="1"/>
    <cellStyle name="表示済みのハイパーリンク" xfId="497" builtinId="9" hidden="1"/>
    <cellStyle name="表示済みのハイパーリンク" xfId="499" builtinId="9" hidden="1"/>
    <cellStyle name="表示済みのハイパーリンク" xfId="501" builtinId="9" hidden="1"/>
    <cellStyle name="表示済みのハイパーリンク" xfId="503" builtinId="9" hidden="1"/>
    <cellStyle name="表示済みのハイパーリンク" xfId="505" builtinId="9" hidden="1"/>
    <cellStyle name="表示済みのハイパーリンク" xfId="507" builtinId="9" hidden="1"/>
    <cellStyle name="表示済みのハイパーリンク" xfId="509" builtinId="9" hidden="1"/>
    <cellStyle name="表示済みのハイパーリンク" xfId="511" builtinId="9" hidden="1"/>
    <cellStyle name="表示済みのハイパーリンク" xfId="513" builtinId="9" hidden="1"/>
    <cellStyle name="表示済みのハイパーリンク" xfId="515" builtinId="9" hidden="1"/>
    <cellStyle name="表示済みのハイパーリンク" xfId="517" builtinId="9" hidden="1"/>
    <cellStyle name="表示済みのハイパーリンク" xfId="519" builtinId="9" hidden="1"/>
    <cellStyle name="表示済みのハイパーリンク" xfId="521" builtinId="9" hidden="1"/>
    <cellStyle name="表示済みのハイパーリンク" xfId="523" builtinId="9" hidden="1"/>
    <cellStyle name="表示済みのハイパーリンク" xfId="525" builtinId="9" hidden="1"/>
    <cellStyle name="表示済みのハイパーリンク" xfId="527" builtinId="9" hidden="1"/>
    <cellStyle name="表示済みのハイパーリンク" xfId="529" builtinId="9" hidden="1"/>
    <cellStyle name="表示済みのハイパーリンク" xfId="531" builtinId="9" hidden="1"/>
    <cellStyle name="表示済みのハイパーリンク" xfId="533" builtinId="9" hidden="1"/>
    <cellStyle name="表示済みのハイパーリンク" xfId="535" builtinId="9" hidden="1"/>
    <cellStyle name="表示済みのハイパーリンク" xfId="537" builtinId="9" hidden="1"/>
    <cellStyle name="表示済みのハイパーリンク" xfId="539" builtinId="9" hidden="1"/>
    <cellStyle name="表示済みのハイパーリンク" xfId="541" builtinId="9" hidden="1"/>
    <cellStyle name="表示済みのハイパーリンク" xfId="543" builtinId="9" hidden="1"/>
    <cellStyle name="表示済みのハイパーリンク" xfId="545" builtinId="9" hidden="1"/>
    <cellStyle name="表示済みのハイパーリンク" xfId="547" builtinId="9" hidden="1"/>
    <cellStyle name="表示済みのハイパーリンク" xfId="549" builtinId="9" hidden="1"/>
    <cellStyle name="表示済みのハイパーリンク" xfId="551" builtinId="9" hidden="1"/>
    <cellStyle name="表示済みのハイパーリンク" xfId="553" builtinId="9" hidden="1"/>
    <cellStyle name="表示済みのハイパーリンク" xfId="555" builtinId="9" hidden="1"/>
    <cellStyle name="表示済みのハイパーリンク" xfId="557" builtinId="9" hidden="1"/>
    <cellStyle name="表示済みのハイパーリンク" xfId="559" builtinId="9" hidden="1"/>
    <cellStyle name="表示済みのハイパーリンク" xfId="561" builtinId="9" hidden="1"/>
    <cellStyle name="表示済みのハイパーリンク" xfId="563" builtinId="9" hidden="1"/>
    <cellStyle name="表示済みのハイパーリンク" xfId="565" builtinId="9" hidden="1"/>
    <cellStyle name="表示済みのハイパーリンク" xfId="567" builtinId="9" hidden="1"/>
    <cellStyle name="表示済みのハイパーリンク" xfId="569" builtinId="9" hidden="1"/>
    <cellStyle name="表示済みのハイパーリンク" xfId="571" builtinId="9" hidden="1"/>
    <cellStyle name="表示済みのハイパーリンク" xfId="573" builtinId="9" hidden="1"/>
    <cellStyle name="表示済みのハイパーリンク" xfId="575" builtinId="9" hidden="1"/>
    <cellStyle name="表示済みのハイパーリンク" xfId="577" builtinId="9" hidden="1"/>
    <cellStyle name="表示済みのハイパーリンク" xfId="579" builtinId="9" hidden="1"/>
    <cellStyle name="表示済みのハイパーリンク" xfId="581" builtinId="9" hidden="1"/>
    <cellStyle name="表示済みのハイパーリンク" xfId="583" builtinId="9" hidden="1"/>
    <cellStyle name="表示済みのハイパーリンク" xfId="585" builtinId="9" hidden="1"/>
    <cellStyle name="表示済みのハイパーリンク" xfId="587" builtinId="9" hidden="1"/>
    <cellStyle name="表示済みのハイパーリンク" xfId="589" builtinId="9" hidden="1"/>
    <cellStyle name="表示済みのハイパーリンク" xfId="591" builtinId="9" hidden="1"/>
    <cellStyle name="表示済みのハイパーリンク" xfId="593" builtinId="9" hidden="1"/>
    <cellStyle name="表示済みのハイパーリンク" xfId="595" builtinId="9" hidden="1"/>
    <cellStyle name="表示済みのハイパーリンク" xfId="597" builtinId="9" hidden="1"/>
    <cellStyle name="表示済みのハイパーリンク" xfId="599" builtinId="9" hidden="1"/>
    <cellStyle name="表示済みのハイパーリンク" xfId="601" builtinId="9" hidden="1"/>
    <cellStyle name="表示済みのハイパーリンク" xfId="603" builtinId="9" hidden="1"/>
    <cellStyle name="表示済みのハイパーリンク" xfId="605" builtinId="9" hidden="1"/>
    <cellStyle name="表示済みのハイパーリンク" xfId="607" builtinId="9" hidden="1"/>
    <cellStyle name="表示済みのハイパーリンク" xfId="609" builtinId="9" hidden="1"/>
    <cellStyle name="表示済みのハイパーリンク" xfId="611" builtinId="9" hidden="1"/>
    <cellStyle name="表示済みのハイパーリンク" xfId="613" builtinId="9" hidden="1"/>
    <cellStyle name="表示済みのハイパーリンク" xfId="615" builtinId="9" hidden="1"/>
    <cellStyle name="表示済みのハイパーリンク" xfId="617" builtinId="9" hidden="1"/>
    <cellStyle name="表示済みのハイパーリンク" xfId="619" builtinId="9" hidden="1"/>
    <cellStyle name="表示済みのハイパーリンク" xfId="621" builtinId="9" hidden="1"/>
    <cellStyle name="表示済みのハイパーリンク" xfId="623" builtinId="9" hidden="1"/>
    <cellStyle name="表示済みのハイパーリンク" xfId="625" builtinId="9" hidden="1"/>
    <cellStyle name="表示済みのハイパーリンク" xfId="627" builtinId="9" hidden="1"/>
    <cellStyle name="表示済みのハイパーリンク" xfId="629" builtinId="9" hidden="1"/>
    <cellStyle name="表示済みのハイパーリンク" xfId="631" builtinId="9" hidden="1"/>
    <cellStyle name="表示済みのハイパーリンク" xfId="633" builtinId="9" hidden="1"/>
    <cellStyle name="表示済みのハイパーリンク" xfId="635" builtinId="9" hidden="1"/>
    <cellStyle name="表示済みのハイパーリンク" xfId="637" builtinId="9" hidden="1"/>
    <cellStyle name="表示済みのハイパーリンク" xfId="639" builtinId="9" hidden="1"/>
    <cellStyle name="表示済みのハイパーリンク" xfId="641" builtinId="9" hidden="1"/>
    <cellStyle name="表示済みのハイパーリンク" xfId="643" builtinId="9" hidden="1"/>
    <cellStyle name="表示済みのハイパーリンク" xfId="645" builtinId="9" hidden="1"/>
    <cellStyle name="表示済みのハイパーリンク" xfId="647" builtinId="9" hidden="1"/>
    <cellStyle name="表示済みのハイパーリンク" xfId="649" builtinId="9" hidden="1"/>
    <cellStyle name="表示済みのハイパーリンク" xfId="651" builtinId="9" hidden="1"/>
    <cellStyle name="表示済みのハイパーリンク" xfId="653" builtinId="9" hidden="1"/>
    <cellStyle name="表示済みのハイパーリンク" xfId="655" builtinId="9" hidden="1"/>
    <cellStyle name="表示済みのハイパーリンク" xfId="657" builtinId="9" hidden="1"/>
    <cellStyle name="表示済みのハイパーリンク" xfId="659" builtinId="9" hidden="1"/>
    <cellStyle name="表示済みのハイパーリンク" xfId="661" builtinId="9" hidden="1"/>
    <cellStyle name="表示済みのハイパーリンク" xfId="663" builtinId="9" hidden="1"/>
    <cellStyle name="表示済みのハイパーリンク" xfId="665" builtinId="9" hidden="1"/>
    <cellStyle name="表示済みのハイパーリンク" xfId="667" builtinId="9" hidden="1"/>
    <cellStyle name="表示済みのハイパーリンク" xfId="669" builtinId="9" hidden="1"/>
    <cellStyle name="表示済みのハイパーリンク" xfId="671" builtinId="9" hidden="1"/>
    <cellStyle name="表示済みのハイパーリンク" xfId="673" builtinId="9" hidden="1"/>
    <cellStyle name="表示済みのハイパーリンク" xfId="675" builtinId="9" hidden="1"/>
    <cellStyle name="表示済みのハイパーリンク" xfId="677" builtinId="9" hidden="1"/>
    <cellStyle name="表示済みのハイパーリンク" xfId="679" builtinId="9" hidden="1"/>
    <cellStyle name="表示済みのハイパーリンク" xfId="681" builtinId="9" hidden="1"/>
    <cellStyle name="表示済みのハイパーリンク" xfId="683" builtinId="9" hidden="1"/>
    <cellStyle name="表示済みのハイパーリンク" xfId="685" builtinId="9" hidden="1"/>
    <cellStyle name="表示済みのハイパーリンク" xfId="687" builtinId="9" hidden="1"/>
    <cellStyle name="表示済みのハイパーリンク" xfId="689" builtinId="9" hidden="1"/>
    <cellStyle name="表示済みのハイパーリンク" xfId="691" builtinId="9" hidden="1"/>
    <cellStyle name="表示済みのハイパーリンク" xfId="693" builtinId="9" hidden="1"/>
    <cellStyle name="表示済みのハイパーリンク" xfId="695" builtinId="9" hidden="1"/>
    <cellStyle name="表示済みのハイパーリンク" xfId="697" builtinId="9" hidden="1"/>
    <cellStyle name="表示済みのハイパーリンク" xfId="699" builtinId="9" hidden="1"/>
    <cellStyle name="表示済みのハイパーリンク" xfId="701" builtinId="9" hidden="1"/>
    <cellStyle name="表示済みのハイパーリンク" xfId="703" builtinId="9" hidden="1"/>
    <cellStyle name="表示済みのハイパーリンク" xfId="705" builtinId="9" hidden="1"/>
    <cellStyle name="表示済みのハイパーリンク" xfId="707" builtinId="9" hidden="1"/>
    <cellStyle name="表示済みのハイパーリンク" xfId="709" builtinId="9" hidden="1"/>
    <cellStyle name="表示済みのハイパーリンク" xfId="711" builtinId="9" hidden="1"/>
    <cellStyle name="表示済みのハイパーリンク" xfId="713" builtinId="9" hidden="1"/>
    <cellStyle name="表示済みのハイパーリンク" xfId="715" builtinId="9" hidden="1"/>
    <cellStyle name="表示済みのハイパーリンク" xfId="717" builtinId="9" hidden="1"/>
    <cellStyle name="表示済みのハイパーリンク" xfId="719" builtinId="9" hidden="1"/>
    <cellStyle name="表示済みのハイパーリンク" xfId="721" builtinId="9" hidden="1"/>
    <cellStyle name="表示済みのハイパーリンク" xfId="723" builtinId="9" hidden="1"/>
    <cellStyle name="表示済みのハイパーリンク" xfId="725" builtinId="9" hidden="1"/>
    <cellStyle name="表示済みのハイパーリンク" xfId="727" builtinId="9" hidden="1"/>
    <cellStyle name="表示済みのハイパーリンク" xfId="729" builtinId="9" hidden="1"/>
    <cellStyle name="表示済みのハイパーリンク" xfId="731" builtinId="9" hidden="1"/>
    <cellStyle name="表示済みのハイパーリンク" xfId="733" builtinId="9" hidden="1"/>
    <cellStyle name="表示済みのハイパーリンク" xfId="735" builtinId="9" hidden="1"/>
    <cellStyle name="表示済みのハイパーリンク" xfId="737" builtinId="9" hidden="1"/>
    <cellStyle name="表示済みのハイパーリンク" xfId="739" builtinId="9" hidden="1"/>
    <cellStyle name="表示済みのハイパーリンク" xfId="741" builtinId="9" hidden="1"/>
    <cellStyle name="表示済みのハイパーリンク" xfId="743" builtinId="9" hidden="1"/>
    <cellStyle name="表示済みのハイパーリンク" xfId="745" builtinId="9" hidden="1"/>
    <cellStyle name="表示済みのハイパーリンク" xfId="747" builtinId="9" hidden="1"/>
    <cellStyle name="表示済みのハイパーリンク" xfId="749" builtinId="9" hidden="1"/>
    <cellStyle name="表示済みのハイパーリンク" xfId="751" builtinId="9" hidden="1"/>
    <cellStyle name="表示済みのハイパーリンク" xfId="753" builtinId="9" hidden="1"/>
    <cellStyle name="表示済みのハイパーリンク" xfId="755" builtinId="9" hidden="1"/>
    <cellStyle name="表示済みのハイパーリンク" xfId="757" builtinId="9" hidden="1"/>
    <cellStyle name="表示済みのハイパーリンク" xfId="759" builtinId="9" hidden="1"/>
    <cellStyle name="表示済みのハイパーリンク" xfId="761" builtinId="9" hidden="1"/>
    <cellStyle name="表示済みのハイパーリンク" xfId="763" builtinId="9" hidden="1"/>
    <cellStyle name="表示済みのハイパーリンク" xfId="765" builtinId="9" hidden="1"/>
    <cellStyle name="表示済みのハイパーリンク" xfId="767" builtinId="9" hidden="1"/>
    <cellStyle name="表示済みのハイパーリンク" xfId="769" builtinId="9" hidden="1"/>
    <cellStyle name="表示済みのハイパーリンク" xfId="771" builtinId="9" hidden="1"/>
    <cellStyle name="表示済みのハイパーリンク" xfId="773" builtinId="9" hidden="1"/>
    <cellStyle name="表示済みのハイパーリンク" xfId="775" builtinId="9" hidden="1"/>
    <cellStyle name="表示済みのハイパーリンク" xfId="777" builtinId="9" hidden="1"/>
    <cellStyle name="表示済みのハイパーリンク" xfId="779" builtinId="9" hidden="1"/>
    <cellStyle name="表示済みのハイパーリンク" xfId="781" builtinId="9" hidden="1"/>
    <cellStyle name="表示済みのハイパーリンク" xfId="783" builtinId="9" hidden="1"/>
    <cellStyle name="表示済みのハイパーリンク" xfId="785" builtinId="9" hidden="1"/>
    <cellStyle name="表示済みのハイパーリンク" xfId="787" builtinId="9" hidden="1"/>
    <cellStyle name="表示済みのハイパーリンク" xfId="789" builtinId="9" hidden="1"/>
    <cellStyle name="表示済みのハイパーリンク" xfId="791" builtinId="9" hidden="1"/>
    <cellStyle name="表示済みのハイパーリンク" xfId="793" builtinId="9" hidden="1"/>
    <cellStyle name="表示済みのハイパーリンク" xfId="795" builtinId="9" hidden="1"/>
    <cellStyle name="表示済みのハイパーリンク" xfId="797" builtinId="9" hidden="1"/>
    <cellStyle name="表示済みのハイパーリンク" xfId="799" builtinId="9" hidden="1"/>
    <cellStyle name="表示済みのハイパーリンク" xfId="801" builtinId="9" hidden="1"/>
    <cellStyle name="表示済みのハイパーリンク" xfId="803" builtinId="9" hidden="1"/>
    <cellStyle name="表示済みのハイパーリンク" xfId="805" builtinId="9" hidden="1"/>
    <cellStyle name="表示済みのハイパーリンク" xfId="807" builtinId="9" hidden="1"/>
    <cellStyle name="表示済みのハイパーリンク" xfId="809" builtinId="9" hidden="1"/>
    <cellStyle name="表示済みのハイパーリンク" xfId="811" builtinId="9" hidden="1"/>
    <cellStyle name="表示済みのハイパーリンク" xfId="813" builtinId="9" hidden="1"/>
    <cellStyle name="表示済みのハイパーリンク" xfId="815" builtinId="9" hidden="1"/>
    <cellStyle name="表示済みのハイパーリンク" xfId="817" builtinId="9" hidden="1"/>
    <cellStyle name="表示済みのハイパーリンク" xfId="819" builtinId="9" hidden="1"/>
    <cellStyle name="表示済みのハイパーリンク" xfId="821" builtinId="9" hidden="1"/>
    <cellStyle name="表示済みのハイパーリンク" xfId="823" builtinId="9" hidden="1"/>
    <cellStyle name="表示済みのハイパーリンク" xfId="825" builtinId="9" hidden="1"/>
    <cellStyle name="表示済みのハイパーリンク" xfId="827" builtinId="9" hidden="1"/>
    <cellStyle name="表示済みのハイパーリンク" xfId="829" builtinId="9" hidden="1"/>
    <cellStyle name="表示済みのハイパーリンク" xfId="831" builtinId="9" hidden="1"/>
    <cellStyle name="表示済みのハイパーリンク" xfId="833" builtinId="9" hidden="1"/>
    <cellStyle name="表示済みのハイパーリンク" xfId="835" builtinId="9" hidden="1"/>
    <cellStyle name="表示済みのハイパーリンク" xfId="837" builtinId="9" hidden="1"/>
    <cellStyle name="表示済みのハイパーリンク" xfId="839" builtinId="9" hidden="1"/>
    <cellStyle name="表示済みのハイパーリンク" xfId="841" builtinId="9" hidden="1"/>
    <cellStyle name="表示済みのハイパーリンク" xfId="843" builtinId="9" hidden="1"/>
    <cellStyle name="表示済みのハイパーリンク" xfId="845" builtinId="9" hidden="1"/>
    <cellStyle name="表示済みのハイパーリンク" xfId="847" builtinId="9" hidden="1"/>
    <cellStyle name="表示済みのハイパーリンク" xfId="849" builtinId="9" hidden="1"/>
    <cellStyle name="表示済みのハイパーリンク" xfId="851" builtinId="9" hidden="1"/>
    <cellStyle name="表示済みのハイパーリンク" xfId="853" builtinId="9" hidden="1"/>
    <cellStyle name="表示済みのハイパーリンク" xfId="855" builtinId="9" hidden="1"/>
    <cellStyle name="表示済みのハイパーリンク" xfId="857" builtinId="9" hidden="1"/>
    <cellStyle name="表示済みのハイパーリンク" xfId="859" builtinId="9" hidden="1"/>
    <cellStyle name="表示済みのハイパーリンク" xfId="861" builtinId="9" hidden="1"/>
    <cellStyle name="表示済みのハイパーリンク" xfId="863" builtinId="9" hidden="1"/>
    <cellStyle name="表示済みのハイパーリンク" xfId="865" builtinId="9" hidden="1"/>
    <cellStyle name="表示済みのハイパーリンク" xfId="867" builtinId="9" hidden="1"/>
    <cellStyle name="表示済みのハイパーリンク" xfId="869" builtinId="9" hidden="1"/>
    <cellStyle name="表示済みのハイパーリンク" xfId="871" builtinId="9" hidden="1"/>
    <cellStyle name="表示済みのハイパーリンク" xfId="873" builtinId="9" hidden="1"/>
    <cellStyle name="表示済みのハイパーリンク" xfId="875" builtinId="9" hidden="1"/>
    <cellStyle name="表示済みのハイパーリンク" xfId="877" builtinId="9" hidden="1"/>
    <cellStyle name="表示済みのハイパーリンク" xfId="879" builtinId="9" hidden="1"/>
    <cellStyle name="表示済みのハイパーリンク" xfId="881" builtinId="9" hidden="1"/>
    <cellStyle name="表示済みのハイパーリンク" xfId="883" builtinId="9" hidden="1"/>
    <cellStyle name="表示済みのハイパーリンク" xfId="885" builtinId="9" hidden="1"/>
    <cellStyle name="表示済みのハイパーリンク" xfId="887" builtinId="9" hidden="1"/>
    <cellStyle name="表示済みのハイパーリンク" xfId="889" builtinId="9" hidden="1"/>
    <cellStyle name="表示済みのハイパーリンク" xfId="891" builtinId="9" hidden="1"/>
    <cellStyle name="表示済みのハイパーリンク" xfId="893" builtinId="9" hidden="1"/>
    <cellStyle name="表示済みのハイパーリンク" xfId="895" builtinId="9" hidden="1"/>
    <cellStyle name="表示済みのハイパーリンク" xfId="897" builtinId="9" hidden="1"/>
    <cellStyle name="表示済みのハイパーリンク" xfId="899" builtinId="9" hidden="1"/>
    <cellStyle name="表示済みのハイパーリンク" xfId="901" builtinId="9" hidden="1"/>
    <cellStyle name="表示済みのハイパーリンク" xfId="903" builtinId="9" hidden="1"/>
    <cellStyle name="表示済みのハイパーリンク" xfId="905" builtinId="9" hidden="1"/>
    <cellStyle name="表示済みのハイパーリンク" xfId="907" builtinId="9" hidden="1"/>
    <cellStyle name="表示済みのハイパーリンク" xfId="909" builtinId="9" hidden="1"/>
    <cellStyle name="表示済みのハイパーリンク" xfId="911" builtinId="9" hidden="1"/>
    <cellStyle name="表示済みのハイパーリンク" xfId="913" builtinId="9" hidden="1"/>
    <cellStyle name="表示済みのハイパーリンク" xfId="915" builtinId="9" hidden="1"/>
    <cellStyle name="表示済みのハイパーリンク" xfId="917" builtinId="9" hidden="1"/>
    <cellStyle name="表示済みのハイパーリンク" xfId="919" builtinId="9" hidden="1"/>
    <cellStyle name="表示済みのハイパーリンク" xfId="921" builtinId="9" hidden="1"/>
    <cellStyle name="表示済みのハイパーリンク" xfId="923" builtinId="9" hidden="1"/>
    <cellStyle name="表示済みのハイパーリンク" xfId="925" builtinId="9" hidden="1"/>
    <cellStyle name="表示済みのハイパーリンク" xfId="927" builtinId="9" hidden="1"/>
    <cellStyle name="表示済みのハイパーリンク" xfId="929" builtinId="9" hidden="1"/>
    <cellStyle name="表示済みのハイパーリンク" xfId="931" builtinId="9" hidden="1"/>
    <cellStyle name="表示済みのハイパーリンク" xfId="933" builtinId="9" hidden="1"/>
    <cellStyle name="表示済みのハイパーリンク" xfId="935" builtinId="9" hidden="1"/>
    <cellStyle name="表示済みのハイパーリンク" xfId="937" builtinId="9" hidden="1"/>
    <cellStyle name="表示済みのハイパーリンク" xfId="939" builtinId="9" hidden="1"/>
    <cellStyle name="表示済みのハイパーリンク" xfId="941" builtinId="9" hidden="1"/>
    <cellStyle name="表示済みのハイパーリンク" xfId="943" builtinId="9" hidden="1"/>
    <cellStyle name="表示済みのハイパーリンク" xfId="945" builtinId="9" hidden="1"/>
    <cellStyle name="表示済みのハイパーリンク" xfId="947" builtinId="9" hidden="1"/>
    <cellStyle name="表示済みのハイパーリンク" xfId="949" builtinId="9" hidden="1"/>
    <cellStyle name="表示済みのハイパーリンク" xfId="951" builtinId="9" hidden="1"/>
    <cellStyle name="表示済みのハイパーリンク" xfId="953" builtinId="9" hidden="1"/>
    <cellStyle name="表示済みのハイパーリンク" xfId="955" builtinId="9" hidden="1"/>
    <cellStyle name="表示済みのハイパーリンク" xfId="957" builtinId="9" hidden="1"/>
    <cellStyle name="表示済みのハイパーリンク" xfId="959" builtinId="9" hidden="1"/>
    <cellStyle name="表示済みのハイパーリンク" xfId="961" builtinId="9" hidden="1"/>
    <cellStyle name="表示済みのハイパーリンク" xfId="963" builtinId="9" hidden="1"/>
    <cellStyle name="表示済みのハイパーリンク" xfId="965" builtinId="9" hidden="1"/>
    <cellStyle name="表示済みのハイパーリンク" xfId="967" builtinId="9" hidden="1"/>
    <cellStyle name="表示済みのハイパーリンク" xfId="969" builtinId="9" hidden="1"/>
    <cellStyle name="表示済みのハイパーリンク" xfId="971" builtinId="9" hidden="1"/>
    <cellStyle name="表示済みのハイパーリンク" xfId="973" builtinId="9" hidden="1"/>
    <cellStyle name="表示済みのハイパーリンク" xfId="975" builtinId="9" hidden="1"/>
    <cellStyle name="表示済みのハイパーリンク" xfId="977" builtinId="9" hidden="1"/>
    <cellStyle name="表示済みのハイパーリンク" xfId="979" builtinId="9" hidden="1"/>
    <cellStyle name="表示済みのハイパーリンク" xfId="981" builtinId="9" hidden="1"/>
    <cellStyle name="表示済みのハイパーリンク" xfId="983" builtinId="9" hidden="1"/>
    <cellStyle name="表示済みのハイパーリンク" xfId="985" builtinId="9" hidden="1"/>
    <cellStyle name="表示済みのハイパーリンク" xfId="987" builtinId="9" hidden="1"/>
    <cellStyle name="表示済みのハイパーリンク" xfId="989" builtinId="9" hidden="1"/>
    <cellStyle name="表示済みのハイパーリンク" xfId="991" builtinId="9" hidden="1"/>
    <cellStyle name="表示済みのハイパーリンク" xfId="993" builtinId="9" hidden="1"/>
    <cellStyle name="表示済みのハイパーリンク" xfId="995" builtinId="9" hidden="1"/>
    <cellStyle name="表示済みのハイパーリンク" xfId="997" builtinId="9" hidden="1"/>
    <cellStyle name="表示済みのハイパーリンク" xfId="999" builtinId="9" hidden="1"/>
    <cellStyle name="表示済みのハイパーリンク" xfId="1001" builtinId="9" hidden="1"/>
    <cellStyle name="表示済みのハイパーリンク" xfId="1003" builtinId="9" hidden="1"/>
    <cellStyle name="表示済みのハイパーリンク" xfId="1005" builtinId="9" hidden="1"/>
    <cellStyle name="表示済みのハイパーリンク" xfId="1007" builtinId="9" hidden="1"/>
    <cellStyle name="表示済みのハイパーリンク" xfId="1009" builtinId="9" hidden="1"/>
    <cellStyle name="表示済みのハイパーリンク" xfId="1011" builtinId="9" hidden="1"/>
    <cellStyle name="表示済みのハイパーリンク" xfId="1013" builtinId="9" hidden="1"/>
    <cellStyle name="表示済みのハイパーリンク" xfId="1015" builtinId="9" hidden="1"/>
    <cellStyle name="表示済みのハイパーリンク" xfId="1017" builtinId="9" hidden="1"/>
    <cellStyle name="表示済みのハイパーリンク" xfId="1019" builtinId="9" hidden="1"/>
    <cellStyle name="表示済みのハイパーリンク" xfId="1021" builtinId="9" hidden="1"/>
    <cellStyle name="表示済みのハイパーリンク" xfId="1023" builtinId="9" hidden="1"/>
    <cellStyle name="表示済みのハイパーリンク" xfId="1025" builtinId="9" hidden="1"/>
    <cellStyle name="表示済みのハイパーリンク" xfId="1027" builtinId="9" hidden="1"/>
    <cellStyle name="表示済みのハイパーリンク" xfId="1029" builtinId="9" hidden="1"/>
    <cellStyle name="表示済みのハイパーリンク" xfId="1031" builtinId="9" hidden="1"/>
    <cellStyle name="表示済みのハイパーリンク" xfId="1033" builtinId="9" hidden="1"/>
    <cellStyle name="表示済みのハイパーリンク" xfId="1035" builtinId="9" hidden="1"/>
    <cellStyle name="表示済みのハイパーリンク" xfId="1037" builtinId="9" hidden="1"/>
    <cellStyle name="表示済みのハイパーリンク" xfId="1039" builtinId="9" hidden="1"/>
    <cellStyle name="表示済みのハイパーリンク" xfId="1041" builtinId="9" hidden="1"/>
    <cellStyle name="表示済みのハイパーリンク" xfId="1043" builtinId="9" hidden="1"/>
    <cellStyle name="表示済みのハイパーリンク" xfId="1045" builtinId="9" hidden="1"/>
    <cellStyle name="表示済みのハイパーリンク" xfId="1047" builtinId="9" hidden="1"/>
    <cellStyle name="表示済みのハイパーリンク" xfId="1049" builtinId="9" hidden="1"/>
    <cellStyle name="表示済みのハイパーリンク" xfId="1051" builtinId="9" hidden="1"/>
    <cellStyle name="表示済みのハイパーリンク" xfId="1053" builtinId="9" hidden="1"/>
    <cellStyle name="表示済みのハイパーリンク" xfId="1055" builtinId="9" hidden="1"/>
    <cellStyle name="表示済みのハイパーリンク" xfId="1057" builtinId="9" hidden="1"/>
    <cellStyle name="表示済みのハイパーリンク" xfId="1059" builtinId="9" hidden="1"/>
    <cellStyle name="表示済みのハイパーリンク" xfId="1061" builtinId="9" hidden="1"/>
    <cellStyle name="表示済みのハイパーリンク" xfId="1063" builtinId="9" hidden="1"/>
    <cellStyle name="表示済みのハイパーリンク" xfId="1065" builtinId="9" hidden="1"/>
    <cellStyle name="表示済みのハイパーリンク" xfId="1067" builtinId="9" hidden="1"/>
    <cellStyle name="表示済みのハイパーリンク" xfId="1069" builtinId="9" hidden="1"/>
    <cellStyle name="表示済みのハイパーリンク" xfId="1071" builtinId="9" hidden="1"/>
    <cellStyle name="表示済みのハイパーリンク" xfId="1073" builtinId="9" hidden="1"/>
    <cellStyle name="表示済みのハイパーリンク" xfId="1075" builtinId="9" hidden="1"/>
    <cellStyle name="表示済みのハイパーリンク" xfId="1077" builtinId="9" hidden="1"/>
    <cellStyle name="表示済みのハイパーリンク" xfId="1079" builtinId="9" hidden="1"/>
    <cellStyle name="表示済みのハイパーリンク" xfId="1081" builtinId="9" hidden="1"/>
    <cellStyle name="表示済みのハイパーリンク" xfId="1083" builtinId="9" hidden="1"/>
    <cellStyle name="表示済みのハイパーリンク" xfId="1085" builtinId="9" hidden="1"/>
    <cellStyle name="表示済みのハイパーリンク" xfId="1087" builtinId="9" hidden="1"/>
    <cellStyle name="表示済みのハイパーリンク" xfId="1089" builtinId="9" hidden="1"/>
    <cellStyle name="表示済みのハイパーリンク" xfId="1091" builtinId="9" hidden="1"/>
    <cellStyle name="表示済みのハイパーリンク" xfId="1093" builtinId="9" hidden="1"/>
    <cellStyle name="表示済みのハイパーリンク" xfId="1095" builtinId="9" hidden="1"/>
    <cellStyle name="表示済みのハイパーリンク" xfId="1097" builtinId="9" hidden="1"/>
    <cellStyle name="表示済みのハイパーリンク" xfId="1099" builtinId="9" hidden="1"/>
    <cellStyle name="表示済みのハイパーリンク" xfId="1101" builtinId="9" hidden="1"/>
    <cellStyle name="表示済みのハイパーリンク" xfId="1103" builtinId="9" hidden="1"/>
    <cellStyle name="表示済みのハイパーリンク" xfId="1105" builtinId="9" hidden="1"/>
    <cellStyle name="表示済みのハイパーリンク" xfId="1107" builtinId="9" hidden="1"/>
    <cellStyle name="表示済みのハイパーリンク" xfId="1109" builtinId="9" hidden="1"/>
    <cellStyle name="表示済みのハイパーリンク" xfId="1111" builtinId="9" hidden="1"/>
    <cellStyle name="表示済みのハイパーリンク" xfId="1113" builtinId="9" hidden="1"/>
    <cellStyle name="表示済みのハイパーリンク" xfId="1115" builtinId="9" hidden="1"/>
    <cellStyle name="表示済みのハイパーリンク" xfId="1117" builtinId="9" hidden="1"/>
    <cellStyle name="表示済みのハイパーリンク" xfId="1119" builtinId="9" hidden="1"/>
    <cellStyle name="表示済みのハイパーリンク" xfId="1121" builtinId="9" hidden="1"/>
    <cellStyle name="表示済みのハイパーリンク" xfId="1123" builtinId="9" hidden="1"/>
    <cellStyle name="表示済みのハイパーリンク" xfId="1125" builtinId="9" hidden="1"/>
    <cellStyle name="表示済みのハイパーリンク" xfId="1127" builtinId="9" hidden="1"/>
    <cellStyle name="表示済みのハイパーリンク" xfId="1129" builtinId="9" hidden="1"/>
    <cellStyle name="表示済みのハイパーリンク" xfId="1131" builtinId="9" hidden="1"/>
    <cellStyle name="表示済みのハイパーリンク" xfId="1133" builtinId="9" hidden="1"/>
    <cellStyle name="表示済みのハイパーリンク" xfId="1135" builtinId="9" hidden="1"/>
    <cellStyle name="表示済みのハイパーリンク" xfId="1137" builtinId="9" hidden="1"/>
    <cellStyle name="表示済みのハイパーリンク" xfId="1139" builtinId="9" hidden="1"/>
    <cellStyle name="表示済みのハイパーリンク" xfId="1141" builtinId="9" hidden="1"/>
    <cellStyle name="表示済みのハイパーリンク" xfId="1143" builtinId="9" hidden="1"/>
    <cellStyle name="表示済みのハイパーリンク" xfId="1145" builtinId="9" hidden="1"/>
    <cellStyle name="表示済みのハイパーリンク" xfId="1147" builtinId="9" hidden="1"/>
    <cellStyle name="表示済みのハイパーリンク" xfId="1149" builtinId="9" hidden="1"/>
    <cellStyle name="表示済みのハイパーリンク" xfId="1151" builtinId="9" hidden="1"/>
    <cellStyle name="表示済みのハイパーリンク" xfId="1153" builtinId="9" hidden="1"/>
    <cellStyle name="表示済みのハイパーリンク" xfId="1155" builtinId="9" hidden="1"/>
    <cellStyle name="表示済みのハイパーリンク" xfId="1157" builtinId="9" hidden="1"/>
    <cellStyle name="表示済みのハイパーリンク" xfId="1159" builtinId="9" hidden="1"/>
    <cellStyle name="表示済みのハイパーリンク" xfId="1161" builtinId="9" hidden="1"/>
    <cellStyle name="表示済みのハイパーリンク" xfId="1163" builtinId="9" hidden="1"/>
    <cellStyle name="表示済みのハイパーリンク" xfId="1165" builtinId="9" hidden="1"/>
    <cellStyle name="表示済みのハイパーリンク" xfId="1167" builtinId="9" hidden="1"/>
    <cellStyle name="表示済みのハイパーリンク" xfId="1169" builtinId="9" hidden="1"/>
    <cellStyle name="表示済みのハイパーリンク" xfId="1171" builtinId="9" hidden="1"/>
    <cellStyle name="表示済みのハイパーリンク" xfId="1173" builtinId="9" hidden="1"/>
    <cellStyle name="表示済みのハイパーリンク" xfId="1175" builtinId="9" hidden="1"/>
    <cellStyle name="表示済みのハイパーリンク" xfId="1177" builtinId="9" hidden="1"/>
    <cellStyle name="表示済みのハイパーリンク" xfId="1179" builtinId="9" hidden="1"/>
    <cellStyle name="表示済みのハイパーリンク" xfId="1181" builtinId="9" hidden="1"/>
    <cellStyle name="表示済みのハイパーリンク" xfId="1183" builtinId="9" hidden="1"/>
    <cellStyle name="表示済みのハイパーリンク" xfId="1185" builtinId="9" hidden="1"/>
    <cellStyle name="表示済みのハイパーリンク" xfId="1187" builtinId="9" hidden="1"/>
    <cellStyle name="表示済みのハイパーリンク" xfId="1189" builtinId="9" hidden="1"/>
    <cellStyle name="表示済みのハイパーリンク" xfId="1191" builtinId="9" hidden="1"/>
    <cellStyle name="表示済みのハイパーリンク" xfId="1193" builtinId="9" hidden="1"/>
    <cellStyle name="表示済みのハイパーリンク" xfId="1195" builtinId="9" hidden="1"/>
    <cellStyle name="表示済みのハイパーリンク" xfId="1197" builtinId="9" hidden="1"/>
    <cellStyle name="表示済みのハイパーリンク" xfId="1199" builtinId="9" hidden="1"/>
    <cellStyle name="表示済みのハイパーリンク" xfId="1201" builtinId="9" hidden="1"/>
    <cellStyle name="表示済みのハイパーリンク" xfId="1203" builtinId="9" hidden="1"/>
    <cellStyle name="表示済みのハイパーリンク" xfId="1205" builtinId="9" hidden="1"/>
    <cellStyle name="表示済みのハイパーリンク" xfId="1207" builtinId="9" hidden="1"/>
    <cellStyle name="表示済みのハイパーリンク" xfId="1209" builtinId="9" hidden="1"/>
    <cellStyle name="表示済みのハイパーリンク" xfId="1211" builtinId="9" hidden="1"/>
    <cellStyle name="表示済みのハイパーリンク" xfId="1213" builtinId="9" hidden="1"/>
    <cellStyle name="表示済みのハイパーリンク" xfId="1215" builtinId="9" hidden="1"/>
    <cellStyle name="表示済みのハイパーリンク" xfId="1217" builtinId="9" hidden="1"/>
    <cellStyle name="表示済みのハイパーリンク" xfId="1219" builtinId="9" hidden="1"/>
    <cellStyle name="表示済みのハイパーリンク" xfId="1221" builtinId="9" hidden="1"/>
    <cellStyle name="表示済みのハイパーリンク" xfId="1223" builtinId="9" hidden="1"/>
    <cellStyle name="表示済みのハイパーリンク" xfId="1225" builtinId="9" hidden="1"/>
    <cellStyle name="表示済みのハイパーリンク" xfId="1227" builtinId="9" hidden="1"/>
    <cellStyle name="表示済みのハイパーリンク" xfId="1229" builtinId="9" hidden="1"/>
    <cellStyle name="表示済みのハイパーリンク" xfId="1231" builtinId="9" hidden="1"/>
    <cellStyle name="表示済みのハイパーリンク" xfId="1233" builtinId="9" hidden="1"/>
    <cellStyle name="表示済みのハイパーリンク" xfId="1235" builtinId="9" hidden="1"/>
    <cellStyle name="表示済みのハイパーリンク" xfId="1237" builtinId="9" hidden="1"/>
    <cellStyle name="表示済みのハイパーリンク" xfId="1239" builtinId="9" hidden="1"/>
    <cellStyle name="表示済みのハイパーリンク" xfId="1241" builtinId="9" hidden="1"/>
    <cellStyle name="表示済みのハイパーリンク" xfId="1243" builtinId="9" hidden="1"/>
    <cellStyle name="表示済みのハイパーリンク" xfId="1245" builtinId="9" hidden="1"/>
    <cellStyle name="表示済みのハイパーリンク" xfId="1247" builtinId="9" hidden="1"/>
    <cellStyle name="表示済みのハイパーリンク" xfId="1249" builtinId="9" hidden="1"/>
    <cellStyle name="表示済みのハイパーリンク" xfId="1251" builtinId="9" hidden="1"/>
    <cellStyle name="表示済みのハイパーリンク" xfId="1253" builtinId="9" hidden="1"/>
    <cellStyle name="表示済みのハイパーリンク" xfId="1255" builtinId="9" hidden="1"/>
    <cellStyle name="表示済みのハイパーリンク" xfId="1257" builtinId="9" hidden="1"/>
    <cellStyle name="表示済みのハイパーリンク" xfId="1259" builtinId="9" hidden="1"/>
    <cellStyle name="表示済みのハイパーリンク" xfId="1261" builtinId="9" hidden="1"/>
    <cellStyle name="表示済みのハイパーリンク" xfId="1263" builtinId="9" hidden="1"/>
    <cellStyle name="表示済みのハイパーリンク" xfId="1265" builtinId="9" hidden="1"/>
    <cellStyle name="表示済みのハイパーリンク" xfId="1267" builtinId="9" hidden="1"/>
    <cellStyle name="表示済みのハイパーリンク" xfId="1269" builtinId="9" hidden="1"/>
    <cellStyle name="表示済みのハイパーリンク" xfId="1271" builtinId="9" hidden="1"/>
    <cellStyle name="表示済みのハイパーリンク" xfId="1273" builtinId="9" hidden="1"/>
    <cellStyle name="表示済みのハイパーリンク" xfId="1275" builtinId="9" hidden="1"/>
    <cellStyle name="表示済みのハイパーリンク" xfId="1277" builtinId="9" hidden="1"/>
    <cellStyle name="表示済みのハイパーリンク" xfId="1279" builtinId="9" hidden="1"/>
    <cellStyle name="表示済みのハイパーリンク" xfId="1281" builtinId="9" hidden="1"/>
    <cellStyle name="表示済みのハイパーリンク" xfId="1283" builtinId="9" hidden="1"/>
    <cellStyle name="表示済みのハイパーリンク" xfId="1285" builtinId="9" hidden="1"/>
    <cellStyle name="表示済みのハイパーリンク" xfId="1287" builtinId="9" hidden="1"/>
    <cellStyle name="表示済みのハイパーリンク" xfId="1289" builtinId="9" hidden="1"/>
    <cellStyle name="表示済みのハイパーリンク" xfId="1291" builtinId="9" hidden="1"/>
    <cellStyle name="表示済みのハイパーリンク" xfId="1293" builtinId="9" hidden="1"/>
    <cellStyle name="表示済みのハイパーリンク" xfId="1295" builtinId="9" hidden="1"/>
    <cellStyle name="表示済みのハイパーリンク" xfId="1297" builtinId="9" hidden="1"/>
    <cellStyle name="表示済みのハイパーリンク" xfId="1299" builtinId="9" hidden="1"/>
    <cellStyle name="表示済みのハイパーリンク" xfId="1301" builtinId="9" hidden="1"/>
    <cellStyle name="表示済みのハイパーリンク" xfId="1303" builtinId="9" hidden="1"/>
    <cellStyle name="表示済みのハイパーリンク" xfId="1305" builtinId="9" hidden="1"/>
    <cellStyle name="表示済みのハイパーリンク" xfId="1307" builtinId="9" hidden="1"/>
    <cellStyle name="表示済みのハイパーリンク" xfId="1309" builtinId="9" hidden="1"/>
    <cellStyle name="表示済みのハイパーリンク" xfId="1311" builtinId="9" hidden="1"/>
    <cellStyle name="表示済みのハイパーリンク" xfId="1313" builtinId="9" hidden="1"/>
    <cellStyle name="表示済みのハイパーリンク" xfId="1315" builtinId="9" hidden="1"/>
    <cellStyle name="表示済みのハイパーリンク" xfId="1317" builtinId="9" hidden="1"/>
    <cellStyle name="表示済みのハイパーリンク" xfId="1319" builtinId="9" hidden="1"/>
    <cellStyle name="表示済みのハイパーリンク" xfId="1321" builtinId="9" hidden="1"/>
    <cellStyle name="表示済みのハイパーリンク" xfId="1323" builtinId="9" hidden="1"/>
    <cellStyle name="表示済みのハイパーリンク" xfId="1325" builtinId="9" hidden="1"/>
    <cellStyle name="表示済みのハイパーリンク" xfId="1327" builtinId="9" hidden="1"/>
    <cellStyle name="表示済みのハイパーリンク" xfId="1329" builtinId="9" hidden="1"/>
    <cellStyle name="表示済みのハイパーリンク" xfId="1331" builtinId="9" hidden="1"/>
    <cellStyle name="表示済みのハイパーリンク" xfId="1333" builtinId="9" hidden="1"/>
    <cellStyle name="表示済みのハイパーリンク" xfId="1335" builtinId="9" hidden="1"/>
    <cellStyle name="表示済みのハイパーリンク" xfId="1337" builtinId="9" hidden="1"/>
    <cellStyle name="表示済みのハイパーリンク" xfId="1339" builtinId="9" hidden="1"/>
    <cellStyle name="表示済みのハイパーリンク" xfId="1341" builtinId="9" hidden="1"/>
    <cellStyle name="表示済みのハイパーリンク" xfId="1343" builtinId="9" hidden="1"/>
    <cellStyle name="表示済みのハイパーリンク" xfId="1345" builtinId="9" hidden="1"/>
    <cellStyle name="表示済みのハイパーリンク" xfId="1347" builtinId="9" hidden="1"/>
    <cellStyle name="表示済みのハイパーリンク" xfId="1349" builtinId="9" hidden="1"/>
    <cellStyle name="表示済みのハイパーリンク" xfId="1351" builtinId="9" hidden="1"/>
    <cellStyle name="表示済みのハイパーリンク" xfId="1353" builtinId="9" hidden="1"/>
    <cellStyle name="表示済みのハイパーリンク" xfId="1355" builtinId="9" hidden="1"/>
    <cellStyle name="表示済みのハイパーリンク" xfId="1357" builtinId="9" hidden="1"/>
    <cellStyle name="表示済みのハイパーリンク" xfId="1359" builtinId="9" hidden="1"/>
    <cellStyle name="表示済みのハイパーリンク" xfId="1361" builtinId="9" hidden="1"/>
    <cellStyle name="表示済みのハイパーリンク" xfId="1363" builtinId="9" hidden="1"/>
    <cellStyle name="表示済みのハイパーリンク" xfId="1365" builtinId="9" hidden="1"/>
    <cellStyle name="表示済みのハイパーリンク" xfId="1367" builtinId="9" hidden="1"/>
    <cellStyle name="表示済みのハイパーリンク" xfId="1369" builtinId="9" hidden="1"/>
    <cellStyle name="表示済みのハイパーリンク" xfId="1371" builtinId="9" hidden="1"/>
    <cellStyle name="表示済みのハイパーリンク" xfId="1373" builtinId="9" hidden="1"/>
    <cellStyle name="表示済みのハイパーリンク" xfId="1375" builtinId="9" hidden="1"/>
    <cellStyle name="表示済みのハイパーリンク" xfId="1377" builtinId="9" hidden="1"/>
    <cellStyle name="表示済みのハイパーリンク" xfId="1379" builtinId="9" hidden="1"/>
    <cellStyle name="表示済みのハイパーリンク" xfId="1381" builtinId="9" hidden="1"/>
    <cellStyle name="表示済みのハイパーリンク" xfId="1383" builtinId="9" hidden="1"/>
    <cellStyle name="表示済みのハイパーリンク" xfId="1385" builtinId="9" hidden="1"/>
    <cellStyle name="表示済みのハイパーリンク" xfId="1387" builtinId="9" hidden="1"/>
    <cellStyle name="表示済みのハイパーリンク" xfId="1389" builtinId="9" hidden="1"/>
    <cellStyle name="表示済みのハイパーリンク" xfId="1391" builtinId="9" hidden="1"/>
    <cellStyle name="表示済みのハイパーリンク" xfId="1393" builtinId="9" hidden="1"/>
    <cellStyle name="表示済みのハイパーリンク" xfId="1395" builtinId="9" hidden="1"/>
    <cellStyle name="表示済みのハイパーリンク" xfId="1397" builtinId="9" hidden="1"/>
    <cellStyle name="表示済みのハイパーリンク" xfId="1399" builtinId="9" hidden="1"/>
    <cellStyle name="表示済みのハイパーリンク" xfId="1401" builtinId="9" hidden="1"/>
    <cellStyle name="表示済みのハイパーリンク" xfId="1403" builtinId="9" hidden="1"/>
    <cellStyle name="表示済みのハイパーリンク" xfId="1405" builtinId="9" hidden="1"/>
    <cellStyle name="表示済みのハイパーリンク" xfId="1407" builtinId="9" hidden="1"/>
    <cellStyle name="表示済みのハイパーリンク" xfId="1409" builtinId="9" hidden="1"/>
    <cellStyle name="表示済みのハイパーリンク" xfId="1411" builtinId="9" hidden="1"/>
    <cellStyle name="表示済みのハイパーリンク" xfId="1413" builtinId="9" hidden="1"/>
    <cellStyle name="表示済みのハイパーリンク" xfId="1415" builtinId="9" hidden="1"/>
    <cellStyle name="表示済みのハイパーリンク" xfId="1417" builtinId="9" hidden="1"/>
    <cellStyle name="表示済みのハイパーリンク" xfId="1419" builtinId="9" hidden="1"/>
    <cellStyle name="表示済みのハイパーリンク" xfId="1421" builtinId="9" hidden="1"/>
    <cellStyle name="表示済みのハイパーリンク" xfId="1423" builtinId="9" hidden="1"/>
    <cellStyle name="表示済みのハイパーリンク" xfId="1425" builtinId="9" hidden="1"/>
    <cellStyle name="表示済みのハイパーリンク" xfId="1427" builtinId="9" hidden="1"/>
    <cellStyle name="表示済みのハイパーリンク" xfId="1429" builtinId="9" hidden="1"/>
    <cellStyle name="表示済みのハイパーリンク" xfId="1431" builtinId="9" hidden="1"/>
    <cellStyle name="表示済みのハイパーリンク" xfId="1433" builtinId="9" hidden="1"/>
    <cellStyle name="表示済みのハイパーリンク" xfId="1435" builtinId="9" hidden="1"/>
    <cellStyle name="表示済みのハイパーリンク" xfId="1437" builtinId="9" hidden="1"/>
    <cellStyle name="表示済みのハイパーリンク" xfId="1439" builtinId="9" hidden="1"/>
    <cellStyle name="表示済みのハイパーリンク" xfId="1441" builtinId="9" hidden="1"/>
    <cellStyle name="表示済みのハイパーリンク" xfId="1443" builtinId="9" hidden="1"/>
    <cellStyle name="表示済みのハイパーリンク" xfId="1445" builtinId="9" hidden="1"/>
    <cellStyle name="表示済みのハイパーリンク" xfId="1447" builtinId="9" hidden="1"/>
    <cellStyle name="表示済みのハイパーリンク" xfId="1449" builtinId="9" hidden="1"/>
    <cellStyle name="表示済みのハイパーリンク" xfId="1451" builtinId="9" hidden="1"/>
    <cellStyle name="表示済みのハイパーリンク" xfId="1453" builtinId="9" hidden="1"/>
    <cellStyle name="表示済みのハイパーリンク" xfId="1455" builtinId="9" hidden="1"/>
    <cellStyle name="表示済みのハイパーリンク" xfId="1457" builtinId="9" hidden="1"/>
    <cellStyle name="表示済みのハイパーリンク" xfId="1459" builtinId="9" hidden="1"/>
    <cellStyle name="表示済みのハイパーリンク" xfId="1461" builtinId="9" hidden="1"/>
    <cellStyle name="表示済みのハイパーリンク" xfId="1463" builtinId="9" hidden="1"/>
    <cellStyle name="表示済みのハイパーリンク" xfId="1465" builtinId="9" hidden="1"/>
    <cellStyle name="表示済みのハイパーリンク" xfId="1467" builtinId="9" hidden="1"/>
    <cellStyle name="表示済みのハイパーリンク" xfId="1469" builtinId="9" hidden="1"/>
    <cellStyle name="表示済みのハイパーリンク" xfId="1471" builtinId="9" hidden="1"/>
    <cellStyle name="表示済みのハイパーリンク" xfId="1473" builtinId="9" hidden="1"/>
    <cellStyle name="表示済みのハイパーリンク" xfId="1475" builtinId="9" hidden="1"/>
    <cellStyle name="表示済みのハイパーリンク" xfId="1477" builtinId="9" hidden="1"/>
    <cellStyle name="表示済みのハイパーリンク" xfId="1479" builtinId="9" hidden="1"/>
    <cellStyle name="表示済みのハイパーリンク" xfId="1481" builtinId="9" hidden="1"/>
    <cellStyle name="表示済みのハイパーリンク" xfId="1483" builtinId="9" hidden="1"/>
    <cellStyle name="表示済みのハイパーリンク" xfId="1485" builtinId="9" hidden="1"/>
    <cellStyle name="表示済みのハイパーリンク" xfId="1487" builtinId="9" hidden="1"/>
    <cellStyle name="表示済みのハイパーリンク" xfId="1489" builtinId="9" hidden="1"/>
    <cellStyle name="表示済みのハイパーリンク" xfId="1491" builtinId="9" hidden="1"/>
    <cellStyle name="表示済みのハイパーリンク" xfId="1493" builtinId="9" hidden="1"/>
    <cellStyle name="表示済みのハイパーリンク" xfId="1495" builtinId="9" hidden="1"/>
    <cellStyle name="表示済みのハイパーリンク" xfId="1497" builtinId="9" hidden="1"/>
    <cellStyle name="表示済みのハイパーリンク" xfId="1499" builtinId="9" hidden="1"/>
    <cellStyle name="表示済みのハイパーリンク" xfId="1501" builtinId="9" hidden="1"/>
    <cellStyle name="表示済みのハイパーリンク" xfId="1503" builtinId="9" hidden="1"/>
    <cellStyle name="表示済みのハイパーリンク" xfId="1505" builtinId="9" hidden="1"/>
    <cellStyle name="表示済みのハイパーリンク" xfId="1507" builtinId="9" hidden="1"/>
    <cellStyle name="表示済みのハイパーリンク" xfId="1509" builtinId="9" hidden="1"/>
    <cellStyle name="表示済みのハイパーリンク" xfId="1511" builtinId="9" hidden="1"/>
    <cellStyle name="表示済みのハイパーリンク" xfId="1513" builtinId="9" hidden="1"/>
    <cellStyle name="表示済みのハイパーリンク" xfId="1515" builtinId="9" hidden="1"/>
    <cellStyle name="表示済みのハイパーリンク" xfId="1517" builtinId="9" hidden="1"/>
    <cellStyle name="表示済みのハイパーリンク" xfId="1519" builtinId="9" hidden="1"/>
    <cellStyle name="表示済みのハイパーリンク" xfId="1521" builtinId="9" hidden="1"/>
    <cellStyle name="表示済みのハイパーリンク" xfId="1523" builtinId="9" hidden="1"/>
    <cellStyle name="表示済みのハイパーリンク" xfId="1525" builtinId="9" hidden="1"/>
    <cellStyle name="表示済みのハイパーリンク" xfId="1527" builtinId="9" hidden="1"/>
    <cellStyle name="表示済みのハイパーリンク" xfId="1529" builtinId="9" hidden="1"/>
    <cellStyle name="表示済みのハイパーリンク" xfId="1531" builtinId="9" hidden="1"/>
    <cellStyle name="表示済みのハイパーリンク" xfId="1533" builtinId="9" hidden="1"/>
    <cellStyle name="表示済みのハイパーリンク" xfId="1535" builtinId="9" hidden="1"/>
    <cellStyle name="表示済みのハイパーリンク" xfId="1537" builtinId="9" hidden="1"/>
    <cellStyle name="表示済みのハイパーリンク" xfId="1539" builtinId="9" hidden="1"/>
    <cellStyle name="表示済みのハイパーリンク" xfId="1541" builtinId="9" hidden="1"/>
    <cellStyle name="表示済みのハイパーリンク" xfId="1543" builtinId="9" hidden="1"/>
    <cellStyle name="表示済みのハイパーリンク" xfId="1545" builtinId="9" hidden="1"/>
    <cellStyle name="表示済みのハイパーリンク" xfId="1547" builtinId="9" hidden="1"/>
    <cellStyle name="表示済みのハイパーリンク" xfId="1549" builtinId="9" hidden="1"/>
    <cellStyle name="表示済みのハイパーリンク" xfId="1551" builtinId="9" hidden="1"/>
    <cellStyle name="表示済みのハイパーリンク" xfId="1553" builtinId="9" hidden="1"/>
    <cellStyle name="表示済みのハイパーリンク" xfId="1555" builtinId="9" hidden="1"/>
    <cellStyle name="表示済みのハイパーリンク" xfId="1557" builtinId="9" hidden="1"/>
    <cellStyle name="表示済みのハイパーリンク" xfId="1559" builtinId="9" hidden="1"/>
    <cellStyle name="表示済みのハイパーリンク" xfId="1561" builtinId="9" hidden="1"/>
    <cellStyle name="表示済みのハイパーリンク" xfId="1563" builtinId="9" hidden="1"/>
    <cellStyle name="表示済みのハイパーリンク" xfId="1565" builtinId="9" hidden="1"/>
    <cellStyle name="表示済みのハイパーリンク" xfId="1567" builtinId="9" hidden="1"/>
    <cellStyle name="表示済みのハイパーリンク" xfId="1569" builtinId="9" hidden="1"/>
    <cellStyle name="表示済みのハイパーリンク" xfId="1571" builtinId="9" hidden="1"/>
    <cellStyle name="表示済みのハイパーリンク" xfId="1573" builtinId="9" hidden="1"/>
    <cellStyle name="表示済みのハイパーリンク" xfId="1575" builtinId="9" hidden="1"/>
    <cellStyle name="表示済みのハイパーリンク" xfId="1577" builtinId="9" hidden="1"/>
    <cellStyle name="表示済みのハイパーリンク" xfId="1579" builtinId="9" hidden="1"/>
    <cellStyle name="表示済みのハイパーリンク" xfId="1581" builtinId="9" hidden="1"/>
    <cellStyle name="表示済みのハイパーリンク" xfId="1583" builtinId="9" hidden="1"/>
    <cellStyle name="表示済みのハイパーリンク" xfId="1585" builtinId="9" hidden="1"/>
    <cellStyle name="表示済みのハイパーリンク" xfId="1587" builtinId="9" hidden="1"/>
    <cellStyle name="表示済みのハイパーリンク" xfId="1589" builtinId="9" hidden="1"/>
    <cellStyle name="表示済みのハイパーリンク" xfId="1591" builtinId="9" hidden="1"/>
    <cellStyle name="表示済みのハイパーリンク" xfId="1593" builtinId="9" hidden="1"/>
    <cellStyle name="表示済みのハイパーリンク" xfId="1595" builtinId="9" hidden="1"/>
    <cellStyle name="表示済みのハイパーリンク" xfId="1597" builtinId="9" hidden="1"/>
    <cellStyle name="表示済みのハイパーリンク" xfId="1599" builtinId="9" hidden="1"/>
    <cellStyle name="表示済みのハイパーリンク" xfId="1601" builtinId="9" hidden="1"/>
    <cellStyle name="表示済みのハイパーリンク" xfId="1603" builtinId="9" hidden="1"/>
    <cellStyle name="表示済みのハイパーリンク" xfId="1605" builtinId="9" hidden="1"/>
    <cellStyle name="表示済みのハイパーリンク" xfId="1607" builtinId="9" hidden="1"/>
    <cellStyle name="表示済みのハイパーリンク" xfId="1609" builtinId="9" hidden="1"/>
    <cellStyle name="表示済みのハイパーリンク" xfId="1611" builtinId="9" hidden="1"/>
    <cellStyle name="表示済みのハイパーリンク" xfId="1613" builtinId="9" hidden="1"/>
    <cellStyle name="表示済みのハイパーリンク" xfId="1615" builtinId="9" hidden="1"/>
    <cellStyle name="表示済みのハイパーリンク" xfId="1617" builtinId="9" hidden="1"/>
    <cellStyle name="表示済みのハイパーリンク" xfId="1619" builtinId="9" hidden="1"/>
    <cellStyle name="表示済みのハイパーリンク" xfId="1621" builtinId="9" hidden="1"/>
    <cellStyle name="表示済みのハイパーリンク" xfId="1623" builtinId="9" hidden="1"/>
    <cellStyle name="表示済みのハイパーリンク" xfId="1625" builtinId="9" hidden="1"/>
    <cellStyle name="表示済みのハイパーリンク" xfId="1627" builtinId="9" hidden="1"/>
    <cellStyle name="表示済みのハイパーリンク" xfId="1629" builtinId="9" hidden="1"/>
    <cellStyle name="表示済みのハイパーリンク" xfId="1631" builtinId="9" hidden="1"/>
    <cellStyle name="表示済みのハイパーリンク" xfId="1633" builtinId="9" hidden="1"/>
    <cellStyle name="表示済みのハイパーリンク" xfId="1635" builtinId="9" hidden="1"/>
    <cellStyle name="表示済みのハイパーリンク" xfId="1637" builtinId="9" hidden="1"/>
    <cellStyle name="表示済みのハイパーリンク" xfId="1639" builtinId="9" hidden="1"/>
    <cellStyle name="表示済みのハイパーリンク" xfId="1641" builtinId="9" hidden="1"/>
    <cellStyle name="表示済みのハイパーリンク" xfId="1643" builtinId="9" hidden="1"/>
    <cellStyle name="表示済みのハイパーリンク" xfId="1645" builtinId="9" hidden="1"/>
    <cellStyle name="表示済みのハイパーリンク" xfId="1647" builtinId="9" hidden="1"/>
    <cellStyle name="表示済みのハイパーリンク" xfId="1649" builtinId="9" hidden="1"/>
    <cellStyle name="表示済みのハイパーリンク" xfId="1651" builtinId="9" hidden="1"/>
    <cellStyle name="表示済みのハイパーリンク" xfId="1653" builtinId="9" hidden="1"/>
    <cellStyle name="表示済みのハイパーリンク" xfId="1655" builtinId="9" hidden="1"/>
    <cellStyle name="表示済みのハイパーリンク" xfId="1657" builtinId="9" hidden="1"/>
    <cellStyle name="表示済みのハイパーリンク" xfId="1659" builtinId="9" hidden="1"/>
    <cellStyle name="表示済みのハイパーリンク" xfId="1661" builtinId="9" hidden="1"/>
    <cellStyle name="表示済みのハイパーリンク" xfId="1663" builtinId="9" hidden="1"/>
    <cellStyle name="表示済みのハイパーリンク" xfId="1665" builtinId="9" hidden="1"/>
    <cellStyle name="表示済みのハイパーリンク" xfId="1667" builtinId="9" hidden="1"/>
    <cellStyle name="表示済みのハイパーリンク" xfId="1669" builtinId="9" hidden="1"/>
    <cellStyle name="表示済みのハイパーリンク" xfId="1671" builtinId="9" hidden="1"/>
    <cellStyle name="表示済みのハイパーリンク" xfId="1673" builtinId="9" hidden="1"/>
    <cellStyle name="表示済みのハイパーリンク" xfId="1675" builtinId="9" hidden="1"/>
    <cellStyle name="表示済みのハイパーリンク" xfId="1677" builtinId="9" hidden="1"/>
    <cellStyle name="表示済みのハイパーリンク" xfId="1679" builtinId="9" hidden="1"/>
    <cellStyle name="表示済みのハイパーリンク" xfId="1681" builtinId="9" hidden="1"/>
    <cellStyle name="表示済みのハイパーリンク" xfId="1683" builtinId="9" hidden="1"/>
    <cellStyle name="表示済みのハイパーリンク" xfId="1685" builtinId="9" hidden="1"/>
    <cellStyle name="表示済みのハイパーリンク" xfId="1687" builtinId="9" hidden="1"/>
    <cellStyle name="表示済みのハイパーリンク" xfId="1689" builtinId="9" hidden="1"/>
    <cellStyle name="表示済みのハイパーリンク" xfId="1691" builtinId="9" hidden="1"/>
    <cellStyle name="表示済みのハイパーリンク" xfId="1693" builtinId="9" hidden="1"/>
    <cellStyle name="表示済みのハイパーリンク" xfId="1695" builtinId="9" hidden="1"/>
    <cellStyle name="表示済みのハイパーリンク" xfId="1697" builtinId="9" hidden="1"/>
    <cellStyle name="表示済みのハイパーリンク" xfId="1699" builtinId="9" hidden="1"/>
    <cellStyle name="表示済みのハイパーリンク" xfId="1701" builtinId="9" hidden="1"/>
    <cellStyle name="表示済みのハイパーリンク" xfId="1703" builtinId="9" hidden="1"/>
    <cellStyle name="表示済みのハイパーリンク" xfId="1705" builtinId="9" hidden="1"/>
    <cellStyle name="表示済みのハイパーリンク" xfId="1707" builtinId="9" hidden="1"/>
    <cellStyle name="表示済みのハイパーリンク" xfId="1709" builtinId="9" hidden="1"/>
    <cellStyle name="表示済みのハイパーリンク" xfId="1711" builtinId="9" hidden="1"/>
    <cellStyle name="表示済みのハイパーリンク" xfId="1713" builtinId="9" hidden="1"/>
    <cellStyle name="表示済みのハイパーリンク" xfId="1715" builtinId="9" hidden="1"/>
    <cellStyle name="表示済みのハイパーリンク" xfId="1717" builtinId="9" hidden="1"/>
    <cellStyle name="表示済みのハイパーリンク" xfId="1719" builtinId="9" hidden="1"/>
    <cellStyle name="表示済みのハイパーリンク" xfId="1721" builtinId="9" hidden="1"/>
    <cellStyle name="表示済みのハイパーリンク" xfId="1723" builtinId="9" hidden="1"/>
    <cellStyle name="表示済みのハイパーリンク" xfId="1725" builtinId="9" hidden="1"/>
    <cellStyle name="表示済みのハイパーリンク" xfId="1727" builtinId="9" hidden="1"/>
    <cellStyle name="表示済みのハイパーリンク" xfId="1729" builtinId="9" hidden="1"/>
    <cellStyle name="表示済みのハイパーリンク" xfId="1731" builtinId="9" hidden="1"/>
    <cellStyle name="表示済みのハイパーリンク" xfId="1733" builtinId="9" hidden="1"/>
    <cellStyle name="表示済みのハイパーリンク" xfId="1735" builtinId="9" hidden="1"/>
    <cellStyle name="表示済みのハイパーリンク" xfId="1737" builtinId="9" hidden="1"/>
    <cellStyle name="表示済みのハイパーリンク" xfId="1739" builtinId="9" hidden="1"/>
    <cellStyle name="表示済みのハイパーリンク" xfId="1741" builtinId="9" hidden="1"/>
    <cellStyle name="表示済みのハイパーリンク" xfId="1743" builtinId="9" hidden="1"/>
    <cellStyle name="表示済みのハイパーリンク" xfId="1745" builtinId="9" hidden="1"/>
    <cellStyle name="表示済みのハイパーリンク" xfId="1747" builtinId="9" hidden="1"/>
    <cellStyle name="表示済みのハイパーリンク" xfId="1749" builtinId="9" hidden="1"/>
    <cellStyle name="表示済みのハイパーリンク" xfId="1751" builtinId="9" hidden="1"/>
    <cellStyle name="表示済みのハイパーリンク" xfId="1753" builtinId="9" hidden="1"/>
    <cellStyle name="表示済みのハイパーリンク" xfId="1755" builtinId="9" hidden="1"/>
    <cellStyle name="表示済みのハイパーリンク" xfId="1757" builtinId="9" hidden="1"/>
    <cellStyle name="表示済みのハイパーリンク" xfId="1759" builtinId="9" hidden="1"/>
    <cellStyle name="表示済みのハイパーリンク" xfId="1761" builtinId="9" hidden="1"/>
    <cellStyle name="表示済みのハイパーリンク" xfId="1763" builtinId="9" hidden="1"/>
    <cellStyle name="表示済みのハイパーリンク" xfId="1765" builtinId="9" hidden="1"/>
    <cellStyle name="表示済みのハイパーリンク" xfId="1767" builtinId="9" hidden="1"/>
    <cellStyle name="表示済みのハイパーリンク" xfId="1769" builtinId="9" hidden="1"/>
    <cellStyle name="表示済みのハイパーリンク" xfId="1771" builtinId="9" hidden="1"/>
    <cellStyle name="表示済みのハイパーリンク" xfId="1773" builtinId="9" hidden="1"/>
    <cellStyle name="表示済みのハイパーリンク" xfId="1775" builtinId="9" hidden="1"/>
    <cellStyle name="表示済みのハイパーリンク" xfId="1777" builtinId="9" hidden="1"/>
    <cellStyle name="表示済みのハイパーリンク" xfId="1779" builtinId="9" hidden="1"/>
    <cellStyle name="表示済みのハイパーリンク" xfId="1781" builtinId="9" hidden="1"/>
    <cellStyle name="表示済みのハイパーリンク" xfId="1783" builtinId="9" hidden="1"/>
    <cellStyle name="表示済みのハイパーリンク" xfId="1785" builtinId="9" hidden="1"/>
    <cellStyle name="表示済みのハイパーリンク" xfId="1787" builtinId="9" hidden="1"/>
    <cellStyle name="表示済みのハイパーリンク" xfId="1789" builtinId="9" hidden="1"/>
    <cellStyle name="表示済みのハイパーリンク" xfId="1791" builtinId="9" hidden="1"/>
    <cellStyle name="表示済みのハイパーリンク" xfId="1793" builtinId="9" hidden="1"/>
    <cellStyle name="表示済みのハイパーリンク" xfId="1795" builtinId="9" hidden="1"/>
    <cellStyle name="表示済みのハイパーリンク" xfId="1797" builtinId="9" hidden="1"/>
    <cellStyle name="表示済みのハイパーリンク" xfId="1799" builtinId="9" hidden="1"/>
    <cellStyle name="表示済みのハイパーリンク" xfId="1801" builtinId="9" hidden="1"/>
    <cellStyle name="表示済みのハイパーリンク" xfId="1803" builtinId="9" hidden="1"/>
    <cellStyle name="表示済みのハイパーリンク" xfId="1805" builtinId="9" hidden="1"/>
    <cellStyle name="表示済みのハイパーリンク" xfId="1807" builtinId="9" hidden="1"/>
    <cellStyle name="表示済みのハイパーリンク" xfId="1809" builtinId="9" hidden="1"/>
    <cellStyle name="表示済みのハイパーリンク" xfId="1811" builtinId="9" hidden="1"/>
    <cellStyle name="表示済みのハイパーリンク" xfId="1813" builtinId="9" hidden="1"/>
    <cellStyle name="表示済みのハイパーリンク" xfId="1815" builtinId="9" hidden="1"/>
    <cellStyle name="表示済みのハイパーリンク" xfId="1817" builtinId="9" hidden="1"/>
    <cellStyle name="表示済みのハイパーリンク" xfId="1819" builtinId="9" hidden="1"/>
    <cellStyle name="表示済みのハイパーリンク" xfId="1821" builtinId="9" hidden="1"/>
    <cellStyle name="表示済みのハイパーリンク" xfId="1823" builtinId="9" hidden="1"/>
    <cellStyle name="表示済みのハイパーリンク" xfId="1825" builtinId="9" hidden="1"/>
    <cellStyle name="表示済みのハイパーリンク" xfId="1827" builtinId="9" hidden="1"/>
    <cellStyle name="表示済みのハイパーリンク" xfId="1829" builtinId="9" hidden="1"/>
    <cellStyle name="表示済みのハイパーリンク" xfId="1831" builtinId="9" hidden="1"/>
    <cellStyle name="表示済みのハイパーリンク" xfId="1833" builtinId="9" hidden="1"/>
    <cellStyle name="表示済みのハイパーリンク" xfId="1835" builtinId="9" hidden="1"/>
    <cellStyle name="表示済みのハイパーリンク" xfId="1837" builtinId="9" hidden="1"/>
    <cellStyle name="表示済みのハイパーリンク" xfId="1839" builtinId="9" hidden="1"/>
    <cellStyle name="表示済みのハイパーリンク" xfId="1841" builtinId="9" hidden="1"/>
    <cellStyle name="表示済みのハイパーリンク" xfId="1843" builtinId="9" hidden="1"/>
    <cellStyle name="表示済みのハイパーリンク" xfId="1845" builtinId="9" hidden="1"/>
    <cellStyle name="表示済みのハイパーリンク" xfId="1847" builtinId="9" hidden="1"/>
    <cellStyle name="表示済みのハイパーリンク" xfId="1849" builtinId="9" hidden="1"/>
    <cellStyle name="表示済みのハイパーリンク" xfId="1851" builtinId="9" hidden="1"/>
    <cellStyle name="表示済みのハイパーリンク" xfId="1853" builtinId="9" hidden="1"/>
    <cellStyle name="表示済みのハイパーリンク" xfId="1855" builtinId="9" hidden="1"/>
    <cellStyle name="表示済みのハイパーリンク" xfId="1857" builtinId="9" hidden="1"/>
    <cellStyle name="表示済みのハイパーリンク" xfId="1859" builtinId="9" hidden="1"/>
    <cellStyle name="表示済みのハイパーリンク" xfId="1861" builtinId="9" hidden="1"/>
    <cellStyle name="表示済みのハイパーリンク" xfId="1863" builtinId="9" hidden="1"/>
    <cellStyle name="表示済みのハイパーリンク" xfId="1865" builtinId="9" hidden="1"/>
    <cellStyle name="表示済みのハイパーリンク" xfId="1867" builtinId="9" hidden="1"/>
    <cellStyle name="表示済みのハイパーリンク" xfId="1869" builtinId="9" hidden="1"/>
    <cellStyle name="表示済みのハイパーリンク" xfId="1871" builtinId="9" hidden="1"/>
    <cellStyle name="表示済みのハイパーリンク" xfId="1873" builtinId="9" hidden="1"/>
    <cellStyle name="表示済みのハイパーリンク" xfId="1875" builtinId="9" hidden="1"/>
    <cellStyle name="表示済みのハイパーリンク" xfId="1877" builtinId="9" hidden="1"/>
    <cellStyle name="表示済みのハイパーリンク" xfId="1879" builtinId="9" hidden="1"/>
    <cellStyle name="表示済みのハイパーリンク" xfId="1881" builtinId="9" hidden="1"/>
    <cellStyle name="表示済みのハイパーリンク" xfId="1883" builtinId="9" hidden="1"/>
    <cellStyle name="表示済みのハイパーリンク" xfId="1885" builtinId="9" hidden="1"/>
    <cellStyle name="表示済みのハイパーリンク" xfId="1887" builtinId="9" hidden="1"/>
    <cellStyle name="表示済みのハイパーリンク" xfId="1889" builtinId="9" hidden="1"/>
    <cellStyle name="表示済みのハイパーリンク" xfId="1891" builtinId="9" hidden="1"/>
    <cellStyle name="表示済みのハイパーリンク" xfId="1893" builtinId="9" hidden="1"/>
    <cellStyle name="表示済みのハイパーリンク" xfId="1895" builtinId="9" hidden="1"/>
    <cellStyle name="表示済みのハイパーリンク" xfId="1897" builtinId="9" hidden="1"/>
    <cellStyle name="表示済みのハイパーリンク" xfId="1899" builtinId="9" hidden="1"/>
    <cellStyle name="表示済みのハイパーリンク" xfId="1901" builtinId="9" hidden="1"/>
    <cellStyle name="表示済みのハイパーリンク" xfId="1903" builtinId="9" hidden="1"/>
    <cellStyle name="表示済みのハイパーリンク" xfId="1905" builtinId="9" hidden="1"/>
    <cellStyle name="表示済みのハイパーリンク" xfId="1907" builtinId="9" hidden="1"/>
    <cellStyle name="表示済みのハイパーリンク" xfId="1909" builtinId="9" hidden="1"/>
    <cellStyle name="表示済みのハイパーリンク" xfId="1911" builtinId="9" hidden="1"/>
    <cellStyle name="表示済みのハイパーリンク" xfId="1913" builtinId="9" hidden="1"/>
    <cellStyle name="表示済みのハイパーリンク" xfId="1915" builtinId="9" hidden="1"/>
    <cellStyle name="表示済みのハイパーリンク" xfId="1917" builtinId="9" hidden="1"/>
    <cellStyle name="表示済みのハイパーリンク" xfId="1919" builtinId="9" hidden="1"/>
    <cellStyle name="表示済みのハイパーリンク" xfId="1921" builtinId="9" hidden="1"/>
    <cellStyle name="表示済みのハイパーリンク" xfId="1923" builtinId="9" hidden="1"/>
    <cellStyle name="表示済みのハイパーリンク" xfId="1925" builtinId="9" hidden="1"/>
    <cellStyle name="表示済みのハイパーリンク" xfId="1927" builtinId="9" hidden="1"/>
    <cellStyle name="表示済みのハイパーリンク" xfId="1929" builtinId="9" hidden="1"/>
    <cellStyle name="表示済みのハイパーリンク" xfId="1931" builtinId="9" hidden="1"/>
    <cellStyle name="表示済みのハイパーリンク" xfId="1933" builtinId="9" hidden="1"/>
    <cellStyle name="表示済みのハイパーリンク" xfId="1935" builtinId="9" hidden="1"/>
    <cellStyle name="表示済みのハイパーリンク" xfId="1937" builtinId="9" hidden="1"/>
    <cellStyle name="表示済みのハイパーリンク" xfId="1939" builtinId="9" hidden="1"/>
    <cellStyle name="表示済みのハイパーリンク" xfId="1941" builtinId="9" hidden="1"/>
    <cellStyle name="表示済みのハイパーリンク" xfId="1943" builtinId="9" hidden="1"/>
    <cellStyle name="表示済みのハイパーリンク" xfId="1945" builtinId="9" hidden="1"/>
    <cellStyle name="表示済みのハイパーリンク" xfId="1947" builtinId="9" hidden="1"/>
    <cellStyle name="表示済みのハイパーリンク" xfId="1949" builtinId="9" hidden="1"/>
    <cellStyle name="表示済みのハイパーリンク" xfId="1951" builtinId="9" hidden="1"/>
    <cellStyle name="表示済みのハイパーリンク" xfId="1953" builtinId="9" hidden="1"/>
    <cellStyle name="表示済みのハイパーリンク" xfId="1955" builtinId="9" hidden="1"/>
    <cellStyle name="表示済みのハイパーリンク" xfId="1957" builtinId="9" hidden="1"/>
    <cellStyle name="表示済みのハイパーリンク" xfId="1959" builtinId="9" hidden="1"/>
    <cellStyle name="表示済みのハイパーリンク" xfId="1961" builtinId="9" hidden="1"/>
    <cellStyle name="表示済みのハイパーリンク" xfId="1963" builtinId="9" hidden="1"/>
    <cellStyle name="表示済みのハイパーリンク" xfId="1965" builtinId="9" hidden="1"/>
    <cellStyle name="表示済みのハイパーリンク" xfId="1967" builtinId="9" hidden="1"/>
    <cellStyle name="表示済みのハイパーリンク" xfId="1969" builtinId="9" hidden="1"/>
    <cellStyle name="表示済みのハイパーリンク" xfId="1971" builtinId="9" hidden="1"/>
    <cellStyle name="表示済みのハイパーリンク" xfId="1973" builtinId="9" hidden="1"/>
    <cellStyle name="表示済みのハイパーリンク" xfId="1975" builtinId="9" hidden="1"/>
    <cellStyle name="表示済みのハイパーリンク" xfId="1977" builtinId="9" hidden="1"/>
    <cellStyle name="表示済みのハイパーリンク" xfId="1979" builtinId="9" hidden="1"/>
    <cellStyle name="表示済みのハイパーリンク" xfId="1981" builtinId="9" hidden="1"/>
    <cellStyle name="表示済みのハイパーリンク" xfId="1983" builtinId="9" hidden="1"/>
    <cellStyle name="表示済みのハイパーリンク" xfId="1985" builtinId="9" hidden="1"/>
    <cellStyle name="表示済みのハイパーリンク" xfId="1987" builtinId="9" hidden="1"/>
    <cellStyle name="表示済みのハイパーリンク" xfId="1989" builtinId="9" hidden="1"/>
    <cellStyle name="表示済みのハイパーリンク" xfId="1991" builtinId="9" hidden="1"/>
    <cellStyle name="表示済みのハイパーリンク" xfId="1993" builtinId="9" hidden="1"/>
    <cellStyle name="表示済みのハイパーリンク" xfId="1995" builtinId="9" hidden="1"/>
    <cellStyle name="表示済みのハイパーリンク" xfId="1997" builtinId="9" hidden="1"/>
    <cellStyle name="表示済みのハイパーリンク" xfId="1999" builtinId="9" hidden="1"/>
    <cellStyle name="表示済みのハイパーリンク" xfId="2001" builtinId="9" hidden="1"/>
    <cellStyle name="表示済みのハイパーリンク" xfId="2003" builtinId="9" hidden="1"/>
    <cellStyle name="表示済みのハイパーリンク" xfId="2005" builtinId="9" hidden="1"/>
    <cellStyle name="表示済みのハイパーリンク" xfId="2007" builtinId="9" hidden="1"/>
    <cellStyle name="表示済みのハイパーリンク" xfId="2009" builtinId="9" hidden="1"/>
    <cellStyle name="表示済みのハイパーリンク" xfId="2011" builtinId="9" hidden="1"/>
    <cellStyle name="表示済みのハイパーリンク" xfId="2013" builtinId="9" hidden="1"/>
    <cellStyle name="表示済みのハイパーリンク" xfId="2015" builtinId="9" hidden="1"/>
    <cellStyle name="表示済みのハイパーリンク" xfId="2017" builtinId="9" hidden="1"/>
    <cellStyle name="表示済みのハイパーリンク" xfId="2019" builtinId="9" hidden="1"/>
    <cellStyle name="表示済みのハイパーリンク" xfId="2021" builtinId="9" hidden="1"/>
    <cellStyle name="表示済みのハイパーリンク" xfId="2023" builtinId="9" hidden="1"/>
    <cellStyle name="表示済みのハイパーリンク" xfId="2025" builtinId="9" hidden="1"/>
    <cellStyle name="表示済みのハイパーリンク" xfId="2027" builtinId="9" hidden="1"/>
    <cellStyle name="表示済みのハイパーリンク" xfId="2029" builtinId="9" hidden="1"/>
    <cellStyle name="表示済みのハイパーリンク" xfId="2031" builtinId="9" hidden="1"/>
    <cellStyle name="表示済みのハイパーリンク" xfId="2033" builtinId="9" hidden="1"/>
    <cellStyle name="表示済みのハイパーリンク" xfId="2035" builtinId="9" hidden="1"/>
    <cellStyle name="表示済みのハイパーリンク" xfId="2037" builtinId="9" hidden="1"/>
    <cellStyle name="表示済みのハイパーリンク" xfId="2039" builtinId="9" hidden="1"/>
    <cellStyle name="表示済みのハイパーリンク" xfId="2041" builtinId="9" hidden="1"/>
    <cellStyle name="表示済みのハイパーリンク" xfId="2043" builtinId="9" hidden="1"/>
    <cellStyle name="表示済みのハイパーリンク" xfId="2045" builtinId="9" hidden="1"/>
    <cellStyle name="表示済みのハイパーリンク" xfId="2047" builtinId="9" hidden="1"/>
    <cellStyle name="表示済みのハイパーリンク" xfId="2049" builtinId="9" hidden="1"/>
    <cellStyle name="表示済みのハイパーリンク" xfId="2051" builtinId="9" hidden="1"/>
    <cellStyle name="表示済みのハイパーリンク" xfId="2053" builtinId="9" hidden="1"/>
    <cellStyle name="表示済みのハイパーリンク" xfId="2055" builtinId="9" hidden="1"/>
    <cellStyle name="表示済みのハイパーリンク" xfId="2057" builtinId="9" hidden="1"/>
    <cellStyle name="表示済みのハイパーリンク" xfId="2059" builtinId="9" hidden="1"/>
    <cellStyle name="表示済みのハイパーリンク" xfId="2061" builtinId="9" hidden="1"/>
    <cellStyle name="表示済みのハイパーリンク" xfId="2063" builtinId="9" hidden="1"/>
    <cellStyle name="表示済みのハイパーリンク" xfId="2065" builtinId="9" hidden="1"/>
    <cellStyle name="表示済みのハイパーリンク" xfId="2067" builtinId="9" hidden="1"/>
    <cellStyle name="表示済みのハイパーリンク" xfId="2069" builtinId="9" hidden="1"/>
    <cellStyle name="表示済みのハイパーリンク" xfId="2071" builtinId="9" hidden="1"/>
    <cellStyle name="表示済みのハイパーリンク" xfId="2073" builtinId="9" hidden="1"/>
    <cellStyle name="表示済みのハイパーリンク" xfId="2075" builtinId="9" hidden="1"/>
    <cellStyle name="表示済みのハイパーリンク" xfId="2077" builtinId="9" hidden="1"/>
    <cellStyle name="表示済みのハイパーリンク" xfId="2079" builtinId="9" hidden="1"/>
    <cellStyle name="表示済みのハイパーリンク" xfId="2081" builtinId="9" hidden="1"/>
    <cellStyle name="表示済みのハイパーリンク" xfId="2083" builtinId="9" hidden="1"/>
    <cellStyle name="表示済みのハイパーリンク" xfId="2085" builtinId="9" hidden="1"/>
    <cellStyle name="表示済みのハイパーリンク" xfId="2087" builtinId="9" hidden="1"/>
    <cellStyle name="表示済みのハイパーリンク" xfId="2089" builtinId="9" hidden="1"/>
    <cellStyle name="表示済みのハイパーリンク" xfId="2091" builtinId="9" hidden="1"/>
    <cellStyle name="表示済みのハイパーリンク" xfId="2093" builtinId="9" hidden="1"/>
    <cellStyle name="表示済みのハイパーリンク" xfId="2095" builtinId="9" hidden="1"/>
    <cellStyle name="表示済みのハイパーリンク" xfId="2097" builtinId="9" hidden="1"/>
    <cellStyle name="表示済みのハイパーリンク" xfId="2099" builtinId="9" hidden="1"/>
    <cellStyle name="表示済みのハイパーリンク" xfId="2101" builtinId="9" hidden="1"/>
    <cellStyle name="表示済みのハイパーリンク" xfId="2103" builtinId="9" hidden="1"/>
    <cellStyle name="表示済みのハイパーリンク" xfId="2105" builtinId="9" hidden="1"/>
    <cellStyle name="表示済みのハイパーリンク" xfId="2107" builtinId="9" hidden="1"/>
    <cellStyle name="表示済みのハイパーリンク" xfId="2109" builtinId="9" hidden="1"/>
    <cellStyle name="表示済みのハイパーリンク" xfId="2111" builtinId="9" hidden="1"/>
    <cellStyle name="表示済みのハイパーリンク" xfId="2113" builtinId="9" hidden="1"/>
    <cellStyle name="表示済みのハイパーリンク" xfId="2115" builtinId="9" hidden="1"/>
    <cellStyle name="表示済みのハイパーリンク" xfId="2117" builtinId="9" hidden="1"/>
    <cellStyle name="表示済みのハイパーリンク" xfId="2119" builtinId="9" hidden="1"/>
    <cellStyle name="表示済みのハイパーリンク" xfId="2121" builtinId="9" hidden="1"/>
    <cellStyle name="表示済みのハイパーリンク" xfId="2123" builtinId="9" hidden="1"/>
    <cellStyle name="表示済みのハイパーリンク" xfId="2125" builtinId="9" hidden="1"/>
    <cellStyle name="表示済みのハイパーリンク" xfId="2127" builtinId="9" hidden="1"/>
    <cellStyle name="表示済みのハイパーリンク" xfId="2129" builtinId="9" hidden="1"/>
    <cellStyle name="表示済みのハイパーリンク" xfId="2131" builtinId="9" hidden="1"/>
    <cellStyle name="表示済みのハイパーリンク" xfId="2133" builtinId="9" hidden="1"/>
    <cellStyle name="表示済みのハイパーリンク" xfId="2135" builtinId="9" hidden="1"/>
    <cellStyle name="表示済みのハイパーリンク" xfId="2137" builtinId="9" hidden="1"/>
    <cellStyle name="表示済みのハイパーリンク" xfId="2139" builtinId="9" hidden="1"/>
    <cellStyle name="表示済みのハイパーリンク" xfId="2141" builtinId="9" hidden="1"/>
    <cellStyle name="表示済みのハイパーリンク" xfId="2143" builtinId="9" hidden="1"/>
    <cellStyle name="表示済みのハイパーリンク" xfId="2145" builtinId="9" hidden="1"/>
    <cellStyle name="表示済みのハイパーリンク" xfId="2147" builtinId="9" hidden="1"/>
    <cellStyle name="表示済みのハイパーリンク" xfId="2149" builtinId="9" hidden="1"/>
    <cellStyle name="表示済みのハイパーリンク" xfId="2151" builtinId="9" hidden="1"/>
    <cellStyle name="表示済みのハイパーリンク" xfId="2153" builtinId="9" hidden="1"/>
    <cellStyle name="表示済みのハイパーリンク" xfId="2155" builtinId="9" hidden="1"/>
    <cellStyle name="表示済みのハイパーリンク" xfId="2157" builtinId="9" hidden="1"/>
    <cellStyle name="表示済みのハイパーリンク" xfId="2159" builtinId="9" hidden="1"/>
    <cellStyle name="表示済みのハイパーリンク" xfId="2161" builtinId="9" hidden="1"/>
    <cellStyle name="表示済みのハイパーリンク" xfId="2163" builtinId="9" hidden="1"/>
    <cellStyle name="表示済みのハイパーリンク" xfId="2165" builtinId="9" hidden="1"/>
    <cellStyle name="表示済みのハイパーリンク" xfId="2167" builtinId="9" hidden="1"/>
    <cellStyle name="表示済みのハイパーリンク" xfId="2169" builtinId="9" hidden="1"/>
    <cellStyle name="表示済みのハイパーリンク" xfId="2171" builtinId="9" hidden="1"/>
    <cellStyle name="表示済みのハイパーリンク" xfId="2173" builtinId="9" hidden="1"/>
    <cellStyle name="表示済みのハイパーリンク" xfId="2175" builtinId="9" hidden="1"/>
    <cellStyle name="表示済みのハイパーリンク" xfId="2177" builtinId="9" hidden="1"/>
    <cellStyle name="表示済みのハイパーリンク" xfId="2179" builtinId="9" hidden="1"/>
    <cellStyle name="表示済みのハイパーリンク" xfId="2181" builtinId="9" hidden="1"/>
    <cellStyle name="表示済みのハイパーリンク" xfId="2183" builtinId="9" hidden="1"/>
    <cellStyle name="表示済みのハイパーリンク" xfId="2185" builtinId="9" hidden="1"/>
    <cellStyle name="表示済みのハイパーリンク" xfId="2187" builtinId="9" hidden="1"/>
    <cellStyle name="表示済みのハイパーリンク" xfId="2189" builtinId="9" hidden="1"/>
    <cellStyle name="表示済みのハイパーリンク" xfId="2191" builtinId="9" hidden="1"/>
    <cellStyle name="表示済みのハイパーリンク" xfId="2193" builtinId="9" hidden="1"/>
    <cellStyle name="表示済みのハイパーリンク" xfId="2195" builtinId="9" hidden="1"/>
    <cellStyle name="表示済みのハイパーリンク" xfId="2197" builtinId="9" hidden="1"/>
    <cellStyle name="表示済みのハイパーリンク" xfId="2199" builtinId="9" hidden="1"/>
    <cellStyle name="表示済みのハイパーリンク" xfId="2201" builtinId="9" hidden="1"/>
    <cellStyle name="表示済みのハイパーリンク" xfId="2203" builtinId="9" hidden="1"/>
    <cellStyle name="表示済みのハイパーリンク" xfId="2205" builtinId="9" hidden="1"/>
    <cellStyle name="表示済みのハイパーリンク" xfId="2207" builtinId="9" hidden="1"/>
    <cellStyle name="表示済みのハイパーリンク" xfId="2209" builtinId="9" hidden="1"/>
    <cellStyle name="表示済みのハイパーリンク" xfId="2211" builtinId="9" hidden="1"/>
    <cellStyle name="表示済みのハイパーリンク" xfId="2213" builtinId="9" hidden="1"/>
    <cellStyle name="表示済みのハイパーリンク" xfId="2215" builtinId="9" hidden="1"/>
    <cellStyle name="表示済みのハイパーリンク" xfId="2217" builtinId="9" hidden="1"/>
    <cellStyle name="表示済みのハイパーリンク" xfId="2219" builtinId="9" hidden="1"/>
    <cellStyle name="表示済みのハイパーリンク" xfId="2221" builtinId="9" hidden="1"/>
    <cellStyle name="表示済みのハイパーリンク" xfId="2223" builtinId="9" hidden="1"/>
    <cellStyle name="表示済みのハイパーリンク" xfId="2225" builtinId="9" hidden="1"/>
    <cellStyle name="表示済みのハイパーリンク" xfId="2227" builtinId="9" hidden="1"/>
    <cellStyle name="表示済みのハイパーリンク" xfId="2229" builtinId="9" hidden="1"/>
    <cellStyle name="表示済みのハイパーリンク" xfId="2231" builtinId="9" hidden="1"/>
    <cellStyle name="表示済みのハイパーリンク" xfId="2233" builtinId="9" hidden="1"/>
    <cellStyle name="表示済みのハイパーリンク" xfId="2235" builtinId="9" hidden="1"/>
    <cellStyle name="表示済みのハイパーリンク" xfId="2237" builtinId="9" hidden="1"/>
    <cellStyle name="表示済みのハイパーリンク" xfId="2239" builtinId="9" hidden="1"/>
    <cellStyle name="表示済みのハイパーリンク" xfId="2241" builtinId="9" hidden="1"/>
    <cellStyle name="表示済みのハイパーリンク" xfId="2243" builtinId="9" hidden="1"/>
    <cellStyle name="表示済みのハイパーリンク" xfId="2245" builtinId="9" hidden="1"/>
    <cellStyle name="表示済みのハイパーリンク" xfId="2247" builtinId="9" hidden="1"/>
    <cellStyle name="表示済みのハイパーリンク" xfId="2249" builtinId="9" hidden="1"/>
    <cellStyle name="表示済みのハイパーリンク" xfId="2251" builtinId="9" hidden="1"/>
    <cellStyle name="表示済みのハイパーリンク" xfId="2253" builtinId="9" hidden="1"/>
    <cellStyle name="表示済みのハイパーリンク" xfId="2255" builtinId="9" hidden="1"/>
    <cellStyle name="表示済みのハイパーリンク" xfId="2257" builtinId="9" hidden="1"/>
    <cellStyle name="表示済みのハイパーリンク" xfId="2259" builtinId="9" hidden="1"/>
    <cellStyle name="表示済みのハイパーリンク" xfId="2261" builtinId="9" hidden="1"/>
    <cellStyle name="表示済みのハイパーリンク" xfId="2263" builtinId="9" hidden="1"/>
    <cellStyle name="表示済みのハイパーリンク" xfId="2265" builtinId="9" hidden="1"/>
    <cellStyle name="表示済みのハイパーリンク" xfId="2267" builtinId="9" hidden="1"/>
    <cellStyle name="表示済みのハイパーリンク" xfId="2269" builtinId="9" hidden="1"/>
    <cellStyle name="表示済みのハイパーリンク" xfId="2271" builtinId="9" hidden="1"/>
    <cellStyle name="表示済みのハイパーリンク" xfId="2273" builtinId="9" hidden="1"/>
    <cellStyle name="表示済みのハイパーリンク" xfId="2275" builtinId="9" hidden="1"/>
    <cellStyle name="表示済みのハイパーリンク" xfId="2277" builtinId="9" hidden="1"/>
    <cellStyle name="表示済みのハイパーリンク" xfId="2279" builtinId="9" hidden="1"/>
    <cellStyle name="表示済みのハイパーリンク" xfId="2281" builtinId="9" hidden="1"/>
    <cellStyle name="表示済みのハイパーリンク" xfId="2283" builtinId="9" hidden="1"/>
    <cellStyle name="表示済みのハイパーリンク" xfId="2285" builtinId="9" hidden="1"/>
    <cellStyle name="表示済みのハイパーリンク" xfId="2287" builtinId="9" hidden="1"/>
    <cellStyle name="表示済みのハイパーリンク" xfId="2289" builtinId="9" hidden="1"/>
    <cellStyle name="表示済みのハイパーリンク" xfId="2291" builtinId="9" hidden="1"/>
    <cellStyle name="表示済みのハイパーリンク" xfId="2293" builtinId="9" hidden="1"/>
    <cellStyle name="表示済みのハイパーリンク" xfId="2295" builtinId="9" hidden="1"/>
    <cellStyle name="表示済みのハイパーリンク" xfId="2297" builtinId="9" hidden="1"/>
    <cellStyle name="表示済みのハイパーリンク" xfId="2299" builtinId="9" hidden="1"/>
    <cellStyle name="表示済みのハイパーリンク" xfId="2301" builtinId="9" hidden="1"/>
    <cellStyle name="表示済みのハイパーリンク" xfId="2303" builtinId="9" hidden="1"/>
    <cellStyle name="表示済みのハイパーリンク" xfId="2305" builtinId="9" hidden="1"/>
    <cellStyle name="表示済みのハイパーリンク" xfId="2307" builtinId="9" hidden="1"/>
    <cellStyle name="表示済みのハイパーリンク" xfId="2309" builtinId="9" hidden="1"/>
    <cellStyle name="表示済みのハイパーリンク" xfId="2311" builtinId="9" hidden="1"/>
    <cellStyle name="表示済みのハイパーリンク" xfId="2313" builtinId="9" hidden="1"/>
    <cellStyle name="表示済みのハイパーリンク" xfId="2315" builtinId="9" hidden="1"/>
    <cellStyle name="表示済みのハイパーリンク" xfId="2317" builtinId="9" hidden="1"/>
    <cellStyle name="表示済みのハイパーリンク" xfId="2319" builtinId="9" hidden="1"/>
    <cellStyle name="表示済みのハイパーリンク" xfId="2321" builtinId="9" hidden="1"/>
    <cellStyle name="表示済みのハイパーリンク" xfId="2323" builtinId="9" hidden="1"/>
    <cellStyle name="表示済みのハイパーリンク" xfId="2325" builtinId="9" hidden="1"/>
    <cellStyle name="表示済みのハイパーリンク" xfId="2327" builtinId="9" hidden="1"/>
    <cellStyle name="表示済みのハイパーリンク" xfId="2329" builtinId="9" hidden="1"/>
    <cellStyle name="表示済みのハイパーリンク" xfId="2331" builtinId="9" hidden="1"/>
    <cellStyle name="表示済みのハイパーリンク" xfId="2333" builtinId="9" hidden="1"/>
    <cellStyle name="表示済みのハイパーリンク" xfId="2335" builtinId="9" hidden="1"/>
    <cellStyle name="表示済みのハイパーリンク" xfId="2337" builtinId="9" hidden="1"/>
    <cellStyle name="表示済みのハイパーリンク" xfId="2339" builtinId="9" hidden="1"/>
    <cellStyle name="表示済みのハイパーリンク" xfId="2341" builtinId="9" hidden="1"/>
    <cellStyle name="表示済みのハイパーリンク" xfId="2343" builtinId="9" hidden="1"/>
    <cellStyle name="表示済みのハイパーリンク" xfId="2345" builtinId="9" hidden="1"/>
    <cellStyle name="表示済みのハイパーリンク" xfId="2347" builtinId="9" hidden="1"/>
    <cellStyle name="表示済みのハイパーリンク" xfId="2349" builtinId="9" hidden="1"/>
    <cellStyle name="表示済みのハイパーリンク" xfId="2351" builtinId="9" hidden="1"/>
    <cellStyle name="表示済みのハイパーリンク" xfId="2353" builtinId="9" hidden="1"/>
    <cellStyle name="表示済みのハイパーリンク" xfId="2355" builtinId="9" hidden="1"/>
    <cellStyle name="表示済みのハイパーリンク" xfId="2357" builtinId="9" hidden="1"/>
    <cellStyle name="表示済みのハイパーリンク" xfId="2359" builtinId="9" hidden="1"/>
    <cellStyle name="表示済みのハイパーリンク" xfId="2361" builtinId="9" hidden="1"/>
    <cellStyle name="表示済みのハイパーリンク" xfId="2363" builtinId="9" hidden="1"/>
    <cellStyle name="表示済みのハイパーリンク" xfId="2365" builtinId="9" hidden="1"/>
    <cellStyle name="表示済みのハイパーリンク" xfId="2367" builtinId="9" hidden="1"/>
    <cellStyle name="表示済みのハイパーリンク" xfId="2369" builtinId="9" hidden="1"/>
    <cellStyle name="表示済みのハイパーリンク" xfId="2371" builtinId="9" hidden="1"/>
    <cellStyle name="表示済みのハイパーリンク" xfId="2373" builtinId="9" hidden="1"/>
    <cellStyle name="表示済みのハイパーリンク" xfId="2375" builtinId="9" hidden="1"/>
    <cellStyle name="表示済みのハイパーリンク" xfId="2377" builtinId="9" hidden="1"/>
    <cellStyle name="表示済みのハイパーリンク" xfId="2379" builtinId="9" hidden="1"/>
    <cellStyle name="表示済みのハイパーリンク" xfId="2381" builtinId="9" hidden="1"/>
    <cellStyle name="表示済みのハイパーリンク" xfId="2383" builtinId="9" hidden="1"/>
    <cellStyle name="表示済みのハイパーリンク" xfId="2385" builtinId="9" hidden="1"/>
    <cellStyle name="表示済みのハイパーリンク" xfId="2387" builtinId="9" hidden="1"/>
    <cellStyle name="表示済みのハイパーリンク" xfId="2389" builtinId="9" hidden="1"/>
    <cellStyle name="表示済みのハイパーリンク" xfId="2391" builtinId="9" hidden="1"/>
    <cellStyle name="表示済みのハイパーリンク" xfId="2393" builtinId="9" hidden="1"/>
    <cellStyle name="表示済みのハイパーリンク" xfId="2395" builtinId="9" hidden="1"/>
    <cellStyle name="表示済みのハイパーリンク" xfId="2397" builtinId="9" hidden="1"/>
    <cellStyle name="表示済みのハイパーリンク" xfId="2399" builtinId="9" hidden="1"/>
    <cellStyle name="表示済みのハイパーリンク" xfId="2401" builtinId="9" hidden="1"/>
    <cellStyle name="表示済みのハイパーリンク" xfId="2403" builtinId="9" hidden="1"/>
    <cellStyle name="表示済みのハイパーリンク" xfId="2405" builtinId="9" hidden="1"/>
    <cellStyle name="表示済みのハイパーリンク" xfId="2407" builtinId="9" hidden="1"/>
    <cellStyle name="表示済みのハイパーリンク" xfId="2409" builtinId="9" hidden="1"/>
    <cellStyle name="表示済みのハイパーリンク" xfId="2411" builtinId="9" hidden="1"/>
    <cellStyle name="表示済みのハイパーリンク" xfId="2413" builtinId="9" hidden="1"/>
    <cellStyle name="表示済みのハイパーリンク" xfId="2415" builtinId="9" hidden="1"/>
    <cellStyle name="表示済みのハイパーリンク" xfId="2417" builtinId="9" hidden="1"/>
    <cellStyle name="表示済みのハイパーリンク" xfId="2419" builtinId="9" hidden="1"/>
    <cellStyle name="表示済みのハイパーリンク" xfId="2421" builtinId="9" hidden="1"/>
    <cellStyle name="表示済みのハイパーリンク" xfId="2423" builtinId="9" hidden="1"/>
    <cellStyle name="表示済みのハイパーリンク" xfId="2425" builtinId="9" hidden="1"/>
    <cellStyle name="表示済みのハイパーリンク" xfId="2427" builtinId="9" hidden="1"/>
    <cellStyle name="表示済みのハイパーリンク" xfId="2429" builtinId="9" hidden="1"/>
    <cellStyle name="表示済みのハイパーリンク" xfId="2431" builtinId="9" hidden="1"/>
    <cellStyle name="表示済みのハイパーリンク" xfId="2433" builtinId="9" hidden="1"/>
    <cellStyle name="表示済みのハイパーリンク" xfId="2435" builtinId="9" hidden="1"/>
    <cellStyle name="表示済みのハイパーリンク" xfId="2437" builtinId="9" hidden="1"/>
    <cellStyle name="表示済みのハイパーリンク" xfId="2439" builtinId="9" hidden="1"/>
    <cellStyle name="表示済みのハイパーリンク" xfId="2441" builtinId="9" hidden="1"/>
    <cellStyle name="表示済みのハイパーリンク" xfId="2443" builtinId="9" hidden="1"/>
    <cellStyle name="表示済みのハイパーリンク" xfId="2445" builtinId="9" hidden="1"/>
    <cellStyle name="表示済みのハイパーリンク" xfId="2447" builtinId="9" hidden="1"/>
    <cellStyle name="表示済みのハイパーリンク" xfId="2449" builtinId="9" hidden="1"/>
    <cellStyle name="表示済みのハイパーリンク" xfId="2451" builtinId="9" hidden="1"/>
    <cellStyle name="表示済みのハイパーリンク" xfId="2453" builtinId="9" hidden="1"/>
    <cellStyle name="表示済みのハイパーリンク" xfId="2455" builtinId="9" hidden="1"/>
    <cellStyle name="表示済みのハイパーリンク" xfId="2457" builtinId="9" hidden="1"/>
    <cellStyle name="表示済みのハイパーリンク" xfId="2459" builtinId="9" hidden="1"/>
    <cellStyle name="表示済みのハイパーリンク" xfId="2461" builtinId="9" hidden="1"/>
    <cellStyle name="表示済みのハイパーリンク" xfId="2463" builtinId="9" hidden="1"/>
    <cellStyle name="表示済みのハイパーリンク" xfId="2465" builtinId="9" hidden="1"/>
    <cellStyle name="表示済みのハイパーリンク" xfId="2467" builtinId="9" hidden="1"/>
    <cellStyle name="表示済みのハイパーリンク" xfId="2469" builtinId="9" hidden="1"/>
    <cellStyle name="表示済みのハイパーリンク" xfId="2471" builtinId="9" hidden="1"/>
    <cellStyle name="表示済みのハイパーリンク" xfId="2473" builtinId="9" hidden="1"/>
    <cellStyle name="表示済みのハイパーリンク" xfId="2475" builtinId="9" hidden="1"/>
    <cellStyle name="表示済みのハイパーリンク" xfId="2477" builtinId="9" hidden="1"/>
    <cellStyle name="表示済みのハイパーリンク" xfId="2479" builtinId="9" hidden="1"/>
    <cellStyle name="表示済みのハイパーリンク" xfId="2481" builtinId="9" hidden="1"/>
    <cellStyle name="表示済みのハイパーリンク" xfId="2483" builtinId="9" hidden="1"/>
    <cellStyle name="表示済みのハイパーリンク" xfId="2485" builtinId="9" hidden="1"/>
    <cellStyle name="表示済みのハイパーリンク" xfId="2487" builtinId="9" hidden="1"/>
    <cellStyle name="表示済みのハイパーリンク" xfId="2489" builtinId="9" hidden="1"/>
    <cellStyle name="表示済みのハイパーリンク" xfId="2491" builtinId="9" hidden="1"/>
    <cellStyle name="表示済みのハイパーリンク" xfId="2493" builtinId="9" hidden="1"/>
    <cellStyle name="表示済みのハイパーリンク" xfId="2495" builtinId="9" hidden="1"/>
    <cellStyle name="表示済みのハイパーリンク" xfId="2497" builtinId="9" hidden="1"/>
    <cellStyle name="表示済みのハイパーリンク" xfId="2499" builtinId="9" hidden="1"/>
    <cellStyle name="表示済みのハイパーリンク" xfId="2501" builtinId="9" hidden="1"/>
    <cellStyle name="表示済みのハイパーリンク" xfId="2503" builtinId="9" hidden="1"/>
    <cellStyle name="表示済みのハイパーリンク" xfId="2505" builtinId="9" hidden="1"/>
    <cellStyle name="表示済みのハイパーリンク" xfId="2507" builtinId="9" hidden="1"/>
    <cellStyle name="表示済みのハイパーリンク" xfId="2509" builtinId="9" hidden="1"/>
    <cellStyle name="表示済みのハイパーリンク" xfId="2511" builtinId="9" hidden="1"/>
    <cellStyle name="表示済みのハイパーリンク" xfId="2513" builtinId="9" hidden="1"/>
    <cellStyle name="表示済みのハイパーリンク" xfId="2515" builtinId="9" hidden="1"/>
    <cellStyle name="表示済みのハイパーリンク" xfId="2517" builtinId="9" hidden="1"/>
    <cellStyle name="表示済みのハイパーリンク" xfId="2519" builtinId="9" hidden="1"/>
    <cellStyle name="表示済みのハイパーリンク" xfId="2521" builtinId="9" hidden="1"/>
    <cellStyle name="表示済みのハイパーリンク" xfId="2523" builtinId="9" hidden="1"/>
    <cellStyle name="表示済みのハイパーリンク" xfId="2525" builtinId="9" hidden="1"/>
    <cellStyle name="表示済みのハイパーリンク" xfId="2527" builtinId="9" hidden="1"/>
    <cellStyle name="表示済みのハイパーリンク" xfId="2529" builtinId="9" hidden="1"/>
    <cellStyle name="表示済みのハイパーリンク" xfId="2531" builtinId="9" hidden="1"/>
    <cellStyle name="表示済みのハイパーリンク" xfId="2533" builtinId="9" hidden="1"/>
    <cellStyle name="表示済みのハイパーリンク" xfId="2535" builtinId="9" hidden="1"/>
    <cellStyle name="表示済みのハイパーリンク" xfId="2537" builtinId="9" hidden="1"/>
    <cellStyle name="表示済みのハイパーリンク" xfId="2539" builtinId="9" hidden="1"/>
    <cellStyle name="表示済みのハイパーリンク" xfId="2541" builtinId="9" hidden="1"/>
    <cellStyle name="表示済みのハイパーリンク" xfId="2543" builtinId="9" hidden="1"/>
    <cellStyle name="表示済みのハイパーリンク" xfId="2545" builtinId="9" hidden="1"/>
    <cellStyle name="表示済みのハイパーリンク" xfId="2547" builtinId="9" hidden="1"/>
    <cellStyle name="表示済みのハイパーリンク" xfId="2549" builtinId="9" hidden="1"/>
    <cellStyle name="表示済みのハイパーリンク" xfId="2551" builtinId="9" hidden="1"/>
    <cellStyle name="表示済みのハイパーリンク" xfId="2553" builtinId="9" hidden="1"/>
    <cellStyle name="表示済みのハイパーリンク" xfId="2555" builtinId="9" hidden="1"/>
    <cellStyle name="表示済みのハイパーリンク" xfId="2557" builtinId="9" hidden="1"/>
    <cellStyle name="表示済みのハイパーリンク" xfId="2559" builtinId="9" hidden="1"/>
    <cellStyle name="表示済みのハイパーリンク" xfId="2561" builtinId="9" hidden="1"/>
    <cellStyle name="表示済みのハイパーリンク" xfId="2563" builtinId="9" hidden="1"/>
    <cellStyle name="表示済みのハイパーリンク" xfId="2565" builtinId="9" hidden="1"/>
    <cellStyle name="表示済みのハイパーリンク" xfId="2567" builtinId="9" hidden="1"/>
    <cellStyle name="表示済みのハイパーリンク" xfId="2569" builtinId="9" hidden="1"/>
    <cellStyle name="表示済みのハイパーリンク" xfId="2571" builtinId="9" hidden="1"/>
    <cellStyle name="表示済みのハイパーリンク" xfId="2573" builtinId="9" hidden="1"/>
    <cellStyle name="表示済みのハイパーリンク" xfId="2575" builtinId="9" hidden="1"/>
    <cellStyle name="表示済みのハイパーリンク" xfId="2577" builtinId="9" hidden="1"/>
    <cellStyle name="表示済みのハイパーリンク" xfId="2579" builtinId="9" hidden="1"/>
    <cellStyle name="表示済みのハイパーリンク" xfId="2581" builtinId="9" hidden="1"/>
    <cellStyle name="表示済みのハイパーリンク" xfId="2583" builtinId="9" hidden="1"/>
    <cellStyle name="表示済みのハイパーリンク" xfId="2585" builtinId="9" hidden="1"/>
    <cellStyle name="表示済みのハイパーリンク" xfId="2587" builtinId="9" hidden="1"/>
    <cellStyle name="表示済みのハイパーリンク" xfId="2589" builtinId="9" hidden="1"/>
    <cellStyle name="表示済みのハイパーリンク" xfId="2591" builtinId="9" hidden="1"/>
    <cellStyle name="表示済みのハイパーリンク" xfId="2593" builtinId="9" hidden="1"/>
    <cellStyle name="表示済みのハイパーリンク" xfId="2595" builtinId="9" hidden="1"/>
    <cellStyle name="表示済みのハイパーリンク" xfId="2597" builtinId="9" hidden="1"/>
    <cellStyle name="表示済みのハイパーリンク" xfId="2599" builtinId="9" hidden="1"/>
    <cellStyle name="表示済みのハイパーリンク" xfId="2601" builtinId="9" hidden="1"/>
    <cellStyle name="表示済みのハイパーリンク" xfId="2603" builtinId="9" hidden="1"/>
    <cellStyle name="表示済みのハイパーリンク" xfId="2605" builtinId="9" hidden="1"/>
    <cellStyle name="表示済みのハイパーリンク" xfId="2607" builtinId="9" hidden="1"/>
    <cellStyle name="表示済みのハイパーリンク" xfId="2609" builtinId="9" hidden="1"/>
    <cellStyle name="表示済みのハイパーリンク" xfId="2611" builtinId="9" hidden="1"/>
    <cellStyle name="表示済みのハイパーリンク" xfId="2613" builtinId="9" hidden="1"/>
    <cellStyle name="表示済みのハイパーリンク" xfId="2615" builtinId="9" hidden="1"/>
    <cellStyle name="表示済みのハイパーリンク" xfId="2617" builtinId="9" hidden="1"/>
    <cellStyle name="表示済みのハイパーリンク" xfId="2619" builtinId="9" hidden="1"/>
    <cellStyle name="表示済みのハイパーリンク" xfId="2621" builtinId="9" hidden="1"/>
    <cellStyle name="表示済みのハイパーリンク" xfId="2623" builtinId="9" hidden="1"/>
    <cellStyle name="表示済みのハイパーリンク" xfId="2625" builtinId="9" hidden="1"/>
    <cellStyle name="表示済みのハイパーリンク" xfId="2627" builtinId="9" hidden="1"/>
    <cellStyle name="表示済みのハイパーリンク" xfId="2629" builtinId="9" hidden="1"/>
    <cellStyle name="表示済みのハイパーリンク" xfId="2631" builtinId="9" hidden="1"/>
    <cellStyle name="表示済みのハイパーリンク" xfId="2633" builtinId="9" hidden="1"/>
    <cellStyle name="表示済みのハイパーリンク" xfId="2635" builtinId="9" hidden="1"/>
    <cellStyle name="表示済みのハイパーリンク" xfId="2637" builtinId="9" hidden="1"/>
    <cellStyle name="表示済みのハイパーリンク" xfId="2639" builtinId="9" hidden="1"/>
    <cellStyle name="表示済みのハイパーリンク" xfId="2641" builtinId="9" hidden="1"/>
    <cellStyle name="表示済みのハイパーリンク" xfId="2643" builtinId="9" hidden="1"/>
    <cellStyle name="表示済みのハイパーリンク" xfId="2645" builtinId="9" hidden="1"/>
    <cellStyle name="表示済みのハイパーリンク" xfId="2647" builtinId="9" hidden="1"/>
    <cellStyle name="表示済みのハイパーリンク" xfId="2649" builtinId="9" hidden="1"/>
    <cellStyle name="表示済みのハイパーリンク" xfId="2651" builtinId="9" hidden="1"/>
    <cellStyle name="表示済みのハイパーリンク" xfId="2653" builtinId="9" hidden="1"/>
    <cellStyle name="表示済みのハイパーリンク" xfId="2655" builtinId="9" hidden="1"/>
    <cellStyle name="表示済みのハイパーリンク" xfId="2657" builtinId="9" hidden="1"/>
    <cellStyle name="表示済みのハイパーリンク" xfId="2659" builtinId="9" hidden="1"/>
    <cellStyle name="表示済みのハイパーリンク" xfId="2661" builtinId="9" hidden="1"/>
    <cellStyle name="表示済みのハイパーリンク" xfId="2663" builtinId="9" hidden="1"/>
    <cellStyle name="表示済みのハイパーリンク" xfId="2665" builtinId="9" hidden="1"/>
    <cellStyle name="表示済みのハイパーリンク" xfId="2667" builtinId="9" hidden="1"/>
    <cellStyle name="表示済みのハイパーリンク" xfId="2669" builtinId="9" hidden="1"/>
    <cellStyle name="表示済みのハイパーリンク" xfId="2671" builtinId="9" hidden="1"/>
    <cellStyle name="表示済みのハイパーリンク" xfId="2673" builtinId="9" hidden="1"/>
    <cellStyle name="表示済みのハイパーリンク" xfId="2675" builtinId="9" hidden="1"/>
    <cellStyle name="表示済みのハイパーリンク" xfId="2677" builtinId="9" hidden="1"/>
    <cellStyle name="表示済みのハイパーリンク" xfId="2679" builtinId="9" hidden="1"/>
    <cellStyle name="表示済みのハイパーリンク" xfId="2681" builtinId="9" hidden="1"/>
    <cellStyle name="表示済みのハイパーリンク" xfId="2683" builtinId="9" hidden="1"/>
    <cellStyle name="表示済みのハイパーリンク" xfId="2685" builtinId="9" hidden="1"/>
    <cellStyle name="表示済みのハイパーリンク" xfId="2687" builtinId="9" hidden="1"/>
    <cellStyle name="表示済みのハイパーリンク" xfId="2689" builtinId="9" hidden="1"/>
    <cellStyle name="表示済みのハイパーリンク" xfId="2691" builtinId="9" hidden="1"/>
    <cellStyle name="表示済みのハイパーリンク" xfId="2693" builtinId="9" hidden="1"/>
    <cellStyle name="表示済みのハイパーリンク" xfId="2695" builtinId="9" hidden="1"/>
    <cellStyle name="表示済みのハイパーリンク" xfId="2697" builtinId="9" hidden="1"/>
    <cellStyle name="表示済みのハイパーリンク" xfId="2699" builtinId="9" hidden="1"/>
    <cellStyle name="表示済みのハイパーリンク" xfId="2701" builtinId="9" hidden="1"/>
    <cellStyle name="表示済みのハイパーリンク" xfId="2703" builtinId="9" hidden="1"/>
    <cellStyle name="表示済みのハイパーリンク" xfId="2705" builtinId="9" hidden="1"/>
    <cellStyle name="表示済みのハイパーリンク" xfId="2707" builtinId="9" hidden="1"/>
    <cellStyle name="表示済みのハイパーリンク" xfId="2709" builtinId="9" hidden="1"/>
    <cellStyle name="表示済みのハイパーリンク" xfId="2711" builtinId="9" hidden="1"/>
    <cellStyle name="表示済みのハイパーリンク" xfId="2713" builtinId="9" hidden="1"/>
    <cellStyle name="表示済みのハイパーリンク" xfId="2715" builtinId="9" hidden="1"/>
    <cellStyle name="表示済みのハイパーリンク" xfId="2717" builtinId="9" hidden="1"/>
    <cellStyle name="表示済みのハイパーリンク" xfId="2719" builtinId="9" hidden="1"/>
    <cellStyle name="表示済みのハイパーリンク" xfId="2721" builtinId="9" hidden="1"/>
    <cellStyle name="表示済みのハイパーリンク" xfId="2723" builtinId="9" hidden="1"/>
    <cellStyle name="表示済みのハイパーリンク" xfId="2725" builtinId="9" hidden="1"/>
    <cellStyle name="表示済みのハイパーリンク" xfId="2727" builtinId="9" hidden="1"/>
    <cellStyle name="表示済みのハイパーリンク" xfId="2729" builtinId="9" hidden="1"/>
    <cellStyle name="表示済みのハイパーリンク" xfId="2731" builtinId="9" hidden="1"/>
    <cellStyle name="表示済みのハイパーリンク" xfId="2733" builtinId="9" hidden="1"/>
    <cellStyle name="表示済みのハイパーリンク" xfId="2735" builtinId="9" hidden="1"/>
    <cellStyle name="表示済みのハイパーリンク" xfId="2737" builtinId="9" hidden="1"/>
    <cellStyle name="表示済みのハイパーリンク" xfId="2739" builtinId="9" hidden="1"/>
    <cellStyle name="表示済みのハイパーリンク" xfId="2741" builtinId="9" hidden="1"/>
    <cellStyle name="表示済みのハイパーリンク" xfId="2743" builtinId="9" hidden="1"/>
    <cellStyle name="表示済みのハイパーリンク" xfId="2745" builtinId="9" hidden="1"/>
    <cellStyle name="表示済みのハイパーリンク" xfId="2747" builtinId="9" hidden="1"/>
    <cellStyle name="表示済みのハイパーリンク" xfId="2749" builtinId="9" hidden="1"/>
    <cellStyle name="表示済みのハイパーリンク" xfId="2751" builtinId="9" hidden="1"/>
    <cellStyle name="表示済みのハイパーリンク" xfId="2753" builtinId="9" hidden="1"/>
    <cellStyle name="表示済みのハイパーリンク" xfId="2755" builtinId="9" hidden="1"/>
    <cellStyle name="表示済みのハイパーリンク" xfId="2757" builtinId="9" hidden="1"/>
    <cellStyle name="表示済みのハイパーリンク" xfId="2759" builtinId="9" hidden="1"/>
    <cellStyle name="表示済みのハイパーリンク" xfId="2761" builtinId="9" hidden="1"/>
    <cellStyle name="表示済みのハイパーリンク" xfId="2763" builtinId="9" hidden="1"/>
    <cellStyle name="表示済みのハイパーリンク" xfId="2765" builtinId="9" hidden="1"/>
    <cellStyle name="表示済みのハイパーリンク" xfId="2767" builtinId="9" hidden="1"/>
    <cellStyle name="表示済みのハイパーリンク" xfId="2769" builtinId="9" hidden="1"/>
    <cellStyle name="表示済みのハイパーリンク" xfId="2771" builtinId="9" hidden="1"/>
    <cellStyle name="表示済みのハイパーリンク" xfId="2773" builtinId="9" hidden="1"/>
    <cellStyle name="表示済みのハイパーリンク" xfId="2775" builtinId="9" hidden="1"/>
    <cellStyle name="表示済みのハイパーリンク" xfId="2777" builtinId="9" hidden="1"/>
    <cellStyle name="表示済みのハイパーリンク" xfId="2779" builtinId="9" hidden="1"/>
    <cellStyle name="表示済みのハイパーリンク" xfId="2781" builtinId="9" hidden="1"/>
    <cellStyle name="表示済みのハイパーリンク" xfId="2783" builtinId="9" hidden="1"/>
    <cellStyle name="表示済みのハイパーリンク" xfId="2785" builtinId="9" hidden="1"/>
    <cellStyle name="表示済みのハイパーリンク" xfId="2787" builtinId="9" hidden="1"/>
    <cellStyle name="表示済みのハイパーリンク" xfId="2789" builtinId="9" hidden="1"/>
    <cellStyle name="表示済みのハイパーリンク" xfId="2791" builtinId="9" hidden="1"/>
    <cellStyle name="表示済みのハイパーリンク" xfId="2793" builtinId="9" hidden="1"/>
    <cellStyle name="表示済みのハイパーリンク" xfId="2795" builtinId="9" hidden="1"/>
    <cellStyle name="表示済みのハイパーリンク" xfId="2797" builtinId="9" hidden="1"/>
    <cellStyle name="表示済みのハイパーリンク" xfId="2799" builtinId="9" hidden="1"/>
    <cellStyle name="表示済みのハイパーリンク" xfId="2801" builtinId="9" hidden="1"/>
    <cellStyle name="表示済みのハイパーリンク" xfId="2803" builtinId="9" hidden="1"/>
    <cellStyle name="表示済みのハイパーリンク" xfId="2805" builtinId="9" hidden="1"/>
    <cellStyle name="表示済みのハイパーリンク" xfId="2807" builtinId="9" hidden="1"/>
    <cellStyle name="表示済みのハイパーリンク" xfId="2809" builtinId="9" hidden="1"/>
    <cellStyle name="表示済みのハイパーリンク" xfId="2811" builtinId="9" hidden="1"/>
    <cellStyle name="表示済みのハイパーリンク" xfId="2813" builtinId="9" hidden="1"/>
    <cellStyle name="表示済みのハイパーリンク" xfId="2815" builtinId="9" hidden="1"/>
    <cellStyle name="表示済みのハイパーリンク" xfId="2817" builtinId="9" hidden="1"/>
    <cellStyle name="表示済みのハイパーリンク" xfId="2819" builtinId="9" hidden="1"/>
    <cellStyle name="表示済みのハイパーリンク" xfId="2821" builtinId="9" hidden="1"/>
    <cellStyle name="表示済みのハイパーリンク" xfId="2823" builtinId="9" hidden="1"/>
    <cellStyle name="表示済みのハイパーリンク" xfId="2825" builtinId="9" hidden="1"/>
    <cellStyle name="表示済みのハイパーリンク" xfId="2827" builtinId="9" hidden="1"/>
    <cellStyle name="表示済みのハイパーリンク" xfId="2829" builtinId="9" hidden="1"/>
    <cellStyle name="表示済みのハイパーリンク" xfId="2831" builtinId="9" hidden="1"/>
    <cellStyle name="表示済みのハイパーリンク" xfId="2833" builtinId="9" hidden="1"/>
    <cellStyle name="表示済みのハイパーリンク" xfId="2835" builtinId="9" hidden="1"/>
    <cellStyle name="表示済みのハイパーリンク" xfId="2837" builtinId="9" hidden="1"/>
    <cellStyle name="表示済みのハイパーリンク" xfId="2839" builtinId="9" hidden="1"/>
    <cellStyle name="表示済みのハイパーリンク" xfId="2841" builtinId="9" hidden="1"/>
    <cellStyle name="表示済みのハイパーリンク" xfId="2843" builtinId="9" hidden="1"/>
    <cellStyle name="表示済みのハイパーリンク" xfId="2845" builtinId="9" hidden="1"/>
    <cellStyle name="表示済みのハイパーリンク" xfId="2847" builtinId="9" hidden="1"/>
    <cellStyle name="表示済みのハイパーリンク" xfId="2849" builtinId="9" hidden="1"/>
    <cellStyle name="表示済みのハイパーリンク" xfId="2851" builtinId="9" hidden="1"/>
    <cellStyle name="表示済みのハイパーリンク" xfId="2853" builtinId="9" hidden="1"/>
    <cellStyle name="表示済みのハイパーリンク" xfId="2855" builtinId="9" hidden="1"/>
    <cellStyle name="表示済みのハイパーリンク" xfId="2857" builtinId="9" hidden="1"/>
    <cellStyle name="表示済みのハイパーリンク" xfId="2859" builtinId="9" hidden="1"/>
    <cellStyle name="表示済みのハイパーリンク" xfId="2861" builtinId="9" hidden="1"/>
    <cellStyle name="表示済みのハイパーリンク" xfId="2863" builtinId="9" hidden="1"/>
    <cellStyle name="表示済みのハイパーリンク" xfId="2865" builtinId="9" hidden="1"/>
    <cellStyle name="表示済みのハイパーリンク" xfId="2867" builtinId="9" hidden="1"/>
    <cellStyle name="表示済みのハイパーリンク" xfId="2869" builtinId="9" hidden="1"/>
    <cellStyle name="表示済みのハイパーリンク" xfId="2871" builtinId="9" hidden="1"/>
    <cellStyle name="表示済みのハイパーリンク" xfId="2873" builtinId="9" hidden="1"/>
    <cellStyle name="表示済みのハイパーリンク" xfId="2875" builtinId="9" hidden="1"/>
    <cellStyle name="表示済みのハイパーリンク" xfId="2877" builtinId="9" hidden="1"/>
    <cellStyle name="表示済みのハイパーリンク" xfId="2879" builtinId="9" hidden="1"/>
    <cellStyle name="表示済みのハイパーリンク" xfId="2881" builtinId="9" hidden="1"/>
    <cellStyle name="表示済みのハイパーリンク" xfId="2883" builtinId="9" hidden="1"/>
    <cellStyle name="表示済みのハイパーリンク" xfId="2885" builtinId="9" hidden="1"/>
    <cellStyle name="表示済みのハイパーリンク" xfId="2887" builtinId="9" hidden="1"/>
    <cellStyle name="表示済みのハイパーリンク" xfId="2889" builtinId="9" hidden="1"/>
    <cellStyle name="表示済みのハイパーリンク" xfId="2891" builtinId="9" hidden="1"/>
    <cellStyle name="表示済みのハイパーリンク" xfId="2893" builtinId="9" hidden="1"/>
    <cellStyle name="表示済みのハイパーリンク" xfId="2895" builtinId="9" hidden="1"/>
    <cellStyle name="表示済みのハイパーリンク" xfId="2897" builtinId="9" hidden="1"/>
    <cellStyle name="表示済みのハイパーリンク" xfId="2899" builtinId="9" hidden="1"/>
    <cellStyle name="表示済みのハイパーリンク" xfId="2901" builtinId="9" hidden="1"/>
    <cellStyle name="表示済みのハイパーリンク" xfId="2903" builtinId="9" hidden="1"/>
    <cellStyle name="表示済みのハイパーリンク" xfId="2905" builtinId="9" hidden="1"/>
    <cellStyle name="表示済みのハイパーリンク" xfId="2907" builtinId="9" hidden="1"/>
    <cellStyle name="表示済みのハイパーリンク" xfId="2909" builtinId="9" hidden="1"/>
    <cellStyle name="表示済みのハイパーリンク" xfId="2911" builtinId="9" hidden="1"/>
    <cellStyle name="表示済みのハイパーリンク" xfId="2913" builtinId="9" hidden="1"/>
    <cellStyle name="表示済みのハイパーリンク" xfId="2915" builtinId="9" hidden="1"/>
    <cellStyle name="表示済みのハイパーリンク" xfId="2917" builtinId="9" hidden="1"/>
    <cellStyle name="表示済みのハイパーリンク" xfId="2919" builtinId="9" hidden="1"/>
    <cellStyle name="表示済みのハイパーリンク" xfId="2921" builtinId="9" hidden="1"/>
    <cellStyle name="表示済みのハイパーリンク" xfId="2923" builtinId="9" hidden="1"/>
    <cellStyle name="表示済みのハイパーリンク" xfId="2925" builtinId="9" hidden="1"/>
    <cellStyle name="表示済みのハイパーリンク" xfId="2927" builtinId="9" hidden="1"/>
    <cellStyle name="表示済みのハイパーリンク" xfId="2929" builtinId="9" hidden="1"/>
    <cellStyle name="表示済みのハイパーリンク" xfId="2931" builtinId="9" hidden="1"/>
    <cellStyle name="表示済みのハイパーリンク" xfId="2933" builtinId="9" hidden="1"/>
    <cellStyle name="表示済みのハイパーリンク" xfId="2935" builtinId="9" hidden="1"/>
    <cellStyle name="表示済みのハイパーリンク" xfId="2937" builtinId="9" hidden="1"/>
    <cellStyle name="表示済みのハイパーリンク" xfId="2939" builtinId="9" hidden="1"/>
    <cellStyle name="表示済みのハイパーリンク" xfId="2941" builtinId="9" hidden="1"/>
    <cellStyle name="表示済みのハイパーリンク" xfId="2943" builtinId="9" hidden="1"/>
    <cellStyle name="表示済みのハイパーリンク" xfId="2945" builtinId="9" hidden="1"/>
    <cellStyle name="表示済みのハイパーリンク" xfId="2947" builtinId="9" hidden="1"/>
    <cellStyle name="表示済みのハイパーリンク" xfId="2949" builtinId="9" hidden="1"/>
    <cellStyle name="表示済みのハイパーリンク" xfId="2951" builtinId="9" hidden="1"/>
    <cellStyle name="表示済みのハイパーリンク" xfId="2953" builtinId="9" hidden="1"/>
    <cellStyle name="表示済みのハイパーリンク" xfId="2955" builtinId="9" hidden="1"/>
    <cellStyle name="表示済みのハイパーリンク" xfId="2957" builtinId="9" hidden="1"/>
    <cellStyle name="表示済みのハイパーリンク" xfId="2959" builtinId="9" hidden="1"/>
    <cellStyle name="表示済みのハイパーリンク" xfId="2961" builtinId="9" hidden="1"/>
    <cellStyle name="表示済みのハイパーリンク" xfId="2963" builtinId="9" hidden="1"/>
    <cellStyle name="表示済みのハイパーリンク" xfId="2965" builtinId="9" hidden="1"/>
    <cellStyle name="表示済みのハイパーリンク" xfId="2967" builtinId="9" hidden="1"/>
    <cellStyle name="表示済みのハイパーリンク" xfId="2969" builtinId="9" hidden="1"/>
    <cellStyle name="表示済みのハイパーリンク" xfId="2971" builtinId="9" hidden="1"/>
    <cellStyle name="表示済みのハイパーリンク" xfId="2973" builtinId="9" hidden="1"/>
    <cellStyle name="表示済みのハイパーリンク" xfId="2975" builtinId="9" hidden="1"/>
    <cellStyle name="表示済みのハイパーリンク" xfId="2977" builtinId="9" hidden="1"/>
    <cellStyle name="表示済みのハイパーリンク" xfId="2981" builtinId="9" hidden="1"/>
    <cellStyle name="表示済みのハイパーリンク" xfId="2983" builtinId="9" hidden="1"/>
    <cellStyle name="表示済みのハイパーリンク" xfId="2985" builtinId="9" hidden="1"/>
    <cellStyle name="表示済みのハイパーリンク" xfId="2987" builtinId="9" hidden="1"/>
    <cellStyle name="表示済みのハイパーリンク" xfId="2989" builtinId="9" hidden="1"/>
    <cellStyle name="表示済みのハイパーリンク" xfId="2991" builtinId="9" hidden="1"/>
    <cellStyle name="表示済みのハイパーリンク" xfId="2993" builtinId="9" hidden="1"/>
    <cellStyle name="表示済みのハイパーリンク" xfId="2995" builtinId="9" hidden="1"/>
    <cellStyle name="表示済みのハイパーリンク" xfId="2997" builtinId="9" hidden="1"/>
    <cellStyle name="表示済みのハイパーリンク" xfId="2999" builtinId="9" hidden="1"/>
    <cellStyle name="表示済みのハイパーリンク" xfId="3001" builtinId="9" hidden="1"/>
    <cellStyle name="表示済みのハイパーリンク" xfId="3003" builtinId="9" hidden="1"/>
    <cellStyle name="表示済みのハイパーリンク" xfId="3005" builtinId="9" hidden="1"/>
    <cellStyle name="表示済みのハイパーリンク" xfId="3007" builtinId="9" hidden="1"/>
    <cellStyle name="表示済みのハイパーリンク" xfId="3009" builtinId="9" hidden="1"/>
    <cellStyle name="表示済みのハイパーリンク" xfId="3011" builtinId="9" hidden="1"/>
    <cellStyle name="表示済みのハイパーリンク" xfId="3013" builtinId="9" hidden="1"/>
    <cellStyle name="表示済みのハイパーリンク" xfId="3015" builtinId="9" hidden="1"/>
    <cellStyle name="表示済みのハイパーリンク" xfId="3017" builtinId="9" hidden="1"/>
    <cellStyle name="表示済みのハイパーリンク" xfId="3019" builtinId="9" hidden="1"/>
    <cellStyle name="表示済みのハイパーリンク" xfId="3021" builtinId="9" hidden="1"/>
    <cellStyle name="表示済みのハイパーリンク" xfId="3023" builtinId="9" hidden="1"/>
    <cellStyle name="表示済みのハイパーリンク" xfId="3025" builtinId="9" hidden="1"/>
    <cellStyle name="表示済みのハイパーリンク" xfId="3027" builtinId="9" hidden="1"/>
    <cellStyle name="表示済みのハイパーリンク" xfId="3029" builtinId="9" hidden="1"/>
    <cellStyle name="表示済みのハイパーリンク" xfId="3031" builtinId="9" hidden="1"/>
    <cellStyle name="表示済みのハイパーリンク" xfId="3033" builtinId="9" hidden="1"/>
    <cellStyle name="表示済みのハイパーリンク" xfId="3035" builtinId="9" hidden="1"/>
    <cellStyle name="表示済みのハイパーリンク" xfId="3038" builtinId="9" hidden="1"/>
    <cellStyle name="表示済みのハイパーリンク" xfId="3040" builtinId="9" hidden="1"/>
    <cellStyle name="表示済みのハイパーリンク" xfId="3042" builtinId="9" hidden="1"/>
    <cellStyle name="表示済みのハイパーリンク" xfId="3044" builtinId="9" hidden="1"/>
    <cellStyle name="表示済みのハイパーリンク" xfId="3046" builtinId="9" hidden="1"/>
    <cellStyle name="表示済みのハイパーリンク" xfId="3048" builtinId="9" hidden="1"/>
    <cellStyle name="表示済みのハイパーリンク" xfId="3050" builtinId="9" hidden="1"/>
    <cellStyle name="表示済みのハイパーリンク" xfId="3052" builtinId="9" hidden="1"/>
    <cellStyle name="表示済みのハイパーリンク" xfId="3054" builtinId="9" hidden="1"/>
    <cellStyle name="表示済みのハイパーリンク" xfId="3056" builtinId="9" hidden="1"/>
    <cellStyle name="表示済みのハイパーリンク" xfId="3058" builtinId="9" hidden="1"/>
    <cellStyle name="表示済みのハイパーリンク" xfId="3060" builtinId="9" hidden="1"/>
    <cellStyle name="表示済みのハイパーリンク" xfId="3062" builtinId="9" hidden="1"/>
    <cellStyle name="表示済みのハイパーリンク" xfId="3064" builtinId="9" hidden="1"/>
    <cellStyle name="表示済みのハイパーリンク" xfId="3066" builtinId="9" hidden="1"/>
    <cellStyle name="表示済みのハイパーリンク" xfId="3068" builtinId="9" hidden="1"/>
    <cellStyle name="表示済みのハイパーリンク" xfId="3070" builtinId="9" hidden="1"/>
    <cellStyle name="表示済みのハイパーリンク" xfId="3072" builtinId="9" hidden="1"/>
    <cellStyle name="表示済みのハイパーリンク" xfId="3074" builtinId="9" hidden="1"/>
    <cellStyle name="表示済みのハイパーリンク" xfId="3076" builtinId="9" hidden="1"/>
    <cellStyle name="表示済みのハイパーリンク" xfId="3078" builtinId="9" hidden="1"/>
    <cellStyle name="表示済みのハイパーリンク" xfId="3080" builtinId="9" hidden="1"/>
    <cellStyle name="表示済みのハイパーリンク" xfId="3082" builtinId="9" hidden="1"/>
    <cellStyle name="表示済みのハイパーリンク" xfId="3084" builtinId="9" hidden="1"/>
    <cellStyle name="表示済みのハイパーリンク" xfId="3086" builtinId="9" hidden="1"/>
    <cellStyle name="表示済みのハイパーリンク" xfId="3088" builtinId="9" hidden="1"/>
    <cellStyle name="表示済みのハイパーリンク" xfId="3090" builtinId="9" hidden="1"/>
    <cellStyle name="表示済みのハイパーリンク" xfId="3092" builtinId="9" hidden="1"/>
    <cellStyle name="表示済みのハイパーリンク" xfId="3094" builtinId="9" hidden="1"/>
    <cellStyle name="表示済みのハイパーリンク" xfId="3096" builtinId="9" hidden="1"/>
    <cellStyle name="表示済みのハイパーリンク" xfId="3098" builtinId="9" hidden="1"/>
    <cellStyle name="表示済みのハイパーリンク" xfId="3100" builtinId="9" hidden="1"/>
    <cellStyle name="表示済みのハイパーリンク" xfId="3102" builtinId="9" hidden="1"/>
    <cellStyle name="表示済みのハイパーリンク" xfId="3104" builtinId="9" hidden="1"/>
    <cellStyle name="表示済みのハイパーリンク" xfId="3106" builtinId="9" hidden="1"/>
    <cellStyle name="表示済みのハイパーリンク" xfId="3108" builtinId="9" hidden="1"/>
    <cellStyle name="表示済みのハイパーリンク" xfId="3110" builtinId="9" hidden="1"/>
    <cellStyle name="表示済みのハイパーリンク" xfId="3112" builtinId="9" hidden="1"/>
    <cellStyle name="表示済みのハイパーリンク" xfId="3114" builtinId="9" hidden="1"/>
    <cellStyle name="表示済みのハイパーリンク" xfId="3116" builtinId="9" hidden="1"/>
    <cellStyle name="表示済みのハイパーリンク" xfId="3118" builtinId="9" hidden="1"/>
    <cellStyle name="表示済みのハイパーリンク" xfId="3120" builtinId="9" hidden="1"/>
    <cellStyle name="表示済みのハイパーリンク" xfId="3122" builtinId="9" hidden="1"/>
    <cellStyle name="表示済みのハイパーリンク" xfId="3124" builtinId="9" hidden="1"/>
    <cellStyle name="表示済みのハイパーリンク" xfId="3126" builtinId="9" hidden="1"/>
    <cellStyle name="表示済みのハイパーリンク" xfId="3128" builtinId="9" hidden="1"/>
    <cellStyle name="表示済みのハイパーリンク" xfId="3130" builtinId="9" hidden="1"/>
    <cellStyle name="表示済みのハイパーリンク" xfId="3132" builtinId="9" hidden="1"/>
    <cellStyle name="表示済みのハイパーリンク" xfId="3134" builtinId="9" hidden="1"/>
    <cellStyle name="表示済みのハイパーリンク" xfId="3136" builtinId="9" hidden="1"/>
    <cellStyle name="表示済みのハイパーリンク" xfId="3138" builtinId="9" hidden="1"/>
    <cellStyle name="表示済みのハイパーリンク" xfId="3140" builtinId="9" hidden="1"/>
    <cellStyle name="表示済みのハイパーリンク" xfId="3142" builtinId="9" hidden="1"/>
    <cellStyle name="表示済みのハイパーリンク" xfId="3144" builtinId="9" hidden="1"/>
    <cellStyle name="表示済みのハイパーリンク" xfId="3146" builtinId="9" hidden="1"/>
    <cellStyle name="表示済みのハイパーリンク" xfId="3148" builtinId="9" hidden="1"/>
    <cellStyle name="表示済みのハイパーリンク" xfId="3150" builtinId="9" hidden="1"/>
    <cellStyle name="表示済みのハイパーリンク" xfId="3152" builtinId="9" hidden="1"/>
    <cellStyle name="表示済みのハイパーリンク" xfId="3154" builtinId="9" hidden="1"/>
    <cellStyle name="表示済みのハイパーリンク" xfId="3156" builtinId="9" hidden="1"/>
    <cellStyle name="表示済みのハイパーリンク" xfId="3158" builtinId="9" hidden="1"/>
    <cellStyle name="表示済みのハイパーリンク" xfId="3160" builtinId="9" hidden="1"/>
    <cellStyle name="表示済みのハイパーリンク" xfId="3162" builtinId="9" hidden="1"/>
    <cellStyle name="表示済みのハイパーリンク" xfId="3164" builtinId="9" hidden="1"/>
    <cellStyle name="表示済みのハイパーリンク" xfId="3166" builtinId="9" hidden="1"/>
    <cellStyle name="表示済みのハイパーリンク" xfId="3168" builtinId="9" hidden="1"/>
    <cellStyle name="表示済みのハイパーリンク" xfId="3170" builtinId="9" hidden="1"/>
    <cellStyle name="表示済みのハイパーリンク" xfId="3172" builtinId="9" hidden="1"/>
    <cellStyle name="表示済みのハイパーリンク" xfId="3174" builtinId="9" hidden="1"/>
    <cellStyle name="表示済みのハイパーリンク" xfId="3176" builtinId="9" hidden="1"/>
    <cellStyle name="表示済みのハイパーリンク" xfId="3178" builtinId="9" hidden="1"/>
    <cellStyle name="表示済みのハイパーリンク" xfId="3180" builtinId="9" hidden="1"/>
    <cellStyle name="表示済みのハイパーリンク" xfId="3182" builtinId="9" hidden="1"/>
    <cellStyle name="表示済みのハイパーリンク" xfId="3184" builtinId="9" hidden="1"/>
    <cellStyle name="表示済みのハイパーリンク" xfId="3186" builtinId="9" hidden="1"/>
    <cellStyle name="表示済みのハイパーリンク" xfId="3188" builtinId="9" hidden="1"/>
    <cellStyle name="表示済みのハイパーリンク" xfId="3190" builtinId="9" hidden="1"/>
    <cellStyle name="表示済みのハイパーリンク" xfId="3192" builtinId="9" hidden="1"/>
    <cellStyle name="表示済みのハイパーリンク" xfId="3194" builtinId="9" hidden="1"/>
    <cellStyle name="表示済みのハイパーリンク" xfId="3196" builtinId="9" hidden="1"/>
    <cellStyle name="表示済みのハイパーリンク" xfId="3198" builtinId="9" hidden="1"/>
    <cellStyle name="表示済みのハイパーリンク" xfId="3200" builtinId="9" hidden="1"/>
    <cellStyle name="表示済みのハイパーリンク" xfId="3202" builtinId="9" hidden="1"/>
    <cellStyle name="表示済みのハイパーリンク" xfId="3204" builtinId="9" hidden="1"/>
    <cellStyle name="表示済みのハイパーリンク" xfId="3206" builtinId="9" hidden="1"/>
    <cellStyle name="表示済みのハイパーリンク" xfId="3208" builtinId="9" hidden="1"/>
    <cellStyle name="表示済みのハイパーリンク" xfId="3210" builtinId="9" hidden="1"/>
    <cellStyle name="表示済みのハイパーリンク" xfId="3212" builtinId="9" hidden="1"/>
    <cellStyle name="表示済みのハイパーリンク" xfId="3214" builtinId="9" hidden="1"/>
    <cellStyle name="表示済みのハイパーリンク" xfId="3216" builtinId="9" hidden="1"/>
    <cellStyle name="表示済みのハイパーリンク" xfId="3218" builtinId="9" hidden="1"/>
    <cellStyle name="表示済みのハイパーリンク" xfId="3220" builtinId="9" hidden="1"/>
    <cellStyle name="表示済みのハイパーリンク" xfId="3222" builtinId="9" hidden="1"/>
    <cellStyle name="表示済みのハイパーリンク" xfId="3224" builtinId="9" hidden="1"/>
    <cellStyle name="表示済みのハイパーリンク" xfId="3226" builtinId="9" hidden="1"/>
    <cellStyle name="表示済みのハイパーリンク" xfId="3228" builtinId="9" hidden="1"/>
    <cellStyle name="表示済みのハイパーリンク" xfId="3230" builtinId="9" hidden="1"/>
    <cellStyle name="表示済みのハイパーリンク" xfId="3232" builtinId="9" hidden="1"/>
    <cellStyle name="表示済みのハイパーリンク" xfId="3234" builtinId="9" hidden="1"/>
    <cellStyle name="表示済みのハイパーリンク" xfId="3236" builtinId="9" hidden="1"/>
    <cellStyle name="表示済みのハイパーリンク" xfId="3238" builtinId="9" hidden="1"/>
    <cellStyle name="表示済みのハイパーリンク" xfId="3240" builtinId="9" hidden="1"/>
    <cellStyle name="表示済みのハイパーリンク" xfId="3242" builtinId="9" hidden="1"/>
    <cellStyle name="表示済みのハイパーリンク" xfId="3244" builtinId="9" hidden="1"/>
    <cellStyle name="表示済みのハイパーリンク" xfId="3246" builtinId="9" hidden="1"/>
    <cellStyle name="表示済みのハイパーリンク" xfId="3248" builtinId="9" hidden="1"/>
    <cellStyle name="表示済みのハイパーリンク" xfId="3250" builtinId="9" hidden="1"/>
    <cellStyle name="表示済みのハイパーリンク" xfId="3252" builtinId="9" hidden="1"/>
    <cellStyle name="表示済みのハイパーリンク" xfId="3254" builtinId="9" hidden="1"/>
    <cellStyle name="表示済みのハイパーリンク" xfId="3256" builtinId="9" hidden="1"/>
    <cellStyle name="表示済みのハイパーリンク" xfId="3258" builtinId="9" hidden="1"/>
    <cellStyle name="表示済みのハイパーリンク" xfId="3260" builtinId="9" hidden="1"/>
    <cellStyle name="表示済みのハイパーリンク" xfId="3262" builtinId="9" hidden="1"/>
    <cellStyle name="表示済みのハイパーリンク" xfId="3264" builtinId="9" hidden="1"/>
    <cellStyle name="表示済みのハイパーリンク" xfId="3266" builtinId="9" hidden="1"/>
    <cellStyle name="表示済みのハイパーリンク" xfId="3268" builtinId="9" hidden="1"/>
    <cellStyle name="表示済みのハイパーリンク" xfId="3270" builtinId="9" hidden="1"/>
    <cellStyle name="表示済みのハイパーリンク" xfId="3272" builtinId="9" hidden="1"/>
    <cellStyle name="表示済みのハイパーリンク" xfId="3274" builtinId="9" hidden="1"/>
    <cellStyle name="表示済みのハイパーリンク" xfId="3276" builtinId="9" hidden="1"/>
    <cellStyle name="表示済みのハイパーリンク" xfId="3278" builtinId="9" hidden="1"/>
    <cellStyle name="表示済みのハイパーリンク" xfId="3280" builtinId="9" hidden="1"/>
    <cellStyle name="表示済みのハイパーリンク" xfId="3282" builtinId="9" hidden="1"/>
    <cellStyle name="表示済みのハイパーリンク" xfId="3284" builtinId="9" hidden="1"/>
    <cellStyle name="表示済みのハイパーリンク" xfId="3286" builtinId="9" hidden="1"/>
    <cellStyle name="表示済みのハイパーリンク" xfId="3288" builtinId="9" hidden="1"/>
    <cellStyle name="表示済みのハイパーリンク" xfId="3290" builtinId="9" hidden="1"/>
    <cellStyle name="表示済みのハイパーリンク" xfId="3292" builtinId="9" hidden="1"/>
    <cellStyle name="表示済みのハイパーリンク" xfId="3294" builtinId="9" hidden="1"/>
    <cellStyle name="表示済みのハイパーリンク" xfId="3296" builtinId="9" hidden="1"/>
    <cellStyle name="表示済みのハイパーリンク" xfId="3298" builtinId="9" hidden="1"/>
    <cellStyle name="表示済みのハイパーリンク" xfId="3300" builtinId="9" hidden="1"/>
    <cellStyle name="表示済みのハイパーリンク" xfId="3302" builtinId="9" hidden="1"/>
    <cellStyle name="表示済みのハイパーリンク" xfId="3304" builtinId="9" hidden="1"/>
    <cellStyle name="表示済みのハイパーリンク" xfId="3306" builtinId="9" hidden="1"/>
    <cellStyle name="表示済みのハイパーリンク" xfId="3308" builtinId="9" hidden="1"/>
    <cellStyle name="表示済みのハイパーリンク" xfId="3310" builtinId="9" hidden="1"/>
    <cellStyle name="表示済みのハイパーリンク" xfId="3312" builtinId="9" hidden="1"/>
    <cellStyle name="表示済みのハイパーリンク" xfId="3314" builtinId="9" hidden="1"/>
    <cellStyle name="表示済みのハイパーリンク" xfId="3316" builtinId="9" hidden="1"/>
    <cellStyle name="表示済みのハイパーリンク" xfId="3318" builtinId="9" hidden="1"/>
    <cellStyle name="表示済みのハイパーリンク" xfId="3320" builtinId="9" hidden="1"/>
    <cellStyle name="表示済みのハイパーリンク" xfId="3322" builtinId="9" hidden="1"/>
    <cellStyle name="表示済みのハイパーリンク" xfId="3324" builtinId="9" hidden="1"/>
    <cellStyle name="表示済みのハイパーリンク" xfId="3326" builtinId="9" hidden="1"/>
    <cellStyle name="表示済みのハイパーリンク" xfId="3328" builtinId="9" hidden="1"/>
    <cellStyle name="表示済みのハイパーリンク" xfId="3330" builtinId="9" hidden="1"/>
    <cellStyle name="表示済みのハイパーリンク" xfId="3332" builtinId="9" hidden="1"/>
    <cellStyle name="表示済みのハイパーリンク" xfId="3334" builtinId="9" hidden="1"/>
    <cellStyle name="表示済みのハイパーリンク" xfId="3336" builtinId="9" hidden="1"/>
    <cellStyle name="表示済みのハイパーリンク" xfId="3338" builtinId="9" hidden="1"/>
    <cellStyle name="表示済みのハイパーリンク" xfId="3340" builtinId="9" hidden="1"/>
    <cellStyle name="表示済みのハイパーリンク" xfId="3342" builtinId="9" hidden="1"/>
    <cellStyle name="表示済みのハイパーリンク" xfId="3344" builtinId="9" hidden="1"/>
    <cellStyle name="表示済みのハイパーリンク" xfId="3346" builtinId="9" hidden="1"/>
    <cellStyle name="表示済みのハイパーリンク" xfId="3348" builtinId="9" hidden="1"/>
    <cellStyle name="表示済みのハイパーリンク" xfId="3350" builtinId="9" hidden="1"/>
    <cellStyle name="表示済みのハイパーリンク" xfId="3352" builtinId="9" hidden="1"/>
    <cellStyle name="表示済みのハイパーリンク" xfId="3354" builtinId="9" hidden="1"/>
    <cellStyle name="表示済みのハイパーリンク" xfId="3356" builtinId="9" hidden="1"/>
    <cellStyle name="表示済みのハイパーリンク" xfId="3358" builtinId="9" hidden="1"/>
    <cellStyle name="表示済みのハイパーリンク" xfId="3360" builtinId="9" hidden="1"/>
    <cellStyle name="表示済みのハイパーリンク" xfId="3362" builtinId="9" hidden="1"/>
    <cellStyle name="表示済みのハイパーリンク" xfId="3364" builtinId="9" hidden="1"/>
    <cellStyle name="表示済みのハイパーリンク" xfId="3366" builtinId="9" hidden="1"/>
    <cellStyle name="表示済みのハイパーリンク" xfId="3368" builtinId="9" hidden="1"/>
    <cellStyle name="表示済みのハイパーリンク" xfId="3370" builtinId="9" hidden="1"/>
    <cellStyle name="表示済みのハイパーリンク" xfId="3372" builtinId="9" hidden="1"/>
    <cellStyle name="表示済みのハイパーリンク" xfId="3374" builtinId="9" hidden="1"/>
    <cellStyle name="表示済みのハイパーリンク" xfId="3376" builtinId="9" hidden="1"/>
    <cellStyle name="表示済みのハイパーリンク" xfId="3378" builtinId="9" hidden="1"/>
    <cellStyle name="表示済みのハイパーリンク" xfId="3380" builtinId="9" hidden="1"/>
    <cellStyle name="表示済みのハイパーリンク" xfId="3382" builtinId="9" hidden="1"/>
    <cellStyle name="表示済みのハイパーリンク" xfId="3384" builtinId="9" hidden="1"/>
    <cellStyle name="表示済みのハイパーリンク" xfId="3386" builtinId="9" hidden="1"/>
    <cellStyle name="表示済みのハイパーリンク" xfId="3388" builtinId="9" hidden="1"/>
    <cellStyle name="表示済みのハイパーリンク" xfId="3390" builtinId="9" hidden="1"/>
    <cellStyle name="表示済みのハイパーリンク" xfId="3392" builtinId="9" hidden="1"/>
    <cellStyle name="表示済みのハイパーリンク" xfId="3394" builtinId="9" hidden="1"/>
    <cellStyle name="表示済みのハイパーリンク" xfId="3396" builtinId="9" hidden="1"/>
    <cellStyle name="表示済みのハイパーリンク" xfId="3398" builtinId="9" hidden="1"/>
    <cellStyle name="表示済みのハイパーリンク" xfId="3400" builtinId="9" hidden="1"/>
    <cellStyle name="表示済みのハイパーリンク" xfId="3402" builtinId="9" hidden="1"/>
    <cellStyle name="表示済みのハイパーリンク" xfId="3404" builtinId="9" hidden="1"/>
    <cellStyle name="表示済みのハイパーリンク" xfId="3406" builtinId="9" hidden="1"/>
    <cellStyle name="表示済みのハイパーリンク" xfId="3408" builtinId="9" hidden="1"/>
    <cellStyle name="表示済みのハイパーリンク" xfId="3410" builtinId="9" hidden="1"/>
    <cellStyle name="表示済みのハイパーリンク" xfId="3412" builtinId="9" hidden="1"/>
    <cellStyle name="表示済みのハイパーリンク" xfId="3414" builtinId="9" hidden="1"/>
    <cellStyle name="表示済みのハイパーリンク" xfId="3416" builtinId="9" hidden="1"/>
    <cellStyle name="表示済みのハイパーリンク" xfId="3418" builtinId="9" hidden="1"/>
    <cellStyle name="表示済みのハイパーリンク" xfId="3420" builtinId="9" hidden="1"/>
    <cellStyle name="表示済みのハイパーリンク" xfId="3422" builtinId="9" hidden="1"/>
    <cellStyle name="表示済みのハイパーリンク" xfId="3424" builtinId="9" hidden="1"/>
    <cellStyle name="表示済みのハイパーリンク" xfId="3426" builtinId="9" hidden="1"/>
    <cellStyle name="表示済みのハイパーリンク" xfId="3428" builtinId="9" hidden="1"/>
    <cellStyle name="表示済みのハイパーリンク" xfId="3430" builtinId="9" hidden="1"/>
    <cellStyle name="表示済みのハイパーリンク" xfId="3432" builtinId="9" hidden="1"/>
    <cellStyle name="表示済みのハイパーリンク" xfId="3434" builtinId="9" hidden="1"/>
    <cellStyle name="表示済みのハイパーリンク" xfId="3436" builtinId="9" hidden="1"/>
    <cellStyle name="表示済みのハイパーリンク" xfId="3438" builtinId="9" hidden="1"/>
    <cellStyle name="表示済みのハイパーリンク" xfId="3440" builtinId="9" hidden="1"/>
    <cellStyle name="表示済みのハイパーリンク" xfId="3442" builtinId="9" hidden="1"/>
    <cellStyle name="表示済みのハイパーリンク" xfId="3444" builtinId="9" hidden="1"/>
    <cellStyle name="表示済みのハイパーリンク" xfId="3446" builtinId="9" hidden="1"/>
    <cellStyle name="表示済みのハイパーリンク" xfId="3448" builtinId="9" hidden="1"/>
    <cellStyle name="表示済みのハイパーリンク" xfId="3450" builtinId="9" hidden="1"/>
    <cellStyle name="表示済みのハイパーリンク" xfId="3452" builtinId="9" hidden="1"/>
    <cellStyle name="表示済みのハイパーリンク" xfId="3454" builtinId="9" hidden="1"/>
    <cellStyle name="表示済みのハイパーリンク" xfId="3456" builtinId="9" hidden="1"/>
    <cellStyle name="表示済みのハイパーリンク" xfId="3458" builtinId="9" hidden="1"/>
    <cellStyle name="表示済みのハイパーリンク" xfId="3460" builtinId="9" hidden="1"/>
    <cellStyle name="表示済みのハイパーリンク" xfId="3462" builtinId="9" hidden="1"/>
    <cellStyle name="表示済みのハイパーリンク" xfId="3464" builtinId="9" hidden="1"/>
    <cellStyle name="表示済みのハイパーリンク" xfId="3466" builtinId="9" hidden="1"/>
    <cellStyle name="表示済みのハイパーリンク" xfId="3468" builtinId="9" hidden="1"/>
    <cellStyle name="表示済みのハイパーリンク" xfId="3470" builtinId="9" hidden="1"/>
    <cellStyle name="表示済みのハイパーリンク" xfId="3472" builtinId="9" hidden="1"/>
    <cellStyle name="表示済みのハイパーリンク" xfId="3474" builtinId="9" hidden="1"/>
    <cellStyle name="表示済みのハイパーリンク" xfId="3476" builtinId="9" hidden="1"/>
    <cellStyle name="表示済みのハイパーリンク" xfId="3478" builtinId="9" hidden="1"/>
    <cellStyle name="表示済みのハイパーリンク" xfId="3480" builtinId="9" hidden="1"/>
    <cellStyle name="表示済みのハイパーリンク" xfId="3482" builtinId="9" hidden="1"/>
    <cellStyle name="表示済みのハイパーリンク" xfId="3484" builtinId="9" hidden="1"/>
    <cellStyle name="表示済みのハイパーリンク" xfId="3486" builtinId="9" hidden="1"/>
    <cellStyle name="表示済みのハイパーリンク" xfId="3488" builtinId="9" hidden="1"/>
    <cellStyle name="表示済みのハイパーリンク" xfId="3490" builtinId="9" hidden="1"/>
    <cellStyle name="表示済みのハイパーリンク" xfId="3492" builtinId="9" hidden="1"/>
    <cellStyle name="表示済みのハイパーリンク" xfId="3494" builtinId="9" hidden="1"/>
    <cellStyle name="表示済みのハイパーリンク" xfId="3496" builtinId="9" hidden="1"/>
    <cellStyle name="表示済みのハイパーリンク" xfId="3498" builtinId="9" hidden="1"/>
    <cellStyle name="表示済みのハイパーリンク" xfId="3500" builtinId="9" hidden="1"/>
    <cellStyle name="表示済みのハイパーリンク" xfId="3502" builtinId="9" hidden="1"/>
    <cellStyle name="表示済みのハイパーリンク" xfId="3504" builtinId="9" hidden="1"/>
    <cellStyle name="表示済みのハイパーリンク" xfId="3506" builtinId="9" hidden="1"/>
    <cellStyle name="表示済みのハイパーリンク" xfId="3508" builtinId="9" hidden="1"/>
    <cellStyle name="表示済みのハイパーリンク" xfId="3510" builtinId="9" hidden="1"/>
    <cellStyle name="表示済みのハイパーリンク" xfId="3512" builtinId="9" hidden="1"/>
    <cellStyle name="表示済みのハイパーリンク" xfId="3514" builtinId="9" hidden="1"/>
    <cellStyle name="表示済みのハイパーリンク" xfId="3516" builtinId="9" hidden="1"/>
    <cellStyle name="表示済みのハイパーリンク" xfId="3518" builtinId="9" hidden="1"/>
    <cellStyle name="表示済みのハイパーリンク" xfId="3520" builtinId="9" hidden="1"/>
    <cellStyle name="表示済みのハイパーリンク" xfId="3522" builtinId="9" hidden="1"/>
    <cellStyle name="表示済みのハイパーリンク" xfId="3524" builtinId="9" hidden="1"/>
    <cellStyle name="表示済みのハイパーリンク" xfId="3526" builtinId="9" hidden="1"/>
    <cellStyle name="表示済みのハイパーリンク" xfId="3528" builtinId="9" hidden="1"/>
    <cellStyle name="表示済みのハイパーリンク" xfId="3530" builtinId="9" hidden="1"/>
    <cellStyle name="表示済みのハイパーリンク" xfId="3532" builtinId="9" hidden="1"/>
    <cellStyle name="表示済みのハイパーリンク" xfId="3534" builtinId="9" hidden="1"/>
    <cellStyle name="表示済みのハイパーリンク" xfId="3536" builtinId="9" hidden="1"/>
    <cellStyle name="表示済みのハイパーリンク" xfId="3538" builtinId="9" hidden="1"/>
    <cellStyle name="表示済みのハイパーリンク" xfId="3540" builtinId="9" hidden="1"/>
    <cellStyle name="表示済みのハイパーリンク" xfId="3542" builtinId="9" hidden="1"/>
    <cellStyle name="表示済みのハイパーリンク" xfId="3544" builtinId="9" hidden="1"/>
    <cellStyle name="表示済みのハイパーリンク" xfId="3546" builtinId="9" hidden="1"/>
    <cellStyle name="表示済みのハイパーリンク" xfId="3548" builtinId="9" hidden="1"/>
    <cellStyle name="表示済みのハイパーリンク" xfId="3550" builtinId="9" hidden="1"/>
    <cellStyle name="表示済みのハイパーリンク" xfId="3552" builtinId="9" hidden="1"/>
    <cellStyle name="表示済みのハイパーリンク" xfId="3554" builtinId="9" hidden="1"/>
    <cellStyle name="表示済みのハイパーリンク" xfId="3556" builtinId="9" hidden="1"/>
    <cellStyle name="表示済みのハイパーリンク" xfId="3558" builtinId="9" hidden="1"/>
    <cellStyle name="表示済みのハイパーリンク" xfId="3560" builtinId="9" hidden="1"/>
    <cellStyle name="表示済みのハイパーリンク" xfId="3562" builtinId="9" hidden="1"/>
    <cellStyle name="表示済みのハイパーリンク" xfId="3564" builtinId="9" hidden="1"/>
    <cellStyle name="表示済みのハイパーリンク" xfId="3566" builtinId="9" hidden="1"/>
    <cellStyle name="表示済みのハイパーリンク" xfId="3568" builtinId="9" hidden="1"/>
    <cellStyle name="表示済みのハイパーリンク" xfId="3570" builtinId="9" hidden="1"/>
    <cellStyle name="表示済みのハイパーリンク" xfId="3572" builtinId="9" hidden="1"/>
    <cellStyle name="表示済みのハイパーリンク" xfId="3574" builtinId="9" hidden="1"/>
    <cellStyle name="表示済みのハイパーリンク" xfId="3577" builtinId="9" hidden="1"/>
    <cellStyle name="表示済みのハイパーリンク" xfId="3579" builtinId="9" hidden="1"/>
    <cellStyle name="表示済みのハイパーリンク" xfId="3581" builtinId="9" hidden="1"/>
    <cellStyle name="表示済みのハイパーリンク" xfId="3583" builtinId="9" hidden="1"/>
    <cellStyle name="表示済みのハイパーリンク" xfId="3585" builtinId="9" hidden="1"/>
    <cellStyle name="表示済みのハイパーリンク" xfId="3587" builtinId="9" hidden="1"/>
    <cellStyle name="表示済みのハイパーリンク" xfId="3589" builtinId="9" hidden="1"/>
    <cellStyle name="表示済みのハイパーリンク" xfId="3591" builtinId="9" hidden="1"/>
    <cellStyle name="表示済みのハイパーリンク" xfId="3593" builtinId="9" hidden="1"/>
    <cellStyle name="表示済みのハイパーリンク" xfId="3595" builtinId="9" hidden="1"/>
    <cellStyle name="表示済みのハイパーリンク" xfId="3597" builtinId="9" hidden="1"/>
    <cellStyle name="表示済みのハイパーリンク" xfId="3599" builtinId="9" hidden="1"/>
    <cellStyle name="表示済みのハイパーリンク" xfId="3601" builtinId="9" hidden="1"/>
    <cellStyle name="表示済みのハイパーリンク" xfId="3603" builtinId="9" hidden="1"/>
    <cellStyle name="表示済みのハイパーリンク" xfId="3605" builtinId="9" hidden="1"/>
    <cellStyle name="表示済みのハイパーリンク" xfId="3607" builtinId="9" hidden="1"/>
    <cellStyle name="表示済みのハイパーリンク" xfId="3609" builtinId="9" hidden="1"/>
    <cellStyle name="表示済みのハイパーリンク" xfId="3611" builtinId="9" hidden="1"/>
    <cellStyle name="表示済みのハイパーリンク" xfId="3613" builtinId="9" hidden="1"/>
    <cellStyle name="表示済みのハイパーリンク" xfId="3615" builtinId="9" hidden="1"/>
    <cellStyle name="表示済みのハイパーリンク" xfId="3617" builtinId="9" hidden="1"/>
    <cellStyle name="表示済みのハイパーリンク" xfId="3619" builtinId="9" hidden="1"/>
    <cellStyle name="表示済みのハイパーリンク" xfId="3621" builtinId="9" hidden="1"/>
    <cellStyle name="表示済みのハイパーリンク" xfId="3623" builtinId="9" hidden="1"/>
    <cellStyle name="表示済みのハイパーリンク" xfId="3625" builtinId="9" hidden="1"/>
    <cellStyle name="表示済みのハイパーリンク" xfId="3627" builtinId="9" hidden="1"/>
    <cellStyle name="表示済みのハイパーリンク" xfId="3629" builtinId="9" hidden="1"/>
    <cellStyle name="表示済みのハイパーリンク" xfId="3631" builtinId="9" hidden="1"/>
    <cellStyle name="表示済みのハイパーリンク" xfId="3633" builtinId="9" hidden="1"/>
    <cellStyle name="表示済みのハイパーリンク" xfId="3635" builtinId="9" hidden="1"/>
    <cellStyle name="表示済みのハイパーリンク" xfId="3637" builtinId="9" hidden="1"/>
    <cellStyle name="表示済みのハイパーリンク" xfId="3639" builtinId="9" hidden="1"/>
    <cellStyle name="表示済みのハイパーリンク" xfId="3641" builtinId="9" hidden="1"/>
    <cellStyle name="表示済みのハイパーリンク" xfId="3643" builtinId="9" hidden="1"/>
    <cellStyle name="表示済みのハイパーリンク" xfId="3645" builtinId="9" hidden="1"/>
    <cellStyle name="無題1" xfId="71"/>
  </cellStyles>
  <dxfs count="0"/>
  <tableStyles count="0" defaultTableStyle="TableStyleMedium9" defaultPivotStyle="PivotStyleMedium4"/>
  <colors>
    <indexedColors>
      <rgbColor rgb="00000000"/>
      <rgbColor rgb="00FFFFFF"/>
      <rgbColor rgb="00DD0806"/>
      <rgbColor rgb="001FB714"/>
      <rgbColor rgb="000000D4"/>
      <rgbColor rgb="00FCF305"/>
      <rgbColor rgb="00F20884"/>
      <rgbColor rgb="0000ABEA"/>
      <rgbColor rgb="00000000"/>
      <rgbColor rgb="00FFFFFF"/>
      <rgbColor rgb="00FF0000"/>
      <rgbColor rgb="0000FF00"/>
      <rgbColor rgb="000000D4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EB613D"/>
      <rgbColor rgb="00666699"/>
      <rgbColor rgb="00969696"/>
      <rgbColor rgb="00003366"/>
      <rgbColor rgb="00339966"/>
      <rgbColor rgb="00003300"/>
      <rgbColor rgb="004C1900"/>
      <rgbColor rgb="00993300"/>
      <rgbColor rgb="00993366"/>
      <rgbColor rgb="00333399"/>
      <rgbColor rgb="00333333"/>
    </indexedColors>
  </colors>
</styleSheet>
</file>

<file path=xl/_rels/workbook.xml.rels><?xml version="1.0" encoding="UTF-8" standalone="yes"?>
<Relationships xmlns="http://schemas.openxmlformats.org/package/2006/relationships"><Relationship Id="rId11" Type="http://schemas.openxmlformats.org/officeDocument/2006/relationships/worksheet" Target="worksheets/sheet11.xml"/><Relationship Id="rId12" Type="http://schemas.openxmlformats.org/officeDocument/2006/relationships/externalLink" Target="externalLinks/externalLink1.xml"/><Relationship Id="rId13" Type="http://schemas.openxmlformats.org/officeDocument/2006/relationships/theme" Target="theme/theme1.xml"/><Relationship Id="rId14" Type="http://schemas.openxmlformats.org/officeDocument/2006/relationships/styles" Target="styles.xml"/><Relationship Id="rId15" Type="http://schemas.openxmlformats.org/officeDocument/2006/relationships/sharedStrings" Target="sharedStrings.xml"/><Relationship Id="rId16" Type="http://schemas.openxmlformats.org/officeDocument/2006/relationships/calcChain" Target="calcChain.xml"/><Relationship Id="rId17" Type="http://schemas.microsoft.com/office/2006/relationships/vbaProject" Target="vbaProject.bin"/><Relationship Id="rId1" Type="http://schemas.openxmlformats.org/officeDocument/2006/relationships/worksheet" Target="worksheets/sheet1.xml"/><Relationship Id="rId2" Type="http://schemas.openxmlformats.org/officeDocument/2006/relationships/worksheet" Target="worksheets/sheet2.xml"/><Relationship Id="rId3" Type="http://schemas.openxmlformats.org/officeDocument/2006/relationships/worksheet" Target="worksheets/sheet3.xml"/><Relationship Id="rId4" Type="http://schemas.openxmlformats.org/officeDocument/2006/relationships/worksheet" Target="worksheets/sheet4.xml"/><Relationship Id="rId5" Type="http://schemas.openxmlformats.org/officeDocument/2006/relationships/worksheet" Target="worksheets/sheet5.xml"/><Relationship Id="rId6" Type="http://schemas.openxmlformats.org/officeDocument/2006/relationships/worksheet" Target="worksheets/sheet6.xml"/><Relationship Id="rId7" Type="http://schemas.openxmlformats.org/officeDocument/2006/relationships/worksheet" Target="worksheets/sheet7.xml"/><Relationship Id="rId8" Type="http://schemas.openxmlformats.org/officeDocument/2006/relationships/worksheet" Target="worksheets/sheet8.xml"/><Relationship Id="rId9" Type="http://schemas.openxmlformats.org/officeDocument/2006/relationships/worksheet" Target="worksheets/sheet9.xml"/><Relationship Id="rId10" Type="http://schemas.openxmlformats.org/officeDocument/2006/relationships/worksheet" Target="worksheets/sheet10.xml"/></Relationships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CharacterMasterData.xlsm" TargetMode="External"/></Relationships>
</file>

<file path=xl/externalLinks/externalLink1.xml><?xml version="1.0" encoding="utf-8"?>
<externalLink xmlns="http://schemas.openxmlformats.org/spreadsheetml/2006/main">
  <externalBook xmlns:r="http://schemas.openxmlformats.org/officeDocument/2006/relationships" r:id="rId1">
    <sheetNames>
      <sheetName val="output"/>
      <sheetName val="ステータス"/>
      <sheetName val="属性"/>
      <sheetName val="characters"/>
      <sheetName val="character_type_i18n"/>
      <sheetName val="character_tribe_i18n"/>
      <sheetName val="unit_cautions"/>
    </sheetNames>
    <sheetDataSet>
      <sheetData sheetId="0"/>
      <sheetData sheetId="1"/>
      <sheetData sheetId="2"/>
      <sheetData sheetId="3">
        <row r="1">
          <cell r="A1" t="str">
            <v>character_id</v>
          </cell>
          <cell r="B1" t="str">
            <v>language</v>
          </cell>
          <cell r="C1" t="str">
            <v>name</v>
          </cell>
          <cell r="D1" t="str">
            <v>特徴</v>
          </cell>
          <cell r="E1" t="str">
            <v>勢力</v>
          </cell>
          <cell r="F1" t="str">
            <v>訴求軸</v>
          </cell>
          <cell r="G1" t="str">
            <v>性別</v>
          </cell>
          <cell r="H1" t="str">
            <v>color</v>
          </cell>
          <cell r="I1" t="str">
            <v>rare</v>
          </cell>
          <cell r="J1" t="str">
            <v>drop_label</v>
          </cell>
          <cell r="K1" t="str">
            <v>character_type_id</v>
          </cell>
          <cell r="L1" t="str">
            <v>name</v>
          </cell>
          <cell r="M1" t="str">
            <v>character_main_tribe_id</v>
          </cell>
        </row>
        <row r="2">
          <cell r="A2">
            <v>1</v>
          </cell>
          <cell r="B2" t="str">
            <v>ja</v>
          </cell>
          <cell r="C2" t="str">
            <v>ジェリー</v>
          </cell>
          <cell r="D2" t="str">
            <v>ノーマルクエスト</v>
          </cell>
          <cell r="E2" t="str">
            <v>QoH</v>
          </cell>
          <cell r="F2" t="str">
            <v>世界観</v>
          </cell>
          <cell r="G2" t="str">
            <v>不明</v>
          </cell>
          <cell r="H2" t="str">
            <v>red</v>
          </cell>
          <cell r="I2">
            <v>1</v>
          </cell>
          <cell r="J2" t="str">
            <v>Drop1T</v>
          </cell>
          <cell r="K2" t="str">
            <v>attack</v>
          </cell>
          <cell r="L2" t="str">
            <v>攻撃タイプ</v>
          </cell>
          <cell r="M2" t="str">
            <v>unknown</v>
          </cell>
        </row>
        <row r="3">
          <cell r="A3">
            <v>2</v>
          </cell>
          <cell r="B3" t="str">
            <v>ja</v>
          </cell>
          <cell r="C3" t="str">
            <v>イレギュラー・ジェリー</v>
          </cell>
          <cell r="D3" t="str">
            <v>ノーマルクエスト</v>
          </cell>
          <cell r="E3" t="str">
            <v>QoH</v>
          </cell>
          <cell r="F3" t="str">
            <v>世界観</v>
          </cell>
          <cell r="G3" t="str">
            <v>不明</v>
          </cell>
          <cell r="H3" t="str">
            <v>red</v>
          </cell>
          <cell r="I3">
            <v>2</v>
          </cell>
          <cell r="J3" t="str">
            <v>Drop1T</v>
          </cell>
          <cell r="K3" t="str">
            <v>attack</v>
          </cell>
          <cell r="L3" t="str">
            <v>攻撃タイプ</v>
          </cell>
          <cell r="M3" t="str">
            <v>unknown</v>
          </cell>
        </row>
        <row r="4">
          <cell r="A4">
            <v>3</v>
          </cell>
          <cell r="B4" t="str">
            <v>ja</v>
          </cell>
          <cell r="C4" t="str">
            <v>エージェント ジョー</v>
          </cell>
          <cell r="D4" t="str">
            <v>ノーマルクエスト</v>
          </cell>
          <cell r="E4" t="str">
            <v>QoH</v>
          </cell>
          <cell r="F4" t="str">
            <v>世界観</v>
          </cell>
          <cell r="G4" t="str">
            <v>不明</v>
          </cell>
          <cell r="H4" t="str">
            <v>green</v>
          </cell>
          <cell r="I4">
            <v>1</v>
          </cell>
          <cell r="J4" t="str">
            <v>Drop1T</v>
          </cell>
          <cell r="K4" t="str">
            <v>balance</v>
          </cell>
          <cell r="L4" t="str">
            <v>バランスタイプ</v>
          </cell>
          <cell r="M4" t="str">
            <v>unknown</v>
          </cell>
        </row>
        <row r="5">
          <cell r="A5">
            <v>4</v>
          </cell>
          <cell r="B5" t="str">
            <v>ja</v>
          </cell>
          <cell r="C5" t="str">
            <v>エースエージェント ジョー</v>
          </cell>
          <cell r="D5" t="str">
            <v>ノーマルクエスト</v>
          </cell>
          <cell r="E5" t="str">
            <v>QoH</v>
          </cell>
          <cell r="F5" t="str">
            <v>世界観</v>
          </cell>
          <cell r="G5" t="str">
            <v>不明</v>
          </cell>
          <cell r="H5" t="str">
            <v>green</v>
          </cell>
          <cell r="I5">
            <v>2</v>
          </cell>
          <cell r="J5" t="str">
            <v>Drop1T</v>
          </cell>
          <cell r="K5" t="str">
            <v>balance</v>
          </cell>
          <cell r="L5" t="str">
            <v>バランスタイプ</v>
          </cell>
          <cell r="M5" t="str">
            <v>unknown</v>
          </cell>
        </row>
        <row r="6">
          <cell r="A6">
            <v>5</v>
          </cell>
          <cell r="B6" t="str">
            <v>ja</v>
          </cell>
          <cell r="C6" t="str">
            <v>パトドッグ ポチ</v>
          </cell>
          <cell r="D6" t="str">
            <v>ノーマルクエスト</v>
          </cell>
          <cell r="E6" t="str">
            <v>QoH</v>
          </cell>
          <cell r="F6" t="str">
            <v>世界観</v>
          </cell>
          <cell r="G6" t="str">
            <v>不明</v>
          </cell>
          <cell r="H6" t="str">
            <v>blue</v>
          </cell>
          <cell r="I6">
            <v>1</v>
          </cell>
          <cell r="J6" t="str">
            <v>Drop1T</v>
          </cell>
          <cell r="K6" t="str">
            <v>heal</v>
          </cell>
          <cell r="L6" t="str">
            <v>回復タイプ</v>
          </cell>
          <cell r="M6" t="str">
            <v>unknown</v>
          </cell>
        </row>
        <row r="7">
          <cell r="A7">
            <v>6</v>
          </cell>
          <cell r="B7" t="str">
            <v>ja</v>
          </cell>
          <cell r="C7" t="str">
            <v>パトドッグリーダー ポチ</v>
          </cell>
          <cell r="D7" t="str">
            <v>ノーマルクエスト</v>
          </cell>
          <cell r="E7" t="str">
            <v>QoH</v>
          </cell>
          <cell r="F7" t="str">
            <v>世界観</v>
          </cell>
          <cell r="G7" t="str">
            <v>不明</v>
          </cell>
          <cell r="H7" t="str">
            <v>blue</v>
          </cell>
          <cell r="I7">
            <v>2</v>
          </cell>
          <cell r="J7" t="str">
            <v>Drop1T</v>
          </cell>
          <cell r="K7" t="str">
            <v>heal</v>
          </cell>
          <cell r="L7" t="str">
            <v>回復タイプ</v>
          </cell>
          <cell r="M7" t="str">
            <v>unknown</v>
          </cell>
        </row>
        <row r="8">
          <cell r="A8">
            <v>7</v>
          </cell>
          <cell r="B8" t="str">
            <v>ja</v>
          </cell>
          <cell r="C8" t="str">
            <v>エレキポット</v>
          </cell>
          <cell r="D8" t="str">
            <v>ノーマルクエスト</v>
          </cell>
          <cell r="E8" t="str">
            <v>QoH</v>
          </cell>
          <cell r="F8" t="str">
            <v>世界観</v>
          </cell>
          <cell r="G8" t="str">
            <v>不明</v>
          </cell>
          <cell r="H8" t="str">
            <v>yellow</v>
          </cell>
          <cell r="I8">
            <v>1</v>
          </cell>
          <cell r="J8" t="str">
            <v>Drop1T</v>
          </cell>
          <cell r="K8" t="str">
            <v>attack</v>
          </cell>
          <cell r="L8" t="str">
            <v>攻撃タイプ</v>
          </cell>
          <cell r="M8" t="str">
            <v>unknown</v>
          </cell>
        </row>
        <row r="9">
          <cell r="A9">
            <v>8</v>
          </cell>
          <cell r="B9" t="str">
            <v>ja</v>
          </cell>
          <cell r="C9" t="str">
            <v>ハイボルテージ エレキポット</v>
          </cell>
          <cell r="D9" t="str">
            <v>ノーマルクエスト</v>
          </cell>
          <cell r="E9" t="str">
            <v>QoH</v>
          </cell>
          <cell r="F9" t="str">
            <v>世界観</v>
          </cell>
          <cell r="G9" t="str">
            <v>不明</v>
          </cell>
          <cell r="H9" t="str">
            <v>yellow</v>
          </cell>
          <cell r="I9">
            <v>2</v>
          </cell>
          <cell r="J9" t="str">
            <v>Drop1T</v>
          </cell>
          <cell r="K9" t="str">
            <v>attack</v>
          </cell>
          <cell r="L9" t="str">
            <v>攻撃タイプ</v>
          </cell>
          <cell r="M9" t="str">
            <v>unknown</v>
          </cell>
        </row>
        <row r="10">
          <cell r="A10">
            <v>9</v>
          </cell>
          <cell r="B10" t="str">
            <v>ja</v>
          </cell>
          <cell r="C10" t="str">
            <v>ブレット</v>
          </cell>
          <cell r="D10" t="str">
            <v>ノーマルクエスト</v>
          </cell>
          <cell r="E10" t="str">
            <v>アバター</v>
          </cell>
          <cell r="F10" t="str">
            <v>世界観</v>
          </cell>
          <cell r="G10" t="str">
            <v>不明</v>
          </cell>
          <cell r="H10" t="str">
            <v>red</v>
          </cell>
          <cell r="I10">
            <v>1</v>
          </cell>
          <cell r="J10" t="str">
            <v>Drop1W</v>
          </cell>
          <cell r="K10" t="str">
            <v>attack</v>
          </cell>
          <cell r="L10" t="str">
            <v>攻撃タイプ</v>
          </cell>
          <cell r="M10" t="str">
            <v>animal</v>
          </cell>
        </row>
        <row r="11">
          <cell r="A11">
            <v>10</v>
          </cell>
          <cell r="B11" t="str">
            <v>ja</v>
          </cell>
          <cell r="C11" t="str">
            <v>燃える悪戯魂 ブレット</v>
          </cell>
          <cell r="D11" t="str">
            <v>ノーマルクエスト</v>
          </cell>
          <cell r="E11" t="str">
            <v>アバター</v>
          </cell>
          <cell r="F11" t="str">
            <v>世界観</v>
          </cell>
          <cell r="G11" t="str">
            <v>不明</v>
          </cell>
          <cell r="H11" t="str">
            <v>red</v>
          </cell>
          <cell r="I11">
            <v>2</v>
          </cell>
          <cell r="J11" t="str">
            <v>Drop1W</v>
          </cell>
          <cell r="K11" t="str">
            <v>attack</v>
          </cell>
          <cell r="L11" t="str">
            <v>攻撃タイプ</v>
          </cell>
          <cell r="M11" t="str">
            <v>animal</v>
          </cell>
        </row>
        <row r="12">
          <cell r="A12">
            <v>11</v>
          </cell>
          <cell r="B12" t="str">
            <v>ja</v>
          </cell>
          <cell r="C12" t="str">
            <v>マグリット</v>
          </cell>
          <cell r="D12" t="str">
            <v>ノーマルクエスト</v>
          </cell>
          <cell r="E12" t="str">
            <v>アバター</v>
          </cell>
          <cell r="F12" t="str">
            <v>世界観</v>
          </cell>
          <cell r="G12" t="str">
            <v>不明</v>
          </cell>
          <cell r="H12" t="str">
            <v>green</v>
          </cell>
          <cell r="I12">
            <v>1</v>
          </cell>
          <cell r="J12" t="str">
            <v>Drop1W</v>
          </cell>
          <cell r="K12" t="str">
            <v>heal</v>
          </cell>
          <cell r="L12" t="str">
            <v>回復タイプ</v>
          </cell>
          <cell r="M12" t="str">
            <v>animal</v>
          </cell>
        </row>
        <row r="13">
          <cell r="A13">
            <v>12</v>
          </cell>
          <cell r="B13" t="str">
            <v>ja</v>
          </cell>
          <cell r="C13" t="str">
            <v>癒しのグラフィティ マグリット</v>
          </cell>
          <cell r="D13" t="str">
            <v>ノーマルクエスト</v>
          </cell>
          <cell r="E13" t="str">
            <v>アバター</v>
          </cell>
          <cell r="F13" t="str">
            <v>世界観</v>
          </cell>
          <cell r="G13" t="str">
            <v>不明</v>
          </cell>
          <cell r="H13" t="str">
            <v>green</v>
          </cell>
          <cell r="I13">
            <v>2</v>
          </cell>
          <cell r="J13" t="str">
            <v>Drop1W</v>
          </cell>
          <cell r="K13" t="str">
            <v>heal</v>
          </cell>
          <cell r="L13" t="str">
            <v>回復タイプ</v>
          </cell>
          <cell r="M13" t="str">
            <v>animal</v>
          </cell>
        </row>
        <row r="14">
          <cell r="A14">
            <v>13</v>
          </cell>
          <cell r="B14" t="str">
            <v>ja</v>
          </cell>
          <cell r="C14" t="str">
            <v>ミミ</v>
          </cell>
          <cell r="D14" t="str">
            <v>ノーマルクエスト</v>
          </cell>
          <cell r="E14" t="str">
            <v>アバター</v>
          </cell>
          <cell r="F14" t="str">
            <v>世界観</v>
          </cell>
          <cell r="G14" t="str">
            <v>不明</v>
          </cell>
          <cell r="H14" t="str">
            <v>yellow</v>
          </cell>
          <cell r="I14">
            <v>1</v>
          </cell>
          <cell r="J14" t="str">
            <v>Drop1W</v>
          </cell>
          <cell r="K14" t="str">
            <v>attack</v>
          </cell>
          <cell r="L14" t="str">
            <v>攻撃タイプ</v>
          </cell>
          <cell r="M14" t="str">
            <v>animal</v>
          </cell>
        </row>
        <row r="15">
          <cell r="A15">
            <v>14</v>
          </cell>
          <cell r="B15" t="str">
            <v>ja</v>
          </cell>
          <cell r="C15" t="str">
            <v>ミミ・ザ・ガンマンキャット</v>
          </cell>
          <cell r="D15" t="str">
            <v>ノーマルクエスト</v>
          </cell>
          <cell r="E15" t="str">
            <v>アバター</v>
          </cell>
          <cell r="F15" t="str">
            <v>世界観</v>
          </cell>
          <cell r="G15" t="str">
            <v>不明</v>
          </cell>
          <cell r="H15" t="str">
            <v>yellow</v>
          </cell>
          <cell r="I15">
            <v>2</v>
          </cell>
          <cell r="J15" t="str">
            <v>Drop1W</v>
          </cell>
          <cell r="K15" t="str">
            <v>attack</v>
          </cell>
          <cell r="L15" t="str">
            <v>攻撃タイプ</v>
          </cell>
          <cell r="M15" t="str">
            <v>animal</v>
          </cell>
        </row>
        <row r="16">
          <cell r="A16">
            <v>15</v>
          </cell>
          <cell r="B16" t="str">
            <v>ja</v>
          </cell>
          <cell r="C16" t="str">
            <v>アカネ</v>
          </cell>
          <cell r="D16" t="str">
            <v>ノーマルクエスト</v>
          </cell>
          <cell r="E16" t="str">
            <v>アバター</v>
          </cell>
          <cell r="F16" t="str">
            <v>世界観</v>
          </cell>
          <cell r="G16" t="str">
            <v>女性</v>
          </cell>
          <cell r="H16" t="str">
            <v>red</v>
          </cell>
          <cell r="I16">
            <v>1</v>
          </cell>
          <cell r="J16" t="str">
            <v>Drop1W</v>
          </cell>
          <cell r="K16" t="str">
            <v>balance</v>
          </cell>
          <cell r="L16" t="str">
            <v>バランスタイプ</v>
          </cell>
          <cell r="M16" t="str">
            <v>human</v>
          </cell>
        </row>
        <row r="17">
          <cell r="A17">
            <v>16</v>
          </cell>
          <cell r="B17" t="str">
            <v>ja</v>
          </cell>
          <cell r="C17" t="str">
            <v>炎戦少女 アカネ</v>
          </cell>
          <cell r="D17" t="str">
            <v>ノーマルクエスト</v>
          </cell>
          <cell r="E17" t="str">
            <v>アバター</v>
          </cell>
          <cell r="F17" t="str">
            <v>世界観</v>
          </cell>
          <cell r="G17" t="str">
            <v>女性</v>
          </cell>
          <cell r="H17" t="str">
            <v>red</v>
          </cell>
          <cell r="I17">
            <v>2</v>
          </cell>
          <cell r="J17" t="str">
            <v>Drop1W</v>
          </cell>
          <cell r="K17" t="str">
            <v>balance</v>
          </cell>
          <cell r="L17" t="str">
            <v>バランスタイプ</v>
          </cell>
          <cell r="M17" t="str">
            <v>human</v>
          </cell>
        </row>
        <row r="18">
          <cell r="A18">
            <v>17</v>
          </cell>
          <cell r="B18" t="str">
            <v>ja</v>
          </cell>
          <cell r="C18" t="str">
            <v>リム</v>
          </cell>
          <cell r="D18" t="str">
            <v>ノーマルクエスト</v>
          </cell>
          <cell r="E18" t="str">
            <v>アバター</v>
          </cell>
          <cell r="F18" t="str">
            <v>世界観</v>
          </cell>
          <cell r="G18" t="str">
            <v>女性</v>
          </cell>
          <cell r="H18" t="str">
            <v>blue</v>
          </cell>
          <cell r="I18">
            <v>1</v>
          </cell>
          <cell r="J18" t="str">
            <v>Drop1W</v>
          </cell>
          <cell r="K18" t="str">
            <v>balance</v>
          </cell>
          <cell r="L18" t="str">
            <v>バランスタイプ</v>
          </cell>
          <cell r="M18" t="str">
            <v>human</v>
          </cell>
        </row>
        <row r="19">
          <cell r="A19">
            <v>18</v>
          </cell>
          <cell r="B19" t="str">
            <v>ja</v>
          </cell>
          <cell r="C19" t="str">
            <v>戦闘案内人 リム</v>
          </cell>
          <cell r="D19" t="str">
            <v>ノーマルクエスト</v>
          </cell>
          <cell r="E19" t="str">
            <v>アバター</v>
          </cell>
          <cell r="F19" t="str">
            <v>世界観</v>
          </cell>
          <cell r="G19" t="str">
            <v>女性</v>
          </cell>
          <cell r="H19" t="str">
            <v>blue</v>
          </cell>
          <cell r="I19">
            <v>2</v>
          </cell>
          <cell r="J19" t="str">
            <v>Drop1W</v>
          </cell>
          <cell r="K19" t="str">
            <v>balance</v>
          </cell>
          <cell r="L19" t="str">
            <v>バランスタイプ</v>
          </cell>
          <cell r="M19" t="str">
            <v>human</v>
          </cell>
        </row>
        <row r="20">
          <cell r="A20">
            <v>19</v>
          </cell>
          <cell r="B20" t="str">
            <v>ja</v>
          </cell>
          <cell r="C20" t="str">
            <v>ティンク</v>
          </cell>
          <cell r="D20" t="str">
            <v>ノーマルクエスト</v>
          </cell>
          <cell r="E20" t="str">
            <v>アバター</v>
          </cell>
          <cell r="F20" t="str">
            <v>世界観</v>
          </cell>
          <cell r="G20" t="str">
            <v>女性</v>
          </cell>
          <cell r="H20" t="str">
            <v>yellow</v>
          </cell>
          <cell r="I20">
            <v>1</v>
          </cell>
          <cell r="J20" t="str">
            <v>Drop1W</v>
          </cell>
          <cell r="K20" t="str">
            <v>balance</v>
          </cell>
          <cell r="L20" t="str">
            <v>バランスタイプ</v>
          </cell>
          <cell r="M20" t="str">
            <v>human</v>
          </cell>
        </row>
        <row r="21">
          <cell r="A21">
            <v>20</v>
          </cell>
          <cell r="B21" t="str">
            <v>ja</v>
          </cell>
          <cell r="C21" t="str">
            <v>電子妖精 ティンク</v>
          </cell>
          <cell r="D21" t="str">
            <v>ノーマルクエスト</v>
          </cell>
          <cell r="E21" t="str">
            <v>アバター</v>
          </cell>
          <cell r="F21" t="str">
            <v>世界観</v>
          </cell>
          <cell r="G21" t="str">
            <v>女性</v>
          </cell>
          <cell r="H21" t="str">
            <v>yellow</v>
          </cell>
          <cell r="I21">
            <v>2</v>
          </cell>
          <cell r="J21" t="str">
            <v>Drop1W</v>
          </cell>
          <cell r="K21" t="str">
            <v>balance</v>
          </cell>
          <cell r="L21" t="str">
            <v>バランスタイプ</v>
          </cell>
          <cell r="M21" t="str">
            <v>human</v>
          </cell>
        </row>
        <row r="22">
          <cell r="A22">
            <v>21</v>
          </cell>
          <cell r="B22" t="str">
            <v>ja</v>
          </cell>
          <cell r="C22" t="str">
            <v>ヴェロキー</v>
          </cell>
          <cell r="D22" t="str">
            <v>ノーマルクエスト</v>
          </cell>
          <cell r="E22" t="str">
            <v>アバター</v>
          </cell>
          <cell r="F22" t="str">
            <v>世界観</v>
          </cell>
          <cell r="G22" t="str">
            <v>不明</v>
          </cell>
          <cell r="H22" t="str">
            <v>red</v>
          </cell>
          <cell r="I22">
            <v>1</v>
          </cell>
          <cell r="J22" t="str">
            <v>Drop1N</v>
          </cell>
          <cell r="K22" t="str">
            <v>hp</v>
          </cell>
          <cell r="L22" t="str">
            <v>体力タイプ</v>
          </cell>
          <cell r="M22" t="str">
            <v>dragon</v>
          </cell>
        </row>
        <row r="23">
          <cell r="A23">
            <v>22</v>
          </cell>
          <cell r="B23" t="str">
            <v>ja</v>
          </cell>
          <cell r="C23" t="str">
            <v>突然変異ヴェロキー</v>
          </cell>
          <cell r="D23" t="str">
            <v>ノーマルクエスト</v>
          </cell>
          <cell r="E23" t="str">
            <v>アバター</v>
          </cell>
          <cell r="F23" t="str">
            <v>世界観</v>
          </cell>
          <cell r="G23" t="str">
            <v>不明</v>
          </cell>
          <cell r="H23" t="str">
            <v>red</v>
          </cell>
          <cell r="I23">
            <v>2</v>
          </cell>
          <cell r="J23" t="str">
            <v>Drop1N</v>
          </cell>
          <cell r="K23" t="str">
            <v>hp</v>
          </cell>
          <cell r="L23" t="str">
            <v>体力タイプ</v>
          </cell>
          <cell r="M23" t="str">
            <v>dragon</v>
          </cell>
        </row>
        <row r="24">
          <cell r="A24">
            <v>23</v>
          </cell>
          <cell r="B24" t="str">
            <v>ja</v>
          </cell>
          <cell r="C24" t="str">
            <v>ミール</v>
          </cell>
          <cell r="D24" t="str">
            <v>ノーマルクエスト</v>
          </cell>
          <cell r="E24" t="str">
            <v>アバター</v>
          </cell>
          <cell r="F24" t="str">
            <v>世界観</v>
          </cell>
          <cell r="G24" t="str">
            <v>不明</v>
          </cell>
          <cell r="H24" t="str">
            <v>green</v>
          </cell>
          <cell r="I24">
            <v>1</v>
          </cell>
          <cell r="J24" t="str">
            <v>Drop1N</v>
          </cell>
          <cell r="K24" t="str">
            <v>hp</v>
          </cell>
          <cell r="L24" t="str">
            <v>体力タイプ</v>
          </cell>
          <cell r="M24" t="str">
            <v>animal</v>
          </cell>
        </row>
        <row r="25">
          <cell r="A25">
            <v>24</v>
          </cell>
          <cell r="B25" t="str">
            <v>ja</v>
          </cell>
          <cell r="C25" t="str">
            <v>天翔のミール</v>
          </cell>
          <cell r="D25" t="str">
            <v>ノーマルクエスト</v>
          </cell>
          <cell r="E25" t="str">
            <v>アバター</v>
          </cell>
          <cell r="F25" t="str">
            <v>世界観</v>
          </cell>
          <cell r="G25" t="str">
            <v>不明</v>
          </cell>
          <cell r="H25" t="str">
            <v>green</v>
          </cell>
          <cell r="I25">
            <v>2</v>
          </cell>
          <cell r="J25" t="str">
            <v>Drop1N</v>
          </cell>
          <cell r="K25" t="str">
            <v>hp</v>
          </cell>
          <cell r="L25" t="str">
            <v>体力タイプ</v>
          </cell>
          <cell r="M25" t="str">
            <v>animal</v>
          </cell>
        </row>
        <row r="26">
          <cell r="A26">
            <v>25</v>
          </cell>
          <cell r="B26" t="str">
            <v>ja</v>
          </cell>
          <cell r="C26" t="str">
            <v>ハチ</v>
          </cell>
          <cell r="D26" t="str">
            <v>ノーマルクエスト</v>
          </cell>
          <cell r="E26" t="str">
            <v>アバター</v>
          </cell>
          <cell r="F26" t="str">
            <v>世界観</v>
          </cell>
          <cell r="G26" t="str">
            <v>不明</v>
          </cell>
          <cell r="H26" t="str">
            <v>blue</v>
          </cell>
          <cell r="I26">
            <v>1</v>
          </cell>
          <cell r="J26" t="str">
            <v>Drop1N</v>
          </cell>
          <cell r="K26" t="str">
            <v>hp</v>
          </cell>
          <cell r="L26" t="str">
            <v>体力タイプ</v>
          </cell>
          <cell r="M26" t="str">
            <v>animal</v>
          </cell>
        </row>
        <row r="27">
          <cell r="A27">
            <v>26</v>
          </cell>
          <cell r="B27" t="str">
            <v>ja</v>
          </cell>
          <cell r="C27" t="str">
            <v>勇犬 ハチ</v>
          </cell>
          <cell r="D27" t="str">
            <v>ノーマルクエスト</v>
          </cell>
          <cell r="E27" t="str">
            <v>アバター</v>
          </cell>
          <cell r="F27" t="str">
            <v>世界観</v>
          </cell>
          <cell r="G27" t="str">
            <v>不明</v>
          </cell>
          <cell r="H27" t="str">
            <v>blue</v>
          </cell>
          <cell r="I27">
            <v>2</v>
          </cell>
          <cell r="J27" t="str">
            <v>Drop1N</v>
          </cell>
          <cell r="K27" t="str">
            <v>hp</v>
          </cell>
          <cell r="L27" t="str">
            <v>体力タイプ</v>
          </cell>
          <cell r="M27" t="str">
            <v>animal</v>
          </cell>
        </row>
        <row r="28">
          <cell r="A28">
            <v>27</v>
          </cell>
          <cell r="B28" t="str">
            <v>ja</v>
          </cell>
          <cell r="C28" t="str">
            <v>パトライン</v>
          </cell>
          <cell r="D28" t="str">
            <v>ノーマルクエスト</v>
          </cell>
          <cell r="E28" t="str">
            <v>アバター</v>
          </cell>
          <cell r="F28" t="str">
            <v>世界観</v>
          </cell>
          <cell r="G28" t="str">
            <v>不明</v>
          </cell>
          <cell r="H28" t="str">
            <v>green</v>
          </cell>
          <cell r="I28">
            <v>1</v>
          </cell>
          <cell r="J28" t="str">
            <v>Drop1N</v>
          </cell>
          <cell r="K28" t="str">
            <v>heal</v>
          </cell>
          <cell r="L28" t="str">
            <v>回復タイプ</v>
          </cell>
          <cell r="M28" t="str">
            <v>machine</v>
          </cell>
        </row>
        <row r="29">
          <cell r="A29">
            <v>28</v>
          </cell>
          <cell r="B29" t="str">
            <v>ja</v>
          </cell>
          <cell r="C29" t="str">
            <v>現場急行 パトラインカスタム</v>
          </cell>
          <cell r="D29" t="str">
            <v>ノーマルクエスト</v>
          </cell>
          <cell r="E29" t="str">
            <v>アバター</v>
          </cell>
          <cell r="F29" t="str">
            <v>世界観</v>
          </cell>
          <cell r="G29" t="str">
            <v>不明</v>
          </cell>
          <cell r="H29" t="str">
            <v>green</v>
          </cell>
          <cell r="I29">
            <v>2</v>
          </cell>
          <cell r="J29" t="str">
            <v>Drop1N</v>
          </cell>
          <cell r="K29" t="str">
            <v>heal</v>
          </cell>
          <cell r="L29" t="str">
            <v>回復タイプ</v>
          </cell>
          <cell r="M29" t="str">
            <v>machine</v>
          </cell>
        </row>
        <row r="30">
          <cell r="A30">
            <v>29</v>
          </cell>
          <cell r="B30" t="str">
            <v>ja</v>
          </cell>
          <cell r="C30" t="str">
            <v>スケアクロウ</v>
          </cell>
          <cell r="D30" t="str">
            <v>ノーマルクエスト</v>
          </cell>
          <cell r="E30" t="str">
            <v>アバター</v>
          </cell>
          <cell r="F30" t="str">
            <v>世界観</v>
          </cell>
          <cell r="G30" t="str">
            <v>不明</v>
          </cell>
          <cell r="H30" t="str">
            <v>blue</v>
          </cell>
          <cell r="I30">
            <v>1</v>
          </cell>
          <cell r="J30" t="str">
            <v>Drop1N</v>
          </cell>
          <cell r="K30" t="str">
            <v>heal</v>
          </cell>
          <cell r="L30" t="str">
            <v>回復タイプ</v>
          </cell>
          <cell r="M30" t="str">
            <v>machine</v>
          </cell>
        </row>
        <row r="31">
          <cell r="A31">
            <v>30</v>
          </cell>
          <cell r="B31" t="str">
            <v>ja</v>
          </cell>
          <cell r="C31" t="str">
            <v>護衛機人 スケアクロウ</v>
          </cell>
          <cell r="D31" t="str">
            <v>ノーマルクエスト</v>
          </cell>
          <cell r="E31" t="str">
            <v>アバター</v>
          </cell>
          <cell r="F31" t="str">
            <v>世界観</v>
          </cell>
          <cell r="G31" t="str">
            <v>不明</v>
          </cell>
          <cell r="H31" t="str">
            <v>blue</v>
          </cell>
          <cell r="I31">
            <v>2</v>
          </cell>
          <cell r="J31" t="str">
            <v>Drop1N</v>
          </cell>
          <cell r="K31" t="str">
            <v>heal</v>
          </cell>
          <cell r="L31" t="str">
            <v>回復タイプ</v>
          </cell>
          <cell r="M31" t="str">
            <v>machine</v>
          </cell>
        </row>
        <row r="32">
          <cell r="A32">
            <v>31</v>
          </cell>
          <cell r="B32" t="str">
            <v>ja</v>
          </cell>
          <cell r="C32" t="str">
            <v>マービー</v>
          </cell>
          <cell r="D32" t="str">
            <v>ノーマルクエスト</v>
          </cell>
          <cell r="E32" t="str">
            <v>アバター</v>
          </cell>
          <cell r="F32" t="str">
            <v>世界観</v>
          </cell>
          <cell r="G32" t="str">
            <v>不明</v>
          </cell>
          <cell r="H32" t="str">
            <v>yellow</v>
          </cell>
          <cell r="I32">
            <v>1</v>
          </cell>
          <cell r="J32" t="str">
            <v>Drop1N</v>
          </cell>
          <cell r="K32" t="str">
            <v>technical</v>
          </cell>
          <cell r="L32" t="str">
            <v>テクニカルタイプ</v>
          </cell>
          <cell r="M32" t="str">
            <v>machine</v>
          </cell>
        </row>
        <row r="33">
          <cell r="A33">
            <v>32</v>
          </cell>
          <cell r="B33" t="str">
            <v>ja</v>
          </cell>
          <cell r="C33" t="str">
            <v>沈黙のジャミング マービー</v>
          </cell>
          <cell r="D33" t="str">
            <v>ノーマルクエスト</v>
          </cell>
          <cell r="E33" t="str">
            <v>アバター</v>
          </cell>
          <cell r="F33" t="str">
            <v>世界観</v>
          </cell>
          <cell r="G33" t="str">
            <v>不明</v>
          </cell>
          <cell r="H33" t="str">
            <v>yellow</v>
          </cell>
          <cell r="I33">
            <v>2</v>
          </cell>
          <cell r="J33" t="str">
            <v>Drop1N</v>
          </cell>
          <cell r="K33" t="str">
            <v>technical</v>
          </cell>
          <cell r="L33" t="str">
            <v>テクニカルタイプ</v>
          </cell>
          <cell r="M33" t="str">
            <v>machine</v>
          </cell>
        </row>
        <row r="34">
          <cell r="A34">
            <v>33</v>
          </cell>
          <cell r="B34" t="str">
            <v>ja</v>
          </cell>
          <cell r="C34" t="str">
            <v>ゴクウ</v>
          </cell>
          <cell r="D34" t="str">
            <v>ノーマルクエスト</v>
          </cell>
          <cell r="E34" t="str">
            <v>アバター</v>
          </cell>
          <cell r="F34" t="str">
            <v>世界観</v>
          </cell>
          <cell r="G34" t="str">
            <v>男性</v>
          </cell>
          <cell r="H34" t="str">
            <v>red</v>
          </cell>
          <cell r="I34">
            <v>2</v>
          </cell>
          <cell r="J34" t="str">
            <v>Drop1S</v>
          </cell>
          <cell r="K34" t="str">
            <v>attack</v>
          </cell>
          <cell r="L34" t="str">
            <v>攻撃タイプ</v>
          </cell>
          <cell r="M34" t="str">
            <v>animal</v>
          </cell>
        </row>
        <row r="35">
          <cell r="A35">
            <v>34</v>
          </cell>
          <cell r="B35" t="str">
            <v>ja</v>
          </cell>
          <cell r="C35" t="str">
            <v>斉天大聖 ゴクウ</v>
          </cell>
          <cell r="D35" t="str">
            <v>ノーマルクエスト</v>
          </cell>
          <cell r="E35" t="str">
            <v>アバター</v>
          </cell>
          <cell r="F35" t="str">
            <v>世界観</v>
          </cell>
          <cell r="G35" t="str">
            <v>男性</v>
          </cell>
          <cell r="H35" t="str">
            <v>red</v>
          </cell>
          <cell r="I35">
            <v>3</v>
          </cell>
          <cell r="J35" t="str">
            <v>Drop1S</v>
          </cell>
          <cell r="K35" t="str">
            <v>attack</v>
          </cell>
          <cell r="L35" t="str">
            <v>攻撃タイプ</v>
          </cell>
          <cell r="M35" t="str">
            <v>animal</v>
          </cell>
        </row>
        <row r="36">
          <cell r="A36">
            <v>35</v>
          </cell>
          <cell r="B36" t="str">
            <v>ja</v>
          </cell>
          <cell r="C36" t="str">
            <v>F2</v>
          </cell>
          <cell r="D36" t="str">
            <v>ノーマルクエスト</v>
          </cell>
          <cell r="E36" t="str">
            <v>アバター</v>
          </cell>
          <cell r="F36" t="str">
            <v>世界観</v>
          </cell>
          <cell r="G36" t="str">
            <v>不明</v>
          </cell>
          <cell r="H36" t="str">
            <v>green</v>
          </cell>
          <cell r="I36">
            <v>2</v>
          </cell>
          <cell r="J36" t="str">
            <v>Drop1S</v>
          </cell>
          <cell r="K36" t="str">
            <v>technical</v>
          </cell>
          <cell r="L36" t="str">
            <v>テクニカルタイプ</v>
          </cell>
          <cell r="M36" t="str">
            <v>machine</v>
          </cell>
        </row>
        <row r="37">
          <cell r="A37">
            <v>36</v>
          </cell>
          <cell r="B37" t="str">
            <v>ja</v>
          </cell>
          <cell r="C37" t="str">
            <v>オフィス追尾型移動地雷F3</v>
          </cell>
          <cell r="D37" t="str">
            <v>ノーマルクエスト</v>
          </cell>
          <cell r="E37" t="str">
            <v>アバター</v>
          </cell>
          <cell r="F37" t="str">
            <v>世界観</v>
          </cell>
          <cell r="G37" t="str">
            <v>不明</v>
          </cell>
          <cell r="H37" t="str">
            <v>green</v>
          </cell>
          <cell r="I37">
            <v>3</v>
          </cell>
          <cell r="J37" t="str">
            <v>Drop1S</v>
          </cell>
          <cell r="K37" t="str">
            <v>technical</v>
          </cell>
          <cell r="L37" t="str">
            <v>テクニカルタイプ</v>
          </cell>
          <cell r="M37" t="str">
            <v>machine</v>
          </cell>
        </row>
        <row r="38">
          <cell r="A38">
            <v>37</v>
          </cell>
          <cell r="B38" t="str">
            <v>ja</v>
          </cell>
          <cell r="C38" t="str">
            <v>ガイル</v>
          </cell>
          <cell r="D38" t="str">
            <v>ノーマルクエスト</v>
          </cell>
          <cell r="E38" t="str">
            <v>アバター</v>
          </cell>
          <cell r="F38" t="str">
            <v>世界観</v>
          </cell>
          <cell r="G38" t="str">
            <v>男性</v>
          </cell>
          <cell r="H38" t="str">
            <v>blue</v>
          </cell>
          <cell r="I38">
            <v>2</v>
          </cell>
          <cell r="J38" t="str">
            <v>Drop1S</v>
          </cell>
          <cell r="K38" t="str">
            <v>balance</v>
          </cell>
          <cell r="L38" t="str">
            <v>バランスタイプ</v>
          </cell>
          <cell r="M38" t="str">
            <v>animal</v>
          </cell>
        </row>
        <row r="39">
          <cell r="A39">
            <v>38</v>
          </cell>
          <cell r="B39" t="str">
            <v>ja</v>
          </cell>
          <cell r="C39" t="str">
            <v>通話対応型 ガイル</v>
          </cell>
          <cell r="D39" t="str">
            <v>ノーマルクエスト</v>
          </cell>
          <cell r="E39" t="str">
            <v>アバター</v>
          </cell>
          <cell r="F39" t="str">
            <v>世界観</v>
          </cell>
          <cell r="G39" t="str">
            <v>男性</v>
          </cell>
          <cell r="H39" t="str">
            <v>blue</v>
          </cell>
          <cell r="I39">
            <v>3</v>
          </cell>
          <cell r="J39" t="str">
            <v>Drop1S</v>
          </cell>
          <cell r="K39" t="str">
            <v>balance</v>
          </cell>
          <cell r="L39" t="str">
            <v>バランスタイプ</v>
          </cell>
          <cell r="M39" t="str">
            <v>animal</v>
          </cell>
        </row>
        <row r="40">
          <cell r="A40">
            <v>39</v>
          </cell>
          <cell r="B40" t="str">
            <v>ja</v>
          </cell>
          <cell r="C40" t="str">
            <v>マーロン</v>
          </cell>
          <cell r="D40" t="str">
            <v>ノーマルクエスト</v>
          </cell>
          <cell r="E40" t="str">
            <v>アバター</v>
          </cell>
          <cell r="F40" t="str">
            <v>世界観</v>
          </cell>
          <cell r="G40" t="str">
            <v>男性</v>
          </cell>
          <cell r="H40" t="str">
            <v>yellow</v>
          </cell>
          <cell r="I40">
            <v>2</v>
          </cell>
          <cell r="J40" t="str">
            <v>Drop1S</v>
          </cell>
          <cell r="K40" t="str">
            <v>balance</v>
          </cell>
          <cell r="L40" t="str">
            <v>バランスタイプ</v>
          </cell>
          <cell r="M40" t="str">
            <v>human</v>
          </cell>
        </row>
        <row r="41">
          <cell r="A41">
            <v>40</v>
          </cell>
          <cell r="B41" t="str">
            <v>ja</v>
          </cell>
          <cell r="C41" t="str">
            <v>デジタルマジシャン マーロン</v>
          </cell>
          <cell r="D41" t="str">
            <v>ノーマルクエスト</v>
          </cell>
          <cell r="E41" t="str">
            <v>アバター</v>
          </cell>
          <cell r="F41" t="str">
            <v>世界観</v>
          </cell>
          <cell r="G41" t="str">
            <v>男性</v>
          </cell>
          <cell r="H41" t="str">
            <v>yellow</v>
          </cell>
          <cell r="I41">
            <v>3</v>
          </cell>
          <cell r="J41" t="str">
            <v>Drop1S</v>
          </cell>
          <cell r="K41" t="str">
            <v>balance</v>
          </cell>
          <cell r="L41" t="str">
            <v>バランスタイプ</v>
          </cell>
          <cell r="M41" t="str">
            <v>human</v>
          </cell>
        </row>
        <row r="42">
          <cell r="A42">
            <v>41</v>
          </cell>
          <cell r="B42" t="str">
            <v>ja</v>
          </cell>
          <cell r="C42" t="str">
            <v>ヒュウガ</v>
          </cell>
          <cell r="D42" t="str">
            <v>ノーマルクエスト</v>
          </cell>
          <cell r="E42" t="str">
            <v>アバター</v>
          </cell>
          <cell r="F42" t="str">
            <v>世界観</v>
          </cell>
          <cell r="G42" t="str">
            <v>不明</v>
          </cell>
          <cell r="H42" t="str">
            <v>red</v>
          </cell>
          <cell r="I42">
            <v>2</v>
          </cell>
          <cell r="J42" t="str">
            <v>Drop1N</v>
          </cell>
          <cell r="K42" t="str">
            <v>attack</v>
          </cell>
          <cell r="L42" t="str">
            <v>攻撃タイプ</v>
          </cell>
          <cell r="M42" t="str">
            <v>dragon</v>
          </cell>
        </row>
        <row r="43">
          <cell r="A43">
            <v>42</v>
          </cell>
          <cell r="B43" t="str">
            <v>ja</v>
          </cell>
          <cell r="C43" t="str">
            <v>燃えゆる吐息 ヒュウガ</v>
          </cell>
          <cell r="D43" t="str">
            <v>ノーマルクエスト</v>
          </cell>
          <cell r="E43" t="str">
            <v>アバター</v>
          </cell>
          <cell r="F43" t="str">
            <v>世界観</v>
          </cell>
          <cell r="G43" t="str">
            <v>不明</v>
          </cell>
          <cell r="H43" t="str">
            <v>red</v>
          </cell>
          <cell r="I43">
            <v>3</v>
          </cell>
          <cell r="J43" t="str">
            <v>Drop1N</v>
          </cell>
          <cell r="K43" t="str">
            <v>attack</v>
          </cell>
          <cell r="L43" t="str">
            <v>攻撃タイプ</v>
          </cell>
          <cell r="M43" t="str">
            <v>dragon</v>
          </cell>
        </row>
        <row r="44">
          <cell r="A44">
            <v>43</v>
          </cell>
          <cell r="B44" t="str">
            <v>ja</v>
          </cell>
          <cell r="C44" t="str">
            <v>ムゥ</v>
          </cell>
          <cell r="D44" t="str">
            <v>ノーマルクエスト</v>
          </cell>
          <cell r="E44" t="str">
            <v>アバター</v>
          </cell>
          <cell r="F44" t="str">
            <v>世界観</v>
          </cell>
          <cell r="G44" t="str">
            <v>女性</v>
          </cell>
          <cell r="H44" t="str">
            <v>green</v>
          </cell>
          <cell r="I44">
            <v>2</v>
          </cell>
          <cell r="J44" t="str">
            <v>Drop1N</v>
          </cell>
          <cell r="K44" t="str">
            <v>technical</v>
          </cell>
          <cell r="L44" t="str">
            <v>テクニカルタイプ</v>
          </cell>
          <cell r="M44" t="str">
            <v>dragon</v>
          </cell>
        </row>
        <row r="45">
          <cell r="A45">
            <v>44</v>
          </cell>
          <cell r="B45" t="str">
            <v>ja</v>
          </cell>
          <cell r="C45" t="str">
            <v>遠い星からやってきたムゥ</v>
          </cell>
          <cell r="D45" t="str">
            <v>ノーマルクエスト</v>
          </cell>
          <cell r="E45" t="str">
            <v>アバター</v>
          </cell>
          <cell r="F45" t="str">
            <v>世界観</v>
          </cell>
          <cell r="G45" t="str">
            <v>女性</v>
          </cell>
          <cell r="H45" t="str">
            <v>green</v>
          </cell>
          <cell r="I45">
            <v>3</v>
          </cell>
          <cell r="J45" t="str">
            <v>Drop1N</v>
          </cell>
          <cell r="K45" t="str">
            <v>technical</v>
          </cell>
          <cell r="L45" t="str">
            <v>テクニカルタイプ</v>
          </cell>
          <cell r="M45" t="str">
            <v>dragon</v>
          </cell>
        </row>
        <row r="46">
          <cell r="A46">
            <v>45</v>
          </cell>
          <cell r="B46" t="str">
            <v>ja</v>
          </cell>
          <cell r="C46" t="str">
            <v>ショウイン</v>
          </cell>
          <cell r="D46" t="str">
            <v>ノーマルクエスト</v>
          </cell>
          <cell r="E46" t="str">
            <v>アバター</v>
          </cell>
          <cell r="F46" t="str">
            <v>世界観</v>
          </cell>
          <cell r="G46" t="str">
            <v>不明</v>
          </cell>
          <cell r="H46" t="str">
            <v>blue</v>
          </cell>
          <cell r="I46">
            <v>2</v>
          </cell>
          <cell r="J46" t="str">
            <v>Drop1N</v>
          </cell>
          <cell r="K46" t="str">
            <v>hp</v>
          </cell>
          <cell r="L46" t="str">
            <v>体力タイプ</v>
          </cell>
          <cell r="M46" t="str">
            <v>animal</v>
          </cell>
        </row>
        <row r="47">
          <cell r="A47">
            <v>46</v>
          </cell>
          <cell r="B47" t="str">
            <v>ja</v>
          </cell>
          <cell r="C47" t="str">
            <v>微笑みの筆跡 ショウイン</v>
          </cell>
          <cell r="D47" t="str">
            <v>ノーマルクエスト</v>
          </cell>
          <cell r="E47" t="str">
            <v>アバター</v>
          </cell>
          <cell r="F47" t="str">
            <v>世界観</v>
          </cell>
          <cell r="G47" t="str">
            <v>不明</v>
          </cell>
          <cell r="H47" t="str">
            <v>blue</v>
          </cell>
          <cell r="I47">
            <v>3</v>
          </cell>
          <cell r="J47" t="str">
            <v>Drop1N</v>
          </cell>
          <cell r="K47" t="str">
            <v>hp</v>
          </cell>
          <cell r="L47" t="str">
            <v>体力タイプ</v>
          </cell>
          <cell r="M47" t="str">
            <v>animal</v>
          </cell>
        </row>
        <row r="48">
          <cell r="A48">
            <v>47</v>
          </cell>
          <cell r="B48" t="str">
            <v>ja</v>
          </cell>
          <cell r="C48" t="str">
            <v>ヒロ</v>
          </cell>
          <cell r="D48" t="str">
            <v>ノーマルクエスト</v>
          </cell>
          <cell r="E48" t="str">
            <v>アバター</v>
          </cell>
          <cell r="F48" t="str">
            <v>世界観</v>
          </cell>
          <cell r="G48" t="str">
            <v>不明</v>
          </cell>
          <cell r="H48" t="str">
            <v>yellow</v>
          </cell>
          <cell r="I48">
            <v>2</v>
          </cell>
          <cell r="J48" t="str">
            <v>Drop1N</v>
          </cell>
          <cell r="K48" t="str">
            <v>attack</v>
          </cell>
          <cell r="L48" t="str">
            <v>攻撃タイプ</v>
          </cell>
          <cell r="M48" t="str">
            <v>animal</v>
          </cell>
        </row>
        <row r="49">
          <cell r="A49">
            <v>48</v>
          </cell>
          <cell r="B49" t="str">
            <v>ja</v>
          </cell>
          <cell r="C49" t="str">
            <v>サンダーステップのヒロ</v>
          </cell>
          <cell r="D49" t="str">
            <v>ノーマルクエスト</v>
          </cell>
          <cell r="E49" t="str">
            <v>アバター</v>
          </cell>
          <cell r="F49" t="str">
            <v>世界観</v>
          </cell>
          <cell r="G49" t="str">
            <v>不明</v>
          </cell>
          <cell r="H49" t="str">
            <v>yellow</v>
          </cell>
          <cell r="I49">
            <v>3</v>
          </cell>
          <cell r="J49" t="str">
            <v>Drop1N</v>
          </cell>
          <cell r="K49" t="str">
            <v>attack</v>
          </cell>
          <cell r="L49" t="str">
            <v>攻撃タイプ</v>
          </cell>
          <cell r="M49" t="str">
            <v>animal</v>
          </cell>
        </row>
        <row r="50">
          <cell r="A50">
            <v>49</v>
          </cell>
          <cell r="B50" t="str">
            <v>ja</v>
          </cell>
          <cell r="C50" t="str">
            <v>ヨシタカ</v>
          </cell>
          <cell r="D50" t="str">
            <v>ノーマルクエスト</v>
          </cell>
          <cell r="E50" t="str">
            <v>アバター</v>
          </cell>
          <cell r="F50" t="str">
            <v>世界観</v>
          </cell>
          <cell r="G50" t="str">
            <v>男性</v>
          </cell>
          <cell r="H50" t="str">
            <v>red</v>
          </cell>
          <cell r="I50">
            <v>2</v>
          </cell>
          <cell r="J50" t="str">
            <v>Drop1N</v>
          </cell>
          <cell r="K50" t="str">
            <v>hp</v>
          </cell>
          <cell r="L50" t="str">
            <v>体力タイプ</v>
          </cell>
          <cell r="M50" t="str">
            <v>human</v>
          </cell>
        </row>
        <row r="51">
          <cell r="A51">
            <v>50</v>
          </cell>
          <cell r="B51" t="str">
            <v>ja</v>
          </cell>
          <cell r="C51" t="str">
            <v>炎銃のレジスタンス ヨシタカ</v>
          </cell>
          <cell r="D51" t="str">
            <v>ノーマルクエスト</v>
          </cell>
          <cell r="E51" t="str">
            <v>アバター</v>
          </cell>
          <cell r="F51" t="str">
            <v>世界観</v>
          </cell>
          <cell r="G51" t="str">
            <v>男性</v>
          </cell>
          <cell r="H51" t="str">
            <v>red</v>
          </cell>
          <cell r="I51">
            <v>3</v>
          </cell>
          <cell r="J51" t="str">
            <v>Drop1N</v>
          </cell>
          <cell r="K51" t="str">
            <v>hp</v>
          </cell>
          <cell r="L51" t="str">
            <v>体力タイプ</v>
          </cell>
          <cell r="M51" t="str">
            <v>human</v>
          </cell>
        </row>
        <row r="52">
          <cell r="A52">
            <v>51</v>
          </cell>
          <cell r="B52" t="str">
            <v>ja</v>
          </cell>
          <cell r="C52" t="str">
            <v>マイ</v>
          </cell>
          <cell r="D52" t="str">
            <v>ノーマルクエスト</v>
          </cell>
          <cell r="E52" t="str">
            <v>アバター</v>
          </cell>
          <cell r="F52" t="str">
            <v>世界観</v>
          </cell>
          <cell r="G52" t="str">
            <v>女性</v>
          </cell>
          <cell r="H52" t="str">
            <v>green</v>
          </cell>
          <cell r="I52">
            <v>2</v>
          </cell>
          <cell r="J52" t="str">
            <v>Drop1N</v>
          </cell>
          <cell r="K52" t="str">
            <v>attack</v>
          </cell>
          <cell r="L52" t="str">
            <v>攻撃タイプ</v>
          </cell>
          <cell r="M52" t="str">
            <v>human</v>
          </cell>
        </row>
        <row r="53">
          <cell r="A53">
            <v>52</v>
          </cell>
          <cell r="B53" t="str">
            <v>ja</v>
          </cell>
          <cell r="C53" t="str">
            <v>翠槍のレジスタンス マイ</v>
          </cell>
          <cell r="D53" t="str">
            <v>ノーマルクエスト</v>
          </cell>
          <cell r="E53" t="str">
            <v>アバター</v>
          </cell>
          <cell r="F53" t="str">
            <v>世界観</v>
          </cell>
          <cell r="G53" t="str">
            <v>女性</v>
          </cell>
          <cell r="H53" t="str">
            <v>green</v>
          </cell>
          <cell r="I53">
            <v>3</v>
          </cell>
          <cell r="J53" t="str">
            <v>Drop1N</v>
          </cell>
          <cell r="K53" t="str">
            <v>attack</v>
          </cell>
          <cell r="L53" t="str">
            <v>攻撃タイプ</v>
          </cell>
          <cell r="M53" t="str">
            <v>human</v>
          </cell>
        </row>
        <row r="54">
          <cell r="A54">
            <v>53</v>
          </cell>
          <cell r="B54" t="str">
            <v>ja</v>
          </cell>
          <cell r="C54" t="str">
            <v>ケンジ</v>
          </cell>
          <cell r="D54" t="str">
            <v>ノーマルクエスト</v>
          </cell>
          <cell r="E54" t="str">
            <v>アバター</v>
          </cell>
          <cell r="F54" t="str">
            <v>世界観</v>
          </cell>
          <cell r="G54" t="str">
            <v>男性</v>
          </cell>
          <cell r="H54" t="str">
            <v>blue</v>
          </cell>
          <cell r="I54">
            <v>2</v>
          </cell>
          <cell r="J54" t="str">
            <v>Drop1N</v>
          </cell>
          <cell r="K54" t="str">
            <v>balance</v>
          </cell>
          <cell r="L54" t="str">
            <v>バランスタイプ</v>
          </cell>
          <cell r="M54" t="str">
            <v>human</v>
          </cell>
        </row>
        <row r="55">
          <cell r="A55">
            <v>54</v>
          </cell>
          <cell r="B55" t="str">
            <v>ja</v>
          </cell>
          <cell r="C55" t="str">
            <v>蒼斬のレジスタンス ケンジ</v>
          </cell>
          <cell r="D55" t="str">
            <v>ノーマルクエスト</v>
          </cell>
          <cell r="E55" t="str">
            <v>アバター</v>
          </cell>
          <cell r="F55" t="str">
            <v>世界観</v>
          </cell>
          <cell r="G55" t="str">
            <v>男性</v>
          </cell>
          <cell r="H55" t="str">
            <v>blue</v>
          </cell>
          <cell r="I55">
            <v>3</v>
          </cell>
          <cell r="J55" t="str">
            <v>Drop1N</v>
          </cell>
          <cell r="K55" t="str">
            <v>balance</v>
          </cell>
          <cell r="L55" t="str">
            <v>バランスタイプ</v>
          </cell>
          <cell r="M55" t="str">
            <v>human</v>
          </cell>
        </row>
        <row r="56">
          <cell r="A56">
            <v>55</v>
          </cell>
          <cell r="B56" t="str">
            <v>ja</v>
          </cell>
          <cell r="C56" t="str">
            <v>マミコ</v>
          </cell>
          <cell r="D56" t="str">
            <v>ノーマルクエスト</v>
          </cell>
          <cell r="E56" t="str">
            <v>アバター</v>
          </cell>
          <cell r="F56" t="str">
            <v>世界観</v>
          </cell>
          <cell r="G56" t="str">
            <v>女性</v>
          </cell>
          <cell r="H56" t="str">
            <v>yellow</v>
          </cell>
          <cell r="I56">
            <v>2</v>
          </cell>
          <cell r="J56" t="str">
            <v>Drop1N</v>
          </cell>
          <cell r="K56" t="str">
            <v>balance</v>
          </cell>
          <cell r="L56" t="str">
            <v>バランスタイプ</v>
          </cell>
          <cell r="M56" t="str">
            <v>human</v>
          </cell>
        </row>
        <row r="57">
          <cell r="A57">
            <v>56</v>
          </cell>
          <cell r="B57" t="str">
            <v>ja</v>
          </cell>
          <cell r="C57" t="str">
            <v>黄槌のレジスタンス マミコ</v>
          </cell>
          <cell r="D57" t="str">
            <v>ノーマルクエスト</v>
          </cell>
          <cell r="E57" t="str">
            <v>アバター</v>
          </cell>
          <cell r="F57" t="str">
            <v>世界観</v>
          </cell>
          <cell r="G57" t="str">
            <v>女性</v>
          </cell>
          <cell r="H57" t="str">
            <v>yellow</v>
          </cell>
          <cell r="I57">
            <v>3</v>
          </cell>
          <cell r="J57" t="str">
            <v>Drop1N</v>
          </cell>
          <cell r="K57" t="str">
            <v>balance</v>
          </cell>
          <cell r="L57" t="str">
            <v>バランスタイプ</v>
          </cell>
          <cell r="M57" t="str">
            <v>human</v>
          </cell>
        </row>
        <row r="58">
          <cell r="A58">
            <v>57</v>
          </cell>
          <cell r="B58" t="str">
            <v>ja</v>
          </cell>
          <cell r="C58" t="str">
            <v>チェン・リー</v>
          </cell>
          <cell r="D58" t="str">
            <v>ノーマルクエスト</v>
          </cell>
          <cell r="E58" t="str">
            <v>アバター</v>
          </cell>
          <cell r="F58" t="str">
            <v>世界観</v>
          </cell>
          <cell r="G58" t="str">
            <v>男性</v>
          </cell>
          <cell r="H58" t="str">
            <v>red</v>
          </cell>
          <cell r="I58">
            <v>2</v>
          </cell>
          <cell r="J58" t="str">
            <v>Drop1N</v>
          </cell>
          <cell r="K58" t="str">
            <v>balance</v>
          </cell>
          <cell r="L58" t="str">
            <v>バランスタイプ</v>
          </cell>
          <cell r="M58" t="str">
            <v>animal</v>
          </cell>
        </row>
        <row r="59">
          <cell r="A59">
            <v>58</v>
          </cell>
          <cell r="B59" t="str">
            <v>ja</v>
          </cell>
          <cell r="C59" t="str">
            <v>ドランクマスター チェン・リー</v>
          </cell>
          <cell r="D59" t="str">
            <v>ノーマルクエスト</v>
          </cell>
          <cell r="E59" t="str">
            <v>アバター</v>
          </cell>
          <cell r="F59" t="str">
            <v>世界観</v>
          </cell>
          <cell r="G59" t="str">
            <v>男性</v>
          </cell>
          <cell r="H59" t="str">
            <v>red</v>
          </cell>
          <cell r="I59">
            <v>3</v>
          </cell>
          <cell r="J59" t="str">
            <v>Drop1N</v>
          </cell>
          <cell r="K59" t="str">
            <v>balance</v>
          </cell>
          <cell r="L59" t="str">
            <v>バランスタイプ</v>
          </cell>
          <cell r="M59" t="str">
            <v>animal</v>
          </cell>
        </row>
        <row r="60">
          <cell r="A60">
            <v>59</v>
          </cell>
          <cell r="B60" t="str">
            <v>ja</v>
          </cell>
          <cell r="C60" t="str">
            <v>マーチ</v>
          </cell>
          <cell r="D60" t="str">
            <v>ノーマルクエスト</v>
          </cell>
          <cell r="E60" t="str">
            <v>アバター</v>
          </cell>
          <cell r="F60" t="str">
            <v>世界観</v>
          </cell>
          <cell r="G60" t="str">
            <v>男性</v>
          </cell>
          <cell r="H60" t="str">
            <v>green</v>
          </cell>
          <cell r="I60">
            <v>2</v>
          </cell>
          <cell r="J60" t="str">
            <v>Drop1N</v>
          </cell>
          <cell r="K60" t="str">
            <v>heal</v>
          </cell>
          <cell r="L60" t="str">
            <v>回復タイプ</v>
          </cell>
          <cell r="M60" t="str">
            <v>animal</v>
          </cell>
        </row>
        <row r="61">
          <cell r="A61">
            <v>60</v>
          </cell>
          <cell r="B61" t="str">
            <v>ja</v>
          </cell>
          <cell r="C61" t="str">
            <v>おでかけマーチ</v>
          </cell>
          <cell r="D61" t="str">
            <v>ノーマルクエスト</v>
          </cell>
          <cell r="E61" t="str">
            <v>アバター</v>
          </cell>
          <cell r="F61" t="str">
            <v>世界観</v>
          </cell>
          <cell r="G61" t="str">
            <v>男性</v>
          </cell>
          <cell r="H61" t="str">
            <v>green</v>
          </cell>
          <cell r="I61">
            <v>3</v>
          </cell>
          <cell r="J61" t="str">
            <v>Drop1N</v>
          </cell>
          <cell r="K61" t="str">
            <v>heal</v>
          </cell>
          <cell r="L61" t="str">
            <v>回復タイプ</v>
          </cell>
          <cell r="M61" t="str">
            <v>animal</v>
          </cell>
        </row>
        <row r="62">
          <cell r="A62">
            <v>61</v>
          </cell>
          <cell r="B62" t="str">
            <v>ja</v>
          </cell>
          <cell r="C62" t="str">
            <v>クロウ</v>
          </cell>
          <cell r="D62" t="str">
            <v>ノーマルクエスト</v>
          </cell>
          <cell r="E62" t="str">
            <v>アバター</v>
          </cell>
          <cell r="F62" t="str">
            <v>世界観</v>
          </cell>
          <cell r="G62" t="str">
            <v>男性</v>
          </cell>
          <cell r="H62" t="str">
            <v>blue</v>
          </cell>
          <cell r="I62">
            <v>2</v>
          </cell>
          <cell r="J62" t="str">
            <v>Drop1N</v>
          </cell>
          <cell r="K62" t="str">
            <v>heal</v>
          </cell>
          <cell r="L62" t="str">
            <v>回復タイプ</v>
          </cell>
          <cell r="M62" t="str">
            <v>animal</v>
          </cell>
        </row>
        <row r="63">
          <cell r="A63">
            <v>62</v>
          </cell>
          <cell r="B63" t="str">
            <v>ja</v>
          </cell>
          <cell r="C63" t="str">
            <v>脈動旋律のクロウ</v>
          </cell>
          <cell r="D63" t="str">
            <v>ノーマルクエスト</v>
          </cell>
          <cell r="E63" t="str">
            <v>アバター</v>
          </cell>
          <cell r="F63" t="str">
            <v>世界観</v>
          </cell>
          <cell r="G63" t="str">
            <v>男性</v>
          </cell>
          <cell r="H63" t="str">
            <v>blue</v>
          </cell>
          <cell r="I63">
            <v>3</v>
          </cell>
          <cell r="J63" t="str">
            <v>Drop1N</v>
          </cell>
          <cell r="K63" t="str">
            <v>heal</v>
          </cell>
          <cell r="L63" t="str">
            <v>回復タイプ</v>
          </cell>
          <cell r="M63" t="str">
            <v>animal</v>
          </cell>
        </row>
        <row r="64">
          <cell r="A64">
            <v>63</v>
          </cell>
          <cell r="B64" t="str">
            <v>ja</v>
          </cell>
          <cell r="C64" t="str">
            <v>トニー</v>
          </cell>
          <cell r="D64" t="str">
            <v>ノーマルクエスト</v>
          </cell>
          <cell r="E64" t="str">
            <v>アバター</v>
          </cell>
          <cell r="F64" t="str">
            <v>世界観</v>
          </cell>
          <cell r="G64" t="str">
            <v>男性</v>
          </cell>
          <cell r="H64" t="str">
            <v>yellow</v>
          </cell>
          <cell r="I64">
            <v>2</v>
          </cell>
          <cell r="J64" t="str">
            <v>Drop1N</v>
          </cell>
          <cell r="K64" t="str">
            <v>technical</v>
          </cell>
          <cell r="L64" t="str">
            <v>テクニカルタイプ</v>
          </cell>
          <cell r="M64" t="str">
            <v>animal</v>
          </cell>
        </row>
        <row r="65">
          <cell r="A65">
            <v>64</v>
          </cell>
          <cell r="B65" t="str">
            <v>ja</v>
          </cell>
          <cell r="C65" t="str">
            <v>フレイムエッジ トニー</v>
          </cell>
          <cell r="D65" t="str">
            <v>ノーマルクエスト</v>
          </cell>
          <cell r="E65" t="str">
            <v>アバター</v>
          </cell>
          <cell r="F65" t="str">
            <v>世界観</v>
          </cell>
          <cell r="G65" t="str">
            <v>男性</v>
          </cell>
          <cell r="H65" t="str">
            <v>yellow</v>
          </cell>
          <cell r="I65">
            <v>3</v>
          </cell>
          <cell r="J65" t="str">
            <v>Drop1N</v>
          </cell>
          <cell r="K65" t="str">
            <v>technical</v>
          </cell>
          <cell r="L65" t="str">
            <v>テクニカルタイプ</v>
          </cell>
          <cell r="M65" t="str">
            <v>animal</v>
          </cell>
        </row>
        <row r="66">
          <cell r="A66">
            <v>65</v>
          </cell>
          <cell r="B66" t="str">
            <v>ja</v>
          </cell>
          <cell r="C66" t="str">
            <v>ファイアフォックス</v>
          </cell>
          <cell r="D66" t="str">
            <v>ノーマルクエスト</v>
          </cell>
          <cell r="E66" t="str">
            <v>アバター</v>
          </cell>
          <cell r="F66" t="str">
            <v>世界観</v>
          </cell>
          <cell r="G66" t="str">
            <v>男性</v>
          </cell>
          <cell r="H66" t="str">
            <v>red</v>
          </cell>
          <cell r="I66">
            <v>2</v>
          </cell>
          <cell r="J66" t="str">
            <v>Drop1S</v>
          </cell>
          <cell r="K66" t="str">
            <v>attack</v>
          </cell>
          <cell r="L66" t="str">
            <v>攻撃タイプ</v>
          </cell>
          <cell r="M66" t="str">
            <v>animal</v>
          </cell>
        </row>
        <row r="67">
          <cell r="A67">
            <v>66</v>
          </cell>
          <cell r="B67" t="str">
            <v>ja</v>
          </cell>
          <cell r="C67" t="str">
            <v>探索者 ファイアフォックス</v>
          </cell>
          <cell r="D67" t="str">
            <v>ノーマルクエスト</v>
          </cell>
          <cell r="E67" t="str">
            <v>アバター</v>
          </cell>
          <cell r="F67" t="str">
            <v>世界観</v>
          </cell>
          <cell r="G67" t="str">
            <v>男性</v>
          </cell>
          <cell r="H67" t="str">
            <v>red</v>
          </cell>
          <cell r="I67">
            <v>3</v>
          </cell>
          <cell r="J67" t="str">
            <v>Drop1S</v>
          </cell>
          <cell r="K67" t="str">
            <v>attack</v>
          </cell>
          <cell r="L67" t="str">
            <v>攻撃タイプ</v>
          </cell>
          <cell r="M67" t="str">
            <v>animal</v>
          </cell>
        </row>
        <row r="68">
          <cell r="A68">
            <v>67</v>
          </cell>
          <cell r="B68" t="str">
            <v>ja</v>
          </cell>
          <cell r="C68" t="str">
            <v>双炎の探索者 ファイアフォックス</v>
          </cell>
          <cell r="D68" t="str">
            <v>ノーマルクエスト</v>
          </cell>
          <cell r="E68" t="str">
            <v>アバター</v>
          </cell>
          <cell r="F68" t="str">
            <v>世界観</v>
          </cell>
          <cell r="G68" t="str">
            <v>男性</v>
          </cell>
          <cell r="H68" t="str">
            <v>red</v>
          </cell>
          <cell r="I68">
            <v>4</v>
          </cell>
          <cell r="J68" t="str">
            <v>Drop1S</v>
          </cell>
          <cell r="K68" t="str">
            <v>attack</v>
          </cell>
          <cell r="L68" t="str">
            <v>攻撃タイプ</v>
          </cell>
          <cell r="M68" t="str">
            <v>animal</v>
          </cell>
        </row>
        <row r="69">
          <cell r="A69">
            <v>68</v>
          </cell>
          <cell r="B69" t="str">
            <v>ja</v>
          </cell>
          <cell r="C69" t="str">
            <v>ストール</v>
          </cell>
          <cell r="D69" t="str">
            <v>ノーマルクエスト</v>
          </cell>
          <cell r="E69" t="str">
            <v>アバター</v>
          </cell>
          <cell r="F69" t="str">
            <v>世界観</v>
          </cell>
          <cell r="G69" t="str">
            <v>男性</v>
          </cell>
          <cell r="H69" t="str">
            <v>green</v>
          </cell>
          <cell r="I69">
            <v>2</v>
          </cell>
          <cell r="J69" t="str">
            <v>Drop1S</v>
          </cell>
          <cell r="K69" t="str">
            <v>hp</v>
          </cell>
          <cell r="L69" t="str">
            <v>体力タイプ</v>
          </cell>
          <cell r="M69" t="str">
            <v>animal</v>
          </cell>
        </row>
        <row r="70">
          <cell r="A70">
            <v>69</v>
          </cell>
          <cell r="B70" t="str">
            <v>ja</v>
          </cell>
          <cell r="C70" t="str">
            <v>思想家 ストール</v>
          </cell>
          <cell r="D70" t="str">
            <v>ノーマルクエスト</v>
          </cell>
          <cell r="E70" t="str">
            <v>アバター</v>
          </cell>
          <cell r="F70" t="str">
            <v>世界観</v>
          </cell>
          <cell r="G70" t="str">
            <v>男性</v>
          </cell>
          <cell r="H70" t="str">
            <v>green</v>
          </cell>
          <cell r="I70">
            <v>3</v>
          </cell>
          <cell r="J70" t="str">
            <v>Drop1S</v>
          </cell>
          <cell r="K70" t="str">
            <v>hp</v>
          </cell>
          <cell r="L70" t="str">
            <v>体力タイプ</v>
          </cell>
          <cell r="M70" t="str">
            <v>animal</v>
          </cell>
        </row>
        <row r="71">
          <cell r="A71">
            <v>70</v>
          </cell>
          <cell r="B71" t="str">
            <v>ja</v>
          </cell>
          <cell r="C71" t="str">
            <v>自由の思想家 ストール</v>
          </cell>
          <cell r="D71" t="str">
            <v>ノーマルクエスト</v>
          </cell>
          <cell r="E71" t="str">
            <v>アバター</v>
          </cell>
          <cell r="F71" t="str">
            <v>世界観</v>
          </cell>
          <cell r="G71" t="str">
            <v>男性</v>
          </cell>
          <cell r="H71" t="str">
            <v>green</v>
          </cell>
          <cell r="I71">
            <v>4</v>
          </cell>
          <cell r="J71" t="str">
            <v>Drop1S</v>
          </cell>
          <cell r="K71" t="str">
            <v>hp</v>
          </cell>
          <cell r="L71" t="str">
            <v>体力タイプ</v>
          </cell>
          <cell r="M71" t="str">
            <v>animal</v>
          </cell>
        </row>
        <row r="72">
          <cell r="A72">
            <v>71</v>
          </cell>
          <cell r="B72" t="str">
            <v>ja</v>
          </cell>
          <cell r="C72" t="str">
            <v>ダックス</v>
          </cell>
          <cell r="D72" t="str">
            <v>ノーマルクエスト</v>
          </cell>
          <cell r="E72" t="str">
            <v>アバター</v>
          </cell>
          <cell r="F72" t="str">
            <v>世界観</v>
          </cell>
          <cell r="G72" t="str">
            <v>男性</v>
          </cell>
          <cell r="H72" t="str">
            <v>blue</v>
          </cell>
          <cell r="I72">
            <v>2</v>
          </cell>
          <cell r="J72" t="str">
            <v>Drop1S</v>
          </cell>
          <cell r="K72" t="str">
            <v>balance</v>
          </cell>
          <cell r="L72" t="str">
            <v>バランスタイプ</v>
          </cell>
          <cell r="M72" t="str">
            <v>animal</v>
          </cell>
        </row>
        <row r="73">
          <cell r="A73">
            <v>72</v>
          </cell>
          <cell r="B73" t="str">
            <v>ja</v>
          </cell>
          <cell r="C73" t="str">
            <v>探求者 ダックス</v>
          </cell>
          <cell r="D73" t="str">
            <v>ノーマルクエスト</v>
          </cell>
          <cell r="E73" t="str">
            <v>アバター</v>
          </cell>
          <cell r="F73" t="str">
            <v>世界観</v>
          </cell>
          <cell r="G73" t="str">
            <v>男性</v>
          </cell>
          <cell r="H73" t="str">
            <v>blue</v>
          </cell>
          <cell r="I73">
            <v>3</v>
          </cell>
          <cell r="J73" t="str">
            <v>Drop1S</v>
          </cell>
          <cell r="K73" t="str">
            <v>balance</v>
          </cell>
          <cell r="L73" t="str">
            <v>バランスタイプ</v>
          </cell>
          <cell r="M73" t="str">
            <v>animal</v>
          </cell>
        </row>
        <row r="74">
          <cell r="A74">
            <v>73</v>
          </cell>
          <cell r="B74" t="str">
            <v>ja</v>
          </cell>
          <cell r="C74" t="str">
            <v>自由の探求者 ダックス</v>
          </cell>
          <cell r="D74" t="str">
            <v>ノーマルクエスト</v>
          </cell>
          <cell r="E74" t="str">
            <v>アバター</v>
          </cell>
          <cell r="F74" t="str">
            <v>世界観</v>
          </cell>
          <cell r="G74" t="str">
            <v>男性</v>
          </cell>
          <cell r="H74" t="str">
            <v>blue</v>
          </cell>
          <cell r="I74">
            <v>4</v>
          </cell>
          <cell r="J74" t="str">
            <v>Drop1S</v>
          </cell>
          <cell r="K74" t="str">
            <v>balance</v>
          </cell>
          <cell r="L74" t="str">
            <v>バランスタイプ</v>
          </cell>
          <cell r="M74" t="str">
            <v>animal</v>
          </cell>
        </row>
        <row r="75">
          <cell r="A75">
            <v>74</v>
          </cell>
          <cell r="B75" t="str">
            <v>ja</v>
          </cell>
          <cell r="C75" t="str">
            <v>サンダーバード</v>
          </cell>
          <cell r="D75" t="str">
            <v>ノーマルクエスト</v>
          </cell>
          <cell r="E75" t="str">
            <v>アバター</v>
          </cell>
          <cell r="F75" t="str">
            <v>世界観</v>
          </cell>
          <cell r="G75" t="str">
            <v>男性</v>
          </cell>
          <cell r="H75" t="str">
            <v>yellow</v>
          </cell>
          <cell r="I75">
            <v>2</v>
          </cell>
          <cell r="J75" t="str">
            <v>Drop1S</v>
          </cell>
          <cell r="K75" t="str">
            <v>attack</v>
          </cell>
          <cell r="L75" t="str">
            <v>攻撃タイプ</v>
          </cell>
          <cell r="M75" t="str">
            <v>animal</v>
          </cell>
        </row>
        <row r="76">
          <cell r="A76">
            <v>75</v>
          </cell>
          <cell r="B76" t="str">
            <v>ja</v>
          </cell>
          <cell r="C76" t="str">
            <v>伝令者 サンダーバード</v>
          </cell>
          <cell r="D76" t="str">
            <v>ノーマルクエスト</v>
          </cell>
          <cell r="E76" t="str">
            <v>アバター</v>
          </cell>
          <cell r="F76" t="str">
            <v>世界観</v>
          </cell>
          <cell r="G76" t="str">
            <v>男性</v>
          </cell>
          <cell r="H76" t="str">
            <v>yellow</v>
          </cell>
          <cell r="I76">
            <v>3</v>
          </cell>
          <cell r="J76" t="str">
            <v>Drop1S</v>
          </cell>
          <cell r="K76" t="str">
            <v>attack</v>
          </cell>
          <cell r="L76" t="str">
            <v>攻撃タイプ</v>
          </cell>
          <cell r="M76" t="str">
            <v>animal</v>
          </cell>
        </row>
        <row r="77">
          <cell r="A77">
            <v>76</v>
          </cell>
          <cell r="B77" t="str">
            <v>ja</v>
          </cell>
          <cell r="C77" t="str">
            <v>閃速の伝令者 サンダーバード</v>
          </cell>
          <cell r="D77" t="str">
            <v>ノーマルクエスト</v>
          </cell>
          <cell r="E77" t="str">
            <v>アバター</v>
          </cell>
          <cell r="F77" t="str">
            <v>世界観</v>
          </cell>
          <cell r="G77" t="str">
            <v>男性</v>
          </cell>
          <cell r="H77" t="str">
            <v>yellow</v>
          </cell>
          <cell r="I77">
            <v>4</v>
          </cell>
          <cell r="J77" t="str">
            <v>Drop1S</v>
          </cell>
          <cell r="K77" t="str">
            <v>attack</v>
          </cell>
          <cell r="L77" t="str">
            <v>攻撃タイプ</v>
          </cell>
          <cell r="M77" t="str">
            <v>animal</v>
          </cell>
        </row>
        <row r="78">
          <cell r="A78">
            <v>77</v>
          </cell>
          <cell r="B78" t="str">
            <v>ja</v>
          </cell>
          <cell r="C78" t="str">
            <v>潜伏型メリッサ</v>
          </cell>
          <cell r="D78" t="str">
            <v>イベント:ウィルス01</v>
          </cell>
          <cell r="E78" t="str">
            <v>ウィルス</v>
          </cell>
          <cell r="F78" t="str">
            <v>世界観</v>
          </cell>
          <cell r="G78" t="str">
            <v>女性</v>
          </cell>
          <cell r="H78" t="str">
            <v>red</v>
          </cell>
          <cell r="I78">
            <v>3</v>
          </cell>
          <cell r="J78" t="str">
            <v>DropWizW</v>
          </cell>
          <cell r="K78" t="str">
            <v>technical</v>
          </cell>
          <cell r="L78" t="str">
            <v>テクニカルタイプ</v>
          </cell>
          <cell r="M78" t="str">
            <v>unknown</v>
          </cell>
        </row>
        <row r="79">
          <cell r="A79">
            <v>78</v>
          </cell>
          <cell r="B79" t="str">
            <v>ja</v>
          </cell>
          <cell r="C79" t="str">
            <v>擬態潜伏型メリッサ2.0</v>
          </cell>
          <cell r="D79" t="str">
            <v>イベント:ウィルス01</v>
          </cell>
          <cell r="E79" t="str">
            <v>ウィルス</v>
          </cell>
          <cell r="F79" t="str">
            <v>世界観</v>
          </cell>
          <cell r="G79" t="str">
            <v>女性</v>
          </cell>
          <cell r="H79" t="str">
            <v>red</v>
          </cell>
          <cell r="I79">
            <v>4</v>
          </cell>
          <cell r="J79" t="str">
            <v>DropWizW</v>
          </cell>
          <cell r="K79" t="str">
            <v>technical</v>
          </cell>
          <cell r="L79" t="str">
            <v>テクニカルタイプ</v>
          </cell>
          <cell r="M79" t="str">
            <v>unknown</v>
          </cell>
        </row>
        <row r="80">
          <cell r="A80">
            <v>79</v>
          </cell>
          <cell r="B80" t="str">
            <v>ja</v>
          </cell>
          <cell r="C80" t="str">
            <v>ハッピー100</v>
          </cell>
          <cell r="D80" t="str">
            <v>イベント:ウィルス01</v>
          </cell>
          <cell r="E80" t="str">
            <v>ウィルス</v>
          </cell>
          <cell r="F80" t="str">
            <v>世界観</v>
          </cell>
          <cell r="G80" t="str">
            <v>女性</v>
          </cell>
          <cell r="H80" t="str">
            <v>green</v>
          </cell>
          <cell r="I80">
            <v>3</v>
          </cell>
          <cell r="J80" t="str">
            <v>DropWizW</v>
          </cell>
          <cell r="K80" t="str">
            <v>heal</v>
          </cell>
          <cell r="L80" t="str">
            <v>回復タイプ</v>
          </cell>
          <cell r="M80" t="str">
            <v>unknown</v>
          </cell>
        </row>
        <row r="81">
          <cell r="A81">
            <v>80</v>
          </cell>
          <cell r="B81" t="str">
            <v>ja</v>
          </cell>
          <cell r="C81" t="str">
            <v>ハッピー101</v>
          </cell>
          <cell r="D81" t="str">
            <v>イベント:ウィルス01</v>
          </cell>
          <cell r="E81" t="str">
            <v>ウィルス</v>
          </cell>
          <cell r="F81" t="str">
            <v>世界観</v>
          </cell>
          <cell r="G81" t="str">
            <v>女性</v>
          </cell>
          <cell r="H81" t="str">
            <v>green</v>
          </cell>
          <cell r="I81">
            <v>4</v>
          </cell>
          <cell r="J81" t="str">
            <v>DropWizW</v>
          </cell>
          <cell r="K81" t="str">
            <v>heal</v>
          </cell>
          <cell r="L81" t="str">
            <v>回復タイプ</v>
          </cell>
          <cell r="M81" t="str">
            <v>unknown</v>
          </cell>
        </row>
        <row r="82">
          <cell r="A82">
            <v>81</v>
          </cell>
          <cell r="B82" t="str">
            <v>ja</v>
          </cell>
          <cell r="C82" t="str">
            <v>増幅型モリス</v>
          </cell>
          <cell r="D82" t="str">
            <v>イベント:ウィルス01</v>
          </cell>
          <cell r="E82" t="str">
            <v>ウィルス</v>
          </cell>
          <cell r="F82" t="str">
            <v>世界観</v>
          </cell>
          <cell r="G82" t="str">
            <v>男性</v>
          </cell>
          <cell r="H82" t="str">
            <v>blue</v>
          </cell>
          <cell r="I82">
            <v>3</v>
          </cell>
          <cell r="J82" t="str">
            <v>DropWizW</v>
          </cell>
          <cell r="K82" t="str">
            <v>balance</v>
          </cell>
          <cell r="L82" t="str">
            <v>バランスタイプ</v>
          </cell>
          <cell r="M82" t="str">
            <v>unknown</v>
          </cell>
        </row>
        <row r="83">
          <cell r="A83">
            <v>82</v>
          </cell>
          <cell r="B83" t="str">
            <v>ja</v>
          </cell>
          <cell r="C83" t="str">
            <v>偽装増幅型G・モリス</v>
          </cell>
          <cell r="D83" t="str">
            <v>イベント:ウィルス01</v>
          </cell>
          <cell r="E83" t="str">
            <v>ウィルス</v>
          </cell>
          <cell r="F83" t="str">
            <v>世界観</v>
          </cell>
          <cell r="G83" t="str">
            <v>男性</v>
          </cell>
          <cell r="H83" t="str">
            <v>blue</v>
          </cell>
          <cell r="I83">
            <v>4</v>
          </cell>
          <cell r="J83" t="str">
            <v>DropWizW</v>
          </cell>
          <cell r="K83" t="str">
            <v>balance</v>
          </cell>
          <cell r="L83" t="str">
            <v>バランスタイプ</v>
          </cell>
          <cell r="M83" t="str">
            <v>unknown</v>
          </cell>
        </row>
        <row r="84">
          <cell r="A84">
            <v>83</v>
          </cell>
          <cell r="B84" t="str">
            <v>ja</v>
          </cell>
          <cell r="C84" t="str">
            <v>拡散性ニムダ</v>
          </cell>
          <cell r="D84" t="str">
            <v>イベント:ウィルス01</v>
          </cell>
          <cell r="E84" t="str">
            <v>ウィルス</v>
          </cell>
          <cell r="F84" t="str">
            <v>世界観</v>
          </cell>
          <cell r="G84" t="str">
            <v>不明</v>
          </cell>
          <cell r="H84" t="str">
            <v>yellow</v>
          </cell>
          <cell r="I84">
            <v>3</v>
          </cell>
          <cell r="J84" t="str">
            <v>DropWizW</v>
          </cell>
          <cell r="K84" t="str">
            <v>heal</v>
          </cell>
          <cell r="L84" t="str">
            <v>回復タイプ</v>
          </cell>
          <cell r="M84" t="str">
            <v>unknown</v>
          </cell>
        </row>
        <row r="85">
          <cell r="A85">
            <v>84</v>
          </cell>
          <cell r="B85" t="str">
            <v>ja</v>
          </cell>
          <cell r="C85" t="str">
            <v>高速拡散性ニムダE</v>
          </cell>
          <cell r="D85" t="str">
            <v>イベント:ウィルス01</v>
          </cell>
          <cell r="E85" t="str">
            <v>ウィルス</v>
          </cell>
          <cell r="F85" t="str">
            <v>世界観</v>
          </cell>
          <cell r="G85" t="str">
            <v>不明</v>
          </cell>
          <cell r="H85" t="str">
            <v>yellow</v>
          </cell>
          <cell r="I85">
            <v>4</v>
          </cell>
          <cell r="J85" t="str">
            <v>DropWizW</v>
          </cell>
          <cell r="K85" t="str">
            <v>heal</v>
          </cell>
          <cell r="L85" t="str">
            <v>回復タイプ</v>
          </cell>
          <cell r="M85" t="str">
            <v>unknown</v>
          </cell>
        </row>
        <row r="86">
          <cell r="A86">
            <v>85</v>
          </cell>
          <cell r="B86" t="str">
            <v>ja</v>
          </cell>
          <cell r="C86" t="str">
            <v>朱雀</v>
          </cell>
          <cell r="D86" t="str">
            <v>リンクガチャ:4神</v>
          </cell>
          <cell r="E86" t="str">
            <v>守護神</v>
          </cell>
          <cell r="F86" t="str">
            <v>格好いい</v>
          </cell>
          <cell r="G86" t="str">
            <v>不明</v>
          </cell>
          <cell r="H86" t="str">
            <v>red</v>
          </cell>
          <cell r="I86">
            <v>3</v>
          </cell>
          <cell r="J86" t="str">
            <v>Drop2N</v>
          </cell>
          <cell r="K86" t="str">
            <v>balance</v>
          </cell>
          <cell r="L86" t="str">
            <v>バランスタイプ</v>
          </cell>
          <cell r="M86" t="str">
            <v>animal</v>
          </cell>
        </row>
        <row r="87">
          <cell r="A87">
            <v>86</v>
          </cell>
          <cell r="B87" t="str">
            <v>ja</v>
          </cell>
          <cell r="C87" t="str">
            <v>守護者 朱雀</v>
          </cell>
          <cell r="D87" t="str">
            <v>リンクガチャ:4神</v>
          </cell>
          <cell r="E87" t="str">
            <v>守護神</v>
          </cell>
          <cell r="F87" t="str">
            <v>格好いい</v>
          </cell>
          <cell r="G87" t="str">
            <v>不明</v>
          </cell>
          <cell r="H87" t="str">
            <v>red</v>
          </cell>
          <cell r="I87">
            <v>4</v>
          </cell>
          <cell r="J87" t="str">
            <v>Drop2N</v>
          </cell>
          <cell r="K87" t="str">
            <v>balance</v>
          </cell>
          <cell r="L87" t="str">
            <v>バランスタイプ</v>
          </cell>
          <cell r="M87" t="str">
            <v>animal</v>
          </cell>
        </row>
        <row r="88">
          <cell r="A88">
            <v>87</v>
          </cell>
          <cell r="B88" t="str">
            <v>ja</v>
          </cell>
          <cell r="C88" t="str">
            <v>朱南の守護神 朱雀</v>
          </cell>
          <cell r="D88" t="str">
            <v>リンクガチャ:4神</v>
          </cell>
          <cell r="E88" t="str">
            <v>守護神</v>
          </cell>
          <cell r="F88" t="str">
            <v>格好いい</v>
          </cell>
          <cell r="G88" t="str">
            <v>不明</v>
          </cell>
          <cell r="H88" t="str">
            <v>red</v>
          </cell>
          <cell r="I88">
            <v>5</v>
          </cell>
          <cell r="J88" t="str">
            <v>Drop2N</v>
          </cell>
          <cell r="K88" t="str">
            <v>balance</v>
          </cell>
          <cell r="L88" t="str">
            <v>バランスタイプ</v>
          </cell>
          <cell r="M88" t="str">
            <v>animal</v>
          </cell>
        </row>
        <row r="89">
          <cell r="A89">
            <v>88</v>
          </cell>
          <cell r="B89" t="str">
            <v>ja</v>
          </cell>
          <cell r="C89" t="str">
            <v>玄武</v>
          </cell>
          <cell r="D89" t="str">
            <v>リンクガチャ:4神</v>
          </cell>
          <cell r="E89" t="str">
            <v>守護神</v>
          </cell>
          <cell r="F89" t="str">
            <v>格好いい</v>
          </cell>
          <cell r="G89" t="str">
            <v>不明</v>
          </cell>
          <cell r="H89" t="str">
            <v>green</v>
          </cell>
          <cell r="I89">
            <v>3</v>
          </cell>
          <cell r="J89" t="str">
            <v>Drop2N</v>
          </cell>
          <cell r="K89" t="str">
            <v>technical</v>
          </cell>
          <cell r="L89" t="str">
            <v>テクニカルタイプ</v>
          </cell>
          <cell r="M89" t="str">
            <v>dragon</v>
          </cell>
        </row>
        <row r="90">
          <cell r="A90">
            <v>89</v>
          </cell>
          <cell r="B90" t="str">
            <v>ja</v>
          </cell>
          <cell r="C90" t="str">
            <v>守護者 玄武</v>
          </cell>
          <cell r="D90" t="str">
            <v>リンクガチャ:4神</v>
          </cell>
          <cell r="E90" t="str">
            <v>守護神</v>
          </cell>
          <cell r="F90" t="str">
            <v>格好いい</v>
          </cell>
          <cell r="G90" t="str">
            <v>不明</v>
          </cell>
          <cell r="H90" t="str">
            <v>green</v>
          </cell>
          <cell r="I90">
            <v>4</v>
          </cell>
          <cell r="J90" t="str">
            <v>Drop2N</v>
          </cell>
          <cell r="K90" t="str">
            <v>technical</v>
          </cell>
          <cell r="L90" t="str">
            <v>テクニカルタイプ</v>
          </cell>
          <cell r="M90" t="str">
            <v>dragon</v>
          </cell>
        </row>
        <row r="91">
          <cell r="A91">
            <v>90</v>
          </cell>
          <cell r="B91" t="str">
            <v>ja</v>
          </cell>
          <cell r="C91" t="str">
            <v>翠北の守護神 玄武</v>
          </cell>
          <cell r="D91" t="str">
            <v>リンクガチャ:4神</v>
          </cell>
          <cell r="E91" t="str">
            <v>守護神</v>
          </cell>
          <cell r="F91" t="str">
            <v>格好いい</v>
          </cell>
          <cell r="G91" t="str">
            <v>不明</v>
          </cell>
          <cell r="H91" t="str">
            <v>green</v>
          </cell>
          <cell r="I91">
            <v>5</v>
          </cell>
          <cell r="J91" t="str">
            <v>Drop2N</v>
          </cell>
          <cell r="K91" t="str">
            <v>technical</v>
          </cell>
          <cell r="L91" t="str">
            <v>テクニカルタイプ</v>
          </cell>
          <cell r="M91" t="str">
            <v>dragon</v>
          </cell>
        </row>
        <row r="92">
          <cell r="A92">
            <v>91</v>
          </cell>
          <cell r="B92" t="str">
            <v>ja</v>
          </cell>
          <cell r="C92" t="str">
            <v>青龍</v>
          </cell>
          <cell r="D92" t="str">
            <v>リンクガチャ:4神</v>
          </cell>
          <cell r="E92" t="str">
            <v>守護神</v>
          </cell>
          <cell r="F92" t="str">
            <v>格好いい</v>
          </cell>
          <cell r="G92" t="str">
            <v>不明</v>
          </cell>
          <cell r="H92" t="str">
            <v>blue</v>
          </cell>
          <cell r="I92">
            <v>3</v>
          </cell>
          <cell r="J92" t="str">
            <v>Drop2N</v>
          </cell>
          <cell r="K92" t="str">
            <v>balance</v>
          </cell>
          <cell r="L92" t="str">
            <v>バランスタイプ</v>
          </cell>
          <cell r="M92" t="str">
            <v>dragon</v>
          </cell>
        </row>
        <row r="93">
          <cell r="A93">
            <v>92</v>
          </cell>
          <cell r="B93" t="str">
            <v>ja</v>
          </cell>
          <cell r="C93" t="str">
            <v>守護者 青龍</v>
          </cell>
          <cell r="D93" t="str">
            <v>リンクガチャ:4神</v>
          </cell>
          <cell r="E93" t="str">
            <v>守護神</v>
          </cell>
          <cell r="F93" t="str">
            <v>格好いい</v>
          </cell>
          <cell r="G93" t="str">
            <v>不明</v>
          </cell>
          <cell r="H93" t="str">
            <v>blue</v>
          </cell>
          <cell r="I93">
            <v>4</v>
          </cell>
          <cell r="J93" t="str">
            <v>Drop2N</v>
          </cell>
          <cell r="K93" t="str">
            <v>balance</v>
          </cell>
          <cell r="L93" t="str">
            <v>バランスタイプ</v>
          </cell>
          <cell r="M93" t="str">
            <v>dragon</v>
          </cell>
        </row>
        <row r="94">
          <cell r="A94">
            <v>93</v>
          </cell>
          <cell r="B94" t="str">
            <v>ja</v>
          </cell>
          <cell r="C94" t="str">
            <v>碧東の守護神 青龍</v>
          </cell>
          <cell r="D94" t="str">
            <v>リンクガチャ:4神</v>
          </cell>
          <cell r="E94" t="str">
            <v>守護神</v>
          </cell>
          <cell r="F94" t="str">
            <v>格好いい</v>
          </cell>
          <cell r="G94" t="str">
            <v>不明</v>
          </cell>
          <cell r="H94" t="str">
            <v>blue</v>
          </cell>
          <cell r="I94">
            <v>5</v>
          </cell>
          <cell r="J94" t="str">
            <v>Drop2N</v>
          </cell>
          <cell r="K94" t="str">
            <v>balance</v>
          </cell>
          <cell r="L94" t="str">
            <v>バランスタイプ</v>
          </cell>
          <cell r="M94" t="str">
            <v>dragon</v>
          </cell>
        </row>
        <row r="95">
          <cell r="A95">
            <v>94</v>
          </cell>
          <cell r="B95" t="str">
            <v>ja</v>
          </cell>
          <cell r="C95" t="str">
            <v>白虎</v>
          </cell>
          <cell r="D95" t="str">
            <v>リンクガチャ:4神</v>
          </cell>
          <cell r="E95" t="str">
            <v>守護神</v>
          </cell>
          <cell r="F95" t="str">
            <v>格好いい</v>
          </cell>
          <cell r="G95" t="str">
            <v>不明</v>
          </cell>
          <cell r="H95" t="str">
            <v>yellow</v>
          </cell>
          <cell r="I95">
            <v>3</v>
          </cell>
          <cell r="J95" t="str">
            <v>Drop2N</v>
          </cell>
          <cell r="K95" t="str">
            <v>attack</v>
          </cell>
          <cell r="L95" t="str">
            <v>攻撃タイプ</v>
          </cell>
          <cell r="M95" t="str">
            <v>animal</v>
          </cell>
        </row>
        <row r="96">
          <cell r="A96">
            <v>95</v>
          </cell>
          <cell r="B96" t="str">
            <v>ja</v>
          </cell>
          <cell r="C96" t="str">
            <v>守護者 白虎</v>
          </cell>
          <cell r="D96" t="str">
            <v>リンクガチャ:4神</v>
          </cell>
          <cell r="E96" t="str">
            <v>守護神</v>
          </cell>
          <cell r="F96" t="str">
            <v>格好いい</v>
          </cell>
          <cell r="G96" t="str">
            <v>不明</v>
          </cell>
          <cell r="H96" t="str">
            <v>yellow</v>
          </cell>
          <cell r="I96">
            <v>4</v>
          </cell>
          <cell r="J96" t="str">
            <v>Drop2N</v>
          </cell>
          <cell r="K96" t="str">
            <v>attack</v>
          </cell>
          <cell r="L96" t="str">
            <v>攻撃タイプ</v>
          </cell>
          <cell r="M96" t="str">
            <v>animal</v>
          </cell>
        </row>
        <row r="97">
          <cell r="A97">
            <v>96</v>
          </cell>
          <cell r="B97" t="str">
            <v>ja</v>
          </cell>
          <cell r="C97" t="str">
            <v>金西の守護神 白虎</v>
          </cell>
          <cell r="D97" t="str">
            <v>リンクガチャ:4神</v>
          </cell>
          <cell r="E97" t="str">
            <v>守護神</v>
          </cell>
          <cell r="F97" t="str">
            <v>格好いい</v>
          </cell>
          <cell r="G97" t="str">
            <v>不明</v>
          </cell>
          <cell r="H97" t="str">
            <v>yellow</v>
          </cell>
          <cell r="I97">
            <v>5</v>
          </cell>
          <cell r="J97" t="str">
            <v>Drop2N</v>
          </cell>
          <cell r="K97" t="str">
            <v>attack</v>
          </cell>
          <cell r="L97" t="str">
            <v>攻撃タイプ</v>
          </cell>
          <cell r="M97" t="str">
            <v>animal</v>
          </cell>
        </row>
        <row r="98">
          <cell r="A98">
            <v>97</v>
          </cell>
          <cell r="B98" t="str">
            <v>ja</v>
          </cell>
          <cell r="C98" t="str">
            <v>炎のミリオンダック</v>
          </cell>
          <cell r="D98" t="str">
            <v>強化素材R6</v>
          </cell>
          <cell r="E98" t="str">
            <v>アリス</v>
          </cell>
          <cell r="F98" t="str">
            <v>世界観</v>
          </cell>
          <cell r="G98" t="str">
            <v>不明</v>
          </cell>
          <cell r="H98" t="str">
            <v>red</v>
          </cell>
          <cell r="I98">
            <v>6</v>
          </cell>
          <cell r="J98" t="str">
            <v>Material</v>
          </cell>
          <cell r="K98" t="str">
            <v>exp</v>
          </cell>
          <cell r="L98" t="str">
            <v>強化素材タイプ</v>
          </cell>
          <cell r="M98" t="str">
            <v>unknown</v>
          </cell>
        </row>
        <row r="99">
          <cell r="A99">
            <v>98</v>
          </cell>
          <cell r="B99" t="str">
            <v>ja</v>
          </cell>
          <cell r="C99" t="str">
            <v>森のミリオンダック</v>
          </cell>
          <cell r="D99" t="str">
            <v>強化素材R6</v>
          </cell>
          <cell r="E99" t="str">
            <v>アリス</v>
          </cell>
          <cell r="F99" t="str">
            <v>世界観</v>
          </cell>
          <cell r="G99" t="str">
            <v>不明</v>
          </cell>
          <cell r="H99" t="str">
            <v>green</v>
          </cell>
          <cell r="I99">
            <v>6</v>
          </cell>
          <cell r="J99" t="str">
            <v>Material</v>
          </cell>
          <cell r="K99" t="str">
            <v>exp</v>
          </cell>
          <cell r="L99" t="str">
            <v>強化素材タイプ</v>
          </cell>
          <cell r="M99" t="str">
            <v>unknown</v>
          </cell>
        </row>
        <row r="100">
          <cell r="A100">
            <v>99</v>
          </cell>
          <cell r="B100" t="str">
            <v>ja</v>
          </cell>
          <cell r="C100" t="str">
            <v>水のミリオンダック</v>
          </cell>
          <cell r="D100" t="str">
            <v>強化素材R6</v>
          </cell>
          <cell r="E100" t="str">
            <v>アリス</v>
          </cell>
          <cell r="F100" t="str">
            <v>世界観</v>
          </cell>
          <cell r="G100" t="str">
            <v>不明</v>
          </cell>
          <cell r="H100" t="str">
            <v>blue</v>
          </cell>
          <cell r="I100">
            <v>6</v>
          </cell>
          <cell r="J100" t="str">
            <v>Material</v>
          </cell>
          <cell r="K100" t="str">
            <v>exp</v>
          </cell>
          <cell r="L100" t="str">
            <v>強化素材タイプ</v>
          </cell>
          <cell r="M100" t="str">
            <v>unknown</v>
          </cell>
        </row>
        <row r="101">
          <cell r="A101">
            <v>100</v>
          </cell>
          <cell r="B101" t="str">
            <v>ja</v>
          </cell>
          <cell r="C101" t="str">
            <v>雷のミリオンダック</v>
          </cell>
          <cell r="D101" t="str">
            <v>強化素材R6</v>
          </cell>
          <cell r="E101" t="str">
            <v>アリス</v>
          </cell>
          <cell r="F101" t="str">
            <v>世界観</v>
          </cell>
          <cell r="G101" t="str">
            <v>不明</v>
          </cell>
          <cell r="H101" t="str">
            <v>yellow</v>
          </cell>
          <cell r="I101">
            <v>6</v>
          </cell>
          <cell r="J101" t="str">
            <v>Material</v>
          </cell>
          <cell r="K101" t="str">
            <v>exp</v>
          </cell>
          <cell r="L101" t="str">
            <v>強化素材タイプ</v>
          </cell>
          <cell r="M101" t="str">
            <v>unknown</v>
          </cell>
        </row>
        <row r="102">
          <cell r="A102">
            <v>101</v>
          </cell>
          <cell r="B102" t="str">
            <v>ja</v>
          </cell>
          <cell r="C102" t="str">
            <v>レッドチェシャ</v>
          </cell>
          <cell r="D102" t="str">
            <v>進化素材・赤・R2</v>
          </cell>
          <cell r="E102" t="str">
            <v>アリス</v>
          </cell>
          <cell r="F102" t="str">
            <v>世界観</v>
          </cell>
          <cell r="G102" t="str">
            <v>不明</v>
          </cell>
          <cell r="H102" t="str">
            <v>red</v>
          </cell>
          <cell r="I102">
            <v>2</v>
          </cell>
          <cell r="J102" t="str">
            <v>Material</v>
          </cell>
          <cell r="K102" t="str">
            <v>evolution</v>
          </cell>
          <cell r="L102" t="str">
            <v>覚醒素材タイプ</v>
          </cell>
          <cell r="M102" t="str">
            <v>unknown</v>
          </cell>
        </row>
        <row r="103">
          <cell r="A103">
            <v>102</v>
          </cell>
          <cell r="B103" t="str">
            <v>ja</v>
          </cell>
          <cell r="C103" t="str">
            <v>レッドラビット</v>
          </cell>
          <cell r="D103" t="str">
            <v>進化素材・赤・R3</v>
          </cell>
          <cell r="E103" t="str">
            <v>アリス</v>
          </cell>
          <cell r="F103" t="str">
            <v>世界観</v>
          </cell>
          <cell r="G103" t="str">
            <v>不明</v>
          </cell>
          <cell r="H103" t="str">
            <v>red</v>
          </cell>
          <cell r="I103">
            <v>3</v>
          </cell>
          <cell r="J103" t="str">
            <v>Material</v>
          </cell>
          <cell r="K103" t="str">
            <v>evolution</v>
          </cell>
          <cell r="L103" t="str">
            <v>覚醒素材タイプ</v>
          </cell>
          <cell r="M103" t="str">
            <v>unknown</v>
          </cell>
        </row>
        <row r="104">
          <cell r="A104">
            <v>103</v>
          </cell>
          <cell r="B104" t="str">
            <v>ja</v>
          </cell>
          <cell r="C104" t="str">
            <v>レッドキャタップ</v>
          </cell>
          <cell r="D104" t="str">
            <v>進化素材・赤・R4</v>
          </cell>
          <cell r="E104" t="str">
            <v>アリス</v>
          </cell>
          <cell r="F104" t="str">
            <v>世界観</v>
          </cell>
          <cell r="G104" t="str">
            <v>不明</v>
          </cell>
          <cell r="H104" t="str">
            <v>red</v>
          </cell>
          <cell r="I104">
            <v>4</v>
          </cell>
          <cell r="J104" t="str">
            <v>Material</v>
          </cell>
          <cell r="K104" t="str">
            <v>evolution</v>
          </cell>
          <cell r="L104" t="str">
            <v>覚醒素材タイプ</v>
          </cell>
          <cell r="M104" t="str">
            <v>unknown</v>
          </cell>
        </row>
        <row r="105">
          <cell r="A105">
            <v>104</v>
          </cell>
          <cell r="B105" t="str">
            <v>ja</v>
          </cell>
          <cell r="C105" t="str">
            <v>炎のマッドハッター</v>
          </cell>
          <cell r="D105" t="str">
            <v>進化素材・赤・R5</v>
          </cell>
          <cell r="E105" t="str">
            <v>アリス</v>
          </cell>
          <cell r="F105" t="str">
            <v>世界観</v>
          </cell>
          <cell r="G105" t="str">
            <v>不明</v>
          </cell>
          <cell r="H105" t="str">
            <v>red</v>
          </cell>
          <cell r="I105">
            <v>5</v>
          </cell>
          <cell r="J105" t="str">
            <v>Material</v>
          </cell>
          <cell r="K105" t="str">
            <v>evolution</v>
          </cell>
          <cell r="L105" t="str">
            <v>覚醒素材タイプ</v>
          </cell>
          <cell r="M105" t="str">
            <v>unknown</v>
          </cell>
        </row>
        <row r="106">
          <cell r="A106">
            <v>105</v>
          </cell>
          <cell r="B106" t="str">
            <v>ja</v>
          </cell>
          <cell r="C106" t="str">
            <v>グリーンチェシャ</v>
          </cell>
          <cell r="D106" t="str">
            <v>進化素材・緑・R2</v>
          </cell>
          <cell r="E106" t="str">
            <v>アリス</v>
          </cell>
          <cell r="F106" t="str">
            <v>世界観</v>
          </cell>
          <cell r="G106" t="str">
            <v>不明</v>
          </cell>
          <cell r="H106" t="str">
            <v>green</v>
          </cell>
          <cell r="I106">
            <v>2</v>
          </cell>
          <cell r="J106" t="str">
            <v>Material</v>
          </cell>
          <cell r="K106" t="str">
            <v>evolution</v>
          </cell>
          <cell r="L106" t="str">
            <v>覚醒素材タイプ</v>
          </cell>
          <cell r="M106" t="str">
            <v>unknown</v>
          </cell>
        </row>
        <row r="107">
          <cell r="A107">
            <v>106</v>
          </cell>
          <cell r="B107" t="str">
            <v>ja</v>
          </cell>
          <cell r="C107" t="str">
            <v>グリーンラビット</v>
          </cell>
          <cell r="D107" t="str">
            <v>進化素材・緑・R3</v>
          </cell>
          <cell r="E107" t="str">
            <v>アリス</v>
          </cell>
          <cell r="F107" t="str">
            <v>世界観</v>
          </cell>
          <cell r="G107" t="str">
            <v>不明</v>
          </cell>
          <cell r="H107" t="str">
            <v>green</v>
          </cell>
          <cell r="I107">
            <v>3</v>
          </cell>
          <cell r="J107" t="str">
            <v>Material</v>
          </cell>
          <cell r="K107" t="str">
            <v>evolution</v>
          </cell>
          <cell r="L107" t="str">
            <v>覚醒素材タイプ</v>
          </cell>
          <cell r="M107" t="str">
            <v>unknown</v>
          </cell>
        </row>
        <row r="108">
          <cell r="A108">
            <v>107</v>
          </cell>
          <cell r="B108" t="str">
            <v>ja</v>
          </cell>
          <cell r="C108" t="str">
            <v>グリーンキャタップ</v>
          </cell>
          <cell r="D108" t="str">
            <v>進化素材・緑・R4</v>
          </cell>
          <cell r="E108" t="str">
            <v>アリス</v>
          </cell>
          <cell r="F108" t="str">
            <v>世界観</v>
          </cell>
          <cell r="G108" t="str">
            <v>不明</v>
          </cell>
          <cell r="H108" t="str">
            <v>green</v>
          </cell>
          <cell r="I108">
            <v>4</v>
          </cell>
          <cell r="J108" t="str">
            <v>Material</v>
          </cell>
          <cell r="K108" t="str">
            <v>evolution</v>
          </cell>
          <cell r="L108" t="str">
            <v>覚醒素材タイプ</v>
          </cell>
          <cell r="M108" t="str">
            <v>unknown</v>
          </cell>
        </row>
        <row r="109">
          <cell r="A109">
            <v>108</v>
          </cell>
          <cell r="B109" t="str">
            <v>ja</v>
          </cell>
          <cell r="C109" t="str">
            <v>森のマッドハッター</v>
          </cell>
          <cell r="D109" t="str">
            <v>進化素材・緑・R5</v>
          </cell>
          <cell r="E109" t="str">
            <v>アリス</v>
          </cell>
          <cell r="F109" t="str">
            <v>世界観</v>
          </cell>
          <cell r="G109" t="str">
            <v>不明</v>
          </cell>
          <cell r="H109" t="str">
            <v>green</v>
          </cell>
          <cell r="I109">
            <v>5</v>
          </cell>
          <cell r="J109" t="str">
            <v>Material</v>
          </cell>
          <cell r="K109" t="str">
            <v>evolution</v>
          </cell>
          <cell r="L109" t="str">
            <v>覚醒素材タイプ</v>
          </cell>
          <cell r="M109" t="str">
            <v>unknown</v>
          </cell>
        </row>
        <row r="110">
          <cell r="A110">
            <v>109</v>
          </cell>
          <cell r="B110" t="str">
            <v>ja</v>
          </cell>
          <cell r="C110" t="str">
            <v>ブルーチェシャ</v>
          </cell>
          <cell r="D110" t="str">
            <v>進化素材・青・R2</v>
          </cell>
          <cell r="E110" t="str">
            <v>アリス</v>
          </cell>
          <cell r="F110" t="str">
            <v>世界観</v>
          </cell>
          <cell r="G110" t="str">
            <v>不明</v>
          </cell>
          <cell r="H110" t="str">
            <v>blue</v>
          </cell>
          <cell r="I110">
            <v>2</v>
          </cell>
          <cell r="J110" t="str">
            <v>Material</v>
          </cell>
          <cell r="K110" t="str">
            <v>evolution</v>
          </cell>
          <cell r="L110" t="str">
            <v>覚醒素材タイプ</v>
          </cell>
          <cell r="M110" t="str">
            <v>unknown</v>
          </cell>
        </row>
        <row r="111">
          <cell r="A111">
            <v>110</v>
          </cell>
          <cell r="B111" t="str">
            <v>ja</v>
          </cell>
          <cell r="C111" t="str">
            <v>ブルーラビット</v>
          </cell>
          <cell r="D111" t="str">
            <v>進化素材・青・R3</v>
          </cell>
          <cell r="E111" t="str">
            <v>アリス</v>
          </cell>
          <cell r="F111" t="str">
            <v>世界観</v>
          </cell>
          <cell r="G111" t="str">
            <v>不明</v>
          </cell>
          <cell r="H111" t="str">
            <v>blue</v>
          </cell>
          <cell r="I111">
            <v>3</v>
          </cell>
          <cell r="J111" t="str">
            <v>Material</v>
          </cell>
          <cell r="K111" t="str">
            <v>evolution</v>
          </cell>
          <cell r="L111" t="str">
            <v>覚醒素材タイプ</v>
          </cell>
          <cell r="M111" t="str">
            <v>unknown</v>
          </cell>
        </row>
        <row r="112">
          <cell r="A112">
            <v>111</v>
          </cell>
          <cell r="B112" t="str">
            <v>ja</v>
          </cell>
          <cell r="C112" t="str">
            <v>ブルーキャタップ</v>
          </cell>
          <cell r="D112" t="str">
            <v>進化素材・青・R4</v>
          </cell>
          <cell r="E112" t="str">
            <v>アリス</v>
          </cell>
          <cell r="F112" t="str">
            <v>世界観</v>
          </cell>
          <cell r="G112" t="str">
            <v>不明</v>
          </cell>
          <cell r="H112" t="str">
            <v>blue</v>
          </cell>
          <cell r="I112">
            <v>4</v>
          </cell>
          <cell r="J112" t="str">
            <v>Material</v>
          </cell>
          <cell r="K112" t="str">
            <v>evolution</v>
          </cell>
          <cell r="L112" t="str">
            <v>覚醒素材タイプ</v>
          </cell>
          <cell r="M112" t="str">
            <v>unknown</v>
          </cell>
        </row>
        <row r="113">
          <cell r="A113">
            <v>112</v>
          </cell>
          <cell r="B113" t="str">
            <v>ja</v>
          </cell>
          <cell r="C113" t="str">
            <v>水のマッドハッター</v>
          </cell>
          <cell r="D113" t="str">
            <v>進化素材・青・R5</v>
          </cell>
          <cell r="E113" t="str">
            <v>アリス</v>
          </cell>
          <cell r="F113" t="str">
            <v>世界観</v>
          </cell>
          <cell r="G113" t="str">
            <v>不明</v>
          </cell>
          <cell r="H113" t="str">
            <v>blue</v>
          </cell>
          <cell r="I113">
            <v>5</v>
          </cell>
          <cell r="J113" t="str">
            <v>Material</v>
          </cell>
          <cell r="K113" t="str">
            <v>evolution</v>
          </cell>
          <cell r="L113" t="str">
            <v>覚醒素材タイプ</v>
          </cell>
          <cell r="M113" t="str">
            <v>unknown</v>
          </cell>
        </row>
        <row r="114">
          <cell r="A114">
            <v>113</v>
          </cell>
          <cell r="B114" t="str">
            <v>ja</v>
          </cell>
          <cell r="C114" t="str">
            <v>イエローチェシャ</v>
          </cell>
          <cell r="D114" t="str">
            <v>進化素材・黄・R2</v>
          </cell>
          <cell r="E114" t="str">
            <v>アリス</v>
          </cell>
          <cell r="F114" t="str">
            <v>世界観</v>
          </cell>
          <cell r="G114" t="str">
            <v>不明</v>
          </cell>
          <cell r="H114" t="str">
            <v>yellow</v>
          </cell>
          <cell r="I114">
            <v>2</v>
          </cell>
          <cell r="J114" t="str">
            <v>Material</v>
          </cell>
          <cell r="K114" t="str">
            <v>evolution</v>
          </cell>
          <cell r="L114" t="str">
            <v>覚醒素材タイプ</v>
          </cell>
          <cell r="M114" t="str">
            <v>unknown</v>
          </cell>
        </row>
        <row r="115">
          <cell r="A115">
            <v>114</v>
          </cell>
          <cell r="B115" t="str">
            <v>ja</v>
          </cell>
          <cell r="C115" t="str">
            <v>イエローラビット</v>
          </cell>
          <cell r="D115" t="str">
            <v>進化素材・黄・R3</v>
          </cell>
          <cell r="E115" t="str">
            <v>アリス</v>
          </cell>
          <cell r="F115" t="str">
            <v>世界観</v>
          </cell>
          <cell r="G115" t="str">
            <v>不明</v>
          </cell>
          <cell r="H115" t="str">
            <v>yellow</v>
          </cell>
          <cell r="I115">
            <v>3</v>
          </cell>
          <cell r="J115" t="str">
            <v>Material</v>
          </cell>
          <cell r="K115" t="str">
            <v>evolution</v>
          </cell>
          <cell r="L115" t="str">
            <v>覚醒素材タイプ</v>
          </cell>
          <cell r="M115" t="str">
            <v>unknown</v>
          </cell>
        </row>
        <row r="116">
          <cell r="A116">
            <v>115</v>
          </cell>
          <cell r="B116" t="str">
            <v>ja</v>
          </cell>
          <cell r="C116" t="str">
            <v>イエローキャタップ</v>
          </cell>
          <cell r="D116" t="str">
            <v>進化素材・黄・R4</v>
          </cell>
          <cell r="E116" t="str">
            <v>アリス</v>
          </cell>
          <cell r="F116" t="str">
            <v>世界観</v>
          </cell>
          <cell r="G116" t="str">
            <v>不明</v>
          </cell>
          <cell r="H116" t="str">
            <v>yellow</v>
          </cell>
          <cell r="I116">
            <v>4</v>
          </cell>
          <cell r="J116" t="str">
            <v>Material</v>
          </cell>
          <cell r="K116" t="str">
            <v>evolution</v>
          </cell>
          <cell r="L116" t="str">
            <v>覚醒素材タイプ</v>
          </cell>
          <cell r="M116" t="str">
            <v>unknown</v>
          </cell>
        </row>
        <row r="117">
          <cell r="A117">
            <v>116</v>
          </cell>
          <cell r="B117" t="str">
            <v>ja</v>
          </cell>
          <cell r="C117" t="str">
            <v>雷のマッドハッター</v>
          </cell>
          <cell r="D117" t="str">
            <v>進化素材・黄・R5</v>
          </cell>
          <cell r="E117" t="str">
            <v>アリス</v>
          </cell>
          <cell r="F117" t="str">
            <v>世界観</v>
          </cell>
          <cell r="G117" t="str">
            <v>不明</v>
          </cell>
          <cell r="H117" t="str">
            <v>yellow</v>
          </cell>
          <cell r="I117">
            <v>5</v>
          </cell>
          <cell r="J117" t="str">
            <v>Material</v>
          </cell>
          <cell r="K117" t="str">
            <v>evolution</v>
          </cell>
          <cell r="L117" t="str">
            <v>覚醒素材タイプ</v>
          </cell>
          <cell r="M117" t="str">
            <v>unknown</v>
          </cell>
        </row>
        <row r="118">
          <cell r="A118">
            <v>117</v>
          </cell>
          <cell r="B118" t="str">
            <v>ja</v>
          </cell>
          <cell r="C118" t="str">
            <v>ゴールドピヨピヨ</v>
          </cell>
          <cell r="D118" t="str">
            <v>売却素材R3</v>
          </cell>
          <cell r="E118" t="str">
            <v>アリス</v>
          </cell>
          <cell r="F118" t="str">
            <v>世界観</v>
          </cell>
          <cell r="G118" t="str">
            <v>不明</v>
          </cell>
          <cell r="H118" t="str">
            <v>yellow</v>
          </cell>
          <cell r="I118">
            <v>3</v>
          </cell>
          <cell r="J118" t="str">
            <v>Material</v>
          </cell>
          <cell r="K118" t="str">
            <v>coin</v>
          </cell>
          <cell r="L118" t="str">
            <v>コインタイプ</v>
          </cell>
          <cell r="M118" t="str">
            <v>unknown</v>
          </cell>
        </row>
        <row r="119">
          <cell r="A119">
            <v>118</v>
          </cell>
          <cell r="B119" t="str">
            <v>ja</v>
          </cell>
          <cell r="C119" t="str">
            <v>ゴールドチック</v>
          </cell>
          <cell r="D119" t="str">
            <v>売却素材R4</v>
          </cell>
          <cell r="E119" t="str">
            <v>アリス</v>
          </cell>
          <cell r="F119" t="str">
            <v>世界観</v>
          </cell>
          <cell r="G119" t="str">
            <v>不明</v>
          </cell>
          <cell r="H119" t="str">
            <v>yellow</v>
          </cell>
          <cell r="I119">
            <v>4</v>
          </cell>
          <cell r="J119" t="str">
            <v>Material</v>
          </cell>
          <cell r="K119" t="str">
            <v>coin</v>
          </cell>
          <cell r="L119" t="str">
            <v>コインタイプ</v>
          </cell>
          <cell r="M119" t="str">
            <v>unknown</v>
          </cell>
        </row>
        <row r="120">
          <cell r="A120">
            <v>119</v>
          </cell>
          <cell r="B120" t="str">
            <v>ja</v>
          </cell>
          <cell r="C120" t="str">
            <v>ゴールドダック</v>
          </cell>
          <cell r="D120" t="str">
            <v>売却素材R5</v>
          </cell>
          <cell r="E120" t="str">
            <v>アリス</v>
          </cell>
          <cell r="F120" t="str">
            <v>世界観</v>
          </cell>
          <cell r="G120" t="str">
            <v>不明</v>
          </cell>
          <cell r="H120" t="str">
            <v>yellow</v>
          </cell>
          <cell r="I120">
            <v>5</v>
          </cell>
          <cell r="J120" t="str">
            <v>Material</v>
          </cell>
          <cell r="K120" t="str">
            <v>coin</v>
          </cell>
          <cell r="L120" t="str">
            <v>コインタイプ</v>
          </cell>
          <cell r="M120" t="str">
            <v>unknown</v>
          </cell>
        </row>
        <row r="121">
          <cell r="A121">
            <v>120</v>
          </cell>
          <cell r="B121" t="str">
            <v>ja</v>
          </cell>
          <cell r="C121" t="str">
            <v>ゴールドキング</v>
          </cell>
          <cell r="D121" t="str">
            <v>売却素材R6</v>
          </cell>
          <cell r="E121" t="str">
            <v>アリス</v>
          </cell>
          <cell r="F121" t="str">
            <v>世界観</v>
          </cell>
          <cell r="G121" t="str">
            <v>不明</v>
          </cell>
          <cell r="H121" t="str">
            <v>yellow</v>
          </cell>
          <cell r="I121">
            <v>6</v>
          </cell>
          <cell r="J121" t="str">
            <v>Material</v>
          </cell>
          <cell r="K121" t="str">
            <v>coin</v>
          </cell>
          <cell r="L121" t="str">
            <v>コインタイプ</v>
          </cell>
          <cell r="M121" t="str">
            <v>unknown</v>
          </cell>
        </row>
        <row r="122">
          <cell r="A122">
            <v>121</v>
          </cell>
          <cell r="B122" t="str">
            <v>ja</v>
          </cell>
          <cell r="C122" t="str">
            <v>攻めの果実</v>
          </cell>
          <cell r="D122" t="str">
            <v>限界突破素材・攻撃・赤</v>
          </cell>
          <cell r="E122" t="str">
            <v>アリス</v>
          </cell>
          <cell r="F122" t="str">
            <v>世界観</v>
          </cell>
          <cell r="G122" t="str">
            <v>不明</v>
          </cell>
          <cell r="H122" t="str">
            <v>red</v>
          </cell>
          <cell r="I122">
            <v>3</v>
          </cell>
          <cell r="J122" t="str">
            <v>Material</v>
          </cell>
          <cell r="K122" t="str">
            <v>limitbreak</v>
          </cell>
          <cell r="L122" t="str">
            <v>限界突破素材</v>
          </cell>
          <cell r="M122" t="str">
            <v>unknown</v>
          </cell>
        </row>
        <row r="123">
          <cell r="A123">
            <v>122</v>
          </cell>
          <cell r="B123" t="str">
            <v>ja</v>
          </cell>
          <cell r="C123" t="str">
            <v>生命の果実</v>
          </cell>
          <cell r="D123" t="str">
            <v>限界突破素材・体力・緑</v>
          </cell>
          <cell r="E123" t="str">
            <v>アリス</v>
          </cell>
          <cell r="F123" t="str">
            <v>世界観</v>
          </cell>
          <cell r="G123" t="str">
            <v>不明</v>
          </cell>
          <cell r="H123" t="str">
            <v>green</v>
          </cell>
          <cell r="I123">
            <v>3</v>
          </cell>
          <cell r="J123" t="str">
            <v>Material</v>
          </cell>
          <cell r="K123" t="str">
            <v>limitbreak</v>
          </cell>
          <cell r="L123" t="str">
            <v>限界突破素材</v>
          </cell>
          <cell r="M123" t="str">
            <v>unknown</v>
          </cell>
        </row>
        <row r="124">
          <cell r="A124">
            <v>123</v>
          </cell>
          <cell r="B124" t="str">
            <v>ja</v>
          </cell>
          <cell r="C124" t="str">
            <v>癒しの果実</v>
          </cell>
          <cell r="D124" t="str">
            <v>限界突破素材・回復・青</v>
          </cell>
          <cell r="E124" t="str">
            <v>アリス</v>
          </cell>
          <cell r="F124" t="str">
            <v>世界観</v>
          </cell>
          <cell r="G124" t="str">
            <v>不明</v>
          </cell>
          <cell r="H124" t="str">
            <v>blue</v>
          </cell>
          <cell r="I124">
            <v>3</v>
          </cell>
          <cell r="J124" t="str">
            <v>Material</v>
          </cell>
          <cell r="K124" t="str">
            <v>limitbreak</v>
          </cell>
          <cell r="L124" t="str">
            <v>限界突破素材</v>
          </cell>
          <cell r="M124" t="str">
            <v>unknown</v>
          </cell>
        </row>
        <row r="125">
          <cell r="A125">
            <v>124</v>
          </cell>
          <cell r="B125" t="str">
            <v>ja</v>
          </cell>
          <cell r="C125" t="str">
            <v>黄金の果実</v>
          </cell>
          <cell r="D125" t="str">
            <v>限界突破素材・防御・黄</v>
          </cell>
          <cell r="E125" t="str">
            <v>アリス</v>
          </cell>
          <cell r="F125" t="str">
            <v>世界観</v>
          </cell>
          <cell r="G125" t="str">
            <v>不明</v>
          </cell>
          <cell r="H125" t="str">
            <v>yellow</v>
          </cell>
          <cell r="I125">
            <v>3</v>
          </cell>
          <cell r="J125" t="str">
            <v>Material</v>
          </cell>
          <cell r="K125" t="str">
            <v>coin</v>
          </cell>
          <cell r="L125" t="str">
            <v>コインタイプ</v>
          </cell>
          <cell r="M125" t="str">
            <v>unknown</v>
          </cell>
        </row>
        <row r="126">
          <cell r="A126">
            <v>125</v>
          </cell>
          <cell r="B126" t="str">
            <v>ja</v>
          </cell>
          <cell r="C126" t="str">
            <v>秘術の果実</v>
          </cell>
          <cell r="D126" t="str">
            <v>スキル進化素材</v>
          </cell>
          <cell r="E126" t="str">
            <v>アリス</v>
          </cell>
          <cell r="F126" t="str">
            <v>世界観</v>
          </cell>
          <cell r="G126" t="str">
            <v>不明</v>
          </cell>
          <cell r="H126" t="str">
            <v>blue</v>
          </cell>
          <cell r="I126">
            <v>3</v>
          </cell>
          <cell r="J126" t="str">
            <v>Material</v>
          </cell>
          <cell r="K126" t="str">
            <v>skilllevel</v>
          </cell>
          <cell r="L126" t="str">
            <v>スキルレベル素材</v>
          </cell>
          <cell r="M126" t="str">
            <v>unknown</v>
          </cell>
        </row>
        <row r="127">
          <cell r="A127">
            <v>126</v>
          </cell>
          <cell r="B127" t="str">
            <v>ja</v>
          </cell>
          <cell r="C127" t="str">
            <v>骨器使い ユノ</v>
          </cell>
          <cell r="D127" t="str">
            <v>初期ガチャ</v>
          </cell>
          <cell r="E127" t="str">
            <v>アバター</v>
          </cell>
          <cell r="F127" t="str">
            <v>美しい</v>
          </cell>
          <cell r="G127" t="str">
            <v>女性</v>
          </cell>
          <cell r="H127" t="str">
            <v>red</v>
          </cell>
          <cell r="I127">
            <v>3</v>
          </cell>
          <cell r="J127" t="str">
            <v>PremiumW</v>
          </cell>
          <cell r="K127" t="str">
            <v>attack</v>
          </cell>
          <cell r="L127" t="str">
            <v>攻撃タイプ</v>
          </cell>
          <cell r="M127" t="str">
            <v>human</v>
          </cell>
        </row>
        <row r="128">
          <cell r="A128">
            <v>127</v>
          </cell>
          <cell r="B128" t="str">
            <v>ja</v>
          </cell>
          <cell r="C128" t="str">
            <v>狂喜の賢者 ユノ</v>
          </cell>
          <cell r="D128" t="str">
            <v>初期ガチャ</v>
          </cell>
          <cell r="E128" t="str">
            <v>アバター</v>
          </cell>
          <cell r="F128" t="str">
            <v>美しい</v>
          </cell>
          <cell r="G128" t="str">
            <v>女性</v>
          </cell>
          <cell r="H128" t="str">
            <v>red</v>
          </cell>
          <cell r="I128">
            <v>4</v>
          </cell>
          <cell r="J128" t="str">
            <v>PremiumW</v>
          </cell>
          <cell r="K128" t="str">
            <v>attack</v>
          </cell>
          <cell r="L128" t="str">
            <v>攻撃タイプ</v>
          </cell>
          <cell r="M128" t="str">
            <v>human</v>
          </cell>
        </row>
        <row r="129">
          <cell r="A129">
            <v>128</v>
          </cell>
          <cell r="B129" t="str">
            <v>ja</v>
          </cell>
          <cell r="C129" t="str">
            <v>野生児 アマラ</v>
          </cell>
          <cell r="D129" t="str">
            <v>初期ガチャ</v>
          </cell>
          <cell r="E129" t="str">
            <v>アバター</v>
          </cell>
          <cell r="F129" t="str">
            <v>格好いい</v>
          </cell>
          <cell r="G129" t="str">
            <v>女性</v>
          </cell>
          <cell r="H129" t="str">
            <v>green</v>
          </cell>
          <cell r="I129">
            <v>3</v>
          </cell>
          <cell r="J129" t="str">
            <v>PremiumW</v>
          </cell>
          <cell r="K129" t="str">
            <v>attack</v>
          </cell>
          <cell r="L129" t="str">
            <v>攻撃タイプ</v>
          </cell>
          <cell r="M129" t="str">
            <v>human</v>
          </cell>
        </row>
        <row r="130">
          <cell r="A130">
            <v>129</v>
          </cell>
          <cell r="B130" t="str">
            <v>ja</v>
          </cell>
          <cell r="C130" t="str">
            <v>孤高の狼憑き アマラ</v>
          </cell>
          <cell r="D130" t="str">
            <v>初期ガチャ</v>
          </cell>
          <cell r="E130" t="str">
            <v>アバター</v>
          </cell>
          <cell r="F130" t="str">
            <v>格好いい</v>
          </cell>
          <cell r="G130" t="str">
            <v>女性</v>
          </cell>
          <cell r="H130" t="str">
            <v>green</v>
          </cell>
          <cell r="I130">
            <v>4</v>
          </cell>
          <cell r="J130" t="str">
            <v>PremiumW</v>
          </cell>
          <cell r="K130" t="str">
            <v>attack</v>
          </cell>
          <cell r="L130" t="str">
            <v>攻撃タイプ</v>
          </cell>
          <cell r="M130" t="str">
            <v>human</v>
          </cell>
        </row>
        <row r="131">
          <cell r="A131">
            <v>130</v>
          </cell>
          <cell r="B131" t="str">
            <v>ja</v>
          </cell>
          <cell r="C131" t="str">
            <v>狼男 ローレンス</v>
          </cell>
          <cell r="D131" t="str">
            <v>初期ガチャ</v>
          </cell>
          <cell r="E131" t="str">
            <v>アバター</v>
          </cell>
          <cell r="F131" t="str">
            <v>格好いい</v>
          </cell>
          <cell r="G131" t="str">
            <v>不明</v>
          </cell>
          <cell r="H131" t="str">
            <v>blue</v>
          </cell>
          <cell r="I131">
            <v>3</v>
          </cell>
          <cell r="J131" t="str">
            <v>PremiumW</v>
          </cell>
          <cell r="K131" t="str">
            <v>attack</v>
          </cell>
          <cell r="L131" t="str">
            <v>攻撃タイプ</v>
          </cell>
          <cell r="M131" t="str">
            <v>animal</v>
          </cell>
        </row>
        <row r="132">
          <cell r="A132">
            <v>131</v>
          </cell>
          <cell r="B132" t="str">
            <v>ja</v>
          </cell>
          <cell r="C132" t="str">
            <v>月下の人狼 ローレンス</v>
          </cell>
          <cell r="D132" t="str">
            <v>初期ガチャ</v>
          </cell>
          <cell r="E132" t="str">
            <v>アバター</v>
          </cell>
          <cell r="F132" t="str">
            <v>格好いい</v>
          </cell>
          <cell r="G132" t="str">
            <v>不明</v>
          </cell>
          <cell r="H132" t="str">
            <v>blue</v>
          </cell>
          <cell r="I132">
            <v>4</v>
          </cell>
          <cell r="J132" t="str">
            <v>PremiumW</v>
          </cell>
          <cell r="K132" t="str">
            <v>attack</v>
          </cell>
          <cell r="L132" t="str">
            <v>攻撃タイプ</v>
          </cell>
          <cell r="M132" t="str">
            <v>animal</v>
          </cell>
        </row>
        <row r="133">
          <cell r="A133">
            <v>132</v>
          </cell>
          <cell r="B133" t="str">
            <v>ja</v>
          </cell>
          <cell r="C133" t="str">
            <v>鳥人ハヤト</v>
          </cell>
          <cell r="D133" t="str">
            <v>初期ガチャ</v>
          </cell>
          <cell r="E133" t="str">
            <v>アバター</v>
          </cell>
          <cell r="F133" t="str">
            <v>格好いい</v>
          </cell>
          <cell r="G133" t="str">
            <v>男性</v>
          </cell>
          <cell r="H133" t="str">
            <v>yellow</v>
          </cell>
          <cell r="I133">
            <v>3</v>
          </cell>
          <cell r="J133" t="str">
            <v>PremiumW</v>
          </cell>
          <cell r="K133" t="str">
            <v>attack</v>
          </cell>
          <cell r="L133" t="str">
            <v>攻撃タイプ</v>
          </cell>
          <cell r="M133" t="str">
            <v>human</v>
          </cell>
        </row>
        <row r="134">
          <cell r="A134">
            <v>133</v>
          </cell>
          <cell r="B134" t="str">
            <v>ja</v>
          </cell>
          <cell r="C134" t="str">
            <v>迅雷の刀剣 ハヤト</v>
          </cell>
          <cell r="D134" t="str">
            <v>初期ガチャ</v>
          </cell>
          <cell r="E134" t="str">
            <v>アバター</v>
          </cell>
          <cell r="F134" t="str">
            <v>格好いい</v>
          </cell>
          <cell r="G134" t="str">
            <v>男性</v>
          </cell>
          <cell r="H134" t="str">
            <v>yellow</v>
          </cell>
          <cell r="I134">
            <v>4</v>
          </cell>
          <cell r="J134" t="str">
            <v>PremiumW</v>
          </cell>
          <cell r="K134" t="str">
            <v>attack</v>
          </cell>
          <cell r="L134" t="str">
            <v>攻撃タイプ</v>
          </cell>
          <cell r="M134" t="str">
            <v>human</v>
          </cell>
        </row>
        <row r="135">
          <cell r="A135">
            <v>134</v>
          </cell>
          <cell r="B135" t="str">
            <v>ja</v>
          </cell>
          <cell r="C135" t="str">
            <v>妖炎の夕霧</v>
          </cell>
          <cell r="D135" t="str">
            <v>初期ガチャ</v>
          </cell>
          <cell r="E135" t="str">
            <v>アバター</v>
          </cell>
          <cell r="F135" t="str">
            <v>美しい</v>
          </cell>
          <cell r="G135" t="str">
            <v>女性</v>
          </cell>
          <cell r="H135" t="str">
            <v>red</v>
          </cell>
          <cell r="I135">
            <v>3</v>
          </cell>
          <cell r="J135" t="str">
            <v>PremiumW</v>
          </cell>
          <cell r="K135" t="str">
            <v>balance</v>
          </cell>
          <cell r="L135" t="str">
            <v>バランスタイプ</v>
          </cell>
          <cell r="M135" t="str">
            <v>human</v>
          </cell>
        </row>
        <row r="136">
          <cell r="A136">
            <v>135</v>
          </cell>
          <cell r="B136" t="str">
            <v>ja</v>
          </cell>
          <cell r="C136" t="str">
            <v>京の炎華夕霧</v>
          </cell>
          <cell r="D136" t="str">
            <v>初期ガチャ</v>
          </cell>
          <cell r="E136" t="str">
            <v>アバター</v>
          </cell>
          <cell r="F136" t="str">
            <v>美しい</v>
          </cell>
          <cell r="G136" t="str">
            <v>女性</v>
          </cell>
          <cell r="H136" t="str">
            <v>red</v>
          </cell>
          <cell r="I136">
            <v>4</v>
          </cell>
          <cell r="J136" t="str">
            <v>PremiumW</v>
          </cell>
          <cell r="K136" t="str">
            <v>balance</v>
          </cell>
          <cell r="L136" t="str">
            <v>バランスタイプ</v>
          </cell>
          <cell r="M136" t="str">
            <v>human</v>
          </cell>
        </row>
        <row r="137">
          <cell r="A137">
            <v>136</v>
          </cell>
          <cell r="B137" t="str">
            <v>ja</v>
          </cell>
          <cell r="C137" t="str">
            <v>お針子チハヤ</v>
          </cell>
          <cell r="D137" t="str">
            <v>初期ガチャ</v>
          </cell>
          <cell r="E137" t="str">
            <v>アバター</v>
          </cell>
          <cell r="F137" t="str">
            <v>可愛い</v>
          </cell>
          <cell r="G137" t="str">
            <v>女性</v>
          </cell>
          <cell r="H137" t="str">
            <v>green</v>
          </cell>
          <cell r="I137">
            <v>3</v>
          </cell>
          <cell r="J137" t="str">
            <v>PremiumW</v>
          </cell>
          <cell r="K137" t="str">
            <v>balance</v>
          </cell>
          <cell r="L137" t="str">
            <v>バランスタイプ</v>
          </cell>
          <cell r="M137" t="str">
            <v>human</v>
          </cell>
        </row>
        <row r="138">
          <cell r="A138">
            <v>137</v>
          </cell>
          <cell r="B138" t="str">
            <v>ja</v>
          </cell>
          <cell r="C138" t="str">
            <v>清福の仕立屋 チハヤ</v>
          </cell>
          <cell r="D138" t="str">
            <v>初期ガチャ</v>
          </cell>
          <cell r="E138" t="str">
            <v>アバター</v>
          </cell>
          <cell r="F138" t="str">
            <v>可愛い</v>
          </cell>
          <cell r="G138" t="str">
            <v>女性</v>
          </cell>
          <cell r="H138" t="str">
            <v>green</v>
          </cell>
          <cell r="I138">
            <v>4</v>
          </cell>
          <cell r="J138" t="str">
            <v>PremiumW</v>
          </cell>
          <cell r="K138" t="str">
            <v>balance</v>
          </cell>
          <cell r="L138" t="str">
            <v>バランスタイプ</v>
          </cell>
          <cell r="M138" t="str">
            <v>human</v>
          </cell>
        </row>
        <row r="139">
          <cell r="A139">
            <v>138</v>
          </cell>
          <cell r="B139" t="str">
            <v>ja</v>
          </cell>
          <cell r="C139" t="str">
            <v>蒼薙のトモエ</v>
          </cell>
          <cell r="D139" t="str">
            <v>初期ガチャ</v>
          </cell>
          <cell r="E139" t="str">
            <v>アバター</v>
          </cell>
          <cell r="F139" t="str">
            <v>美しい</v>
          </cell>
          <cell r="G139" t="str">
            <v>女性</v>
          </cell>
          <cell r="H139" t="str">
            <v>blue</v>
          </cell>
          <cell r="I139">
            <v>3</v>
          </cell>
          <cell r="J139" t="str">
            <v>PremiumW</v>
          </cell>
          <cell r="K139" t="str">
            <v>balance</v>
          </cell>
          <cell r="L139" t="str">
            <v>バランスタイプ</v>
          </cell>
          <cell r="M139" t="str">
            <v>human</v>
          </cell>
        </row>
        <row r="140">
          <cell r="A140">
            <v>139</v>
          </cell>
          <cell r="B140" t="str">
            <v>ja</v>
          </cell>
          <cell r="C140" t="str">
            <v>蒼昇刃姫 トモエ</v>
          </cell>
          <cell r="D140" t="str">
            <v>初期ガチャ</v>
          </cell>
          <cell r="E140" t="str">
            <v>アバター</v>
          </cell>
          <cell r="F140" t="str">
            <v>美しい</v>
          </cell>
          <cell r="G140" t="str">
            <v>女性</v>
          </cell>
          <cell r="H140" t="str">
            <v>blue</v>
          </cell>
          <cell r="I140">
            <v>4</v>
          </cell>
          <cell r="J140" t="str">
            <v>PremiumW</v>
          </cell>
          <cell r="K140" t="str">
            <v>balance</v>
          </cell>
          <cell r="L140" t="str">
            <v>バランスタイプ</v>
          </cell>
          <cell r="M140" t="str">
            <v>human</v>
          </cell>
        </row>
        <row r="141">
          <cell r="A141">
            <v>140</v>
          </cell>
          <cell r="B141" t="str">
            <v>ja</v>
          </cell>
          <cell r="C141" t="str">
            <v>秋祭のタマモ</v>
          </cell>
          <cell r="D141" t="str">
            <v>初期ガチャ</v>
          </cell>
          <cell r="E141" t="str">
            <v>アバター</v>
          </cell>
          <cell r="F141" t="str">
            <v>可愛い</v>
          </cell>
          <cell r="G141" t="str">
            <v>女性</v>
          </cell>
          <cell r="H141" t="str">
            <v>yellow</v>
          </cell>
          <cell r="I141">
            <v>3</v>
          </cell>
          <cell r="J141" t="str">
            <v>PremiumW</v>
          </cell>
          <cell r="K141" t="str">
            <v>balance</v>
          </cell>
          <cell r="L141" t="str">
            <v>バランスタイプ</v>
          </cell>
          <cell r="M141" t="str">
            <v>animal</v>
          </cell>
        </row>
        <row r="142">
          <cell r="A142">
            <v>141</v>
          </cell>
          <cell r="B142" t="str">
            <v>ja</v>
          </cell>
          <cell r="C142" t="str">
            <v>妖狐演舞 タマモ</v>
          </cell>
          <cell r="D142" t="str">
            <v>初期ガチャ</v>
          </cell>
          <cell r="E142" t="str">
            <v>アバター</v>
          </cell>
          <cell r="F142" t="str">
            <v>可愛い</v>
          </cell>
          <cell r="G142" t="str">
            <v>女性</v>
          </cell>
          <cell r="H142" t="str">
            <v>yellow</v>
          </cell>
          <cell r="I142">
            <v>4</v>
          </cell>
          <cell r="J142" t="str">
            <v>PremiumW</v>
          </cell>
          <cell r="K142" t="str">
            <v>balance</v>
          </cell>
          <cell r="L142" t="str">
            <v>バランスタイプ</v>
          </cell>
          <cell r="M142" t="str">
            <v>animal</v>
          </cell>
        </row>
        <row r="143">
          <cell r="A143">
            <v>142</v>
          </cell>
          <cell r="B143" t="str">
            <v>ja</v>
          </cell>
          <cell r="C143" t="str">
            <v>赤ずきん</v>
          </cell>
          <cell r="D143" t="str">
            <v>初期ガチャ</v>
          </cell>
          <cell r="E143" t="str">
            <v>アバター</v>
          </cell>
          <cell r="F143" t="str">
            <v>可愛い</v>
          </cell>
          <cell r="G143" t="str">
            <v>女性</v>
          </cell>
          <cell r="H143" t="str">
            <v>red</v>
          </cell>
          <cell r="I143">
            <v>3</v>
          </cell>
          <cell r="J143" t="str">
            <v>PremiumW</v>
          </cell>
          <cell r="K143" t="str">
            <v>balance</v>
          </cell>
          <cell r="L143" t="str">
            <v>バランスタイプ</v>
          </cell>
          <cell r="M143" t="str">
            <v>human</v>
          </cell>
        </row>
        <row r="144">
          <cell r="A144">
            <v>143</v>
          </cell>
          <cell r="B144" t="str">
            <v>ja</v>
          </cell>
          <cell r="C144" t="str">
            <v>深紅の死神 赤ずきん</v>
          </cell>
          <cell r="D144" t="str">
            <v>初期ガチャ</v>
          </cell>
          <cell r="E144" t="str">
            <v>アバター</v>
          </cell>
          <cell r="F144" t="str">
            <v>可愛い</v>
          </cell>
          <cell r="G144" t="str">
            <v>女性</v>
          </cell>
          <cell r="H144" t="str">
            <v>red</v>
          </cell>
          <cell r="I144">
            <v>4</v>
          </cell>
          <cell r="J144" t="str">
            <v>PremiumW</v>
          </cell>
          <cell r="K144" t="str">
            <v>balance</v>
          </cell>
          <cell r="L144" t="str">
            <v>バランスタイプ</v>
          </cell>
          <cell r="M144" t="str">
            <v>human</v>
          </cell>
        </row>
        <row r="145">
          <cell r="A145">
            <v>144</v>
          </cell>
          <cell r="B145" t="str">
            <v>ja</v>
          </cell>
          <cell r="C145" t="str">
            <v>かぐや</v>
          </cell>
          <cell r="D145" t="str">
            <v>初期ガチャ</v>
          </cell>
          <cell r="E145" t="str">
            <v>アバター</v>
          </cell>
          <cell r="F145" t="str">
            <v>美しい</v>
          </cell>
          <cell r="G145" t="str">
            <v>女性</v>
          </cell>
          <cell r="H145" t="str">
            <v>green</v>
          </cell>
          <cell r="I145">
            <v>3</v>
          </cell>
          <cell r="J145" t="str">
            <v>PremiumW</v>
          </cell>
          <cell r="K145" t="str">
            <v>hp</v>
          </cell>
          <cell r="L145" t="str">
            <v>体力タイプ</v>
          </cell>
          <cell r="M145" t="str">
            <v>human</v>
          </cell>
        </row>
        <row r="146">
          <cell r="A146">
            <v>145</v>
          </cell>
          <cell r="B146" t="str">
            <v>ja</v>
          </cell>
          <cell r="C146" t="str">
            <v>魔性妖艶 かぐや</v>
          </cell>
          <cell r="D146" t="str">
            <v>初期ガチャ</v>
          </cell>
          <cell r="E146" t="str">
            <v>アバター</v>
          </cell>
          <cell r="F146" t="str">
            <v>美しい</v>
          </cell>
          <cell r="G146" t="str">
            <v>女性</v>
          </cell>
          <cell r="H146" t="str">
            <v>green</v>
          </cell>
          <cell r="I146">
            <v>4</v>
          </cell>
          <cell r="J146" t="str">
            <v>PremiumW</v>
          </cell>
          <cell r="K146" t="str">
            <v>hp</v>
          </cell>
          <cell r="L146" t="str">
            <v>体力タイプ</v>
          </cell>
          <cell r="M146" t="str">
            <v>human</v>
          </cell>
        </row>
        <row r="147">
          <cell r="A147">
            <v>146</v>
          </cell>
          <cell r="B147" t="str">
            <v>ja</v>
          </cell>
          <cell r="C147" t="str">
            <v>マーメイド</v>
          </cell>
          <cell r="D147" t="str">
            <v>初期ガチャ</v>
          </cell>
          <cell r="E147" t="str">
            <v>アバター</v>
          </cell>
          <cell r="F147" t="str">
            <v>可愛い</v>
          </cell>
          <cell r="G147" t="str">
            <v>女性</v>
          </cell>
          <cell r="H147" t="str">
            <v>blue</v>
          </cell>
          <cell r="I147">
            <v>3</v>
          </cell>
          <cell r="J147" t="str">
            <v>PremiumW</v>
          </cell>
          <cell r="K147" t="str">
            <v>hp</v>
          </cell>
          <cell r="L147" t="str">
            <v>体力タイプ</v>
          </cell>
          <cell r="M147" t="str">
            <v>human</v>
          </cell>
        </row>
        <row r="148">
          <cell r="A148">
            <v>147</v>
          </cell>
          <cell r="B148" t="str">
            <v>ja</v>
          </cell>
          <cell r="C148" t="str">
            <v>蒼き閃光 元マーメイド</v>
          </cell>
          <cell r="D148" t="str">
            <v>初期ガチャ</v>
          </cell>
          <cell r="E148" t="str">
            <v>アバター</v>
          </cell>
          <cell r="F148" t="str">
            <v>可愛い</v>
          </cell>
          <cell r="G148" t="str">
            <v>女性</v>
          </cell>
          <cell r="H148" t="str">
            <v>blue</v>
          </cell>
          <cell r="I148">
            <v>4</v>
          </cell>
          <cell r="J148" t="str">
            <v>PremiumW</v>
          </cell>
          <cell r="K148" t="str">
            <v>hp</v>
          </cell>
          <cell r="L148" t="str">
            <v>体力タイプ</v>
          </cell>
          <cell r="M148" t="str">
            <v>human</v>
          </cell>
        </row>
        <row r="149">
          <cell r="A149">
            <v>148</v>
          </cell>
          <cell r="B149" t="str">
            <v>ja</v>
          </cell>
          <cell r="C149" t="str">
            <v>シンデレラ</v>
          </cell>
          <cell r="D149" t="str">
            <v>初期ガチャ</v>
          </cell>
          <cell r="E149" t="str">
            <v>アバター</v>
          </cell>
          <cell r="F149" t="str">
            <v>美しい</v>
          </cell>
          <cell r="G149" t="str">
            <v>女性</v>
          </cell>
          <cell r="H149" t="str">
            <v>yellow</v>
          </cell>
          <cell r="I149">
            <v>3</v>
          </cell>
          <cell r="J149" t="str">
            <v>PremiumW</v>
          </cell>
          <cell r="K149" t="str">
            <v>balance</v>
          </cell>
          <cell r="L149" t="str">
            <v>バランスタイプ</v>
          </cell>
          <cell r="M149" t="str">
            <v>human</v>
          </cell>
        </row>
        <row r="150">
          <cell r="A150">
            <v>149</v>
          </cell>
          <cell r="B150" t="str">
            <v>ja</v>
          </cell>
          <cell r="C150" t="str">
            <v>雷撃蹴技を極めし者 シンデレラ</v>
          </cell>
          <cell r="D150" t="str">
            <v>初期ガチャ</v>
          </cell>
          <cell r="E150" t="str">
            <v>アバター</v>
          </cell>
          <cell r="F150" t="str">
            <v>美しい</v>
          </cell>
          <cell r="G150" t="str">
            <v>女性</v>
          </cell>
          <cell r="H150" t="str">
            <v>yellow</v>
          </cell>
          <cell r="I150">
            <v>4</v>
          </cell>
          <cell r="J150" t="str">
            <v>PremiumW</v>
          </cell>
          <cell r="K150" t="str">
            <v>balance</v>
          </cell>
          <cell r="L150" t="str">
            <v>バランスタイプ</v>
          </cell>
          <cell r="M150" t="str">
            <v>human</v>
          </cell>
        </row>
        <row r="151">
          <cell r="A151">
            <v>150</v>
          </cell>
          <cell r="B151" t="str">
            <v>ja</v>
          </cell>
          <cell r="C151" t="str">
            <v>ポイズンマスターサキ</v>
          </cell>
          <cell r="D151" t="str">
            <v>初期ガチャ</v>
          </cell>
          <cell r="E151" t="str">
            <v>アバター</v>
          </cell>
          <cell r="F151" t="str">
            <v>格好いい</v>
          </cell>
          <cell r="G151" t="str">
            <v>女性</v>
          </cell>
          <cell r="H151" t="str">
            <v>red</v>
          </cell>
          <cell r="I151">
            <v>3</v>
          </cell>
          <cell r="J151" t="str">
            <v>PremiumW</v>
          </cell>
          <cell r="K151" t="str">
            <v>technical</v>
          </cell>
          <cell r="L151" t="str">
            <v>テクニカルタイプ</v>
          </cell>
          <cell r="M151" t="str">
            <v>human</v>
          </cell>
        </row>
        <row r="152">
          <cell r="A152">
            <v>151</v>
          </cell>
          <cell r="B152" t="str">
            <v>ja</v>
          </cell>
          <cell r="C152" t="str">
            <v>毒煙の処刑人サキ</v>
          </cell>
          <cell r="D152" t="str">
            <v>初期ガチャ</v>
          </cell>
          <cell r="E152" t="str">
            <v>アバター</v>
          </cell>
          <cell r="F152" t="str">
            <v>格好いい</v>
          </cell>
          <cell r="G152" t="str">
            <v>女性</v>
          </cell>
          <cell r="H152" t="str">
            <v>red</v>
          </cell>
          <cell r="I152">
            <v>4</v>
          </cell>
          <cell r="J152" t="str">
            <v>PremiumW</v>
          </cell>
          <cell r="K152" t="str">
            <v>technical</v>
          </cell>
          <cell r="L152" t="str">
            <v>テクニカルタイプ</v>
          </cell>
          <cell r="M152" t="str">
            <v>human</v>
          </cell>
        </row>
        <row r="153">
          <cell r="A153">
            <v>152</v>
          </cell>
          <cell r="B153" t="str">
            <v>ja</v>
          </cell>
          <cell r="C153" t="str">
            <v>功夫少女ランラン</v>
          </cell>
          <cell r="D153" t="str">
            <v>初期ガチャ</v>
          </cell>
          <cell r="E153" t="str">
            <v>アバター</v>
          </cell>
          <cell r="F153" t="str">
            <v>可愛い</v>
          </cell>
          <cell r="G153" t="str">
            <v>女性</v>
          </cell>
          <cell r="H153" t="str">
            <v>green</v>
          </cell>
          <cell r="I153">
            <v>3</v>
          </cell>
          <cell r="J153" t="str">
            <v>PremiumW</v>
          </cell>
          <cell r="K153" t="str">
            <v>heal</v>
          </cell>
          <cell r="L153" t="str">
            <v>回復タイプ</v>
          </cell>
          <cell r="M153" t="str">
            <v>human</v>
          </cell>
        </row>
        <row r="154">
          <cell r="A154">
            <v>153</v>
          </cell>
          <cell r="B154" t="str">
            <v>ja</v>
          </cell>
          <cell r="C154" t="str">
            <v>拳聖ランラン</v>
          </cell>
          <cell r="D154" t="str">
            <v>初期ガチャ</v>
          </cell>
          <cell r="E154" t="str">
            <v>アバター</v>
          </cell>
          <cell r="F154" t="str">
            <v>可愛い</v>
          </cell>
          <cell r="G154" t="str">
            <v>女性</v>
          </cell>
          <cell r="H154" t="str">
            <v>green</v>
          </cell>
          <cell r="I154">
            <v>4</v>
          </cell>
          <cell r="J154" t="str">
            <v>PremiumW</v>
          </cell>
          <cell r="K154" t="str">
            <v>heal</v>
          </cell>
          <cell r="L154" t="str">
            <v>回復タイプ</v>
          </cell>
          <cell r="M154" t="str">
            <v>human</v>
          </cell>
        </row>
        <row r="155">
          <cell r="A155">
            <v>154</v>
          </cell>
          <cell r="B155" t="str">
            <v>ja</v>
          </cell>
          <cell r="C155" t="str">
            <v>始末屋 ハンナ</v>
          </cell>
          <cell r="D155" t="str">
            <v>初期ガチャ</v>
          </cell>
          <cell r="E155" t="str">
            <v>アバター</v>
          </cell>
          <cell r="F155" t="str">
            <v>美しい</v>
          </cell>
          <cell r="G155" t="str">
            <v>女性</v>
          </cell>
          <cell r="H155" t="str">
            <v>blue</v>
          </cell>
          <cell r="I155">
            <v>3</v>
          </cell>
          <cell r="J155" t="str">
            <v>PremiumW</v>
          </cell>
          <cell r="K155" t="str">
            <v>heal</v>
          </cell>
          <cell r="L155" t="str">
            <v>回復タイプ</v>
          </cell>
          <cell r="M155" t="str">
            <v>human</v>
          </cell>
        </row>
        <row r="156">
          <cell r="A156">
            <v>155</v>
          </cell>
          <cell r="B156" t="str">
            <v>ja</v>
          </cell>
          <cell r="C156" t="str">
            <v>隻眼の掃除屋 ハンナ</v>
          </cell>
          <cell r="D156" t="str">
            <v>初期ガチャ</v>
          </cell>
          <cell r="E156" t="str">
            <v>アバター</v>
          </cell>
          <cell r="F156" t="str">
            <v>美しい</v>
          </cell>
          <cell r="G156" t="str">
            <v>女性</v>
          </cell>
          <cell r="H156" t="str">
            <v>blue</v>
          </cell>
          <cell r="I156">
            <v>4</v>
          </cell>
          <cell r="J156" t="str">
            <v>PremiumW</v>
          </cell>
          <cell r="K156" t="str">
            <v>heal</v>
          </cell>
          <cell r="L156" t="str">
            <v>回復タイプ</v>
          </cell>
          <cell r="M156" t="str">
            <v>human</v>
          </cell>
        </row>
        <row r="157">
          <cell r="A157">
            <v>156</v>
          </cell>
          <cell r="B157" t="str">
            <v>ja</v>
          </cell>
          <cell r="C157" t="str">
            <v>踊り子 エレナ</v>
          </cell>
          <cell r="D157" t="str">
            <v>初期ガチャ</v>
          </cell>
          <cell r="E157" t="str">
            <v>アバター</v>
          </cell>
          <cell r="F157" t="str">
            <v>可愛い</v>
          </cell>
          <cell r="G157" t="str">
            <v>女性</v>
          </cell>
          <cell r="H157" t="str">
            <v>yellow</v>
          </cell>
          <cell r="I157">
            <v>3</v>
          </cell>
          <cell r="J157" t="str">
            <v>PremiumW</v>
          </cell>
          <cell r="K157" t="str">
            <v>heal</v>
          </cell>
          <cell r="L157" t="str">
            <v>回復タイプ</v>
          </cell>
          <cell r="M157" t="str">
            <v>human</v>
          </cell>
        </row>
        <row r="158">
          <cell r="A158">
            <v>157</v>
          </cell>
          <cell r="B158" t="str">
            <v>ja</v>
          </cell>
          <cell r="C158" t="str">
            <v>雷光舞姫 エレナ</v>
          </cell>
          <cell r="D158" t="str">
            <v>初期ガチャ</v>
          </cell>
          <cell r="E158" t="str">
            <v>アバター</v>
          </cell>
          <cell r="F158" t="str">
            <v>可愛い</v>
          </cell>
          <cell r="G158" t="str">
            <v>女性</v>
          </cell>
          <cell r="H158" t="str">
            <v>yellow</v>
          </cell>
          <cell r="I158">
            <v>4</v>
          </cell>
          <cell r="J158" t="str">
            <v>PremiumW</v>
          </cell>
          <cell r="K158" t="str">
            <v>heal</v>
          </cell>
          <cell r="L158" t="str">
            <v>回復タイプ</v>
          </cell>
          <cell r="M158" t="str">
            <v>human</v>
          </cell>
        </row>
        <row r="159">
          <cell r="A159">
            <v>158</v>
          </cell>
          <cell r="B159" t="str">
            <v>ja</v>
          </cell>
          <cell r="C159" t="str">
            <v>シスター シャルロッテ</v>
          </cell>
          <cell r="D159" t="str">
            <v>初期ガチャ</v>
          </cell>
          <cell r="E159" t="str">
            <v>アバター</v>
          </cell>
          <cell r="F159" t="str">
            <v>美しい</v>
          </cell>
          <cell r="G159" t="str">
            <v>女性</v>
          </cell>
          <cell r="H159" t="str">
            <v>red</v>
          </cell>
          <cell r="I159">
            <v>3</v>
          </cell>
          <cell r="J159" t="str">
            <v>PremiumW</v>
          </cell>
          <cell r="K159" t="str">
            <v>heal</v>
          </cell>
          <cell r="L159" t="str">
            <v>回復タイプ</v>
          </cell>
          <cell r="M159" t="str">
            <v>human</v>
          </cell>
        </row>
        <row r="160">
          <cell r="A160">
            <v>159</v>
          </cell>
          <cell r="B160" t="str">
            <v>ja</v>
          </cell>
          <cell r="C160" t="str">
            <v>邪を狩りし者 シャルロッテ</v>
          </cell>
          <cell r="D160" t="str">
            <v>初期ガチャ</v>
          </cell>
          <cell r="E160" t="str">
            <v>アバター</v>
          </cell>
          <cell r="F160" t="str">
            <v>美しい</v>
          </cell>
          <cell r="G160" t="str">
            <v>女性</v>
          </cell>
          <cell r="H160" t="str">
            <v>red</v>
          </cell>
          <cell r="I160">
            <v>4</v>
          </cell>
          <cell r="J160" t="str">
            <v>PremiumW</v>
          </cell>
          <cell r="K160" t="str">
            <v>heal</v>
          </cell>
          <cell r="L160" t="str">
            <v>回復タイプ</v>
          </cell>
          <cell r="M160" t="str">
            <v>human</v>
          </cell>
        </row>
        <row r="161">
          <cell r="A161">
            <v>160</v>
          </cell>
          <cell r="B161" t="str">
            <v>ja</v>
          </cell>
          <cell r="C161" t="str">
            <v>反逆者 クリエ</v>
          </cell>
          <cell r="D161" t="str">
            <v>初期ガチャ</v>
          </cell>
          <cell r="E161" t="str">
            <v>アバター</v>
          </cell>
          <cell r="F161" t="str">
            <v>格好いい</v>
          </cell>
          <cell r="G161" t="str">
            <v>女性</v>
          </cell>
          <cell r="H161" t="str">
            <v>green</v>
          </cell>
          <cell r="I161">
            <v>3</v>
          </cell>
          <cell r="J161" t="str">
            <v>PremiumW</v>
          </cell>
          <cell r="K161" t="str">
            <v>balance</v>
          </cell>
          <cell r="L161" t="str">
            <v>バランスタイプ</v>
          </cell>
          <cell r="M161" t="str">
            <v>human</v>
          </cell>
        </row>
        <row r="162">
          <cell r="A162">
            <v>161</v>
          </cell>
          <cell r="B162" t="str">
            <v>ja</v>
          </cell>
          <cell r="C162" t="str">
            <v>咆哮の先導者 クリエ</v>
          </cell>
          <cell r="D162" t="str">
            <v>初期ガチャ</v>
          </cell>
          <cell r="E162" t="str">
            <v>アバター</v>
          </cell>
          <cell r="F162" t="str">
            <v>格好いい</v>
          </cell>
          <cell r="G162" t="str">
            <v>女性</v>
          </cell>
          <cell r="H162" t="str">
            <v>green</v>
          </cell>
          <cell r="I162">
            <v>4</v>
          </cell>
          <cell r="J162" t="str">
            <v>PremiumW</v>
          </cell>
          <cell r="K162" t="str">
            <v>balance</v>
          </cell>
          <cell r="L162" t="str">
            <v>バランスタイプ</v>
          </cell>
          <cell r="M162" t="str">
            <v>human</v>
          </cell>
        </row>
        <row r="163">
          <cell r="A163">
            <v>162</v>
          </cell>
          <cell r="B163" t="str">
            <v>ja</v>
          </cell>
          <cell r="C163" t="str">
            <v>狂女 クララ</v>
          </cell>
          <cell r="D163" t="str">
            <v>初期ガチャ</v>
          </cell>
          <cell r="E163" t="str">
            <v>アバター</v>
          </cell>
          <cell r="F163" t="str">
            <v>美しい</v>
          </cell>
          <cell r="G163" t="str">
            <v>女性</v>
          </cell>
          <cell r="H163" t="str">
            <v>blue</v>
          </cell>
          <cell r="I163">
            <v>3</v>
          </cell>
          <cell r="J163" t="str">
            <v>PremiumW</v>
          </cell>
          <cell r="K163" t="str">
            <v>attack</v>
          </cell>
          <cell r="L163" t="str">
            <v>攻撃タイプ</v>
          </cell>
          <cell r="M163" t="str">
            <v>human</v>
          </cell>
        </row>
        <row r="164">
          <cell r="A164">
            <v>163</v>
          </cell>
          <cell r="B164" t="str">
            <v>ja</v>
          </cell>
          <cell r="C164" t="str">
            <v>冷酷な狂嬢 クララ</v>
          </cell>
          <cell r="D164" t="str">
            <v>初期ガチャ</v>
          </cell>
          <cell r="E164" t="str">
            <v>アバター</v>
          </cell>
          <cell r="F164" t="str">
            <v>美しい</v>
          </cell>
          <cell r="G164" t="str">
            <v>女性</v>
          </cell>
          <cell r="H164" t="str">
            <v>blue</v>
          </cell>
          <cell r="I164">
            <v>4</v>
          </cell>
          <cell r="J164" t="str">
            <v>PremiumW</v>
          </cell>
          <cell r="K164" t="str">
            <v>attack</v>
          </cell>
          <cell r="L164" t="str">
            <v>攻撃タイプ</v>
          </cell>
          <cell r="M164" t="str">
            <v>human</v>
          </cell>
        </row>
        <row r="165">
          <cell r="A165">
            <v>164</v>
          </cell>
          <cell r="B165" t="str">
            <v>ja</v>
          </cell>
          <cell r="C165" t="str">
            <v>イブとトモダチ</v>
          </cell>
          <cell r="D165" t="str">
            <v>初期ガチャ</v>
          </cell>
          <cell r="E165" t="str">
            <v>アバター</v>
          </cell>
          <cell r="F165" t="str">
            <v>可愛い</v>
          </cell>
          <cell r="G165" t="str">
            <v>女性</v>
          </cell>
          <cell r="H165" t="str">
            <v>yellow</v>
          </cell>
          <cell r="I165">
            <v>3</v>
          </cell>
          <cell r="J165" t="str">
            <v>PremiumW</v>
          </cell>
          <cell r="K165" t="str">
            <v>technical</v>
          </cell>
          <cell r="L165" t="str">
            <v>テクニカルタイプ</v>
          </cell>
          <cell r="M165" t="str">
            <v>human</v>
          </cell>
        </row>
        <row r="166">
          <cell r="A166">
            <v>165</v>
          </cell>
          <cell r="B166" t="str">
            <v>ja</v>
          </cell>
          <cell r="C166" t="str">
            <v>イブとたったひとりのトモダチ</v>
          </cell>
          <cell r="D166" t="str">
            <v>初期ガチャ</v>
          </cell>
          <cell r="E166" t="str">
            <v>アバター</v>
          </cell>
          <cell r="F166" t="str">
            <v>可愛い</v>
          </cell>
          <cell r="G166" t="str">
            <v>女性</v>
          </cell>
          <cell r="H166" t="str">
            <v>yellow</v>
          </cell>
          <cell r="I166">
            <v>4</v>
          </cell>
          <cell r="J166" t="str">
            <v>PremiumW</v>
          </cell>
          <cell r="K166" t="str">
            <v>technical</v>
          </cell>
          <cell r="L166" t="str">
            <v>テクニカルタイプ</v>
          </cell>
          <cell r="M166" t="str">
            <v>human</v>
          </cell>
        </row>
        <row r="167">
          <cell r="A167">
            <v>166</v>
          </cell>
          <cell r="B167" t="str">
            <v>ja</v>
          </cell>
          <cell r="C167" t="str">
            <v>ベリアル</v>
          </cell>
          <cell r="D167" t="str">
            <v>初期ガチャ</v>
          </cell>
          <cell r="E167" t="str">
            <v>執行者</v>
          </cell>
          <cell r="F167" t="str">
            <v>格好いい</v>
          </cell>
          <cell r="G167" t="str">
            <v>男性</v>
          </cell>
          <cell r="H167" t="str">
            <v>red</v>
          </cell>
          <cell r="I167">
            <v>3</v>
          </cell>
          <cell r="J167" t="str">
            <v>PremiumN</v>
          </cell>
          <cell r="K167" t="str">
            <v>attack</v>
          </cell>
          <cell r="L167" t="str">
            <v>攻撃タイプ</v>
          </cell>
          <cell r="M167" t="str">
            <v>god</v>
          </cell>
        </row>
        <row r="168">
          <cell r="A168">
            <v>167</v>
          </cell>
          <cell r="B168" t="str">
            <v>ja</v>
          </cell>
          <cell r="C168" t="str">
            <v>逆徒 ベリアル</v>
          </cell>
          <cell r="D168" t="str">
            <v>初期ガチャ</v>
          </cell>
          <cell r="E168" t="str">
            <v>執行者</v>
          </cell>
          <cell r="F168" t="str">
            <v>格好いい</v>
          </cell>
          <cell r="G168" t="str">
            <v>男性</v>
          </cell>
          <cell r="H168" t="str">
            <v>red</v>
          </cell>
          <cell r="I168">
            <v>4</v>
          </cell>
          <cell r="J168" t="str">
            <v>PremiumN</v>
          </cell>
          <cell r="K168" t="str">
            <v>attack</v>
          </cell>
          <cell r="L168" t="str">
            <v>攻撃タイプ</v>
          </cell>
          <cell r="M168" t="str">
            <v>god</v>
          </cell>
        </row>
        <row r="169">
          <cell r="A169">
            <v>168</v>
          </cell>
          <cell r="B169" t="str">
            <v>ja</v>
          </cell>
          <cell r="C169" t="str">
            <v>猛進の大逆者 ベリアル</v>
          </cell>
          <cell r="D169" t="str">
            <v>初期ガチャ</v>
          </cell>
          <cell r="E169" t="str">
            <v>執行者</v>
          </cell>
          <cell r="F169" t="str">
            <v>格好いい</v>
          </cell>
          <cell r="G169" t="str">
            <v>男性</v>
          </cell>
          <cell r="H169" t="str">
            <v>red</v>
          </cell>
          <cell r="I169">
            <v>5</v>
          </cell>
          <cell r="J169" t="str">
            <v>PremiumN</v>
          </cell>
          <cell r="K169" t="str">
            <v>attack</v>
          </cell>
          <cell r="L169" t="str">
            <v>攻撃タイプ</v>
          </cell>
          <cell r="M169" t="str">
            <v>god</v>
          </cell>
        </row>
        <row r="170">
          <cell r="A170">
            <v>169</v>
          </cell>
          <cell r="B170" t="str">
            <v>ja</v>
          </cell>
          <cell r="C170" t="str">
            <v>オセ</v>
          </cell>
          <cell r="D170" t="str">
            <v>初期ガチャ</v>
          </cell>
          <cell r="E170" t="str">
            <v>執行者</v>
          </cell>
          <cell r="F170" t="str">
            <v>美しい</v>
          </cell>
          <cell r="G170" t="str">
            <v>女性</v>
          </cell>
          <cell r="H170" t="str">
            <v>green</v>
          </cell>
          <cell r="I170">
            <v>3</v>
          </cell>
          <cell r="J170" t="str">
            <v>PremiumN</v>
          </cell>
          <cell r="K170" t="str">
            <v>attack</v>
          </cell>
          <cell r="L170" t="str">
            <v>攻撃タイプ</v>
          </cell>
          <cell r="M170" t="str">
            <v>god</v>
          </cell>
        </row>
        <row r="171">
          <cell r="A171">
            <v>170</v>
          </cell>
          <cell r="B171" t="str">
            <v>ja</v>
          </cell>
          <cell r="C171" t="str">
            <v>識徒 オセ</v>
          </cell>
          <cell r="D171" t="str">
            <v>初期ガチャ</v>
          </cell>
          <cell r="E171" t="str">
            <v>執行者</v>
          </cell>
          <cell r="F171" t="str">
            <v>美しい</v>
          </cell>
          <cell r="G171" t="str">
            <v>女性</v>
          </cell>
          <cell r="H171" t="str">
            <v>green</v>
          </cell>
          <cell r="I171">
            <v>4</v>
          </cell>
          <cell r="J171" t="str">
            <v>PremiumN</v>
          </cell>
          <cell r="K171" t="str">
            <v>attack</v>
          </cell>
          <cell r="L171" t="str">
            <v>攻撃タイプ</v>
          </cell>
          <cell r="M171" t="str">
            <v>god</v>
          </cell>
        </row>
        <row r="172">
          <cell r="A172">
            <v>171</v>
          </cell>
          <cell r="B172" t="str">
            <v>ja</v>
          </cell>
          <cell r="C172" t="str">
            <v>精解の預知者 オセ</v>
          </cell>
          <cell r="D172" t="str">
            <v>初期ガチャ</v>
          </cell>
          <cell r="E172" t="str">
            <v>執行者</v>
          </cell>
          <cell r="F172" t="str">
            <v>美しい</v>
          </cell>
          <cell r="G172" t="str">
            <v>女性</v>
          </cell>
          <cell r="H172" t="str">
            <v>green</v>
          </cell>
          <cell r="I172">
            <v>5</v>
          </cell>
          <cell r="J172" t="str">
            <v>PremiumN</v>
          </cell>
          <cell r="K172" t="str">
            <v>attack</v>
          </cell>
          <cell r="L172" t="str">
            <v>攻撃タイプ</v>
          </cell>
          <cell r="M172" t="str">
            <v>god</v>
          </cell>
        </row>
        <row r="173">
          <cell r="A173">
            <v>172</v>
          </cell>
          <cell r="B173" t="str">
            <v>ja</v>
          </cell>
          <cell r="C173" t="str">
            <v>フォルネウス</v>
          </cell>
          <cell r="D173" t="str">
            <v>初期ガチャ</v>
          </cell>
          <cell r="E173" t="str">
            <v>執行者</v>
          </cell>
          <cell r="F173" t="str">
            <v>可愛い</v>
          </cell>
          <cell r="G173" t="str">
            <v>女性</v>
          </cell>
          <cell r="H173" t="str">
            <v>blue</v>
          </cell>
          <cell r="I173">
            <v>3</v>
          </cell>
          <cell r="J173" t="str">
            <v>PremiumN</v>
          </cell>
          <cell r="K173" t="str">
            <v>attack</v>
          </cell>
          <cell r="L173" t="str">
            <v>攻撃タイプ</v>
          </cell>
          <cell r="M173" t="str">
            <v>god</v>
          </cell>
        </row>
        <row r="174">
          <cell r="A174">
            <v>173</v>
          </cell>
          <cell r="B174" t="str">
            <v>ja</v>
          </cell>
          <cell r="C174" t="str">
            <v>公爵 フォルネウス</v>
          </cell>
          <cell r="D174" t="str">
            <v>初期ガチャ</v>
          </cell>
          <cell r="E174" t="str">
            <v>執行者</v>
          </cell>
          <cell r="F174" t="str">
            <v>可愛い</v>
          </cell>
          <cell r="G174" t="str">
            <v>女性</v>
          </cell>
          <cell r="H174" t="str">
            <v>blue</v>
          </cell>
          <cell r="I174">
            <v>4</v>
          </cell>
          <cell r="J174" t="str">
            <v>PremiumN</v>
          </cell>
          <cell r="K174" t="str">
            <v>attack</v>
          </cell>
          <cell r="L174" t="str">
            <v>攻撃タイプ</v>
          </cell>
          <cell r="M174" t="str">
            <v>god</v>
          </cell>
        </row>
        <row r="175">
          <cell r="A175">
            <v>174</v>
          </cell>
          <cell r="B175" t="str">
            <v>ja</v>
          </cell>
          <cell r="C175" t="str">
            <v>偽愛の大公爵 フォルネウス</v>
          </cell>
          <cell r="D175" t="str">
            <v>初期ガチャ</v>
          </cell>
          <cell r="E175" t="str">
            <v>執行者</v>
          </cell>
          <cell r="F175" t="str">
            <v>可愛い</v>
          </cell>
          <cell r="G175" t="str">
            <v>女性</v>
          </cell>
          <cell r="H175" t="str">
            <v>blue</v>
          </cell>
          <cell r="I175">
            <v>5</v>
          </cell>
          <cell r="J175" t="str">
            <v>PremiumN</v>
          </cell>
          <cell r="K175" t="str">
            <v>attack</v>
          </cell>
          <cell r="L175" t="str">
            <v>攻撃タイプ</v>
          </cell>
          <cell r="M175" t="str">
            <v>god</v>
          </cell>
        </row>
        <row r="176">
          <cell r="A176">
            <v>175</v>
          </cell>
          <cell r="B176" t="str">
            <v>ja</v>
          </cell>
          <cell r="C176" t="str">
            <v>バフォメット</v>
          </cell>
          <cell r="D176" t="str">
            <v>初期ガチャ</v>
          </cell>
          <cell r="E176" t="str">
            <v>執行者</v>
          </cell>
          <cell r="F176" t="str">
            <v>美しい</v>
          </cell>
          <cell r="G176" t="str">
            <v>女性</v>
          </cell>
          <cell r="H176" t="str">
            <v>yellow</v>
          </cell>
          <cell r="I176">
            <v>3</v>
          </cell>
          <cell r="J176" t="str">
            <v>PremiumN</v>
          </cell>
          <cell r="K176" t="str">
            <v>attack</v>
          </cell>
          <cell r="L176" t="str">
            <v>攻撃タイプ</v>
          </cell>
          <cell r="M176" t="str">
            <v>god</v>
          </cell>
        </row>
        <row r="177">
          <cell r="A177">
            <v>176</v>
          </cell>
          <cell r="B177" t="str">
            <v>ja</v>
          </cell>
          <cell r="C177" t="str">
            <v>異教徒 バフォメット</v>
          </cell>
          <cell r="D177" t="str">
            <v>初期ガチャ</v>
          </cell>
          <cell r="E177" t="str">
            <v>執行者</v>
          </cell>
          <cell r="F177" t="str">
            <v>美しい</v>
          </cell>
          <cell r="G177" t="str">
            <v>女性</v>
          </cell>
          <cell r="H177" t="str">
            <v>yellow</v>
          </cell>
          <cell r="I177">
            <v>4</v>
          </cell>
          <cell r="J177" t="str">
            <v>PremiumN</v>
          </cell>
          <cell r="K177" t="str">
            <v>attack</v>
          </cell>
          <cell r="L177" t="str">
            <v>攻撃タイプ</v>
          </cell>
          <cell r="M177" t="str">
            <v>god</v>
          </cell>
        </row>
        <row r="178">
          <cell r="A178">
            <v>177</v>
          </cell>
          <cell r="B178" t="str">
            <v>ja</v>
          </cell>
          <cell r="C178" t="str">
            <v>黒魔の異端師 バフォメット</v>
          </cell>
          <cell r="D178" t="str">
            <v>初期ガチャ</v>
          </cell>
          <cell r="E178" t="str">
            <v>執行者</v>
          </cell>
          <cell r="F178" t="str">
            <v>美しい</v>
          </cell>
          <cell r="G178" t="str">
            <v>女性</v>
          </cell>
          <cell r="H178" t="str">
            <v>yellow</v>
          </cell>
          <cell r="I178">
            <v>5</v>
          </cell>
          <cell r="J178" t="str">
            <v>PremiumN</v>
          </cell>
          <cell r="K178" t="str">
            <v>attack</v>
          </cell>
          <cell r="L178" t="str">
            <v>攻撃タイプ</v>
          </cell>
          <cell r="M178" t="str">
            <v>god</v>
          </cell>
        </row>
        <row r="179">
          <cell r="A179">
            <v>178</v>
          </cell>
          <cell r="B179" t="str">
            <v>ja</v>
          </cell>
          <cell r="C179" t="str">
            <v>ケルベロス</v>
          </cell>
          <cell r="D179" t="str">
            <v>初期ガチャ</v>
          </cell>
          <cell r="E179" t="str">
            <v>破界者</v>
          </cell>
          <cell r="F179" t="str">
            <v>可愛い</v>
          </cell>
          <cell r="G179" t="str">
            <v>女性</v>
          </cell>
          <cell r="H179" t="str">
            <v>red</v>
          </cell>
          <cell r="I179">
            <v>3</v>
          </cell>
          <cell r="J179" t="str">
            <v>PremiumN</v>
          </cell>
          <cell r="K179" t="str">
            <v>balance</v>
          </cell>
          <cell r="L179" t="str">
            <v>バランスタイプ</v>
          </cell>
          <cell r="M179" t="str">
            <v>animal</v>
          </cell>
        </row>
        <row r="180">
          <cell r="A180">
            <v>179</v>
          </cell>
          <cell r="B180" t="str">
            <v>ja</v>
          </cell>
          <cell r="C180" t="str">
            <v>番犬 ケルベロス</v>
          </cell>
          <cell r="D180" t="str">
            <v>初期ガチャ</v>
          </cell>
          <cell r="E180" t="str">
            <v>破界者</v>
          </cell>
          <cell r="F180" t="str">
            <v>可愛い</v>
          </cell>
          <cell r="G180" t="str">
            <v>女性</v>
          </cell>
          <cell r="H180" t="str">
            <v>red</v>
          </cell>
          <cell r="I180">
            <v>4</v>
          </cell>
          <cell r="J180" t="str">
            <v>PremiumN</v>
          </cell>
          <cell r="K180" t="str">
            <v>balance</v>
          </cell>
          <cell r="L180" t="str">
            <v>バランスタイプ</v>
          </cell>
          <cell r="M180" t="str">
            <v>animal</v>
          </cell>
        </row>
        <row r="181">
          <cell r="A181">
            <v>180</v>
          </cell>
          <cell r="B181" t="str">
            <v>ja</v>
          </cell>
          <cell r="C181" t="str">
            <v>地獄の大門番 ケルベロス</v>
          </cell>
          <cell r="D181" t="str">
            <v>初期ガチャ</v>
          </cell>
          <cell r="E181" t="str">
            <v>破界者</v>
          </cell>
          <cell r="F181" t="str">
            <v>可愛い</v>
          </cell>
          <cell r="G181" t="str">
            <v>女性</v>
          </cell>
          <cell r="H181" t="str">
            <v>red</v>
          </cell>
          <cell r="I181">
            <v>5</v>
          </cell>
          <cell r="J181" t="str">
            <v>PremiumN</v>
          </cell>
          <cell r="K181" t="str">
            <v>balance</v>
          </cell>
          <cell r="L181" t="str">
            <v>バランスタイプ</v>
          </cell>
          <cell r="M181" t="str">
            <v>animal</v>
          </cell>
        </row>
        <row r="182">
          <cell r="A182">
            <v>181</v>
          </cell>
          <cell r="B182" t="str">
            <v>ja</v>
          </cell>
          <cell r="C182" t="str">
            <v>ベヒモス</v>
          </cell>
          <cell r="D182" t="str">
            <v>初期ガチャ</v>
          </cell>
          <cell r="E182" t="str">
            <v>破界者</v>
          </cell>
          <cell r="F182" t="str">
            <v>可愛い</v>
          </cell>
          <cell r="G182" t="str">
            <v>女性</v>
          </cell>
          <cell r="H182" t="str">
            <v>green</v>
          </cell>
          <cell r="I182">
            <v>3</v>
          </cell>
          <cell r="J182" t="str">
            <v>PremiumN</v>
          </cell>
          <cell r="K182" t="str">
            <v>hp</v>
          </cell>
          <cell r="L182" t="str">
            <v>体力タイプ</v>
          </cell>
          <cell r="M182" t="str">
            <v>animal</v>
          </cell>
        </row>
        <row r="183">
          <cell r="A183">
            <v>182</v>
          </cell>
          <cell r="B183" t="str">
            <v>ja</v>
          </cell>
          <cell r="C183" t="str">
            <v>放蕩者 ベヒモス</v>
          </cell>
          <cell r="D183" t="str">
            <v>初期ガチャ</v>
          </cell>
          <cell r="E183" t="str">
            <v>破界者</v>
          </cell>
          <cell r="F183" t="str">
            <v>可愛い</v>
          </cell>
          <cell r="G183" t="str">
            <v>女性</v>
          </cell>
          <cell r="H183" t="str">
            <v>green</v>
          </cell>
          <cell r="I183">
            <v>4</v>
          </cell>
          <cell r="J183" t="str">
            <v>PremiumN</v>
          </cell>
          <cell r="K183" t="str">
            <v>hp</v>
          </cell>
          <cell r="L183" t="str">
            <v>体力タイプ</v>
          </cell>
          <cell r="M183" t="str">
            <v>animal</v>
          </cell>
        </row>
        <row r="184">
          <cell r="A184">
            <v>183</v>
          </cell>
          <cell r="B184" t="str">
            <v>ja</v>
          </cell>
          <cell r="C184" t="str">
            <v>鈍重な彷徨者 ベヒモス</v>
          </cell>
          <cell r="D184" t="str">
            <v>初期ガチャ</v>
          </cell>
          <cell r="E184" t="str">
            <v>破界者</v>
          </cell>
          <cell r="F184" t="str">
            <v>可愛い</v>
          </cell>
          <cell r="G184" t="str">
            <v>女性</v>
          </cell>
          <cell r="H184" t="str">
            <v>green</v>
          </cell>
          <cell r="I184">
            <v>5</v>
          </cell>
          <cell r="J184" t="str">
            <v>PremiumN</v>
          </cell>
          <cell r="K184" t="str">
            <v>hp</v>
          </cell>
          <cell r="L184" t="str">
            <v>体力タイプ</v>
          </cell>
          <cell r="M184" t="str">
            <v>animal</v>
          </cell>
        </row>
        <row r="185">
          <cell r="A185">
            <v>184</v>
          </cell>
          <cell r="B185" t="str">
            <v>ja</v>
          </cell>
          <cell r="C185" t="str">
            <v>クラーケン</v>
          </cell>
          <cell r="D185" t="str">
            <v>初期ガチャ</v>
          </cell>
          <cell r="E185" t="str">
            <v>破界者</v>
          </cell>
          <cell r="F185" t="str">
            <v>美しい</v>
          </cell>
          <cell r="G185" t="str">
            <v>女性</v>
          </cell>
          <cell r="H185" t="str">
            <v>blue</v>
          </cell>
          <cell r="I185">
            <v>3</v>
          </cell>
          <cell r="J185" t="str">
            <v>PremiumN</v>
          </cell>
          <cell r="K185" t="str">
            <v>heal</v>
          </cell>
          <cell r="L185" t="str">
            <v>回復タイプ</v>
          </cell>
          <cell r="M185" t="str">
            <v>animal</v>
          </cell>
        </row>
        <row r="186">
          <cell r="A186">
            <v>185</v>
          </cell>
          <cell r="B186" t="str">
            <v>ja</v>
          </cell>
          <cell r="C186" t="str">
            <v>海姫 クラーケン</v>
          </cell>
          <cell r="D186" t="str">
            <v>初期ガチャ</v>
          </cell>
          <cell r="E186" t="str">
            <v>破界者</v>
          </cell>
          <cell r="F186" t="str">
            <v>美しい</v>
          </cell>
          <cell r="G186" t="str">
            <v>女性</v>
          </cell>
          <cell r="H186" t="str">
            <v>blue</v>
          </cell>
          <cell r="I186">
            <v>4</v>
          </cell>
          <cell r="J186" t="str">
            <v>PremiumN</v>
          </cell>
          <cell r="K186" t="str">
            <v>heal</v>
          </cell>
          <cell r="L186" t="str">
            <v>回復タイプ</v>
          </cell>
          <cell r="M186" t="str">
            <v>animal</v>
          </cell>
        </row>
        <row r="187">
          <cell r="A187">
            <v>186</v>
          </cell>
          <cell r="B187" t="str">
            <v>ja</v>
          </cell>
          <cell r="C187" t="str">
            <v>誇り高き多触姫・クラーケン</v>
          </cell>
          <cell r="D187" t="str">
            <v>初期ガチャ</v>
          </cell>
          <cell r="E187" t="str">
            <v>破界者</v>
          </cell>
          <cell r="F187" t="str">
            <v>美しい</v>
          </cell>
          <cell r="G187" t="str">
            <v>女性</v>
          </cell>
          <cell r="H187" t="str">
            <v>blue</v>
          </cell>
          <cell r="I187">
            <v>5</v>
          </cell>
          <cell r="J187" t="str">
            <v>PremiumN</v>
          </cell>
          <cell r="K187" t="str">
            <v>heal</v>
          </cell>
          <cell r="L187" t="str">
            <v>回復タイプ</v>
          </cell>
          <cell r="M187" t="str">
            <v>animal</v>
          </cell>
        </row>
        <row r="188">
          <cell r="A188">
            <v>187</v>
          </cell>
          <cell r="B188" t="str">
            <v>ja</v>
          </cell>
          <cell r="C188" t="str">
            <v>ホルス</v>
          </cell>
          <cell r="D188" t="str">
            <v>初期ガチャ</v>
          </cell>
          <cell r="E188" t="str">
            <v>破界者</v>
          </cell>
          <cell r="F188" t="str">
            <v>美しい</v>
          </cell>
          <cell r="G188" t="str">
            <v>女性</v>
          </cell>
          <cell r="H188" t="str">
            <v>yellow</v>
          </cell>
          <cell r="I188">
            <v>3</v>
          </cell>
          <cell r="J188" t="str">
            <v>PremiumN</v>
          </cell>
          <cell r="K188" t="str">
            <v>attack</v>
          </cell>
          <cell r="L188" t="str">
            <v>攻撃タイプ</v>
          </cell>
          <cell r="M188" t="str">
            <v>animal</v>
          </cell>
        </row>
        <row r="189">
          <cell r="A189">
            <v>188</v>
          </cell>
          <cell r="B189" t="str">
            <v>ja</v>
          </cell>
          <cell r="C189" t="str">
            <v>猛禽 ホルス</v>
          </cell>
          <cell r="D189" t="str">
            <v>初期ガチャ</v>
          </cell>
          <cell r="E189" t="str">
            <v>破界者</v>
          </cell>
          <cell r="F189" t="str">
            <v>美しい</v>
          </cell>
          <cell r="G189" t="str">
            <v>女性</v>
          </cell>
          <cell r="H189" t="str">
            <v>yellow</v>
          </cell>
          <cell r="I189">
            <v>4</v>
          </cell>
          <cell r="J189" t="str">
            <v>PremiumN</v>
          </cell>
          <cell r="K189" t="str">
            <v>attack</v>
          </cell>
          <cell r="L189" t="str">
            <v>攻撃タイプ</v>
          </cell>
          <cell r="M189" t="str">
            <v>animal</v>
          </cell>
        </row>
        <row r="190">
          <cell r="A190">
            <v>189</v>
          </cell>
          <cell r="B190" t="str">
            <v>ja</v>
          </cell>
          <cell r="C190" t="str">
            <v>迅雷の王禽 ホルス</v>
          </cell>
          <cell r="D190" t="str">
            <v>初期ガチャ</v>
          </cell>
          <cell r="E190" t="str">
            <v>破界者</v>
          </cell>
          <cell r="F190" t="str">
            <v>美しい</v>
          </cell>
          <cell r="G190" t="str">
            <v>女性</v>
          </cell>
          <cell r="H190" t="str">
            <v>yellow</v>
          </cell>
          <cell r="I190">
            <v>5</v>
          </cell>
          <cell r="J190" t="str">
            <v>PremiumN</v>
          </cell>
          <cell r="K190" t="str">
            <v>attack</v>
          </cell>
          <cell r="L190" t="str">
            <v>攻撃タイプ</v>
          </cell>
          <cell r="M190" t="str">
            <v>animal</v>
          </cell>
        </row>
        <row r="191">
          <cell r="A191">
            <v>190</v>
          </cell>
          <cell r="B191" t="str">
            <v>ja</v>
          </cell>
          <cell r="C191" t="str">
            <v>卑弥呼</v>
          </cell>
          <cell r="D191" t="str">
            <v>初期ガチャ</v>
          </cell>
          <cell r="E191" t="str">
            <v>守護者</v>
          </cell>
          <cell r="F191" t="str">
            <v>美しい</v>
          </cell>
          <cell r="G191" t="str">
            <v>女性</v>
          </cell>
          <cell r="H191" t="str">
            <v>red</v>
          </cell>
          <cell r="I191">
            <v>3</v>
          </cell>
          <cell r="J191" t="str">
            <v>PremiumN</v>
          </cell>
          <cell r="K191" t="str">
            <v>balance</v>
          </cell>
          <cell r="L191" t="str">
            <v>バランスタイプ</v>
          </cell>
          <cell r="M191" t="str">
            <v>human</v>
          </cell>
        </row>
        <row r="192">
          <cell r="A192">
            <v>191</v>
          </cell>
          <cell r="B192" t="str">
            <v>ja</v>
          </cell>
          <cell r="C192" t="str">
            <v>始祖 卑弥呼</v>
          </cell>
          <cell r="D192" t="str">
            <v>初期ガチャ</v>
          </cell>
          <cell r="E192" t="str">
            <v>守護者</v>
          </cell>
          <cell r="F192" t="str">
            <v>美しい</v>
          </cell>
          <cell r="G192" t="str">
            <v>女性</v>
          </cell>
          <cell r="H192" t="str">
            <v>red</v>
          </cell>
          <cell r="I192">
            <v>4</v>
          </cell>
          <cell r="J192" t="str">
            <v>PremiumN</v>
          </cell>
          <cell r="K192" t="str">
            <v>balance</v>
          </cell>
          <cell r="L192" t="str">
            <v>バランスタイプ</v>
          </cell>
          <cell r="M192" t="str">
            <v>human</v>
          </cell>
        </row>
        <row r="193">
          <cell r="A193">
            <v>192</v>
          </cell>
          <cell r="B193" t="str">
            <v>ja</v>
          </cell>
          <cell r="C193" t="str">
            <v>荘厳なる始祖帝 卑弥呼</v>
          </cell>
          <cell r="D193" t="str">
            <v>初期ガチャ</v>
          </cell>
          <cell r="E193" t="str">
            <v>守護者</v>
          </cell>
          <cell r="F193" t="str">
            <v>美しい</v>
          </cell>
          <cell r="G193" t="str">
            <v>女性</v>
          </cell>
          <cell r="H193" t="str">
            <v>red</v>
          </cell>
          <cell r="I193">
            <v>5</v>
          </cell>
          <cell r="J193" t="str">
            <v>PremiumN</v>
          </cell>
          <cell r="K193" t="str">
            <v>balance</v>
          </cell>
          <cell r="L193" t="str">
            <v>バランスタイプ</v>
          </cell>
          <cell r="M193" t="str">
            <v>human</v>
          </cell>
        </row>
        <row r="194">
          <cell r="A194">
            <v>193</v>
          </cell>
          <cell r="B194" t="str">
            <v>ja</v>
          </cell>
          <cell r="C194" t="str">
            <v>ロビンフッド</v>
          </cell>
          <cell r="D194" t="str">
            <v>初期ガチャ</v>
          </cell>
          <cell r="E194" t="str">
            <v>守護者</v>
          </cell>
          <cell r="F194" t="str">
            <v>可愛い</v>
          </cell>
          <cell r="G194" t="str">
            <v>女性</v>
          </cell>
          <cell r="H194" t="str">
            <v>green</v>
          </cell>
          <cell r="I194">
            <v>3</v>
          </cell>
          <cell r="J194" t="str">
            <v>PremiumN</v>
          </cell>
          <cell r="K194" t="str">
            <v>balance</v>
          </cell>
          <cell r="L194" t="str">
            <v>バランスタイプ</v>
          </cell>
          <cell r="M194" t="str">
            <v>human</v>
          </cell>
        </row>
        <row r="195">
          <cell r="A195">
            <v>194</v>
          </cell>
          <cell r="B195" t="str">
            <v>ja</v>
          </cell>
          <cell r="C195" t="str">
            <v>スナイパー ロビンフッド</v>
          </cell>
          <cell r="D195" t="str">
            <v>初期ガチャ</v>
          </cell>
          <cell r="E195" t="str">
            <v>守護者</v>
          </cell>
          <cell r="F195" t="str">
            <v>可愛い</v>
          </cell>
          <cell r="G195" t="str">
            <v>女性</v>
          </cell>
          <cell r="H195" t="str">
            <v>green</v>
          </cell>
          <cell r="I195">
            <v>4</v>
          </cell>
          <cell r="J195" t="str">
            <v>PremiumN</v>
          </cell>
          <cell r="K195" t="str">
            <v>balance</v>
          </cell>
          <cell r="L195" t="str">
            <v>バランスタイプ</v>
          </cell>
          <cell r="M195" t="str">
            <v>human</v>
          </cell>
        </row>
        <row r="196">
          <cell r="A196">
            <v>195</v>
          </cell>
          <cell r="B196" t="str">
            <v>ja</v>
          </cell>
          <cell r="C196" t="str">
            <v>グランドハンター ロビンフッド</v>
          </cell>
          <cell r="D196" t="str">
            <v>初期ガチャ</v>
          </cell>
          <cell r="E196" t="str">
            <v>守護者</v>
          </cell>
          <cell r="F196" t="str">
            <v>可愛い</v>
          </cell>
          <cell r="G196" t="str">
            <v>女性</v>
          </cell>
          <cell r="H196" t="str">
            <v>green</v>
          </cell>
          <cell r="I196">
            <v>5</v>
          </cell>
          <cell r="J196" t="str">
            <v>PremiumN</v>
          </cell>
          <cell r="K196" t="str">
            <v>balance</v>
          </cell>
          <cell r="L196" t="str">
            <v>バランスタイプ</v>
          </cell>
          <cell r="M196" t="str">
            <v>human</v>
          </cell>
        </row>
        <row r="197">
          <cell r="A197">
            <v>196</v>
          </cell>
          <cell r="B197" t="str">
            <v>ja</v>
          </cell>
          <cell r="C197" t="str">
            <v>アキレス</v>
          </cell>
          <cell r="D197" t="str">
            <v>初期ガチャ</v>
          </cell>
          <cell r="E197" t="str">
            <v>守護者</v>
          </cell>
          <cell r="F197" t="str">
            <v>美しい</v>
          </cell>
          <cell r="G197" t="str">
            <v>女性</v>
          </cell>
          <cell r="H197" t="str">
            <v>yellow</v>
          </cell>
          <cell r="I197">
            <v>3</v>
          </cell>
          <cell r="J197" t="str">
            <v>PremiumN</v>
          </cell>
          <cell r="K197" t="str">
            <v>balance</v>
          </cell>
          <cell r="L197" t="str">
            <v>バランスタイプ</v>
          </cell>
          <cell r="M197" t="str">
            <v>human</v>
          </cell>
        </row>
        <row r="198">
          <cell r="A198">
            <v>197</v>
          </cell>
          <cell r="B198" t="str">
            <v>ja</v>
          </cell>
          <cell r="C198" t="str">
            <v>鉄腕 アキレス</v>
          </cell>
          <cell r="D198" t="str">
            <v>初期ガチャ</v>
          </cell>
          <cell r="E198" t="str">
            <v>守護者</v>
          </cell>
          <cell r="F198" t="str">
            <v>美しい</v>
          </cell>
          <cell r="G198" t="str">
            <v>女性</v>
          </cell>
          <cell r="H198" t="str">
            <v>yellow</v>
          </cell>
          <cell r="I198">
            <v>4</v>
          </cell>
          <cell r="J198" t="str">
            <v>PremiumN</v>
          </cell>
          <cell r="K198" t="str">
            <v>balance</v>
          </cell>
          <cell r="L198" t="str">
            <v>バランスタイプ</v>
          </cell>
          <cell r="M198" t="str">
            <v>human</v>
          </cell>
        </row>
        <row r="199">
          <cell r="A199">
            <v>198</v>
          </cell>
          <cell r="B199" t="str">
            <v>ja</v>
          </cell>
          <cell r="C199" t="str">
            <v>砕骨の剛腕 アキレス</v>
          </cell>
          <cell r="D199" t="str">
            <v>初期ガチャ</v>
          </cell>
          <cell r="E199" t="str">
            <v>守護者</v>
          </cell>
          <cell r="F199" t="str">
            <v>美しい</v>
          </cell>
          <cell r="G199" t="str">
            <v>女性</v>
          </cell>
          <cell r="H199" t="str">
            <v>yellow</v>
          </cell>
          <cell r="I199">
            <v>5</v>
          </cell>
          <cell r="J199" t="str">
            <v>PremiumN</v>
          </cell>
          <cell r="K199" t="str">
            <v>balance</v>
          </cell>
          <cell r="L199" t="str">
            <v>バランスタイプ</v>
          </cell>
          <cell r="M199" t="str">
            <v>human</v>
          </cell>
        </row>
        <row r="200">
          <cell r="A200">
            <v>199</v>
          </cell>
          <cell r="B200" t="str">
            <v>ja</v>
          </cell>
          <cell r="C200" t="str">
            <v>ジークフリート</v>
          </cell>
          <cell r="D200" t="str">
            <v>初期ガチャ</v>
          </cell>
          <cell r="E200" t="str">
            <v>守護者</v>
          </cell>
          <cell r="F200" t="str">
            <v>格好いい</v>
          </cell>
          <cell r="G200" t="str">
            <v>男性</v>
          </cell>
          <cell r="H200" t="str">
            <v>blue</v>
          </cell>
          <cell r="I200">
            <v>3</v>
          </cell>
          <cell r="J200" t="str">
            <v>PremiumN</v>
          </cell>
          <cell r="K200" t="str">
            <v>balance</v>
          </cell>
          <cell r="L200" t="str">
            <v>バランスタイプ</v>
          </cell>
          <cell r="M200" t="str">
            <v>human</v>
          </cell>
        </row>
        <row r="201">
          <cell r="A201">
            <v>200</v>
          </cell>
          <cell r="B201" t="str">
            <v>ja</v>
          </cell>
          <cell r="C201" t="str">
            <v>大剣士 ジークフリート</v>
          </cell>
          <cell r="D201" t="str">
            <v>初期ガチャ</v>
          </cell>
          <cell r="E201" t="str">
            <v>守護者</v>
          </cell>
          <cell r="F201" t="str">
            <v>格好いい</v>
          </cell>
          <cell r="G201" t="str">
            <v>男性</v>
          </cell>
          <cell r="H201" t="str">
            <v>blue</v>
          </cell>
          <cell r="I201">
            <v>4</v>
          </cell>
          <cell r="J201" t="str">
            <v>PremiumN</v>
          </cell>
          <cell r="K201" t="str">
            <v>balance</v>
          </cell>
          <cell r="L201" t="str">
            <v>バランスタイプ</v>
          </cell>
          <cell r="M201" t="str">
            <v>human</v>
          </cell>
        </row>
        <row r="202">
          <cell r="A202">
            <v>201</v>
          </cell>
          <cell r="B202" t="str">
            <v>ja</v>
          </cell>
          <cell r="C202" t="str">
            <v>斬空の大破剣 ジークフリート</v>
          </cell>
          <cell r="D202" t="str">
            <v>初期ガチャ</v>
          </cell>
          <cell r="E202" t="str">
            <v>守護者</v>
          </cell>
          <cell r="F202" t="str">
            <v>格好いい</v>
          </cell>
          <cell r="G202" t="str">
            <v>男性</v>
          </cell>
          <cell r="H202" t="str">
            <v>blue</v>
          </cell>
          <cell r="I202">
            <v>5</v>
          </cell>
          <cell r="J202" t="str">
            <v>PremiumN</v>
          </cell>
          <cell r="K202" t="str">
            <v>balance</v>
          </cell>
          <cell r="L202" t="str">
            <v>バランスタイプ</v>
          </cell>
          <cell r="M202" t="str">
            <v>human</v>
          </cell>
        </row>
        <row r="203">
          <cell r="A203">
            <v>202</v>
          </cell>
          <cell r="B203" t="str">
            <v>ja</v>
          </cell>
          <cell r="C203" t="str">
            <v>プロメテウス</v>
          </cell>
          <cell r="D203" t="str">
            <v>初期ガチャ</v>
          </cell>
          <cell r="E203" t="str">
            <v>管理者</v>
          </cell>
          <cell r="F203" t="str">
            <v>格好いい</v>
          </cell>
          <cell r="G203" t="str">
            <v>男性</v>
          </cell>
          <cell r="H203" t="str">
            <v>red</v>
          </cell>
          <cell r="I203">
            <v>3</v>
          </cell>
          <cell r="J203" t="str">
            <v>PremiumN</v>
          </cell>
          <cell r="K203" t="str">
            <v>hp</v>
          </cell>
          <cell r="L203" t="str">
            <v>体力タイプ</v>
          </cell>
          <cell r="M203" t="str">
            <v>god</v>
          </cell>
        </row>
        <row r="204">
          <cell r="A204">
            <v>203</v>
          </cell>
          <cell r="B204" t="str">
            <v>ja</v>
          </cell>
          <cell r="C204" t="str">
            <v>焔神 プロメテウス</v>
          </cell>
          <cell r="D204" t="str">
            <v>初期ガチャ</v>
          </cell>
          <cell r="E204" t="str">
            <v>管理者</v>
          </cell>
          <cell r="F204" t="str">
            <v>格好いい</v>
          </cell>
          <cell r="G204" t="str">
            <v>男性</v>
          </cell>
          <cell r="H204" t="str">
            <v>red</v>
          </cell>
          <cell r="I204">
            <v>4</v>
          </cell>
          <cell r="J204" t="str">
            <v>PremiumN</v>
          </cell>
          <cell r="K204" t="str">
            <v>hp</v>
          </cell>
          <cell r="L204" t="str">
            <v>体力タイプ</v>
          </cell>
          <cell r="M204" t="str">
            <v>god</v>
          </cell>
        </row>
        <row r="205">
          <cell r="A205">
            <v>204</v>
          </cell>
          <cell r="B205" t="str">
            <v>ja</v>
          </cell>
          <cell r="C205" t="str">
            <v>慟哭の巨焔 プロメテウス</v>
          </cell>
          <cell r="D205" t="str">
            <v>初期ガチャ</v>
          </cell>
          <cell r="E205" t="str">
            <v>管理者</v>
          </cell>
          <cell r="F205" t="str">
            <v>格好いい</v>
          </cell>
          <cell r="G205" t="str">
            <v>男性</v>
          </cell>
          <cell r="H205" t="str">
            <v>red</v>
          </cell>
          <cell r="I205">
            <v>5</v>
          </cell>
          <cell r="J205" t="str">
            <v>PremiumN</v>
          </cell>
          <cell r="K205" t="str">
            <v>hp</v>
          </cell>
          <cell r="L205" t="str">
            <v>体力タイプ</v>
          </cell>
          <cell r="M205" t="str">
            <v>god</v>
          </cell>
        </row>
        <row r="206">
          <cell r="A206">
            <v>205</v>
          </cell>
          <cell r="B206" t="str">
            <v>ja</v>
          </cell>
          <cell r="C206" t="str">
            <v>アフロディーテ</v>
          </cell>
          <cell r="D206" t="str">
            <v>初期ガチャ</v>
          </cell>
          <cell r="E206" t="str">
            <v>管理者</v>
          </cell>
          <cell r="F206" t="str">
            <v>可愛い</v>
          </cell>
          <cell r="G206" t="str">
            <v>女性</v>
          </cell>
          <cell r="H206" t="str">
            <v>green</v>
          </cell>
          <cell r="I206">
            <v>3</v>
          </cell>
          <cell r="J206" t="str">
            <v>PremiumN</v>
          </cell>
          <cell r="K206" t="str">
            <v>hp</v>
          </cell>
          <cell r="L206" t="str">
            <v>体力タイプ</v>
          </cell>
          <cell r="M206" t="str">
            <v>god</v>
          </cell>
        </row>
        <row r="207">
          <cell r="A207">
            <v>206</v>
          </cell>
          <cell r="B207" t="str">
            <v>ja</v>
          </cell>
          <cell r="C207" t="str">
            <v>美神 アフロディーテ</v>
          </cell>
          <cell r="D207" t="str">
            <v>初期ガチャ</v>
          </cell>
          <cell r="E207" t="str">
            <v>管理者</v>
          </cell>
          <cell r="F207" t="str">
            <v>可愛い</v>
          </cell>
          <cell r="G207" t="str">
            <v>女性</v>
          </cell>
          <cell r="H207" t="str">
            <v>green</v>
          </cell>
          <cell r="I207">
            <v>4</v>
          </cell>
          <cell r="J207" t="str">
            <v>PremiumN</v>
          </cell>
          <cell r="K207" t="str">
            <v>hp</v>
          </cell>
          <cell r="L207" t="str">
            <v>体力タイプ</v>
          </cell>
          <cell r="M207" t="str">
            <v>god</v>
          </cell>
        </row>
        <row r="208">
          <cell r="A208">
            <v>207</v>
          </cell>
          <cell r="B208" t="str">
            <v>ja</v>
          </cell>
          <cell r="C208" t="str">
            <v>豊穣の麗神・アフロディーテ</v>
          </cell>
          <cell r="D208" t="str">
            <v>初期ガチャ</v>
          </cell>
          <cell r="E208" t="str">
            <v>管理者</v>
          </cell>
          <cell r="F208" t="str">
            <v>可愛い</v>
          </cell>
          <cell r="G208" t="str">
            <v>女性</v>
          </cell>
          <cell r="H208" t="str">
            <v>green</v>
          </cell>
          <cell r="I208">
            <v>5</v>
          </cell>
          <cell r="J208" t="str">
            <v>PremiumN</v>
          </cell>
          <cell r="K208" t="str">
            <v>hp</v>
          </cell>
          <cell r="L208" t="str">
            <v>体力タイプ</v>
          </cell>
          <cell r="M208" t="str">
            <v>god</v>
          </cell>
        </row>
        <row r="209">
          <cell r="A209">
            <v>208</v>
          </cell>
          <cell r="B209" t="str">
            <v>ja</v>
          </cell>
          <cell r="C209" t="str">
            <v>テティス</v>
          </cell>
          <cell r="D209" t="str">
            <v>初期ガチャ</v>
          </cell>
          <cell r="E209" t="str">
            <v>管理者</v>
          </cell>
          <cell r="F209" t="str">
            <v>美しい</v>
          </cell>
          <cell r="G209" t="str">
            <v>女性</v>
          </cell>
          <cell r="H209" t="str">
            <v>blue</v>
          </cell>
          <cell r="I209">
            <v>3</v>
          </cell>
          <cell r="J209" t="str">
            <v>PremiumN</v>
          </cell>
          <cell r="K209" t="str">
            <v>hp</v>
          </cell>
          <cell r="L209" t="str">
            <v>体力タイプ</v>
          </cell>
          <cell r="M209" t="str">
            <v>god</v>
          </cell>
        </row>
        <row r="210">
          <cell r="A210">
            <v>209</v>
          </cell>
          <cell r="B210" t="str">
            <v>ja</v>
          </cell>
          <cell r="C210" t="str">
            <v>孤神 テティス</v>
          </cell>
          <cell r="D210" t="str">
            <v>初期ガチャ</v>
          </cell>
          <cell r="E210" t="str">
            <v>管理者</v>
          </cell>
          <cell r="F210" t="str">
            <v>美しい</v>
          </cell>
          <cell r="G210" t="str">
            <v>女性</v>
          </cell>
          <cell r="H210" t="str">
            <v>blue</v>
          </cell>
          <cell r="I210">
            <v>4</v>
          </cell>
          <cell r="J210" t="str">
            <v>PremiumN</v>
          </cell>
          <cell r="K210" t="str">
            <v>hp</v>
          </cell>
          <cell r="L210" t="str">
            <v>体力タイプ</v>
          </cell>
          <cell r="M210" t="str">
            <v>god</v>
          </cell>
        </row>
        <row r="211">
          <cell r="A211">
            <v>210</v>
          </cell>
          <cell r="B211" t="str">
            <v>ja</v>
          </cell>
          <cell r="C211" t="str">
            <v>海底の孤高神 テティス</v>
          </cell>
          <cell r="D211" t="str">
            <v>初期ガチャ</v>
          </cell>
          <cell r="E211" t="str">
            <v>管理者</v>
          </cell>
          <cell r="F211" t="str">
            <v>美しい</v>
          </cell>
          <cell r="G211" t="str">
            <v>女性</v>
          </cell>
          <cell r="H211" t="str">
            <v>blue</v>
          </cell>
          <cell r="I211">
            <v>5</v>
          </cell>
          <cell r="J211" t="str">
            <v>PremiumN</v>
          </cell>
          <cell r="K211" t="str">
            <v>hp</v>
          </cell>
          <cell r="L211" t="str">
            <v>体力タイプ</v>
          </cell>
          <cell r="M211" t="str">
            <v>god</v>
          </cell>
        </row>
        <row r="212">
          <cell r="A212">
            <v>211</v>
          </cell>
          <cell r="B212" t="str">
            <v>ja</v>
          </cell>
          <cell r="C212" t="str">
            <v>アストライアー</v>
          </cell>
          <cell r="D212" t="str">
            <v>初期ガチャ</v>
          </cell>
          <cell r="E212" t="str">
            <v>管理者</v>
          </cell>
          <cell r="F212" t="str">
            <v>美しい</v>
          </cell>
          <cell r="G212" t="str">
            <v>女性</v>
          </cell>
          <cell r="H212" t="str">
            <v>yellow</v>
          </cell>
          <cell r="I212">
            <v>3</v>
          </cell>
          <cell r="J212" t="str">
            <v>PremiumN</v>
          </cell>
          <cell r="K212" t="str">
            <v>balance</v>
          </cell>
          <cell r="L212" t="str">
            <v>バランスタイプ</v>
          </cell>
          <cell r="M212" t="str">
            <v>god</v>
          </cell>
        </row>
        <row r="213">
          <cell r="A213">
            <v>212</v>
          </cell>
          <cell r="B213" t="str">
            <v>ja</v>
          </cell>
          <cell r="C213" t="str">
            <v>星神 アストライアー</v>
          </cell>
          <cell r="D213" t="str">
            <v>初期ガチャ</v>
          </cell>
          <cell r="E213" t="str">
            <v>管理者</v>
          </cell>
          <cell r="F213" t="str">
            <v>美しい</v>
          </cell>
          <cell r="G213" t="str">
            <v>女性</v>
          </cell>
          <cell r="H213" t="str">
            <v>yellow</v>
          </cell>
          <cell r="I213">
            <v>4</v>
          </cell>
          <cell r="J213" t="str">
            <v>PremiumN</v>
          </cell>
          <cell r="K213" t="str">
            <v>balance</v>
          </cell>
          <cell r="L213" t="str">
            <v>バランスタイプ</v>
          </cell>
          <cell r="M213" t="str">
            <v>god</v>
          </cell>
        </row>
        <row r="214">
          <cell r="A214">
            <v>213</v>
          </cell>
          <cell r="B214" t="str">
            <v>ja</v>
          </cell>
          <cell r="C214" t="str">
            <v>満天の星降神 アストライアー</v>
          </cell>
          <cell r="D214" t="str">
            <v>初期ガチャ</v>
          </cell>
          <cell r="E214" t="str">
            <v>管理者</v>
          </cell>
          <cell r="F214" t="str">
            <v>美しい</v>
          </cell>
          <cell r="G214" t="str">
            <v>女性</v>
          </cell>
          <cell r="H214" t="str">
            <v>yellow</v>
          </cell>
          <cell r="I214">
            <v>5</v>
          </cell>
          <cell r="J214" t="str">
            <v>PremiumN</v>
          </cell>
          <cell r="K214" t="str">
            <v>balance</v>
          </cell>
          <cell r="L214" t="str">
            <v>バランスタイプ</v>
          </cell>
          <cell r="M214" t="str">
            <v>god</v>
          </cell>
        </row>
        <row r="215">
          <cell r="A215">
            <v>214</v>
          </cell>
          <cell r="B215" t="str">
            <v>ja</v>
          </cell>
          <cell r="C215" t="str">
            <v>アズラエル</v>
          </cell>
          <cell r="D215" t="str">
            <v>初期ガチャ</v>
          </cell>
          <cell r="E215" t="str">
            <v>管理者</v>
          </cell>
          <cell r="F215" t="str">
            <v>可愛い</v>
          </cell>
          <cell r="G215" t="str">
            <v>女性</v>
          </cell>
          <cell r="H215" t="str">
            <v>red</v>
          </cell>
          <cell r="I215">
            <v>3</v>
          </cell>
          <cell r="J215" t="str">
            <v>PremiumN</v>
          </cell>
          <cell r="K215" t="str">
            <v>balance</v>
          </cell>
          <cell r="L215" t="str">
            <v>バランスタイプ</v>
          </cell>
          <cell r="M215" t="str">
            <v>god</v>
          </cell>
        </row>
        <row r="216">
          <cell r="A216">
            <v>215</v>
          </cell>
          <cell r="B216" t="str">
            <v>ja</v>
          </cell>
          <cell r="C216" t="str">
            <v>死導者 アズラエル</v>
          </cell>
          <cell r="D216" t="str">
            <v>初期ガチャ</v>
          </cell>
          <cell r="E216" t="str">
            <v>管理者</v>
          </cell>
          <cell r="F216" t="str">
            <v>可愛い</v>
          </cell>
          <cell r="G216" t="str">
            <v>女性</v>
          </cell>
          <cell r="H216" t="str">
            <v>red</v>
          </cell>
          <cell r="I216">
            <v>4</v>
          </cell>
          <cell r="J216" t="str">
            <v>PremiumN</v>
          </cell>
          <cell r="K216" t="str">
            <v>balance</v>
          </cell>
          <cell r="L216" t="str">
            <v>バランスタイプ</v>
          </cell>
          <cell r="M216" t="str">
            <v>god</v>
          </cell>
        </row>
        <row r="217">
          <cell r="A217">
            <v>216</v>
          </cell>
          <cell r="B217" t="str">
            <v>ja</v>
          </cell>
          <cell r="C217" t="str">
            <v>百読の死導司書 アズラエル</v>
          </cell>
          <cell r="D217" t="str">
            <v>初期ガチャ</v>
          </cell>
          <cell r="E217" t="str">
            <v>管理者</v>
          </cell>
          <cell r="F217" t="str">
            <v>可愛い</v>
          </cell>
          <cell r="G217" t="str">
            <v>女性</v>
          </cell>
          <cell r="H217" t="str">
            <v>red</v>
          </cell>
          <cell r="I217">
            <v>5</v>
          </cell>
          <cell r="J217" t="str">
            <v>PremiumN</v>
          </cell>
          <cell r="K217" t="str">
            <v>balance</v>
          </cell>
          <cell r="L217" t="str">
            <v>バランスタイプ</v>
          </cell>
          <cell r="M217" t="str">
            <v>god</v>
          </cell>
        </row>
        <row r="218">
          <cell r="A218">
            <v>217</v>
          </cell>
          <cell r="B218" t="str">
            <v>ja</v>
          </cell>
          <cell r="C218" t="str">
            <v>ケツァクアトル</v>
          </cell>
          <cell r="D218" t="str">
            <v>初期ガチャ</v>
          </cell>
          <cell r="E218" t="str">
            <v>破界者</v>
          </cell>
          <cell r="F218" t="str">
            <v>美しい</v>
          </cell>
          <cell r="G218" t="str">
            <v>女性</v>
          </cell>
          <cell r="H218" t="str">
            <v>green</v>
          </cell>
          <cell r="I218">
            <v>3</v>
          </cell>
          <cell r="J218" t="str">
            <v>PremiumN</v>
          </cell>
          <cell r="K218" t="str">
            <v>hp</v>
          </cell>
          <cell r="L218" t="str">
            <v>体力タイプ</v>
          </cell>
          <cell r="M218" t="str">
            <v>dragon</v>
          </cell>
        </row>
        <row r="219">
          <cell r="A219">
            <v>218</v>
          </cell>
          <cell r="B219" t="str">
            <v>ja</v>
          </cell>
          <cell r="C219" t="str">
            <v>聖蛇 ケツァクアトル</v>
          </cell>
          <cell r="D219" t="str">
            <v>初期ガチャ</v>
          </cell>
          <cell r="E219" t="str">
            <v>破界者</v>
          </cell>
          <cell r="F219" t="str">
            <v>美しい</v>
          </cell>
          <cell r="G219" t="str">
            <v>女性</v>
          </cell>
          <cell r="H219" t="str">
            <v>green</v>
          </cell>
          <cell r="I219">
            <v>4</v>
          </cell>
          <cell r="J219" t="str">
            <v>PremiumN</v>
          </cell>
          <cell r="K219" t="str">
            <v>hp</v>
          </cell>
          <cell r="L219" t="str">
            <v>体力タイプ</v>
          </cell>
          <cell r="M219" t="str">
            <v>dragon</v>
          </cell>
        </row>
        <row r="220">
          <cell r="A220">
            <v>219</v>
          </cell>
          <cell r="B220" t="str">
            <v>ja</v>
          </cell>
          <cell r="C220" t="str">
            <v>覇翼の聖蛇竜 ケツァクアトル</v>
          </cell>
          <cell r="D220" t="str">
            <v>初期ガチャ</v>
          </cell>
          <cell r="E220" t="str">
            <v>破界者</v>
          </cell>
          <cell r="F220" t="str">
            <v>美しい</v>
          </cell>
          <cell r="G220" t="str">
            <v>女性</v>
          </cell>
          <cell r="H220" t="str">
            <v>green</v>
          </cell>
          <cell r="I220">
            <v>5</v>
          </cell>
          <cell r="J220" t="str">
            <v>PremiumN</v>
          </cell>
          <cell r="K220" t="str">
            <v>hp</v>
          </cell>
          <cell r="L220" t="str">
            <v>体力タイプ</v>
          </cell>
          <cell r="M220" t="str">
            <v>dragon</v>
          </cell>
        </row>
        <row r="221">
          <cell r="A221">
            <v>220</v>
          </cell>
          <cell r="B221" t="str">
            <v>ja</v>
          </cell>
          <cell r="C221" t="str">
            <v>ルキフグス</v>
          </cell>
          <cell r="D221" t="str">
            <v>初期ガチャ</v>
          </cell>
          <cell r="E221" t="str">
            <v>執行者</v>
          </cell>
          <cell r="F221" t="str">
            <v>美しい</v>
          </cell>
          <cell r="G221" t="str">
            <v>女性</v>
          </cell>
          <cell r="H221" t="str">
            <v>blue</v>
          </cell>
          <cell r="I221">
            <v>3</v>
          </cell>
          <cell r="J221" t="str">
            <v>PremiumN</v>
          </cell>
          <cell r="K221" t="str">
            <v>balance</v>
          </cell>
          <cell r="L221" t="str">
            <v>バランスタイプ</v>
          </cell>
          <cell r="M221" t="str">
            <v>god</v>
          </cell>
        </row>
        <row r="222">
          <cell r="A222">
            <v>221</v>
          </cell>
          <cell r="B222" t="str">
            <v>ja</v>
          </cell>
          <cell r="C222" t="str">
            <v>宰相 ルキフグス</v>
          </cell>
          <cell r="D222" t="str">
            <v>初期ガチャ</v>
          </cell>
          <cell r="E222" t="str">
            <v>執行者</v>
          </cell>
          <cell r="F222" t="str">
            <v>美しい</v>
          </cell>
          <cell r="G222" t="str">
            <v>女性</v>
          </cell>
          <cell r="H222" t="str">
            <v>blue</v>
          </cell>
          <cell r="I222">
            <v>4</v>
          </cell>
          <cell r="J222" t="str">
            <v>PremiumN</v>
          </cell>
          <cell r="K222" t="str">
            <v>balance</v>
          </cell>
          <cell r="L222" t="str">
            <v>バランスタイプ</v>
          </cell>
          <cell r="M222" t="str">
            <v>god</v>
          </cell>
        </row>
        <row r="223">
          <cell r="A223">
            <v>222</v>
          </cell>
          <cell r="B223" t="str">
            <v>ja</v>
          </cell>
          <cell r="C223" t="str">
            <v>避光の鉄鎖宰相 ルキフグス</v>
          </cell>
          <cell r="D223" t="str">
            <v>初期ガチャ</v>
          </cell>
          <cell r="E223" t="str">
            <v>執行者</v>
          </cell>
          <cell r="F223" t="str">
            <v>美しい</v>
          </cell>
          <cell r="G223" t="str">
            <v>女性</v>
          </cell>
          <cell r="H223" t="str">
            <v>blue</v>
          </cell>
          <cell r="I223">
            <v>5</v>
          </cell>
          <cell r="J223" t="str">
            <v>PremiumN</v>
          </cell>
          <cell r="K223" t="str">
            <v>balance</v>
          </cell>
          <cell r="L223" t="str">
            <v>バランスタイプ</v>
          </cell>
          <cell r="M223" t="str">
            <v>god</v>
          </cell>
        </row>
        <row r="224">
          <cell r="A224">
            <v>223</v>
          </cell>
          <cell r="B224" t="str">
            <v>ja</v>
          </cell>
          <cell r="C224" t="str">
            <v>ヘラクレス</v>
          </cell>
          <cell r="D224" t="str">
            <v>初期ガチャ</v>
          </cell>
          <cell r="E224" t="str">
            <v>守護者</v>
          </cell>
          <cell r="F224" t="str">
            <v>格好いい</v>
          </cell>
          <cell r="G224" t="str">
            <v>男性</v>
          </cell>
          <cell r="H224" t="str">
            <v>yellow</v>
          </cell>
          <cell r="I224">
            <v>3</v>
          </cell>
          <cell r="J224" t="str">
            <v>PremiumN</v>
          </cell>
          <cell r="K224" t="str">
            <v>balance</v>
          </cell>
          <cell r="L224" t="str">
            <v>バランスタイプ</v>
          </cell>
          <cell r="M224" t="str">
            <v>human</v>
          </cell>
        </row>
        <row r="225">
          <cell r="A225">
            <v>224</v>
          </cell>
          <cell r="B225" t="str">
            <v>ja</v>
          </cell>
          <cell r="C225" t="str">
            <v>巨腕 ヘラクレス</v>
          </cell>
          <cell r="D225" t="str">
            <v>初期ガチャ</v>
          </cell>
          <cell r="E225" t="str">
            <v>守護者</v>
          </cell>
          <cell r="F225" t="str">
            <v>格好いい</v>
          </cell>
          <cell r="G225" t="str">
            <v>男性</v>
          </cell>
          <cell r="H225" t="str">
            <v>yellow</v>
          </cell>
          <cell r="I225">
            <v>4</v>
          </cell>
          <cell r="J225" t="str">
            <v>PremiumN</v>
          </cell>
          <cell r="K225" t="str">
            <v>balance</v>
          </cell>
          <cell r="L225" t="str">
            <v>バランスタイプ</v>
          </cell>
          <cell r="M225" t="str">
            <v>human</v>
          </cell>
        </row>
        <row r="226">
          <cell r="A226">
            <v>225</v>
          </cell>
          <cell r="B226" t="str">
            <v>ja</v>
          </cell>
          <cell r="C226" t="str">
            <v>咆哮の巨獅腕 ヘラクレス</v>
          </cell>
          <cell r="D226" t="str">
            <v>初期ガチャ</v>
          </cell>
          <cell r="E226" t="str">
            <v>守護者</v>
          </cell>
          <cell r="F226" t="str">
            <v>格好いい</v>
          </cell>
          <cell r="G226" t="str">
            <v>男性</v>
          </cell>
          <cell r="H226" t="str">
            <v>yellow</v>
          </cell>
          <cell r="I226">
            <v>5</v>
          </cell>
          <cell r="J226" t="str">
            <v>PremiumN</v>
          </cell>
          <cell r="K226" t="str">
            <v>balance</v>
          </cell>
          <cell r="L226" t="str">
            <v>バランスタイプ</v>
          </cell>
          <cell r="M226" t="str">
            <v>human</v>
          </cell>
        </row>
        <row r="227">
          <cell r="A227">
            <v>226</v>
          </cell>
          <cell r="B227" t="str">
            <v>ja</v>
          </cell>
          <cell r="C227" t="str">
            <v>アレス</v>
          </cell>
          <cell r="D227" t="str">
            <v>初期ガチャ</v>
          </cell>
          <cell r="E227" t="str">
            <v>管理者</v>
          </cell>
          <cell r="F227" t="str">
            <v>格好いい</v>
          </cell>
          <cell r="G227" t="str">
            <v>男性</v>
          </cell>
          <cell r="H227" t="str">
            <v>red</v>
          </cell>
          <cell r="I227">
            <v>3</v>
          </cell>
          <cell r="J227" t="str">
            <v>PremiumS</v>
          </cell>
          <cell r="K227" t="str">
            <v>attack</v>
          </cell>
          <cell r="L227" t="str">
            <v>攻撃タイプ</v>
          </cell>
          <cell r="M227" t="str">
            <v>god</v>
          </cell>
        </row>
        <row r="228">
          <cell r="A228">
            <v>227</v>
          </cell>
          <cell r="B228" t="str">
            <v>ja</v>
          </cell>
          <cell r="C228" t="str">
            <v>滅弾 アレス</v>
          </cell>
          <cell r="D228" t="str">
            <v>初期ガチャ</v>
          </cell>
          <cell r="E228" t="str">
            <v>管理者</v>
          </cell>
          <cell r="F228" t="str">
            <v>格好いい</v>
          </cell>
          <cell r="G228" t="str">
            <v>男性</v>
          </cell>
          <cell r="H228" t="str">
            <v>red</v>
          </cell>
          <cell r="I228">
            <v>4</v>
          </cell>
          <cell r="J228" t="str">
            <v>PremiumS</v>
          </cell>
          <cell r="K228" t="str">
            <v>attack</v>
          </cell>
          <cell r="L228" t="str">
            <v>攻撃タイプ</v>
          </cell>
          <cell r="M228" t="str">
            <v>god</v>
          </cell>
        </row>
        <row r="229">
          <cell r="A229">
            <v>228</v>
          </cell>
          <cell r="B229" t="str">
            <v>ja</v>
          </cell>
          <cell r="C229" t="str">
            <v>殲滅の掃射砲 アレス</v>
          </cell>
          <cell r="D229" t="str">
            <v>初期ガチャ</v>
          </cell>
          <cell r="E229" t="str">
            <v>管理者</v>
          </cell>
          <cell r="F229" t="str">
            <v>格好いい</v>
          </cell>
          <cell r="G229" t="str">
            <v>男性</v>
          </cell>
          <cell r="H229" t="str">
            <v>red</v>
          </cell>
          <cell r="I229">
            <v>5</v>
          </cell>
          <cell r="J229" t="str">
            <v>PremiumS</v>
          </cell>
          <cell r="K229" t="str">
            <v>attack</v>
          </cell>
          <cell r="L229" t="str">
            <v>攻撃タイプ</v>
          </cell>
          <cell r="M229" t="str">
            <v>god</v>
          </cell>
        </row>
        <row r="230">
          <cell r="A230">
            <v>229</v>
          </cell>
          <cell r="B230" t="str">
            <v>ja</v>
          </cell>
          <cell r="C230" t="str">
            <v>ヨルムンガンド</v>
          </cell>
          <cell r="D230" t="str">
            <v>初期ガチャ</v>
          </cell>
          <cell r="E230" t="str">
            <v>破界者</v>
          </cell>
          <cell r="F230" t="str">
            <v>可愛い</v>
          </cell>
          <cell r="G230" t="str">
            <v>女性</v>
          </cell>
          <cell r="H230" t="str">
            <v>green</v>
          </cell>
          <cell r="I230">
            <v>3</v>
          </cell>
          <cell r="J230" t="str">
            <v>PremiumS</v>
          </cell>
          <cell r="K230" t="str">
            <v>technical</v>
          </cell>
          <cell r="L230" t="str">
            <v>テクニカルタイプ</v>
          </cell>
          <cell r="M230" t="str">
            <v>dragon</v>
          </cell>
        </row>
        <row r="231">
          <cell r="A231">
            <v>230</v>
          </cell>
          <cell r="B231" t="str">
            <v>ja</v>
          </cell>
          <cell r="C231" t="str">
            <v>毒銃 ヨルムンガンド</v>
          </cell>
          <cell r="D231" t="str">
            <v>初期ガチャ</v>
          </cell>
          <cell r="E231" t="str">
            <v>破界者</v>
          </cell>
          <cell r="F231" t="str">
            <v>可愛い</v>
          </cell>
          <cell r="G231" t="str">
            <v>女性</v>
          </cell>
          <cell r="H231" t="str">
            <v>green</v>
          </cell>
          <cell r="I231">
            <v>4</v>
          </cell>
          <cell r="J231" t="str">
            <v>PremiumS</v>
          </cell>
          <cell r="K231" t="str">
            <v>technical</v>
          </cell>
          <cell r="L231" t="str">
            <v>テクニカルタイプ</v>
          </cell>
          <cell r="M231" t="str">
            <v>dragon</v>
          </cell>
        </row>
        <row r="232">
          <cell r="A232">
            <v>231</v>
          </cell>
          <cell r="B232" t="str">
            <v>ja</v>
          </cell>
          <cell r="C232" t="str">
            <v>必中の咬銃 ヨルムンガンド</v>
          </cell>
          <cell r="D232" t="str">
            <v>初期ガチャ</v>
          </cell>
          <cell r="E232" t="str">
            <v>破界者</v>
          </cell>
          <cell r="F232" t="str">
            <v>可愛い</v>
          </cell>
          <cell r="G232" t="str">
            <v>女性</v>
          </cell>
          <cell r="H232" t="str">
            <v>green</v>
          </cell>
          <cell r="I232">
            <v>5</v>
          </cell>
          <cell r="J232" t="str">
            <v>PremiumS</v>
          </cell>
          <cell r="K232" t="str">
            <v>technical</v>
          </cell>
          <cell r="L232" t="str">
            <v>テクニカルタイプ</v>
          </cell>
          <cell r="M232" t="str">
            <v>dragon</v>
          </cell>
        </row>
        <row r="233">
          <cell r="A233">
            <v>232</v>
          </cell>
          <cell r="B233" t="str">
            <v>ja</v>
          </cell>
          <cell r="C233" t="str">
            <v>パーシヴァル</v>
          </cell>
          <cell r="D233" t="str">
            <v>初期ガチャ</v>
          </cell>
          <cell r="E233" t="str">
            <v>守護者</v>
          </cell>
          <cell r="F233" t="str">
            <v>美しい</v>
          </cell>
          <cell r="G233" t="str">
            <v>女性</v>
          </cell>
          <cell r="H233" t="str">
            <v>blue</v>
          </cell>
          <cell r="I233">
            <v>3</v>
          </cell>
          <cell r="J233" t="str">
            <v>PremiumS</v>
          </cell>
          <cell r="K233" t="str">
            <v>technical</v>
          </cell>
          <cell r="L233" t="str">
            <v>テクニカルタイプ</v>
          </cell>
          <cell r="M233" t="str">
            <v>human</v>
          </cell>
        </row>
        <row r="234">
          <cell r="A234">
            <v>233</v>
          </cell>
          <cell r="B234" t="str">
            <v>ja</v>
          </cell>
          <cell r="C234" t="str">
            <v>遂行 パーシヴァル</v>
          </cell>
          <cell r="D234" t="str">
            <v>初期ガチャ</v>
          </cell>
          <cell r="E234" t="str">
            <v>守護者</v>
          </cell>
          <cell r="F234" t="str">
            <v>美しい</v>
          </cell>
          <cell r="G234" t="str">
            <v>女性</v>
          </cell>
          <cell r="H234" t="str">
            <v>blue</v>
          </cell>
          <cell r="I234">
            <v>4</v>
          </cell>
          <cell r="J234" t="str">
            <v>PremiumS</v>
          </cell>
          <cell r="K234" t="str">
            <v>technical</v>
          </cell>
          <cell r="L234" t="str">
            <v>テクニカルタイプ</v>
          </cell>
          <cell r="M234" t="str">
            <v>human</v>
          </cell>
        </row>
        <row r="235">
          <cell r="A235">
            <v>234</v>
          </cell>
          <cell r="B235" t="str">
            <v>ja</v>
          </cell>
          <cell r="C235" t="str">
            <v>精密なる照準 パーシヴァル</v>
          </cell>
          <cell r="D235" t="str">
            <v>初期ガチャ</v>
          </cell>
          <cell r="E235" t="str">
            <v>守護者</v>
          </cell>
          <cell r="F235" t="str">
            <v>美しい</v>
          </cell>
          <cell r="G235" t="str">
            <v>女性</v>
          </cell>
          <cell r="H235" t="str">
            <v>blue</v>
          </cell>
          <cell r="I235">
            <v>5</v>
          </cell>
          <cell r="J235" t="str">
            <v>PremiumS</v>
          </cell>
          <cell r="K235" t="str">
            <v>technical</v>
          </cell>
          <cell r="L235" t="str">
            <v>テクニカルタイプ</v>
          </cell>
          <cell r="M235" t="str">
            <v>human</v>
          </cell>
        </row>
        <row r="236">
          <cell r="A236">
            <v>235</v>
          </cell>
          <cell r="B236" t="str">
            <v>ja</v>
          </cell>
          <cell r="C236" t="str">
            <v>イザナミ</v>
          </cell>
          <cell r="D236" t="str">
            <v>初期ガチャ</v>
          </cell>
          <cell r="E236" t="str">
            <v>執行者</v>
          </cell>
          <cell r="F236" t="str">
            <v>美しい</v>
          </cell>
          <cell r="G236" t="str">
            <v>女性</v>
          </cell>
          <cell r="H236" t="str">
            <v>yellow</v>
          </cell>
          <cell r="I236">
            <v>3</v>
          </cell>
          <cell r="J236" t="str">
            <v>PremiumS</v>
          </cell>
          <cell r="K236" t="str">
            <v>attack</v>
          </cell>
          <cell r="L236" t="str">
            <v>攻撃タイプ</v>
          </cell>
          <cell r="M236" t="str">
            <v>god</v>
          </cell>
        </row>
        <row r="237">
          <cell r="A237">
            <v>236</v>
          </cell>
          <cell r="B237" t="str">
            <v>ja</v>
          </cell>
          <cell r="C237" t="str">
            <v>神産 イザナミ</v>
          </cell>
          <cell r="D237" t="str">
            <v>初期ガチャ</v>
          </cell>
          <cell r="E237" t="str">
            <v>執行者</v>
          </cell>
          <cell r="F237" t="str">
            <v>美しい</v>
          </cell>
          <cell r="G237" t="str">
            <v>女性</v>
          </cell>
          <cell r="H237" t="str">
            <v>yellow</v>
          </cell>
          <cell r="I237">
            <v>4</v>
          </cell>
          <cell r="J237" t="str">
            <v>PremiumS</v>
          </cell>
          <cell r="K237" t="str">
            <v>attack</v>
          </cell>
          <cell r="L237" t="str">
            <v>攻撃タイプ</v>
          </cell>
          <cell r="M237" t="str">
            <v>god</v>
          </cell>
        </row>
        <row r="238">
          <cell r="A238">
            <v>237</v>
          </cell>
          <cell r="B238" t="str">
            <v>ja</v>
          </cell>
          <cell r="C238" t="str">
            <v>森羅万象の神母 イザナミ</v>
          </cell>
          <cell r="D238" t="str">
            <v>初期ガチャ</v>
          </cell>
          <cell r="E238" t="str">
            <v>執行者</v>
          </cell>
          <cell r="F238" t="str">
            <v>美しい</v>
          </cell>
          <cell r="G238" t="str">
            <v>女性</v>
          </cell>
          <cell r="H238" t="str">
            <v>yellow</v>
          </cell>
          <cell r="I238">
            <v>5</v>
          </cell>
          <cell r="J238" t="str">
            <v>PremiumS</v>
          </cell>
          <cell r="K238" t="str">
            <v>attack</v>
          </cell>
          <cell r="L238" t="str">
            <v>攻撃タイプ</v>
          </cell>
          <cell r="M238" t="str">
            <v>god</v>
          </cell>
        </row>
        <row r="239">
          <cell r="A239">
            <v>238</v>
          </cell>
          <cell r="B239" t="str">
            <v>ja</v>
          </cell>
          <cell r="C239" t="str">
            <v>ウリエル</v>
          </cell>
          <cell r="D239" t="str">
            <v>ガチャ:天使01</v>
          </cell>
          <cell r="E239" t="str">
            <v>管理者</v>
          </cell>
          <cell r="F239" t="str">
            <v>美しい</v>
          </cell>
          <cell r="G239" t="str">
            <v>女性</v>
          </cell>
          <cell r="H239" t="str">
            <v>red</v>
          </cell>
          <cell r="I239">
            <v>3</v>
          </cell>
          <cell r="J239" t="str">
            <v>PremiumS</v>
          </cell>
          <cell r="K239" t="str">
            <v>hp</v>
          </cell>
          <cell r="L239" t="str">
            <v>体力タイプ</v>
          </cell>
          <cell r="M239" t="str">
            <v>machine</v>
          </cell>
        </row>
        <row r="240">
          <cell r="A240">
            <v>239</v>
          </cell>
          <cell r="B240" t="str">
            <v>ja</v>
          </cell>
          <cell r="C240" t="str">
            <v>豪炎の天使 ウリエル</v>
          </cell>
          <cell r="D240" t="str">
            <v>ガチャ:天使01</v>
          </cell>
          <cell r="E240" t="str">
            <v>管理者</v>
          </cell>
          <cell r="F240" t="str">
            <v>美しい</v>
          </cell>
          <cell r="G240" t="str">
            <v>女性</v>
          </cell>
          <cell r="H240" t="str">
            <v>red</v>
          </cell>
          <cell r="I240">
            <v>4</v>
          </cell>
          <cell r="J240" t="str">
            <v>PremiumS</v>
          </cell>
          <cell r="K240" t="str">
            <v>hp</v>
          </cell>
          <cell r="L240" t="str">
            <v>体力タイプ</v>
          </cell>
          <cell r="M240" t="str">
            <v>machine</v>
          </cell>
        </row>
        <row r="241">
          <cell r="A241">
            <v>240</v>
          </cell>
          <cell r="B241" t="str">
            <v>ja</v>
          </cell>
          <cell r="C241" t="str">
            <v>轟炎の天使 ウリエル・スレイヤー</v>
          </cell>
          <cell r="D241" t="str">
            <v>ガチャ:天使01</v>
          </cell>
          <cell r="E241" t="str">
            <v>管理者</v>
          </cell>
          <cell r="F241" t="str">
            <v>美しい</v>
          </cell>
          <cell r="G241" t="str">
            <v>女性</v>
          </cell>
          <cell r="H241" t="str">
            <v>red</v>
          </cell>
          <cell r="I241">
            <v>5</v>
          </cell>
          <cell r="J241" t="str">
            <v>PremiumS</v>
          </cell>
          <cell r="K241" t="str">
            <v>hp</v>
          </cell>
          <cell r="L241" t="str">
            <v>体力タイプ</v>
          </cell>
          <cell r="M241" t="str">
            <v>machine</v>
          </cell>
        </row>
        <row r="242">
          <cell r="A242">
            <v>241</v>
          </cell>
          <cell r="B242" t="str">
            <v>ja</v>
          </cell>
          <cell r="C242" t="str">
            <v>ガブリエル</v>
          </cell>
          <cell r="D242" t="str">
            <v>ガチャ:天使01</v>
          </cell>
          <cell r="E242" t="str">
            <v>管理者</v>
          </cell>
          <cell r="F242" t="str">
            <v>美しい</v>
          </cell>
          <cell r="G242" t="str">
            <v>女性</v>
          </cell>
          <cell r="H242" t="str">
            <v>green</v>
          </cell>
          <cell r="I242">
            <v>3</v>
          </cell>
          <cell r="J242" t="str">
            <v>PremiumS</v>
          </cell>
          <cell r="K242" t="str">
            <v>balance</v>
          </cell>
          <cell r="L242" t="str">
            <v>バランスタイプ</v>
          </cell>
          <cell r="M242" t="str">
            <v>machine</v>
          </cell>
        </row>
        <row r="243">
          <cell r="A243">
            <v>242</v>
          </cell>
          <cell r="B243" t="str">
            <v>ja</v>
          </cell>
          <cell r="C243" t="str">
            <v>百花の天使 ガブリエル</v>
          </cell>
          <cell r="D243" t="str">
            <v>ガチャ:天使01</v>
          </cell>
          <cell r="E243" t="str">
            <v>管理者</v>
          </cell>
          <cell r="F243" t="str">
            <v>美しい</v>
          </cell>
          <cell r="G243" t="str">
            <v>女性</v>
          </cell>
          <cell r="H243" t="str">
            <v>green</v>
          </cell>
          <cell r="I243">
            <v>4</v>
          </cell>
          <cell r="J243" t="str">
            <v>PremiumS</v>
          </cell>
          <cell r="K243" t="str">
            <v>balance</v>
          </cell>
          <cell r="L243" t="str">
            <v>バランスタイプ</v>
          </cell>
          <cell r="M243" t="str">
            <v>machine</v>
          </cell>
        </row>
        <row r="244">
          <cell r="A244">
            <v>243</v>
          </cell>
          <cell r="B244" t="str">
            <v>ja</v>
          </cell>
          <cell r="C244" t="str">
            <v>万花の天使 ガブリエル・ブルーム</v>
          </cell>
          <cell r="D244" t="str">
            <v>ガチャ:天使01</v>
          </cell>
          <cell r="E244" t="str">
            <v>管理者</v>
          </cell>
          <cell r="F244" t="str">
            <v>美しい</v>
          </cell>
          <cell r="G244" t="str">
            <v>女性</v>
          </cell>
          <cell r="H244" t="str">
            <v>green</v>
          </cell>
          <cell r="I244">
            <v>5</v>
          </cell>
          <cell r="J244" t="str">
            <v>PremiumS</v>
          </cell>
          <cell r="K244" t="str">
            <v>balance</v>
          </cell>
          <cell r="L244" t="str">
            <v>バランスタイプ</v>
          </cell>
          <cell r="M244" t="str">
            <v>machine</v>
          </cell>
        </row>
        <row r="245">
          <cell r="A245">
            <v>244</v>
          </cell>
          <cell r="B245" t="str">
            <v>ja</v>
          </cell>
          <cell r="C245" t="str">
            <v>ラファエル</v>
          </cell>
          <cell r="D245" t="str">
            <v>ガチャ:天使01</v>
          </cell>
          <cell r="E245" t="str">
            <v>管理者</v>
          </cell>
          <cell r="F245" t="str">
            <v>美しい</v>
          </cell>
          <cell r="G245" t="str">
            <v>女性</v>
          </cell>
          <cell r="H245" t="str">
            <v>blue</v>
          </cell>
          <cell r="I245">
            <v>3</v>
          </cell>
          <cell r="J245" t="str">
            <v>PremiumS</v>
          </cell>
          <cell r="K245" t="str">
            <v>balance</v>
          </cell>
          <cell r="L245" t="str">
            <v>バランスタイプ</v>
          </cell>
          <cell r="M245" t="str">
            <v>machine</v>
          </cell>
        </row>
        <row r="246">
          <cell r="A246">
            <v>245</v>
          </cell>
          <cell r="B246" t="str">
            <v>ja</v>
          </cell>
          <cell r="C246" t="str">
            <v>鎮癒の天使 ラファエル</v>
          </cell>
          <cell r="D246" t="str">
            <v>ガチャ:天使01</v>
          </cell>
          <cell r="E246" t="str">
            <v>管理者</v>
          </cell>
          <cell r="F246" t="str">
            <v>美しい</v>
          </cell>
          <cell r="G246" t="str">
            <v>女性</v>
          </cell>
          <cell r="H246" t="str">
            <v>blue</v>
          </cell>
          <cell r="I246">
            <v>4</v>
          </cell>
          <cell r="J246" t="str">
            <v>PremiumS</v>
          </cell>
          <cell r="K246" t="str">
            <v>balance</v>
          </cell>
          <cell r="L246" t="str">
            <v>バランスタイプ</v>
          </cell>
          <cell r="M246" t="str">
            <v>machine</v>
          </cell>
        </row>
        <row r="247">
          <cell r="A247">
            <v>246</v>
          </cell>
          <cell r="B247" t="str">
            <v>ja</v>
          </cell>
          <cell r="C247" t="str">
            <v>真癒の天使 ラファエル・メディカ</v>
          </cell>
          <cell r="D247" t="str">
            <v>ガチャ:天使01</v>
          </cell>
          <cell r="E247" t="str">
            <v>管理者</v>
          </cell>
          <cell r="F247" t="str">
            <v>美しい</v>
          </cell>
          <cell r="G247" t="str">
            <v>女性</v>
          </cell>
          <cell r="H247" t="str">
            <v>blue</v>
          </cell>
          <cell r="I247">
            <v>5</v>
          </cell>
          <cell r="J247" t="str">
            <v>PremiumS</v>
          </cell>
          <cell r="K247" t="str">
            <v>balance</v>
          </cell>
          <cell r="L247" t="str">
            <v>バランスタイプ</v>
          </cell>
          <cell r="M247" t="str">
            <v>machine</v>
          </cell>
        </row>
        <row r="248">
          <cell r="A248">
            <v>247</v>
          </cell>
          <cell r="B248" t="str">
            <v>ja</v>
          </cell>
          <cell r="C248" t="str">
            <v>ミカエル</v>
          </cell>
          <cell r="D248" t="str">
            <v>ガチャ:天使01</v>
          </cell>
          <cell r="E248" t="str">
            <v>管理者</v>
          </cell>
          <cell r="F248" t="str">
            <v>可愛い</v>
          </cell>
          <cell r="G248" t="str">
            <v>女性</v>
          </cell>
          <cell r="H248" t="str">
            <v>yellow</v>
          </cell>
          <cell r="I248">
            <v>3</v>
          </cell>
          <cell r="J248" t="str">
            <v>PremiumS</v>
          </cell>
          <cell r="K248" t="str">
            <v>attack</v>
          </cell>
          <cell r="L248" t="str">
            <v>攻撃タイプ</v>
          </cell>
          <cell r="M248" t="str">
            <v>machine</v>
          </cell>
        </row>
        <row r="249">
          <cell r="A249">
            <v>248</v>
          </cell>
          <cell r="B249" t="str">
            <v>ja</v>
          </cell>
          <cell r="C249" t="str">
            <v>彩電の天使 ミカエル</v>
          </cell>
          <cell r="D249" t="str">
            <v>ガチャ:天使01</v>
          </cell>
          <cell r="E249" t="str">
            <v>管理者</v>
          </cell>
          <cell r="F249" t="str">
            <v>可愛い</v>
          </cell>
          <cell r="G249" t="str">
            <v>女性</v>
          </cell>
          <cell r="H249" t="str">
            <v>yellow</v>
          </cell>
          <cell r="I249">
            <v>4</v>
          </cell>
          <cell r="J249" t="str">
            <v>PremiumS</v>
          </cell>
          <cell r="K249" t="str">
            <v>attack</v>
          </cell>
          <cell r="L249" t="str">
            <v>攻撃タイプ</v>
          </cell>
          <cell r="M249" t="str">
            <v>machine</v>
          </cell>
        </row>
        <row r="250">
          <cell r="A250">
            <v>249</v>
          </cell>
          <cell r="B250" t="str">
            <v>ja</v>
          </cell>
          <cell r="C250" t="str">
            <v>雷電の天使 ミカエル・ゲイナー</v>
          </cell>
          <cell r="D250" t="str">
            <v>ガチャ:天使01</v>
          </cell>
          <cell r="E250" t="str">
            <v>管理者</v>
          </cell>
          <cell r="F250" t="str">
            <v>可愛い</v>
          </cell>
          <cell r="G250" t="str">
            <v>女性</v>
          </cell>
          <cell r="H250" t="str">
            <v>yellow</v>
          </cell>
          <cell r="I250">
            <v>5</v>
          </cell>
          <cell r="J250" t="str">
            <v>PremiumS</v>
          </cell>
          <cell r="K250" t="str">
            <v>attack</v>
          </cell>
          <cell r="L250" t="str">
            <v>攻撃タイプ</v>
          </cell>
          <cell r="M250" t="str">
            <v>machine</v>
          </cell>
        </row>
        <row r="251">
          <cell r="A251">
            <v>250</v>
          </cell>
          <cell r="B251" t="str">
            <v>ja</v>
          </cell>
          <cell r="C251" t="str">
            <v>マンモン</v>
          </cell>
          <cell r="D251" t="str">
            <v>ガチャ:7つの大罪01</v>
          </cell>
          <cell r="E251" t="str">
            <v>執行者</v>
          </cell>
          <cell r="F251" t="str">
            <v>美しい</v>
          </cell>
          <cell r="G251" t="str">
            <v>女性</v>
          </cell>
          <cell r="H251" t="str">
            <v>red</v>
          </cell>
          <cell r="I251">
            <v>3</v>
          </cell>
          <cell r="J251" t="str">
            <v>PremiumS</v>
          </cell>
          <cell r="K251" t="str">
            <v>balance</v>
          </cell>
          <cell r="L251" t="str">
            <v>バランスタイプ</v>
          </cell>
          <cell r="M251" t="str">
            <v>god</v>
          </cell>
        </row>
        <row r="252">
          <cell r="A252">
            <v>251</v>
          </cell>
          <cell r="B252" t="str">
            <v>ja</v>
          </cell>
          <cell r="C252" t="str">
            <v>強欲 マンモン</v>
          </cell>
          <cell r="D252" t="str">
            <v>ガチャ:7つの大罪01</v>
          </cell>
          <cell r="E252" t="str">
            <v>執行者</v>
          </cell>
          <cell r="F252" t="str">
            <v>美しい</v>
          </cell>
          <cell r="G252" t="str">
            <v>女性</v>
          </cell>
          <cell r="H252" t="str">
            <v>red</v>
          </cell>
          <cell r="I252">
            <v>4</v>
          </cell>
          <cell r="J252" t="str">
            <v>PremiumS</v>
          </cell>
          <cell r="K252" t="str">
            <v>balance</v>
          </cell>
          <cell r="L252" t="str">
            <v>バランスタイプ</v>
          </cell>
          <cell r="M252" t="str">
            <v>god</v>
          </cell>
        </row>
        <row r="253">
          <cell r="A253">
            <v>252</v>
          </cell>
          <cell r="B253" t="str">
            <v>ja</v>
          </cell>
          <cell r="C253" t="str">
            <v>強欲の沸騰 マンモン</v>
          </cell>
          <cell r="D253" t="str">
            <v>ガチャ:7つの大罪01</v>
          </cell>
          <cell r="E253" t="str">
            <v>執行者</v>
          </cell>
          <cell r="F253" t="str">
            <v>美しい</v>
          </cell>
          <cell r="G253" t="str">
            <v>女性</v>
          </cell>
          <cell r="H253" t="str">
            <v>red</v>
          </cell>
          <cell r="I253">
            <v>5</v>
          </cell>
          <cell r="J253" t="str">
            <v>PremiumS</v>
          </cell>
          <cell r="K253" t="str">
            <v>balance</v>
          </cell>
          <cell r="L253" t="str">
            <v>バランスタイプ</v>
          </cell>
          <cell r="M253" t="str">
            <v>god</v>
          </cell>
        </row>
        <row r="254">
          <cell r="A254">
            <v>253</v>
          </cell>
          <cell r="B254" t="str">
            <v>ja</v>
          </cell>
          <cell r="C254" t="str">
            <v>ベルフェゴール</v>
          </cell>
          <cell r="D254" t="str">
            <v>ガチャ:7つの大罪01</v>
          </cell>
          <cell r="E254" t="str">
            <v>執行者</v>
          </cell>
          <cell r="F254" t="str">
            <v>可愛い</v>
          </cell>
          <cell r="G254" t="str">
            <v>女性</v>
          </cell>
          <cell r="H254" t="str">
            <v>green</v>
          </cell>
          <cell r="I254">
            <v>3</v>
          </cell>
          <cell r="J254" t="str">
            <v>PremiumS</v>
          </cell>
          <cell r="K254" t="str">
            <v>technical</v>
          </cell>
          <cell r="L254" t="str">
            <v>テクニカルタイプ</v>
          </cell>
          <cell r="M254" t="str">
            <v>god</v>
          </cell>
        </row>
        <row r="255">
          <cell r="A255">
            <v>254</v>
          </cell>
          <cell r="B255" t="str">
            <v>ja</v>
          </cell>
          <cell r="C255" t="str">
            <v>怠惰 ベルフェゴール</v>
          </cell>
          <cell r="D255" t="str">
            <v>ガチャ:7つの大罪01</v>
          </cell>
          <cell r="E255" t="str">
            <v>執行者</v>
          </cell>
          <cell r="F255" t="str">
            <v>可愛い</v>
          </cell>
          <cell r="G255" t="str">
            <v>女性</v>
          </cell>
          <cell r="H255" t="str">
            <v>green</v>
          </cell>
          <cell r="I255">
            <v>4</v>
          </cell>
          <cell r="J255" t="str">
            <v>PremiumS</v>
          </cell>
          <cell r="K255" t="str">
            <v>technical</v>
          </cell>
          <cell r="L255" t="str">
            <v>テクニカルタイプ</v>
          </cell>
          <cell r="M255" t="str">
            <v>god</v>
          </cell>
        </row>
        <row r="256">
          <cell r="A256">
            <v>255</v>
          </cell>
          <cell r="B256" t="str">
            <v>ja</v>
          </cell>
          <cell r="C256" t="str">
            <v>怠惰の頂点 ベルフェゴール</v>
          </cell>
          <cell r="D256" t="str">
            <v>ガチャ:7つの大罪01</v>
          </cell>
          <cell r="E256" t="str">
            <v>執行者</v>
          </cell>
          <cell r="F256" t="str">
            <v>可愛い</v>
          </cell>
          <cell r="G256" t="str">
            <v>女性</v>
          </cell>
          <cell r="H256" t="str">
            <v>green</v>
          </cell>
          <cell r="I256">
            <v>5</v>
          </cell>
          <cell r="J256" t="str">
            <v>PremiumS</v>
          </cell>
          <cell r="K256" t="str">
            <v>technical</v>
          </cell>
          <cell r="L256" t="str">
            <v>テクニカルタイプ</v>
          </cell>
          <cell r="M256" t="str">
            <v>god</v>
          </cell>
        </row>
        <row r="257">
          <cell r="A257">
            <v>256</v>
          </cell>
          <cell r="B257" t="str">
            <v>ja</v>
          </cell>
          <cell r="C257" t="str">
            <v>アスモデウス</v>
          </cell>
          <cell r="D257" t="str">
            <v>ガチャ:7つの大罪01</v>
          </cell>
          <cell r="E257" t="str">
            <v>執行者</v>
          </cell>
          <cell r="F257" t="str">
            <v>美しい</v>
          </cell>
          <cell r="G257" t="str">
            <v>女性</v>
          </cell>
          <cell r="H257" t="str">
            <v>blue</v>
          </cell>
          <cell r="I257">
            <v>3</v>
          </cell>
          <cell r="J257" t="str">
            <v>PremiumS</v>
          </cell>
          <cell r="K257" t="str">
            <v>attack</v>
          </cell>
          <cell r="L257" t="str">
            <v>攻撃タイプ</v>
          </cell>
          <cell r="M257" t="str">
            <v>god</v>
          </cell>
        </row>
        <row r="258">
          <cell r="A258">
            <v>257</v>
          </cell>
          <cell r="B258" t="str">
            <v>ja</v>
          </cell>
          <cell r="C258" t="str">
            <v>色欲 アスモデウス</v>
          </cell>
          <cell r="D258" t="str">
            <v>ガチャ:7つの大罪01</v>
          </cell>
          <cell r="E258" t="str">
            <v>執行者</v>
          </cell>
          <cell r="F258" t="str">
            <v>美しい</v>
          </cell>
          <cell r="G258" t="str">
            <v>女性</v>
          </cell>
          <cell r="H258" t="str">
            <v>blue</v>
          </cell>
          <cell r="I258">
            <v>4</v>
          </cell>
          <cell r="J258" t="str">
            <v>PremiumS</v>
          </cell>
          <cell r="K258" t="str">
            <v>attack</v>
          </cell>
          <cell r="L258" t="str">
            <v>攻撃タイプ</v>
          </cell>
          <cell r="M258" t="str">
            <v>god</v>
          </cell>
        </row>
        <row r="259">
          <cell r="A259">
            <v>258</v>
          </cell>
          <cell r="B259" t="str">
            <v>ja</v>
          </cell>
          <cell r="C259" t="str">
            <v>色欲の源流 アスモデウス</v>
          </cell>
          <cell r="D259" t="str">
            <v>ガチャ:7つの大罪01</v>
          </cell>
          <cell r="E259" t="str">
            <v>執行者</v>
          </cell>
          <cell r="F259" t="str">
            <v>美しい</v>
          </cell>
          <cell r="G259" t="str">
            <v>女性</v>
          </cell>
          <cell r="H259" t="str">
            <v>blue</v>
          </cell>
          <cell r="I259">
            <v>5</v>
          </cell>
          <cell r="J259" t="str">
            <v>PremiumS</v>
          </cell>
          <cell r="K259" t="str">
            <v>attack</v>
          </cell>
          <cell r="L259" t="str">
            <v>攻撃タイプ</v>
          </cell>
          <cell r="M259" t="str">
            <v>god</v>
          </cell>
        </row>
        <row r="260">
          <cell r="A260">
            <v>259</v>
          </cell>
          <cell r="B260" t="str">
            <v>ja</v>
          </cell>
          <cell r="C260" t="str">
            <v>ウロボロス</v>
          </cell>
          <cell r="D260" t="str">
            <v>ガチャ:7つの大罪01</v>
          </cell>
          <cell r="E260" t="str">
            <v>執行者</v>
          </cell>
          <cell r="F260" t="str">
            <v>格好いい</v>
          </cell>
          <cell r="G260" t="str">
            <v>女性</v>
          </cell>
          <cell r="H260" t="str">
            <v>yellow</v>
          </cell>
          <cell r="I260">
            <v>3</v>
          </cell>
          <cell r="J260" t="str">
            <v>PremiumS</v>
          </cell>
          <cell r="K260" t="str">
            <v>balance</v>
          </cell>
          <cell r="L260" t="str">
            <v>バランスタイプ</v>
          </cell>
          <cell r="M260" t="str">
            <v>dragon</v>
          </cell>
        </row>
        <row r="261">
          <cell r="A261">
            <v>260</v>
          </cell>
          <cell r="B261" t="str">
            <v>ja</v>
          </cell>
          <cell r="C261" t="str">
            <v>輪廻 ウロボロス</v>
          </cell>
          <cell r="D261" t="str">
            <v>ガチャ:7つの大罪01</v>
          </cell>
          <cell r="E261" t="str">
            <v>執行者</v>
          </cell>
          <cell r="F261" t="str">
            <v>格好いい</v>
          </cell>
          <cell r="G261" t="str">
            <v>女性</v>
          </cell>
          <cell r="H261" t="str">
            <v>yellow</v>
          </cell>
          <cell r="I261">
            <v>4</v>
          </cell>
          <cell r="J261" t="str">
            <v>PremiumS</v>
          </cell>
          <cell r="K261" t="str">
            <v>balance</v>
          </cell>
          <cell r="L261" t="str">
            <v>バランスタイプ</v>
          </cell>
          <cell r="M261" t="str">
            <v>dragon</v>
          </cell>
        </row>
        <row r="262">
          <cell r="A262">
            <v>261</v>
          </cell>
          <cell r="B262" t="str">
            <v>ja</v>
          </cell>
          <cell r="C262" t="str">
            <v>輪廻の蛇龍 ウロボロス</v>
          </cell>
          <cell r="D262" t="str">
            <v>ガチャ:7つの大罪01</v>
          </cell>
          <cell r="E262" t="str">
            <v>執行者</v>
          </cell>
          <cell r="F262" t="str">
            <v>格好いい</v>
          </cell>
          <cell r="G262" t="str">
            <v>女性</v>
          </cell>
          <cell r="H262" t="str">
            <v>yellow</v>
          </cell>
          <cell r="I262">
            <v>5</v>
          </cell>
          <cell r="J262" t="str">
            <v>PremiumS</v>
          </cell>
          <cell r="K262" t="str">
            <v>balance</v>
          </cell>
          <cell r="L262" t="str">
            <v>バランスタイプ</v>
          </cell>
          <cell r="M262" t="str">
            <v>dragon</v>
          </cell>
        </row>
        <row r="263">
          <cell r="A263">
            <v>262</v>
          </cell>
          <cell r="B263" t="str">
            <v>ja</v>
          </cell>
          <cell r="C263" t="str">
            <v>アシュリー</v>
          </cell>
          <cell r="D263" t="str">
            <v>イベント:魔獣01</v>
          </cell>
          <cell r="E263" t="str">
            <v>QoH</v>
          </cell>
          <cell r="F263" t="str">
            <v>格好いい</v>
          </cell>
          <cell r="G263" t="str">
            <v>女性</v>
          </cell>
          <cell r="H263" t="str">
            <v>red</v>
          </cell>
          <cell r="I263">
            <v>3</v>
          </cell>
          <cell r="J263" t="str">
            <v>Drop2W</v>
          </cell>
          <cell r="K263" t="str">
            <v>attack</v>
          </cell>
          <cell r="L263" t="str">
            <v>攻撃タイプ</v>
          </cell>
          <cell r="M263" t="str">
            <v>animal</v>
          </cell>
        </row>
        <row r="264">
          <cell r="A264">
            <v>263</v>
          </cell>
          <cell r="B264" t="str">
            <v>ja</v>
          </cell>
          <cell r="C264" t="str">
            <v>鉤爪姫 アシュリー</v>
          </cell>
          <cell r="D264" t="str">
            <v>イベント:魔獣01</v>
          </cell>
          <cell r="E264" t="str">
            <v>QoH</v>
          </cell>
          <cell r="F264" t="str">
            <v>格好いい</v>
          </cell>
          <cell r="G264" t="str">
            <v>女性</v>
          </cell>
          <cell r="H264" t="str">
            <v>red</v>
          </cell>
          <cell r="I264">
            <v>4</v>
          </cell>
          <cell r="J264" t="str">
            <v>Drop2W</v>
          </cell>
          <cell r="K264" t="str">
            <v>attack</v>
          </cell>
          <cell r="L264" t="str">
            <v>攻撃タイプ</v>
          </cell>
          <cell r="M264" t="str">
            <v>animal</v>
          </cell>
        </row>
        <row r="265">
          <cell r="A265">
            <v>264</v>
          </cell>
          <cell r="B265" t="str">
            <v>ja</v>
          </cell>
          <cell r="C265" t="str">
            <v>ユニコーン</v>
          </cell>
          <cell r="D265" t="str">
            <v>イベント:魔獣01</v>
          </cell>
          <cell r="E265" t="str">
            <v>QoH</v>
          </cell>
          <cell r="F265" t="str">
            <v>格好いい</v>
          </cell>
          <cell r="G265" t="str">
            <v>不明</v>
          </cell>
          <cell r="H265" t="str">
            <v>green</v>
          </cell>
          <cell r="I265">
            <v>3</v>
          </cell>
          <cell r="J265" t="str">
            <v>Drop2W</v>
          </cell>
          <cell r="K265" t="str">
            <v>hp</v>
          </cell>
          <cell r="L265" t="str">
            <v>体力タイプ</v>
          </cell>
          <cell r="M265" t="str">
            <v>animal</v>
          </cell>
        </row>
        <row r="266">
          <cell r="A266">
            <v>265</v>
          </cell>
          <cell r="B266" t="str">
            <v>ja</v>
          </cell>
          <cell r="C266" t="str">
            <v>翠角馬 ユニコーン</v>
          </cell>
          <cell r="D266" t="str">
            <v>イベント:魔獣01</v>
          </cell>
          <cell r="E266" t="str">
            <v>QoH</v>
          </cell>
          <cell r="F266" t="str">
            <v>格好いい</v>
          </cell>
          <cell r="G266" t="str">
            <v>不明</v>
          </cell>
          <cell r="H266" t="str">
            <v>green</v>
          </cell>
          <cell r="I266">
            <v>4</v>
          </cell>
          <cell r="J266" t="str">
            <v>Drop2W</v>
          </cell>
          <cell r="K266" t="str">
            <v>hp</v>
          </cell>
          <cell r="L266" t="str">
            <v>体力タイプ</v>
          </cell>
          <cell r="M266" t="str">
            <v>animal</v>
          </cell>
        </row>
        <row r="267">
          <cell r="A267">
            <v>266</v>
          </cell>
          <cell r="B267" t="str">
            <v>ja</v>
          </cell>
          <cell r="C267" t="str">
            <v>リリアンブルー</v>
          </cell>
          <cell r="D267" t="str">
            <v>イベント:魔獣01</v>
          </cell>
          <cell r="E267" t="str">
            <v>QoH</v>
          </cell>
          <cell r="F267" t="str">
            <v>怪しい</v>
          </cell>
          <cell r="G267" t="str">
            <v>女性</v>
          </cell>
          <cell r="H267" t="str">
            <v>blue</v>
          </cell>
          <cell r="I267">
            <v>3</v>
          </cell>
          <cell r="J267" t="str">
            <v>Drop2W</v>
          </cell>
          <cell r="K267" t="str">
            <v>balance</v>
          </cell>
          <cell r="L267" t="str">
            <v>バランスタイプ</v>
          </cell>
          <cell r="M267" t="str">
            <v>animal</v>
          </cell>
        </row>
        <row r="268">
          <cell r="A268">
            <v>267</v>
          </cell>
          <cell r="B268" t="str">
            <v>ja</v>
          </cell>
          <cell r="C268" t="str">
            <v>奇術猫 リリアンブルー</v>
          </cell>
          <cell r="D268" t="str">
            <v>イベント:魔獣01</v>
          </cell>
          <cell r="E268" t="str">
            <v>QoH</v>
          </cell>
          <cell r="F268" t="str">
            <v>怪しい</v>
          </cell>
          <cell r="G268" t="str">
            <v>女性</v>
          </cell>
          <cell r="H268" t="str">
            <v>blue</v>
          </cell>
          <cell r="I268">
            <v>4</v>
          </cell>
          <cell r="J268" t="str">
            <v>Drop2W</v>
          </cell>
          <cell r="K268" t="str">
            <v>balance</v>
          </cell>
          <cell r="L268" t="str">
            <v>バランスタイプ</v>
          </cell>
          <cell r="M268" t="str">
            <v>animal</v>
          </cell>
        </row>
        <row r="269">
          <cell r="A269">
            <v>268</v>
          </cell>
          <cell r="B269" t="str">
            <v>ja</v>
          </cell>
          <cell r="C269" t="str">
            <v>鵺</v>
          </cell>
          <cell r="D269" t="str">
            <v>イベント:魔獣01</v>
          </cell>
          <cell r="E269" t="str">
            <v>QoH</v>
          </cell>
          <cell r="F269" t="str">
            <v>格好いい</v>
          </cell>
          <cell r="G269" t="str">
            <v>男性</v>
          </cell>
          <cell r="H269" t="str">
            <v>yellow</v>
          </cell>
          <cell r="I269">
            <v>3</v>
          </cell>
          <cell r="J269" t="str">
            <v>Drop2W</v>
          </cell>
          <cell r="K269" t="str">
            <v>technical</v>
          </cell>
          <cell r="L269" t="str">
            <v>テクニカルタイプ</v>
          </cell>
          <cell r="M269" t="str">
            <v>animal</v>
          </cell>
        </row>
        <row r="270">
          <cell r="A270">
            <v>269</v>
          </cell>
          <cell r="B270" t="str">
            <v>ja</v>
          </cell>
          <cell r="C270" t="str">
            <v>合雷獣 鵺</v>
          </cell>
          <cell r="D270" t="str">
            <v>イベント:魔獣01</v>
          </cell>
          <cell r="E270" t="str">
            <v>QoH</v>
          </cell>
          <cell r="F270" t="str">
            <v>格好いい</v>
          </cell>
          <cell r="G270" t="str">
            <v>男性</v>
          </cell>
          <cell r="H270" t="str">
            <v>yellow</v>
          </cell>
          <cell r="I270">
            <v>4</v>
          </cell>
          <cell r="J270" t="str">
            <v>Drop2W</v>
          </cell>
          <cell r="K270" t="str">
            <v>technical</v>
          </cell>
          <cell r="L270" t="str">
            <v>テクニカルタイプ</v>
          </cell>
          <cell r="M270" t="str">
            <v>animal</v>
          </cell>
        </row>
        <row r="271">
          <cell r="A271">
            <v>270</v>
          </cell>
          <cell r="B271" t="str">
            <v>ja</v>
          </cell>
          <cell r="C271" t="str">
            <v>風爪のミリー</v>
          </cell>
          <cell r="D271" t="str">
            <v>イベント:暴走するアバター01</v>
          </cell>
          <cell r="E271" t="str">
            <v>探索者</v>
          </cell>
          <cell r="F271" t="str">
            <v>美しい</v>
          </cell>
          <cell r="G271" t="str">
            <v>女性</v>
          </cell>
          <cell r="H271" t="str">
            <v>green</v>
          </cell>
          <cell r="I271">
            <v>4</v>
          </cell>
          <cell r="J271" t="str">
            <v>Drop2N</v>
          </cell>
          <cell r="K271" t="str">
            <v>attack</v>
          </cell>
          <cell r="L271" t="str">
            <v>攻撃タイプ</v>
          </cell>
          <cell r="M271" t="str">
            <v>human</v>
          </cell>
        </row>
        <row r="272">
          <cell r="A272">
            <v>271</v>
          </cell>
          <cell r="B272" t="str">
            <v>ja</v>
          </cell>
          <cell r="C272" t="str">
            <v>疾風五花 ミリー</v>
          </cell>
          <cell r="D272" t="str">
            <v>イベント:暴走するアバター01</v>
          </cell>
          <cell r="E272" t="str">
            <v>探索者</v>
          </cell>
          <cell r="F272" t="str">
            <v>美しい</v>
          </cell>
          <cell r="G272" t="str">
            <v>女性</v>
          </cell>
          <cell r="H272" t="str">
            <v>green</v>
          </cell>
          <cell r="I272">
            <v>5</v>
          </cell>
          <cell r="J272" t="str">
            <v>Drop2N</v>
          </cell>
          <cell r="K272" t="str">
            <v>attack</v>
          </cell>
          <cell r="L272" t="str">
            <v>攻撃タイプ</v>
          </cell>
          <cell r="M272" t="str">
            <v>human</v>
          </cell>
        </row>
        <row r="273">
          <cell r="A273">
            <v>272</v>
          </cell>
          <cell r="B273" t="str">
            <v>ja</v>
          </cell>
          <cell r="C273" t="str">
            <v>魔札のシルベール</v>
          </cell>
          <cell r="D273" t="str">
            <v>イベント:暴走するアバター01</v>
          </cell>
          <cell r="E273" t="str">
            <v>探索者</v>
          </cell>
          <cell r="F273" t="str">
            <v>格好いい</v>
          </cell>
          <cell r="G273" t="str">
            <v>男性</v>
          </cell>
          <cell r="H273" t="str">
            <v>blue</v>
          </cell>
          <cell r="I273">
            <v>4</v>
          </cell>
          <cell r="J273" t="str">
            <v>Drop2N</v>
          </cell>
          <cell r="K273" t="str">
            <v>technical</v>
          </cell>
          <cell r="L273" t="str">
            <v>テクニカルタイプ</v>
          </cell>
          <cell r="M273" t="str">
            <v>human</v>
          </cell>
        </row>
        <row r="274">
          <cell r="A274">
            <v>273</v>
          </cell>
          <cell r="B274" t="str">
            <v>ja</v>
          </cell>
          <cell r="C274" t="str">
            <v>円環魔道 シルベール</v>
          </cell>
          <cell r="D274" t="str">
            <v>イベント:暴走するアバター01</v>
          </cell>
          <cell r="E274" t="str">
            <v>探索者</v>
          </cell>
          <cell r="F274" t="str">
            <v>格好いい</v>
          </cell>
          <cell r="G274" t="str">
            <v>男性</v>
          </cell>
          <cell r="H274" t="str">
            <v>blue</v>
          </cell>
          <cell r="I274">
            <v>5</v>
          </cell>
          <cell r="J274" t="str">
            <v>Drop2N</v>
          </cell>
          <cell r="K274" t="str">
            <v>technical</v>
          </cell>
          <cell r="L274" t="str">
            <v>テクニカルタイプ</v>
          </cell>
          <cell r="M274" t="str">
            <v>human</v>
          </cell>
        </row>
        <row r="275">
          <cell r="A275">
            <v>274</v>
          </cell>
          <cell r="B275" t="str">
            <v>ja</v>
          </cell>
          <cell r="C275" t="str">
            <v>砕棒のガエル</v>
          </cell>
          <cell r="D275" t="str">
            <v>イベント:暴走するアバター01</v>
          </cell>
          <cell r="E275" t="str">
            <v>探索者</v>
          </cell>
          <cell r="F275" t="str">
            <v>格好いい</v>
          </cell>
          <cell r="G275" t="str">
            <v>男性</v>
          </cell>
          <cell r="H275" t="str">
            <v>yellow</v>
          </cell>
          <cell r="I275">
            <v>4</v>
          </cell>
          <cell r="J275" t="str">
            <v>Drop2N</v>
          </cell>
          <cell r="K275" t="str">
            <v>attack</v>
          </cell>
          <cell r="L275" t="str">
            <v>攻撃タイプ</v>
          </cell>
          <cell r="M275" t="str">
            <v>human</v>
          </cell>
        </row>
        <row r="276">
          <cell r="A276">
            <v>275</v>
          </cell>
          <cell r="B276" t="str">
            <v>ja</v>
          </cell>
          <cell r="C276" t="str">
            <v>轟雷砕棒 ガエル</v>
          </cell>
          <cell r="D276" t="str">
            <v>イベント:暴走するアバター01</v>
          </cell>
          <cell r="E276" t="str">
            <v>探索者</v>
          </cell>
          <cell r="F276" t="str">
            <v>格好いい</v>
          </cell>
          <cell r="G276" t="str">
            <v>男性</v>
          </cell>
          <cell r="H276" t="str">
            <v>yellow</v>
          </cell>
          <cell r="I276">
            <v>5</v>
          </cell>
          <cell r="J276" t="str">
            <v>Drop2N</v>
          </cell>
          <cell r="K276" t="str">
            <v>attack</v>
          </cell>
          <cell r="L276" t="str">
            <v>攻撃タイプ</v>
          </cell>
          <cell r="M276" t="str">
            <v>human</v>
          </cell>
        </row>
        <row r="277">
          <cell r="A277">
            <v>276</v>
          </cell>
          <cell r="B277" t="str">
            <v>ja</v>
          </cell>
          <cell r="C277" t="str">
            <v>機拳のイリア</v>
          </cell>
          <cell r="D277" t="str">
            <v>イベント:暴走するアバター01</v>
          </cell>
          <cell r="E277" t="str">
            <v>探索者</v>
          </cell>
          <cell r="F277" t="str">
            <v>可愛い</v>
          </cell>
          <cell r="G277" t="str">
            <v>女性</v>
          </cell>
          <cell r="H277" t="str">
            <v>red</v>
          </cell>
          <cell r="I277">
            <v>4</v>
          </cell>
          <cell r="J277" t="str">
            <v>Drop2N</v>
          </cell>
          <cell r="K277" t="str">
            <v>balance</v>
          </cell>
          <cell r="L277" t="str">
            <v>バランスタイプ</v>
          </cell>
          <cell r="M277" t="str">
            <v>human</v>
          </cell>
        </row>
        <row r="278">
          <cell r="A278">
            <v>277</v>
          </cell>
          <cell r="B278" t="str">
            <v>ja</v>
          </cell>
          <cell r="C278" t="str">
            <v>機拳恐慌 イリア</v>
          </cell>
          <cell r="D278" t="str">
            <v>イベント:暴走するアバター01</v>
          </cell>
          <cell r="E278" t="str">
            <v>探索者</v>
          </cell>
          <cell r="F278" t="str">
            <v>可愛い</v>
          </cell>
          <cell r="G278" t="str">
            <v>女性</v>
          </cell>
          <cell r="H278" t="str">
            <v>red</v>
          </cell>
          <cell r="I278">
            <v>5</v>
          </cell>
          <cell r="J278" t="str">
            <v>Drop2N</v>
          </cell>
          <cell r="K278" t="str">
            <v>balance</v>
          </cell>
          <cell r="L278" t="str">
            <v>バランスタイプ</v>
          </cell>
          <cell r="M278" t="str">
            <v>human</v>
          </cell>
        </row>
        <row r="279">
          <cell r="A279">
            <v>278</v>
          </cell>
          <cell r="B279" t="str">
            <v>ja</v>
          </cell>
          <cell r="C279" t="str">
            <v>アマテラス</v>
          </cell>
          <cell r="D279" t="str">
            <v>イベント:ウィザード</v>
          </cell>
          <cell r="E279" t="str">
            <v>管理者</v>
          </cell>
          <cell r="F279" t="str">
            <v>美しい</v>
          </cell>
          <cell r="G279" t="str">
            <v>女性</v>
          </cell>
          <cell r="H279" t="str">
            <v>red</v>
          </cell>
          <cell r="I279">
            <v>4</v>
          </cell>
          <cell r="J279" t="str">
            <v>DropWizS</v>
          </cell>
          <cell r="K279" t="str">
            <v>attack</v>
          </cell>
          <cell r="L279" t="str">
            <v>攻撃タイプ</v>
          </cell>
          <cell r="M279" t="str">
            <v>god</v>
          </cell>
        </row>
        <row r="280">
          <cell r="A280">
            <v>279</v>
          </cell>
          <cell r="B280" t="str">
            <v>ja</v>
          </cell>
          <cell r="C280" t="str">
            <v>統空大神 アマテラス</v>
          </cell>
          <cell r="D280" t="str">
            <v>イベント:ウィザード</v>
          </cell>
          <cell r="E280" t="str">
            <v>管理者</v>
          </cell>
          <cell r="F280" t="str">
            <v>美しい</v>
          </cell>
          <cell r="G280" t="str">
            <v>女性</v>
          </cell>
          <cell r="H280" t="str">
            <v>red</v>
          </cell>
          <cell r="I280">
            <v>5</v>
          </cell>
          <cell r="J280" t="str">
            <v>DropWizS</v>
          </cell>
          <cell r="K280" t="str">
            <v>attack</v>
          </cell>
          <cell r="L280" t="str">
            <v>攻撃タイプ</v>
          </cell>
          <cell r="M280" t="str">
            <v>god</v>
          </cell>
        </row>
        <row r="281">
          <cell r="A281">
            <v>280</v>
          </cell>
          <cell r="B281" t="str">
            <v>ja</v>
          </cell>
          <cell r="C281" t="str">
            <v>リンドブルム</v>
          </cell>
          <cell r="D281" t="str">
            <v>イベント:機械龍01</v>
          </cell>
          <cell r="E281" t="str">
            <v>QoH</v>
          </cell>
          <cell r="F281" t="str">
            <v>格好いい</v>
          </cell>
          <cell r="G281" t="str">
            <v>不明</v>
          </cell>
          <cell r="H281" t="str">
            <v>green</v>
          </cell>
          <cell r="I281">
            <v>3</v>
          </cell>
          <cell r="J281" t="str">
            <v>Drop2W</v>
          </cell>
          <cell r="K281" t="str">
            <v>attack</v>
          </cell>
          <cell r="L281" t="str">
            <v>攻撃タイプ</v>
          </cell>
          <cell r="M281" t="str">
            <v>dragon</v>
          </cell>
        </row>
        <row r="282">
          <cell r="A282">
            <v>281</v>
          </cell>
          <cell r="B282" t="str">
            <v>ja</v>
          </cell>
          <cell r="C282" t="str">
            <v>リンドブルム・コンデンス</v>
          </cell>
          <cell r="D282" t="str">
            <v>イベント:機械龍01</v>
          </cell>
          <cell r="E282" t="str">
            <v>QoH</v>
          </cell>
          <cell r="F282" t="str">
            <v>格好いい</v>
          </cell>
          <cell r="G282" t="str">
            <v>不明</v>
          </cell>
          <cell r="H282" t="str">
            <v>green</v>
          </cell>
          <cell r="I282">
            <v>4</v>
          </cell>
          <cell r="J282" t="str">
            <v>DropWizW</v>
          </cell>
          <cell r="K282" t="str">
            <v>attack</v>
          </cell>
          <cell r="L282" t="str">
            <v>攻撃タイプ</v>
          </cell>
          <cell r="M282" t="str">
            <v>dragon</v>
          </cell>
        </row>
        <row r="283">
          <cell r="A283">
            <v>282</v>
          </cell>
          <cell r="B283" t="str">
            <v>ja</v>
          </cell>
          <cell r="C283" t="str">
            <v>ラーフ</v>
          </cell>
          <cell r="D283" t="str">
            <v>イベント:機械龍01</v>
          </cell>
          <cell r="E283" t="str">
            <v>QoH</v>
          </cell>
          <cell r="F283" t="str">
            <v>格好いい</v>
          </cell>
          <cell r="G283" t="str">
            <v>不明</v>
          </cell>
          <cell r="H283" t="str">
            <v>blue</v>
          </cell>
          <cell r="I283">
            <v>3</v>
          </cell>
          <cell r="J283" t="str">
            <v>Drop2W</v>
          </cell>
          <cell r="K283" t="str">
            <v>balance</v>
          </cell>
          <cell r="L283" t="str">
            <v>バランスタイプ</v>
          </cell>
          <cell r="M283" t="str">
            <v>dragon</v>
          </cell>
        </row>
        <row r="284">
          <cell r="A284">
            <v>283</v>
          </cell>
          <cell r="B284" t="str">
            <v>ja</v>
          </cell>
          <cell r="C284" t="str">
            <v>ラーフ・メテオ</v>
          </cell>
          <cell r="D284" t="str">
            <v>イベント:機械龍01</v>
          </cell>
          <cell r="E284" t="str">
            <v>QoH</v>
          </cell>
          <cell r="F284" t="str">
            <v>格好いい</v>
          </cell>
          <cell r="G284" t="str">
            <v>不明</v>
          </cell>
          <cell r="H284" t="str">
            <v>blue</v>
          </cell>
          <cell r="I284">
            <v>4</v>
          </cell>
          <cell r="J284" t="str">
            <v>DropWizW</v>
          </cell>
          <cell r="K284" t="str">
            <v>balance</v>
          </cell>
          <cell r="L284" t="str">
            <v>バランスタイプ</v>
          </cell>
          <cell r="M284" t="str">
            <v>dragon</v>
          </cell>
        </row>
        <row r="285">
          <cell r="A285">
            <v>284</v>
          </cell>
          <cell r="B285" t="str">
            <v>ja</v>
          </cell>
          <cell r="C285" t="str">
            <v>フェルニゲシュ</v>
          </cell>
          <cell r="D285" t="str">
            <v>イベント:機械龍01</v>
          </cell>
          <cell r="E285" t="str">
            <v>QoH</v>
          </cell>
          <cell r="F285" t="str">
            <v>格好いい</v>
          </cell>
          <cell r="G285" t="str">
            <v>不明</v>
          </cell>
          <cell r="H285" t="str">
            <v>yellow</v>
          </cell>
          <cell r="I285">
            <v>3</v>
          </cell>
          <cell r="J285" t="str">
            <v>Drop2W</v>
          </cell>
          <cell r="K285" t="str">
            <v>technical</v>
          </cell>
          <cell r="L285" t="str">
            <v>テクニカルタイプ</v>
          </cell>
          <cell r="M285" t="str">
            <v>dragon</v>
          </cell>
        </row>
        <row r="286">
          <cell r="A286">
            <v>285</v>
          </cell>
          <cell r="B286" t="str">
            <v>ja</v>
          </cell>
          <cell r="C286" t="str">
            <v>フェルニゲシュ・オーバードライヴ</v>
          </cell>
          <cell r="D286" t="str">
            <v>イベント:機械龍01</v>
          </cell>
          <cell r="E286" t="str">
            <v>QoH</v>
          </cell>
          <cell r="F286" t="str">
            <v>格好いい</v>
          </cell>
          <cell r="G286" t="str">
            <v>不明</v>
          </cell>
          <cell r="H286" t="str">
            <v>yellow</v>
          </cell>
          <cell r="I286">
            <v>4</v>
          </cell>
          <cell r="J286" t="str">
            <v>DropWizW</v>
          </cell>
          <cell r="K286" t="str">
            <v>technical</v>
          </cell>
          <cell r="L286" t="str">
            <v>テクニカルタイプ</v>
          </cell>
          <cell r="M286" t="str">
            <v>dragon</v>
          </cell>
        </row>
        <row r="287">
          <cell r="A287">
            <v>286</v>
          </cell>
          <cell r="B287" t="str">
            <v>ja</v>
          </cell>
          <cell r="C287" t="str">
            <v>ヒュドラ</v>
          </cell>
          <cell r="D287" t="str">
            <v>イベント:機械龍01</v>
          </cell>
          <cell r="E287" t="str">
            <v>QoH</v>
          </cell>
          <cell r="F287" t="str">
            <v>格好いい</v>
          </cell>
          <cell r="G287" t="str">
            <v>不明</v>
          </cell>
          <cell r="H287" t="str">
            <v>red</v>
          </cell>
          <cell r="I287">
            <v>3</v>
          </cell>
          <cell r="J287" t="str">
            <v>Drop2W</v>
          </cell>
          <cell r="K287" t="str">
            <v>attack</v>
          </cell>
          <cell r="L287" t="str">
            <v>攻撃タイプ</v>
          </cell>
          <cell r="M287" t="str">
            <v>dragon</v>
          </cell>
        </row>
        <row r="288">
          <cell r="A288">
            <v>287</v>
          </cell>
          <cell r="B288" t="str">
            <v>ja</v>
          </cell>
          <cell r="C288" t="str">
            <v>ヒュドラ・フルオープン</v>
          </cell>
          <cell r="D288" t="str">
            <v>イベント:機械龍01</v>
          </cell>
          <cell r="E288" t="str">
            <v>QoH</v>
          </cell>
          <cell r="F288" t="str">
            <v>格好いい</v>
          </cell>
          <cell r="G288" t="str">
            <v>不明</v>
          </cell>
          <cell r="H288" t="str">
            <v>red</v>
          </cell>
          <cell r="I288">
            <v>4</v>
          </cell>
          <cell r="J288" t="str">
            <v>DropWizW</v>
          </cell>
          <cell r="K288" t="str">
            <v>attack</v>
          </cell>
          <cell r="L288" t="str">
            <v>攻撃タイプ</v>
          </cell>
          <cell r="M288" t="str">
            <v>dragon</v>
          </cell>
        </row>
        <row r="289">
          <cell r="A289">
            <v>288</v>
          </cell>
          <cell r="B289" t="str">
            <v>ja</v>
          </cell>
          <cell r="C289" t="str">
            <v>ミカド</v>
          </cell>
          <cell r="D289" t="str">
            <v>イベント:アリスの絵本01</v>
          </cell>
          <cell r="E289" t="str">
            <v>アバター</v>
          </cell>
          <cell r="F289" t="str">
            <v>格好いい</v>
          </cell>
          <cell r="G289" t="str">
            <v>男性</v>
          </cell>
          <cell r="H289" t="str">
            <v>yellow</v>
          </cell>
          <cell r="I289">
            <v>4</v>
          </cell>
          <cell r="J289" t="str">
            <v>Drop2N</v>
          </cell>
          <cell r="K289" t="str">
            <v>balance</v>
          </cell>
          <cell r="L289" t="str">
            <v>バランスタイプ</v>
          </cell>
          <cell r="M289" t="str">
            <v>human</v>
          </cell>
        </row>
        <row r="290">
          <cell r="A290">
            <v>289</v>
          </cell>
          <cell r="B290" t="str">
            <v>ja</v>
          </cell>
          <cell r="C290" t="str">
            <v>高圧なるミカド</v>
          </cell>
          <cell r="D290" t="str">
            <v>イベント:アリスの絵本01</v>
          </cell>
          <cell r="E290" t="str">
            <v>アバター</v>
          </cell>
          <cell r="F290" t="str">
            <v>格好いい</v>
          </cell>
          <cell r="G290" t="str">
            <v>男性</v>
          </cell>
          <cell r="H290" t="str">
            <v>yellow</v>
          </cell>
          <cell r="I290">
            <v>5</v>
          </cell>
          <cell r="J290" t="str">
            <v>Drop2N</v>
          </cell>
          <cell r="K290" t="str">
            <v>balance</v>
          </cell>
          <cell r="L290" t="str">
            <v>バランスタイプ</v>
          </cell>
          <cell r="M290" t="str">
            <v>human</v>
          </cell>
        </row>
        <row r="291">
          <cell r="A291">
            <v>290</v>
          </cell>
          <cell r="B291" t="str">
            <v>ja</v>
          </cell>
          <cell r="C291" t="str">
            <v>ウィッチ・オクトパス</v>
          </cell>
          <cell r="D291" t="str">
            <v>イベント:アリスの絵本01</v>
          </cell>
          <cell r="E291" t="str">
            <v>アバター</v>
          </cell>
          <cell r="F291" t="str">
            <v>可愛い</v>
          </cell>
          <cell r="G291" t="str">
            <v>女性</v>
          </cell>
          <cell r="H291" t="str">
            <v>red</v>
          </cell>
          <cell r="I291">
            <v>4</v>
          </cell>
          <cell r="J291" t="str">
            <v>Drop2N</v>
          </cell>
          <cell r="K291" t="str">
            <v>technical</v>
          </cell>
          <cell r="L291" t="str">
            <v>テクニカルタイプ</v>
          </cell>
          <cell r="M291" t="str">
            <v>human</v>
          </cell>
        </row>
        <row r="292">
          <cell r="A292">
            <v>291</v>
          </cell>
          <cell r="B292" t="str">
            <v>ja</v>
          </cell>
          <cell r="C292" t="str">
            <v>魔改造のウィッチ・オクトパス</v>
          </cell>
          <cell r="D292" t="str">
            <v>イベント:アリスの絵本01</v>
          </cell>
          <cell r="E292" t="str">
            <v>アバター</v>
          </cell>
          <cell r="F292" t="str">
            <v>可愛い</v>
          </cell>
          <cell r="G292" t="str">
            <v>女性</v>
          </cell>
          <cell r="H292" t="str">
            <v>red</v>
          </cell>
          <cell r="I292">
            <v>5</v>
          </cell>
          <cell r="J292" t="str">
            <v>Drop2N</v>
          </cell>
          <cell r="K292" t="str">
            <v>technical</v>
          </cell>
          <cell r="L292" t="str">
            <v>テクニカルタイプ</v>
          </cell>
          <cell r="M292" t="str">
            <v>human</v>
          </cell>
        </row>
        <row r="293">
          <cell r="A293">
            <v>292</v>
          </cell>
          <cell r="B293" t="str">
            <v>ja</v>
          </cell>
          <cell r="C293" t="str">
            <v>アナスタシア</v>
          </cell>
          <cell r="D293" t="str">
            <v>イベント:アリスの絵本01</v>
          </cell>
          <cell r="E293" t="str">
            <v>アバター</v>
          </cell>
          <cell r="F293" t="str">
            <v>美しい</v>
          </cell>
          <cell r="G293" t="str">
            <v>女性</v>
          </cell>
          <cell r="H293" t="str">
            <v>blue</v>
          </cell>
          <cell r="I293">
            <v>4</v>
          </cell>
          <cell r="J293" t="str">
            <v>Drop2N</v>
          </cell>
          <cell r="K293" t="str">
            <v>balance</v>
          </cell>
          <cell r="L293" t="str">
            <v>バランスタイプ</v>
          </cell>
          <cell r="M293" t="str">
            <v>human</v>
          </cell>
        </row>
        <row r="294">
          <cell r="A294">
            <v>293</v>
          </cell>
          <cell r="B294" t="str">
            <v>ja</v>
          </cell>
          <cell r="C294" t="str">
            <v>激流拳技を極めし者 アナスタシア</v>
          </cell>
          <cell r="D294" t="str">
            <v>イベント:アリスの絵本01</v>
          </cell>
          <cell r="E294" t="str">
            <v>アバター</v>
          </cell>
          <cell r="F294" t="str">
            <v>美しい</v>
          </cell>
          <cell r="G294" t="str">
            <v>女性</v>
          </cell>
          <cell r="H294" t="str">
            <v>blue</v>
          </cell>
          <cell r="I294">
            <v>5</v>
          </cell>
          <cell r="J294" t="str">
            <v>Drop2N</v>
          </cell>
          <cell r="K294" t="str">
            <v>balance</v>
          </cell>
          <cell r="L294" t="str">
            <v>バランスタイプ</v>
          </cell>
          <cell r="M294" t="str">
            <v>human</v>
          </cell>
        </row>
        <row r="295">
          <cell r="A295">
            <v>294</v>
          </cell>
          <cell r="B295" t="str">
            <v>ja</v>
          </cell>
          <cell r="C295" t="str">
            <v>ウルフ・ザ・レッドイーター</v>
          </cell>
          <cell r="D295" t="str">
            <v>イベント:アリスの絵本01</v>
          </cell>
          <cell r="E295" t="str">
            <v>アバター</v>
          </cell>
          <cell r="F295" t="str">
            <v>格好いい</v>
          </cell>
          <cell r="G295" t="str">
            <v>男性</v>
          </cell>
          <cell r="H295" t="str">
            <v>green</v>
          </cell>
          <cell r="I295">
            <v>4</v>
          </cell>
          <cell r="J295" t="str">
            <v>Drop2N</v>
          </cell>
          <cell r="K295" t="str">
            <v>attack</v>
          </cell>
          <cell r="L295" t="str">
            <v>攻撃タイプ</v>
          </cell>
          <cell r="M295" t="str">
            <v>animal</v>
          </cell>
        </row>
        <row r="296">
          <cell r="A296">
            <v>295</v>
          </cell>
          <cell r="B296" t="str">
            <v>ja</v>
          </cell>
          <cell r="C296" t="str">
            <v>ウルフ・ザ・レッドクラッシャー</v>
          </cell>
          <cell r="D296" t="str">
            <v>イベント:アリスの絵本01</v>
          </cell>
          <cell r="E296" t="str">
            <v>アバター</v>
          </cell>
          <cell r="F296" t="str">
            <v>格好いい</v>
          </cell>
          <cell r="G296" t="str">
            <v>男性</v>
          </cell>
          <cell r="H296" t="str">
            <v>green</v>
          </cell>
          <cell r="I296">
            <v>5</v>
          </cell>
          <cell r="J296" t="str">
            <v>Drop2N</v>
          </cell>
          <cell r="K296" t="str">
            <v>attack</v>
          </cell>
          <cell r="L296" t="str">
            <v>攻撃タイプ</v>
          </cell>
          <cell r="M296" t="str">
            <v>animal</v>
          </cell>
        </row>
        <row r="297">
          <cell r="A297">
            <v>296</v>
          </cell>
          <cell r="B297" t="str">
            <v>ja</v>
          </cell>
          <cell r="C297" t="str">
            <v>アザゼル</v>
          </cell>
          <cell r="D297" t="str">
            <v>イベント:ウィザード</v>
          </cell>
          <cell r="E297" t="str">
            <v>執行者</v>
          </cell>
          <cell r="F297" t="str">
            <v>格好いい</v>
          </cell>
          <cell r="G297" t="str">
            <v>男性</v>
          </cell>
          <cell r="H297" t="str">
            <v>green</v>
          </cell>
          <cell r="I297">
            <v>4</v>
          </cell>
          <cell r="J297" t="str">
            <v>DropWizS</v>
          </cell>
          <cell r="K297" t="str">
            <v>technical</v>
          </cell>
          <cell r="L297" t="str">
            <v>テクニカルタイプ</v>
          </cell>
          <cell r="M297" t="str">
            <v>god</v>
          </cell>
        </row>
        <row r="298">
          <cell r="A298">
            <v>297</v>
          </cell>
          <cell r="B298" t="str">
            <v>ja</v>
          </cell>
          <cell r="C298" t="str">
            <v>狂靭なる双撃 アザゼル</v>
          </cell>
          <cell r="D298" t="str">
            <v>イベント:ウィザード</v>
          </cell>
          <cell r="E298" t="str">
            <v>執行者</v>
          </cell>
          <cell r="F298" t="str">
            <v>格好いい</v>
          </cell>
          <cell r="G298" t="str">
            <v>男性</v>
          </cell>
          <cell r="H298" t="str">
            <v>green</v>
          </cell>
          <cell r="I298">
            <v>5</v>
          </cell>
          <cell r="J298" t="str">
            <v>DropWizS</v>
          </cell>
          <cell r="K298" t="str">
            <v>technical</v>
          </cell>
          <cell r="L298" t="str">
            <v>テクニカルタイプ</v>
          </cell>
          <cell r="M298" t="str">
            <v>god</v>
          </cell>
        </row>
        <row r="299">
          <cell r="A299">
            <v>298</v>
          </cell>
          <cell r="B299" t="str">
            <v>ja</v>
          </cell>
          <cell r="C299" t="str">
            <v>炎殺のミサコ</v>
          </cell>
          <cell r="D299" t="str">
            <v>イベント:囚人01</v>
          </cell>
          <cell r="E299" t="str">
            <v>QoH</v>
          </cell>
          <cell r="F299" t="str">
            <v>美しい</v>
          </cell>
          <cell r="G299" t="str">
            <v>女性</v>
          </cell>
          <cell r="H299" t="str">
            <v>red</v>
          </cell>
          <cell r="I299">
            <v>3</v>
          </cell>
          <cell r="J299" t="str">
            <v>Drop2W</v>
          </cell>
          <cell r="K299" t="str">
            <v>hp</v>
          </cell>
          <cell r="L299" t="str">
            <v>体力タイプ</v>
          </cell>
          <cell r="M299" t="str">
            <v>human</v>
          </cell>
        </row>
        <row r="300">
          <cell r="A300">
            <v>299</v>
          </cell>
          <cell r="B300" t="str">
            <v>ja</v>
          </cell>
          <cell r="C300" t="str">
            <v>狂気の炎風 ミサコ</v>
          </cell>
          <cell r="D300" t="str">
            <v>イベント:囚人01</v>
          </cell>
          <cell r="E300" t="str">
            <v>QoH</v>
          </cell>
          <cell r="F300" t="str">
            <v>美しい</v>
          </cell>
          <cell r="G300" t="str">
            <v>女性</v>
          </cell>
          <cell r="H300" t="str">
            <v>red</v>
          </cell>
          <cell r="I300">
            <v>4</v>
          </cell>
          <cell r="J300" t="str">
            <v>Drop2W</v>
          </cell>
          <cell r="K300" t="str">
            <v>hp</v>
          </cell>
          <cell r="L300" t="str">
            <v>体力タイプ</v>
          </cell>
          <cell r="M300" t="str">
            <v>human</v>
          </cell>
        </row>
        <row r="301">
          <cell r="A301">
            <v>300</v>
          </cell>
          <cell r="B301" t="str">
            <v>ja</v>
          </cell>
          <cell r="C301" t="str">
            <v>毒殺のチカ</v>
          </cell>
          <cell r="D301" t="str">
            <v>イベント:囚人01</v>
          </cell>
          <cell r="E301" t="str">
            <v>QoH</v>
          </cell>
          <cell r="F301" t="str">
            <v>可愛い</v>
          </cell>
          <cell r="G301" t="str">
            <v>女性</v>
          </cell>
          <cell r="H301" t="str">
            <v>green</v>
          </cell>
          <cell r="I301">
            <v>3</v>
          </cell>
          <cell r="J301" t="str">
            <v>Drop2W</v>
          </cell>
          <cell r="K301" t="str">
            <v>balance</v>
          </cell>
          <cell r="L301" t="str">
            <v>バランスタイプ</v>
          </cell>
          <cell r="M301" t="str">
            <v>human</v>
          </cell>
        </row>
        <row r="302">
          <cell r="A302">
            <v>301</v>
          </cell>
          <cell r="B302" t="str">
            <v>ja</v>
          </cell>
          <cell r="C302" t="str">
            <v>宿痾の葬送 チカ</v>
          </cell>
          <cell r="D302" t="str">
            <v>イベント:囚人01</v>
          </cell>
          <cell r="E302" t="str">
            <v>QoH</v>
          </cell>
          <cell r="F302" t="str">
            <v>可愛い</v>
          </cell>
          <cell r="G302" t="str">
            <v>女性</v>
          </cell>
          <cell r="H302" t="str">
            <v>green</v>
          </cell>
          <cell r="I302">
            <v>4</v>
          </cell>
          <cell r="J302" t="str">
            <v>Drop2W</v>
          </cell>
          <cell r="K302" t="str">
            <v>balance</v>
          </cell>
          <cell r="L302" t="str">
            <v>バランスタイプ</v>
          </cell>
          <cell r="M302" t="str">
            <v>human</v>
          </cell>
        </row>
        <row r="303">
          <cell r="A303">
            <v>302</v>
          </cell>
          <cell r="B303" t="str">
            <v>ja</v>
          </cell>
          <cell r="C303" t="str">
            <v>絞殺のリサ</v>
          </cell>
          <cell r="D303" t="str">
            <v>イベント:囚人01</v>
          </cell>
          <cell r="E303" t="str">
            <v>QoH</v>
          </cell>
          <cell r="F303" t="str">
            <v>美しい</v>
          </cell>
          <cell r="G303" t="str">
            <v>女性</v>
          </cell>
          <cell r="H303" t="str">
            <v>blue</v>
          </cell>
          <cell r="I303">
            <v>3</v>
          </cell>
          <cell r="J303" t="str">
            <v>Drop2W</v>
          </cell>
          <cell r="K303" t="str">
            <v>heal</v>
          </cell>
          <cell r="L303" t="str">
            <v>回復タイプ</v>
          </cell>
          <cell r="M303" t="str">
            <v>human</v>
          </cell>
        </row>
        <row r="304">
          <cell r="A304">
            <v>303</v>
          </cell>
          <cell r="B304" t="str">
            <v>ja</v>
          </cell>
          <cell r="C304" t="str">
            <v>哄笑の禁縛 リサ</v>
          </cell>
          <cell r="D304" t="str">
            <v>イベント:囚人01</v>
          </cell>
          <cell r="E304" t="str">
            <v>QoH</v>
          </cell>
          <cell r="F304" t="str">
            <v>美しい</v>
          </cell>
          <cell r="G304" t="str">
            <v>女性</v>
          </cell>
          <cell r="H304" t="str">
            <v>blue</v>
          </cell>
          <cell r="I304">
            <v>4</v>
          </cell>
          <cell r="J304" t="str">
            <v>Drop2W</v>
          </cell>
          <cell r="K304" t="str">
            <v>heal</v>
          </cell>
          <cell r="L304" t="str">
            <v>回復タイプ</v>
          </cell>
          <cell r="M304" t="str">
            <v>human</v>
          </cell>
        </row>
        <row r="305">
          <cell r="A305">
            <v>304</v>
          </cell>
          <cell r="B305" t="str">
            <v>ja</v>
          </cell>
          <cell r="C305" t="str">
            <v>電殺のチエミ</v>
          </cell>
          <cell r="D305" t="str">
            <v>イベント:囚人01</v>
          </cell>
          <cell r="E305" t="str">
            <v>QoH</v>
          </cell>
          <cell r="F305" t="str">
            <v>美しい</v>
          </cell>
          <cell r="G305" t="str">
            <v>女性</v>
          </cell>
          <cell r="H305" t="str">
            <v>yellow</v>
          </cell>
          <cell r="I305">
            <v>3</v>
          </cell>
          <cell r="J305" t="str">
            <v>Drop2W</v>
          </cell>
          <cell r="K305" t="str">
            <v>attack</v>
          </cell>
          <cell r="L305" t="str">
            <v>攻撃タイプ</v>
          </cell>
          <cell r="M305" t="str">
            <v>human</v>
          </cell>
        </row>
        <row r="306">
          <cell r="A306">
            <v>305</v>
          </cell>
          <cell r="B306" t="str">
            <v>ja</v>
          </cell>
          <cell r="C306" t="str">
            <v>螺旋の雷電 チエミ</v>
          </cell>
          <cell r="D306" t="str">
            <v>イベント:囚人01</v>
          </cell>
          <cell r="E306" t="str">
            <v>QoH</v>
          </cell>
          <cell r="F306" t="str">
            <v>美しい</v>
          </cell>
          <cell r="G306" t="str">
            <v>女性</v>
          </cell>
          <cell r="H306" t="str">
            <v>yellow</v>
          </cell>
          <cell r="I306">
            <v>4</v>
          </cell>
          <cell r="J306" t="str">
            <v>Drop2W</v>
          </cell>
          <cell r="K306" t="str">
            <v>attack</v>
          </cell>
          <cell r="L306" t="str">
            <v>攻撃タイプ</v>
          </cell>
          <cell r="M306" t="str">
            <v>human</v>
          </cell>
        </row>
        <row r="307">
          <cell r="A307">
            <v>306</v>
          </cell>
          <cell r="B307" t="str">
            <v>ja</v>
          </cell>
          <cell r="C307" t="str">
            <v>メガロドン</v>
          </cell>
          <cell r="D307" t="str">
            <v>イベント:深海生物01</v>
          </cell>
          <cell r="E307" t="str">
            <v>アバター</v>
          </cell>
          <cell r="F307" t="str">
            <v>格好いい</v>
          </cell>
          <cell r="G307" t="str">
            <v>女性</v>
          </cell>
          <cell r="H307" t="str">
            <v>red</v>
          </cell>
          <cell r="I307">
            <v>4</v>
          </cell>
          <cell r="J307" t="str">
            <v>Drop2N</v>
          </cell>
          <cell r="K307" t="str">
            <v>attack</v>
          </cell>
          <cell r="L307" t="str">
            <v>攻撃タイプ</v>
          </cell>
          <cell r="M307" t="str">
            <v>animal</v>
          </cell>
        </row>
        <row r="308">
          <cell r="A308">
            <v>307</v>
          </cell>
          <cell r="B308" t="str">
            <v>ja</v>
          </cell>
          <cell r="C308" t="str">
            <v>古の鋼拳 メガロドン</v>
          </cell>
          <cell r="D308" t="str">
            <v>イベント:深海生物01</v>
          </cell>
          <cell r="E308" t="str">
            <v>アバター</v>
          </cell>
          <cell r="F308" t="str">
            <v>格好いい</v>
          </cell>
          <cell r="G308" t="str">
            <v>女性</v>
          </cell>
          <cell r="H308" t="str">
            <v>red</v>
          </cell>
          <cell r="I308">
            <v>5</v>
          </cell>
          <cell r="J308" t="str">
            <v>Drop2N</v>
          </cell>
          <cell r="K308" t="str">
            <v>attack</v>
          </cell>
          <cell r="L308" t="str">
            <v>攻撃タイプ</v>
          </cell>
          <cell r="M308" t="str">
            <v>animal</v>
          </cell>
        </row>
        <row r="309">
          <cell r="A309">
            <v>308</v>
          </cell>
          <cell r="B309" t="str">
            <v>ja</v>
          </cell>
          <cell r="C309" t="str">
            <v>アーケロン</v>
          </cell>
          <cell r="D309" t="str">
            <v>イベント:深海生物01</v>
          </cell>
          <cell r="E309" t="str">
            <v>アバター</v>
          </cell>
          <cell r="F309" t="str">
            <v>可愛い</v>
          </cell>
          <cell r="G309" t="str">
            <v>女性</v>
          </cell>
          <cell r="H309" t="str">
            <v>green</v>
          </cell>
          <cell r="I309">
            <v>4</v>
          </cell>
          <cell r="J309" t="str">
            <v>Drop2N</v>
          </cell>
          <cell r="K309" t="str">
            <v>hp</v>
          </cell>
          <cell r="L309" t="str">
            <v>体力タイプ</v>
          </cell>
          <cell r="M309" t="str">
            <v>animal</v>
          </cell>
        </row>
        <row r="310">
          <cell r="A310">
            <v>309</v>
          </cell>
          <cell r="B310" t="str">
            <v>ja</v>
          </cell>
          <cell r="C310" t="str">
            <v>古の博学 アーケロン</v>
          </cell>
          <cell r="D310" t="str">
            <v>イベント:深海生物01</v>
          </cell>
          <cell r="E310" t="str">
            <v>アバター</v>
          </cell>
          <cell r="F310" t="str">
            <v>可愛い</v>
          </cell>
          <cell r="G310" t="str">
            <v>女性</v>
          </cell>
          <cell r="H310" t="str">
            <v>green</v>
          </cell>
          <cell r="I310">
            <v>5</v>
          </cell>
          <cell r="J310" t="str">
            <v>Drop2N</v>
          </cell>
          <cell r="K310" t="str">
            <v>hp</v>
          </cell>
          <cell r="L310" t="str">
            <v>体力タイプ</v>
          </cell>
          <cell r="M310" t="str">
            <v>animal</v>
          </cell>
        </row>
        <row r="311">
          <cell r="A311">
            <v>310</v>
          </cell>
          <cell r="B311" t="str">
            <v>ja</v>
          </cell>
          <cell r="C311" t="str">
            <v>リードシクティス</v>
          </cell>
          <cell r="D311" t="str">
            <v>イベント:深海生物01</v>
          </cell>
          <cell r="E311" t="str">
            <v>アバター</v>
          </cell>
          <cell r="F311" t="str">
            <v>美しい</v>
          </cell>
          <cell r="G311" t="str">
            <v>女性</v>
          </cell>
          <cell r="H311" t="str">
            <v>blue</v>
          </cell>
          <cell r="I311">
            <v>4</v>
          </cell>
          <cell r="J311" t="str">
            <v>Drop2N</v>
          </cell>
          <cell r="K311" t="str">
            <v>heal</v>
          </cell>
          <cell r="L311" t="str">
            <v>回復タイプ</v>
          </cell>
          <cell r="M311" t="str">
            <v>animal</v>
          </cell>
        </row>
        <row r="312">
          <cell r="A312">
            <v>311</v>
          </cell>
          <cell r="B312" t="str">
            <v>ja</v>
          </cell>
          <cell r="C312" t="str">
            <v>古の暴食 リードシクティス</v>
          </cell>
          <cell r="D312" t="str">
            <v>イベント:深海生物01</v>
          </cell>
          <cell r="E312" t="str">
            <v>アバター</v>
          </cell>
          <cell r="F312" t="str">
            <v>美しい</v>
          </cell>
          <cell r="G312" t="str">
            <v>女性</v>
          </cell>
          <cell r="H312" t="str">
            <v>blue</v>
          </cell>
          <cell r="I312">
            <v>5</v>
          </cell>
          <cell r="J312" t="str">
            <v>Drop2N</v>
          </cell>
          <cell r="K312" t="str">
            <v>heal</v>
          </cell>
          <cell r="L312" t="str">
            <v>回復タイプ</v>
          </cell>
          <cell r="M312" t="str">
            <v>animal</v>
          </cell>
        </row>
        <row r="313">
          <cell r="A313">
            <v>312</v>
          </cell>
          <cell r="B313" t="str">
            <v>ja</v>
          </cell>
          <cell r="C313" t="str">
            <v>アノマロカリス</v>
          </cell>
          <cell r="D313" t="str">
            <v>イベント:深海生物01</v>
          </cell>
          <cell r="E313" t="str">
            <v>アバター</v>
          </cell>
          <cell r="F313" t="str">
            <v>可愛い</v>
          </cell>
          <cell r="G313" t="str">
            <v>女性</v>
          </cell>
          <cell r="H313" t="str">
            <v>yellow</v>
          </cell>
          <cell r="I313">
            <v>4</v>
          </cell>
          <cell r="J313" t="str">
            <v>Drop2N</v>
          </cell>
          <cell r="K313" t="str">
            <v>balance</v>
          </cell>
          <cell r="L313" t="str">
            <v>バランスタイプ</v>
          </cell>
          <cell r="M313" t="str">
            <v>animal</v>
          </cell>
        </row>
        <row r="314">
          <cell r="A314">
            <v>313</v>
          </cell>
          <cell r="B314" t="str">
            <v>ja</v>
          </cell>
          <cell r="C314" t="str">
            <v>古の先鋭 アノマロカリス</v>
          </cell>
          <cell r="D314" t="str">
            <v>イベント:深海生物01</v>
          </cell>
          <cell r="E314" t="str">
            <v>アバター</v>
          </cell>
          <cell r="F314" t="str">
            <v>可愛い</v>
          </cell>
          <cell r="G314" t="str">
            <v>女性</v>
          </cell>
          <cell r="H314" t="str">
            <v>yellow</v>
          </cell>
          <cell r="I314">
            <v>5</v>
          </cell>
          <cell r="J314" t="str">
            <v>Drop2N</v>
          </cell>
          <cell r="K314" t="str">
            <v>balance</v>
          </cell>
          <cell r="L314" t="str">
            <v>バランスタイプ</v>
          </cell>
          <cell r="M314" t="str">
            <v>animal</v>
          </cell>
        </row>
        <row r="315">
          <cell r="A315">
            <v>314</v>
          </cell>
          <cell r="B315" t="str">
            <v>ja</v>
          </cell>
          <cell r="C315" t="str">
            <v>ジャンヌ</v>
          </cell>
          <cell r="D315" t="str">
            <v>イベント:ウィザード</v>
          </cell>
          <cell r="E315" t="str">
            <v>守護者</v>
          </cell>
          <cell r="F315" t="str">
            <v>美しい</v>
          </cell>
          <cell r="G315" t="str">
            <v>女性</v>
          </cell>
          <cell r="H315" t="str">
            <v>blue</v>
          </cell>
          <cell r="I315">
            <v>4</v>
          </cell>
          <cell r="J315" t="str">
            <v>DropWizS</v>
          </cell>
          <cell r="K315" t="str">
            <v>heal</v>
          </cell>
          <cell r="L315" t="str">
            <v>回復タイプ</v>
          </cell>
          <cell r="M315" t="str">
            <v>human</v>
          </cell>
        </row>
        <row r="316">
          <cell r="A316">
            <v>315</v>
          </cell>
          <cell r="B316" t="str">
            <v>ja</v>
          </cell>
          <cell r="C316" t="str">
            <v>鉄馬駆る聖女 ジャンヌ</v>
          </cell>
          <cell r="D316" t="str">
            <v>イベント:ウィザード</v>
          </cell>
          <cell r="E316" t="str">
            <v>守護者</v>
          </cell>
          <cell r="F316" t="str">
            <v>美しい</v>
          </cell>
          <cell r="G316" t="str">
            <v>女性</v>
          </cell>
          <cell r="H316" t="str">
            <v>blue</v>
          </cell>
          <cell r="I316">
            <v>5</v>
          </cell>
          <cell r="J316" t="str">
            <v>DropWizS</v>
          </cell>
          <cell r="K316" t="str">
            <v>heal</v>
          </cell>
          <cell r="L316" t="str">
            <v>回復タイプ</v>
          </cell>
          <cell r="M316" t="str">
            <v>human</v>
          </cell>
        </row>
        <row r="317">
          <cell r="A317">
            <v>316</v>
          </cell>
          <cell r="B317" t="str">
            <v>ja</v>
          </cell>
          <cell r="C317" t="str">
            <v>テスラ</v>
          </cell>
          <cell r="D317" t="str">
            <v>チャレンジタワー</v>
          </cell>
          <cell r="E317" t="str">
            <v>守護者</v>
          </cell>
          <cell r="F317" t="str">
            <v>可愛い</v>
          </cell>
          <cell r="G317" t="str">
            <v>女性</v>
          </cell>
          <cell r="H317" t="str">
            <v>yellow</v>
          </cell>
          <cell r="I317">
            <v>4</v>
          </cell>
          <cell r="J317" t="str">
            <v>DropWizN</v>
          </cell>
          <cell r="K317" t="str">
            <v>balance</v>
          </cell>
          <cell r="L317" t="str">
            <v>バランスタイプ</v>
          </cell>
          <cell r="M317" t="str">
            <v>human</v>
          </cell>
        </row>
        <row r="318">
          <cell r="A318">
            <v>317</v>
          </cell>
          <cell r="B318" t="str">
            <v>ja</v>
          </cell>
          <cell r="C318" t="str">
            <v>異能の電気師 テスラ</v>
          </cell>
          <cell r="D318" t="str">
            <v>チャレンジタワー</v>
          </cell>
          <cell r="E318" t="str">
            <v>守護者</v>
          </cell>
          <cell r="F318" t="str">
            <v>可愛い</v>
          </cell>
          <cell r="G318" t="str">
            <v>女性</v>
          </cell>
          <cell r="H318" t="str">
            <v>yellow</v>
          </cell>
          <cell r="I318">
            <v>5</v>
          </cell>
          <cell r="J318" t="str">
            <v>DropWizN</v>
          </cell>
          <cell r="K318" t="str">
            <v>balance</v>
          </cell>
          <cell r="L318" t="str">
            <v>バランスタイプ</v>
          </cell>
          <cell r="M318" t="str">
            <v>human</v>
          </cell>
        </row>
        <row r="319">
          <cell r="A319">
            <v>318</v>
          </cell>
          <cell r="B319" t="str">
            <v>ja</v>
          </cell>
          <cell r="C319" t="str">
            <v>シャルル</v>
          </cell>
          <cell r="D319" t="str">
            <v>チャレンジタワー</v>
          </cell>
          <cell r="E319" t="str">
            <v>守護者</v>
          </cell>
          <cell r="F319" t="str">
            <v>美しい</v>
          </cell>
          <cell r="G319" t="str">
            <v>女性</v>
          </cell>
          <cell r="H319" t="str">
            <v>blue</v>
          </cell>
          <cell r="I319">
            <v>4</v>
          </cell>
          <cell r="J319" t="str">
            <v>DropWizN</v>
          </cell>
          <cell r="K319" t="str">
            <v>heal</v>
          </cell>
          <cell r="L319" t="str">
            <v>回復タイプ</v>
          </cell>
          <cell r="M319" t="str">
            <v>human</v>
          </cell>
        </row>
        <row r="320">
          <cell r="A320">
            <v>319</v>
          </cell>
          <cell r="B320" t="str">
            <v>ja</v>
          </cell>
          <cell r="C320" t="str">
            <v>夢想の学士 シャルル</v>
          </cell>
          <cell r="D320" t="str">
            <v>チャレンジタワー</v>
          </cell>
          <cell r="E320" t="str">
            <v>守護者</v>
          </cell>
          <cell r="F320" t="str">
            <v>美しい</v>
          </cell>
          <cell r="G320" t="str">
            <v>女性</v>
          </cell>
          <cell r="H320" t="str">
            <v>blue</v>
          </cell>
          <cell r="I320">
            <v>5</v>
          </cell>
          <cell r="J320" t="str">
            <v>DropWizN</v>
          </cell>
          <cell r="K320" t="str">
            <v>heal</v>
          </cell>
          <cell r="L320" t="str">
            <v>回復タイプ</v>
          </cell>
          <cell r="M320" t="str">
            <v>human</v>
          </cell>
        </row>
        <row r="321">
          <cell r="A321">
            <v>320</v>
          </cell>
          <cell r="B321" t="str">
            <v>ja</v>
          </cell>
          <cell r="C321" t="str">
            <v>烈志士 近藤勇</v>
          </cell>
          <cell r="D321" t="str">
            <v>ガチャ:幕末01</v>
          </cell>
          <cell r="E321" t="str">
            <v>破界者</v>
          </cell>
          <cell r="F321" t="str">
            <v>格好いい</v>
          </cell>
          <cell r="G321" t="str">
            <v>男性</v>
          </cell>
          <cell r="H321" t="str">
            <v>red</v>
          </cell>
          <cell r="I321">
            <v>4</v>
          </cell>
          <cell r="J321" t="str">
            <v>PremiumSS</v>
          </cell>
          <cell r="K321" t="str">
            <v>hp</v>
          </cell>
          <cell r="L321" t="str">
            <v>体力タイプ</v>
          </cell>
          <cell r="M321" t="str">
            <v>human</v>
          </cell>
        </row>
        <row r="322">
          <cell r="A322">
            <v>321</v>
          </cell>
          <cell r="B322" t="str">
            <v>ja</v>
          </cell>
          <cell r="C322" t="str">
            <v>巌鉄の烈志士 近藤勇</v>
          </cell>
          <cell r="D322" t="str">
            <v>ガチャ:幕末01</v>
          </cell>
          <cell r="E322" t="str">
            <v>破界者</v>
          </cell>
          <cell r="F322" t="str">
            <v>格好いい</v>
          </cell>
          <cell r="G322" t="str">
            <v>男性</v>
          </cell>
          <cell r="H322" t="str">
            <v>red</v>
          </cell>
          <cell r="I322">
            <v>5</v>
          </cell>
          <cell r="J322" t="str">
            <v>PremiumSS</v>
          </cell>
          <cell r="K322" t="str">
            <v>hp</v>
          </cell>
          <cell r="L322" t="str">
            <v>体力タイプ</v>
          </cell>
          <cell r="M322" t="str">
            <v>human</v>
          </cell>
        </row>
        <row r="323">
          <cell r="A323">
            <v>322</v>
          </cell>
          <cell r="B323" t="str">
            <v>ja</v>
          </cell>
          <cell r="C323" t="str">
            <v>愛志士 土方歳三</v>
          </cell>
          <cell r="D323" t="str">
            <v>ガチャ:幕末01</v>
          </cell>
          <cell r="E323" t="str">
            <v>破界者</v>
          </cell>
          <cell r="F323" t="str">
            <v>美しい</v>
          </cell>
          <cell r="G323" t="str">
            <v>女性</v>
          </cell>
          <cell r="H323" t="str">
            <v>green</v>
          </cell>
          <cell r="I323">
            <v>4</v>
          </cell>
          <cell r="J323" t="str">
            <v>PremiumSS</v>
          </cell>
          <cell r="K323" t="str">
            <v>attack</v>
          </cell>
          <cell r="L323" t="str">
            <v>攻撃タイプ</v>
          </cell>
          <cell r="M323" t="str">
            <v>human</v>
          </cell>
        </row>
        <row r="324">
          <cell r="A324">
            <v>323</v>
          </cell>
          <cell r="B324" t="str">
            <v>ja</v>
          </cell>
          <cell r="C324" t="str">
            <v>流麗の愛志士 土方歳三</v>
          </cell>
          <cell r="D324" t="str">
            <v>ガチャ:幕末01</v>
          </cell>
          <cell r="E324" t="str">
            <v>破界者</v>
          </cell>
          <cell r="F324" t="str">
            <v>美しい</v>
          </cell>
          <cell r="G324" t="str">
            <v>女性</v>
          </cell>
          <cell r="H324" t="str">
            <v>green</v>
          </cell>
          <cell r="I324">
            <v>5</v>
          </cell>
          <cell r="J324" t="str">
            <v>PremiumSS</v>
          </cell>
          <cell r="K324" t="str">
            <v>attack</v>
          </cell>
          <cell r="L324" t="str">
            <v>攻撃タイプ</v>
          </cell>
          <cell r="M324" t="str">
            <v>human</v>
          </cell>
        </row>
        <row r="325">
          <cell r="A325">
            <v>324</v>
          </cell>
          <cell r="B325" t="str">
            <v>ja</v>
          </cell>
          <cell r="C325" t="str">
            <v>凛志士 沖田総司</v>
          </cell>
          <cell r="D325" t="str">
            <v>ガチャ:幕末01</v>
          </cell>
          <cell r="E325" t="str">
            <v>破界者</v>
          </cell>
          <cell r="F325" t="str">
            <v>可愛い</v>
          </cell>
          <cell r="G325" t="str">
            <v>女性</v>
          </cell>
          <cell r="H325" t="str">
            <v>blue</v>
          </cell>
          <cell r="I325">
            <v>4</v>
          </cell>
          <cell r="J325" t="str">
            <v>PremiumSS</v>
          </cell>
          <cell r="K325" t="str">
            <v>balance</v>
          </cell>
          <cell r="L325" t="str">
            <v>バランスタイプ</v>
          </cell>
          <cell r="M325" t="str">
            <v>human</v>
          </cell>
        </row>
        <row r="326">
          <cell r="A326">
            <v>325</v>
          </cell>
          <cell r="B326" t="str">
            <v>ja</v>
          </cell>
          <cell r="C326" t="str">
            <v>天賦の凛志士 沖田総司</v>
          </cell>
          <cell r="D326" t="str">
            <v>ガチャ:幕末01</v>
          </cell>
          <cell r="E326" t="str">
            <v>破界者</v>
          </cell>
          <cell r="F326" t="str">
            <v>可愛い</v>
          </cell>
          <cell r="G326" t="str">
            <v>女性</v>
          </cell>
          <cell r="H326" t="str">
            <v>blue</v>
          </cell>
          <cell r="I326">
            <v>5</v>
          </cell>
          <cell r="J326" t="str">
            <v>PremiumSS</v>
          </cell>
          <cell r="K326" t="str">
            <v>balance</v>
          </cell>
          <cell r="L326" t="str">
            <v>バランスタイプ</v>
          </cell>
          <cell r="M326" t="str">
            <v>human</v>
          </cell>
        </row>
        <row r="327">
          <cell r="A327">
            <v>326</v>
          </cell>
          <cell r="B327" t="str">
            <v>ja</v>
          </cell>
          <cell r="C327" t="str">
            <v>妖志士 斎藤一</v>
          </cell>
          <cell r="D327" t="str">
            <v>ガチャ:幕末01</v>
          </cell>
          <cell r="E327" t="str">
            <v>破界者</v>
          </cell>
          <cell r="F327" t="str">
            <v>美しい</v>
          </cell>
          <cell r="G327" t="str">
            <v>女性</v>
          </cell>
          <cell r="H327" t="str">
            <v>yellow</v>
          </cell>
          <cell r="I327">
            <v>4</v>
          </cell>
          <cell r="J327" t="str">
            <v>PremiumSS</v>
          </cell>
          <cell r="K327" t="str">
            <v>technical</v>
          </cell>
          <cell r="L327" t="str">
            <v>テクニカルタイプ</v>
          </cell>
          <cell r="M327" t="str">
            <v>human</v>
          </cell>
        </row>
        <row r="328">
          <cell r="A328">
            <v>327</v>
          </cell>
          <cell r="B328" t="str">
            <v>ja</v>
          </cell>
          <cell r="C328" t="str">
            <v>千殺の妖志士 斎藤一</v>
          </cell>
          <cell r="D328" t="str">
            <v>ガチャ:幕末01</v>
          </cell>
          <cell r="E328" t="str">
            <v>破界者</v>
          </cell>
          <cell r="F328" t="str">
            <v>美しい</v>
          </cell>
          <cell r="G328" t="str">
            <v>女性</v>
          </cell>
          <cell r="H328" t="str">
            <v>yellow</v>
          </cell>
          <cell r="I328">
            <v>5</v>
          </cell>
          <cell r="J328" t="str">
            <v>PremiumSS</v>
          </cell>
          <cell r="K328" t="str">
            <v>technical</v>
          </cell>
          <cell r="L328" t="str">
            <v>テクニカルタイプ</v>
          </cell>
          <cell r="M328" t="str">
            <v>human</v>
          </cell>
        </row>
        <row r="329">
          <cell r="A329">
            <v>328</v>
          </cell>
          <cell r="B329" t="str">
            <v>ja</v>
          </cell>
          <cell r="C329" t="str">
            <v>none</v>
          </cell>
          <cell r="D329" t="str">
            <v>未定</v>
          </cell>
          <cell r="H329" t="str">
            <v>yellow</v>
          </cell>
          <cell r="I329">
            <v>4</v>
          </cell>
          <cell r="J329" t="str">
            <v>PremiumS</v>
          </cell>
          <cell r="K329" t="str">
            <v>none</v>
          </cell>
          <cell r="L329" t="str">
            <v>タイプなし</v>
          </cell>
          <cell r="M329" t="str">
            <v>human</v>
          </cell>
        </row>
        <row r="330">
          <cell r="A330">
            <v>329</v>
          </cell>
          <cell r="B330" t="str">
            <v>ja</v>
          </cell>
          <cell r="C330" t="str">
            <v>none</v>
          </cell>
          <cell r="D330" t="str">
            <v>未定</v>
          </cell>
          <cell r="H330" t="str">
            <v>yellow</v>
          </cell>
          <cell r="I330">
            <v>5</v>
          </cell>
          <cell r="J330" t="str">
            <v>PremiumS</v>
          </cell>
          <cell r="K330" t="str">
            <v>none</v>
          </cell>
          <cell r="L330" t="str">
            <v>タイプなし</v>
          </cell>
          <cell r="M330" t="str">
            <v>human</v>
          </cell>
        </row>
        <row r="331">
          <cell r="A331">
            <v>330</v>
          </cell>
          <cell r="B331" t="str">
            <v>ja</v>
          </cell>
          <cell r="C331" t="str">
            <v>UsagiChan</v>
          </cell>
          <cell r="D331" t="str">
            <v>未定</v>
          </cell>
          <cell r="H331" t="str">
            <v>blue</v>
          </cell>
          <cell r="I331">
            <v>4</v>
          </cell>
          <cell r="J331" t="str">
            <v>DropWizSSS</v>
          </cell>
          <cell r="K331" t="str">
            <v>balance</v>
          </cell>
          <cell r="L331" t="str">
            <v>バランスタイプ</v>
          </cell>
          <cell r="M331" t="str">
            <v>machine</v>
          </cell>
        </row>
        <row r="332">
          <cell r="A332">
            <v>331</v>
          </cell>
          <cell r="B332" t="str">
            <v>ja</v>
          </cell>
          <cell r="C332" t="str">
            <v>シャドウ・オーディン</v>
          </cell>
          <cell r="D332" t="str">
            <v>未定</v>
          </cell>
          <cell r="H332" t="str">
            <v>blue</v>
          </cell>
          <cell r="I332">
            <v>5</v>
          </cell>
          <cell r="J332" t="str">
            <v>DropWizSSS</v>
          </cell>
          <cell r="K332" t="str">
            <v>none</v>
          </cell>
          <cell r="L332" t="str">
            <v>タイプなし</v>
          </cell>
          <cell r="M332" t="str">
            <v>unknown</v>
          </cell>
        </row>
        <row r="333">
          <cell r="A333">
            <v>332</v>
          </cell>
          <cell r="B333" t="str">
            <v>ja</v>
          </cell>
          <cell r="C333" t="str">
            <v>炎のメタルピヨピヨ</v>
          </cell>
          <cell r="D333" t="str">
            <v>強化素材R3　赤</v>
          </cell>
          <cell r="E333" t="str">
            <v>アリス</v>
          </cell>
          <cell r="F333" t="str">
            <v>世界観</v>
          </cell>
          <cell r="G333" t="str">
            <v>不明</v>
          </cell>
          <cell r="H333" t="str">
            <v>red</v>
          </cell>
          <cell r="I333">
            <v>3</v>
          </cell>
          <cell r="J333" t="str">
            <v>Material</v>
          </cell>
          <cell r="K333" t="str">
            <v>exp</v>
          </cell>
          <cell r="L333" t="str">
            <v>強化素材タイプ</v>
          </cell>
          <cell r="M333" t="str">
            <v>unknown</v>
          </cell>
        </row>
        <row r="334">
          <cell r="A334">
            <v>333</v>
          </cell>
          <cell r="B334" t="str">
            <v>ja</v>
          </cell>
          <cell r="C334" t="str">
            <v>炎のメタルチック</v>
          </cell>
          <cell r="D334" t="str">
            <v>強化素材R4　赤</v>
          </cell>
          <cell r="E334" t="str">
            <v>アリス</v>
          </cell>
          <cell r="F334" t="str">
            <v>世界観</v>
          </cell>
          <cell r="G334" t="str">
            <v>不明</v>
          </cell>
          <cell r="H334" t="str">
            <v>red</v>
          </cell>
          <cell r="I334">
            <v>4</v>
          </cell>
          <cell r="J334" t="str">
            <v>Material</v>
          </cell>
          <cell r="K334" t="str">
            <v>exp</v>
          </cell>
          <cell r="L334" t="str">
            <v>強化素材タイプ</v>
          </cell>
          <cell r="M334" t="str">
            <v>unknown</v>
          </cell>
        </row>
        <row r="335">
          <cell r="A335">
            <v>334</v>
          </cell>
          <cell r="B335" t="str">
            <v>ja</v>
          </cell>
          <cell r="C335" t="str">
            <v>炎のメタルダック</v>
          </cell>
          <cell r="D335" t="str">
            <v>強化素材R5　赤</v>
          </cell>
          <cell r="E335" t="str">
            <v>アリス</v>
          </cell>
          <cell r="F335" t="str">
            <v>世界観</v>
          </cell>
          <cell r="G335" t="str">
            <v>不明</v>
          </cell>
          <cell r="H335" t="str">
            <v>red</v>
          </cell>
          <cell r="I335">
            <v>5</v>
          </cell>
          <cell r="J335" t="str">
            <v>Material</v>
          </cell>
          <cell r="K335" t="str">
            <v>exp</v>
          </cell>
          <cell r="L335" t="str">
            <v>強化素材タイプ</v>
          </cell>
          <cell r="M335" t="str">
            <v>unknown</v>
          </cell>
        </row>
        <row r="336">
          <cell r="A336">
            <v>335</v>
          </cell>
          <cell r="B336" t="str">
            <v>ja</v>
          </cell>
          <cell r="C336" t="str">
            <v>炎のメタルジェントル</v>
          </cell>
          <cell r="D336" t="str">
            <v>強化素材R6　赤</v>
          </cell>
          <cell r="E336" t="str">
            <v>アリス</v>
          </cell>
          <cell r="F336" t="str">
            <v>世界観</v>
          </cell>
          <cell r="G336" t="str">
            <v>不明</v>
          </cell>
          <cell r="H336" t="str">
            <v>red</v>
          </cell>
          <cell r="I336">
            <v>6</v>
          </cell>
          <cell r="J336" t="str">
            <v>Material</v>
          </cell>
          <cell r="K336" t="str">
            <v>exp</v>
          </cell>
          <cell r="L336" t="str">
            <v>強化素材タイプ</v>
          </cell>
          <cell r="M336" t="str">
            <v>unknown</v>
          </cell>
        </row>
        <row r="337">
          <cell r="A337">
            <v>336</v>
          </cell>
          <cell r="B337" t="str">
            <v>ja</v>
          </cell>
          <cell r="C337" t="str">
            <v>森のメタルピヨピヨ</v>
          </cell>
          <cell r="D337" t="str">
            <v>強化素材R3　緑</v>
          </cell>
          <cell r="E337" t="str">
            <v>アリス</v>
          </cell>
          <cell r="F337" t="str">
            <v>世界観</v>
          </cell>
          <cell r="G337" t="str">
            <v>不明</v>
          </cell>
          <cell r="H337" t="str">
            <v>green</v>
          </cell>
          <cell r="I337">
            <v>3</v>
          </cell>
          <cell r="J337" t="str">
            <v>Material</v>
          </cell>
          <cell r="K337" t="str">
            <v>exp</v>
          </cell>
          <cell r="L337" t="str">
            <v>強化素材タイプ</v>
          </cell>
          <cell r="M337" t="str">
            <v>unknown</v>
          </cell>
        </row>
        <row r="338">
          <cell r="A338">
            <v>337</v>
          </cell>
          <cell r="B338" t="str">
            <v>ja</v>
          </cell>
          <cell r="C338" t="str">
            <v>森のメタルチック</v>
          </cell>
          <cell r="D338" t="str">
            <v>強化素材R4　緑</v>
          </cell>
          <cell r="E338" t="str">
            <v>アリス</v>
          </cell>
          <cell r="F338" t="str">
            <v>世界観</v>
          </cell>
          <cell r="G338" t="str">
            <v>不明</v>
          </cell>
          <cell r="H338" t="str">
            <v>green</v>
          </cell>
          <cell r="I338">
            <v>4</v>
          </cell>
          <cell r="J338" t="str">
            <v>Material</v>
          </cell>
          <cell r="K338" t="str">
            <v>exp</v>
          </cell>
          <cell r="L338" t="str">
            <v>強化素材タイプ</v>
          </cell>
          <cell r="M338" t="str">
            <v>unknown</v>
          </cell>
        </row>
        <row r="339">
          <cell r="A339">
            <v>338</v>
          </cell>
          <cell r="B339" t="str">
            <v>ja</v>
          </cell>
          <cell r="C339" t="str">
            <v>森のメタルダック</v>
          </cell>
          <cell r="D339" t="str">
            <v>強化素材R5　緑</v>
          </cell>
          <cell r="E339" t="str">
            <v>アリス</v>
          </cell>
          <cell r="F339" t="str">
            <v>世界観</v>
          </cell>
          <cell r="G339" t="str">
            <v>不明</v>
          </cell>
          <cell r="H339" t="str">
            <v>green</v>
          </cell>
          <cell r="I339">
            <v>5</v>
          </cell>
          <cell r="J339" t="str">
            <v>Material</v>
          </cell>
          <cell r="K339" t="str">
            <v>exp</v>
          </cell>
          <cell r="L339" t="str">
            <v>強化素材タイプ</v>
          </cell>
          <cell r="M339" t="str">
            <v>unknown</v>
          </cell>
        </row>
        <row r="340">
          <cell r="A340">
            <v>339</v>
          </cell>
          <cell r="B340" t="str">
            <v>ja</v>
          </cell>
          <cell r="C340" t="str">
            <v>森のメタルジェントル</v>
          </cell>
          <cell r="D340" t="str">
            <v>強化素材R6　緑</v>
          </cell>
          <cell r="E340" t="str">
            <v>アリス</v>
          </cell>
          <cell r="F340" t="str">
            <v>世界観</v>
          </cell>
          <cell r="G340" t="str">
            <v>不明</v>
          </cell>
          <cell r="H340" t="str">
            <v>green</v>
          </cell>
          <cell r="I340">
            <v>6</v>
          </cell>
          <cell r="J340" t="str">
            <v>Material</v>
          </cell>
          <cell r="K340" t="str">
            <v>exp</v>
          </cell>
          <cell r="L340" t="str">
            <v>強化素材タイプ</v>
          </cell>
          <cell r="M340" t="str">
            <v>unknown</v>
          </cell>
        </row>
        <row r="341">
          <cell r="A341">
            <v>340</v>
          </cell>
          <cell r="B341" t="str">
            <v>ja</v>
          </cell>
          <cell r="C341" t="str">
            <v>水のメタルピヨピヨ</v>
          </cell>
          <cell r="D341" t="str">
            <v>強化素材R3　青</v>
          </cell>
          <cell r="E341" t="str">
            <v>アリス</v>
          </cell>
          <cell r="F341" t="str">
            <v>世界観</v>
          </cell>
          <cell r="G341" t="str">
            <v>不明</v>
          </cell>
          <cell r="H341" t="str">
            <v>blue</v>
          </cell>
          <cell r="I341">
            <v>3</v>
          </cell>
          <cell r="J341" t="str">
            <v>Material</v>
          </cell>
          <cell r="K341" t="str">
            <v>exp</v>
          </cell>
          <cell r="L341" t="str">
            <v>強化素材タイプ</v>
          </cell>
          <cell r="M341" t="str">
            <v>unknown</v>
          </cell>
        </row>
        <row r="342">
          <cell r="A342">
            <v>341</v>
          </cell>
          <cell r="B342" t="str">
            <v>ja</v>
          </cell>
          <cell r="C342" t="str">
            <v>水のメタルチック</v>
          </cell>
          <cell r="D342" t="str">
            <v>強化素材R4　青</v>
          </cell>
          <cell r="E342" t="str">
            <v>アリス</v>
          </cell>
          <cell r="F342" t="str">
            <v>世界観</v>
          </cell>
          <cell r="G342" t="str">
            <v>不明</v>
          </cell>
          <cell r="H342" t="str">
            <v>blue</v>
          </cell>
          <cell r="I342">
            <v>4</v>
          </cell>
          <cell r="J342" t="str">
            <v>Material</v>
          </cell>
          <cell r="K342" t="str">
            <v>exp</v>
          </cell>
          <cell r="L342" t="str">
            <v>強化素材タイプ</v>
          </cell>
          <cell r="M342" t="str">
            <v>unknown</v>
          </cell>
        </row>
        <row r="343">
          <cell r="A343">
            <v>342</v>
          </cell>
          <cell r="B343" t="str">
            <v>ja</v>
          </cell>
          <cell r="C343" t="str">
            <v>水のメタルダック</v>
          </cell>
          <cell r="D343" t="str">
            <v>強化素材R5　青</v>
          </cell>
          <cell r="E343" t="str">
            <v>アリス</v>
          </cell>
          <cell r="F343" t="str">
            <v>世界観</v>
          </cell>
          <cell r="G343" t="str">
            <v>不明</v>
          </cell>
          <cell r="H343" t="str">
            <v>blue</v>
          </cell>
          <cell r="I343">
            <v>5</v>
          </cell>
          <cell r="J343" t="str">
            <v>Material</v>
          </cell>
          <cell r="K343" t="str">
            <v>exp</v>
          </cell>
          <cell r="L343" t="str">
            <v>強化素材タイプ</v>
          </cell>
          <cell r="M343" t="str">
            <v>unknown</v>
          </cell>
        </row>
        <row r="344">
          <cell r="A344">
            <v>343</v>
          </cell>
          <cell r="B344" t="str">
            <v>ja</v>
          </cell>
          <cell r="C344" t="str">
            <v>水のメタルジェントル</v>
          </cell>
          <cell r="D344" t="str">
            <v>強化素材R6　青</v>
          </cell>
          <cell r="E344" t="str">
            <v>アリス</v>
          </cell>
          <cell r="F344" t="str">
            <v>世界観</v>
          </cell>
          <cell r="G344" t="str">
            <v>不明</v>
          </cell>
          <cell r="H344" t="str">
            <v>blue</v>
          </cell>
          <cell r="I344">
            <v>6</v>
          </cell>
          <cell r="J344" t="str">
            <v>Material</v>
          </cell>
          <cell r="K344" t="str">
            <v>exp</v>
          </cell>
          <cell r="L344" t="str">
            <v>強化素材タイプ</v>
          </cell>
          <cell r="M344" t="str">
            <v>unknown</v>
          </cell>
        </row>
        <row r="345">
          <cell r="A345">
            <v>344</v>
          </cell>
          <cell r="B345" t="str">
            <v>ja</v>
          </cell>
          <cell r="C345" t="str">
            <v>雷のメタルピヨピヨ</v>
          </cell>
          <cell r="D345" t="str">
            <v>強化素材R3　黄</v>
          </cell>
          <cell r="E345" t="str">
            <v>アリス</v>
          </cell>
          <cell r="F345" t="str">
            <v>世界観</v>
          </cell>
          <cell r="G345" t="str">
            <v>不明</v>
          </cell>
          <cell r="H345" t="str">
            <v>yellow</v>
          </cell>
          <cell r="I345">
            <v>3</v>
          </cell>
          <cell r="J345" t="str">
            <v>Material</v>
          </cell>
          <cell r="K345" t="str">
            <v>exp</v>
          </cell>
          <cell r="L345" t="str">
            <v>強化素材タイプ</v>
          </cell>
          <cell r="M345" t="str">
            <v>unknown</v>
          </cell>
        </row>
        <row r="346">
          <cell r="A346">
            <v>345</v>
          </cell>
          <cell r="B346" t="str">
            <v>ja</v>
          </cell>
          <cell r="C346" t="str">
            <v>雷のメタルチック</v>
          </cell>
          <cell r="D346" t="str">
            <v>強化素材R4　黄</v>
          </cell>
          <cell r="E346" t="str">
            <v>アリス</v>
          </cell>
          <cell r="F346" t="str">
            <v>世界観</v>
          </cell>
          <cell r="G346" t="str">
            <v>不明</v>
          </cell>
          <cell r="H346" t="str">
            <v>yellow</v>
          </cell>
          <cell r="I346">
            <v>4</v>
          </cell>
          <cell r="J346" t="str">
            <v>Material</v>
          </cell>
          <cell r="K346" t="str">
            <v>exp</v>
          </cell>
          <cell r="L346" t="str">
            <v>強化素材タイプ</v>
          </cell>
          <cell r="M346" t="str">
            <v>unknown</v>
          </cell>
        </row>
        <row r="347">
          <cell r="A347">
            <v>346</v>
          </cell>
          <cell r="B347" t="str">
            <v>ja</v>
          </cell>
          <cell r="C347" t="str">
            <v>雷のメタルダック</v>
          </cell>
          <cell r="D347" t="str">
            <v>強化素材R5　黄</v>
          </cell>
          <cell r="E347" t="str">
            <v>アリス</v>
          </cell>
          <cell r="F347" t="str">
            <v>世界観</v>
          </cell>
          <cell r="G347" t="str">
            <v>不明</v>
          </cell>
          <cell r="H347" t="str">
            <v>yellow</v>
          </cell>
          <cell r="I347">
            <v>5</v>
          </cell>
          <cell r="J347" t="str">
            <v>Material</v>
          </cell>
          <cell r="K347" t="str">
            <v>exp</v>
          </cell>
          <cell r="L347" t="str">
            <v>強化素材タイプ</v>
          </cell>
          <cell r="M347" t="str">
            <v>unknown</v>
          </cell>
        </row>
        <row r="348">
          <cell r="A348">
            <v>347</v>
          </cell>
          <cell r="B348" t="str">
            <v>ja</v>
          </cell>
          <cell r="C348" t="str">
            <v>雷のメタルジェントル</v>
          </cell>
          <cell r="D348" t="str">
            <v>強化素材R6　黄</v>
          </cell>
          <cell r="E348" t="str">
            <v>アリス</v>
          </cell>
          <cell r="F348" t="str">
            <v>世界観</v>
          </cell>
          <cell r="G348" t="str">
            <v>不明</v>
          </cell>
          <cell r="H348" t="str">
            <v>yellow</v>
          </cell>
          <cell r="I348">
            <v>6</v>
          </cell>
          <cell r="J348" t="str">
            <v>Material</v>
          </cell>
          <cell r="K348" t="str">
            <v>exp</v>
          </cell>
          <cell r="L348" t="str">
            <v>強化素材タイプ</v>
          </cell>
          <cell r="M348" t="str">
            <v>unknown</v>
          </cell>
        </row>
        <row r="349">
          <cell r="A349">
            <v>348</v>
          </cell>
          <cell r="B349" t="str">
            <v>ja</v>
          </cell>
          <cell r="C349" t="str">
            <v>炎のケロケロ</v>
          </cell>
          <cell r="D349" t="str">
            <v>強化素材R2　赤</v>
          </cell>
          <cell r="E349" t="str">
            <v>アリス</v>
          </cell>
          <cell r="F349" t="str">
            <v>世界観</v>
          </cell>
          <cell r="G349" t="str">
            <v>不明</v>
          </cell>
          <cell r="H349" t="str">
            <v>red</v>
          </cell>
          <cell r="I349">
            <v>2</v>
          </cell>
          <cell r="J349" t="str">
            <v>Material</v>
          </cell>
          <cell r="K349" t="str">
            <v>exp</v>
          </cell>
          <cell r="L349" t="str">
            <v>強化素材タイプ</v>
          </cell>
          <cell r="M349" t="str">
            <v>unknown</v>
          </cell>
        </row>
        <row r="350">
          <cell r="A350">
            <v>349</v>
          </cell>
          <cell r="B350" t="str">
            <v>ja</v>
          </cell>
          <cell r="C350" t="str">
            <v>炎のメタルフロッグ</v>
          </cell>
          <cell r="D350" t="str">
            <v>強化素材R4　赤</v>
          </cell>
          <cell r="E350" t="str">
            <v>アリス</v>
          </cell>
          <cell r="F350" t="str">
            <v>世界観</v>
          </cell>
          <cell r="G350" t="str">
            <v>不明</v>
          </cell>
          <cell r="H350" t="str">
            <v>red</v>
          </cell>
          <cell r="I350">
            <v>4</v>
          </cell>
          <cell r="J350" t="str">
            <v>Material</v>
          </cell>
          <cell r="K350" t="str">
            <v>exp</v>
          </cell>
          <cell r="L350" t="str">
            <v>強化素材タイプ</v>
          </cell>
          <cell r="M350" t="str">
            <v>unknown</v>
          </cell>
        </row>
        <row r="351">
          <cell r="A351">
            <v>350</v>
          </cell>
          <cell r="B351" t="str">
            <v>ja</v>
          </cell>
          <cell r="C351" t="str">
            <v>森のケロケロ</v>
          </cell>
          <cell r="D351" t="str">
            <v>強化素材R2　緑</v>
          </cell>
          <cell r="E351" t="str">
            <v>アリス</v>
          </cell>
          <cell r="F351" t="str">
            <v>世界観</v>
          </cell>
          <cell r="G351" t="str">
            <v>不明</v>
          </cell>
          <cell r="H351" t="str">
            <v>green</v>
          </cell>
          <cell r="I351">
            <v>2</v>
          </cell>
          <cell r="J351" t="str">
            <v>Material</v>
          </cell>
          <cell r="K351" t="str">
            <v>exp</v>
          </cell>
          <cell r="L351" t="str">
            <v>強化素材タイプ</v>
          </cell>
          <cell r="M351" t="str">
            <v>unknown</v>
          </cell>
        </row>
        <row r="352">
          <cell r="A352">
            <v>351</v>
          </cell>
          <cell r="B352" t="str">
            <v>ja</v>
          </cell>
          <cell r="C352" t="str">
            <v>森のメタルフロッグ</v>
          </cell>
          <cell r="D352" t="str">
            <v>強化素材R4　緑</v>
          </cell>
          <cell r="E352" t="str">
            <v>アリス</v>
          </cell>
          <cell r="F352" t="str">
            <v>世界観</v>
          </cell>
          <cell r="G352" t="str">
            <v>不明</v>
          </cell>
          <cell r="H352" t="str">
            <v>green</v>
          </cell>
          <cell r="I352">
            <v>4</v>
          </cell>
          <cell r="J352" t="str">
            <v>Material</v>
          </cell>
          <cell r="K352" t="str">
            <v>exp</v>
          </cell>
          <cell r="L352" t="str">
            <v>強化素材タイプ</v>
          </cell>
          <cell r="M352" t="str">
            <v>unknown</v>
          </cell>
        </row>
        <row r="353">
          <cell r="A353">
            <v>352</v>
          </cell>
          <cell r="B353" t="str">
            <v>ja</v>
          </cell>
          <cell r="C353" t="str">
            <v>水のケロケロ</v>
          </cell>
          <cell r="D353" t="str">
            <v>強化素材R2　青</v>
          </cell>
          <cell r="E353" t="str">
            <v>アリス</v>
          </cell>
          <cell r="F353" t="str">
            <v>世界観</v>
          </cell>
          <cell r="G353" t="str">
            <v>不明</v>
          </cell>
          <cell r="H353" t="str">
            <v>blue</v>
          </cell>
          <cell r="I353">
            <v>2</v>
          </cell>
          <cell r="J353" t="str">
            <v>Material</v>
          </cell>
          <cell r="K353" t="str">
            <v>exp</v>
          </cell>
          <cell r="L353" t="str">
            <v>強化素材タイプ</v>
          </cell>
          <cell r="M353" t="str">
            <v>unknown</v>
          </cell>
        </row>
        <row r="354">
          <cell r="A354">
            <v>353</v>
          </cell>
          <cell r="B354" t="str">
            <v>ja</v>
          </cell>
          <cell r="C354" t="str">
            <v>水のメタルフロッグ</v>
          </cell>
          <cell r="D354" t="str">
            <v>強化素材R4　青</v>
          </cell>
          <cell r="E354" t="str">
            <v>アリス</v>
          </cell>
          <cell r="F354" t="str">
            <v>世界観</v>
          </cell>
          <cell r="G354" t="str">
            <v>不明</v>
          </cell>
          <cell r="H354" t="str">
            <v>blue</v>
          </cell>
          <cell r="I354">
            <v>4</v>
          </cell>
          <cell r="J354" t="str">
            <v>Material</v>
          </cell>
          <cell r="K354" t="str">
            <v>exp</v>
          </cell>
          <cell r="L354" t="str">
            <v>強化素材タイプ</v>
          </cell>
          <cell r="M354" t="str">
            <v>unknown</v>
          </cell>
        </row>
        <row r="355">
          <cell r="A355">
            <v>354</v>
          </cell>
          <cell r="B355" t="str">
            <v>ja</v>
          </cell>
          <cell r="C355" t="str">
            <v>雷のケロケロ</v>
          </cell>
          <cell r="D355" t="str">
            <v>強化素材R2　黄</v>
          </cell>
          <cell r="E355" t="str">
            <v>アリス</v>
          </cell>
          <cell r="F355" t="str">
            <v>世界観</v>
          </cell>
          <cell r="G355" t="str">
            <v>不明</v>
          </cell>
          <cell r="H355" t="str">
            <v>yellow</v>
          </cell>
          <cell r="I355">
            <v>2</v>
          </cell>
          <cell r="J355" t="str">
            <v>Material</v>
          </cell>
          <cell r="K355" t="str">
            <v>exp</v>
          </cell>
          <cell r="L355" t="str">
            <v>強化素材タイプ</v>
          </cell>
          <cell r="M355" t="str">
            <v>unknown</v>
          </cell>
        </row>
        <row r="356">
          <cell r="A356">
            <v>355</v>
          </cell>
          <cell r="B356" t="str">
            <v>ja</v>
          </cell>
          <cell r="C356" t="str">
            <v>雷のメタルフロッグ</v>
          </cell>
          <cell r="D356" t="str">
            <v>強化素材R4　黄</v>
          </cell>
          <cell r="E356" t="str">
            <v>アリス</v>
          </cell>
          <cell r="F356" t="str">
            <v>世界観</v>
          </cell>
          <cell r="G356" t="str">
            <v>不明</v>
          </cell>
          <cell r="H356" t="str">
            <v>yellow</v>
          </cell>
          <cell r="I356">
            <v>4</v>
          </cell>
          <cell r="J356" t="str">
            <v>Material</v>
          </cell>
          <cell r="K356" t="str">
            <v>exp</v>
          </cell>
          <cell r="L356" t="str">
            <v>強化素材タイプ</v>
          </cell>
          <cell r="M356" t="str">
            <v>unknown</v>
          </cell>
        </row>
        <row r="357">
          <cell r="A357">
            <v>356</v>
          </cell>
          <cell r="B357" t="str">
            <v>ja</v>
          </cell>
          <cell r="C357" t="str">
            <v>炎上のドードー</v>
          </cell>
          <cell r="D357" t="str">
            <v>強化素材R5 赤</v>
          </cell>
          <cell r="F357" t="str">
            <v>世界観</v>
          </cell>
          <cell r="G357" t="str">
            <v>不明</v>
          </cell>
          <cell r="H357" t="str">
            <v>red</v>
          </cell>
          <cell r="I357">
            <v>5</v>
          </cell>
          <cell r="J357" t="str">
            <v>Material</v>
          </cell>
          <cell r="K357" t="str">
            <v>evolution</v>
          </cell>
          <cell r="L357" t="str">
            <v>覚醒素材タイプ</v>
          </cell>
          <cell r="M357" t="str">
            <v>unknown</v>
          </cell>
        </row>
        <row r="358">
          <cell r="A358">
            <v>357</v>
          </cell>
          <cell r="B358" t="str">
            <v>ja</v>
          </cell>
          <cell r="C358" t="str">
            <v>千風のグリフォン</v>
          </cell>
          <cell r="D358" t="str">
            <v>強化素材R5 緑</v>
          </cell>
          <cell r="F358" t="str">
            <v>世界観</v>
          </cell>
          <cell r="G358" t="str">
            <v>不明</v>
          </cell>
          <cell r="H358" t="str">
            <v>green</v>
          </cell>
          <cell r="I358">
            <v>5</v>
          </cell>
          <cell r="J358" t="str">
            <v>Material</v>
          </cell>
          <cell r="K358" t="str">
            <v>evolution</v>
          </cell>
          <cell r="L358" t="str">
            <v>覚醒素材タイプ</v>
          </cell>
          <cell r="M358" t="str">
            <v>unknown</v>
          </cell>
        </row>
        <row r="359">
          <cell r="A359">
            <v>358</v>
          </cell>
          <cell r="B359" t="str">
            <v>ja</v>
          </cell>
          <cell r="C359" t="str">
            <v>深淵の代用ウミガメ</v>
          </cell>
          <cell r="D359" t="str">
            <v>強化素材R5 青</v>
          </cell>
          <cell r="F359" t="str">
            <v>世界観</v>
          </cell>
          <cell r="G359" t="str">
            <v>不明</v>
          </cell>
          <cell r="H359" t="str">
            <v>blue</v>
          </cell>
          <cell r="I359">
            <v>5</v>
          </cell>
          <cell r="J359" t="str">
            <v>Material</v>
          </cell>
          <cell r="K359" t="str">
            <v>evolution</v>
          </cell>
          <cell r="L359" t="str">
            <v>覚醒素材タイプ</v>
          </cell>
          <cell r="M359" t="str">
            <v>unknown</v>
          </cell>
        </row>
        <row r="360">
          <cell r="A360">
            <v>359</v>
          </cell>
          <cell r="B360" t="str">
            <v>ja</v>
          </cell>
          <cell r="C360" t="str">
            <v>醒電の眠りネズミ</v>
          </cell>
          <cell r="D360" t="str">
            <v>強化素材R5 黄</v>
          </cell>
          <cell r="F360" t="str">
            <v>世界観</v>
          </cell>
          <cell r="G360" t="str">
            <v>不明</v>
          </cell>
          <cell r="H360" t="str">
            <v>yellow</v>
          </cell>
          <cell r="I360">
            <v>5</v>
          </cell>
          <cell r="J360" t="str">
            <v>Material</v>
          </cell>
          <cell r="K360" t="str">
            <v>evolution</v>
          </cell>
          <cell r="L360" t="str">
            <v>覚醒素材タイプ</v>
          </cell>
          <cell r="M360" t="str">
            <v>unknown</v>
          </cell>
        </row>
        <row r="361">
          <cell r="A361">
            <v>360</v>
          </cell>
          <cell r="B361" t="str">
            <v>ja</v>
          </cell>
          <cell r="C361" t="str">
            <v>ガンテツ</v>
          </cell>
          <cell r="D361" t="str">
            <v>ノーマルクエスト</v>
          </cell>
          <cell r="E361" t="str">
            <v>アバター</v>
          </cell>
          <cell r="F361" t="str">
            <v>世界観</v>
          </cell>
          <cell r="G361" t="str">
            <v>不明</v>
          </cell>
          <cell r="H361" t="str">
            <v>red</v>
          </cell>
          <cell r="I361">
            <v>2</v>
          </cell>
          <cell r="J361" t="str">
            <v>Drop1S</v>
          </cell>
          <cell r="K361" t="str">
            <v>hp</v>
          </cell>
          <cell r="L361" t="str">
            <v>体力タイプ</v>
          </cell>
          <cell r="M361" t="str">
            <v>animal</v>
          </cell>
        </row>
        <row r="362">
          <cell r="A362">
            <v>361</v>
          </cell>
          <cell r="B362" t="str">
            <v>ja</v>
          </cell>
          <cell r="C362" t="str">
            <v>灼熱の鉄板 ガンテツ</v>
          </cell>
          <cell r="D362" t="str">
            <v>ノーマルクエスト</v>
          </cell>
          <cell r="E362" t="str">
            <v>アバター</v>
          </cell>
          <cell r="F362" t="str">
            <v>世界観</v>
          </cell>
          <cell r="G362" t="str">
            <v>不明</v>
          </cell>
          <cell r="H362" t="str">
            <v>red</v>
          </cell>
          <cell r="I362">
            <v>3</v>
          </cell>
          <cell r="J362" t="str">
            <v>Drop1S</v>
          </cell>
          <cell r="K362" t="str">
            <v>hp</v>
          </cell>
          <cell r="L362" t="str">
            <v>体力タイプ</v>
          </cell>
          <cell r="M362" t="str">
            <v>animal</v>
          </cell>
        </row>
        <row r="363">
          <cell r="A363">
            <v>362</v>
          </cell>
          <cell r="B363" t="str">
            <v>ja</v>
          </cell>
          <cell r="C363" t="str">
            <v>ゆらら</v>
          </cell>
          <cell r="D363" t="str">
            <v>ノーマルクエスト</v>
          </cell>
          <cell r="E363" t="str">
            <v>アバター</v>
          </cell>
          <cell r="F363" t="str">
            <v>世界観</v>
          </cell>
          <cell r="G363" t="str">
            <v>不明</v>
          </cell>
          <cell r="H363" t="str">
            <v>green</v>
          </cell>
          <cell r="I363">
            <v>2</v>
          </cell>
          <cell r="J363" t="str">
            <v>Drop1S</v>
          </cell>
          <cell r="K363" t="str">
            <v>technical</v>
          </cell>
          <cell r="L363" t="str">
            <v>テクニカルタイプ</v>
          </cell>
          <cell r="M363" t="str">
            <v>animal</v>
          </cell>
        </row>
        <row r="364">
          <cell r="A364">
            <v>363</v>
          </cell>
          <cell r="B364" t="str">
            <v>ja</v>
          </cell>
          <cell r="C364" t="str">
            <v>花咲く幼精 ゆらら</v>
          </cell>
          <cell r="D364" t="str">
            <v>ノーマルクエスト</v>
          </cell>
          <cell r="E364" t="str">
            <v>アバター</v>
          </cell>
          <cell r="F364" t="str">
            <v>世界観</v>
          </cell>
          <cell r="G364" t="str">
            <v>不明</v>
          </cell>
          <cell r="H364" t="str">
            <v>green</v>
          </cell>
          <cell r="I364">
            <v>3</v>
          </cell>
          <cell r="J364" t="str">
            <v>Drop1S</v>
          </cell>
          <cell r="K364" t="str">
            <v>technical</v>
          </cell>
          <cell r="L364" t="str">
            <v>テクニカルタイプ</v>
          </cell>
          <cell r="M364" t="str">
            <v>animal</v>
          </cell>
        </row>
        <row r="365">
          <cell r="A365">
            <v>364</v>
          </cell>
          <cell r="B365" t="str">
            <v>ja</v>
          </cell>
          <cell r="C365" t="str">
            <v>ノエル</v>
          </cell>
          <cell r="D365" t="str">
            <v>ノーマルクエスト</v>
          </cell>
          <cell r="E365" t="str">
            <v>アバター</v>
          </cell>
          <cell r="F365" t="str">
            <v>世界観</v>
          </cell>
          <cell r="G365" t="str">
            <v>不明</v>
          </cell>
          <cell r="H365" t="str">
            <v>blue</v>
          </cell>
          <cell r="I365">
            <v>2</v>
          </cell>
          <cell r="J365" t="str">
            <v>Drop1S</v>
          </cell>
          <cell r="K365" t="str">
            <v>attack</v>
          </cell>
          <cell r="L365" t="str">
            <v>攻撃タイプ</v>
          </cell>
          <cell r="M365" t="str">
            <v>animal</v>
          </cell>
        </row>
        <row r="366">
          <cell r="A366">
            <v>365</v>
          </cell>
          <cell r="B366" t="str">
            <v>ja</v>
          </cell>
          <cell r="C366" t="str">
            <v>惨劇の人形 ノエル</v>
          </cell>
          <cell r="D366" t="str">
            <v>ノーマルクエスト</v>
          </cell>
          <cell r="E366" t="str">
            <v>アバター</v>
          </cell>
          <cell r="F366" t="str">
            <v>世界観</v>
          </cell>
          <cell r="G366" t="str">
            <v>不明</v>
          </cell>
          <cell r="H366" t="str">
            <v>blue</v>
          </cell>
          <cell r="I366">
            <v>3</v>
          </cell>
          <cell r="J366" t="str">
            <v>Drop1S</v>
          </cell>
          <cell r="K366" t="str">
            <v>attack</v>
          </cell>
          <cell r="L366" t="str">
            <v>攻撃タイプ</v>
          </cell>
          <cell r="M366" t="str">
            <v>animal</v>
          </cell>
        </row>
        <row r="367">
          <cell r="A367">
            <v>366</v>
          </cell>
          <cell r="B367" t="str">
            <v>ja</v>
          </cell>
          <cell r="C367" t="str">
            <v>トト</v>
          </cell>
          <cell r="D367" t="str">
            <v>ノーマルクエスト</v>
          </cell>
          <cell r="E367" t="str">
            <v>アバター</v>
          </cell>
          <cell r="F367" t="str">
            <v>世界観</v>
          </cell>
          <cell r="G367" t="str">
            <v>不明</v>
          </cell>
          <cell r="H367" t="str">
            <v>yellow</v>
          </cell>
          <cell r="I367">
            <v>2</v>
          </cell>
          <cell r="J367" t="str">
            <v>Drop1S</v>
          </cell>
          <cell r="K367" t="str">
            <v>balance</v>
          </cell>
          <cell r="L367" t="str">
            <v>バランスタイプ</v>
          </cell>
          <cell r="M367" t="str">
            <v>animal</v>
          </cell>
        </row>
        <row r="368">
          <cell r="A368">
            <v>367</v>
          </cell>
          <cell r="B368" t="str">
            <v>ja</v>
          </cell>
          <cell r="C368" t="str">
            <v>爆進の小兵 トト</v>
          </cell>
          <cell r="D368" t="str">
            <v>ノーマルクエスト</v>
          </cell>
          <cell r="E368" t="str">
            <v>アバター</v>
          </cell>
          <cell r="F368" t="str">
            <v>世界観</v>
          </cell>
          <cell r="G368" t="str">
            <v>不明</v>
          </cell>
          <cell r="H368" t="str">
            <v>yellow</v>
          </cell>
          <cell r="I368">
            <v>3</v>
          </cell>
          <cell r="J368" t="str">
            <v>Drop1S</v>
          </cell>
          <cell r="K368" t="str">
            <v>balance</v>
          </cell>
          <cell r="L368" t="str">
            <v>バランスタイプ</v>
          </cell>
          <cell r="M368" t="str">
            <v>animal</v>
          </cell>
        </row>
        <row r="369">
          <cell r="A369">
            <v>368</v>
          </cell>
          <cell r="B369" t="str">
            <v>ja</v>
          </cell>
          <cell r="C369" t="str">
            <v>ボイル</v>
          </cell>
          <cell r="D369" t="str">
            <v>チャレンジタワー</v>
          </cell>
          <cell r="E369" t="str">
            <v>守護者</v>
          </cell>
          <cell r="F369" t="str">
            <v>美しい</v>
          </cell>
          <cell r="G369" t="str">
            <v>女性</v>
          </cell>
          <cell r="H369" t="str">
            <v>red</v>
          </cell>
          <cell r="I369">
            <v>4</v>
          </cell>
          <cell r="J369" t="str">
            <v>DropWizN</v>
          </cell>
          <cell r="K369" t="str">
            <v>technical</v>
          </cell>
          <cell r="L369" t="str">
            <v>テクニカルタイプ</v>
          </cell>
          <cell r="M369" t="str">
            <v>human</v>
          </cell>
        </row>
        <row r="370">
          <cell r="A370">
            <v>369</v>
          </cell>
          <cell r="B370" t="str">
            <v>ja</v>
          </cell>
          <cell r="C370" t="str">
            <v>赫熱の重腕 ボイル</v>
          </cell>
          <cell r="D370" t="str">
            <v>チャレンジタワー</v>
          </cell>
          <cell r="E370" t="str">
            <v>守護者</v>
          </cell>
          <cell r="F370" t="str">
            <v>美しい</v>
          </cell>
          <cell r="G370" t="str">
            <v>女性</v>
          </cell>
          <cell r="H370" t="str">
            <v>red</v>
          </cell>
          <cell r="I370">
            <v>5</v>
          </cell>
          <cell r="J370" t="str">
            <v>DropWizN</v>
          </cell>
          <cell r="K370" t="str">
            <v>technical</v>
          </cell>
          <cell r="L370" t="str">
            <v>テクニカルタイプ</v>
          </cell>
          <cell r="M370" t="str">
            <v>human</v>
          </cell>
        </row>
        <row r="371">
          <cell r="A371">
            <v>370</v>
          </cell>
          <cell r="B371" t="str">
            <v>ja</v>
          </cell>
          <cell r="C371" t="str">
            <v>タイチ</v>
          </cell>
          <cell r="D371" t="str">
            <v>ノーマルクエスト</v>
          </cell>
          <cell r="E371" t="str">
            <v>守護者</v>
          </cell>
          <cell r="F371" t="str">
            <v>美しい</v>
          </cell>
          <cell r="G371" t="str">
            <v>不明</v>
          </cell>
          <cell r="H371" t="str">
            <v>red</v>
          </cell>
          <cell r="I371">
            <v>2</v>
          </cell>
          <cell r="J371" t="str">
            <v>Drop1S</v>
          </cell>
          <cell r="K371" t="str">
            <v>attack</v>
          </cell>
          <cell r="L371" t="str">
            <v>攻撃タイプ</v>
          </cell>
          <cell r="M371" t="str">
            <v>unknown</v>
          </cell>
        </row>
        <row r="372">
          <cell r="A372">
            <v>371</v>
          </cell>
          <cell r="B372" t="str">
            <v>ja</v>
          </cell>
          <cell r="C372" t="str">
            <v>行灯達磨 タイチ</v>
          </cell>
          <cell r="D372" t="str">
            <v>ノーマルクエスト</v>
          </cell>
          <cell r="E372" t="str">
            <v>守護者</v>
          </cell>
          <cell r="F372" t="str">
            <v>美しい</v>
          </cell>
          <cell r="G372" t="str">
            <v>不明</v>
          </cell>
          <cell r="H372" t="str">
            <v>red</v>
          </cell>
          <cell r="I372">
            <v>3</v>
          </cell>
          <cell r="J372" t="str">
            <v>Drop1S</v>
          </cell>
          <cell r="K372" t="str">
            <v>attack</v>
          </cell>
          <cell r="L372" t="str">
            <v>攻撃タイプ</v>
          </cell>
          <cell r="M372" t="str">
            <v>unknown</v>
          </cell>
        </row>
        <row r="373">
          <cell r="A373">
            <v>372</v>
          </cell>
          <cell r="B373" t="str">
            <v>ja</v>
          </cell>
          <cell r="C373" t="str">
            <v>バショー</v>
          </cell>
          <cell r="D373" t="str">
            <v>ノーマルクエスト</v>
          </cell>
          <cell r="E373" t="str">
            <v>守護者</v>
          </cell>
          <cell r="F373" t="str">
            <v>美しい</v>
          </cell>
          <cell r="G373" t="str">
            <v>不明</v>
          </cell>
          <cell r="H373" t="str">
            <v>green</v>
          </cell>
          <cell r="I373">
            <v>2</v>
          </cell>
          <cell r="J373" t="str">
            <v>Drop1S</v>
          </cell>
          <cell r="K373" t="str">
            <v>balance</v>
          </cell>
          <cell r="L373" t="str">
            <v>バランスタイプ</v>
          </cell>
          <cell r="M373" t="str">
            <v>unknown</v>
          </cell>
        </row>
        <row r="374">
          <cell r="A374">
            <v>373</v>
          </cell>
          <cell r="B374" t="str">
            <v>ja</v>
          </cell>
          <cell r="C374" t="str">
            <v>夢幻俳聖 バショー</v>
          </cell>
          <cell r="D374" t="str">
            <v>ノーマルクエスト</v>
          </cell>
          <cell r="E374" t="str">
            <v>守護者</v>
          </cell>
          <cell r="F374" t="str">
            <v>美しい</v>
          </cell>
          <cell r="G374" t="str">
            <v>不明</v>
          </cell>
          <cell r="H374" t="str">
            <v>green</v>
          </cell>
          <cell r="I374">
            <v>3</v>
          </cell>
          <cell r="J374" t="str">
            <v>Drop1S</v>
          </cell>
          <cell r="K374" t="str">
            <v>balance</v>
          </cell>
          <cell r="L374" t="str">
            <v>バランスタイプ</v>
          </cell>
          <cell r="M374" t="str">
            <v>unknown</v>
          </cell>
        </row>
        <row r="375">
          <cell r="A375">
            <v>374</v>
          </cell>
          <cell r="B375" t="str">
            <v>ja</v>
          </cell>
          <cell r="C375" t="str">
            <v>影丸</v>
          </cell>
          <cell r="D375" t="str">
            <v>ノーマルクエスト</v>
          </cell>
          <cell r="E375" t="str">
            <v>守護者</v>
          </cell>
          <cell r="F375" t="str">
            <v>美しい</v>
          </cell>
          <cell r="G375" t="str">
            <v>不明</v>
          </cell>
          <cell r="H375" t="str">
            <v>blue</v>
          </cell>
          <cell r="I375">
            <v>2</v>
          </cell>
          <cell r="J375" t="str">
            <v>Drop1S</v>
          </cell>
          <cell r="K375" t="str">
            <v>technical</v>
          </cell>
          <cell r="L375" t="str">
            <v>テクニカルタイプ</v>
          </cell>
          <cell r="M375" t="str">
            <v>animal</v>
          </cell>
        </row>
        <row r="376">
          <cell r="A376">
            <v>375</v>
          </cell>
          <cell r="B376" t="str">
            <v>ja</v>
          </cell>
          <cell r="C376" t="str">
            <v>蒼術兎忍 影丸</v>
          </cell>
          <cell r="D376" t="str">
            <v>ノーマルクエスト</v>
          </cell>
          <cell r="E376" t="str">
            <v>守護者</v>
          </cell>
          <cell r="F376" t="str">
            <v>美しい</v>
          </cell>
          <cell r="G376" t="str">
            <v>不明</v>
          </cell>
          <cell r="H376" t="str">
            <v>blue</v>
          </cell>
          <cell r="I376">
            <v>3</v>
          </cell>
          <cell r="J376" t="str">
            <v>Drop1S</v>
          </cell>
          <cell r="K376" t="str">
            <v>technical</v>
          </cell>
          <cell r="L376" t="str">
            <v>テクニカルタイプ</v>
          </cell>
          <cell r="M376" t="str">
            <v>animal</v>
          </cell>
        </row>
        <row r="377">
          <cell r="A377">
            <v>376</v>
          </cell>
          <cell r="B377" t="str">
            <v>ja</v>
          </cell>
          <cell r="C377" t="str">
            <v>勘兵衛</v>
          </cell>
          <cell r="D377" t="str">
            <v>イベント:お正月2016</v>
          </cell>
          <cell r="E377" t="str">
            <v>守護者</v>
          </cell>
          <cell r="F377" t="str">
            <v>美しい</v>
          </cell>
          <cell r="G377" t="str">
            <v>不明</v>
          </cell>
          <cell r="H377" t="str">
            <v>yellow</v>
          </cell>
          <cell r="I377">
            <v>3</v>
          </cell>
          <cell r="J377" t="str">
            <v>Drop1S</v>
          </cell>
          <cell r="K377" t="str">
            <v>technical</v>
          </cell>
          <cell r="L377" t="str">
            <v>テクニカルタイプ</v>
          </cell>
          <cell r="M377" t="str">
            <v>animal</v>
          </cell>
        </row>
        <row r="378">
          <cell r="A378">
            <v>377</v>
          </cell>
          <cell r="B378" t="str">
            <v>ja</v>
          </cell>
          <cell r="C378" t="str">
            <v>光明鹿剣 勘兵衛</v>
          </cell>
          <cell r="D378" t="str">
            <v>イベント:お正月2016</v>
          </cell>
          <cell r="E378" t="str">
            <v>守護者</v>
          </cell>
          <cell r="F378" t="str">
            <v>美しい</v>
          </cell>
          <cell r="G378" t="str">
            <v>不明</v>
          </cell>
          <cell r="H378" t="str">
            <v>yellow</v>
          </cell>
          <cell r="I378">
            <v>4</v>
          </cell>
          <cell r="J378" t="str">
            <v>Drop1S</v>
          </cell>
          <cell r="K378" t="str">
            <v>technical</v>
          </cell>
          <cell r="L378" t="str">
            <v>テクニカルタイプ</v>
          </cell>
          <cell r="M378" t="str">
            <v>animal</v>
          </cell>
        </row>
        <row r="379">
          <cell r="A379">
            <v>378</v>
          </cell>
          <cell r="B379" t="str">
            <v>ja</v>
          </cell>
          <cell r="C379" t="str">
            <v>オイラー</v>
          </cell>
          <cell r="D379" t="str">
            <v>ガチャ:フィーバーフェス01</v>
          </cell>
          <cell r="E379" t="str">
            <v>守護者</v>
          </cell>
          <cell r="F379" t="str">
            <v>美しい</v>
          </cell>
          <cell r="G379" t="str">
            <v>女性</v>
          </cell>
          <cell r="H379" t="str">
            <v>green</v>
          </cell>
          <cell r="I379">
            <v>4</v>
          </cell>
          <cell r="J379" t="str">
            <v>PremiumSSS</v>
          </cell>
          <cell r="K379" t="str">
            <v>balance</v>
          </cell>
          <cell r="L379" t="str">
            <v>バランスタイプ</v>
          </cell>
          <cell r="M379" t="str">
            <v>human</v>
          </cell>
        </row>
        <row r="380">
          <cell r="A380">
            <v>379</v>
          </cell>
          <cell r="B380" t="str">
            <v>ja</v>
          </cell>
          <cell r="C380" t="str">
            <v>幾何の機刃 オイラー</v>
          </cell>
          <cell r="D380" t="str">
            <v>ガチャ:フィーバーフェス01</v>
          </cell>
          <cell r="E380" t="str">
            <v>守護者</v>
          </cell>
          <cell r="F380" t="str">
            <v>美しい</v>
          </cell>
          <cell r="G380" t="str">
            <v>女性</v>
          </cell>
          <cell r="H380" t="str">
            <v>green</v>
          </cell>
          <cell r="I380">
            <v>5</v>
          </cell>
          <cell r="J380" t="str">
            <v>PremiumSSS</v>
          </cell>
          <cell r="K380" t="str">
            <v>balance</v>
          </cell>
          <cell r="L380" t="str">
            <v>バランスタイプ</v>
          </cell>
          <cell r="M380" t="str">
            <v>human</v>
          </cell>
        </row>
        <row r="381">
          <cell r="A381">
            <v>380</v>
          </cell>
          <cell r="B381" t="str">
            <v>ja</v>
          </cell>
          <cell r="C381" t="str">
            <v>バハムート</v>
          </cell>
          <cell r="D381" t="str">
            <v>ガチャ:魔獣シリーズ01</v>
          </cell>
          <cell r="G381" t="str">
            <v>女性</v>
          </cell>
          <cell r="H381" t="str">
            <v>red</v>
          </cell>
          <cell r="I381">
            <v>3</v>
          </cell>
          <cell r="J381" t="str">
            <v>PremiumS</v>
          </cell>
          <cell r="K381" t="str">
            <v>technical</v>
          </cell>
          <cell r="L381" t="str">
            <v>テクニカルタイプ</v>
          </cell>
          <cell r="M381" t="str">
            <v>dragon</v>
          </cell>
        </row>
        <row r="382">
          <cell r="A382">
            <v>381</v>
          </cell>
          <cell r="B382" t="str">
            <v>ja</v>
          </cell>
          <cell r="C382" t="str">
            <v>肉食の恋火 バハムート</v>
          </cell>
          <cell r="D382" t="str">
            <v>ガチャ:魔獣シリーズ01</v>
          </cell>
          <cell r="E382" t="str">
            <v>守護者</v>
          </cell>
          <cell r="F382" t="str">
            <v>美しい</v>
          </cell>
          <cell r="G382" t="str">
            <v>女性</v>
          </cell>
          <cell r="H382" t="str">
            <v>red</v>
          </cell>
          <cell r="I382">
            <v>4</v>
          </cell>
          <cell r="J382" t="str">
            <v>PremiumS</v>
          </cell>
          <cell r="K382" t="str">
            <v>technical</v>
          </cell>
          <cell r="L382" t="str">
            <v>テクニカルタイプ</v>
          </cell>
          <cell r="M382" t="str">
            <v>dragon</v>
          </cell>
        </row>
        <row r="383">
          <cell r="A383">
            <v>382</v>
          </cell>
          <cell r="B383" t="str">
            <v>ja</v>
          </cell>
          <cell r="C383" t="str">
            <v>激情の愛炎 バハムート</v>
          </cell>
          <cell r="D383" t="str">
            <v>ガチャ:魔獣シリーズ01</v>
          </cell>
          <cell r="E383" t="str">
            <v>守護者</v>
          </cell>
          <cell r="F383" t="str">
            <v>美しい</v>
          </cell>
          <cell r="G383" t="str">
            <v>女性</v>
          </cell>
          <cell r="H383" t="str">
            <v>red</v>
          </cell>
          <cell r="I383">
            <v>5</v>
          </cell>
          <cell r="J383" t="str">
            <v>PremiumS</v>
          </cell>
          <cell r="K383" t="str">
            <v>technical</v>
          </cell>
          <cell r="L383" t="str">
            <v>テクニカルタイプ</v>
          </cell>
          <cell r="M383" t="str">
            <v>dragon</v>
          </cell>
        </row>
        <row r="384">
          <cell r="A384">
            <v>383</v>
          </cell>
          <cell r="B384" t="str">
            <v>ja</v>
          </cell>
          <cell r="C384" t="str">
            <v>酒宴の蟒蛇 ヤマタノオロチ</v>
          </cell>
          <cell r="D384" t="str">
            <v>ガチャ:魔獣シリーズ01</v>
          </cell>
          <cell r="E384" t="str">
            <v>守護者</v>
          </cell>
          <cell r="F384" t="str">
            <v>美しい</v>
          </cell>
          <cell r="G384" t="str">
            <v>女性</v>
          </cell>
          <cell r="H384" t="str">
            <v>green</v>
          </cell>
          <cell r="I384">
            <v>4</v>
          </cell>
          <cell r="J384" t="str">
            <v>PremiumSS</v>
          </cell>
          <cell r="K384" t="str">
            <v>hp</v>
          </cell>
          <cell r="L384" t="str">
            <v>体力タイプ</v>
          </cell>
          <cell r="M384" t="str">
            <v>dragon</v>
          </cell>
        </row>
        <row r="385">
          <cell r="A385">
            <v>384</v>
          </cell>
          <cell r="B385" t="str">
            <v>ja</v>
          </cell>
          <cell r="C385" t="str">
            <v>破国の呑龍 ヤマタノオロチ</v>
          </cell>
          <cell r="D385" t="str">
            <v>ガチャ:魔獣シリーズ01</v>
          </cell>
          <cell r="E385" t="str">
            <v>守護者</v>
          </cell>
          <cell r="F385" t="str">
            <v>美しい</v>
          </cell>
          <cell r="G385" t="str">
            <v>女性</v>
          </cell>
          <cell r="H385" t="str">
            <v>green</v>
          </cell>
          <cell r="I385">
            <v>5</v>
          </cell>
          <cell r="J385" t="str">
            <v>PremiumSS</v>
          </cell>
          <cell r="K385" t="str">
            <v>hp</v>
          </cell>
          <cell r="L385" t="str">
            <v>体力タイプ</v>
          </cell>
          <cell r="M385" t="str">
            <v>dragon</v>
          </cell>
        </row>
        <row r="386">
          <cell r="A386">
            <v>385</v>
          </cell>
          <cell r="B386" t="str">
            <v>ja</v>
          </cell>
          <cell r="C386" t="str">
            <v>波烈の出奔 リヴァイアサン</v>
          </cell>
          <cell r="D386" t="str">
            <v>ガチャ:魔獣シリーズ01</v>
          </cell>
          <cell r="E386" t="str">
            <v>守護者</v>
          </cell>
          <cell r="F386" t="str">
            <v>美しい</v>
          </cell>
          <cell r="G386" t="str">
            <v>女性</v>
          </cell>
          <cell r="H386" t="str">
            <v>blue</v>
          </cell>
          <cell r="I386">
            <v>4</v>
          </cell>
          <cell r="J386" t="str">
            <v>PremiumSS</v>
          </cell>
          <cell r="K386" t="str">
            <v>balance</v>
          </cell>
          <cell r="L386" t="str">
            <v>バランスタイプ</v>
          </cell>
          <cell r="M386" t="str">
            <v>dragon</v>
          </cell>
        </row>
        <row r="387">
          <cell r="A387">
            <v>386</v>
          </cell>
          <cell r="B387" t="str">
            <v>ja</v>
          </cell>
          <cell r="C387" t="str">
            <v>氾乱の海龍 リヴァイアサン</v>
          </cell>
          <cell r="D387" t="str">
            <v>ガチャ:魔獣シリーズ01</v>
          </cell>
          <cell r="E387" t="str">
            <v>守護者</v>
          </cell>
          <cell r="F387" t="str">
            <v>美しい</v>
          </cell>
          <cell r="G387" t="str">
            <v>女性</v>
          </cell>
          <cell r="H387" t="str">
            <v>blue</v>
          </cell>
          <cell r="I387">
            <v>5</v>
          </cell>
          <cell r="J387" t="str">
            <v>PremiumSS</v>
          </cell>
          <cell r="K387" t="str">
            <v>balance</v>
          </cell>
          <cell r="L387" t="str">
            <v>バランスタイプ</v>
          </cell>
          <cell r="M387" t="str">
            <v>dragon</v>
          </cell>
        </row>
        <row r="388">
          <cell r="A388">
            <v>387</v>
          </cell>
          <cell r="B388" t="str">
            <v>ja</v>
          </cell>
          <cell r="C388" t="str">
            <v>スフィンクス</v>
          </cell>
          <cell r="D388" t="str">
            <v>ガチャ:魔獣シリーズ01</v>
          </cell>
          <cell r="G388" t="str">
            <v>女性</v>
          </cell>
          <cell r="H388" t="str">
            <v>yellow</v>
          </cell>
          <cell r="I388">
            <v>3</v>
          </cell>
          <cell r="J388" t="str">
            <v>PremiumS</v>
          </cell>
          <cell r="K388" t="str">
            <v>heal</v>
          </cell>
          <cell r="L388" t="str">
            <v>回復タイプ</v>
          </cell>
          <cell r="M388" t="str">
            <v>animal</v>
          </cell>
        </row>
        <row r="389">
          <cell r="A389">
            <v>388</v>
          </cell>
          <cell r="B389" t="str">
            <v>ja</v>
          </cell>
          <cell r="C389" t="str">
            <v>神円の恋姫 スフィンクス</v>
          </cell>
          <cell r="D389" t="str">
            <v>ガチャ:魔獣シリーズ01</v>
          </cell>
          <cell r="E389" t="str">
            <v>執行者</v>
          </cell>
          <cell r="F389" t="str">
            <v>格好いい</v>
          </cell>
          <cell r="G389" t="str">
            <v>女性</v>
          </cell>
          <cell r="H389" t="str">
            <v>yellow</v>
          </cell>
          <cell r="I389">
            <v>4</v>
          </cell>
          <cell r="J389" t="str">
            <v>PremiumS</v>
          </cell>
          <cell r="K389" t="str">
            <v>heal</v>
          </cell>
          <cell r="L389" t="str">
            <v>回復タイプ</v>
          </cell>
          <cell r="M389" t="str">
            <v>animal</v>
          </cell>
        </row>
        <row r="390">
          <cell r="A390">
            <v>389</v>
          </cell>
          <cell r="B390" t="str">
            <v>ja</v>
          </cell>
          <cell r="C390" t="str">
            <v>操神の愛姫 スフィンクス</v>
          </cell>
          <cell r="D390" t="str">
            <v>ガチャ:魔獣シリーズ01</v>
          </cell>
          <cell r="E390" t="str">
            <v>執行者</v>
          </cell>
          <cell r="F390" t="str">
            <v>格好いい</v>
          </cell>
          <cell r="G390" t="str">
            <v>女性</v>
          </cell>
          <cell r="H390" t="str">
            <v>yellow</v>
          </cell>
          <cell r="I390">
            <v>5</v>
          </cell>
          <cell r="J390" t="str">
            <v>PremiumS</v>
          </cell>
          <cell r="K390" t="str">
            <v>heal</v>
          </cell>
          <cell r="L390" t="str">
            <v>回復タイプ</v>
          </cell>
          <cell r="M390" t="str">
            <v>animal</v>
          </cell>
        </row>
        <row r="391">
          <cell r="A391">
            <v>390</v>
          </cell>
          <cell r="B391" t="str">
            <v>ja</v>
          </cell>
          <cell r="C391" t="str">
            <v>華環の旅客 親指姫</v>
          </cell>
          <cell r="D391" t="str">
            <v>ガチャ:アリスの絵本01</v>
          </cell>
          <cell r="E391" t="str">
            <v>執行者</v>
          </cell>
          <cell r="F391" t="str">
            <v>格好いい</v>
          </cell>
          <cell r="G391" t="str">
            <v>女性</v>
          </cell>
          <cell r="H391" t="str">
            <v>red</v>
          </cell>
          <cell r="I391">
            <v>4</v>
          </cell>
          <cell r="J391" t="str">
            <v>PremiumSS</v>
          </cell>
          <cell r="K391" t="str">
            <v>heal</v>
          </cell>
          <cell r="L391" t="str">
            <v>回復タイプ</v>
          </cell>
          <cell r="M391" t="str">
            <v>human</v>
          </cell>
        </row>
        <row r="392">
          <cell r="A392">
            <v>391</v>
          </cell>
          <cell r="B392" t="str">
            <v>ja</v>
          </cell>
          <cell r="C392" t="str">
            <v>燕翼の旅人 親指姫</v>
          </cell>
          <cell r="D392" t="str">
            <v>ガチャ:アリスの絵本01</v>
          </cell>
          <cell r="E392" t="str">
            <v>執行者</v>
          </cell>
          <cell r="F392" t="str">
            <v>格好いい</v>
          </cell>
          <cell r="G392" t="str">
            <v>女性</v>
          </cell>
          <cell r="H392" t="str">
            <v>red</v>
          </cell>
          <cell r="I392">
            <v>5</v>
          </cell>
          <cell r="J392" t="str">
            <v>PremiumSS</v>
          </cell>
          <cell r="K392" t="str">
            <v>heal</v>
          </cell>
          <cell r="L392" t="str">
            <v>回復タイプ</v>
          </cell>
          <cell r="M392" t="str">
            <v>human</v>
          </cell>
        </row>
        <row r="393">
          <cell r="A393">
            <v>392</v>
          </cell>
          <cell r="B393" t="str">
            <v>ja</v>
          </cell>
          <cell r="C393" t="str">
            <v>ピーターパン</v>
          </cell>
          <cell r="D393" t="str">
            <v>ガチャ:アリスの絵本01</v>
          </cell>
          <cell r="E393" t="str">
            <v>執行者</v>
          </cell>
          <cell r="F393" t="str">
            <v>格好いい</v>
          </cell>
          <cell r="G393" t="str">
            <v>男性</v>
          </cell>
          <cell r="H393" t="str">
            <v>green</v>
          </cell>
          <cell r="I393">
            <v>3</v>
          </cell>
          <cell r="J393" t="str">
            <v>PremiumS</v>
          </cell>
          <cell r="K393" t="str">
            <v>attack</v>
          </cell>
          <cell r="L393" t="str">
            <v>攻撃タイプ</v>
          </cell>
          <cell r="M393" t="str">
            <v>human</v>
          </cell>
        </row>
        <row r="394">
          <cell r="A394">
            <v>393</v>
          </cell>
          <cell r="B394" t="str">
            <v>ja</v>
          </cell>
          <cell r="C394" t="str">
            <v>影縫い ピーターパン</v>
          </cell>
          <cell r="D394" t="str">
            <v>ガチャ:アリスの絵本01</v>
          </cell>
          <cell r="E394" t="str">
            <v>執行者</v>
          </cell>
          <cell r="F394" t="str">
            <v>格好いい</v>
          </cell>
          <cell r="G394" t="str">
            <v>男性</v>
          </cell>
          <cell r="H394" t="str">
            <v>green</v>
          </cell>
          <cell r="I394">
            <v>4</v>
          </cell>
          <cell r="J394" t="str">
            <v>PremiumS</v>
          </cell>
          <cell r="K394" t="str">
            <v>attack</v>
          </cell>
          <cell r="L394" t="str">
            <v>攻撃タイプ</v>
          </cell>
          <cell r="M394" t="str">
            <v>human</v>
          </cell>
        </row>
        <row r="395">
          <cell r="A395">
            <v>394</v>
          </cell>
          <cell r="B395" t="str">
            <v>ja</v>
          </cell>
          <cell r="C395" t="str">
            <v>影求の悪童 ピーターパン</v>
          </cell>
          <cell r="D395" t="str">
            <v>ガチャ:アリスの絵本01</v>
          </cell>
          <cell r="E395" t="str">
            <v>執行者</v>
          </cell>
          <cell r="F395" t="str">
            <v>格好いい</v>
          </cell>
          <cell r="G395" t="str">
            <v>男性</v>
          </cell>
          <cell r="H395" t="str">
            <v>green</v>
          </cell>
          <cell r="I395">
            <v>5</v>
          </cell>
          <cell r="J395" t="str">
            <v>PremiumS</v>
          </cell>
          <cell r="K395" t="str">
            <v>attack</v>
          </cell>
          <cell r="L395" t="str">
            <v>攻撃タイプ</v>
          </cell>
          <cell r="M395" t="str">
            <v>human</v>
          </cell>
        </row>
        <row r="396">
          <cell r="A396">
            <v>395</v>
          </cell>
          <cell r="B396" t="str">
            <v>ja</v>
          </cell>
          <cell r="C396" t="str">
            <v>乙姫</v>
          </cell>
          <cell r="D396" t="str">
            <v>ガチャ:アリスの絵本01</v>
          </cell>
          <cell r="E396" t="str">
            <v>執行者</v>
          </cell>
          <cell r="F396" t="str">
            <v>格好いい</v>
          </cell>
          <cell r="G396" t="str">
            <v>女性</v>
          </cell>
          <cell r="H396" t="str">
            <v>blue</v>
          </cell>
          <cell r="I396">
            <v>3</v>
          </cell>
          <cell r="J396" t="str">
            <v>PremiumS</v>
          </cell>
          <cell r="K396" t="str">
            <v>hp</v>
          </cell>
          <cell r="L396" t="str">
            <v>体力タイプ</v>
          </cell>
          <cell r="M396" t="str">
            <v>human</v>
          </cell>
        </row>
        <row r="397">
          <cell r="A397">
            <v>396</v>
          </cell>
          <cell r="B397" t="str">
            <v>ja</v>
          </cell>
          <cell r="C397" t="str">
            <v>竜宮の水雷 乙姫</v>
          </cell>
          <cell r="D397" t="str">
            <v>ガチャ:アリスの絵本01</v>
          </cell>
          <cell r="E397" t="str">
            <v>執行者</v>
          </cell>
          <cell r="F397" t="str">
            <v>格好いい</v>
          </cell>
          <cell r="G397" t="str">
            <v>女性</v>
          </cell>
          <cell r="H397" t="str">
            <v>blue</v>
          </cell>
          <cell r="I397">
            <v>4</v>
          </cell>
          <cell r="J397" t="str">
            <v>PremiumS</v>
          </cell>
          <cell r="K397" t="str">
            <v>hp</v>
          </cell>
          <cell r="L397" t="str">
            <v>体力タイプ</v>
          </cell>
          <cell r="M397" t="str">
            <v>human</v>
          </cell>
        </row>
        <row r="398">
          <cell r="A398">
            <v>397</v>
          </cell>
          <cell r="B398" t="str">
            <v>ja</v>
          </cell>
          <cell r="C398" t="str">
            <v>禁断の追箱 乙姫</v>
          </cell>
          <cell r="D398" t="str">
            <v>ガチャ:アリスの絵本01</v>
          </cell>
          <cell r="E398" t="str">
            <v>執行者</v>
          </cell>
          <cell r="F398" t="str">
            <v>格好いい</v>
          </cell>
          <cell r="G398" t="str">
            <v>女性</v>
          </cell>
          <cell r="H398" t="str">
            <v>blue</v>
          </cell>
          <cell r="I398">
            <v>5</v>
          </cell>
          <cell r="J398" t="str">
            <v>PremiumS</v>
          </cell>
          <cell r="K398" t="str">
            <v>hp</v>
          </cell>
          <cell r="L398" t="str">
            <v>体力タイプ</v>
          </cell>
          <cell r="M398" t="str">
            <v>human</v>
          </cell>
        </row>
        <row r="399">
          <cell r="A399">
            <v>398</v>
          </cell>
          <cell r="B399" t="str">
            <v>ja</v>
          </cell>
          <cell r="C399" t="str">
            <v>ヘンゼル＆グレーテル</v>
          </cell>
          <cell r="D399" t="str">
            <v>ガチャ:アリスの絵本01</v>
          </cell>
          <cell r="E399" t="str">
            <v>執行者</v>
          </cell>
          <cell r="F399" t="str">
            <v>格好いい</v>
          </cell>
          <cell r="G399" t="str">
            <v>女性</v>
          </cell>
          <cell r="H399" t="str">
            <v>yellow</v>
          </cell>
          <cell r="I399">
            <v>4</v>
          </cell>
          <cell r="J399" t="str">
            <v>PremiumSS</v>
          </cell>
          <cell r="K399" t="str">
            <v>balance</v>
          </cell>
          <cell r="L399" t="str">
            <v>バランスタイプ</v>
          </cell>
          <cell r="M399" t="str">
            <v>human</v>
          </cell>
        </row>
        <row r="400">
          <cell r="A400">
            <v>399</v>
          </cell>
          <cell r="B400" t="str">
            <v>ja</v>
          </cell>
          <cell r="C400" t="str">
            <v>信愛の兄妹 ヘンゼル＆グレーテル</v>
          </cell>
          <cell r="D400" t="str">
            <v>ガチャ:アリスの絵本01</v>
          </cell>
          <cell r="E400" t="str">
            <v>執行者</v>
          </cell>
          <cell r="F400" t="str">
            <v>格好いい</v>
          </cell>
          <cell r="G400" t="str">
            <v>女性</v>
          </cell>
          <cell r="H400" t="str">
            <v>yellow</v>
          </cell>
          <cell r="I400">
            <v>5</v>
          </cell>
          <cell r="J400" t="str">
            <v>PremiumSS</v>
          </cell>
          <cell r="K400" t="str">
            <v>balance</v>
          </cell>
          <cell r="L400" t="str">
            <v>バランスタイプ</v>
          </cell>
          <cell r="M400" t="str">
            <v>human</v>
          </cell>
        </row>
        <row r="401">
          <cell r="A401">
            <v>400</v>
          </cell>
          <cell r="B401" t="str">
            <v>ja</v>
          </cell>
          <cell r="C401" t="str">
            <v>フェンリル</v>
          </cell>
          <cell r="D401" t="str">
            <v>ガチャ:魔獣シリーズ02</v>
          </cell>
          <cell r="E401" t="str">
            <v>執行者</v>
          </cell>
          <cell r="F401" t="str">
            <v>格好いい</v>
          </cell>
          <cell r="G401" t="str">
            <v>女性</v>
          </cell>
          <cell r="H401" t="str">
            <v>red</v>
          </cell>
          <cell r="I401">
            <v>3</v>
          </cell>
          <cell r="J401" t="str">
            <v>PremiumS</v>
          </cell>
          <cell r="K401" t="str">
            <v>attack</v>
          </cell>
          <cell r="L401" t="str">
            <v>攻撃タイプ</v>
          </cell>
          <cell r="M401" t="str">
            <v>animal</v>
          </cell>
        </row>
        <row r="402">
          <cell r="A402">
            <v>401</v>
          </cell>
          <cell r="B402" t="str">
            <v>ja</v>
          </cell>
          <cell r="C402" t="str">
            <v>紅銀の孤狼 フェンリル</v>
          </cell>
          <cell r="D402" t="str">
            <v>ガチャ:魔獣シリーズ02</v>
          </cell>
          <cell r="E402" t="str">
            <v>執行者</v>
          </cell>
          <cell r="F402" t="str">
            <v>格好いい</v>
          </cell>
          <cell r="G402" t="str">
            <v>女性</v>
          </cell>
          <cell r="H402" t="str">
            <v>red</v>
          </cell>
          <cell r="I402">
            <v>4</v>
          </cell>
          <cell r="J402" t="str">
            <v>PremiumS</v>
          </cell>
          <cell r="K402" t="str">
            <v>attack</v>
          </cell>
          <cell r="L402" t="str">
            <v>攻撃タイプ</v>
          </cell>
          <cell r="M402" t="str">
            <v>animal</v>
          </cell>
        </row>
        <row r="403">
          <cell r="A403">
            <v>402</v>
          </cell>
          <cell r="B403" t="str">
            <v>ja</v>
          </cell>
          <cell r="C403" t="str">
            <v>天災の神狼 フェンリル</v>
          </cell>
          <cell r="D403" t="str">
            <v>ガチャ:魔獣シリーズ02</v>
          </cell>
          <cell r="E403" t="str">
            <v>執行者</v>
          </cell>
          <cell r="F403" t="str">
            <v>格好いい</v>
          </cell>
          <cell r="G403" t="str">
            <v>女性</v>
          </cell>
          <cell r="H403" t="str">
            <v>red</v>
          </cell>
          <cell r="I403">
            <v>5</v>
          </cell>
          <cell r="J403" t="str">
            <v>PremiumS</v>
          </cell>
          <cell r="K403" t="str">
            <v>attack</v>
          </cell>
          <cell r="L403" t="str">
            <v>攻撃タイプ</v>
          </cell>
          <cell r="M403" t="str">
            <v>animal</v>
          </cell>
        </row>
        <row r="404">
          <cell r="A404">
            <v>403</v>
          </cell>
          <cell r="B404" t="str">
            <v>ja</v>
          </cell>
          <cell r="C404" t="str">
            <v>静撃の翠眼 八咫烏</v>
          </cell>
          <cell r="D404" t="str">
            <v>ガチャ:魔獣シリーズ02</v>
          </cell>
          <cell r="E404" t="str">
            <v>執行者</v>
          </cell>
          <cell r="F404" t="str">
            <v>格好いい</v>
          </cell>
          <cell r="G404" t="str">
            <v>女性</v>
          </cell>
          <cell r="H404" t="str">
            <v>green</v>
          </cell>
          <cell r="I404">
            <v>4</v>
          </cell>
          <cell r="J404" t="str">
            <v>PremiumSS</v>
          </cell>
          <cell r="K404" t="str">
            <v>balance</v>
          </cell>
          <cell r="L404" t="str">
            <v>バランスタイプ</v>
          </cell>
          <cell r="M404" t="str">
            <v>animal</v>
          </cell>
        </row>
        <row r="405">
          <cell r="A405">
            <v>404</v>
          </cell>
          <cell r="B405" t="str">
            <v>ja</v>
          </cell>
          <cell r="C405" t="str">
            <v>空襲の神眼 八咫烏</v>
          </cell>
          <cell r="D405" t="str">
            <v>ガチャ:魔獣シリーズ02</v>
          </cell>
          <cell r="E405" t="str">
            <v>執行者</v>
          </cell>
          <cell r="F405" t="str">
            <v>格好いい</v>
          </cell>
          <cell r="G405" t="str">
            <v>女性</v>
          </cell>
          <cell r="H405" t="str">
            <v>green</v>
          </cell>
          <cell r="I405">
            <v>5</v>
          </cell>
          <cell r="J405" t="str">
            <v>PremiumSS</v>
          </cell>
          <cell r="K405" t="str">
            <v>balance</v>
          </cell>
          <cell r="L405" t="str">
            <v>バランスタイプ</v>
          </cell>
          <cell r="M405" t="str">
            <v>animal</v>
          </cell>
        </row>
        <row r="406">
          <cell r="A406">
            <v>405</v>
          </cell>
          <cell r="B406" t="str">
            <v>ja</v>
          </cell>
          <cell r="C406" t="str">
            <v>エキドナ</v>
          </cell>
          <cell r="D406" t="str">
            <v>ガチャ:魔獣シリーズ02</v>
          </cell>
          <cell r="E406" t="str">
            <v>執行者</v>
          </cell>
          <cell r="F406" t="str">
            <v>格好いい</v>
          </cell>
          <cell r="G406" t="str">
            <v>女性</v>
          </cell>
          <cell r="H406" t="str">
            <v>blue</v>
          </cell>
          <cell r="I406">
            <v>3</v>
          </cell>
          <cell r="J406" t="str">
            <v>PremiumS</v>
          </cell>
          <cell r="K406" t="str">
            <v>technical</v>
          </cell>
          <cell r="L406" t="str">
            <v>テクニカルタイプ</v>
          </cell>
          <cell r="M406" t="str">
            <v>animal</v>
          </cell>
        </row>
        <row r="407">
          <cell r="A407">
            <v>406</v>
          </cell>
          <cell r="B407" t="str">
            <v>ja</v>
          </cell>
          <cell r="C407" t="str">
            <v>美笑の蒼蛇 エキドナ</v>
          </cell>
          <cell r="D407" t="str">
            <v>ガチャ:魔獣シリーズ02</v>
          </cell>
          <cell r="E407" t="str">
            <v>執行者</v>
          </cell>
          <cell r="F407" t="str">
            <v>格好いい</v>
          </cell>
          <cell r="G407" t="str">
            <v>女性</v>
          </cell>
          <cell r="H407" t="str">
            <v>blue</v>
          </cell>
          <cell r="I407">
            <v>4</v>
          </cell>
          <cell r="J407" t="str">
            <v>PremiumS</v>
          </cell>
          <cell r="K407" t="str">
            <v>technical</v>
          </cell>
          <cell r="L407" t="str">
            <v>テクニカルタイプ</v>
          </cell>
          <cell r="M407" t="str">
            <v>animal</v>
          </cell>
        </row>
        <row r="408">
          <cell r="A408">
            <v>407</v>
          </cell>
          <cell r="B408" t="str">
            <v>ja</v>
          </cell>
          <cell r="C408" t="str">
            <v>蠱惑の飛刀 エキドナ</v>
          </cell>
          <cell r="D408" t="str">
            <v>ガチャ:魔獣シリーズ02</v>
          </cell>
          <cell r="E408" t="str">
            <v>執行者</v>
          </cell>
          <cell r="F408" t="str">
            <v>格好いい</v>
          </cell>
          <cell r="G408" t="str">
            <v>女性</v>
          </cell>
          <cell r="H408" t="str">
            <v>blue</v>
          </cell>
          <cell r="I408">
            <v>5</v>
          </cell>
          <cell r="J408" t="str">
            <v>PremiumS</v>
          </cell>
          <cell r="K408" t="str">
            <v>technical</v>
          </cell>
          <cell r="L408" t="str">
            <v>テクニカルタイプ</v>
          </cell>
          <cell r="M408" t="str">
            <v>animal</v>
          </cell>
        </row>
        <row r="409">
          <cell r="A409">
            <v>408</v>
          </cell>
          <cell r="B409" t="str">
            <v>ja</v>
          </cell>
          <cell r="C409" t="str">
            <v>皇魔 アスタロト</v>
          </cell>
          <cell r="D409" t="str">
            <v>ガチャ:魔獣シリーズ02</v>
          </cell>
          <cell r="E409" t="str">
            <v>執行者</v>
          </cell>
          <cell r="F409" t="str">
            <v>格好いい</v>
          </cell>
          <cell r="G409" t="str">
            <v>男性</v>
          </cell>
          <cell r="H409" t="str">
            <v>yellow</v>
          </cell>
          <cell r="I409">
            <v>4</v>
          </cell>
          <cell r="J409" t="str">
            <v>PremiumSS</v>
          </cell>
          <cell r="K409" t="str">
            <v>attack</v>
          </cell>
          <cell r="L409" t="str">
            <v>攻撃タイプ</v>
          </cell>
          <cell r="M409" t="str">
            <v>god</v>
          </cell>
        </row>
        <row r="410">
          <cell r="A410">
            <v>409</v>
          </cell>
          <cell r="B410" t="str">
            <v>ja</v>
          </cell>
          <cell r="C410" t="str">
            <v>天眼の皇貴魔 アスタロト</v>
          </cell>
          <cell r="D410" t="str">
            <v>ガチャ:魔獣シリーズ02</v>
          </cell>
          <cell r="E410" t="str">
            <v>執行者</v>
          </cell>
          <cell r="F410" t="str">
            <v>格好いい</v>
          </cell>
          <cell r="G410" t="str">
            <v>男性</v>
          </cell>
          <cell r="H410" t="str">
            <v>yellow</v>
          </cell>
          <cell r="I410">
            <v>5</v>
          </cell>
          <cell r="J410" t="str">
            <v>PremiumSS</v>
          </cell>
          <cell r="K410" t="str">
            <v>attack</v>
          </cell>
          <cell r="L410" t="str">
            <v>攻撃タイプ</v>
          </cell>
          <cell r="M410" t="str">
            <v>god</v>
          </cell>
        </row>
        <row r="411">
          <cell r="A411">
            <v>410</v>
          </cell>
          <cell r="B411" t="str">
            <v>ja</v>
          </cell>
          <cell r="C411" t="str">
            <v>ファラデー</v>
          </cell>
          <cell r="D411" t="str">
            <v>ガチャ:フィーバーフェス03</v>
          </cell>
          <cell r="E411" t="str">
            <v>執行者</v>
          </cell>
          <cell r="F411" t="str">
            <v>格好いい</v>
          </cell>
          <cell r="G411" t="str">
            <v>女性</v>
          </cell>
          <cell r="H411" t="str">
            <v>yellow</v>
          </cell>
          <cell r="I411">
            <v>4</v>
          </cell>
          <cell r="J411" t="str">
            <v>PremiumSSS</v>
          </cell>
          <cell r="K411" t="str">
            <v>balance</v>
          </cell>
          <cell r="L411" t="str">
            <v>バランスタイプ</v>
          </cell>
          <cell r="M411" t="str">
            <v>human</v>
          </cell>
        </row>
        <row r="412">
          <cell r="A412">
            <v>411</v>
          </cell>
          <cell r="B412" t="str">
            <v>ja</v>
          </cell>
          <cell r="C412" t="str">
            <v>電隷の始祖 ファラデー</v>
          </cell>
          <cell r="D412" t="str">
            <v>ガチャ:フィーバーフェス03</v>
          </cell>
          <cell r="E412" t="str">
            <v>執行者</v>
          </cell>
          <cell r="F412" t="str">
            <v>格好いい</v>
          </cell>
          <cell r="G412" t="str">
            <v>女性</v>
          </cell>
          <cell r="H412" t="str">
            <v>yellow</v>
          </cell>
          <cell r="I412">
            <v>5</v>
          </cell>
          <cell r="J412" t="str">
            <v>PremiumSSS</v>
          </cell>
          <cell r="K412" t="str">
            <v>balance</v>
          </cell>
          <cell r="L412" t="str">
            <v>バランスタイプ</v>
          </cell>
          <cell r="M412" t="str">
            <v>human</v>
          </cell>
        </row>
        <row r="413">
          <cell r="A413">
            <v>412</v>
          </cell>
          <cell r="B413" t="str">
            <v>ja</v>
          </cell>
          <cell r="C413" t="str">
            <v>コウネン</v>
          </cell>
          <cell r="D413" t="str">
            <v>ノーマルクエスト</v>
          </cell>
          <cell r="E413" t="str">
            <v>執行者</v>
          </cell>
          <cell r="F413" t="str">
            <v>格好いい</v>
          </cell>
          <cell r="G413" t="str">
            <v>不明</v>
          </cell>
          <cell r="H413" t="str">
            <v>yellow</v>
          </cell>
          <cell r="I413">
            <v>2</v>
          </cell>
          <cell r="J413" t="str">
            <v>Drop1S</v>
          </cell>
          <cell r="K413" t="str">
            <v>hp</v>
          </cell>
          <cell r="L413" t="str">
            <v>体力タイプ</v>
          </cell>
          <cell r="M413" t="str">
            <v>unknown</v>
          </cell>
        </row>
        <row r="414">
          <cell r="A414">
            <v>413</v>
          </cell>
          <cell r="B414" t="str">
            <v>ja</v>
          </cell>
          <cell r="C414" t="str">
            <v>コウネン　R4</v>
          </cell>
          <cell r="D414" t="str">
            <v>ノーマルクエスト</v>
          </cell>
          <cell r="E414" t="str">
            <v>執行者</v>
          </cell>
          <cell r="F414" t="str">
            <v>格好いい</v>
          </cell>
          <cell r="G414" t="str">
            <v>不明</v>
          </cell>
          <cell r="H414" t="str">
            <v>yellow</v>
          </cell>
          <cell r="I414">
            <v>3</v>
          </cell>
          <cell r="J414" t="str">
            <v>Drop1S</v>
          </cell>
          <cell r="K414" t="str">
            <v>hp</v>
          </cell>
          <cell r="L414" t="str">
            <v>体力タイプ</v>
          </cell>
          <cell r="M414" t="str">
            <v>unknown</v>
          </cell>
        </row>
        <row r="415">
          <cell r="A415">
            <v>414</v>
          </cell>
          <cell r="B415" t="str">
            <v>ja</v>
          </cell>
          <cell r="C415" t="str">
            <v>炎のミリオンダック 2</v>
          </cell>
          <cell r="D415" t="str">
            <v>強化素材R6</v>
          </cell>
          <cell r="E415" t="str">
            <v>アリス</v>
          </cell>
          <cell r="F415" t="str">
            <v>世界観</v>
          </cell>
          <cell r="G415" t="str">
            <v>不明</v>
          </cell>
          <cell r="H415" t="str">
            <v>red</v>
          </cell>
          <cell r="I415">
            <v>6</v>
          </cell>
          <cell r="J415" t="str">
            <v>Material</v>
          </cell>
          <cell r="K415" t="str">
            <v>exp</v>
          </cell>
          <cell r="L415" t="str">
            <v>強化素材タイプ</v>
          </cell>
          <cell r="M415" t="str">
            <v>unknown</v>
          </cell>
        </row>
        <row r="416">
          <cell r="A416">
            <v>415</v>
          </cell>
          <cell r="B416" t="str">
            <v>ja</v>
          </cell>
          <cell r="C416" t="str">
            <v>森のミリオンダック 2</v>
          </cell>
          <cell r="D416" t="str">
            <v>強化素材R6</v>
          </cell>
          <cell r="E416" t="str">
            <v>アリス</v>
          </cell>
          <cell r="F416" t="str">
            <v>世界観</v>
          </cell>
          <cell r="G416" t="str">
            <v>不明</v>
          </cell>
          <cell r="H416" t="str">
            <v>green</v>
          </cell>
          <cell r="I416">
            <v>6</v>
          </cell>
          <cell r="J416" t="str">
            <v>Material</v>
          </cell>
          <cell r="K416" t="str">
            <v>exp</v>
          </cell>
          <cell r="L416" t="str">
            <v>強化素材タイプ</v>
          </cell>
          <cell r="M416" t="str">
            <v>unknown</v>
          </cell>
        </row>
        <row r="417">
          <cell r="A417">
            <v>416</v>
          </cell>
          <cell r="B417" t="str">
            <v>ja</v>
          </cell>
          <cell r="C417" t="str">
            <v>水のミリオンダック 2</v>
          </cell>
          <cell r="D417" t="str">
            <v>強化素材R6</v>
          </cell>
          <cell r="E417" t="str">
            <v>アリス</v>
          </cell>
          <cell r="F417" t="str">
            <v>世界観</v>
          </cell>
          <cell r="G417" t="str">
            <v>不明</v>
          </cell>
          <cell r="H417" t="str">
            <v>blue</v>
          </cell>
          <cell r="I417">
            <v>6</v>
          </cell>
          <cell r="J417" t="str">
            <v>Material</v>
          </cell>
          <cell r="K417" t="str">
            <v>exp</v>
          </cell>
          <cell r="L417" t="str">
            <v>強化素材タイプ</v>
          </cell>
          <cell r="M417" t="str">
            <v>unknown</v>
          </cell>
        </row>
        <row r="418">
          <cell r="A418">
            <v>417</v>
          </cell>
          <cell r="B418" t="str">
            <v>ja</v>
          </cell>
          <cell r="C418" t="str">
            <v>雷のミリオンダック 2</v>
          </cell>
          <cell r="D418" t="str">
            <v>強化素材R6</v>
          </cell>
          <cell r="E418" t="str">
            <v>アリス</v>
          </cell>
          <cell r="F418" t="str">
            <v>世界観</v>
          </cell>
          <cell r="G418" t="str">
            <v>不明</v>
          </cell>
          <cell r="H418" t="str">
            <v>yellow</v>
          </cell>
          <cell r="I418">
            <v>6</v>
          </cell>
          <cell r="J418" t="str">
            <v>Material</v>
          </cell>
          <cell r="K418" t="str">
            <v>exp</v>
          </cell>
          <cell r="L418" t="str">
            <v>強化素材タイプ</v>
          </cell>
          <cell r="M418" t="str">
            <v>unknown</v>
          </cell>
        </row>
        <row r="419">
          <cell r="A419">
            <v>418</v>
          </cell>
          <cell r="B419" t="str">
            <v>ja</v>
          </cell>
          <cell r="C419" t="str">
            <v>ウラシマ</v>
          </cell>
          <cell r="D419" t="str">
            <v>イベント:アリスの絵本02</v>
          </cell>
          <cell r="E419" t="str">
            <v>執行者</v>
          </cell>
          <cell r="F419" t="str">
            <v>格好いい</v>
          </cell>
          <cell r="G419" t="str">
            <v>男性</v>
          </cell>
          <cell r="H419" t="str">
            <v>red</v>
          </cell>
          <cell r="I419">
            <v>4</v>
          </cell>
          <cell r="J419" t="str">
            <v>Drop2N</v>
          </cell>
          <cell r="K419" t="str">
            <v>hp</v>
          </cell>
          <cell r="L419" t="str">
            <v>体力タイプ</v>
          </cell>
          <cell r="M419" t="str">
            <v>human</v>
          </cell>
        </row>
        <row r="420">
          <cell r="A420">
            <v>419</v>
          </cell>
          <cell r="B420" t="str">
            <v>ja</v>
          </cell>
          <cell r="C420" t="str">
            <v>宣戦の解城 ウラシマ</v>
          </cell>
          <cell r="D420" t="str">
            <v>イベント:アリスの絵本02</v>
          </cell>
          <cell r="E420" t="str">
            <v>執行者</v>
          </cell>
          <cell r="F420" t="str">
            <v>格好いい</v>
          </cell>
          <cell r="G420" t="str">
            <v>男性</v>
          </cell>
          <cell r="H420" t="str">
            <v>red</v>
          </cell>
          <cell r="I420">
            <v>5</v>
          </cell>
          <cell r="J420" t="str">
            <v>Drop2N</v>
          </cell>
          <cell r="K420" t="str">
            <v>hp</v>
          </cell>
          <cell r="L420" t="str">
            <v>体力タイプ</v>
          </cell>
          <cell r="M420" t="str">
            <v>human</v>
          </cell>
        </row>
        <row r="421">
          <cell r="A421">
            <v>420</v>
          </cell>
          <cell r="B421" t="str">
            <v>ja</v>
          </cell>
          <cell r="C421" t="str">
            <v>カエデ</v>
          </cell>
          <cell r="D421" t="str">
            <v>イベント:アリスの絵本02</v>
          </cell>
          <cell r="E421" t="str">
            <v>執行者</v>
          </cell>
          <cell r="F421" t="str">
            <v>格好いい</v>
          </cell>
          <cell r="G421" t="str">
            <v>男性</v>
          </cell>
          <cell r="H421" t="str">
            <v>green</v>
          </cell>
          <cell r="I421">
            <v>4</v>
          </cell>
          <cell r="J421" t="str">
            <v>Drop2N</v>
          </cell>
          <cell r="K421" t="str">
            <v>heal</v>
          </cell>
          <cell r="L421" t="str">
            <v>回復タイプ</v>
          </cell>
          <cell r="M421" t="str">
            <v>human</v>
          </cell>
        </row>
        <row r="422">
          <cell r="A422">
            <v>421</v>
          </cell>
          <cell r="B422" t="str">
            <v>ja</v>
          </cell>
          <cell r="C422" t="str">
            <v>反親の彩壁 カエデ</v>
          </cell>
          <cell r="D422" t="str">
            <v>イベント:アリスの絵本02</v>
          </cell>
          <cell r="E422" t="str">
            <v>執行者</v>
          </cell>
          <cell r="F422" t="str">
            <v>格好いい</v>
          </cell>
          <cell r="G422" t="str">
            <v>男性</v>
          </cell>
          <cell r="H422" t="str">
            <v>green</v>
          </cell>
          <cell r="I422">
            <v>5</v>
          </cell>
          <cell r="J422" t="str">
            <v>Drop2N</v>
          </cell>
          <cell r="K422" t="str">
            <v>heal</v>
          </cell>
          <cell r="L422" t="str">
            <v>回復タイプ</v>
          </cell>
          <cell r="M422" t="str">
            <v>human</v>
          </cell>
        </row>
        <row r="423">
          <cell r="A423">
            <v>422</v>
          </cell>
          <cell r="B423" t="str">
            <v>ja</v>
          </cell>
          <cell r="C423" t="str">
            <v>シュガフル</v>
          </cell>
          <cell r="D423" t="str">
            <v>イベント:アリスの絵本02</v>
          </cell>
          <cell r="E423" t="str">
            <v>執行者</v>
          </cell>
          <cell r="F423" t="str">
            <v>格好いい</v>
          </cell>
          <cell r="G423" t="str">
            <v>女性</v>
          </cell>
          <cell r="H423" t="str">
            <v>blue</v>
          </cell>
          <cell r="I423">
            <v>4</v>
          </cell>
          <cell r="J423" t="str">
            <v>Drop2N</v>
          </cell>
          <cell r="K423" t="str">
            <v>balance</v>
          </cell>
          <cell r="L423" t="str">
            <v>バランスタイプ</v>
          </cell>
          <cell r="M423" t="str">
            <v>human</v>
          </cell>
        </row>
        <row r="424">
          <cell r="A424">
            <v>423</v>
          </cell>
          <cell r="B424" t="str">
            <v>ja</v>
          </cell>
          <cell r="C424" t="str">
            <v>甘罠の魔女 シュガフル</v>
          </cell>
          <cell r="D424" t="str">
            <v>イベント:アリスの絵本02</v>
          </cell>
          <cell r="E424" t="str">
            <v>執行者</v>
          </cell>
          <cell r="F424" t="str">
            <v>格好いい</v>
          </cell>
          <cell r="G424" t="str">
            <v>女性</v>
          </cell>
          <cell r="H424" t="str">
            <v>blue</v>
          </cell>
          <cell r="I424">
            <v>5</v>
          </cell>
          <cell r="J424" t="str">
            <v>Drop2N</v>
          </cell>
          <cell r="K424" t="str">
            <v>balance</v>
          </cell>
          <cell r="L424" t="str">
            <v>バランスタイプ</v>
          </cell>
          <cell r="M424" t="str">
            <v>human</v>
          </cell>
        </row>
        <row r="425">
          <cell r="A425">
            <v>424</v>
          </cell>
          <cell r="B425" t="str">
            <v>ja</v>
          </cell>
          <cell r="C425" t="str">
            <v>フック</v>
          </cell>
          <cell r="D425" t="str">
            <v>イベント:アリスの絵本02</v>
          </cell>
          <cell r="E425" t="str">
            <v>執行者</v>
          </cell>
          <cell r="F425" t="str">
            <v>格好いい</v>
          </cell>
          <cell r="G425" t="str">
            <v>女性</v>
          </cell>
          <cell r="H425" t="str">
            <v>yellow</v>
          </cell>
          <cell r="I425">
            <v>4</v>
          </cell>
          <cell r="J425" t="str">
            <v>Drop2N</v>
          </cell>
          <cell r="K425" t="str">
            <v>attack</v>
          </cell>
          <cell r="L425" t="str">
            <v>攻撃タイプ</v>
          </cell>
          <cell r="M425" t="str">
            <v>human</v>
          </cell>
        </row>
        <row r="426">
          <cell r="A426">
            <v>425</v>
          </cell>
          <cell r="B426" t="str">
            <v>ja</v>
          </cell>
          <cell r="C426" t="str">
            <v>怒髪の海賊 フック</v>
          </cell>
          <cell r="D426" t="str">
            <v>イベント:アリスの絵本02</v>
          </cell>
          <cell r="E426" t="str">
            <v>執行者</v>
          </cell>
          <cell r="F426" t="str">
            <v>格好いい</v>
          </cell>
          <cell r="G426" t="str">
            <v>女性</v>
          </cell>
          <cell r="H426" t="str">
            <v>yellow</v>
          </cell>
          <cell r="I426">
            <v>5</v>
          </cell>
          <cell r="J426" t="str">
            <v>Drop2N</v>
          </cell>
          <cell r="K426" t="str">
            <v>attack</v>
          </cell>
          <cell r="L426" t="str">
            <v>攻撃タイプ</v>
          </cell>
          <cell r="M426" t="str">
            <v>human</v>
          </cell>
        </row>
        <row r="427">
          <cell r="A427">
            <v>426</v>
          </cell>
          <cell r="B427" t="str">
            <v>ja</v>
          </cell>
          <cell r="C427" t="str">
            <v>宮本武蔵</v>
          </cell>
          <cell r="D427" t="str">
            <v>イベント:ウィザード</v>
          </cell>
          <cell r="E427" t="str">
            <v>執行者</v>
          </cell>
          <cell r="F427" t="str">
            <v>格好いい</v>
          </cell>
          <cell r="G427" t="str">
            <v>男性</v>
          </cell>
          <cell r="H427" t="str">
            <v>yellow</v>
          </cell>
          <cell r="I427">
            <v>4</v>
          </cell>
          <cell r="J427" t="str">
            <v>DropWizS</v>
          </cell>
          <cell r="K427" t="str">
            <v>attack</v>
          </cell>
          <cell r="L427" t="str">
            <v>攻撃タイプ</v>
          </cell>
          <cell r="M427" t="str">
            <v>human</v>
          </cell>
        </row>
        <row r="428">
          <cell r="A428">
            <v>427</v>
          </cell>
          <cell r="B428" t="str">
            <v>ja</v>
          </cell>
          <cell r="C428" t="str">
            <v>極・剣豪 宮本武蔵</v>
          </cell>
          <cell r="D428" t="str">
            <v>イベント:ウィザード</v>
          </cell>
          <cell r="E428" t="str">
            <v>執行者</v>
          </cell>
          <cell r="F428" t="str">
            <v>格好いい</v>
          </cell>
          <cell r="G428" t="str">
            <v>男性</v>
          </cell>
          <cell r="H428" t="str">
            <v>yellow</v>
          </cell>
          <cell r="I428">
            <v>5</v>
          </cell>
          <cell r="J428" t="str">
            <v>DropWizS</v>
          </cell>
          <cell r="K428" t="str">
            <v>attack</v>
          </cell>
          <cell r="L428" t="str">
            <v>攻撃タイプ</v>
          </cell>
          <cell r="M428" t="str">
            <v>human</v>
          </cell>
        </row>
        <row r="429">
          <cell r="A429">
            <v>428</v>
          </cell>
          <cell r="B429" t="str">
            <v>ja</v>
          </cell>
          <cell r="C429" t="str">
            <v>レッドダムディ</v>
          </cell>
          <cell r="D429" t="str">
            <v>未定</v>
          </cell>
          <cell r="E429" t="str">
            <v>執行者</v>
          </cell>
          <cell r="F429" t="str">
            <v>格好いい</v>
          </cell>
          <cell r="G429" t="str">
            <v>不明</v>
          </cell>
          <cell r="H429" t="str">
            <v>red</v>
          </cell>
          <cell r="I429">
            <v>4</v>
          </cell>
          <cell r="J429" t="str">
            <v>PremiumS</v>
          </cell>
          <cell r="K429" t="str">
            <v>evolution</v>
          </cell>
          <cell r="L429" t="str">
            <v>覚醒素材タイプ</v>
          </cell>
          <cell r="M429" t="str">
            <v>unknown</v>
          </cell>
        </row>
        <row r="430">
          <cell r="A430">
            <v>429</v>
          </cell>
          <cell r="B430" t="str">
            <v>ja</v>
          </cell>
          <cell r="C430" t="str">
            <v>ブルーダムディ</v>
          </cell>
          <cell r="D430" t="str">
            <v>未定</v>
          </cell>
          <cell r="E430" t="str">
            <v>執行者</v>
          </cell>
          <cell r="F430" t="str">
            <v>格好いい</v>
          </cell>
          <cell r="G430" t="str">
            <v>不明</v>
          </cell>
          <cell r="H430" t="str">
            <v>blue</v>
          </cell>
          <cell r="I430">
            <v>4</v>
          </cell>
          <cell r="J430" t="str">
            <v>PremiumS</v>
          </cell>
          <cell r="K430" t="str">
            <v>evolution</v>
          </cell>
          <cell r="L430" t="str">
            <v>覚醒素材タイプ</v>
          </cell>
          <cell r="M430" t="str">
            <v>unknown</v>
          </cell>
        </row>
        <row r="431">
          <cell r="A431">
            <v>430</v>
          </cell>
          <cell r="B431" t="str">
            <v>ja</v>
          </cell>
          <cell r="C431" t="str">
            <v>グリーンダムディ</v>
          </cell>
          <cell r="D431" t="str">
            <v>未定</v>
          </cell>
          <cell r="E431" t="str">
            <v>執行者</v>
          </cell>
          <cell r="F431" t="str">
            <v>格好いい</v>
          </cell>
          <cell r="G431" t="str">
            <v>不明</v>
          </cell>
          <cell r="H431" t="str">
            <v>green</v>
          </cell>
          <cell r="I431">
            <v>4</v>
          </cell>
          <cell r="J431" t="str">
            <v>PremiumS</v>
          </cell>
          <cell r="K431" t="str">
            <v>evolution</v>
          </cell>
          <cell r="L431" t="str">
            <v>覚醒素材タイプ</v>
          </cell>
          <cell r="M431" t="str">
            <v>unknown</v>
          </cell>
        </row>
        <row r="432">
          <cell r="A432">
            <v>431</v>
          </cell>
          <cell r="B432" t="str">
            <v>ja</v>
          </cell>
          <cell r="C432" t="str">
            <v>イエローダムディ</v>
          </cell>
          <cell r="D432" t="str">
            <v>未定</v>
          </cell>
          <cell r="E432" t="str">
            <v>執行者</v>
          </cell>
          <cell r="F432" t="str">
            <v>格好いい</v>
          </cell>
          <cell r="G432" t="str">
            <v>不明</v>
          </cell>
          <cell r="H432" t="str">
            <v>yellow</v>
          </cell>
          <cell r="I432">
            <v>4</v>
          </cell>
          <cell r="J432" t="str">
            <v>PremiumS</v>
          </cell>
          <cell r="K432" t="str">
            <v>evolution</v>
          </cell>
          <cell r="L432" t="str">
            <v>覚醒素材タイプ</v>
          </cell>
          <cell r="M432" t="str">
            <v>unknown</v>
          </cell>
        </row>
        <row r="433">
          <cell r="A433">
            <v>432</v>
          </cell>
          <cell r="B433" t="str">
            <v>ja</v>
          </cell>
          <cell r="C433" t="str">
            <v>麒麟</v>
          </cell>
          <cell r="D433" t="str">
            <v>イベント:超ウィザード</v>
          </cell>
          <cell r="E433" t="str">
            <v>執行者</v>
          </cell>
          <cell r="F433" t="str">
            <v>格好いい</v>
          </cell>
          <cell r="G433" t="str">
            <v>女性</v>
          </cell>
          <cell r="H433" t="str">
            <v>yellow</v>
          </cell>
          <cell r="I433">
            <v>4</v>
          </cell>
          <cell r="J433" t="str">
            <v>DropWizSS</v>
          </cell>
          <cell r="K433" t="str">
            <v>balance</v>
          </cell>
          <cell r="L433" t="str">
            <v>バランスタイプ</v>
          </cell>
          <cell r="M433" t="str">
            <v>god</v>
          </cell>
        </row>
        <row r="434">
          <cell r="A434">
            <v>433</v>
          </cell>
          <cell r="B434" t="str">
            <v>ja</v>
          </cell>
          <cell r="C434" t="str">
            <v>世稀の現獣 麒麟</v>
          </cell>
          <cell r="D434" t="str">
            <v>イベント:超ウィザード</v>
          </cell>
          <cell r="E434" t="str">
            <v>執行者</v>
          </cell>
          <cell r="F434" t="str">
            <v>格好いい</v>
          </cell>
          <cell r="G434" t="str">
            <v>女性</v>
          </cell>
          <cell r="H434" t="str">
            <v>yellow</v>
          </cell>
          <cell r="I434">
            <v>5</v>
          </cell>
          <cell r="J434" t="str">
            <v>DropWizSS</v>
          </cell>
          <cell r="K434" t="str">
            <v>balance</v>
          </cell>
          <cell r="L434" t="str">
            <v>バランスタイプ</v>
          </cell>
          <cell r="M434" t="str">
            <v>god</v>
          </cell>
        </row>
        <row r="435">
          <cell r="A435">
            <v>434</v>
          </cell>
          <cell r="B435" t="str">
            <v>ja</v>
          </cell>
          <cell r="C435" t="str">
            <v>D.R.T.H.</v>
          </cell>
          <cell r="D435" t="str">
            <v>ガチャ:オズ01</v>
          </cell>
          <cell r="E435" t="str">
            <v>執行者</v>
          </cell>
          <cell r="F435" t="str">
            <v>格好いい</v>
          </cell>
          <cell r="G435" t="str">
            <v>女性</v>
          </cell>
          <cell r="H435" t="str">
            <v>red</v>
          </cell>
          <cell r="I435">
            <v>4</v>
          </cell>
          <cell r="J435" t="str">
            <v>PremiumSS</v>
          </cell>
          <cell r="K435" t="str">
            <v>balance</v>
          </cell>
          <cell r="L435" t="str">
            <v>バランスタイプ</v>
          </cell>
          <cell r="M435" t="str">
            <v>human</v>
          </cell>
        </row>
        <row r="436">
          <cell r="A436">
            <v>435</v>
          </cell>
          <cell r="B436" t="str">
            <v>ja</v>
          </cell>
          <cell r="C436" t="str">
            <v>曝弾の密偵 D.R.T.H.</v>
          </cell>
          <cell r="D436" t="str">
            <v>ガチャ:オズ01</v>
          </cell>
          <cell r="E436" t="str">
            <v>執行者</v>
          </cell>
          <cell r="F436" t="str">
            <v>格好いい</v>
          </cell>
          <cell r="G436" t="str">
            <v>女性</v>
          </cell>
          <cell r="H436" t="str">
            <v>red</v>
          </cell>
          <cell r="I436">
            <v>5</v>
          </cell>
          <cell r="J436" t="str">
            <v>PremiumSS</v>
          </cell>
          <cell r="K436" t="str">
            <v>balance</v>
          </cell>
          <cell r="L436" t="str">
            <v>バランスタイプ</v>
          </cell>
          <cell r="M436" t="str">
            <v>human</v>
          </cell>
        </row>
        <row r="437">
          <cell r="A437">
            <v>436</v>
          </cell>
          <cell r="B437" t="str">
            <v>ja</v>
          </cell>
          <cell r="C437" t="str">
            <v>カカシ</v>
          </cell>
          <cell r="D437" t="str">
            <v>ガチャ:オズ01</v>
          </cell>
          <cell r="E437" t="str">
            <v>執行者</v>
          </cell>
          <cell r="F437" t="str">
            <v>格好いい</v>
          </cell>
          <cell r="G437" t="str">
            <v>男性</v>
          </cell>
          <cell r="H437" t="str">
            <v>green</v>
          </cell>
          <cell r="I437">
            <v>3</v>
          </cell>
          <cell r="J437" t="str">
            <v>PremiumS</v>
          </cell>
          <cell r="K437" t="str">
            <v>technical</v>
          </cell>
          <cell r="L437" t="str">
            <v>テクニカルタイプ</v>
          </cell>
          <cell r="M437" t="str">
            <v>human</v>
          </cell>
        </row>
        <row r="438">
          <cell r="A438">
            <v>437</v>
          </cell>
          <cell r="B438" t="str">
            <v>ja</v>
          </cell>
          <cell r="C438" t="str">
            <v>忘却者 カカシ</v>
          </cell>
          <cell r="D438" t="str">
            <v>ガチャ:オズ01</v>
          </cell>
          <cell r="E438" t="str">
            <v>執行者</v>
          </cell>
          <cell r="F438" t="str">
            <v>格好いい</v>
          </cell>
          <cell r="G438" t="str">
            <v>男性</v>
          </cell>
          <cell r="H438" t="str">
            <v>green</v>
          </cell>
          <cell r="I438">
            <v>4</v>
          </cell>
          <cell r="J438" t="str">
            <v>PremiumS</v>
          </cell>
          <cell r="K438" t="str">
            <v>technical</v>
          </cell>
          <cell r="L438" t="str">
            <v>テクニカルタイプ</v>
          </cell>
          <cell r="M438" t="str">
            <v>human</v>
          </cell>
        </row>
        <row r="439">
          <cell r="A439">
            <v>438</v>
          </cell>
          <cell r="B439" t="str">
            <v>ja</v>
          </cell>
          <cell r="C439" t="str">
            <v>記憶の奪還 カカシ</v>
          </cell>
          <cell r="D439" t="str">
            <v>ガチャ:オズ01</v>
          </cell>
          <cell r="E439" t="str">
            <v>執行者</v>
          </cell>
          <cell r="F439" t="str">
            <v>格好いい</v>
          </cell>
          <cell r="G439" t="str">
            <v>男性</v>
          </cell>
          <cell r="H439" t="str">
            <v>green</v>
          </cell>
          <cell r="I439">
            <v>5</v>
          </cell>
          <cell r="J439" t="str">
            <v>PremiumS</v>
          </cell>
          <cell r="K439" t="str">
            <v>technical</v>
          </cell>
          <cell r="L439" t="str">
            <v>テクニカルタイプ</v>
          </cell>
          <cell r="M439" t="str">
            <v>human</v>
          </cell>
        </row>
        <row r="440">
          <cell r="A440">
            <v>439</v>
          </cell>
          <cell r="B440" t="str">
            <v>ja</v>
          </cell>
          <cell r="C440" t="str">
            <v>ブリキロガー</v>
          </cell>
          <cell r="D440" t="str">
            <v>ガチャ:オズ01</v>
          </cell>
          <cell r="E440" t="str">
            <v>執行者</v>
          </cell>
          <cell r="F440" t="str">
            <v>格好いい</v>
          </cell>
          <cell r="G440" t="str">
            <v>不明</v>
          </cell>
          <cell r="H440" t="str">
            <v>blue</v>
          </cell>
          <cell r="I440">
            <v>3</v>
          </cell>
          <cell r="J440" t="str">
            <v>PremiumS</v>
          </cell>
          <cell r="K440" t="str">
            <v>attack</v>
          </cell>
          <cell r="L440" t="str">
            <v>攻撃タイプ</v>
          </cell>
          <cell r="M440" t="str">
            <v>machine</v>
          </cell>
        </row>
        <row r="441">
          <cell r="A441">
            <v>440</v>
          </cell>
          <cell r="B441" t="str">
            <v>ja</v>
          </cell>
          <cell r="C441" t="str">
            <v>改良型 ブリキロガー</v>
          </cell>
          <cell r="D441" t="str">
            <v>ガチャ:オズ01</v>
          </cell>
          <cell r="E441" t="str">
            <v>執行者</v>
          </cell>
          <cell r="F441" t="str">
            <v>格好いい</v>
          </cell>
          <cell r="G441" t="str">
            <v>不明</v>
          </cell>
          <cell r="H441" t="str">
            <v>blue</v>
          </cell>
          <cell r="I441">
            <v>4</v>
          </cell>
          <cell r="J441" t="str">
            <v>PremiumS</v>
          </cell>
          <cell r="K441" t="str">
            <v>attack</v>
          </cell>
          <cell r="L441" t="str">
            <v>攻撃タイプ</v>
          </cell>
          <cell r="M441" t="str">
            <v>machine</v>
          </cell>
        </row>
        <row r="442">
          <cell r="A442">
            <v>441</v>
          </cell>
          <cell r="B442" t="str">
            <v>ja</v>
          </cell>
          <cell r="C442" t="str">
            <v>求心の錻装 ブリキロガー</v>
          </cell>
          <cell r="D442" t="str">
            <v>ガチャ:オズ01</v>
          </cell>
          <cell r="E442" t="str">
            <v>執行者</v>
          </cell>
          <cell r="F442" t="str">
            <v>格好いい</v>
          </cell>
          <cell r="G442" t="str">
            <v>不明</v>
          </cell>
          <cell r="H442" t="str">
            <v>blue</v>
          </cell>
          <cell r="I442">
            <v>5</v>
          </cell>
          <cell r="J442" t="str">
            <v>PremiumS</v>
          </cell>
          <cell r="K442" t="str">
            <v>attack</v>
          </cell>
          <cell r="L442" t="str">
            <v>攻撃タイプ</v>
          </cell>
          <cell r="M442" t="str">
            <v>machine</v>
          </cell>
        </row>
        <row r="443">
          <cell r="A443">
            <v>442</v>
          </cell>
          <cell r="B443" t="str">
            <v>ja</v>
          </cell>
          <cell r="C443" t="str">
            <v>ブレイブリー・ライオン</v>
          </cell>
          <cell r="D443" t="str">
            <v>ガチャ:オズ01</v>
          </cell>
          <cell r="E443" t="str">
            <v>執行者</v>
          </cell>
          <cell r="F443" t="str">
            <v>格好いい</v>
          </cell>
          <cell r="G443" t="str">
            <v>不明</v>
          </cell>
          <cell r="H443" t="str">
            <v>yellow</v>
          </cell>
          <cell r="I443">
            <v>4</v>
          </cell>
          <cell r="J443" t="str">
            <v>PremiumSS</v>
          </cell>
          <cell r="K443" t="str">
            <v>hp</v>
          </cell>
          <cell r="L443" t="str">
            <v>体力タイプ</v>
          </cell>
          <cell r="M443" t="str">
            <v>animal</v>
          </cell>
        </row>
        <row r="444">
          <cell r="A444">
            <v>443</v>
          </cell>
          <cell r="B444" t="str">
            <v>ja</v>
          </cell>
          <cell r="C444" t="str">
            <v>勇機結集 ブレイブリー・ライオン</v>
          </cell>
          <cell r="D444" t="str">
            <v>ガチャ:オズ01</v>
          </cell>
          <cell r="E444" t="str">
            <v>執行者</v>
          </cell>
          <cell r="F444" t="str">
            <v>格好いい</v>
          </cell>
          <cell r="G444" t="str">
            <v>不明</v>
          </cell>
          <cell r="H444" t="str">
            <v>yellow</v>
          </cell>
          <cell r="I444">
            <v>5</v>
          </cell>
          <cell r="J444" t="str">
            <v>PremiumSS</v>
          </cell>
          <cell r="K444" t="str">
            <v>hp</v>
          </cell>
          <cell r="L444" t="str">
            <v>体力タイプ</v>
          </cell>
          <cell r="M444" t="str">
            <v>animal</v>
          </cell>
        </row>
        <row r="445">
          <cell r="A445">
            <v>444</v>
          </cell>
          <cell r="B445" t="str">
            <v>ja</v>
          </cell>
          <cell r="C445" t="str">
            <v>ライオネル</v>
          </cell>
          <cell r="D445" t="str">
            <v>未定</v>
          </cell>
          <cell r="E445" t="str">
            <v>執行者</v>
          </cell>
          <cell r="F445" t="str">
            <v>格好いい</v>
          </cell>
          <cell r="G445" t="str">
            <v>不明</v>
          </cell>
          <cell r="H445" t="str">
            <v>red</v>
          </cell>
          <cell r="I445">
            <v>4</v>
          </cell>
          <cell r="J445" t="str">
            <v>PremiumN</v>
          </cell>
          <cell r="K445" t="str">
            <v>balance</v>
          </cell>
          <cell r="L445" t="str">
            <v>バランスタイプ</v>
          </cell>
          <cell r="M445" t="str">
            <v>human</v>
          </cell>
        </row>
        <row r="446">
          <cell r="A446">
            <v>445</v>
          </cell>
          <cell r="B446" t="str">
            <v>ja</v>
          </cell>
          <cell r="C446" t="str">
            <v>怒鬣の紳獅 ライオネル</v>
          </cell>
          <cell r="D446" t="str">
            <v>未定</v>
          </cell>
          <cell r="E446" t="str">
            <v>執行者</v>
          </cell>
          <cell r="F446" t="str">
            <v>格好いい</v>
          </cell>
          <cell r="G446" t="str">
            <v>不明</v>
          </cell>
          <cell r="H446" t="str">
            <v>red</v>
          </cell>
          <cell r="I446">
            <v>5</v>
          </cell>
          <cell r="J446" t="str">
            <v>PremiumN</v>
          </cell>
          <cell r="K446" t="str">
            <v>balance</v>
          </cell>
          <cell r="L446" t="str">
            <v>バランスタイプ</v>
          </cell>
          <cell r="M446" t="str">
            <v>human</v>
          </cell>
        </row>
        <row r="447">
          <cell r="A447">
            <v>446</v>
          </cell>
          <cell r="B447" t="str">
            <v>ja</v>
          </cell>
          <cell r="C447" t="str">
            <v>ガラハッド</v>
          </cell>
          <cell r="D447" t="str">
            <v>未定</v>
          </cell>
          <cell r="E447" t="str">
            <v>執行者</v>
          </cell>
          <cell r="F447" t="str">
            <v>格好いい</v>
          </cell>
          <cell r="G447" t="str">
            <v>不明</v>
          </cell>
          <cell r="H447" t="str">
            <v>green</v>
          </cell>
          <cell r="I447">
            <v>4</v>
          </cell>
          <cell r="J447" t="str">
            <v>PremiumN</v>
          </cell>
          <cell r="K447" t="str">
            <v>balance</v>
          </cell>
          <cell r="L447" t="str">
            <v>バランスタイプ</v>
          </cell>
          <cell r="M447" t="str">
            <v>human</v>
          </cell>
        </row>
        <row r="448">
          <cell r="A448">
            <v>447</v>
          </cell>
          <cell r="B448" t="str">
            <v>ja</v>
          </cell>
          <cell r="C448" t="str">
            <v>荒息の銃剣 ガラハッド</v>
          </cell>
          <cell r="D448" t="str">
            <v>未定</v>
          </cell>
          <cell r="E448" t="str">
            <v>執行者</v>
          </cell>
          <cell r="F448" t="str">
            <v>格好いい</v>
          </cell>
          <cell r="G448" t="str">
            <v>不明</v>
          </cell>
          <cell r="H448" t="str">
            <v>green</v>
          </cell>
          <cell r="I448">
            <v>5</v>
          </cell>
          <cell r="J448" t="str">
            <v>PremiumN</v>
          </cell>
          <cell r="K448" t="str">
            <v>balance</v>
          </cell>
          <cell r="L448" t="str">
            <v>バランスタイプ</v>
          </cell>
          <cell r="M448" t="str">
            <v>human</v>
          </cell>
        </row>
        <row r="449">
          <cell r="A449">
            <v>448</v>
          </cell>
          <cell r="B449" t="str">
            <v>ja</v>
          </cell>
          <cell r="C449" t="str">
            <v>ガレス</v>
          </cell>
          <cell r="D449" t="str">
            <v>未定</v>
          </cell>
          <cell r="E449" t="str">
            <v>執行者</v>
          </cell>
          <cell r="F449" t="str">
            <v>格好いい</v>
          </cell>
          <cell r="G449" t="str">
            <v>不明</v>
          </cell>
          <cell r="H449" t="str">
            <v>blue</v>
          </cell>
          <cell r="I449">
            <v>4</v>
          </cell>
          <cell r="J449" t="str">
            <v>PremiumN</v>
          </cell>
          <cell r="K449" t="str">
            <v>balance</v>
          </cell>
          <cell r="L449" t="str">
            <v>バランスタイプ</v>
          </cell>
          <cell r="M449" t="str">
            <v>human</v>
          </cell>
        </row>
        <row r="450">
          <cell r="A450">
            <v>449</v>
          </cell>
          <cell r="B450" t="str">
            <v>ja</v>
          </cell>
          <cell r="C450" t="str">
            <v>幽き美手 ガレス</v>
          </cell>
          <cell r="D450" t="str">
            <v>未定</v>
          </cell>
          <cell r="E450" t="str">
            <v>執行者</v>
          </cell>
          <cell r="F450" t="str">
            <v>格好いい</v>
          </cell>
          <cell r="G450" t="str">
            <v>不明</v>
          </cell>
          <cell r="H450" t="str">
            <v>blue</v>
          </cell>
          <cell r="I450">
            <v>5</v>
          </cell>
          <cell r="J450" t="str">
            <v>PremiumN</v>
          </cell>
          <cell r="K450" t="str">
            <v>balance</v>
          </cell>
          <cell r="L450" t="str">
            <v>バランスタイプ</v>
          </cell>
          <cell r="M450" t="str">
            <v>human</v>
          </cell>
        </row>
        <row r="451">
          <cell r="A451">
            <v>450</v>
          </cell>
          <cell r="B451" t="str">
            <v>ja</v>
          </cell>
          <cell r="C451" t="str">
            <v>イゾルデ</v>
          </cell>
          <cell r="D451" t="str">
            <v>未定</v>
          </cell>
          <cell r="E451" t="str">
            <v>執行者</v>
          </cell>
          <cell r="F451" t="str">
            <v>格好いい</v>
          </cell>
          <cell r="G451" t="str">
            <v>不明</v>
          </cell>
          <cell r="H451" t="str">
            <v>yellow</v>
          </cell>
          <cell r="I451">
            <v>4</v>
          </cell>
          <cell r="J451" t="str">
            <v>PremiumN</v>
          </cell>
          <cell r="K451" t="str">
            <v>balance</v>
          </cell>
          <cell r="L451" t="str">
            <v>バランスタイプ</v>
          </cell>
          <cell r="M451" t="str">
            <v>human</v>
          </cell>
        </row>
        <row r="452">
          <cell r="A452">
            <v>451</v>
          </cell>
          <cell r="B452" t="str">
            <v>ja</v>
          </cell>
          <cell r="C452" t="str">
            <v>シルエットオーディン2</v>
          </cell>
          <cell r="D452" t="str">
            <v>未定</v>
          </cell>
          <cell r="E452" t="str">
            <v>執行者</v>
          </cell>
          <cell r="F452" t="str">
            <v>格好いい</v>
          </cell>
          <cell r="G452" t="str">
            <v>不明</v>
          </cell>
          <cell r="H452" t="str">
            <v>blue</v>
          </cell>
          <cell r="I452">
            <v>5</v>
          </cell>
          <cell r="J452" t="str">
            <v>DropWizN</v>
          </cell>
          <cell r="K452" t="str">
            <v>balance</v>
          </cell>
          <cell r="L452" t="str">
            <v>バランスタイプ</v>
          </cell>
          <cell r="M452" t="str">
            <v>human</v>
          </cell>
        </row>
        <row r="453">
          <cell r="A453">
            <v>452</v>
          </cell>
          <cell r="B453" t="str">
            <v>ja</v>
          </cell>
          <cell r="C453" t="str">
            <v>猛狐 エゾ</v>
          </cell>
          <cell r="D453" t="str">
            <v>イベント:オリジナル01</v>
          </cell>
          <cell r="E453" t="str">
            <v>執行者</v>
          </cell>
          <cell r="F453" t="str">
            <v>格好いい</v>
          </cell>
          <cell r="G453" t="str">
            <v>男性</v>
          </cell>
          <cell r="H453" t="str">
            <v>red</v>
          </cell>
          <cell r="I453">
            <v>4</v>
          </cell>
          <cell r="J453" t="str">
            <v>Drop2N</v>
          </cell>
          <cell r="K453" t="str">
            <v>balance</v>
          </cell>
          <cell r="L453" t="str">
            <v>バランスタイプ</v>
          </cell>
          <cell r="M453" t="str">
            <v>animal</v>
          </cell>
        </row>
        <row r="454">
          <cell r="A454">
            <v>453</v>
          </cell>
          <cell r="B454" t="str">
            <v>ja</v>
          </cell>
          <cell r="C454" t="str">
            <v>急尾の猛狐 エゾ</v>
          </cell>
          <cell r="D454" t="str">
            <v>イベント:オリジナル01</v>
          </cell>
          <cell r="E454" t="str">
            <v>執行者</v>
          </cell>
          <cell r="F454" t="str">
            <v>格好いい</v>
          </cell>
          <cell r="G454" t="str">
            <v>男性</v>
          </cell>
          <cell r="H454" t="str">
            <v>red</v>
          </cell>
          <cell r="I454">
            <v>5</v>
          </cell>
          <cell r="J454" t="str">
            <v>Drop2N</v>
          </cell>
          <cell r="K454" t="str">
            <v>balance</v>
          </cell>
          <cell r="L454" t="str">
            <v>バランスタイプ</v>
          </cell>
          <cell r="M454" t="str">
            <v>animal</v>
          </cell>
        </row>
        <row r="455">
          <cell r="A455">
            <v>454</v>
          </cell>
          <cell r="B455" t="str">
            <v>ja</v>
          </cell>
          <cell r="C455" t="str">
            <v>二闘 レッサとギガン</v>
          </cell>
          <cell r="D455" t="str">
            <v>イベント:オリジナル01</v>
          </cell>
          <cell r="E455" t="str">
            <v>執行者</v>
          </cell>
          <cell r="F455" t="str">
            <v>格好いい</v>
          </cell>
          <cell r="G455" t="str">
            <v>男性</v>
          </cell>
          <cell r="H455" t="str">
            <v>green</v>
          </cell>
          <cell r="I455">
            <v>4</v>
          </cell>
          <cell r="J455" t="str">
            <v>Drop2N</v>
          </cell>
          <cell r="K455" t="str">
            <v>hp</v>
          </cell>
          <cell r="L455" t="str">
            <v>体力タイプ</v>
          </cell>
          <cell r="M455" t="str">
            <v>human</v>
          </cell>
        </row>
        <row r="456">
          <cell r="A456">
            <v>455</v>
          </cell>
          <cell r="B456" t="str">
            <v>ja</v>
          </cell>
          <cell r="C456" t="str">
            <v>廃街の二闘 レッサとギガン</v>
          </cell>
          <cell r="D456" t="str">
            <v>イベント:オリジナル01</v>
          </cell>
          <cell r="E456" t="str">
            <v>執行者</v>
          </cell>
          <cell r="F456" t="str">
            <v>格好いい</v>
          </cell>
          <cell r="G456" t="str">
            <v>男性</v>
          </cell>
          <cell r="H456" t="str">
            <v>green</v>
          </cell>
          <cell r="I456">
            <v>5</v>
          </cell>
          <cell r="J456" t="str">
            <v>Drop2N</v>
          </cell>
          <cell r="K456" t="str">
            <v>hp</v>
          </cell>
          <cell r="L456" t="str">
            <v>体力タイプ</v>
          </cell>
          <cell r="M456" t="str">
            <v>human</v>
          </cell>
        </row>
        <row r="457">
          <cell r="A457">
            <v>456</v>
          </cell>
          <cell r="B457" t="str">
            <v>ja</v>
          </cell>
          <cell r="C457" t="str">
            <v>射絶 ユヅル</v>
          </cell>
          <cell r="D457" t="str">
            <v>イベント:オリジナル01</v>
          </cell>
          <cell r="E457" t="str">
            <v>執行者</v>
          </cell>
          <cell r="F457" t="str">
            <v>格好いい</v>
          </cell>
          <cell r="G457" t="str">
            <v>女性</v>
          </cell>
          <cell r="H457" t="str">
            <v>blue</v>
          </cell>
          <cell r="I457">
            <v>4</v>
          </cell>
          <cell r="J457" t="str">
            <v>Drop2N</v>
          </cell>
          <cell r="K457" t="str">
            <v>technical</v>
          </cell>
          <cell r="L457" t="str">
            <v>テクニカルタイプ</v>
          </cell>
          <cell r="M457" t="str">
            <v>human</v>
          </cell>
        </row>
        <row r="458">
          <cell r="A458">
            <v>457</v>
          </cell>
          <cell r="B458" t="str">
            <v>ja</v>
          </cell>
          <cell r="C458" t="str">
            <v>京速射絶 ユヅル</v>
          </cell>
          <cell r="D458" t="str">
            <v>イベント:オリジナル01</v>
          </cell>
          <cell r="E458" t="str">
            <v>執行者</v>
          </cell>
          <cell r="F458" t="str">
            <v>格好いい</v>
          </cell>
          <cell r="G458" t="str">
            <v>女性</v>
          </cell>
          <cell r="H458" t="str">
            <v>blue</v>
          </cell>
          <cell r="I458">
            <v>5</v>
          </cell>
          <cell r="J458" t="str">
            <v>Drop2N</v>
          </cell>
          <cell r="K458" t="str">
            <v>technical</v>
          </cell>
          <cell r="L458" t="str">
            <v>テクニカルタイプ</v>
          </cell>
          <cell r="M458" t="str">
            <v>human</v>
          </cell>
        </row>
        <row r="459">
          <cell r="A459">
            <v>458</v>
          </cell>
          <cell r="B459" t="str">
            <v>ja</v>
          </cell>
          <cell r="C459" t="str">
            <v>嵐龍 スガル</v>
          </cell>
          <cell r="D459" t="str">
            <v>イベント:オリジナル01</v>
          </cell>
          <cell r="E459" t="str">
            <v>執行者</v>
          </cell>
          <cell r="F459" t="str">
            <v>格好いい</v>
          </cell>
          <cell r="G459" t="str">
            <v>男性</v>
          </cell>
          <cell r="H459" t="str">
            <v>yellow</v>
          </cell>
          <cell r="I459">
            <v>4</v>
          </cell>
          <cell r="J459" t="str">
            <v>Drop2N</v>
          </cell>
          <cell r="K459" t="str">
            <v>hp</v>
          </cell>
          <cell r="L459" t="str">
            <v>体力タイプ</v>
          </cell>
          <cell r="M459" t="str">
            <v>dragon</v>
          </cell>
        </row>
        <row r="460">
          <cell r="A460">
            <v>459</v>
          </cell>
          <cell r="B460" t="str">
            <v>ja</v>
          </cell>
          <cell r="C460" t="str">
            <v>威喝の嵐龍 スガル</v>
          </cell>
          <cell r="D460" t="str">
            <v>イベント:オリジナル01</v>
          </cell>
          <cell r="E460" t="str">
            <v>執行者</v>
          </cell>
          <cell r="F460" t="str">
            <v>格好いい</v>
          </cell>
          <cell r="G460" t="str">
            <v>男性</v>
          </cell>
          <cell r="H460" t="str">
            <v>yellow</v>
          </cell>
          <cell r="I460">
            <v>5</v>
          </cell>
          <cell r="J460" t="str">
            <v>Drop2N</v>
          </cell>
          <cell r="K460" t="str">
            <v>hp</v>
          </cell>
          <cell r="L460" t="str">
            <v>体力タイプ</v>
          </cell>
          <cell r="M460" t="str">
            <v>dragon</v>
          </cell>
        </row>
        <row r="461">
          <cell r="A461">
            <v>460</v>
          </cell>
          <cell r="B461" t="str">
            <v>ja</v>
          </cell>
          <cell r="C461" t="str">
            <v>オズ</v>
          </cell>
          <cell r="D461" t="str">
            <v>イベント:ウィザード</v>
          </cell>
          <cell r="E461" t="str">
            <v>執行者</v>
          </cell>
          <cell r="F461" t="str">
            <v>格好いい</v>
          </cell>
          <cell r="G461" t="str">
            <v>男性</v>
          </cell>
          <cell r="H461" t="str">
            <v>green</v>
          </cell>
          <cell r="I461">
            <v>4</v>
          </cell>
          <cell r="J461" t="str">
            <v>DropWizS</v>
          </cell>
          <cell r="K461" t="str">
            <v>technical</v>
          </cell>
          <cell r="L461" t="str">
            <v>テクニカルタイプ</v>
          </cell>
          <cell r="M461" t="str">
            <v>human</v>
          </cell>
        </row>
        <row r="462">
          <cell r="A462">
            <v>461</v>
          </cell>
          <cell r="B462" t="str">
            <v>ja</v>
          </cell>
          <cell r="C462" t="str">
            <v>大いなる虚像 オズ</v>
          </cell>
          <cell r="D462" t="str">
            <v>イベント:ウィザード</v>
          </cell>
          <cell r="E462" t="str">
            <v>執行者</v>
          </cell>
          <cell r="F462" t="str">
            <v>格好いい</v>
          </cell>
          <cell r="G462" t="str">
            <v>男性</v>
          </cell>
          <cell r="H462" t="str">
            <v>green</v>
          </cell>
          <cell r="I462">
            <v>5</v>
          </cell>
          <cell r="J462" t="str">
            <v>DropWizS</v>
          </cell>
          <cell r="K462" t="str">
            <v>technical</v>
          </cell>
          <cell r="L462" t="str">
            <v>テクニカルタイプ</v>
          </cell>
          <cell r="M462" t="str">
            <v>human</v>
          </cell>
        </row>
        <row r="463">
          <cell r="A463">
            <v>462</v>
          </cell>
          <cell r="B463" t="str">
            <v>ja</v>
          </cell>
          <cell r="C463" t="str">
            <v>ガウェイン</v>
          </cell>
          <cell r="D463" t="str">
            <v>ガチャ:円卓01</v>
          </cell>
          <cell r="E463" t="str">
            <v>執行者</v>
          </cell>
          <cell r="F463" t="str">
            <v>格好いい</v>
          </cell>
          <cell r="G463" t="str">
            <v>男性</v>
          </cell>
          <cell r="H463" t="str">
            <v>red</v>
          </cell>
          <cell r="I463">
            <v>3</v>
          </cell>
          <cell r="J463" t="str">
            <v>PremiumS</v>
          </cell>
          <cell r="K463" t="str">
            <v>hp</v>
          </cell>
          <cell r="L463" t="str">
            <v>体力タイプ</v>
          </cell>
          <cell r="M463" t="str">
            <v>human</v>
          </cell>
        </row>
        <row r="464">
          <cell r="A464">
            <v>463</v>
          </cell>
          <cell r="B464" t="str">
            <v>ja</v>
          </cell>
          <cell r="C464" t="str">
            <v>燻銀 ガウェイン</v>
          </cell>
          <cell r="D464" t="str">
            <v>ガチャ:円卓01</v>
          </cell>
          <cell r="E464" t="str">
            <v>執行者</v>
          </cell>
          <cell r="F464" t="str">
            <v>格好いい</v>
          </cell>
          <cell r="G464" t="str">
            <v>男性</v>
          </cell>
          <cell r="H464" t="str">
            <v>red</v>
          </cell>
          <cell r="I464">
            <v>4</v>
          </cell>
          <cell r="J464" t="str">
            <v>PremiumS</v>
          </cell>
          <cell r="K464" t="str">
            <v>hp</v>
          </cell>
          <cell r="L464" t="str">
            <v>体力タイプ</v>
          </cell>
          <cell r="M464" t="str">
            <v>human</v>
          </cell>
        </row>
        <row r="465">
          <cell r="A465">
            <v>464</v>
          </cell>
          <cell r="B465" t="str">
            <v>ja</v>
          </cell>
          <cell r="C465" t="str">
            <v>円熟の弾導 ガウェイン</v>
          </cell>
          <cell r="D465" t="str">
            <v>ガチャ:円卓01</v>
          </cell>
          <cell r="E465" t="str">
            <v>執行者</v>
          </cell>
          <cell r="F465" t="str">
            <v>格好いい</v>
          </cell>
          <cell r="G465" t="str">
            <v>男性</v>
          </cell>
          <cell r="H465" t="str">
            <v>red</v>
          </cell>
          <cell r="I465">
            <v>5</v>
          </cell>
          <cell r="J465" t="str">
            <v>PremiumS</v>
          </cell>
          <cell r="K465" t="str">
            <v>hp</v>
          </cell>
          <cell r="L465" t="str">
            <v>体力タイプ</v>
          </cell>
          <cell r="M465" t="str">
            <v>human</v>
          </cell>
        </row>
        <row r="466">
          <cell r="A466">
            <v>465</v>
          </cell>
          <cell r="B466" t="str">
            <v>ja</v>
          </cell>
          <cell r="C466" t="str">
            <v>真撃 ランスロット</v>
          </cell>
          <cell r="D466" t="str">
            <v>ガチャ:円卓01</v>
          </cell>
          <cell r="E466" t="str">
            <v>執行者</v>
          </cell>
          <cell r="F466" t="str">
            <v>格好いい</v>
          </cell>
          <cell r="G466" t="str">
            <v>男性</v>
          </cell>
          <cell r="H466" t="str">
            <v>green</v>
          </cell>
          <cell r="I466">
            <v>4</v>
          </cell>
          <cell r="J466" t="str">
            <v>PremiumSS</v>
          </cell>
          <cell r="K466" t="str">
            <v>balance</v>
          </cell>
          <cell r="L466" t="str">
            <v>バランスタイプ</v>
          </cell>
          <cell r="M466" t="str">
            <v>human</v>
          </cell>
        </row>
        <row r="467">
          <cell r="A467">
            <v>466</v>
          </cell>
          <cell r="B467" t="str">
            <v>ja</v>
          </cell>
          <cell r="C467" t="str">
            <v>真断の勇覇 ランスロット</v>
          </cell>
          <cell r="D467" t="str">
            <v>ガチャ:円卓01</v>
          </cell>
          <cell r="E467" t="str">
            <v>執行者</v>
          </cell>
          <cell r="F467" t="str">
            <v>格好いい</v>
          </cell>
          <cell r="G467" t="str">
            <v>男性</v>
          </cell>
          <cell r="H467" t="str">
            <v>green</v>
          </cell>
          <cell r="I467">
            <v>5</v>
          </cell>
          <cell r="J467" t="str">
            <v>PremiumSS</v>
          </cell>
          <cell r="K467" t="str">
            <v>balance</v>
          </cell>
          <cell r="L467" t="str">
            <v>バランスタイプ</v>
          </cell>
          <cell r="M467" t="str">
            <v>human</v>
          </cell>
        </row>
        <row r="468">
          <cell r="A468">
            <v>467</v>
          </cell>
          <cell r="B468" t="str">
            <v>ja</v>
          </cell>
          <cell r="C468" t="str">
            <v>報復 モルドレッド</v>
          </cell>
          <cell r="D468" t="str">
            <v>ガチャ:円卓01</v>
          </cell>
          <cell r="E468" t="str">
            <v>執行者</v>
          </cell>
          <cell r="F468" t="str">
            <v>格好いい</v>
          </cell>
          <cell r="G468" t="str">
            <v>女性</v>
          </cell>
          <cell r="H468" t="str">
            <v>blue</v>
          </cell>
          <cell r="I468">
            <v>4</v>
          </cell>
          <cell r="J468" t="str">
            <v>PremiumSS</v>
          </cell>
          <cell r="K468" t="str">
            <v>technical</v>
          </cell>
          <cell r="L468" t="str">
            <v>テクニカルタイプ</v>
          </cell>
          <cell r="M468" t="str">
            <v>human</v>
          </cell>
        </row>
        <row r="469">
          <cell r="A469">
            <v>468</v>
          </cell>
          <cell r="B469" t="str">
            <v>ja</v>
          </cell>
          <cell r="C469" t="str">
            <v>憎愛の尖鋒 モルドレッド</v>
          </cell>
          <cell r="D469" t="str">
            <v>ガチャ:円卓01</v>
          </cell>
          <cell r="E469" t="str">
            <v>執行者</v>
          </cell>
          <cell r="F469" t="str">
            <v>格好いい</v>
          </cell>
          <cell r="G469" t="str">
            <v>女性</v>
          </cell>
          <cell r="H469" t="str">
            <v>blue</v>
          </cell>
          <cell r="I469">
            <v>5</v>
          </cell>
          <cell r="J469" t="str">
            <v>PremiumSS</v>
          </cell>
          <cell r="K469" t="str">
            <v>technical</v>
          </cell>
          <cell r="L469" t="str">
            <v>テクニカルタイプ</v>
          </cell>
          <cell r="M469" t="str">
            <v>human</v>
          </cell>
        </row>
        <row r="470">
          <cell r="A470">
            <v>469</v>
          </cell>
          <cell r="B470" t="str">
            <v>ja</v>
          </cell>
          <cell r="C470" t="str">
            <v>トリスタン</v>
          </cell>
          <cell r="D470" t="str">
            <v>ガチャ:円卓01</v>
          </cell>
          <cell r="E470" t="str">
            <v>執行者</v>
          </cell>
          <cell r="F470" t="str">
            <v>格好いい</v>
          </cell>
          <cell r="G470" t="str">
            <v>男性</v>
          </cell>
          <cell r="H470" t="str">
            <v>yellow</v>
          </cell>
          <cell r="I470">
            <v>3</v>
          </cell>
          <cell r="J470" t="str">
            <v>PremiumS</v>
          </cell>
          <cell r="K470" t="str">
            <v>attack</v>
          </cell>
          <cell r="L470" t="str">
            <v>攻撃タイプ</v>
          </cell>
          <cell r="M470" t="str">
            <v>human</v>
          </cell>
        </row>
        <row r="471">
          <cell r="A471">
            <v>470</v>
          </cell>
          <cell r="B471" t="str">
            <v>ja</v>
          </cell>
          <cell r="C471" t="str">
            <v>純心 トリスタン</v>
          </cell>
          <cell r="D471" t="str">
            <v>ガチャ:円卓01</v>
          </cell>
          <cell r="E471" t="str">
            <v>執行者</v>
          </cell>
          <cell r="F471" t="str">
            <v>格好いい</v>
          </cell>
          <cell r="G471" t="str">
            <v>男性</v>
          </cell>
          <cell r="H471" t="str">
            <v>yellow</v>
          </cell>
          <cell r="I471">
            <v>4</v>
          </cell>
          <cell r="J471" t="str">
            <v>PremiumS</v>
          </cell>
          <cell r="K471" t="str">
            <v>attack</v>
          </cell>
          <cell r="L471" t="str">
            <v>攻撃タイプ</v>
          </cell>
          <cell r="M471" t="str">
            <v>human</v>
          </cell>
        </row>
        <row r="472">
          <cell r="A472">
            <v>471</v>
          </cell>
          <cell r="B472" t="str">
            <v>ja</v>
          </cell>
          <cell r="C472" t="str">
            <v>不可避の爆激 トリスタン</v>
          </cell>
          <cell r="D472" t="str">
            <v>ガチャ:円卓01</v>
          </cell>
          <cell r="E472" t="str">
            <v>執行者</v>
          </cell>
          <cell r="F472" t="str">
            <v>格好いい</v>
          </cell>
          <cell r="G472" t="str">
            <v>男性</v>
          </cell>
          <cell r="H472" t="str">
            <v>yellow</v>
          </cell>
          <cell r="I472">
            <v>5</v>
          </cell>
          <cell r="J472" t="str">
            <v>PremiumS</v>
          </cell>
          <cell r="K472" t="str">
            <v>attack</v>
          </cell>
          <cell r="L472" t="str">
            <v>攻撃タイプ</v>
          </cell>
          <cell r="M472" t="str">
            <v>human</v>
          </cell>
        </row>
        <row r="473">
          <cell r="A473">
            <v>472</v>
          </cell>
          <cell r="B473" t="str">
            <v>ja</v>
          </cell>
          <cell r="C473" t="str">
            <v>アーサー</v>
          </cell>
          <cell r="D473" t="str">
            <v>イベント:ウィザード</v>
          </cell>
          <cell r="E473" t="str">
            <v>執行者</v>
          </cell>
          <cell r="F473" t="str">
            <v>格好いい</v>
          </cell>
          <cell r="G473" t="str">
            <v>男性</v>
          </cell>
          <cell r="H473" t="str">
            <v>red</v>
          </cell>
          <cell r="I473">
            <v>4</v>
          </cell>
          <cell r="J473" t="str">
            <v>DropWizS</v>
          </cell>
          <cell r="K473" t="str">
            <v>balance</v>
          </cell>
          <cell r="L473" t="str">
            <v>バランスタイプ</v>
          </cell>
          <cell r="M473" t="str">
            <v>human</v>
          </cell>
        </row>
        <row r="474">
          <cell r="A474">
            <v>473</v>
          </cell>
          <cell r="B474" t="str">
            <v>ja</v>
          </cell>
          <cell r="C474" t="str">
            <v>凶堅なる正義 アーサー</v>
          </cell>
          <cell r="D474" t="str">
            <v>イベント:ウィザード</v>
          </cell>
          <cell r="E474" t="str">
            <v>執行者</v>
          </cell>
          <cell r="F474" t="str">
            <v>格好いい</v>
          </cell>
          <cell r="G474" t="str">
            <v>男性</v>
          </cell>
          <cell r="H474" t="str">
            <v>red</v>
          </cell>
          <cell r="I474">
            <v>5</v>
          </cell>
          <cell r="J474" t="str">
            <v>DropWizS</v>
          </cell>
          <cell r="K474" t="str">
            <v>balance</v>
          </cell>
          <cell r="L474" t="str">
            <v>バランスタイプ</v>
          </cell>
          <cell r="M474" t="str">
            <v>human</v>
          </cell>
        </row>
        <row r="475">
          <cell r="A475">
            <v>474</v>
          </cell>
          <cell r="B475" t="str">
            <v>ja</v>
          </cell>
          <cell r="C475" t="str">
            <v>キング・ドライグ</v>
          </cell>
          <cell r="D475" t="str">
            <v>ガチャ:デッドマンズ</v>
          </cell>
          <cell r="E475" t="str">
            <v>執行者</v>
          </cell>
          <cell r="F475" t="str">
            <v>格好いい</v>
          </cell>
          <cell r="G475" t="str">
            <v>不明</v>
          </cell>
          <cell r="H475" t="str">
            <v>red</v>
          </cell>
          <cell r="I475">
            <v>4</v>
          </cell>
          <cell r="J475" t="str">
            <v>PremiumSS</v>
          </cell>
          <cell r="K475" t="str">
            <v>attack</v>
          </cell>
          <cell r="L475" t="str">
            <v>攻撃タイプ</v>
          </cell>
          <cell r="M475" t="str">
            <v>dragon</v>
          </cell>
        </row>
        <row r="476">
          <cell r="A476">
            <v>475</v>
          </cell>
          <cell r="B476" t="str">
            <v>ja</v>
          </cell>
          <cell r="C476" t="str">
            <v>緋王 キング・ドライグ</v>
          </cell>
          <cell r="D476" t="str">
            <v>ガチャ:デッドマンズ</v>
          </cell>
          <cell r="E476" t="str">
            <v>執行者</v>
          </cell>
          <cell r="F476" t="str">
            <v>格好いい</v>
          </cell>
          <cell r="G476" t="str">
            <v>不明</v>
          </cell>
          <cell r="H476" t="str">
            <v>red</v>
          </cell>
          <cell r="I476">
            <v>5</v>
          </cell>
          <cell r="J476" t="str">
            <v>PremiumSS</v>
          </cell>
          <cell r="K476" t="str">
            <v>attack</v>
          </cell>
          <cell r="L476" t="str">
            <v>攻撃タイプ</v>
          </cell>
          <cell r="M476" t="str">
            <v>dragon</v>
          </cell>
        </row>
        <row r="477">
          <cell r="A477">
            <v>476</v>
          </cell>
          <cell r="B477" t="str">
            <v>ja</v>
          </cell>
          <cell r="C477" t="str">
            <v>ファータ</v>
          </cell>
          <cell r="D477" t="str">
            <v>ガチャ:デッドマンズ</v>
          </cell>
          <cell r="E477" t="str">
            <v>執行者</v>
          </cell>
          <cell r="F477" t="str">
            <v>格好いい</v>
          </cell>
          <cell r="G477" t="str">
            <v>女性</v>
          </cell>
          <cell r="H477" t="str">
            <v>green</v>
          </cell>
          <cell r="I477">
            <v>3</v>
          </cell>
          <cell r="J477" t="str">
            <v>PremiumS</v>
          </cell>
          <cell r="K477" t="str">
            <v>heal</v>
          </cell>
          <cell r="L477" t="str">
            <v>回復タイプ</v>
          </cell>
          <cell r="M477" t="str">
            <v>unknown</v>
          </cell>
        </row>
        <row r="478">
          <cell r="A478">
            <v>477</v>
          </cell>
          <cell r="B478" t="str">
            <v>ja</v>
          </cell>
          <cell r="C478" t="str">
            <v>愛羽妖精 ファータ</v>
          </cell>
          <cell r="D478" t="str">
            <v>ガチャ:デッドマンズ</v>
          </cell>
          <cell r="E478" t="str">
            <v>執行者</v>
          </cell>
          <cell r="F478" t="str">
            <v>格好いい</v>
          </cell>
          <cell r="G478" t="str">
            <v>女性</v>
          </cell>
          <cell r="H478" t="str">
            <v>green</v>
          </cell>
          <cell r="I478">
            <v>4</v>
          </cell>
          <cell r="J478" t="str">
            <v>PremiumS</v>
          </cell>
          <cell r="K478" t="str">
            <v>heal</v>
          </cell>
          <cell r="L478" t="str">
            <v>回復タイプ</v>
          </cell>
          <cell r="M478" t="str">
            <v>unknown</v>
          </cell>
        </row>
        <row r="479">
          <cell r="A479">
            <v>478</v>
          </cell>
          <cell r="B479" t="str">
            <v>ja</v>
          </cell>
          <cell r="C479" t="str">
            <v>時計仕掛けの愛羽妖精 ファータ</v>
          </cell>
          <cell r="D479" t="str">
            <v>ガチャ:デッドマンズ</v>
          </cell>
          <cell r="E479" t="str">
            <v>執行者</v>
          </cell>
          <cell r="F479" t="str">
            <v>格好いい</v>
          </cell>
          <cell r="G479" t="str">
            <v>女性</v>
          </cell>
          <cell r="H479" t="str">
            <v>green</v>
          </cell>
          <cell r="I479">
            <v>5</v>
          </cell>
          <cell r="J479" t="str">
            <v>PremiumS</v>
          </cell>
          <cell r="K479" t="str">
            <v>heal</v>
          </cell>
          <cell r="L479" t="str">
            <v>回復タイプ</v>
          </cell>
          <cell r="M479" t="str">
            <v>unknown</v>
          </cell>
        </row>
        <row r="480">
          <cell r="A480">
            <v>479</v>
          </cell>
          <cell r="B480" t="str">
            <v>ja</v>
          </cell>
          <cell r="C480" t="str">
            <v>フール</v>
          </cell>
          <cell r="D480" t="str">
            <v>ガチャ:デッドマンズ</v>
          </cell>
          <cell r="E480" t="str">
            <v>執行者</v>
          </cell>
          <cell r="F480" t="str">
            <v>格好いい</v>
          </cell>
          <cell r="G480" t="str">
            <v>男性</v>
          </cell>
          <cell r="H480" t="str">
            <v>blue</v>
          </cell>
          <cell r="I480">
            <v>4</v>
          </cell>
          <cell r="J480" t="str">
            <v>PremiumSS</v>
          </cell>
          <cell r="K480" t="str">
            <v>technical</v>
          </cell>
          <cell r="L480" t="str">
            <v>テクニカルタイプ</v>
          </cell>
          <cell r="M480" t="str">
            <v>god</v>
          </cell>
        </row>
        <row r="481">
          <cell r="A481">
            <v>480</v>
          </cell>
          <cell r="B481" t="str">
            <v>ja</v>
          </cell>
          <cell r="C481" t="str">
            <v>夢幻の愚者フール</v>
          </cell>
          <cell r="D481" t="str">
            <v>ガチャ:デッドマンズ</v>
          </cell>
          <cell r="E481" t="str">
            <v>執行者</v>
          </cell>
          <cell r="F481" t="str">
            <v>格好いい</v>
          </cell>
          <cell r="G481" t="str">
            <v>男性</v>
          </cell>
          <cell r="H481" t="str">
            <v>blue</v>
          </cell>
          <cell r="I481">
            <v>5</v>
          </cell>
          <cell r="J481" t="str">
            <v>PremiumSS</v>
          </cell>
          <cell r="K481" t="str">
            <v>technical</v>
          </cell>
          <cell r="L481" t="str">
            <v>テクニカルタイプ</v>
          </cell>
          <cell r="M481" t="str">
            <v>god</v>
          </cell>
        </row>
        <row r="482">
          <cell r="A482">
            <v>481</v>
          </cell>
          <cell r="B482" t="str">
            <v>ja</v>
          </cell>
          <cell r="C482" t="str">
            <v>沢庵宗彭</v>
          </cell>
          <cell r="D482" t="str">
            <v>ガチャ:デッドマンズ</v>
          </cell>
          <cell r="E482" t="str">
            <v>執行者</v>
          </cell>
          <cell r="F482" t="str">
            <v>格好いい</v>
          </cell>
          <cell r="G482" t="str">
            <v>男性</v>
          </cell>
          <cell r="H482" t="str">
            <v>yellow</v>
          </cell>
          <cell r="I482">
            <v>3</v>
          </cell>
          <cell r="J482" t="str">
            <v>PremiumS</v>
          </cell>
          <cell r="K482" t="str">
            <v>hp</v>
          </cell>
          <cell r="L482" t="str">
            <v>体力タイプ</v>
          </cell>
          <cell r="M482" t="str">
            <v>human</v>
          </cell>
        </row>
        <row r="483">
          <cell r="A483">
            <v>482</v>
          </cell>
          <cell r="B483" t="str">
            <v>ja</v>
          </cell>
          <cell r="C483" t="str">
            <v>魁僧 沢庵宗彭</v>
          </cell>
          <cell r="D483" t="str">
            <v>ガチャ:デッドマンズ</v>
          </cell>
          <cell r="E483" t="str">
            <v>執行者</v>
          </cell>
          <cell r="F483" t="str">
            <v>格好いい</v>
          </cell>
          <cell r="G483" t="str">
            <v>男性</v>
          </cell>
          <cell r="H483" t="str">
            <v>yellow</v>
          </cell>
          <cell r="I483">
            <v>4</v>
          </cell>
          <cell r="J483" t="str">
            <v>PremiumS</v>
          </cell>
          <cell r="K483" t="str">
            <v>hp</v>
          </cell>
          <cell r="L483" t="str">
            <v>体力タイプ</v>
          </cell>
          <cell r="M483" t="str">
            <v>human</v>
          </cell>
        </row>
        <row r="484">
          <cell r="A484">
            <v>483</v>
          </cell>
          <cell r="B484" t="str">
            <v>ja</v>
          </cell>
          <cell r="C484" t="str">
            <v xml:space="preserve">命経死遂 沢庵宗彭 </v>
          </cell>
          <cell r="D484" t="str">
            <v>ガチャ:デッドマンズ</v>
          </cell>
          <cell r="E484" t="str">
            <v>執行者</v>
          </cell>
          <cell r="F484" t="str">
            <v>格好いい</v>
          </cell>
          <cell r="G484" t="str">
            <v>男性</v>
          </cell>
          <cell r="H484" t="str">
            <v>yellow</v>
          </cell>
          <cell r="I484">
            <v>5</v>
          </cell>
          <cell r="J484" t="str">
            <v>PremiumS</v>
          </cell>
          <cell r="K484" t="str">
            <v>hp</v>
          </cell>
          <cell r="L484" t="str">
            <v>体力タイプ</v>
          </cell>
          <cell r="M484" t="str">
            <v>human</v>
          </cell>
        </row>
        <row r="485">
          <cell r="A485">
            <v>484</v>
          </cell>
          <cell r="B485" t="str">
            <v>ja</v>
          </cell>
          <cell r="C485" t="str">
            <v>ラグランジュ</v>
          </cell>
          <cell r="D485" t="str">
            <v>ガチャ:フィーバーフェス02</v>
          </cell>
          <cell r="E485" t="str">
            <v>執行者</v>
          </cell>
          <cell r="F485" t="str">
            <v>格好いい</v>
          </cell>
          <cell r="G485" t="str">
            <v>女性</v>
          </cell>
          <cell r="H485" t="str">
            <v>red</v>
          </cell>
          <cell r="I485">
            <v>4</v>
          </cell>
          <cell r="J485" t="str">
            <v>PremiumSSS</v>
          </cell>
          <cell r="K485" t="str">
            <v>technical</v>
          </cell>
          <cell r="L485" t="str">
            <v>テクニカルタイプ</v>
          </cell>
          <cell r="M485" t="str">
            <v>human</v>
          </cell>
        </row>
        <row r="486">
          <cell r="A486">
            <v>485</v>
          </cell>
          <cell r="B486" t="str">
            <v>ja</v>
          </cell>
          <cell r="C486" t="str">
            <v>超越自我 ラグランジュ</v>
          </cell>
          <cell r="D486" t="str">
            <v>ガチャ:フィーバーフェス02</v>
          </cell>
          <cell r="E486" t="str">
            <v>執行者</v>
          </cell>
          <cell r="F486" t="str">
            <v>格好いい</v>
          </cell>
          <cell r="G486" t="str">
            <v>女性</v>
          </cell>
          <cell r="H486" t="str">
            <v>red</v>
          </cell>
          <cell r="I486">
            <v>5</v>
          </cell>
          <cell r="J486" t="str">
            <v>PremiumSSS</v>
          </cell>
          <cell r="K486" t="str">
            <v>technical</v>
          </cell>
          <cell r="L486" t="str">
            <v>テクニカルタイプ</v>
          </cell>
          <cell r="M486" t="str">
            <v>human</v>
          </cell>
        </row>
        <row r="487">
          <cell r="A487">
            <v>486</v>
          </cell>
          <cell r="B487" t="str">
            <v>ja</v>
          </cell>
          <cell r="C487" t="str">
            <v>重なる世解 シュレディンガー</v>
          </cell>
          <cell r="D487" t="str">
            <v>ガチャ:赤フェス01</v>
          </cell>
          <cell r="E487" t="str">
            <v>執行者</v>
          </cell>
          <cell r="F487" t="str">
            <v>格好いい</v>
          </cell>
          <cell r="G487" t="str">
            <v>男性</v>
          </cell>
          <cell r="H487" t="str">
            <v>red</v>
          </cell>
          <cell r="I487">
            <v>5</v>
          </cell>
          <cell r="J487" t="str">
            <v>PremiumSSS</v>
          </cell>
          <cell r="K487" t="str">
            <v>balance</v>
          </cell>
          <cell r="L487" t="str">
            <v>バランスタイプ</v>
          </cell>
          <cell r="M487" t="str">
            <v>animal</v>
          </cell>
        </row>
        <row r="488">
          <cell r="A488">
            <v>487</v>
          </cell>
          <cell r="B488" t="str">
            <v>ja</v>
          </cell>
          <cell r="C488" t="str">
            <v>暴創の造物 チューリング</v>
          </cell>
          <cell r="D488" t="str">
            <v>ガチャ:緑フェス01</v>
          </cell>
          <cell r="E488" t="str">
            <v>執行者</v>
          </cell>
          <cell r="F488" t="str">
            <v>格好いい</v>
          </cell>
          <cell r="G488" t="str">
            <v>女性</v>
          </cell>
          <cell r="H488" t="str">
            <v>green</v>
          </cell>
          <cell r="I488">
            <v>5</v>
          </cell>
          <cell r="J488" t="str">
            <v>PremiumSSS</v>
          </cell>
          <cell r="K488" t="str">
            <v>hp</v>
          </cell>
          <cell r="L488" t="str">
            <v>体力タイプ</v>
          </cell>
          <cell r="M488" t="str">
            <v>human</v>
          </cell>
        </row>
        <row r="489">
          <cell r="A489">
            <v>488</v>
          </cell>
          <cell r="B489" t="str">
            <v>ja</v>
          </cell>
          <cell r="C489" t="str">
            <v>直観の異論 ヘンペル</v>
          </cell>
          <cell r="D489" t="str">
            <v>ガチャ:青フェス01</v>
          </cell>
          <cell r="E489" t="str">
            <v>執行者</v>
          </cell>
          <cell r="F489" t="str">
            <v>格好いい</v>
          </cell>
          <cell r="G489" t="str">
            <v>男性</v>
          </cell>
          <cell r="H489" t="str">
            <v>blue</v>
          </cell>
          <cell r="I489">
            <v>5</v>
          </cell>
          <cell r="J489" t="str">
            <v>PremiumSSS</v>
          </cell>
          <cell r="K489" t="str">
            <v>technical</v>
          </cell>
          <cell r="L489" t="str">
            <v>テクニカルタイプ</v>
          </cell>
          <cell r="M489" t="str">
            <v>human</v>
          </cell>
        </row>
        <row r="490">
          <cell r="A490">
            <v>489</v>
          </cell>
          <cell r="B490" t="str">
            <v>ja</v>
          </cell>
          <cell r="C490" t="str">
            <v>宇宙の拡超 ハップル</v>
          </cell>
          <cell r="D490" t="str">
            <v>ガチャ:黄フェス01</v>
          </cell>
          <cell r="E490" t="str">
            <v>執行者</v>
          </cell>
          <cell r="F490" t="str">
            <v>格好いい</v>
          </cell>
          <cell r="G490" t="str">
            <v>女性</v>
          </cell>
          <cell r="H490" t="str">
            <v>yellow</v>
          </cell>
          <cell r="I490">
            <v>5</v>
          </cell>
          <cell r="J490" t="str">
            <v>PremiumSSS</v>
          </cell>
          <cell r="K490" t="str">
            <v>technical</v>
          </cell>
          <cell r="L490" t="str">
            <v>テクニカルタイプ</v>
          </cell>
          <cell r="M490" t="str">
            <v>human</v>
          </cell>
        </row>
        <row r="491">
          <cell r="A491">
            <v>490</v>
          </cell>
          <cell r="B491" t="str">
            <v>ja</v>
          </cell>
          <cell r="C491" t="str">
            <v>グリム</v>
          </cell>
          <cell r="D491" t="str">
            <v>イベント:ウィザード</v>
          </cell>
          <cell r="E491" t="str">
            <v>執行者</v>
          </cell>
          <cell r="F491" t="str">
            <v>格好いい</v>
          </cell>
          <cell r="G491" t="str">
            <v>男性</v>
          </cell>
          <cell r="H491" t="str">
            <v>green</v>
          </cell>
          <cell r="I491">
            <v>4</v>
          </cell>
          <cell r="J491" t="str">
            <v>DropWizS</v>
          </cell>
          <cell r="K491" t="str">
            <v>balance</v>
          </cell>
          <cell r="L491" t="str">
            <v>バランスタイプ</v>
          </cell>
          <cell r="M491" t="str">
            <v>human</v>
          </cell>
        </row>
        <row r="492">
          <cell r="A492">
            <v>491</v>
          </cell>
          <cell r="B492" t="str">
            <v>ja</v>
          </cell>
          <cell r="C492" t="str">
            <v>収魂の群影 グリム</v>
          </cell>
          <cell r="D492" t="str">
            <v>イベント:ウィザード</v>
          </cell>
          <cell r="E492" t="str">
            <v>執行者</v>
          </cell>
          <cell r="F492" t="str">
            <v>格好いい</v>
          </cell>
          <cell r="G492" t="str">
            <v>男性</v>
          </cell>
          <cell r="H492" t="str">
            <v>green</v>
          </cell>
          <cell r="I492">
            <v>5</v>
          </cell>
          <cell r="J492" t="str">
            <v>DropWizS</v>
          </cell>
          <cell r="K492" t="str">
            <v>balance</v>
          </cell>
          <cell r="L492" t="str">
            <v>バランスタイプ</v>
          </cell>
          <cell r="M492" t="str">
            <v>human</v>
          </cell>
        </row>
        <row r="493">
          <cell r="A493">
            <v>492</v>
          </cell>
          <cell r="B493" t="str">
            <v>ja</v>
          </cell>
          <cell r="C493" t="str">
            <v>ブートレグ・ペロー</v>
          </cell>
          <cell r="D493" t="str">
            <v>ガチャ:アリスの絵本02</v>
          </cell>
          <cell r="E493" t="str">
            <v>執行者</v>
          </cell>
          <cell r="F493" t="str">
            <v>格好いい</v>
          </cell>
          <cell r="G493" t="str">
            <v>不明</v>
          </cell>
          <cell r="H493" t="str">
            <v>red</v>
          </cell>
          <cell r="I493">
            <v>4</v>
          </cell>
          <cell r="J493" t="str">
            <v>PremiumSS</v>
          </cell>
          <cell r="K493" t="str">
            <v>hp</v>
          </cell>
          <cell r="L493" t="str">
            <v>体力タイプ</v>
          </cell>
          <cell r="M493" t="str">
            <v>animal</v>
          </cell>
        </row>
        <row r="494">
          <cell r="A494">
            <v>493</v>
          </cell>
          <cell r="B494" t="str">
            <v>ja</v>
          </cell>
          <cell r="C494" t="str">
            <v>跋扈の機脚 ブートレグ・ペロー</v>
          </cell>
          <cell r="D494" t="str">
            <v>ガチャ:アリスの絵本02</v>
          </cell>
          <cell r="E494" t="str">
            <v>執行者</v>
          </cell>
          <cell r="F494" t="str">
            <v>格好いい</v>
          </cell>
          <cell r="G494" t="str">
            <v>不明</v>
          </cell>
          <cell r="H494" t="str">
            <v>red</v>
          </cell>
          <cell r="I494">
            <v>5</v>
          </cell>
          <cell r="J494" t="str">
            <v>PremiumSS</v>
          </cell>
          <cell r="K494" t="str">
            <v>hp</v>
          </cell>
          <cell r="L494" t="str">
            <v>体力タイプ</v>
          </cell>
          <cell r="M494" t="str">
            <v>animal</v>
          </cell>
        </row>
        <row r="495">
          <cell r="A495">
            <v>494</v>
          </cell>
          <cell r="B495" t="str">
            <v>ja</v>
          </cell>
          <cell r="C495" t="str">
            <v>ハーメルン</v>
          </cell>
          <cell r="D495" t="str">
            <v>ガチャ:アリスの絵本02</v>
          </cell>
          <cell r="E495" t="str">
            <v>執行者</v>
          </cell>
          <cell r="F495" t="str">
            <v>格好いい</v>
          </cell>
          <cell r="G495" t="str">
            <v>男性</v>
          </cell>
          <cell r="H495" t="str">
            <v>green</v>
          </cell>
          <cell r="I495">
            <v>4</v>
          </cell>
          <cell r="J495" t="str">
            <v>PremiumSS</v>
          </cell>
          <cell r="K495" t="str">
            <v>technical</v>
          </cell>
          <cell r="L495" t="str">
            <v>テクニカルタイプ</v>
          </cell>
          <cell r="M495" t="str">
            <v>human</v>
          </cell>
        </row>
        <row r="496">
          <cell r="A496">
            <v>495</v>
          </cell>
          <cell r="B496" t="str">
            <v>ja</v>
          </cell>
          <cell r="C496" t="str">
            <v>鼠災呼ぶ笛音 ハーメルン</v>
          </cell>
          <cell r="D496" t="str">
            <v>ガチャ:アリスの絵本02</v>
          </cell>
          <cell r="E496" t="str">
            <v>執行者</v>
          </cell>
          <cell r="F496" t="str">
            <v>格好いい</v>
          </cell>
          <cell r="G496" t="str">
            <v>男性</v>
          </cell>
          <cell r="H496" t="str">
            <v>green</v>
          </cell>
          <cell r="I496">
            <v>5</v>
          </cell>
          <cell r="J496" t="str">
            <v>PremiumSS</v>
          </cell>
          <cell r="K496" t="str">
            <v>technical</v>
          </cell>
          <cell r="L496" t="str">
            <v>テクニカルタイプ</v>
          </cell>
          <cell r="M496" t="str">
            <v>human</v>
          </cell>
        </row>
        <row r="497">
          <cell r="A497">
            <v>496</v>
          </cell>
          <cell r="B497" t="str">
            <v>ja</v>
          </cell>
          <cell r="C497" t="str">
            <v>エスタブ</v>
          </cell>
          <cell r="D497" t="str">
            <v>ガチャ:アリスの絵本02</v>
          </cell>
          <cell r="E497" t="str">
            <v>執行者</v>
          </cell>
          <cell r="F497" t="str">
            <v>格好いい</v>
          </cell>
          <cell r="G497" t="str">
            <v>男性</v>
          </cell>
          <cell r="H497" t="str">
            <v>blue</v>
          </cell>
          <cell r="I497">
            <v>3</v>
          </cell>
          <cell r="J497" t="str">
            <v>PremiumS</v>
          </cell>
          <cell r="K497" t="str">
            <v>attack</v>
          </cell>
          <cell r="L497" t="str">
            <v>攻撃タイプ</v>
          </cell>
          <cell r="M497" t="str">
            <v>human</v>
          </cell>
        </row>
        <row r="498">
          <cell r="A498">
            <v>497</v>
          </cell>
          <cell r="B498" t="str">
            <v>ja</v>
          </cell>
          <cell r="C498" t="str">
            <v>偏愛の野獣 エスタブ</v>
          </cell>
          <cell r="D498" t="str">
            <v>ガチャ:アリスの絵本02</v>
          </cell>
          <cell r="E498" t="str">
            <v>執行者</v>
          </cell>
          <cell r="F498" t="str">
            <v>格好いい</v>
          </cell>
          <cell r="G498" t="str">
            <v>男性</v>
          </cell>
          <cell r="H498" t="str">
            <v>blue</v>
          </cell>
          <cell r="I498">
            <v>4</v>
          </cell>
          <cell r="J498" t="str">
            <v>PremiumS</v>
          </cell>
          <cell r="K498" t="str">
            <v>attack</v>
          </cell>
          <cell r="L498" t="str">
            <v>攻撃タイプ</v>
          </cell>
          <cell r="M498" t="str">
            <v>human</v>
          </cell>
        </row>
        <row r="499">
          <cell r="A499">
            <v>498</v>
          </cell>
          <cell r="B499" t="str">
            <v>ja</v>
          </cell>
          <cell r="C499" t="str">
            <v>自愛の高魔 エスタブ</v>
          </cell>
          <cell r="D499" t="str">
            <v>ガチャ:アリスの絵本02</v>
          </cell>
          <cell r="E499" t="str">
            <v>執行者</v>
          </cell>
          <cell r="F499" t="str">
            <v>格好いい</v>
          </cell>
          <cell r="G499" t="str">
            <v>男性</v>
          </cell>
          <cell r="H499" t="str">
            <v>blue</v>
          </cell>
          <cell r="I499">
            <v>5</v>
          </cell>
          <cell r="J499" t="str">
            <v>PremiumS</v>
          </cell>
          <cell r="K499" t="str">
            <v>attack</v>
          </cell>
          <cell r="L499" t="str">
            <v>攻撃タイプ</v>
          </cell>
          <cell r="M499" t="str">
            <v>human</v>
          </cell>
        </row>
        <row r="500">
          <cell r="A500">
            <v>499</v>
          </cell>
          <cell r="B500" t="str">
            <v>ja</v>
          </cell>
          <cell r="C500" t="str">
            <v>ラプンツェル</v>
          </cell>
          <cell r="D500" t="str">
            <v>ガチャ:アリスの絵本02</v>
          </cell>
          <cell r="E500" t="str">
            <v>執行者</v>
          </cell>
          <cell r="F500" t="str">
            <v>格好いい</v>
          </cell>
          <cell r="G500" t="str">
            <v>女性</v>
          </cell>
          <cell r="H500" t="str">
            <v>yellow</v>
          </cell>
          <cell r="I500">
            <v>4</v>
          </cell>
          <cell r="J500" t="str">
            <v>PremiumSS</v>
          </cell>
          <cell r="K500" t="str">
            <v>balance</v>
          </cell>
          <cell r="L500" t="str">
            <v>バランスタイプ</v>
          </cell>
          <cell r="M500" t="str">
            <v>human</v>
          </cell>
        </row>
        <row r="501">
          <cell r="A501">
            <v>500</v>
          </cell>
          <cell r="B501" t="str">
            <v>ja</v>
          </cell>
          <cell r="C501" t="str">
            <v>脈動の禁髪 ラプンツェル</v>
          </cell>
          <cell r="D501" t="str">
            <v>ガチャ:アリスの絵本02</v>
          </cell>
          <cell r="E501" t="str">
            <v>執行者</v>
          </cell>
          <cell r="F501" t="str">
            <v>格好いい</v>
          </cell>
          <cell r="G501" t="str">
            <v>女性</v>
          </cell>
          <cell r="H501" t="str">
            <v>yellow</v>
          </cell>
          <cell r="I501">
            <v>5</v>
          </cell>
          <cell r="J501" t="str">
            <v>PremiumSS</v>
          </cell>
          <cell r="K501" t="str">
            <v>balance</v>
          </cell>
          <cell r="L501" t="str">
            <v>バランスタイプ</v>
          </cell>
          <cell r="M501" t="str">
            <v>human</v>
          </cell>
        </row>
        <row r="502">
          <cell r="A502">
            <v>501</v>
          </cell>
          <cell r="B502" t="str">
            <v>ja</v>
          </cell>
          <cell r="C502" t="str">
            <v>ラプンツェルじゃなくなった</v>
          </cell>
          <cell r="D502" t="str">
            <v>未定</v>
          </cell>
          <cell r="E502" t="str">
            <v>執行者</v>
          </cell>
          <cell r="F502" t="str">
            <v>格好いい</v>
          </cell>
          <cell r="G502" t="str">
            <v>未定</v>
          </cell>
          <cell r="H502" t="str">
            <v>yellow</v>
          </cell>
          <cell r="I502">
            <v>5</v>
          </cell>
          <cell r="J502" t="str">
            <v>PremiumSS</v>
          </cell>
          <cell r="K502" t="str">
            <v>balance</v>
          </cell>
          <cell r="L502" t="str">
            <v>バランスタイプ</v>
          </cell>
          <cell r="M502" t="str">
            <v>human</v>
          </cell>
        </row>
        <row r="503">
          <cell r="A503">
            <v>502</v>
          </cell>
          <cell r="B503" t="str">
            <v>ja</v>
          </cell>
          <cell r="C503" t="str">
            <v>テラベル</v>
          </cell>
          <cell r="D503" t="str">
            <v>イベント:アリスの絵本03</v>
          </cell>
          <cell r="E503" t="str">
            <v>執行者</v>
          </cell>
          <cell r="F503" t="str">
            <v>格好いい</v>
          </cell>
          <cell r="G503" t="str">
            <v>女性</v>
          </cell>
          <cell r="H503" t="str">
            <v>red</v>
          </cell>
          <cell r="I503">
            <v>4</v>
          </cell>
          <cell r="J503" t="str">
            <v>Drop2N</v>
          </cell>
          <cell r="K503" t="str">
            <v>attack</v>
          </cell>
          <cell r="L503" t="str">
            <v>攻撃タイプ</v>
          </cell>
          <cell r="M503" t="str">
            <v>human</v>
          </cell>
        </row>
        <row r="504">
          <cell r="A504">
            <v>503</v>
          </cell>
          <cell r="B504" t="str">
            <v>ja</v>
          </cell>
          <cell r="C504" t="str">
            <v>破獣の爆姫 テラベル</v>
          </cell>
          <cell r="D504" t="str">
            <v>イベント:アリスの絵本03</v>
          </cell>
          <cell r="E504" t="str">
            <v>執行者</v>
          </cell>
          <cell r="F504" t="str">
            <v>格好いい</v>
          </cell>
          <cell r="G504" t="str">
            <v>女性</v>
          </cell>
          <cell r="H504" t="str">
            <v>red</v>
          </cell>
          <cell r="I504">
            <v>5</v>
          </cell>
          <cell r="J504" t="str">
            <v>Drop2N</v>
          </cell>
          <cell r="K504" t="str">
            <v>attack</v>
          </cell>
          <cell r="L504" t="str">
            <v>攻撃タイプ</v>
          </cell>
          <cell r="M504" t="str">
            <v>human</v>
          </cell>
        </row>
        <row r="505">
          <cell r="A505">
            <v>504</v>
          </cell>
          <cell r="B505" t="str">
            <v>ja</v>
          </cell>
          <cell r="C505" t="str">
            <v>ハイディン・オーガ</v>
          </cell>
          <cell r="D505" t="str">
            <v>イベント:アリスの絵本03</v>
          </cell>
          <cell r="E505" t="str">
            <v>執行者</v>
          </cell>
          <cell r="F505" t="str">
            <v>格好いい</v>
          </cell>
          <cell r="G505" t="str">
            <v>不明</v>
          </cell>
          <cell r="H505" t="str">
            <v>green</v>
          </cell>
          <cell r="I505">
            <v>4</v>
          </cell>
          <cell r="J505" t="str">
            <v>Drop2N</v>
          </cell>
          <cell r="K505" t="str">
            <v>attack</v>
          </cell>
          <cell r="L505" t="str">
            <v>攻撃タイプ</v>
          </cell>
          <cell r="M505" t="str">
            <v>animal</v>
          </cell>
        </row>
        <row r="506">
          <cell r="A506">
            <v>505</v>
          </cell>
          <cell r="B506" t="str">
            <v>ja</v>
          </cell>
          <cell r="C506" t="str">
            <v>暴虐の漏洩 ハイディン・オーガ</v>
          </cell>
          <cell r="D506" t="str">
            <v>イベント:アリスの絵本03</v>
          </cell>
          <cell r="E506" t="str">
            <v>執行者</v>
          </cell>
          <cell r="F506" t="str">
            <v>格好いい</v>
          </cell>
          <cell r="G506" t="str">
            <v>不明</v>
          </cell>
          <cell r="H506" t="str">
            <v>green</v>
          </cell>
          <cell r="I506">
            <v>5</v>
          </cell>
          <cell r="J506" t="str">
            <v>Drop2N</v>
          </cell>
          <cell r="K506" t="str">
            <v>attack</v>
          </cell>
          <cell r="L506" t="str">
            <v>攻撃タイプ</v>
          </cell>
          <cell r="M506" t="str">
            <v>animal</v>
          </cell>
        </row>
        <row r="507">
          <cell r="A507">
            <v>506</v>
          </cell>
          <cell r="B507" t="str">
            <v>ja</v>
          </cell>
          <cell r="C507" t="str">
            <v>ゴーテル</v>
          </cell>
          <cell r="D507" t="str">
            <v>イベント:アリスの絵本03</v>
          </cell>
          <cell r="E507" t="str">
            <v>執行者</v>
          </cell>
          <cell r="F507" t="str">
            <v>格好いい</v>
          </cell>
          <cell r="G507" t="str">
            <v>女性</v>
          </cell>
          <cell r="H507" t="str">
            <v>blue</v>
          </cell>
          <cell r="I507">
            <v>4</v>
          </cell>
          <cell r="J507" t="str">
            <v>Drop2N</v>
          </cell>
          <cell r="K507" t="str">
            <v>technical</v>
          </cell>
          <cell r="L507" t="str">
            <v>テクニカルタイプ</v>
          </cell>
          <cell r="M507" t="str">
            <v>human</v>
          </cell>
        </row>
        <row r="508">
          <cell r="A508">
            <v>507</v>
          </cell>
          <cell r="B508" t="str">
            <v>ja</v>
          </cell>
          <cell r="C508" t="str">
            <v>過保護な幽閉者 ゴーテル</v>
          </cell>
          <cell r="D508" t="str">
            <v>イベント:アリスの絵本03</v>
          </cell>
          <cell r="E508" t="str">
            <v>執行者</v>
          </cell>
          <cell r="F508" t="str">
            <v>格好いい</v>
          </cell>
          <cell r="G508" t="str">
            <v>女性</v>
          </cell>
          <cell r="H508" t="str">
            <v>blue</v>
          </cell>
          <cell r="I508">
            <v>5</v>
          </cell>
          <cell r="J508" t="str">
            <v>Drop2N</v>
          </cell>
          <cell r="K508" t="str">
            <v>technical</v>
          </cell>
          <cell r="L508" t="str">
            <v>テクニカルタイプ</v>
          </cell>
          <cell r="M508" t="str">
            <v>human</v>
          </cell>
        </row>
        <row r="509">
          <cell r="A509">
            <v>508</v>
          </cell>
          <cell r="B509" t="str">
            <v>ja</v>
          </cell>
          <cell r="C509" t="str">
            <v>Gスター・チルドレン</v>
          </cell>
          <cell r="D509" t="str">
            <v>イベント:アリスの絵本03</v>
          </cell>
          <cell r="E509" t="str">
            <v>執行者</v>
          </cell>
          <cell r="F509" t="str">
            <v>格好いい</v>
          </cell>
          <cell r="G509" t="str">
            <v>不明</v>
          </cell>
          <cell r="H509" t="str">
            <v>yellow</v>
          </cell>
          <cell r="I509">
            <v>4</v>
          </cell>
          <cell r="J509" t="str">
            <v>Drop2N</v>
          </cell>
          <cell r="K509" t="str">
            <v>hp</v>
          </cell>
          <cell r="L509" t="str">
            <v>体力タイプ</v>
          </cell>
          <cell r="M509" t="str">
            <v>unknown</v>
          </cell>
        </row>
        <row r="510">
          <cell r="A510">
            <v>509</v>
          </cell>
          <cell r="B510" t="str">
            <v>ja</v>
          </cell>
          <cell r="C510" t="str">
            <v>純粋悪意 Gスター・チルドレン</v>
          </cell>
          <cell r="D510" t="str">
            <v>イベント:アリスの絵本03</v>
          </cell>
          <cell r="E510" t="str">
            <v>執行者</v>
          </cell>
          <cell r="F510" t="str">
            <v>格好いい</v>
          </cell>
          <cell r="G510" t="str">
            <v>不明</v>
          </cell>
          <cell r="H510" t="str">
            <v>yellow</v>
          </cell>
          <cell r="I510">
            <v>5</v>
          </cell>
          <cell r="J510" t="str">
            <v>Drop2N</v>
          </cell>
          <cell r="K510" t="str">
            <v>hp</v>
          </cell>
          <cell r="L510" t="str">
            <v>体力タイプ</v>
          </cell>
          <cell r="M510" t="str">
            <v>unknown</v>
          </cell>
        </row>
        <row r="511">
          <cell r="A511">
            <v>510</v>
          </cell>
          <cell r="B511" t="str">
            <v>ja</v>
          </cell>
          <cell r="C511" t="str">
            <v>燃えさかる豪息 ヒュウガ</v>
          </cell>
          <cell r="D511" t="str">
            <v>ノーマルクエスト</v>
          </cell>
          <cell r="E511" t="str">
            <v>執行者</v>
          </cell>
          <cell r="F511" t="str">
            <v>格好いい</v>
          </cell>
          <cell r="G511" t="str">
            <v>不明</v>
          </cell>
          <cell r="H511" t="str">
            <v>red</v>
          </cell>
          <cell r="I511">
            <v>4</v>
          </cell>
          <cell r="J511" t="str">
            <v>Drop2N</v>
          </cell>
          <cell r="K511" t="str">
            <v>attack</v>
          </cell>
          <cell r="L511" t="str">
            <v>攻撃タイプ</v>
          </cell>
          <cell r="M511" t="str">
            <v>dragon</v>
          </cell>
        </row>
        <row r="512">
          <cell r="A512">
            <v>511</v>
          </cell>
          <cell r="B512" t="str">
            <v>ja</v>
          </cell>
          <cell r="C512" t="str">
            <v>灼き尽くす紅息 ヒュウガ・レアル</v>
          </cell>
          <cell r="D512" t="str">
            <v>ノーマルクエスト</v>
          </cell>
          <cell r="E512" t="str">
            <v>執行者</v>
          </cell>
          <cell r="F512" t="str">
            <v>格好いい</v>
          </cell>
          <cell r="G512" t="str">
            <v>男性</v>
          </cell>
          <cell r="H512" t="str">
            <v>red</v>
          </cell>
          <cell r="I512">
            <v>5</v>
          </cell>
          <cell r="J512" t="str">
            <v>Drop2N</v>
          </cell>
          <cell r="K512" t="str">
            <v>attack</v>
          </cell>
          <cell r="L512" t="str">
            <v>攻撃タイプ</v>
          </cell>
          <cell r="M512" t="str">
            <v>dragon</v>
          </cell>
        </row>
        <row r="513">
          <cell r="A513">
            <v>512</v>
          </cell>
          <cell r="B513" t="str">
            <v>ja</v>
          </cell>
          <cell r="C513" t="str">
            <v>聖火の逆徒 クリスマス・ベリアル</v>
          </cell>
          <cell r="D513" t="str">
            <v>ガチャ:クリスマス2015</v>
          </cell>
          <cell r="E513" t="str">
            <v>執行者</v>
          </cell>
          <cell r="F513" t="str">
            <v>格好いい</v>
          </cell>
          <cell r="G513" t="str">
            <v>男性</v>
          </cell>
          <cell r="H513" t="str">
            <v>red</v>
          </cell>
          <cell r="I513">
            <v>4</v>
          </cell>
          <cell r="J513" t="str">
            <v>PremiumS</v>
          </cell>
          <cell r="K513" t="str">
            <v>attack</v>
          </cell>
          <cell r="L513" t="str">
            <v>攻撃タイプ</v>
          </cell>
          <cell r="M513" t="str">
            <v>god</v>
          </cell>
        </row>
        <row r="514">
          <cell r="A514">
            <v>513</v>
          </cell>
          <cell r="B514" t="str">
            <v>ja</v>
          </cell>
          <cell r="C514" t="str">
            <v>爆進の荷炎 クリスマス・ベリアル</v>
          </cell>
          <cell r="D514" t="str">
            <v>ガチャ:クリスマス2015</v>
          </cell>
          <cell r="E514" t="str">
            <v>執行者</v>
          </cell>
          <cell r="F514" t="str">
            <v>格好いい</v>
          </cell>
          <cell r="G514" t="str">
            <v>男性</v>
          </cell>
          <cell r="H514" t="str">
            <v>red</v>
          </cell>
          <cell r="I514">
            <v>5</v>
          </cell>
          <cell r="J514" t="str">
            <v>PremiumS</v>
          </cell>
          <cell r="K514" t="str">
            <v>attack</v>
          </cell>
          <cell r="L514" t="str">
            <v>攻撃タイプ</v>
          </cell>
          <cell r="M514" t="str">
            <v>god</v>
          </cell>
        </row>
        <row r="515">
          <cell r="A515">
            <v>514</v>
          </cell>
          <cell r="B515" t="str">
            <v>ja</v>
          </cell>
          <cell r="C515" t="str">
            <v>祝宴の識徒 サンタクロース・オセ</v>
          </cell>
          <cell r="D515" t="str">
            <v>ガチャ:クリスマス2015</v>
          </cell>
          <cell r="E515" t="str">
            <v>執行者</v>
          </cell>
          <cell r="F515" t="str">
            <v>格好いい</v>
          </cell>
          <cell r="G515" t="str">
            <v>女性</v>
          </cell>
          <cell r="H515" t="str">
            <v>green</v>
          </cell>
          <cell r="I515">
            <v>4</v>
          </cell>
          <cell r="J515" t="str">
            <v>PremiumS</v>
          </cell>
          <cell r="K515" t="str">
            <v>attack</v>
          </cell>
          <cell r="L515" t="str">
            <v>攻撃タイプ</v>
          </cell>
          <cell r="M515" t="str">
            <v>god</v>
          </cell>
        </row>
        <row r="516">
          <cell r="A516">
            <v>515</v>
          </cell>
          <cell r="B516" t="str">
            <v>ja</v>
          </cell>
          <cell r="C516" t="str">
            <v>聖夜の贈主 サンタクロース・オセ</v>
          </cell>
          <cell r="D516" t="str">
            <v>ガチャ:クリスマス2015</v>
          </cell>
          <cell r="E516" t="str">
            <v>執行者</v>
          </cell>
          <cell r="F516" t="str">
            <v>格好いい</v>
          </cell>
          <cell r="G516" t="str">
            <v>女性</v>
          </cell>
          <cell r="H516" t="str">
            <v>green</v>
          </cell>
          <cell r="I516">
            <v>5</v>
          </cell>
          <cell r="J516" t="str">
            <v>PremiumS</v>
          </cell>
          <cell r="K516" t="str">
            <v>attack</v>
          </cell>
          <cell r="L516" t="str">
            <v>攻撃タイプ</v>
          </cell>
          <cell r="M516" t="str">
            <v>god</v>
          </cell>
        </row>
        <row r="517">
          <cell r="A517">
            <v>516</v>
          </cell>
          <cell r="B517" t="str">
            <v>ja</v>
          </cell>
          <cell r="C517" t="str">
            <v>聖母 マリア</v>
          </cell>
          <cell r="D517" t="str">
            <v>ガチャ:クリスマス2015</v>
          </cell>
          <cell r="E517" t="str">
            <v>執行者</v>
          </cell>
          <cell r="F517" t="str">
            <v>格好いい</v>
          </cell>
          <cell r="G517" t="str">
            <v>女性</v>
          </cell>
          <cell r="H517" t="str">
            <v>blue</v>
          </cell>
          <cell r="I517">
            <v>4</v>
          </cell>
          <cell r="J517" t="str">
            <v>PremiumSS</v>
          </cell>
          <cell r="K517" t="str">
            <v>heal</v>
          </cell>
          <cell r="L517" t="str">
            <v>回復タイプ</v>
          </cell>
          <cell r="M517" t="str">
            <v>human</v>
          </cell>
        </row>
        <row r="518">
          <cell r="A518">
            <v>517</v>
          </cell>
          <cell r="B518" t="str">
            <v>ja</v>
          </cell>
          <cell r="C518" t="str">
            <v>真冬の誕生祭 マリア</v>
          </cell>
          <cell r="D518" t="str">
            <v>ガチャ:クリスマス2015</v>
          </cell>
          <cell r="E518" t="str">
            <v>執行者</v>
          </cell>
          <cell r="F518" t="str">
            <v>格好いい</v>
          </cell>
          <cell r="G518" t="str">
            <v>女性</v>
          </cell>
          <cell r="H518" t="str">
            <v>blue</v>
          </cell>
          <cell r="I518">
            <v>5</v>
          </cell>
          <cell r="J518" t="str">
            <v>PremiumSS</v>
          </cell>
          <cell r="K518" t="str">
            <v>heal</v>
          </cell>
          <cell r="L518" t="str">
            <v>回復タイプ</v>
          </cell>
          <cell r="M518" t="str">
            <v>human</v>
          </cell>
        </row>
        <row r="519">
          <cell r="A519">
            <v>518</v>
          </cell>
          <cell r="B519" t="str">
            <v>ja</v>
          </cell>
          <cell r="C519" t="str">
            <v>秘来の聖天使 ミカエル</v>
          </cell>
          <cell r="D519" t="str">
            <v>ガチャ:クリスマス2015</v>
          </cell>
          <cell r="E519" t="str">
            <v>執行者</v>
          </cell>
          <cell r="F519" t="str">
            <v>格好いい</v>
          </cell>
          <cell r="G519" t="str">
            <v>女性</v>
          </cell>
          <cell r="H519" t="str">
            <v>yellow</v>
          </cell>
          <cell r="I519">
            <v>4</v>
          </cell>
          <cell r="J519" t="str">
            <v>PremiumS</v>
          </cell>
          <cell r="K519" t="str">
            <v>attack</v>
          </cell>
          <cell r="L519" t="str">
            <v>攻撃タイプ</v>
          </cell>
          <cell r="M519" t="str">
            <v>god</v>
          </cell>
        </row>
        <row r="520">
          <cell r="A520">
            <v>519</v>
          </cell>
          <cell r="B520" t="str">
            <v>ja</v>
          </cell>
          <cell r="C520" t="str">
            <v>夜天の聖天使 ミカエル・ハレルヤ</v>
          </cell>
          <cell r="D520" t="str">
            <v>ガチャ:クリスマス2015</v>
          </cell>
          <cell r="E520" t="str">
            <v>執行者</v>
          </cell>
          <cell r="F520" t="str">
            <v>格好いい</v>
          </cell>
          <cell r="G520" t="str">
            <v>女性</v>
          </cell>
          <cell r="H520" t="str">
            <v>yellow</v>
          </cell>
          <cell r="I520">
            <v>5</v>
          </cell>
          <cell r="J520" t="str">
            <v>PremiumS</v>
          </cell>
          <cell r="K520" t="str">
            <v>attack</v>
          </cell>
          <cell r="L520" t="str">
            <v>攻撃タイプ</v>
          </cell>
          <cell r="M520" t="str">
            <v>god</v>
          </cell>
        </row>
        <row r="521">
          <cell r="A521">
            <v>520</v>
          </cell>
          <cell r="B521" t="str">
            <v>ja</v>
          </cell>
          <cell r="C521" t="str">
            <v>炎のサンタダック</v>
          </cell>
          <cell r="D521" t="str">
            <v>イベント:クリスマス2015</v>
          </cell>
          <cell r="E521" t="str">
            <v>執行者</v>
          </cell>
          <cell r="F521" t="str">
            <v>格好いい</v>
          </cell>
          <cell r="G521" t="str">
            <v>不明</v>
          </cell>
          <cell r="H521" t="str">
            <v>red</v>
          </cell>
          <cell r="I521">
            <v>5</v>
          </cell>
          <cell r="J521" t="str">
            <v>Material</v>
          </cell>
          <cell r="K521" t="str">
            <v>exp</v>
          </cell>
          <cell r="L521" t="str">
            <v>強化素材タイプ</v>
          </cell>
          <cell r="M521" t="str">
            <v>unknown</v>
          </cell>
        </row>
        <row r="522">
          <cell r="A522">
            <v>521</v>
          </cell>
          <cell r="B522" t="str">
            <v>ja</v>
          </cell>
          <cell r="C522" t="str">
            <v>森のサンタダック</v>
          </cell>
          <cell r="D522" t="str">
            <v>イベント:クリスマス2015</v>
          </cell>
          <cell r="E522" t="str">
            <v>執行者</v>
          </cell>
          <cell r="F522" t="str">
            <v>格好いい</v>
          </cell>
          <cell r="G522" t="str">
            <v>不明</v>
          </cell>
          <cell r="H522" t="str">
            <v>green</v>
          </cell>
          <cell r="I522">
            <v>5</v>
          </cell>
          <cell r="J522" t="str">
            <v>Material</v>
          </cell>
          <cell r="K522" t="str">
            <v>exp</v>
          </cell>
          <cell r="L522" t="str">
            <v>強化素材タイプ</v>
          </cell>
          <cell r="M522" t="str">
            <v>unknown</v>
          </cell>
        </row>
        <row r="523">
          <cell r="A523">
            <v>522</v>
          </cell>
          <cell r="B523" t="str">
            <v>ja</v>
          </cell>
          <cell r="C523" t="str">
            <v>水のサンタダック</v>
          </cell>
          <cell r="D523" t="str">
            <v>イベント:クリスマス2015</v>
          </cell>
          <cell r="E523" t="str">
            <v>執行者</v>
          </cell>
          <cell r="F523" t="str">
            <v>格好いい</v>
          </cell>
          <cell r="G523" t="str">
            <v>不明</v>
          </cell>
          <cell r="H523" t="str">
            <v>blue</v>
          </cell>
          <cell r="I523">
            <v>5</v>
          </cell>
          <cell r="J523" t="str">
            <v>Material</v>
          </cell>
          <cell r="K523" t="str">
            <v>exp</v>
          </cell>
          <cell r="L523" t="str">
            <v>強化素材タイプ</v>
          </cell>
          <cell r="M523" t="str">
            <v>unknown</v>
          </cell>
        </row>
        <row r="524">
          <cell r="A524">
            <v>523</v>
          </cell>
          <cell r="B524" t="str">
            <v>ja</v>
          </cell>
          <cell r="C524" t="str">
            <v>雷のサンタダック</v>
          </cell>
          <cell r="D524" t="str">
            <v>イベント:クリスマス2015</v>
          </cell>
          <cell r="E524" t="str">
            <v>執行者</v>
          </cell>
          <cell r="F524" t="str">
            <v>格好いい</v>
          </cell>
          <cell r="G524" t="str">
            <v>不明</v>
          </cell>
          <cell r="H524" t="str">
            <v>yellow</v>
          </cell>
          <cell r="I524">
            <v>5</v>
          </cell>
          <cell r="J524" t="str">
            <v>Material</v>
          </cell>
          <cell r="K524" t="str">
            <v>exp</v>
          </cell>
          <cell r="L524" t="str">
            <v>強化素材タイプ</v>
          </cell>
          <cell r="M524" t="str">
            <v>unknown</v>
          </cell>
        </row>
        <row r="525">
          <cell r="A525">
            <v>524</v>
          </cell>
          <cell r="B525" t="str">
            <v>ja</v>
          </cell>
          <cell r="C525" t="str">
            <v>あけおめダック</v>
          </cell>
          <cell r="D525" t="str">
            <v>イベント:お正月2016</v>
          </cell>
          <cell r="E525" t="str">
            <v>執行者</v>
          </cell>
          <cell r="F525" t="str">
            <v>格好いい</v>
          </cell>
          <cell r="G525" t="str">
            <v>不明</v>
          </cell>
          <cell r="H525" t="str">
            <v>yellow</v>
          </cell>
          <cell r="I525">
            <v>6</v>
          </cell>
          <cell r="J525" t="str">
            <v>Material</v>
          </cell>
          <cell r="K525" t="str">
            <v>coin</v>
          </cell>
          <cell r="L525" t="str">
            <v>コインタイプ</v>
          </cell>
          <cell r="M525" t="str">
            <v>unknown</v>
          </cell>
        </row>
        <row r="526">
          <cell r="A526">
            <v>525</v>
          </cell>
          <cell r="B526" t="str">
            <v>ja</v>
          </cell>
          <cell r="C526" t="str">
            <v>ウィンタースポーツ 雪ミク</v>
          </cell>
          <cell r="D526" t="str">
            <v>イベント:ミクコラボ01</v>
          </cell>
          <cell r="E526" t="str">
            <v>執行者</v>
          </cell>
          <cell r="F526" t="str">
            <v>格好いい</v>
          </cell>
          <cell r="G526" t="str">
            <v>女性</v>
          </cell>
          <cell r="H526" t="str">
            <v>blue</v>
          </cell>
          <cell r="I526">
            <v>4</v>
          </cell>
          <cell r="J526" t="str">
            <v>Drop2N</v>
          </cell>
          <cell r="K526" t="str">
            <v>heal</v>
          </cell>
          <cell r="L526" t="str">
            <v>回復タイプ</v>
          </cell>
          <cell r="M526" t="str">
            <v>unknown</v>
          </cell>
        </row>
        <row r="527">
          <cell r="A527">
            <v>526</v>
          </cell>
          <cell r="B527" t="str">
            <v>ja</v>
          </cell>
          <cell r="C527" t="str">
            <v>大滑走 雪ミク&amp;ラビットユキネ</v>
          </cell>
          <cell r="D527" t="str">
            <v>イベント:ミクコラボ01</v>
          </cell>
          <cell r="E527" t="str">
            <v>執行者</v>
          </cell>
          <cell r="F527" t="str">
            <v>格好いい</v>
          </cell>
          <cell r="G527" t="str">
            <v>女性</v>
          </cell>
          <cell r="H527" t="str">
            <v>blue</v>
          </cell>
          <cell r="I527">
            <v>5</v>
          </cell>
          <cell r="J527" t="str">
            <v>Drop2N</v>
          </cell>
          <cell r="K527" t="str">
            <v>heal</v>
          </cell>
          <cell r="L527" t="str">
            <v>回復タイプ</v>
          </cell>
          <cell r="M527" t="str">
            <v>unknown</v>
          </cell>
        </row>
        <row r="528">
          <cell r="A528">
            <v>527</v>
          </cell>
          <cell r="B528" t="str">
            <v>ja</v>
          </cell>
          <cell r="C528" t="str">
            <v>初音ミクV3</v>
          </cell>
          <cell r="D528" t="str">
            <v>イベント:ミクコラボ01</v>
          </cell>
          <cell r="E528" t="str">
            <v>執行者</v>
          </cell>
          <cell r="F528" t="str">
            <v>格好いい</v>
          </cell>
          <cell r="G528" t="str">
            <v>女性</v>
          </cell>
          <cell r="H528" t="str">
            <v>yellow</v>
          </cell>
          <cell r="I528">
            <v>4</v>
          </cell>
          <cell r="J528" t="str">
            <v>DropWizS</v>
          </cell>
          <cell r="K528" t="str">
            <v>balance</v>
          </cell>
          <cell r="L528" t="str">
            <v>バランスタイプ</v>
          </cell>
          <cell r="M528" t="str">
            <v>unknown</v>
          </cell>
        </row>
        <row r="529">
          <cell r="A529">
            <v>528</v>
          </cell>
          <cell r="B529" t="str">
            <v>ja</v>
          </cell>
          <cell r="C529" t="str">
            <v>新世の歌姫 初音ミクV3</v>
          </cell>
          <cell r="D529" t="str">
            <v>イベント:ミクコラボ01</v>
          </cell>
          <cell r="E529" t="str">
            <v>執行者</v>
          </cell>
          <cell r="F529" t="str">
            <v>格好いい</v>
          </cell>
          <cell r="G529" t="str">
            <v>女性</v>
          </cell>
          <cell r="H529" t="str">
            <v>yellow</v>
          </cell>
          <cell r="I529">
            <v>5</v>
          </cell>
          <cell r="J529" t="str">
            <v>DropWizS</v>
          </cell>
          <cell r="K529" t="str">
            <v>balance</v>
          </cell>
          <cell r="L529" t="str">
            <v>バランスタイプ</v>
          </cell>
          <cell r="M529" t="str">
            <v>unknown</v>
          </cell>
        </row>
        <row r="530">
          <cell r="A530">
            <v>529</v>
          </cell>
          <cell r="B530" t="str">
            <v>ja</v>
          </cell>
          <cell r="C530" t="str">
            <v>冬服ジェリー</v>
          </cell>
          <cell r="D530" t="str">
            <v>イベント:ミクコラボ01</v>
          </cell>
          <cell r="E530" t="str">
            <v>執行者</v>
          </cell>
          <cell r="F530" t="str">
            <v>格好いい</v>
          </cell>
          <cell r="G530" t="str">
            <v>不明</v>
          </cell>
          <cell r="H530" t="str">
            <v>red</v>
          </cell>
          <cell r="I530">
            <v>1</v>
          </cell>
          <cell r="J530" t="str">
            <v>Drop1T</v>
          </cell>
          <cell r="K530" t="str">
            <v>attack</v>
          </cell>
          <cell r="L530" t="str">
            <v>攻撃タイプ</v>
          </cell>
          <cell r="M530" t="str">
            <v>unknown</v>
          </cell>
        </row>
        <row r="531">
          <cell r="A531">
            <v>530</v>
          </cell>
          <cell r="B531" t="str">
            <v>ja</v>
          </cell>
          <cell r="C531" t="str">
            <v>冬服ジョー</v>
          </cell>
          <cell r="D531" t="str">
            <v>イベント:ミクコラボ01</v>
          </cell>
          <cell r="E531" t="str">
            <v>執行者</v>
          </cell>
          <cell r="F531" t="str">
            <v>格好いい</v>
          </cell>
          <cell r="G531" t="str">
            <v>不明</v>
          </cell>
          <cell r="H531" t="str">
            <v>green</v>
          </cell>
          <cell r="I531">
            <v>1</v>
          </cell>
          <cell r="J531" t="str">
            <v>Drop1T</v>
          </cell>
          <cell r="K531" t="str">
            <v>balance</v>
          </cell>
          <cell r="L531" t="str">
            <v>バランスタイプ</v>
          </cell>
          <cell r="M531" t="str">
            <v>unknown</v>
          </cell>
        </row>
        <row r="532">
          <cell r="A532">
            <v>531</v>
          </cell>
          <cell r="B532" t="str">
            <v>ja</v>
          </cell>
          <cell r="C532" t="str">
            <v>冬服ポチ</v>
          </cell>
          <cell r="D532" t="str">
            <v>イベント:ミクコラボ01</v>
          </cell>
          <cell r="E532" t="str">
            <v>執行者</v>
          </cell>
          <cell r="F532" t="str">
            <v>格好いい</v>
          </cell>
          <cell r="G532" t="str">
            <v>不明</v>
          </cell>
          <cell r="H532" t="str">
            <v>blue</v>
          </cell>
          <cell r="I532">
            <v>1</v>
          </cell>
          <cell r="J532" t="str">
            <v>Drop1T</v>
          </cell>
          <cell r="K532" t="str">
            <v>heal</v>
          </cell>
          <cell r="L532" t="str">
            <v>回復タイプ</v>
          </cell>
          <cell r="M532" t="str">
            <v>unknown</v>
          </cell>
        </row>
        <row r="533">
          <cell r="A533">
            <v>532</v>
          </cell>
          <cell r="B533" t="str">
            <v>ja</v>
          </cell>
          <cell r="C533" t="str">
            <v>冬服エレキポット</v>
          </cell>
          <cell r="D533" t="str">
            <v>イベント:ミクコラボ01</v>
          </cell>
          <cell r="E533" t="str">
            <v>執行者</v>
          </cell>
          <cell r="F533" t="str">
            <v>格好いい</v>
          </cell>
          <cell r="G533" t="str">
            <v>不明</v>
          </cell>
          <cell r="H533" t="str">
            <v>yellow</v>
          </cell>
          <cell r="I533">
            <v>1</v>
          </cell>
          <cell r="J533" t="str">
            <v>Drop1T</v>
          </cell>
          <cell r="K533" t="str">
            <v>attack</v>
          </cell>
          <cell r="L533" t="str">
            <v>攻撃タイプ</v>
          </cell>
          <cell r="M533" t="str">
            <v>unknown</v>
          </cell>
        </row>
        <row r="534">
          <cell r="A534">
            <v>533</v>
          </cell>
          <cell r="B534" t="str">
            <v>ja</v>
          </cell>
          <cell r="C534" t="str">
            <v>冬服アカネ</v>
          </cell>
          <cell r="D534" t="str">
            <v>イベント:ミクコラボ01</v>
          </cell>
          <cell r="E534" t="str">
            <v>執行者</v>
          </cell>
          <cell r="F534" t="str">
            <v>格好いい</v>
          </cell>
          <cell r="G534" t="str">
            <v>不明</v>
          </cell>
          <cell r="H534" t="str">
            <v>red</v>
          </cell>
          <cell r="I534">
            <v>1</v>
          </cell>
          <cell r="J534" t="str">
            <v>Drop1W</v>
          </cell>
          <cell r="K534" t="str">
            <v>balance</v>
          </cell>
          <cell r="L534" t="str">
            <v>バランスタイプ</v>
          </cell>
          <cell r="M534" t="str">
            <v>human</v>
          </cell>
        </row>
        <row r="535">
          <cell r="A535">
            <v>534</v>
          </cell>
          <cell r="B535" t="str">
            <v>ja</v>
          </cell>
          <cell r="C535" t="str">
            <v>冬服パトライン</v>
          </cell>
          <cell r="D535" t="str">
            <v>イベント:ミクコラボ01</v>
          </cell>
          <cell r="E535" t="str">
            <v>執行者</v>
          </cell>
          <cell r="F535" t="str">
            <v>格好いい</v>
          </cell>
          <cell r="G535" t="str">
            <v>不明</v>
          </cell>
          <cell r="H535" t="str">
            <v>green</v>
          </cell>
          <cell r="I535">
            <v>1</v>
          </cell>
          <cell r="J535" t="str">
            <v>Drop1W</v>
          </cell>
          <cell r="K535" t="str">
            <v>heal</v>
          </cell>
          <cell r="L535" t="str">
            <v>回復タイプ</v>
          </cell>
          <cell r="M535" t="str">
            <v>machine</v>
          </cell>
        </row>
        <row r="536">
          <cell r="A536">
            <v>535</v>
          </cell>
          <cell r="B536" t="str">
            <v>ja</v>
          </cell>
          <cell r="C536" t="str">
            <v>冬服リム</v>
          </cell>
          <cell r="D536" t="str">
            <v>イベント:ミクコラボ01</v>
          </cell>
          <cell r="E536" t="str">
            <v>執行者</v>
          </cell>
          <cell r="F536" t="str">
            <v>格好いい</v>
          </cell>
          <cell r="G536" t="str">
            <v>不明</v>
          </cell>
          <cell r="H536" t="str">
            <v>blue</v>
          </cell>
          <cell r="I536">
            <v>1</v>
          </cell>
          <cell r="J536" t="str">
            <v>Drop1W</v>
          </cell>
          <cell r="K536" t="str">
            <v>balance</v>
          </cell>
          <cell r="L536" t="str">
            <v>バランスタイプ</v>
          </cell>
          <cell r="M536" t="str">
            <v>human</v>
          </cell>
        </row>
        <row r="537">
          <cell r="A537">
            <v>536</v>
          </cell>
          <cell r="B537" t="str">
            <v>ja</v>
          </cell>
          <cell r="C537" t="str">
            <v>冬服ミミ</v>
          </cell>
          <cell r="D537" t="str">
            <v>イベント:ミクコラボ01</v>
          </cell>
          <cell r="E537" t="str">
            <v>執行者</v>
          </cell>
          <cell r="F537" t="str">
            <v>格好いい</v>
          </cell>
          <cell r="G537" t="str">
            <v>不明</v>
          </cell>
          <cell r="H537" t="str">
            <v>yellow</v>
          </cell>
          <cell r="I537">
            <v>1</v>
          </cell>
          <cell r="J537" t="str">
            <v>Drop1W</v>
          </cell>
          <cell r="K537" t="str">
            <v>attack</v>
          </cell>
          <cell r="L537" t="str">
            <v>攻撃タイプ</v>
          </cell>
          <cell r="M537" t="str">
            <v>animal</v>
          </cell>
        </row>
        <row r="538">
          <cell r="A538">
            <v>537</v>
          </cell>
          <cell r="B538" t="str">
            <v>ja</v>
          </cell>
          <cell r="C538" t="str">
            <v>冬服ハッピー100</v>
          </cell>
          <cell r="D538" t="str">
            <v>イベント:ミクコラボ01</v>
          </cell>
          <cell r="E538" t="str">
            <v>執行者</v>
          </cell>
          <cell r="F538" t="str">
            <v>格好いい</v>
          </cell>
          <cell r="G538" t="str">
            <v>女性</v>
          </cell>
          <cell r="H538" t="str">
            <v>green</v>
          </cell>
          <cell r="I538">
            <v>3</v>
          </cell>
          <cell r="J538" t="str">
            <v>DropWizW</v>
          </cell>
          <cell r="K538" t="str">
            <v>heal</v>
          </cell>
          <cell r="L538" t="str">
            <v>回復タイプ</v>
          </cell>
          <cell r="M538" t="str">
            <v>unknown</v>
          </cell>
        </row>
        <row r="539">
          <cell r="A539">
            <v>538</v>
          </cell>
          <cell r="B539" t="str">
            <v>ja</v>
          </cell>
          <cell r="C539" t="str">
            <v>冬服ニムダ</v>
          </cell>
          <cell r="D539" t="str">
            <v>イベント:ミクコラボ01</v>
          </cell>
          <cell r="E539" t="str">
            <v>執行者</v>
          </cell>
          <cell r="F539" t="str">
            <v>格好いい</v>
          </cell>
          <cell r="G539" t="str">
            <v>女性</v>
          </cell>
          <cell r="H539" t="str">
            <v>yellow</v>
          </cell>
          <cell r="I539">
            <v>3</v>
          </cell>
          <cell r="J539" t="str">
            <v>DropWizW</v>
          </cell>
          <cell r="K539" t="str">
            <v>heal</v>
          </cell>
          <cell r="L539" t="str">
            <v>回復タイプ</v>
          </cell>
          <cell r="M539" t="str">
            <v>unknown</v>
          </cell>
        </row>
        <row r="540">
          <cell r="A540">
            <v>539</v>
          </cell>
          <cell r="B540" t="str">
            <v>ja</v>
          </cell>
          <cell r="C540" t="str">
            <v>初音ミク・アペンド</v>
          </cell>
          <cell r="D540" t="str">
            <v>ガチャ:ミクコラボ01</v>
          </cell>
          <cell r="E540" t="str">
            <v>執行者</v>
          </cell>
          <cell r="F540" t="str">
            <v>格好いい</v>
          </cell>
          <cell r="G540" t="str">
            <v>女性</v>
          </cell>
          <cell r="H540" t="str">
            <v>green</v>
          </cell>
          <cell r="I540">
            <v>4</v>
          </cell>
          <cell r="J540" t="str">
            <v>PremiumSSS</v>
          </cell>
          <cell r="K540" t="str">
            <v>technical</v>
          </cell>
          <cell r="L540" t="str">
            <v>テクニカルタイプ</v>
          </cell>
          <cell r="M540" t="str">
            <v>unknown</v>
          </cell>
        </row>
        <row r="541">
          <cell r="A541">
            <v>540</v>
          </cell>
          <cell r="B541" t="str">
            <v>ja</v>
          </cell>
          <cell r="C541" t="str">
            <v>来訪の歌姫 初音ミク・アペンド</v>
          </cell>
          <cell r="D541" t="str">
            <v>ガチャ:ミクコラボ01</v>
          </cell>
          <cell r="E541" t="str">
            <v>執行者</v>
          </cell>
          <cell r="F541" t="str">
            <v>格好いい</v>
          </cell>
          <cell r="G541" t="str">
            <v>女性</v>
          </cell>
          <cell r="H541" t="str">
            <v>green</v>
          </cell>
          <cell r="I541">
            <v>5</v>
          </cell>
          <cell r="J541" t="str">
            <v>PremiumSSS</v>
          </cell>
          <cell r="K541" t="str">
            <v>technical</v>
          </cell>
          <cell r="L541" t="str">
            <v>テクニカルタイプ</v>
          </cell>
          <cell r="M541" t="str">
            <v>unknown</v>
          </cell>
        </row>
        <row r="542">
          <cell r="A542">
            <v>541</v>
          </cell>
          <cell r="B542" t="str">
            <v>ja</v>
          </cell>
          <cell r="C542" t="str">
            <v>初音ミク</v>
          </cell>
          <cell r="D542" t="str">
            <v>ガチャ:ミクコラボ01</v>
          </cell>
          <cell r="E542" t="str">
            <v>執行者</v>
          </cell>
          <cell r="F542" t="str">
            <v>格好いい</v>
          </cell>
          <cell r="G542" t="str">
            <v>女性</v>
          </cell>
          <cell r="H542" t="str">
            <v>green</v>
          </cell>
          <cell r="I542">
            <v>4</v>
          </cell>
          <cell r="J542" t="str">
            <v>PremiumSSS</v>
          </cell>
          <cell r="K542" t="str">
            <v>balance</v>
          </cell>
          <cell r="L542" t="str">
            <v>バランスタイプ</v>
          </cell>
          <cell r="M542" t="str">
            <v>unknown</v>
          </cell>
        </row>
        <row r="543">
          <cell r="A543">
            <v>542</v>
          </cell>
          <cell r="B543" t="str">
            <v>ja</v>
          </cell>
          <cell r="C543" t="str">
            <v>革命の音撃 初音ミク</v>
          </cell>
          <cell r="D543" t="str">
            <v>ガチャ:ミクコラボ01</v>
          </cell>
          <cell r="E543" t="str">
            <v>執行者</v>
          </cell>
          <cell r="F543" t="str">
            <v>格好いい</v>
          </cell>
          <cell r="G543" t="str">
            <v>女性</v>
          </cell>
          <cell r="H543" t="str">
            <v>green</v>
          </cell>
          <cell r="I543">
            <v>5</v>
          </cell>
          <cell r="J543" t="str">
            <v>PremiumSSS</v>
          </cell>
          <cell r="K543" t="str">
            <v>balance</v>
          </cell>
          <cell r="L543" t="str">
            <v>バランスタイプ</v>
          </cell>
          <cell r="M543" t="str">
            <v>unknown</v>
          </cell>
        </row>
        <row r="544">
          <cell r="A544">
            <v>543</v>
          </cell>
          <cell r="B544" t="str">
            <v>ja</v>
          </cell>
          <cell r="C544" t="str">
            <v>鏡音リン</v>
          </cell>
          <cell r="D544" t="str">
            <v>ガチャ:ミクコラボ01</v>
          </cell>
          <cell r="E544" t="str">
            <v>執行者</v>
          </cell>
          <cell r="F544" t="str">
            <v>格好いい</v>
          </cell>
          <cell r="G544" t="str">
            <v>女性</v>
          </cell>
          <cell r="H544" t="str">
            <v>yellow</v>
          </cell>
          <cell r="I544">
            <v>4</v>
          </cell>
          <cell r="J544" t="str">
            <v>PremiumSS</v>
          </cell>
          <cell r="K544" t="str">
            <v>balance</v>
          </cell>
          <cell r="L544" t="str">
            <v>バランスタイプ</v>
          </cell>
          <cell r="M544" t="str">
            <v>unknown</v>
          </cell>
        </row>
        <row r="545">
          <cell r="A545">
            <v>544</v>
          </cell>
          <cell r="B545" t="str">
            <v>ja</v>
          </cell>
          <cell r="C545" t="str">
            <v>反響の凛音 鏡音リン</v>
          </cell>
          <cell r="D545" t="str">
            <v>ガチャ:ミクコラボ01</v>
          </cell>
          <cell r="E545" t="str">
            <v>執行者</v>
          </cell>
          <cell r="F545" t="str">
            <v>格好いい</v>
          </cell>
          <cell r="G545" t="str">
            <v>女性</v>
          </cell>
          <cell r="H545" t="str">
            <v>yellow</v>
          </cell>
          <cell r="I545">
            <v>5</v>
          </cell>
          <cell r="J545" t="str">
            <v>PremiumSS</v>
          </cell>
          <cell r="K545" t="str">
            <v>balance</v>
          </cell>
          <cell r="L545" t="str">
            <v>バランスタイプ</v>
          </cell>
          <cell r="M545" t="str">
            <v>unknown</v>
          </cell>
        </row>
        <row r="546">
          <cell r="A546">
            <v>545</v>
          </cell>
          <cell r="B546" t="str">
            <v>ja</v>
          </cell>
          <cell r="C546" t="str">
            <v>鏡音レン</v>
          </cell>
          <cell r="D546" t="str">
            <v>ガチャ:ミクコラボ01</v>
          </cell>
          <cell r="E546" t="str">
            <v>執行者</v>
          </cell>
          <cell r="F546" t="str">
            <v>格好いい</v>
          </cell>
          <cell r="G546" t="str">
            <v>男性</v>
          </cell>
          <cell r="H546" t="str">
            <v>yellow</v>
          </cell>
          <cell r="I546">
            <v>4</v>
          </cell>
          <cell r="J546" t="str">
            <v>PremiumSS</v>
          </cell>
          <cell r="K546" t="str">
            <v>heal</v>
          </cell>
          <cell r="L546" t="str">
            <v>回復タイプ</v>
          </cell>
          <cell r="M546" t="str">
            <v>unknown</v>
          </cell>
        </row>
        <row r="547">
          <cell r="A547">
            <v>546</v>
          </cell>
          <cell r="B547" t="str">
            <v>ja</v>
          </cell>
          <cell r="C547" t="str">
            <v>残響の連符 鏡音レン</v>
          </cell>
          <cell r="D547" t="str">
            <v>ガチャ:ミクコラボ01</v>
          </cell>
          <cell r="E547" t="str">
            <v>執行者</v>
          </cell>
          <cell r="F547" t="str">
            <v>格好いい</v>
          </cell>
          <cell r="G547" t="str">
            <v>男性</v>
          </cell>
          <cell r="H547" t="str">
            <v>yellow</v>
          </cell>
          <cell r="I547">
            <v>5</v>
          </cell>
          <cell r="J547" t="str">
            <v>PremiumSS</v>
          </cell>
          <cell r="K547" t="str">
            <v>heal</v>
          </cell>
          <cell r="L547" t="str">
            <v>回復タイプ</v>
          </cell>
          <cell r="M547" t="str">
            <v>unknown</v>
          </cell>
        </row>
        <row r="548">
          <cell r="A548">
            <v>547</v>
          </cell>
          <cell r="B548" t="str">
            <v>ja</v>
          </cell>
          <cell r="C548" t="str">
            <v>巡音ルカ</v>
          </cell>
          <cell r="D548" t="str">
            <v>ガチャ:ミクコラボ01</v>
          </cell>
          <cell r="E548" t="str">
            <v>執行者</v>
          </cell>
          <cell r="F548" t="str">
            <v>格好いい</v>
          </cell>
          <cell r="G548" t="str">
            <v>女性</v>
          </cell>
          <cell r="H548" t="str">
            <v>red</v>
          </cell>
          <cell r="I548">
            <v>3</v>
          </cell>
          <cell r="J548" t="str">
            <v>PremiumS</v>
          </cell>
          <cell r="K548" t="str">
            <v>attack</v>
          </cell>
          <cell r="L548" t="str">
            <v>攻撃タイプ</v>
          </cell>
          <cell r="M548" t="str">
            <v>unknown</v>
          </cell>
        </row>
        <row r="549">
          <cell r="A549">
            <v>548</v>
          </cell>
          <cell r="B549" t="str">
            <v>ja</v>
          </cell>
          <cell r="C549" t="str">
            <v>乱舞の音環 巡音ルカ</v>
          </cell>
          <cell r="D549" t="str">
            <v>ガチャ:ミクコラボ01</v>
          </cell>
          <cell r="E549" t="str">
            <v>執行者</v>
          </cell>
          <cell r="F549" t="str">
            <v>格好いい</v>
          </cell>
          <cell r="G549" t="str">
            <v>女性</v>
          </cell>
          <cell r="H549" t="str">
            <v>red</v>
          </cell>
          <cell r="I549">
            <v>4</v>
          </cell>
          <cell r="J549" t="str">
            <v>PremiumS</v>
          </cell>
          <cell r="K549" t="str">
            <v>attack</v>
          </cell>
          <cell r="L549" t="str">
            <v>攻撃タイプ</v>
          </cell>
          <cell r="M549" t="str">
            <v>unknown</v>
          </cell>
        </row>
        <row r="550">
          <cell r="A550">
            <v>549</v>
          </cell>
          <cell r="B550" t="str">
            <v>ja</v>
          </cell>
          <cell r="C550" t="str">
            <v>MEIKO</v>
          </cell>
          <cell r="D550" t="str">
            <v>ガチャ:ミクコラボ01</v>
          </cell>
          <cell r="E550" t="str">
            <v>執行者</v>
          </cell>
          <cell r="F550" t="str">
            <v>格好いい</v>
          </cell>
          <cell r="G550" t="str">
            <v>女性</v>
          </cell>
          <cell r="H550" t="str">
            <v>red</v>
          </cell>
          <cell r="I550">
            <v>3</v>
          </cell>
          <cell r="J550" t="str">
            <v>PremiumS</v>
          </cell>
          <cell r="K550" t="str">
            <v>hp</v>
          </cell>
          <cell r="L550" t="str">
            <v>体力タイプ</v>
          </cell>
          <cell r="M550" t="str">
            <v>unknown</v>
          </cell>
        </row>
        <row r="551">
          <cell r="A551">
            <v>550</v>
          </cell>
          <cell r="B551" t="str">
            <v>ja</v>
          </cell>
          <cell r="C551" t="str">
            <v>解放の絶唱 MEIKO</v>
          </cell>
          <cell r="D551" t="str">
            <v>ガチャ:ミクコラボ01</v>
          </cell>
          <cell r="E551" t="str">
            <v>執行者</v>
          </cell>
          <cell r="F551" t="str">
            <v>格好いい</v>
          </cell>
          <cell r="G551" t="str">
            <v>女性</v>
          </cell>
          <cell r="H551" t="str">
            <v>red</v>
          </cell>
          <cell r="I551">
            <v>4</v>
          </cell>
          <cell r="J551" t="str">
            <v>PremiumS</v>
          </cell>
          <cell r="K551" t="str">
            <v>hp</v>
          </cell>
          <cell r="L551" t="str">
            <v>体力タイプ</v>
          </cell>
          <cell r="M551" t="str">
            <v>unknown</v>
          </cell>
        </row>
        <row r="552">
          <cell r="A552">
            <v>551</v>
          </cell>
          <cell r="B552" t="str">
            <v>ja</v>
          </cell>
          <cell r="C552" t="str">
            <v>KAITO</v>
          </cell>
          <cell r="D552" t="str">
            <v>ガチャ:ミクコラボ01</v>
          </cell>
          <cell r="E552" t="str">
            <v>執行者</v>
          </cell>
          <cell r="F552" t="str">
            <v>格好いい</v>
          </cell>
          <cell r="G552" t="str">
            <v>男性</v>
          </cell>
          <cell r="H552" t="str">
            <v>blue</v>
          </cell>
          <cell r="I552">
            <v>3</v>
          </cell>
          <cell r="J552" t="str">
            <v>PremiumS</v>
          </cell>
          <cell r="K552" t="str">
            <v>technical</v>
          </cell>
          <cell r="L552" t="str">
            <v>テクニカルタイプ</v>
          </cell>
          <cell r="M552" t="str">
            <v>unknown</v>
          </cell>
        </row>
        <row r="553">
          <cell r="A553">
            <v>552</v>
          </cell>
          <cell r="B553" t="str">
            <v>ja</v>
          </cell>
          <cell r="C553" t="str">
            <v>愉悦の愛唱 KAITO</v>
          </cell>
          <cell r="D553" t="str">
            <v>ガチャ:ミクコラボ01</v>
          </cell>
          <cell r="E553" t="str">
            <v>執行者</v>
          </cell>
          <cell r="F553" t="str">
            <v>格好いい</v>
          </cell>
          <cell r="G553" t="str">
            <v>男性</v>
          </cell>
          <cell r="H553" t="str">
            <v>blue</v>
          </cell>
          <cell r="I553">
            <v>4</v>
          </cell>
          <cell r="J553" t="str">
            <v>PremiumS</v>
          </cell>
          <cell r="K553" t="str">
            <v>technical</v>
          </cell>
          <cell r="L553" t="str">
            <v>テクニカルタイプ</v>
          </cell>
          <cell r="M553" t="str">
            <v>unknown</v>
          </cell>
        </row>
        <row r="554">
          <cell r="A554">
            <v>553</v>
          </cell>
          <cell r="B554" t="str">
            <v>ja</v>
          </cell>
          <cell r="C554" t="str">
            <v>雪ミク2016</v>
          </cell>
          <cell r="D554" t="str">
            <v>イベント:ミクコラボ01</v>
          </cell>
          <cell r="E554" t="str">
            <v>執行者</v>
          </cell>
          <cell r="F554" t="str">
            <v>格好いい</v>
          </cell>
          <cell r="G554" t="str">
            <v>女性</v>
          </cell>
          <cell r="H554" t="str">
            <v>blue</v>
          </cell>
          <cell r="I554">
            <v>4</v>
          </cell>
          <cell r="J554" t="str">
            <v>Drop2N</v>
          </cell>
          <cell r="K554" t="str">
            <v>attack</v>
          </cell>
          <cell r="L554" t="str">
            <v>攻撃タイプ</v>
          </cell>
          <cell r="M554" t="str">
            <v>unknown</v>
          </cell>
        </row>
        <row r="555">
          <cell r="A555">
            <v>554</v>
          </cell>
          <cell r="B555" t="str">
            <v>ja</v>
          </cell>
          <cell r="C555" t="str">
            <v>雪ミク&amp;ラビット・ユキネ2016</v>
          </cell>
          <cell r="D555" t="str">
            <v>イベント:ミクコラボ01</v>
          </cell>
          <cell r="E555" t="str">
            <v>執行者</v>
          </cell>
          <cell r="F555" t="str">
            <v>格好いい</v>
          </cell>
          <cell r="G555" t="str">
            <v>女性</v>
          </cell>
          <cell r="H555" t="str">
            <v>blue</v>
          </cell>
          <cell r="I555">
            <v>5</v>
          </cell>
          <cell r="J555" t="str">
            <v>Drop2N</v>
          </cell>
          <cell r="K555" t="str">
            <v>attack</v>
          </cell>
          <cell r="L555" t="str">
            <v>攻撃タイプ</v>
          </cell>
          <cell r="M555" t="str">
            <v>unknown</v>
          </cell>
        </row>
        <row r="556">
          <cell r="A556">
            <v>555</v>
          </cell>
          <cell r="B556" t="str">
            <v>ja</v>
          </cell>
          <cell r="C556" t="str">
            <v>雪ミク2014</v>
          </cell>
          <cell r="D556" t="str">
            <v>イベント:ミクコラボ01</v>
          </cell>
          <cell r="E556" t="str">
            <v>執行者</v>
          </cell>
          <cell r="F556" t="str">
            <v>格好いい</v>
          </cell>
          <cell r="G556" t="str">
            <v>女性</v>
          </cell>
          <cell r="H556" t="str">
            <v>blue</v>
          </cell>
          <cell r="I556">
            <v>4</v>
          </cell>
          <cell r="J556" t="str">
            <v>Drop2N</v>
          </cell>
          <cell r="K556" t="str">
            <v>heal</v>
          </cell>
          <cell r="L556" t="str">
            <v>回復タイプ</v>
          </cell>
          <cell r="M556" t="str">
            <v>unknown</v>
          </cell>
        </row>
        <row r="557">
          <cell r="A557">
            <v>556</v>
          </cell>
          <cell r="B557" t="str">
            <v>ja</v>
          </cell>
          <cell r="C557" t="str">
            <v>雪ミク&amp;ラビットユキネ2014</v>
          </cell>
          <cell r="D557" t="str">
            <v>イベント:ミクコラボ01</v>
          </cell>
          <cell r="E557" t="str">
            <v>執行者</v>
          </cell>
          <cell r="F557" t="str">
            <v>格好いい</v>
          </cell>
          <cell r="G557" t="str">
            <v>女性</v>
          </cell>
          <cell r="H557" t="str">
            <v>blue</v>
          </cell>
          <cell r="I557">
            <v>5</v>
          </cell>
          <cell r="J557" t="str">
            <v>Drop2N</v>
          </cell>
          <cell r="K557" t="str">
            <v>heal</v>
          </cell>
          <cell r="L557" t="str">
            <v>回復タイプ</v>
          </cell>
          <cell r="M557" t="str">
            <v>unknown</v>
          </cell>
        </row>
        <row r="558">
          <cell r="A558">
            <v>557</v>
          </cell>
          <cell r="B558" t="str">
            <v>ja</v>
          </cell>
          <cell r="C558" t="str">
            <v>ラビット・ユキネ</v>
          </cell>
          <cell r="D558" t="str">
            <v>イベント:ミクコラボ01</v>
          </cell>
          <cell r="E558" t="str">
            <v>執行者</v>
          </cell>
          <cell r="F558" t="str">
            <v>格好いい</v>
          </cell>
          <cell r="G558" t="str">
            <v>不明</v>
          </cell>
          <cell r="H558" t="str">
            <v>blue</v>
          </cell>
          <cell r="I558">
            <v>3</v>
          </cell>
          <cell r="J558" t="str">
            <v>Drop2N</v>
          </cell>
          <cell r="K558" t="str">
            <v>balance</v>
          </cell>
          <cell r="L558" t="str">
            <v>バランスタイプ</v>
          </cell>
          <cell r="M558" t="str">
            <v>unknown</v>
          </cell>
        </row>
        <row r="559">
          <cell r="A559">
            <v>558</v>
          </cell>
          <cell r="B559" t="str">
            <v>ja</v>
          </cell>
          <cell r="C559" t="str">
            <v>雪原の超躍 ラビット・ユキネ</v>
          </cell>
          <cell r="D559" t="str">
            <v>イベント:ミクコラボ01</v>
          </cell>
          <cell r="E559" t="str">
            <v>執行者</v>
          </cell>
          <cell r="F559" t="str">
            <v>格好いい</v>
          </cell>
          <cell r="G559" t="str">
            <v>不明</v>
          </cell>
          <cell r="H559" t="str">
            <v>blue</v>
          </cell>
          <cell r="I559">
            <v>4</v>
          </cell>
          <cell r="J559" t="str">
            <v>Drop2N</v>
          </cell>
          <cell r="K559" t="str">
            <v>balance</v>
          </cell>
          <cell r="L559" t="str">
            <v>バランスタイプ</v>
          </cell>
          <cell r="M559" t="str">
            <v>unknown</v>
          </cell>
        </row>
        <row r="560">
          <cell r="A560">
            <v>559</v>
          </cell>
          <cell r="B560" t="str">
            <v>ja</v>
          </cell>
          <cell r="C560" t="str">
            <v>白銀の滑光 ラビット・ユキネ</v>
          </cell>
          <cell r="D560" t="str">
            <v>イベント:ミクコラボ01</v>
          </cell>
          <cell r="E560" t="str">
            <v>執行者</v>
          </cell>
          <cell r="F560" t="str">
            <v>格好いい</v>
          </cell>
          <cell r="G560" t="str">
            <v>不明</v>
          </cell>
          <cell r="H560" t="str">
            <v>blue</v>
          </cell>
          <cell r="I560">
            <v>5</v>
          </cell>
          <cell r="J560" t="str">
            <v>Drop2N</v>
          </cell>
          <cell r="K560" t="str">
            <v>balance</v>
          </cell>
          <cell r="L560" t="str">
            <v>バランスタイプ</v>
          </cell>
          <cell r="M560" t="str">
            <v>unknown</v>
          </cell>
        </row>
        <row r="561">
          <cell r="A561">
            <v>560</v>
          </cell>
          <cell r="B561" t="str">
            <v>ja</v>
          </cell>
          <cell r="C561" t="str">
            <v>ゴーレム亀</v>
          </cell>
          <cell r="D561" t="str">
            <v>未定</v>
          </cell>
          <cell r="E561" t="str">
            <v>執行者</v>
          </cell>
          <cell r="F561" t="str">
            <v>格好いい</v>
          </cell>
          <cell r="G561" t="str">
            <v>不明</v>
          </cell>
          <cell r="H561" t="str">
            <v>yellow</v>
          </cell>
          <cell r="I561">
            <v>4</v>
          </cell>
          <cell r="J561" t="str">
            <v>PremiumS</v>
          </cell>
          <cell r="K561" t="str">
            <v>hp</v>
          </cell>
          <cell r="L561" t="str">
            <v>体力タイプ</v>
          </cell>
          <cell r="M561" t="str">
            <v>machine</v>
          </cell>
        </row>
        <row r="562">
          <cell r="A562">
            <v>561</v>
          </cell>
          <cell r="B562" t="str">
            <v>ja</v>
          </cell>
          <cell r="C562" t="str">
            <v>ゴーレム亀</v>
          </cell>
          <cell r="D562" t="str">
            <v>未定</v>
          </cell>
          <cell r="E562" t="str">
            <v>執行者</v>
          </cell>
          <cell r="F562" t="str">
            <v>格好いい</v>
          </cell>
          <cell r="G562" t="str">
            <v>不明</v>
          </cell>
          <cell r="H562" t="str">
            <v>yellow</v>
          </cell>
          <cell r="I562">
            <v>5</v>
          </cell>
          <cell r="J562" t="str">
            <v>PremiumS</v>
          </cell>
          <cell r="K562" t="str">
            <v>hp</v>
          </cell>
          <cell r="L562" t="str">
            <v>体力タイプ</v>
          </cell>
          <cell r="M562" t="str">
            <v>machine</v>
          </cell>
        </row>
        <row r="563">
          <cell r="A563">
            <v>562</v>
          </cell>
          <cell r="B563" t="str">
            <v>ja</v>
          </cell>
          <cell r="C563" t="str">
            <v>ラプラス</v>
          </cell>
          <cell r="D563" t="str">
            <v>未定</v>
          </cell>
          <cell r="E563" t="str">
            <v>執行者</v>
          </cell>
          <cell r="F563" t="str">
            <v>格好いい</v>
          </cell>
          <cell r="G563" t="str">
            <v>不明</v>
          </cell>
          <cell r="H563" t="str">
            <v>yellow</v>
          </cell>
          <cell r="I563">
            <v>3</v>
          </cell>
          <cell r="J563" t="str">
            <v>PremiumS</v>
          </cell>
          <cell r="K563" t="str">
            <v>technical</v>
          </cell>
          <cell r="L563" t="str">
            <v>テクニカルタイプ</v>
          </cell>
          <cell r="M563" t="str">
            <v>human</v>
          </cell>
        </row>
        <row r="564">
          <cell r="A564">
            <v>563</v>
          </cell>
          <cell r="B564" t="str">
            <v>ja</v>
          </cell>
          <cell r="C564" t="str">
            <v>ラプラス</v>
          </cell>
          <cell r="D564" t="str">
            <v>未定</v>
          </cell>
          <cell r="E564" t="str">
            <v>執行者</v>
          </cell>
          <cell r="F564" t="str">
            <v>格好いい</v>
          </cell>
          <cell r="G564" t="str">
            <v>不明</v>
          </cell>
          <cell r="H564" t="str">
            <v>yellow</v>
          </cell>
          <cell r="I564">
            <v>4</v>
          </cell>
          <cell r="J564" t="str">
            <v>PremiumS</v>
          </cell>
          <cell r="K564" t="str">
            <v>technical</v>
          </cell>
          <cell r="L564" t="str">
            <v>テクニカルタイプ</v>
          </cell>
          <cell r="M564" t="str">
            <v>human</v>
          </cell>
        </row>
        <row r="565">
          <cell r="A565">
            <v>564</v>
          </cell>
          <cell r="B565" t="str">
            <v>ja</v>
          </cell>
          <cell r="C565" t="str">
            <v>カスケード</v>
          </cell>
          <cell r="D565" t="str">
            <v>未定</v>
          </cell>
          <cell r="E565" t="str">
            <v>執行者</v>
          </cell>
          <cell r="F565" t="str">
            <v>格好いい</v>
          </cell>
          <cell r="G565" t="str">
            <v>不明</v>
          </cell>
          <cell r="H565" t="str">
            <v>yellow</v>
          </cell>
          <cell r="I565">
            <v>5</v>
          </cell>
          <cell r="J565" t="str">
            <v>PremiumS</v>
          </cell>
          <cell r="K565" t="str">
            <v>technical</v>
          </cell>
          <cell r="L565" t="str">
            <v>テクニカルタイプ</v>
          </cell>
          <cell r="M565" t="str">
            <v>unknown</v>
          </cell>
        </row>
        <row r="566">
          <cell r="A566">
            <v>565</v>
          </cell>
          <cell r="B566" t="str">
            <v>ja</v>
          </cell>
          <cell r="C566" t="str">
            <v>落下分解型カスケード</v>
          </cell>
          <cell r="D566" t="str">
            <v>未定</v>
          </cell>
          <cell r="E566" t="str">
            <v>執行者</v>
          </cell>
          <cell r="F566" t="str">
            <v>格好いい</v>
          </cell>
          <cell r="G566" t="str">
            <v>不明</v>
          </cell>
          <cell r="H566" t="str">
            <v>yellow</v>
          </cell>
          <cell r="I566">
            <v>3</v>
          </cell>
          <cell r="J566" t="str">
            <v>PremiumS</v>
          </cell>
          <cell r="K566" t="str">
            <v>technical</v>
          </cell>
          <cell r="L566" t="str">
            <v>テクニカルタイプ</v>
          </cell>
          <cell r="M566" t="str">
            <v>unknown</v>
          </cell>
        </row>
        <row r="567">
          <cell r="A567">
            <v>566</v>
          </cell>
          <cell r="B567" t="str">
            <v>ja</v>
          </cell>
          <cell r="C567" t="str">
            <v>カスケード</v>
          </cell>
          <cell r="D567" t="str">
            <v>未定</v>
          </cell>
          <cell r="E567" t="str">
            <v>執行者</v>
          </cell>
          <cell r="F567" t="str">
            <v>格好いい</v>
          </cell>
          <cell r="G567" t="str">
            <v>不明</v>
          </cell>
          <cell r="H567" t="str">
            <v>yellow</v>
          </cell>
          <cell r="I567">
            <v>4</v>
          </cell>
          <cell r="J567" t="str">
            <v>PremiumS</v>
          </cell>
          <cell r="K567" t="str">
            <v>technical</v>
          </cell>
          <cell r="L567" t="str">
            <v>テクニカルタイプ</v>
          </cell>
          <cell r="M567" t="str">
            <v>unknown</v>
          </cell>
        </row>
        <row r="568">
          <cell r="A568">
            <v>567</v>
          </cell>
          <cell r="B568" t="str">
            <v>ja</v>
          </cell>
          <cell r="C568" t="str">
            <v>空白</v>
          </cell>
          <cell r="D568" t="str">
            <v>未定</v>
          </cell>
          <cell r="E568" t="str">
            <v>執行者</v>
          </cell>
          <cell r="F568" t="str">
            <v>格好いい</v>
          </cell>
          <cell r="G568" t="str">
            <v>不明</v>
          </cell>
          <cell r="H568" t="str">
            <v>yellow</v>
          </cell>
          <cell r="I568">
            <v>5</v>
          </cell>
          <cell r="J568" t="str">
            <v>PremiumS</v>
          </cell>
          <cell r="K568" t="str">
            <v>attack</v>
          </cell>
          <cell r="L568" t="str">
            <v>攻撃タイプ</v>
          </cell>
          <cell r="M568" t="str">
            <v>human</v>
          </cell>
        </row>
        <row r="569">
          <cell r="A569">
            <v>568</v>
          </cell>
          <cell r="B569" t="str">
            <v>ja</v>
          </cell>
          <cell r="C569" t="str">
            <v>イゾルデ</v>
          </cell>
          <cell r="D569" t="str">
            <v>未定</v>
          </cell>
          <cell r="E569" t="str">
            <v>執行者</v>
          </cell>
          <cell r="F569" t="str">
            <v>格好いい</v>
          </cell>
          <cell r="G569" t="str">
            <v>不明</v>
          </cell>
          <cell r="H569" t="str">
            <v>blue</v>
          </cell>
          <cell r="I569">
            <v>3</v>
          </cell>
          <cell r="J569" t="str">
            <v>PremiumS</v>
          </cell>
          <cell r="K569" t="str">
            <v>attack</v>
          </cell>
          <cell r="L569" t="str">
            <v>攻撃タイプ</v>
          </cell>
          <cell r="M569" t="str">
            <v>human</v>
          </cell>
        </row>
        <row r="570">
          <cell r="A570">
            <v>569</v>
          </cell>
          <cell r="B570" t="str">
            <v>ja</v>
          </cell>
          <cell r="C570" t="str">
            <v>イゾルデ</v>
          </cell>
          <cell r="D570" t="str">
            <v>未定</v>
          </cell>
          <cell r="E570" t="str">
            <v>執行者</v>
          </cell>
          <cell r="F570" t="str">
            <v>格好いい</v>
          </cell>
          <cell r="G570" t="str">
            <v>不明</v>
          </cell>
          <cell r="H570" t="str">
            <v>blue</v>
          </cell>
          <cell r="I570">
            <v>4</v>
          </cell>
          <cell r="J570" t="str">
            <v>PremiumS</v>
          </cell>
          <cell r="K570" t="str">
            <v>attack</v>
          </cell>
          <cell r="L570" t="str">
            <v>攻撃タイプ</v>
          </cell>
          <cell r="M570" t="str">
            <v>human</v>
          </cell>
        </row>
        <row r="571">
          <cell r="A571">
            <v>570</v>
          </cell>
          <cell r="B571" t="str">
            <v>ja</v>
          </cell>
          <cell r="C571" t="str">
            <v>イゾルデ</v>
          </cell>
          <cell r="D571" t="str">
            <v>未定</v>
          </cell>
          <cell r="E571" t="str">
            <v>執行者</v>
          </cell>
          <cell r="F571" t="str">
            <v>格好いい</v>
          </cell>
          <cell r="G571" t="str">
            <v>不明</v>
          </cell>
          <cell r="H571" t="str">
            <v>blue</v>
          </cell>
          <cell r="I571">
            <v>5</v>
          </cell>
          <cell r="J571" t="str">
            <v>PremiumS</v>
          </cell>
          <cell r="K571" t="str">
            <v>attack</v>
          </cell>
          <cell r="L571" t="str">
            <v>攻撃タイプ</v>
          </cell>
          <cell r="M571" t="str">
            <v>human</v>
          </cell>
        </row>
        <row r="572">
          <cell r="A572">
            <v>571</v>
          </cell>
          <cell r="B572" t="str">
            <v>ja</v>
          </cell>
          <cell r="C572" t="str">
            <v>ハッピー バレンタイン</v>
          </cell>
          <cell r="D572" t="str">
            <v>イベント:バレンタイン</v>
          </cell>
          <cell r="E572" t="str">
            <v>ウィルス</v>
          </cell>
          <cell r="F572" t="str">
            <v>かわいい</v>
          </cell>
          <cell r="G572" t="str">
            <v>女性</v>
          </cell>
          <cell r="H572" t="str">
            <v>green</v>
          </cell>
          <cell r="I572">
            <v>3</v>
          </cell>
          <cell r="J572" t="str">
            <v>DropWizW</v>
          </cell>
          <cell r="K572" t="str">
            <v>heal</v>
          </cell>
          <cell r="L572" t="str">
            <v>回復タイプ</v>
          </cell>
          <cell r="M572" t="str">
            <v>unknown</v>
          </cell>
        </row>
        <row r="573">
          <cell r="A573">
            <v>572</v>
          </cell>
          <cell r="B573" t="str">
            <v>ja</v>
          </cell>
          <cell r="C573" t="str">
            <v>恋する果実</v>
          </cell>
          <cell r="D573" t="str">
            <v>イベント:バレンタイン</v>
          </cell>
          <cell r="E573" t="str">
            <v>アリス</v>
          </cell>
          <cell r="F573" t="str">
            <v>世界観</v>
          </cell>
          <cell r="G573" t="str">
            <v>不明</v>
          </cell>
          <cell r="H573" t="str">
            <v>blue</v>
          </cell>
          <cell r="I573">
            <v>3</v>
          </cell>
          <cell r="J573" t="str">
            <v>Material</v>
          </cell>
          <cell r="K573" t="str">
            <v>skilllevel</v>
          </cell>
          <cell r="L573" t="str">
            <v>スキルレベル素材</v>
          </cell>
          <cell r="M573" t="str">
            <v>unknown</v>
          </cell>
        </row>
        <row r="574">
          <cell r="A574">
            <v>573</v>
          </cell>
          <cell r="B574" t="str">
            <v>ja</v>
          </cell>
          <cell r="C574" t="str">
            <v>オーディン</v>
          </cell>
          <cell r="D574" t="str">
            <v>イベント:超ウィザード</v>
          </cell>
          <cell r="E574" t="str">
            <v>執行者</v>
          </cell>
          <cell r="F574" t="str">
            <v>格好いい</v>
          </cell>
          <cell r="G574" t="str">
            <v>男性</v>
          </cell>
          <cell r="H574" t="str">
            <v>blue</v>
          </cell>
          <cell r="I574">
            <v>4</v>
          </cell>
          <cell r="J574" t="str">
            <v>DropWizSS</v>
          </cell>
          <cell r="K574" t="str">
            <v>hp</v>
          </cell>
          <cell r="L574" t="str">
            <v>体力タイプ</v>
          </cell>
          <cell r="M574" t="str">
            <v>machine</v>
          </cell>
        </row>
        <row r="575">
          <cell r="A575">
            <v>574</v>
          </cell>
          <cell r="B575" t="str">
            <v>ja</v>
          </cell>
          <cell r="C575" t="str">
            <v>世慧の守神 オーディン</v>
          </cell>
          <cell r="D575" t="str">
            <v>イベント:超ウィザード</v>
          </cell>
          <cell r="E575" t="str">
            <v>執行者</v>
          </cell>
          <cell r="F575" t="str">
            <v>格好いい</v>
          </cell>
          <cell r="G575" t="str">
            <v>男性</v>
          </cell>
          <cell r="H575" t="str">
            <v>blue</v>
          </cell>
          <cell r="I575">
            <v>5</v>
          </cell>
          <cell r="J575" t="str">
            <v>DropWizSS</v>
          </cell>
          <cell r="K575" t="str">
            <v>hp</v>
          </cell>
          <cell r="L575" t="str">
            <v>体力タイプ</v>
          </cell>
          <cell r="M575" t="str">
            <v>machine</v>
          </cell>
        </row>
        <row r="576">
          <cell r="A576">
            <v>575</v>
          </cell>
          <cell r="B576" t="str">
            <v>ja</v>
          </cell>
          <cell r="C576" t="str">
            <v>フレイ</v>
          </cell>
          <cell r="D576" t="str">
            <v>イベント:ウィザード</v>
          </cell>
          <cell r="E576" t="str">
            <v>執行者</v>
          </cell>
          <cell r="F576" t="str">
            <v>格好いい</v>
          </cell>
          <cell r="G576" t="str">
            <v>男性</v>
          </cell>
          <cell r="H576" t="str">
            <v>red</v>
          </cell>
          <cell r="I576">
            <v>4</v>
          </cell>
          <cell r="J576" t="str">
            <v>DropWizS</v>
          </cell>
          <cell r="K576" t="str">
            <v>attack</v>
          </cell>
          <cell r="L576" t="str">
            <v>攻撃タイプ</v>
          </cell>
          <cell r="M576" t="str">
            <v>animal</v>
          </cell>
        </row>
        <row r="577">
          <cell r="A577">
            <v>576</v>
          </cell>
          <cell r="B577" t="str">
            <v>ja</v>
          </cell>
          <cell r="C577" t="str">
            <v>統勝の豊穣王神 フレイ</v>
          </cell>
          <cell r="D577" t="str">
            <v>イベント:ウィザード</v>
          </cell>
          <cell r="E577" t="str">
            <v>執行者</v>
          </cell>
          <cell r="F577" t="str">
            <v>格好いい</v>
          </cell>
          <cell r="G577" t="str">
            <v>男性</v>
          </cell>
          <cell r="H577" t="str">
            <v>red</v>
          </cell>
          <cell r="I577">
            <v>5</v>
          </cell>
          <cell r="J577" t="str">
            <v>DropWizS</v>
          </cell>
          <cell r="K577" t="str">
            <v>attack</v>
          </cell>
          <cell r="L577" t="str">
            <v>攻撃タイプ</v>
          </cell>
          <cell r="M577" t="str">
            <v>animal</v>
          </cell>
        </row>
        <row r="578">
          <cell r="A578">
            <v>577</v>
          </cell>
          <cell r="B578" t="str">
            <v>ja</v>
          </cell>
          <cell r="C578" t="str">
            <v>ビュグヴィルとベイラ</v>
          </cell>
          <cell r="D578" t="str">
            <v>イベント:北欧01</v>
          </cell>
          <cell r="E578" t="str">
            <v>執行者</v>
          </cell>
          <cell r="F578" t="str">
            <v>格好いい</v>
          </cell>
          <cell r="G578" t="str">
            <v>女性</v>
          </cell>
          <cell r="H578" t="str">
            <v>red</v>
          </cell>
          <cell r="I578">
            <v>4</v>
          </cell>
          <cell r="J578" t="str">
            <v>Drop2N</v>
          </cell>
          <cell r="K578" t="str">
            <v>heal</v>
          </cell>
          <cell r="L578" t="str">
            <v>回復タイプ</v>
          </cell>
          <cell r="M578" t="str">
            <v>unknown</v>
          </cell>
        </row>
        <row r="579">
          <cell r="A579">
            <v>578</v>
          </cell>
          <cell r="B579" t="str">
            <v>ja</v>
          </cell>
          <cell r="C579" t="str">
            <v>穣神従事 ビュグヴィルとベイラ</v>
          </cell>
          <cell r="D579" t="str">
            <v>イベント:北欧01</v>
          </cell>
          <cell r="E579" t="str">
            <v>執行者</v>
          </cell>
          <cell r="F579" t="str">
            <v>格好いい</v>
          </cell>
          <cell r="G579" t="str">
            <v>女性</v>
          </cell>
          <cell r="H579" t="str">
            <v>red</v>
          </cell>
          <cell r="I579">
            <v>5</v>
          </cell>
          <cell r="J579" t="str">
            <v>Drop2N</v>
          </cell>
          <cell r="K579" t="str">
            <v>heal</v>
          </cell>
          <cell r="L579" t="str">
            <v>回復タイプ</v>
          </cell>
          <cell r="M579" t="str">
            <v>unknown</v>
          </cell>
        </row>
        <row r="580">
          <cell r="A580">
            <v>579</v>
          </cell>
          <cell r="B580" t="str">
            <v>ja</v>
          </cell>
          <cell r="C580" t="str">
            <v>オーズ</v>
          </cell>
          <cell r="D580" t="str">
            <v>イベント:北欧01</v>
          </cell>
          <cell r="E580" t="str">
            <v>執行者</v>
          </cell>
          <cell r="F580" t="str">
            <v>格好いい</v>
          </cell>
          <cell r="G580" t="str">
            <v>男性</v>
          </cell>
          <cell r="H580" t="str">
            <v>green</v>
          </cell>
          <cell r="I580">
            <v>4</v>
          </cell>
          <cell r="J580" t="str">
            <v>Drop2N</v>
          </cell>
          <cell r="K580" t="str">
            <v>technical</v>
          </cell>
          <cell r="L580" t="str">
            <v>テクニカルタイプ</v>
          </cell>
          <cell r="M580" t="str">
            <v>god</v>
          </cell>
        </row>
        <row r="581">
          <cell r="A581">
            <v>580</v>
          </cell>
          <cell r="B581" t="str">
            <v>ja</v>
          </cell>
          <cell r="C581" t="str">
            <v>愛憐の旅神 オーズ</v>
          </cell>
          <cell r="D581" t="str">
            <v>イベント:北欧01</v>
          </cell>
          <cell r="E581" t="str">
            <v>執行者</v>
          </cell>
          <cell r="F581" t="str">
            <v>格好いい</v>
          </cell>
          <cell r="G581" t="str">
            <v>男性</v>
          </cell>
          <cell r="H581" t="str">
            <v>green</v>
          </cell>
          <cell r="I581">
            <v>5</v>
          </cell>
          <cell r="J581" t="str">
            <v>Drop2N</v>
          </cell>
          <cell r="K581" t="str">
            <v>technical</v>
          </cell>
          <cell r="L581" t="str">
            <v>テクニカルタイプ</v>
          </cell>
          <cell r="M581" t="str">
            <v>god</v>
          </cell>
        </row>
        <row r="582">
          <cell r="A582">
            <v>581</v>
          </cell>
          <cell r="B582" t="str">
            <v>ja</v>
          </cell>
          <cell r="C582" t="str">
            <v>フギンとムニン</v>
          </cell>
          <cell r="D582" t="str">
            <v>イベント:ウィザード</v>
          </cell>
          <cell r="E582" t="str">
            <v>執行者</v>
          </cell>
          <cell r="F582" t="str">
            <v>格好いい</v>
          </cell>
          <cell r="G582" t="str">
            <v>不明</v>
          </cell>
          <cell r="H582" t="str">
            <v>blue</v>
          </cell>
          <cell r="I582">
            <v>4</v>
          </cell>
          <cell r="J582" t="str">
            <v>DropWizS</v>
          </cell>
          <cell r="K582" t="str">
            <v>technical</v>
          </cell>
          <cell r="L582" t="str">
            <v>テクニカルタイプ</v>
          </cell>
          <cell r="M582" t="str">
            <v>machine</v>
          </cell>
        </row>
        <row r="583">
          <cell r="A583">
            <v>582</v>
          </cell>
          <cell r="B583" t="str">
            <v>ja</v>
          </cell>
          <cell r="C583" t="str">
            <v>空を駆る双鴉 フギンとムニン</v>
          </cell>
          <cell r="D583" t="str">
            <v>イベント:ウィザード</v>
          </cell>
          <cell r="E583" t="str">
            <v>執行者</v>
          </cell>
          <cell r="F583" t="str">
            <v>格好いい</v>
          </cell>
          <cell r="G583" t="str">
            <v>不明</v>
          </cell>
          <cell r="H583" t="str">
            <v>blue</v>
          </cell>
          <cell r="I583">
            <v>5</v>
          </cell>
          <cell r="J583" t="str">
            <v>DropWizS</v>
          </cell>
          <cell r="K583" t="str">
            <v>technical</v>
          </cell>
          <cell r="L583" t="str">
            <v>テクニカルタイプ</v>
          </cell>
          <cell r="M583" t="str">
            <v>machine</v>
          </cell>
        </row>
        <row r="584">
          <cell r="A584">
            <v>583</v>
          </cell>
          <cell r="B584" t="str">
            <v>ja</v>
          </cell>
          <cell r="C584" t="str">
            <v>ミョルニル</v>
          </cell>
          <cell r="D584" t="str">
            <v>イベント:北欧01</v>
          </cell>
          <cell r="E584" t="str">
            <v>執行者</v>
          </cell>
          <cell r="F584" t="str">
            <v>格好いい</v>
          </cell>
          <cell r="G584" t="str">
            <v>不明</v>
          </cell>
          <cell r="H584" t="str">
            <v>yellow</v>
          </cell>
          <cell r="I584">
            <v>4</v>
          </cell>
          <cell r="J584" t="str">
            <v>Drop2N</v>
          </cell>
          <cell r="K584" t="str">
            <v>attack</v>
          </cell>
          <cell r="L584" t="str">
            <v>攻撃タイプ</v>
          </cell>
          <cell r="M584" t="str">
            <v>machine</v>
          </cell>
        </row>
        <row r="585">
          <cell r="A585">
            <v>584</v>
          </cell>
          <cell r="B585" t="str">
            <v>ja</v>
          </cell>
          <cell r="C585" t="str">
            <v>自律する召雷鎚 ミョルニル</v>
          </cell>
          <cell r="D585" t="str">
            <v>イベント:北欧01</v>
          </cell>
          <cell r="E585" t="str">
            <v>執行者</v>
          </cell>
          <cell r="F585" t="str">
            <v>格好いい</v>
          </cell>
          <cell r="G585" t="str">
            <v>不明</v>
          </cell>
          <cell r="H585" t="str">
            <v>yellow</v>
          </cell>
          <cell r="I585">
            <v>5</v>
          </cell>
          <cell r="J585" t="str">
            <v>Drop2N</v>
          </cell>
          <cell r="K585" t="str">
            <v>attack</v>
          </cell>
          <cell r="L585" t="str">
            <v>攻撃タイプ</v>
          </cell>
          <cell r="M585" t="str">
            <v>machine</v>
          </cell>
        </row>
        <row r="586">
          <cell r="A586">
            <v>585</v>
          </cell>
          <cell r="B586" t="str">
            <v>ja</v>
          </cell>
          <cell r="C586" t="str">
            <v>ユミルじゃなくなった</v>
          </cell>
          <cell r="D586" t="str">
            <v>未定</v>
          </cell>
          <cell r="E586" t="str">
            <v>執行者</v>
          </cell>
          <cell r="F586" t="str">
            <v>格好いい</v>
          </cell>
          <cell r="G586" t="str">
            <v>男性</v>
          </cell>
          <cell r="H586" t="str">
            <v>red</v>
          </cell>
          <cell r="I586">
            <v>3</v>
          </cell>
          <cell r="J586" t="str">
            <v>PremiumS</v>
          </cell>
          <cell r="K586" t="str">
            <v>hp</v>
          </cell>
          <cell r="L586" t="str">
            <v>体力タイプ</v>
          </cell>
          <cell r="M586" t="str">
            <v>machine</v>
          </cell>
        </row>
        <row r="587">
          <cell r="A587">
            <v>586</v>
          </cell>
          <cell r="B587" t="str">
            <v>ja</v>
          </cell>
          <cell r="C587" t="str">
            <v>ユミル</v>
          </cell>
          <cell r="D587" t="str">
            <v>ガチャ:北欧01</v>
          </cell>
          <cell r="E587" t="str">
            <v>執行者</v>
          </cell>
          <cell r="F587" t="str">
            <v>格好いい</v>
          </cell>
          <cell r="G587" t="str">
            <v>不明</v>
          </cell>
          <cell r="H587" t="str">
            <v>red</v>
          </cell>
          <cell r="I587">
            <v>4</v>
          </cell>
          <cell r="J587" t="str">
            <v>PremiumSS</v>
          </cell>
          <cell r="K587" t="str">
            <v>hp</v>
          </cell>
          <cell r="L587" t="str">
            <v>体力タイプ</v>
          </cell>
          <cell r="M587" t="str">
            <v>machine</v>
          </cell>
        </row>
        <row r="588">
          <cell r="A588">
            <v>587</v>
          </cell>
          <cell r="B588" t="str">
            <v>ja</v>
          </cell>
          <cell r="C588" t="str">
            <v>原初の煉鋼巨刃 ユミル</v>
          </cell>
          <cell r="D588" t="str">
            <v>ガチャ:北欧01</v>
          </cell>
          <cell r="E588" t="str">
            <v>執行者</v>
          </cell>
          <cell r="F588" t="str">
            <v>格好いい</v>
          </cell>
          <cell r="G588" t="str">
            <v>不明</v>
          </cell>
          <cell r="H588" t="str">
            <v>red</v>
          </cell>
          <cell r="I588">
            <v>5</v>
          </cell>
          <cell r="J588" t="str">
            <v>PremiumSS</v>
          </cell>
          <cell r="K588" t="str">
            <v>hp</v>
          </cell>
          <cell r="L588" t="str">
            <v>体力タイプ</v>
          </cell>
          <cell r="M588" t="str">
            <v>machine</v>
          </cell>
        </row>
        <row r="589">
          <cell r="A589">
            <v>588</v>
          </cell>
          <cell r="B589" t="str">
            <v>ja</v>
          </cell>
          <cell r="C589" t="str">
            <v>ニーベルゲン</v>
          </cell>
          <cell r="D589" t="str">
            <v>ガチャ:北欧01</v>
          </cell>
          <cell r="E589" t="str">
            <v>執行者</v>
          </cell>
          <cell r="F589" t="str">
            <v>格好いい</v>
          </cell>
          <cell r="G589" t="str">
            <v>女性</v>
          </cell>
          <cell r="H589" t="str">
            <v>green</v>
          </cell>
          <cell r="I589">
            <v>3</v>
          </cell>
          <cell r="J589" t="str">
            <v>PremiumS</v>
          </cell>
          <cell r="K589" t="str">
            <v>balance</v>
          </cell>
          <cell r="L589" t="str">
            <v>バランスタイプ</v>
          </cell>
          <cell r="M589" t="str">
            <v>unknown</v>
          </cell>
        </row>
        <row r="590">
          <cell r="A590">
            <v>589</v>
          </cell>
          <cell r="B590" t="str">
            <v>ja</v>
          </cell>
          <cell r="C590" t="str">
            <v>不幸の円環 ニーベルゲン</v>
          </cell>
          <cell r="D590" t="str">
            <v>ガチャ:北欧01</v>
          </cell>
          <cell r="E590" t="str">
            <v>執行者</v>
          </cell>
          <cell r="F590" t="str">
            <v>格好いい</v>
          </cell>
          <cell r="G590" t="str">
            <v>女性</v>
          </cell>
          <cell r="H590" t="str">
            <v>green</v>
          </cell>
          <cell r="I590">
            <v>4</v>
          </cell>
          <cell r="J590" t="str">
            <v>PremiumS</v>
          </cell>
          <cell r="K590" t="str">
            <v>balance</v>
          </cell>
          <cell r="L590" t="str">
            <v>バランスタイプ</v>
          </cell>
          <cell r="M590" t="str">
            <v>unknown</v>
          </cell>
        </row>
        <row r="591">
          <cell r="A591">
            <v>590</v>
          </cell>
          <cell r="B591" t="str">
            <v>ja</v>
          </cell>
          <cell r="C591" t="str">
            <v>永遠を廻る呪い ニーベルゲン</v>
          </cell>
          <cell r="D591" t="str">
            <v>ガチャ:北欧01</v>
          </cell>
          <cell r="E591" t="str">
            <v>執行者</v>
          </cell>
          <cell r="F591" t="str">
            <v>格好いい</v>
          </cell>
          <cell r="G591" t="str">
            <v>女性</v>
          </cell>
          <cell r="H591" t="str">
            <v>green</v>
          </cell>
          <cell r="I591">
            <v>5</v>
          </cell>
          <cell r="J591" t="str">
            <v>PremiumS</v>
          </cell>
          <cell r="K591" t="str">
            <v>balance</v>
          </cell>
          <cell r="L591" t="str">
            <v>バランスタイプ</v>
          </cell>
          <cell r="M591" t="str">
            <v>unknown</v>
          </cell>
        </row>
        <row r="592">
          <cell r="A592">
            <v>591</v>
          </cell>
          <cell r="B592" t="str">
            <v>ja</v>
          </cell>
          <cell r="C592" t="str">
            <v>ファフニール</v>
          </cell>
          <cell r="D592" t="str">
            <v>ガチャ:北欧01</v>
          </cell>
          <cell r="E592" t="str">
            <v>執行者</v>
          </cell>
          <cell r="F592" t="str">
            <v>格好いい</v>
          </cell>
          <cell r="G592" t="str">
            <v>不明</v>
          </cell>
          <cell r="H592" t="str">
            <v>blue</v>
          </cell>
          <cell r="I592">
            <v>3</v>
          </cell>
          <cell r="J592" t="str">
            <v>PremiumS</v>
          </cell>
          <cell r="K592" t="str">
            <v>technical</v>
          </cell>
          <cell r="L592" t="str">
            <v>テクニカルタイプ</v>
          </cell>
          <cell r="M592" t="str">
            <v>dragon</v>
          </cell>
        </row>
        <row r="593">
          <cell r="A593">
            <v>592</v>
          </cell>
          <cell r="B593" t="str">
            <v>ja</v>
          </cell>
          <cell r="C593" t="str">
            <v>財宝への執着 ファフニール</v>
          </cell>
          <cell r="D593" t="str">
            <v>ガチャ:北欧01</v>
          </cell>
          <cell r="E593" t="str">
            <v>執行者</v>
          </cell>
          <cell r="F593" t="str">
            <v>格好いい</v>
          </cell>
          <cell r="G593" t="str">
            <v>不明</v>
          </cell>
          <cell r="H593" t="str">
            <v>blue</v>
          </cell>
          <cell r="I593">
            <v>4</v>
          </cell>
          <cell r="J593" t="str">
            <v>PremiumS</v>
          </cell>
          <cell r="K593" t="str">
            <v>technical</v>
          </cell>
          <cell r="L593" t="str">
            <v>テクニカルタイプ</v>
          </cell>
          <cell r="M593" t="str">
            <v>dragon</v>
          </cell>
        </row>
        <row r="594">
          <cell r="A594">
            <v>593</v>
          </cell>
          <cell r="B594" t="str">
            <v>ja</v>
          </cell>
          <cell r="C594" t="str">
            <v>妄執する邪毒龍 ファフニール</v>
          </cell>
          <cell r="D594" t="str">
            <v>ガチャ:北欧01</v>
          </cell>
          <cell r="E594" t="str">
            <v>執行者</v>
          </cell>
          <cell r="F594" t="str">
            <v>格好いい</v>
          </cell>
          <cell r="G594" t="str">
            <v>不明</v>
          </cell>
          <cell r="H594" t="str">
            <v>blue</v>
          </cell>
          <cell r="I594">
            <v>5</v>
          </cell>
          <cell r="J594" t="str">
            <v>PremiumS</v>
          </cell>
          <cell r="K594" t="str">
            <v>technical</v>
          </cell>
          <cell r="L594" t="str">
            <v>テクニカルタイプ</v>
          </cell>
          <cell r="M594" t="str">
            <v>dragon</v>
          </cell>
        </row>
        <row r="595">
          <cell r="A595">
            <v>594</v>
          </cell>
          <cell r="B595" t="str">
            <v>ja</v>
          </cell>
          <cell r="C595" t="str">
            <v>アルフヘイム</v>
          </cell>
          <cell r="D595" t="str">
            <v>ガチャ:北欧01</v>
          </cell>
          <cell r="E595" t="str">
            <v>執行者</v>
          </cell>
          <cell r="F595" t="str">
            <v>格好いい</v>
          </cell>
          <cell r="G595" t="str">
            <v>不明</v>
          </cell>
          <cell r="H595" t="str">
            <v>yellow</v>
          </cell>
          <cell r="I595">
            <v>4</v>
          </cell>
          <cell r="J595" t="str">
            <v>PremiumSS</v>
          </cell>
          <cell r="K595" t="str">
            <v>attack</v>
          </cell>
          <cell r="L595" t="str">
            <v>攻撃タイプ</v>
          </cell>
          <cell r="M595" t="str">
            <v>dragon</v>
          </cell>
        </row>
        <row r="596">
          <cell r="A596">
            <v>595</v>
          </cell>
          <cell r="B596" t="str">
            <v>ja</v>
          </cell>
          <cell r="C596" t="str">
            <v>光華なる神域 アルフヘイム</v>
          </cell>
          <cell r="D596" t="str">
            <v>ガチャ:北欧01</v>
          </cell>
          <cell r="E596" t="str">
            <v>執行者</v>
          </cell>
          <cell r="F596" t="str">
            <v>格好いい</v>
          </cell>
          <cell r="G596" t="str">
            <v>不明</v>
          </cell>
          <cell r="H596" t="str">
            <v>yellow</v>
          </cell>
          <cell r="I596">
            <v>5</v>
          </cell>
          <cell r="J596" t="str">
            <v>PremiumSS</v>
          </cell>
          <cell r="K596" t="str">
            <v>attack</v>
          </cell>
          <cell r="L596" t="str">
            <v>攻撃タイプ</v>
          </cell>
          <cell r="M596" t="str">
            <v>dragon</v>
          </cell>
        </row>
        <row r="597">
          <cell r="A597">
            <v>596</v>
          </cell>
          <cell r="B597" t="str">
            <v>ja</v>
          </cell>
          <cell r="C597" t="str">
            <v>ムスペルヘイム</v>
          </cell>
          <cell r="D597" t="str">
            <v>ガチャ:北欧02</v>
          </cell>
          <cell r="E597" t="str">
            <v>執行者</v>
          </cell>
          <cell r="F597" t="str">
            <v>格好いい</v>
          </cell>
          <cell r="G597" t="str">
            <v>男性</v>
          </cell>
          <cell r="H597" t="str">
            <v>red</v>
          </cell>
          <cell r="I597">
            <v>3</v>
          </cell>
          <cell r="J597" t="str">
            <v>PremiumS</v>
          </cell>
          <cell r="K597" t="str">
            <v>balance</v>
          </cell>
          <cell r="L597" t="str">
            <v>バランスタイプ</v>
          </cell>
          <cell r="M597" t="str">
            <v>human</v>
          </cell>
        </row>
        <row r="598">
          <cell r="A598">
            <v>597</v>
          </cell>
          <cell r="B598" t="str">
            <v>ja</v>
          </cell>
          <cell r="C598" t="str">
            <v>灼熱の魂 ムスペルヘイム</v>
          </cell>
          <cell r="D598" t="str">
            <v>ガチャ:北欧02</v>
          </cell>
          <cell r="E598" t="str">
            <v>執行者</v>
          </cell>
          <cell r="F598" t="str">
            <v>格好いい</v>
          </cell>
          <cell r="G598" t="str">
            <v>男性</v>
          </cell>
          <cell r="H598" t="str">
            <v>red</v>
          </cell>
          <cell r="I598">
            <v>4</v>
          </cell>
          <cell r="J598" t="str">
            <v>PremiumS</v>
          </cell>
          <cell r="K598" t="str">
            <v>balance</v>
          </cell>
          <cell r="L598" t="str">
            <v>バランスタイプ</v>
          </cell>
          <cell r="M598" t="str">
            <v>human</v>
          </cell>
        </row>
        <row r="599">
          <cell r="A599">
            <v>598</v>
          </cell>
          <cell r="B599" t="str">
            <v>ja</v>
          </cell>
          <cell r="C599" t="str">
            <v>焼燃の情熱 ムスペルヘイム</v>
          </cell>
          <cell r="D599" t="str">
            <v>ガチャ:北欧02</v>
          </cell>
          <cell r="E599" t="str">
            <v>執行者</v>
          </cell>
          <cell r="F599" t="str">
            <v>格好いい</v>
          </cell>
          <cell r="G599" t="str">
            <v>男性</v>
          </cell>
          <cell r="H599" t="str">
            <v>red</v>
          </cell>
          <cell r="I599">
            <v>5</v>
          </cell>
          <cell r="J599" t="str">
            <v>PremiumS</v>
          </cell>
          <cell r="K599" t="str">
            <v>balance</v>
          </cell>
          <cell r="L599" t="str">
            <v>バランスタイプ</v>
          </cell>
          <cell r="M599" t="str">
            <v>human</v>
          </cell>
        </row>
        <row r="600">
          <cell r="A600">
            <v>599</v>
          </cell>
          <cell r="B600" t="str">
            <v>ja</v>
          </cell>
          <cell r="C600" t="str">
            <v>ニーズヘッグ</v>
          </cell>
          <cell r="D600" t="str">
            <v>ガチャ:北欧02</v>
          </cell>
          <cell r="E600" t="str">
            <v>執行者</v>
          </cell>
          <cell r="F600" t="str">
            <v>格好いい</v>
          </cell>
          <cell r="G600" t="str">
            <v>不明</v>
          </cell>
          <cell r="H600" t="str">
            <v>green</v>
          </cell>
          <cell r="I600">
            <v>3</v>
          </cell>
          <cell r="J600" t="str">
            <v>PremiumS</v>
          </cell>
          <cell r="K600" t="str">
            <v>attack</v>
          </cell>
          <cell r="L600" t="str">
            <v>攻撃タイプ</v>
          </cell>
          <cell r="M600" t="str">
            <v>dragon</v>
          </cell>
        </row>
        <row r="601">
          <cell r="A601">
            <v>600</v>
          </cell>
          <cell r="B601" t="str">
            <v>ja</v>
          </cell>
          <cell r="C601" t="str">
            <v>界下に潜む蛇 ニーズヘッグ</v>
          </cell>
          <cell r="D601" t="str">
            <v>ガチャ:北欧02</v>
          </cell>
          <cell r="E601" t="str">
            <v>執行者</v>
          </cell>
          <cell r="F601" t="str">
            <v>格好いい</v>
          </cell>
          <cell r="G601" t="str">
            <v>不明</v>
          </cell>
          <cell r="H601" t="str">
            <v>green</v>
          </cell>
          <cell r="I601">
            <v>4</v>
          </cell>
          <cell r="J601" t="str">
            <v>PremiumS</v>
          </cell>
          <cell r="K601" t="str">
            <v>attack</v>
          </cell>
          <cell r="L601" t="str">
            <v>攻撃タイプ</v>
          </cell>
          <cell r="M601" t="str">
            <v>dragon</v>
          </cell>
        </row>
        <row r="602">
          <cell r="A602">
            <v>601</v>
          </cell>
          <cell r="B602" t="str">
            <v>ja</v>
          </cell>
          <cell r="C602" t="str">
            <v>界根蝕む悪食 ニーズヘッグ</v>
          </cell>
          <cell r="D602" t="str">
            <v>ガチャ:北欧02</v>
          </cell>
          <cell r="E602" t="str">
            <v>執行者</v>
          </cell>
          <cell r="F602" t="str">
            <v>格好いい</v>
          </cell>
          <cell r="G602" t="str">
            <v>不明</v>
          </cell>
          <cell r="H602" t="str">
            <v>green</v>
          </cell>
          <cell r="I602">
            <v>5</v>
          </cell>
          <cell r="J602" t="str">
            <v>PremiumS</v>
          </cell>
          <cell r="K602" t="str">
            <v>attack</v>
          </cell>
          <cell r="L602" t="str">
            <v>攻撃タイプ</v>
          </cell>
          <cell r="M602" t="str">
            <v>dragon</v>
          </cell>
        </row>
        <row r="603">
          <cell r="A603">
            <v>602</v>
          </cell>
          <cell r="B603" t="str">
            <v>ja</v>
          </cell>
          <cell r="C603" t="str">
            <v>フレイヤ</v>
          </cell>
          <cell r="D603" t="str">
            <v>ガチャ:北欧02</v>
          </cell>
          <cell r="E603" t="str">
            <v>執行者</v>
          </cell>
          <cell r="F603" t="str">
            <v>格好いい</v>
          </cell>
          <cell r="G603" t="str">
            <v>女性</v>
          </cell>
          <cell r="H603" t="str">
            <v>blue</v>
          </cell>
          <cell r="I603">
            <v>4</v>
          </cell>
          <cell r="J603" t="str">
            <v>PremiumSS</v>
          </cell>
          <cell r="K603" t="str">
            <v>heal</v>
          </cell>
          <cell r="L603" t="str">
            <v>回復タイプ</v>
          </cell>
          <cell r="M603" t="str">
            <v>animal</v>
          </cell>
        </row>
        <row r="604">
          <cell r="A604">
            <v>603</v>
          </cell>
          <cell r="B604" t="str">
            <v>ja</v>
          </cell>
          <cell r="C604" t="str">
            <v>掌愛の豊穣女神 フレイヤ</v>
          </cell>
          <cell r="D604" t="str">
            <v>ガチャ:北欧02</v>
          </cell>
          <cell r="E604" t="str">
            <v>執行者</v>
          </cell>
          <cell r="F604" t="str">
            <v>格好いい</v>
          </cell>
          <cell r="G604" t="str">
            <v>女性</v>
          </cell>
          <cell r="H604" t="str">
            <v>blue</v>
          </cell>
          <cell r="I604">
            <v>5</v>
          </cell>
          <cell r="J604" t="str">
            <v>PremiumSS</v>
          </cell>
          <cell r="K604" t="str">
            <v>heal</v>
          </cell>
          <cell r="L604" t="str">
            <v>回復タイプ</v>
          </cell>
          <cell r="M604" t="str">
            <v>animal</v>
          </cell>
        </row>
        <row r="605">
          <cell r="A605">
            <v>604</v>
          </cell>
          <cell r="B605" t="str">
            <v>ja</v>
          </cell>
          <cell r="C605" t="str">
            <v>バルドル</v>
          </cell>
          <cell r="D605" t="str">
            <v>ガチャ:北欧02</v>
          </cell>
          <cell r="E605" t="str">
            <v>執行者</v>
          </cell>
          <cell r="F605" t="str">
            <v>格好いい</v>
          </cell>
          <cell r="G605" t="str">
            <v>男性</v>
          </cell>
          <cell r="H605" t="str">
            <v>yellow</v>
          </cell>
          <cell r="I605">
            <v>3</v>
          </cell>
          <cell r="J605" t="str">
            <v>PremiumS</v>
          </cell>
          <cell r="K605" t="str">
            <v>heal</v>
          </cell>
          <cell r="L605" t="str">
            <v>回復タイプ</v>
          </cell>
          <cell r="M605" t="str">
            <v>god</v>
          </cell>
        </row>
        <row r="606">
          <cell r="A606">
            <v>605</v>
          </cell>
          <cell r="B606" t="str">
            <v>ja</v>
          </cell>
          <cell r="C606" t="str">
            <v>祝福される光耀 バルドル</v>
          </cell>
          <cell r="D606" t="str">
            <v>ガチャ:北欧02</v>
          </cell>
          <cell r="E606" t="str">
            <v>執行者</v>
          </cell>
          <cell r="F606" t="str">
            <v>格好いい</v>
          </cell>
          <cell r="G606" t="str">
            <v>男性</v>
          </cell>
          <cell r="H606" t="str">
            <v>yellow</v>
          </cell>
          <cell r="I606">
            <v>4</v>
          </cell>
          <cell r="J606" t="str">
            <v>PremiumS</v>
          </cell>
          <cell r="K606" t="str">
            <v>heal</v>
          </cell>
          <cell r="L606" t="str">
            <v>回復タイプ</v>
          </cell>
          <cell r="M606" t="str">
            <v>god</v>
          </cell>
        </row>
        <row r="607">
          <cell r="A607">
            <v>606</v>
          </cell>
          <cell r="B607" t="str">
            <v>ja</v>
          </cell>
          <cell r="C607" t="str">
            <v>冀望の光芒 バルドル</v>
          </cell>
          <cell r="D607" t="str">
            <v>ガチャ:北欧02</v>
          </cell>
          <cell r="E607" t="str">
            <v>執行者</v>
          </cell>
          <cell r="F607" t="str">
            <v>格好いい</v>
          </cell>
          <cell r="G607" t="str">
            <v>男性</v>
          </cell>
          <cell r="H607" t="str">
            <v>yellow</v>
          </cell>
          <cell r="I607">
            <v>5</v>
          </cell>
          <cell r="J607" t="str">
            <v>PremiumS</v>
          </cell>
          <cell r="K607" t="str">
            <v>heal</v>
          </cell>
          <cell r="L607" t="str">
            <v>回復タイプ</v>
          </cell>
          <cell r="M607" t="str">
            <v>god</v>
          </cell>
        </row>
        <row r="608">
          <cell r="A608">
            <v>607</v>
          </cell>
          <cell r="B608" t="str">
            <v>ja</v>
          </cell>
          <cell r="C608" t="str">
            <v>メガ攻めの果実</v>
          </cell>
          <cell r="D608" t="str">
            <v>限界突破素材・攻撃・赤</v>
          </cell>
          <cell r="E608" t="str">
            <v>アリス</v>
          </cell>
          <cell r="F608" t="str">
            <v>世界観</v>
          </cell>
          <cell r="G608" t="str">
            <v>不明</v>
          </cell>
          <cell r="H608" t="str">
            <v>red</v>
          </cell>
          <cell r="I608">
            <v>4</v>
          </cell>
          <cell r="J608" t="str">
            <v>Material</v>
          </cell>
          <cell r="K608" t="str">
            <v>limitbreak</v>
          </cell>
          <cell r="L608" t="str">
            <v>限界突破素材</v>
          </cell>
          <cell r="M608" t="str">
            <v>unknown</v>
          </cell>
        </row>
        <row r="609">
          <cell r="A609">
            <v>608</v>
          </cell>
          <cell r="B609" t="str">
            <v>ja</v>
          </cell>
          <cell r="C609" t="str">
            <v>メガ生命の果実</v>
          </cell>
          <cell r="D609" t="str">
            <v>限界突破素材・体力・緑</v>
          </cell>
          <cell r="E609" t="str">
            <v>アリス</v>
          </cell>
          <cell r="F609" t="str">
            <v>世界観</v>
          </cell>
          <cell r="G609" t="str">
            <v>不明</v>
          </cell>
          <cell r="H609" t="str">
            <v>green</v>
          </cell>
          <cell r="I609">
            <v>4</v>
          </cell>
          <cell r="J609" t="str">
            <v>Material</v>
          </cell>
          <cell r="K609" t="str">
            <v>limitbreak</v>
          </cell>
          <cell r="L609" t="str">
            <v>限界突破素材</v>
          </cell>
          <cell r="M609" t="str">
            <v>unknown</v>
          </cell>
        </row>
        <row r="610">
          <cell r="A610">
            <v>609</v>
          </cell>
          <cell r="B610" t="str">
            <v>ja</v>
          </cell>
          <cell r="C610" t="str">
            <v>メガ癒しの果実</v>
          </cell>
          <cell r="D610" t="str">
            <v>限界突破素材・回復・青</v>
          </cell>
          <cell r="E610" t="str">
            <v>アリス</v>
          </cell>
          <cell r="F610" t="str">
            <v>世界観</v>
          </cell>
          <cell r="G610" t="str">
            <v>不明</v>
          </cell>
          <cell r="H610" t="str">
            <v>blue</v>
          </cell>
          <cell r="I610">
            <v>4</v>
          </cell>
          <cell r="J610" t="str">
            <v>Material</v>
          </cell>
          <cell r="K610" t="str">
            <v>limitbreak</v>
          </cell>
          <cell r="L610" t="str">
            <v>限界突破素材</v>
          </cell>
          <cell r="M610" t="str">
            <v>unknown</v>
          </cell>
        </row>
        <row r="611">
          <cell r="A611">
            <v>610</v>
          </cell>
          <cell r="B611" t="str">
            <v>ja</v>
          </cell>
          <cell r="C611" t="str">
            <v>メガ秘術の果実（+2）</v>
          </cell>
          <cell r="D611" t="str">
            <v>スキル進化素材</v>
          </cell>
          <cell r="E611" t="str">
            <v>アリス</v>
          </cell>
          <cell r="F611" t="str">
            <v>世界観</v>
          </cell>
          <cell r="G611" t="str">
            <v>不明</v>
          </cell>
          <cell r="H611" t="str">
            <v>blue</v>
          </cell>
          <cell r="I611">
            <v>4</v>
          </cell>
          <cell r="J611" t="str">
            <v>Material</v>
          </cell>
          <cell r="K611" t="str">
            <v>skilllevel</v>
          </cell>
          <cell r="L611" t="str">
            <v>スキルレベル素材</v>
          </cell>
          <cell r="M611" t="str">
            <v>unknown</v>
          </cell>
        </row>
        <row r="612">
          <cell r="A612">
            <v>611</v>
          </cell>
          <cell r="B612" t="str">
            <v>ja</v>
          </cell>
          <cell r="C612" t="str">
            <v>ギガ攻めの果実</v>
          </cell>
          <cell r="D612" t="str">
            <v>限界突破素材・攻撃・赤</v>
          </cell>
          <cell r="E612" t="str">
            <v>アリス</v>
          </cell>
          <cell r="F612" t="str">
            <v>世界観</v>
          </cell>
          <cell r="G612" t="str">
            <v>不明</v>
          </cell>
          <cell r="H612" t="str">
            <v>red</v>
          </cell>
          <cell r="I612">
            <v>5</v>
          </cell>
          <cell r="J612" t="str">
            <v>Material</v>
          </cell>
          <cell r="K612" t="str">
            <v>limitbreak</v>
          </cell>
          <cell r="L612" t="str">
            <v>限界突破素材</v>
          </cell>
          <cell r="M612" t="str">
            <v>unknown</v>
          </cell>
        </row>
        <row r="613">
          <cell r="A613">
            <v>612</v>
          </cell>
          <cell r="B613" t="str">
            <v>ja</v>
          </cell>
          <cell r="C613" t="str">
            <v>ギガ生命の果実</v>
          </cell>
          <cell r="D613" t="str">
            <v>限界突破素材・体力・緑</v>
          </cell>
          <cell r="E613" t="str">
            <v>アリス</v>
          </cell>
          <cell r="F613" t="str">
            <v>世界観</v>
          </cell>
          <cell r="G613" t="str">
            <v>不明</v>
          </cell>
          <cell r="H613" t="str">
            <v>green</v>
          </cell>
          <cell r="I613">
            <v>5</v>
          </cell>
          <cell r="J613" t="str">
            <v>Material</v>
          </cell>
          <cell r="K613" t="str">
            <v>limitbreak</v>
          </cell>
          <cell r="L613" t="str">
            <v>限界突破素材</v>
          </cell>
          <cell r="M613" t="str">
            <v>unknown</v>
          </cell>
        </row>
        <row r="614">
          <cell r="A614">
            <v>613</v>
          </cell>
          <cell r="B614" t="str">
            <v>ja</v>
          </cell>
          <cell r="C614" t="str">
            <v>ギガ癒しの果実</v>
          </cell>
          <cell r="D614" t="str">
            <v>限界突破素材・回復・青</v>
          </cell>
          <cell r="E614" t="str">
            <v>アリス</v>
          </cell>
          <cell r="F614" t="str">
            <v>世界観</v>
          </cell>
          <cell r="G614" t="str">
            <v>不明</v>
          </cell>
          <cell r="H614" t="str">
            <v>blue</v>
          </cell>
          <cell r="I614">
            <v>5</v>
          </cell>
          <cell r="J614" t="str">
            <v>Material</v>
          </cell>
          <cell r="K614" t="str">
            <v>limitbreak</v>
          </cell>
          <cell r="L614" t="str">
            <v>限界突破素材</v>
          </cell>
          <cell r="M614" t="str">
            <v>unknown</v>
          </cell>
        </row>
        <row r="615">
          <cell r="A615">
            <v>614</v>
          </cell>
          <cell r="B615" t="str">
            <v>ja</v>
          </cell>
          <cell r="C615" t="str">
            <v>ギガ秘術の果実（+4）</v>
          </cell>
          <cell r="D615" t="str">
            <v>スキル進化素材</v>
          </cell>
          <cell r="E615" t="str">
            <v>アリス</v>
          </cell>
          <cell r="F615" t="str">
            <v>世界観</v>
          </cell>
          <cell r="G615" t="str">
            <v>不明</v>
          </cell>
          <cell r="H615" t="str">
            <v>blue</v>
          </cell>
          <cell r="I615">
            <v>5</v>
          </cell>
          <cell r="J615" t="str">
            <v>Material</v>
          </cell>
          <cell r="K615" t="str">
            <v>skilllevel</v>
          </cell>
          <cell r="L615" t="str">
            <v>スキルレベル素材</v>
          </cell>
          <cell r="M615" t="str">
            <v>unknown</v>
          </cell>
        </row>
        <row r="616">
          <cell r="A616">
            <v>615</v>
          </cell>
          <cell r="B616" t="str">
            <v>ja</v>
          </cell>
          <cell r="C616" t="str">
            <v>ヒュドラ・コスモブラスト</v>
          </cell>
          <cell r="D616" t="str">
            <v>イベント:150DL</v>
          </cell>
          <cell r="E616" t="str">
            <v>執行者</v>
          </cell>
          <cell r="F616" t="str">
            <v>格好いい</v>
          </cell>
          <cell r="G616" t="str">
            <v>不明</v>
          </cell>
          <cell r="H616" t="str">
            <v>red</v>
          </cell>
          <cell r="I616">
            <v>5</v>
          </cell>
          <cell r="J616" t="str">
            <v>DropWizN</v>
          </cell>
          <cell r="K616" t="str">
            <v>attack</v>
          </cell>
          <cell r="L616" t="str">
            <v>攻撃タイプ</v>
          </cell>
          <cell r="M616" t="str">
            <v>dragon</v>
          </cell>
        </row>
        <row r="617">
          <cell r="A617">
            <v>616</v>
          </cell>
          <cell r="B617" t="str">
            <v>ja</v>
          </cell>
          <cell r="C617" t="str">
            <v>リンドブルム・デルタクラスター</v>
          </cell>
          <cell r="D617" t="str">
            <v>イベント:150DL</v>
          </cell>
          <cell r="E617" t="str">
            <v>執行者</v>
          </cell>
          <cell r="F617" t="str">
            <v>格好いい</v>
          </cell>
          <cell r="G617" t="str">
            <v>不明</v>
          </cell>
          <cell r="H617" t="str">
            <v>green</v>
          </cell>
          <cell r="I617">
            <v>5</v>
          </cell>
          <cell r="J617" t="str">
            <v>DropWizN</v>
          </cell>
          <cell r="K617" t="str">
            <v>attack</v>
          </cell>
          <cell r="L617" t="str">
            <v>攻撃タイプ</v>
          </cell>
          <cell r="M617" t="str">
            <v>dragon</v>
          </cell>
        </row>
        <row r="618">
          <cell r="A618">
            <v>617</v>
          </cell>
          <cell r="B618" t="str">
            <v>ja</v>
          </cell>
          <cell r="C618" t="str">
            <v>ラーフ・アルマゲドン</v>
          </cell>
          <cell r="D618" t="str">
            <v>イベント:150DL</v>
          </cell>
          <cell r="E618" t="str">
            <v>執行者</v>
          </cell>
          <cell r="F618" t="str">
            <v>格好いい</v>
          </cell>
          <cell r="G618" t="str">
            <v>不明</v>
          </cell>
          <cell r="H618" t="str">
            <v>blue</v>
          </cell>
          <cell r="I618">
            <v>5</v>
          </cell>
          <cell r="J618" t="str">
            <v>DropWizN</v>
          </cell>
          <cell r="K618" t="str">
            <v>balance</v>
          </cell>
          <cell r="L618" t="str">
            <v>バランスタイプ</v>
          </cell>
          <cell r="M618" t="str">
            <v>dragon</v>
          </cell>
        </row>
        <row r="619">
          <cell r="A619">
            <v>618</v>
          </cell>
          <cell r="B619" t="str">
            <v>ja</v>
          </cell>
          <cell r="C619" t="str">
            <v>フェルニゲシュ・オメガドライブ</v>
          </cell>
          <cell r="D619" t="str">
            <v>イベント:150DL</v>
          </cell>
          <cell r="E619" t="str">
            <v>執行者</v>
          </cell>
          <cell r="F619" t="str">
            <v>格好いい</v>
          </cell>
          <cell r="G619" t="str">
            <v>不明</v>
          </cell>
          <cell r="H619" t="str">
            <v>yellow</v>
          </cell>
          <cell r="I619">
            <v>5</v>
          </cell>
          <cell r="J619" t="str">
            <v>DropWizN</v>
          </cell>
          <cell r="K619" t="str">
            <v>technical</v>
          </cell>
          <cell r="L619" t="str">
            <v>テクニカルタイプ</v>
          </cell>
          <cell r="M619" t="str">
            <v>dragon</v>
          </cell>
        </row>
        <row r="620">
          <cell r="A620">
            <v>619</v>
          </cell>
          <cell r="B620" t="str">
            <v>ja</v>
          </cell>
          <cell r="C620" t="str">
            <v>メビウス</v>
          </cell>
          <cell r="D620" t="str">
            <v>ガチャ:DL記念01</v>
          </cell>
          <cell r="E620" t="str">
            <v>執行者</v>
          </cell>
          <cell r="F620" t="str">
            <v>格好いい</v>
          </cell>
          <cell r="G620" t="str">
            <v>女性</v>
          </cell>
          <cell r="H620" t="str">
            <v>blue</v>
          </cell>
          <cell r="I620">
            <v>4</v>
          </cell>
          <cell r="J620" t="str">
            <v>PremiumSSS</v>
          </cell>
          <cell r="K620" t="str">
            <v>balance</v>
          </cell>
          <cell r="L620" t="str">
            <v>バランスタイプ</v>
          </cell>
          <cell r="M620" t="str">
            <v>human</v>
          </cell>
        </row>
        <row r="621">
          <cell r="A621">
            <v>620</v>
          </cell>
          <cell r="B621" t="str">
            <v>ja</v>
          </cell>
          <cell r="C621" t="str">
            <v>奇跡の調和 メビウス</v>
          </cell>
          <cell r="D621" t="str">
            <v>ガチャ:DL記念01</v>
          </cell>
          <cell r="E621" t="str">
            <v>執行者</v>
          </cell>
          <cell r="F621" t="str">
            <v>格好いい</v>
          </cell>
          <cell r="G621" t="str">
            <v>女性</v>
          </cell>
          <cell r="H621" t="str">
            <v>blue</v>
          </cell>
          <cell r="I621">
            <v>5</v>
          </cell>
          <cell r="J621" t="str">
            <v>PremiumSSS</v>
          </cell>
          <cell r="K621" t="str">
            <v>balance</v>
          </cell>
          <cell r="L621" t="str">
            <v>バランスタイプ</v>
          </cell>
          <cell r="M621" t="str">
            <v>human</v>
          </cell>
        </row>
        <row r="622">
          <cell r="A622">
            <v>621</v>
          </cell>
          <cell r="B622" t="str">
            <v>ja</v>
          </cell>
          <cell r="C622" t="str">
            <v>メビウス</v>
          </cell>
          <cell r="D622" t="str">
            <v>ガチャ:DL記念01</v>
          </cell>
          <cell r="E622" t="str">
            <v>執行者</v>
          </cell>
          <cell r="F622" t="str">
            <v>格好いい</v>
          </cell>
          <cell r="G622" t="str">
            <v>女性</v>
          </cell>
          <cell r="H622" t="str">
            <v>blue</v>
          </cell>
          <cell r="I622">
            <v>6</v>
          </cell>
          <cell r="J622" t="str">
            <v>PremiumSSS</v>
          </cell>
          <cell r="K622" t="str">
            <v>balance</v>
          </cell>
          <cell r="L622" t="str">
            <v>バランスタイプ</v>
          </cell>
          <cell r="M622" t="str">
            <v>human</v>
          </cell>
        </row>
        <row r="623">
          <cell r="A623">
            <v>622</v>
          </cell>
          <cell r="B623" t="str">
            <v>ja</v>
          </cell>
          <cell r="C623" t="str">
            <v>フェルマー</v>
          </cell>
          <cell r="D623" t="str">
            <v>ガチャ:DL記念02</v>
          </cell>
          <cell r="E623" t="str">
            <v>執行者</v>
          </cell>
          <cell r="F623" t="str">
            <v>格好いい</v>
          </cell>
          <cell r="G623" t="str">
            <v>女性</v>
          </cell>
          <cell r="H623" t="str">
            <v>blue</v>
          </cell>
          <cell r="I623">
            <v>4</v>
          </cell>
          <cell r="J623" t="str">
            <v>PremiumSSS</v>
          </cell>
          <cell r="K623" t="str">
            <v>attack</v>
          </cell>
          <cell r="L623" t="str">
            <v>攻撃タイプ</v>
          </cell>
          <cell r="M623" t="str">
            <v>human</v>
          </cell>
        </row>
        <row r="624">
          <cell r="A624">
            <v>623</v>
          </cell>
          <cell r="B624" t="str">
            <v>ja</v>
          </cell>
          <cell r="C624" t="str">
            <v>フェルマー</v>
          </cell>
          <cell r="D624" t="str">
            <v>ガチャ:DL記念02</v>
          </cell>
          <cell r="E624" t="str">
            <v>執行者</v>
          </cell>
          <cell r="F624" t="str">
            <v>格好いい</v>
          </cell>
          <cell r="G624" t="str">
            <v>女性</v>
          </cell>
          <cell r="H624" t="str">
            <v>blue</v>
          </cell>
          <cell r="I624">
            <v>5</v>
          </cell>
          <cell r="J624" t="str">
            <v>PremiumSSS</v>
          </cell>
          <cell r="K624" t="str">
            <v>attack</v>
          </cell>
          <cell r="L624" t="str">
            <v>攻撃タイプ</v>
          </cell>
          <cell r="M624" t="str">
            <v>human</v>
          </cell>
        </row>
        <row r="625">
          <cell r="A625">
            <v>624</v>
          </cell>
          <cell r="B625" t="str">
            <v>ja</v>
          </cell>
          <cell r="C625" t="str">
            <v>フェルマー</v>
          </cell>
          <cell r="D625" t="str">
            <v>ガチャ:DL記念02</v>
          </cell>
          <cell r="E625" t="str">
            <v>執行者</v>
          </cell>
          <cell r="F625" t="str">
            <v>格好いい</v>
          </cell>
          <cell r="G625" t="str">
            <v>女性</v>
          </cell>
          <cell r="H625" t="str">
            <v>blue</v>
          </cell>
          <cell r="I625">
            <v>6</v>
          </cell>
          <cell r="J625" t="str">
            <v>PremiumSSS</v>
          </cell>
          <cell r="K625" t="str">
            <v>attack</v>
          </cell>
          <cell r="L625" t="str">
            <v>攻撃タイプ</v>
          </cell>
          <cell r="M625" t="str">
            <v>human</v>
          </cell>
        </row>
        <row r="626">
          <cell r="A626">
            <v>625</v>
          </cell>
          <cell r="B626" t="str">
            <v>ja</v>
          </cell>
          <cell r="C626" t="str">
            <v>デカルト</v>
          </cell>
          <cell r="D626" t="str">
            <v>チャレンジタワー</v>
          </cell>
          <cell r="E626" t="str">
            <v>執行者</v>
          </cell>
          <cell r="F626" t="str">
            <v>格好いい</v>
          </cell>
          <cell r="G626" t="str">
            <v>女性</v>
          </cell>
          <cell r="H626" t="str">
            <v>green</v>
          </cell>
          <cell r="I626">
            <v>4</v>
          </cell>
          <cell r="J626" t="str">
            <v>DropWizN</v>
          </cell>
          <cell r="K626" t="str">
            <v>attack</v>
          </cell>
          <cell r="L626" t="str">
            <v>攻撃タイプ</v>
          </cell>
          <cell r="M626" t="str">
            <v>human</v>
          </cell>
        </row>
        <row r="627">
          <cell r="A627">
            <v>626</v>
          </cell>
          <cell r="B627" t="str">
            <v>ja</v>
          </cell>
          <cell r="C627" t="str">
            <v>デカルト</v>
          </cell>
          <cell r="D627" t="str">
            <v>チャレンジタワー</v>
          </cell>
          <cell r="E627" t="str">
            <v>執行者</v>
          </cell>
          <cell r="F627" t="str">
            <v>格好いい</v>
          </cell>
          <cell r="G627" t="str">
            <v>女性</v>
          </cell>
          <cell r="H627" t="str">
            <v>green</v>
          </cell>
          <cell r="I627">
            <v>5</v>
          </cell>
          <cell r="J627" t="str">
            <v>DropWizN</v>
          </cell>
          <cell r="K627" t="str">
            <v>attack</v>
          </cell>
          <cell r="L627" t="str">
            <v>攻撃タイプ</v>
          </cell>
          <cell r="M627" t="str">
            <v>human</v>
          </cell>
        </row>
        <row r="628">
          <cell r="A628">
            <v>627</v>
          </cell>
          <cell r="B628" t="str">
            <v>ja</v>
          </cell>
          <cell r="C628" t="str">
            <v>ガルヴァーニ</v>
          </cell>
          <cell r="D628" t="str">
            <v>チャレンジタワー</v>
          </cell>
          <cell r="E628" t="str">
            <v>執行者</v>
          </cell>
          <cell r="F628" t="str">
            <v>格好いい</v>
          </cell>
          <cell r="G628" t="str">
            <v>男性</v>
          </cell>
          <cell r="H628" t="str">
            <v>yellow</v>
          </cell>
          <cell r="I628">
            <v>4</v>
          </cell>
          <cell r="J628" t="str">
            <v>DropWizN</v>
          </cell>
          <cell r="K628" t="str">
            <v>attack</v>
          </cell>
          <cell r="L628" t="str">
            <v>攻撃タイプ</v>
          </cell>
          <cell r="M628" t="str">
            <v>human</v>
          </cell>
        </row>
        <row r="629">
          <cell r="A629">
            <v>628</v>
          </cell>
          <cell r="B629" t="str">
            <v>ja</v>
          </cell>
          <cell r="C629" t="str">
            <v>ガルヴァーニ</v>
          </cell>
          <cell r="D629" t="str">
            <v>チャレンジタワー</v>
          </cell>
          <cell r="E629" t="str">
            <v>執行者</v>
          </cell>
          <cell r="F629" t="str">
            <v>格好いい</v>
          </cell>
          <cell r="G629" t="str">
            <v>男性</v>
          </cell>
          <cell r="H629" t="str">
            <v>yellow</v>
          </cell>
          <cell r="I629">
            <v>5</v>
          </cell>
          <cell r="J629" t="str">
            <v>DropWizN</v>
          </cell>
          <cell r="K629" t="str">
            <v>attack</v>
          </cell>
          <cell r="L629" t="str">
            <v>攻撃タイプ</v>
          </cell>
          <cell r="M629" t="str">
            <v>human</v>
          </cell>
        </row>
        <row r="630">
          <cell r="A630">
            <v>629</v>
          </cell>
          <cell r="B630" t="str">
            <v>ja</v>
          </cell>
          <cell r="C630" t="str">
            <v>フーリエ</v>
          </cell>
          <cell r="D630" t="str">
            <v>チャレンジタワー</v>
          </cell>
          <cell r="E630" t="str">
            <v>執行者</v>
          </cell>
          <cell r="F630" t="str">
            <v>格好いい</v>
          </cell>
          <cell r="G630" t="str">
            <v>女性</v>
          </cell>
          <cell r="H630" t="str">
            <v>blue</v>
          </cell>
          <cell r="I630">
            <v>4</v>
          </cell>
          <cell r="J630" t="str">
            <v>DropWizN</v>
          </cell>
          <cell r="K630" t="str">
            <v>attack</v>
          </cell>
          <cell r="L630" t="str">
            <v>攻撃タイプ</v>
          </cell>
          <cell r="M630" t="str">
            <v>human</v>
          </cell>
        </row>
        <row r="631">
          <cell r="A631">
            <v>630</v>
          </cell>
          <cell r="B631" t="str">
            <v>ja</v>
          </cell>
          <cell r="C631" t="str">
            <v>フーリエ</v>
          </cell>
          <cell r="D631" t="str">
            <v>チャレンジタワー</v>
          </cell>
          <cell r="E631" t="str">
            <v>執行者</v>
          </cell>
          <cell r="F631" t="str">
            <v>格好いい</v>
          </cell>
          <cell r="G631" t="str">
            <v>女性</v>
          </cell>
          <cell r="H631" t="str">
            <v>blue</v>
          </cell>
          <cell r="I631">
            <v>5</v>
          </cell>
          <cell r="J631" t="str">
            <v>DropWizN</v>
          </cell>
          <cell r="K631" t="str">
            <v>attack</v>
          </cell>
          <cell r="L631" t="str">
            <v>攻撃タイプ</v>
          </cell>
          <cell r="M631" t="str">
            <v>human</v>
          </cell>
        </row>
        <row r="632">
          <cell r="A632">
            <v>631</v>
          </cell>
          <cell r="B632" t="str">
            <v>ja</v>
          </cell>
          <cell r="C632" t="str">
            <v>赤アニマル</v>
          </cell>
          <cell r="D632" t="str">
            <v>未定</v>
          </cell>
          <cell r="E632" t="str">
            <v>執行者</v>
          </cell>
          <cell r="F632" t="str">
            <v>格好いい</v>
          </cell>
          <cell r="G632" t="str">
            <v>不明</v>
          </cell>
          <cell r="H632" t="str">
            <v>red</v>
          </cell>
          <cell r="I632">
            <v>4</v>
          </cell>
          <cell r="J632" t="str">
            <v>PremiumSS</v>
          </cell>
          <cell r="K632" t="str">
            <v>attack</v>
          </cell>
          <cell r="L632" t="str">
            <v>攻撃タイプ</v>
          </cell>
          <cell r="M632" t="str">
            <v>animal</v>
          </cell>
        </row>
        <row r="633">
          <cell r="A633">
            <v>632</v>
          </cell>
          <cell r="B633" t="str">
            <v>ja</v>
          </cell>
          <cell r="C633" t="str">
            <v>赤アニマル</v>
          </cell>
          <cell r="D633" t="str">
            <v>未定</v>
          </cell>
          <cell r="E633" t="str">
            <v>執行者</v>
          </cell>
          <cell r="F633" t="str">
            <v>格好いい</v>
          </cell>
          <cell r="G633" t="str">
            <v>不明</v>
          </cell>
          <cell r="H633" t="str">
            <v>red</v>
          </cell>
          <cell r="I633">
            <v>5</v>
          </cell>
          <cell r="J633" t="str">
            <v>PremiumSS</v>
          </cell>
          <cell r="K633" t="str">
            <v>attack</v>
          </cell>
          <cell r="L633" t="str">
            <v>攻撃タイプ</v>
          </cell>
          <cell r="M633" t="str">
            <v>animal</v>
          </cell>
        </row>
        <row r="634">
          <cell r="A634">
            <v>633</v>
          </cell>
          <cell r="B634" t="str">
            <v>ja</v>
          </cell>
          <cell r="C634" t="str">
            <v>赤ドラゴン</v>
          </cell>
          <cell r="D634" t="str">
            <v>未定</v>
          </cell>
          <cell r="E634" t="str">
            <v>執行者</v>
          </cell>
          <cell r="F634" t="str">
            <v>格好いい</v>
          </cell>
          <cell r="G634" t="str">
            <v>不明</v>
          </cell>
          <cell r="H634" t="str">
            <v>red</v>
          </cell>
          <cell r="I634">
            <v>3</v>
          </cell>
          <cell r="J634" t="str">
            <v>PremiumS</v>
          </cell>
          <cell r="K634" t="str">
            <v>attack</v>
          </cell>
          <cell r="L634" t="str">
            <v>攻撃タイプ</v>
          </cell>
          <cell r="M634" t="str">
            <v>dragon</v>
          </cell>
        </row>
        <row r="635">
          <cell r="A635">
            <v>634</v>
          </cell>
          <cell r="B635" t="str">
            <v>ja</v>
          </cell>
          <cell r="C635" t="str">
            <v>赤ドラゴン</v>
          </cell>
          <cell r="D635" t="str">
            <v>未定</v>
          </cell>
          <cell r="E635" t="str">
            <v>執行者</v>
          </cell>
          <cell r="F635" t="str">
            <v>格好いい</v>
          </cell>
          <cell r="G635" t="str">
            <v>不明</v>
          </cell>
          <cell r="H635" t="str">
            <v>red</v>
          </cell>
          <cell r="I635">
            <v>4</v>
          </cell>
          <cell r="J635" t="str">
            <v>PremiumS</v>
          </cell>
          <cell r="K635" t="str">
            <v>attack</v>
          </cell>
          <cell r="L635" t="str">
            <v>攻撃タイプ</v>
          </cell>
          <cell r="M635" t="str">
            <v>dragon</v>
          </cell>
        </row>
        <row r="636">
          <cell r="A636">
            <v>635</v>
          </cell>
          <cell r="B636" t="str">
            <v>ja</v>
          </cell>
          <cell r="C636" t="str">
            <v>赤ドラゴン</v>
          </cell>
          <cell r="D636" t="str">
            <v>未定</v>
          </cell>
          <cell r="E636" t="str">
            <v>執行者</v>
          </cell>
          <cell r="F636" t="str">
            <v>格好いい</v>
          </cell>
          <cell r="G636" t="str">
            <v>不明</v>
          </cell>
          <cell r="H636" t="str">
            <v>red</v>
          </cell>
          <cell r="I636">
            <v>5</v>
          </cell>
          <cell r="J636" t="str">
            <v>PremiumS</v>
          </cell>
          <cell r="K636" t="str">
            <v>attack</v>
          </cell>
          <cell r="L636" t="str">
            <v>攻撃タイプ</v>
          </cell>
          <cell r="M636" t="str">
            <v>dragon</v>
          </cell>
        </row>
        <row r="637">
          <cell r="A637">
            <v>636</v>
          </cell>
          <cell r="B637" t="str">
            <v>ja</v>
          </cell>
          <cell r="C637" t="str">
            <v>コードレッド</v>
          </cell>
          <cell r="D637" t="str">
            <v>未定</v>
          </cell>
          <cell r="E637" t="str">
            <v>執行者</v>
          </cell>
          <cell r="F637" t="str">
            <v>格好いい</v>
          </cell>
          <cell r="G637" t="str">
            <v>不明</v>
          </cell>
          <cell r="H637" t="str">
            <v>red</v>
          </cell>
          <cell r="I637">
            <v>3</v>
          </cell>
          <cell r="J637" t="str">
            <v>PremiumS</v>
          </cell>
          <cell r="K637" t="str">
            <v>attack</v>
          </cell>
          <cell r="L637" t="str">
            <v>攻撃タイプ</v>
          </cell>
          <cell r="M637" t="str">
            <v>unknown</v>
          </cell>
        </row>
        <row r="638">
          <cell r="A638">
            <v>637</v>
          </cell>
          <cell r="B638" t="str">
            <v>ja</v>
          </cell>
          <cell r="C638" t="str">
            <v>増殖感染型コードレッド</v>
          </cell>
          <cell r="D638" t="str">
            <v>未定</v>
          </cell>
          <cell r="E638" t="str">
            <v>執行者</v>
          </cell>
          <cell r="F638" t="str">
            <v>格好いい</v>
          </cell>
          <cell r="G638" t="str">
            <v>不明</v>
          </cell>
          <cell r="H638" t="str">
            <v>red</v>
          </cell>
          <cell r="I638">
            <v>4</v>
          </cell>
          <cell r="J638" t="str">
            <v>PremiumS</v>
          </cell>
          <cell r="K638" t="str">
            <v>attack</v>
          </cell>
          <cell r="L638" t="str">
            <v>攻撃タイプ</v>
          </cell>
          <cell r="M638" t="str">
            <v>unknown</v>
          </cell>
        </row>
        <row r="639">
          <cell r="A639">
            <v>638</v>
          </cell>
          <cell r="B639" t="str">
            <v>ja</v>
          </cell>
          <cell r="C639" t="str">
            <v>コードレッド</v>
          </cell>
          <cell r="D639" t="str">
            <v>未定</v>
          </cell>
          <cell r="E639" t="str">
            <v>執行者</v>
          </cell>
          <cell r="F639" t="str">
            <v>格好いい</v>
          </cell>
          <cell r="G639" t="str">
            <v>不明</v>
          </cell>
          <cell r="H639" t="str">
            <v>red</v>
          </cell>
          <cell r="I639">
            <v>5</v>
          </cell>
          <cell r="J639" t="str">
            <v>PremiumS</v>
          </cell>
          <cell r="K639" t="str">
            <v>attack</v>
          </cell>
          <cell r="L639" t="str">
            <v>攻撃タイプ</v>
          </cell>
          <cell r="M639" t="str">
            <v>unknown</v>
          </cell>
        </row>
        <row r="640">
          <cell r="A640">
            <v>639</v>
          </cell>
          <cell r="B640" t="str">
            <v>ja</v>
          </cell>
          <cell r="C640" t="str">
            <v>ライオネル</v>
          </cell>
          <cell r="D640" t="str">
            <v>未定</v>
          </cell>
          <cell r="E640" t="str">
            <v>執行者</v>
          </cell>
          <cell r="F640" t="str">
            <v>格好いい</v>
          </cell>
          <cell r="G640" t="str">
            <v>不明</v>
          </cell>
          <cell r="H640" t="str">
            <v>red</v>
          </cell>
          <cell r="I640">
            <v>3</v>
          </cell>
          <cell r="J640" t="str">
            <v>PremiumS</v>
          </cell>
          <cell r="K640" t="str">
            <v>attack</v>
          </cell>
          <cell r="L640" t="str">
            <v>攻撃タイプ</v>
          </cell>
          <cell r="M640" t="str">
            <v>animal</v>
          </cell>
        </row>
        <row r="641">
          <cell r="A641">
            <v>640</v>
          </cell>
          <cell r="B641" t="str">
            <v>ja</v>
          </cell>
          <cell r="C641" t="str">
            <v>ライオネル</v>
          </cell>
          <cell r="D641" t="str">
            <v>未定</v>
          </cell>
          <cell r="E641" t="str">
            <v>執行者</v>
          </cell>
          <cell r="F641" t="str">
            <v>格好いい</v>
          </cell>
          <cell r="G641" t="str">
            <v>不明</v>
          </cell>
          <cell r="H641" t="str">
            <v>red</v>
          </cell>
          <cell r="I641">
            <v>4</v>
          </cell>
          <cell r="J641" t="str">
            <v>PremiumS</v>
          </cell>
          <cell r="K641" t="str">
            <v>attack</v>
          </cell>
          <cell r="L641" t="str">
            <v>攻撃タイプ</v>
          </cell>
          <cell r="M641" t="str">
            <v>animal</v>
          </cell>
        </row>
        <row r="642">
          <cell r="A642">
            <v>641</v>
          </cell>
          <cell r="B642" t="str">
            <v>ja</v>
          </cell>
          <cell r="C642" t="str">
            <v>ライオネル</v>
          </cell>
          <cell r="D642" t="str">
            <v>未定</v>
          </cell>
          <cell r="E642" t="str">
            <v>執行者</v>
          </cell>
          <cell r="F642" t="str">
            <v>格好いい</v>
          </cell>
          <cell r="G642" t="str">
            <v>不明</v>
          </cell>
          <cell r="H642" t="str">
            <v>red</v>
          </cell>
          <cell r="I642">
            <v>5</v>
          </cell>
          <cell r="J642" t="str">
            <v>PremiumS</v>
          </cell>
          <cell r="K642" t="str">
            <v>attack</v>
          </cell>
          <cell r="L642" t="str">
            <v>攻撃タイプ</v>
          </cell>
          <cell r="M642" t="str">
            <v>animal</v>
          </cell>
        </row>
        <row r="643">
          <cell r="A643">
            <v>642</v>
          </cell>
          <cell r="B643" t="str">
            <v>ja</v>
          </cell>
          <cell r="C643" t="str">
            <v>カーマ</v>
          </cell>
          <cell r="D643" t="str">
            <v>イベント:ウィザード</v>
          </cell>
          <cell r="E643" t="str">
            <v>執行者</v>
          </cell>
          <cell r="F643" t="str">
            <v>格好いい</v>
          </cell>
          <cell r="G643" t="str">
            <v>男性</v>
          </cell>
          <cell r="H643" t="str">
            <v>red</v>
          </cell>
          <cell r="I643">
            <v>4</v>
          </cell>
          <cell r="J643" t="str">
            <v>DropWizS</v>
          </cell>
          <cell r="K643" t="str">
            <v>attack</v>
          </cell>
          <cell r="L643" t="str">
            <v>攻撃タイプ</v>
          </cell>
          <cell r="M643" t="str">
            <v>god</v>
          </cell>
        </row>
        <row r="644">
          <cell r="A644">
            <v>643</v>
          </cell>
          <cell r="B644" t="str">
            <v>ja</v>
          </cell>
          <cell r="C644" t="str">
            <v>愛花天神 カーマ</v>
          </cell>
          <cell r="D644" t="str">
            <v>イベント:ウィザード</v>
          </cell>
          <cell r="E644" t="str">
            <v>執行者</v>
          </cell>
          <cell r="F644" t="str">
            <v>格好いい</v>
          </cell>
          <cell r="G644" t="str">
            <v>男性</v>
          </cell>
          <cell r="H644" t="str">
            <v>red</v>
          </cell>
          <cell r="I644">
            <v>5</v>
          </cell>
          <cell r="J644" t="str">
            <v>DropWizS</v>
          </cell>
          <cell r="K644" t="str">
            <v>attack</v>
          </cell>
          <cell r="L644" t="str">
            <v>攻撃タイプ</v>
          </cell>
          <cell r="M644" t="str">
            <v>god</v>
          </cell>
        </row>
        <row r="645">
          <cell r="A645">
            <v>644</v>
          </cell>
          <cell r="B645" t="str">
            <v>ja</v>
          </cell>
          <cell r="C645" t="str">
            <v>滑瓢 ショウキ</v>
          </cell>
          <cell r="D645" t="str">
            <v>イベント:ウィザード</v>
          </cell>
          <cell r="E645" t="str">
            <v>執行者</v>
          </cell>
          <cell r="F645" t="str">
            <v>格好いい</v>
          </cell>
          <cell r="G645" t="str">
            <v>男性</v>
          </cell>
          <cell r="H645" t="str">
            <v>green</v>
          </cell>
          <cell r="I645">
            <v>4</v>
          </cell>
          <cell r="J645" t="str">
            <v>DropWizS</v>
          </cell>
          <cell r="K645" t="str">
            <v>technical</v>
          </cell>
          <cell r="L645" t="str">
            <v>テクニカルタイプ</v>
          </cell>
          <cell r="M645" t="str">
            <v>human</v>
          </cell>
        </row>
        <row r="646">
          <cell r="A646">
            <v>645</v>
          </cell>
          <cell r="B646" t="str">
            <v>ja</v>
          </cell>
          <cell r="C646" t="str">
            <v>百鬼夜行の創大将 ショウキ</v>
          </cell>
          <cell r="D646" t="str">
            <v>イベント:ウィザード</v>
          </cell>
          <cell r="E646" t="str">
            <v>執行者</v>
          </cell>
          <cell r="F646" t="str">
            <v>格好いい</v>
          </cell>
          <cell r="G646" t="str">
            <v>男性</v>
          </cell>
          <cell r="H646" t="str">
            <v>green</v>
          </cell>
          <cell r="I646">
            <v>5</v>
          </cell>
          <cell r="J646" t="str">
            <v>DropWizS</v>
          </cell>
          <cell r="K646" t="str">
            <v>technical</v>
          </cell>
          <cell r="L646" t="str">
            <v>テクニカルタイプ</v>
          </cell>
          <cell r="M646" t="str">
            <v>human</v>
          </cell>
        </row>
        <row r="647">
          <cell r="A647">
            <v>646</v>
          </cell>
          <cell r="B647" t="str">
            <v>ja</v>
          </cell>
          <cell r="C647" t="str">
            <v>雪女 ユキ</v>
          </cell>
          <cell r="D647" t="str">
            <v>イベント:妖怪01</v>
          </cell>
          <cell r="E647" t="str">
            <v>執行者</v>
          </cell>
          <cell r="F647" t="str">
            <v>格好いい</v>
          </cell>
          <cell r="G647" t="str">
            <v>女性</v>
          </cell>
          <cell r="H647" t="str">
            <v>blue</v>
          </cell>
          <cell r="I647">
            <v>4</v>
          </cell>
          <cell r="J647" t="str">
            <v>Drop2N</v>
          </cell>
          <cell r="K647" t="str">
            <v>balance</v>
          </cell>
          <cell r="L647" t="str">
            <v>バランスタイプ</v>
          </cell>
          <cell r="M647" t="str">
            <v>unknown</v>
          </cell>
        </row>
        <row r="648">
          <cell r="A648">
            <v>647</v>
          </cell>
          <cell r="B648" t="str">
            <v>ja</v>
          </cell>
          <cell r="C648" t="str">
            <v>氷麗の雪化生 ユキ</v>
          </cell>
          <cell r="D648" t="str">
            <v>イベント:妖怪01</v>
          </cell>
          <cell r="E648" t="str">
            <v>執行者</v>
          </cell>
          <cell r="F648" t="str">
            <v>格好いい</v>
          </cell>
          <cell r="G648" t="str">
            <v>女性</v>
          </cell>
          <cell r="H648" t="str">
            <v>blue</v>
          </cell>
          <cell r="I648">
            <v>5</v>
          </cell>
          <cell r="J648" t="str">
            <v>Drop2N</v>
          </cell>
          <cell r="K648" t="str">
            <v>balance</v>
          </cell>
          <cell r="L648" t="str">
            <v>バランスタイプ</v>
          </cell>
          <cell r="M648" t="str">
            <v>unknown</v>
          </cell>
        </row>
        <row r="649">
          <cell r="A649">
            <v>648</v>
          </cell>
          <cell r="B649" t="str">
            <v>ja</v>
          </cell>
          <cell r="C649" t="str">
            <v>パールヴァティ</v>
          </cell>
          <cell r="D649" t="str">
            <v>イベント:ヒンドゥー01</v>
          </cell>
          <cell r="E649" t="str">
            <v>執行者</v>
          </cell>
          <cell r="F649" t="str">
            <v>格好いい</v>
          </cell>
          <cell r="G649" t="str">
            <v>女性</v>
          </cell>
          <cell r="H649" t="str">
            <v>blue</v>
          </cell>
          <cell r="I649">
            <v>4</v>
          </cell>
          <cell r="J649" t="str">
            <v>DropWizS</v>
          </cell>
          <cell r="K649" t="str">
            <v>heal</v>
          </cell>
          <cell r="L649" t="str">
            <v>回復タイプ</v>
          </cell>
          <cell r="M649" t="str">
            <v>god</v>
          </cell>
        </row>
        <row r="650">
          <cell r="A650">
            <v>649</v>
          </cell>
          <cell r="B650" t="str">
            <v>ja</v>
          </cell>
          <cell r="C650" t="str">
            <v>寄咲く一輪華 パールヴァティ</v>
          </cell>
          <cell r="D650" t="str">
            <v>イベント:ヒンドゥー01</v>
          </cell>
          <cell r="E650" t="str">
            <v>執行者</v>
          </cell>
          <cell r="F650" t="str">
            <v>格好いい</v>
          </cell>
          <cell r="G650" t="str">
            <v>女性</v>
          </cell>
          <cell r="H650" t="str">
            <v>blue</v>
          </cell>
          <cell r="I650">
            <v>5</v>
          </cell>
          <cell r="J650" t="str">
            <v>DropWizS</v>
          </cell>
          <cell r="K650" t="str">
            <v>heal</v>
          </cell>
          <cell r="L650" t="str">
            <v>回復タイプ</v>
          </cell>
          <cell r="M650" t="str">
            <v>god</v>
          </cell>
        </row>
        <row r="651">
          <cell r="A651">
            <v>650</v>
          </cell>
          <cell r="B651" t="str">
            <v>ja</v>
          </cell>
          <cell r="C651" t="str">
            <v>土蜘蛛 ユウヤ</v>
          </cell>
          <cell r="D651" t="str">
            <v>イベント:妖怪01</v>
          </cell>
          <cell r="E651" t="str">
            <v>執行者</v>
          </cell>
          <cell r="F651" t="str">
            <v>格好いい</v>
          </cell>
          <cell r="G651" t="str">
            <v>男性</v>
          </cell>
          <cell r="H651" t="str">
            <v>yellow</v>
          </cell>
          <cell r="I651">
            <v>4</v>
          </cell>
          <cell r="J651" t="str">
            <v>Drop2N</v>
          </cell>
          <cell r="K651" t="str">
            <v>technical</v>
          </cell>
          <cell r="L651" t="str">
            <v>テクニカルタイプ</v>
          </cell>
          <cell r="M651" t="str">
            <v>animal</v>
          </cell>
        </row>
        <row r="652">
          <cell r="A652">
            <v>651</v>
          </cell>
          <cell r="B652" t="str">
            <v>ja</v>
          </cell>
          <cell r="C652" t="str">
            <v>八重祟障 ユウヤ</v>
          </cell>
          <cell r="D652" t="str">
            <v>イベント:妖怪01</v>
          </cell>
          <cell r="E652" t="str">
            <v>執行者</v>
          </cell>
          <cell r="F652" t="str">
            <v>格好いい</v>
          </cell>
          <cell r="G652" t="str">
            <v>男性</v>
          </cell>
          <cell r="H652" t="str">
            <v>yellow</v>
          </cell>
          <cell r="I652">
            <v>5</v>
          </cell>
          <cell r="J652" t="str">
            <v>Drop2N</v>
          </cell>
          <cell r="K652" t="str">
            <v>technical</v>
          </cell>
          <cell r="L652" t="str">
            <v>テクニカルタイプ</v>
          </cell>
          <cell r="M652" t="str">
            <v>animal</v>
          </cell>
        </row>
        <row r="653">
          <cell r="A653">
            <v>652</v>
          </cell>
          <cell r="B653" t="str">
            <v>ja</v>
          </cell>
          <cell r="C653" t="str">
            <v>アナンタ</v>
          </cell>
          <cell r="D653" t="str">
            <v>イベント:ヒンドゥー01</v>
          </cell>
          <cell r="E653" t="str">
            <v>執行者</v>
          </cell>
          <cell r="F653" t="str">
            <v>格好いい</v>
          </cell>
          <cell r="G653" t="str">
            <v>不明</v>
          </cell>
          <cell r="H653" t="str">
            <v>yellow</v>
          </cell>
          <cell r="I653">
            <v>4</v>
          </cell>
          <cell r="J653" t="str">
            <v>Drop2N</v>
          </cell>
          <cell r="K653" t="str">
            <v>hp</v>
          </cell>
          <cell r="L653" t="str">
            <v>体力タイプ</v>
          </cell>
          <cell r="M653" t="str">
            <v>dragon</v>
          </cell>
        </row>
        <row r="654">
          <cell r="A654">
            <v>653</v>
          </cell>
          <cell r="B654" t="str">
            <v>ja</v>
          </cell>
          <cell r="C654" t="str">
            <v>悠久の狡蛇 アナンタ</v>
          </cell>
          <cell r="D654" t="str">
            <v>イベント:ヒンドゥー01</v>
          </cell>
          <cell r="E654" t="str">
            <v>執行者</v>
          </cell>
          <cell r="F654" t="str">
            <v>格好いい</v>
          </cell>
          <cell r="G654" t="str">
            <v>不明</v>
          </cell>
          <cell r="H654" t="str">
            <v>yellow</v>
          </cell>
          <cell r="I654">
            <v>5</v>
          </cell>
          <cell r="J654" t="str">
            <v>Drop2N</v>
          </cell>
          <cell r="K654" t="str">
            <v>hp</v>
          </cell>
          <cell r="L654" t="str">
            <v>体力タイプ</v>
          </cell>
          <cell r="M654" t="str">
            <v>dragon</v>
          </cell>
        </row>
        <row r="655">
          <cell r="A655">
            <v>654</v>
          </cell>
          <cell r="B655" t="str">
            <v>ja</v>
          </cell>
          <cell r="C655" t="str">
            <v>酒呑童子 ヨミ</v>
          </cell>
          <cell r="D655" t="str">
            <v>イベント:ウィザード</v>
          </cell>
          <cell r="E655" t="str">
            <v>執行者</v>
          </cell>
          <cell r="F655" t="str">
            <v>格好いい</v>
          </cell>
          <cell r="G655" t="str">
            <v>女性</v>
          </cell>
          <cell r="H655" t="str">
            <v>yellow</v>
          </cell>
          <cell r="I655">
            <v>4</v>
          </cell>
          <cell r="J655" t="str">
            <v>DropWizS</v>
          </cell>
          <cell r="K655" t="str">
            <v>attack</v>
          </cell>
          <cell r="L655" t="str">
            <v>攻撃タイプ</v>
          </cell>
          <cell r="M655" t="str">
            <v>god</v>
          </cell>
        </row>
        <row r="656">
          <cell r="A656">
            <v>655</v>
          </cell>
          <cell r="B656" t="str">
            <v>ja</v>
          </cell>
          <cell r="C656" t="str">
            <v>桜花舞う嵐鬼神 ヨミ</v>
          </cell>
          <cell r="D656" t="str">
            <v>イベント:ウィザード</v>
          </cell>
          <cell r="E656" t="str">
            <v>執行者</v>
          </cell>
          <cell r="F656" t="str">
            <v>格好いい</v>
          </cell>
          <cell r="G656" t="str">
            <v>女性</v>
          </cell>
          <cell r="H656" t="str">
            <v>yellow</v>
          </cell>
          <cell r="I656">
            <v>5</v>
          </cell>
          <cell r="J656" t="str">
            <v>DropWizS</v>
          </cell>
          <cell r="K656" t="str">
            <v>attack</v>
          </cell>
          <cell r="L656" t="str">
            <v>攻撃タイプ</v>
          </cell>
          <cell r="M656" t="str">
            <v>god</v>
          </cell>
        </row>
        <row r="657">
          <cell r="A657">
            <v>656</v>
          </cell>
          <cell r="B657" t="str">
            <v>ja</v>
          </cell>
          <cell r="C657" t="str">
            <v>シヴァ</v>
          </cell>
          <cell r="D657" t="str">
            <v>イベント:ウィザード</v>
          </cell>
          <cell r="E657" t="str">
            <v>執行者</v>
          </cell>
          <cell r="F657" t="str">
            <v>格好いい</v>
          </cell>
          <cell r="G657" t="str">
            <v>男性</v>
          </cell>
          <cell r="H657" t="str">
            <v>blue</v>
          </cell>
          <cell r="I657">
            <v>4</v>
          </cell>
          <cell r="J657" t="str">
            <v>DropWizS</v>
          </cell>
          <cell r="K657" t="str">
            <v>balance</v>
          </cell>
          <cell r="L657" t="str">
            <v>バランスタイプ</v>
          </cell>
          <cell r="M657" t="str">
            <v>god</v>
          </cell>
        </row>
        <row r="658">
          <cell r="A658">
            <v>657</v>
          </cell>
          <cell r="B658" t="str">
            <v>ja</v>
          </cell>
          <cell r="C658" t="str">
            <v>解滅の裁神 シヴァ</v>
          </cell>
          <cell r="D658" t="str">
            <v>イベント:ウィザード</v>
          </cell>
          <cell r="E658" t="str">
            <v>執行者</v>
          </cell>
          <cell r="F658" t="str">
            <v>格好いい</v>
          </cell>
          <cell r="G658" t="str">
            <v>男性</v>
          </cell>
          <cell r="H658" t="str">
            <v>blue</v>
          </cell>
          <cell r="I658">
            <v>5</v>
          </cell>
          <cell r="J658" t="str">
            <v>DropWizS</v>
          </cell>
          <cell r="K658" t="str">
            <v>balance</v>
          </cell>
          <cell r="L658" t="str">
            <v>バランスタイプ</v>
          </cell>
          <cell r="M658" t="str">
            <v>god</v>
          </cell>
        </row>
        <row r="659">
          <cell r="A659">
            <v>658</v>
          </cell>
          <cell r="B659" t="str">
            <v>ja</v>
          </cell>
          <cell r="C659" t="str">
            <v>猫又 クルミ</v>
          </cell>
          <cell r="D659" t="str">
            <v>ガチャ:妖怪01</v>
          </cell>
          <cell r="E659" t="str">
            <v>執行者</v>
          </cell>
          <cell r="F659" t="str">
            <v>格好いい</v>
          </cell>
          <cell r="G659" t="str">
            <v>女性</v>
          </cell>
          <cell r="H659" t="str">
            <v>red</v>
          </cell>
          <cell r="I659">
            <v>4</v>
          </cell>
          <cell r="J659" t="str">
            <v>PremiumSS</v>
          </cell>
          <cell r="K659" t="str">
            <v>attack</v>
          </cell>
          <cell r="L659" t="str">
            <v>攻撃タイプ</v>
          </cell>
          <cell r="M659" t="str">
            <v>animal</v>
          </cell>
        </row>
        <row r="660">
          <cell r="A660">
            <v>659</v>
          </cell>
          <cell r="B660" t="str">
            <v>ja</v>
          </cell>
          <cell r="C660" t="str">
            <v>跳梁する化猫 クルミ</v>
          </cell>
          <cell r="D660" t="str">
            <v>ガチャ:妖怪01</v>
          </cell>
          <cell r="E660" t="str">
            <v>執行者</v>
          </cell>
          <cell r="F660" t="str">
            <v>格好いい</v>
          </cell>
          <cell r="G660" t="str">
            <v>女性</v>
          </cell>
          <cell r="H660" t="str">
            <v>red</v>
          </cell>
          <cell r="I660">
            <v>5</v>
          </cell>
          <cell r="J660" t="str">
            <v>PremiumSS</v>
          </cell>
          <cell r="K660" t="str">
            <v>attack</v>
          </cell>
          <cell r="L660" t="str">
            <v>攻撃タイプ</v>
          </cell>
          <cell r="M660" t="str">
            <v>animal</v>
          </cell>
        </row>
        <row r="661">
          <cell r="A661">
            <v>660</v>
          </cell>
          <cell r="B661" t="str">
            <v>ja</v>
          </cell>
          <cell r="C661" t="str">
            <v>烏天狗 フウガ</v>
          </cell>
          <cell r="D661" t="str">
            <v>ガチャ:妖怪01</v>
          </cell>
          <cell r="E661" t="str">
            <v>執行者</v>
          </cell>
          <cell r="F661" t="str">
            <v>格好いい</v>
          </cell>
          <cell r="G661" t="str">
            <v>男性</v>
          </cell>
          <cell r="H661" t="str">
            <v>green</v>
          </cell>
          <cell r="I661">
            <v>4</v>
          </cell>
          <cell r="J661" t="str">
            <v>PremiumSS</v>
          </cell>
          <cell r="K661" t="str">
            <v>balance</v>
          </cell>
          <cell r="L661" t="str">
            <v>バランスタイプ</v>
          </cell>
          <cell r="M661" t="str">
            <v>animal</v>
          </cell>
        </row>
        <row r="662">
          <cell r="A662">
            <v>661</v>
          </cell>
          <cell r="B662" t="str">
            <v>ja</v>
          </cell>
          <cell r="C662" t="str">
            <v>疾風の天狗礫 フウガ</v>
          </cell>
          <cell r="D662" t="str">
            <v>ガチャ:妖怪01</v>
          </cell>
          <cell r="E662" t="str">
            <v>執行者</v>
          </cell>
          <cell r="F662" t="str">
            <v>格好いい</v>
          </cell>
          <cell r="G662" t="str">
            <v>男性</v>
          </cell>
          <cell r="H662" t="str">
            <v>green</v>
          </cell>
          <cell r="I662">
            <v>5</v>
          </cell>
          <cell r="J662" t="str">
            <v>PremiumSS</v>
          </cell>
          <cell r="K662" t="str">
            <v>balance</v>
          </cell>
          <cell r="L662" t="str">
            <v>バランスタイプ</v>
          </cell>
          <cell r="M662" t="str">
            <v>animal</v>
          </cell>
        </row>
        <row r="663">
          <cell r="A663">
            <v>662</v>
          </cell>
          <cell r="B663" t="str">
            <v>ja</v>
          </cell>
          <cell r="C663" t="str">
            <v>ダイダラ</v>
          </cell>
          <cell r="D663" t="str">
            <v>ガチャ:妖怪01</v>
          </cell>
          <cell r="E663" t="str">
            <v>執行者</v>
          </cell>
          <cell r="F663" t="str">
            <v>格好いい</v>
          </cell>
          <cell r="G663" t="str">
            <v>不明</v>
          </cell>
          <cell r="H663" t="str">
            <v>blue</v>
          </cell>
          <cell r="I663">
            <v>3</v>
          </cell>
          <cell r="J663" t="str">
            <v>PremiumS</v>
          </cell>
          <cell r="K663" t="str">
            <v>hp</v>
          </cell>
          <cell r="L663" t="str">
            <v>体力タイプ</v>
          </cell>
          <cell r="M663" t="str">
            <v>unknown</v>
          </cell>
        </row>
        <row r="664">
          <cell r="A664">
            <v>663</v>
          </cell>
          <cell r="B664" t="str">
            <v>ja</v>
          </cell>
          <cell r="C664" t="str">
            <v>都揺らす地響き ダイダラ</v>
          </cell>
          <cell r="D664" t="str">
            <v>ガチャ:妖怪01</v>
          </cell>
          <cell r="E664" t="str">
            <v>執行者</v>
          </cell>
          <cell r="F664" t="str">
            <v>格好いい</v>
          </cell>
          <cell r="G664" t="str">
            <v>不明</v>
          </cell>
          <cell r="H664" t="str">
            <v>blue</v>
          </cell>
          <cell r="I664">
            <v>4</v>
          </cell>
          <cell r="J664" t="str">
            <v>PremiumS</v>
          </cell>
          <cell r="K664" t="str">
            <v>hp</v>
          </cell>
          <cell r="L664" t="str">
            <v>体力タイプ</v>
          </cell>
          <cell r="M664" t="str">
            <v>unknown</v>
          </cell>
        </row>
        <row r="665">
          <cell r="A665">
            <v>664</v>
          </cell>
          <cell r="B665" t="str">
            <v>ja</v>
          </cell>
          <cell r="C665" t="str">
            <v>山掴み国造り ダイダラ</v>
          </cell>
          <cell r="D665" t="str">
            <v>ガチャ:妖怪01</v>
          </cell>
          <cell r="E665" t="str">
            <v>執行者</v>
          </cell>
          <cell r="F665" t="str">
            <v>格好いい</v>
          </cell>
          <cell r="G665" t="str">
            <v>不明</v>
          </cell>
          <cell r="H665" t="str">
            <v>blue</v>
          </cell>
          <cell r="I665">
            <v>5</v>
          </cell>
          <cell r="J665" t="str">
            <v>PremiumS</v>
          </cell>
          <cell r="K665" t="str">
            <v>hp</v>
          </cell>
          <cell r="L665" t="str">
            <v>体力タイプ</v>
          </cell>
          <cell r="M665" t="str">
            <v>unknown</v>
          </cell>
        </row>
        <row r="666">
          <cell r="A666">
            <v>665</v>
          </cell>
          <cell r="B666" t="str">
            <v>ja</v>
          </cell>
          <cell r="C666" t="str">
            <v>座敷童子 テマリ</v>
          </cell>
          <cell r="D666" t="str">
            <v>ガチャ:妖怪01</v>
          </cell>
          <cell r="E666" t="str">
            <v>執行者</v>
          </cell>
          <cell r="F666" t="str">
            <v>格好いい</v>
          </cell>
          <cell r="G666" t="str">
            <v>女性</v>
          </cell>
          <cell r="H666" t="str">
            <v>yellow</v>
          </cell>
          <cell r="I666">
            <v>3</v>
          </cell>
          <cell r="J666" t="str">
            <v>PremiumS</v>
          </cell>
          <cell r="K666" t="str">
            <v>balance</v>
          </cell>
          <cell r="L666" t="str">
            <v>バランスタイプ</v>
          </cell>
          <cell r="M666" t="str">
            <v>unknown</v>
          </cell>
        </row>
        <row r="667">
          <cell r="A667">
            <v>666</v>
          </cell>
          <cell r="B667" t="str">
            <v>ja</v>
          </cell>
          <cell r="C667" t="str">
            <v>拡散する幸福 テマリ</v>
          </cell>
          <cell r="D667" t="str">
            <v>ガチャ:妖怪01</v>
          </cell>
          <cell r="E667" t="str">
            <v>執行者</v>
          </cell>
          <cell r="F667" t="str">
            <v>格好いい</v>
          </cell>
          <cell r="G667" t="str">
            <v>女性</v>
          </cell>
          <cell r="H667" t="str">
            <v>yellow</v>
          </cell>
          <cell r="I667">
            <v>4</v>
          </cell>
          <cell r="J667" t="str">
            <v>PremiumS</v>
          </cell>
          <cell r="K667" t="str">
            <v>balance</v>
          </cell>
          <cell r="L667" t="str">
            <v>バランスタイプ</v>
          </cell>
          <cell r="M667" t="str">
            <v>unknown</v>
          </cell>
        </row>
        <row r="668">
          <cell r="A668">
            <v>667</v>
          </cell>
          <cell r="B668" t="str">
            <v>ja</v>
          </cell>
          <cell r="C668" t="str">
            <v>最幸運の妖童 テマリ</v>
          </cell>
          <cell r="D668" t="str">
            <v>ガチャ:妖怪01</v>
          </cell>
          <cell r="E668" t="str">
            <v>執行者</v>
          </cell>
          <cell r="F668" t="str">
            <v>格好いい</v>
          </cell>
          <cell r="G668" t="str">
            <v>女性</v>
          </cell>
          <cell r="H668" t="str">
            <v>yellow</v>
          </cell>
          <cell r="I668">
            <v>5</v>
          </cell>
          <cell r="J668" t="str">
            <v>PremiumS</v>
          </cell>
          <cell r="K668" t="str">
            <v>balance</v>
          </cell>
          <cell r="L668" t="str">
            <v>バランスタイプ</v>
          </cell>
          <cell r="M668" t="str">
            <v>unknown</v>
          </cell>
        </row>
        <row r="669">
          <cell r="A669">
            <v>668</v>
          </cell>
          <cell r="B669" t="str">
            <v>ja</v>
          </cell>
          <cell r="C669" t="str">
            <v>アグニ</v>
          </cell>
          <cell r="D669" t="str">
            <v>ガチャ:ヒンドゥ-01</v>
          </cell>
          <cell r="E669" t="str">
            <v>執行者</v>
          </cell>
          <cell r="F669" t="str">
            <v>格好いい</v>
          </cell>
          <cell r="G669" t="str">
            <v>男性</v>
          </cell>
          <cell r="H669" t="str">
            <v>red</v>
          </cell>
          <cell r="I669">
            <v>3</v>
          </cell>
          <cell r="J669" t="str">
            <v>PremiumS</v>
          </cell>
          <cell r="K669" t="str">
            <v>hp</v>
          </cell>
          <cell r="L669" t="str">
            <v>体力タイプ</v>
          </cell>
          <cell r="M669" t="str">
            <v>god</v>
          </cell>
        </row>
        <row r="670">
          <cell r="A670">
            <v>669</v>
          </cell>
          <cell r="B670" t="str">
            <v>ja</v>
          </cell>
          <cell r="C670" t="str">
            <v>天地の仲界 アグニ</v>
          </cell>
          <cell r="D670" t="str">
            <v>ガチャ:ヒンドゥ-01</v>
          </cell>
          <cell r="E670" t="str">
            <v>執行者</v>
          </cell>
          <cell r="F670" t="str">
            <v>格好いい</v>
          </cell>
          <cell r="G670" t="str">
            <v>男性</v>
          </cell>
          <cell r="H670" t="str">
            <v>red</v>
          </cell>
          <cell r="I670">
            <v>4</v>
          </cell>
          <cell r="J670" t="str">
            <v>PremiumS</v>
          </cell>
          <cell r="K670" t="str">
            <v>hp</v>
          </cell>
          <cell r="L670" t="str">
            <v>体力タイプ</v>
          </cell>
          <cell r="M670" t="str">
            <v>god</v>
          </cell>
        </row>
        <row r="671">
          <cell r="A671">
            <v>670</v>
          </cell>
          <cell r="B671" t="str">
            <v>ja</v>
          </cell>
          <cell r="C671" t="str">
            <v>陽天の噴煙 アグニ</v>
          </cell>
          <cell r="D671" t="str">
            <v>ガチャ:ヒンドゥ-01</v>
          </cell>
          <cell r="E671" t="str">
            <v>執行者</v>
          </cell>
          <cell r="F671" t="str">
            <v>格好いい</v>
          </cell>
          <cell r="G671" t="str">
            <v>男性</v>
          </cell>
          <cell r="H671" t="str">
            <v>red</v>
          </cell>
          <cell r="I671">
            <v>5</v>
          </cell>
          <cell r="J671" t="str">
            <v>PremiumS</v>
          </cell>
          <cell r="K671" t="str">
            <v>hp</v>
          </cell>
          <cell r="L671" t="str">
            <v>体力タイプ</v>
          </cell>
          <cell r="M671" t="str">
            <v>god</v>
          </cell>
        </row>
        <row r="672">
          <cell r="A672">
            <v>671</v>
          </cell>
          <cell r="B672" t="str">
            <v>ja</v>
          </cell>
          <cell r="C672" t="str">
            <v>ハヌマーン</v>
          </cell>
          <cell r="D672" t="str">
            <v>ガチャ:ヒンドゥ-01</v>
          </cell>
          <cell r="E672" t="str">
            <v>執行者</v>
          </cell>
          <cell r="F672" t="str">
            <v>格好いい</v>
          </cell>
          <cell r="G672" t="str">
            <v>男性</v>
          </cell>
          <cell r="H672" t="str">
            <v>green</v>
          </cell>
          <cell r="I672">
            <v>3</v>
          </cell>
          <cell r="J672" t="str">
            <v>PremiumS</v>
          </cell>
          <cell r="K672" t="str">
            <v>attack</v>
          </cell>
          <cell r="L672" t="str">
            <v>攻撃タイプ</v>
          </cell>
          <cell r="M672" t="str">
            <v>animal</v>
          </cell>
        </row>
        <row r="673">
          <cell r="A673">
            <v>672</v>
          </cell>
          <cell r="B673" t="str">
            <v>ja</v>
          </cell>
          <cell r="C673" t="str">
            <v>西遊韋駄天 ハヌマーン</v>
          </cell>
          <cell r="D673" t="str">
            <v>ガチャ:ヒンドゥ-01</v>
          </cell>
          <cell r="E673" t="str">
            <v>執行者</v>
          </cell>
          <cell r="F673" t="str">
            <v>格好いい</v>
          </cell>
          <cell r="G673" t="str">
            <v>男性</v>
          </cell>
          <cell r="H673" t="str">
            <v>green</v>
          </cell>
          <cell r="I673">
            <v>4</v>
          </cell>
          <cell r="J673" t="str">
            <v>PremiumS</v>
          </cell>
          <cell r="K673" t="str">
            <v>attack</v>
          </cell>
          <cell r="L673" t="str">
            <v>攻撃タイプ</v>
          </cell>
          <cell r="M673" t="str">
            <v>animal</v>
          </cell>
        </row>
        <row r="674">
          <cell r="A674">
            <v>673</v>
          </cell>
          <cell r="B674" t="str">
            <v>ja</v>
          </cell>
          <cell r="C674" t="str">
            <v>変幻自在の猿王 ハヌマーン</v>
          </cell>
          <cell r="D674" t="str">
            <v>ガチャ:ヒンドゥ-01</v>
          </cell>
          <cell r="E674" t="str">
            <v>執行者</v>
          </cell>
          <cell r="F674" t="str">
            <v>格好いい</v>
          </cell>
          <cell r="G674" t="str">
            <v>男性</v>
          </cell>
          <cell r="H674" t="str">
            <v>green</v>
          </cell>
          <cell r="I674">
            <v>5</v>
          </cell>
          <cell r="J674" t="str">
            <v>PremiumS</v>
          </cell>
          <cell r="K674" t="str">
            <v>attack</v>
          </cell>
          <cell r="L674" t="str">
            <v>攻撃タイプ</v>
          </cell>
          <cell r="M674" t="str">
            <v>animal</v>
          </cell>
        </row>
        <row r="675">
          <cell r="A675">
            <v>674</v>
          </cell>
          <cell r="B675" t="str">
            <v>ja</v>
          </cell>
          <cell r="C675" t="str">
            <v>サラスヴァティ</v>
          </cell>
          <cell r="D675" t="str">
            <v>ガチャ:ヒンドゥ-01</v>
          </cell>
          <cell r="E675" t="str">
            <v>執行者</v>
          </cell>
          <cell r="F675" t="str">
            <v>格好いい</v>
          </cell>
          <cell r="G675" t="str">
            <v>女性</v>
          </cell>
          <cell r="H675" t="str">
            <v>blue</v>
          </cell>
          <cell r="I675">
            <v>4</v>
          </cell>
          <cell r="J675" t="str">
            <v>PremiumSS</v>
          </cell>
          <cell r="K675" t="str">
            <v>balance</v>
          </cell>
          <cell r="L675" t="str">
            <v>バランスタイプ</v>
          </cell>
          <cell r="M675" t="str">
            <v>god</v>
          </cell>
        </row>
        <row r="676">
          <cell r="A676">
            <v>675</v>
          </cell>
          <cell r="B676" t="str">
            <v>ja</v>
          </cell>
          <cell r="C676" t="str">
            <v>芸楽の奔流 サラスヴァティ</v>
          </cell>
          <cell r="D676" t="str">
            <v>ガチャ:ヒンドゥ-01</v>
          </cell>
          <cell r="E676" t="str">
            <v>執行者</v>
          </cell>
          <cell r="F676" t="str">
            <v>格好いい</v>
          </cell>
          <cell r="G676" t="str">
            <v>女性</v>
          </cell>
          <cell r="H676" t="str">
            <v>blue</v>
          </cell>
          <cell r="I676">
            <v>5</v>
          </cell>
          <cell r="J676" t="str">
            <v>PremiumSS</v>
          </cell>
          <cell r="K676" t="str">
            <v>balance</v>
          </cell>
          <cell r="L676" t="str">
            <v>バランスタイプ</v>
          </cell>
          <cell r="M676" t="str">
            <v>god</v>
          </cell>
        </row>
        <row r="677">
          <cell r="A677">
            <v>676</v>
          </cell>
          <cell r="B677" t="str">
            <v>ja</v>
          </cell>
          <cell r="C677" t="str">
            <v>ヴィシュヌ</v>
          </cell>
          <cell r="D677" t="str">
            <v>ガチャ:ヒンドゥ-01</v>
          </cell>
          <cell r="E677" t="str">
            <v>執行者</v>
          </cell>
          <cell r="F677" t="str">
            <v>格好いい</v>
          </cell>
          <cell r="G677" t="str">
            <v>女性</v>
          </cell>
          <cell r="H677" t="str">
            <v>yellow</v>
          </cell>
          <cell r="I677">
            <v>4</v>
          </cell>
          <cell r="J677" t="str">
            <v>PremiumSS</v>
          </cell>
          <cell r="K677" t="str">
            <v>attack</v>
          </cell>
          <cell r="L677" t="str">
            <v>攻撃タイプ</v>
          </cell>
          <cell r="M677" t="str">
            <v>god</v>
          </cell>
        </row>
        <row r="678">
          <cell r="A678">
            <v>677</v>
          </cell>
          <cell r="B678" t="str">
            <v>ja</v>
          </cell>
          <cell r="C678" t="str">
            <v>武遊闊歩 ヴィシュヌ</v>
          </cell>
          <cell r="D678" t="str">
            <v>ガチャ:ヒンドゥ-01</v>
          </cell>
          <cell r="E678" t="str">
            <v>執行者</v>
          </cell>
          <cell r="F678" t="str">
            <v>格好いい</v>
          </cell>
          <cell r="G678" t="str">
            <v>女性</v>
          </cell>
          <cell r="H678" t="str">
            <v>yellow</v>
          </cell>
          <cell r="I678">
            <v>5</v>
          </cell>
          <cell r="J678" t="str">
            <v>PremiumSS</v>
          </cell>
          <cell r="K678" t="str">
            <v>attack</v>
          </cell>
          <cell r="L678" t="str">
            <v>攻撃タイプ</v>
          </cell>
          <cell r="M678" t="str">
            <v>god</v>
          </cell>
        </row>
        <row r="679">
          <cell r="A679">
            <v>678</v>
          </cell>
          <cell r="B679" t="str">
            <v>ja</v>
          </cell>
          <cell r="C679" t="str">
            <v>レイヴン</v>
          </cell>
          <cell r="D679" t="str">
            <v>ガチャ:ホワイトデー2016</v>
          </cell>
          <cell r="E679" t="str">
            <v>執行者</v>
          </cell>
          <cell r="F679" t="str">
            <v>格好いい</v>
          </cell>
          <cell r="G679" t="str">
            <v>男性</v>
          </cell>
          <cell r="H679" t="str">
            <v>green</v>
          </cell>
          <cell r="I679">
            <v>4</v>
          </cell>
          <cell r="J679" t="str">
            <v>PremiumSS</v>
          </cell>
          <cell r="K679" t="str">
            <v>attack</v>
          </cell>
          <cell r="L679" t="str">
            <v>攻撃タイプ</v>
          </cell>
          <cell r="M679" t="str">
            <v>human</v>
          </cell>
        </row>
        <row r="680">
          <cell r="A680">
            <v>679</v>
          </cell>
          <cell r="B680" t="str">
            <v>ja</v>
          </cell>
          <cell r="C680" t="str">
            <v>孤高の王子　レイヴン</v>
          </cell>
          <cell r="D680" t="str">
            <v>ガチャ:ホワイトデー2016</v>
          </cell>
          <cell r="E680" t="str">
            <v>執行者</v>
          </cell>
          <cell r="F680" t="str">
            <v>格好いい</v>
          </cell>
          <cell r="G680" t="str">
            <v>男性</v>
          </cell>
          <cell r="H680" t="str">
            <v>green</v>
          </cell>
          <cell r="I680">
            <v>5</v>
          </cell>
          <cell r="J680" t="str">
            <v>PremiumSS</v>
          </cell>
          <cell r="K680" t="str">
            <v>attack</v>
          </cell>
          <cell r="L680" t="str">
            <v>攻撃タイプ</v>
          </cell>
          <cell r="M680" t="str">
            <v>human</v>
          </cell>
        </row>
        <row r="681">
          <cell r="A681">
            <v>680</v>
          </cell>
          <cell r="B681" t="str">
            <v>ja</v>
          </cell>
          <cell r="C681" t="str">
            <v>炎のプレゼントケロケロ</v>
          </cell>
          <cell r="D681" t="str">
            <v>イベント;ホワイトデー2016</v>
          </cell>
          <cell r="E681" t="str">
            <v>アリス</v>
          </cell>
          <cell r="F681" t="str">
            <v>世界観</v>
          </cell>
          <cell r="G681" t="str">
            <v>不明</v>
          </cell>
          <cell r="H681" t="str">
            <v>red</v>
          </cell>
          <cell r="I681">
            <v>5</v>
          </cell>
          <cell r="J681" t="str">
            <v>Material</v>
          </cell>
          <cell r="K681" t="str">
            <v>exp</v>
          </cell>
          <cell r="L681" t="str">
            <v>強化素材タイプ</v>
          </cell>
          <cell r="M681" t="str">
            <v>unknown</v>
          </cell>
        </row>
        <row r="682">
          <cell r="A682">
            <v>681</v>
          </cell>
          <cell r="B682" t="str">
            <v>ja</v>
          </cell>
          <cell r="C682" t="str">
            <v>炎のプレゼントフロッグ</v>
          </cell>
          <cell r="D682" t="str">
            <v>イベント;ホワイトデー2016</v>
          </cell>
          <cell r="E682" t="str">
            <v>アリス</v>
          </cell>
          <cell r="F682" t="str">
            <v>世界観</v>
          </cell>
          <cell r="G682" t="str">
            <v>不明</v>
          </cell>
          <cell r="H682" t="str">
            <v>red</v>
          </cell>
          <cell r="I682">
            <v>6</v>
          </cell>
          <cell r="J682" t="str">
            <v>Material</v>
          </cell>
          <cell r="K682" t="str">
            <v>exp</v>
          </cell>
          <cell r="L682" t="str">
            <v>強化素材タイプ</v>
          </cell>
          <cell r="M682" t="str">
            <v>unknown</v>
          </cell>
        </row>
        <row r="683">
          <cell r="A683">
            <v>682</v>
          </cell>
          <cell r="B683" t="str">
            <v>ja</v>
          </cell>
          <cell r="C683" t="str">
            <v>森のプレゼントケロケロ</v>
          </cell>
          <cell r="D683" t="str">
            <v>イベント;ホワイトデー2016</v>
          </cell>
          <cell r="E683" t="str">
            <v>アリス</v>
          </cell>
          <cell r="F683" t="str">
            <v>世界観</v>
          </cell>
          <cell r="G683" t="str">
            <v>不明</v>
          </cell>
          <cell r="H683" t="str">
            <v>green</v>
          </cell>
          <cell r="I683">
            <v>5</v>
          </cell>
          <cell r="J683" t="str">
            <v>Material</v>
          </cell>
          <cell r="K683" t="str">
            <v>exp</v>
          </cell>
          <cell r="L683" t="str">
            <v>強化素材タイプ</v>
          </cell>
          <cell r="M683" t="str">
            <v>unknown</v>
          </cell>
        </row>
        <row r="684">
          <cell r="A684">
            <v>683</v>
          </cell>
          <cell r="B684" t="str">
            <v>ja</v>
          </cell>
          <cell r="C684" t="str">
            <v>森のプレゼントフロッグ</v>
          </cell>
          <cell r="D684" t="str">
            <v>イベント;ホワイトデー2016</v>
          </cell>
          <cell r="E684" t="str">
            <v>アリス</v>
          </cell>
          <cell r="F684" t="str">
            <v>世界観</v>
          </cell>
          <cell r="G684" t="str">
            <v>不明</v>
          </cell>
          <cell r="H684" t="str">
            <v>green</v>
          </cell>
          <cell r="I684">
            <v>6</v>
          </cell>
          <cell r="J684" t="str">
            <v>Material</v>
          </cell>
          <cell r="K684" t="str">
            <v>exp</v>
          </cell>
          <cell r="L684" t="str">
            <v>強化素材タイプ</v>
          </cell>
          <cell r="M684" t="str">
            <v>unknown</v>
          </cell>
        </row>
        <row r="685">
          <cell r="A685">
            <v>684</v>
          </cell>
          <cell r="B685" t="str">
            <v>ja</v>
          </cell>
          <cell r="C685" t="str">
            <v>水のプレゼントケロケロ</v>
          </cell>
          <cell r="D685" t="str">
            <v>イベント;ホワイトデー2016</v>
          </cell>
          <cell r="E685" t="str">
            <v>アリス</v>
          </cell>
          <cell r="F685" t="str">
            <v>世界観</v>
          </cell>
          <cell r="G685" t="str">
            <v>不明</v>
          </cell>
          <cell r="H685" t="str">
            <v>blue</v>
          </cell>
          <cell r="I685">
            <v>5</v>
          </cell>
          <cell r="J685" t="str">
            <v>Material</v>
          </cell>
          <cell r="K685" t="str">
            <v>exp</v>
          </cell>
          <cell r="L685" t="str">
            <v>強化素材タイプ</v>
          </cell>
          <cell r="M685" t="str">
            <v>unknown</v>
          </cell>
        </row>
        <row r="686">
          <cell r="A686">
            <v>685</v>
          </cell>
          <cell r="B686" t="str">
            <v>ja</v>
          </cell>
          <cell r="C686" t="str">
            <v>水のプレゼントフロッグ</v>
          </cell>
          <cell r="D686" t="str">
            <v>イベント;ホワイトデー2016</v>
          </cell>
          <cell r="E686" t="str">
            <v>アリス</v>
          </cell>
          <cell r="F686" t="str">
            <v>世界観</v>
          </cell>
          <cell r="G686" t="str">
            <v>不明</v>
          </cell>
          <cell r="H686" t="str">
            <v>blue</v>
          </cell>
          <cell r="I686">
            <v>6</v>
          </cell>
          <cell r="J686" t="str">
            <v>Material</v>
          </cell>
          <cell r="K686" t="str">
            <v>exp</v>
          </cell>
          <cell r="L686" t="str">
            <v>強化素材タイプ</v>
          </cell>
          <cell r="M686" t="str">
            <v>unknown</v>
          </cell>
        </row>
        <row r="687">
          <cell r="A687">
            <v>686</v>
          </cell>
          <cell r="B687" t="str">
            <v>ja</v>
          </cell>
          <cell r="C687" t="str">
            <v>雷のプレゼントケロケロ</v>
          </cell>
          <cell r="D687" t="str">
            <v>イベント;ホワイトデー2016</v>
          </cell>
          <cell r="E687" t="str">
            <v>アリス</v>
          </cell>
          <cell r="F687" t="str">
            <v>世界観</v>
          </cell>
          <cell r="G687" t="str">
            <v>不明</v>
          </cell>
          <cell r="H687" t="str">
            <v>yellow</v>
          </cell>
          <cell r="I687">
            <v>5</v>
          </cell>
          <cell r="J687" t="str">
            <v>Material</v>
          </cell>
          <cell r="K687" t="str">
            <v>exp</v>
          </cell>
          <cell r="L687" t="str">
            <v>強化素材タイプ</v>
          </cell>
          <cell r="M687" t="str">
            <v>unknown</v>
          </cell>
        </row>
        <row r="688">
          <cell r="A688">
            <v>687</v>
          </cell>
          <cell r="B688" t="str">
            <v>ja</v>
          </cell>
          <cell r="C688" t="str">
            <v>雷のプレゼントフロッグ</v>
          </cell>
          <cell r="D688" t="str">
            <v>イベント;ホワイトデー2016</v>
          </cell>
          <cell r="E688" t="str">
            <v>アリス</v>
          </cell>
          <cell r="F688" t="str">
            <v>世界観</v>
          </cell>
          <cell r="G688" t="str">
            <v>不明</v>
          </cell>
          <cell r="H688" t="str">
            <v>yellow</v>
          </cell>
          <cell r="I688">
            <v>6</v>
          </cell>
          <cell r="J688" t="str">
            <v>Material</v>
          </cell>
          <cell r="K688" t="str">
            <v>exp</v>
          </cell>
          <cell r="L688" t="str">
            <v>強化素材タイプ</v>
          </cell>
          <cell r="M688" t="str">
            <v>unknown</v>
          </cell>
        </row>
        <row r="689">
          <cell r="A689">
            <v>688</v>
          </cell>
          <cell r="B689" t="str">
            <v>ja</v>
          </cell>
          <cell r="C689" t="str">
            <v>ユークリッド</v>
          </cell>
          <cell r="D689" t="str">
            <v>ガチャ:フィーバーフェス04</v>
          </cell>
          <cell r="E689" t="str">
            <v>執行者</v>
          </cell>
          <cell r="F689" t="str">
            <v>格好いい</v>
          </cell>
          <cell r="G689" t="str">
            <v>女性</v>
          </cell>
          <cell r="H689" t="str">
            <v>blue</v>
          </cell>
          <cell r="I689">
            <v>4</v>
          </cell>
          <cell r="J689" t="str">
            <v>PremiumSSS</v>
          </cell>
          <cell r="K689" t="str">
            <v>balance</v>
          </cell>
          <cell r="L689" t="str">
            <v>バランスタイプ</v>
          </cell>
          <cell r="M689" t="str">
            <v>human</v>
          </cell>
        </row>
        <row r="690">
          <cell r="A690">
            <v>689</v>
          </cell>
          <cell r="B690" t="str">
            <v>ja</v>
          </cell>
          <cell r="C690" t="str">
            <v>根原論理 ユークリッド</v>
          </cell>
          <cell r="D690" t="str">
            <v>ガチャ:フィーバーフェス04</v>
          </cell>
          <cell r="E690" t="str">
            <v>執行者</v>
          </cell>
          <cell r="F690" t="str">
            <v>格好いい</v>
          </cell>
          <cell r="G690" t="str">
            <v>女性</v>
          </cell>
          <cell r="H690" t="str">
            <v>blue</v>
          </cell>
          <cell r="I690">
            <v>5</v>
          </cell>
          <cell r="J690" t="str">
            <v>PremiumSSS</v>
          </cell>
          <cell r="K690" t="str">
            <v>balance</v>
          </cell>
          <cell r="L690" t="str">
            <v>バランスタイプ</v>
          </cell>
          <cell r="M690" t="str">
            <v>human</v>
          </cell>
        </row>
        <row r="691">
          <cell r="A691">
            <v>690</v>
          </cell>
          <cell r="B691" t="str">
            <v>ja</v>
          </cell>
          <cell r="C691" t="str">
            <v>ユークリッド R6</v>
          </cell>
          <cell r="D691" t="str">
            <v>ガチャ:フィーバーフェス04</v>
          </cell>
          <cell r="E691" t="str">
            <v>執行者</v>
          </cell>
          <cell r="F691" t="str">
            <v>格好いい</v>
          </cell>
          <cell r="G691" t="str">
            <v>女性</v>
          </cell>
          <cell r="H691" t="str">
            <v>blue</v>
          </cell>
          <cell r="I691">
            <v>6</v>
          </cell>
          <cell r="J691" t="str">
            <v>PremiumSSS</v>
          </cell>
          <cell r="K691" t="str">
            <v>balance</v>
          </cell>
          <cell r="L691" t="str">
            <v>バランスタイプ</v>
          </cell>
          <cell r="M691" t="str">
            <v>human</v>
          </cell>
        </row>
        <row r="692">
          <cell r="A692">
            <v>691</v>
          </cell>
          <cell r="B692" t="str">
            <v>ja</v>
          </cell>
          <cell r="C692" t="str">
            <v>C02_EV01 R4</v>
          </cell>
          <cell r="D692" t="str">
            <v>イベント:デュラララ01 青葉</v>
          </cell>
          <cell r="E692" t="str">
            <v>執行者</v>
          </cell>
          <cell r="F692" t="str">
            <v>格好いい</v>
          </cell>
          <cell r="G692" t="str">
            <v>男性</v>
          </cell>
          <cell r="H692" t="str">
            <v>blue</v>
          </cell>
          <cell r="I692">
            <v>4</v>
          </cell>
          <cell r="J692" t="str">
            <v>Drop2N</v>
          </cell>
          <cell r="K692" t="str">
            <v>dr</v>
          </cell>
          <cell r="L692" t="str">
            <v>DR</v>
          </cell>
          <cell r="M692" t="str">
            <v>human</v>
          </cell>
        </row>
        <row r="693">
          <cell r="A693">
            <v>692</v>
          </cell>
          <cell r="B693" t="str">
            <v>ja</v>
          </cell>
          <cell r="C693" t="str">
            <v>C02_EV01 R5</v>
          </cell>
          <cell r="D693" t="str">
            <v>イベント:デュラララ01 青葉</v>
          </cell>
          <cell r="E693" t="str">
            <v>執行者</v>
          </cell>
          <cell r="F693" t="str">
            <v>格好いい</v>
          </cell>
          <cell r="G693" t="str">
            <v>男性</v>
          </cell>
          <cell r="H693" t="str">
            <v>blue</v>
          </cell>
          <cell r="I693">
            <v>5</v>
          </cell>
          <cell r="J693" t="str">
            <v>Drop2N</v>
          </cell>
          <cell r="K693" t="str">
            <v>dr</v>
          </cell>
          <cell r="L693" t="str">
            <v>DR</v>
          </cell>
          <cell r="M693" t="str">
            <v>human</v>
          </cell>
        </row>
        <row r="694">
          <cell r="A694">
            <v>693</v>
          </cell>
          <cell r="B694" t="str">
            <v>ja</v>
          </cell>
          <cell r="C694" t="str">
            <v>C02_EV02 R4</v>
          </cell>
          <cell r="D694" t="str">
            <v>イベント:デュラララ01 正臣</v>
          </cell>
          <cell r="E694" t="str">
            <v>執行者</v>
          </cell>
          <cell r="F694" t="str">
            <v>格好いい</v>
          </cell>
          <cell r="G694" t="str">
            <v>男性</v>
          </cell>
          <cell r="H694" t="str">
            <v>yellow</v>
          </cell>
          <cell r="I694">
            <v>4</v>
          </cell>
          <cell r="J694" t="str">
            <v>Drop2N</v>
          </cell>
          <cell r="K694" t="str">
            <v>dr</v>
          </cell>
          <cell r="L694" t="str">
            <v>DR</v>
          </cell>
          <cell r="M694" t="str">
            <v>human</v>
          </cell>
        </row>
        <row r="695">
          <cell r="A695">
            <v>694</v>
          </cell>
          <cell r="B695" t="str">
            <v>ja</v>
          </cell>
          <cell r="C695" t="str">
            <v>C02_EV02 R5</v>
          </cell>
          <cell r="D695" t="str">
            <v>イベント:デュラララ01 正臣</v>
          </cell>
          <cell r="E695" t="str">
            <v>執行者</v>
          </cell>
          <cell r="F695" t="str">
            <v>格好いい</v>
          </cell>
          <cell r="G695" t="str">
            <v>男性</v>
          </cell>
          <cell r="H695" t="str">
            <v>yellow</v>
          </cell>
          <cell r="I695">
            <v>5</v>
          </cell>
          <cell r="J695" t="str">
            <v>Drop2N</v>
          </cell>
          <cell r="K695" t="str">
            <v>dr</v>
          </cell>
          <cell r="L695" t="str">
            <v>DR</v>
          </cell>
          <cell r="M695" t="str">
            <v>human</v>
          </cell>
        </row>
        <row r="696">
          <cell r="A696">
            <v>695</v>
          </cell>
          <cell r="B696" t="str">
            <v>ja</v>
          </cell>
          <cell r="C696" t="str">
            <v>C02_CP01 R3</v>
          </cell>
          <cell r="D696" t="str">
            <v>イベント:デュラララ01 セルティ</v>
          </cell>
          <cell r="E696" t="str">
            <v>執行者</v>
          </cell>
          <cell r="F696" t="str">
            <v>格好いい</v>
          </cell>
          <cell r="G696" t="str">
            <v>女性</v>
          </cell>
          <cell r="H696" t="str">
            <v>yellow</v>
          </cell>
          <cell r="I696">
            <v>3</v>
          </cell>
          <cell r="J696" t="str">
            <v>Drop2N</v>
          </cell>
          <cell r="K696" t="str">
            <v>dr</v>
          </cell>
          <cell r="L696" t="str">
            <v>DR</v>
          </cell>
          <cell r="M696" t="str">
            <v>unknown</v>
          </cell>
        </row>
        <row r="697">
          <cell r="A697">
            <v>696</v>
          </cell>
          <cell r="B697" t="str">
            <v>ja</v>
          </cell>
          <cell r="C697" t="str">
            <v>C02_CP01 R4</v>
          </cell>
          <cell r="D697" t="str">
            <v>イベント:デュラララ01 セルティ</v>
          </cell>
          <cell r="E697" t="str">
            <v>執行者</v>
          </cell>
          <cell r="F697" t="str">
            <v>格好いい</v>
          </cell>
          <cell r="G697" t="str">
            <v>女性</v>
          </cell>
          <cell r="H697" t="str">
            <v>yellow</v>
          </cell>
          <cell r="I697">
            <v>4</v>
          </cell>
          <cell r="J697" t="str">
            <v>Drop2N</v>
          </cell>
          <cell r="K697" t="str">
            <v>dr</v>
          </cell>
          <cell r="L697" t="str">
            <v>DR</v>
          </cell>
          <cell r="M697" t="str">
            <v>unknown</v>
          </cell>
        </row>
        <row r="698">
          <cell r="A698">
            <v>697</v>
          </cell>
          <cell r="B698" t="str">
            <v>ja</v>
          </cell>
          <cell r="C698" t="str">
            <v>C02_CP01 R5</v>
          </cell>
          <cell r="D698" t="str">
            <v>イベント:デュラララ01 セルティ</v>
          </cell>
          <cell r="E698" t="str">
            <v>執行者</v>
          </cell>
          <cell r="F698" t="str">
            <v>格好いい</v>
          </cell>
          <cell r="G698" t="str">
            <v>女性</v>
          </cell>
          <cell r="H698" t="str">
            <v>yellow</v>
          </cell>
          <cell r="I698">
            <v>5</v>
          </cell>
          <cell r="J698" t="str">
            <v>Drop2N</v>
          </cell>
          <cell r="K698" t="str">
            <v>dr</v>
          </cell>
          <cell r="L698" t="str">
            <v>DR</v>
          </cell>
          <cell r="M698" t="str">
            <v>unknown</v>
          </cell>
        </row>
        <row r="699">
          <cell r="A699">
            <v>698</v>
          </cell>
          <cell r="B699" t="str">
            <v>ja</v>
          </cell>
          <cell r="C699" t="str">
            <v>C02_WIZ01 R4</v>
          </cell>
          <cell r="D699" t="str">
            <v>イベント:デュラララ01　杏里</v>
          </cell>
          <cell r="E699" t="str">
            <v>執行者</v>
          </cell>
          <cell r="F699" t="str">
            <v>格好いい</v>
          </cell>
          <cell r="G699" t="str">
            <v>女性</v>
          </cell>
          <cell r="H699" t="str">
            <v>red</v>
          </cell>
          <cell r="I699">
            <v>5</v>
          </cell>
          <cell r="J699" t="str">
            <v>DropWizS</v>
          </cell>
          <cell r="K699" t="str">
            <v>dr</v>
          </cell>
          <cell r="L699" t="str">
            <v>DR</v>
          </cell>
          <cell r="M699" t="str">
            <v>human</v>
          </cell>
        </row>
        <row r="700">
          <cell r="A700">
            <v>699</v>
          </cell>
          <cell r="B700" t="str">
            <v>ja</v>
          </cell>
          <cell r="C700" t="str">
            <v>C02_WIZ01 R5</v>
          </cell>
          <cell r="D700" t="str">
            <v>イベント:デュラララ01　杏里</v>
          </cell>
          <cell r="E700" t="str">
            <v>執行者</v>
          </cell>
          <cell r="F700" t="str">
            <v>格好いい</v>
          </cell>
          <cell r="G700" t="str">
            <v>女性</v>
          </cell>
          <cell r="H700" t="str">
            <v>red</v>
          </cell>
          <cell r="I700">
            <v>6</v>
          </cell>
          <cell r="J700" t="str">
            <v>DropWizS</v>
          </cell>
          <cell r="K700" t="str">
            <v>dr</v>
          </cell>
          <cell r="L700" t="str">
            <v>DR</v>
          </cell>
          <cell r="M700" t="str">
            <v>human</v>
          </cell>
        </row>
        <row r="701">
          <cell r="A701">
            <v>700</v>
          </cell>
          <cell r="B701" t="str">
            <v>ja</v>
          </cell>
          <cell r="C701" t="str">
            <v>C02_WIZ02 R4</v>
          </cell>
          <cell r="D701" t="str">
            <v>イベント:デュラララ01　折原</v>
          </cell>
          <cell r="E701" t="str">
            <v>執行者</v>
          </cell>
          <cell r="F701" t="str">
            <v>格好いい</v>
          </cell>
          <cell r="G701" t="str">
            <v>男性</v>
          </cell>
          <cell r="H701" t="str">
            <v>blue</v>
          </cell>
          <cell r="I701">
            <v>5</v>
          </cell>
          <cell r="J701" t="str">
            <v>DropWizS</v>
          </cell>
          <cell r="K701" t="str">
            <v>dr</v>
          </cell>
          <cell r="L701" t="str">
            <v>DR</v>
          </cell>
          <cell r="M701" t="str">
            <v>human</v>
          </cell>
        </row>
        <row r="702">
          <cell r="A702">
            <v>701</v>
          </cell>
          <cell r="B702" t="str">
            <v>ja</v>
          </cell>
          <cell r="C702" t="str">
            <v>C02_WIZ02 R5</v>
          </cell>
          <cell r="D702" t="str">
            <v>イベント:デュラララ01　折原</v>
          </cell>
          <cell r="E702" t="str">
            <v>執行者</v>
          </cell>
          <cell r="F702" t="str">
            <v>格好いい</v>
          </cell>
          <cell r="G702" t="str">
            <v>男性</v>
          </cell>
          <cell r="H702" t="str">
            <v>blue</v>
          </cell>
          <cell r="I702">
            <v>6</v>
          </cell>
          <cell r="J702" t="str">
            <v>DropWizS</v>
          </cell>
          <cell r="K702" t="str">
            <v>dr</v>
          </cell>
          <cell r="L702" t="str">
            <v>DR</v>
          </cell>
          <cell r="M702" t="str">
            <v>human</v>
          </cell>
        </row>
        <row r="703">
          <cell r="A703">
            <v>702</v>
          </cell>
          <cell r="B703" t="str">
            <v>ja</v>
          </cell>
          <cell r="C703" t="str">
            <v>C02_GAC01 R4</v>
          </cell>
          <cell r="D703" t="str">
            <v>ガチャ:デュラララ01　サイモン</v>
          </cell>
          <cell r="E703" t="str">
            <v>執行者</v>
          </cell>
          <cell r="F703" t="str">
            <v>格好いい</v>
          </cell>
          <cell r="G703" t="str">
            <v>男性</v>
          </cell>
          <cell r="H703" t="str">
            <v>red</v>
          </cell>
          <cell r="I703">
            <v>4</v>
          </cell>
          <cell r="J703" t="str">
            <v>PremiumS</v>
          </cell>
          <cell r="K703" t="str">
            <v>dr</v>
          </cell>
          <cell r="L703" t="str">
            <v>DR</v>
          </cell>
          <cell r="M703" t="str">
            <v>human</v>
          </cell>
        </row>
        <row r="704">
          <cell r="A704">
            <v>703</v>
          </cell>
          <cell r="B704" t="str">
            <v>ja</v>
          </cell>
          <cell r="C704" t="str">
            <v>C02_GAC01 R5</v>
          </cell>
          <cell r="D704" t="str">
            <v>ガチャ:デュラララ01　サイモン</v>
          </cell>
          <cell r="E704" t="str">
            <v>執行者</v>
          </cell>
          <cell r="F704" t="str">
            <v>格好いい</v>
          </cell>
          <cell r="G704" t="str">
            <v>男性</v>
          </cell>
          <cell r="H704" t="str">
            <v>red</v>
          </cell>
          <cell r="I704">
            <v>5</v>
          </cell>
          <cell r="J704" t="str">
            <v>PremiumS</v>
          </cell>
          <cell r="K704" t="str">
            <v>dr</v>
          </cell>
          <cell r="L704" t="str">
            <v>DR</v>
          </cell>
          <cell r="M704" t="str">
            <v>human</v>
          </cell>
        </row>
        <row r="705">
          <cell r="A705">
            <v>704</v>
          </cell>
          <cell r="B705" t="str">
            <v>ja</v>
          </cell>
          <cell r="C705" t="str">
            <v>C02_GAC02 R3</v>
          </cell>
          <cell r="D705" t="str">
            <v>ガチャ:デュラララ01　贄川</v>
          </cell>
          <cell r="E705" t="str">
            <v>執行者</v>
          </cell>
          <cell r="F705" t="str">
            <v>格好いい</v>
          </cell>
          <cell r="G705" t="str">
            <v>女性</v>
          </cell>
          <cell r="H705" t="str">
            <v>red</v>
          </cell>
          <cell r="I705">
            <v>3</v>
          </cell>
          <cell r="J705" t="str">
            <v>PremiumN</v>
          </cell>
          <cell r="K705" t="str">
            <v>dr</v>
          </cell>
          <cell r="L705" t="str">
            <v>DR</v>
          </cell>
          <cell r="M705" t="str">
            <v>human</v>
          </cell>
        </row>
        <row r="706">
          <cell r="A706">
            <v>705</v>
          </cell>
          <cell r="B706" t="str">
            <v>ja</v>
          </cell>
          <cell r="C706" t="str">
            <v>C02_GAC02 R4</v>
          </cell>
          <cell r="D706" t="str">
            <v>ガチャ:デュラララ01　贄川</v>
          </cell>
          <cell r="E706" t="str">
            <v>執行者</v>
          </cell>
          <cell r="F706" t="str">
            <v>格好いい</v>
          </cell>
          <cell r="G706" t="str">
            <v>女性</v>
          </cell>
          <cell r="H706" t="str">
            <v>red</v>
          </cell>
          <cell r="I706">
            <v>4</v>
          </cell>
          <cell r="J706" t="str">
            <v>PremiumN</v>
          </cell>
          <cell r="K706" t="str">
            <v>dr</v>
          </cell>
          <cell r="L706" t="str">
            <v>DR</v>
          </cell>
          <cell r="M706" t="str">
            <v>human</v>
          </cell>
        </row>
        <row r="707">
          <cell r="A707">
            <v>706</v>
          </cell>
          <cell r="B707" t="str">
            <v>ja</v>
          </cell>
          <cell r="C707" t="str">
            <v>C02_GAC03 R4</v>
          </cell>
          <cell r="D707" t="str">
            <v>ガチャ:デュラララ01　岸谷</v>
          </cell>
          <cell r="E707" t="str">
            <v>執行者</v>
          </cell>
          <cell r="F707" t="str">
            <v>格好いい</v>
          </cell>
          <cell r="G707" t="str">
            <v>男性</v>
          </cell>
          <cell r="H707" t="str">
            <v>green</v>
          </cell>
          <cell r="I707">
            <v>4</v>
          </cell>
          <cell r="J707" t="str">
            <v>PremiumS</v>
          </cell>
          <cell r="K707" t="str">
            <v>dr</v>
          </cell>
          <cell r="L707" t="str">
            <v>DR</v>
          </cell>
          <cell r="M707" t="str">
            <v>human</v>
          </cell>
        </row>
        <row r="708">
          <cell r="A708">
            <v>707</v>
          </cell>
          <cell r="B708" t="str">
            <v>ja</v>
          </cell>
          <cell r="C708" t="str">
            <v>C02_GAC03 R5</v>
          </cell>
          <cell r="D708" t="str">
            <v>ガチャ:デュラララ01　岸谷</v>
          </cell>
          <cell r="E708" t="str">
            <v>執行者</v>
          </cell>
          <cell r="F708" t="str">
            <v>格好いい</v>
          </cell>
          <cell r="G708" t="str">
            <v>男性</v>
          </cell>
          <cell r="H708" t="str">
            <v>green</v>
          </cell>
          <cell r="I708">
            <v>5</v>
          </cell>
          <cell r="J708" t="str">
            <v>PremiumS</v>
          </cell>
          <cell r="K708" t="str">
            <v>dr</v>
          </cell>
          <cell r="L708" t="str">
            <v>DR</v>
          </cell>
          <cell r="M708" t="str">
            <v>human</v>
          </cell>
        </row>
        <row r="709">
          <cell r="A709">
            <v>708</v>
          </cell>
          <cell r="B709" t="str">
            <v>ja</v>
          </cell>
          <cell r="C709" t="str">
            <v>C02_GAC04 R3</v>
          </cell>
          <cell r="D709" t="str">
            <v>ガチャ:デュラララ01　門田</v>
          </cell>
          <cell r="E709" t="str">
            <v>執行者</v>
          </cell>
          <cell r="F709" t="str">
            <v>格好いい</v>
          </cell>
          <cell r="G709" t="str">
            <v>男性</v>
          </cell>
          <cell r="H709" t="str">
            <v>green</v>
          </cell>
          <cell r="I709">
            <v>3</v>
          </cell>
          <cell r="J709" t="str">
            <v>PremiumN</v>
          </cell>
          <cell r="K709" t="str">
            <v>dr</v>
          </cell>
          <cell r="L709" t="str">
            <v>DR</v>
          </cell>
          <cell r="M709" t="str">
            <v>human</v>
          </cell>
        </row>
        <row r="710">
          <cell r="A710">
            <v>709</v>
          </cell>
          <cell r="B710" t="str">
            <v>ja</v>
          </cell>
          <cell r="C710" t="str">
            <v>C02_GAC04 R4</v>
          </cell>
          <cell r="D710" t="str">
            <v>ガチャ:デュラララ01　門田</v>
          </cell>
          <cell r="E710" t="str">
            <v>執行者</v>
          </cell>
          <cell r="F710" t="str">
            <v>格好いい</v>
          </cell>
          <cell r="G710" t="str">
            <v>男性</v>
          </cell>
          <cell r="H710" t="str">
            <v>green</v>
          </cell>
          <cell r="I710">
            <v>4</v>
          </cell>
          <cell r="J710" t="str">
            <v>PremiumN</v>
          </cell>
          <cell r="K710" t="str">
            <v>dr</v>
          </cell>
          <cell r="L710" t="str">
            <v>DR</v>
          </cell>
          <cell r="M710" t="str">
            <v>human</v>
          </cell>
        </row>
        <row r="711">
          <cell r="A711">
            <v>710</v>
          </cell>
          <cell r="B711" t="str">
            <v>ja</v>
          </cell>
          <cell r="C711" t="str">
            <v>C02_GAC05 R5</v>
          </cell>
          <cell r="D711" t="str">
            <v>ガチャ:デュラララ01　田中</v>
          </cell>
          <cell r="E711" t="str">
            <v>執行者</v>
          </cell>
          <cell r="F711" t="str">
            <v>格好いい</v>
          </cell>
          <cell r="G711" t="str">
            <v>男性</v>
          </cell>
          <cell r="H711" t="str">
            <v>green</v>
          </cell>
          <cell r="I711">
            <v>3</v>
          </cell>
          <cell r="J711" t="str">
            <v>PremiumN</v>
          </cell>
          <cell r="K711" t="str">
            <v>dr</v>
          </cell>
          <cell r="L711" t="str">
            <v>DR</v>
          </cell>
          <cell r="M711" t="str">
            <v>human</v>
          </cell>
        </row>
        <row r="712">
          <cell r="A712">
            <v>711</v>
          </cell>
          <cell r="B712" t="str">
            <v>ja</v>
          </cell>
          <cell r="C712" t="str">
            <v>C02_GAC05 R6</v>
          </cell>
          <cell r="D712" t="str">
            <v>ガチャ:デュラララ01　田中</v>
          </cell>
          <cell r="E712" t="str">
            <v>執行者</v>
          </cell>
          <cell r="F712" t="str">
            <v>格好いい</v>
          </cell>
          <cell r="G712" t="str">
            <v>男性</v>
          </cell>
          <cell r="H712" t="str">
            <v>green</v>
          </cell>
          <cell r="I712">
            <v>4</v>
          </cell>
          <cell r="J712" t="str">
            <v>PremiumN</v>
          </cell>
          <cell r="K712" t="str">
            <v>dr</v>
          </cell>
          <cell r="L712" t="str">
            <v>DR</v>
          </cell>
          <cell r="M712" t="str">
            <v>human</v>
          </cell>
        </row>
        <row r="713">
          <cell r="A713">
            <v>712</v>
          </cell>
          <cell r="B713" t="str">
            <v>ja</v>
          </cell>
          <cell r="C713" t="str">
            <v>C02_GAC06 R3</v>
          </cell>
          <cell r="D713" t="str">
            <v>ガチャ:デュラララ01　帝人</v>
          </cell>
          <cell r="E713" t="str">
            <v>執行者</v>
          </cell>
          <cell r="F713" t="str">
            <v>格好いい</v>
          </cell>
          <cell r="G713" t="str">
            <v>男性</v>
          </cell>
          <cell r="H713" t="str">
            <v>blue</v>
          </cell>
          <cell r="I713">
            <v>5</v>
          </cell>
          <cell r="J713" t="str">
            <v>PremiumSS</v>
          </cell>
          <cell r="K713" t="str">
            <v>dr</v>
          </cell>
          <cell r="L713" t="str">
            <v>DR</v>
          </cell>
          <cell r="M713" t="str">
            <v>human</v>
          </cell>
        </row>
        <row r="714">
          <cell r="A714">
            <v>713</v>
          </cell>
          <cell r="B714" t="str">
            <v>ja</v>
          </cell>
          <cell r="C714" t="str">
            <v>C02_GAC06 R4</v>
          </cell>
          <cell r="D714" t="str">
            <v>ガチャ:デュラララ01　帝人</v>
          </cell>
          <cell r="E714" t="str">
            <v>執行者</v>
          </cell>
          <cell r="F714" t="str">
            <v>格好いい</v>
          </cell>
          <cell r="G714" t="str">
            <v>男性</v>
          </cell>
          <cell r="H714" t="str">
            <v>blue</v>
          </cell>
          <cell r="I714">
            <v>6</v>
          </cell>
          <cell r="J714" t="str">
            <v>PremiumSS</v>
          </cell>
          <cell r="K714" t="str">
            <v>dr</v>
          </cell>
          <cell r="L714" t="str">
            <v>DR</v>
          </cell>
          <cell r="M714" t="str">
            <v>human</v>
          </cell>
        </row>
        <row r="715">
          <cell r="A715">
            <v>714</v>
          </cell>
          <cell r="B715" t="str">
            <v>ja</v>
          </cell>
          <cell r="C715" t="str">
            <v>C02_GAC07 R3</v>
          </cell>
          <cell r="D715" t="str">
            <v>ガチャ:デュラララ01　茜</v>
          </cell>
          <cell r="E715" t="str">
            <v>執行者</v>
          </cell>
          <cell r="F715" t="str">
            <v>格好いい</v>
          </cell>
          <cell r="G715" t="str">
            <v>女性</v>
          </cell>
          <cell r="H715" t="str">
            <v>blue</v>
          </cell>
          <cell r="I715">
            <v>3</v>
          </cell>
          <cell r="J715" t="str">
            <v>PremiumN</v>
          </cell>
          <cell r="K715" t="str">
            <v>dr</v>
          </cell>
          <cell r="L715" t="str">
            <v>DR</v>
          </cell>
          <cell r="M715" t="str">
            <v>human</v>
          </cell>
        </row>
        <row r="716">
          <cell r="A716">
            <v>715</v>
          </cell>
          <cell r="B716" t="str">
            <v>ja</v>
          </cell>
          <cell r="C716" t="str">
            <v>C02_GAC07 R4</v>
          </cell>
          <cell r="D716" t="str">
            <v>ガチャ:デュラララ01　茜</v>
          </cell>
          <cell r="E716" t="str">
            <v>執行者</v>
          </cell>
          <cell r="F716" t="str">
            <v>格好いい</v>
          </cell>
          <cell r="G716" t="str">
            <v>女性</v>
          </cell>
          <cell r="H716" t="str">
            <v>blue</v>
          </cell>
          <cell r="I716">
            <v>4</v>
          </cell>
          <cell r="J716" t="str">
            <v>PremiumN</v>
          </cell>
          <cell r="K716" t="str">
            <v>dr</v>
          </cell>
          <cell r="L716" t="str">
            <v>DR</v>
          </cell>
          <cell r="M716" t="str">
            <v>human</v>
          </cell>
        </row>
        <row r="717">
          <cell r="A717">
            <v>716</v>
          </cell>
          <cell r="B717" t="str">
            <v>ja</v>
          </cell>
          <cell r="C717" t="str">
            <v>C02_GAC08 R5</v>
          </cell>
          <cell r="D717" t="str">
            <v>ガチャ:デュラララ01　静雄</v>
          </cell>
          <cell r="E717" t="str">
            <v>執行者</v>
          </cell>
          <cell r="F717" t="str">
            <v>格好いい</v>
          </cell>
          <cell r="G717" t="str">
            <v>男性</v>
          </cell>
          <cell r="H717" t="str">
            <v>yellow</v>
          </cell>
          <cell r="I717">
            <v>5</v>
          </cell>
          <cell r="J717" t="str">
            <v>PremiumSS</v>
          </cell>
          <cell r="K717" t="str">
            <v>dr</v>
          </cell>
          <cell r="L717" t="str">
            <v>DR</v>
          </cell>
          <cell r="M717" t="str">
            <v>human</v>
          </cell>
        </row>
        <row r="718">
          <cell r="A718">
            <v>717</v>
          </cell>
          <cell r="B718" t="str">
            <v>ja</v>
          </cell>
          <cell r="C718" t="str">
            <v>C02_GAC08 R6</v>
          </cell>
          <cell r="D718" t="str">
            <v>ガチャ:デュラララ01　静雄</v>
          </cell>
          <cell r="E718" t="str">
            <v>執行者</v>
          </cell>
          <cell r="F718" t="str">
            <v>格好いい</v>
          </cell>
          <cell r="G718" t="str">
            <v>男性</v>
          </cell>
          <cell r="H718" t="str">
            <v>yellow</v>
          </cell>
          <cell r="I718">
            <v>6</v>
          </cell>
          <cell r="J718" t="str">
            <v>PremiumSS</v>
          </cell>
          <cell r="K718" t="str">
            <v>dr</v>
          </cell>
          <cell r="L718" t="str">
            <v>DR</v>
          </cell>
          <cell r="M718" t="str">
            <v>human</v>
          </cell>
        </row>
        <row r="719">
          <cell r="A719">
            <v>718</v>
          </cell>
          <cell r="B719" t="str">
            <v>ja</v>
          </cell>
          <cell r="C719" t="str">
            <v>C02_GAC09 R4</v>
          </cell>
          <cell r="D719" t="str">
            <v>ガチャ:デュラララ01　ヴァローナ</v>
          </cell>
          <cell r="E719" t="str">
            <v>執行者</v>
          </cell>
          <cell r="F719" t="str">
            <v>格好いい</v>
          </cell>
          <cell r="G719" t="str">
            <v>女性</v>
          </cell>
          <cell r="H719" t="str">
            <v>yellow</v>
          </cell>
          <cell r="I719">
            <v>4</v>
          </cell>
          <cell r="J719" t="str">
            <v>PremiumS</v>
          </cell>
          <cell r="K719" t="str">
            <v>dr</v>
          </cell>
          <cell r="L719" t="str">
            <v>DR</v>
          </cell>
          <cell r="M719" t="str">
            <v>human</v>
          </cell>
        </row>
        <row r="720">
          <cell r="A720">
            <v>719</v>
          </cell>
          <cell r="B720" t="str">
            <v>ja</v>
          </cell>
          <cell r="C720" t="str">
            <v>C02_GAC09 R5</v>
          </cell>
          <cell r="D720" t="str">
            <v>ガチャ:デュラララ01　ヴァローナ</v>
          </cell>
          <cell r="E720" t="str">
            <v>執行者</v>
          </cell>
          <cell r="F720" t="str">
            <v>格好いい</v>
          </cell>
          <cell r="G720" t="str">
            <v>女性</v>
          </cell>
          <cell r="H720" t="str">
            <v>yellow</v>
          </cell>
          <cell r="I720">
            <v>5</v>
          </cell>
          <cell r="J720" t="str">
            <v>PremiumS</v>
          </cell>
          <cell r="K720" t="str">
            <v>dr</v>
          </cell>
          <cell r="L720" t="str">
            <v>DR</v>
          </cell>
          <cell r="M720" t="str">
            <v>human</v>
          </cell>
        </row>
        <row r="721">
          <cell r="A721">
            <v>720</v>
          </cell>
          <cell r="B721" t="str">
            <v>ja</v>
          </cell>
          <cell r="C721" t="str">
            <v>直江兼続</v>
          </cell>
          <cell r="D721" t="str">
            <v>イベント:戦国01</v>
          </cell>
          <cell r="E721" t="str">
            <v>執行者</v>
          </cell>
          <cell r="F721" t="str">
            <v>格好いい</v>
          </cell>
          <cell r="G721" t="str">
            <v>男性</v>
          </cell>
          <cell r="H721" t="str">
            <v>blue</v>
          </cell>
          <cell r="I721">
            <v>4</v>
          </cell>
          <cell r="J721" t="str">
            <v>PremiumS</v>
          </cell>
          <cell r="K721" t="str">
            <v>attack</v>
          </cell>
          <cell r="L721" t="str">
            <v>攻撃タイプ</v>
          </cell>
          <cell r="M721" t="str">
            <v>human</v>
          </cell>
        </row>
        <row r="722">
          <cell r="A722">
            <v>721</v>
          </cell>
          <cell r="B722" t="str">
            <v>ja</v>
          </cell>
          <cell r="C722" t="str">
            <v>直江兼続</v>
          </cell>
          <cell r="D722" t="str">
            <v>イベント:戦国01</v>
          </cell>
          <cell r="E722" t="str">
            <v>執行者</v>
          </cell>
          <cell r="F722" t="str">
            <v>格好いい</v>
          </cell>
          <cell r="G722" t="str">
            <v>男性</v>
          </cell>
          <cell r="H722" t="str">
            <v>blue</v>
          </cell>
          <cell r="I722">
            <v>5</v>
          </cell>
          <cell r="J722" t="str">
            <v>PremiumS</v>
          </cell>
          <cell r="K722" t="str">
            <v>attack</v>
          </cell>
          <cell r="L722" t="str">
            <v>攻撃タイプ</v>
          </cell>
          <cell r="M722" t="str">
            <v>human</v>
          </cell>
        </row>
        <row r="723">
          <cell r="A723">
            <v>722</v>
          </cell>
          <cell r="B723" t="str">
            <v>ja</v>
          </cell>
          <cell r="C723" t="str">
            <v>蘭丸</v>
          </cell>
          <cell r="D723" t="str">
            <v>イベント:戦国01</v>
          </cell>
          <cell r="E723" t="str">
            <v>執行者</v>
          </cell>
          <cell r="F723" t="str">
            <v>格好いい</v>
          </cell>
          <cell r="G723" t="str">
            <v>男性</v>
          </cell>
          <cell r="H723" t="str">
            <v>blue</v>
          </cell>
          <cell r="I723">
            <v>4</v>
          </cell>
          <cell r="J723" t="str">
            <v>PremiumS</v>
          </cell>
          <cell r="K723" t="str">
            <v>attack</v>
          </cell>
          <cell r="L723" t="str">
            <v>攻撃タイプ</v>
          </cell>
          <cell r="M723" t="str">
            <v>human</v>
          </cell>
        </row>
        <row r="724">
          <cell r="A724">
            <v>723</v>
          </cell>
          <cell r="B724" t="str">
            <v>ja</v>
          </cell>
          <cell r="C724" t="str">
            <v>蘭丸</v>
          </cell>
          <cell r="D724" t="str">
            <v>イベント:戦国01</v>
          </cell>
          <cell r="E724" t="str">
            <v>執行者</v>
          </cell>
          <cell r="F724" t="str">
            <v>格好いい</v>
          </cell>
          <cell r="G724" t="str">
            <v>男性</v>
          </cell>
          <cell r="H724" t="str">
            <v>blue</v>
          </cell>
          <cell r="I724">
            <v>5</v>
          </cell>
          <cell r="J724" t="str">
            <v>PremiumS</v>
          </cell>
          <cell r="K724" t="str">
            <v>attack</v>
          </cell>
          <cell r="L724" t="str">
            <v>攻撃タイプ</v>
          </cell>
          <cell r="M724" t="str">
            <v>human</v>
          </cell>
        </row>
        <row r="725">
          <cell r="A725">
            <v>724</v>
          </cell>
          <cell r="B725" t="str">
            <v>ja</v>
          </cell>
          <cell r="C725" t="str">
            <v>武田信玄</v>
          </cell>
          <cell r="D725" t="str">
            <v>イベント:ウィザード</v>
          </cell>
          <cell r="E725" t="str">
            <v>執行者</v>
          </cell>
          <cell r="F725" t="str">
            <v>格好いい</v>
          </cell>
          <cell r="G725" t="str">
            <v>男性</v>
          </cell>
          <cell r="H725" t="str">
            <v>blue</v>
          </cell>
          <cell r="I725">
            <v>5</v>
          </cell>
          <cell r="J725" t="str">
            <v>PremiumS</v>
          </cell>
          <cell r="K725" t="str">
            <v>attack</v>
          </cell>
          <cell r="L725" t="str">
            <v>攻撃タイプ</v>
          </cell>
          <cell r="M725" t="str">
            <v>human</v>
          </cell>
        </row>
        <row r="726">
          <cell r="A726">
            <v>725</v>
          </cell>
          <cell r="B726" t="str">
            <v>ja</v>
          </cell>
          <cell r="C726" t="str">
            <v>武田信玄</v>
          </cell>
          <cell r="D726" t="str">
            <v>イベント:ウィザード</v>
          </cell>
          <cell r="E726" t="str">
            <v>執行者</v>
          </cell>
          <cell r="F726" t="str">
            <v>格好いい</v>
          </cell>
          <cell r="G726" t="str">
            <v>男性</v>
          </cell>
          <cell r="H726" t="str">
            <v>blue</v>
          </cell>
          <cell r="I726">
            <v>5</v>
          </cell>
          <cell r="J726" t="str">
            <v>PremiumS</v>
          </cell>
          <cell r="K726" t="str">
            <v>attack</v>
          </cell>
          <cell r="L726" t="str">
            <v>攻撃タイプ</v>
          </cell>
          <cell r="M726" t="str">
            <v>human</v>
          </cell>
        </row>
        <row r="727">
          <cell r="A727">
            <v>726</v>
          </cell>
          <cell r="B727" t="str">
            <v>ja</v>
          </cell>
          <cell r="C727" t="str">
            <v>織田信長</v>
          </cell>
          <cell r="D727" t="str">
            <v>イベント:超ウィザード</v>
          </cell>
          <cell r="E727" t="str">
            <v>執行者</v>
          </cell>
          <cell r="F727" t="str">
            <v>格好いい</v>
          </cell>
          <cell r="G727" t="str">
            <v>男性</v>
          </cell>
          <cell r="H727" t="str">
            <v>blue</v>
          </cell>
          <cell r="I727">
            <v>5</v>
          </cell>
          <cell r="J727" t="str">
            <v>PremiumS</v>
          </cell>
          <cell r="K727" t="str">
            <v>attack</v>
          </cell>
          <cell r="L727" t="str">
            <v>攻撃タイプ</v>
          </cell>
          <cell r="M727" t="str">
            <v>human</v>
          </cell>
        </row>
        <row r="728">
          <cell r="A728">
            <v>727</v>
          </cell>
          <cell r="B728" t="str">
            <v>ja</v>
          </cell>
          <cell r="C728" t="str">
            <v>織田信長</v>
          </cell>
          <cell r="D728" t="str">
            <v>イベント:超ウィザード</v>
          </cell>
          <cell r="E728" t="str">
            <v>執行者</v>
          </cell>
          <cell r="F728" t="str">
            <v>格好いい</v>
          </cell>
          <cell r="G728" t="str">
            <v>男性</v>
          </cell>
          <cell r="H728" t="str">
            <v>blue</v>
          </cell>
          <cell r="I728">
            <v>5</v>
          </cell>
          <cell r="J728" t="str">
            <v>PremiumS</v>
          </cell>
          <cell r="K728" t="str">
            <v>attack</v>
          </cell>
          <cell r="L728" t="str">
            <v>攻撃タイプ</v>
          </cell>
          <cell r="M728" t="str">
            <v>human</v>
          </cell>
        </row>
        <row r="729">
          <cell r="A729">
            <v>728</v>
          </cell>
          <cell r="B729" t="str">
            <v>ja</v>
          </cell>
          <cell r="C729" t="str">
            <v>井伊直虎</v>
          </cell>
          <cell r="D729" t="str">
            <v>ガチャ:戦国01</v>
          </cell>
          <cell r="E729" t="str">
            <v>執行者</v>
          </cell>
          <cell r="F729" t="str">
            <v>格好いい</v>
          </cell>
          <cell r="G729" t="str">
            <v>女性</v>
          </cell>
          <cell r="H729" t="str">
            <v>blue</v>
          </cell>
          <cell r="I729">
            <v>5</v>
          </cell>
          <cell r="J729" t="str">
            <v>PremiumS</v>
          </cell>
          <cell r="K729" t="str">
            <v>attack</v>
          </cell>
          <cell r="L729" t="str">
            <v>攻撃タイプ</v>
          </cell>
          <cell r="M729" t="str">
            <v>human</v>
          </cell>
        </row>
        <row r="730">
          <cell r="A730">
            <v>729</v>
          </cell>
          <cell r="B730" t="str">
            <v>ja</v>
          </cell>
          <cell r="C730" t="str">
            <v>井伊直虎</v>
          </cell>
          <cell r="D730" t="str">
            <v>ガチャ:戦国01</v>
          </cell>
          <cell r="E730" t="str">
            <v>執行者</v>
          </cell>
          <cell r="F730" t="str">
            <v>格好いい</v>
          </cell>
          <cell r="G730" t="str">
            <v>女性</v>
          </cell>
          <cell r="H730" t="str">
            <v>blue</v>
          </cell>
          <cell r="I730">
            <v>5</v>
          </cell>
          <cell r="J730" t="str">
            <v>PremiumS</v>
          </cell>
          <cell r="K730" t="str">
            <v>attack</v>
          </cell>
          <cell r="L730" t="str">
            <v>攻撃タイプ</v>
          </cell>
          <cell r="M730" t="str">
            <v>human</v>
          </cell>
        </row>
        <row r="731">
          <cell r="A731">
            <v>730</v>
          </cell>
          <cell r="B731" t="str">
            <v>ja</v>
          </cell>
          <cell r="C731" t="str">
            <v>ガラシャ</v>
          </cell>
          <cell r="D731" t="str">
            <v>ガチャ:戦国01</v>
          </cell>
          <cell r="E731" t="str">
            <v>執行者</v>
          </cell>
          <cell r="F731" t="str">
            <v>格好いい</v>
          </cell>
          <cell r="G731" t="str">
            <v>女性</v>
          </cell>
          <cell r="H731" t="str">
            <v>blue</v>
          </cell>
          <cell r="I731">
            <v>5</v>
          </cell>
          <cell r="J731" t="str">
            <v>PremiumS</v>
          </cell>
          <cell r="K731" t="str">
            <v>attack</v>
          </cell>
          <cell r="L731" t="str">
            <v>攻撃タイプ</v>
          </cell>
          <cell r="M731" t="str">
            <v>human</v>
          </cell>
        </row>
        <row r="732">
          <cell r="A732">
            <v>731</v>
          </cell>
          <cell r="B732" t="str">
            <v>ja</v>
          </cell>
          <cell r="C732" t="str">
            <v>ガラシャ</v>
          </cell>
          <cell r="D732" t="str">
            <v>ガチャ:戦国01</v>
          </cell>
          <cell r="E732" t="str">
            <v>執行者</v>
          </cell>
          <cell r="F732" t="str">
            <v>格好いい</v>
          </cell>
          <cell r="G732" t="str">
            <v>女性</v>
          </cell>
          <cell r="H732" t="str">
            <v>blue</v>
          </cell>
          <cell r="I732">
            <v>5</v>
          </cell>
          <cell r="J732" t="str">
            <v>PremiumS</v>
          </cell>
          <cell r="K732" t="str">
            <v>attack</v>
          </cell>
          <cell r="L732" t="str">
            <v>攻撃タイプ</v>
          </cell>
          <cell r="M732" t="str">
            <v>human</v>
          </cell>
        </row>
        <row r="733">
          <cell r="A733">
            <v>732</v>
          </cell>
          <cell r="B733" t="str">
            <v>ja</v>
          </cell>
          <cell r="C733" t="str">
            <v>上杉謙信</v>
          </cell>
          <cell r="D733" t="str">
            <v>ガチャ:戦国01</v>
          </cell>
          <cell r="E733" t="str">
            <v>執行者</v>
          </cell>
          <cell r="F733" t="str">
            <v>格好いい</v>
          </cell>
          <cell r="G733" t="str">
            <v>女性</v>
          </cell>
          <cell r="H733" t="str">
            <v>blue</v>
          </cell>
          <cell r="I733">
            <v>5</v>
          </cell>
          <cell r="J733" t="str">
            <v>PremiumS</v>
          </cell>
          <cell r="K733" t="str">
            <v>attack</v>
          </cell>
          <cell r="L733" t="str">
            <v>攻撃タイプ</v>
          </cell>
          <cell r="M733" t="str">
            <v>human</v>
          </cell>
        </row>
        <row r="734">
          <cell r="A734">
            <v>733</v>
          </cell>
          <cell r="B734" t="str">
            <v>ja</v>
          </cell>
          <cell r="C734" t="str">
            <v>上杉謙信</v>
          </cell>
          <cell r="D734" t="str">
            <v>ガチャ:戦国01</v>
          </cell>
          <cell r="E734" t="str">
            <v>執行者</v>
          </cell>
          <cell r="F734" t="str">
            <v>格好いい</v>
          </cell>
          <cell r="G734" t="str">
            <v>男性</v>
          </cell>
          <cell r="H734" t="str">
            <v>blue</v>
          </cell>
          <cell r="I734">
            <v>5</v>
          </cell>
          <cell r="J734" t="str">
            <v>PremiumS</v>
          </cell>
          <cell r="K734" t="str">
            <v>attack</v>
          </cell>
          <cell r="L734" t="str">
            <v>攻撃タイプ</v>
          </cell>
          <cell r="M734" t="str">
            <v>human</v>
          </cell>
        </row>
        <row r="735">
          <cell r="A735">
            <v>734</v>
          </cell>
          <cell r="B735" t="str">
            <v>ja</v>
          </cell>
          <cell r="C735" t="str">
            <v>伊達政宗</v>
          </cell>
          <cell r="D735" t="str">
            <v>ガチャ:戦国01</v>
          </cell>
          <cell r="E735" t="str">
            <v>執行者</v>
          </cell>
          <cell r="F735" t="str">
            <v>格好いい</v>
          </cell>
          <cell r="G735" t="str">
            <v>男性</v>
          </cell>
          <cell r="H735" t="str">
            <v>blue</v>
          </cell>
          <cell r="I735">
            <v>5</v>
          </cell>
          <cell r="J735" t="str">
            <v>PremiumS</v>
          </cell>
          <cell r="K735" t="str">
            <v>attack</v>
          </cell>
          <cell r="L735" t="str">
            <v>攻撃タイプ</v>
          </cell>
          <cell r="M735" t="str">
            <v>human</v>
          </cell>
        </row>
        <row r="736">
          <cell r="A736">
            <v>735</v>
          </cell>
          <cell r="B736" t="str">
            <v>ja</v>
          </cell>
          <cell r="C736" t="str">
            <v>伊達政宗</v>
          </cell>
          <cell r="D736" t="str">
            <v>ガチャ:戦国01</v>
          </cell>
          <cell r="E736" t="str">
            <v>執行者</v>
          </cell>
          <cell r="F736" t="str">
            <v>格好いい</v>
          </cell>
          <cell r="G736" t="str">
            <v>女性</v>
          </cell>
          <cell r="H736" t="str">
            <v>blue</v>
          </cell>
          <cell r="I736">
            <v>5</v>
          </cell>
          <cell r="J736" t="str">
            <v>PremiumS</v>
          </cell>
          <cell r="K736" t="str">
            <v>attack</v>
          </cell>
          <cell r="L736" t="str">
            <v>攻撃タイプ</v>
          </cell>
          <cell r="M736" t="str">
            <v>human</v>
          </cell>
        </row>
        <row r="737">
          <cell r="A737">
            <v>736</v>
          </cell>
          <cell r="B737" t="str">
            <v>ja</v>
          </cell>
          <cell r="C737" t="str">
            <v>オルトロス</v>
          </cell>
          <cell r="D737" t="str">
            <v>ガチャ:戦国01</v>
          </cell>
          <cell r="E737" t="str">
            <v>執行者</v>
          </cell>
          <cell r="F737" t="str">
            <v>格好いい</v>
          </cell>
          <cell r="G737" t="str">
            <v>女性</v>
          </cell>
          <cell r="H737" t="str">
            <v>blue</v>
          </cell>
          <cell r="I737">
            <v>5</v>
          </cell>
          <cell r="J737" t="str">
            <v>PremiumS</v>
          </cell>
          <cell r="K737" t="str">
            <v>attack</v>
          </cell>
          <cell r="L737" t="str">
            <v>攻撃タイプ</v>
          </cell>
          <cell r="M737" t="str">
            <v>human</v>
          </cell>
        </row>
        <row r="738">
          <cell r="A738">
            <v>737</v>
          </cell>
          <cell r="B738" t="str">
            <v>ja</v>
          </cell>
          <cell r="C738" t="str">
            <v>オルトロス</v>
          </cell>
          <cell r="D738" t="str">
            <v>各属性相性良3・黄・R355</v>
          </cell>
          <cell r="E738" t="str">
            <v>執行者</v>
          </cell>
          <cell r="F738" t="str">
            <v>格好いい</v>
          </cell>
          <cell r="G738" t="str">
            <v>男性</v>
          </cell>
          <cell r="H738" t="str">
            <v>blue</v>
          </cell>
          <cell r="I738">
            <v>5</v>
          </cell>
          <cell r="J738" t="str">
            <v>PremiumS</v>
          </cell>
          <cell r="K738" t="str">
            <v>attack</v>
          </cell>
          <cell r="L738" t="str">
            <v>攻撃タイプ</v>
          </cell>
          <cell r="M738" t="str">
            <v>human</v>
          </cell>
        </row>
        <row r="739">
          <cell r="A739">
            <v>738</v>
          </cell>
          <cell r="B739" t="str">
            <v>ja</v>
          </cell>
          <cell r="C739" t="str">
            <v>ラドン</v>
          </cell>
          <cell r="D739" t="str">
            <v>各属性相性良3・黄・R356</v>
          </cell>
          <cell r="E739" t="str">
            <v>執行者</v>
          </cell>
          <cell r="F739" t="str">
            <v>格好いい</v>
          </cell>
          <cell r="G739" t="str">
            <v>男性</v>
          </cell>
          <cell r="H739" t="str">
            <v>blue</v>
          </cell>
          <cell r="I739">
            <v>5</v>
          </cell>
          <cell r="J739" t="str">
            <v>PremiumS</v>
          </cell>
          <cell r="K739" t="str">
            <v>attack</v>
          </cell>
          <cell r="L739" t="str">
            <v>攻撃タイプ</v>
          </cell>
          <cell r="M739" t="str">
            <v>human</v>
          </cell>
        </row>
        <row r="740">
          <cell r="A740">
            <v>739</v>
          </cell>
          <cell r="B740" t="str">
            <v>ja</v>
          </cell>
          <cell r="C740" t="str">
            <v>ラドン</v>
          </cell>
          <cell r="D740" t="str">
            <v>各属性相性良3・黄・R357</v>
          </cell>
          <cell r="E740" t="str">
            <v>執行者</v>
          </cell>
          <cell r="F740" t="str">
            <v>格好いい</v>
          </cell>
          <cell r="G740" t="str">
            <v>男性</v>
          </cell>
          <cell r="H740" t="str">
            <v>blue</v>
          </cell>
          <cell r="I740">
            <v>5</v>
          </cell>
          <cell r="J740" t="str">
            <v>PremiumS</v>
          </cell>
          <cell r="K740" t="str">
            <v>attack</v>
          </cell>
          <cell r="L740" t="str">
            <v>攻撃タイプ</v>
          </cell>
          <cell r="M740" t="str">
            <v>human</v>
          </cell>
        </row>
        <row r="741">
          <cell r="A741">
            <v>740</v>
          </cell>
          <cell r="B741" t="str">
            <v>ja</v>
          </cell>
          <cell r="C741" t="str">
            <v>テュポーン</v>
          </cell>
          <cell r="D741" t="str">
            <v>各属性相性良3・黄・R358</v>
          </cell>
          <cell r="E741" t="str">
            <v>執行者</v>
          </cell>
          <cell r="F741" t="str">
            <v>格好いい</v>
          </cell>
          <cell r="G741" t="str">
            <v>男性</v>
          </cell>
          <cell r="H741" t="str">
            <v>blue</v>
          </cell>
          <cell r="I741">
            <v>5</v>
          </cell>
          <cell r="J741" t="str">
            <v>PremiumS</v>
          </cell>
          <cell r="K741" t="str">
            <v>attack</v>
          </cell>
          <cell r="L741" t="str">
            <v>攻撃タイプ</v>
          </cell>
          <cell r="M741" t="str">
            <v>human</v>
          </cell>
        </row>
        <row r="742">
          <cell r="A742">
            <v>741</v>
          </cell>
          <cell r="B742" t="str">
            <v>ja</v>
          </cell>
          <cell r="C742" t="str">
            <v>テュポーン</v>
          </cell>
          <cell r="D742" t="str">
            <v>各属性相性良3・黄・R359</v>
          </cell>
          <cell r="E742" t="str">
            <v>執行者</v>
          </cell>
          <cell r="F742" t="str">
            <v>格好いい</v>
          </cell>
          <cell r="G742" t="str">
            <v>男性</v>
          </cell>
          <cell r="H742" t="str">
            <v>blue</v>
          </cell>
          <cell r="I742">
            <v>5</v>
          </cell>
          <cell r="J742" t="str">
            <v>PremiumS</v>
          </cell>
          <cell r="K742" t="str">
            <v>attack</v>
          </cell>
          <cell r="L742" t="str">
            <v>攻撃タイプ</v>
          </cell>
          <cell r="M742" t="str">
            <v>human</v>
          </cell>
        </row>
        <row r="743">
          <cell r="A743">
            <v>742</v>
          </cell>
          <cell r="B743" t="str">
            <v>ja</v>
          </cell>
          <cell r="C743" t="str">
            <v>パーン</v>
          </cell>
          <cell r="D743" t="str">
            <v>各属性相性良3・黄・R360</v>
          </cell>
          <cell r="E743" t="str">
            <v>執行者</v>
          </cell>
          <cell r="F743" t="str">
            <v>格好いい</v>
          </cell>
          <cell r="G743" t="str">
            <v>男性</v>
          </cell>
          <cell r="H743" t="str">
            <v>blue</v>
          </cell>
          <cell r="I743">
            <v>5</v>
          </cell>
          <cell r="J743" t="str">
            <v>PremiumS</v>
          </cell>
          <cell r="K743" t="str">
            <v>attack</v>
          </cell>
          <cell r="L743" t="str">
            <v>攻撃タイプ</v>
          </cell>
          <cell r="M743" t="str">
            <v>human</v>
          </cell>
        </row>
        <row r="744">
          <cell r="A744">
            <v>743</v>
          </cell>
          <cell r="B744" t="str">
            <v>ja</v>
          </cell>
          <cell r="C744" t="str">
            <v>パーン</v>
          </cell>
          <cell r="D744" t="str">
            <v>各属性相性良3・黄・R361</v>
          </cell>
          <cell r="E744" t="str">
            <v>執行者</v>
          </cell>
          <cell r="F744" t="str">
            <v>格好いい</v>
          </cell>
          <cell r="G744" t="str">
            <v>男性</v>
          </cell>
          <cell r="H744" t="str">
            <v>blue</v>
          </cell>
          <cell r="I744">
            <v>5</v>
          </cell>
          <cell r="J744" t="str">
            <v>PremiumS</v>
          </cell>
          <cell r="K744" t="str">
            <v>attack</v>
          </cell>
          <cell r="L744" t="str">
            <v>攻撃タイプ</v>
          </cell>
          <cell r="M744" t="str">
            <v>human</v>
          </cell>
        </row>
        <row r="745">
          <cell r="A745">
            <v>744</v>
          </cell>
          <cell r="B745" t="str">
            <v>ja</v>
          </cell>
          <cell r="D745" t="str">
            <v>各属性相性良3・黄・R362</v>
          </cell>
          <cell r="E745" t="str">
            <v>執行者</v>
          </cell>
          <cell r="F745" t="str">
            <v>格好いい</v>
          </cell>
          <cell r="G745" t="str">
            <v>男性</v>
          </cell>
          <cell r="H745" t="str">
            <v>blue</v>
          </cell>
          <cell r="I745">
            <v>5</v>
          </cell>
          <cell r="J745" t="str">
            <v>PremiumS</v>
          </cell>
          <cell r="K745" t="str">
            <v>attack</v>
          </cell>
          <cell r="L745" t="str">
            <v>攻撃タイプ</v>
          </cell>
          <cell r="M745" t="str">
            <v>human</v>
          </cell>
        </row>
        <row r="746">
          <cell r="A746">
            <v>745</v>
          </cell>
          <cell r="B746" t="str">
            <v>ja</v>
          </cell>
          <cell r="D746" t="str">
            <v>各属性相性良3・黄・R363</v>
          </cell>
          <cell r="E746" t="str">
            <v>執行者</v>
          </cell>
          <cell r="F746" t="str">
            <v>格好いい</v>
          </cell>
          <cell r="G746" t="str">
            <v>男性</v>
          </cell>
          <cell r="H746" t="str">
            <v>blue</v>
          </cell>
          <cell r="I746">
            <v>5</v>
          </cell>
          <cell r="J746" t="str">
            <v>PremiumS</v>
          </cell>
          <cell r="K746" t="str">
            <v>attack</v>
          </cell>
          <cell r="L746" t="str">
            <v>攻撃タイプ</v>
          </cell>
          <cell r="M746" t="str">
            <v>human</v>
          </cell>
        </row>
        <row r="747">
          <cell r="A747">
            <v>746</v>
          </cell>
          <cell r="B747" t="str">
            <v>ja</v>
          </cell>
          <cell r="C747" t="str">
            <v>ヘルメス</v>
          </cell>
          <cell r="D747" t="str">
            <v>各属性相性良3・黄・R364</v>
          </cell>
          <cell r="E747" t="str">
            <v>執行者</v>
          </cell>
          <cell r="F747" t="str">
            <v>格好いい</v>
          </cell>
          <cell r="G747" t="str">
            <v>男性</v>
          </cell>
          <cell r="H747" t="str">
            <v>blue</v>
          </cell>
          <cell r="I747">
            <v>5</v>
          </cell>
          <cell r="J747" t="str">
            <v>PremiumS</v>
          </cell>
          <cell r="K747" t="str">
            <v>attack</v>
          </cell>
          <cell r="L747" t="str">
            <v>攻撃タイプ</v>
          </cell>
          <cell r="M747" t="str">
            <v>human</v>
          </cell>
        </row>
        <row r="748">
          <cell r="A748">
            <v>747</v>
          </cell>
          <cell r="B748" t="str">
            <v>ja</v>
          </cell>
          <cell r="C748" t="str">
            <v>ヘルメス</v>
          </cell>
          <cell r="D748" t="str">
            <v>各属性相性良3・黄・R365</v>
          </cell>
          <cell r="E748" t="str">
            <v>執行者</v>
          </cell>
          <cell r="F748" t="str">
            <v>格好いい</v>
          </cell>
          <cell r="G748" t="str">
            <v>男性</v>
          </cell>
          <cell r="H748" t="str">
            <v>blue</v>
          </cell>
          <cell r="I748">
            <v>5</v>
          </cell>
          <cell r="J748" t="str">
            <v>PremiumS</v>
          </cell>
          <cell r="K748" t="str">
            <v>attack</v>
          </cell>
          <cell r="L748" t="str">
            <v>攻撃タイプ</v>
          </cell>
          <cell r="M748" t="str">
            <v>human</v>
          </cell>
        </row>
        <row r="749">
          <cell r="A749">
            <v>748</v>
          </cell>
          <cell r="B749" t="str">
            <v>ja</v>
          </cell>
          <cell r="C749" t="str">
            <v>ノルン</v>
          </cell>
          <cell r="D749" t="str">
            <v>各属性相性良3・黄・R366</v>
          </cell>
          <cell r="E749" t="str">
            <v>執行者</v>
          </cell>
          <cell r="F749" t="str">
            <v>格好いい</v>
          </cell>
          <cell r="G749" t="str">
            <v>男性</v>
          </cell>
          <cell r="H749" t="str">
            <v>blue</v>
          </cell>
          <cell r="I749">
            <v>5</v>
          </cell>
          <cell r="J749" t="str">
            <v>PremiumS</v>
          </cell>
          <cell r="K749" t="str">
            <v>attack</v>
          </cell>
          <cell r="L749" t="str">
            <v>攻撃タイプ</v>
          </cell>
          <cell r="M749" t="str">
            <v>human</v>
          </cell>
        </row>
        <row r="750">
          <cell r="A750">
            <v>749</v>
          </cell>
          <cell r="B750" t="str">
            <v>ja</v>
          </cell>
          <cell r="C750" t="str">
            <v>ノルン</v>
          </cell>
          <cell r="D750" t="str">
            <v>各属性相性良3・黄・R367</v>
          </cell>
          <cell r="E750" t="str">
            <v>執行者</v>
          </cell>
          <cell r="F750" t="str">
            <v>格好いい</v>
          </cell>
          <cell r="G750" t="str">
            <v>男性</v>
          </cell>
          <cell r="H750" t="str">
            <v>blue</v>
          </cell>
          <cell r="I750">
            <v>5</v>
          </cell>
          <cell r="J750" t="str">
            <v>PremiumS</v>
          </cell>
          <cell r="K750" t="str">
            <v>attack</v>
          </cell>
          <cell r="L750" t="str">
            <v>攻撃タイプ</v>
          </cell>
          <cell r="M750" t="str">
            <v>human</v>
          </cell>
        </row>
        <row r="751">
          <cell r="A751">
            <v>750</v>
          </cell>
          <cell r="B751" t="str">
            <v>ja</v>
          </cell>
          <cell r="C751" t="str">
            <v>アポロン</v>
          </cell>
          <cell r="D751" t="str">
            <v>各属性相性良3・黄・R368</v>
          </cell>
          <cell r="E751" t="str">
            <v>執行者</v>
          </cell>
          <cell r="F751" t="str">
            <v>格好いい</v>
          </cell>
          <cell r="G751" t="str">
            <v>男性</v>
          </cell>
          <cell r="H751" t="str">
            <v>blue</v>
          </cell>
          <cell r="I751">
            <v>5</v>
          </cell>
          <cell r="J751" t="str">
            <v>PremiumS</v>
          </cell>
          <cell r="K751" t="str">
            <v>attack</v>
          </cell>
          <cell r="L751" t="str">
            <v>攻撃タイプ</v>
          </cell>
          <cell r="M751" t="str">
            <v>human</v>
          </cell>
        </row>
        <row r="752">
          <cell r="A752">
            <v>751</v>
          </cell>
          <cell r="B752" t="str">
            <v>ja</v>
          </cell>
          <cell r="C752" t="str">
            <v>アポロン</v>
          </cell>
          <cell r="D752" t="str">
            <v>各属性相性良3・黄・R369</v>
          </cell>
          <cell r="E752" t="str">
            <v>執行者</v>
          </cell>
          <cell r="F752" t="str">
            <v>格好いい</v>
          </cell>
          <cell r="G752" t="str">
            <v>男性</v>
          </cell>
          <cell r="H752" t="str">
            <v>blue</v>
          </cell>
          <cell r="I752">
            <v>5</v>
          </cell>
          <cell r="J752" t="str">
            <v>PremiumS</v>
          </cell>
          <cell r="K752" t="str">
            <v>attack</v>
          </cell>
          <cell r="L752" t="str">
            <v>攻撃タイプ</v>
          </cell>
          <cell r="M752" t="str">
            <v>human</v>
          </cell>
        </row>
        <row r="753">
          <cell r="A753">
            <v>752</v>
          </cell>
          <cell r="B753" t="str">
            <v>ja</v>
          </cell>
          <cell r="C753" t="str">
            <v>ムラマサ</v>
          </cell>
          <cell r="D753" t="str">
            <v>各属性相性良3・黄・R370</v>
          </cell>
          <cell r="E753" t="str">
            <v>執行者</v>
          </cell>
          <cell r="F753" t="str">
            <v>格好いい</v>
          </cell>
          <cell r="G753" t="str">
            <v>男性</v>
          </cell>
          <cell r="H753" t="str">
            <v>blue</v>
          </cell>
          <cell r="I753">
            <v>5</v>
          </cell>
          <cell r="J753" t="str">
            <v>PremiumS</v>
          </cell>
          <cell r="K753" t="str">
            <v>attack</v>
          </cell>
          <cell r="L753" t="str">
            <v>攻撃タイプ</v>
          </cell>
          <cell r="M753" t="str">
            <v>human</v>
          </cell>
        </row>
        <row r="754">
          <cell r="A754">
            <v>753</v>
          </cell>
          <cell r="B754" t="str">
            <v>ja</v>
          </cell>
          <cell r="C754" t="str">
            <v>ムラマサ</v>
          </cell>
          <cell r="D754" t="str">
            <v>各属性相性良3・黄・R371</v>
          </cell>
          <cell r="E754" t="str">
            <v>執行者</v>
          </cell>
          <cell r="F754" t="str">
            <v>格好いい</v>
          </cell>
          <cell r="G754" t="str">
            <v>男性</v>
          </cell>
          <cell r="H754" t="str">
            <v>blue</v>
          </cell>
          <cell r="I754">
            <v>6</v>
          </cell>
          <cell r="J754" t="str">
            <v>PremiumS</v>
          </cell>
          <cell r="K754" t="str">
            <v>attack</v>
          </cell>
          <cell r="L754" t="str">
            <v>攻撃タイプ</v>
          </cell>
          <cell r="M754" t="str">
            <v>human</v>
          </cell>
        </row>
        <row r="755">
          <cell r="A755">
            <v>754</v>
          </cell>
          <cell r="B755" t="str">
            <v>ja</v>
          </cell>
          <cell r="C755" t="str">
            <v>マサムネ</v>
          </cell>
          <cell r="D755" t="str">
            <v>各属性相性良3・黄・R372</v>
          </cell>
          <cell r="E755" t="str">
            <v>執行者</v>
          </cell>
          <cell r="F755" t="str">
            <v>格好いい</v>
          </cell>
          <cell r="G755" t="str">
            <v>男性</v>
          </cell>
          <cell r="H755" t="str">
            <v>blue</v>
          </cell>
          <cell r="I755">
            <v>5</v>
          </cell>
          <cell r="J755" t="str">
            <v>PremiumS</v>
          </cell>
          <cell r="K755" t="str">
            <v>attack</v>
          </cell>
          <cell r="L755" t="str">
            <v>攻撃タイプ</v>
          </cell>
          <cell r="M755" t="str">
            <v>human</v>
          </cell>
        </row>
        <row r="756">
          <cell r="A756">
            <v>755</v>
          </cell>
          <cell r="B756" t="str">
            <v>ja</v>
          </cell>
          <cell r="C756" t="str">
            <v>マサムネ</v>
          </cell>
          <cell r="D756" t="str">
            <v>各属性相性良3・黄・R373</v>
          </cell>
          <cell r="E756" t="str">
            <v>執行者</v>
          </cell>
          <cell r="F756" t="str">
            <v>格好いい</v>
          </cell>
          <cell r="G756" t="str">
            <v>男性</v>
          </cell>
          <cell r="H756" t="str">
            <v>blue</v>
          </cell>
          <cell r="I756">
            <v>6</v>
          </cell>
          <cell r="J756" t="str">
            <v>PremiumS</v>
          </cell>
          <cell r="K756" t="str">
            <v>attack</v>
          </cell>
          <cell r="L756" t="str">
            <v>攻撃タイプ</v>
          </cell>
          <cell r="M756" t="str">
            <v>human</v>
          </cell>
        </row>
        <row r="757">
          <cell r="A757">
            <v>756</v>
          </cell>
          <cell r="B757" t="str">
            <v>ja</v>
          </cell>
          <cell r="C757" t="str">
            <v>アメノムラクモ</v>
          </cell>
          <cell r="D757" t="str">
            <v>各属性相性良3・黄・R374</v>
          </cell>
          <cell r="E757" t="str">
            <v>執行者</v>
          </cell>
          <cell r="F757" t="str">
            <v>格好いい</v>
          </cell>
          <cell r="G757" t="str">
            <v>男性</v>
          </cell>
          <cell r="H757" t="str">
            <v>blue</v>
          </cell>
          <cell r="I757">
            <v>4</v>
          </cell>
          <cell r="J757" t="str">
            <v>PremiumSSS</v>
          </cell>
          <cell r="K757" t="str">
            <v>attack</v>
          </cell>
          <cell r="L757" t="str">
            <v>攻撃タイプ</v>
          </cell>
          <cell r="M757" t="str">
            <v>human</v>
          </cell>
        </row>
        <row r="758">
          <cell r="A758">
            <v>757</v>
          </cell>
          <cell r="B758" t="str">
            <v>ja</v>
          </cell>
          <cell r="C758" t="str">
            <v>アメノムラクモ</v>
          </cell>
          <cell r="D758" t="str">
            <v>各属性相性良3・黄・R375</v>
          </cell>
          <cell r="E758" t="str">
            <v>執行者</v>
          </cell>
          <cell r="F758" t="str">
            <v>格好いい</v>
          </cell>
          <cell r="G758" t="str">
            <v>男性</v>
          </cell>
          <cell r="H758" t="str">
            <v>blue</v>
          </cell>
          <cell r="I758">
            <v>5</v>
          </cell>
          <cell r="J758" t="str">
            <v>PremiumSSS</v>
          </cell>
          <cell r="K758" t="str">
            <v>attack</v>
          </cell>
          <cell r="L758" t="str">
            <v>攻撃タイプ</v>
          </cell>
          <cell r="M758" t="str">
            <v>human</v>
          </cell>
        </row>
        <row r="759">
          <cell r="A759">
            <v>758</v>
          </cell>
          <cell r="B759" t="str">
            <v>ja</v>
          </cell>
          <cell r="C759" t="str">
            <v>雷切</v>
          </cell>
          <cell r="D759" t="str">
            <v>各属性相性良3・黄・R376</v>
          </cell>
          <cell r="E759" t="str">
            <v>執行者</v>
          </cell>
          <cell r="F759" t="str">
            <v>格好いい</v>
          </cell>
          <cell r="G759" t="str">
            <v>男性</v>
          </cell>
          <cell r="H759" t="str">
            <v>yellow</v>
          </cell>
          <cell r="I759">
            <v>5</v>
          </cell>
          <cell r="J759" t="str">
            <v>PremiumSSS</v>
          </cell>
          <cell r="K759" t="str">
            <v>attack</v>
          </cell>
          <cell r="L759" t="str">
            <v>攻撃タイプ</v>
          </cell>
          <cell r="M759" t="str">
            <v>human</v>
          </cell>
        </row>
        <row r="760">
          <cell r="A760">
            <v>759</v>
          </cell>
          <cell r="B760" t="str">
            <v>ja</v>
          </cell>
          <cell r="C760" t="str">
            <v>雷切</v>
          </cell>
          <cell r="D760" t="str">
            <v>各属性相性良3・黄・R377</v>
          </cell>
          <cell r="E760" t="str">
            <v>執行者</v>
          </cell>
          <cell r="F760" t="str">
            <v>格好いい</v>
          </cell>
          <cell r="G760" t="str">
            <v>男性</v>
          </cell>
          <cell r="H760" t="str">
            <v>yellow</v>
          </cell>
          <cell r="I760">
            <v>6</v>
          </cell>
          <cell r="J760" t="str">
            <v>PremiumSSS</v>
          </cell>
          <cell r="K760" t="str">
            <v>attack</v>
          </cell>
          <cell r="L760" t="str">
            <v>攻撃タイプ</v>
          </cell>
          <cell r="M760" t="str">
            <v>human</v>
          </cell>
        </row>
        <row r="761">
          <cell r="A761">
            <v>760</v>
          </cell>
          <cell r="B761" t="str">
            <v>ja</v>
          </cell>
          <cell r="C761" t="str">
            <v>クロネッカー</v>
          </cell>
          <cell r="D761" t="str">
            <v>各属性相性良3・黄・R378</v>
          </cell>
          <cell r="E761" t="str">
            <v>執行者</v>
          </cell>
          <cell r="F761" t="str">
            <v>格好いい</v>
          </cell>
          <cell r="G761" t="str">
            <v>男性</v>
          </cell>
          <cell r="H761" t="str">
            <v>yellow</v>
          </cell>
          <cell r="I761">
            <v>5</v>
          </cell>
          <cell r="J761" t="str">
            <v>PremiumSSS</v>
          </cell>
          <cell r="K761" t="str">
            <v>balance</v>
          </cell>
          <cell r="L761" t="str">
            <v>バランスタイプ</v>
          </cell>
          <cell r="M761" t="str">
            <v>human</v>
          </cell>
        </row>
        <row r="762">
          <cell r="A762">
            <v>761</v>
          </cell>
          <cell r="B762" t="str">
            <v>ja</v>
          </cell>
          <cell r="C762" t="str">
            <v>クロネッカー</v>
          </cell>
          <cell r="D762" t="str">
            <v>各属性相性良3・黄・R379</v>
          </cell>
          <cell r="E762" t="str">
            <v>執行者</v>
          </cell>
          <cell r="F762" t="str">
            <v>格好いい</v>
          </cell>
          <cell r="G762" t="str">
            <v>男性</v>
          </cell>
          <cell r="H762" t="str">
            <v>yellow</v>
          </cell>
          <cell r="I762">
            <v>6</v>
          </cell>
          <cell r="J762" t="str">
            <v>PremiumSSS</v>
          </cell>
          <cell r="K762" t="str">
            <v>balance</v>
          </cell>
          <cell r="L762" t="str">
            <v>バランスタイプ</v>
          </cell>
          <cell r="M762" t="str">
            <v>human</v>
          </cell>
        </row>
        <row r="763">
          <cell r="A763">
            <v>762</v>
          </cell>
          <cell r="B763" t="str">
            <v>ja</v>
          </cell>
          <cell r="C763" t="str">
            <v>フィボナッチ</v>
          </cell>
          <cell r="D763" t="str">
            <v>各属性相性良3・黄・R380</v>
          </cell>
          <cell r="E763" t="str">
            <v>執行者</v>
          </cell>
          <cell r="F763" t="str">
            <v>格好いい</v>
          </cell>
          <cell r="G763" t="str">
            <v>男性</v>
          </cell>
          <cell r="H763" t="str">
            <v>blue</v>
          </cell>
          <cell r="I763">
            <v>5</v>
          </cell>
          <cell r="J763" t="str">
            <v>PremiumSSS</v>
          </cell>
          <cell r="K763" t="str">
            <v>attack</v>
          </cell>
          <cell r="L763" t="str">
            <v>攻撃タイプ</v>
          </cell>
          <cell r="M763" t="str">
            <v>human</v>
          </cell>
        </row>
        <row r="764">
          <cell r="A764">
            <v>763</v>
          </cell>
          <cell r="B764" t="str">
            <v>ja</v>
          </cell>
          <cell r="C764" t="str">
            <v>フィボナッチ</v>
          </cell>
          <cell r="D764" t="str">
            <v>各属性相性良3・黄・R381</v>
          </cell>
          <cell r="E764" t="str">
            <v>執行者</v>
          </cell>
          <cell r="F764" t="str">
            <v>格好いい</v>
          </cell>
          <cell r="G764" t="str">
            <v>男性</v>
          </cell>
          <cell r="H764" t="str">
            <v>blue</v>
          </cell>
          <cell r="I764">
            <v>6</v>
          </cell>
          <cell r="J764" t="str">
            <v>PremiumSSS</v>
          </cell>
          <cell r="K764" t="str">
            <v>attack</v>
          </cell>
          <cell r="L764" t="str">
            <v>攻撃タイプ</v>
          </cell>
          <cell r="M764" t="str">
            <v>human</v>
          </cell>
        </row>
        <row r="765">
          <cell r="A765">
            <v>764</v>
          </cell>
          <cell r="B765" t="str">
            <v>ja</v>
          </cell>
          <cell r="C765" t="str">
            <v>ライオネル</v>
          </cell>
          <cell r="D765" t="str">
            <v>イベント:円卓02</v>
          </cell>
          <cell r="E765" t="str">
            <v>執行者</v>
          </cell>
          <cell r="F765" t="str">
            <v>格好いい</v>
          </cell>
          <cell r="G765" t="str">
            <v>男性</v>
          </cell>
          <cell r="H765" t="str">
            <v>yellow</v>
          </cell>
          <cell r="I765">
            <v>4</v>
          </cell>
          <cell r="J765" t="str">
            <v>Drop2N</v>
          </cell>
          <cell r="K765" t="str">
            <v>balance</v>
          </cell>
          <cell r="L765" t="str">
            <v>バランスタイプ</v>
          </cell>
          <cell r="M765" t="str">
            <v>animal</v>
          </cell>
        </row>
        <row r="766">
          <cell r="A766">
            <v>765</v>
          </cell>
          <cell r="B766" t="str">
            <v>ja</v>
          </cell>
          <cell r="C766" t="str">
            <v>ライオネル</v>
          </cell>
          <cell r="D766" t="str">
            <v>イベント:円卓02</v>
          </cell>
          <cell r="E766" t="str">
            <v>執行者</v>
          </cell>
          <cell r="F766" t="str">
            <v>格好いい</v>
          </cell>
          <cell r="G766" t="str">
            <v>男性</v>
          </cell>
          <cell r="H766" t="str">
            <v>yellow</v>
          </cell>
          <cell r="I766">
            <v>5</v>
          </cell>
          <cell r="J766" t="str">
            <v>Drop2N</v>
          </cell>
          <cell r="K766" t="str">
            <v>balance</v>
          </cell>
          <cell r="L766" t="str">
            <v>バランスタイプ</v>
          </cell>
          <cell r="M766" t="str">
            <v>animal</v>
          </cell>
        </row>
        <row r="767">
          <cell r="A767">
            <v>766</v>
          </cell>
          <cell r="B767" t="str">
            <v>ja</v>
          </cell>
          <cell r="C767" t="str">
            <v>赤ドラゴン(サラマンダー)</v>
          </cell>
          <cell r="D767" t="str">
            <v>イベント:円卓02</v>
          </cell>
          <cell r="E767" t="str">
            <v>執行者</v>
          </cell>
          <cell r="F767" t="str">
            <v>格好いい</v>
          </cell>
          <cell r="G767" t="str">
            <v>男性</v>
          </cell>
          <cell r="H767" t="str">
            <v>red</v>
          </cell>
          <cell r="I767">
            <v>4</v>
          </cell>
          <cell r="J767" t="str">
            <v>Drop2N</v>
          </cell>
          <cell r="K767" t="str">
            <v>hp</v>
          </cell>
          <cell r="L767" t="str">
            <v>体力タイプ</v>
          </cell>
          <cell r="M767" t="str">
            <v>dragon</v>
          </cell>
        </row>
        <row r="768">
          <cell r="A768">
            <v>767</v>
          </cell>
          <cell r="B768" t="str">
            <v>ja</v>
          </cell>
          <cell r="C768" t="str">
            <v>赤ドラゴン(サラマンダー)</v>
          </cell>
          <cell r="D768" t="str">
            <v>イベント:円卓02</v>
          </cell>
          <cell r="E768" t="str">
            <v>執行者</v>
          </cell>
          <cell r="F768" t="str">
            <v>格好いい</v>
          </cell>
          <cell r="G768" t="str">
            <v>男性</v>
          </cell>
          <cell r="H768" t="str">
            <v>red</v>
          </cell>
          <cell r="I768">
            <v>5</v>
          </cell>
          <cell r="J768" t="str">
            <v>Drop2N</v>
          </cell>
          <cell r="K768" t="str">
            <v>hp</v>
          </cell>
          <cell r="L768" t="str">
            <v>体力タイプ</v>
          </cell>
          <cell r="M768" t="str">
            <v>dragon</v>
          </cell>
        </row>
        <row r="769">
          <cell r="A769">
            <v>768</v>
          </cell>
          <cell r="B769" t="str">
            <v>ja</v>
          </cell>
          <cell r="C769" t="str">
            <v>ガレス</v>
          </cell>
          <cell r="D769" t="str">
            <v>イベント:円卓02</v>
          </cell>
          <cell r="E769" t="str">
            <v>執行者</v>
          </cell>
          <cell r="F769" t="str">
            <v>格好いい</v>
          </cell>
          <cell r="G769" t="str">
            <v>男性</v>
          </cell>
          <cell r="H769" t="str">
            <v>green</v>
          </cell>
          <cell r="I769">
            <v>4</v>
          </cell>
          <cell r="J769" t="str">
            <v>PremiumS</v>
          </cell>
          <cell r="K769" t="str">
            <v>technical</v>
          </cell>
          <cell r="L769" t="str">
            <v>テクニカルタイプ</v>
          </cell>
          <cell r="M769" t="str">
            <v>human</v>
          </cell>
        </row>
        <row r="770">
          <cell r="A770">
            <v>769</v>
          </cell>
          <cell r="B770" t="str">
            <v>ja</v>
          </cell>
          <cell r="C770" t="str">
            <v>ガレス</v>
          </cell>
          <cell r="D770" t="str">
            <v>イベント:円卓02</v>
          </cell>
          <cell r="E770" t="str">
            <v>執行者</v>
          </cell>
          <cell r="F770" t="str">
            <v>格好いい</v>
          </cell>
          <cell r="G770" t="str">
            <v>男性</v>
          </cell>
          <cell r="H770" t="str">
            <v>green</v>
          </cell>
          <cell r="I770">
            <v>5</v>
          </cell>
          <cell r="J770" t="str">
            <v>PremiumS</v>
          </cell>
          <cell r="K770" t="str">
            <v>technical</v>
          </cell>
          <cell r="L770" t="str">
            <v>テクニカルタイプ</v>
          </cell>
          <cell r="M770" t="str">
            <v>human</v>
          </cell>
        </row>
        <row r="771">
          <cell r="A771">
            <v>770</v>
          </cell>
          <cell r="B771" t="str">
            <v>ja</v>
          </cell>
          <cell r="C771" t="str">
            <v>侵食破壊性ミケランジェロ</v>
          </cell>
          <cell r="D771" t="str">
            <v>各属性相性良3・黄・R388</v>
          </cell>
          <cell r="E771" t="str">
            <v>執行者</v>
          </cell>
          <cell r="F771" t="str">
            <v>格好いい</v>
          </cell>
          <cell r="G771" t="str">
            <v>男性</v>
          </cell>
          <cell r="H771" t="str">
            <v>green</v>
          </cell>
          <cell r="I771">
            <v>4</v>
          </cell>
          <cell r="J771" t="str">
            <v>PremiumS</v>
          </cell>
          <cell r="K771" t="str">
            <v>attack</v>
          </cell>
          <cell r="L771" t="str">
            <v>攻撃タイプ</v>
          </cell>
          <cell r="M771" t="str">
            <v>unknown</v>
          </cell>
        </row>
        <row r="772">
          <cell r="A772">
            <v>771</v>
          </cell>
          <cell r="B772" t="str">
            <v>ja</v>
          </cell>
          <cell r="C772" t="str">
            <v>ミケランジェロ</v>
          </cell>
          <cell r="D772" t="str">
            <v>各属性相性良3・黄・R389</v>
          </cell>
          <cell r="E772" t="str">
            <v>執行者</v>
          </cell>
          <cell r="F772" t="str">
            <v>格好いい</v>
          </cell>
          <cell r="G772" t="str">
            <v>男性</v>
          </cell>
          <cell r="H772" t="str">
            <v>green</v>
          </cell>
          <cell r="I772">
            <v>5</v>
          </cell>
          <cell r="J772" t="str">
            <v>PremiumS</v>
          </cell>
          <cell r="K772" t="str">
            <v>attack</v>
          </cell>
          <cell r="L772" t="str">
            <v>攻撃タイプ</v>
          </cell>
          <cell r="M772" t="str">
            <v>unknown</v>
          </cell>
        </row>
        <row r="773">
          <cell r="A773">
            <v>772</v>
          </cell>
          <cell r="B773" t="str">
            <v>ja</v>
          </cell>
          <cell r="C773" t="str">
            <v>ガラハッド</v>
          </cell>
          <cell r="D773" t="str">
            <v>各属性相性良3・黄・R390</v>
          </cell>
          <cell r="E773" t="str">
            <v>執行者</v>
          </cell>
          <cell r="F773" t="str">
            <v>格好いい</v>
          </cell>
          <cell r="G773" t="str">
            <v>男性</v>
          </cell>
          <cell r="H773" t="str">
            <v>green</v>
          </cell>
          <cell r="I773">
            <v>3</v>
          </cell>
          <cell r="J773" t="str">
            <v>PremiumS</v>
          </cell>
          <cell r="K773" t="str">
            <v>attack</v>
          </cell>
          <cell r="L773" t="str">
            <v>攻撃タイプ</v>
          </cell>
          <cell r="M773" t="str">
            <v>human</v>
          </cell>
        </row>
        <row r="774">
          <cell r="A774">
            <v>773</v>
          </cell>
          <cell r="B774" t="str">
            <v>ja</v>
          </cell>
          <cell r="C774" t="str">
            <v>レイブン</v>
          </cell>
          <cell r="D774" t="str">
            <v>各属性相性良3・黄・R391</v>
          </cell>
          <cell r="E774" t="str">
            <v>執行者</v>
          </cell>
          <cell r="F774" t="str">
            <v>格好いい</v>
          </cell>
          <cell r="G774" t="str">
            <v>男性</v>
          </cell>
          <cell r="H774" t="str">
            <v>green</v>
          </cell>
          <cell r="I774">
            <v>4</v>
          </cell>
          <cell r="J774" t="str">
            <v>PremiumSS</v>
          </cell>
          <cell r="K774" t="str">
            <v>attack</v>
          </cell>
          <cell r="L774" t="str">
            <v>攻撃タイプ</v>
          </cell>
          <cell r="M774" t="str">
            <v>human</v>
          </cell>
        </row>
        <row r="775">
          <cell r="A775">
            <v>774</v>
          </cell>
          <cell r="B775" t="str">
            <v>ja</v>
          </cell>
          <cell r="C775" t="str">
            <v>レイブン</v>
          </cell>
          <cell r="D775" t="str">
            <v>各属性相性良3・黄・R392</v>
          </cell>
          <cell r="E775" t="str">
            <v>執行者</v>
          </cell>
          <cell r="F775" t="str">
            <v>格好いい</v>
          </cell>
          <cell r="G775" t="str">
            <v>男性</v>
          </cell>
          <cell r="H775" t="str">
            <v>green</v>
          </cell>
          <cell r="I775">
            <v>5</v>
          </cell>
          <cell r="J775" t="str">
            <v>PremiumSS</v>
          </cell>
          <cell r="K775" t="str">
            <v>attack</v>
          </cell>
          <cell r="L775" t="str">
            <v>攻撃タイプ</v>
          </cell>
          <cell r="M775" t="str">
            <v>human</v>
          </cell>
        </row>
        <row r="776">
          <cell r="A776">
            <v>775</v>
          </cell>
          <cell r="B776" t="str">
            <v>ja</v>
          </cell>
          <cell r="C776" t="str">
            <v>チャリオット</v>
          </cell>
          <cell r="D776" t="str">
            <v>各属性相性良3・黄・R393</v>
          </cell>
          <cell r="E776" t="str">
            <v>執行者</v>
          </cell>
          <cell r="F776" t="str">
            <v>格好いい</v>
          </cell>
          <cell r="G776" t="str">
            <v>男性</v>
          </cell>
          <cell r="H776" t="str">
            <v>blue</v>
          </cell>
          <cell r="I776">
            <v>4</v>
          </cell>
          <cell r="J776" t="str">
            <v>PremiumSS</v>
          </cell>
          <cell r="K776" t="str">
            <v>heal</v>
          </cell>
          <cell r="L776" t="str">
            <v>回復タイプ</v>
          </cell>
          <cell r="M776" t="str">
            <v>human</v>
          </cell>
        </row>
        <row r="777">
          <cell r="A777">
            <v>776</v>
          </cell>
          <cell r="B777" t="str">
            <v>ja</v>
          </cell>
          <cell r="C777" t="str">
            <v>チャリオット</v>
          </cell>
          <cell r="D777" t="str">
            <v>各属性相性良3・黄・R394</v>
          </cell>
          <cell r="E777" t="str">
            <v>執行者</v>
          </cell>
          <cell r="F777" t="str">
            <v>格好いい</v>
          </cell>
          <cell r="G777" t="str">
            <v>男性</v>
          </cell>
          <cell r="H777" t="str">
            <v>blue</v>
          </cell>
          <cell r="I777">
            <v>5</v>
          </cell>
          <cell r="J777" t="str">
            <v>PremiumSS</v>
          </cell>
          <cell r="K777" t="str">
            <v>heal</v>
          </cell>
          <cell r="L777" t="str">
            <v>回復タイプ</v>
          </cell>
          <cell r="M777" t="str">
            <v>human</v>
          </cell>
        </row>
        <row r="778">
          <cell r="A778">
            <v>777</v>
          </cell>
          <cell r="B778" t="str">
            <v>ja</v>
          </cell>
          <cell r="C778" t="str">
            <v>ミズチ</v>
          </cell>
          <cell r="D778" t="str">
            <v>各属性相性良3・黄・R395</v>
          </cell>
          <cell r="E778" t="str">
            <v>執行者</v>
          </cell>
          <cell r="F778" t="str">
            <v>格好いい</v>
          </cell>
          <cell r="G778" t="str">
            <v>男性</v>
          </cell>
          <cell r="H778" t="str">
            <v>blue</v>
          </cell>
          <cell r="I778">
            <v>3</v>
          </cell>
          <cell r="J778" t="str">
            <v>PremiumS</v>
          </cell>
          <cell r="K778" t="str">
            <v>balance</v>
          </cell>
          <cell r="L778" t="str">
            <v>バランスタイプ</v>
          </cell>
          <cell r="M778" t="str">
            <v>dragon</v>
          </cell>
        </row>
        <row r="779">
          <cell r="A779">
            <v>778</v>
          </cell>
          <cell r="B779" t="str">
            <v>ja</v>
          </cell>
          <cell r="C779" t="str">
            <v>ミズチ</v>
          </cell>
          <cell r="D779" t="str">
            <v>各属性相性良3・黄・R396</v>
          </cell>
          <cell r="E779" t="str">
            <v>執行者</v>
          </cell>
          <cell r="F779" t="str">
            <v>格好いい</v>
          </cell>
          <cell r="G779" t="str">
            <v>男性</v>
          </cell>
          <cell r="H779" t="str">
            <v>blue</v>
          </cell>
          <cell r="I779">
            <v>4</v>
          </cell>
          <cell r="J779" t="str">
            <v>PremiumS</v>
          </cell>
          <cell r="K779" t="str">
            <v>balance</v>
          </cell>
          <cell r="L779" t="str">
            <v>バランスタイプ</v>
          </cell>
          <cell r="M779" t="str">
            <v>dragon</v>
          </cell>
        </row>
        <row r="780">
          <cell r="A780">
            <v>779</v>
          </cell>
          <cell r="B780" t="str">
            <v>ja</v>
          </cell>
          <cell r="C780" t="str">
            <v>ミズチ</v>
          </cell>
          <cell r="D780" t="str">
            <v>各属性相性良3・黄・R397</v>
          </cell>
          <cell r="E780" t="str">
            <v>執行者</v>
          </cell>
          <cell r="F780" t="str">
            <v>格好いい</v>
          </cell>
          <cell r="G780" t="str">
            <v>男性</v>
          </cell>
          <cell r="H780" t="str">
            <v>blue</v>
          </cell>
          <cell r="I780">
            <v>5</v>
          </cell>
          <cell r="J780" t="str">
            <v>PremiumS</v>
          </cell>
          <cell r="K780" t="str">
            <v>balance</v>
          </cell>
          <cell r="L780" t="str">
            <v>バランスタイプ</v>
          </cell>
          <cell r="M780" t="str">
            <v>dragon</v>
          </cell>
        </row>
        <row r="781">
          <cell r="A781">
            <v>780</v>
          </cell>
          <cell r="B781" t="str">
            <v>ja</v>
          </cell>
          <cell r="C781" t="str">
            <v>ラブレター</v>
          </cell>
          <cell r="D781" t="str">
            <v>各属性相性良3・黄・R398</v>
          </cell>
          <cell r="E781" t="str">
            <v>執行者</v>
          </cell>
          <cell r="F781" t="str">
            <v>格好いい</v>
          </cell>
          <cell r="G781" t="str">
            <v>男性</v>
          </cell>
          <cell r="H781" t="str">
            <v>blue</v>
          </cell>
          <cell r="I781">
            <v>3</v>
          </cell>
          <cell r="J781" t="str">
            <v>PremiumS</v>
          </cell>
          <cell r="K781" t="str">
            <v>heal</v>
          </cell>
          <cell r="L781" t="str">
            <v>回復タイプ</v>
          </cell>
          <cell r="M781" t="str">
            <v>unknown</v>
          </cell>
        </row>
        <row r="782">
          <cell r="A782">
            <v>781</v>
          </cell>
          <cell r="B782" t="str">
            <v>ja</v>
          </cell>
          <cell r="C782" t="str">
            <v>連鎖告白型ラブレター</v>
          </cell>
          <cell r="D782" t="str">
            <v>各属性相性良3・黄・R399</v>
          </cell>
          <cell r="E782" t="str">
            <v>執行者</v>
          </cell>
          <cell r="F782" t="str">
            <v>格好いい</v>
          </cell>
          <cell r="G782" t="str">
            <v>男性</v>
          </cell>
          <cell r="H782" t="str">
            <v>blue</v>
          </cell>
          <cell r="I782">
            <v>4</v>
          </cell>
          <cell r="J782" t="str">
            <v>PremiumS</v>
          </cell>
          <cell r="K782" t="str">
            <v>heal</v>
          </cell>
          <cell r="L782" t="str">
            <v>回復タイプ</v>
          </cell>
          <cell r="M782" t="str">
            <v>unknown</v>
          </cell>
        </row>
        <row r="783">
          <cell r="A783">
            <v>782</v>
          </cell>
          <cell r="B783" t="str">
            <v>ja</v>
          </cell>
          <cell r="C783" t="str">
            <v>ラブレター</v>
          </cell>
          <cell r="D783" t="str">
            <v>各属性相性良3・黄・R400</v>
          </cell>
          <cell r="E783" t="str">
            <v>執行者</v>
          </cell>
          <cell r="F783" t="str">
            <v>格好いい</v>
          </cell>
          <cell r="G783" t="str">
            <v>男性</v>
          </cell>
          <cell r="H783" t="str">
            <v>blue</v>
          </cell>
          <cell r="I783">
            <v>5</v>
          </cell>
          <cell r="J783" t="str">
            <v>PremiumS</v>
          </cell>
          <cell r="K783" t="str">
            <v>heal</v>
          </cell>
          <cell r="L783" t="str">
            <v>回復タイプ</v>
          </cell>
          <cell r="M783" t="str">
            <v>unknown</v>
          </cell>
        </row>
        <row r="784">
          <cell r="A784">
            <v>783</v>
          </cell>
          <cell r="B784" t="str">
            <v>ja</v>
          </cell>
          <cell r="C784" t="str">
            <v>ガレス</v>
          </cell>
          <cell r="D784" t="str">
            <v>各属性相性良3・黄・R401</v>
          </cell>
          <cell r="E784" t="str">
            <v>執行者</v>
          </cell>
          <cell r="F784" t="str">
            <v>格好いい</v>
          </cell>
          <cell r="G784" t="str">
            <v>男性</v>
          </cell>
          <cell r="H784" t="str">
            <v>blue</v>
          </cell>
          <cell r="I784">
            <v>3</v>
          </cell>
          <cell r="J784" t="str">
            <v>PremiumS</v>
          </cell>
          <cell r="K784" t="str">
            <v>technical</v>
          </cell>
          <cell r="L784" t="str">
            <v>テクニカルタイプ</v>
          </cell>
          <cell r="M784" t="str">
            <v>human</v>
          </cell>
        </row>
        <row r="785">
          <cell r="A785">
            <v>784</v>
          </cell>
          <cell r="B785" t="str">
            <v>ja</v>
          </cell>
          <cell r="C785" t="str">
            <v>ガレス</v>
          </cell>
          <cell r="D785" t="str">
            <v>各属性相性良3・黄・R402</v>
          </cell>
          <cell r="E785" t="str">
            <v>執行者</v>
          </cell>
          <cell r="F785" t="str">
            <v>格好いい</v>
          </cell>
          <cell r="G785" t="str">
            <v>男性</v>
          </cell>
          <cell r="H785" t="str">
            <v>blue</v>
          </cell>
          <cell r="I785">
            <v>4</v>
          </cell>
          <cell r="J785" t="str">
            <v>PremiumS</v>
          </cell>
          <cell r="K785" t="str">
            <v>technical</v>
          </cell>
          <cell r="L785" t="str">
            <v>テクニカルタイプ</v>
          </cell>
          <cell r="M785" t="str">
            <v>human</v>
          </cell>
        </row>
        <row r="786">
          <cell r="A786">
            <v>785</v>
          </cell>
          <cell r="B786" t="str">
            <v>ja</v>
          </cell>
          <cell r="C786" t="str">
            <v>ガレス</v>
          </cell>
          <cell r="D786" t="str">
            <v>各属性相性良3・黄・R403</v>
          </cell>
          <cell r="E786" t="str">
            <v>執行者</v>
          </cell>
          <cell r="F786" t="str">
            <v>格好いい</v>
          </cell>
          <cell r="G786" t="str">
            <v>男性</v>
          </cell>
          <cell r="H786" t="str">
            <v>blue</v>
          </cell>
          <cell r="I786">
            <v>5</v>
          </cell>
          <cell r="J786" t="str">
            <v>PremiumS</v>
          </cell>
          <cell r="K786" t="str">
            <v>technical</v>
          </cell>
          <cell r="L786" t="str">
            <v>テクニカルタイプ</v>
          </cell>
          <cell r="M786" t="str">
            <v>human</v>
          </cell>
        </row>
        <row r="787">
          <cell r="A787">
            <v>786</v>
          </cell>
          <cell r="B787" t="str">
            <v>ja</v>
          </cell>
          <cell r="C787" t="str">
            <v>ヘイウェイ</v>
          </cell>
          <cell r="D787" t="str">
            <v>各属性相性良3・黄・R404</v>
          </cell>
          <cell r="E787" t="str">
            <v>執行者</v>
          </cell>
          <cell r="F787" t="str">
            <v>格好いい</v>
          </cell>
          <cell r="G787" t="str">
            <v>男性</v>
          </cell>
          <cell r="H787" t="str">
            <v>red</v>
          </cell>
          <cell r="I787">
            <v>5</v>
          </cell>
          <cell r="J787" t="str">
            <v>PremiumSSS</v>
          </cell>
          <cell r="K787" t="str">
            <v>hp</v>
          </cell>
          <cell r="L787" t="str">
            <v>体力タイプ</v>
          </cell>
          <cell r="M787" t="str">
            <v>dragon</v>
          </cell>
        </row>
        <row r="788">
          <cell r="A788">
            <v>787</v>
          </cell>
          <cell r="B788" t="str">
            <v>ja</v>
          </cell>
          <cell r="C788" t="str">
            <v>ヘイウェイ</v>
          </cell>
          <cell r="D788" t="str">
            <v>各属性相性良3・黄・R405</v>
          </cell>
          <cell r="E788" t="str">
            <v>執行者</v>
          </cell>
          <cell r="F788" t="str">
            <v>格好いい</v>
          </cell>
          <cell r="G788" t="str">
            <v>男性</v>
          </cell>
          <cell r="H788" t="str">
            <v>red</v>
          </cell>
          <cell r="I788">
            <v>6</v>
          </cell>
          <cell r="J788" t="str">
            <v>PremiumSSS</v>
          </cell>
          <cell r="K788" t="str">
            <v>hp</v>
          </cell>
          <cell r="L788" t="str">
            <v>体力タイプ</v>
          </cell>
          <cell r="M788" t="str">
            <v>dragon</v>
          </cell>
        </row>
        <row r="789">
          <cell r="A789">
            <v>788</v>
          </cell>
          <cell r="B789" t="str">
            <v>ja</v>
          </cell>
          <cell r="C789" t="str">
            <v>パブロフ</v>
          </cell>
          <cell r="D789" t="str">
            <v>各属性相性良3・黄・R406</v>
          </cell>
          <cell r="E789" t="str">
            <v>執行者</v>
          </cell>
          <cell r="F789" t="str">
            <v>格好いい</v>
          </cell>
          <cell r="G789" t="str">
            <v>男性</v>
          </cell>
          <cell r="H789" t="str">
            <v>green</v>
          </cell>
          <cell r="I789">
            <v>5</v>
          </cell>
          <cell r="J789" t="str">
            <v>PremiumSSS</v>
          </cell>
          <cell r="K789" t="str">
            <v>attack</v>
          </cell>
          <cell r="L789" t="str">
            <v>攻撃タイプ</v>
          </cell>
          <cell r="M789" t="str">
            <v>animal</v>
          </cell>
        </row>
        <row r="790">
          <cell r="A790">
            <v>789</v>
          </cell>
          <cell r="B790" t="str">
            <v>ja</v>
          </cell>
          <cell r="C790" t="str">
            <v>パブロフ</v>
          </cell>
          <cell r="D790" t="str">
            <v>各属性相性良3・黄・R407</v>
          </cell>
          <cell r="E790" t="str">
            <v>執行者</v>
          </cell>
          <cell r="F790" t="str">
            <v>格好いい</v>
          </cell>
          <cell r="G790" t="str">
            <v>男性</v>
          </cell>
          <cell r="H790" t="str">
            <v>green</v>
          </cell>
          <cell r="I790">
            <v>6</v>
          </cell>
          <cell r="J790" t="str">
            <v>PremiumSSS</v>
          </cell>
          <cell r="K790" t="str">
            <v>attack</v>
          </cell>
          <cell r="L790" t="str">
            <v>攻撃タイプ</v>
          </cell>
          <cell r="M790" t="str">
            <v>animal</v>
          </cell>
        </row>
        <row r="791">
          <cell r="A791">
            <v>790</v>
          </cell>
          <cell r="B791" t="str">
            <v>ja</v>
          </cell>
          <cell r="C791" t="str">
            <v>戦略級の才脳 ノイマン</v>
          </cell>
          <cell r="D791" t="str">
            <v>各属性相性良3・黄・R408</v>
          </cell>
          <cell r="E791" t="str">
            <v>執行者</v>
          </cell>
          <cell r="F791" t="str">
            <v>格好いい</v>
          </cell>
          <cell r="G791" t="str">
            <v>男性</v>
          </cell>
          <cell r="H791" t="str">
            <v>blue</v>
          </cell>
          <cell r="I791">
            <v>5</v>
          </cell>
          <cell r="J791" t="str">
            <v>PremiumSSS</v>
          </cell>
          <cell r="K791" t="str">
            <v>attack</v>
          </cell>
          <cell r="L791" t="str">
            <v>攻撃タイプ</v>
          </cell>
          <cell r="M791" t="str">
            <v>machine</v>
          </cell>
        </row>
        <row r="792">
          <cell r="A792">
            <v>791</v>
          </cell>
          <cell r="B792" t="str">
            <v>ja</v>
          </cell>
          <cell r="C792" t="str">
            <v>ノイマンR6</v>
          </cell>
          <cell r="D792" t="str">
            <v>各属性相性良3・黄・R409</v>
          </cell>
          <cell r="E792" t="str">
            <v>執行者</v>
          </cell>
          <cell r="F792" t="str">
            <v>格好いい</v>
          </cell>
          <cell r="G792" t="str">
            <v>男性</v>
          </cell>
          <cell r="H792" t="str">
            <v>blue</v>
          </cell>
          <cell r="I792">
            <v>6</v>
          </cell>
          <cell r="J792" t="str">
            <v>PremiumSSS</v>
          </cell>
          <cell r="K792" t="str">
            <v>attack</v>
          </cell>
          <cell r="L792" t="str">
            <v>攻撃タイプ</v>
          </cell>
          <cell r="M792" t="str">
            <v>machine</v>
          </cell>
        </row>
        <row r="793">
          <cell r="A793">
            <v>792</v>
          </cell>
          <cell r="B793" t="str">
            <v>ja</v>
          </cell>
          <cell r="C793" t="str">
            <v>ゼノン</v>
          </cell>
          <cell r="D793" t="str">
            <v>各属性相性良3・黄・R410</v>
          </cell>
          <cell r="E793" t="str">
            <v>執行者</v>
          </cell>
          <cell r="F793" t="str">
            <v>格好いい</v>
          </cell>
          <cell r="G793" t="str">
            <v>男性</v>
          </cell>
          <cell r="H793" t="str">
            <v>yellow</v>
          </cell>
          <cell r="I793">
            <v>5</v>
          </cell>
          <cell r="J793" t="str">
            <v>PremiumSSS</v>
          </cell>
          <cell r="K793" t="str">
            <v>balance</v>
          </cell>
          <cell r="L793" t="str">
            <v>バランスタイプ</v>
          </cell>
          <cell r="M793" t="str">
            <v>human</v>
          </cell>
        </row>
        <row r="794">
          <cell r="A794">
            <v>793</v>
          </cell>
          <cell r="B794" t="str">
            <v>ja</v>
          </cell>
          <cell r="C794" t="str">
            <v>ゼノン</v>
          </cell>
          <cell r="D794" t="str">
            <v>各属性相性良3・黄・R411</v>
          </cell>
          <cell r="E794" t="str">
            <v>執行者</v>
          </cell>
          <cell r="F794" t="str">
            <v>格好いい</v>
          </cell>
          <cell r="G794" t="str">
            <v>男性</v>
          </cell>
          <cell r="H794" t="str">
            <v>yellow</v>
          </cell>
          <cell r="I794">
            <v>6</v>
          </cell>
          <cell r="J794" t="str">
            <v>PremiumSSS</v>
          </cell>
          <cell r="K794" t="str">
            <v>balance</v>
          </cell>
          <cell r="L794" t="str">
            <v>バランスタイプ</v>
          </cell>
          <cell r="M794" t="str">
            <v>human</v>
          </cell>
        </row>
        <row r="795">
          <cell r="A795">
            <v>794</v>
          </cell>
          <cell r="B795" t="str">
            <v>ja</v>
          </cell>
          <cell r="C795" t="str">
            <v>卒業のウィルス ハッピー</v>
          </cell>
          <cell r="D795" t="str">
            <v>イベント:卒業</v>
          </cell>
          <cell r="E795" t="str">
            <v>ウィルス</v>
          </cell>
          <cell r="F795" t="str">
            <v>かわいい</v>
          </cell>
          <cell r="G795" t="str">
            <v>女性</v>
          </cell>
          <cell r="H795" t="str">
            <v>green</v>
          </cell>
          <cell r="I795">
            <v>3</v>
          </cell>
          <cell r="J795" t="str">
            <v>DropWizW</v>
          </cell>
          <cell r="K795" t="str">
            <v>heal</v>
          </cell>
          <cell r="L795" t="str">
            <v>回復タイプ</v>
          </cell>
          <cell r="M795" t="str">
            <v>unknown</v>
          </cell>
        </row>
        <row r="796">
          <cell r="A796">
            <v>795</v>
          </cell>
          <cell r="B796" t="str">
            <v>ja</v>
          </cell>
          <cell r="C796" t="str">
            <v>桜花の果実</v>
          </cell>
          <cell r="D796" t="str">
            <v>イベント:卒業</v>
          </cell>
          <cell r="E796" t="str">
            <v>アリス</v>
          </cell>
          <cell r="F796" t="str">
            <v>世界観</v>
          </cell>
          <cell r="G796" t="str">
            <v>不明</v>
          </cell>
          <cell r="H796" t="str">
            <v>blue</v>
          </cell>
          <cell r="I796">
            <v>3</v>
          </cell>
          <cell r="J796" t="str">
            <v>Material</v>
          </cell>
          <cell r="K796" t="str">
            <v>skilllevel</v>
          </cell>
          <cell r="L796" t="str">
            <v>スキルレベル素材</v>
          </cell>
          <cell r="M796" t="str">
            <v>unknown</v>
          </cell>
        </row>
        <row r="797">
          <cell r="A797">
            <v>796</v>
          </cell>
          <cell r="B797" t="str">
            <v>ja</v>
          </cell>
          <cell r="C797" t="str">
            <v>ラグランジュ</v>
          </cell>
          <cell r="D797" t="str">
            <v>各属性相性良3・黄・R414</v>
          </cell>
          <cell r="E797" t="str">
            <v>執行者</v>
          </cell>
          <cell r="F797" t="str">
            <v>格好いい</v>
          </cell>
          <cell r="G797" t="str">
            <v>男性</v>
          </cell>
          <cell r="H797" t="str">
            <v>blue</v>
          </cell>
          <cell r="I797">
            <v>6</v>
          </cell>
          <cell r="J797" t="str">
            <v>PremiumS</v>
          </cell>
          <cell r="K797" t="str">
            <v>attack</v>
          </cell>
          <cell r="L797" t="str">
            <v>攻撃タイプ</v>
          </cell>
          <cell r="M797" t="str">
            <v>human</v>
          </cell>
        </row>
        <row r="798">
          <cell r="A798">
            <v>797</v>
          </cell>
          <cell r="B798" t="str">
            <v>ja</v>
          </cell>
          <cell r="C798" t="str">
            <v>シュレディンガー</v>
          </cell>
          <cell r="D798" t="str">
            <v>各属性相性良3・黄・R415</v>
          </cell>
          <cell r="E798" t="str">
            <v>執行者</v>
          </cell>
          <cell r="F798" t="str">
            <v>格好いい</v>
          </cell>
          <cell r="G798" t="str">
            <v>男性</v>
          </cell>
          <cell r="H798" t="str">
            <v>blue</v>
          </cell>
          <cell r="I798">
            <v>6</v>
          </cell>
          <cell r="J798" t="str">
            <v>PremiumS</v>
          </cell>
          <cell r="K798" t="str">
            <v>attack</v>
          </cell>
          <cell r="L798" t="str">
            <v>攻撃タイプ</v>
          </cell>
          <cell r="M798" t="str">
            <v>human</v>
          </cell>
        </row>
        <row r="799">
          <cell r="A799">
            <v>798</v>
          </cell>
          <cell r="B799" t="str">
            <v>ja</v>
          </cell>
          <cell r="C799" t="str">
            <v>オイラー</v>
          </cell>
          <cell r="D799" t="str">
            <v>各属性相性良3・黄・R416</v>
          </cell>
          <cell r="E799" t="str">
            <v>執行者</v>
          </cell>
          <cell r="F799" t="str">
            <v>格好いい</v>
          </cell>
          <cell r="G799" t="str">
            <v>男性</v>
          </cell>
          <cell r="H799" t="str">
            <v>blue</v>
          </cell>
          <cell r="I799">
            <v>6</v>
          </cell>
          <cell r="J799" t="str">
            <v>PremiumS</v>
          </cell>
          <cell r="K799" t="str">
            <v>attack</v>
          </cell>
          <cell r="L799" t="str">
            <v>攻撃タイプ</v>
          </cell>
          <cell r="M799" t="str">
            <v>human</v>
          </cell>
        </row>
        <row r="800">
          <cell r="A800">
            <v>799</v>
          </cell>
          <cell r="B800" t="str">
            <v>ja</v>
          </cell>
          <cell r="C800" t="str">
            <v>チューリング</v>
          </cell>
          <cell r="D800" t="str">
            <v>各属性相性良3・黄・R417</v>
          </cell>
          <cell r="E800" t="str">
            <v>執行者</v>
          </cell>
          <cell r="F800" t="str">
            <v>格好いい</v>
          </cell>
          <cell r="G800" t="str">
            <v>男性</v>
          </cell>
          <cell r="H800" t="str">
            <v>blue</v>
          </cell>
          <cell r="I800">
            <v>6</v>
          </cell>
          <cell r="J800" t="str">
            <v>PremiumS</v>
          </cell>
          <cell r="K800" t="str">
            <v>attack</v>
          </cell>
          <cell r="L800" t="str">
            <v>攻撃タイプ</v>
          </cell>
          <cell r="M800" t="str">
            <v>human</v>
          </cell>
        </row>
        <row r="801">
          <cell r="A801">
            <v>800</v>
          </cell>
          <cell r="B801" t="str">
            <v>ja</v>
          </cell>
          <cell r="C801" t="str">
            <v>ヘンペルR6</v>
          </cell>
          <cell r="D801" t="str">
            <v>各属性相性良3・黄・R418</v>
          </cell>
          <cell r="E801" t="str">
            <v>執行者</v>
          </cell>
          <cell r="F801" t="str">
            <v>格好いい</v>
          </cell>
          <cell r="G801" t="str">
            <v>男性</v>
          </cell>
          <cell r="H801" t="str">
            <v>blue</v>
          </cell>
          <cell r="I801">
            <v>6</v>
          </cell>
          <cell r="J801" t="str">
            <v>PremiumSSS</v>
          </cell>
          <cell r="K801" t="str">
            <v>technical</v>
          </cell>
          <cell r="L801" t="str">
            <v>テクニカルタイプ</v>
          </cell>
          <cell r="M801" t="str">
            <v>human</v>
          </cell>
        </row>
        <row r="802">
          <cell r="A802">
            <v>801</v>
          </cell>
          <cell r="B802" t="str">
            <v>ja</v>
          </cell>
          <cell r="C802" t="str">
            <v>オーディン</v>
          </cell>
          <cell r="D802" t="str">
            <v>各属性相性良3・黄・R419</v>
          </cell>
          <cell r="E802" t="str">
            <v>執行者</v>
          </cell>
          <cell r="F802" t="str">
            <v>格好いい</v>
          </cell>
          <cell r="G802" t="str">
            <v>男性</v>
          </cell>
          <cell r="H802" t="str">
            <v>blue</v>
          </cell>
          <cell r="I802">
            <v>6</v>
          </cell>
          <cell r="J802" t="str">
            <v>PremiumS</v>
          </cell>
          <cell r="K802" t="str">
            <v>attack</v>
          </cell>
          <cell r="L802" t="str">
            <v>攻撃タイプ</v>
          </cell>
          <cell r="M802" t="str">
            <v>human</v>
          </cell>
        </row>
        <row r="803">
          <cell r="A803">
            <v>802</v>
          </cell>
          <cell r="B803" t="str">
            <v>ja</v>
          </cell>
          <cell r="C803" t="str">
            <v>麒麟</v>
          </cell>
          <cell r="D803" t="str">
            <v>各属性相性良3・黄・R420</v>
          </cell>
          <cell r="E803" t="str">
            <v>執行者</v>
          </cell>
          <cell r="F803" t="str">
            <v>格好いい</v>
          </cell>
          <cell r="G803" t="str">
            <v>男性</v>
          </cell>
          <cell r="H803" t="str">
            <v>blue</v>
          </cell>
          <cell r="I803">
            <v>6</v>
          </cell>
          <cell r="J803" t="str">
            <v>PremiumS</v>
          </cell>
          <cell r="K803" t="str">
            <v>attack</v>
          </cell>
          <cell r="L803" t="str">
            <v>攻撃タイプ</v>
          </cell>
          <cell r="M803" t="str">
            <v>human</v>
          </cell>
        </row>
        <row r="804">
          <cell r="A804">
            <v>803</v>
          </cell>
          <cell r="B804" t="str">
            <v>ja</v>
          </cell>
          <cell r="C804" t="str">
            <v>パラケルスス(旧イゾルデ)</v>
          </cell>
          <cell r="D804" t="str">
            <v>各属性相性良3・黄・R421</v>
          </cell>
          <cell r="E804" t="str">
            <v>執行者</v>
          </cell>
          <cell r="F804" t="str">
            <v>格好いい</v>
          </cell>
          <cell r="G804" t="str">
            <v>男性</v>
          </cell>
          <cell r="H804" t="str">
            <v>blue</v>
          </cell>
          <cell r="I804">
            <v>6</v>
          </cell>
          <cell r="J804" t="str">
            <v>PremiumS</v>
          </cell>
          <cell r="K804" t="str">
            <v>attack</v>
          </cell>
          <cell r="L804" t="str">
            <v>攻撃タイプ</v>
          </cell>
          <cell r="M804" t="str">
            <v>human</v>
          </cell>
        </row>
        <row r="805">
          <cell r="A805">
            <v>804</v>
          </cell>
          <cell r="B805" t="str">
            <v>ja</v>
          </cell>
          <cell r="C805" t="str">
            <v>ファラデー(旧トール)</v>
          </cell>
          <cell r="D805" t="str">
            <v>各属性相性良3・黄・R422</v>
          </cell>
          <cell r="E805" t="str">
            <v>執行者</v>
          </cell>
          <cell r="F805" t="str">
            <v>格好いい</v>
          </cell>
          <cell r="G805" t="str">
            <v>男性</v>
          </cell>
          <cell r="H805" t="str">
            <v>blue</v>
          </cell>
          <cell r="I805">
            <v>6</v>
          </cell>
          <cell r="J805" t="str">
            <v>PremiumS</v>
          </cell>
          <cell r="K805" t="str">
            <v>attack</v>
          </cell>
          <cell r="L805" t="str">
            <v>攻撃タイプ</v>
          </cell>
          <cell r="M805" t="str">
            <v>human</v>
          </cell>
        </row>
        <row r="806">
          <cell r="A806">
            <v>805</v>
          </cell>
          <cell r="B806" t="str">
            <v>ja</v>
          </cell>
          <cell r="C806" t="str">
            <v>R6 ベリアル</v>
          </cell>
          <cell r="D806" t="str">
            <v>各属性相性良3・黄・R423</v>
          </cell>
          <cell r="E806" t="str">
            <v>執行者</v>
          </cell>
          <cell r="F806" t="str">
            <v>格好いい</v>
          </cell>
          <cell r="G806" t="str">
            <v>男性</v>
          </cell>
          <cell r="H806" t="str">
            <v>red</v>
          </cell>
          <cell r="I806">
            <v>6</v>
          </cell>
          <cell r="J806" t="str">
            <v>PremiumN</v>
          </cell>
          <cell r="K806" t="str">
            <v>attack</v>
          </cell>
          <cell r="L806" t="str">
            <v>攻撃タイプ</v>
          </cell>
          <cell r="M806" t="str">
            <v>god</v>
          </cell>
        </row>
        <row r="807">
          <cell r="A807">
            <v>806</v>
          </cell>
          <cell r="B807" t="str">
            <v>ja</v>
          </cell>
          <cell r="C807" t="str">
            <v>R6 オセ</v>
          </cell>
          <cell r="D807" t="str">
            <v>各属性相性良3・黄・R424</v>
          </cell>
          <cell r="E807" t="str">
            <v>執行者</v>
          </cell>
          <cell r="F807" t="str">
            <v>格好いい</v>
          </cell>
          <cell r="G807" t="str">
            <v>男性</v>
          </cell>
          <cell r="H807" t="str">
            <v>green</v>
          </cell>
          <cell r="I807">
            <v>6</v>
          </cell>
          <cell r="J807" t="str">
            <v>PremiumN</v>
          </cell>
          <cell r="K807" t="str">
            <v>attack</v>
          </cell>
          <cell r="L807" t="str">
            <v>攻撃タイプ</v>
          </cell>
          <cell r="M807" t="str">
            <v>god</v>
          </cell>
        </row>
        <row r="808">
          <cell r="A808">
            <v>807</v>
          </cell>
          <cell r="B808" t="str">
            <v>ja</v>
          </cell>
          <cell r="C808" t="str">
            <v xml:space="preserve">R6 フォルネウス </v>
          </cell>
          <cell r="D808" t="str">
            <v>各属性相性良3・黄・R425</v>
          </cell>
          <cell r="E808" t="str">
            <v>執行者</v>
          </cell>
          <cell r="F808" t="str">
            <v>格好いい</v>
          </cell>
          <cell r="G808" t="str">
            <v>男性</v>
          </cell>
          <cell r="H808" t="str">
            <v>blue</v>
          </cell>
          <cell r="I808">
            <v>6</v>
          </cell>
          <cell r="J808" t="str">
            <v>PremiumN</v>
          </cell>
          <cell r="K808" t="str">
            <v>attack</v>
          </cell>
          <cell r="L808" t="str">
            <v>攻撃タイプ</v>
          </cell>
          <cell r="M808" t="str">
            <v>god</v>
          </cell>
        </row>
        <row r="809">
          <cell r="A809">
            <v>808</v>
          </cell>
          <cell r="B809" t="str">
            <v>ja</v>
          </cell>
          <cell r="C809" t="str">
            <v>R6 イザナミ</v>
          </cell>
          <cell r="D809" t="str">
            <v>各属性相性良3・黄・R426</v>
          </cell>
          <cell r="E809" t="str">
            <v>執行者</v>
          </cell>
          <cell r="F809" t="str">
            <v>格好いい</v>
          </cell>
          <cell r="G809" t="str">
            <v>男性</v>
          </cell>
          <cell r="H809" t="str">
            <v>yellow</v>
          </cell>
          <cell r="I809">
            <v>6</v>
          </cell>
          <cell r="J809" t="str">
            <v>PremiumS</v>
          </cell>
          <cell r="K809" t="str">
            <v>attack</v>
          </cell>
          <cell r="L809" t="str">
            <v>攻撃タイプ</v>
          </cell>
          <cell r="M809" t="str">
            <v>god</v>
          </cell>
        </row>
        <row r="810">
          <cell r="A810">
            <v>809</v>
          </cell>
          <cell r="B810" t="str">
            <v>ja</v>
          </cell>
          <cell r="C810" t="str">
            <v>R6 沖田総司</v>
          </cell>
          <cell r="D810" t="str">
            <v>各属性相性良3・黄・R427</v>
          </cell>
          <cell r="E810" t="str">
            <v>執行者</v>
          </cell>
          <cell r="F810" t="str">
            <v>格好いい</v>
          </cell>
          <cell r="G810" t="str">
            <v>男性</v>
          </cell>
          <cell r="H810" t="str">
            <v>blue</v>
          </cell>
          <cell r="I810">
            <v>6</v>
          </cell>
          <cell r="J810" t="str">
            <v>PremiumSS</v>
          </cell>
          <cell r="K810" t="str">
            <v>balance</v>
          </cell>
          <cell r="L810" t="str">
            <v>バランスタイプ</v>
          </cell>
          <cell r="M810" t="str">
            <v>human</v>
          </cell>
        </row>
        <row r="811">
          <cell r="A811">
            <v>810</v>
          </cell>
          <cell r="B811" t="str">
            <v>ja</v>
          </cell>
          <cell r="C811" t="str">
            <v>R6 アマテラス</v>
          </cell>
          <cell r="D811" t="str">
            <v>各属性相性良3・黄・R428</v>
          </cell>
          <cell r="E811" t="str">
            <v>執行者</v>
          </cell>
          <cell r="F811" t="str">
            <v>格好いい</v>
          </cell>
          <cell r="G811" t="str">
            <v>男性</v>
          </cell>
          <cell r="H811" t="str">
            <v>red</v>
          </cell>
          <cell r="I811">
            <v>6</v>
          </cell>
          <cell r="J811" t="str">
            <v>PremiumS</v>
          </cell>
          <cell r="K811" t="str">
            <v>attack</v>
          </cell>
          <cell r="L811" t="str">
            <v>攻撃タイプ</v>
          </cell>
          <cell r="M811" t="str">
            <v>god</v>
          </cell>
        </row>
        <row r="812">
          <cell r="A812">
            <v>811</v>
          </cell>
          <cell r="B812" t="str">
            <v>ja</v>
          </cell>
          <cell r="C812" t="str">
            <v>R6 親指姫</v>
          </cell>
          <cell r="D812" t="str">
            <v>各属性相性良3・黄・R429</v>
          </cell>
          <cell r="E812" t="str">
            <v>執行者</v>
          </cell>
          <cell r="F812" t="str">
            <v>格好いい</v>
          </cell>
          <cell r="G812" t="str">
            <v>男性</v>
          </cell>
          <cell r="H812" t="str">
            <v>red</v>
          </cell>
          <cell r="I812">
            <v>6</v>
          </cell>
          <cell r="J812" t="str">
            <v>PremiumSS</v>
          </cell>
          <cell r="K812" t="str">
            <v>heal</v>
          </cell>
          <cell r="L812" t="str">
            <v>回復タイプ</v>
          </cell>
          <cell r="M812" t="str">
            <v>human</v>
          </cell>
        </row>
        <row r="813">
          <cell r="A813">
            <v>812</v>
          </cell>
          <cell r="B813" t="str">
            <v>ja</v>
          </cell>
          <cell r="C813" t="str">
            <v>R6 アザゼル</v>
          </cell>
          <cell r="D813" t="str">
            <v>各属性相性良3・黄・R430</v>
          </cell>
          <cell r="E813" t="str">
            <v>執行者</v>
          </cell>
          <cell r="F813" t="str">
            <v>格好いい</v>
          </cell>
          <cell r="G813" t="str">
            <v>男性</v>
          </cell>
          <cell r="H813" t="str">
            <v>green</v>
          </cell>
          <cell r="I813">
            <v>6</v>
          </cell>
          <cell r="J813" t="str">
            <v>PremiumS</v>
          </cell>
          <cell r="K813" t="str">
            <v>attack</v>
          </cell>
          <cell r="L813" t="str">
            <v>攻撃タイプ</v>
          </cell>
          <cell r="M813" t="str">
            <v>god</v>
          </cell>
        </row>
        <row r="814">
          <cell r="A814">
            <v>813</v>
          </cell>
          <cell r="B814" t="str">
            <v>ja</v>
          </cell>
          <cell r="C814" t="str">
            <v>R6 ヘンゼル＆グレーテル</v>
          </cell>
          <cell r="D814" t="str">
            <v>各属性相性良3・黄・R431</v>
          </cell>
          <cell r="E814" t="str">
            <v>執行者</v>
          </cell>
          <cell r="F814" t="str">
            <v>格好いい</v>
          </cell>
          <cell r="G814" t="str">
            <v>男性</v>
          </cell>
          <cell r="H814" t="str">
            <v>yellow</v>
          </cell>
          <cell r="I814">
            <v>6</v>
          </cell>
          <cell r="J814" t="str">
            <v>PremiumSS</v>
          </cell>
          <cell r="K814" t="str">
            <v>balance</v>
          </cell>
          <cell r="L814" t="str">
            <v>バランスタイプ</v>
          </cell>
          <cell r="M814" t="str">
            <v>human</v>
          </cell>
        </row>
        <row r="815">
          <cell r="A815">
            <v>814</v>
          </cell>
          <cell r="B815" t="str">
            <v>ja</v>
          </cell>
          <cell r="C815" t="str">
            <v>R6 ジャンヌ</v>
          </cell>
          <cell r="D815" t="str">
            <v>各属性相性良3・黄・R432</v>
          </cell>
          <cell r="E815" t="str">
            <v>執行者</v>
          </cell>
          <cell r="F815" t="str">
            <v>格好いい</v>
          </cell>
          <cell r="G815" t="str">
            <v>男性</v>
          </cell>
          <cell r="H815" t="str">
            <v>blue</v>
          </cell>
          <cell r="I815">
            <v>6</v>
          </cell>
          <cell r="J815" t="str">
            <v>PremiumS</v>
          </cell>
          <cell r="K815" t="str">
            <v>heal</v>
          </cell>
          <cell r="L815" t="str">
            <v>回復タイプ</v>
          </cell>
          <cell r="M815" t="str">
            <v>human</v>
          </cell>
        </row>
        <row r="816">
          <cell r="A816">
            <v>815</v>
          </cell>
          <cell r="B816" t="str">
            <v>ja</v>
          </cell>
          <cell r="C816" t="str">
            <v>八咫烏</v>
          </cell>
          <cell r="D816" t="str">
            <v>各属性相性良3・黄・R433</v>
          </cell>
          <cell r="E816" t="str">
            <v>執行者</v>
          </cell>
          <cell r="F816" t="str">
            <v>格好いい</v>
          </cell>
          <cell r="G816" t="str">
            <v>男性</v>
          </cell>
          <cell r="H816" t="str">
            <v>blue</v>
          </cell>
          <cell r="I816">
            <v>6</v>
          </cell>
          <cell r="J816" t="str">
            <v>PremiumSS</v>
          </cell>
          <cell r="K816" t="str">
            <v>attack</v>
          </cell>
          <cell r="L816" t="str">
            <v>攻撃タイプ</v>
          </cell>
          <cell r="M816" t="str">
            <v>human</v>
          </cell>
        </row>
        <row r="817">
          <cell r="A817">
            <v>816</v>
          </cell>
          <cell r="B817" t="str">
            <v>ja</v>
          </cell>
          <cell r="C817" t="str">
            <v>宮本武蔵</v>
          </cell>
          <cell r="D817" t="str">
            <v>各属性相性良3・黄・R434</v>
          </cell>
          <cell r="E817" t="str">
            <v>執行者</v>
          </cell>
          <cell r="F817" t="str">
            <v>格好いい</v>
          </cell>
          <cell r="G817" t="str">
            <v>男性</v>
          </cell>
          <cell r="H817" t="str">
            <v>blue</v>
          </cell>
          <cell r="I817">
            <v>6</v>
          </cell>
          <cell r="J817" t="str">
            <v>PremiumS</v>
          </cell>
          <cell r="K817" t="str">
            <v>attack</v>
          </cell>
          <cell r="L817" t="str">
            <v>攻撃タイプ</v>
          </cell>
          <cell r="M817" t="str">
            <v>human</v>
          </cell>
        </row>
        <row r="818">
          <cell r="A818">
            <v>817</v>
          </cell>
          <cell r="B818" t="str">
            <v>ja</v>
          </cell>
          <cell r="C818" t="str">
            <v>ドロシー</v>
          </cell>
          <cell r="D818" t="str">
            <v>各属性相性良3・黄・R435</v>
          </cell>
          <cell r="E818" t="str">
            <v>執行者</v>
          </cell>
          <cell r="F818" t="str">
            <v>格好いい</v>
          </cell>
          <cell r="G818" t="str">
            <v>男性</v>
          </cell>
          <cell r="H818" t="str">
            <v>blue</v>
          </cell>
          <cell r="I818">
            <v>6</v>
          </cell>
          <cell r="J818" t="str">
            <v>PremiumSS</v>
          </cell>
          <cell r="K818" t="str">
            <v>attack</v>
          </cell>
          <cell r="L818" t="str">
            <v>攻撃タイプ</v>
          </cell>
          <cell r="M818" t="str">
            <v>human</v>
          </cell>
        </row>
        <row r="819">
          <cell r="A819">
            <v>818</v>
          </cell>
          <cell r="B819" t="str">
            <v>ja</v>
          </cell>
          <cell r="C819" t="str">
            <v>オズ</v>
          </cell>
          <cell r="D819" t="str">
            <v>各属性相性良3・黄・R436</v>
          </cell>
          <cell r="E819" t="str">
            <v>執行者</v>
          </cell>
          <cell r="F819" t="str">
            <v>格好いい</v>
          </cell>
          <cell r="G819" t="str">
            <v>男性</v>
          </cell>
          <cell r="H819" t="str">
            <v>blue</v>
          </cell>
          <cell r="I819">
            <v>6</v>
          </cell>
          <cell r="J819" t="str">
            <v>PremiumS</v>
          </cell>
          <cell r="K819" t="str">
            <v>attack</v>
          </cell>
          <cell r="L819" t="str">
            <v>攻撃タイプ</v>
          </cell>
          <cell r="M819" t="str">
            <v>human</v>
          </cell>
        </row>
        <row r="820">
          <cell r="A820">
            <v>819</v>
          </cell>
          <cell r="B820" t="str">
            <v>ja</v>
          </cell>
          <cell r="C820" t="str">
            <v>モルドレッド</v>
          </cell>
          <cell r="D820" t="str">
            <v>各属性相性良3・黄・R437</v>
          </cell>
          <cell r="E820" t="str">
            <v>執行者</v>
          </cell>
          <cell r="F820" t="str">
            <v>格好いい</v>
          </cell>
          <cell r="G820" t="str">
            <v>男性</v>
          </cell>
          <cell r="H820" t="str">
            <v>blue</v>
          </cell>
          <cell r="I820">
            <v>6</v>
          </cell>
          <cell r="J820" t="str">
            <v>PremiumSS</v>
          </cell>
          <cell r="K820" t="str">
            <v>attack</v>
          </cell>
          <cell r="L820" t="str">
            <v>攻撃タイプ</v>
          </cell>
          <cell r="M820" t="str">
            <v>human</v>
          </cell>
        </row>
        <row r="821">
          <cell r="A821">
            <v>820</v>
          </cell>
          <cell r="B821" t="str">
            <v>ja</v>
          </cell>
          <cell r="C821" t="str">
            <v>アーサー</v>
          </cell>
          <cell r="D821" t="str">
            <v>各属性相性良3・黄・R438</v>
          </cell>
          <cell r="E821" t="str">
            <v>執行者</v>
          </cell>
          <cell r="F821" t="str">
            <v>格好いい</v>
          </cell>
          <cell r="G821" t="str">
            <v>男性</v>
          </cell>
          <cell r="H821" t="str">
            <v>blue</v>
          </cell>
          <cell r="I821">
            <v>6</v>
          </cell>
          <cell r="J821" t="str">
            <v>PremiumS</v>
          </cell>
          <cell r="K821" t="str">
            <v>attack</v>
          </cell>
          <cell r="L821" t="str">
            <v>攻撃タイプ</v>
          </cell>
          <cell r="M821" t="str">
            <v>human</v>
          </cell>
        </row>
        <row r="822">
          <cell r="A822">
            <v>821</v>
          </cell>
          <cell r="B822" t="str">
            <v>ja</v>
          </cell>
          <cell r="C822" t="str">
            <v>ペロー(長靴をはいた猫)</v>
          </cell>
          <cell r="D822" t="str">
            <v>各属性相性良3・黄・R439</v>
          </cell>
          <cell r="E822" t="str">
            <v>執行者</v>
          </cell>
          <cell r="F822" t="str">
            <v>格好いい</v>
          </cell>
          <cell r="G822" t="str">
            <v>男性</v>
          </cell>
          <cell r="H822" t="str">
            <v>blue</v>
          </cell>
          <cell r="I822">
            <v>6</v>
          </cell>
          <cell r="J822" t="str">
            <v>PremiumSS</v>
          </cell>
          <cell r="K822" t="str">
            <v>attack</v>
          </cell>
          <cell r="L822" t="str">
            <v>攻撃タイプ</v>
          </cell>
          <cell r="M822" t="str">
            <v>human</v>
          </cell>
        </row>
        <row r="823">
          <cell r="A823">
            <v>822</v>
          </cell>
          <cell r="B823" t="str">
            <v>ja</v>
          </cell>
          <cell r="C823" t="str">
            <v>グリム兄弟</v>
          </cell>
          <cell r="D823" t="str">
            <v>各属性相性良3・黄・R440</v>
          </cell>
          <cell r="E823" t="str">
            <v>執行者</v>
          </cell>
          <cell r="F823" t="str">
            <v>格好いい</v>
          </cell>
          <cell r="G823" t="str">
            <v>男性</v>
          </cell>
          <cell r="H823" t="str">
            <v>blue</v>
          </cell>
          <cell r="I823">
            <v>6</v>
          </cell>
          <cell r="J823" t="str">
            <v>PremiumS</v>
          </cell>
          <cell r="K823" t="str">
            <v>attack</v>
          </cell>
          <cell r="L823" t="str">
            <v>攻撃タイプ</v>
          </cell>
          <cell r="M823" t="str">
            <v>human</v>
          </cell>
        </row>
        <row r="824">
          <cell r="A824">
            <v>823</v>
          </cell>
          <cell r="B824" t="str">
            <v>ja</v>
          </cell>
          <cell r="C824" t="str">
            <v>ハーメルン</v>
          </cell>
          <cell r="D824" t="str">
            <v>各属性相性良3・黄・R441</v>
          </cell>
          <cell r="E824" t="str">
            <v>執行者</v>
          </cell>
          <cell r="F824" t="str">
            <v>格好いい</v>
          </cell>
          <cell r="G824" t="str">
            <v>男性</v>
          </cell>
          <cell r="H824" t="str">
            <v>blue</v>
          </cell>
          <cell r="I824">
            <v>6</v>
          </cell>
          <cell r="J824" t="str">
            <v>PremiumSS</v>
          </cell>
          <cell r="K824" t="str">
            <v>attack</v>
          </cell>
          <cell r="L824" t="str">
            <v>攻撃タイプ</v>
          </cell>
          <cell r="M824" t="str">
            <v>human</v>
          </cell>
        </row>
        <row r="825">
          <cell r="A825">
            <v>824</v>
          </cell>
          <cell r="B825" t="str">
            <v>ja</v>
          </cell>
          <cell r="C825" t="str">
            <v>子供</v>
          </cell>
          <cell r="D825" t="str">
            <v>各属性相性良3・黄・R442</v>
          </cell>
          <cell r="E825" t="str">
            <v>執行者</v>
          </cell>
          <cell r="F825" t="str">
            <v>格好いい</v>
          </cell>
          <cell r="G825" t="str">
            <v>男性</v>
          </cell>
          <cell r="H825" t="str">
            <v>blue</v>
          </cell>
          <cell r="I825">
            <v>6</v>
          </cell>
          <cell r="J825" t="str">
            <v>PremiumS</v>
          </cell>
          <cell r="K825" t="str">
            <v>attack</v>
          </cell>
          <cell r="L825" t="str">
            <v>攻撃タイプ</v>
          </cell>
          <cell r="M825" t="str">
            <v>human</v>
          </cell>
        </row>
        <row r="826">
          <cell r="A826">
            <v>825</v>
          </cell>
          <cell r="B826" t="str">
            <v>ja</v>
          </cell>
          <cell r="C826" t="str">
            <v>フレイヤ</v>
          </cell>
          <cell r="D826" t="str">
            <v>各属性相性良3・黄・R443</v>
          </cell>
          <cell r="E826" t="str">
            <v>執行者</v>
          </cell>
          <cell r="F826" t="str">
            <v>格好いい</v>
          </cell>
          <cell r="G826" t="str">
            <v>男性</v>
          </cell>
          <cell r="H826" t="str">
            <v>blue</v>
          </cell>
          <cell r="I826">
            <v>6</v>
          </cell>
          <cell r="J826" t="str">
            <v>PremiumSS</v>
          </cell>
          <cell r="K826" t="str">
            <v>attack</v>
          </cell>
          <cell r="L826" t="str">
            <v>攻撃タイプ</v>
          </cell>
          <cell r="M826" t="str">
            <v>human</v>
          </cell>
        </row>
        <row r="827">
          <cell r="A827">
            <v>826</v>
          </cell>
          <cell r="B827" t="str">
            <v>ja</v>
          </cell>
          <cell r="C827" t="str">
            <v>フレイ</v>
          </cell>
          <cell r="D827" t="str">
            <v>各属性相性良3・黄・R444</v>
          </cell>
          <cell r="E827" t="str">
            <v>執行者</v>
          </cell>
          <cell r="F827" t="str">
            <v>格好いい</v>
          </cell>
          <cell r="G827" t="str">
            <v>男性</v>
          </cell>
          <cell r="H827" t="str">
            <v>blue</v>
          </cell>
          <cell r="I827">
            <v>6</v>
          </cell>
          <cell r="J827" t="str">
            <v>PremiumS</v>
          </cell>
          <cell r="K827" t="str">
            <v>attack</v>
          </cell>
          <cell r="L827" t="str">
            <v>攻撃タイプ</v>
          </cell>
          <cell r="M827" t="str">
            <v>human</v>
          </cell>
        </row>
        <row r="828">
          <cell r="A828">
            <v>827</v>
          </cell>
          <cell r="B828" t="str">
            <v>ja</v>
          </cell>
          <cell r="C828" t="str">
            <v>アルフヘイム(雲ドラゴン)</v>
          </cell>
          <cell r="D828" t="str">
            <v>各属性相性良3・黄・R445</v>
          </cell>
          <cell r="E828" t="str">
            <v>執行者</v>
          </cell>
          <cell r="F828" t="str">
            <v>格好いい</v>
          </cell>
          <cell r="G828" t="str">
            <v>男性</v>
          </cell>
          <cell r="H828" t="str">
            <v>blue</v>
          </cell>
          <cell r="I828">
            <v>6</v>
          </cell>
          <cell r="J828" t="str">
            <v>PremiumSS</v>
          </cell>
          <cell r="K828" t="str">
            <v>attack</v>
          </cell>
          <cell r="L828" t="str">
            <v>攻撃タイプ</v>
          </cell>
          <cell r="M828" t="str">
            <v>human</v>
          </cell>
        </row>
        <row r="829">
          <cell r="A829">
            <v>828</v>
          </cell>
          <cell r="B829" t="str">
            <v>ja</v>
          </cell>
          <cell r="C829" t="str">
            <v>フギンとムニン</v>
          </cell>
          <cell r="D829" t="str">
            <v>各属性相性良3・黄・R446</v>
          </cell>
          <cell r="E829" t="str">
            <v>執行者</v>
          </cell>
          <cell r="F829" t="str">
            <v>格好いい</v>
          </cell>
          <cell r="G829" t="str">
            <v>男性</v>
          </cell>
          <cell r="H829" t="str">
            <v>blue</v>
          </cell>
          <cell r="I829">
            <v>6</v>
          </cell>
          <cell r="J829" t="str">
            <v>PremiumS</v>
          </cell>
          <cell r="K829" t="str">
            <v>attack</v>
          </cell>
          <cell r="L829" t="str">
            <v>攻撃タイプ</v>
          </cell>
          <cell r="M829" t="str">
            <v>human</v>
          </cell>
        </row>
        <row r="830">
          <cell r="A830">
            <v>829</v>
          </cell>
          <cell r="B830" t="str">
            <v>ja</v>
          </cell>
          <cell r="C830" t="str">
            <v>猫又（化け猫)</v>
          </cell>
          <cell r="D830" t="str">
            <v>各属性相性良3・黄・R447</v>
          </cell>
          <cell r="E830" t="str">
            <v>執行者</v>
          </cell>
          <cell r="F830" t="str">
            <v>格好いい</v>
          </cell>
          <cell r="G830" t="str">
            <v>男性</v>
          </cell>
          <cell r="H830" t="str">
            <v>blue</v>
          </cell>
          <cell r="I830">
            <v>6</v>
          </cell>
          <cell r="J830" t="str">
            <v>PremiumSS</v>
          </cell>
          <cell r="K830" t="str">
            <v>attack</v>
          </cell>
          <cell r="L830" t="str">
            <v>攻撃タイプ</v>
          </cell>
          <cell r="M830" t="str">
            <v>human</v>
          </cell>
        </row>
        <row r="831">
          <cell r="A831">
            <v>830</v>
          </cell>
          <cell r="B831" t="str">
            <v>ja</v>
          </cell>
          <cell r="C831" t="str">
            <v>カラス天狗</v>
          </cell>
          <cell r="D831" t="str">
            <v>各属性相性良3・黄・R448</v>
          </cell>
          <cell r="E831" t="str">
            <v>執行者</v>
          </cell>
          <cell r="F831" t="str">
            <v>格好いい</v>
          </cell>
          <cell r="G831" t="str">
            <v>男性</v>
          </cell>
          <cell r="H831" t="str">
            <v>blue</v>
          </cell>
          <cell r="I831">
            <v>6</v>
          </cell>
          <cell r="J831" t="str">
            <v>PremiumS</v>
          </cell>
          <cell r="K831" t="str">
            <v>attack</v>
          </cell>
          <cell r="L831" t="str">
            <v>攻撃タイプ</v>
          </cell>
          <cell r="M831" t="str">
            <v>human</v>
          </cell>
        </row>
        <row r="832">
          <cell r="A832">
            <v>831</v>
          </cell>
          <cell r="B832" t="str">
            <v>ja</v>
          </cell>
          <cell r="C832" t="str">
            <v>ぬらりひょん</v>
          </cell>
          <cell r="D832" t="str">
            <v>各属性相性良3・黄・R449</v>
          </cell>
          <cell r="E832" t="str">
            <v>執行者</v>
          </cell>
          <cell r="F832" t="str">
            <v>格好いい</v>
          </cell>
          <cell r="G832" t="str">
            <v>男性</v>
          </cell>
          <cell r="H832" t="str">
            <v>blue</v>
          </cell>
          <cell r="I832">
            <v>6</v>
          </cell>
          <cell r="J832" t="str">
            <v>PremiumSS</v>
          </cell>
          <cell r="K832" t="str">
            <v>attack</v>
          </cell>
          <cell r="L832" t="str">
            <v>攻撃タイプ</v>
          </cell>
          <cell r="M832" t="str">
            <v>human</v>
          </cell>
        </row>
        <row r="833">
          <cell r="A833">
            <v>832</v>
          </cell>
          <cell r="B833" t="str">
            <v>ja</v>
          </cell>
          <cell r="C833" t="str">
            <v>鬼（酒呑童子）</v>
          </cell>
          <cell r="D833" t="str">
            <v>各属性相性良3・黄・R450</v>
          </cell>
          <cell r="E833" t="str">
            <v>執行者</v>
          </cell>
          <cell r="F833" t="str">
            <v>格好いい</v>
          </cell>
          <cell r="G833" t="str">
            <v>男性</v>
          </cell>
          <cell r="H833" t="str">
            <v>blue</v>
          </cell>
          <cell r="I833">
            <v>6</v>
          </cell>
          <cell r="J833" t="str">
            <v>PremiumS</v>
          </cell>
          <cell r="K833" t="str">
            <v>attack</v>
          </cell>
          <cell r="L833" t="str">
            <v>攻撃タイプ</v>
          </cell>
          <cell r="M833" t="str">
            <v>human</v>
          </cell>
        </row>
        <row r="834">
          <cell r="A834">
            <v>833</v>
          </cell>
          <cell r="B834" t="str">
            <v>ja</v>
          </cell>
          <cell r="C834" t="str">
            <v>ヴィシュヌ</v>
          </cell>
          <cell r="D834" t="str">
            <v>各属性相性良3・黄・R451</v>
          </cell>
          <cell r="E834" t="str">
            <v>執行者</v>
          </cell>
          <cell r="F834" t="str">
            <v>格好いい</v>
          </cell>
          <cell r="G834" t="str">
            <v>男性</v>
          </cell>
          <cell r="H834" t="str">
            <v>blue</v>
          </cell>
          <cell r="I834">
            <v>6</v>
          </cell>
          <cell r="J834" t="str">
            <v>PremiumSS</v>
          </cell>
          <cell r="K834" t="str">
            <v>attack</v>
          </cell>
          <cell r="L834" t="str">
            <v>攻撃タイプ</v>
          </cell>
          <cell r="M834" t="str">
            <v>human</v>
          </cell>
        </row>
        <row r="835">
          <cell r="A835">
            <v>834</v>
          </cell>
          <cell r="B835" t="str">
            <v>ja</v>
          </cell>
          <cell r="C835" t="str">
            <v>シヴァ</v>
          </cell>
          <cell r="D835" t="str">
            <v>各属性相性良3・黄・R452</v>
          </cell>
          <cell r="E835" t="str">
            <v>執行者</v>
          </cell>
          <cell r="F835" t="str">
            <v>格好いい</v>
          </cell>
          <cell r="G835" t="str">
            <v>男性</v>
          </cell>
          <cell r="H835" t="str">
            <v>blue</v>
          </cell>
          <cell r="I835">
            <v>6</v>
          </cell>
          <cell r="J835" t="str">
            <v>PremiumS</v>
          </cell>
          <cell r="K835" t="str">
            <v>attack</v>
          </cell>
          <cell r="L835" t="str">
            <v>攻撃タイプ</v>
          </cell>
          <cell r="M835" t="str">
            <v>human</v>
          </cell>
        </row>
        <row r="836">
          <cell r="A836">
            <v>835</v>
          </cell>
          <cell r="B836" t="str">
            <v>ja</v>
          </cell>
          <cell r="C836" t="str">
            <v>サラスヴァティ</v>
          </cell>
          <cell r="D836" t="str">
            <v>各属性相性良3・黄・R453</v>
          </cell>
          <cell r="E836" t="str">
            <v>執行者</v>
          </cell>
          <cell r="F836" t="str">
            <v>格好いい</v>
          </cell>
          <cell r="G836" t="str">
            <v>男性</v>
          </cell>
          <cell r="H836" t="str">
            <v>blue</v>
          </cell>
          <cell r="I836">
            <v>6</v>
          </cell>
          <cell r="J836" t="str">
            <v>PremiumSS</v>
          </cell>
          <cell r="K836" t="str">
            <v>attack</v>
          </cell>
          <cell r="L836" t="str">
            <v>攻撃タイプ</v>
          </cell>
          <cell r="M836" t="str">
            <v>human</v>
          </cell>
        </row>
        <row r="837">
          <cell r="A837">
            <v>836</v>
          </cell>
          <cell r="B837" t="str">
            <v>ja</v>
          </cell>
          <cell r="C837" t="str">
            <v>マーラ</v>
          </cell>
          <cell r="D837" t="str">
            <v>各属性相性良3・黄・R454</v>
          </cell>
          <cell r="E837" t="str">
            <v>執行者</v>
          </cell>
          <cell r="F837" t="str">
            <v>格好いい</v>
          </cell>
          <cell r="G837" t="str">
            <v>男性</v>
          </cell>
          <cell r="H837" t="str">
            <v>blue</v>
          </cell>
          <cell r="I837">
            <v>6</v>
          </cell>
          <cell r="J837" t="str">
            <v>PremiumS</v>
          </cell>
          <cell r="K837" t="str">
            <v>attack</v>
          </cell>
          <cell r="L837" t="str">
            <v>攻撃タイプ</v>
          </cell>
          <cell r="M837" t="str">
            <v>human</v>
          </cell>
        </row>
        <row r="838">
          <cell r="A838">
            <v>837</v>
          </cell>
          <cell r="B838" t="str">
            <v>ja</v>
          </cell>
          <cell r="C838" t="str">
            <v>ちびハンプティ</v>
          </cell>
          <cell r="D838" t="str">
            <v>各属性相性良3・黄・R455</v>
          </cell>
          <cell r="E838" t="str">
            <v>執行者</v>
          </cell>
          <cell r="F838" t="str">
            <v>格好いい</v>
          </cell>
          <cell r="G838" t="str">
            <v>男性</v>
          </cell>
          <cell r="H838" t="str">
            <v>yellow</v>
          </cell>
          <cell r="I838">
            <v>6</v>
          </cell>
          <cell r="J838" t="str">
            <v>PremiumSS</v>
          </cell>
          <cell r="K838" t="str">
            <v>evolution</v>
          </cell>
          <cell r="L838" t="str">
            <v>覚醒素材タイプ</v>
          </cell>
          <cell r="M838" t="str">
            <v>unknown</v>
          </cell>
        </row>
        <row r="839">
          <cell r="A839">
            <v>838</v>
          </cell>
          <cell r="B839" t="str">
            <v>ja</v>
          </cell>
          <cell r="C839" t="str">
            <v>近藤勇</v>
          </cell>
          <cell r="D839" t="str">
            <v>各属性相性良3・黄・R456</v>
          </cell>
          <cell r="E839" t="str">
            <v>執行者</v>
          </cell>
          <cell r="F839" t="str">
            <v>格好いい</v>
          </cell>
          <cell r="G839" t="str">
            <v>男性</v>
          </cell>
          <cell r="H839" t="str">
            <v>blue</v>
          </cell>
          <cell r="I839">
            <v>6</v>
          </cell>
          <cell r="J839" t="str">
            <v>PremiumS</v>
          </cell>
          <cell r="K839" t="str">
            <v>attack</v>
          </cell>
          <cell r="L839" t="str">
            <v>攻撃タイプ</v>
          </cell>
          <cell r="M839" t="str">
            <v>human</v>
          </cell>
        </row>
        <row r="840">
          <cell r="A840">
            <v>839</v>
          </cell>
          <cell r="B840" t="str">
            <v>ja</v>
          </cell>
          <cell r="C840" t="str">
            <v>ランスロット</v>
          </cell>
          <cell r="D840" t="str">
            <v>各属性相性良3・黄・R457</v>
          </cell>
          <cell r="E840" t="str">
            <v>執行者</v>
          </cell>
          <cell r="F840" t="str">
            <v>格好いい</v>
          </cell>
          <cell r="G840" t="str">
            <v>男性</v>
          </cell>
          <cell r="H840" t="str">
            <v>blue</v>
          </cell>
          <cell r="I840">
            <v>6</v>
          </cell>
          <cell r="J840" t="str">
            <v>PremiumSS</v>
          </cell>
          <cell r="K840" t="str">
            <v>attack</v>
          </cell>
          <cell r="L840" t="str">
            <v>攻撃タイプ</v>
          </cell>
          <cell r="M840" t="str">
            <v>human</v>
          </cell>
        </row>
      </sheetData>
      <sheetData sheetId="4"/>
      <sheetData sheetId="5"/>
      <sheetData sheetId="6"/>
    </sheetDataSet>
  </externalBook>
</externalLink>
</file>

<file path=xl/theme/theme1.xml><?xml version="1.0" encoding="utf-8"?>
<a:theme xmlns:a="http://schemas.openxmlformats.org/drawingml/2006/main" name="ホワイト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tint val="100000"/>
                <a:shade val="100000"/>
                <a:satMod val="130000"/>
              </a:schemeClr>
            </a:gs>
            <a:gs pos="100000">
              <a:schemeClr val="phClr">
                <a:tint val="50000"/>
                <a:shade val="100000"/>
                <a:satMod val="350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blurRad="63500" dist="38099" dir="2700000" algn="ctr" rotWithShape="0">
                  <a:srgbClr val="000000">
                    <a:alpha val="74998"/>
                  </a:srgbClr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.vml"/><Relationship Id="rId2" Type="http://schemas.openxmlformats.org/officeDocument/2006/relationships/comments" Target="../comments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Relationship Id="rId2" Type="http://schemas.openxmlformats.org/officeDocument/2006/relationships/comments" Target="../comments2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Relationship Id="rId2" Type="http://schemas.openxmlformats.org/officeDocument/2006/relationships/comments" Target="../comments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Relationship Id="rId2" Type="http://schemas.openxmlformats.org/officeDocument/2006/relationships/comments" Target="../comments4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 enableFormatConditionsCalculation="0"/>
  <dimension ref="A1:A4"/>
  <sheetViews>
    <sheetView workbookViewId="0">
      <selection activeCell="A5" sqref="A5"/>
    </sheetView>
  </sheetViews>
  <sheetFormatPr baseColWidth="12" defaultRowHeight="14" x14ac:dyDescent="0"/>
  <sheetData>
    <row r="1" spans="1:1">
      <c r="A1" t="s">
        <v>97</v>
      </c>
    </row>
    <row r="2" spans="1:1">
      <c r="A2" t="s">
        <v>98</v>
      </c>
    </row>
    <row r="3" spans="1:1">
      <c r="A3" t="s">
        <v>99</v>
      </c>
    </row>
    <row r="4" spans="1:1">
      <c r="A4" t="s">
        <v>100</v>
      </c>
    </row>
  </sheetData>
  <phoneticPr fontId="16"/>
  <pageMargins left="0.7" right="0.7" top="0.75" bottom="0.75" header="0.3" footer="0.3"/>
  <extLst>
    <ext xmlns:mx="http://schemas.microsoft.com/office/mac/excel/2008/main" uri="{64002731-A6B0-56B0-2670-7721B7C09600}">
      <mx:PLV Mode="0" OnePage="0" WScale="0"/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 enableFormatConditionsCalculation="0">
    <tabColor rgb="FF0000FF"/>
  </sheetPr>
  <dimension ref="A1:U7"/>
  <sheetViews>
    <sheetView tabSelected="1" workbookViewId="0">
      <selection activeCell="E18" sqref="E18"/>
    </sheetView>
  </sheetViews>
  <sheetFormatPr baseColWidth="12" defaultRowHeight="18" x14ac:dyDescent="0"/>
  <cols>
    <col min="1" max="1" width="12.83203125" style="19"/>
    <col min="2" max="2" width="14.83203125" style="19" bestFit="1" customWidth="1"/>
    <col min="3" max="4" width="12.83203125" style="19"/>
    <col min="5" max="5" width="17.6640625" style="19" bestFit="1" customWidth="1"/>
    <col min="6" max="6" width="22.1640625" style="19" bestFit="1" customWidth="1"/>
    <col min="7" max="16384" width="12.83203125" style="19"/>
  </cols>
  <sheetData>
    <row r="1" spans="1:21">
      <c r="A1" s="29" t="s">
        <v>54</v>
      </c>
      <c r="B1" s="17" t="s">
        <v>41</v>
      </c>
      <c r="C1" s="17" t="s">
        <v>42</v>
      </c>
      <c r="D1" s="17" t="s">
        <v>43</v>
      </c>
      <c r="E1" s="17" t="s">
        <v>44</v>
      </c>
      <c r="F1" s="17" t="s">
        <v>45</v>
      </c>
      <c r="G1" s="17" t="s">
        <v>46</v>
      </c>
      <c r="H1" s="17"/>
      <c r="I1" s="17"/>
      <c r="J1" s="17"/>
      <c r="K1" s="17"/>
      <c r="L1" s="18"/>
      <c r="M1" s="18"/>
      <c r="N1" s="18"/>
      <c r="O1" s="18"/>
    </row>
    <row r="2" spans="1:21">
      <c r="A2" s="80" t="s">
        <v>146</v>
      </c>
      <c r="B2" s="20" t="s">
        <v>52</v>
      </c>
      <c r="C2" s="68" t="str">
        <f>RIGHT(F2,6)</f>
        <v>314010</v>
      </c>
      <c r="D2" s="20" t="s">
        <v>47</v>
      </c>
      <c r="E2" s="18" t="str">
        <f t="shared" ref="E2:E7" si="0">B2&amp;C2&amp;D2</f>
        <v>gacha_select_tables_314010.tmp</v>
      </c>
      <c r="F2" s="81" t="s">
        <v>147</v>
      </c>
      <c r="G2" s="67" t="s">
        <v>104</v>
      </c>
      <c r="H2" s="23" t="s">
        <v>0</v>
      </c>
      <c r="I2" s="23" t="s">
        <v>4</v>
      </c>
      <c r="J2" s="23" t="s">
        <v>5</v>
      </c>
      <c r="K2" s="23" t="s">
        <v>6</v>
      </c>
      <c r="L2" s="23" t="s">
        <v>7</v>
      </c>
      <c r="M2" s="23" t="s">
        <v>8</v>
      </c>
      <c r="N2" s="23" t="s">
        <v>9</v>
      </c>
      <c r="O2" s="23" t="s">
        <v>10</v>
      </c>
    </row>
    <row r="3" spans="1:21">
      <c r="A3" s="80" t="s">
        <v>146</v>
      </c>
      <c r="B3" s="20" t="s">
        <v>52</v>
      </c>
      <c r="C3" s="68" t="str">
        <f t="shared" ref="C3:C4" si="1">RIGHT(F3,6)</f>
        <v>314101</v>
      </c>
      <c r="D3" s="20" t="s">
        <v>47</v>
      </c>
      <c r="E3" s="18" t="str">
        <f t="shared" si="0"/>
        <v>gacha_select_tables_314101.tmp</v>
      </c>
      <c r="F3" s="81" t="s">
        <v>148</v>
      </c>
      <c r="G3" s="67" t="s">
        <v>104</v>
      </c>
      <c r="H3" s="23" t="s">
        <v>0</v>
      </c>
      <c r="I3" s="23" t="s">
        <v>4</v>
      </c>
      <c r="J3" s="23" t="s">
        <v>5</v>
      </c>
      <c r="K3" s="23" t="s">
        <v>6</v>
      </c>
      <c r="L3" s="23" t="s">
        <v>7</v>
      </c>
      <c r="M3" s="23" t="s">
        <v>8</v>
      </c>
      <c r="N3" s="23" t="s">
        <v>9</v>
      </c>
      <c r="O3" s="23" t="s">
        <v>10</v>
      </c>
    </row>
    <row r="4" spans="1:21">
      <c r="A4" s="80" t="s">
        <v>146</v>
      </c>
      <c r="B4" s="20" t="s">
        <v>52</v>
      </c>
      <c r="C4" s="68" t="str">
        <f t="shared" si="1"/>
        <v>314100</v>
      </c>
      <c r="D4" s="20" t="s">
        <v>48</v>
      </c>
      <c r="E4" s="18" t="str">
        <f t="shared" si="0"/>
        <v>gacha_select_tables_314100.tmp</v>
      </c>
      <c r="F4" s="81" t="s">
        <v>149</v>
      </c>
      <c r="G4" s="67" t="s">
        <v>104</v>
      </c>
      <c r="H4" s="23" t="s">
        <v>0</v>
      </c>
      <c r="I4" s="23" t="s">
        <v>4</v>
      </c>
      <c r="J4" s="23" t="s">
        <v>5</v>
      </c>
      <c r="K4" s="23" t="s">
        <v>6</v>
      </c>
      <c r="L4" s="23" t="s">
        <v>7</v>
      </c>
      <c r="M4" s="23" t="s">
        <v>8</v>
      </c>
      <c r="N4" s="23" t="s">
        <v>9</v>
      </c>
      <c r="O4" s="23" t="s">
        <v>10</v>
      </c>
    </row>
    <row r="5" spans="1:21">
      <c r="A5" s="44" t="s">
        <v>68</v>
      </c>
      <c r="B5" s="28" t="s">
        <v>53</v>
      </c>
      <c r="C5" s="46" t="s">
        <v>73</v>
      </c>
      <c r="D5" s="20" t="s">
        <v>48</v>
      </c>
      <c r="E5" s="18" t="str">
        <f t="shared" si="0"/>
        <v>gacha_bonus_tables_hogehoge.tmp</v>
      </c>
      <c r="F5" s="20" t="s">
        <v>49</v>
      </c>
      <c r="G5" s="22" t="s">
        <v>12</v>
      </c>
      <c r="H5" s="24" t="s">
        <v>15</v>
      </c>
      <c r="I5" s="22" t="s">
        <v>13</v>
      </c>
      <c r="J5" s="21"/>
      <c r="K5" s="21"/>
      <c r="L5" s="21"/>
      <c r="M5" s="21"/>
      <c r="N5" s="21"/>
      <c r="O5" s="21"/>
    </row>
    <row r="6" spans="1:21">
      <c r="A6" s="44" t="s">
        <v>68</v>
      </c>
      <c r="B6" s="20" t="s">
        <v>50</v>
      </c>
      <c r="C6" s="46" t="s">
        <v>73</v>
      </c>
      <c r="D6" s="20" t="s">
        <v>48</v>
      </c>
      <c r="E6" s="18" t="str">
        <f t="shared" si="0"/>
        <v>gifts_tmp_hogehoge.tmp</v>
      </c>
      <c r="F6" s="20" t="s">
        <v>49</v>
      </c>
      <c r="G6" s="24" t="s">
        <v>23</v>
      </c>
      <c r="H6" s="25" t="s">
        <v>31</v>
      </c>
      <c r="I6" s="24" t="s">
        <v>24</v>
      </c>
      <c r="J6" s="24" t="s">
        <v>25</v>
      </c>
      <c r="K6" s="24" t="s">
        <v>25</v>
      </c>
      <c r="L6" s="24" t="s">
        <v>26</v>
      </c>
      <c r="M6" s="24" t="s">
        <v>26</v>
      </c>
      <c r="N6" s="24" t="s">
        <v>26</v>
      </c>
      <c r="O6" s="69" t="s">
        <v>8</v>
      </c>
      <c r="P6" s="69" t="s">
        <v>10</v>
      </c>
      <c r="Q6" s="69" t="s">
        <v>7</v>
      </c>
      <c r="R6" s="69" t="s">
        <v>105</v>
      </c>
      <c r="S6" s="69" t="s">
        <v>9</v>
      </c>
      <c r="T6" s="69" t="s">
        <v>106</v>
      </c>
      <c r="U6" s="69" t="s">
        <v>6</v>
      </c>
    </row>
    <row r="7" spans="1:21">
      <c r="A7" s="44" t="s">
        <v>68</v>
      </c>
      <c r="B7" s="20" t="s">
        <v>51</v>
      </c>
      <c r="C7" s="46" t="s">
        <v>73</v>
      </c>
      <c r="D7" s="20" t="s">
        <v>48</v>
      </c>
      <c r="E7" s="18" t="str">
        <f t="shared" si="0"/>
        <v>gifts_i18n_hogehoge.tmp</v>
      </c>
      <c r="F7" s="20" t="s">
        <v>49</v>
      </c>
      <c r="G7" s="24" t="s">
        <v>14</v>
      </c>
      <c r="H7" s="26" t="s">
        <v>27</v>
      </c>
      <c r="I7" s="26" t="s">
        <v>28</v>
      </c>
      <c r="J7" s="26" t="s">
        <v>29</v>
      </c>
      <c r="K7" s="26" t="s">
        <v>30</v>
      </c>
      <c r="L7" s="27"/>
      <c r="M7" s="24"/>
      <c r="N7" s="24"/>
      <c r="O7" s="20"/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 enableFormatConditionsCalculation="0">
    <tabColor theme="5"/>
  </sheetPr>
  <dimension ref="A1:R51"/>
  <sheetViews>
    <sheetView workbookViewId="0">
      <selection activeCell="C33" sqref="C33"/>
    </sheetView>
  </sheetViews>
  <sheetFormatPr baseColWidth="12" defaultRowHeight="14" x14ac:dyDescent="0"/>
  <sheetData>
    <row r="1" spans="1:18">
      <c r="A1" s="66" t="s">
        <v>101</v>
      </c>
      <c r="B1" s="66"/>
    </row>
    <row r="2" spans="1:18">
      <c r="A2" t="str">
        <f ca="1">RIGHT(RIGHT(CELL("filename",A2),LEN(CELL("filename",A2))-FIND("]",CELL("filename",A2))),6)</f>
        <v>314010</v>
      </c>
    </row>
    <row r="4" spans="1:18">
      <c r="A4" s="49" t="s">
        <v>69</v>
      </c>
      <c r="B4" s="49"/>
    </row>
    <row r="5" spans="1:18">
      <c r="A5" s="47" t="s">
        <v>86</v>
      </c>
      <c r="B5" s="48">
        <f>1-B6-B7</f>
        <v>0.5</v>
      </c>
    </row>
    <row r="6" spans="1:18">
      <c r="A6" s="47" t="s">
        <v>87</v>
      </c>
      <c r="B6" s="48">
        <v>0.45</v>
      </c>
    </row>
    <row r="7" spans="1:18">
      <c r="A7" s="47" t="s">
        <v>88</v>
      </c>
      <c r="B7" s="48">
        <v>0.05</v>
      </c>
    </row>
    <row r="9" spans="1:18">
      <c r="A9" s="50" t="s">
        <v>70</v>
      </c>
      <c r="B9" s="50"/>
    </row>
    <row r="10" spans="1:18">
      <c r="A10" s="47" t="s">
        <v>116</v>
      </c>
      <c r="B10" s="48">
        <f>1-B11-B12</f>
        <v>0.92999999999999994</v>
      </c>
    </row>
    <row r="11" spans="1:18">
      <c r="A11" s="47" t="s">
        <v>72</v>
      </c>
      <c r="B11" s="48">
        <v>0.05</v>
      </c>
    </row>
    <row r="12" spans="1:18">
      <c r="A12" s="47" t="s">
        <v>71</v>
      </c>
      <c r="B12" s="48">
        <v>0.02</v>
      </c>
    </row>
    <row r="15" spans="1:18">
      <c r="A15" s="52" t="s">
        <v>74</v>
      </c>
      <c r="B15" s="52"/>
      <c r="C15" t="s">
        <v>102</v>
      </c>
      <c r="L15" s="54" t="s">
        <v>79</v>
      </c>
      <c r="M15" s="54"/>
    </row>
    <row r="16" spans="1:18">
      <c r="A16" s="47" t="s">
        <v>77</v>
      </c>
      <c r="B16" s="47" t="s">
        <v>78</v>
      </c>
      <c r="C16" s="53" t="s">
        <v>79</v>
      </c>
      <c r="D16" s="53" t="s">
        <v>80</v>
      </c>
      <c r="E16" t="s">
        <v>90</v>
      </c>
      <c r="F16" t="s">
        <v>89</v>
      </c>
      <c r="G16" t="s">
        <v>92</v>
      </c>
      <c r="H16" t="s">
        <v>91</v>
      </c>
      <c r="I16" t="s">
        <v>93</v>
      </c>
      <c r="J16" t="s">
        <v>96</v>
      </c>
      <c r="L16" s="47" t="s">
        <v>33</v>
      </c>
      <c r="M16" s="53" t="s">
        <v>83</v>
      </c>
      <c r="N16" s="47" t="s">
        <v>81</v>
      </c>
      <c r="O16" s="53" t="s">
        <v>84</v>
      </c>
      <c r="P16" s="53" t="s">
        <v>85</v>
      </c>
      <c r="Q16" s="53" t="s">
        <v>82</v>
      </c>
      <c r="R16" s="61" t="s">
        <v>91</v>
      </c>
    </row>
    <row r="17" spans="1:17">
      <c r="A17" s="47" t="s">
        <v>117</v>
      </c>
      <c r="B17" s="79">
        <f>B5</f>
        <v>0.5</v>
      </c>
      <c r="C17" s="65">
        <f>SUMIF(Q:Q,A17,N:N)</f>
        <v>0</v>
      </c>
      <c r="D17" s="58">
        <f t="shared" ref="D17:D28" si="0">B17-C17</f>
        <v>0.5</v>
      </c>
      <c r="E17">
        <f>COUNTIF(tables_314010!B:B,input_314010!A17)-COUNTIF(Q:Q,A17)</f>
        <v>74</v>
      </c>
      <c r="F17" s="60">
        <f t="shared" ref="F17:F27" si="1">IFERROR(D17/E17,0)</f>
        <v>6.7567567567567571E-3</v>
      </c>
      <c r="G17">
        <f>A$36*D17</f>
        <v>13986000</v>
      </c>
      <c r="H17">
        <f t="shared" ref="H17:H27" si="2">IFERROR(ROUND(G17/E17,5),0)</f>
        <v>189000</v>
      </c>
      <c r="I17">
        <f>MOD(H17,1)</f>
        <v>0</v>
      </c>
      <c r="J17">
        <f t="shared" ref="J17:J27" si="3">IFERROR(1/I17,1)</f>
        <v>1</v>
      </c>
      <c r="L17" s="47"/>
      <c r="M17" s="53"/>
      <c r="N17" s="51"/>
      <c r="O17" s="53"/>
      <c r="P17" s="53"/>
      <c r="Q17" s="53"/>
    </row>
    <row r="18" spans="1:17">
      <c r="A18" s="47" t="s">
        <v>118</v>
      </c>
      <c r="B18" s="78">
        <f>B6-B19-B20-B21-B22</f>
        <v>0.40499999999999997</v>
      </c>
      <c r="C18" s="65">
        <f>SUMIF(Q:Q,A18,N:N)</f>
        <v>0</v>
      </c>
      <c r="D18" s="58">
        <f t="shared" si="0"/>
        <v>0.40499999999999997</v>
      </c>
      <c r="E18">
        <f>COUNTIF(tables_314010!B:B,input_314010!A18)-COUNTIF(Q:Q,A18)</f>
        <v>74</v>
      </c>
      <c r="F18" s="60">
        <f t="shared" si="1"/>
        <v>5.4729729729729726E-3</v>
      </c>
      <c r="G18">
        <f>A$36*D18</f>
        <v>11328660</v>
      </c>
      <c r="H18">
        <f t="shared" si="2"/>
        <v>153090</v>
      </c>
      <c r="I18">
        <f t="shared" ref="I18:I27" si="4">MOD(H18,1)</f>
        <v>0</v>
      </c>
      <c r="J18">
        <f t="shared" si="3"/>
        <v>1</v>
      </c>
      <c r="L18" s="47"/>
      <c r="M18" s="53"/>
      <c r="N18" s="51"/>
      <c r="O18" s="53"/>
      <c r="P18" s="53"/>
      <c r="Q18" s="53"/>
    </row>
    <row r="19" spans="1:17">
      <c r="A19" s="47" t="s">
        <v>128</v>
      </c>
      <c r="B19" s="75">
        <f>1.8%</f>
        <v>1.8000000000000002E-2</v>
      </c>
      <c r="C19" s="65">
        <f>SUMIF(Q:Q,A19,N:N)</f>
        <v>0</v>
      </c>
      <c r="D19" s="58">
        <f t="shared" si="0"/>
        <v>1.8000000000000002E-2</v>
      </c>
      <c r="E19">
        <f>COUNTIF(tables_314010!B:B,input_314010!A19)-COUNTIF(Q:Q,A19)</f>
        <v>14</v>
      </c>
      <c r="F19" s="60">
        <f t="shared" si="1"/>
        <v>1.2857142857142859E-3</v>
      </c>
      <c r="G19">
        <f>A$36*D19</f>
        <v>503496.00000000006</v>
      </c>
      <c r="H19">
        <f t="shared" si="2"/>
        <v>35964</v>
      </c>
      <c r="I19">
        <f t="shared" si="4"/>
        <v>0</v>
      </c>
      <c r="J19">
        <f t="shared" si="3"/>
        <v>1</v>
      </c>
      <c r="L19" s="47"/>
      <c r="M19" s="53"/>
      <c r="N19" s="51"/>
      <c r="O19" s="53"/>
      <c r="P19" s="53"/>
      <c r="Q19" s="53"/>
    </row>
    <row r="20" spans="1:17">
      <c r="A20" s="47" t="s">
        <v>130</v>
      </c>
      <c r="B20" s="75">
        <f>1.8%*1.5</f>
        <v>2.7000000000000003E-2</v>
      </c>
      <c r="C20" s="65">
        <f t="shared" ref="C20:C27" si="5">SUMIF(Q:Q,A20,N:N)</f>
        <v>0</v>
      </c>
      <c r="D20" s="58">
        <f t="shared" ref="D20:D27" si="6">B20-C20</f>
        <v>2.7000000000000003E-2</v>
      </c>
      <c r="E20">
        <f>COUNTIF(tables_314010!B:B,input_314010!A20)-COUNTIF(Q:Q,A20)</f>
        <v>12</v>
      </c>
      <c r="F20" s="60">
        <f t="shared" si="1"/>
        <v>2.2500000000000003E-3</v>
      </c>
      <c r="G20">
        <f>A$36*D20</f>
        <v>755244.00000000012</v>
      </c>
      <c r="H20">
        <f t="shared" si="2"/>
        <v>62937</v>
      </c>
      <c r="I20">
        <f t="shared" si="4"/>
        <v>0</v>
      </c>
      <c r="J20">
        <f t="shared" si="3"/>
        <v>1</v>
      </c>
      <c r="L20" s="47"/>
      <c r="M20" s="53"/>
      <c r="N20" s="51"/>
      <c r="O20" s="53"/>
      <c r="P20" s="53"/>
      <c r="Q20" s="53"/>
    </row>
    <row r="21" spans="1:17">
      <c r="A21" s="47" t="s">
        <v>132</v>
      </c>
      <c r="B21" s="76">
        <v>0</v>
      </c>
      <c r="C21" s="65">
        <f t="shared" si="5"/>
        <v>0</v>
      </c>
      <c r="D21" s="58">
        <f t="shared" si="6"/>
        <v>0</v>
      </c>
      <c r="E21">
        <f>COUNTIF(tables_314010!B:B,input_314010!A21)-COUNTIF(Q:Q,A21)</f>
        <v>0</v>
      </c>
      <c r="F21" s="60">
        <f t="shared" si="1"/>
        <v>0</v>
      </c>
      <c r="G21">
        <f t="shared" ref="G21:G27" si="7">A$36*D21</f>
        <v>0</v>
      </c>
      <c r="H21">
        <f t="shared" si="2"/>
        <v>0</v>
      </c>
      <c r="I21">
        <f t="shared" si="4"/>
        <v>0</v>
      </c>
      <c r="J21">
        <f t="shared" si="3"/>
        <v>1</v>
      </c>
      <c r="L21" s="47"/>
      <c r="M21" s="53"/>
      <c r="N21" s="51"/>
      <c r="O21" s="53"/>
      <c r="P21" s="53"/>
      <c r="Q21" s="53"/>
    </row>
    <row r="22" spans="1:17">
      <c r="A22" s="47" t="s">
        <v>134</v>
      </c>
      <c r="B22" s="76">
        <v>0</v>
      </c>
      <c r="C22" s="65">
        <f t="shared" si="5"/>
        <v>0</v>
      </c>
      <c r="D22" s="58">
        <f t="shared" si="6"/>
        <v>0</v>
      </c>
      <c r="E22">
        <f>COUNTIF(tables_314010!B:B,input_314010!A22)-COUNTIF(Q:Q,A22)</f>
        <v>0</v>
      </c>
      <c r="F22" s="60">
        <f t="shared" si="1"/>
        <v>0</v>
      </c>
      <c r="G22">
        <f t="shared" si="7"/>
        <v>0</v>
      </c>
      <c r="H22">
        <f t="shared" si="2"/>
        <v>0</v>
      </c>
      <c r="I22">
        <f t="shared" si="4"/>
        <v>0</v>
      </c>
      <c r="J22">
        <f t="shared" si="3"/>
        <v>1</v>
      </c>
      <c r="L22" s="47"/>
      <c r="M22" s="53"/>
      <c r="N22" s="51"/>
      <c r="O22" s="53"/>
      <c r="P22" s="53"/>
      <c r="Q22" s="53"/>
    </row>
    <row r="23" spans="1:17">
      <c r="A23" s="47" t="s">
        <v>119</v>
      </c>
      <c r="B23" s="77">
        <f>B7-B24-B25-B26-B27</f>
        <v>3.4999999999999996E-2</v>
      </c>
      <c r="C23" s="65">
        <f t="shared" si="5"/>
        <v>0</v>
      </c>
      <c r="D23" s="58">
        <f t="shared" si="6"/>
        <v>3.4999999999999996E-2</v>
      </c>
      <c r="E23">
        <f>COUNTIF(tables_314010!B:B,input_314010!A23)-COUNTIF(Q:Q,A23)</f>
        <v>54</v>
      </c>
      <c r="F23" s="60">
        <f t="shared" si="1"/>
        <v>6.4814814814814813E-4</v>
      </c>
      <c r="G23">
        <f>A$36*D23</f>
        <v>979019.99999999988</v>
      </c>
      <c r="H23">
        <f t="shared" si="2"/>
        <v>18130</v>
      </c>
      <c r="I23">
        <f t="shared" si="4"/>
        <v>0</v>
      </c>
      <c r="J23">
        <f t="shared" si="3"/>
        <v>1</v>
      </c>
      <c r="L23" s="47"/>
      <c r="M23" s="53"/>
      <c r="N23" s="47"/>
      <c r="O23" s="53"/>
      <c r="P23" s="53"/>
      <c r="Q23" s="53"/>
    </row>
    <row r="24" spans="1:17">
      <c r="A24" s="47" t="s">
        <v>136</v>
      </c>
      <c r="B24" s="74">
        <v>2E-3</v>
      </c>
      <c r="C24" s="65">
        <f t="shared" si="5"/>
        <v>0</v>
      </c>
      <c r="D24" s="58">
        <f t="shared" si="6"/>
        <v>2E-3</v>
      </c>
      <c r="E24">
        <f>COUNTIF(tables_314010!B:B,input_314010!A24)-COUNTIF(Q:Q,A24)</f>
        <v>14</v>
      </c>
      <c r="F24" s="60">
        <f t="shared" si="1"/>
        <v>1.4285714285714287E-4</v>
      </c>
      <c r="G24">
        <f t="shared" si="7"/>
        <v>55944</v>
      </c>
      <c r="H24">
        <f t="shared" si="2"/>
        <v>3996</v>
      </c>
      <c r="I24">
        <f t="shared" si="4"/>
        <v>0</v>
      </c>
      <c r="J24">
        <f t="shared" si="3"/>
        <v>1</v>
      </c>
      <c r="L24" s="47"/>
      <c r="M24" s="53"/>
      <c r="N24" s="47"/>
      <c r="O24" s="53"/>
      <c r="P24" s="53"/>
      <c r="Q24" s="53"/>
    </row>
    <row r="25" spans="1:17">
      <c r="A25" s="47" t="s">
        <v>138</v>
      </c>
      <c r="B25" s="74">
        <v>3.0000000000000001E-3</v>
      </c>
      <c r="C25" s="65">
        <f t="shared" si="5"/>
        <v>0</v>
      </c>
      <c r="D25" s="58">
        <f t="shared" si="6"/>
        <v>3.0000000000000001E-3</v>
      </c>
      <c r="E25">
        <f>COUNTIF(tables_314010!B:B,input_314010!A25)-COUNTIF(Q:Q,A25)</f>
        <v>12</v>
      </c>
      <c r="F25" s="60">
        <f t="shared" si="1"/>
        <v>2.5000000000000001E-4</v>
      </c>
      <c r="G25">
        <f t="shared" si="7"/>
        <v>83916</v>
      </c>
      <c r="H25">
        <f t="shared" si="2"/>
        <v>6993</v>
      </c>
      <c r="I25">
        <f t="shared" si="4"/>
        <v>0</v>
      </c>
      <c r="J25">
        <f t="shared" si="3"/>
        <v>1</v>
      </c>
      <c r="L25" s="47"/>
      <c r="M25" s="53"/>
      <c r="N25" s="47"/>
      <c r="O25" s="53"/>
      <c r="P25" s="53"/>
      <c r="Q25" s="53"/>
    </row>
    <row r="26" spans="1:17">
      <c r="A26" s="47" t="s">
        <v>140</v>
      </c>
      <c r="B26" s="74">
        <v>2.5000000000000001E-3</v>
      </c>
      <c r="C26" s="65">
        <f t="shared" si="5"/>
        <v>0</v>
      </c>
      <c r="D26" s="58">
        <f t="shared" si="6"/>
        <v>2.5000000000000001E-3</v>
      </c>
      <c r="E26">
        <f>COUNTIF(tables_314010!B:B,input_314010!A26)-COUNTIF(Q:Q,A26)</f>
        <v>2</v>
      </c>
      <c r="F26" s="60">
        <f t="shared" si="1"/>
        <v>1.25E-3</v>
      </c>
      <c r="G26">
        <f t="shared" si="7"/>
        <v>69930</v>
      </c>
      <c r="H26">
        <f t="shared" si="2"/>
        <v>34965</v>
      </c>
      <c r="I26">
        <f t="shared" si="4"/>
        <v>0</v>
      </c>
      <c r="J26">
        <f t="shared" si="3"/>
        <v>1</v>
      </c>
      <c r="L26" s="47"/>
      <c r="M26" s="53"/>
      <c r="N26" s="47"/>
      <c r="O26" s="53"/>
      <c r="P26" s="53"/>
      <c r="Q26" s="53"/>
    </row>
    <row r="27" spans="1:17">
      <c r="A27" s="47" t="s">
        <v>142</v>
      </c>
      <c r="B27" s="74">
        <v>7.4999999999999997E-3</v>
      </c>
      <c r="C27" s="65">
        <f t="shared" si="5"/>
        <v>0</v>
      </c>
      <c r="D27" s="58">
        <f t="shared" si="6"/>
        <v>7.4999999999999997E-3</v>
      </c>
      <c r="E27">
        <f>COUNTIF(tables_314010!B:B,input_314010!A27)-COUNTIF(Q:Q,A27)</f>
        <v>2</v>
      </c>
      <c r="F27" s="60">
        <f t="shared" si="1"/>
        <v>3.7499999999999999E-3</v>
      </c>
      <c r="G27">
        <f t="shared" si="7"/>
        <v>209790</v>
      </c>
      <c r="H27">
        <f t="shared" si="2"/>
        <v>104895</v>
      </c>
      <c r="I27">
        <f t="shared" si="4"/>
        <v>0</v>
      </c>
      <c r="J27">
        <f t="shared" si="3"/>
        <v>1</v>
      </c>
      <c r="L27" s="47"/>
      <c r="M27" s="53"/>
      <c r="N27" s="47"/>
      <c r="O27" s="53"/>
      <c r="P27" s="53"/>
      <c r="Q27" s="53"/>
    </row>
    <row r="28" spans="1:17">
      <c r="A28" s="55" t="s">
        <v>76</v>
      </c>
      <c r="B28" s="56">
        <f>SUM(B17:B27)</f>
        <v>1</v>
      </c>
      <c r="C28" s="57">
        <f>SUM(C17:C26)</f>
        <v>0</v>
      </c>
      <c r="D28" s="59">
        <f t="shared" si="0"/>
        <v>1</v>
      </c>
      <c r="L28" s="47"/>
      <c r="M28" s="53"/>
      <c r="N28" s="47"/>
      <c r="O28" s="53"/>
      <c r="P28" s="53"/>
      <c r="Q28" s="53"/>
    </row>
    <row r="35" spans="1:6">
      <c r="A35" t="s">
        <v>91</v>
      </c>
    </row>
    <row r="36" spans="1:6">
      <c r="A36" s="34">
        <f>14*54*74*250*2</f>
        <v>27972000</v>
      </c>
    </row>
    <row r="38" spans="1:6">
      <c r="A38" s="64" t="s">
        <v>95</v>
      </c>
    </row>
    <row r="39" spans="1:6">
      <c r="A39" s="47" t="s">
        <v>77</v>
      </c>
      <c r="B39" t="s">
        <v>92</v>
      </c>
      <c r="C39" t="s">
        <v>120</v>
      </c>
      <c r="E39" t="s">
        <v>121</v>
      </c>
    </row>
    <row r="40" spans="1:6">
      <c r="A40" s="47" t="s">
        <v>143</v>
      </c>
      <c r="B40">
        <f ca="1">SUMIF(tables_314010!B:B,input_314010!A40,tables_314010!M:M)</f>
        <v>13986000</v>
      </c>
      <c r="C40" s="72">
        <f ca="1">B40/B$51</f>
        <v>0.5</v>
      </c>
      <c r="E40">
        <v>3</v>
      </c>
      <c r="F40" s="73">
        <f ca="1">C40</f>
        <v>0.5</v>
      </c>
    </row>
    <row r="41" spans="1:6">
      <c r="A41" s="47" t="s">
        <v>144</v>
      </c>
      <c r="B41">
        <f ca="1">SUMIF(tables_314010!B:B,input_314010!A41,tables_314010!M:M)</f>
        <v>11328660</v>
      </c>
      <c r="C41" s="72">
        <f t="shared" ref="C41:C50" ca="1" si="8">B41/B$51</f>
        <v>0.40500000000000003</v>
      </c>
      <c r="E41">
        <v>4</v>
      </c>
      <c r="F41" s="73">
        <f ca="1">SUM(C41:C45)</f>
        <v>0.45000000000000007</v>
      </c>
    </row>
    <row r="42" spans="1:6">
      <c r="A42" s="47" t="s">
        <v>127</v>
      </c>
      <c r="B42">
        <f ca="1">SUMIF(tables_314010!B:B,input_314010!A42,tables_314010!M:M)</f>
        <v>503496</v>
      </c>
      <c r="C42" s="72">
        <f t="shared" ca="1" si="8"/>
        <v>1.7999999999999999E-2</v>
      </c>
      <c r="E42">
        <v>5</v>
      </c>
      <c r="F42" s="73">
        <f ca="1">SUM(C46:C50)</f>
        <v>5.000000000000001E-2</v>
      </c>
    </row>
    <row r="43" spans="1:6">
      <c r="A43" s="47" t="s">
        <v>129</v>
      </c>
      <c r="B43">
        <f ca="1">SUMIF(tables_314010!B:B,input_314010!A43,tables_314010!M:M)</f>
        <v>755244</v>
      </c>
      <c r="C43" s="72">
        <f t="shared" ca="1" si="8"/>
        <v>2.7E-2</v>
      </c>
      <c r="F43" s="73"/>
    </row>
    <row r="44" spans="1:6">
      <c r="A44" s="47" t="s">
        <v>131</v>
      </c>
      <c r="B44">
        <f>SUMIF(tables_314010!B:B,input_314010!A44,tables_314010!M:M)</f>
        <v>0</v>
      </c>
      <c r="C44" s="72">
        <f t="shared" ca="1" si="8"/>
        <v>0</v>
      </c>
    </row>
    <row r="45" spans="1:6">
      <c r="A45" s="47" t="s">
        <v>133</v>
      </c>
      <c r="B45">
        <f>SUMIF(tables_314010!B:B,input_314010!A45,tables_314010!M:M)</f>
        <v>0</v>
      </c>
      <c r="C45" s="72">
        <f t="shared" ca="1" si="8"/>
        <v>0</v>
      </c>
    </row>
    <row r="46" spans="1:6">
      <c r="A46" s="47" t="s">
        <v>145</v>
      </c>
      <c r="B46">
        <f ca="1">SUMIF(tables_314010!B:B,input_314010!A46,tables_314010!M:M)</f>
        <v>979020</v>
      </c>
      <c r="C46" s="72">
        <f t="shared" ca="1" si="8"/>
        <v>3.5000000000000003E-2</v>
      </c>
      <c r="E46" t="s">
        <v>122</v>
      </c>
    </row>
    <row r="47" spans="1:6">
      <c r="A47" s="47" t="s">
        <v>135</v>
      </c>
      <c r="B47">
        <f ca="1">SUMIF(tables_314010!B:B,input_314010!A47,tables_314010!M:M)</f>
        <v>55944</v>
      </c>
      <c r="C47" s="72">
        <f ca="1">B47/B$51</f>
        <v>2E-3</v>
      </c>
      <c r="E47" t="s">
        <v>123</v>
      </c>
      <c r="F47" s="73">
        <f ca="1">C40+C41+C46</f>
        <v>0.94000000000000006</v>
      </c>
    </row>
    <row r="48" spans="1:6">
      <c r="A48" s="47" t="s">
        <v>137</v>
      </c>
      <c r="B48">
        <f ca="1">SUMIF(tables_314010!B:B,input_314010!A48,tables_314010!M:M)</f>
        <v>83916</v>
      </c>
      <c r="C48" s="72">
        <f t="shared" ca="1" si="8"/>
        <v>3.0000000000000001E-3</v>
      </c>
      <c r="F48" s="73"/>
    </row>
    <row r="49" spans="1:6">
      <c r="A49" s="47" t="s">
        <v>139</v>
      </c>
      <c r="B49">
        <f ca="1">SUMIF(tables_314010!B:B,input_314010!A49,tables_314010!M:M)</f>
        <v>69930</v>
      </c>
      <c r="C49" s="72">
        <f t="shared" ca="1" si="8"/>
        <v>2.5000000000000001E-3</v>
      </c>
      <c r="F49" s="73"/>
    </row>
    <row r="50" spans="1:6">
      <c r="A50" s="47" t="s">
        <v>141</v>
      </c>
      <c r="B50">
        <f ca="1">SUMIF(tables_314010!B:B,input_314010!A50,tables_314010!M:M)</f>
        <v>209790</v>
      </c>
      <c r="C50" s="72">
        <f t="shared" ca="1" si="8"/>
        <v>7.4999999999999997E-3</v>
      </c>
      <c r="E50" t="s">
        <v>124</v>
      </c>
      <c r="F50" s="73">
        <f ca="1">C42+C43+C47+C48</f>
        <v>0.05</v>
      </c>
    </row>
    <row r="51" spans="1:6">
      <c r="A51" s="55" t="s">
        <v>76</v>
      </c>
      <c r="B51">
        <f ca="1">SUM(B40:B50)</f>
        <v>27972000</v>
      </c>
      <c r="E51" t="s">
        <v>125</v>
      </c>
      <c r="F51" s="73">
        <f ca="1">C44+C45+C49+C50</f>
        <v>0.01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2" enableFormatConditionsCalculation="0">
    <tabColor rgb="FF0000FF"/>
    <outlinePr summaryBelow="0" summaryRight="0"/>
  </sheetPr>
  <dimension ref="A1:T259"/>
  <sheetViews>
    <sheetView showGridLines="0" zoomScale="75" zoomScaleNormal="75" zoomScalePageLayoutView="75" workbookViewId="0">
      <pane ySplit="1" topLeftCell="A231" activePane="bottomLeft" state="frozen"/>
      <selection activeCell="A3" sqref="A3"/>
      <selection pane="bottomLeft" activeCell="E250" sqref="E250:E259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103</v>
      </c>
      <c r="B1" s="3" t="s">
        <v>32</v>
      </c>
      <c r="C1" s="3" t="s">
        <v>115</v>
      </c>
      <c r="D1" s="3" t="s">
        <v>126</v>
      </c>
      <c r="E1" s="16" t="s">
        <v>33</v>
      </c>
      <c r="F1" s="3" t="s">
        <v>34</v>
      </c>
      <c r="G1" s="3" t="s">
        <v>35</v>
      </c>
      <c r="H1" s="3" t="s">
        <v>36</v>
      </c>
      <c r="I1" s="3" t="s">
        <v>55</v>
      </c>
      <c r="J1" s="3" t="s">
        <v>37</v>
      </c>
      <c r="K1" s="3" t="s">
        <v>38</v>
      </c>
      <c r="L1" s="3" t="s">
        <v>75</v>
      </c>
      <c r="M1" s="16" t="s">
        <v>40</v>
      </c>
      <c r="N1" s="3" t="s">
        <v>94</v>
      </c>
      <c r="O1" s="16" t="s">
        <v>39</v>
      </c>
      <c r="P1" s="30" t="s">
        <v>6</v>
      </c>
      <c r="Q1" s="30" t="s">
        <v>7</v>
      </c>
      <c r="R1" s="30" t="s">
        <v>8</v>
      </c>
      <c r="S1" s="30" t="s">
        <v>9</v>
      </c>
      <c r="T1" s="30" t="s">
        <v>10</v>
      </c>
    </row>
    <row r="2" spans="1:20" ht="21" customHeight="1">
      <c r="A2" s="2" t="str">
        <f ca="1">input_314010!A$2</f>
        <v>314010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 t="str">
        <f>IF(I2="red","ry",IF(I2="yellow","ry","bg"))</f>
        <v>ry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IFERROR(VLOOKUP(E2,input_314010!L:R,7,FALSE),VLOOKUP(tables_314010!B2,input_314010!A:H,8,FALSE))</f>
        <v>189000</v>
      </c>
      <c r="N2" s="63">
        <f ca="1">M2/SUM(M:M)</f>
        <v>6.7567567567567571E-3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input_314010!A$2</f>
        <v>314010</v>
      </c>
      <c r="B3" s="7" t="str">
        <f t="shared" ref="B3:B66" si="0">C3&amp;IF(C3="premium",,D3)&amp;H3</f>
        <v>Premium4</v>
      </c>
      <c r="C3" s="7" t="str">
        <f t="shared" ref="C3:C66" si="1">IF(G3="PremiumSS",G3,IF(G3="PremiumSSS",G3,"Premium"))</f>
        <v>Premium</v>
      </c>
      <c r="D3" s="7" t="str">
        <f t="shared" ref="D3:D66" si="2">IF(I3="red","ry",IF(I3="yellow","ry","bg"))</f>
        <v>ry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IFERROR(VLOOKUP(E3,input_314010!L:R,7,FALSE),VLOOKUP(tables_314010!B3,input_314010!A:H,8,FALSE))</f>
        <v>153090</v>
      </c>
      <c r="N3" s="63">
        <f t="shared" ref="N3:N66" ca="1" si="3">M3/SUM(M:M)</f>
        <v>5.4729729729729726E-3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input_314010!A$2</f>
        <v>314010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>bg</v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IFERROR(VLOOKUP(E4,input_314010!L:R,7,FALSE),VLOOKUP(tables_314010!B4,input_314010!A:H,8,FALSE))</f>
        <v>189000</v>
      </c>
      <c r="N4" s="63">
        <f t="shared" ca="1" si="3"/>
        <v>6.7567567567567571E-3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input_314010!A$2</f>
        <v>314010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>bg</v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IFERROR(VLOOKUP(E5,input_314010!L:R,7,FALSE),VLOOKUP(tables_314010!B5,input_314010!A:H,8,FALSE))</f>
        <v>153090</v>
      </c>
      <c r="N5" s="63">
        <f t="shared" ca="1" si="3"/>
        <v>5.4729729729729726E-3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input_314010!A$2</f>
        <v>314010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>bg</v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IFERROR(VLOOKUP(E6,input_314010!L:R,7,FALSE),VLOOKUP(tables_314010!B6,input_314010!A:H,8,FALSE))</f>
        <v>189000</v>
      </c>
      <c r="N6" s="63">
        <f t="shared" ca="1" si="3"/>
        <v>6.7567567567567571E-3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input_314010!A$2</f>
        <v>314010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>bg</v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IFERROR(VLOOKUP(E7,input_314010!L:R,7,FALSE),VLOOKUP(tables_314010!B7,input_314010!A:H,8,FALSE))</f>
        <v>153090</v>
      </c>
      <c r="N7" s="63">
        <f t="shared" ca="1" si="3"/>
        <v>5.4729729729729726E-3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input_314010!A$2</f>
        <v>314010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>ry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IFERROR(VLOOKUP(E8,input_314010!L:R,7,FALSE),VLOOKUP(tables_314010!B8,input_314010!A:H,8,FALSE))</f>
        <v>189000</v>
      </c>
      <c r="N8" s="63">
        <f t="shared" ca="1" si="3"/>
        <v>6.7567567567567571E-3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input_314010!A$2</f>
        <v>314010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>ry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IFERROR(VLOOKUP(E9,input_314010!L:R,7,FALSE),VLOOKUP(tables_314010!B9,input_314010!A:H,8,FALSE))</f>
        <v>153090</v>
      </c>
      <c r="N9" s="63">
        <f t="shared" ca="1" si="3"/>
        <v>5.4729729729729726E-3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input_314010!A$2</f>
        <v>314010</v>
      </c>
      <c r="B10" s="7" t="str">
        <f t="shared" si="0"/>
        <v>Premium3</v>
      </c>
      <c r="C10" s="7" t="str">
        <f t="shared" si="1"/>
        <v>Premium</v>
      </c>
      <c r="D10" s="7" t="str">
        <f t="shared" si="2"/>
        <v>ry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IFERROR(VLOOKUP(E10,input_314010!L:R,7,FALSE),VLOOKUP(tables_314010!B10,input_314010!A:H,8,FALSE))</f>
        <v>189000</v>
      </c>
      <c r="N10" s="63">
        <f t="shared" ca="1" si="3"/>
        <v>6.7567567567567571E-3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input_314010!A$2</f>
        <v>314010</v>
      </c>
      <c r="B11" s="7" t="str">
        <f t="shared" si="0"/>
        <v>Premium4</v>
      </c>
      <c r="C11" s="7" t="str">
        <f t="shared" si="1"/>
        <v>Premium</v>
      </c>
      <c r="D11" s="7" t="str">
        <f t="shared" si="2"/>
        <v>ry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IFERROR(VLOOKUP(E11,input_314010!L:R,7,FALSE),VLOOKUP(tables_314010!B11,input_314010!A:H,8,FALSE))</f>
        <v>153090</v>
      </c>
      <c r="N11" s="63">
        <f t="shared" ca="1" si="3"/>
        <v>5.4729729729729726E-3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input_314010!A$2</f>
        <v>314010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>bg</v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IFERROR(VLOOKUP(E12,input_314010!L:R,7,FALSE),VLOOKUP(tables_314010!B12,input_314010!A:H,8,FALSE))</f>
        <v>189000</v>
      </c>
      <c r="N12" s="63">
        <f t="shared" ca="1" si="3"/>
        <v>6.7567567567567571E-3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input_314010!A$2</f>
        <v>314010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>bg</v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IFERROR(VLOOKUP(E13,input_314010!L:R,7,FALSE),VLOOKUP(tables_314010!B13,input_314010!A:H,8,FALSE))</f>
        <v>153090</v>
      </c>
      <c r="N13" s="63">
        <f t="shared" ca="1" si="3"/>
        <v>5.4729729729729726E-3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input_314010!A$2</f>
        <v>314010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>bg</v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IFERROR(VLOOKUP(E14,input_314010!L:R,7,FALSE),VLOOKUP(tables_314010!B14,input_314010!A:H,8,FALSE))</f>
        <v>189000</v>
      </c>
      <c r="N14" s="63">
        <f t="shared" ca="1" si="3"/>
        <v>6.7567567567567571E-3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input_314010!A$2</f>
        <v>314010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>bg</v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IFERROR(VLOOKUP(E15,input_314010!L:R,7,FALSE),VLOOKUP(tables_314010!B15,input_314010!A:H,8,FALSE))</f>
        <v>153090</v>
      </c>
      <c r="N15" s="63">
        <f t="shared" ca="1" si="3"/>
        <v>5.4729729729729726E-3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input_314010!A$2</f>
        <v>314010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>ry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IFERROR(VLOOKUP(E16,input_314010!L:R,7,FALSE),VLOOKUP(tables_314010!B16,input_314010!A:H,8,FALSE))</f>
        <v>189000</v>
      </c>
      <c r="N16" s="63">
        <f t="shared" ca="1" si="3"/>
        <v>6.7567567567567571E-3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input_314010!A$2</f>
        <v>314010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>ry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IFERROR(VLOOKUP(E17,input_314010!L:R,7,FALSE),VLOOKUP(tables_314010!B17,input_314010!A:H,8,FALSE))</f>
        <v>153090</v>
      </c>
      <c r="N17" s="63">
        <f t="shared" ca="1" si="3"/>
        <v>5.4729729729729726E-3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input_314010!A$2</f>
        <v>314010</v>
      </c>
      <c r="B18" s="7" t="str">
        <f t="shared" si="0"/>
        <v>Premium3</v>
      </c>
      <c r="C18" s="7" t="str">
        <f t="shared" si="1"/>
        <v>Premium</v>
      </c>
      <c r="D18" s="7" t="str">
        <f t="shared" si="2"/>
        <v>ry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IFERROR(VLOOKUP(E18,input_314010!L:R,7,FALSE),VLOOKUP(tables_314010!B18,input_314010!A:H,8,FALSE))</f>
        <v>189000</v>
      </c>
      <c r="N18" s="63">
        <f t="shared" ca="1" si="3"/>
        <v>6.7567567567567571E-3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input_314010!A$2</f>
        <v>314010</v>
      </c>
      <c r="B19" s="7" t="str">
        <f t="shared" si="0"/>
        <v>Premium4</v>
      </c>
      <c r="C19" s="7" t="str">
        <f t="shared" si="1"/>
        <v>Premium</v>
      </c>
      <c r="D19" s="7" t="str">
        <f t="shared" si="2"/>
        <v>ry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IFERROR(VLOOKUP(E19,input_314010!L:R,7,FALSE),VLOOKUP(tables_314010!B19,input_314010!A:H,8,FALSE))</f>
        <v>153090</v>
      </c>
      <c r="N19" s="63">
        <f t="shared" ca="1" si="3"/>
        <v>5.4729729729729726E-3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input_314010!A$2</f>
        <v>314010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>bg</v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IFERROR(VLOOKUP(E20,input_314010!L:R,7,FALSE),VLOOKUP(tables_314010!B20,input_314010!A:H,8,FALSE))</f>
        <v>189000</v>
      </c>
      <c r="N20" s="63">
        <f t="shared" ca="1" si="3"/>
        <v>6.7567567567567571E-3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input_314010!A$2</f>
        <v>314010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>bg</v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IFERROR(VLOOKUP(E21,input_314010!L:R,7,FALSE),VLOOKUP(tables_314010!B21,input_314010!A:H,8,FALSE))</f>
        <v>153090</v>
      </c>
      <c r="N21" s="63">
        <f t="shared" ca="1" si="3"/>
        <v>5.4729729729729726E-3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input_314010!A$2</f>
        <v>314010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>bg</v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IFERROR(VLOOKUP(E22,input_314010!L:R,7,FALSE),VLOOKUP(tables_314010!B22,input_314010!A:H,8,FALSE))</f>
        <v>189000</v>
      </c>
      <c r="N22" s="63">
        <f t="shared" ca="1" si="3"/>
        <v>6.7567567567567571E-3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input_314010!A$2</f>
        <v>314010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>bg</v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IFERROR(VLOOKUP(E23,input_314010!L:R,7,FALSE),VLOOKUP(tables_314010!B23,input_314010!A:H,8,FALSE))</f>
        <v>153090</v>
      </c>
      <c r="N23" s="63">
        <f t="shared" ca="1" si="3"/>
        <v>5.4729729729729726E-3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input_314010!A$2</f>
        <v>314010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>ry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IFERROR(VLOOKUP(E24,input_314010!L:R,7,FALSE),VLOOKUP(tables_314010!B24,input_314010!A:H,8,FALSE))</f>
        <v>189000</v>
      </c>
      <c r="N24" s="63">
        <f t="shared" ca="1" si="3"/>
        <v>6.7567567567567571E-3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input_314010!A$2</f>
        <v>314010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>ry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IFERROR(VLOOKUP(E25,input_314010!L:R,7,FALSE),VLOOKUP(tables_314010!B25,input_314010!A:H,8,FALSE))</f>
        <v>153090</v>
      </c>
      <c r="N25" s="63">
        <f t="shared" ca="1" si="3"/>
        <v>5.4729729729729726E-3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input_314010!A$2</f>
        <v>314010</v>
      </c>
      <c r="B26" s="7" t="str">
        <f t="shared" si="0"/>
        <v>Premium3</v>
      </c>
      <c r="C26" s="7" t="str">
        <f t="shared" si="1"/>
        <v>Premium</v>
      </c>
      <c r="D26" s="7" t="str">
        <f t="shared" si="2"/>
        <v>ry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IFERROR(VLOOKUP(E26,input_314010!L:R,7,FALSE),VLOOKUP(tables_314010!B26,input_314010!A:H,8,FALSE))</f>
        <v>189000</v>
      </c>
      <c r="N26" s="63">
        <f t="shared" ca="1" si="3"/>
        <v>6.7567567567567571E-3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input_314010!A$2</f>
        <v>314010</v>
      </c>
      <c r="B27" s="7" t="str">
        <f t="shared" si="0"/>
        <v>Premium4</v>
      </c>
      <c r="C27" s="7" t="str">
        <f t="shared" si="1"/>
        <v>Premium</v>
      </c>
      <c r="D27" s="7" t="str">
        <f t="shared" si="2"/>
        <v>ry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IFERROR(VLOOKUP(E27,input_314010!L:R,7,FALSE),VLOOKUP(tables_314010!B27,input_314010!A:H,8,FALSE))</f>
        <v>153090</v>
      </c>
      <c r="N27" s="63">
        <f t="shared" ca="1" si="3"/>
        <v>5.4729729729729726E-3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input_314010!A$2</f>
        <v>314010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>bg</v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IFERROR(VLOOKUP(E28,input_314010!L:R,7,FALSE),VLOOKUP(tables_314010!B28,input_314010!A:H,8,FALSE))</f>
        <v>189000</v>
      </c>
      <c r="N28" s="63">
        <f t="shared" ca="1" si="3"/>
        <v>6.7567567567567571E-3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input_314010!A$2</f>
        <v>314010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>bg</v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IFERROR(VLOOKUP(E29,input_314010!L:R,7,FALSE),VLOOKUP(tables_314010!B29,input_314010!A:H,8,FALSE))</f>
        <v>153090</v>
      </c>
      <c r="N29" s="63">
        <f t="shared" ca="1" si="3"/>
        <v>5.4729729729729726E-3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input_314010!A$2</f>
        <v>314010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>bg</v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IFERROR(VLOOKUP(E30,input_314010!L:R,7,FALSE),VLOOKUP(tables_314010!B30,input_314010!A:H,8,FALSE))</f>
        <v>189000</v>
      </c>
      <c r="N30" s="63">
        <f t="shared" ca="1" si="3"/>
        <v>6.7567567567567571E-3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input_314010!A$2</f>
        <v>314010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>bg</v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IFERROR(VLOOKUP(E31,input_314010!L:R,7,FALSE),VLOOKUP(tables_314010!B31,input_314010!A:H,8,FALSE))</f>
        <v>153090</v>
      </c>
      <c r="N31" s="63">
        <f t="shared" ca="1" si="3"/>
        <v>5.4729729729729726E-3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input_314010!A$2</f>
        <v>314010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>ry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IFERROR(VLOOKUP(E32,input_314010!L:R,7,FALSE),VLOOKUP(tables_314010!B32,input_314010!A:H,8,FALSE))</f>
        <v>189000</v>
      </c>
      <c r="N32" s="63">
        <f t="shared" ca="1" si="3"/>
        <v>6.7567567567567571E-3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input_314010!A$2</f>
        <v>314010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>ry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IFERROR(VLOOKUP(E33,input_314010!L:R,7,FALSE),VLOOKUP(tables_314010!B33,input_314010!A:H,8,FALSE))</f>
        <v>153090</v>
      </c>
      <c r="N33" s="63">
        <f t="shared" ca="1" si="3"/>
        <v>5.4729729729729726E-3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input_314010!A$2</f>
        <v>314010</v>
      </c>
      <c r="B34" s="7" t="str">
        <f t="shared" si="0"/>
        <v>Premium3</v>
      </c>
      <c r="C34" s="7" t="str">
        <f t="shared" si="1"/>
        <v>Premium</v>
      </c>
      <c r="D34" s="7" t="str">
        <f t="shared" si="2"/>
        <v>ry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IFERROR(VLOOKUP(E34,input_314010!L:R,7,FALSE),VLOOKUP(tables_314010!B34,input_314010!A:H,8,FALSE))</f>
        <v>189000</v>
      </c>
      <c r="N34" s="63">
        <f t="shared" ca="1" si="3"/>
        <v>6.7567567567567571E-3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input_314010!A$2</f>
        <v>314010</v>
      </c>
      <c r="B35" s="7" t="str">
        <f t="shared" si="0"/>
        <v>Premium4</v>
      </c>
      <c r="C35" s="7" t="str">
        <f t="shared" si="1"/>
        <v>Premium</v>
      </c>
      <c r="D35" s="7" t="str">
        <f t="shared" si="2"/>
        <v>ry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IFERROR(VLOOKUP(E35,input_314010!L:R,7,FALSE),VLOOKUP(tables_314010!B35,input_314010!A:H,8,FALSE))</f>
        <v>153090</v>
      </c>
      <c r="N35" s="63">
        <f t="shared" ca="1" si="3"/>
        <v>5.4729729729729726E-3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input_314010!A$2</f>
        <v>314010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>bg</v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IFERROR(VLOOKUP(E36,input_314010!L:R,7,FALSE),VLOOKUP(tables_314010!B36,input_314010!A:H,8,FALSE))</f>
        <v>189000</v>
      </c>
      <c r="N36" s="63">
        <f t="shared" ca="1" si="3"/>
        <v>6.7567567567567571E-3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input_314010!A$2</f>
        <v>314010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>bg</v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IFERROR(VLOOKUP(E37,input_314010!L:R,7,FALSE),VLOOKUP(tables_314010!B37,input_314010!A:H,8,FALSE))</f>
        <v>153090</v>
      </c>
      <c r="N37" s="63">
        <f t="shared" ca="1" si="3"/>
        <v>5.4729729729729726E-3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input_314010!A$2</f>
        <v>314010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>bg</v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IFERROR(VLOOKUP(E38,input_314010!L:R,7,FALSE),VLOOKUP(tables_314010!B38,input_314010!A:H,8,FALSE))</f>
        <v>189000</v>
      </c>
      <c r="N38" s="63">
        <f t="shared" ca="1" si="3"/>
        <v>6.7567567567567571E-3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input_314010!A$2</f>
        <v>314010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>bg</v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IFERROR(VLOOKUP(E39,input_314010!L:R,7,FALSE),VLOOKUP(tables_314010!B39,input_314010!A:H,8,FALSE))</f>
        <v>153090</v>
      </c>
      <c r="N39" s="63">
        <f t="shared" ca="1" si="3"/>
        <v>5.4729729729729726E-3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input_314010!A$2</f>
        <v>314010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>ry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IFERROR(VLOOKUP(E40,input_314010!L:R,7,FALSE),VLOOKUP(tables_314010!B40,input_314010!A:H,8,FALSE))</f>
        <v>189000</v>
      </c>
      <c r="N40" s="63">
        <f t="shared" ca="1" si="3"/>
        <v>6.7567567567567571E-3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input_314010!A$2</f>
        <v>314010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>ry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IFERROR(VLOOKUP(E41,input_314010!L:R,7,FALSE),VLOOKUP(tables_314010!B41,input_314010!A:H,8,FALSE))</f>
        <v>153090</v>
      </c>
      <c r="N41" s="63">
        <f t="shared" ca="1" si="3"/>
        <v>5.4729729729729726E-3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input_314010!A$2</f>
        <v>314010</v>
      </c>
      <c r="B42" s="7" t="str">
        <f t="shared" si="0"/>
        <v>Premium3</v>
      </c>
      <c r="C42" s="7" t="str">
        <f t="shared" si="1"/>
        <v>Premium</v>
      </c>
      <c r="D42" s="7" t="str">
        <f t="shared" si="2"/>
        <v>ry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IFERROR(VLOOKUP(E42,input_314010!L:R,7,FALSE),VLOOKUP(tables_314010!B42,input_314010!A:H,8,FALSE))</f>
        <v>189000</v>
      </c>
      <c r="N42" s="63">
        <f t="shared" ca="1" si="3"/>
        <v>6.7567567567567571E-3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input_314010!A$2</f>
        <v>314010</v>
      </c>
      <c r="B43" s="7" t="str">
        <f t="shared" si="0"/>
        <v>Premium4</v>
      </c>
      <c r="C43" s="7" t="str">
        <f t="shared" si="1"/>
        <v>Premium</v>
      </c>
      <c r="D43" s="7" t="str">
        <f t="shared" si="2"/>
        <v>ry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IFERROR(VLOOKUP(E43,input_314010!L:R,7,FALSE),VLOOKUP(tables_314010!B43,input_314010!A:H,8,FALSE))</f>
        <v>153090</v>
      </c>
      <c r="N43" s="63">
        <f t="shared" ca="1" si="3"/>
        <v>5.4729729729729726E-3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input_314010!A$2</f>
        <v>314010</v>
      </c>
      <c r="B44" s="7" t="str">
        <f t="shared" si="0"/>
        <v>Premium5</v>
      </c>
      <c r="C44" s="7" t="str">
        <f t="shared" si="1"/>
        <v>Premium</v>
      </c>
      <c r="D44" s="7" t="str">
        <f t="shared" si="2"/>
        <v>ry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IFERROR(VLOOKUP(E44,input_314010!L:R,7,FALSE),VLOOKUP(tables_314010!B44,input_314010!A:H,8,FALSE))</f>
        <v>18130</v>
      </c>
      <c r="N44" s="63">
        <f t="shared" ca="1" si="3"/>
        <v>6.4814814814814813E-4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input_314010!A$2</f>
        <v>314010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>bg</v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IFERROR(VLOOKUP(E45,input_314010!L:R,7,FALSE),VLOOKUP(tables_314010!B45,input_314010!A:H,8,FALSE))</f>
        <v>189000</v>
      </c>
      <c r="N45" s="63">
        <f t="shared" ca="1" si="3"/>
        <v>6.7567567567567571E-3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input_314010!A$2</f>
        <v>314010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>bg</v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IFERROR(VLOOKUP(E46,input_314010!L:R,7,FALSE),VLOOKUP(tables_314010!B46,input_314010!A:H,8,FALSE))</f>
        <v>153090</v>
      </c>
      <c r="N46" s="63">
        <f t="shared" ca="1" si="3"/>
        <v>5.4729729729729726E-3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input_314010!A$2</f>
        <v>314010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>bg</v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IFERROR(VLOOKUP(E47,input_314010!L:R,7,FALSE),VLOOKUP(tables_314010!B47,input_314010!A:H,8,FALSE))</f>
        <v>18130</v>
      </c>
      <c r="N47" s="63">
        <f t="shared" ca="1" si="3"/>
        <v>6.4814814814814813E-4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input_314010!A$2</f>
        <v>314010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>bg</v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IFERROR(VLOOKUP(E48,input_314010!L:R,7,FALSE),VLOOKUP(tables_314010!B48,input_314010!A:H,8,FALSE))</f>
        <v>189000</v>
      </c>
      <c r="N48" s="63">
        <f t="shared" ca="1" si="3"/>
        <v>6.7567567567567571E-3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input_314010!A$2</f>
        <v>314010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>bg</v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IFERROR(VLOOKUP(E49,input_314010!L:R,7,FALSE),VLOOKUP(tables_314010!B49,input_314010!A:H,8,FALSE))</f>
        <v>153090</v>
      </c>
      <c r="N49" s="63">
        <f t="shared" ca="1" si="3"/>
        <v>5.4729729729729726E-3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input_314010!A$2</f>
        <v>314010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>bg</v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IFERROR(VLOOKUP(E50,input_314010!L:R,7,FALSE),VLOOKUP(tables_314010!B50,input_314010!A:H,8,FALSE))</f>
        <v>18130</v>
      </c>
      <c r="N50" s="63">
        <f t="shared" ca="1" si="3"/>
        <v>6.4814814814814813E-4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input_314010!A$2</f>
        <v>314010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>ry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IFERROR(VLOOKUP(E51,input_314010!L:R,7,FALSE),VLOOKUP(tables_314010!B51,input_314010!A:H,8,FALSE))</f>
        <v>189000</v>
      </c>
      <c r="N51" s="63">
        <f t="shared" ca="1" si="3"/>
        <v>6.7567567567567571E-3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input_314010!A$2</f>
        <v>314010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>ry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IFERROR(VLOOKUP(E52,input_314010!L:R,7,FALSE),VLOOKUP(tables_314010!B52,input_314010!A:H,8,FALSE))</f>
        <v>153090</v>
      </c>
      <c r="N52" s="63">
        <f t="shared" ca="1" si="3"/>
        <v>5.4729729729729726E-3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input_314010!A$2</f>
        <v>314010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>ry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IFERROR(VLOOKUP(E53,input_314010!L:R,7,FALSE),VLOOKUP(tables_314010!B53,input_314010!A:H,8,FALSE))</f>
        <v>18130</v>
      </c>
      <c r="N53" s="63">
        <f t="shared" ca="1" si="3"/>
        <v>6.4814814814814813E-4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input_314010!A$2</f>
        <v>314010</v>
      </c>
      <c r="B54" s="7" t="str">
        <f t="shared" si="0"/>
        <v>Premium3</v>
      </c>
      <c r="C54" s="7" t="str">
        <f t="shared" si="1"/>
        <v>Premium</v>
      </c>
      <c r="D54" s="7" t="str">
        <f t="shared" si="2"/>
        <v>ry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IFERROR(VLOOKUP(E54,input_314010!L:R,7,FALSE),VLOOKUP(tables_314010!B54,input_314010!A:H,8,FALSE))</f>
        <v>189000</v>
      </c>
      <c r="N54" s="63">
        <f t="shared" ca="1" si="3"/>
        <v>6.7567567567567571E-3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input_314010!A$2</f>
        <v>314010</v>
      </c>
      <c r="B55" s="7" t="str">
        <f t="shared" si="0"/>
        <v>Premium4</v>
      </c>
      <c r="C55" s="7" t="str">
        <f t="shared" si="1"/>
        <v>Premium</v>
      </c>
      <c r="D55" s="7" t="str">
        <f t="shared" si="2"/>
        <v>ry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IFERROR(VLOOKUP(E55,input_314010!L:R,7,FALSE),VLOOKUP(tables_314010!B55,input_314010!A:H,8,FALSE))</f>
        <v>153090</v>
      </c>
      <c r="N55" s="63">
        <f t="shared" ca="1" si="3"/>
        <v>5.4729729729729726E-3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input_314010!A$2</f>
        <v>314010</v>
      </c>
      <c r="B56" s="7" t="str">
        <f t="shared" si="0"/>
        <v>Premium5</v>
      </c>
      <c r="C56" s="7" t="str">
        <f t="shared" si="1"/>
        <v>Premium</v>
      </c>
      <c r="D56" s="7" t="str">
        <f t="shared" si="2"/>
        <v>ry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IFERROR(VLOOKUP(E56,input_314010!L:R,7,FALSE),VLOOKUP(tables_314010!B56,input_314010!A:H,8,FALSE))</f>
        <v>18130</v>
      </c>
      <c r="N56" s="63">
        <f t="shared" ca="1" si="3"/>
        <v>6.4814814814814813E-4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input_314010!A$2</f>
        <v>314010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>bg</v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IFERROR(VLOOKUP(E57,input_314010!L:R,7,FALSE),VLOOKUP(tables_314010!B57,input_314010!A:H,8,FALSE))</f>
        <v>189000</v>
      </c>
      <c r="N57" s="63">
        <f t="shared" ca="1" si="3"/>
        <v>6.7567567567567571E-3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input_314010!A$2</f>
        <v>314010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>bg</v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IFERROR(VLOOKUP(E58,input_314010!L:R,7,FALSE),VLOOKUP(tables_314010!B58,input_314010!A:H,8,FALSE))</f>
        <v>153090</v>
      </c>
      <c r="N58" s="63">
        <f t="shared" ca="1" si="3"/>
        <v>5.4729729729729726E-3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input_314010!A$2</f>
        <v>314010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>bg</v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IFERROR(VLOOKUP(E59,input_314010!L:R,7,FALSE),VLOOKUP(tables_314010!B59,input_314010!A:H,8,FALSE))</f>
        <v>18130</v>
      </c>
      <c r="N59" s="63">
        <f t="shared" ca="1" si="3"/>
        <v>6.4814814814814813E-4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input_314010!A$2</f>
        <v>314010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>bg</v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IFERROR(VLOOKUP(E60,input_314010!L:R,7,FALSE),VLOOKUP(tables_314010!B60,input_314010!A:H,8,FALSE))</f>
        <v>189000</v>
      </c>
      <c r="N60" s="63">
        <f t="shared" ca="1" si="3"/>
        <v>6.7567567567567571E-3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input_314010!A$2</f>
        <v>314010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>bg</v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IFERROR(VLOOKUP(E61,input_314010!L:R,7,FALSE),VLOOKUP(tables_314010!B61,input_314010!A:H,8,FALSE))</f>
        <v>153090</v>
      </c>
      <c r="N61" s="63">
        <f t="shared" ca="1" si="3"/>
        <v>5.4729729729729726E-3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input_314010!A$2</f>
        <v>314010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>bg</v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IFERROR(VLOOKUP(E62,input_314010!L:R,7,FALSE),VLOOKUP(tables_314010!B62,input_314010!A:H,8,FALSE))</f>
        <v>18130</v>
      </c>
      <c r="N62" s="63">
        <f t="shared" ca="1" si="3"/>
        <v>6.4814814814814813E-4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input_314010!A$2</f>
        <v>314010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>ry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IFERROR(VLOOKUP(E63,input_314010!L:R,7,FALSE),VLOOKUP(tables_314010!B63,input_314010!A:H,8,FALSE))</f>
        <v>189000</v>
      </c>
      <c r="N63" s="63">
        <f t="shared" ca="1" si="3"/>
        <v>6.7567567567567571E-3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input_314010!A$2</f>
        <v>314010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>ry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IFERROR(VLOOKUP(E64,input_314010!L:R,7,FALSE),VLOOKUP(tables_314010!B64,input_314010!A:H,8,FALSE))</f>
        <v>153090</v>
      </c>
      <c r="N64" s="63">
        <f t="shared" ca="1" si="3"/>
        <v>5.4729729729729726E-3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input_314010!A$2</f>
        <v>314010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>ry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IFERROR(VLOOKUP(E65,input_314010!L:R,7,FALSE),VLOOKUP(tables_314010!B65,input_314010!A:H,8,FALSE))</f>
        <v>18130</v>
      </c>
      <c r="N65" s="63">
        <f t="shared" ca="1" si="3"/>
        <v>6.4814814814814813E-4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input_314010!A$2</f>
        <v>314010</v>
      </c>
      <c r="B66" s="7" t="str">
        <f t="shared" si="0"/>
        <v>Premium3</v>
      </c>
      <c r="C66" s="7" t="str">
        <f t="shared" si="1"/>
        <v>Premium</v>
      </c>
      <c r="D66" s="7" t="str">
        <f t="shared" si="2"/>
        <v>ry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IFERROR(VLOOKUP(E66,input_314010!L:R,7,FALSE),VLOOKUP(tables_314010!B66,input_314010!A:H,8,FALSE))</f>
        <v>189000</v>
      </c>
      <c r="N66" s="63">
        <f t="shared" ca="1" si="3"/>
        <v>6.7567567567567571E-3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input_314010!A$2</f>
        <v>314010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 t="str">
        <f t="shared" ref="D67:D130" si="6">IF(I67="red","ry",IF(I67="yellow","ry","bg"))</f>
        <v>ry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IFERROR(VLOOKUP(E67,input_314010!L:R,7,FALSE),VLOOKUP(tables_314010!B67,input_314010!A:H,8,FALSE))</f>
        <v>153090</v>
      </c>
      <c r="N67" s="63">
        <f t="shared" ref="N67:N130" ca="1" si="7">M67/SUM(M:M)</f>
        <v>5.4729729729729726E-3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input_314010!A$2</f>
        <v>314010</v>
      </c>
      <c r="B68" s="7" t="str">
        <f t="shared" si="4"/>
        <v>Premium5</v>
      </c>
      <c r="C68" s="7" t="str">
        <f t="shared" si="5"/>
        <v>Premium</v>
      </c>
      <c r="D68" s="7" t="str">
        <f t="shared" si="6"/>
        <v>ry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IFERROR(VLOOKUP(E68,input_314010!L:R,7,FALSE),VLOOKUP(tables_314010!B68,input_314010!A:H,8,FALSE))</f>
        <v>18130</v>
      </c>
      <c r="N68" s="63">
        <f t="shared" ca="1" si="7"/>
        <v>6.4814814814814813E-4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input_314010!A$2</f>
        <v>314010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>bg</v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IFERROR(VLOOKUP(E69,input_314010!L:R,7,FALSE),VLOOKUP(tables_314010!B69,input_314010!A:H,8,FALSE))</f>
        <v>189000</v>
      </c>
      <c r="N69" s="63">
        <f t="shared" ca="1" si="7"/>
        <v>6.7567567567567571E-3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input_314010!A$2</f>
        <v>314010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>bg</v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IFERROR(VLOOKUP(E70,input_314010!L:R,7,FALSE),VLOOKUP(tables_314010!B70,input_314010!A:H,8,FALSE))</f>
        <v>153090</v>
      </c>
      <c r="N70" s="63">
        <f t="shared" ca="1" si="7"/>
        <v>5.4729729729729726E-3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input_314010!A$2</f>
        <v>314010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>bg</v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IFERROR(VLOOKUP(E71,input_314010!L:R,7,FALSE),VLOOKUP(tables_314010!B71,input_314010!A:H,8,FALSE))</f>
        <v>18130</v>
      </c>
      <c r="N71" s="63">
        <f t="shared" ca="1" si="7"/>
        <v>6.4814814814814813E-4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input_314010!A$2</f>
        <v>314010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>ry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IFERROR(VLOOKUP(E72,input_314010!L:R,7,FALSE),VLOOKUP(tables_314010!B72,input_314010!A:H,8,FALSE))</f>
        <v>189000</v>
      </c>
      <c r="N72" s="63">
        <f t="shared" ca="1" si="7"/>
        <v>6.7567567567567571E-3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input_314010!A$2</f>
        <v>314010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>ry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IFERROR(VLOOKUP(E73,input_314010!L:R,7,FALSE),VLOOKUP(tables_314010!B73,input_314010!A:H,8,FALSE))</f>
        <v>153090</v>
      </c>
      <c r="N73" s="63">
        <f t="shared" ca="1" si="7"/>
        <v>5.4729729729729726E-3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input_314010!A$2</f>
        <v>314010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>ry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IFERROR(VLOOKUP(E74,input_314010!L:R,7,FALSE),VLOOKUP(tables_314010!B74,input_314010!A:H,8,FALSE))</f>
        <v>18130</v>
      </c>
      <c r="N74" s="63">
        <f t="shared" ca="1" si="7"/>
        <v>6.4814814814814813E-4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input_314010!A$2</f>
        <v>314010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>bg</v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IFERROR(VLOOKUP(E75,input_314010!L:R,7,FALSE),VLOOKUP(tables_314010!B75,input_314010!A:H,8,FALSE))</f>
        <v>189000</v>
      </c>
      <c r="N75" s="63">
        <f t="shared" ca="1" si="7"/>
        <v>6.7567567567567571E-3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input_314010!A$2</f>
        <v>314010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>bg</v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IFERROR(VLOOKUP(E76,input_314010!L:R,7,FALSE),VLOOKUP(tables_314010!B76,input_314010!A:H,8,FALSE))</f>
        <v>153090</v>
      </c>
      <c r="N76" s="63">
        <f t="shared" ca="1" si="7"/>
        <v>5.4729729729729726E-3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input_314010!A$2</f>
        <v>314010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>bg</v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IFERROR(VLOOKUP(E77,input_314010!L:R,7,FALSE),VLOOKUP(tables_314010!B77,input_314010!A:H,8,FALSE))</f>
        <v>18130</v>
      </c>
      <c r="N77" s="63">
        <f t="shared" ca="1" si="7"/>
        <v>6.4814814814814813E-4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input_314010!A$2</f>
        <v>314010</v>
      </c>
      <c r="B78" s="7" t="str">
        <f t="shared" si="4"/>
        <v>Premium3</v>
      </c>
      <c r="C78" s="7" t="str">
        <f t="shared" si="5"/>
        <v>Premium</v>
      </c>
      <c r="D78" s="7" t="str">
        <f t="shared" si="6"/>
        <v>ry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IFERROR(VLOOKUP(E78,input_314010!L:R,7,FALSE),VLOOKUP(tables_314010!B78,input_314010!A:H,8,FALSE))</f>
        <v>189000</v>
      </c>
      <c r="N78" s="63">
        <f t="shared" ca="1" si="7"/>
        <v>6.7567567567567571E-3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input_314010!A$2</f>
        <v>314010</v>
      </c>
      <c r="B79" s="7" t="str">
        <f t="shared" si="4"/>
        <v>Premium4</v>
      </c>
      <c r="C79" s="7" t="str">
        <f t="shared" si="5"/>
        <v>Premium</v>
      </c>
      <c r="D79" s="7" t="str">
        <f t="shared" si="6"/>
        <v>ry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IFERROR(VLOOKUP(E79,input_314010!L:R,7,FALSE),VLOOKUP(tables_314010!B79,input_314010!A:H,8,FALSE))</f>
        <v>153090</v>
      </c>
      <c r="N79" s="63">
        <f t="shared" ca="1" si="7"/>
        <v>5.4729729729729726E-3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input_314010!A$2</f>
        <v>314010</v>
      </c>
      <c r="B80" s="7" t="str">
        <f t="shared" si="4"/>
        <v>Premium5</v>
      </c>
      <c r="C80" s="7" t="str">
        <f t="shared" si="5"/>
        <v>Premium</v>
      </c>
      <c r="D80" s="7" t="str">
        <f t="shared" si="6"/>
        <v>ry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IFERROR(VLOOKUP(E80,input_314010!L:R,7,FALSE),VLOOKUP(tables_314010!B80,input_314010!A:H,8,FALSE))</f>
        <v>18130</v>
      </c>
      <c r="N80" s="63">
        <f t="shared" ca="1" si="7"/>
        <v>6.4814814814814813E-4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input_314010!A$2</f>
        <v>314010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>bg</v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IFERROR(VLOOKUP(E81,input_314010!L:R,7,FALSE),VLOOKUP(tables_314010!B81,input_314010!A:H,8,FALSE))</f>
        <v>189000</v>
      </c>
      <c r="N81" s="63">
        <f t="shared" ca="1" si="7"/>
        <v>6.7567567567567571E-3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input_314010!A$2</f>
        <v>314010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>bg</v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IFERROR(VLOOKUP(E82,input_314010!L:R,7,FALSE),VLOOKUP(tables_314010!B82,input_314010!A:H,8,FALSE))</f>
        <v>153090</v>
      </c>
      <c r="N82" s="63">
        <f t="shared" ca="1" si="7"/>
        <v>5.4729729729729726E-3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input_314010!A$2</f>
        <v>314010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>bg</v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IFERROR(VLOOKUP(E83,input_314010!L:R,7,FALSE),VLOOKUP(tables_314010!B83,input_314010!A:H,8,FALSE))</f>
        <v>18130</v>
      </c>
      <c r="N83" s="63">
        <f t="shared" ca="1" si="7"/>
        <v>6.4814814814814813E-4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input_314010!A$2</f>
        <v>314010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>bg</v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IFERROR(VLOOKUP(E84,input_314010!L:R,7,FALSE),VLOOKUP(tables_314010!B84,input_314010!A:H,8,FALSE))</f>
        <v>189000</v>
      </c>
      <c r="N84" s="63">
        <f t="shared" ca="1" si="7"/>
        <v>6.7567567567567571E-3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input_314010!A$2</f>
        <v>314010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>bg</v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IFERROR(VLOOKUP(E85,input_314010!L:R,7,FALSE),VLOOKUP(tables_314010!B85,input_314010!A:H,8,FALSE))</f>
        <v>153090</v>
      </c>
      <c r="N85" s="63">
        <f t="shared" ca="1" si="7"/>
        <v>5.4729729729729726E-3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input_314010!A$2</f>
        <v>314010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>bg</v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IFERROR(VLOOKUP(E86,input_314010!L:R,7,FALSE),VLOOKUP(tables_314010!B86,input_314010!A:H,8,FALSE))</f>
        <v>18130</v>
      </c>
      <c r="N86" s="63">
        <f t="shared" ca="1" si="7"/>
        <v>6.4814814814814813E-4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input_314010!A$2</f>
        <v>314010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>ry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IFERROR(VLOOKUP(E87,input_314010!L:R,7,FALSE),VLOOKUP(tables_314010!B87,input_314010!A:H,8,FALSE))</f>
        <v>189000</v>
      </c>
      <c r="N87" s="63">
        <f t="shared" ca="1" si="7"/>
        <v>6.7567567567567571E-3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input_314010!A$2</f>
        <v>314010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>ry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IFERROR(VLOOKUP(E88,input_314010!L:R,7,FALSE),VLOOKUP(tables_314010!B88,input_314010!A:H,8,FALSE))</f>
        <v>153090</v>
      </c>
      <c r="N88" s="63">
        <f t="shared" ca="1" si="7"/>
        <v>5.4729729729729726E-3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input_314010!A$2</f>
        <v>314010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>ry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IFERROR(VLOOKUP(E89,input_314010!L:R,7,FALSE),VLOOKUP(tables_314010!B89,input_314010!A:H,8,FALSE))</f>
        <v>18130</v>
      </c>
      <c r="N89" s="63">
        <f t="shared" ca="1" si="7"/>
        <v>6.4814814814814813E-4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input_314010!A$2</f>
        <v>314010</v>
      </c>
      <c r="B90" s="7" t="str">
        <f t="shared" si="4"/>
        <v>Premium3</v>
      </c>
      <c r="C90" s="7" t="str">
        <f t="shared" si="5"/>
        <v>Premium</v>
      </c>
      <c r="D90" s="7" t="str">
        <f t="shared" si="6"/>
        <v>ry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IFERROR(VLOOKUP(E90,input_314010!L:R,7,FALSE),VLOOKUP(tables_314010!B90,input_314010!A:H,8,FALSE))</f>
        <v>189000</v>
      </c>
      <c r="N90" s="63">
        <f t="shared" ca="1" si="7"/>
        <v>6.7567567567567571E-3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input_314010!A$2</f>
        <v>314010</v>
      </c>
      <c r="B91" s="7" t="str">
        <f t="shared" si="4"/>
        <v>Premium4</v>
      </c>
      <c r="C91" s="7" t="str">
        <f t="shared" si="5"/>
        <v>Premium</v>
      </c>
      <c r="D91" s="7" t="str">
        <f t="shared" si="6"/>
        <v>ry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IFERROR(VLOOKUP(E91,input_314010!L:R,7,FALSE),VLOOKUP(tables_314010!B91,input_314010!A:H,8,FALSE))</f>
        <v>153090</v>
      </c>
      <c r="N91" s="63">
        <f t="shared" ca="1" si="7"/>
        <v>5.4729729729729726E-3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input_314010!A$2</f>
        <v>314010</v>
      </c>
      <c r="B92" s="7" t="str">
        <f t="shared" si="4"/>
        <v>Premium5</v>
      </c>
      <c r="C92" s="7" t="str">
        <f t="shared" si="5"/>
        <v>Premium</v>
      </c>
      <c r="D92" s="7" t="str">
        <f t="shared" si="6"/>
        <v>ry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IFERROR(VLOOKUP(E92,input_314010!L:R,7,FALSE),VLOOKUP(tables_314010!B92,input_314010!A:H,8,FALSE))</f>
        <v>18130</v>
      </c>
      <c r="N92" s="63">
        <f t="shared" ca="1" si="7"/>
        <v>6.4814814814814813E-4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input_314010!A$2</f>
        <v>314010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>bg</v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IFERROR(VLOOKUP(E93,input_314010!L:R,7,FALSE),VLOOKUP(tables_314010!B93,input_314010!A:H,8,FALSE))</f>
        <v>189000</v>
      </c>
      <c r="N93" s="63">
        <f t="shared" ca="1" si="7"/>
        <v>6.7567567567567571E-3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input_314010!A$2</f>
        <v>314010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>bg</v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IFERROR(VLOOKUP(E94,input_314010!L:R,7,FALSE),VLOOKUP(tables_314010!B94,input_314010!A:H,8,FALSE))</f>
        <v>153090</v>
      </c>
      <c r="N94" s="63">
        <f t="shared" ca="1" si="7"/>
        <v>5.4729729729729726E-3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input_314010!A$2</f>
        <v>314010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>bg</v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IFERROR(VLOOKUP(E95,input_314010!L:R,7,FALSE),VLOOKUP(tables_314010!B95,input_314010!A:H,8,FALSE))</f>
        <v>18130</v>
      </c>
      <c r="N95" s="63">
        <f t="shared" ca="1" si="7"/>
        <v>6.4814814814814813E-4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input_314010!A$2</f>
        <v>314010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>bg</v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IFERROR(VLOOKUP(E96,input_314010!L:R,7,FALSE),VLOOKUP(tables_314010!B96,input_314010!A:H,8,FALSE))</f>
        <v>189000</v>
      </c>
      <c r="N96" s="63">
        <f t="shared" ca="1" si="7"/>
        <v>6.7567567567567571E-3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input_314010!A$2</f>
        <v>314010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>bg</v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IFERROR(VLOOKUP(E97,input_314010!L:R,7,FALSE),VLOOKUP(tables_314010!B97,input_314010!A:H,8,FALSE))</f>
        <v>153090</v>
      </c>
      <c r="N97" s="63">
        <f t="shared" ca="1" si="7"/>
        <v>5.4729729729729726E-3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input_314010!A$2</f>
        <v>314010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>bg</v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IFERROR(VLOOKUP(E98,input_314010!L:R,7,FALSE),VLOOKUP(tables_314010!B98,input_314010!A:H,8,FALSE))</f>
        <v>18130</v>
      </c>
      <c r="N98" s="63">
        <f t="shared" ca="1" si="7"/>
        <v>6.4814814814814813E-4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input_314010!A$2</f>
        <v>314010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>ry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IFERROR(VLOOKUP(E99,input_314010!L:R,7,FALSE),VLOOKUP(tables_314010!B99,input_314010!A:H,8,FALSE))</f>
        <v>189000</v>
      </c>
      <c r="N99" s="63">
        <f t="shared" ca="1" si="7"/>
        <v>6.7567567567567571E-3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input_314010!A$2</f>
        <v>314010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>ry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IFERROR(VLOOKUP(E100,input_314010!L:R,7,FALSE),VLOOKUP(tables_314010!B100,input_314010!A:H,8,FALSE))</f>
        <v>153090</v>
      </c>
      <c r="N100" s="63">
        <f t="shared" ca="1" si="7"/>
        <v>5.4729729729729726E-3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input_314010!A$2</f>
        <v>314010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>ry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IFERROR(VLOOKUP(E101,input_314010!L:R,7,FALSE),VLOOKUP(tables_314010!B101,input_314010!A:H,8,FALSE))</f>
        <v>18130</v>
      </c>
      <c r="N101" s="63">
        <f t="shared" ca="1" si="7"/>
        <v>6.4814814814814813E-4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input_314010!A$2</f>
        <v>314010</v>
      </c>
      <c r="B102" s="7" t="str">
        <f t="shared" si="4"/>
        <v>Premium3</v>
      </c>
      <c r="C102" s="7" t="str">
        <f t="shared" si="5"/>
        <v>Premium</v>
      </c>
      <c r="D102" s="7" t="str">
        <f t="shared" si="6"/>
        <v>ry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IFERROR(VLOOKUP(E102,input_314010!L:R,7,FALSE),VLOOKUP(tables_314010!B102,input_314010!A:H,8,FALSE))</f>
        <v>189000</v>
      </c>
      <c r="N102" s="63">
        <f t="shared" ca="1" si="7"/>
        <v>6.7567567567567571E-3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input_314010!A$2</f>
        <v>314010</v>
      </c>
      <c r="B103" s="7" t="str">
        <f t="shared" si="4"/>
        <v>Premium4</v>
      </c>
      <c r="C103" s="7" t="str">
        <f t="shared" si="5"/>
        <v>Premium</v>
      </c>
      <c r="D103" s="7" t="str">
        <f t="shared" si="6"/>
        <v>ry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IFERROR(VLOOKUP(E103,input_314010!L:R,7,FALSE),VLOOKUP(tables_314010!B103,input_314010!A:H,8,FALSE))</f>
        <v>153090</v>
      </c>
      <c r="N103" s="63">
        <f t="shared" ca="1" si="7"/>
        <v>5.4729729729729726E-3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input_314010!A$2</f>
        <v>314010</v>
      </c>
      <c r="B104" s="7" t="str">
        <f t="shared" si="4"/>
        <v>Premium5</v>
      </c>
      <c r="C104" s="7" t="str">
        <f t="shared" si="5"/>
        <v>Premium</v>
      </c>
      <c r="D104" s="7" t="str">
        <f t="shared" si="6"/>
        <v>ry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IFERROR(VLOOKUP(E104,input_314010!L:R,7,FALSE),VLOOKUP(tables_314010!B104,input_314010!A:H,8,FALSE))</f>
        <v>18130</v>
      </c>
      <c r="N104" s="63">
        <f t="shared" ca="1" si="7"/>
        <v>6.4814814814814813E-4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input_314010!A$2</f>
        <v>314010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>bg</v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IFERROR(VLOOKUP(E105,input_314010!L:R,7,FALSE),VLOOKUP(tables_314010!B105,input_314010!A:H,8,FALSE))</f>
        <v>189000</v>
      </c>
      <c r="N105" s="63">
        <f t="shared" ca="1" si="7"/>
        <v>6.7567567567567571E-3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input_314010!A$2</f>
        <v>314010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>bg</v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IFERROR(VLOOKUP(E106,input_314010!L:R,7,FALSE),VLOOKUP(tables_314010!B106,input_314010!A:H,8,FALSE))</f>
        <v>153090</v>
      </c>
      <c r="N106" s="63">
        <f t="shared" ca="1" si="7"/>
        <v>5.4729729729729726E-3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input_314010!A$2</f>
        <v>314010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>bg</v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IFERROR(VLOOKUP(E107,input_314010!L:R,7,FALSE),VLOOKUP(tables_314010!B107,input_314010!A:H,8,FALSE))</f>
        <v>18130</v>
      </c>
      <c r="N107" s="63">
        <f t="shared" ca="1" si="7"/>
        <v>6.4814814814814813E-4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input_314010!A$2</f>
        <v>314010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>bg</v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IFERROR(VLOOKUP(E108,input_314010!L:R,7,FALSE),VLOOKUP(tables_314010!B108,input_314010!A:H,8,FALSE))</f>
        <v>189000</v>
      </c>
      <c r="N108" s="63">
        <f t="shared" ca="1" si="7"/>
        <v>6.7567567567567571E-3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input_314010!A$2</f>
        <v>314010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>bg</v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IFERROR(VLOOKUP(E109,input_314010!L:R,7,FALSE),VLOOKUP(tables_314010!B109,input_314010!A:H,8,FALSE))</f>
        <v>153090</v>
      </c>
      <c r="N109" s="63">
        <f t="shared" ca="1" si="7"/>
        <v>5.4729729729729726E-3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input_314010!A$2</f>
        <v>314010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>bg</v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IFERROR(VLOOKUP(E110,input_314010!L:R,7,FALSE),VLOOKUP(tables_314010!B110,input_314010!A:H,8,FALSE))</f>
        <v>18130</v>
      </c>
      <c r="N110" s="63">
        <f t="shared" ca="1" si="7"/>
        <v>6.4814814814814813E-4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input_314010!A$2</f>
        <v>314010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>ry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IFERROR(VLOOKUP(E111,input_314010!L:R,7,FALSE),VLOOKUP(tables_314010!B111,input_314010!A:H,8,FALSE))</f>
        <v>189000</v>
      </c>
      <c r="N111" s="63">
        <f t="shared" ca="1" si="7"/>
        <v>6.7567567567567571E-3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input_314010!A$2</f>
        <v>314010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>ry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IFERROR(VLOOKUP(E112,input_314010!L:R,7,FALSE),VLOOKUP(tables_314010!B112,input_314010!A:H,8,FALSE))</f>
        <v>153090</v>
      </c>
      <c r="N112" s="63">
        <f t="shared" ca="1" si="7"/>
        <v>5.4729729729729726E-3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input_314010!A$2</f>
        <v>314010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>ry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IFERROR(VLOOKUP(E113,input_314010!L:R,7,FALSE),VLOOKUP(tables_314010!B113,input_314010!A:H,8,FALSE))</f>
        <v>18130</v>
      </c>
      <c r="N113" s="63">
        <f t="shared" ca="1" si="7"/>
        <v>6.4814814814814813E-4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input_314010!A$2</f>
        <v>314010</v>
      </c>
      <c r="B114" s="7" t="str">
        <f t="shared" si="4"/>
        <v>Premium3</v>
      </c>
      <c r="C114" s="7" t="str">
        <f t="shared" si="5"/>
        <v>Premium</v>
      </c>
      <c r="D114" s="7" t="str">
        <f t="shared" si="6"/>
        <v>ry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IFERROR(VLOOKUP(E114,input_314010!L:R,7,FALSE),VLOOKUP(tables_314010!B114,input_314010!A:H,8,FALSE))</f>
        <v>189000</v>
      </c>
      <c r="N114" s="63">
        <f t="shared" ca="1" si="7"/>
        <v>6.7567567567567571E-3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input_314010!A$2</f>
        <v>314010</v>
      </c>
      <c r="B115" s="7" t="str">
        <f t="shared" si="4"/>
        <v>Premium4</v>
      </c>
      <c r="C115" s="7" t="str">
        <f t="shared" si="5"/>
        <v>Premium</v>
      </c>
      <c r="D115" s="7" t="str">
        <f t="shared" si="6"/>
        <v>ry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IFERROR(VLOOKUP(E115,input_314010!L:R,7,FALSE),VLOOKUP(tables_314010!B115,input_314010!A:H,8,FALSE))</f>
        <v>153090</v>
      </c>
      <c r="N115" s="63">
        <f t="shared" ca="1" si="7"/>
        <v>5.4729729729729726E-3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input_314010!A$2</f>
        <v>314010</v>
      </c>
      <c r="B116" s="7" t="str">
        <f t="shared" si="4"/>
        <v>Premium5</v>
      </c>
      <c r="C116" s="7" t="str">
        <f t="shared" si="5"/>
        <v>Premium</v>
      </c>
      <c r="D116" s="7" t="str">
        <f t="shared" si="6"/>
        <v>ry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IFERROR(VLOOKUP(E116,input_314010!L:R,7,FALSE),VLOOKUP(tables_314010!B116,input_314010!A:H,8,FALSE))</f>
        <v>18130</v>
      </c>
      <c r="N116" s="63">
        <f t="shared" ca="1" si="7"/>
        <v>6.4814814814814813E-4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input_314010!A$2</f>
        <v>314010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>bg</v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IFERROR(VLOOKUP(E117,input_314010!L:R,7,FALSE),VLOOKUP(tables_314010!B117,input_314010!A:H,8,FALSE))</f>
        <v>189000</v>
      </c>
      <c r="N117" s="63">
        <f t="shared" ca="1" si="7"/>
        <v>6.7567567567567571E-3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input_314010!A$2</f>
        <v>314010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>bg</v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IFERROR(VLOOKUP(E118,input_314010!L:R,7,FALSE),VLOOKUP(tables_314010!B118,input_314010!A:H,8,FALSE))</f>
        <v>153090</v>
      </c>
      <c r="N118" s="63">
        <f t="shared" ca="1" si="7"/>
        <v>5.4729729729729726E-3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input_314010!A$2</f>
        <v>314010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>bg</v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IFERROR(VLOOKUP(E119,input_314010!L:R,7,FALSE),VLOOKUP(tables_314010!B119,input_314010!A:H,8,FALSE))</f>
        <v>18130</v>
      </c>
      <c r="N119" s="63">
        <f t="shared" ca="1" si="7"/>
        <v>6.4814814814814813E-4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input_314010!A$2</f>
        <v>314010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>bg</v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IFERROR(VLOOKUP(E120,input_314010!L:R,7,FALSE),VLOOKUP(tables_314010!B120,input_314010!A:H,8,FALSE))</f>
        <v>189000</v>
      </c>
      <c r="N120" s="63">
        <f t="shared" ca="1" si="7"/>
        <v>6.7567567567567571E-3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input_314010!A$2</f>
        <v>314010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>bg</v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IFERROR(VLOOKUP(E121,input_314010!L:R,7,FALSE),VLOOKUP(tables_314010!B121,input_314010!A:H,8,FALSE))</f>
        <v>153090</v>
      </c>
      <c r="N121" s="63">
        <f t="shared" ca="1" si="7"/>
        <v>5.4729729729729726E-3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input_314010!A$2</f>
        <v>314010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>bg</v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IFERROR(VLOOKUP(E122,input_314010!L:R,7,FALSE),VLOOKUP(tables_314010!B122,input_314010!A:H,8,FALSE))</f>
        <v>18130</v>
      </c>
      <c r="N122" s="63">
        <f t="shared" ca="1" si="7"/>
        <v>6.4814814814814813E-4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input_314010!A$2</f>
        <v>314010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>ry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IFERROR(VLOOKUP(E123,input_314010!L:R,7,FALSE),VLOOKUP(tables_314010!B123,input_314010!A:H,8,FALSE))</f>
        <v>189000</v>
      </c>
      <c r="N123" s="63">
        <f t="shared" ca="1" si="7"/>
        <v>6.7567567567567571E-3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input_314010!A$2</f>
        <v>314010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>ry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IFERROR(VLOOKUP(E124,input_314010!L:R,7,FALSE),VLOOKUP(tables_314010!B124,input_314010!A:H,8,FALSE))</f>
        <v>153090</v>
      </c>
      <c r="N124" s="63">
        <f t="shared" ca="1" si="7"/>
        <v>5.4729729729729726E-3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input_314010!A$2</f>
        <v>314010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>ry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IFERROR(VLOOKUP(E125,input_314010!L:R,7,FALSE),VLOOKUP(tables_314010!B125,input_314010!A:H,8,FALSE))</f>
        <v>18130</v>
      </c>
      <c r="N125" s="63">
        <f t="shared" ca="1" si="7"/>
        <v>6.4814814814814813E-4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input_314010!A$2</f>
        <v>314010</v>
      </c>
      <c r="B126" s="7" t="str">
        <f t="shared" si="4"/>
        <v>Premium3</v>
      </c>
      <c r="C126" s="7" t="str">
        <f t="shared" si="5"/>
        <v>Premium</v>
      </c>
      <c r="D126" s="7" t="str">
        <f t="shared" si="6"/>
        <v>ry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IFERROR(VLOOKUP(E126,input_314010!L:R,7,FALSE),VLOOKUP(tables_314010!B126,input_314010!A:H,8,FALSE))</f>
        <v>189000</v>
      </c>
      <c r="N126" s="63">
        <f t="shared" ca="1" si="7"/>
        <v>6.7567567567567571E-3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input_314010!A$2</f>
        <v>314010</v>
      </c>
      <c r="B127" s="7" t="str">
        <f t="shared" si="4"/>
        <v>Premium4</v>
      </c>
      <c r="C127" s="7" t="str">
        <f t="shared" si="5"/>
        <v>Premium</v>
      </c>
      <c r="D127" s="7" t="str">
        <f t="shared" si="6"/>
        <v>ry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IFERROR(VLOOKUP(E127,input_314010!L:R,7,FALSE),VLOOKUP(tables_314010!B127,input_314010!A:H,8,FALSE))</f>
        <v>153090</v>
      </c>
      <c r="N127" s="63">
        <f t="shared" ca="1" si="7"/>
        <v>5.4729729729729726E-3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input_314010!A$2</f>
        <v>314010</v>
      </c>
      <c r="B128" s="7" t="str">
        <f t="shared" si="4"/>
        <v>Premium5</v>
      </c>
      <c r="C128" s="7" t="str">
        <f t="shared" si="5"/>
        <v>Premium</v>
      </c>
      <c r="D128" s="7" t="str">
        <f t="shared" si="6"/>
        <v>ry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IFERROR(VLOOKUP(E128,input_314010!L:R,7,FALSE),VLOOKUP(tables_314010!B128,input_314010!A:H,8,FALSE))</f>
        <v>18130</v>
      </c>
      <c r="N128" s="63">
        <f t="shared" ca="1" si="7"/>
        <v>6.4814814814814813E-4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input_314010!A$2</f>
        <v>314010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>bg</v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IFERROR(VLOOKUP(E129,input_314010!L:R,7,FALSE),VLOOKUP(tables_314010!B129,input_314010!A:H,8,FALSE))</f>
        <v>189000</v>
      </c>
      <c r="N129" s="63">
        <f t="shared" ca="1" si="7"/>
        <v>6.7567567567567571E-3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input_314010!A$2</f>
        <v>314010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>bg</v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IFERROR(VLOOKUP(E130,input_314010!L:R,7,FALSE),VLOOKUP(tables_314010!B130,input_314010!A:H,8,FALSE))</f>
        <v>153090</v>
      </c>
      <c r="N130" s="63">
        <f t="shared" ca="1" si="7"/>
        <v>5.4729729729729726E-3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input_314010!A$2</f>
        <v>314010</v>
      </c>
      <c r="B131" s="7" t="str">
        <f t="shared" ref="B131:B194" si="8">C131&amp;IF(C131="premium",,D131)&amp;H131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IF(I131="red","ry",IF(I131="yellow","ry","bg"))</f>
        <v>bg</v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IFERROR(VLOOKUP(E131,input_314010!L:R,7,FALSE),VLOOKUP(tables_314010!B131,input_314010!A:H,8,FALSE))</f>
        <v>18130</v>
      </c>
      <c r="N131" s="63">
        <f t="shared" ref="N131:N194" ca="1" si="11">M131/SUM(M:M)</f>
        <v>6.4814814814814813E-4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input_314010!A$2</f>
        <v>314010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>bg</v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IFERROR(VLOOKUP(E132,input_314010!L:R,7,FALSE),VLOOKUP(tables_314010!B132,input_314010!A:H,8,FALSE))</f>
        <v>189000</v>
      </c>
      <c r="N132" s="63">
        <f t="shared" ca="1" si="11"/>
        <v>6.7567567567567571E-3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input_314010!A$2</f>
        <v>314010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>bg</v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IFERROR(VLOOKUP(E133,input_314010!L:R,7,FALSE),VLOOKUP(tables_314010!B133,input_314010!A:H,8,FALSE))</f>
        <v>153090</v>
      </c>
      <c r="N133" s="63">
        <f t="shared" ca="1" si="11"/>
        <v>5.4729729729729726E-3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input_314010!A$2</f>
        <v>314010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>bg</v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IFERROR(VLOOKUP(E134,input_314010!L:R,7,FALSE),VLOOKUP(tables_314010!B134,input_314010!A:H,8,FALSE))</f>
        <v>18130</v>
      </c>
      <c r="N134" s="63">
        <f t="shared" ca="1" si="11"/>
        <v>6.4814814814814813E-4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input_314010!A$2</f>
        <v>314010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>ry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IFERROR(VLOOKUP(E135,input_314010!L:R,7,FALSE),VLOOKUP(tables_314010!B135,input_314010!A:H,8,FALSE))</f>
        <v>189000</v>
      </c>
      <c r="N135" s="63">
        <f t="shared" ca="1" si="11"/>
        <v>6.7567567567567571E-3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input_314010!A$2</f>
        <v>314010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>ry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IFERROR(VLOOKUP(E136,input_314010!L:R,7,FALSE),VLOOKUP(tables_314010!B136,input_314010!A:H,8,FALSE))</f>
        <v>153090</v>
      </c>
      <c r="N136" s="63">
        <f t="shared" ca="1" si="11"/>
        <v>5.4729729729729726E-3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input_314010!A$2</f>
        <v>314010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>ry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IFERROR(VLOOKUP(E137,input_314010!L:R,7,FALSE),VLOOKUP(tables_314010!B137,input_314010!A:H,8,FALSE))</f>
        <v>18130</v>
      </c>
      <c r="N137" s="63">
        <f t="shared" ca="1" si="11"/>
        <v>6.4814814814814813E-4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input_314010!A$2</f>
        <v>314010</v>
      </c>
      <c r="B138" s="7" t="str">
        <f t="shared" si="8"/>
        <v>PremiumSSry4</v>
      </c>
      <c r="C138" s="7" t="str">
        <f t="shared" si="9"/>
        <v>PremiumSS</v>
      </c>
      <c r="D138" s="7" t="str">
        <f t="shared" si="10"/>
        <v>ry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IFERROR(VLOOKUP(E138,input_314010!L:R,7,FALSE),VLOOKUP(tables_314010!B138,input_314010!A:H,8,FALSE))</f>
        <v>35964</v>
      </c>
      <c r="N138" s="63">
        <f t="shared" ca="1" si="11"/>
        <v>1.2857142857142856E-3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input_314010!A$2</f>
        <v>314010</v>
      </c>
      <c r="B139" s="7" t="str">
        <f t="shared" si="8"/>
        <v>PremiumSSry5</v>
      </c>
      <c r="C139" s="7" t="str">
        <f t="shared" si="9"/>
        <v>PremiumSS</v>
      </c>
      <c r="D139" s="7" t="str">
        <f t="shared" si="10"/>
        <v>ry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IFERROR(VLOOKUP(E139,input_314010!L:R,7,FALSE),VLOOKUP(tables_314010!B139,input_314010!A:H,8,FALSE))</f>
        <v>3996</v>
      </c>
      <c r="N139" s="63">
        <f t="shared" ca="1" si="11"/>
        <v>1.4285714285714287E-4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input_314010!A$2</f>
        <v>314010</v>
      </c>
      <c r="B140" s="7" t="str">
        <f t="shared" si="8"/>
        <v>PremiumSSbg4</v>
      </c>
      <c r="C140" s="7" t="str">
        <f t="shared" si="9"/>
        <v>PremiumSS</v>
      </c>
      <c r="D140" s="7" t="str">
        <f t="shared" si="10"/>
        <v>bg</v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IFERROR(VLOOKUP(E140,input_314010!L:R,7,FALSE),VLOOKUP(tables_314010!B140,input_314010!A:H,8,FALSE))</f>
        <v>62937</v>
      </c>
      <c r="N140" s="63">
        <f t="shared" ca="1" si="11"/>
        <v>2.2499999999999998E-3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input_314010!A$2</f>
        <v>314010</v>
      </c>
      <c r="B141" s="7" t="str">
        <f t="shared" si="8"/>
        <v>PremiumSSbg5</v>
      </c>
      <c r="C141" s="7" t="str">
        <f t="shared" si="9"/>
        <v>PremiumSS</v>
      </c>
      <c r="D141" s="7" t="str">
        <f t="shared" si="10"/>
        <v>bg</v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IFERROR(VLOOKUP(E141,input_314010!L:R,7,FALSE),VLOOKUP(tables_314010!B141,input_314010!A:H,8,FALSE))</f>
        <v>6993</v>
      </c>
      <c r="N141" s="63">
        <f t="shared" ca="1" si="11"/>
        <v>2.5000000000000001E-4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input_314010!A$2</f>
        <v>314010</v>
      </c>
      <c r="B142" s="7" t="str">
        <f t="shared" si="8"/>
        <v>PremiumSSbg4</v>
      </c>
      <c r="C142" s="7" t="str">
        <f t="shared" si="9"/>
        <v>PremiumSS</v>
      </c>
      <c r="D142" s="7" t="str">
        <f t="shared" si="10"/>
        <v>bg</v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IFERROR(VLOOKUP(E142,input_314010!L:R,7,FALSE),VLOOKUP(tables_314010!B142,input_314010!A:H,8,FALSE))</f>
        <v>62937</v>
      </c>
      <c r="N142" s="63">
        <f t="shared" ca="1" si="11"/>
        <v>2.2499999999999998E-3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input_314010!A$2</f>
        <v>314010</v>
      </c>
      <c r="B143" s="7" t="str">
        <f t="shared" si="8"/>
        <v>PremiumSSbg5</v>
      </c>
      <c r="C143" s="7" t="str">
        <f t="shared" si="9"/>
        <v>PremiumSS</v>
      </c>
      <c r="D143" s="7" t="str">
        <f t="shared" si="10"/>
        <v>bg</v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IFERROR(VLOOKUP(E143,input_314010!L:R,7,FALSE),VLOOKUP(tables_314010!B143,input_314010!A:H,8,FALSE))</f>
        <v>6993</v>
      </c>
      <c r="N143" s="63">
        <f t="shared" ca="1" si="11"/>
        <v>2.5000000000000001E-4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input_314010!A$2</f>
        <v>314010</v>
      </c>
      <c r="B144" s="7" t="str">
        <f t="shared" si="8"/>
        <v>PremiumSSry4</v>
      </c>
      <c r="C144" s="7" t="str">
        <f t="shared" si="9"/>
        <v>PremiumSS</v>
      </c>
      <c r="D144" s="7" t="str">
        <f t="shared" si="10"/>
        <v>ry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IFERROR(VLOOKUP(E144,input_314010!L:R,7,FALSE),VLOOKUP(tables_314010!B144,input_314010!A:H,8,FALSE))</f>
        <v>35964</v>
      </c>
      <c r="N144" s="63">
        <f t="shared" ca="1" si="11"/>
        <v>1.2857142857142856E-3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input_314010!A$2</f>
        <v>314010</v>
      </c>
      <c r="B145" s="7" t="str">
        <f t="shared" si="8"/>
        <v>PremiumSSry5</v>
      </c>
      <c r="C145" s="7" t="str">
        <f t="shared" si="9"/>
        <v>PremiumSS</v>
      </c>
      <c r="D145" s="7" t="str">
        <f t="shared" si="10"/>
        <v>ry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IFERROR(VLOOKUP(E145,input_314010!L:R,7,FALSE),VLOOKUP(tables_314010!B145,input_314010!A:H,8,FALSE))</f>
        <v>3996</v>
      </c>
      <c r="N145" s="63">
        <f t="shared" ca="1" si="11"/>
        <v>1.4285714285714287E-4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input_314010!A$2</f>
        <v>314010</v>
      </c>
      <c r="B146" s="7" t="str">
        <f t="shared" si="8"/>
        <v>Premium3</v>
      </c>
      <c r="C146" s="7" t="str">
        <f t="shared" si="9"/>
        <v>Premium</v>
      </c>
      <c r="D146" s="7" t="str">
        <f t="shared" si="10"/>
        <v>ry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IFERROR(VLOOKUP(E146,input_314010!L:R,7,FALSE),VLOOKUP(tables_314010!B146,input_314010!A:H,8,FALSE))</f>
        <v>189000</v>
      </c>
      <c r="N146" s="63">
        <f t="shared" ca="1" si="11"/>
        <v>6.7567567567567571E-3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input_314010!A$2</f>
        <v>314010</v>
      </c>
      <c r="B147" s="7" t="str">
        <f t="shared" si="8"/>
        <v>Premium4</v>
      </c>
      <c r="C147" s="7" t="str">
        <f t="shared" si="9"/>
        <v>Premium</v>
      </c>
      <c r="D147" s="7" t="str">
        <f t="shared" si="10"/>
        <v>ry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IFERROR(VLOOKUP(E147,input_314010!L:R,7,FALSE),VLOOKUP(tables_314010!B147,input_314010!A:H,8,FALSE))</f>
        <v>153090</v>
      </c>
      <c r="N147" s="63">
        <f t="shared" ca="1" si="11"/>
        <v>5.4729729729729726E-3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input_314010!A$2</f>
        <v>314010</v>
      </c>
      <c r="B148" s="7" t="str">
        <f t="shared" si="8"/>
        <v>Premium5</v>
      </c>
      <c r="C148" s="7" t="str">
        <f t="shared" si="9"/>
        <v>Premium</v>
      </c>
      <c r="D148" s="7" t="str">
        <f t="shared" si="10"/>
        <v>ry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IFERROR(VLOOKUP(E148,input_314010!L:R,7,FALSE),VLOOKUP(tables_314010!B148,input_314010!A:H,8,FALSE))</f>
        <v>18130</v>
      </c>
      <c r="N148" s="63">
        <f t="shared" ca="1" si="11"/>
        <v>6.4814814814814813E-4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input_314010!A$2</f>
        <v>314010</v>
      </c>
      <c r="B149" s="7" t="str">
        <f t="shared" si="8"/>
        <v>PremiumSSbg4</v>
      </c>
      <c r="C149" s="7" t="str">
        <f t="shared" si="9"/>
        <v>PremiumSS</v>
      </c>
      <c r="D149" s="7" t="str">
        <f t="shared" si="10"/>
        <v>bg</v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IFERROR(VLOOKUP(E149,input_314010!L:R,7,FALSE),VLOOKUP(tables_314010!B149,input_314010!A:H,8,FALSE))</f>
        <v>62937</v>
      </c>
      <c r="N149" s="63">
        <f t="shared" ca="1" si="11"/>
        <v>2.2499999999999998E-3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input_314010!A$2</f>
        <v>314010</v>
      </c>
      <c r="B150" s="7" t="str">
        <f t="shared" si="8"/>
        <v>PremiumSSbg5</v>
      </c>
      <c r="C150" s="7" t="str">
        <f t="shared" si="9"/>
        <v>PremiumSS</v>
      </c>
      <c r="D150" s="7" t="str">
        <f t="shared" si="10"/>
        <v>bg</v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IFERROR(VLOOKUP(E150,input_314010!L:R,7,FALSE),VLOOKUP(tables_314010!B150,input_314010!A:H,8,FALSE))</f>
        <v>6993</v>
      </c>
      <c r="N150" s="63">
        <f t="shared" ca="1" si="11"/>
        <v>2.5000000000000001E-4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input_314010!A$2</f>
        <v>314010</v>
      </c>
      <c r="B151" s="7" t="str">
        <f t="shared" si="8"/>
        <v>PremiumSSbg4</v>
      </c>
      <c r="C151" s="7" t="str">
        <f t="shared" si="9"/>
        <v>PremiumSS</v>
      </c>
      <c r="D151" s="7" t="str">
        <f t="shared" si="10"/>
        <v>bg</v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IFERROR(VLOOKUP(E151,input_314010!L:R,7,FALSE),VLOOKUP(tables_314010!B151,input_314010!A:H,8,FALSE))</f>
        <v>62937</v>
      </c>
      <c r="N151" s="63">
        <f t="shared" ca="1" si="11"/>
        <v>2.2499999999999998E-3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input_314010!A$2</f>
        <v>314010</v>
      </c>
      <c r="B152" s="7" t="str">
        <f t="shared" si="8"/>
        <v>PremiumSSbg5</v>
      </c>
      <c r="C152" s="7" t="str">
        <f t="shared" si="9"/>
        <v>PremiumSS</v>
      </c>
      <c r="D152" s="7" t="str">
        <f t="shared" si="10"/>
        <v>bg</v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IFERROR(VLOOKUP(E152,input_314010!L:R,7,FALSE),VLOOKUP(tables_314010!B152,input_314010!A:H,8,FALSE))</f>
        <v>6993</v>
      </c>
      <c r="N152" s="63">
        <f t="shared" ca="1" si="11"/>
        <v>2.5000000000000001E-4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input_314010!A$2</f>
        <v>314010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>ry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IFERROR(VLOOKUP(E153,input_314010!L:R,7,FALSE),VLOOKUP(tables_314010!B153,input_314010!A:H,8,FALSE))</f>
        <v>189000</v>
      </c>
      <c r="N153" s="63">
        <f t="shared" ca="1" si="11"/>
        <v>6.7567567567567571E-3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input_314010!A$2</f>
        <v>314010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>ry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IFERROR(VLOOKUP(E154,input_314010!L:R,7,FALSE),VLOOKUP(tables_314010!B154,input_314010!A:H,8,FALSE))</f>
        <v>153090</v>
      </c>
      <c r="N154" s="63">
        <f t="shared" ca="1" si="11"/>
        <v>5.4729729729729726E-3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input_314010!A$2</f>
        <v>314010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>ry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IFERROR(VLOOKUP(E155,input_314010!L:R,7,FALSE),VLOOKUP(tables_314010!B155,input_314010!A:H,8,FALSE))</f>
        <v>18130</v>
      </c>
      <c r="N155" s="63">
        <f t="shared" ca="1" si="11"/>
        <v>6.4814814814814813E-4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input_314010!A$2</f>
        <v>314010</v>
      </c>
      <c r="B156" s="7" t="str">
        <f t="shared" si="8"/>
        <v>PremiumSSry4</v>
      </c>
      <c r="C156" s="7" t="str">
        <f t="shared" si="9"/>
        <v>PremiumSS</v>
      </c>
      <c r="D156" s="7" t="str">
        <f t="shared" si="10"/>
        <v>ry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IFERROR(VLOOKUP(E156,input_314010!L:R,7,FALSE),VLOOKUP(tables_314010!B156,input_314010!A:H,8,FALSE))</f>
        <v>35964</v>
      </c>
      <c r="N156" s="63">
        <f t="shared" ca="1" si="11"/>
        <v>1.2857142857142856E-3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input_314010!A$2</f>
        <v>314010</v>
      </c>
      <c r="B157" s="7" t="str">
        <f t="shared" si="8"/>
        <v>PremiumSSry5</v>
      </c>
      <c r="C157" s="7" t="str">
        <f t="shared" si="9"/>
        <v>PremiumSS</v>
      </c>
      <c r="D157" s="7" t="str">
        <f t="shared" si="10"/>
        <v>ry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IFERROR(VLOOKUP(E157,input_314010!L:R,7,FALSE),VLOOKUP(tables_314010!B157,input_314010!A:H,8,FALSE))</f>
        <v>3996</v>
      </c>
      <c r="N157" s="63">
        <f t="shared" ca="1" si="11"/>
        <v>1.4285714285714287E-4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input_314010!A$2</f>
        <v>314010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>bg</v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IFERROR(VLOOKUP(E158,input_314010!L:R,7,FALSE),VLOOKUP(tables_314010!B158,input_314010!A:H,8,FALSE))</f>
        <v>189000</v>
      </c>
      <c r="N158" s="63">
        <f t="shared" ca="1" si="11"/>
        <v>6.7567567567567571E-3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input_314010!A$2</f>
        <v>314010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>bg</v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IFERROR(VLOOKUP(E159,input_314010!L:R,7,FALSE),VLOOKUP(tables_314010!B159,input_314010!A:H,8,FALSE))</f>
        <v>153090</v>
      </c>
      <c r="N159" s="63">
        <f t="shared" ca="1" si="11"/>
        <v>5.4729729729729726E-3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input_314010!A$2</f>
        <v>314010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>bg</v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IFERROR(VLOOKUP(E160,input_314010!L:R,7,FALSE),VLOOKUP(tables_314010!B160,input_314010!A:H,8,FALSE))</f>
        <v>18130</v>
      </c>
      <c r="N160" s="63">
        <f t="shared" ca="1" si="11"/>
        <v>6.4814814814814813E-4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input_314010!A$2</f>
        <v>314010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>bg</v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IFERROR(VLOOKUP(E161,input_314010!L:R,7,FALSE),VLOOKUP(tables_314010!B161,input_314010!A:H,8,FALSE))</f>
        <v>189000</v>
      </c>
      <c r="N161" s="63">
        <f t="shared" ca="1" si="11"/>
        <v>6.7567567567567571E-3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input_314010!A$2</f>
        <v>314010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>bg</v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IFERROR(VLOOKUP(E162,input_314010!L:R,7,FALSE),VLOOKUP(tables_314010!B162,input_314010!A:H,8,FALSE))</f>
        <v>153090</v>
      </c>
      <c r="N162" s="63">
        <f t="shared" ca="1" si="11"/>
        <v>5.4729729729729726E-3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input_314010!A$2</f>
        <v>314010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>bg</v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IFERROR(VLOOKUP(E163,input_314010!L:R,7,FALSE),VLOOKUP(tables_314010!B163,input_314010!A:H,8,FALSE))</f>
        <v>18130</v>
      </c>
      <c r="N163" s="63">
        <f t="shared" ca="1" si="11"/>
        <v>6.4814814814814813E-4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input_314010!A$2</f>
        <v>314010</v>
      </c>
      <c r="B164" s="7" t="str">
        <f t="shared" si="8"/>
        <v>PremiumSSry4</v>
      </c>
      <c r="C164" s="7" t="str">
        <f t="shared" si="9"/>
        <v>PremiumSS</v>
      </c>
      <c r="D164" s="7" t="str">
        <f t="shared" si="10"/>
        <v>ry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IFERROR(VLOOKUP(E164,input_314010!L:R,7,FALSE),VLOOKUP(tables_314010!B164,input_314010!A:H,8,FALSE))</f>
        <v>35964</v>
      </c>
      <c r="N164" s="63">
        <f t="shared" ca="1" si="11"/>
        <v>1.2857142857142856E-3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input_314010!A$2</f>
        <v>314010</v>
      </c>
      <c r="B165" s="7" t="str">
        <f t="shared" si="8"/>
        <v>PremiumSSry5</v>
      </c>
      <c r="C165" s="7" t="str">
        <f t="shared" si="9"/>
        <v>PremiumSS</v>
      </c>
      <c r="D165" s="7" t="str">
        <f t="shared" si="10"/>
        <v>ry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IFERROR(VLOOKUP(E165,input_314010!L:R,7,FALSE),VLOOKUP(tables_314010!B165,input_314010!A:H,8,FALSE))</f>
        <v>3996</v>
      </c>
      <c r="N165" s="63">
        <f t="shared" ca="1" si="11"/>
        <v>1.4285714285714287E-4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input_314010!A$2</f>
        <v>314010</v>
      </c>
      <c r="B166" s="7" t="str">
        <f t="shared" si="8"/>
        <v>Premium3</v>
      </c>
      <c r="C166" s="7" t="str">
        <f t="shared" si="9"/>
        <v>Premium</v>
      </c>
      <c r="D166" s="7" t="str">
        <f t="shared" si="10"/>
        <v>ry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IFERROR(VLOOKUP(E166,input_314010!L:R,7,FALSE),VLOOKUP(tables_314010!B166,input_314010!A:H,8,FALSE))</f>
        <v>189000</v>
      </c>
      <c r="N166" s="63">
        <f t="shared" ca="1" si="11"/>
        <v>6.7567567567567571E-3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input_314010!A$2</f>
        <v>314010</v>
      </c>
      <c r="B167" s="7" t="str">
        <f t="shared" si="8"/>
        <v>Premium4</v>
      </c>
      <c r="C167" s="7" t="str">
        <f t="shared" si="9"/>
        <v>Premium</v>
      </c>
      <c r="D167" s="7" t="str">
        <f t="shared" si="10"/>
        <v>ry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IFERROR(VLOOKUP(E167,input_314010!L:R,7,FALSE),VLOOKUP(tables_314010!B167,input_314010!A:H,8,FALSE))</f>
        <v>153090</v>
      </c>
      <c r="N167" s="63">
        <f t="shared" ca="1" si="11"/>
        <v>5.4729729729729726E-3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input_314010!A$2</f>
        <v>314010</v>
      </c>
      <c r="B168" s="7" t="str">
        <f t="shared" si="8"/>
        <v>Premium5</v>
      </c>
      <c r="C168" s="7" t="str">
        <f t="shared" si="9"/>
        <v>Premium</v>
      </c>
      <c r="D168" s="7" t="str">
        <f t="shared" si="10"/>
        <v>ry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IFERROR(VLOOKUP(E168,input_314010!L:R,7,FALSE),VLOOKUP(tables_314010!B168,input_314010!A:H,8,FALSE))</f>
        <v>18130</v>
      </c>
      <c r="N168" s="63">
        <f t="shared" ca="1" si="11"/>
        <v>6.4814814814814813E-4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input_314010!A$2</f>
        <v>314010</v>
      </c>
      <c r="B169" s="7" t="str">
        <f t="shared" si="8"/>
        <v>PremiumSSbg4</v>
      </c>
      <c r="C169" s="7" t="str">
        <f t="shared" si="9"/>
        <v>PremiumSS</v>
      </c>
      <c r="D169" s="7" t="str">
        <f t="shared" si="10"/>
        <v>bg</v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IFERROR(VLOOKUP(E169,input_314010!L:R,7,FALSE),VLOOKUP(tables_314010!B169,input_314010!A:H,8,FALSE))</f>
        <v>62937</v>
      </c>
      <c r="N169" s="63">
        <f t="shared" ca="1" si="11"/>
        <v>2.2499999999999998E-3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input_314010!A$2</f>
        <v>314010</v>
      </c>
      <c r="B170" s="7" t="str">
        <f t="shared" si="8"/>
        <v>PremiumSSbg5</v>
      </c>
      <c r="C170" s="7" t="str">
        <f t="shared" si="9"/>
        <v>PremiumSS</v>
      </c>
      <c r="D170" s="7" t="str">
        <f t="shared" si="10"/>
        <v>bg</v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IFERROR(VLOOKUP(E170,input_314010!L:R,7,FALSE),VLOOKUP(tables_314010!B170,input_314010!A:H,8,FALSE))</f>
        <v>6993</v>
      </c>
      <c r="N170" s="63">
        <f t="shared" ca="1" si="11"/>
        <v>2.5000000000000001E-4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input_314010!A$2</f>
        <v>314010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>bg</v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IFERROR(VLOOKUP(E171,input_314010!L:R,7,FALSE),VLOOKUP(tables_314010!B171,input_314010!A:H,8,FALSE))</f>
        <v>189000</v>
      </c>
      <c r="N171" s="63">
        <f t="shared" ca="1" si="11"/>
        <v>6.7567567567567571E-3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input_314010!A$2</f>
        <v>314010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>bg</v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IFERROR(VLOOKUP(E172,input_314010!L:R,7,FALSE),VLOOKUP(tables_314010!B172,input_314010!A:H,8,FALSE))</f>
        <v>153090</v>
      </c>
      <c r="N172" s="63">
        <f t="shared" ca="1" si="11"/>
        <v>5.4729729729729726E-3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input_314010!A$2</f>
        <v>314010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>bg</v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IFERROR(VLOOKUP(E173,input_314010!L:R,7,FALSE),VLOOKUP(tables_314010!B173,input_314010!A:H,8,FALSE))</f>
        <v>18130</v>
      </c>
      <c r="N173" s="63">
        <f t="shared" ca="1" si="11"/>
        <v>6.4814814814814813E-4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input_314010!A$2</f>
        <v>314010</v>
      </c>
      <c r="B174" s="7" t="str">
        <f t="shared" si="8"/>
        <v>PremiumSSry4</v>
      </c>
      <c r="C174" s="7" t="str">
        <f t="shared" si="9"/>
        <v>PremiumSS</v>
      </c>
      <c r="D174" s="7" t="str">
        <f t="shared" si="10"/>
        <v>ry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IFERROR(VLOOKUP(E174,input_314010!L:R,7,FALSE),VLOOKUP(tables_314010!B174,input_314010!A:H,8,FALSE))</f>
        <v>35964</v>
      </c>
      <c r="N174" s="63">
        <f t="shared" ca="1" si="11"/>
        <v>1.2857142857142856E-3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input_314010!A$2</f>
        <v>314010</v>
      </c>
      <c r="B175" s="7" t="str">
        <f t="shared" si="8"/>
        <v>PremiumSSry5</v>
      </c>
      <c r="C175" s="7" t="str">
        <f t="shared" si="9"/>
        <v>PremiumSS</v>
      </c>
      <c r="D175" s="7" t="str">
        <f t="shared" si="10"/>
        <v>ry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IFERROR(VLOOKUP(E175,input_314010!L:R,7,FALSE),VLOOKUP(tables_314010!B175,input_314010!A:H,8,FALSE))</f>
        <v>3996</v>
      </c>
      <c r="N175" s="63">
        <f t="shared" ca="1" si="11"/>
        <v>1.4285714285714287E-4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input_314010!A$2</f>
        <v>314010</v>
      </c>
      <c r="B176" s="7" t="str">
        <f t="shared" si="8"/>
        <v>PremiumSSry4</v>
      </c>
      <c r="C176" s="7" t="str">
        <f t="shared" si="9"/>
        <v>PremiumSS</v>
      </c>
      <c r="D176" s="7" t="str">
        <f t="shared" si="10"/>
        <v>ry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IFERROR(VLOOKUP(E176,input_314010!L:R,7,FALSE),VLOOKUP(tables_314010!B176,input_314010!A:H,8,FALSE))</f>
        <v>35964</v>
      </c>
      <c r="N176" s="63">
        <f t="shared" ca="1" si="11"/>
        <v>1.2857142857142856E-3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input_314010!A$2</f>
        <v>314010</v>
      </c>
      <c r="B177" s="7" t="str">
        <f t="shared" si="8"/>
        <v>PremiumSSry5</v>
      </c>
      <c r="C177" s="7" t="str">
        <f t="shared" si="9"/>
        <v>PremiumSS</v>
      </c>
      <c r="D177" s="7" t="str">
        <f t="shared" si="10"/>
        <v>ry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IFERROR(VLOOKUP(E177,input_314010!L:R,7,FALSE),VLOOKUP(tables_314010!B177,input_314010!A:H,8,FALSE))</f>
        <v>3996</v>
      </c>
      <c r="N177" s="63">
        <f t="shared" ca="1" si="11"/>
        <v>1.4285714285714287E-4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input_314010!A$2</f>
        <v>314010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>bg</v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IFERROR(VLOOKUP(E178,input_314010!L:R,7,FALSE),VLOOKUP(tables_314010!B178,input_314010!A:H,8,FALSE))</f>
        <v>189000</v>
      </c>
      <c r="N178" s="63">
        <f t="shared" ca="1" si="11"/>
        <v>6.7567567567567571E-3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input_314010!A$2</f>
        <v>314010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>bg</v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IFERROR(VLOOKUP(E179,input_314010!L:R,7,FALSE),VLOOKUP(tables_314010!B179,input_314010!A:H,8,FALSE))</f>
        <v>153090</v>
      </c>
      <c r="N179" s="63">
        <f t="shared" ca="1" si="11"/>
        <v>5.4729729729729726E-3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input_314010!A$2</f>
        <v>314010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>bg</v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IFERROR(VLOOKUP(E180,input_314010!L:R,7,FALSE),VLOOKUP(tables_314010!B180,input_314010!A:H,8,FALSE))</f>
        <v>18130</v>
      </c>
      <c r="N180" s="63">
        <f t="shared" ca="1" si="11"/>
        <v>6.4814814814814813E-4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input_314010!A$2</f>
        <v>314010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>bg</v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IFERROR(VLOOKUP(E181,input_314010!L:R,7,FALSE),VLOOKUP(tables_314010!B181,input_314010!A:H,8,FALSE))</f>
        <v>189000</v>
      </c>
      <c r="N181" s="63">
        <f t="shared" ca="1" si="11"/>
        <v>6.7567567567567571E-3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input_314010!A$2</f>
        <v>314010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>bg</v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IFERROR(VLOOKUP(E182,input_314010!L:R,7,FALSE),VLOOKUP(tables_314010!B182,input_314010!A:H,8,FALSE))</f>
        <v>153090</v>
      </c>
      <c r="N182" s="63">
        <f t="shared" ca="1" si="11"/>
        <v>5.4729729729729726E-3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input_314010!A$2</f>
        <v>314010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>bg</v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IFERROR(VLOOKUP(E183,input_314010!L:R,7,FALSE),VLOOKUP(tables_314010!B183,input_314010!A:H,8,FALSE))</f>
        <v>18130</v>
      </c>
      <c r="N183" s="63">
        <f t="shared" ca="1" si="11"/>
        <v>6.4814814814814813E-4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input_314010!A$2</f>
        <v>314010</v>
      </c>
      <c r="B184" s="7" t="str">
        <f t="shared" si="8"/>
        <v>PremiumSSry4</v>
      </c>
      <c r="C184" s="7" t="str">
        <f t="shared" si="9"/>
        <v>PremiumSS</v>
      </c>
      <c r="D184" s="7" t="str">
        <f t="shared" si="10"/>
        <v>ry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IFERROR(VLOOKUP(E184,input_314010!L:R,7,FALSE),VLOOKUP(tables_314010!B184,input_314010!A:H,8,FALSE))</f>
        <v>35964</v>
      </c>
      <c r="N184" s="63">
        <f t="shared" ca="1" si="11"/>
        <v>1.2857142857142856E-3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input_314010!A$2</f>
        <v>314010</v>
      </c>
      <c r="B185" s="7" t="str">
        <f t="shared" si="8"/>
        <v>PremiumSSry5</v>
      </c>
      <c r="C185" s="7" t="str">
        <f t="shared" si="9"/>
        <v>PremiumSS</v>
      </c>
      <c r="D185" s="7" t="str">
        <f t="shared" si="10"/>
        <v>ry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IFERROR(VLOOKUP(E185,input_314010!L:R,7,FALSE),VLOOKUP(tables_314010!B185,input_314010!A:H,8,FALSE))</f>
        <v>3996</v>
      </c>
      <c r="N185" s="63">
        <f t="shared" ca="1" si="11"/>
        <v>1.4285714285714287E-4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input_314010!A$2</f>
        <v>314010</v>
      </c>
      <c r="B186" s="7" t="str">
        <f t="shared" si="8"/>
        <v>Premium3</v>
      </c>
      <c r="C186" s="7" t="str">
        <f t="shared" si="9"/>
        <v>Premium</v>
      </c>
      <c r="D186" s="7" t="str">
        <f t="shared" si="10"/>
        <v>ry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IFERROR(VLOOKUP(E186,input_314010!L:R,7,FALSE),VLOOKUP(tables_314010!B186,input_314010!A:H,8,FALSE))</f>
        <v>189000</v>
      </c>
      <c r="N186" s="63">
        <f t="shared" ca="1" si="11"/>
        <v>6.7567567567567571E-3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input_314010!A$2</f>
        <v>314010</v>
      </c>
      <c r="B187" s="7" t="str">
        <f t="shared" si="8"/>
        <v>Premium4</v>
      </c>
      <c r="C187" s="7" t="str">
        <f t="shared" si="9"/>
        <v>Premium</v>
      </c>
      <c r="D187" s="7" t="str">
        <f t="shared" si="10"/>
        <v>ry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IFERROR(VLOOKUP(E187,input_314010!L:R,7,FALSE),VLOOKUP(tables_314010!B187,input_314010!A:H,8,FALSE))</f>
        <v>153090</v>
      </c>
      <c r="N187" s="63">
        <f t="shared" ca="1" si="11"/>
        <v>5.4729729729729726E-3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input_314010!A$2</f>
        <v>314010</v>
      </c>
      <c r="B188" s="7" t="str">
        <f t="shared" si="8"/>
        <v>Premium5</v>
      </c>
      <c r="C188" s="7" t="str">
        <f t="shared" si="9"/>
        <v>Premium</v>
      </c>
      <c r="D188" s="7" t="str">
        <f t="shared" si="10"/>
        <v>ry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IFERROR(VLOOKUP(E188,input_314010!L:R,7,FALSE),VLOOKUP(tables_314010!B188,input_314010!A:H,8,FALSE))</f>
        <v>18130</v>
      </c>
      <c r="N188" s="63">
        <f t="shared" ca="1" si="11"/>
        <v>6.4814814814814813E-4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input_314010!A$2</f>
        <v>314010</v>
      </c>
      <c r="B189" s="7" t="str">
        <f t="shared" si="8"/>
        <v>PremiumSSbg4</v>
      </c>
      <c r="C189" s="7" t="str">
        <f t="shared" si="9"/>
        <v>PremiumSS</v>
      </c>
      <c r="D189" s="7" t="str">
        <f t="shared" si="10"/>
        <v>bg</v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IFERROR(VLOOKUP(E189,input_314010!L:R,7,FALSE),VLOOKUP(tables_314010!B189,input_314010!A:H,8,FALSE))</f>
        <v>62937</v>
      </c>
      <c r="N189" s="63">
        <f t="shared" ca="1" si="11"/>
        <v>2.2499999999999998E-3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input_314010!A$2</f>
        <v>314010</v>
      </c>
      <c r="B190" s="7" t="str">
        <f t="shared" si="8"/>
        <v>PremiumSSbg5</v>
      </c>
      <c r="C190" s="7" t="str">
        <f t="shared" si="9"/>
        <v>PremiumSS</v>
      </c>
      <c r="D190" s="7" t="str">
        <f t="shared" si="10"/>
        <v>bg</v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IFERROR(VLOOKUP(E190,input_314010!L:R,7,FALSE),VLOOKUP(tables_314010!B190,input_314010!A:H,8,FALSE))</f>
        <v>6993</v>
      </c>
      <c r="N190" s="63">
        <f t="shared" ca="1" si="11"/>
        <v>2.5000000000000001E-4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input_314010!A$2</f>
        <v>314010</v>
      </c>
      <c r="B191" s="7" t="str">
        <f t="shared" si="8"/>
        <v>PremiumSSbg4</v>
      </c>
      <c r="C191" s="7" t="str">
        <f t="shared" si="9"/>
        <v>PremiumSS</v>
      </c>
      <c r="D191" s="7" t="str">
        <f t="shared" si="10"/>
        <v>bg</v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IFERROR(VLOOKUP(E191,input_314010!L:R,7,FALSE),VLOOKUP(tables_314010!B191,input_314010!A:H,8,FALSE))</f>
        <v>62937</v>
      </c>
      <c r="N191" s="63">
        <f t="shared" ca="1" si="11"/>
        <v>2.2499999999999998E-3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input_314010!A$2</f>
        <v>314010</v>
      </c>
      <c r="B192" s="7" t="str">
        <f t="shared" si="8"/>
        <v>PremiumSSbg5</v>
      </c>
      <c r="C192" s="7" t="str">
        <f t="shared" si="9"/>
        <v>PremiumSS</v>
      </c>
      <c r="D192" s="7" t="str">
        <f t="shared" si="10"/>
        <v>bg</v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IFERROR(VLOOKUP(E192,input_314010!L:R,7,FALSE),VLOOKUP(tables_314010!B192,input_314010!A:H,8,FALSE))</f>
        <v>6993</v>
      </c>
      <c r="N192" s="63">
        <f t="shared" ca="1" si="11"/>
        <v>2.5000000000000001E-4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input_314010!A$2</f>
        <v>314010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>ry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IFERROR(VLOOKUP(E193,input_314010!L:R,7,FALSE),VLOOKUP(tables_314010!B193,input_314010!A:H,8,FALSE))</f>
        <v>189000</v>
      </c>
      <c r="N193" s="63">
        <f t="shared" ca="1" si="11"/>
        <v>6.7567567567567571E-3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input_314010!A$2</f>
        <v>314010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>ry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IFERROR(VLOOKUP(E194,input_314010!L:R,7,FALSE),VLOOKUP(tables_314010!B194,input_314010!A:H,8,FALSE))</f>
        <v>153090</v>
      </c>
      <c r="N194" s="63">
        <f t="shared" ca="1" si="11"/>
        <v>5.4729729729729726E-3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input_314010!A$2</f>
        <v>314010</v>
      </c>
      <c r="B195" s="7" t="str">
        <f t="shared" ref="B195:B258" si="12">C195&amp;IF(C195="premium",,D195)&amp;H195</f>
        <v>Premium5</v>
      </c>
      <c r="C195" s="7" t="str">
        <f t="shared" ref="C195:C245" si="13">IF(G195="PremiumSS",G195,IF(G195="PremiumSSS",G195,"Premium"))</f>
        <v>Premium</v>
      </c>
      <c r="D195" s="7" t="str">
        <f t="shared" ref="D195:D245" si="14">IF(I195="red","ry",IF(I195="yellow","ry","bg"))</f>
        <v>ry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IFERROR(VLOOKUP(E195,input_314010!L:R,7,FALSE),VLOOKUP(tables_314010!B195,input_314010!A:H,8,FALSE))</f>
        <v>18130</v>
      </c>
      <c r="N195" s="63">
        <f t="shared" ref="N195:N245" ca="1" si="15">M195/SUM(M:M)</f>
        <v>6.4814814814814813E-4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input_314010!A$2</f>
        <v>314010</v>
      </c>
      <c r="B196" s="7" t="str">
        <f t="shared" si="12"/>
        <v>PremiumSSry4</v>
      </c>
      <c r="C196" s="7" t="str">
        <f t="shared" si="13"/>
        <v>PremiumSS</v>
      </c>
      <c r="D196" s="7" t="str">
        <f t="shared" si="14"/>
        <v>ry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IFERROR(VLOOKUP(E196,input_314010!L:R,7,FALSE),VLOOKUP(tables_314010!B196,input_314010!A:H,8,FALSE))</f>
        <v>35964</v>
      </c>
      <c r="N196" s="63">
        <f t="shared" ca="1" si="15"/>
        <v>1.2857142857142856E-3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input_314010!A$2</f>
        <v>314010</v>
      </c>
      <c r="B197" s="7" t="str">
        <f t="shared" si="12"/>
        <v>PremiumSSry5</v>
      </c>
      <c r="C197" s="7" t="str">
        <f t="shared" si="13"/>
        <v>PremiumSS</v>
      </c>
      <c r="D197" s="7" t="str">
        <f t="shared" si="14"/>
        <v>ry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IFERROR(VLOOKUP(E197,input_314010!L:R,7,FALSE),VLOOKUP(tables_314010!B197,input_314010!A:H,8,FALSE))</f>
        <v>3996</v>
      </c>
      <c r="N197" s="63">
        <f t="shared" ca="1" si="15"/>
        <v>1.4285714285714287E-4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input_314010!A$2</f>
        <v>314010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>bg</v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IFERROR(VLOOKUP(E198,input_314010!L:R,7,FALSE),VLOOKUP(tables_314010!B198,input_314010!A:H,8,FALSE))</f>
        <v>189000</v>
      </c>
      <c r="N198" s="63">
        <f t="shared" ca="1" si="15"/>
        <v>6.7567567567567571E-3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input_314010!A$2</f>
        <v>314010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>bg</v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IFERROR(VLOOKUP(E199,input_314010!L:R,7,FALSE),VLOOKUP(tables_314010!B199,input_314010!A:H,8,FALSE))</f>
        <v>153090</v>
      </c>
      <c r="N199" s="63">
        <f t="shared" ca="1" si="15"/>
        <v>5.4729729729729726E-3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input_314010!A$2</f>
        <v>314010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>bg</v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IFERROR(VLOOKUP(E200,input_314010!L:R,7,FALSE),VLOOKUP(tables_314010!B200,input_314010!A:H,8,FALSE))</f>
        <v>18130</v>
      </c>
      <c r="N200" s="63">
        <f t="shared" ca="1" si="15"/>
        <v>6.4814814814814813E-4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input_314010!A$2</f>
        <v>314010</v>
      </c>
      <c r="B201" s="7" t="str">
        <f t="shared" si="12"/>
        <v>PremiumSSbg4</v>
      </c>
      <c r="C201" s="7" t="str">
        <f t="shared" si="13"/>
        <v>PremiumSS</v>
      </c>
      <c r="D201" s="7" t="str">
        <f t="shared" si="14"/>
        <v>bg</v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IFERROR(VLOOKUP(E201,input_314010!L:R,7,FALSE),VLOOKUP(tables_314010!B201,input_314010!A:H,8,FALSE))</f>
        <v>62937</v>
      </c>
      <c r="N201" s="63">
        <f t="shared" ca="1" si="15"/>
        <v>2.2499999999999998E-3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input_314010!A$2</f>
        <v>314010</v>
      </c>
      <c r="B202" s="7" t="str">
        <f t="shared" si="12"/>
        <v>PremiumSSbg5</v>
      </c>
      <c r="C202" s="7" t="str">
        <f t="shared" si="13"/>
        <v>PremiumSS</v>
      </c>
      <c r="D202" s="7" t="str">
        <f t="shared" si="14"/>
        <v>bg</v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IFERROR(VLOOKUP(E202,input_314010!L:R,7,FALSE),VLOOKUP(tables_314010!B202,input_314010!A:H,8,FALSE))</f>
        <v>6993</v>
      </c>
      <c r="N202" s="63">
        <f t="shared" ca="1" si="15"/>
        <v>2.5000000000000001E-4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input_314010!A$2</f>
        <v>314010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>ry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IFERROR(VLOOKUP(E203,input_314010!L:R,7,FALSE),VLOOKUP(tables_314010!B203,input_314010!A:H,8,FALSE))</f>
        <v>189000</v>
      </c>
      <c r="N203" s="63">
        <f t="shared" ca="1" si="15"/>
        <v>6.7567567567567571E-3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input_314010!A$2</f>
        <v>314010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>ry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IFERROR(VLOOKUP(E204,input_314010!L:R,7,FALSE),VLOOKUP(tables_314010!B204,input_314010!A:H,8,FALSE))</f>
        <v>153090</v>
      </c>
      <c r="N204" s="63">
        <f t="shared" ca="1" si="15"/>
        <v>5.4729729729729726E-3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input_314010!A$2</f>
        <v>314010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>ry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IFERROR(VLOOKUP(E205,input_314010!L:R,7,FALSE),VLOOKUP(tables_314010!B205,input_314010!A:H,8,FALSE))</f>
        <v>18130</v>
      </c>
      <c r="N205" s="63">
        <f t="shared" ca="1" si="15"/>
        <v>6.4814814814814813E-4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input_314010!A$2</f>
        <v>314010</v>
      </c>
      <c r="B206" s="7" t="str">
        <f t="shared" si="12"/>
        <v>PremiumSSry4</v>
      </c>
      <c r="C206" s="7" t="str">
        <f t="shared" si="13"/>
        <v>PremiumSS</v>
      </c>
      <c r="D206" s="7" t="str">
        <f t="shared" si="14"/>
        <v>ry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IFERROR(VLOOKUP(E206,input_314010!L:R,7,FALSE),VLOOKUP(tables_314010!B206,input_314010!A:H,8,FALSE))</f>
        <v>35964</v>
      </c>
      <c r="N206" s="63">
        <f t="shared" ca="1" si="15"/>
        <v>1.2857142857142856E-3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input_314010!A$2</f>
        <v>314010</v>
      </c>
      <c r="B207" s="7" t="str">
        <f t="shared" si="12"/>
        <v>PremiumSSry5</v>
      </c>
      <c r="C207" s="7" t="str">
        <f t="shared" si="13"/>
        <v>PremiumSS</v>
      </c>
      <c r="D207" s="7" t="str">
        <f t="shared" si="14"/>
        <v>ry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IFERROR(VLOOKUP(E207,input_314010!L:R,7,FALSE),VLOOKUP(tables_314010!B207,input_314010!A:H,8,FALSE))</f>
        <v>3996</v>
      </c>
      <c r="N207" s="63">
        <f t="shared" ca="1" si="15"/>
        <v>1.4285714285714287E-4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input_314010!A$2</f>
        <v>314010</v>
      </c>
      <c r="B208" s="7" t="str">
        <f t="shared" si="12"/>
        <v>PremiumSSbg4</v>
      </c>
      <c r="C208" s="7" t="str">
        <f t="shared" si="13"/>
        <v>PremiumSS</v>
      </c>
      <c r="D208" s="7" t="str">
        <f t="shared" si="14"/>
        <v>bg</v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IFERROR(VLOOKUP(E208,input_314010!L:R,7,FALSE),VLOOKUP(tables_314010!B208,input_314010!A:H,8,FALSE))</f>
        <v>62937</v>
      </c>
      <c r="N208" s="63">
        <f t="shared" ca="1" si="15"/>
        <v>2.2499999999999998E-3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input_314010!A$2</f>
        <v>314010</v>
      </c>
      <c r="B209" s="7" t="str">
        <f t="shared" si="12"/>
        <v>PremiumSSbg5</v>
      </c>
      <c r="C209" s="7" t="str">
        <f t="shared" si="13"/>
        <v>PremiumSS</v>
      </c>
      <c r="D209" s="7" t="str">
        <f t="shared" si="14"/>
        <v>bg</v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IFERROR(VLOOKUP(E209,input_314010!L:R,7,FALSE),VLOOKUP(tables_314010!B209,input_314010!A:H,8,FALSE))</f>
        <v>6993</v>
      </c>
      <c r="N209" s="63">
        <f t="shared" ca="1" si="15"/>
        <v>2.5000000000000001E-4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input_314010!A$2</f>
        <v>314010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>bg</v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IFERROR(VLOOKUP(E210,input_314010!L:R,7,FALSE),VLOOKUP(tables_314010!B210,input_314010!A:H,8,FALSE))</f>
        <v>189000</v>
      </c>
      <c r="N210" s="63">
        <f t="shared" ca="1" si="15"/>
        <v>6.7567567567567571E-3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input_314010!A$2</f>
        <v>314010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>bg</v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IFERROR(VLOOKUP(E211,input_314010!L:R,7,FALSE),VLOOKUP(tables_314010!B211,input_314010!A:H,8,FALSE))</f>
        <v>153090</v>
      </c>
      <c r="N211" s="63">
        <f t="shared" ca="1" si="15"/>
        <v>5.4729729729729726E-3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input_314010!A$2</f>
        <v>314010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>bg</v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IFERROR(VLOOKUP(E212,input_314010!L:R,7,FALSE),VLOOKUP(tables_314010!B212,input_314010!A:H,8,FALSE))</f>
        <v>18130</v>
      </c>
      <c r="N212" s="63">
        <f t="shared" ca="1" si="15"/>
        <v>6.4814814814814813E-4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input_314010!A$2</f>
        <v>314010</v>
      </c>
      <c r="B213" s="7" t="str">
        <f t="shared" si="12"/>
        <v>PremiumSSry4</v>
      </c>
      <c r="C213" s="7" t="str">
        <f t="shared" si="13"/>
        <v>PremiumSS</v>
      </c>
      <c r="D213" s="7" t="str">
        <f t="shared" si="14"/>
        <v>ry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IFERROR(VLOOKUP(E213,input_314010!L:R,7,FALSE),VLOOKUP(tables_314010!B213,input_314010!A:H,8,FALSE))</f>
        <v>35964</v>
      </c>
      <c r="N213" s="63">
        <f t="shared" ca="1" si="15"/>
        <v>1.2857142857142856E-3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input_314010!A$2</f>
        <v>314010</v>
      </c>
      <c r="B214" s="7" t="str">
        <f t="shared" si="12"/>
        <v>PremiumSSry5</v>
      </c>
      <c r="C214" s="7" t="str">
        <f t="shared" si="13"/>
        <v>PremiumSS</v>
      </c>
      <c r="D214" s="7" t="str">
        <f t="shared" si="14"/>
        <v>ry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IFERROR(VLOOKUP(E214,input_314010!L:R,7,FALSE),VLOOKUP(tables_314010!B214,input_314010!A:H,8,FALSE))</f>
        <v>3996</v>
      </c>
      <c r="N214" s="63">
        <f t="shared" ca="1" si="15"/>
        <v>1.4285714285714287E-4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input_314010!A$2</f>
        <v>314010</v>
      </c>
      <c r="B215" s="7" t="str">
        <f t="shared" si="12"/>
        <v>PremiumSSry4</v>
      </c>
      <c r="C215" s="7" t="str">
        <f t="shared" si="13"/>
        <v>PremiumSS</v>
      </c>
      <c r="D215" s="7" t="str">
        <f t="shared" si="14"/>
        <v>ry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IFERROR(VLOOKUP(E215,input_314010!L:R,7,FALSE),VLOOKUP(tables_314010!B215,input_314010!A:H,8,FALSE))</f>
        <v>35964</v>
      </c>
      <c r="N215" s="63">
        <f t="shared" ca="1" si="15"/>
        <v>1.2857142857142856E-3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input_314010!A$2</f>
        <v>314010</v>
      </c>
      <c r="B216" s="7" t="str">
        <f t="shared" si="12"/>
        <v>PremiumSSry5</v>
      </c>
      <c r="C216" s="7" t="str">
        <f t="shared" si="13"/>
        <v>PremiumSS</v>
      </c>
      <c r="D216" s="7" t="str">
        <f t="shared" si="14"/>
        <v>ry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IFERROR(VLOOKUP(E216,input_314010!L:R,7,FALSE),VLOOKUP(tables_314010!B216,input_314010!A:H,8,FALSE))</f>
        <v>3996</v>
      </c>
      <c r="N216" s="63">
        <f t="shared" ca="1" si="15"/>
        <v>1.4285714285714287E-4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input_314010!A$2</f>
        <v>314010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>bg</v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IFERROR(VLOOKUP(E217,input_314010!L:R,7,FALSE),VLOOKUP(tables_314010!B217,input_314010!A:H,8,FALSE))</f>
        <v>189000</v>
      </c>
      <c r="N217" s="63">
        <f t="shared" ca="1" si="15"/>
        <v>6.7567567567567571E-3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input_314010!A$2</f>
        <v>314010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>bg</v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IFERROR(VLOOKUP(E218,input_314010!L:R,7,FALSE),VLOOKUP(tables_314010!B218,input_314010!A:H,8,FALSE))</f>
        <v>153090</v>
      </c>
      <c r="N218" s="63">
        <f t="shared" ca="1" si="15"/>
        <v>5.4729729729729726E-3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input_314010!A$2</f>
        <v>314010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>bg</v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IFERROR(VLOOKUP(E219,input_314010!L:R,7,FALSE),VLOOKUP(tables_314010!B219,input_314010!A:H,8,FALSE))</f>
        <v>18130</v>
      </c>
      <c r="N219" s="63">
        <f t="shared" ca="1" si="15"/>
        <v>6.4814814814814813E-4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input_314010!A$2</f>
        <v>314010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>bg</v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IFERROR(VLOOKUP(E220,input_314010!L:R,7,FALSE),VLOOKUP(tables_314010!B220,input_314010!A:H,8,FALSE))</f>
        <v>189000</v>
      </c>
      <c r="N220" s="63">
        <f t="shared" ca="1" si="15"/>
        <v>6.7567567567567571E-3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input_314010!A$2</f>
        <v>314010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>bg</v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IFERROR(VLOOKUP(E221,input_314010!L:R,7,FALSE),VLOOKUP(tables_314010!B221,input_314010!A:H,8,FALSE))</f>
        <v>153090</v>
      </c>
      <c r="N221" s="63">
        <f t="shared" ca="1" si="15"/>
        <v>5.4729729729729726E-3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input_314010!A$2</f>
        <v>314010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>bg</v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IFERROR(VLOOKUP(E222,input_314010!L:R,7,FALSE),VLOOKUP(tables_314010!B222,input_314010!A:H,8,FALSE))</f>
        <v>18130</v>
      </c>
      <c r="N222" s="63">
        <f t="shared" ca="1" si="15"/>
        <v>6.4814814814814813E-4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input_314010!A$2</f>
        <v>314010</v>
      </c>
      <c r="B223" s="7" t="str">
        <f t="shared" si="12"/>
        <v>PremiumSSry4</v>
      </c>
      <c r="C223" s="7" t="str">
        <f t="shared" si="13"/>
        <v>PremiumSS</v>
      </c>
      <c r="D223" s="7" t="str">
        <f t="shared" si="14"/>
        <v>ry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IFERROR(VLOOKUP(E223,input_314010!L:R,7,FALSE),VLOOKUP(tables_314010!B223,input_314010!A:H,8,FALSE))</f>
        <v>35964</v>
      </c>
      <c r="N223" s="63">
        <f t="shared" ca="1" si="15"/>
        <v>1.2857142857142856E-3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input_314010!A$2</f>
        <v>314010</v>
      </c>
      <c r="B224" s="7" t="str">
        <f t="shared" si="12"/>
        <v>PremiumSSry5</v>
      </c>
      <c r="C224" s="7" t="str">
        <f t="shared" si="13"/>
        <v>PremiumSS</v>
      </c>
      <c r="D224" s="7" t="str">
        <f t="shared" si="14"/>
        <v>ry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IFERROR(VLOOKUP(E224,input_314010!L:R,7,FALSE),VLOOKUP(tables_314010!B224,input_314010!A:H,8,FALSE))</f>
        <v>3996</v>
      </c>
      <c r="N224" s="63">
        <f t="shared" ca="1" si="15"/>
        <v>1.4285714285714287E-4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input_314010!A$2</f>
        <v>314010</v>
      </c>
      <c r="B225" s="7" t="str">
        <f t="shared" si="12"/>
        <v>Premium3</v>
      </c>
      <c r="C225" s="7" t="str">
        <f t="shared" si="13"/>
        <v>Premium</v>
      </c>
      <c r="D225" s="7" t="str">
        <f t="shared" si="14"/>
        <v>ry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IFERROR(VLOOKUP(E225,input_314010!L:R,7,FALSE),VLOOKUP(tables_314010!B225,input_314010!A:H,8,FALSE))</f>
        <v>189000</v>
      </c>
      <c r="N225" s="63">
        <f t="shared" ca="1" si="15"/>
        <v>6.7567567567567571E-3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input_314010!A$2</f>
        <v>314010</v>
      </c>
      <c r="B226" s="7" t="str">
        <f t="shared" si="12"/>
        <v>Premium4</v>
      </c>
      <c r="C226" s="7" t="str">
        <f t="shared" si="13"/>
        <v>Premium</v>
      </c>
      <c r="D226" s="7" t="str">
        <f t="shared" si="14"/>
        <v>ry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IFERROR(VLOOKUP(E226,input_314010!L:R,7,FALSE),VLOOKUP(tables_314010!B226,input_314010!A:H,8,FALSE))</f>
        <v>153090</v>
      </c>
      <c r="N226" s="63">
        <f t="shared" ca="1" si="15"/>
        <v>5.4729729729729726E-3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input_314010!A$2</f>
        <v>314010</v>
      </c>
      <c r="B227" s="7" t="str">
        <f t="shared" si="12"/>
        <v>Premium5</v>
      </c>
      <c r="C227" s="7" t="str">
        <f t="shared" si="13"/>
        <v>Premium</v>
      </c>
      <c r="D227" s="7" t="str">
        <f t="shared" si="14"/>
        <v>ry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IFERROR(VLOOKUP(E227,input_314010!L:R,7,FALSE),VLOOKUP(tables_314010!B227,input_314010!A:H,8,FALSE))</f>
        <v>18130</v>
      </c>
      <c r="N227" s="63">
        <f t="shared" ca="1" si="15"/>
        <v>6.4814814814814813E-4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input_314010!A$2</f>
        <v>314010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>bg</v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IFERROR(VLOOKUP(E228,input_314010!L:R,7,FALSE),VLOOKUP(tables_314010!B228,input_314010!A:H,8,FALSE))</f>
        <v>189000</v>
      </c>
      <c r="N228" s="63">
        <f t="shared" ca="1" si="15"/>
        <v>6.7567567567567571E-3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input_314010!A$2</f>
        <v>314010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>bg</v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IFERROR(VLOOKUP(E229,input_314010!L:R,7,FALSE),VLOOKUP(tables_314010!B229,input_314010!A:H,8,FALSE))</f>
        <v>153090</v>
      </c>
      <c r="N229" s="63">
        <f t="shared" ca="1" si="15"/>
        <v>5.4729729729729726E-3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input_314010!A$2</f>
        <v>314010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>bg</v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IFERROR(VLOOKUP(E230,input_314010!L:R,7,FALSE),VLOOKUP(tables_314010!B230,input_314010!A:H,8,FALSE))</f>
        <v>18130</v>
      </c>
      <c r="N230" s="63">
        <f t="shared" ca="1" si="15"/>
        <v>6.4814814814814813E-4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input_314010!A$2</f>
        <v>314010</v>
      </c>
      <c r="B231" s="7" t="str">
        <f t="shared" si="12"/>
        <v>PremiumSSbg4</v>
      </c>
      <c r="C231" s="7" t="str">
        <f t="shared" si="13"/>
        <v>PremiumSS</v>
      </c>
      <c r="D231" s="7" t="str">
        <f t="shared" si="14"/>
        <v>bg</v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IFERROR(VLOOKUP(E231,input_314010!L:R,7,FALSE),VLOOKUP(tables_314010!B231,input_314010!A:H,8,FALSE))</f>
        <v>62937</v>
      </c>
      <c r="N231" s="63">
        <f t="shared" ca="1" si="15"/>
        <v>2.2499999999999998E-3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input_314010!A$2</f>
        <v>314010</v>
      </c>
      <c r="B232" s="7" t="str">
        <f t="shared" si="12"/>
        <v>PremiumSSbg5</v>
      </c>
      <c r="C232" s="7" t="str">
        <f t="shared" si="13"/>
        <v>PremiumSS</v>
      </c>
      <c r="D232" s="7" t="str">
        <f t="shared" si="14"/>
        <v>bg</v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IFERROR(VLOOKUP(E232,input_314010!L:R,7,FALSE),VLOOKUP(tables_314010!B232,input_314010!A:H,8,FALSE))</f>
        <v>6993</v>
      </c>
      <c r="N232" s="63">
        <f t="shared" ca="1" si="15"/>
        <v>2.5000000000000001E-4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input_314010!A$2</f>
        <v>314010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>ry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IFERROR(VLOOKUP(E233,input_314010!L:R,7,FALSE),VLOOKUP(tables_314010!B233,input_314010!A:H,8,FALSE))</f>
        <v>189000</v>
      </c>
      <c r="N233" s="63">
        <f t="shared" ca="1" si="15"/>
        <v>6.7567567567567571E-3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input_314010!A$2</f>
        <v>314010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>ry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IFERROR(VLOOKUP(E234,input_314010!L:R,7,FALSE),VLOOKUP(tables_314010!B234,input_314010!A:H,8,FALSE))</f>
        <v>153090</v>
      </c>
      <c r="N234" s="63">
        <f t="shared" ca="1" si="15"/>
        <v>5.4729729729729726E-3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input_314010!A$2</f>
        <v>314010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>ry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IFERROR(VLOOKUP(E235,input_314010!L:R,7,FALSE),VLOOKUP(tables_314010!B235,input_314010!A:H,8,FALSE))</f>
        <v>18130</v>
      </c>
      <c r="N235" s="63">
        <f t="shared" ca="1" si="15"/>
        <v>6.4814814814814813E-4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input_314010!A$2</f>
        <v>314010</v>
      </c>
      <c r="B236" s="7" t="str">
        <f t="shared" si="12"/>
        <v>PremiumSSry4</v>
      </c>
      <c r="C236" s="7" t="str">
        <f t="shared" si="13"/>
        <v>PremiumSS</v>
      </c>
      <c r="D236" s="7" t="str">
        <f t="shared" si="14"/>
        <v>ry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IFERROR(VLOOKUP(E236,input_314010!L:R,7,FALSE),VLOOKUP(tables_314010!B236,input_314010!A:H,8,FALSE))</f>
        <v>35964</v>
      </c>
      <c r="N236" s="63">
        <f t="shared" ca="1" si="15"/>
        <v>1.2857142857142856E-3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input_314010!A$2</f>
        <v>314010</v>
      </c>
      <c r="B237" s="7" t="str">
        <f t="shared" si="12"/>
        <v>PremiumSSry5</v>
      </c>
      <c r="C237" s="7" t="str">
        <f t="shared" si="13"/>
        <v>PremiumSS</v>
      </c>
      <c r="D237" s="7" t="str">
        <f t="shared" si="14"/>
        <v>ry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IFERROR(VLOOKUP(E237,input_314010!L:R,7,FALSE),VLOOKUP(tables_314010!B237,input_314010!A:H,8,FALSE))</f>
        <v>3996</v>
      </c>
      <c r="N237" s="63">
        <f t="shared" ca="1" si="15"/>
        <v>1.4285714285714287E-4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input_314010!A$2</f>
        <v>314010</v>
      </c>
      <c r="B238" s="7" t="str">
        <f t="shared" si="12"/>
        <v>PremiumSSbg4</v>
      </c>
      <c r="C238" s="7" t="str">
        <f t="shared" si="13"/>
        <v>PremiumSS</v>
      </c>
      <c r="D238" s="7" t="str">
        <f t="shared" si="14"/>
        <v>bg</v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IFERROR(VLOOKUP(E238,input_314010!L:R,7,FALSE),VLOOKUP(tables_314010!B238,input_314010!A:H,8,FALSE))</f>
        <v>62937</v>
      </c>
      <c r="N238" s="63">
        <f t="shared" ca="1" si="15"/>
        <v>2.2499999999999998E-3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input_314010!A$2</f>
        <v>314010</v>
      </c>
      <c r="B239" s="7" t="str">
        <f t="shared" si="12"/>
        <v>PremiumSSbg5</v>
      </c>
      <c r="C239" s="7" t="str">
        <f t="shared" si="13"/>
        <v>PremiumSS</v>
      </c>
      <c r="D239" s="7" t="str">
        <f t="shared" si="14"/>
        <v>bg</v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IFERROR(VLOOKUP(E239,input_314010!L:R,7,FALSE),VLOOKUP(tables_314010!B239,input_314010!A:H,8,FALSE))</f>
        <v>6993</v>
      </c>
      <c r="N239" s="63">
        <f t="shared" ca="1" si="15"/>
        <v>2.5000000000000001E-4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input_314010!A$2</f>
        <v>314010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>bg</v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IFERROR(VLOOKUP(E240,input_314010!L:R,7,FALSE),VLOOKUP(tables_314010!B240,input_314010!A:H,8,FALSE))</f>
        <v>189000</v>
      </c>
      <c r="N240" s="63">
        <f t="shared" ca="1" si="15"/>
        <v>6.7567567567567571E-3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input_314010!A$2</f>
        <v>314010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>bg</v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IFERROR(VLOOKUP(E241,input_314010!L:R,7,FALSE),VLOOKUP(tables_314010!B241,input_314010!A:H,8,FALSE))</f>
        <v>153090</v>
      </c>
      <c r="N241" s="63">
        <f t="shared" ca="1" si="15"/>
        <v>5.4729729729729726E-3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input_314010!A$2</f>
        <v>314010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>bg</v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IFERROR(VLOOKUP(E242,input_314010!L:R,7,FALSE),VLOOKUP(tables_314010!B242,input_314010!A:H,8,FALSE))</f>
        <v>18130</v>
      </c>
      <c r="N242" s="63">
        <f t="shared" ca="1" si="15"/>
        <v>6.4814814814814813E-4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input_314010!A$2</f>
        <v>314010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>ry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IFERROR(VLOOKUP(E243,input_314010!L:R,7,FALSE),VLOOKUP(tables_314010!B243,input_314010!A:H,8,FALSE))</f>
        <v>189000</v>
      </c>
      <c r="N243" s="63">
        <f t="shared" ca="1" si="15"/>
        <v>6.7567567567567571E-3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input_314010!A$2</f>
        <v>314010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>ry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IFERROR(VLOOKUP(E244,input_314010!L:R,7,FALSE),VLOOKUP(tables_314010!B244,input_314010!A:H,8,FALSE))</f>
        <v>153090</v>
      </c>
      <c r="N244" s="63">
        <f t="shared" ca="1" si="15"/>
        <v>5.4729729729729726E-3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input_314010!A$2</f>
        <v>314010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>ry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IFERROR(VLOOKUP(E245,input_314010!L:R,7,FALSE),VLOOKUP(tables_314010!B245,input_314010!A:H,8,FALSE))</f>
        <v>18130</v>
      </c>
      <c r="N245" s="63">
        <f t="shared" ca="1" si="15"/>
        <v>6.4814814814814813E-4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input_314010!A$2</f>
        <v>314010</v>
      </c>
      <c r="B246" s="7" t="str">
        <f t="shared" si="12"/>
        <v>PremiumSSSry5</v>
      </c>
      <c r="C246" s="7" t="str">
        <f t="shared" ref="C246:C249" si="16">IF(G246="PremiumSS",G246,IF(G246="PremiumSSS",G246,"Premium"))</f>
        <v>PremiumSSS</v>
      </c>
      <c r="D246" s="7" t="str">
        <f t="shared" ref="D246:D249" si="17">IF(I246="red","ry",IF(I246="yellow","ry","bg"))</f>
        <v>ry</v>
      </c>
      <c r="E246" s="6">
        <v>486</v>
      </c>
      <c r="F246" s="7" t="str">
        <f>VLOOKUP(E246,[1]characters!$A:$C,3,FALSE)</f>
        <v>重なる世解 シュレディンガー</v>
      </c>
      <c r="G246" s="7" t="str">
        <f>VLOOKUP(E246,[1]characters!$A:$J,10,FALSE)</f>
        <v>PremiumSSS</v>
      </c>
      <c r="H246" s="7">
        <f>VLOOKUP(E246,[1]characters!$A:$I,9,FALSE)</f>
        <v>5</v>
      </c>
      <c r="I246" s="7" t="str">
        <f>VLOOKUP(E246,[1]characters!$A:$H,8,FALSE)</f>
        <v>red</v>
      </c>
      <c r="J246" s="7" t="str">
        <f>VLOOKUP(E246,[1]characters!$A:$K,11,FALSE)</f>
        <v>balance</v>
      </c>
      <c r="K246" s="7" t="str">
        <f>VLOOKUP(E246,[1]characters!$A:$M,13,FALSE)</f>
        <v>animal</v>
      </c>
      <c r="L246" s="7" t="str">
        <f>VLOOKUP(E246,[1]characters!$A:$G,7,FALSE)</f>
        <v>男性</v>
      </c>
      <c r="M246" s="62">
        <f ca="1">IFERROR(VLOOKUP(E246,input_314010!L:R,7,FALSE),VLOOKUP(tables_314010!B246,input_314010!A:H,8,FALSE))</f>
        <v>34965</v>
      </c>
      <c r="N246" s="63">
        <f t="shared" ref="N246:N249" ca="1" si="18">M246/SUM(M:M)</f>
        <v>1.25E-3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input_314010!A$2</f>
        <v>314010</v>
      </c>
      <c r="B247" s="7" t="str">
        <f t="shared" si="12"/>
        <v>PremiumSSSbg5</v>
      </c>
      <c r="C247" s="7" t="str">
        <f t="shared" si="16"/>
        <v>PremiumSSS</v>
      </c>
      <c r="D247" s="7" t="str">
        <f t="shared" si="17"/>
        <v>bg</v>
      </c>
      <c r="E247" s="6">
        <v>487</v>
      </c>
      <c r="F247" s="7" t="str">
        <f>VLOOKUP(E247,[1]characters!$A:$C,3,FALSE)</f>
        <v>暴創の造物 チューリング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green</v>
      </c>
      <c r="J247" s="7" t="str">
        <f>VLOOKUP(E247,[1]characters!$A:$K,11,FALSE)</f>
        <v>hp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 ca="1">IFERROR(VLOOKUP(E247,input_314010!L:R,7,FALSE),VLOOKUP(tables_314010!B247,input_314010!A:H,8,FALSE))</f>
        <v>104895</v>
      </c>
      <c r="N247" s="63">
        <f t="shared" ca="1" si="18"/>
        <v>3.7499999999999999E-3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input_314010!A$2</f>
        <v>314010</v>
      </c>
      <c r="B248" s="7" t="str">
        <f t="shared" si="12"/>
        <v>PremiumSSSbg5</v>
      </c>
      <c r="C248" s="7" t="str">
        <f t="shared" si="16"/>
        <v>PremiumSSS</v>
      </c>
      <c r="D248" s="7" t="str">
        <f t="shared" si="17"/>
        <v>bg</v>
      </c>
      <c r="E248" s="6">
        <v>488</v>
      </c>
      <c r="F248" s="7" t="str">
        <f>VLOOKUP(E248,[1]characters!$A:$C,3,FALSE)</f>
        <v>直観の異論 ヘンペル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blue</v>
      </c>
      <c r="J248" s="7" t="str">
        <f>VLOOKUP(E248,[1]characters!$A:$K,11,FALSE)</f>
        <v>technical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 ca="1">IFERROR(VLOOKUP(E248,input_314010!L:R,7,FALSE),VLOOKUP(tables_314010!B248,input_314010!A:H,8,FALSE))</f>
        <v>104895</v>
      </c>
      <c r="N248" s="63">
        <f t="shared" ca="1" si="18"/>
        <v>3.7499999999999999E-3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input_314010!A$2</f>
        <v>314010</v>
      </c>
      <c r="B249" s="7" t="str">
        <f t="shared" si="12"/>
        <v>PremiumSSSry5</v>
      </c>
      <c r="C249" s="7" t="str">
        <f t="shared" si="16"/>
        <v>PremiumSSS</v>
      </c>
      <c r="D249" s="7" t="str">
        <f t="shared" si="17"/>
        <v>ry</v>
      </c>
      <c r="E249" s="6">
        <v>489</v>
      </c>
      <c r="F249" s="7" t="str">
        <f>VLOOKUP(E249,[1]characters!$A:$C,3,FALSE)</f>
        <v>宇宙の拡超 ハップル</v>
      </c>
      <c r="G249" s="7" t="str">
        <f>VLOOKUP(E249,[1]characters!$A:$J,10,FALSE)</f>
        <v>PremiumSSS</v>
      </c>
      <c r="H249" s="7">
        <f>VLOOKUP(E249,[1]characters!$A:$I,9,FALSE)</f>
        <v>5</v>
      </c>
      <c r="I249" s="7" t="str">
        <f>VLOOKUP(E249,[1]characters!$A:$H,8,FALSE)</f>
        <v>yellow</v>
      </c>
      <c r="J249" s="7" t="str">
        <f>VLOOKUP(E249,[1]characters!$A:$K,11,FALSE)</f>
        <v>technical</v>
      </c>
      <c r="K249" s="7" t="str">
        <f>VLOOKUP(E249,[1]characters!$A:$M,13,FALSE)</f>
        <v>human</v>
      </c>
      <c r="L249" s="7" t="str">
        <f>VLOOKUP(E249,[1]characters!$A:$G,7,FALSE)</f>
        <v>女性</v>
      </c>
      <c r="M249" s="62">
        <f ca="1">IFERROR(VLOOKUP(E249,input_314010!L:R,7,FALSE),VLOOKUP(tables_314010!B249,input_314010!A:H,8,FALSE))</f>
        <v>34965</v>
      </c>
      <c r="N249" s="63">
        <f t="shared" ca="1" si="18"/>
        <v>1.25E-3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input_314010!A$2</f>
        <v>314010</v>
      </c>
      <c r="B250" s="7" t="str">
        <f t="shared" si="12"/>
        <v>Premium3</v>
      </c>
      <c r="C250" s="7" t="str">
        <f t="shared" ref="C250:C259" si="19">IF(G250="PremiumSS",G250,IF(G250="PremiumSSS",G250,"Premium"))</f>
        <v>Premium</v>
      </c>
      <c r="D250" s="7" t="str">
        <f t="shared" ref="D250:D259" si="20">IF(I250="red","ry",IF(I250="yellow","ry","bg"))</f>
        <v>ry</v>
      </c>
      <c r="E250" s="6">
        <v>668</v>
      </c>
      <c r="F250" s="7" t="str">
        <f>VLOOKUP(E250,[1]characters!$A:$C,3,FALSE)</f>
        <v>アグニ</v>
      </c>
      <c r="G250" s="7" t="str">
        <f>VLOOKUP(E250,[1]characters!$A:$J,10,FALSE)</f>
        <v>PremiumS</v>
      </c>
      <c r="H250" s="7">
        <f>VLOOKUP(E250,[1]characters!$A:$I,9,FALSE)</f>
        <v>3</v>
      </c>
      <c r="I250" s="7" t="str">
        <f>VLOOKUP(E250,[1]characters!$A:$H,8,FALSE)</f>
        <v>red</v>
      </c>
      <c r="J250" s="7" t="str">
        <f>VLOOKUP(E250,[1]characters!$A:$K,11,FALSE)</f>
        <v>hp</v>
      </c>
      <c r="K250" s="7" t="str">
        <f>VLOOKUP(E250,[1]characters!$A:$M,13,FALSE)</f>
        <v>god</v>
      </c>
      <c r="L250" s="7" t="str">
        <f>VLOOKUP(E250,[1]characters!$A:$G,7,FALSE)</f>
        <v>男性</v>
      </c>
      <c r="M250" s="62">
        <f ca="1">IFERROR(VLOOKUP(E250,input_314010!L:R,7,FALSE),VLOOKUP(tables_314010!B250,input_314010!A:H,8,FALSE))</f>
        <v>189000</v>
      </c>
      <c r="N250" s="63">
        <f t="shared" ref="N250:N259" ca="1" si="21">M250/SUM(M:M)</f>
        <v>6.7567567567567571E-3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input_314010!A$2</f>
        <v>314010</v>
      </c>
      <c r="B251" s="7" t="str">
        <f t="shared" si="12"/>
        <v>Premium4</v>
      </c>
      <c r="C251" s="7" t="str">
        <f t="shared" si="19"/>
        <v>Premium</v>
      </c>
      <c r="D251" s="7" t="str">
        <f t="shared" si="20"/>
        <v>ry</v>
      </c>
      <c r="E251" s="6">
        <v>669</v>
      </c>
      <c r="F251" s="7" t="str">
        <f>VLOOKUP(E251,[1]characters!$A:$C,3,FALSE)</f>
        <v>天地の仲界 アグニ</v>
      </c>
      <c r="G251" s="7" t="str">
        <f>VLOOKUP(E251,[1]characters!$A:$J,10,FALSE)</f>
        <v>PremiumS</v>
      </c>
      <c r="H251" s="7">
        <f>VLOOKUP(E251,[1]characters!$A:$I,9,FALSE)</f>
        <v>4</v>
      </c>
      <c r="I251" s="7" t="str">
        <f>VLOOKUP(E251,[1]characters!$A:$H,8,FALSE)</f>
        <v>red</v>
      </c>
      <c r="J251" s="7" t="str">
        <f>VLOOKUP(E251,[1]characters!$A:$K,11,FALSE)</f>
        <v>hp</v>
      </c>
      <c r="K251" s="7" t="str">
        <f>VLOOKUP(E251,[1]characters!$A:$M,13,FALSE)</f>
        <v>god</v>
      </c>
      <c r="L251" s="7" t="str">
        <f>VLOOKUP(E251,[1]characters!$A:$G,7,FALSE)</f>
        <v>男性</v>
      </c>
      <c r="M251" s="62">
        <f ca="1">IFERROR(VLOOKUP(E251,input_314010!L:R,7,FALSE),VLOOKUP(tables_314010!B251,input_314010!A:H,8,FALSE))</f>
        <v>153090</v>
      </c>
      <c r="N251" s="63">
        <f t="shared" ca="1" si="21"/>
        <v>5.4729729729729726E-3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input_314010!A$2</f>
        <v>314010</v>
      </c>
      <c r="B252" s="7" t="str">
        <f t="shared" si="12"/>
        <v>Premium5</v>
      </c>
      <c r="C252" s="7" t="str">
        <f t="shared" si="19"/>
        <v>Premium</v>
      </c>
      <c r="D252" s="7" t="str">
        <f t="shared" si="20"/>
        <v>ry</v>
      </c>
      <c r="E252" s="6">
        <v>670</v>
      </c>
      <c r="F252" s="7" t="str">
        <f>VLOOKUP(E252,[1]characters!$A:$C,3,FALSE)</f>
        <v>陽天の噴煙 アグニ</v>
      </c>
      <c r="G252" s="7" t="str">
        <f>VLOOKUP(E252,[1]characters!$A:$J,10,FALSE)</f>
        <v>PremiumS</v>
      </c>
      <c r="H252" s="7">
        <f>VLOOKUP(E252,[1]characters!$A:$I,9,FALSE)</f>
        <v>5</v>
      </c>
      <c r="I252" s="7" t="str">
        <f>VLOOKUP(E252,[1]characters!$A:$H,8,FALSE)</f>
        <v>red</v>
      </c>
      <c r="J252" s="7" t="str">
        <f>VLOOKUP(E252,[1]characters!$A:$K,11,FALSE)</f>
        <v>hp</v>
      </c>
      <c r="K252" s="7" t="str">
        <f>VLOOKUP(E252,[1]characters!$A:$M,13,FALSE)</f>
        <v>god</v>
      </c>
      <c r="L252" s="7" t="str">
        <f>VLOOKUP(E252,[1]characters!$A:$G,7,FALSE)</f>
        <v>男性</v>
      </c>
      <c r="M252" s="62">
        <f ca="1">IFERROR(VLOOKUP(E252,input_314010!L:R,7,FALSE),VLOOKUP(tables_314010!B252,input_314010!A:H,8,FALSE))</f>
        <v>18130</v>
      </c>
      <c r="N252" s="63">
        <f t="shared" ca="1" si="21"/>
        <v>6.4814814814814813E-4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input_314010!A$2</f>
        <v>314010</v>
      </c>
      <c r="B253" s="7" t="str">
        <f t="shared" si="12"/>
        <v>Premium3</v>
      </c>
      <c r="C253" s="7" t="str">
        <f t="shared" si="19"/>
        <v>Premium</v>
      </c>
      <c r="D253" s="7" t="str">
        <f t="shared" si="20"/>
        <v>bg</v>
      </c>
      <c r="E253" s="6">
        <v>671</v>
      </c>
      <c r="F253" s="7" t="str">
        <f>VLOOKUP(E253,[1]characters!$A:$C,3,FALSE)</f>
        <v>ハヌマーン</v>
      </c>
      <c r="G253" s="7" t="str">
        <f>VLOOKUP(E253,[1]characters!$A:$J,10,FALSE)</f>
        <v>PremiumS</v>
      </c>
      <c r="H253" s="7">
        <f>VLOOKUP(E253,[1]characters!$A:$I,9,FALSE)</f>
        <v>3</v>
      </c>
      <c r="I253" s="7" t="str">
        <f>VLOOKUP(E253,[1]characters!$A:$H,8,FALSE)</f>
        <v>green</v>
      </c>
      <c r="J253" s="7" t="str">
        <f>VLOOKUP(E253,[1]characters!$A:$K,11,FALSE)</f>
        <v>attack</v>
      </c>
      <c r="K253" s="7" t="str">
        <f>VLOOKUP(E253,[1]characters!$A:$M,13,FALSE)</f>
        <v>animal</v>
      </c>
      <c r="L253" s="7" t="str">
        <f>VLOOKUP(E253,[1]characters!$A:$G,7,FALSE)</f>
        <v>男性</v>
      </c>
      <c r="M253" s="62">
        <f ca="1">IFERROR(VLOOKUP(E253,input_314010!L:R,7,FALSE),VLOOKUP(tables_314010!B253,input_314010!A:H,8,FALSE))</f>
        <v>189000</v>
      </c>
      <c r="N253" s="63">
        <f t="shared" ca="1" si="21"/>
        <v>6.7567567567567571E-3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input_314010!A$2</f>
        <v>314010</v>
      </c>
      <c r="B254" s="7" t="str">
        <f t="shared" si="12"/>
        <v>Premium4</v>
      </c>
      <c r="C254" s="7" t="str">
        <f t="shared" si="19"/>
        <v>Premium</v>
      </c>
      <c r="D254" s="7" t="str">
        <f t="shared" si="20"/>
        <v>bg</v>
      </c>
      <c r="E254" s="6">
        <v>672</v>
      </c>
      <c r="F254" s="7" t="str">
        <f>VLOOKUP(E254,[1]characters!$A:$C,3,FALSE)</f>
        <v>西遊韋駄天 ハヌマーン</v>
      </c>
      <c r="G254" s="7" t="str">
        <f>VLOOKUP(E254,[1]characters!$A:$J,10,FALSE)</f>
        <v>PremiumS</v>
      </c>
      <c r="H254" s="7">
        <f>VLOOKUP(E254,[1]characters!$A:$I,9,FALSE)</f>
        <v>4</v>
      </c>
      <c r="I254" s="7" t="str">
        <f>VLOOKUP(E254,[1]characters!$A:$H,8,FALSE)</f>
        <v>green</v>
      </c>
      <c r="J254" s="7" t="str">
        <f>VLOOKUP(E254,[1]characters!$A:$K,11,FALSE)</f>
        <v>attack</v>
      </c>
      <c r="K254" s="7" t="str">
        <f>VLOOKUP(E254,[1]characters!$A:$M,13,FALSE)</f>
        <v>animal</v>
      </c>
      <c r="L254" s="7" t="str">
        <f>VLOOKUP(E254,[1]characters!$A:$G,7,FALSE)</f>
        <v>男性</v>
      </c>
      <c r="M254" s="62">
        <f ca="1">IFERROR(VLOOKUP(E254,input_314010!L:R,7,FALSE),VLOOKUP(tables_314010!B254,input_314010!A:H,8,FALSE))</f>
        <v>153090</v>
      </c>
      <c r="N254" s="63">
        <f t="shared" ca="1" si="21"/>
        <v>5.4729729729729726E-3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input_314010!A$2</f>
        <v>314010</v>
      </c>
      <c r="B255" s="7" t="str">
        <f t="shared" si="12"/>
        <v>Premium5</v>
      </c>
      <c r="C255" s="7" t="str">
        <f t="shared" si="19"/>
        <v>Premium</v>
      </c>
      <c r="D255" s="7" t="str">
        <f t="shared" si="20"/>
        <v>bg</v>
      </c>
      <c r="E255" s="6">
        <v>673</v>
      </c>
      <c r="F255" s="7" t="str">
        <f>VLOOKUP(E255,[1]characters!$A:$C,3,FALSE)</f>
        <v>変幻自在の猿王 ハヌマーン</v>
      </c>
      <c r="G255" s="7" t="str">
        <f>VLOOKUP(E255,[1]characters!$A:$J,10,FALSE)</f>
        <v>PremiumS</v>
      </c>
      <c r="H255" s="7">
        <f>VLOOKUP(E255,[1]characters!$A:$I,9,FALSE)</f>
        <v>5</v>
      </c>
      <c r="I255" s="7" t="str">
        <f>VLOOKUP(E255,[1]characters!$A:$H,8,FALSE)</f>
        <v>green</v>
      </c>
      <c r="J255" s="7" t="str">
        <f>VLOOKUP(E255,[1]characters!$A:$K,11,FALSE)</f>
        <v>attack</v>
      </c>
      <c r="K255" s="7" t="str">
        <f>VLOOKUP(E255,[1]characters!$A:$M,13,FALSE)</f>
        <v>animal</v>
      </c>
      <c r="L255" s="7" t="str">
        <f>VLOOKUP(E255,[1]characters!$A:$G,7,FALSE)</f>
        <v>男性</v>
      </c>
      <c r="M255" s="62">
        <f ca="1">IFERROR(VLOOKUP(E255,input_314010!L:R,7,FALSE),VLOOKUP(tables_314010!B255,input_314010!A:H,8,FALSE))</f>
        <v>18130</v>
      </c>
      <c r="N255" s="63">
        <f t="shared" ca="1" si="21"/>
        <v>6.4814814814814813E-4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input_314010!A$2</f>
        <v>314010</v>
      </c>
      <c r="B256" s="7" t="str">
        <f t="shared" si="12"/>
        <v>PremiumSSbg4</v>
      </c>
      <c r="C256" s="7" t="str">
        <f t="shared" si="19"/>
        <v>PremiumSS</v>
      </c>
      <c r="D256" s="7" t="str">
        <f t="shared" si="20"/>
        <v>bg</v>
      </c>
      <c r="E256" s="6">
        <v>674</v>
      </c>
      <c r="F256" s="7" t="str">
        <f>VLOOKUP(E256,[1]characters!$A:$C,3,FALSE)</f>
        <v>サラスヴァティ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blue</v>
      </c>
      <c r="J256" s="7" t="str">
        <f>VLOOKUP(E256,[1]characters!$A:$K,11,FALSE)</f>
        <v>balance</v>
      </c>
      <c r="K256" s="7" t="str">
        <f>VLOOKUP(E256,[1]characters!$A:$M,13,FALSE)</f>
        <v>god</v>
      </c>
      <c r="L256" s="7" t="str">
        <f>VLOOKUP(E256,[1]characters!$A:$G,7,FALSE)</f>
        <v>女性</v>
      </c>
      <c r="M256" s="62">
        <f ca="1">IFERROR(VLOOKUP(E256,input_314010!L:R,7,FALSE),VLOOKUP(tables_314010!B256,input_314010!A:H,8,FALSE))</f>
        <v>62937</v>
      </c>
      <c r="N256" s="63">
        <f t="shared" ca="1" si="21"/>
        <v>2.2499999999999998E-3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input_314010!A$2</f>
        <v>314010</v>
      </c>
      <c r="B257" s="7" t="str">
        <f t="shared" si="12"/>
        <v>PremiumSSbg5</v>
      </c>
      <c r="C257" s="7" t="str">
        <f t="shared" si="19"/>
        <v>PremiumSS</v>
      </c>
      <c r="D257" s="7" t="str">
        <f t="shared" si="20"/>
        <v>bg</v>
      </c>
      <c r="E257" s="6">
        <v>675</v>
      </c>
      <c r="F257" s="7" t="str">
        <f>VLOOKUP(E257,[1]characters!$A:$C,3,FALSE)</f>
        <v>芸楽の奔流 サラスヴァティ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blue</v>
      </c>
      <c r="J257" s="7" t="str">
        <f>VLOOKUP(E257,[1]characters!$A:$K,11,FALSE)</f>
        <v>balance</v>
      </c>
      <c r="K257" s="7" t="str">
        <f>VLOOKUP(E257,[1]characters!$A:$M,13,FALSE)</f>
        <v>god</v>
      </c>
      <c r="L257" s="7" t="str">
        <f>VLOOKUP(E257,[1]characters!$A:$G,7,FALSE)</f>
        <v>女性</v>
      </c>
      <c r="M257" s="62">
        <f ca="1">IFERROR(VLOOKUP(E257,input_314010!L:R,7,FALSE),VLOOKUP(tables_314010!B257,input_314010!A:H,8,FALSE))</f>
        <v>6993</v>
      </c>
      <c r="N257" s="63">
        <f t="shared" ca="1" si="21"/>
        <v>2.5000000000000001E-4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input_314010!A$2</f>
        <v>314010</v>
      </c>
      <c r="B258" s="7" t="str">
        <f t="shared" si="12"/>
        <v>PremiumSSry4</v>
      </c>
      <c r="C258" s="7" t="str">
        <f t="shared" si="19"/>
        <v>PremiumSS</v>
      </c>
      <c r="D258" s="7" t="str">
        <f t="shared" si="20"/>
        <v>ry</v>
      </c>
      <c r="E258" s="6">
        <v>676</v>
      </c>
      <c r="F258" s="7" t="str">
        <f>VLOOKUP(E258,[1]characters!$A:$C,3,FALSE)</f>
        <v>ヴィシュヌ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yellow</v>
      </c>
      <c r="J258" s="7" t="str">
        <f>VLOOKUP(E258,[1]characters!$A:$K,11,FALSE)</f>
        <v>attack</v>
      </c>
      <c r="K258" s="7" t="str">
        <f>VLOOKUP(E258,[1]characters!$A:$M,13,FALSE)</f>
        <v>god</v>
      </c>
      <c r="L258" s="7" t="str">
        <f>VLOOKUP(E258,[1]characters!$A:$G,7,FALSE)</f>
        <v>女性</v>
      </c>
      <c r="M258" s="62">
        <f ca="1">IFERROR(VLOOKUP(E258,input_314010!L:R,7,FALSE),VLOOKUP(tables_314010!B258,input_314010!A:H,8,FALSE))</f>
        <v>35964</v>
      </c>
      <c r="N258" s="63">
        <f t="shared" ca="1" si="21"/>
        <v>1.2857142857142856E-3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input_314010!A$2</f>
        <v>314010</v>
      </c>
      <c r="B259" s="7" t="str">
        <f t="shared" ref="B259" si="22">C259&amp;IF(C259="premium",,D259)&amp;H259</f>
        <v>PremiumSSry5</v>
      </c>
      <c r="C259" s="7" t="str">
        <f t="shared" si="19"/>
        <v>PremiumSS</v>
      </c>
      <c r="D259" s="7" t="str">
        <f t="shared" si="20"/>
        <v>ry</v>
      </c>
      <c r="E259" s="6">
        <v>677</v>
      </c>
      <c r="F259" s="7" t="str">
        <f>VLOOKUP(E259,[1]characters!$A:$C,3,FALSE)</f>
        <v>武遊闊歩 ヴィシュヌ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yellow</v>
      </c>
      <c r="J259" s="7" t="str">
        <f>VLOOKUP(E259,[1]characters!$A:$K,11,FALSE)</f>
        <v>attack</v>
      </c>
      <c r="K259" s="7" t="str">
        <f>VLOOKUP(E259,[1]characters!$A:$M,13,FALSE)</f>
        <v>god</v>
      </c>
      <c r="L259" s="7" t="str">
        <f>VLOOKUP(E259,[1]characters!$A:$G,7,FALSE)</f>
        <v>女性</v>
      </c>
      <c r="M259" s="62">
        <f ca="1">IFERROR(VLOOKUP(E259,input_314010!L:R,7,FALSE),VLOOKUP(tables_314010!B259,input_314010!A:H,8,FALSE))</f>
        <v>3996</v>
      </c>
      <c r="N259" s="63">
        <f t="shared" ca="1" si="21"/>
        <v>1.4285714285714287E-4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</sheetData>
  <autoFilter ref="A1:T259"/>
  <sortState ref="A2:U189">
    <sortCondition ref="A2:A189"/>
    <sortCondition ref="E2:E189"/>
  </sortState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 enableFormatConditionsCalculation="0">
    <tabColor theme="5"/>
  </sheetPr>
  <dimension ref="A1:R51"/>
  <sheetViews>
    <sheetView workbookViewId="0">
      <selection activeCell="B28" sqref="B28"/>
    </sheetView>
  </sheetViews>
  <sheetFormatPr baseColWidth="12" defaultRowHeight="14" x14ac:dyDescent="0"/>
  <sheetData>
    <row r="1" spans="1:18">
      <c r="A1" s="66" t="s">
        <v>101</v>
      </c>
      <c r="B1" s="66"/>
    </row>
    <row r="2" spans="1:18">
      <c r="A2" t="str">
        <f ca="1">RIGHT(RIGHT(CELL("filename",A2),LEN(CELL("filename",A2))-FIND("]",CELL("filename",A2))),6)</f>
        <v>314101</v>
      </c>
    </row>
    <row r="4" spans="1:18">
      <c r="A4" s="49" t="s">
        <v>69</v>
      </c>
      <c r="B4" s="49"/>
    </row>
    <row r="5" spans="1:18">
      <c r="A5" s="47" t="s">
        <v>86</v>
      </c>
      <c r="B5" s="48">
        <f>1-B6-B7</f>
        <v>0</v>
      </c>
    </row>
    <row r="6" spans="1:18">
      <c r="A6" s="47" t="s">
        <v>87</v>
      </c>
      <c r="B6" s="48">
        <v>0.95</v>
      </c>
    </row>
    <row r="7" spans="1:18">
      <c r="A7" s="47" t="s">
        <v>88</v>
      </c>
      <c r="B7" s="48">
        <v>0.05</v>
      </c>
    </row>
    <row r="9" spans="1:18">
      <c r="A9" s="50" t="s">
        <v>70</v>
      </c>
      <c r="B9" s="50"/>
    </row>
    <row r="10" spans="1:18">
      <c r="A10" s="47" t="s">
        <v>116</v>
      </c>
      <c r="B10" s="48">
        <f>1-B11-B12</f>
        <v>0.92999999999999994</v>
      </c>
    </row>
    <row r="11" spans="1:18">
      <c r="A11" s="47" t="s">
        <v>72</v>
      </c>
      <c r="B11" s="48">
        <v>0.05</v>
      </c>
    </row>
    <row r="12" spans="1:18">
      <c r="A12" s="47" t="s">
        <v>71</v>
      </c>
      <c r="B12" s="48">
        <v>0.02</v>
      </c>
    </row>
    <row r="15" spans="1:18">
      <c r="A15" s="52" t="s">
        <v>74</v>
      </c>
      <c r="B15" s="52"/>
      <c r="C15" t="s">
        <v>102</v>
      </c>
      <c r="L15" s="54" t="s">
        <v>79</v>
      </c>
      <c r="M15" s="54"/>
    </row>
    <row r="16" spans="1:18">
      <c r="A16" s="47" t="s">
        <v>77</v>
      </c>
      <c r="B16" s="47" t="s">
        <v>78</v>
      </c>
      <c r="C16" s="53" t="s">
        <v>79</v>
      </c>
      <c r="D16" s="53" t="s">
        <v>80</v>
      </c>
      <c r="E16" t="s">
        <v>90</v>
      </c>
      <c r="F16" t="s">
        <v>89</v>
      </c>
      <c r="G16" t="s">
        <v>92</v>
      </c>
      <c r="H16" t="s">
        <v>91</v>
      </c>
      <c r="I16" t="s">
        <v>93</v>
      </c>
      <c r="J16" t="s">
        <v>96</v>
      </c>
      <c r="L16" s="47" t="s">
        <v>1</v>
      </c>
      <c r="M16" s="53" t="s">
        <v>83</v>
      </c>
      <c r="N16" s="47" t="s">
        <v>81</v>
      </c>
      <c r="O16" s="53" t="s">
        <v>84</v>
      </c>
      <c r="P16" s="53" t="s">
        <v>85</v>
      </c>
      <c r="Q16" s="53" t="s">
        <v>82</v>
      </c>
      <c r="R16" s="61" t="s">
        <v>91</v>
      </c>
    </row>
    <row r="17" spans="1:17">
      <c r="A17" s="47" t="s">
        <v>117</v>
      </c>
      <c r="B17" s="79">
        <f>B5</f>
        <v>0</v>
      </c>
      <c r="C17" s="65">
        <f>SUMIF(Q:Q,A17,N:N)</f>
        <v>0</v>
      </c>
      <c r="D17" s="58">
        <f t="shared" ref="D17:D28" si="0">B17-C17</f>
        <v>0</v>
      </c>
      <c r="E17">
        <f>COUNTIF(tables_314101!B:B,input_314101!A17)-COUNTIF(Q:Q,A17)</f>
        <v>74</v>
      </c>
      <c r="F17" s="60">
        <f t="shared" ref="F17:F27" si="1">IFERROR(D17/E17,0)</f>
        <v>0</v>
      </c>
      <c r="G17">
        <f>A$36*D17</f>
        <v>0</v>
      </c>
      <c r="H17">
        <f t="shared" ref="H17:H27" si="2">IFERROR(ROUND(G17/E17,5),0)</f>
        <v>0</v>
      </c>
      <c r="I17">
        <f>MOD(H17,1)</f>
        <v>0</v>
      </c>
      <c r="J17">
        <f t="shared" ref="J17:J27" si="3">IFERROR(1/I17,1)</f>
        <v>1</v>
      </c>
      <c r="L17" s="47"/>
      <c r="M17" s="53"/>
      <c r="N17" s="51"/>
      <c r="O17" s="53"/>
      <c r="P17" s="53"/>
      <c r="Q17" s="53"/>
    </row>
    <row r="18" spans="1:17">
      <c r="A18" s="47" t="s">
        <v>118</v>
      </c>
      <c r="B18" s="78">
        <f>B6-B19-B20-B21-B22</f>
        <v>0.90499999999999992</v>
      </c>
      <c r="C18" s="65">
        <f>SUMIF(Q:Q,A18,N:N)</f>
        <v>0</v>
      </c>
      <c r="D18" s="58">
        <f t="shared" si="0"/>
        <v>0.90499999999999992</v>
      </c>
      <c r="E18">
        <f>COUNTIF(tables_314101!B:B,input_314101!A18)-COUNTIF(Q:Q,A18)</f>
        <v>74</v>
      </c>
      <c r="F18" s="60">
        <f t="shared" si="1"/>
        <v>1.2229729729729728E-2</v>
      </c>
      <c r="G18">
        <f>A$36*D18</f>
        <v>25314659.999999996</v>
      </c>
      <c r="H18">
        <f t="shared" si="2"/>
        <v>342090</v>
      </c>
      <c r="I18">
        <f t="shared" ref="I18:I27" si="4">MOD(H18,1)</f>
        <v>0</v>
      </c>
      <c r="J18">
        <f t="shared" si="3"/>
        <v>1</v>
      </c>
      <c r="L18" s="47"/>
      <c r="M18" s="53"/>
      <c r="N18" s="51"/>
      <c r="O18" s="53"/>
      <c r="P18" s="53"/>
      <c r="Q18" s="53"/>
    </row>
    <row r="19" spans="1:17">
      <c r="A19" s="47" t="s">
        <v>128</v>
      </c>
      <c r="B19" s="75">
        <f>1.8%</f>
        <v>1.8000000000000002E-2</v>
      </c>
      <c r="C19" s="65">
        <f>SUMIF(Q:Q,A19,N:N)</f>
        <v>0</v>
      </c>
      <c r="D19" s="58">
        <f t="shared" si="0"/>
        <v>1.8000000000000002E-2</v>
      </c>
      <c r="E19">
        <f>COUNTIF(tables_314101!B:B,input_314101!A19)-COUNTIF(Q:Q,A19)</f>
        <v>14</v>
      </c>
      <c r="F19" s="60">
        <f t="shared" si="1"/>
        <v>1.2857142857142859E-3</v>
      </c>
      <c r="G19">
        <f>A$36*D19</f>
        <v>503496.00000000006</v>
      </c>
      <c r="H19">
        <f t="shared" si="2"/>
        <v>35964</v>
      </c>
      <c r="I19">
        <f t="shared" si="4"/>
        <v>0</v>
      </c>
      <c r="J19">
        <f t="shared" si="3"/>
        <v>1</v>
      </c>
      <c r="L19" s="47"/>
      <c r="M19" s="53"/>
      <c r="N19" s="51"/>
      <c r="O19" s="53"/>
      <c r="P19" s="53"/>
      <c r="Q19" s="53"/>
    </row>
    <row r="20" spans="1:17">
      <c r="A20" s="47" t="s">
        <v>130</v>
      </c>
      <c r="B20" s="75">
        <f>1.8%*1.5</f>
        <v>2.7000000000000003E-2</v>
      </c>
      <c r="C20" s="65">
        <f t="shared" ref="C20:C27" si="5">SUMIF(Q:Q,A20,N:N)</f>
        <v>0</v>
      </c>
      <c r="D20" s="58">
        <f t="shared" si="0"/>
        <v>2.7000000000000003E-2</v>
      </c>
      <c r="E20">
        <f>COUNTIF(tables_314101!B:B,input_314101!A20)-COUNTIF(Q:Q,A20)</f>
        <v>12</v>
      </c>
      <c r="F20" s="60">
        <f t="shared" si="1"/>
        <v>2.2500000000000003E-3</v>
      </c>
      <c r="G20">
        <f>A$36*D20</f>
        <v>755244.00000000012</v>
      </c>
      <c r="H20">
        <f t="shared" si="2"/>
        <v>62937</v>
      </c>
      <c r="I20">
        <f t="shared" si="4"/>
        <v>0</v>
      </c>
      <c r="J20">
        <f t="shared" si="3"/>
        <v>1</v>
      </c>
      <c r="L20" s="47"/>
      <c r="M20" s="53"/>
      <c r="N20" s="51"/>
      <c r="O20" s="53"/>
      <c r="P20" s="53"/>
      <c r="Q20" s="53"/>
    </row>
    <row r="21" spans="1:17">
      <c r="A21" s="47" t="s">
        <v>132</v>
      </c>
      <c r="B21" s="76">
        <v>0</v>
      </c>
      <c r="C21" s="65">
        <f t="shared" si="5"/>
        <v>0</v>
      </c>
      <c r="D21" s="58">
        <f t="shared" si="0"/>
        <v>0</v>
      </c>
      <c r="E21">
        <f>COUNTIF(tables_314101!B:B,input_314101!A21)-COUNTIF(Q:Q,A21)</f>
        <v>0</v>
      </c>
      <c r="F21" s="60">
        <f t="shared" si="1"/>
        <v>0</v>
      </c>
      <c r="G21">
        <f t="shared" ref="G21:G27" si="6">A$36*D21</f>
        <v>0</v>
      </c>
      <c r="H21">
        <f t="shared" si="2"/>
        <v>0</v>
      </c>
      <c r="I21">
        <f t="shared" si="4"/>
        <v>0</v>
      </c>
      <c r="J21">
        <f t="shared" si="3"/>
        <v>1</v>
      </c>
      <c r="L21" s="47"/>
      <c r="M21" s="53"/>
      <c r="N21" s="51"/>
      <c r="O21" s="53"/>
      <c r="P21" s="53"/>
      <c r="Q21" s="53"/>
    </row>
    <row r="22" spans="1:17">
      <c r="A22" s="47" t="s">
        <v>134</v>
      </c>
      <c r="B22" s="76">
        <v>0</v>
      </c>
      <c r="C22" s="65">
        <f t="shared" si="5"/>
        <v>0</v>
      </c>
      <c r="D22" s="58">
        <f t="shared" si="0"/>
        <v>0</v>
      </c>
      <c r="E22">
        <f>COUNTIF(tables_314101!B:B,input_314101!A22)-COUNTIF(Q:Q,A22)</f>
        <v>0</v>
      </c>
      <c r="F22" s="60">
        <f t="shared" si="1"/>
        <v>0</v>
      </c>
      <c r="G22">
        <f t="shared" si="6"/>
        <v>0</v>
      </c>
      <c r="H22">
        <f t="shared" si="2"/>
        <v>0</v>
      </c>
      <c r="I22">
        <f t="shared" si="4"/>
        <v>0</v>
      </c>
      <c r="J22">
        <f t="shared" si="3"/>
        <v>1</v>
      </c>
      <c r="L22" s="47"/>
      <c r="M22" s="53"/>
      <c r="N22" s="51"/>
      <c r="O22" s="53"/>
      <c r="P22" s="53"/>
      <c r="Q22" s="53"/>
    </row>
    <row r="23" spans="1:17">
      <c r="A23" s="47" t="s">
        <v>119</v>
      </c>
      <c r="B23" s="77">
        <f>B7-B24-B25-B26-B27</f>
        <v>3.4999999999999996E-2</v>
      </c>
      <c r="C23" s="65">
        <f t="shared" si="5"/>
        <v>0</v>
      </c>
      <c r="D23" s="58">
        <f t="shared" si="0"/>
        <v>3.4999999999999996E-2</v>
      </c>
      <c r="E23">
        <f>COUNTIF(tables_314101!B:B,input_314101!A23)-COUNTIF(Q:Q,A23)</f>
        <v>54</v>
      </c>
      <c r="F23" s="60">
        <f t="shared" si="1"/>
        <v>6.4814814814814813E-4</v>
      </c>
      <c r="G23">
        <f>A$36*D23</f>
        <v>979019.99999999988</v>
      </c>
      <c r="H23">
        <f t="shared" si="2"/>
        <v>18130</v>
      </c>
      <c r="I23">
        <f t="shared" si="4"/>
        <v>0</v>
      </c>
      <c r="J23">
        <f t="shared" si="3"/>
        <v>1</v>
      </c>
      <c r="L23" s="47"/>
      <c r="M23" s="53"/>
      <c r="N23" s="47"/>
      <c r="O23" s="53"/>
      <c r="P23" s="53"/>
      <c r="Q23" s="53"/>
    </row>
    <row r="24" spans="1:17">
      <c r="A24" s="47" t="s">
        <v>136</v>
      </c>
      <c r="B24" s="74">
        <v>2E-3</v>
      </c>
      <c r="C24" s="65">
        <f t="shared" si="5"/>
        <v>0</v>
      </c>
      <c r="D24" s="58">
        <f t="shared" si="0"/>
        <v>2E-3</v>
      </c>
      <c r="E24">
        <f>COUNTIF(tables_314101!B:B,input_314101!A24)-COUNTIF(Q:Q,A24)</f>
        <v>14</v>
      </c>
      <c r="F24" s="60">
        <f t="shared" si="1"/>
        <v>1.4285714285714287E-4</v>
      </c>
      <c r="G24">
        <f t="shared" si="6"/>
        <v>55944</v>
      </c>
      <c r="H24">
        <f t="shared" si="2"/>
        <v>3996</v>
      </c>
      <c r="I24">
        <f t="shared" si="4"/>
        <v>0</v>
      </c>
      <c r="J24">
        <f t="shared" si="3"/>
        <v>1</v>
      </c>
      <c r="L24" s="47"/>
      <c r="M24" s="53"/>
      <c r="N24" s="47"/>
      <c r="O24" s="53"/>
      <c r="P24" s="53"/>
      <c r="Q24" s="53"/>
    </row>
    <row r="25" spans="1:17">
      <c r="A25" s="47" t="s">
        <v>138</v>
      </c>
      <c r="B25" s="74">
        <v>3.0000000000000001E-3</v>
      </c>
      <c r="C25" s="65">
        <f t="shared" si="5"/>
        <v>0</v>
      </c>
      <c r="D25" s="58">
        <f t="shared" si="0"/>
        <v>3.0000000000000001E-3</v>
      </c>
      <c r="E25">
        <f>COUNTIF(tables_314101!B:B,input_314101!A25)-COUNTIF(Q:Q,A25)</f>
        <v>12</v>
      </c>
      <c r="F25" s="60">
        <f t="shared" si="1"/>
        <v>2.5000000000000001E-4</v>
      </c>
      <c r="G25">
        <f t="shared" si="6"/>
        <v>83916</v>
      </c>
      <c r="H25">
        <f t="shared" si="2"/>
        <v>6993</v>
      </c>
      <c r="I25">
        <f t="shared" si="4"/>
        <v>0</v>
      </c>
      <c r="J25">
        <f t="shared" si="3"/>
        <v>1</v>
      </c>
      <c r="L25" s="47"/>
      <c r="M25" s="53"/>
      <c r="N25" s="47"/>
      <c r="O25" s="53"/>
      <c r="P25" s="53"/>
      <c r="Q25" s="53"/>
    </row>
    <row r="26" spans="1:17">
      <c r="A26" s="47" t="s">
        <v>140</v>
      </c>
      <c r="B26" s="74">
        <v>2.5000000000000001E-3</v>
      </c>
      <c r="C26" s="65">
        <f t="shared" si="5"/>
        <v>0</v>
      </c>
      <c r="D26" s="58">
        <f t="shared" si="0"/>
        <v>2.5000000000000001E-3</v>
      </c>
      <c r="E26">
        <f>COUNTIF(tables_314101!B:B,input_314101!A26)-COUNTIF(Q:Q,A26)</f>
        <v>2</v>
      </c>
      <c r="F26" s="60">
        <f t="shared" si="1"/>
        <v>1.25E-3</v>
      </c>
      <c r="G26">
        <f t="shared" si="6"/>
        <v>69930</v>
      </c>
      <c r="H26">
        <f t="shared" si="2"/>
        <v>34965</v>
      </c>
      <c r="I26">
        <f t="shared" si="4"/>
        <v>0</v>
      </c>
      <c r="J26">
        <f t="shared" si="3"/>
        <v>1</v>
      </c>
      <c r="L26" s="47"/>
      <c r="M26" s="53"/>
      <c r="N26" s="47"/>
      <c r="O26" s="53"/>
      <c r="P26" s="53"/>
      <c r="Q26" s="53"/>
    </row>
    <row r="27" spans="1:17">
      <c r="A27" s="47" t="s">
        <v>142</v>
      </c>
      <c r="B27" s="74">
        <v>7.4999999999999997E-3</v>
      </c>
      <c r="C27" s="65">
        <f t="shared" si="5"/>
        <v>0</v>
      </c>
      <c r="D27" s="58">
        <f t="shared" si="0"/>
        <v>7.4999999999999997E-3</v>
      </c>
      <c r="E27">
        <f>COUNTIF(tables_314101!B:B,input_314101!A27)-COUNTIF(Q:Q,A27)</f>
        <v>2</v>
      </c>
      <c r="F27" s="60">
        <f t="shared" si="1"/>
        <v>3.7499999999999999E-3</v>
      </c>
      <c r="G27">
        <f t="shared" si="6"/>
        <v>209790</v>
      </c>
      <c r="H27">
        <f t="shared" si="2"/>
        <v>104895</v>
      </c>
      <c r="I27">
        <f t="shared" si="4"/>
        <v>0</v>
      </c>
      <c r="J27">
        <f t="shared" si="3"/>
        <v>1</v>
      </c>
      <c r="L27" s="47"/>
      <c r="M27" s="53"/>
      <c r="N27" s="47"/>
      <c r="O27" s="53"/>
      <c r="P27" s="53"/>
      <c r="Q27" s="53"/>
    </row>
    <row r="28" spans="1:17">
      <c r="A28" s="55" t="s">
        <v>76</v>
      </c>
      <c r="B28" s="56">
        <f>SUM(B17:B27)</f>
        <v>0.99999999999999989</v>
      </c>
      <c r="C28" s="57">
        <f>SUM(C17:C26)</f>
        <v>0</v>
      </c>
      <c r="D28" s="59">
        <f t="shared" si="0"/>
        <v>0.99999999999999989</v>
      </c>
      <c r="L28" s="47"/>
      <c r="M28" s="53"/>
      <c r="N28" s="47"/>
      <c r="O28" s="53"/>
      <c r="P28" s="53"/>
      <c r="Q28" s="53"/>
    </row>
    <row r="35" spans="1:6">
      <c r="A35" t="s">
        <v>91</v>
      </c>
    </row>
    <row r="36" spans="1:6">
      <c r="A36" s="34">
        <f>14*54*74*250*2</f>
        <v>27972000</v>
      </c>
    </row>
    <row r="38" spans="1:6">
      <c r="A38" s="64" t="s">
        <v>95</v>
      </c>
    </row>
    <row r="39" spans="1:6">
      <c r="A39" s="47" t="s">
        <v>77</v>
      </c>
      <c r="B39" t="s">
        <v>92</v>
      </c>
      <c r="C39" t="s">
        <v>120</v>
      </c>
      <c r="E39" t="s">
        <v>121</v>
      </c>
    </row>
    <row r="40" spans="1:6">
      <c r="A40" s="47" t="s">
        <v>143</v>
      </c>
      <c r="B40">
        <f ca="1">SUMIF(tables_314101!B:B,input_314101!A40,tables_314101!M:M)</f>
        <v>0</v>
      </c>
      <c r="C40" s="72">
        <f ca="1">B40/B$51</f>
        <v>0</v>
      </c>
      <c r="E40">
        <v>3</v>
      </c>
      <c r="F40" s="73">
        <f ca="1">C40</f>
        <v>0</v>
      </c>
    </row>
    <row r="41" spans="1:6">
      <c r="A41" s="47" t="s">
        <v>144</v>
      </c>
      <c r="B41">
        <f ca="1">SUMIF(tables_314101!B:B,input_314101!A41,tables_314101!M:M)</f>
        <v>25314660</v>
      </c>
      <c r="C41" s="72">
        <f t="shared" ref="C41:C50" ca="1" si="7">B41/B$51</f>
        <v>0.90500000000000003</v>
      </c>
      <c r="E41">
        <v>4</v>
      </c>
      <c r="F41" s="73">
        <f ca="1">SUM(C41:C45)</f>
        <v>0.95000000000000007</v>
      </c>
    </row>
    <row r="42" spans="1:6">
      <c r="A42" s="47" t="s">
        <v>127</v>
      </c>
      <c r="B42">
        <f ca="1">SUMIF(tables_314101!B:B,input_314101!A42,tables_314101!M:M)</f>
        <v>503496</v>
      </c>
      <c r="C42" s="72">
        <f t="shared" ca="1" si="7"/>
        <v>1.7999999999999999E-2</v>
      </c>
      <c r="E42">
        <v>5</v>
      </c>
      <c r="F42" s="73">
        <f ca="1">SUM(C46:C50)</f>
        <v>5.000000000000001E-2</v>
      </c>
    </row>
    <row r="43" spans="1:6">
      <c r="A43" s="47" t="s">
        <v>129</v>
      </c>
      <c r="B43">
        <f ca="1">SUMIF(tables_314101!B:B,input_314101!A43,tables_314101!M:M)</f>
        <v>755244</v>
      </c>
      <c r="C43" s="72">
        <f t="shared" ca="1" si="7"/>
        <v>2.7E-2</v>
      </c>
      <c r="F43" s="73"/>
    </row>
    <row r="44" spans="1:6">
      <c r="A44" s="47" t="s">
        <v>131</v>
      </c>
      <c r="B44">
        <f>SUMIF(tables_314101!B:B,input_314101!A44,tables_314101!M:M)</f>
        <v>0</v>
      </c>
      <c r="C44" s="72">
        <f t="shared" ca="1" si="7"/>
        <v>0</v>
      </c>
    </row>
    <row r="45" spans="1:6">
      <c r="A45" s="47" t="s">
        <v>133</v>
      </c>
      <c r="B45">
        <f>SUMIF(tables_314101!B:B,input_314101!A45,tables_314101!M:M)</f>
        <v>0</v>
      </c>
      <c r="C45" s="72">
        <f t="shared" ca="1" si="7"/>
        <v>0</v>
      </c>
    </row>
    <row r="46" spans="1:6">
      <c r="A46" s="47" t="s">
        <v>145</v>
      </c>
      <c r="B46">
        <f ca="1">SUMIF(tables_314101!B:B,input_314101!A46,tables_314101!M:M)</f>
        <v>979020</v>
      </c>
      <c r="C46" s="72">
        <f t="shared" ca="1" si="7"/>
        <v>3.5000000000000003E-2</v>
      </c>
      <c r="E46" t="s">
        <v>70</v>
      </c>
    </row>
    <row r="47" spans="1:6">
      <c r="A47" s="47" t="s">
        <v>135</v>
      </c>
      <c r="B47">
        <f ca="1">SUMIF(tables_314101!B:B,input_314101!A47,tables_314101!M:M)</f>
        <v>55944</v>
      </c>
      <c r="C47" s="72">
        <f ca="1">B47/B$51</f>
        <v>2E-3</v>
      </c>
      <c r="E47" t="s">
        <v>123</v>
      </c>
      <c r="F47" s="73">
        <f ca="1">C40+C41+C46</f>
        <v>0.94000000000000006</v>
      </c>
    </row>
    <row r="48" spans="1:6">
      <c r="A48" s="47" t="s">
        <v>137</v>
      </c>
      <c r="B48">
        <f ca="1">SUMIF(tables_314101!B:B,input_314101!A48,tables_314101!M:M)</f>
        <v>83916</v>
      </c>
      <c r="C48" s="72">
        <f t="shared" ca="1" si="7"/>
        <v>3.0000000000000001E-3</v>
      </c>
      <c r="F48" s="73"/>
    </row>
    <row r="49" spans="1:6">
      <c r="A49" s="47" t="s">
        <v>139</v>
      </c>
      <c r="B49">
        <f ca="1">SUMIF(tables_314101!B:B,input_314101!A49,tables_314101!M:M)</f>
        <v>69930</v>
      </c>
      <c r="C49" s="72">
        <f t="shared" ca="1" si="7"/>
        <v>2.5000000000000001E-3</v>
      </c>
      <c r="F49" s="73"/>
    </row>
    <row r="50" spans="1:6">
      <c r="A50" s="47" t="s">
        <v>141</v>
      </c>
      <c r="B50">
        <f ca="1">SUMIF(tables_314101!B:B,input_314101!A50,tables_314101!M:M)</f>
        <v>209790</v>
      </c>
      <c r="C50" s="72">
        <f t="shared" ca="1" si="7"/>
        <v>7.4999999999999997E-3</v>
      </c>
      <c r="E50" t="s">
        <v>124</v>
      </c>
      <c r="F50" s="73">
        <f ca="1">C42+C43+C47+C48</f>
        <v>0.05</v>
      </c>
    </row>
    <row r="51" spans="1:6">
      <c r="A51" s="55" t="s">
        <v>76</v>
      </c>
      <c r="B51">
        <f ca="1">SUM(B40:B50)</f>
        <v>27972000</v>
      </c>
      <c r="E51" t="s">
        <v>125</v>
      </c>
      <c r="F51" s="73">
        <f ca="1">C44+C45+C49+C50</f>
        <v>0.01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3" enableFormatConditionsCalculation="0">
    <tabColor rgb="FF0000FF"/>
    <outlinePr summaryBelow="0" summaryRight="0"/>
  </sheetPr>
  <dimension ref="A1:T259"/>
  <sheetViews>
    <sheetView showGridLines="0" zoomScale="75" zoomScaleNormal="75" zoomScalePageLayoutView="75" workbookViewId="0">
      <pane ySplit="1" topLeftCell="A240" activePane="bottomLeft" state="frozen"/>
      <selection activeCell="M2" sqref="M2"/>
      <selection pane="bottomLeft" activeCell="E250" sqref="E250:E259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103</v>
      </c>
      <c r="B1" s="3" t="s">
        <v>32</v>
      </c>
      <c r="C1" s="3" t="s">
        <v>115</v>
      </c>
      <c r="D1" s="3" t="s">
        <v>126</v>
      </c>
      <c r="E1" s="16" t="s">
        <v>1</v>
      </c>
      <c r="F1" s="3" t="s">
        <v>34</v>
      </c>
      <c r="G1" s="3" t="s">
        <v>35</v>
      </c>
      <c r="H1" s="3" t="s">
        <v>3</v>
      </c>
      <c r="I1" s="3" t="s">
        <v>55</v>
      </c>
      <c r="J1" s="3" t="s">
        <v>37</v>
      </c>
      <c r="K1" s="3" t="s">
        <v>38</v>
      </c>
      <c r="L1" s="3" t="s">
        <v>75</v>
      </c>
      <c r="M1" s="16" t="s">
        <v>13</v>
      </c>
      <c r="N1" s="3" t="s">
        <v>81</v>
      </c>
      <c r="O1" s="16" t="s">
        <v>39</v>
      </c>
      <c r="P1" s="30" t="s">
        <v>6</v>
      </c>
      <c r="Q1" s="30" t="s">
        <v>7</v>
      </c>
      <c r="R1" s="30" t="s">
        <v>8</v>
      </c>
      <c r="S1" s="30" t="s">
        <v>9</v>
      </c>
      <c r="T1" s="30" t="s">
        <v>10</v>
      </c>
    </row>
    <row r="2" spans="1:20" ht="21" customHeight="1">
      <c r="A2" s="2" t="str">
        <f ca="1">input_314101!A$2</f>
        <v>314101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 t="str">
        <f>IF(I2="red","ry",IF(I2="yellow","ry","bg"))</f>
        <v>ry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IFERROR(VLOOKUP(E2,input_314101!L:R,7,FALSE),VLOOKUP(tables_314101!B2,input_314101!A:H,8,FALSE))</f>
        <v>0</v>
      </c>
      <c r="N2" s="63">
        <f ca="1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input_314101!A$2</f>
        <v>314101</v>
      </c>
      <c r="B3" s="7" t="str">
        <f t="shared" ref="B3:B66" si="0">C3&amp;IF(C3="premium",,D3)&amp;H3</f>
        <v>Premium4</v>
      </c>
      <c r="C3" s="7" t="str">
        <f t="shared" ref="C3:C66" si="1">IF(G3="PremiumSS",G3,IF(G3="PremiumSSS",G3,"Premium"))</f>
        <v>Premium</v>
      </c>
      <c r="D3" s="7" t="str">
        <f t="shared" ref="D3:D66" si="2">IF(I3="red","ry",IF(I3="yellow","ry","bg"))</f>
        <v>ry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IFERROR(VLOOKUP(E3,input_314101!L:R,7,FALSE),VLOOKUP(tables_314101!B3,input_314101!A:H,8,FALSE))</f>
        <v>342090</v>
      </c>
      <c r="N3" s="63">
        <f t="shared" ref="N3:N66" ca="1" si="3">M3/SUM(M:M)</f>
        <v>1.222972972972973E-2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input_314101!A$2</f>
        <v>314101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>bg</v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IFERROR(VLOOKUP(E4,input_314101!L:R,7,FALSE),VLOOKUP(tables_314101!B4,input_314101!A:H,8,FALSE))</f>
        <v>0</v>
      </c>
      <c r="N4" s="63">
        <f t="shared" ca="1" si="3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input_314101!A$2</f>
        <v>314101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>bg</v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IFERROR(VLOOKUP(E5,input_314101!L:R,7,FALSE),VLOOKUP(tables_314101!B5,input_314101!A:H,8,FALSE))</f>
        <v>342090</v>
      </c>
      <c r="N5" s="63">
        <f t="shared" ca="1" si="3"/>
        <v>1.222972972972973E-2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input_314101!A$2</f>
        <v>314101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>bg</v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IFERROR(VLOOKUP(E6,input_314101!L:R,7,FALSE),VLOOKUP(tables_314101!B6,input_314101!A:H,8,FALSE))</f>
        <v>0</v>
      </c>
      <c r="N6" s="63">
        <f t="shared" ca="1" si="3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input_314101!A$2</f>
        <v>314101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>bg</v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IFERROR(VLOOKUP(E7,input_314101!L:R,7,FALSE),VLOOKUP(tables_314101!B7,input_314101!A:H,8,FALSE))</f>
        <v>342090</v>
      </c>
      <c r="N7" s="63">
        <f t="shared" ca="1" si="3"/>
        <v>1.222972972972973E-2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input_314101!A$2</f>
        <v>314101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>ry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IFERROR(VLOOKUP(E8,input_314101!L:R,7,FALSE),VLOOKUP(tables_314101!B8,input_314101!A:H,8,FALSE))</f>
        <v>0</v>
      </c>
      <c r="N8" s="63">
        <f t="shared" ca="1" si="3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input_314101!A$2</f>
        <v>314101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>ry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IFERROR(VLOOKUP(E9,input_314101!L:R,7,FALSE),VLOOKUP(tables_314101!B9,input_314101!A:H,8,FALSE))</f>
        <v>342090</v>
      </c>
      <c r="N9" s="63">
        <f t="shared" ca="1" si="3"/>
        <v>1.222972972972973E-2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input_314101!A$2</f>
        <v>314101</v>
      </c>
      <c r="B10" s="7" t="str">
        <f t="shared" si="0"/>
        <v>Premium3</v>
      </c>
      <c r="C10" s="7" t="str">
        <f t="shared" si="1"/>
        <v>Premium</v>
      </c>
      <c r="D10" s="7" t="str">
        <f t="shared" si="2"/>
        <v>ry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IFERROR(VLOOKUP(E10,input_314101!L:R,7,FALSE),VLOOKUP(tables_314101!B10,input_314101!A:H,8,FALSE))</f>
        <v>0</v>
      </c>
      <c r="N10" s="63">
        <f t="shared" ca="1" si="3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input_314101!A$2</f>
        <v>314101</v>
      </c>
      <c r="B11" s="7" t="str">
        <f t="shared" si="0"/>
        <v>Premium4</v>
      </c>
      <c r="C11" s="7" t="str">
        <f t="shared" si="1"/>
        <v>Premium</v>
      </c>
      <c r="D11" s="7" t="str">
        <f t="shared" si="2"/>
        <v>ry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IFERROR(VLOOKUP(E11,input_314101!L:R,7,FALSE),VLOOKUP(tables_314101!B11,input_314101!A:H,8,FALSE))</f>
        <v>342090</v>
      </c>
      <c r="N11" s="63">
        <f t="shared" ca="1" si="3"/>
        <v>1.222972972972973E-2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input_314101!A$2</f>
        <v>314101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>bg</v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IFERROR(VLOOKUP(E12,input_314101!L:R,7,FALSE),VLOOKUP(tables_314101!B12,input_314101!A:H,8,FALSE))</f>
        <v>0</v>
      </c>
      <c r="N12" s="63">
        <f t="shared" ca="1" si="3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input_314101!A$2</f>
        <v>314101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>bg</v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IFERROR(VLOOKUP(E13,input_314101!L:R,7,FALSE),VLOOKUP(tables_314101!B13,input_314101!A:H,8,FALSE))</f>
        <v>342090</v>
      </c>
      <c r="N13" s="63">
        <f t="shared" ca="1" si="3"/>
        <v>1.222972972972973E-2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input_314101!A$2</f>
        <v>314101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>bg</v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IFERROR(VLOOKUP(E14,input_314101!L:R,7,FALSE),VLOOKUP(tables_314101!B14,input_314101!A:H,8,FALSE))</f>
        <v>0</v>
      </c>
      <c r="N14" s="63">
        <f t="shared" ca="1" si="3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input_314101!A$2</f>
        <v>314101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>bg</v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IFERROR(VLOOKUP(E15,input_314101!L:R,7,FALSE),VLOOKUP(tables_314101!B15,input_314101!A:H,8,FALSE))</f>
        <v>342090</v>
      </c>
      <c r="N15" s="63">
        <f t="shared" ca="1" si="3"/>
        <v>1.222972972972973E-2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input_314101!A$2</f>
        <v>314101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>ry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IFERROR(VLOOKUP(E16,input_314101!L:R,7,FALSE),VLOOKUP(tables_314101!B16,input_314101!A:H,8,FALSE))</f>
        <v>0</v>
      </c>
      <c r="N16" s="63">
        <f t="shared" ca="1" si="3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input_314101!A$2</f>
        <v>314101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>ry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IFERROR(VLOOKUP(E17,input_314101!L:R,7,FALSE),VLOOKUP(tables_314101!B17,input_314101!A:H,8,FALSE))</f>
        <v>342090</v>
      </c>
      <c r="N17" s="63">
        <f t="shared" ca="1" si="3"/>
        <v>1.222972972972973E-2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input_314101!A$2</f>
        <v>314101</v>
      </c>
      <c r="B18" s="7" t="str">
        <f t="shared" si="0"/>
        <v>Premium3</v>
      </c>
      <c r="C18" s="7" t="str">
        <f t="shared" si="1"/>
        <v>Premium</v>
      </c>
      <c r="D18" s="7" t="str">
        <f t="shared" si="2"/>
        <v>ry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IFERROR(VLOOKUP(E18,input_314101!L:R,7,FALSE),VLOOKUP(tables_314101!B18,input_314101!A:H,8,FALSE))</f>
        <v>0</v>
      </c>
      <c r="N18" s="63">
        <f t="shared" ca="1" si="3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input_314101!A$2</f>
        <v>314101</v>
      </c>
      <c r="B19" s="7" t="str">
        <f t="shared" si="0"/>
        <v>Premium4</v>
      </c>
      <c r="C19" s="7" t="str">
        <f t="shared" si="1"/>
        <v>Premium</v>
      </c>
      <c r="D19" s="7" t="str">
        <f t="shared" si="2"/>
        <v>ry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IFERROR(VLOOKUP(E19,input_314101!L:R,7,FALSE),VLOOKUP(tables_314101!B19,input_314101!A:H,8,FALSE))</f>
        <v>342090</v>
      </c>
      <c r="N19" s="63">
        <f t="shared" ca="1" si="3"/>
        <v>1.222972972972973E-2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input_314101!A$2</f>
        <v>314101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>bg</v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IFERROR(VLOOKUP(E20,input_314101!L:R,7,FALSE),VLOOKUP(tables_314101!B20,input_314101!A:H,8,FALSE))</f>
        <v>0</v>
      </c>
      <c r="N20" s="63">
        <f t="shared" ca="1" si="3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input_314101!A$2</f>
        <v>314101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>bg</v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IFERROR(VLOOKUP(E21,input_314101!L:R,7,FALSE),VLOOKUP(tables_314101!B21,input_314101!A:H,8,FALSE))</f>
        <v>342090</v>
      </c>
      <c r="N21" s="63">
        <f t="shared" ca="1" si="3"/>
        <v>1.222972972972973E-2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input_314101!A$2</f>
        <v>314101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>bg</v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IFERROR(VLOOKUP(E22,input_314101!L:R,7,FALSE),VLOOKUP(tables_314101!B22,input_314101!A:H,8,FALSE))</f>
        <v>0</v>
      </c>
      <c r="N22" s="63">
        <f t="shared" ca="1" si="3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input_314101!A$2</f>
        <v>314101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>bg</v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IFERROR(VLOOKUP(E23,input_314101!L:R,7,FALSE),VLOOKUP(tables_314101!B23,input_314101!A:H,8,FALSE))</f>
        <v>342090</v>
      </c>
      <c r="N23" s="63">
        <f t="shared" ca="1" si="3"/>
        <v>1.222972972972973E-2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input_314101!A$2</f>
        <v>314101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>ry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IFERROR(VLOOKUP(E24,input_314101!L:R,7,FALSE),VLOOKUP(tables_314101!B24,input_314101!A:H,8,FALSE))</f>
        <v>0</v>
      </c>
      <c r="N24" s="63">
        <f t="shared" ca="1" si="3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input_314101!A$2</f>
        <v>314101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>ry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IFERROR(VLOOKUP(E25,input_314101!L:R,7,FALSE),VLOOKUP(tables_314101!B25,input_314101!A:H,8,FALSE))</f>
        <v>342090</v>
      </c>
      <c r="N25" s="63">
        <f t="shared" ca="1" si="3"/>
        <v>1.222972972972973E-2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input_314101!A$2</f>
        <v>314101</v>
      </c>
      <c r="B26" s="7" t="str">
        <f t="shared" si="0"/>
        <v>Premium3</v>
      </c>
      <c r="C26" s="7" t="str">
        <f t="shared" si="1"/>
        <v>Premium</v>
      </c>
      <c r="D26" s="7" t="str">
        <f t="shared" si="2"/>
        <v>ry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IFERROR(VLOOKUP(E26,input_314101!L:R,7,FALSE),VLOOKUP(tables_314101!B26,input_314101!A:H,8,FALSE))</f>
        <v>0</v>
      </c>
      <c r="N26" s="63">
        <f t="shared" ca="1" si="3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input_314101!A$2</f>
        <v>314101</v>
      </c>
      <c r="B27" s="7" t="str">
        <f t="shared" si="0"/>
        <v>Premium4</v>
      </c>
      <c r="C27" s="7" t="str">
        <f t="shared" si="1"/>
        <v>Premium</v>
      </c>
      <c r="D27" s="7" t="str">
        <f t="shared" si="2"/>
        <v>ry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IFERROR(VLOOKUP(E27,input_314101!L:R,7,FALSE),VLOOKUP(tables_314101!B27,input_314101!A:H,8,FALSE))</f>
        <v>342090</v>
      </c>
      <c r="N27" s="63">
        <f t="shared" ca="1" si="3"/>
        <v>1.222972972972973E-2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input_314101!A$2</f>
        <v>314101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>bg</v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IFERROR(VLOOKUP(E28,input_314101!L:R,7,FALSE),VLOOKUP(tables_314101!B28,input_314101!A:H,8,FALSE))</f>
        <v>0</v>
      </c>
      <c r="N28" s="63">
        <f t="shared" ca="1" si="3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input_314101!A$2</f>
        <v>314101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>bg</v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IFERROR(VLOOKUP(E29,input_314101!L:R,7,FALSE),VLOOKUP(tables_314101!B29,input_314101!A:H,8,FALSE))</f>
        <v>342090</v>
      </c>
      <c r="N29" s="63">
        <f t="shared" ca="1" si="3"/>
        <v>1.222972972972973E-2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input_314101!A$2</f>
        <v>314101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>bg</v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IFERROR(VLOOKUP(E30,input_314101!L:R,7,FALSE),VLOOKUP(tables_314101!B30,input_314101!A:H,8,FALSE))</f>
        <v>0</v>
      </c>
      <c r="N30" s="63">
        <f t="shared" ca="1" si="3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input_314101!A$2</f>
        <v>314101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>bg</v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IFERROR(VLOOKUP(E31,input_314101!L:R,7,FALSE),VLOOKUP(tables_314101!B31,input_314101!A:H,8,FALSE))</f>
        <v>342090</v>
      </c>
      <c r="N31" s="63">
        <f t="shared" ca="1" si="3"/>
        <v>1.222972972972973E-2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input_314101!A$2</f>
        <v>314101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>ry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IFERROR(VLOOKUP(E32,input_314101!L:R,7,FALSE),VLOOKUP(tables_314101!B32,input_314101!A:H,8,FALSE))</f>
        <v>0</v>
      </c>
      <c r="N32" s="63">
        <f t="shared" ca="1" si="3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input_314101!A$2</f>
        <v>314101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>ry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IFERROR(VLOOKUP(E33,input_314101!L:R,7,FALSE),VLOOKUP(tables_314101!B33,input_314101!A:H,8,FALSE))</f>
        <v>342090</v>
      </c>
      <c r="N33" s="63">
        <f t="shared" ca="1" si="3"/>
        <v>1.222972972972973E-2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input_314101!A$2</f>
        <v>314101</v>
      </c>
      <c r="B34" s="7" t="str">
        <f t="shared" si="0"/>
        <v>Premium3</v>
      </c>
      <c r="C34" s="7" t="str">
        <f t="shared" si="1"/>
        <v>Premium</v>
      </c>
      <c r="D34" s="7" t="str">
        <f t="shared" si="2"/>
        <v>ry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IFERROR(VLOOKUP(E34,input_314101!L:R,7,FALSE),VLOOKUP(tables_314101!B34,input_314101!A:H,8,FALSE))</f>
        <v>0</v>
      </c>
      <c r="N34" s="63">
        <f t="shared" ca="1" si="3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input_314101!A$2</f>
        <v>314101</v>
      </c>
      <c r="B35" s="7" t="str">
        <f t="shared" si="0"/>
        <v>Premium4</v>
      </c>
      <c r="C35" s="7" t="str">
        <f t="shared" si="1"/>
        <v>Premium</v>
      </c>
      <c r="D35" s="7" t="str">
        <f t="shared" si="2"/>
        <v>ry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IFERROR(VLOOKUP(E35,input_314101!L:R,7,FALSE),VLOOKUP(tables_314101!B35,input_314101!A:H,8,FALSE))</f>
        <v>342090</v>
      </c>
      <c r="N35" s="63">
        <f t="shared" ca="1" si="3"/>
        <v>1.222972972972973E-2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input_314101!A$2</f>
        <v>314101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>bg</v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IFERROR(VLOOKUP(E36,input_314101!L:R,7,FALSE),VLOOKUP(tables_314101!B36,input_314101!A:H,8,FALSE))</f>
        <v>0</v>
      </c>
      <c r="N36" s="63">
        <f t="shared" ca="1" si="3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input_314101!A$2</f>
        <v>314101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>bg</v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IFERROR(VLOOKUP(E37,input_314101!L:R,7,FALSE),VLOOKUP(tables_314101!B37,input_314101!A:H,8,FALSE))</f>
        <v>342090</v>
      </c>
      <c r="N37" s="63">
        <f t="shared" ca="1" si="3"/>
        <v>1.222972972972973E-2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input_314101!A$2</f>
        <v>314101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>bg</v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IFERROR(VLOOKUP(E38,input_314101!L:R,7,FALSE),VLOOKUP(tables_314101!B38,input_314101!A:H,8,FALSE))</f>
        <v>0</v>
      </c>
      <c r="N38" s="63">
        <f t="shared" ca="1" si="3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input_314101!A$2</f>
        <v>314101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>bg</v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IFERROR(VLOOKUP(E39,input_314101!L:R,7,FALSE),VLOOKUP(tables_314101!B39,input_314101!A:H,8,FALSE))</f>
        <v>342090</v>
      </c>
      <c r="N39" s="63">
        <f t="shared" ca="1" si="3"/>
        <v>1.222972972972973E-2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input_314101!A$2</f>
        <v>314101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>ry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IFERROR(VLOOKUP(E40,input_314101!L:R,7,FALSE),VLOOKUP(tables_314101!B40,input_314101!A:H,8,FALSE))</f>
        <v>0</v>
      </c>
      <c r="N40" s="63">
        <f t="shared" ca="1" si="3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input_314101!A$2</f>
        <v>314101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>ry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IFERROR(VLOOKUP(E41,input_314101!L:R,7,FALSE),VLOOKUP(tables_314101!B41,input_314101!A:H,8,FALSE))</f>
        <v>342090</v>
      </c>
      <c r="N41" s="63">
        <f t="shared" ca="1" si="3"/>
        <v>1.222972972972973E-2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input_314101!A$2</f>
        <v>314101</v>
      </c>
      <c r="B42" s="7" t="str">
        <f t="shared" si="0"/>
        <v>Premium3</v>
      </c>
      <c r="C42" s="7" t="str">
        <f t="shared" si="1"/>
        <v>Premium</v>
      </c>
      <c r="D42" s="7" t="str">
        <f t="shared" si="2"/>
        <v>ry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IFERROR(VLOOKUP(E42,input_314101!L:R,7,FALSE),VLOOKUP(tables_314101!B42,input_314101!A:H,8,FALSE))</f>
        <v>0</v>
      </c>
      <c r="N42" s="63">
        <f t="shared" ca="1" si="3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input_314101!A$2</f>
        <v>314101</v>
      </c>
      <c r="B43" s="7" t="str">
        <f t="shared" si="0"/>
        <v>Premium4</v>
      </c>
      <c r="C43" s="7" t="str">
        <f t="shared" si="1"/>
        <v>Premium</v>
      </c>
      <c r="D43" s="7" t="str">
        <f t="shared" si="2"/>
        <v>ry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IFERROR(VLOOKUP(E43,input_314101!L:R,7,FALSE),VLOOKUP(tables_314101!B43,input_314101!A:H,8,FALSE))</f>
        <v>342090</v>
      </c>
      <c r="N43" s="63">
        <f t="shared" ca="1" si="3"/>
        <v>1.222972972972973E-2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input_314101!A$2</f>
        <v>314101</v>
      </c>
      <c r="B44" s="7" t="str">
        <f t="shared" si="0"/>
        <v>Premium5</v>
      </c>
      <c r="C44" s="7" t="str">
        <f t="shared" si="1"/>
        <v>Premium</v>
      </c>
      <c r="D44" s="7" t="str">
        <f t="shared" si="2"/>
        <v>ry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IFERROR(VLOOKUP(E44,input_314101!L:R,7,FALSE),VLOOKUP(tables_314101!B44,input_314101!A:H,8,FALSE))</f>
        <v>18130</v>
      </c>
      <c r="N44" s="63">
        <f t="shared" ca="1" si="3"/>
        <v>6.4814814814814813E-4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input_314101!A$2</f>
        <v>314101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>bg</v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IFERROR(VLOOKUP(E45,input_314101!L:R,7,FALSE),VLOOKUP(tables_314101!B45,input_314101!A:H,8,FALSE))</f>
        <v>0</v>
      </c>
      <c r="N45" s="63">
        <f t="shared" ca="1" si="3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input_314101!A$2</f>
        <v>314101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>bg</v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IFERROR(VLOOKUP(E46,input_314101!L:R,7,FALSE),VLOOKUP(tables_314101!B46,input_314101!A:H,8,FALSE))</f>
        <v>342090</v>
      </c>
      <c r="N46" s="63">
        <f t="shared" ca="1" si="3"/>
        <v>1.222972972972973E-2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input_314101!A$2</f>
        <v>314101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>bg</v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IFERROR(VLOOKUP(E47,input_314101!L:R,7,FALSE),VLOOKUP(tables_314101!B47,input_314101!A:H,8,FALSE))</f>
        <v>18130</v>
      </c>
      <c r="N47" s="63">
        <f t="shared" ca="1" si="3"/>
        <v>6.4814814814814813E-4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input_314101!A$2</f>
        <v>314101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>bg</v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IFERROR(VLOOKUP(E48,input_314101!L:R,7,FALSE),VLOOKUP(tables_314101!B48,input_314101!A:H,8,FALSE))</f>
        <v>0</v>
      </c>
      <c r="N48" s="63">
        <f t="shared" ca="1" si="3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input_314101!A$2</f>
        <v>314101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>bg</v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IFERROR(VLOOKUP(E49,input_314101!L:R,7,FALSE),VLOOKUP(tables_314101!B49,input_314101!A:H,8,FALSE))</f>
        <v>342090</v>
      </c>
      <c r="N49" s="63">
        <f t="shared" ca="1" si="3"/>
        <v>1.222972972972973E-2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input_314101!A$2</f>
        <v>314101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>bg</v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IFERROR(VLOOKUP(E50,input_314101!L:R,7,FALSE),VLOOKUP(tables_314101!B50,input_314101!A:H,8,FALSE))</f>
        <v>18130</v>
      </c>
      <c r="N50" s="63">
        <f t="shared" ca="1" si="3"/>
        <v>6.4814814814814813E-4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input_314101!A$2</f>
        <v>314101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>ry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IFERROR(VLOOKUP(E51,input_314101!L:R,7,FALSE),VLOOKUP(tables_314101!B51,input_314101!A:H,8,FALSE))</f>
        <v>0</v>
      </c>
      <c r="N51" s="63">
        <f t="shared" ca="1" si="3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input_314101!A$2</f>
        <v>314101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>ry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IFERROR(VLOOKUP(E52,input_314101!L:R,7,FALSE),VLOOKUP(tables_314101!B52,input_314101!A:H,8,FALSE))</f>
        <v>342090</v>
      </c>
      <c r="N52" s="63">
        <f t="shared" ca="1" si="3"/>
        <v>1.222972972972973E-2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input_314101!A$2</f>
        <v>314101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>ry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IFERROR(VLOOKUP(E53,input_314101!L:R,7,FALSE),VLOOKUP(tables_314101!B53,input_314101!A:H,8,FALSE))</f>
        <v>18130</v>
      </c>
      <c r="N53" s="63">
        <f t="shared" ca="1" si="3"/>
        <v>6.4814814814814813E-4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input_314101!A$2</f>
        <v>314101</v>
      </c>
      <c r="B54" s="7" t="str">
        <f t="shared" si="0"/>
        <v>Premium3</v>
      </c>
      <c r="C54" s="7" t="str">
        <f t="shared" si="1"/>
        <v>Premium</v>
      </c>
      <c r="D54" s="7" t="str">
        <f t="shared" si="2"/>
        <v>ry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IFERROR(VLOOKUP(E54,input_314101!L:R,7,FALSE),VLOOKUP(tables_314101!B54,input_314101!A:H,8,FALSE))</f>
        <v>0</v>
      </c>
      <c r="N54" s="63">
        <f t="shared" ca="1" si="3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input_314101!A$2</f>
        <v>314101</v>
      </c>
      <c r="B55" s="7" t="str">
        <f t="shared" si="0"/>
        <v>Premium4</v>
      </c>
      <c r="C55" s="7" t="str">
        <f t="shared" si="1"/>
        <v>Premium</v>
      </c>
      <c r="D55" s="7" t="str">
        <f t="shared" si="2"/>
        <v>ry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IFERROR(VLOOKUP(E55,input_314101!L:R,7,FALSE),VLOOKUP(tables_314101!B55,input_314101!A:H,8,FALSE))</f>
        <v>342090</v>
      </c>
      <c r="N55" s="63">
        <f t="shared" ca="1" si="3"/>
        <v>1.222972972972973E-2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input_314101!A$2</f>
        <v>314101</v>
      </c>
      <c r="B56" s="7" t="str">
        <f t="shared" si="0"/>
        <v>Premium5</v>
      </c>
      <c r="C56" s="7" t="str">
        <f t="shared" si="1"/>
        <v>Premium</v>
      </c>
      <c r="D56" s="7" t="str">
        <f t="shared" si="2"/>
        <v>ry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IFERROR(VLOOKUP(E56,input_314101!L:R,7,FALSE),VLOOKUP(tables_314101!B56,input_314101!A:H,8,FALSE))</f>
        <v>18130</v>
      </c>
      <c r="N56" s="63">
        <f t="shared" ca="1" si="3"/>
        <v>6.4814814814814813E-4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input_314101!A$2</f>
        <v>314101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>bg</v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IFERROR(VLOOKUP(E57,input_314101!L:R,7,FALSE),VLOOKUP(tables_314101!B57,input_314101!A:H,8,FALSE))</f>
        <v>0</v>
      </c>
      <c r="N57" s="63">
        <f t="shared" ca="1" si="3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input_314101!A$2</f>
        <v>314101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>bg</v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IFERROR(VLOOKUP(E58,input_314101!L:R,7,FALSE),VLOOKUP(tables_314101!B58,input_314101!A:H,8,FALSE))</f>
        <v>342090</v>
      </c>
      <c r="N58" s="63">
        <f t="shared" ca="1" si="3"/>
        <v>1.222972972972973E-2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input_314101!A$2</f>
        <v>314101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>bg</v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IFERROR(VLOOKUP(E59,input_314101!L:R,7,FALSE),VLOOKUP(tables_314101!B59,input_314101!A:H,8,FALSE))</f>
        <v>18130</v>
      </c>
      <c r="N59" s="63">
        <f t="shared" ca="1" si="3"/>
        <v>6.4814814814814813E-4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input_314101!A$2</f>
        <v>314101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>bg</v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IFERROR(VLOOKUP(E60,input_314101!L:R,7,FALSE),VLOOKUP(tables_314101!B60,input_314101!A:H,8,FALSE))</f>
        <v>0</v>
      </c>
      <c r="N60" s="63">
        <f t="shared" ca="1" si="3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input_314101!A$2</f>
        <v>314101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>bg</v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IFERROR(VLOOKUP(E61,input_314101!L:R,7,FALSE),VLOOKUP(tables_314101!B61,input_314101!A:H,8,FALSE))</f>
        <v>342090</v>
      </c>
      <c r="N61" s="63">
        <f t="shared" ca="1" si="3"/>
        <v>1.222972972972973E-2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input_314101!A$2</f>
        <v>314101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>bg</v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IFERROR(VLOOKUP(E62,input_314101!L:R,7,FALSE),VLOOKUP(tables_314101!B62,input_314101!A:H,8,FALSE))</f>
        <v>18130</v>
      </c>
      <c r="N62" s="63">
        <f t="shared" ca="1" si="3"/>
        <v>6.4814814814814813E-4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input_314101!A$2</f>
        <v>314101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>ry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IFERROR(VLOOKUP(E63,input_314101!L:R,7,FALSE),VLOOKUP(tables_314101!B63,input_314101!A:H,8,FALSE))</f>
        <v>0</v>
      </c>
      <c r="N63" s="63">
        <f t="shared" ca="1" si="3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input_314101!A$2</f>
        <v>314101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>ry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IFERROR(VLOOKUP(E64,input_314101!L:R,7,FALSE),VLOOKUP(tables_314101!B64,input_314101!A:H,8,FALSE))</f>
        <v>342090</v>
      </c>
      <c r="N64" s="63">
        <f t="shared" ca="1" si="3"/>
        <v>1.222972972972973E-2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input_314101!A$2</f>
        <v>314101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>ry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IFERROR(VLOOKUP(E65,input_314101!L:R,7,FALSE),VLOOKUP(tables_314101!B65,input_314101!A:H,8,FALSE))</f>
        <v>18130</v>
      </c>
      <c r="N65" s="63">
        <f t="shared" ca="1" si="3"/>
        <v>6.4814814814814813E-4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input_314101!A$2</f>
        <v>314101</v>
      </c>
      <c r="B66" s="7" t="str">
        <f t="shared" si="0"/>
        <v>Premium3</v>
      </c>
      <c r="C66" s="7" t="str">
        <f t="shared" si="1"/>
        <v>Premium</v>
      </c>
      <c r="D66" s="7" t="str">
        <f t="shared" si="2"/>
        <v>ry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IFERROR(VLOOKUP(E66,input_314101!L:R,7,FALSE),VLOOKUP(tables_314101!B66,input_314101!A:H,8,FALSE))</f>
        <v>0</v>
      </c>
      <c r="N66" s="63">
        <f t="shared" ca="1" si="3"/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input_314101!A$2</f>
        <v>314101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 t="str">
        <f t="shared" ref="D67:D130" si="6">IF(I67="red","ry",IF(I67="yellow","ry","bg"))</f>
        <v>ry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IFERROR(VLOOKUP(E67,input_314101!L:R,7,FALSE),VLOOKUP(tables_314101!B67,input_314101!A:H,8,FALSE))</f>
        <v>342090</v>
      </c>
      <c r="N67" s="63">
        <f t="shared" ref="N67:N130" ca="1" si="7">M67/SUM(M:M)</f>
        <v>1.222972972972973E-2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input_314101!A$2</f>
        <v>314101</v>
      </c>
      <c r="B68" s="7" t="str">
        <f t="shared" si="4"/>
        <v>Premium5</v>
      </c>
      <c r="C68" s="7" t="str">
        <f t="shared" si="5"/>
        <v>Premium</v>
      </c>
      <c r="D68" s="7" t="str">
        <f t="shared" si="6"/>
        <v>ry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IFERROR(VLOOKUP(E68,input_314101!L:R,7,FALSE),VLOOKUP(tables_314101!B68,input_314101!A:H,8,FALSE))</f>
        <v>18130</v>
      </c>
      <c r="N68" s="63">
        <f t="shared" ca="1" si="7"/>
        <v>6.4814814814814813E-4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input_314101!A$2</f>
        <v>314101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>bg</v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IFERROR(VLOOKUP(E69,input_314101!L:R,7,FALSE),VLOOKUP(tables_314101!B69,input_314101!A:H,8,FALSE))</f>
        <v>0</v>
      </c>
      <c r="N69" s="63">
        <f t="shared" ca="1" si="7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input_314101!A$2</f>
        <v>314101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>bg</v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IFERROR(VLOOKUP(E70,input_314101!L:R,7,FALSE),VLOOKUP(tables_314101!B70,input_314101!A:H,8,FALSE))</f>
        <v>342090</v>
      </c>
      <c r="N70" s="63">
        <f t="shared" ca="1" si="7"/>
        <v>1.222972972972973E-2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input_314101!A$2</f>
        <v>314101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>bg</v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IFERROR(VLOOKUP(E71,input_314101!L:R,7,FALSE),VLOOKUP(tables_314101!B71,input_314101!A:H,8,FALSE))</f>
        <v>18130</v>
      </c>
      <c r="N71" s="63">
        <f t="shared" ca="1" si="7"/>
        <v>6.4814814814814813E-4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input_314101!A$2</f>
        <v>314101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>ry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IFERROR(VLOOKUP(E72,input_314101!L:R,7,FALSE),VLOOKUP(tables_314101!B72,input_314101!A:H,8,FALSE))</f>
        <v>0</v>
      </c>
      <c r="N72" s="63">
        <f t="shared" ca="1" si="7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input_314101!A$2</f>
        <v>314101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>ry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IFERROR(VLOOKUP(E73,input_314101!L:R,7,FALSE),VLOOKUP(tables_314101!B73,input_314101!A:H,8,FALSE))</f>
        <v>342090</v>
      </c>
      <c r="N73" s="63">
        <f t="shared" ca="1" si="7"/>
        <v>1.222972972972973E-2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input_314101!A$2</f>
        <v>314101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>ry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IFERROR(VLOOKUP(E74,input_314101!L:R,7,FALSE),VLOOKUP(tables_314101!B74,input_314101!A:H,8,FALSE))</f>
        <v>18130</v>
      </c>
      <c r="N74" s="63">
        <f t="shared" ca="1" si="7"/>
        <v>6.4814814814814813E-4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input_314101!A$2</f>
        <v>314101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>bg</v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IFERROR(VLOOKUP(E75,input_314101!L:R,7,FALSE),VLOOKUP(tables_314101!B75,input_314101!A:H,8,FALSE))</f>
        <v>0</v>
      </c>
      <c r="N75" s="63">
        <f t="shared" ca="1" si="7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input_314101!A$2</f>
        <v>314101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>bg</v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IFERROR(VLOOKUP(E76,input_314101!L:R,7,FALSE),VLOOKUP(tables_314101!B76,input_314101!A:H,8,FALSE))</f>
        <v>342090</v>
      </c>
      <c r="N76" s="63">
        <f t="shared" ca="1" si="7"/>
        <v>1.222972972972973E-2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input_314101!A$2</f>
        <v>314101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>bg</v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IFERROR(VLOOKUP(E77,input_314101!L:R,7,FALSE),VLOOKUP(tables_314101!B77,input_314101!A:H,8,FALSE))</f>
        <v>18130</v>
      </c>
      <c r="N77" s="63">
        <f t="shared" ca="1" si="7"/>
        <v>6.4814814814814813E-4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input_314101!A$2</f>
        <v>314101</v>
      </c>
      <c r="B78" s="7" t="str">
        <f t="shared" si="4"/>
        <v>Premium3</v>
      </c>
      <c r="C78" s="7" t="str">
        <f t="shared" si="5"/>
        <v>Premium</v>
      </c>
      <c r="D78" s="7" t="str">
        <f t="shared" si="6"/>
        <v>ry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IFERROR(VLOOKUP(E78,input_314101!L:R,7,FALSE),VLOOKUP(tables_314101!B78,input_314101!A:H,8,FALSE))</f>
        <v>0</v>
      </c>
      <c r="N78" s="63">
        <f t="shared" ca="1" si="7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input_314101!A$2</f>
        <v>314101</v>
      </c>
      <c r="B79" s="7" t="str">
        <f t="shared" si="4"/>
        <v>Premium4</v>
      </c>
      <c r="C79" s="7" t="str">
        <f t="shared" si="5"/>
        <v>Premium</v>
      </c>
      <c r="D79" s="7" t="str">
        <f t="shared" si="6"/>
        <v>ry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IFERROR(VLOOKUP(E79,input_314101!L:R,7,FALSE),VLOOKUP(tables_314101!B79,input_314101!A:H,8,FALSE))</f>
        <v>342090</v>
      </c>
      <c r="N79" s="63">
        <f t="shared" ca="1" si="7"/>
        <v>1.222972972972973E-2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input_314101!A$2</f>
        <v>314101</v>
      </c>
      <c r="B80" s="7" t="str">
        <f t="shared" si="4"/>
        <v>Premium5</v>
      </c>
      <c r="C80" s="7" t="str">
        <f t="shared" si="5"/>
        <v>Premium</v>
      </c>
      <c r="D80" s="7" t="str">
        <f t="shared" si="6"/>
        <v>ry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IFERROR(VLOOKUP(E80,input_314101!L:R,7,FALSE),VLOOKUP(tables_314101!B80,input_314101!A:H,8,FALSE))</f>
        <v>18130</v>
      </c>
      <c r="N80" s="63">
        <f t="shared" ca="1" si="7"/>
        <v>6.4814814814814813E-4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input_314101!A$2</f>
        <v>314101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>bg</v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IFERROR(VLOOKUP(E81,input_314101!L:R,7,FALSE),VLOOKUP(tables_314101!B81,input_314101!A:H,8,FALSE))</f>
        <v>0</v>
      </c>
      <c r="N81" s="63">
        <f t="shared" ca="1" si="7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input_314101!A$2</f>
        <v>314101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>bg</v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IFERROR(VLOOKUP(E82,input_314101!L:R,7,FALSE),VLOOKUP(tables_314101!B82,input_314101!A:H,8,FALSE))</f>
        <v>342090</v>
      </c>
      <c r="N82" s="63">
        <f t="shared" ca="1" si="7"/>
        <v>1.222972972972973E-2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input_314101!A$2</f>
        <v>314101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>bg</v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IFERROR(VLOOKUP(E83,input_314101!L:R,7,FALSE),VLOOKUP(tables_314101!B83,input_314101!A:H,8,FALSE))</f>
        <v>18130</v>
      </c>
      <c r="N83" s="63">
        <f t="shared" ca="1" si="7"/>
        <v>6.4814814814814813E-4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input_314101!A$2</f>
        <v>314101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>bg</v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IFERROR(VLOOKUP(E84,input_314101!L:R,7,FALSE),VLOOKUP(tables_314101!B84,input_314101!A:H,8,FALSE))</f>
        <v>0</v>
      </c>
      <c r="N84" s="63">
        <f t="shared" ca="1" si="7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input_314101!A$2</f>
        <v>314101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>bg</v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IFERROR(VLOOKUP(E85,input_314101!L:R,7,FALSE),VLOOKUP(tables_314101!B85,input_314101!A:H,8,FALSE))</f>
        <v>342090</v>
      </c>
      <c r="N85" s="63">
        <f t="shared" ca="1" si="7"/>
        <v>1.222972972972973E-2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input_314101!A$2</f>
        <v>314101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>bg</v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IFERROR(VLOOKUP(E86,input_314101!L:R,7,FALSE),VLOOKUP(tables_314101!B86,input_314101!A:H,8,FALSE))</f>
        <v>18130</v>
      </c>
      <c r="N86" s="63">
        <f t="shared" ca="1" si="7"/>
        <v>6.4814814814814813E-4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input_314101!A$2</f>
        <v>314101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>ry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IFERROR(VLOOKUP(E87,input_314101!L:R,7,FALSE),VLOOKUP(tables_314101!B87,input_314101!A:H,8,FALSE))</f>
        <v>0</v>
      </c>
      <c r="N87" s="63">
        <f t="shared" ca="1" si="7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input_314101!A$2</f>
        <v>314101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>ry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IFERROR(VLOOKUP(E88,input_314101!L:R,7,FALSE),VLOOKUP(tables_314101!B88,input_314101!A:H,8,FALSE))</f>
        <v>342090</v>
      </c>
      <c r="N88" s="63">
        <f t="shared" ca="1" si="7"/>
        <v>1.222972972972973E-2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input_314101!A$2</f>
        <v>314101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>ry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IFERROR(VLOOKUP(E89,input_314101!L:R,7,FALSE),VLOOKUP(tables_314101!B89,input_314101!A:H,8,FALSE))</f>
        <v>18130</v>
      </c>
      <c r="N89" s="63">
        <f t="shared" ca="1" si="7"/>
        <v>6.4814814814814813E-4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input_314101!A$2</f>
        <v>314101</v>
      </c>
      <c r="B90" s="7" t="str">
        <f t="shared" si="4"/>
        <v>Premium3</v>
      </c>
      <c r="C90" s="7" t="str">
        <f t="shared" si="5"/>
        <v>Premium</v>
      </c>
      <c r="D90" s="7" t="str">
        <f t="shared" si="6"/>
        <v>ry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IFERROR(VLOOKUP(E90,input_314101!L:R,7,FALSE),VLOOKUP(tables_314101!B90,input_314101!A:H,8,FALSE))</f>
        <v>0</v>
      </c>
      <c r="N90" s="63">
        <f t="shared" ca="1" si="7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input_314101!A$2</f>
        <v>314101</v>
      </c>
      <c r="B91" s="7" t="str">
        <f t="shared" si="4"/>
        <v>Premium4</v>
      </c>
      <c r="C91" s="7" t="str">
        <f t="shared" si="5"/>
        <v>Premium</v>
      </c>
      <c r="D91" s="7" t="str">
        <f t="shared" si="6"/>
        <v>ry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IFERROR(VLOOKUP(E91,input_314101!L:R,7,FALSE),VLOOKUP(tables_314101!B91,input_314101!A:H,8,FALSE))</f>
        <v>342090</v>
      </c>
      <c r="N91" s="63">
        <f t="shared" ca="1" si="7"/>
        <v>1.222972972972973E-2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input_314101!A$2</f>
        <v>314101</v>
      </c>
      <c r="B92" s="7" t="str">
        <f t="shared" si="4"/>
        <v>Premium5</v>
      </c>
      <c r="C92" s="7" t="str">
        <f t="shared" si="5"/>
        <v>Premium</v>
      </c>
      <c r="D92" s="7" t="str">
        <f t="shared" si="6"/>
        <v>ry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IFERROR(VLOOKUP(E92,input_314101!L:R,7,FALSE),VLOOKUP(tables_314101!B92,input_314101!A:H,8,FALSE))</f>
        <v>18130</v>
      </c>
      <c r="N92" s="63">
        <f t="shared" ca="1" si="7"/>
        <v>6.4814814814814813E-4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input_314101!A$2</f>
        <v>314101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>bg</v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IFERROR(VLOOKUP(E93,input_314101!L:R,7,FALSE),VLOOKUP(tables_314101!B93,input_314101!A:H,8,FALSE))</f>
        <v>0</v>
      </c>
      <c r="N93" s="63">
        <f t="shared" ca="1" si="7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input_314101!A$2</f>
        <v>314101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>bg</v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IFERROR(VLOOKUP(E94,input_314101!L:R,7,FALSE),VLOOKUP(tables_314101!B94,input_314101!A:H,8,FALSE))</f>
        <v>342090</v>
      </c>
      <c r="N94" s="63">
        <f t="shared" ca="1" si="7"/>
        <v>1.222972972972973E-2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input_314101!A$2</f>
        <v>314101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>bg</v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IFERROR(VLOOKUP(E95,input_314101!L:R,7,FALSE),VLOOKUP(tables_314101!B95,input_314101!A:H,8,FALSE))</f>
        <v>18130</v>
      </c>
      <c r="N95" s="63">
        <f t="shared" ca="1" si="7"/>
        <v>6.4814814814814813E-4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input_314101!A$2</f>
        <v>314101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>bg</v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IFERROR(VLOOKUP(E96,input_314101!L:R,7,FALSE),VLOOKUP(tables_314101!B96,input_314101!A:H,8,FALSE))</f>
        <v>0</v>
      </c>
      <c r="N96" s="63">
        <f t="shared" ca="1" si="7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input_314101!A$2</f>
        <v>314101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>bg</v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IFERROR(VLOOKUP(E97,input_314101!L:R,7,FALSE),VLOOKUP(tables_314101!B97,input_314101!A:H,8,FALSE))</f>
        <v>342090</v>
      </c>
      <c r="N97" s="63">
        <f t="shared" ca="1" si="7"/>
        <v>1.222972972972973E-2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input_314101!A$2</f>
        <v>314101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>bg</v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IFERROR(VLOOKUP(E98,input_314101!L:R,7,FALSE),VLOOKUP(tables_314101!B98,input_314101!A:H,8,FALSE))</f>
        <v>18130</v>
      </c>
      <c r="N98" s="63">
        <f t="shared" ca="1" si="7"/>
        <v>6.4814814814814813E-4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input_314101!A$2</f>
        <v>314101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>ry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IFERROR(VLOOKUP(E99,input_314101!L:R,7,FALSE),VLOOKUP(tables_314101!B99,input_314101!A:H,8,FALSE))</f>
        <v>0</v>
      </c>
      <c r="N99" s="63">
        <f t="shared" ca="1" si="7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input_314101!A$2</f>
        <v>314101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>ry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IFERROR(VLOOKUP(E100,input_314101!L:R,7,FALSE),VLOOKUP(tables_314101!B100,input_314101!A:H,8,FALSE))</f>
        <v>342090</v>
      </c>
      <c r="N100" s="63">
        <f t="shared" ca="1" si="7"/>
        <v>1.222972972972973E-2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input_314101!A$2</f>
        <v>314101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>ry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IFERROR(VLOOKUP(E101,input_314101!L:R,7,FALSE),VLOOKUP(tables_314101!B101,input_314101!A:H,8,FALSE))</f>
        <v>18130</v>
      </c>
      <c r="N101" s="63">
        <f t="shared" ca="1" si="7"/>
        <v>6.4814814814814813E-4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input_314101!A$2</f>
        <v>314101</v>
      </c>
      <c r="B102" s="7" t="str">
        <f t="shared" si="4"/>
        <v>Premium3</v>
      </c>
      <c r="C102" s="7" t="str">
        <f t="shared" si="5"/>
        <v>Premium</v>
      </c>
      <c r="D102" s="7" t="str">
        <f t="shared" si="6"/>
        <v>ry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IFERROR(VLOOKUP(E102,input_314101!L:R,7,FALSE),VLOOKUP(tables_314101!B102,input_314101!A:H,8,FALSE))</f>
        <v>0</v>
      </c>
      <c r="N102" s="63">
        <f t="shared" ca="1" si="7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input_314101!A$2</f>
        <v>314101</v>
      </c>
      <c r="B103" s="7" t="str">
        <f t="shared" si="4"/>
        <v>Premium4</v>
      </c>
      <c r="C103" s="7" t="str">
        <f t="shared" si="5"/>
        <v>Premium</v>
      </c>
      <c r="D103" s="7" t="str">
        <f t="shared" si="6"/>
        <v>ry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IFERROR(VLOOKUP(E103,input_314101!L:R,7,FALSE),VLOOKUP(tables_314101!B103,input_314101!A:H,8,FALSE))</f>
        <v>342090</v>
      </c>
      <c r="N103" s="63">
        <f t="shared" ca="1" si="7"/>
        <v>1.222972972972973E-2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input_314101!A$2</f>
        <v>314101</v>
      </c>
      <c r="B104" s="7" t="str">
        <f t="shared" si="4"/>
        <v>Premium5</v>
      </c>
      <c r="C104" s="7" t="str">
        <f t="shared" si="5"/>
        <v>Premium</v>
      </c>
      <c r="D104" s="7" t="str">
        <f t="shared" si="6"/>
        <v>ry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IFERROR(VLOOKUP(E104,input_314101!L:R,7,FALSE),VLOOKUP(tables_314101!B104,input_314101!A:H,8,FALSE))</f>
        <v>18130</v>
      </c>
      <c r="N104" s="63">
        <f t="shared" ca="1" si="7"/>
        <v>6.4814814814814813E-4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input_314101!A$2</f>
        <v>314101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>bg</v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IFERROR(VLOOKUP(E105,input_314101!L:R,7,FALSE),VLOOKUP(tables_314101!B105,input_314101!A:H,8,FALSE))</f>
        <v>0</v>
      </c>
      <c r="N105" s="63">
        <f t="shared" ca="1" si="7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input_314101!A$2</f>
        <v>314101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>bg</v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IFERROR(VLOOKUP(E106,input_314101!L:R,7,FALSE),VLOOKUP(tables_314101!B106,input_314101!A:H,8,FALSE))</f>
        <v>342090</v>
      </c>
      <c r="N106" s="63">
        <f t="shared" ca="1" si="7"/>
        <v>1.222972972972973E-2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input_314101!A$2</f>
        <v>314101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>bg</v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IFERROR(VLOOKUP(E107,input_314101!L:R,7,FALSE),VLOOKUP(tables_314101!B107,input_314101!A:H,8,FALSE))</f>
        <v>18130</v>
      </c>
      <c r="N107" s="63">
        <f t="shared" ca="1" si="7"/>
        <v>6.4814814814814813E-4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input_314101!A$2</f>
        <v>314101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>bg</v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IFERROR(VLOOKUP(E108,input_314101!L:R,7,FALSE),VLOOKUP(tables_314101!B108,input_314101!A:H,8,FALSE))</f>
        <v>0</v>
      </c>
      <c r="N108" s="63">
        <f t="shared" ca="1" si="7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input_314101!A$2</f>
        <v>314101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>bg</v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IFERROR(VLOOKUP(E109,input_314101!L:R,7,FALSE),VLOOKUP(tables_314101!B109,input_314101!A:H,8,FALSE))</f>
        <v>342090</v>
      </c>
      <c r="N109" s="63">
        <f t="shared" ca="1" si="7"/>
        <v>1.222972972972973E-2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input_314101!A$2</f>
        <v>314101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>bg</v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IFERROR(VLOOKUP(E110,input_314101!L:R,7,FALSE),VLOOKUP(tables_314101!B110,input_314101!A:H,8,FALSE))</f>
        <v>18130</v>
      </c>
      <c r="N110" s="63">
        <f t="shared" ca="1" si="7"/>
        <v>6.4814814814814813E-4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input_314101!A$2</f>
        <v>314101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>ry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IFERROR(VLOOKUP(E111,input_314101!L:R,7,FALSE),VLOOKUP(tables_314101!B111,input_314101!A:H,8,FALSE))</f>
        <v>0</v>
      </c>
      <c r="N111" s="63">
        <f t="shared" ca="1" si="7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input_314101!A$2</f>
        <v>314101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>ry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IFERROR(VLOOKUP(E112,input_314101!L:R,7,FALSE),VLOOKUP(tables_314101!B112,input_314101!A:H,8,FALSE))</f>
        <v>342090</v>
      </c>
      <c r="N112" s="63">
        <f t="shared" ca="1" si="7"/>
        <v>1.222972972972973E-2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input_314101!A$2</f>
        <v>314101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>ry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IFERROR(VLOOKUP(E113,input_314101!L:R,7,FALSE),VLOOKUP(tables_314101!B113,input_314101!A:H,8,FALSE))</f>
        <v>18130</v>
      </c>
      <c r="N113" s="63">
        <f t="shared" ca="1" si="7"/>
        <v>6.4814814814814813E-4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input_314101!A$2</f>
        <v>314101</v>
      </c>
      <c r="B114" s="7" t="str">
        <f t="shared" si="4"/>
        <v>Premium3</v>
      </c>
      <c r="C114" s="7" t="str">
        <f t="shared" si="5"/>
        <v>Premium</v>
      </c>
      <c r="D114" s="7" t="str">
        <f t="shared" si="6"/>
        <v>ry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IFERROR(VLOOKUP(E114,input_314101!L:R,7,FALSE),VLOOKUP(tables_314101!B114,input_314101!A:H,8,FALSE))</f>
        <v>0</v>
      </c>
      <c r="N114" s="63">
        <f t="shared" ca="1" si="7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input_314101!A$2</f>
        <v>314101</v>
      </c>
      <c r="B115" s="7" t="str">
        <f t="shared" si="4"/>
        <v>Premium4</v>
      </c>
      <c r="C115" s="7" t="str">
        <f t="shared" si="5"/>
        <v>Premium</v>
      </c>
      <c r="D115" s="7" t="str">
        <f t="shared" si="6"/>
        <v>ry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IFERROR(VLOOKUP(E115,input_314101!L:R,7,FALSE),VLOOKUP(tables_314101!B115,input_314101!A:H,8,FALSE))</f>
        <v>342090</v>
      </c>
      <c r="N115" s="63">
        <f t="shared" ca="1" si="7"/>
        <v>1.222972972972973E-2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input_314101!A$2</f>
        <v>314101</v>
      </c>
      <c r="B116" s="7" t="str">
        <f t="shared" si="4"/>
        <v>Premium5</v>
      </c>
      <c r="C116" s="7" t="str">
        <f t="shared" si="5"/>
        <v>Premium</v>
      </c>
      <c r="D116" s="7" t="str">
        <f t="shared" si="6"/>
        <v>ry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IFERROR(VLOOKUP(E116,input_314101!L:R,7,FALSE),VLOOKUP(tables_314101!B116,input_314101!A:H,8,FALSE))</f>
        <v>18130</v>
      </c>
      <c r="N116" s="63">
        <f t="shared" ca="1" si="7"/>
        <v>6.4814814814814813E-4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input_314101!A$2</f>
        <v>314101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>bg</v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IFERROR(VLOOKUP(E117,input_314101!L:R,7,FALSE),VLOOKUP(tables_314101!B117,input_314101!A:H,8,FALSE))</f>
        <v>0</v>
      </c>
      <c r="N117" s="63">
        <f t="shared" ca="1" si="7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input_314101!A$2</f>
        <v>314101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>bg</v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IFERROR(VLOOKUP(E118,input_314101!L:R,7,FALSE),VLOOKUP(tables_314101!B118,input_314101!A:H,8,FALSE))</f>
        <v>342090</v>
      </c>
      <c r="N118" s="63">
        <f t="shared" ca="1" si="7"/>
        <v>1.222972972972973E-2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input_314101!A$2</f>
        <v>314101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>bg</v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IFERROR(VLOOKUP(E119,input_314101!L:R,7,FALSE),VLOOKUP(tables_314101!B119,input_314101!A:H,8,FALSE))</f>
        <v>18130</v>
      </c>
      <c r="N119" s="63">
        <f t="shared" ca="1" si="7"/>
        <v>6.4814814814814813E-4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input_314101!A$2</f>
        <v>314101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>bg</v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IFERROR(VLOOKUP(E120,input_314101!L:R,7,FALSE),VLOOKUP(tables_314101!B120,input_314101!A:H,8,FALSE))</f>
        <v>0</v>
      </c>
      <c r="N120" s="63">
        <f t="shared" ca="1" si="7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input_314101!A$2</f>
        <v>314101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>bg</v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IFERROR(VLOOKUP(E121,input_314101!L:R,7,FALSE),VLOOKUP(tables_314101!B121,input_314101!A:H,8,FALSE))</f>
        <v>342090</v>
      </c>
      <c r="N121" s="63">
        <f t="shared" ca="1" si="7"/>
        <v>1.222972972972973E-2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input_314101!A$2</f>
        <v>314101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>bg</v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IFERROR(VLOOKUP(E122,input_314101!L:R,7,FALSE),VLOOKUP(tables_314101!B122,input_314101!A:H,8,FALSE))</f>
        <v>18130</v>
      </c>
      <c r="N122" s="63">
        <f t="shared" ca="1" si="7"/>
        <v>6.4814814814814813E-4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input_314101!A$2</f>
        <v>314101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>ry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IFERROR(VLOOKUP(E123,input_314101!L:R,7,FALSE),VLOOKUP(tables_314101!B123,input_314101!A:H,8,FALSE))</f>
        <v>0</v>
      </c>
      <c r="N123" s="63">
        <f t="shared" ca="1" si="7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input_314101!A$2</f>
        <v>314101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>ry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IFERROR(VLOOKUP(E124,input_314101!L:R,7,FALSE),VLOOKUP(tables_314101!B124,input_314101!A:H,8,FALSE))</f>
        <v>342090</v>
      </c>
      <c r="N124" s="63">
        <f t="shared" ca="1" si="7"/>
        <v>1.222972972972973E-2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input_314101!A$2</f>
        <v>314101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>ry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IFERROR(VLOOKUP(E125,input_314101!L:R,7,FALSE),VLOOKUP(tables_314101!B125,input_314101!A:H,8,FALSE))</f>
        <v>18130</v>
      </c>
      <c r="N125" s="63">
        <f t="shared" ca="1" si="7"/>
        <v>6.4814814814814813E-4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input_314101!A$2</f>
        <v>314101</v>
      </c>
      <c r="B126" s="7" t="str">
        <f t="shared" si="4"/>
        <v>Premium3</v>
      </c>
      <c r="C126" s="7" t="str">
        <f t="shared" si="5"/>
        <v>Premium</v>
      </c>
      <c r="D126" s="7" t="str">
        <f t="shared" si="6"/>
        <v>ry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IFERROR(VLOOKUP(E126,input_314101!L:R,7,FALSE),VLOOKUP(tables_314101!B126,input_314101!A:H,8,FALSE))</f>
        <v>0</v>
      </c>
      <c r="N126" s="63">
        <f t="shared" ca="1" si="7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input_314101!A$2</f>
        <v>314101</v>
      </c>
      <c r="B127" s="7" t="str">
        <f t="shared" si="4"/>
        <v>Premium4</v>
      </c>
      <c r="C127" s="7" t="str">
        <f t="shared" si="5"/>
        <v>Premium</v>
      </c>
      <c r="D127" s="7" t="str">
        <f t="shared" si="6"/>
        <v>ry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IFERROR(VLOOKUP(E127,input_314101!L:R,7,FALSE),VLOOKUP(tables_314101!B127,input_314101!A:H,8,FALSE))</f>
        <v>342090</v>
      </c>
      <c r="N127" s="63">
        <f t="shared" ca="1" si="7"/>
        <v>1.222972972972973E-2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input_314101!A$2</f>
        <v>314101</v>
      </c>
      <c r="B128" s="7" t="str">
        <f t="shared" si="4"/>
        <v>Premium5</v>
      </c>
      <c r="C128" s="7" t="str">
        <f t="shared" si="5"/>
        <v>Premium</v>
      </c>
      <c r="D128" s="7" t="str">
        <f t="shared" si="6"/>
        <v>ry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IFERROR(VLOOKUP(E128,input_314101!L:R,7,FALSE),VLOOKUP(tables_314101!B128,input_314101!A:H,8,FALSE))</f>
        <v>18130</v>
      </c>
      <c r="N128" s="63">
        <f t="shared" ca="1" si="7"/>
        <v>6.4814814814814813E-4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input_314101!A$2</f>
        <v>314101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>bg</v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IFERROR(VLOOKUP(E129,input_314101!L:R,7,FALSE),VLOOKUP(tables_314101!B129,input_314101!A:H,8,FALSE))</f>
        <v>0</v>
      </c>
      <c r="N129" s="63">
        <f t="shared" ca="1" si="7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input_314101!A$2</f>
        <v>314101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>bg</v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IFERROR(VLOOKUP(E130,input_314101!L:R,7,FALSE),VLOOKUP(tables_314101!B130,input_314101!A:H,8,FALSE))</f>
        <v>342090</v>
      </c>
      <c r="N130" s="63">
        <f t="shared" ca="1" si="7"/>
        <v>1.222972972972973E-2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input_314101!A$2</f>
        <v>314101</v>
      </c>
      <c r="B131" s="7" t="str">
        <f t="shared" ref="B131:B194" si="8">C131&amp;IF(C131="premium",,D131)&amp;H131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IF(I131="red","ry",IF(I131="yellow","ry","bg"))</f>
        <v>bg</v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IFERROR(VLOOKUP(E131,input_314101!L:R,7,FALSE),VLOOKUP(tables_314101!B131,input_314101!A:H,8,FALSE))</f>
        <v>18130</v>
      </c>
      <c r="N131" s="63">
        <f t="shared" ref="N131:N194" ca="1" si="11">M131/SUM(M:M)</f>
        <v>6.4814814814814813E-4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input_314101!A$2</f>
        <v>314101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>bg</v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IFERROR(VLOOKUP(E132,input_314101!L:R,7,FALSE),VLOOKUP(tables_314101!B132,input_314101!A:H,8,FALSE))</f>
        <v>0</v>
      </c>
      <c r="N132" s="63">
        <f t="shared" ca="1" si="11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input_314101!A$2</f>
        <v>314101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>bg</v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IFERROR(VLOOKUP(E133,input_314101!L:R,7,FALSE),VLOOKUP(tables_314101!B133,input_314101!A:H,8,FALSE))</f>
        <v>342090</v>
      </c>
      <c r="N133" s="63">
        <f t="shared" ca="1" si="11"/>
        <v>1.222972972972973E-2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input_314101!A$2</f>
        <v>314101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>bg</v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IFERROR(VLOOKUP(E134,input_314101!L:R,7,FALSE),VLOOKUP(tables_314101!B134,input_314101!A:H,8,FALSE))</f>
        <v>18130</v>
      </c>
      <c r="N134" s="63">
        <f t="shared" ca="1" si="11"/>
        <v>6.4814814814814813E-4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input_314101!A$2</f>
        <v>314101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>ry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IFERROR(VLOOKUP(E135,input_314101!L:R,7,FALSE),VLOOKUP(tables_314101!B135,input_314101!A:H,8,FALSE))</f>
        <v>0</v>
      </c>
      <c r="N135" s="63">
        <f t="shared" ca="1" si="11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input_314101!A$2</f>
        <v>314101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>ry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IFERROR(VLOOKUP(E136,input_314101!L:R,7,FALSE),VLOOKUP(tables_314101!B136,input_314101!A:H,8,FALSE))</f>
        <v>342090</v>
      </c>
      <c r="N136" s="63">
        <f t="shared" ca="1" si="11"/>
        <v>1.222972972972973E-2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input_314101!A$2</f>
        <v>314101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>ry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IFERROR(VLOOKUP(E137,input_314101!L:R,7,FALSE),VLOOKUP(tables_314101!B137,input_314101!A:H,8,FALSE))</f>
        <v>18130</v>
      </c>
      <c r="N137" s="63">
        <f t="shared" ca="1" si="11"/>
        <v>6.4814814814814813E-4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input_314101!A$2</f>
        <v>314101</v>
      </c>
      <c r="B138" s="7" t="str">
        <f t="shared" si="8"/>
        <v>PremiumSSry4</v>
      </c>
      <c r="C138" s="7" t="str">
        <f t="shared" si="9"/>
        <v>PremiumSS</v>
      </c>
      <c r="D138" s="7" t="str">
        <f t="shared" si="10"/>
        <v>ry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IFERROR(VLOOKUP(E138,input_314101!L:R,7,FALSE),VLOOKUP(tables_314101!B138,input_314101!A:H,8,FALSE))</f>
        <v>35964</v>
      </c>
      <c r="N138" s="63">
        <f t="shared" ca="1" si="11"/>
        <v>1.2857142857142856E-3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input_314101!A$2</f>
        <v>314101</v>
      </c>
      <c r="B139" s="7" t="str">
        <f t="shared" si="8"/>
        <v>PremiumSSry5</v>
      </c>
      <c r="C139" s="7" t="str">
        <f t="shared" si="9"/>
        <v>PremiumSS</v>
      </c>
      <c r="D139" s="7" t="str">
        <f t="shared" si="10"/>
        <v>ry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IFERROR(VLOOKUP(E139,input_314101!L:R,7,FALSE),VLOOKUP(tables_314101!B139,input_314101!A:H,8,FALSE))</f>
        <v>3996</v>
      </c>
      <c r="N139" s="63">
        <f t="shared" ca="1" si="11"/>
        <v>1.4285714285714287E-4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input_314101!A$2</f>
        <v>314101</v>
      </c>
      <c r="B140" s="7" t="str">
        <f t="shared" si="8"/>
        <v>PremiumSSbg4</v>
      </c>
      <c r="C140" s="7" t="str">
        <f t="shared" si="9"/>
        <v>PremiumSS</v>
      </c>
      <c r="D140" s="7" t="str">
        <f t="shared" si="10"/>
        <v>bg</v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IFERROR(VLOOKUP(E140,input_314101!L:R,7,FALSE),VLOOKUP(tables_314101!B140,input_314101!A:H,8,FALSE))</f>
        <v>62937</v>
      </c>
      <c r="N140" s="63">
        <f t="shared" ca="1" si="11"/>
        <v>2.2499999999999998E-3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input_314101!A$2</f>
        <v>314101</v>
      </c>
      <c r="B141" s="7" t="str">
        <f t="shared" si="8"/>
        <v>PremiumSSbg5</v>
      </c>
      <c r="C141" s="7" t="str">
        <f t="shared" si="9"/>
        <v>PremiumSS</v>
      </c>
      <c r="D141" s="7" t="str">
        <f t="shared" si="10"/>
        <v>bg</v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IFERROR(VLOOKUP(E141,input_314101!L:R,7,FALSE),VLOOKUP(tables_314101!B141,input_314101!A:H,8,FALSE))</f>
        <v>6993</v>
      </c>
      <c r="N141" s="63">
        <f t="shared" ca="1" si="11"/>
        <v>2.5000000000000001E-4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input_314101!A$2</f>
        <v>314101</v>
      </c>
      <c r="B142" s="7" t="str">
        <f t="shared" si="8"/>
        <v>PremiumSSbg4</v>
      </c>
      <c r="C142" s="7" t="str">
        <f t="shared" si="9"/>
        <v>PremiumSS</v>
      </c>
      <c r="D142" s="7" t="str">
        <f t="shared" si="10"/>
        <v>bg</v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IFERROR(VLOOKUP(E142,input_314101!L:R,7,FALSE),VLOOKUP(tables_314101!B142,input_314101!A:H,8,FALSE))</f>
        <v>62937</v>
      </c>
      <c r="N142" s="63">
        <f t="shared" ca="1" si="11"/>
        <v>2.2499999999999998E-3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input_314101!A$2</f>
        <v>314101</v>
      </c>
      <c r="B143" s="7" t="str">
        <f t="shared" si="8"/>
        <v>PremiumSSbg5</v>
      </c>
      <c r="C143" s="7" t="str">
        <f t="shared" si="9"/>
        <v>PremiumSS</v>
      </c>
      <c r="D143" s="7" t="str">
        <f t="shared" si="10"/>
        <v>bg</v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IFERROR(VLOOKUP(E143,input_314101!L:R,7,FALSE),VLOOKUP(tables_314101!B143,input_314101!A:H,8,FALSE))</f>
        <v>6993</v>
      </c>
      <c r="N143" s="63">
        <f t="shared" ca="1" si="11"/>
        <v>2.5000000000000001E-4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input_314101!A$2</f>
        <v>314101</v>
      </c>
      <c r="B144" s="7" t="str">
        <f t="shared" si="8"/>
        <v>PremiumSSry4</v>
      </c>
      <c r="C144" s="7" t="str">
        <f t="shared" si="9"/>
        <v>PremiumSS</v>
      </c>
      <c r="D144" s="7" t="str">
        <f t="shared" si="10"/>
        <v>ry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IFERROR(VLOOKUP(E144,input_314101!L:R,7,FALSE),VLOOKUP(tables_314101!B144,input_314101!A:H,8,FALSE))</f>
        <v>35964</v>
      </c>
      <c r="N144" s="63">
        <f t="shared" ca="1" si="11"/>
        <v>1.2857142857142856E-3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input_314101!A$2</f>
        <v>314101</v>
      </c>
      <c r="B145" s="7" t="str">
        <f t="shared" si="8"/>
        <v>PremiumSSry5</v>
      </c>
      <c r="C145" s="7" t="str">
        <f t="shared" si="9"/>
        <v>PremiumSS</v>
      </c>
      <c r="D145" s="7" t="str">
        <f t="shared" si="10"/>
        <v>ry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IFERROR(VLOOKUP(E145,input_314101!L:R,7,FALSE),VLOOKUP(tables_314101!B145,input_314101!A:H,8,FALSE))</f>
        <v>3996</v>
      </c>
      <c r="N145" s="63">
        <f t="shared" ca="1" si="11"/>
        <v>1.4285714285714287E-4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input_314101!A$2</f>
        <v>314101</v>
      </c>
      <c r="B146" s="7" t="str">
        <f t="shared" si="8"/>
        <v>Premium3</v>
      </c>
      <c r="C146" s="7" t="str">
        <f t="shared" si="9"/>
        <v>Premium</v>
      </c>
      <c r="D146" s="7" t="str">
        <f t="shared" si="10"/>
        <v>ry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IFERROR(VLOOKUP(E146,input_314101!L:R,7,FALSE),VLOOKUP(tables_314101!B146,input_314101!A:H,8,FALSE))</f>
        <v>0</v>
      </c>
      <c r="N146" s="63">
        <f t="shared" ca="1" si="11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input_314101!A$2</f>
        <v>314101</v>
      </c>
      <c r="B147" s="7" t="str">
        <f t="shared" si="8"/>
        <v>Premium4</v>
      </c>
      <c r="C147" s="7" t="str">
        <f t="shared" si="9"/>
        <v>Premium</v>
      </c>
      <c r="D147" s="7" t="str">
        <f t="shared" si="10"/>
        <v>ry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IFERROR(VLOOKUP(E147,input_314101!L:R,7,FALSE),VLOOKUP(tables_314101!B147,input_314101!A:H,8,FALSE))</f>
        <v>342090</v>
      </c>
      <c r="N147" s="63">
        <f t="shared" ca="1" si="11"/>
        <v>1.222972972972973E-2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input_314101!A$2</f>
        <v>314101</v>
      </c>
      <c r="B148" s="7" t="str">
        <f t="shared" si="8"/>
        <v>Premium5</v>
      </c>
      <c r="C148" s="7" t="str">
        <f t="shared" si="9"/>
        <v>Premium</v>
      </c>
      <c r="D148" s="7" t="str">
        <f t="shared" si="10"/>
        <v>ry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IFERROR(VLOOKUP(E148,input_314101!L:R,7,FALSE),VLOOKUP(tables_314101!B148,input_314101!A:H,8,FALSE))</f>
        <v>18130</v>
      </c>
      <c r="N148" s="63">
        <f t="shared" ca="1" si="11"/>
        <v>6.4814814814814813E-4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input_314101!A$2</f>
        <v>314101</v>
      </c>
      <c r="B149" s="7" t="str">
        <f t="shared" si="8"/>
        <v>PremiumSSbg4</v>
      </c>
      <c r="C149" s="7" t="str">
        <f t="shared" si="9"/>
        <v>PremiumSS</v>
      </c>
      <c r="D149" s="7" t="str">
        <f t="shared" si="10"/>
        <v>bg</v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IFERROR(VLOOKUP(E149,input_314101!L:R,7,FALSE),VLOOKUP(tables_314101!B149,input_314101!A:H,8,FALSE))</f>
        <v>62937</v>
      </c>
      <c r="N149" s="63">
        <f t="shared" ca="1" si="11"/>
        <v>2.2499999999999998E-3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input_314101!A$2</f>
        <v>314101</v>
      </c>
      <c r="B150" s="7" t="str">
        <f t="shared" si="8"/>
        <v>PremiumSSbg5</v>
      </c>
      <c r="C150" s="7" t="str">
        <f t="shared" si="9"/>
        <v>PremiumSS</v>
      </c>
      <c r="D150" s="7" t="str">
        <f t="shared" si="10"/>
        <v>bg</v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IFERROR(VLOOKUP(E150,input_314101!L:R,7,FALSE),VLOOKUP(tables_314101!B150,input_314101!A:H,8,FALSE))</f>
        <v>6993</v>
      </c>
      <c r="N150" s="63">
        <f t="shared" ca="1" si="11"/>
        <v>2.5000000000000001E-4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input_314101!A$2</f>
        <v>314101</v>
      </c>
      <c r="B151" s="7" t="str">
        <f t="shared" si="8"/>
        <v>PremiumSSbg4</v>
      </c>
      <c r="C151" s="7" t="str">
        <f t="shared" si="9"/>
        <v>PremiumSS</v>
      </c>
      <c r="D151" s="7" t="str">
        <f t="shared" si="10"/>
        <v>bg</v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IFERROR(VLOOKUP(E151,input_314101!L:R,7,FALSE),VLOOKUP(tables_314101!B151,input_314101!A:H,8,FALSE))</f>
        <v>62937</v>
      </c>
      <c r="N151" s="63">
        <f t="shared" ca="1" si="11"/>
        <v>2.2499999999999998E-3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input_314101!A$2</f>
        <v>314101</v>
      </c>
      <c r="B152" s="7" t="str">
        <f t="shared" si="8"/>
        <v>PremiumSSbg5</v>
      </c>
      <c r="C152" s="7" t="str">
        <f t="shared" si="9"/>
        <v>PremiumSS</v>
      </c>
      <c r="D152" s="7" t="str">
        <f t="shared" si="10"/>
        <v>bg</v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IFERROR(VLOOKUP(E152,input_314101!L:R,7,FALSE),VLOOKUP(tables_314101!B152,input_314101!A:H,8,FALSE))</f>
        <v>6993</v>
      </c>
      <c r="N152" s="63">
        <f t="shared" ca="1" si="11"/>
        <v>2.5000000000000001E-4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input_314101!A$2</f>
        <v>314101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>ry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IFERROR(VLOOKUP(E153,input_314101!L:R,7,FALSE),VLOOKUP(tables_314101!B153,input_314101!A:H,8,FALSE))</f>
        <v>0</v>
      </c>
      <c r="N153" s="63">
        <f t="shared" ca="1" si="11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input_314101!A$2</f>
        <v>314101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>ry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IFERROR(VLOOKUP(E154,input_314101!L:R,7,FALSE),VLOOKUP(tables_314101!B154,input_314101!A:H,8,FALSE))</f>
        <v>342090</v>
      </c>
      <c r="N154" s="63">
        <f t="shared" ca="1" si="11"/>
        <v>1.222972972972973E-2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input_314101!A$2</f>
        <v>314101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>ry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IFERROR(VLOOKUP(E155,input_314101!L:R,7,FALSE),VLOOKUP(tables_314101!B155,input_314101!A:H,8,FALSE))</f>
        <v>18130</v>
      </c>
      <c r="N155" s="63">
        <f t="shared" ca="1" si="11"/>
        <v>6.4814814814814813E-4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input_314101!A$2</f>
        <v>314101</v>
      </c>
      <c r="B156" s="7" t="str">
        <f t="shared" si="8"/>
        <v>PremiumSSry4</v>
      </c>
      <c r="C156" s="7" t="str">
        <f t="shared" si="9"/>
        <v>PremiumSS</v>
      </c>
      <c r="D156" s="7" t="str">
        <f t="shared" si="10"/>
        <v>ry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IFERROR(VLOOKUP(E156,input_314101!L:R,7,FALSE),VLOOKUP(tables_314101!B156,input_314101!A:H,8,FALSE))</f>
        <v>35964</v>
      </c>
      <c r="N156" s="63">
        <f t="shared" ca="1" si="11"/>
        <v>1.2857142857142856E-3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input_314101!A$2</f>
        <v>314101</v>
      </c>
      <c r="B157" s="7" t="str">
        <f t="shared" si="8"/>
        <v>PremiumSSry5</v>
      </c>
      <c r="C157" s="7" t="str">
        <f t="shared" si="9"/>
        <v>PremiumSS</v>
      </c>
      <c r="D157" s="7" t="str">
        <f t="shared" si="10"/>
        <v>ry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IFERROR(VLOOKUP(E157,input_314101!L:R,7,FALSE),VLOOKUP(tables_314101!B157,input_314101!A:H,8,FALSE))</f>
        <v>3996</v>
      </c>
      <c r="N157" s="63">
        <f t="shared" ca="1" si="11"/>
        <v>1.4285714285714287E-4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input_314101!A$2</f>
        <v>314101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>bg</v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IFERROR(VLOOKUP(E158,input_314101!L:R,7,FALSE),VLOOKUP(tables_314101!B158,input_314101!A:H,8,FALSE))</f>
        <v>0</v>
      </c>
      <c r="N158" s="63">
        <f t="shared" ca="1" si="11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input_314101!A$2</f>
        <v>314101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>bg</v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IFERROR(VLOOKUP(E159,input_314101!L:R,7,FALSE),VLOOKUP(tables_314101!B159,input_314101!A:H,8,FALSE))</f>
        <v>342090</v>
      </c>
      <c r="N159" s="63">
        <f t="shared" ca="1" si="11"/>
        <v>1.222972972972973E-2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input_314101!A$2</f>
        <v>314101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>bg</v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IFERROR(VLOOKUP(E160,input_314101!L:R,7,FALSE),VLOOKUP(tables_314101!B160,input_314101!A:H,8,FALSE))</f>
        <v>18130</v>
      </c>
      <c r="N160" s="63">
        <f t="shared" ca="1" si="11"/>
        <v>6.4814814814814813E-4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input_314101!A$2</f>
        <v>314101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>bg</v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IFERROR(VLOOKUP(E161,input_314101!L:R,7,FALSE),VLOOKUP(tables_314101!B161,input_314101!A:H,8,FALSE))</f>
        <v>0</v>
      </c>
      <c r="N161" s="63">
        <f t="shared" ca="1" si="11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input_314101!A$2</f>
        <v>314101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>bg</v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IFERROR(VLOOKUP(E162,input_314101!L:R,7,FALSE),VLOOKUP(tables_314101!B162,input_314101!A:H,8,FALSE))</f>
        <v>342090</v>
      </c>
      <c r="N162" s="63">
        <f t="shared" ca="1" si="11"/>
        <v>1.222972972972973E-2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input_314101!A$2</f>
        <v>314101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>bg</v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IFERROR(VLOOKUP(E163,input_314101!L:R,7,FALSE),VLOOKUP(tables_314101!B163,input_314101!A:H,8,FALSE))</f>
        <v>18130</v>
      </c>
      <c r="N163" s="63">
        <f t="shared" ca="1" si="11"/>
        <v>6.4814814814814813E-4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input_314101!A$2</f>
        <v>314101</v>
      </c>
      <c r="B164" s="7" t="str">
        <f t="shared" si="8"/>
        <v>PremiumSSry4</v>
      </c>
      <c r="C164" s="7" t="str">
        <f t="shared" si="9"/>
        <v>PremiumSS</v>
      </c>
      <c r="D164" s="7" t="str">
        <f t="shared" si="10"/>
        <v>ry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IFERROR(VLOOKUP(E164,input_314101!L:R,7,FALSE),VLOOKUP(tables_314101!B164,input_314101!A:H,8,FALSE))</f>
        <v>35964</v>
      </c>
      <c r="N164" s="63">
        <f t="shared" ca="1" si="11"/>
        <v>1.2857142857142856E-3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input_314101!A$2</f>
        <v>314101</v>
      </c>
      <c r="B165" s="7" t="str">
        <f t="shared" si="8"/>
        <v>PremiumSSry5</v>
      </c>
      <c r="C165" s="7" t="str">
        <f t="shared" si="9"/>
        <v>PremiumSS</v>
      </c>
      <c r="D165" s="7" t="str">
        <f t="shared" si="10"/>
        <v>ry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IFERROR(VLOOKUP(E165,input_314101!L:R,7,FALSE),VLOOKUP(tables_314101!B165,input_314101!A:H,8,FALSE))</f>
        <v>3996</v>
      </c>
      <c r="N165" s="63">
        <f t="shared" ca="1" si="11"/>
        <v>1.4285714285714287E-4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input_314101!A$2</f>
        <v>314101</v>
      </c>
      <c r="B166" s="7" t="str">
        <f t="shared" si="8"/>
        <v>Premium3</v>
      </c>
      <c r="C166" s="7" t="str">
        <f t="shared" si="9"/>
        <v>Premium</v>
      </c>
      <c r="D166" s="7" t="str">
        <f t="shared" si="10"/>
        <v>ry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IFERROR(VLOOKUP(E166,input_314101!L:R,7,FALSE),VLOOKUP(tables_314101!B166,input_314101!A:H,8,FALSE))</f>
        <v>0</v>
      </c>
      <c r="N166" s="63">
        <f t="shared" ca="1" si="11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input_314101!A$2</f>
        <v>314101</v>
      </c>
      <c r="B167" s="7" t="str">
        <f t="shared" si="8"/>
        <v>Premium4</v>
      </c>
      <c r="C167" s="7" t="str">
        <f t="shared" si="9"/>
        <v>Premium</v>
      </c>
      <c r="D167" s="7" t="str">
        <f t="shared" si="10"/>
        <v>ry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IFERROR(VLOOKUP(E167,input_314101!L:R,7,FALSE),VLOOKUP(tables_314101!B167,input_314101!A:H,8,FALSE))</f>
        <v>342090</v>
      </c>
      <c r="N167" s="63">
        <f t="shared" ca="1" si="11"/>
        <v>1.222972972972973E-2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input_314101!A$2</f>
        <v>314101</v>
      </c>
      <c r="B168" s="7" t="str">
        <f t="shared" si="8"/>
        <v>Premium5</v>
      </c>
      <c r="C168" s="7" t="str">
        <f t="shared" si="9"/>
        <v>Premium</v>
      </c>
      <c r="D168" s="7" t="str">
        <f t="shared" si="10"/>
        <v>ry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IFERROR(VLOOKUP(E168,input_314101!L:R,7,FALSE),VLOOKUP(tables_314101!B168,input_314101!A:H,8,FALSE))</f>
        <v>18130</v>
      </c>
      <c r="N168" s="63">
        <f t="shared" ca="1" si="11"/>
        <v>6.4814814814814813E-4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input_314101!A$2</f>
        <v>314101</v>
      </c>
      <c r="B169" s="7" t="str">
        <f t="shared" si="8"/>
        <v>PremiumSSbg4</v>
      </c>
      <c r="C169" s="7" t="str">
        <f t="shared" si="9"/>
        <v>PremiumSS</v>
      </c>
      <c r="D169" s="7" t="str">
        <f t="shared" si="10"/>
        <v>bg</v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IFERROR(VLOOKUP(E169,input_314101!L:R,7,FALSE),VLOOKUP(tables_314101!B169,input_314101!A:H,8,FALSE))</f>
        <v>62937</v>
      </c>
      <c r="N169" s="63">
        <f t="shared" ca="1" si="11"/>
        <v>2.2499999999999998E-3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input_314101!A$2</f>
        <v>314101</v>
      </c>
      <c r="B170" s="7" t="str">
        <f t="shared" si="8"/>
        <v>PremiumSSbg5</v>
      </c>
      <c r="C170" s="7" t="str">
        <f t="shared" si="9"/>
        <v>PremiumSS</v>
      </c>
      <c r="D170" s="7" t="str">
        <f t="shared" si="10"/>
        <v>bg</v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IFERROR(VLOOKUP(E170,input_314101!L:R,7,FALSE),VLOOKUP(tables_314101!B170,input_314101!A:H,8,FALSE))</f>
        <v>6993</v>
      </c>
      <c r="N170" s="63">
        <f t="shared" ca="1" si="11"/>
        <v>2.5000000000000001E-4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input_314101!A$2</f>
        <v>314101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>bg</v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IFERROR(VLOOKUP(E171,input_314101!L:R,7,FALSE),VLOOKUP(tables_314101!B171,input_314101!A:H,8,FALSE))</f>
        <v>0</v>
      </c>
      <c r="N171" s="63">
        <f t="shared" ca="1" si="11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input_314101!A$2</f>
        <v>314101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>bg</v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IFERROR(VLOOKUP(E172,input_314101!L:R,7,FALSE),VLOOKUP(tables_314101!B172,input_314101!A:H,8,FALSE))</f>
        <v>342090</v>
      </c>
      <c r="N172" s="63">
        <f t="shared" ca="1" si="11"/>
        <v>1.222972972972973E-2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input_314101!A$2</f>
        <v>314101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>bg</v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IFERROR(VLOOKUP(E173,input_314101!L:R,7,FALSE),VLOOKUP(tables_314101!B173,input_314101!A:H,8,FALSE))</f>
        <v>18130</v>
      </c>
      <c r="N173" s="63">
        <f t="shared" ca="1" si="11"/>
        <v>6.4814814814814813E-4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input_314101!A$2</f>
        <v>314101</v>
      </c>
      <c r="B174" s="7" t="str">
        <f t="shared" si="8"/>
        <v>PremiumSSry4</v>
      </c>
      <c r="C174" s="7" t="str">
        <f t="shared" si="9"/>
        <v>PremiumSS</v>
      </c>
      <c r="D174" s="7" t="str">
        <f t="shared" si="10"/>
        <v>ry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IFERROR(VLOOKUP(E174,input_314101!L:R,7,FALSE),VLOOKUP(tables_314101!B174,input_314101!A:H,8,FALSE))</f>
        <v>35964</v>
      </c>
      <c r="N174" s="63">
        <f t="shared" ca="1" si="11"/>
        <v>1.2857142857142856E-3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input_314101!A$2</f>
        <v>314101</v>
      </c>
      <c r="B175" s="7" t="str">
        <f t="shared" si="8"/>
        <v>PremiumSSry5</v>
      </c>
      <c r="C175" s="7" t="str">
        <f t="shared" si="9"/>
        <v>PremiumSS</v>
      </c>
      <c r="D175" s="7" t="str">
        <f t="shared" si="10"/>
        <v>ry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IFERROR(VLOOKUP(E175,input_314101!L:R,7,FALSE),VLOOKUP(tables_314101!B175,input_314101!A:H,8,FALSE))</f>
        <v>3996</v>
      </c>
      <c r="N175" s="63">
        <f t="shared" ca="1" si="11"/>
        <v>1.4285714285714287E-4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input_314101!A$2</f>
        <v>314101</v>
      </c>
      <c r="B176" s="7" t="str">
        <f t="shared" si="8"/>
        <v>PremiumSSry4</v>
      </c>
      <c r="C176" s="7" t="str">
        <f t="shared" si="9"/>
        <v>PremiumSS</v>
      </c>
      <c r="D176" s="7" t="str">
        <f t="shared" si="10"/>
        <v>ry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IFERROR(VLOOKUP(E176,input_314101!L:R,7,FALSE),VLOOKUP(tables_314101!B176,input_314101!A:H,8,FALSE))</f>
        <v>35964</v>
      </c>
      <c r="N176" s="63">
        <f t="shared" ca="1" si="11"/>
        <v>1.2857142857142856E-3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input_314101!A$2</f>
        <v>314101</v>
      </c>
      <c r="B177" s="7" t="str">
        <f t="shared" si="8"/>
        <v>PremiumSSry5</v>
      </c>
      <c r="C177" s="7" t="str">
        <f t="shared" si="9"/>
        <v>PremiumSS</v>
      </c>
      <c r="D177" s="7" t="str">
        <f t="shared" si="10"/>
        <v>ry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IFERROR(VLOOKUP(E177,input_314101!L:R,7,FALSE),VLOOKUP(tables_314101!B177,input_314101!A:H,8,FALSE))</f>
        <v>3996</v>
      </c>
      <c r="N177" s="63">
        <f t="shared" ca="1" si="11"/>
        <v>1.4285714285714287E-4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input_314101!A$2</f>
        <v>314101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>bg</v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IFERROR(VLOOKUP(E178,input_314101!L:R,7,FALSE),VLOOKUP(tables_314101!B178,input_314101!A:H,8,FALSE))</f>
        <v>0</v>
      </c>
      <c r="N178" s="63">
        <f t="shared" ca="1" si="11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input_314101!A$2</f>
        <v>314101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>bg</v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IFERROR(VLOOKUP(E179,input_314101!L:R,7,FALSE),VLOOKUP(tables_314101!B179,input_314101!A:H,8,FALSE))</f>
        <v>342090</v>
      </c>
      <c r="N179" s="63">
        <f t="shared" ca="1" si="11"/>
        <v>1.222972972972973E-2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input_314101!A$2</f>
        <v>314101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>bg</v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IFERROR(VLOOKUP(E180,input_314101!L:R,7,FALSE),VLOOKUP(tables_314101!B180,input_314101!A:H,8,FALSE))</f>
        <v>18130</v>
      </c>
      <c r="N180" s="63">
        <f t="shared" ca="1" si="11"/>
        <v>6.4814814814814813E-4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input_314101!A$2</f>
        <v>314101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>bg</v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IFERROR(VLOOKUP(E181,input_314101!L:R,7,FALSE),VLOOKUP(tables_314101!B181,input_314101!A:H,8,FALSE))</f>
        <v>0</v>
      </c>
      <c r="N181" s="63">
        <f t="shared" ca="1" si="11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input_314101!A$2</f>
        <v>314101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>bg</v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IFERROR(VLOOKUP(E182,input_314101!L:R,7,FALSE),VLOOKUP(tables_314101!B182,input_314101!A:H,8,FALSE))</f>
        <v>342090</v>
      </c>
      <c r="N182" s="63">
        <f t="shared" ca="1" si="11"/>
        <v>1.222972972972973E-2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input_314101!A$2</f>
        <v>314101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>bg</v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IFERROR(VLOOKUP(E183,input_314101!L:R,7,FALSE),VLOOKUP(tables_314101!B183,input_314101!A:H,8,FALSE))</f>
        <v>18130</v>
      </c>
      <c r="N183" s="63">
        <f t="shared" ca="1" si="11"/>
        <v>6.4814814814814813E-4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input_314101!A$2</f>
        <v>314101</v>
      </c>
      <c r="B184" s="7" t="str">
        <f t="shared" si="8"/>
        <v>PremiumSSry4</v>
      </c>
      <c r="C184" s="7" t="str">
        <f t="shared" si="9"/>
        <v>PremiumSS</v>
      </c>
      <c r="D184" s="7" t="str">
        <f t="shared" si="10"/>
        <v>ry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IFERROR(VLOOKUP(E184,input_314101!L:R,7,FALSE),VLOOKUP(tables_314101!B184,input_314101!A:H,8,FALSE))</f>
        <v>35964</v>
      </c>
      <c r="N184" s="63">
        <f t="shared" ca="1" si="11"/>
        <v>1.2857142857142856E-3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input_314101!A$2</f>
        <v>314101</v>
      </c>
      <c r="B185" s="7" t="str">
        <f t="shared" si="8"/>
        <v>PremiumSSry5</v>
      </c>
      <c r="C185" s="7" t="str">
        <f t="shared" si="9"/>
        <v>PremiumSS</v>
      </c>
      <c r="D185" s="7" t="str">
        <f t="shared" si="10"/>
        <v>ry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IFERROR(VLOOKUP(E185,input_314101!L:R,7,FALSE),VLOOKUP(tables_314101!B185,input_314101!A:H,8,FALSE))</f>
        <v>3996</v>
      </c>
      <c r="N185" s="63">
        <f t="shared" ca="1" si="11"/>
        <v>1.4285714285714287E-4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input_314101!A$2</f>
        <v>314101</v>
      </c>
      <c r="B186" s="7" t="str">
        <f t="shared" si="8"/>
        <v>Premium3</v>
      </c>
      <c r="C186" s="7" t="str">
        <f t="shared" si="9"/>
        <v>Premium</v>
      </c>
      <c r="D186" s="7" t="str">
        <f t="shared" si="10"/>
        <v>ry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IFERROR(VLOOKUP(E186,input_314101!L:R,7,FALSE),VLOOKUP(tables_314101!B186,input_314101!A:H,8,FALSE))</f>
        <v>0</v>
      </c>
      <c r="N186" s="63">
        <f t="shared" ca="1" si="11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input_314101!A$2</f>
        <v>314101</v>
      </c>
      <c r="B187" s="7" t="str">
        <f t="shared" si="8"/>
        <v>Premium4</v>
      </c>
      <c r="C187" s="7" t="str">
        <f t="shared" si="9"/>
        <v>Premium</v>
      </c>
      <c r="D187" s="7" t="str">
        <f t="shared" si="10"/>
        <v>ry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IFERROR(VLOOKUP(E187,input_314101!L:R,7,FALSE),VLOOKUP(tables_314101!B187,input_314101!A:H,8,FALSE))</f>
        <v>342090</v>
      </c>
      <c r="N187" s="63">
        <f t="shared" ca="1" si="11"/>
        <v>1.222972972972973E-2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input_314101!A$2</f>
        <v>314101</v>
      </c>
      <c r="B188" s="7" t="str">
        <f t="shared" si="8"/>
        <v>Premium5</v>
      </c>
      <c r="C188" s="7" t="str">
        <f t="shared" si="9"/>
        <v>Premium</v>
      </c>
      <c r="D188" s="7" t="str">
        <f t="shared" si="10"/>
        <v>ry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IFERROR(VLOOKUP(E188,input_314101!L:R,7,FALSE),VLOOKUP(tables_314101!B188,input_314101!A:H,8,FALSE))</f>
        <v>18130</v>
      </c>
      <c r="N188" s="63">
        <f t="shared" ca="1" si="11"/>
        <v>6.4814814814814813E-4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input_314101!A$2</f>
        <v>314101</v>
      </c>
      <c r="B189" s="7" t="str">
        <f t="shared" si="8"/>
        <v>PremiumSSbg4</v>
      </c>
      <c r="C189" s="7" t="str">
        <f t="shared" si="9"/>
        <v>PremiumSS</v>
      </c>
      <c r="D189" s="7" t="str">
        <f t="shared" si="10"/>
        <v>bg</v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IFERROR(VLOOKUP(E189,input_314101!L:R,7,FALSE),VLOOKUP(tables_314101!B189,input_314101!A:H,8,FALSE))</f>
        <v>62937</v>
      </c>
      <c r="N189" s="63">
        <f t="shared" ca="1" si="11"/>
        <v>2.2499999999999998E-3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input_314101!A$2</f>
        <v>314101</v>
      </c>
      <c r="B190" s="7" t="str">
        <f t="shared" si="8"/>
        <v>PremiumSSbg5</v>
      </c>
      <c r="C190" s="7" t="str">
        <f t="shared" si="9"/>
        <v>PremiumSS</v>
      </c>
      <c r="D190" s="7" t="str">
        <f t="shared" si="10"/>
        <v>bg</v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IFERROR(VLOOKUP(E190,input_314101!L:R,7,FALSE),VLOOKUP(tables_314101!B190,input_314101!A:H,8,FALSE))</f>
        <v>6993</v>
      </c>
      <c r="N190" s="63">
        <f t="shared" ca="1" si="11"/>
        <v>2.5000000000000001E-4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input_314101!A$2</f>
        <v>314101</v>
      </c>
      <c r="B191" s="7" t="str">
        <f t="shared" si="8"/>
        <v>PremiumSSbg4</v>
      </c>
      <c r="C191" s="7" t="str">
        <f t="shared" si="9"/>
        <v>PremiumSS</v>
      </c>
      <c r="D191" s="7" t="str">
        <f t="shared" si="10"/>
        <v>bg</v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IFERROR(VLOOKUP(E191,input_314101!L:R,7,FALSE),VLOOKUP(tables_314101!B191,input_314101!A:H,8,FALSE))</f>
        <v>62937</v>
      </c>
      <c r="N191" s="63">
        <f t="shared" ca="1" si="11"/>
        <v>2.2499999999999998E-3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input_314101!A$2</f>
        <v>314101</v>
      </c>
      <c r="B192" s="7" t="str">
        <f t="shared" si="8"/>
        <v>PremiumSSbg5</v>
      </c>
      <c r="C192" s="7" t="str">
        <f t="shared" si="9"/>
        <v>PremiumSS</v>
      </c>
      <c r="D192" s="7" t="str">
        <f t="shared" si="10"/>
        <v>bg</v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IFERROR(VLOOKUP(E192,input_314101!L:R,7,FALSE),VLOOKUP(tables_314101!B192,input_314101!A:H,8,FALSE))</f>
        <v>6993</v>
      </c>
      <c r="N192" s="63">
        <f t="shared" ca="1" si="11"/>
        <v>2.5000000000000001E-4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input_314101!A$2</f>
        <v>314101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>ry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IFERROR(VLOOKUP(E193,input_314101!L:R,7,FALSE),VLOOKUP(tables_314101!B193,input_314101!A:H,8,FALSE))</f>
        <v>0</v>
      </c>
      <c r="N193" s="63">
        <f t="shared" ca="1" si="11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input_314101!A$2</f>
        <v>314101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>ry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IFERROR(VLOOKUP(E194,input_314101!L:R,7,FALSE),VLOOKUP(tables_314101!B194,input_314101!A:H,8,FALSE))</f>
        <v>342090</v>
      </c>
      <c r="N194" s="63">
        <f t="shared" ca="1" si="11"/>
        <v>1.222972972972973E-2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input_314101!A$2</f>
        <v>314101</v>
      </c>
      <c r="B195" s="7" t="str">
        <f t="shared" ref="B195:B249" si="12">C195&amp;IF(C195="premium",,D195)&amp;H195</f>
        <v>Premium5</v>
      </c>
      <c r="C195" s="7" t="str">
        <f t="shared" ref="C195:C249" si="13">IF(G195="PremiumSS",G195,IF(G195="PremiumSSS",G195,"Premium"))</f>
        <v>Premium</v>
      </c>
      <c r="D195" s="7" t="str">
        <f t="shared" ref="D195:D249" si="14">IF(I195="red","ry",IF(I195="yellow","ry","bg"))</f>
        <v>ry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IFERROR(VLOOKUP(E195,input_314101!L:R,7,FALSE),VLOOKUP(tables_314101!B195,input_314101!A:H,8,FALSE))</f>
        <v>18130</v>
      </c>
      <c r="N195" s="63">
        <f t="shared" ref="N195:N249" ca="1" si="15">M195/SUM(M:M)</f>
        <v>6.4814814814814813E-4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input_314101!A$2</f>
        <v>314101</v>
      </c>
      <c r="B196" s="7" t="str">
        <f t="shared" si="12"/>
        <v>PremiumSSry4</v>
      </c>
      <c r="C196" s="7" t="str">
        <f t="shared" si="13"/>
        <v>PremiumSS</v>
      </c>
      <c r="D196" s="7" t="str">
        <f t="shared" si="14"/>
        <v>ry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IFERROR(VLOOKUP(E196,input_314101!L:R,7,FALSE),VLOOKUP(tables_314101!B196,input_314101!A:H,8,FALSE))</f>
        <v>35964</v>
      </c>
      <c r="N196" s="63">
        <f t="shared" ca="1" si="15"/>
        <v>1.2857142857142856E-3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input_314101!A$2</f>
        <v>314101</v>
      </c>
      <c r="B197" s="7" t="str">
        <f t="shared" si="12"/>
        <v>PremiumSSry5</v>
      </c>
      <c r="C197" s="7" t="str">
        <f t="shared" si="13"/>
        <v>PremiumSS</v>
      </c>
      <c r="D197" s="7" t="str">
        <f t="shared" si="14"/>
        <v>ry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IFERROR(VLOOKUP(E197,input_314101!L:R,7,FALSE),VLOOKUP(tables_314101!B197,input_314101!A:H,8,FALSE))</f>
        <v>3996</v>
      </c>
      <c r="N197" s="63">
        <f t="shared" ca="1" si="15"/>
        <v>1.4285714285714287E-4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input_314101!A$2</f>
        <v>314101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>bg</v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IFERROR(VLOOKUP(E198,input_314101!L:R,7,FALSE),VLOOKUP(tables_314101!B198,input_314101!A:H,8,FALSE))</f>
        <v>0</v>
      </c>
      <c r="N198" s="63">
        <f t="shared" ca="1" si="15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input_314101!A$2</f>
        <v>314101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>bg</v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IFERROR(VLOOKUP(E199,input_314101!L:R,7,FALSE),VLOOKUP(tables_314101!B199,input_314101!A:H,8,FALSE))</f>
        <v>342090</v>
      </c>
      <c r="N199" s="63">
        <f t="shared" ca="1" si="15"/>
        <v>1.222972972972973E-2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input_314101!A$2</f>
        <v>314101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>bg</v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IFERROR(VLOOKUP(E200,input_314101!L:R,7,FALSE),VLOOKUP(tables_314101!B200,input_314101!A:H,8,FALSE))</f>
        <v>18130</v>
      </c>
      <c r="N200" s="63">
        <f t="shared" ca="1" si="15"/>
        <v>6.4814814814814813E-4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input_314101!A$2</f>
        <v>314101</v>
      </c>
      <c r="B201" s="7" t="str">
        <f t="shared" si="12"/>
        <v>PremiumSSbg4</v>
      </c>
      <c r="C201" s="7" t="str">
        <f t="shared" si="13"/>
        <v>PremiumSS</v>
      </c>
      <c r="D201" s="7" t="str">
        <f t="shared" si="14"/>
        <v>bg</v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IFERROR(VLOOKUP(E201,input_314101!L:R,7,FALSE),VLOOKUP(tables_314101!B201,input_314101!A:H,8,FALSE))</f>
        <v>62937</v>
      </c>
      <c r="N201" s="63">
        <f t="shared" ca="1" si="15"/>
        <v>2.2499999999999998E-3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input_314101!A$2</f>
        <v>314101</v>
      </c>
      <c r="B202" s="7" t="str">
        <f t="shared" si="12"/>
        <v>PremiumSSbg5</v>
      </c>
      <c r="C202" s="7" t="str">
        <f t="shared" si="13"/>
        <v>PremiumSS</v>
      </c>
      <c r="D202" s="7" t="str">
        <f t="shared" si="14"/>
        <v>bg</v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IFERROR(VLOOKUP(E202,input_314101!L:R,7,FALSE),VLOOKUP(tables_314101!B202,input_314101!A:H,8,FALSE))</f>
        <v>6993</v>
      </c>
      <c r="N202" s="63">
        <f t="shared" ca="1" si="15"/>
        <v>2.5000000000000001E-4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input_314101!A$2</f>
        <v>314101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>ry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IFERROR(VLOOKUP(E203,input_314101!L:R,7,FALSE),VLOOKUP(tables_314101!B203,input_314101!A:H,8,FALSE))</f>
        <v>0</v>
      </c>
      <c r="N203" s="63">
        <f t="shared" ca="1" si="15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input_314101!A$2</f>
        <v>314101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>ry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IFERROR(VLOOKUP(E204,input_314101!L:R,7,FALSE),VLOOKUP(tables_314101!B204,input_314101!A:H,8,FALSE))</f>
        <v>342090</v>
      </c>
      <c r="N204" s="63">
        <f t="shared" ca="1" si="15"/>
        <v>1.222972972972973E-2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input_314101!A$2</f>
        <v>314101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>ry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IFERROR(VLOOKUP(E205,input_314101!L:R,7,FALSE),VLOOKUP(tables_314101!B205,input_314101!A:H,8,FALSE))</f>
        <v>18130</v>
      </c>
      <c r="N205" s="63">
        <f t="shared" ca="1" si="15"/>
        <v>6.4814814814814813E-4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input_314101!A$2</f>
        <v>314101</v>
      </c>
      <c r="B206" s="7" t="str">
        <f t="shared" si="12"/>
        <v>PremiumSSry4</v>
      </c>
      <c r="C206" s="7" t="str">
        <f t="shared" si="13"/>
        <v>PremiumSS</v>
      </c>
      <c r="D206" s="7" t="str">
        <f t="shared" si="14"/>
        <v>ry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IFERROR(VLOOKUP(E206,input_314101!L:R,7,FALSE),VLOOKUP(tables_314101!B206,input_314101!A:H,8,FALSE))</f>
        <v>35964</v>
      </c>
      <c r="N206" s="63">
        <f t="shared" ca="1" si="15"/>
        <v>1.2857142857142856E-3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input_314101!A$2</f>
        <v>314101</v>
      </c>
      <c r="B207" s="7" t="str">
        <f t="shared" si="12"/>
        <v>PremiumSSry5</v>
      </c>
      <c r="C207" s="7" t="str">
        <f t="shared" si="13"/>
        <v>PremiumSS</v>
      </c>
      <c r="D207" s="7" t="str">
        <f t="shared" si="14"/>
        <v>ry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IFERROR(VLOOKUP(E207,input_314101!L:R,7,FALSE),VLOOKUP(tables_314101!B207,input_314101!A:H,8,FALSE))</f>
        <v>3996</v>
      </c>
      <c r="N207" s="63">
        <f t="shared" ca="1" si="15"/>
        <v>1.4285714285714287E-4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input_314101!A$2</f>
        <v>314101</v>
      </c>
      <c r="B208" s="7" t="str">
        <f t="shared" si="12"/>
        <v>PremiumSSbg4</v>
      </c>
      <c r="C208" s="7" t="str">
        <f t="shared" si="13"/>
        <v>PremiumSS</v>
      </c>
      <c r="D208" s="7" t="str">
        <f t="shared" si="14"/>
        <v>bg</v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IFERROR(VLOOKUP(E208,input_314101!L:R,7,FALSE),VLOOKUP(tables_314101!B208,input_314101!A:H,8,FALSE))</f>
        <v>62937</v>
      </c>
      <c r="N208" s="63">
        <f t="shared" ca="1" si="15"/>
        <v>2.2499999999999998E-3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input_314101!A$2</f>
        <v>314101</v>
      </c>
      <c r="B209" s="7" t="str">
        <f t="shared" si="12"/>
        <v>PremiumSSbg5</v>
      </c>
      <c r="C209" s="7" t="str">
        <f t="shared" si="13"/>
        <v>PremiumSS</v>
      </c>
      <c r="D209" s="7" t="str">
        <f t="shared" si="14"/>
        <v>bg</v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IFERROR(VLOOKUP(E209,input_314101!L:R,7,FALSE),VLOOKUP(tables_314101!B209,input_314101!A:H,8,FALSE))</f>
        <v>6993</v>
      </c>
      <c r="N209" s="63">
        <f t="shared" ca="1" si="15"/>
        <v>2.5000000000000001E-4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input_314101!A$2</f>
        <v>314101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>bg</v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IFERROR(VLOOKUP(E210,input_314101!L:R,7,FALSE),VLOOKUP(tables_314101!B210,input_314101!A:H,8,FALSE))</f>
        <v>0</v>
      </c>
      <c r="N210" s="63">
        <f t="shared" ca="1" si="15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input_314101!A$2</f>
        <v>314101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>bg</v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IFERROR(VLOOKUP(E211,input_314101!L:R,7,FALSE),VLOOKUP(tables_314101!B211,input_314101!A:H,8,FALSE))</f>
        <v>342090</v>
      </c>
      <c r="N211" s="63">
        <f t="shared" ca="1" si="15"/>
        <v>1.222972972972973E-2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input_314101!A$2</f>
        <v>314101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>bg</v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IFERROR(VLOOKUP(E212,input_314101!L:R,7,FALSE),VLOOKUP(tables_314101!B212,input_314101!A:H,8,FALSE))</f>
        <v>18130</v>
      </c>
      <c r="N212" s="63">
        <f t="shared" ca="1" si="15"/>
        <v>6.4814814814814813E-4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input_314101!A$2</f>
        <v>314101</v>
      </c>
      <c r="B213" s="7" t="str">
        <f t="shared" si="12"/>
        <v>PremiumSSry4</v>
      </c>
      <c r="C213" s="7" t="str">
        <f t="shared" si="13"/>
        <v>PremiumSS</v>
      </c>
      <c r="D213" s="7" t="str">
        <f t="shared" si="14"/>
        <v>ry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IFERROR(VLOOKUP(E213,input_314101!L:R,7,FALSE),VLOOKUP(tables_314101!B213,input_314101!A:H,8,FALSE))</f>
        <v>35964</v>
      </c>
      <c r="N213" s="63">
        <f t="shared" ca="1" si="15"/>
        <v>1.2857142857142856E-3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input_314101!A$2</f>
        <v>314101</v>
      </c>
      <c r="B214" s="7" t="str">
        <f t="shared" si="12"/>
        <v>PremiumSSry5</v>
      </c>
      <c r="C214" s="7" t="str">
        <f t="shared" si="13"/>
        <v>PremiumSS</v>
      </c>
      <c r="D214" s="7" t="str">
        <f t="shared" si="14"/>
        <v>ry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IFERROR(VLOOKUP(E214,input_314101!L:R,7,FALSE),VLOOKUP(tables_314101!B214,input_314101!A:H,8,FALSE))</f>
        <v>3996</v>
      </c>
      <c r="N214" s="63">
        <f t="shared" ca="1" si="15"/>
        <v>1.4285714285714287E-4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input_314101!A$2</f>
        <v>314101</v>
      </c>
      <c r="B215" s="7" t="str">
        <f t="shared" si="12"/>
        <v>PremiumSSry4</v>
      </c>
      <c r="C215" s="7" t="str">
        <f t="shared" si="13"/>
        <v>PremiumSS</v>
      </c>
      <c r="D215" s="7" t="str">
        <f t="shared" si="14"/>
        <v>ry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IFERROR(VLOOKUP(E215,input_314101!L:R,7,FALSE),VLOOKUP(tables_314101!B215,input_314101!A:H,8,FALSE))</f>
        <v>35964</v>
      </c>
      <c r="N215" s="63">
        <f t="shared" ca="1" si="15"/>
        <v>1.2857142857142856E-3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input_314101!A$2</f>
        <v>314101</v>
      </c>
      <c r="B216" s="7" t="str">
        <f t="shared" si="12"/>
        <v>PremiumSSry5</v>
      </c>
      <c r="C216" s="7" t="str">
        <f t="shared" si="13"/>
        <v>PremiumSS</v>
      </c>
      <c r="D216" s="7" t="str">
        <f t="shared" si="14"/>
        <v>ry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IFERROR(VLOOKUP(E216,input_314101!L:R,7,FALSE),VLOOKUP(tables_314101!B216,input_314101!A:H,8,FALSE))</f>
        <v>3996</v>
      </c>
      <c r="N216" s="63">
        <f t="shared" ca="1" si="15"/>
        <v>1.4285714285714287E-4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input_314101!A$2</f>
        <v>314101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>bg</v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IFERROR(VLOOKUP(E217,input_314101!L:R,7,FALSE),VLOOKUP(tables_314101!B217,input_314101!A:H,8,FALSE))</f>
        <v>0</v>
      </c>
      <c r="N217" s="63">
        <f t="shared" ca="1" si="15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input_314101!A$2</f>
        <v>314101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>bg</v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IFERROR(VLOOKUP(E218,input_314101!L:R,7,FALSE),VLOOKUP(tables_314101!B218,input_314101!A:H,8,FALSE))</f>
        <v>342090</v>
      </c>
      <c r="N218" s="63">
        <f t="shared" ca="1" si="15"/>
        <v>1.222972972972973E-2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input_314101!A$2</f>
        <v>314101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>bg</v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IFERROR(VLOOKUP(E219,input_314101!L:R,7,FALSE),VLOOKUP(tables_314101!B219,input_314101!A:H,8,FALSE))</f>
        <v>18130</v>
      </c>
      <c r="N219" s="63">
        <f t="shared" ca="1" si="15"/>
        <v>6.4814814814814813E-4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input_314101!A$2</f>
        <v>314101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>bg</v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IFERROR(VLOOKUP(E220,input_314101!L:R,7,FALSE),VLOOKUP(tables_314101!B220,input_314101!A:H,8,FALSE))</f>
        <v>0</v>
      </c>
      <c r="N220" s="63">
        <f t="shared" ca="1" si="15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input_314101!A$2</f>
        <v>314101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>bg</v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IFERROR(VLOOKUP(E221,input_314101!L:R,7,FALSE),VLOOKUP(tables_314101!B221,input_314101!A:H,8,FALSE))</f>
        <v>342090</v>
      </c>
      <c r="N221" s="63">
        <f t="shared" ca="1" si="15"/>
        <v>1.222972972972973E-2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input_314101!A$2</f>
        <v>314101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>bg</v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IFERROR(VLOOKUP(E222,input_314101!L:R,7,FALSE),VLOOKUP(tables_314101!B222,input_314101!A:H,8,FALSE))</f>
        <v>18130</v>
      </c>
      <c r="N222" s="63">
        <f t="shared" ca="1" si="15"/>
        <v>6.4814814814814813E-4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input_314101!A$2</f>
        <v>314101</v>
      </c>
      <c r="B223" s="7" t="str">
        <f t="shared" si="12"/>
        <v>PremiumSSry4</v>
      </c>
      <c r="C223" s="7" t="str">
        <f t="shared" si="13"/>
        <v>PremiumSS</v>
      </c>
      <c r="D223" s="7" t="str">
        <f t="shared" si="14"/>
        <v>ry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IFERROR(VLOOKUP(E223,input_314101!L:R,7,FALSE),VLOOKUP(tables_314101!B223,input_314101!A:H,8,FALSE))</f>
        <v>35964</v>
      </c>
      <c r="N223" s="63">
        <f t="shared" ca="1" si="15"/>
        <v>1.2857142857142856E-3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input_314101!A$2</f>
        <v>314101</v>
      </c>
      <c r="B224" s="7" t="str">
        <f t="shared" si="12"/>
        <v>PremiumSSry5</v>
      </c>
      <c r="C224" s="7" t="str">
        <f t="shared" si="13"/>
        <v>PremiumSS</v>
      </c>
      <c r="D224" s="7" t="str">
        <f t="shared" si="14"/>
        <v>ry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IFERROR(VLOOKUP(E224,input_314101!L:R,7,FALSE),VLOOKUP(tables_314101!B224,input_314101!A:H,8,FALSE))</f>
        <v>3996</v>
      </c>
      <c r="N224" s="63">
        <f t="shared" ca="1" si="15"/>
        <v>1.4285714285714287E-4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input_314101!A$2</f>
        <v>314101</v>
      </c>
      <c r="B225" s="7" t="str">
        <f t="shared" si="12"/>
        <v>Premium3</v>
      </c>
      <c r="C225" s="7" t="str">
        <f t="shared" si="13"/>
        <v>Premium</v>
      </c>
      <c r="D225" s="7" t="str">
        <f t="shared" si="14"/>
        <v>ry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IFERROR(VLOOKUP(E225,input_314101!L:R,7,FALSE),VLOOKUP(tables_314101!B225,input_314101!A:H,8,FALSE))</f>
        <v>0</v>
      </c>
      <c r="N225" s="63">
        <f t="shared" ca="1" si="15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input_314101!A$2</f>
        <v>314101</v>
      </c>
      <c r="B226" s="7" t="str">
        <f t="shared" si="12"/>
        <v>Premium4</v>
      </c>
      <c r="C226" s="7" t="str">
        <f t="shared" si="13"/>
        <v>Premium</v>
      </c>
      <c r="D226" s="7" t="str">
        <f t="shared" si="14"/>
        <v>ry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IFERROR(VLOOKUP(E226,input_314101!L:R,7,FALSE),VLOOKUP(tables_314101!B226,input_314101!A:H,8,FALSE))</f>
        <v>342090</v>
      </c>
      <c r="N226" s="63">
        <f t="shared" ca="1" si="15"/>
        <v>1.222972972972973E-2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input_314101!A$2</f>
        <v>314101</v>
      </c>
      <c r="B227" s="7" t="str">
        <f t="shared" si="12"/>
        <v>Premium5</v>
      </c>
      <c r="C227" s="7" t="str">
        <f t="shared" si="13"/>
        <v>Premium</v>
      </c>
      <c r="D227" s="7" t="str">
        <f t="shared" si="14"/>
        <v>ry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IFERROR(VLOOKUP(E227,input_314101!L:R,7,FALSE),VLOOKUP(tables_314101!B227,input_314101!A:H,8,FALSE))</f>
        <v>18130</v>
      </c>
      <c r="N227" s="63">
        <f t="shared" ca="1" si="15"/>
        <v>6.4814814814814813E-4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input_314101!A$2</f>
        <v>314101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>bg</v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IFERROR(VLOOKUP(E228,input_314101!L:R,7,FALSE),VLOOKUP(tables_314101!B228,input_314101!A:H,8,FALSE))</f>
        <v>0</v>
      </c>
      <c r="N228" s="63">
        <f t="shared" ca="1" si="15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input_314101!A$2</f>
        <v>314101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>bg</v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IFERROR(VLOOKUP(E229,input_314101!L:R,7,FALSE),VLOOKUP(tables_314101!B229,input_314101!A:H,8,FALSE))</f>
        <v>342090</v>
      </c>
      <c r="N229" s="63">
        <f t="shared" ca="1" si="15"/>
        <v>1.222972972972973E-2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input_314101!A$2</f>
        <v>314101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>bg</v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IFERROR(VLOOKUP(E230,input_314101!L:R,7,FALSE),VLOOKUP(tables_314101!B230,input_314101!A:H,8,FALSE))</f>
        <v>18130</v>
      </c>
      <c r="N230" s="63">
        <f t="shared" ca="1" si="15"/>
        <v>6.4814814814814813E-4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input_314101!A$2</f>
        <v>314101</v>
      </c>
      <c r="B231" s="7" t="str">
        <f t="shared" si="12"/>
        <v>PremiumSSbg4</v>
      </c>
      <c r="C231" s="7" t="str">
        <f t="shared" si="13"/>
        <v>PremiumSS</v>
      </c>
      <c r="D231" s="7" t="str">
        <f t="shared" si="14"/>
        <v>bg</v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IFERROR(VLOOKUP(E231,input_314101!L:R,7,FALSE),VLOOKUP(tables_314101!B231,input_314101!A:H,8,FALSE))</f>
        <v>62937</v>
      </c>
      <c r="N231" s="63">
        <f t="shared" ca="1" si="15"/>
        <v>2.2499999999999998E-3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input_314101!A$2</f>
        <v>314101</v>
      </c>
      <c r="B232" s="7" t="str">
        <f t="shared" si="12"/>
        <v>PremiumSSbg5</v>
      </c>
      <c r="C232" s="7" t="str">
        <f t="shared" si="13"/>
        <v>PremiumSS</v>
      </c>
      <c r="D232" s="7" t="str">
        <f t="shared" si="14"/>
        <v>bg</v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IFERROR(VLOOKUP(E232,input_314101!L:R,7,FALSE),VLOOKUP(tables_314101!B232,input_314101!A:H,8,FALSE))</f>
        <v>6993</v>
      </c>
      <c r="N232" s="63">
        <f t="shared" ca="1" si="15"/>
        <v>2.5000000000000001E-4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input_314101!A$2</f>
        <v>314101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>ry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IFERROR(VLOOKUP(E233,input_314101!L:R,7,FALSE),VLOOKUP(tables_314101!B233,input_314101!A:H,8,FALSE))</f>
        <v>0</v>
      </c>
      <c r="N233" s="63">
        <f t="shared" ca="1" si="15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input_314101!A$2</f>
        <v>314101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>ry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IFERROR(VLOOKUP(E234,input_314101!L:R,7,FALSE),VLOOKUP(tables_314101!B234,input_314101!A:H,8,FALSE))</f>
        <v>342090</v>
      </c>
      <c r="N234" s="63">
        <f t="shared" ca="1" si="15"/>
        <v>1.222972972972973E-2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input_314101!A$2</f>
        <v>314101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>ry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IFERROR(VLOOKUP(E235,input_314101!L:R,7,FALSE),VLOOKUP(tables_314101!B235,input_314101!A:H,8,FALSE))</f>
        <v>18130</v>
      </c>
      <c r="N235" s="63">
        <f t="shared" ca="1" si="15"/>
        <v>6.4814814814814813E-4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input_314101!A$2</f>
        <v>314101</v>
      </c>
      <c r="B236" s="7" t="str">
        <f t="shared" si="12"/>
        <v>PremiumSSry4</v>
      </c>
      <c r="C236" s="7" t="str">
        <f t="shared" si="13"/>
        <v>PremiumSS</v>
      </c>
      <c r="D236" s="7" t="str">
        <f t="shared" si="14"/>
        <v>ry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IFERROR(VLOOKUP(E236,input_314101!L:R,7,FALSE),VLOOKUP(tables_314101!B236,input_314101!A:H,8,FALSE))</f>
        <v>35964</v>
      </c>
      <c r="N236" s="63">
        <f t="shared" ca="1" si="15"/>
        <v>1.2857142857142856E-3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input_314101!A$2</f>
        <v>314101</v>
      </c>
      <c r="B237" s="7" t="str">
        <f t="shared" si="12"/>
        <v>PremiumSSry5</v>
      </c>
      <c r="C237" s="7" t="str">
        <f t="shared" si="13"/>
        <v>PremiumSS</v>
      </c>
      <c r="D237" s="7" t="str">
        <f t="shared" si="14"/>
        <v>ry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IFERROR(VLOOKUP(E237,input_314101!L:R,7,FALSE),VLOOKUP(tables_314101!B237,input_314101!A:H,8,FALSE))</f>
        <v>3996</v>
      </c>
      <c r="N237" s="63">
        <f t="shared" ca="1" si="15"/>
        <v>1.4285714285714287E-4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input_314101!A$2</f>
        <v>314101</v>
      </c>
      <c r="B238" s="7" t="str">
        <f t="shared" si="12"/>
        <v>PremiumSSbg4</v>
      </c>
      <c r="C238" s="7" t="str">
        <f t="shared" si="13"/>
        <v>PremiumSS</v>
      </c>
      <c r="D238" s="7" t="str">
        <f t="shared" si="14"/>
        <v>bg</v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IFERROR(VLOOKUP(E238,input_314101!L:R,7,FALSE),VLOOKUP(tables_314101!B238,input_314101!A:H,8,FALSE))</f>
        <v>62937</v>
      </c>
      <c r="N238" s="63">
        <f t="shared" ca="1" si="15"/>
        <v>2.2499999999999998E-3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input_314101!A$2</f>
        <v>314101</v>
      </c>
      <c r="B239" s="7" t="str">
        <f t="shared" si="12"/>
        <v>PremiumSSbg5</v>
      </c>
      <c r="C239" s="7" t="str">
        <f t="shared" si="13"/>
        <v>PremiumSS</v>
      </c>
      <c r="D239" s="7" t="str">
        <f t="shared" si="14"/>
        <v>bg</v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IFERROR(VLOOKUP(E239,input_314101!L:R,7,FALSE),VLOOKUP(tables_314101!B239,input_314101!A:H,8,FALSE))</f>
        <v>6993</v>
      </c>
      <c r="N239" s="63">
        <f t="shared" ca="1" si="15"/>
        <v>2.5000000000000001E-4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input_314101!A$2</f>
        <v>314101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>bg</v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IFERROR(VLOOKUP(E240,input_314101!L:R,7,FALSE),VLOOKUP(tables_314101!B240,input_314101!A:H,8,FALSE))</f>
        <v>0</v>
      </c>
      <c r="N240" s="63">
        <f t="shared" ca="1" si="15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input_314101!A$2</f>
        <v>314101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>bg</v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IFERROR(VLOOKUP(E241,input_314101!L:R,7,FALSE),VLOOKUP(tables_314101!B241,input_314101!A:H,8,FALSE))</f>
        <v>342090</v>
      </c>
      <c r="N241" s="63">
        <f t="shared" ca="1" si="15"/>
        <v>1.222972972972973E-2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input_314101!A$2</f>
        <v>314101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>bg</v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IFERROR(VLOOKUP(E242,input_314101!L:R,7,FALSE),VLOOKUP(tables_314101!B242,input_314101!A:H,8,FALSE))</f>
        <v>18130</v>
      </c>
      <c r="N242" s="63">
        <f t="shared" ca="1" si="15"/>
        <v>6.4814814814814813E-4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input_314101!A$2</f>
        <v>314101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>ry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IFERROR(VLOOKUP(E243,input_314101!L:R,7,FALSE),VLOOKUP(tables_314101!B243,input_314101!A:H,8,FALSE))</f>
        <v>0</v>
      </c>
      <c r="N243" s="63">
        <f t="shared" ca="1" si="15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input_314101!A$2</f>
        <v>314101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>ry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IFERROR(VLOOKUP(E244,input_314101!L:R,7,FALSE),VLOOKUP(tables_314101!B244,input_314101!A:H,8,FALSE))</f>
        <v>342090</v>
      </c>
      <c r="N244" s="63">
        <f t="shared" ca="1" si="15"/>
        <v>1.222972972972973E-2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input_314101!A$2</f>
        <v>314101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>ry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IFERROR(VLOOKUP(E245,input_314101!L:R,7,FALSE),VLOOKUP(tables_314101!B245,input_314101!A:H,8,FALSE))</f>
        <v>18130</v>
      </c>
      <c r="N245" s="63">
        <f t="shared" ca="1" si="15"/>
        <v>6.4814814814814813E-4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input_314101!A$2</f>
        <v>314101</v>
      </c>
      <c r="B246" s="7" t="str">
        <f t="shared" si="12"/>
        <v>PremiumSSSry5</v>
      </c>
      <c r="C246" s="7" t="str">
        <f t="shared" si="13"/>
        <v>PremiumSSS</v>
      </c>
      <c r="D246" s="7" t="str">
        <f t="shared" si="14"/>
        <v>ry</v>
      </c>
      <c r="E246" s="6">
        <v>486</v>
      </c>
      <c r="F246" s="7" t="str">
        <f>VLOOKUP(E246,[1]characters!$A:$C,3,FALSE)</f>
        <v>重なる世解 シュレディンガー</v>
      </c>
      <c r="G246" s="7" t="str">
        <f>VLOOKUP(E246,[1]characters!$A:$J,10,FALSE)</f>
        <v>PremiumSSS</v>
      </c>
      <c r="H246" s="7">
        <f>VLOOKUP(E246,[1]characters!$A:$I,9,FALSE)</f>
        <v>5</v>
      </c>
      <c r="I246" s="7" t="str">
        <f>VLOOKUP(E246,[1]characters!$A:$H,8,FALSE)</f>
        <v>red</v>
      </c>
      <c r="J246" s="7" t="str">
        <f>VLOOKUP(E246,[1]characters!$A:$K,11,FALSE)</f>
        <v>balance</v>
      </c>
      <c r="K246" s="7" t="str">
        <f>VLOOKUP(E246,[1]characters!$A:$M,13,FALSE)</f>
        <v>animal</v>
      </c>
      <c r="L246" s="7" t="str">
        <f>VLOOKUP(E246,[1]characters!$A:$G,7,FALSE)</f>
        <v>男性</v>
      </c>
      <c r="M246" s="62">
        <f ca="1">IFERROR(VLOOKUP(E246,input_314101!L:R,7,FALSE),VLOOKUP(tables_314101!B246,input_314101!A:H,8,FALSE))</f>
        <v>34965</v>
      </c>
      <c r="N246" s="63">
        <f t="shared" ca="1" si="15"/>
        <v>1.25E-3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input_314101!A$2</f>
        <v>314101</v>
      </c>
      <c r="B247" s="7" t="str">
        <f t="shared" si="12"/>
        <v>PremiumSSSbg5</v>
      </c>
      <c r="C247" s="7" t="str">
        <f t="shared" si="13"/>
        <v>PremiumSSS</v>
      </c>
      <c r="D247" s="7" t="str">
        <f t="shared" si="14"/>
        <v>bg</v>
      </c>
      <c r="E247" s="6">
        <v>487</v>
      </c>
      <c r="F247" s="7" t="str">
        <f>VLOOKUP(E247,[1]characters!$A:$C,3,FALSE)</f>
        <v>暴創の造物 チューリング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green</v>
      </c>
      <c r="J247" s="7" t="str">
        <f>VLOOKUP(E247,[1]characters!$A:$K,11,FALSE)</f>
        <v>hp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 ca="1">IFERROR(VLOOKUP(E247,input_314101!L:R,7,FALSE),VLOOKUP(tables_314101!B247,input_314101!A:H,8,FALSE))</f>
        <v>104895</v>
      </c>
      <c r="N247" s="63">
        <f t="shared" ca="1" si="15"/>
        <v>3.7499999999999999E-3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input_314101!A$2</f>
        <v>314101</v>
      </c>
      <c r="B248" s="7" t="str">
        <f t="shared" si="12"/>
        <v>PremiumSSSbg5</v>
      </c>
      <c r="C248" s="7" t="str">
        <f t="shared" si="13"/>
        <v>PremiumSSS</v>
      </c>
      <c r="D248" s="7" t="str">
        <f t="shared" si="14"/>
        <v>bg</v>
      </c>
      <c r="E248" s="6">
        <v>488</v>
      </c>
      <c r="F248" s="7" t="str">
        <f>VLOOKUP(E248,[1]characters!$A:$C,3,FALSE)</f>
        <v>直観の異論 ヘンペル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blue</v>
      </c>
      <c r="J248" s="7" t="str">
        <f>VLOOKUP(E248,[1]characters!$A:$K,11,FALSE)</f>
        <v>technical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 ca="1">IFERROR(VLOOKUP(E248,input_314101!L:R,7,FALSE),VLOOKUP(tables_314101!B248,input_314101!A:H,8,FALSE))</f>
        <v>104895</v>
      </c>
      <c r="N248" s="63">
        <f t="shared" ca="1" si="15"/>
        <v>3.7499999999999999E-3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input_314101!A$2</f>
        <v>314101</v>
      </c>
      <c r="B249" s="7" t="str">
        <f t="shared" si="12"/>
        <v>PremiumSSSry5</v>
      </c>
      <c r="C249" s="7" t="str">
        <f t="shared" si="13"/>
        <v>PremiumSSS</v>
      </c>
      <c r="D249" s="7" t="str">
        <f t="shared" si="14"/>
        <v>ry</v>
      </c>
      <c r="E249" s="6">
        <v>489</v>
      </c>
      <c r="F249" s="7" t="str">
        <f>VLOOKUP(E249,[1]characters!$A:$C,3,FALSE)</f>
        <v>宇宙の拡超 ハップル</v>
      </c>
      <c r="G249" s="7" t="str">
        <f>VLOOKUP(E249,[1]characters!$A:$J,10,FALSE)</f>
        <v>PremiumSSS</v>
      </c>
      <c r="H249" s="7">
        <f>VLOOKUP(E249,[1]characters!$A:$I,9,FALSE)</f>
        <v>5</v>
      </c>
      <c r="I249" s="7" t="str">
        <f>VLOOKUP(E249,[1]characters!$A:$H,8,FALSE)</f>
        <v>yellow</v>
      </c>
      <c r="J249" s="7" t="str">
        <f>VLOOKUP(E249,[1]characters!$A:$K,11,FALSE)</f>
        <v>technical</v>
      </c>
      <c r="K249" s="7" t="str">
        <f>VLOOKUP(E249,[1]characters!$A:$M,13,FALSE)</f>
        <v>human</v>
      </c>
      <c r="L249" s="7" t="str">
        <f>VLOOKUP(E249,[1]characters!$A:$G,7,FALSE)</f>
        <v>女性</v>
      </c>
      <c r="M249" s="62">
        <f ca="1">IFERROR(VLOOKUP(E249,input_314101!L:R,7,FALSE),VLOOKUP(tables_314101!B249,input_314101!A:H,8,FALSE))</f>
        <v>34965</v>
      </c>
      <c r="N249" s="63">
        <f t="shared" ca="1" si="15"/>
        <v>1.25E-3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input_314101!A$2</f>
        <v>314101</v>
      </c>
      <c r="B250" s="7" t="str">
        <f t="shared" ref="B250:B259" si="16">C250&amp;IF(C250="premium",,D250)&amp;H250</f>
        <v>Premium3</v>
      </c>
      <c r="C250" s="7" t="str">
        <f t="shared" ref="C250:C259" si="17">IF(G250="PremiumSS",G250,IF(G250="PremiumSSS",G250,"Premium"))</f>
        <v>Premium</v>
      </c>
      <c r="D250" s="7" t="str">
        <f t="shared" ref="D250:D259" si="18">IF(I250="red","ry",IF(I250="yellow","ry","bg"))</f>
        <v>ry</v>
      </c>
      <c r="E250" s="6">
        <v>668</v>
      </c>
      <c r="F250" s="7" t="str">
        <f>VLOOKUP(E250,[1]characters!$A:$C,3,FALSE)</f>
        <v>アグニ</v>
      </c>
      <c r="G250" s="7" t="str">
        <f>VLOOKUP(E250,[1]characters!$A:$J,10,FALSE)</f>
        <v>PremiumS</v>
      </c>
      <c r="H250" s="7">
        <f>VLOOKUP(E250,[1]characters!$A:$I,9,FALSE)</f>
        <v>3</v>
      </c>
      <c r="I250" s="7" t="str">
        <f>VLOOKUP(E250,[1]characters!$A:$H,8,FALSE)</f>
        <v>red</v>
      </c>
      <c r="J250" s="7" t="str">
        <f>VLOOKUP(E250,[1]characters!$A:$K,11,FALSE)</f>
        <v>hp</v>
      </c>
      <c r="K250" s="7" t="str">
        <f>VLOOKUP(E250,[1]characters!$A:$M,13,FALSE)</f>
        <v>god</v>
      </c>
      <c r="L250" s="7" t="str">
        <f>VLOOKUP(E250,[1]characters!$A:$G,7,FALSE)</f>
        <v>男性</v>
      </c>
      <c r="M250" s="62">
        <f ca="1">IFERROR(VLOOKUP(E250,input_314101!L:R,7,FALSE),VLOOKUP(tables_314101!B250,input_314101!A:H,8,FALSE))</f>
        <v>0</v>
      </c>
      <c r="N250" s="63">
        <f t="shared" ref="N250:N259" ca="1" si="19">M250/SUM(M:M)</f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input_314101!A$2</f>
        <v>314101</v>
      </c>
      <c r="B251" s="7" t="str">
        <f t="shared" si="16"/>
        <v>Premium4</v>
      </c>
      <c r="C251" s="7" t="str">
        <f t="shared" si="17"/>
        <v>Premium</v>
      </c>
      <c r="D251" s="7" t="str">
        <f t="shared" si="18"/>
        <v>ry</v>
      </c>
      <c r="E251" s="6">
        <v>669</v>
      </c>
      <c r="F251" s="7" t="str">
        <f>VLOOKUP(E251,[1]characters!$A:$C,3,FALSE)</f>
        <v>天地の仲界 アグニ</v>
      </c>
      <c r="G251" s="7" t="str">
        <f>VLOOKUP(E251,[1]characters!$A:$J,10,FALSE)</f>
        <v>PremiumS</v>
      </c>
      <c r="H251" s="7">
        <f>VLOOKUP(E251,[1]characters!$A:$I,9,FALSE)</f>
        <v>4</v>
      </c>
      <c r="I251" s="7" t="str">
        <f>VLOOKUP(E251,[1]characters!$A:$H,8,FALSE)</f>
        <v>red</v>
      </c>
      <c r="J251" s="7" t="str">
        <f>VLOOKUP(E251,[1]characters!$A:$K,11,FALSE)</f>
        <v>hp</v>
      </c>
      <c r="K251" s="7" t="str">
        <f>VLOOKUP(E251,[1]characters!$A:$M,13,FALSE)</f>
        <v>god</v>
      </c>
      <c r="L251" s="7" t="str">
        <f>VLOOKUP(E251,[1]characters!$A:$G,7,FALSE)</f>
        <v>男性</v>
      </c>
      <c r="M251" s="62">
        <f ca="1">IFERROR(VLOOKUP(E251,input_314101!L:R,7,FALSE),VLOOKUP(tables_314101!B251,input_314101!A:H,8,FALSE))</f>
        <v>342090</v>
      </c>
      <c r="N251" s="63">
        <f t="shared" ca="1" si="19"/>
        <v>1.222972972972973E-2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input_314101!A$2</f>
        <v>314101</v>
      </c>
      <c r="B252" s="7" t="str">
        <f t="shared" si="16"/>
        <v>Premium5</v>
      </c>
      <c r="C252" s="7" t="str">
        <f t="shared" si="17"/>
        <v>Premium</v>
      </c>
      <c r="D252" s="7" t="str">
        <f t="shared" si="18"/>
        <v>ry</v>
      </c>
      <c r="E252" s="6">
        <v>670</v>
      </c>
      <c r="F252" s="7" t="str">
        <f>VLOOKUP(E252,[1]characters!$A:$C,3,FALSE)</f>
        <v>陽天の噴煙 アグニ</v>
      </c>
      <c r="G252" s="7" t="str">
        <f>VLOOKUP(E252,[1]characters!$A:$J,10,FALSE)</f>
        <v>PremiumS</v>
      </c>
      <c r="H252" s="7">
        <f>VLOOKUP(E252,[1]characters!$A:$I,9,FALSE)</f>
        <v>5</v>
      </c>
      <c r="I252" s="7" t="str">
        <f>VLOOKUP(E252,[1]characters!$A:$H,8,FALSE)</f>
        <v>red</v>
      </c>
      <c r="J252" s="7" t="str">
        <f>VLOOKUP(E252,[1]characters!$A:$K,11,FALSE)</f>
        <v>hp</v>
      </c>
      <c r="K252" s="7" t="str">
        <f>VLOOKUP(E252,[1]characters!$A:$M,13,FALSE)</f>
        <v>god</v>
      </c>
      <c r="L252" s="7" t="str">
        <f>VLOOKUP(E252,[1]characters!$A:$G,7,FALSE)</f>
        <v>男性</v>
      </c>
      <c r="M252" s="62">
        <f ca="1">IFERROR(VLOOKUP(E252,input_314101!L:R,7,FALSE),VLOOKUP(tables_314101!B252,input_314101!A:H,8,FALSE))</f>
        <v>18130</v>
      </c>
      <c r="N252" s="63">
        <f t="shared" ca="1" si="19"/>
        <v>6.4814814814814813E-4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input_314101!A$2</f>
        <v>314101</v>
      </c>
      <c r="B253" s="7" t="str">
        <f t="shared" si="16"/>
        <v>Premium3</v>
      </c>
      <c r="C253" s="7" t="str">
        <f t="shared" si="17"/>
        <v>Premium</v>
      </c>
      <c r="D253" s="7" t="str">
        <f t="shared" si="18"/>
        <v>bg</v>
      </c>
      <c r="E253" s="6">
        <v>671</v>
      </c>
      <c r="F253" s="7" t="str">
        <f>VLOOKUP(E253,[1]characters!$A:$C,3,FALSE)</f>
        <v>ハヌマーン</v>
      </c>
      <c r="G253" s="7" t="str">
        <f>VLOOKUP(E253,[1]characters!$A:$J,10,FALSE)</f>
        <v>PremiumS</v>
      </c>
      <c r="H253" s="7">
        <f>VLOOKUP(E253,[1]characters!$A:$I,9,FALSE)</f>
        <v>3</v>
      </c>
      <c r="I253" s="7" t="str">
        <f>VLOOKUP(E253,[1]characters!$A:$H,8,FALSE)</f>
        <v>green</v>
      </c>
      <c r="J253" s="7" t="str">
        <f>VLOOKUP(E253,[1]characters!$A:$K,11,FALSE)</f>
        <v>attack</v>
      </c>
      <c r="K253" s="7" t="str">
        <f>VLOOKUP(E253,[1]characters!$A:$M,13,FALSE)</f>
        <v>animal</v>
      </c>
      <c r="L253" s="7" t="str">
        <f>VLOOKUP(E253,[1]characters!$A:$G,7,FALSE)</f>
        <v>男性</v>
      </c>
      <c r="M253" s="62">
        <f ca="1">IFERROR(VLOOKUP(E253,input_314101!L:R,7,FALSE),VLOOKUP(tables_314101!B253,input_314101!A:H,8,FALSE))</f>
        <v>0</v>
      </c>
      <c r="N253" s="63">
        <f t="shared" ca="1" si="19"/>
        <v>0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input_314101!A$2</f>
        <v>314101</v>
      </c>
      <c r="B254" s="7" t="str">
        <f t="shared" si="16"/>
        <v>Premium4</v>
      </c>
      <c r="C254" s="7" t="str">
        <f t="shared" si="17"/>
        <v>Premium</v>
      </c>
      <c r="D254" s="7" t="str">
        <f t="shared" si="18"/>
        <v>bg</v>
      </c>
      <c r="E254" s="6">
        <v>672</v>
      </c>
      <c r="F254" s="7" t="str">
        <f>VLOOKUP(E254,[1]characters!$A:$C,3,FALSE)</f>
        <v>西遊韋駄天 ハヌマーン</v>
      </c>
      <c r="G254" s="7" t="str">
        <f>VLOOKUP(E254,[1]characters!$A:$J,10,FALSE)</f>
        <v>PremiumS</v>
      </c>
      <c r="H254" s="7">
        <f>VLOOKUP(E254,[1]characters!$A:$I,9,FALSE)</f>
        <v>4</v>
      </c>
      <c r="I254" s="7" t="str">
        <f>VLOOKUP(E254,[1]characters!$A:$H,8,FALSE)</f>
        <v>green</v>
      </c>
      <c r="J254" s="7" t="str">
        <f>VLOOKUP(E254,[1]characters!$A:$K,11,FALSE)</f>
        <v>attack</v>
      </c>
      <c r="K254" s="7" t="str">
        <f>VLOOKUP(E254,[1]characters!$A:$M,13,FALSE)</f>
        <v>animal</v>
      </c>
      <c r="L254" s="7" t="str">
        <f>VLOOKUP(E254,[1]characters!$A:$G,7,FALSE)</f>
        <v>男性</v>
      </c>
      <c r="M254" s="62">
        <f ca="1">IFERROR(VLOOKUP(E254,input_314101!L:R,7,FALSE),VLOOKUP(tables_314101!B254,input_314101!A:H,8,FALSE))</f>
        <v>342090</v>
      </c>
      <c r="N254" s="63">
        <f t="shared" ca="1" si="19"/>
        <v>1.222972972972973E-2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input_314101!A$2</f>
        <v>314101</v>
      </c>
      <c r="B255" s="7" t="str">
        <f t="shared" si="16"/>
        <v>Premium5</v>
      </c>
      <c r="C255" s="7" t="str">
        <f t="shared" si="17"/>
        <v>Premium</v>
      </c>
      <c r="D255" s="7" t="str">
        <f t="shared" si="18"/>
        <v>bg</v>
      </c>
      <c r="E255" s="6">
        <v>673</v>
      </c>
      <c r="F255" s="7" t="str">
        <f>VLOOKUP(E255,[1]characters!$A:$C,3,FALSE)</f>
        <v>変幻自在の猿王 ハヌマーン</v>
      </c>
      <c r="G255" s="7" t="str">
        <f>VLOOKUP(E255,[1]characters!$A:$J,10,FALSE)</f>
        <v>PremiumS</v>
      </c>
      <c r="H255" s="7">
        <f>VLOOKUP(E255,[1]characters!$A:$I,9,FALSE)</f>
        <v>5</v>
      </c>
      <c r="I255" s="7" t="str">
        <f>VLOOKUP(E255,[1]characters!$A:$H,8,FALSE)</f>
        <v>green</v>
      </c>
      <c r="J255" s="7" t="str">
        <f>VLOOKUP(E255,[1]characters!$A:$K,11,FALSE)</f>
        <v>attack</v>
      </c>
      <c r="K255" s="7" t="str">
        <f>VLOOKUP(E255,[1]characters!$A:$M,13,FALSE)</f>
        <v>animal</v>
      </c>
      <c r="L255" s="7" t="str">
        <f>VLOOKUP(E255,[1]characters!$A:$G,7,FALSE)</f>
        <v>男性</v>
      </c>
      <c r="M255" s="62">
        <f ca="1">IFERROR(VLOOKUP(E255,input_314101!L:R,7,FALSE),VLOOKUP(tables_314101!B255,input_314101!A:H,8,FALSE))</f>
        <v>18130</v>
      </c>
      <c r="N255" s="63">
        <f t="shared" ca="1" si="19"/>
        <v>6.4814814814814813E-4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input_314101!A$2</f>
        <v>314101</v>
      </c>
      <c r="B256" s="7" t="str">
        <f t="shared" si="16"/>
        <v>PremiumSSbg4</v>
      </c>
      <c r="C256" s="7" t="str">
        <f t="shared" si="17"/>
        <v>PremiumSS</v>
      </c>
      <c r="D256" s="7" t="str">
        <f t="shared" si="18"/>
        <v>bg</v>
      </c>
      <c r="E256" s="6">
        <v>674</v>
      </c>
      <c r="F256" s="7" t="str">
        <f>VLOOKUP(E256,[1]characters!$A:$C,3,FALSE)</f>
        <v>サラスヴァティ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blue</v>
      </c>
      <c r="J256" s="7" t="str">
        <f>VLOOKUP(E256,[1]characters!$A:$K,11,FALSE)</f>
        <v>balance</v>
      </c>
      <c r="K256" s="7" t="str">
        <f>VLOOKUP(E256,[1]characters!$A:$M,13,FALSE)</f>
        <v>god</v>
      </c>
      <c r="L256" s="7" t="str">
        <f>VLOOKUP(E256,[1]characters!$A:$G,7,FALSE)</f>
        <v>女性</v>
      </c>
      <c r="M256" s="62">
        <f ca="1">IFERROR(VLOOKUP(E256,input_314101!L:R,7,FALSE),VLOOKUP(tables_314101!B256,input_314101!A:H,8,FALSE))</f>
        <v>62937</v>
      </c>
      <c r="N256" s="63">
        <f t="shared" ca="1" si="19"/>
        <v>2.2499999999999998E-3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input_314101!A$2</f>
        <v>314101</v>
      </c>
      <c r="B257" s="7" t="str">
        <f t="shared" si="16"/>
        <v>PremiumSSbg5</v>
      </c>
      <c r="C257" s="7" t="str">
        <f t="shared" si="17"/>
        <v>PremiumSS</v>
      </c>
      <c r="D257" s="7" t="str">
        <f t="shared" si="18"/>
        <v>bg</v>
      </c>
      <c r="E257" s="6">
        <v>675</v>
      </c>
      <c r="F257" s="7" t="str">
        <f>VLOOKUP(E257,[1]characters!$A:$C,3,FALSE)</f>
        <v>芸楽の奔流 サラスヴァティ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blue</v>
      </c>
      <c r="J257" s="7" t="str">
        <f>VLOOKUP(E257,[1]characters!$A:$K,11,FALSE)</f>
        <v>balance</v>
      </c>
      <c r="K257" s="7" t="str">
        <f>VLOOKUP(E257,[1]characters!$A:$M,13,FALSE)</f>
        <v>god</v>
      </c>
      <c r="L257" s="7" t="str">
        <f>VLOOKUP(E257,[1]characters!$A:$G,7,FALSE)</f>
        <v>女性</v>
      </c>
      <c r="M257" s="62">
        <f ca="1">IFERROR(VLOOKUP(E257,input_314101!L:R,7,FALSE),VLOOKUP(tables_314101!B257,input_314101!A:H,8,FALSE))</f>
        <v>6993</v>
      </c>
      <c r="N257" s="63">
        <f t="shared" ca="1" si="19"/>
        <v>2.5000000000000001E-4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input_314101!A$2</f>
        <v>314101</v>
      </c>
      <c r="B258" s="7" t="str">
        <f t="shared" si="16"/>
        <v>PremiumSSry4</v>
      </c>
      <c r="C258" s="7" t="str">
        <f t="shared" si="17"/>
        <v>PremiumSS</v>
      </c>
      <c r="D258" s="7" t="str">
        <f t="shared" si="18"/>
        <v>ry</v>
      </c>
      <c r="E258" s="6">
        <v>676</v>
      </c>
      <c r="F258" s="7" t="str">
        <f>VLOOKUP(E258,[1]characters!$A:$C,3,FALSE)</f>
        <v>ヴィシュヌ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yellow</v>
      </c>
      <c r="J258" s="7" t="str">
        <f>VLOOKUP(E258,[1]characters!$A:$K,11,FALSE)</f>
        <v>attack</v>
      </c>
      <c r="K258" s="7" t="str">
        <f>VLOOKUP(E258,[1]characters!$A:$M,13,FALSE)</f>
        <v>god</v>
      </c>
      <c r="L258" s="7" t="str">
        <f>VLOOKUP(E258,[1]characters!$A:$G,7,FALSE)</f>
        <v>女性</v>
      </c>
      <c r="M258" s="62">
        <f ca="1">IFERROR(VLOOKUP(E258,input_314101!L:R,7,FALSE),VLOOKUP(tables_314101!B258,input_314101!A:H,8,FALSE))</f>
        <v>35964</v>
      </c>
      <c r="N258" s="63">
        <f t="shared" ca="1" si="19"/>
        <v>1.2857142857142856E-3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input_314101!A$2</f>
        <v>314101</v>
      </c>
      <c r="B259" s="7" t="str">
        <f t="shared" si="16"/>
        <v>PremiumSSry5</v>
      </c>
      <c r="C259" s="7" t="str">
        <f t="shared" si="17"/>
        <v>PremiumSS</v>
      </c>
      <c r="D259" s="7" t="str">
        <f t="shared" si="18"/>
        <v>ry</v>
      </c>
      <c r="E259" s="6">
        <v>677</v>
      </c>
      <c r="F259" s="7" t="str">
        <f>VLOOKUP(E259,[1]characters!$A:$C,3,FALSE)</f>
        <v>武遊闊歩 ヴィシュヌ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yellow</v>
      </c>
      <c r="J259" s="7" t="str">
        <f>VLOOKUP(E259,[1]characters!$A:$K,11,FALSE)</f>
        <v>attack</v>
      </c>
      <c r="K259" s="7" t="str">
        <f>VLOOKUP(E259,[1]characters!$A:$M,13,FALSE)</f>
        <v>god</v>
      </c>
      <c r="L259" s="7" t="str">
        <f>VLOOKUP(E259,[1]characters!$A:$G,7,FALSE)</f>
        <v>女性</v>
      </c>
      <c r="M259" s="62">
        <f ca="1">IFERROR(VLOOKUP(E259,input_314101!L:R,7,FALSE),VLOOKUP(tables_314101!B259,input_314101!A:H,8,FALSE))</f>
        <v>3996</v>
      </c>
      <c r="N259" s="63">
        <f t="shared" ca="1" si="19"/>
        <v>1.4285714285714287E-4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</sheetData>
  <autoFilter ref="A1:T249"/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 enableFormatConditionsCalculation="0">
    <tabColor theme="5"/>
  </sheetPr>
  <dimension ref="A1:R51"/>
  <sheetViews>
    <sheetView workbookViewId="0">
      <selection activeCell="B28" sqref="B28"/>
    </sheetView>
  </sheetViews>
  <sheetFormatPr baseColWidth="12" defaultRowHeight="14" x14ac:dyDescent="0"/>
  <sheetData>
    <row r="1" spans="1:18">
      <c r="A1" s="66" t="s">
        <v>101</v>
      </c>
      <c r="B1" s="66"/>
    </row>
    <row r="2" spans="1:18">
      <c r="A2" t="str">
        <f ca="1">RIGHT(RIGHT(CELL("filename",A2),LEN(CELL("filename",A2))-FIND("]",CELL("filename",A2))),6)</f>
        <v>314100</v>
      </c>
    </row>
    <row r="4" spans="1:18">
      <c r="A4" s="49" t="s">
        <v>69</v>
      </c>
      <c r="B4" s="49"/>
    </row>
    <row r="5" spans="1:18">
      <c r="A5" s="47" t="s">
        <v>86</v>
      </c>
      <c r="B5" s="48">
        <f>1-B6-B7</f>
        <v>0</v>
      </c>
    </row>
    <row r="6" spans="1:18">
      <c r="A6" s="47" t="s">
        <v>87</v>
      </c>
      <c r="B6" s="48">
        <v>0.95</v>
      </c>
    </row>
    <row r="7" spans="1:18">
      <c r="A7" s="47" t="s">
        <v>88</v>
      </c>
      <c r="B7" s="48">
        <v>0.05</v>
      </c>
    </row>
    <row r="9" spans="1:18">
      <c r="A9" s="50" t="s">
        <v>70</v>
      </c>
      <c r="B9" s="50"/>
    </row>
    <row r="10" spans="1:18">
      <c r="A10" s="47" t="s">
        <v>116</v>
      </c>
      <c r="B10" s="48">
        <f>1-B11-B12</f>
        <v>0.92999999999999994</v>
      </c>
    </row>
    <row r="11" spans="1:18">
      <c r="A11" s="47" t="s">
        <v>72</v>
      </c>
      <c r="B11" s="48">
        <v>0.05</v>
      </c>
    </row>
    <row r="12" spans="1:18">
      <c r="A12" s="47" t="s">
        <v>71</v>
      </c>
      <c r="B12" s="48">
        <v>0.02</v>
      </c>
    </row>
    <row r="15" spans="1:18">
      <c r="A15" s="52" t="s">
        <v>74</v>
      </c>
      <c r="B15" s="52"/>
      <c r="C15" t="s">
        <v>102</v>
      </c>
      <c r="L15" s="54" t="s">
        <v>79</v>
      </c>
      <c r="M15" s="54"/>
    </row>
    <row r="16" spans="1:18">
      <c r="A16" s="47" t="s">
        <v>77</v>
      </c>
      <c r="B16" s="47" t="s">
        <v>78</v>
      </c>
      <c r="C16" s="53" t="s">
        <v>79</v>
      </c>
      <c r="D16" s="53" t="s">
        <v>80</v>
      </c>
      <c r="E16" t="s">
        <v>90</v>
      </c>
      <c r="F16" t="s">
        <v>89</v>
      </c>
      <c r="G16" t="s">
        <v>92</v>
      </c>
      <c r="H16" t="s">
        <v>91</v>
      </c>
      <c r="I16" t="s">
        <v>93</v>
      </c>
      <c r="J16" t="s">
        <v>96</v>
      </c>
      <c r="L16" s="47" t="s">
        <v>1</v>
      </c>
      <c r="M16" s="53" t="s">
        <v>83</v>
      </c>
      <c r="N16" s="47" t="s">
        <v>81</v>
      </c>
      <c r="O16" s="53" t="s">
        <v>84</v>
      </c>
      <c r="P16" s="53" t="s">
        <v>85</v>
      </c>
      <c r="Q16" s="53" t="s">
        <v>82</v>
      </c>
      <c r="R16" s="61" t="s">
        <v>91</v>
      </c>
    </row>
    <row r="17" spans="1:17">
      <c r="A17" s="47" t="s">
        <v>117</v>
      </c>
      <c r="B17" s="79">
        <f>B5</f>
        <v>0</v>
      </c>
      <c r="C17" s="65">
        <f>SUMIF(Q:Q,A17,N:N)</f>
        <v>0</v>
      </c>
      <c r="D17" s="58">
        <f t="shared" ref="D17:D28" si="0">B17-C17</f>
        <v>0</v>
      </c>
      <c r="E17">
        <f>COUNTIF(tables_314100!B:B,input_314100!A17)-COUNTIF(Q:Q,A17)</f>
        <v>74</v>
      </c>
      <c r="F17" s="60">
        <f t="shared" ref="F17:F27" si="1">IFERROR(D17/E17,0)</f>
        <v>0</v>
      </c>
      <c r="G17">
        <f>A$36*D17</f>
        <v>0</v>
      </c>
      <c r="H17">
        <f t="shared" ref="H17:H27" si="2">IFERROR(ROUND(G17/E17,5),0)</f>
        <v>0</v>
      </c>
      <c r="I17">
        <f>MOD(H17,1)</f>
        <v>0</v>
      </c>
      <c r="J17">
        <f t="shared" ref="J17:J27" si="3">IFERROR(1/I17,1)</f>
        <v>1</v>
      </c>
      <c r="L17" s="47"/>
      <c r="M17" s="53"/>
      <c r="N17" s="51"/>
      <c r="O17" s="53"/>
      <c r="P17" s="53"/>
      <c r="Q17" s="53"/>
    </row>
    <row r="18" spans="1:17">
      <c r="A18" s="47" t="s">
        <v>118</v>
      </c>
      <c r="B18" s="78">
        <f>B6-B19-B20-B21-B22</f>
        <v>0.90499999999999992</v>
      </c>
      <c r="C18" s="65">
        <f>SUMIF(Q:Q,A18,N:N)</f>
        <v>0</v>
      </c>
      <c r="D18" s="58">
        <f t="shared" si="0"/>
        <v>0.90499999999999992</v>
      </c>
      <c r="E18">
        <f>COUNTIF(tables_314100!B:B,input_314100!A18)-COUNTIF(Q:Q,A18)</f>
        <v>74</v>
      </c>
      <c r="F18" s="60">
        <f t="shared" si="1"/>
        <v>1.2229729729729728E-2</v>
      </c>
      <c r="G18">
        <f>A$36*D18</f>
        <v>25314659.999999996</v>
      </c>
      <c r="H18">
        <f t="shared" si="2"/>
        <v>342090</v>
      </c>
      <c r="I18">
        <f t="shared" ref="I18:I27" si="4">MOD(H18,1)</f>
        <v>0</v>
      </c>
      <c r="J18">
        <f t="shared" si="3"/>
        <v>1</v>
      </c>
      <c r="L18" s="47"/>
      <c r="M18" s="53"/>
      <c r="N18" s="51"/>
      <c r="O18" s="53"/>
      <c r="P18" s="53"/>
      <c r="Q18" s="53"/>
    </row>
    <row r="19" spans="1:17">
      <c r="A19" s="47" t="s">
        <v>128</v>
      </c>
      <c r="B19" s="75">
        <f>1.8%</f>
        <v>1.8000000000000002E-2</v>
      </c>
      <c r="C19" s="65">
        <f>SUMIF(Q:Q,A19,N:N)</f>
        <v>0</v>
      </c>
      <c r="D19" s="58">
        <f t="shared" si="0"/>
        <v>1.8000000000000002E-2</v>
      </c>
      <c r="E19">
        <f>COUNTIF(tables_314100!B:B,input_314100!A19)-COUNTIF(Q:Q,A19)</f>
        <v>14</v>
      </c>
      <c r="F19" s="60">
        <f t="shared" si="1"/>
        <v>1.2857142857142859E-3</v>
      </c>
      <c r="G19">
        <f>A$36*D19</f>
        <v>503496.00000000006</v>
      </c>
      <c r="H19">
        <f t="shared" si="2"/>
        <v>35964</v>
      </c>
      <c r="I19">
        <f t="shared" si="4"/>
        <v>0</v>
      </c>
      <c r="J19">
        <f t="shared" si="3"/>
        <v>1</v>
      </c>
      <c r="L19" s="47"/>
      <c r="M19" s="53"/>
      <c r="N19" s="51"/>
      <c r="O19" s="53"/>
      <c r="P19" s="53"/>
      <c r="Q19" s="53"/>
    </row>
    <row r="20" spans="1:17">
      <c r="A20" s="47" t="s">
        <v>130</v>
      </c>
      <c r="B20" s="75">
        <f>1.8%*1.5</f>
        <v>2.7000000000000003E-2</v>
      </c>
      <c r="C20" s="65">
        <f t="shared" ref="C20:C27" si="5">SUMIF(Q:Q,A20,N:N)</f>
        <v>0</v>
      </c>
      <c r="D20" s="58">
        <f t="shared" si="0"/>
        <v>2.7000000000000003E-2</v>
      </c>
      <c r="E20">
        <f>COUNTIF(tables_314100!B:B,input_314100!A20)-COUNTIF(Q:Q,A20)</f>
        <v>12</v>
      </c>
      <c r="F20" s="60">
        <f t="shared" si="1"/>
        <v>2.2500000000000003E-3</v>
      </c>
      <c r="G20">
        <f>A$36*D20</f>
        <v>755244.00000000012</v>
      </c>
      <c r="H20">
        <f t="shared" si="2"/>
        <v>62937</v>
      </c>
      <c r="I20">
        <f t="shared" si="4"/>
        <v>0</v>
      </c>
      <c r="J20">
        <f t="shared" si="3"/>
        <v>1</v>
      </c>
      <c r="L20" s="47"/>
      <c r="M20" s="53"/>
      <c r="N20" s="51"/>
      <c r="O20" s="53"/>
      <c r="P20" s="53"/>
      <c r="Q20" s="53"/>
    </row>
    <row r="21" spans="1:17">
      <c r="A21" s="47" t="s">
        <v>132</v>
      </c>
      <c r="B21" s="76">
        <v>0</v>
      </c>
      <c r="C21" s="65">
        <f t="shared" si="5"/>
        <v>0</v>
      </c>
      <c r="D21" s="58">
        <f t="shared" si="0"/>
        <v>0</v>
      </c>
      <c r="E21">
        <f>COUNTIF(tables_314100!B:B,input_314100!A21)-COUNTIF(Q:Q,A21)</f>
        <v>0</v>
      </c>
      <c r="F21" s="60">
        <f t="shared" si="1"/>
        <v>0</v>
      </c>
      <c r="G21">
        <f t="shared" ref="G21:G27" si="6">A$36*D21</f>
        <v>0</v>
      </c>
      <c r="H21">
        <f t="shared" si="2"/>
        <v>0</v>
      </c>
      <c r="I21">
        <f t="shared" si="4"/>
        <v>0</v>
      </c>
      <c r="J21">
        <f t="shared" si="3"/>
        <v>1</v>
      </c>
      <c r="L21" s="47"/>
      <c r="M21" s="53"/>
      <c r="N21" s="51"/>
      <c r="O21" s="53"/>
      <c r="P21" s="53"/>
      <c r="Q21" s="53"/>
    </row>
    <row r="22" spans="1:17">
      <c r="A22" s="47" t="s">
        <v>134</v>
      </c>
      <c r="B22" s="76">
        <v>0</v>
      </c>
      <c r="C22" s="65">
        <f t="shared" si="5"/>
        <v>0</v>
      </c>
      <c r="D22" s="58">
        <f t="shared" si="0"/>
        <v>0</v>
      </c>
      <c r="E22">
        <f>COUNTIF(tables_314100!B:B,input_314100!A22)-COUNTIF(Q:Q,A22)</f>
        <v>0</v>
      </c>
      <c r="F22" s="60">
        <f t="shared" si="1"/>
        <v>0</v>
      </c>
      <c r="G22">
        <f t="shared" si="6"/>
        <v>0</v>
      </c>
      <c r="H22">
        <f t="shared" si="2"/>
        <v>0</v>
      </c>
      <c r="I22">
        <f t="shared" si="4"/>
        <v>0</v>
      </c>
      <c r="J22">
        <f t="shared" si="3"/>
        <v>1</v>
      </c>
      <c r="L22" s="47"/>
      <c r="M22" s="53"/>
      <c r="N22" s="51"/>
      <c r="O22" s="53"/>
      <c r="P22" s="53"/>
      <c r="Q22" s="53"/>
    </row>
    <row r="23" spans="1:17">
      <c r="A23" s="47" t="s">
        <v>119</v>
      </c>
      <c r="B23" s="77">
        <f>B7-B24-B25-B26-B27</f>
        <v>2.5000000000000001E-2</v>
      </c>
      <c r="C23" s="65">
        <f t="shared" si="5"/>
        <v>0</v>
      </c>
      <c r="D23" s="58">
        <f t="shared" si="0"/>
        <v>2.5000000000000001E-2</v>
      </c>
      <c r="E23">
        <f>COUNTIF(tables_314100!B:B,input_314100!A23)-COUNTIF(Q:Q,A23)</f>
        <v>54</v>
      </c>
      <c r="F23" s="60">
        <f t="shared" si="1"/>
        <v>4.6296296296296298E-4</v>
      </c>
      <c r="G23">
        <f>A$36*D23</f>
        <v>699300</v>
      </c>
      <c r="H23">
        <f t="shared" si="2"/>
        <v>12950</v>
      </c>
      <c r="I23">
        <f t="shared" si="4"/>
        <v>0</v>
      </c>
      <c r="J23">
        <f t="shared" si="3"/>
        <v>1</v>
      </c>
      <c r="L23" s="47"/>
      <c r="M23" s="53"/>
      <c r="N23" s="47"/>
      <c r="O23" s="53"/>
      <c r="P23" s="53"/>
      <c r="Q23" s="53"/>
    </row>
    <row r="24" spans="1:17">
      <c r="A24" s="47" t="s">
        <v>136</v>
      </c>
      <c r="B24" s="74">
        <v>2E-3</v>
      </c>
      <c r="C24" s="65">
        <f t="shared" si="5"/>
        <v>0</v>
      </c>
      <c r="D24" s="58">
        <f t="shared" si="0"/>
        <v>2E-3</v>
      </c>
      <c r="E24">
        <f>COUNTIF(tables_314100!B:B,input_314100!A24)-COUNTIF(Q:Q,A24)</f>
        <v>14</v>
      </c>
      <c r="F24" s="60">
        <f t="shared" si="1"/>
        <v>1.4285714285714287E-4</v>
      </c>
      <c r="G24">
        <f t="shared" si="6"/>
        <v>55944</v>
      </c>
      <c r="H24">
        <f t="shared" si="2"/>
        <v>3996</v>
      </c>
      <c r="I24">
        <f t="shared" si="4"/>
        <v>0</v>
      </c>
      <c r="J24">
        <f t="shared" si="3"/>
        <v>1</v>
      </c>
      <c r="L24" s="47"/>
      <c r="M24" s="53"/>
      <c r="N24" s="47"/>
      <c r="O24" s="53"/>
      <c r="P24" s="53"/>
      <c r="Q24" s="53"/>
    </row>
    <row r="25" spans="1:17">
      <c r="A25" s="47" t="s">
        <v>138</v>
      </c>
      <c r="B25" s="74">
        <v>3.0000000000000001E-3</v>
      </c>
      <c r="C25" s="65">
        <f t="shared" si="5"/>
        <v>0</v>
      </c>
      <c r="D25" s="58">
        <f t="shared" si="0"/>
        <v>3.0000000000000001E-3</v>
      </c>
      <c r="E25">
        <f>COUNTIF(tables_314100!B:B,input_314100!A25)-COUNTIF(Q:Q,A25)</f>
        <v>12</v>
      </c>
      <c r="F25" s="60">
        <f t="shared" si="1"/>
        <v>2.5000000000000001E-4</v>
      </c>
      <c r="G25">
        <f t="shared" si="6"/>
        <v>83916</v>
      </c>
      <c r="H25">
        <f t="shared" si="2"/>
        <v>6993</v>
      </c>
      <c r="I25">
        <f t="shared" si="4"/>
        <v>0</v>
      </c>
      <c r="J25">
        <f t="shared" si="3"/>
        <v>1</v>
      </c>
      <c r="L25" s="47"/>
      <c r="M25" s="53"/>
      <c r="N25" s="47"/>
      <c r="O25" s="53"/>
      <c r="P25" s="53"/>
      <c r="Q25" s="53"/>
    </row>
    <row r="26" spans="1:17">
      <c r="A26" s="47" t="s">
        <v>140</v>
      </c>
      <c r="B26" s="74">
        <v>5.0000000000000001E-3</v>
      </c>
      <c r="C26" s="65">
        <f t="shared" si="5"/>
        <v>0</v>
      </c>
      <c r="D26" s="58">
        <f t="shared" si="0"/>
        <v>5.0000000000000001E-3</v>
      </c>
      <c r="E26">
        <f>COUNTIF(tables_314100!B:B,input_314100!A26)-COUNTIF(Q:Q,A26)</f>
        <v>2</v>
      </c>
      <c r="F26" s="60">
        <f t="shared" si="1"/>
        <v>2.5000000000000001E-3</v>
      </c>
      <c r="G26">
        <f t="shared" si="6"/>
        <v>139860</v>
      </c>
      <c r="H26">
        <f t="shared" si="2"/>
        <v>69930</v>
      </c>
      <c r="I26">
        <f t="shared" si="4"/>
        <v>0</v>
      </c>
      <c r="J26">
        <f t="shared" si="3"/>
        <v>1</v>
      </c>
      <c r="L26" s="47"/>
      <c r="M26" s="53"/>
      <c r="N26" s="47"/>
      <c r="O26" s="53"/>
      <c r="P26" s="53"/>
      <c r="Q26" s="53"/>
    </row>
    <row r="27" spans="1:17">
      <c r="A27" s="47" t="s">
        <v>142</v>
      </c>
      <c r="B27" s="74">
        <v>1.4999999999999999E-2</v>
      </c>
      <c r="C27" s="65">
        <f t="shared" si="5"/>
        <v>0</v>
      </c>
      <c r="D27" s="58">
        <f t="shared" si="0"/>
        <v>1.4999999999999999E-2</v>
      </c>
      <c r="E27">
        <f>COUNTIF(tables_314100!B:B,input_314100!A27)-COUNTIF(Q:Q,A27)</f>
        <v>2</v>
      </c>
      <c r="F27" s="60">
        <f t="shared" si="1"/>
        <v>7.4999999999999997E-3</v>
      </c>
      <c r="G27">
        <f t="shared" si="6"/>
        <v>419580</v>
      </c>
      <c r="H27">
        <f t="shared" si="2"/>
        <v>209790</v>
      </c>
      <c r="I27">
        <f t="shared" si="4"/>
        <v>0</v>
      </c>
      <c r="J27">
        <f t="shared" si="3"/>
        <v>1</v>
      </c>
      <c r="L27" s="47"/>
      <c r="M27" s="53"/>
      <c r="N27" s="47"/>
      <c r="O27" s="53"/>
      <c r="P27" s="53"/>
      <c r="Q27" s="53"/>
    </row>
    <row r="28" spans="1:17">
      <c r="A28" s="55" t="s">
        <v>76</v>
      </c>
      <c r="B28" s="56">
        <f>SUM(B17:B27)</f>
        <v>1</v>
      </c>
      <c r="C28" s="57">
        <f>SUM(C17:C26)</f>
        <v>0</v>
      </c>
      <c r="D28" s="59">
        <f t="shared" si="0"/>
        <v>1</v>
      </c>
      <c r="L28" s="47"/>
      <c r="M28" s="53"/>
      <c r="N28" s="47"/>
      <c r="O28" s="53"/>
      <c r="P28" s="53"/>
      <c r="Q28" s="53"/>
    </row>
    <row r="35" spans="1:6">
      <c r="A35" t="s">
        <v>91</v>
      </c>
    </row>
    <row r="36" spans="1:6">
      <c r="A36" s="34">
        <f>14*54*74*250*2</f>
        <v>27972000</v>
      </c>
    </row>
    <row r="38" spans="1:6">
      <c r="A38" s="64" t="s">
        <v>95</v>
      </c>
    </row>
    <row r="39" spans="1:6">
      <c r="A39" s="47" t="s">
        <v>77</v>
      </c>
      <c r="B39" t="s">
        <v>92</v>
      </c>
      <c r="C39" t="s">
        <v>120</v>
      </c>
      <c r="E39" t="s">
        <v>121</v>
      </c>
    </row>
    <row r="40" spans="1:6">
      <c r="A40" s="47" t="s">
        <v>143</v>
      </c>
      <c r="B40">
        <f ca="1">SUMIF(tables_314100!B:B,input_314100!A40,tables_314100!M:M)</f>
        <v>0</v>
      </c>
      <c r="C40" s="72">
        <f ca="1">B40/B$51</f>
        <v>0</v>
      </c>
      <c r="E40">
        <v>3</v>
      </c>
      <c r="F40" s="73">
        <f ca="1">C40</f>
        <v>0</v>
      </c>
    </row>
    <row r="41" spans="1:6">
      <c r="A41" s="47" t="s">
        <v>144</v>
      </c>
      <c r="B41">
        <f ca="1">SUMIF(tables_314100!B:B,input_314100!A41,tables_314100!M:M)</f>
        <v>25314660</v>
      </c>
      <c r="C41" s="72">
        <f t="shared" ref="C41:C50" ca="1" si="7">B41/B$51</f>
        <v>0.90500000000000003</v>
      </c>
      <c r="E41">
        <v>4</v>
      </c>
      <c r="F41" s="73">
        <f ca="1">SUM(C41:C45)</f>
        <v>0.95000000000000007</v>
      </c>
    </row>
    <row r="42" spans="1:6">
      <c r="A42" s="47" t="s">
        <v>127</v>
      </c>
      <c r="B42">
        <f ca="1">SUMIF(tables_314100!B:B,input_314100!A42,tables_314100!M:M)</f>
        <v>503496</v>
      </c>
      <c r="C42" s="72">
        <f t="shared" ca="1" si="7"/>
        <v>1.7999999999999999E-2</v>
      </c>
      <c r="E42">
        <v>5</v>
      </c>
      <c r="F42" s="73">
        <f ca="1">SUM(C46:C50)</f>
        <v>0.05</v>
      </c>
    </row>
    <row r="43" spans="1:6">
      <c r="A43" s="47" t="s">
        <v>129</v>
      </c>
      <c r="B43">
        <f ca="1">SUMIF(tables_314100!B:B,input_314100!A43,tables_314100!M:M)</f>
        <v>755244</v>
      </c>
      <c r="C43" s="72">
        <f t="shared" ca="1" si="7"/>
        <v>2.7E-2</v>
      </c>
      <c r="F43" s="73"/>
    </row>
    <row r="44" spans="1:6">
      <c r="A44" s="47" t="s">
        <v>131</v>
      </c>
      <c r="B44">
        <f>SUMIF(tables_314100!B:B,input_314100!A44,tables_314100!M:M)</f>
        <v>0</v>
      </c>
      <c r="C44" s="72">
        <f t="shared" ca="1" si="7"/>
        <v>0</v>
      </c>
    </row>
    <row r="45" spans="1:6">
      <c r="A45" s="47" t="s">
        <v>133</v>
      </c>
      <c r="B45">
        <f>SUMIF(tables_314100!B:B,input_314100!A45,tables_314100!M:M)</f>
        <v>0</v>
      </c>
      <c r="C45" s="72">
        <f t="shared" ca="1" si="7"/>
        <v>0</v>
      </c>
    </row>
    <row r="46" spans="1:6">
      <c r="A46" s="47" t="s">
        <v>145</v>
      </c>
      <c r="B46">
        <f ca="1">SUMIF(tables_314100!B:B,input_314100!A46,tables_314100!M:M)</f>
        <v>699300</v>
      </c>
      <c r="C46" s="72">
        <f t="shared" ca="1" si="7"/>
        <v>2.5000000000000001E-2</v>
      </c>
      <c r="E46" t="s">
        <v>70</v>
      </c>
    </row>
    <row r="47" spans="1:6">
      <c r="A47" s="47" t="s">
        <v>135</v>
      </c>
      <c r="B47">
        <f ca="1">SUMIF(tables_314100!B:B,input_314100!A47,tables_314100!M:M)</f>
        <v>55944</v>
      </c>
      <c r="C47" s="72">
        <f ca="1">B47/B$51</f>
        <v>2E-3</v>
      </c>
      <c r="E47" t="s">
        <v>123</v>
      </c>
      <c r="F47" s="73">
        <f ca="1">C40+C41+C46</f>
        <v>0.93</v>
      </c>
    </row>
    <row r="48" spans="1:6">
      <c r="A48" s="47" t="s">
        <v>137</v>
      </c>
      <c r="B48">
        <f ca="1">SUMIF(tables_314100!B:B,input_314100!A48,tables_314100!M:M)</f>
        <v>83916</v>
      </c>
      <c r="C48" s="72">
        <f t="shared" ca="1" si="7"/>
        <v>3.0000000000000001E-3</v>
      </c>
      <c r="F48" s="73"/>
    </row>
    <row r="49" spans="1:6">
      <c r="A49" s="47" t="s">
        <v>139</v>
      </c>
      <c r="B49">
        <f ca="1">SUMIF(tables_314100!B:B,input_314100!A49,tables_314100!M:M)</f>
        <v>139860</v>
      </c>
      <c r="C49" s="72">
        <f t="shared" ca="1" si="7"/>
        <v>5.0000000000000001E-3</v>
      </c>
      <c r="F49" s="73"/>
    </row>
    <row r="50" spans="1:6">
      <c r="A50" s="47" t="s">
        <v>141</v>
      </c>
      <c r="B50">
        <f ca="1">SUMIF(tables_314100!B:B,input_314100!A50,tables_314100!M:M)</f>
        <v>419580</v>
      </c>
      <c r="C50" s="72">
        <f t="shared" ca="1" si="7"/>
        <v>1.4999999999999999E-2</v>
      </c>
      <c r="E50" t="s">
        <v>124</v>
      </c>
      <c r="F50" s="73">
        <f ca="1">C42+C43+C47+C48</f>
        <v>0.05</v>
      </c>
    </row>
    <row r="51" spans="1:6">
      <c r="A51" s="55" t="s">
        <v>76</v>
      </c>
      <c r="B51">
        <f ca="1">SUM(B40:B50)</f>
        <v>27972000</v>
      </c>
      <c r="E51" t="s">
        <v>125</v>
      </c>
      <c r="F51" s="73">
        <f ca="1">C44+C45+C49+C50</f>
        <v>0.02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5" enableFormatConditionsCalculation="0">
    <tabColor rgb="FF0000FF"/>
    <outlinePr summaryBelow="0" summaryRight="0"/>
  </sheetPr>
  <dimension ref="A1:T259"/>
  <sheetViews>
    <sheetView showGridLines="0" zoomScale="75" zoomScaleNormal="75" zoomScalePageLayoutView="75" workbookViewId="0">
      <pane ySplit="1" topLeftCell="A238" activePane="bottomLeft" state="frozen"/>
      <selection activeCell="M2" sqref="M2"/>
      <selection pane="bottomLeft" activeCell="B257" sqref="B257"/>
    </sheetView>
  </sheetViews>
  <sheetFormatPr baseColWidth="12" defaultRowHeight="21" customHeight="1" outlineLevelCol="1" x14ac:dyDescent="0"/>
  <cols>
    <col min="1" max="1" width="12.6640625" style="1" bestFit="1" customWidth="1"/>
    <col min="2" max="2" width="17.6640625" style="1" bestFit="1" customWidth="1" outlineLevel="1"/>
    <col min="3" max="4" width="17.6640625" style="1" customWidth="1" outlineLevel="1"/>
    <col min="5" max="5" width="10.5" style="1" customWidth="1"/>
    <col min="6" max="6" width="23.33203125" style="1" customWidth="1" outlineLevel="1"/>
    <col min="7" max="7" width="13.6640625" style="1" customWidth="1" outlineLevel="1"/>
    <col min="8" max="8" width="9.6640625" style="1" customWidth="1" outlineLevel="1"/>
    <col min="9" max="9" width="10.5" style="4" customWidth="1" outlineLevel="1"/>
    <col min="10" max="10" width="18.83203125" style="1" customWidth="1" outlineLevel="1"/>
    <col min="11" max="12" width="19" style="1" customWidth="1" outlineLevel="1"/>
    <col min="13" max="13" width="11.33203125" style="1" bestFit="1" customWidth="1"/>
    <col min="14" max="14" width="11.33203125" style="1" customWidth="1"/>
    <col min="15" max="15" width="13.1640625" style="1" bestFit="1" customWidth="1"/>
    <col min="16" max="16384" width="12.83203125" style="1"/>
  </cols>
  <sheetData>
    <row r="1" spans="1:20" ht="21" customHeight="1">
      <c r="A1" s="14" t="s">
        <v>103</v>
      </c>
      <c r="B1" s="3" t="s">
        <v>32</v>
      </c>
      <c r="C1" s="3" t="s">
        <v>115</v>
      </c>
      <c r="D1" s="3" t="s">
        <v>126</v>
      </c>
      <c r="E1" s="16" t="s">
        <v>1</v>
      </c>
      <c r="F1" s="3" t="s">
        <v>34</v>
      </c>
      <c r="G1" s="3" t="s">
        <v>35</v>
      </c>
      <c r="H1" s="3" t="s">
        <v>3</v>
      </c>
      <c r="I1" s="3" t="s">
        <v>55</v>
      </c>
      <c r="J1" s="3" t="s">
        <v>37</v>
      </c>
      <c r="K1" s="3" t="s">
        <v>38</v>
      </c>
      <c r="L1" s="3" t="s">
        <v>75</v>
      </c>
      <c r="M1" s="16" t="s">
        <v>13</v>
      </c>
      <c r="N1" s="3" t="s">
        <v>81</v>
      </c>
      <c r="O1" s="16" t="s">
        <v>39</v>
      </c>
      <c r="P1" s="30" t="s">
        <v>6</v>
      </c>
      <c r="Q1" s="30" t="s">
        <v>7</v>
      </c>
      <c r="R1" s="30" t="s">
        <v>8</v>
      </c>
      <c r="S1" s="30" t="s">
        <v>9</v>
      </c>
      <c r="T1" s="30" t="s">
        <v>10</v>
      </c>
    </row>
    <row r="2" spans="1:20" ht="21" customHeight="1">
      <c r="A2" s="2" t="str">
        <f ca="1">input_314100!A$2</f>
        <v>314100</v>
      </c>
      <c r="B2" s="7" t="str">
        <f>C2&amp;IF(C2="premium",,D2)&amp;H2</f>
        <v>Premium3</v>
      </c>
      <c r="C2" s="7" t="str">
        <f>IF(G2="PremiumSS",G2,IF(G2="PremiumSSS",G2,"Premium"))</f>
        <v>Premium</v>
      </c>
      <c r="D2" s="7" t="str">
        <f>IF(I2="red","ry",IF(I2="yellow","ry","bg"))</f>
        <v>ry</v>
      </c>
      <c r="E2" s="6">
        <v>126</v>
      </c>
      <c r="F2" s="7" t="str">
        <f>VLOOKUP(E2,[1]characters!$A:$C,3,FALSE)</f>
        <v>骨器使い ユノ</v>
      </c>
      <c r="G2" s="7" t="str">
        <f>VLOOKUP(E2,[1]characters!$A:$J,10,FALSE)</f>
        <v>PremiumW</v>
      </c>
      <c r="H2" s="7">
        <f>VLOOKUP(E2,[1]characters!$A:$I,9,FALSE)</f>
        <v>3</v>
      </c>
      <c r="I2" s="7" t="str">
        <f>VLOOKUP(E2,[1]characters!$A:$H,8,FALSE)</f>
        <v>red</v>
      </c>
      <c r="J2" s="7" t="str">
        <f>VLOOKUP(E2,[1]characters!$A:$K,11,FALSE)</f>
        <v>attack</v>
      </c>
      <c r="K2" s="7" t="str">
        <f>VLOOKUP(E2,[1]characters!$A:$M,13,FALSE)</f>
        <v>human</v>
      </c>
      <c r="L2" s="7" t="str">
        <f>VLOOKUP(E2,[1]characters!$A:$G,7,FALSE)</f>
        <v>女性</v>
      </c>
      <c r="M2" s="62">
        <f ca="1">IFERROR(VLOOKUP(E2,input_314100!L:R,7,FALSE),VLOOKUP(tables_314100!B2,input_314100!A:H,8,FALSE))</f>
        <v>0</v>
      </c>
      <c r="N2" s="63">
        <f ca="1">M2/SUM(M:M)</f>
        <v>0</v>
      </c>
      <c r="O2" s="31">
        <f>IFERROR(VLOOKUP($E2,bug_conf_sheet!$A:$H,3,FALSE),VLOOKUP("other",bug_conf_sheet!$A:$H,3,FALSE))</f>
        <v>1</v>
      </c>
      <c r="P2" s="31">
        <f>IFERROR(VLOOKUP($E2,bug_conf_sheet!$A:$H,4,FALSE),VLOOKUP("other",bug_conf_sheet!$A:$H,4,FALSE))</f>
        <v>0</v>
      </c>
      <c r="Q2" s="31">
        <f>IFERROR(VLOOKUP($E2,bug_conf_sheet!$A:$H,5,FALSE),VLOOKUP("other",bug_conf_sheet!$A:$H,5,FALSE))</f>
        <v>0</v>
      </c>
      <c r="R2" s="31">
        <f>IFERROR(VLOOKUP($E2,bug_conf_sheet!$A:$H,6,FALSE),VLOOKUP("other",bug_conf_sheet!$A:$H,6,FALSE))</f>
        <v>0</v>
      </c>
      <c r="S2" s="31">
        <f>IFERROR(VLOOKUP($E2,bug_conf_sheet!$A:$H,7,FALSE),VLOOKUP("other",bug_conf_sheet!$A:$H,7,FALSE))</f>
        <v>0</v>
      </c>
      <c r="T2" s="31">
        <f>IFERROR(VLOOKUP($E2,bug_conf_sheet!$A:$H,8,FALSE),VLOOKUP("other",bug_conf_sheet!$A:$H,8,FALSE))</f>
        <v>1</v>
      </c>
    </row>
    <row r="3" spans="1:20" ht="21" customHeight="1">
      <c r="A3" s="2" t="str">
        <f ca="1">input_314100!A$2</f>
        <v>314100</v>
      </c>
      <c r="B3" s="7" t="str">
        <f t="shared" ref="B3:B66" si="0">C3&amp;IF(C3="premium",,D3)&amp;H3</f>
        <v>Premium4</v>
      </c>
      <c r="C3" s="7" t="str">
        <f t="shared" ref="C3:C66" si="1">IF(G3="PremiumSS",G3,IF(G3="PremiumSSS",G3,"Premium"))</f>
        <v>Premium</v>
      </c>
      <c r="D3" s="7" t="str">
        <f t="shared" ref="D3:D66" si="2">IF(I3="red","ry",IF(I3="yellow","ry","bg"))</f>
        <v>ry</v>
      </c>
      <c r="E3" s="6">
        <v>127</v>
      </c>
      <c r="F3" s="7" t="str">
        <f>VLOOKUP(E3,[1]characters!$A:$C,3,FALSE)</f>
        <v>狂喜の賢者 ユノ</v>
      </c>
      <c r="G3" s="7" t="str">
        <f>VLOOKUP(E3,[1]characters!$A:$J,10,FALSE)</f>
        <v>PremiumW</v>
      </c>
      <c r="H3" s="7">
        <f>VLOOKUP(E3,[1]characters!$A:$I,9,FALSE)</f>
        <v>4</v>
      </c>
      <c r="I3" s="7" t="str">
        <f>VLOOKUP(E3,[1]characters!$A:$H,8,FALSE)</f>
        <v>red</v>
      </c>
      <c r="J3" s="7" t="str">
        <f>VLOOKUP(E3,[1]characters!$A:$K,11,FALSE)</f>
        <v>attack</v>
      </c>
      <c r="K3" s="7" t="str">
        <f>VLOOKUP(E3,[1]characters!$A:$M,13,FALSE)</f>
        <v>human</v>
      </c>
      <c r="L3" s="7" t="str">
        <f>VLOOKUP(E3,[1]characters!$A:$G,7,FALSE)</f>
        <v>女性</v>
      </c>
      <c r="M3" s="62">
        <f ca="1">IFERROR(VLOOKUP(E3,input_314100!L:R,7,FALSE),VLOOKUP(tables_314100!B3,input_314100!A:H,8,FALSE))</f>
        <v>342090</v>
      </c>
      <c r="N3" s="63">
        <f t="shared" ref="N3:N66" ca="1" si="3">M3/SUM(M:M)</f>
        <v>1.222972972972973E-2</v>
      </c>
      <c r="O3" s="31">
        <f>IFERROR(VLOOKUP($E3,bug_conf_sheet!$A:$H,3,FALSE),VLOOKUP("other",bug_conf_sheet!$A:$H,3,FALSE))</f>
        <v>1</v>
      </c>
      <c r="P3" s="31">
        <f>IFERROR(VLOOKUP($E3,bug_conf_sheet!$A:$H,4,FALSE),VLOOKUP("other",bug_conf_sheet!$A:$H,4,FALSE))</f>
        <v>0</v>
      </c>
      <c r="Q3" s="31">
        <f>IFERROR(VLOOKUP($E3,bug_conf_sheet!$A:$H,5,FALSE),VLOOKUP("other",bug_conf_sheet!$A:$H,5,FALSE))</f>
        <v>0</v>
      </c>
      <c r="R3" s="31">
        <f>IFERROR(VLOOKUP($E3,bug_conf_sheet!$A:$H,6,FALSE),VLOOKUP("other",bug_conf_sheet!$A:$H,6,FALSE))</f>
        <v>0</v>
      </c>
      <c r="S3" s="31">
        <f>IFERROR(VLOOKUP($E3,bug_conf_sheet!$A:$H,7,FALSE),VLOOKUP("other",bug_conf_sheet!$A:$H,7,FALSE))</f>
        <v>0</v>
      </c>
      <c r="T3" s="31">
        <f>IFERROR(VLOOKUP($E3,bug_conf_sheet!$A:$H,8,FALSE),VLOOKUP("other",bug_conf_sheet!$A:$H,8,FALSE))</f>
        <v>1</v>
      </c>
    </row>
    <row r="4" spans="1:20" ht="21" customHeight="1">
      <c r="A4" s="2" t="str">
        <f ca="1">input_314100!A$2</f>
        <v>314100</v>
      </c>
      <c r="B4" s="7" t="str">
        <f t="shared" si="0"/>
        <v>Premium3</v>
      </c>
      <c r="C4" s="7" t="str">
        <f t="shared" si="1"/>
        <v>Premium</v>
      </c>
      <c r="D4" s="7" t="str">
        <f t="shared" si="2"/>
        <v>bg</v>
      </c>
      <c r="E4" s="6">
        <v>128</v>
      </c>
      <c r="F4" s="7" t="str">
        <f>VLOOKUP(E4,[1]characters!$A:$C,3,FALSE)</f>
        <v>野生児 アマラ</v>
      </c>
      <c r="G4" s="7" t="str">
        <f>VLOOKUP(E4,[1]characters!$A:$J,10,FALSE)</f>
        <v>PremiumW</v>
      </c>
      <c r="H4" s="7">
        <f>VLOOKUP(E4,[1]characters!$A:$I,9,FALSE)</f>
        <v>3</v>
      </c>
      <c r="I4" s="7" t="str">
        <f>VLOOKUP(E4,[1]characters!$A:$H,8,FALSE)</f>
        <v>green</v>
      </c>
      <c r="J4" s="7" t="str">
        <f>VLOOKUP(E4,[1]characters!$A:$K,11,FALSE)</f>
        <v>attack</v>
      </c>
      <c r="K4" s="7" t="str">
        <f>VLOOKUP(E4,[1]characters!$A:$M,13,FALSE)</f>
        <v>human</v>
      </c>
      <c r="L4" s="7" t="str">
        <f>VLOOKUP(E4,[1]characters!$A:$G,7,FALSE)</f>
        <v>女性</v>
      </c>
      <c r="M4" s="62">
        <f ca="1">IFERROR(VLOOKUP(E4,input_314100!L:R,7,FALSE),VLOOKUP(tables_314100!B4,input_314100!A:H,8,FALSE))</f>
        <v>0</v>
      </c>
      <c r="N4" s="63">
        <f t="shared" ca="1" si="3"/>
        <v>0</v>
      </c>
      <c r="O4" s="31">
        <f>IFERROR(VLOOKUP($E4,bug_conf_sheet!$A:$H,3,FALSE),VLOOKUP("other",bug_conf_sheet!$A:$H,3,FALSE))</f>
        <v>1</v>
      </c>
      <c r="P4" s="31">
        <f>IFERROR(VLOOKUP($E4,bug_conf_sheet!$A:$H,4,FALSE),VLOOKUP("other",bug_conf_sheet!$A:$H,4,FALSE))</f>
        <v>0</v>
      </c>
      <c r="Q4" s="31">
        <f>IFERROR(VLOOKUP($E4,bug_conf_sheet!$A:$H,5,FALSE),VLOOKUP("other",bug_conf_sheet!$A:$H,5,FALSE))</f>
        <v>0</v>
      </c>
      <c r="R4" s="31">
        <f>IFERROR(VLOOKUP($E4,bug_conf_sheet!$A:$H,6,FALSE),VLOOKUP("other",bug_conf_sheet!$A:$H,6,FALSE))</f>
        <v>0</v>
      </c>
      <c r="S4" s="31">
        <f>IFERROR(VLOOKUP($E4,bug_conf_sheet!$A:$H,7,FALSE),VLOOKUP("other",bug_conf_sheet!$A:$H,7,FALSE))</f>
        <v>0</v>
      </c>
      <c r="T4" s="31">
        <f>IFERROR(VLOOKUP($E4,bug_conf_sheet!$A:$H,8,FALSE),VLOOKUP("other",bug_conf_sheet!$A:$H,8,FALSE))</f>
        <v>1</v>
      </c>
    </row>
    <row r="5" spans="1:20" ht="21" customHeight="1">
      <c r="A5" s="2" t="str">
        <f ca="1">input_314100!A$2</f>
        <v>314100</v>
      </c>
      <c r="B5" s="7" t="str">
        <f t="shared" si="0"/>
        <v>Premium4</v>
      </c>
      <c r="C5" s="7" t="str">
        <f t="shared" si="1"/>
        <v>Premium</v>
      </c>
      <c r="D5" s="7" t="str">
        <f t="shared" si="2"/>
        <v>bg</v>
      </c>
      <c r="E5" s="6">
        <v>129</v>
      </c>
      <c r="F5" s="7" t="str">
        <f>VLOOKUP(E5,[1]characters!$A:$C,3,FALSE)</f>
        <v>孤高の狼憑き アマラ</v>
      </c>
      <c r="G5" s="7" t="str">
        <f>VLOOKUP(E5,[1]characters!$A:$J,10,FALSE)</f>
        <v>PremiumW</v>
      </c>
      <c r="H5" s="7">
        <f>VLOOKUP(E5,[1]characters!$A:$I,9,FALSE)</f>
        <v>4</v>
      </c>
      <c r="I5" s="7" t="str">
        <f>VLOOKUP(E5,[1]characters!$A:$H,8,FALSE)</f>
        <v>green</v>
      </c>
      <c r="J5" s="7" t="str">
        <f>VLOOKUP(E5,[1]characters!$A:$K,11,FALSE)</f>
        <v>attack</v>
      </c>
      <c r="K5" s="7" t="str">
        <f>VLOOKUP(E5,[1]characters!$A:$M,13,FALSE)</f>
        <v>human</v>
      </c>
      <c r="L5" s="7" t="str">
        <f>VLOOKUP(E5,[1]characters!$A:$G,7,FALSE)</f>
        <v>女性</v>
      </c>
      <c r="M5" s="62">
        <f ca="1">IFERROR(VLOOKUP(E5,input_314100!L:R,7,FALSE),VLOOKUP(tables_314100!B5,input_314100!A:H,8,FALSE))</f>
        <v>342090</v>
      </c>
      <c r="N5" s="63">
        <f t="shared" ca="1" si="3"/>
        <v>1.222972972972973E-2</v>
      </c>
      <c r="O5" s="31">
        <f>IFERROR(VLOOKUP($E5,bug_conf_sheet!$A:$H,3,FALSE),VLOOKUP("other",bug_conf_sheet!$A:$H,3,FALSE))</f>
        <v>1</v>
      </c>
      <c r="P5" s="31">
        <f>IFERROR(VLOOKUP($E5,bug_conf_sheet!$A:$H,4,FALSE),VLOOKUP("other",bug_conf_sheet!$A:$H,4,FALSE))</f>
        <v>0</v>
      </c>
      <c r="Q5" s="31">
        <f>IFERROR(VLOOKUP($E5,bug_conf_sheet!$A:$H,5,FALSE),VLOOKUP("other",bug_conf_sheet!$A:$H,5,FALSE))</f>
        <v>0</v>
      </c>
      <c r="R5" s="31">
        <f>IFERROR(VLOOKUP($E5,bug_conf_sheet!$A:$H,6,FALSE),VLOOKUP("other",bug_conf_sheet!$A:$H,6,FALSE))</f>
        <v>0</v>
      </c>
      <c r="S5" s="31">
        <f>IFERROR(VLOOKUP($E5,bug_conf_sheet!$A:$H,7,FALSE),VLOOKUP("other",bug_conf_sheet!$A:$H,7,FALSE))</f>
        <v>0</v>
      </c>
      <c r="T5" s="31">
        <f>IFERROR(VLOOKUP($E5,bug_conf_sheet!$A:$H,8,FALSE),VLOOKUP("other",bug_conf_sheet!$A:$H,8,FALSE))</f>
        <v>1</v>
      </c>
    </row>
    <row r="6" spans="1:20" ht="21" customHeight="1">
      <c r="A6" s="2" t="str">
        <f ca="1">input_314100!A$2</f>
        <v>314100</v>
      </c>
      <c r="B6" s="7" t="str">
        <f t="shared" si="0"/>
        <v>Premium3</v>
      </c>
      <c r="C6" s="7" t="str">
        <f t="shared" si="1"/>
        <v>Premium</v>
      </c>
      <c r="D6" s="7" t="str">
        <f t="shared" si="2"/>
        <v>bg</v>
      </c>
      <c r="E6" s="6">
        <v>130</v>
      </c>
      <c r="F6" s="7" t="str">
        <f>VLOOKUP(E6,[1]characters!$A:$C,3,FALSE)</f>
        <v>狼男 ローレンス</v>
      </c>
      <c r="G6" s="7" t="str">
        <f>VLOOKUP(E6,[1]characters!$A:$J,10,FALSE)</f>
        <v>PremiumW</v>
      </c>
      <c r="H6" s="7">
        <f>VLOOKUP(E6,[1]characters!$A:$I,9,FALSE)</f>
        <v>3</v>
      </c>
      <c r="I6" s="7" t="str">
        <f>VLOOKUP(E6,[1]characters!$A:$H,8,FALSE)</f>
        <v>blue</v>
      </c>
      <c r="J6" s="7" t="str">
        <f>VLOOKUP(E6,[1]characters!$A:$K,11,FALSE)</f>
        <v>attack</v>
      </c>
      <c r="K6" s="7" t="str">
        <f>VLOOKUP(E6,[1]characters!$A:$M,13,FALSE)</f>
        <v>animal</v>
      </c>
      <c r="L6" s="7" t="str">
        <f>VLOOKUP(E6,[1]characters!$A:$G,7,FALSE)</f>
        <v>不明</v>
      </c>
      <c r="M6" s="62">
        <f ca="1">IFERROR(VLOOKUP(E6,input_314100!L:R,7,FALSE),VLOOKUP(tables_314100!B6,input_314100!A:H,8,FALSE))</f>
        <v>0</v>
      </c>
      <c r="N6" s="63">
        <f t="shared" ca="1" si="3"/>
        <v>0</v>
      </c>
      <c r="O6" s="31">
        <f>IFERROR(VLOOKUP($E6,bug_conf_sheet!$A:$H,3,FALSE),VLOOKUP("other",bug_conf_sheet!$A:$H,3,FALSE))</f>
        <v>1</v>
      </c>
      <c r="P6" s="31">
        <f>IFERROR(VLOOKUP($E6,bug_conf_sheet!$A:$H,4,FALSE),VLOOKUP("other",bug_conf_sheet!$A:$H,4,FALSE))</f>
        <v>0</v>
      </c>
      <c r="Q6" s="31">
        <f>IFERROR(VLOOKUP($E6,bug_conf_sheet!$A:$H,5,FALSE),VLOOKUP("other",bug_conf_sheet!$A:$H,5,FALSE))</f>
        <v>0</v>
      </c>
      <c r="R6" s="31">
        <f>IFERROR(VLOOKUP($E6,bug_conf_sheet!$A:$H,6,FALSE),VLOOKUP("other",bug_conf_sheet!$A:$H,6,FALSE))</f>
        <v>0</v>
      </c>
      <c r="S6" s="31">
        <f>IFERROR(VLOOKUP($E6,bug_conf_sheet!$A:$H,7,FALSE),VLOOKUP("other",bug_conf_sheet!$A:$H,7,FALSE))</f>
        <v>0</v>
      </c>
      <c r="T6" s="31">
        <f>IFERROR(VLOOKUP($E6,bug_conf_sheet!$A:$H,8,FALSE),VLOOKUP("other",bug_conf_sheet!$A:$H,8,FALSE))</f>
        <v>1</v>
      </c>
    </row>
    <row r="7" spans="1:20" ht="21" customHeight="1">
      <c r="A7" s="2" t="str">
        <f ca="1">input_314100!A$2</f>
        <v>314100</v>
      </c>
      <c r="B7" s="7" t="str">
        <f t="shared" si="0"/>
        <v>Premium4</v>
      </c>
      <c r="C7" s="7" t="str">
        <f t="shared" si="1"/>
        <v>Premium</v>
      </c>
      <c r="D7" s="7" t="str">
        <f t="shared" si="2"/>
        <v>bg</v>
      </c>
      <c r="E7" s="6">
        <v>131</v>
      </c>
      <c r="F7" s="7" t="str">
        <f>VLOOKUP(E7,[1]characters!$A:$C,3,FALSE)</f>
        <v>月下の人狼 ローレンス</v>
      </c>
      <c r="G7" s="7" t="str">
        <f>VLOOKUP(E7,[1]characters!$A:$J,10,FALSE)</f>
        <v>PremiumW</v>
      </c>
      <c r="H7" s="7">
        <f>VLOOKUP(E7,[1]characters!$A:$I,9,FALSE)</f>
        <v>4</v>
      </c>
      <c r="I7" s="7" t="str">
        <f>VLOOKUP(E7,[1]characters!$A:$H,8,FALSE)</f>
        <v>blue</v>
      </c>
      <c r="J7" s="7" t="str">
        <f>VLOOKUP(E7,[1]characters!$A:$K,11,FALSE)</f>
        <v>attack</v>
      </c>
      <c r="K7" s="7" t="str">
        <f>VLOOKUP(E7,[1]characters!$A:$M,13,FALSE)</f>
        <v>animal</v>
      </c>
      <c r="L7" s="7" t="str">
        <f>VLOOKUP(E7,[1]characters!$A:$G,7,FALSE)</f>
        <v>不明</v>
      </c>
      <c r="M7" s="62">
        <f ca="1">IFERROR(VLOOKUP(E7,input_314100!L:R,7,FALSE),VLOOKUP(tables_314100!B7,input_314100!A:H,8,FALSE))</f>
        <v>342090</v>
      </c>
      <c r="N7" s="63">
        <f t="shared" ca="1" si="3"/>
        <v>1.222972972972973E-2</v>
      </c>
      <c r="O7" s="31">
        <f>IFERROR(VLOOKUP($E7,bug_conf_sheet!$A:$H,3,FALSE),VLOOKUP("other",bug_conf_sheet!$A:$H,3,FALSE))</f>
        <v>1</v>
      </c>
      <c r="P7" s="31">
        <f>IFERROR(VLOOKUP($E7,bug_conf_sheet!$A:$H,4,FALSE),VLOOKUP("other",bug_conf_sheet!$A:$H,4,FALSE))</f>
        <v>0</v>
      </c>
      <c r="Q7" s="31">
        <f>IFERROR(VLOOKUP($E7,bug_conf_sheet!$A:$H,5,FALSE),VLOOKUP("other",bug_conf_sheet!$A:$H,5,FALSE))</f>
        <v>0</v>
      </c>
      <c r="R7" s="31">
        <f>IFERROR(VLOOKUP($E7,bug_conf_sheet!$A:$H,6,FALSE),VLOOKUP("other",bug_conf_sheet!$A:$H,6,FALSE))</f>
        <v>0</v>
      </c>
      <c r="S7" s="31">
        <f>IFERROR(VLOOKUP($E7,bug_conf_sheet!$A:$H,7,FALSE),VLOOKUP("other",bug_conf_sheet!$A:$H,7,FALSE))</f>
        <v>0</v>
      </c>
      <c r="T7" s="31">
        <f>IFERROR(VLOOKUP($E7,bug_conf_sheet!$A:$H,8,FALSE),VLOOKUP("other",bug_conf_sheet!$A:$H,8,FALSE))</f>
        <v>1</v>
      </c>
    </row>
    <row r="8" spans="1:20" ht="21" customHeight="1">
      <c r="A8" s="2" t="str">
        <f ca="1">input_314100!A$2</f>
        <v>314100</v>
      </c>
      <c r="B8" s="7" t="str">
        <f t="shared" si="0"/>
        <v>Premium3</v>
      </c>
      <c r="C8" s="7" t="str">
        <f t="shared" si="1"/>
        <v>Premium</v>
      </c>
      <c r="D8" s="7" t="str">
        <f t="shared" si="2"/>
        <v>ry</v>
      </c>
      <c r="E8" s="6">
        <v>132</v>
      </c>
      <c r="F8" s="7" t="str">
        <f>VLOOKUP(E8,[1]characters!$A:$C,3,FALSE)</f>
        <v>鳥人ハヤト</v>
      </c>
      <c r="G8" s="7" t="str">
        <f>VLOOKUP(E8,[1]characters!$A:$J,10,FALSE)</f>
        <v>PremiumW</v>
      </c>
      <c r="H8" s="7">
        <f>VLOOKUP(E8,[1]characters!$A:$I,9,FALSE)</f>
        <v>3</v>
      </c>
      <c r="I8" s="7" t="str">
        <f>VLOOKUP(E8,[1]characters!$A:$H,8,FALSE)</f>
        <v>yellow</v>
      </c>
      <c r="J8" s="7" t="str">
        <f>VLOOKUP(E8,[1]characters!$A:$K,11,FALSE)</f>
        <v>attack</v>
      </c>
      <c r="K8" s="7" t="str">
        <f>VLOOKUP(E8,[1]characters!$A:$M,13,FALSE)</f>
        <v>human</v>
      </c>
      <c r="L8" s="7" t="str">
        <f>VLOOKUP(E8,[1]characters!$A:$G,7,FALSE)</f>
        <v>男性</v>
      </c>
      <c r="M8" s="62">
        <f ca="1">IFERROR(VLOOKUP(E8,input_314100!L:R,7,FALSE),VLOOKUP(tables_314100!B8,input_314100!A:H,8,FALSE))</f>
        <v>0</v>
      </c>
      <c r="N8" s="63">
        <f t="shared" ca="1" si="3"/>
        <v>0</v>
      </c>
      <c r="O8" s="31">
        <f>IFERROR(VLOOKUP($E8,bug_conf_sheet!$A:$H,3,FALSE),VLOOKUP("other",bug_conf_sheet!$A:$H,3,FALSE))</f>
        <v>1</v>
      </c>
      <c r="P8" s="31">
        <f>IFERROR(VLOOKUP($E8,bug_conf_sheet!$A:$H,4,FALSE),VLOOKUP("other",bug_conf_sheet!$A:$H,4,FALSE))</f>
        <v>0</v>
      </c>
      <c r="Q8" s="31">
        <f>IFERROR(VLOOKUP($E8,bug_conf_sheet!$A:$H,5,FALSE),VLOOKUP("other",bug_conf_sheet!$A:$H,5,FALSE))</f>
        <v>0</v>
      </c>
      <c r="R8" s="31">
        <f>IFERROR(VLOOKUP($E8,bug_conf_sheet!$A:$H,6,FALSE),VLOOKUP("other",bug_conf_sheet!$A:$H,6,FALSE))</f>
        <v>0</v>
      </c>
      <c r="S8" s="31">
        <f>IFERROR(VLOOKUP($E8,bug_conf_sheet!$A:$H,7,FALSE),VLOOKUP("other",bug_conf_sheet!$A:$H,7,FALSE))</f>
        <v>0</v>
      </c>
      <c r="T8" s="31">
        <f>IFERROR(VLOOKUP($E8,bug_conf_sheet!$A:$H,8,FALSE),VLOOKUP("other",bug_conf_sheet!$A:$H,8,FALSE))</f>
        <v>1</v>
      </c>
    </row>
    <row r="9" spans="1:20" ht="21" customHeight="1">
      <c r="A9" s="2" t="str">
        <f ca="1">input_314100!A$2</f>
        <v>314100</v>
      </c>
      <c r="B9" s="7" t="str">
        <f t="shared" si="0"/>
        <v>Premium4</v>
      </c>
      <c r="C9" s="7" t="str">
        <f t="shared" si="1"/>
        <v>Premium</v>
      </c>
      <c r="D9" s="7" t="str">
        <f t="shared" si="2"/>
        <v>ry</v>
      </c>
      <c r="E9" s="6">
        <v>133</v>
      </c>
      <c r="F9" s="7" t="str">
        <f>VLOOKUP(E9,[1]characters!$A:$C,3,FALSE)</f>
        <v>迅雷の刀剣 ハヤト</v>
      </c>
      <c r="G9" s="7" t="str">
        <f>VLOOKUP(E9,[1]characters!$A:$J,10,FALSE)</f>
        <v>PremiumW</v>
      </c>
      <c r="H9" s="7">
        <f>VLOOKUP(E9,[1]characters!$A:$I,9,FALSE)</f>
        <v>4</v>
      </c>
      <c r="I9" s="7" t="str">
        <f>VLOOKUP(E9,[1]characters!$A:$H,8,FALSE)</f>
        <v>yellow</v>
      </c>
      <c r="J9" s="7" t="str">
        <f>VLOOKUP(E9,[1]characters!$A:$K,11,FALSE)</f>
        <v>attack</v>
      </c>
      <c r="K9" s="7" t="str">
        <f>VLOOKUP(E9,[1]characters!$A:$M,13,FALSE)</f>
        <v>human</v>
      </c>
      <c r="L9" s="7" t="str">
        <f>VLOOKUP(E9,[1]characters!$A:$G,7,FALSE)</f>
        <v>男性</v>
      </c>
      <c r="M9" s="62">
        <f ca="1">IFERROR(VLOOKUP(E9,input_314100!L:R,7,FALSE),VLOOKUP(tables_314100!B9,input_314100!A:H,8,FALSE))</f>
        <v>342090</v>
      </c>
      <c r="N9" s="63">
        <f t="shared" ca="1" si="3"/>
        <v>1.222972972972973E-2</v>
      </c>
      <c r="O9" s="31">
        <f>IFERROR(VLOOKUP($E9,bug_conf_sheet!$A:$H,3,FALSE),VLOOKUP("other",bug_conf_sheet!$A:$H,3,FALSE))</f>
        <v>1</v>
      </c>
      <c r="P9" s="31">
        <f>IFERROR(VLOOKUP($E9,bug_conf_sheet!$A:$H,4,FALSE),VLOOKUP("other",bug_conf_sheet!$A:$H,4,FALSE))</f>
        <v>0</v>
      </c>
      <c r="Q9" s="31">
        <f>IFERROR(VLOOKUP($E9,bug_conf_sheet!$A:$H,5,FALSE),VLOOKUP("other",bug_conf_sheet!$A:$H,5,FALSE))</f>
        <v>0</v>
      </c>
      <c r="R9" s="31">
        <f>IFERROR(VLOOKUP($E9,bug_conf_sheet!$A:$H,6,FALSE),VLOOKUP("other",bug_conf_sheet!$A:$H,6,FALSE))</f>
        <v>0</v>
      </c>
      <c r="S9" s="31">
        <f>IFERROR(VLOOKUP($E9,bug_conf_sheet!$A:$H,7,FALSE),VLOOKUP("other",bug_conf_sheet!$A:$H,7,FALSE))</f>
        <v>0</v>
      </c>
      <c r="T9" s="31">
        <f>IFERROR(VLOOKUP($E9,bug_conf_sheet!$A:$H,8,FALSE),VLOOKUP("other",bug_conf_sheet!$A:$H,8,FALSE))</f>
        <v>1</v>
      </c>
    </row>
    <row r="10" spans="1:20" ht="21" customHeight="1">
      <c r="A10" s="2" t="str">
        <f ca="1">input_314100!A$2</f>
        <v>314100</v>
      </c>
      <c r="B10" s="7" t="str">
        <f t="shared" si="0"/>
        <v>Premium3</v>
      </c>
      <c r="C10" s="7" t="str">
        <f t="shared" si="1"/>
        <v>Premium</v>
      </c>
      <c r="D10" s="7" t="str">
        <f t="shared" si="2"/>
        <v>ry</v>
      </c>
      <c r="E10" s="6">
        <v>134</v>
      </c>
      <c r="F10" s="7" t="str">
        <f>VLOOKUP(E10,[1]characters!$A:$C,3,FALSE)</f>
        <v>妖炎の夕霧</v>
      </c>
      <c r="G10" s="7" t="str">
        <f>VLOOKUP(E10,[1]characters!$A:$J,10,FALSE)</f>
        <v>PremiumW</v>
      </c>
      <c r="H10" s="7">
        <f>VLOOKUP(E10,[1]characters!$A:$I,9,FALSE)</f>
        <v>3</v>
      </c>
      <c r="I10" s="7" t="str">
        <f>VLOOKUP(E10,[1]characters!$A:$H,8,FALSE)</f>
        <v>red</v>
      </c>
      <c r="J10" s="7" t="str">
        <f>VLOOKUP(E10,[1]characters!$A:$K,11,FALSE)</f>
        <v>balance</v>
      </c>
      <c r="K10" s="7" t="str">
        <f>VLOOKUP(E10,[1]characters!$A:$M,13,FALSE)</f>
        <v>human</v>
      </c>
      <c r="L10" s="7" t="str">
        <f>VLOOKUP(E10,[1]characters!$A:$G,7,FALSE)</f>
        <v>女性</v>
      </c>
      <c r="M10" s="62">
        <f ca="1">IFERROR(VLOOKUP(E10,input_314100!L:R,7,FALSE),VLOOKUP(tables_314100!B10,input_314100!A:H,8,FALSE))</f>
        <v>0</v>
      </c>
      <c r="N10" s="63">
        <f t="shared" ca="1" si="3"/>
        <v>0</v>
      </c>
      <c r="O10" s="31">
        <f>IFERROR(VLOOKUP($E10,bug_conf_sheet!$A:$H,3,FALSE),VLOOKUP("other",bug_conf_sheet!$A:$H,3,FALSE))</f>
        <v>1</v>
      </c>
      <c r="P10" s="31">
        <f>IFERROR(VLOOKUP($E10,bug_conf_sheet!$A:$H,4,FALSE),VLOOKUP("other",bug_conf_sheet!$A:$H,4,FALSE))</f>
        <v>0</v>
      </c>
      <c r="Q10" s="31">
        <f>IFERROR(VLOOKUP($E10,bug_conf_sheet!$A:$H,5,FALSE),VLOOKUP("other",bug_conf_sheet!$A:$H,5,FALSE))</f>
        <v>0</v>
      </c>
      <c r="R10" s="31">
        <f>IFERROR(VLOOKUP($E10,bug_conf_sheet!$A:$H,6,FALSE),VLOOKUP("other",bug_conf_sheet!$A:$H,6,FALSE))</f>
        <v>0</v>
      </c>
      <c r="S10" s="31">
        <f>IFERROR(VLOOKUP($E10,bug_conf_sheet!$A:$H,7,FALSE),VLOOKUP("other",bug_conf_sheet!$A:$H,7,FALSE))</f>
        <v>0</v>
      </c>
      <c r="T10" s="31">
        <f>IFERROR(VLOOKUP($E10,bug_conf_sheet!$A:$H,8,FALSE),VLOOKUP("other",bug_conf_sheet!$A:$H,8,FALSE))</f>
        <v>1</v>
      </c>
    </row>
    <row r="11" spans="1:20" ht="21" customHeight="1">
      <c r="A11" s="2" t="str">
        <f ca="1">input_314100!A$2</f>
        <v>314100</v>
      </c>
      <c r="B11" s="7" t="str">
        <f t="shared" si="0"/>
        <v>Premium4</v>
      </c>
      <c r="C11" s="7" t="str">
        <f t="shared" si="1"/>
        <v>Premium</v>
      </c>
      <c r="D11" s="7" t="str">
        <f t="shared" si="2"/>
        <v>ry</v>
      </c>
      <c r="E11" s="6">
        <v>135</v>
      </c>
      <c r="F11" s="7" t="str">
        <f>VLOOKUP(E11,[1]characters!$A:$C,3,FALSE)</f>
        <v>京の炎華夕霧</v>
      </c>
      <c r="G11" s="7" t="str">
        <f>VLOOKUP(E11,[1]characters!$A:$J,10,FALSE)</f>
        <v>PremiumW</v>
      </c>
      <c r="H11" s="7">
        <f>VLOOKUP(E11,[1]characters!$A:$I,9,FALSE)</f>
        <v>4</v>
      </c>
      <c r="I11" s="7" t="str">
        <f>VLOOKUP(E11,[1]characters!$A:$H,8,FALSE)</f>
        <v>red</v>
      </c>
      <c r="J11" s="7" t="str">
        <f>VLOOKUP(E11,[1]characters!$A:$K,11,FALSE)</f>
        <v>balance</v>
      </c>
      <c r="K11" s="7" t="str">
        <f>VLOOKUP(E11,[1]characters!$A:$M,13,FALSE)</f>
        <v>human</v>
      </c>
      <c r="L11" s="7" t="str">
        <f>VLOOKUP(E11,[1]characters!$A:$G,7,FALSE)</f>
        <v>女性</v>
      </c>
      <c r="M11" s="62">
        <f ca="1">IFERROR(VLOOKUP(E11,input_314100!L:R,7,FALSE),VLOOKUP(tables_314100!B11,input_314100!A:H,8,FALSE))</f>
        <v>342090</v>
      </c>
      <c r="N11" s="63">
        <f t="shared" ca="1" si="3"/>
        <v>1.222972972972973E-2</v>
      </c>
      <c r="O11" s="31">
        <f>IFERROR(VLOOKUP($E11,bug_conf_sheet!$A:$H,3,FALSE),VLOOKUP("other",bug_conf_sheet!$A:$H,3,FALSE))</f>
        <v>1</v>
      </c>
      <c r="P11" s="31">
        <f>IFERROR(VLOOKUP($E11,bug_conf_sheet!$A:$H,4,FALSE),VLOOKUP("other",bug_conf_sheet!$A:$H,4,FALSE))</f>
        <v>0</v>
      </c>
      <c r="Q11" s="31">
        <f>IFERROR(VLOOKUP($E11,bug_conf_sheet!$A:$H,5,FALSE),VLOOKUP("other",bug_conf_sheet!$A:$H,5,FALSE))</f>
        <v>0</v>
      </c>
      <c r="R11" s="31">
        <f>IFERROR(VLOOKUP($E11,bug_conf_sheet!$A:$H,6,FALSE),VLOOKUP("other",bug_conf_sheet!$A:$H,6,FALSE))</f>
        <v>0</v>
      </c>
      <c r="S11" s="31">
        <f>IFERROR(VLOOKUP($E11,bug_conf_sheet!$A:$H,7,FALSE),VLOOKUP("other",bug_conf_sheet!$A:$H,7,FALSE))</f>
        <v>0</v>
      </c>
      <c r="T11" s="31">
        <f>IFERROR(VLOOKUP($E11,bug_conf_sheet!$A:$H,8,FALSE),VLOOKUP("other",bug_conf_sheet!$A:$H,8,FALSE))</f>
        <v>1</v>
      </c>
    </row>
    <row r="12" spans="1:20" ht="21" customHeight="1">
      <c r="A12" s="2" t="str">
        <f ca="1">input_314100!A$2</f>
        <v>314100</v>
      </c>
      <c r="B12" s="7" t="str">
        <f t="shared" si="0"/>
        <v>Premium3</v>
      </c>
      <c r="C12" s="7" t="str">
        <f t="shared" si="1"/>
        <v>Premium</v>
      </c>
      <c r="D12" s="7" t="str">
        <f t="shared" si="2"/>
        <v>bg</v>
      </c>
      <c r="E12" s="8">
        <v>136</v>
      </c>
      <c r="F12" s="7" t="str">
        <f>VLOOKUP(E12,[1]characters!$A:$C,3,FALSE)</f>
        <v>お針子チハヤ</v>
      </c>
      <c r="G12" s="7" t="str">
        <f>VLOOKUP(E12,[1]characters!$A:$J,10,FALSE)</f>
        <v>PremiumW</v>
      </c>
      <c r="H12" s="7">
        <f>VLOOKUP(E12,[1]characters!$A:$I,9,FALSE)</f>
        <v>3</v>
      </c>
      <c r="I12" s="7" t="str">
        <f>VLOOKUP(E12,[1]characters!$A:$H,8,FALSE)</f>
        <v>green</v>
      </c>
      <c r="J12" s="7" t="str">
        <f>VLOOKUP(E12,[1]characters!$A:$K,11,FALSE)</f>
        <v>balance</v>
      </c>
      <c r="K12" s="7" t="str">
        <f>VLOOKUP(E12,[1]characters!$A:$M,13,FALSE)</f>
        <v>human</v>
      </c>
      <c r="L12" s="7" t="str">
        <f>VLOOKUP(E12,[1]characters!$A:$G,7,FALSE)</f>
        <v>女性</v>
      </c>
      <c r="M12" s="62">
        <f ca="1">IFERROR(VLOOKUP(E12,input_314100!L:R,7,FALSE),VLOOKUP(tables_314100!B12,input_314100!A:H,8,FALSE))</f>
        <v>0</v>
      </c>
      <c r="N12" s="63">
        <f t="shared" ca="1" si="3"/>
        <v>0</v>
      </c>
      <c r="O12" s="31">
        <f>IFERROR(VLOOKUP($E12,bug_conf_sheet!$A:$H,3,FALSE),VLOOKUP("other",bug_conf_sheet!$A:$H,3,FALSE))</f>
        <v>1</v>
      </c>
      <c r="P12" s="31">
        <f>IFERROR(VLOOKUP($E12,bug_conf_sheet!$A:$H,4,FALSE),VLOOKUP("other",bug_conf_sheet!$A:$H,4,FALSE))</f>
        <v>0</v>
      </c>
      <c r="Q12" s="31">
        <f>IFERROR(VLOOKUP($E12,bug_conf_sheet!$A:$H,5,FALSE),VLOOKUP("other",bug_conf_sheet!$A:$H,5,FALSE))</f>
        <v>0</v>
      </c>
      <c r="R12" s="31">
        <f>IFERROR(VLOOKUP($E12,bug_conf_sheet!$A:$H,6,FALSE),VLOOKUP("other",bug_conf_sheet!$A:$H,6,FALSE))</f>
        <v>0</v>
      </c>
      <c r="S12" s="31">
        <f>IFERROR(VLOOKUP($E12,bug_conf_sheet!$A:$H,7,FALSE),VLOOKUP("other",bug_conf_sheet!$A:$H,7,FALSE))</f>
        <v>0</v>
      </c>
      <c r="T12" s="31">
        <f>IFERROR(VLOOKUP($E12,bug_conf_sheet!$A:$H,8,FALSE),VLOOKUP("other",bug_conf_sheet!$A:$H,8,FALSE))</f>
        <v>1</v>
      </c>
    </row>
    <row r="13" spans="1:20" ht="21" customHeight="1">
      <c r="A13" s="2" t="str">
        <f ca="1">input_314100!A$2</f>
        <v>314100</v>
      </c>
      <c r="B13" s="7" t="str">
        <f t="shared" si="0"/>
        <v>Premium4</v>
      </c>
      <c r="C13" s="7" t="str">
        <f t="shared" si="1"/>
        <v>Premium</v>
      </c>
      <c r="D13" s="7" t="str">
        <f t="shared" si="2"/>
        <v>bg</v>
      </c>
      <c r="E13" s="8">
        <v>137</v>
      </c>
      <c r="F13" s="7" t="str">
        <f>VLOOKUP(E13,[1]characters!$A:$C,3,FALSE)</f>
        <v>清福の仕立屋 チハヤ</v>
      </c>
      <c r="G13" s="7" t="str">
        <f>VLOOKUP(E13,[1]characters!$A:$J,10,FALSE)</f>
        <v>PremiumW</v>
      </c>
      <c r="H13" s="7">
        <f>VLOOKUP(E13,[1]characters!$A:$I,9,FALSE)</f>
        <v>4</v>
      </c>
      <c r="I13" s="7" t="str">
        <f>VLOOKUP(E13,[1]characters!$A:$H,8,FALSE)</f>
        <v>green</v>
      </c>
      <c r="J13" s="7" t="str">
        <f>VLOOKUP(E13,[1]characters!$A:$K,11,FALSE)</f>
        <v>balance</v>
      </c>
      <c r="K13" s="7" t="str">
        <f>VLOOKUP(E13,[1]characters!$A:$M,13,FALSE)</f>
        <v>human</v>
      </c>
      <c r="L13" s="7" t="str">
        <f>VLOOKUP(E13,[1]characters!$A:$G,7,FALSE)</f>
        <v>女性</v>
      </c>
      <c r="M13" s="62">
        <f ca="1">IFERROR(VLOOKUP(E13,input_314100!L:R,7,FALSE),VLOOKUP(tables_314100!B13,input_314100!A:H,8,FALSE))</f>
        <v>342090</v>
      </c>
      <c r="N13" s="63">
        <f t="shared" ca="1" si="3"/>
        <v>1.222972972972973E-2</v>
      </c>
      <c r="O13" s="31">
        <f>IFERROR(VLOOKUP($E13,bug_conf_sheet!$A:$H,3,FALSE),VLOOKUP("other",bug_conf_sheet!$A:$H,3,FALSE))</f>
        <v>1</v>
      </c>
      <c r="P13" s="31">
        <f>IFERROR(VLOOKUP($E13,bug_conf_sheet!$A:$H,4,FALSE),VLOOKUP("other",bug_conf_sheet!$A:$H,4,FALSE))</f>
        <v>0</v>
      </c>
      <c r="Q13" s="31">
        <f>IFERROR(VLOOKUP($E13,bug_conf_sheet!$A:$H,5,FALSE),VLOOKUP("other",bug_conf_sheet!$A:$H,5,FALSE))</f>
        <v>0</v>
      </c>
      <c r="R13" s="31">
        <f>IFERROR(VLOOKUP($E13,bug_conf_sheet!$A:$H,6,FALSE),VLOOKUP("other",bug_conf_sheet!$A:$H,6,FALSE))</f>
        <v>0</v>
      </c>
      <c r="S13" s="31">
        <f>IFERROR(VLOOKUP($E13,bug_conf_sheet!$A:$H,7,FALSE),VLOOKUP("other",bug_conf_sheet!$A:$H,7,FALSE))</f>
        <v>0</v>
      </c>
      <c r="T13" s="31">
        <f>IFERROR(VLOOKUP($E13,bug_conf_sheet!$A:$H,8,FALSE),VLOOKUP("other",bug_conf_sheet!$A:$H,8,FALSE))</f>
        <v>1</v>
      </c>
    </row>
    <row r="14" spans="1:20" ht="21" customHeight="1">
      <c r="A14" s="2" t="str">
        <f ca="1">input_314100!A$2</f>
        <v>314100</v>
      </c>
      <c r="B14" s="7" t="str">
        <f t="shared" si="0"/>
        <v>Premium3</v>
      </c>
      <c r="C14" s="7" t="str">
        <f t="shared" si="1"/>
        <v>Premium</v>
      </c>
      <c r="D14" s="7" t="str">
        <f t="shared" si="2"/>
        <v>bg</v>
      </c>
      <c r="E14" s="6">
        <v>138</v>
      </c>
      <c r="F14" s="7" t="str">
        <f>VLOOKUP(E14,[1]characters!$A:$C,3,FALSE)</f>
        <v>蒼薙のトモエ</v>
      </c>
      <c r="G14" s="7" t="str">
        <f>VLOOKUP(E14,[1]characters!$A:$J,10,FALSE)</f>
        <v>PremiumW</v>
      </c>
      <c r="H14" s="7">
        <f>VLOOKUP(E14,[1]characters!$A:$I,9,FALSE)</f>
        <v>3</v>
      </c>
      <c r="I14" s="7" t="str">
        <f>VLOOKUP(E14,[1]characters!$A:$H,8,FALSE)</f>
        <v>blue</v>
      </c>
      <c r="J14" s="7" t="str">
        <f>VLOOKUP(E14,[1]characters!$A:$K,11,FALSE)</f>
        <v>balance</v>
      </c>
      <c r="K14" s="7" t="str">
        <f>VLOOKUP(E14,[1]characters!$A:$M,13,FALSE)</f>
        <v>human</v>
      </c>
      <c r="L14" s="7" t="str">
        <f>VLOOKUP(E14,[1]characters!$A:$G,7,FALSE)</f>
        <v>女性</v>
      </c>
      <c r="M14" s="62">
        <f ca="1">IFERROR(VLOOKUP(E14,input_314100!L:R,7,FALSE),VLOOKUP(tables_314100!B14,input_314100!A:H,8,FALSE))</f>
        <v>0</v>
      </c>
      <c r="N14" s="63">
        <f t="shared" ca="1" si="3"/>
        <v>0</v>
      </c>
      <c r="O14" s="31">
        <f>IFERROR(VLOOKUP($E14,bug_conf_sheet!$A:$H,3,FALSE),VLOOKUP("other",bug_conf_sheet!$A:$H,3,FALSE))</f>
        <v>1</v>
      </c>
      <c r="P14" s="31">
        <f>IFERROR(VLOOKUP($E14,bug_conf_sheet!$A:$H,4,FALSE),VLOOKUP("other",bug_conf_sheet!$A:$H,4,FALSE))</f>
        <v>0</v>
      </c>
      <c r="Q14" s="31">
        <f>IFERROR(VLOOKUP($E14,bug_conf_sheet!$A:$H,5,FALSE),VLOOKUP("other",bug_conf_sheet!$A:$H,5,FALSE))</f>
        <v>0</v>
      </c>
      <c r="R14" s="31">
        <f>IFERROR(VLOOKUP($E14,bug_conf_sheet!$A:$H,6,FALSE),VLOOKUP("other",bug_conf_sheet!$A:$H,6,FALSE))</f>
        <v>0</v>
      </c>
      <c r="S14" s="31">
        <f>IFERROR(VLOOKUP($E14,bug_conf_sheet!$A:$H,7,FALSE),VLOOKUP("other",bug_conf_sheet!$A:$H,7,FALSE))</f>
        <v>0</v>
      </c>
      <c r="T14" s="31">
        <f>IFERROR(VLOOKUP($E14,bug_conf_sheet!$A:$H,8,FALSE),VLOOKUP("other",bug_conf_sheet!$A:$H,8,FALSE))</f>
        <v>1</v>
      </c>
    </row>
    <row r="15" spans="1:20" ht="21" customHeight="1">
      <c r="A15" s="2" t="str">
        <f ca="1">input_314100!A$2</f>
        <v>314100</v>
      </c>
      <c r="B15" s="7" t="str">
        <f t="shared" si="0"/>
        <v>Premium4</v>
      </c>
      <c r="C15" s="7" t="str">
        <f t="shared" si="1"/>
        <v>Premium</v>
      </c>
      <c r="D15" s="7" t="str">
        <f t="shared" si="2"/>
        <v>bg</v>
      </c>
      <c r="E15" s="6">
        <v>139</v>
      </c>
      <c r="F15" s="7" t="str">
        <f>VLOOKUP(E15,[1]characters!$A:$C,3,FALSE)</f>
        <v>蒼昇刃姫 トモエ</v>
      </c>
      <c r="G15" s="7" t="str">
        <f>VLOOKUP(E15,[1]characters!$A:$J,10,FALSE)</f>
        <v>PremiumW</v>
      </c>
      <c r="H15" s="7">
        <f>VLOOKUP(E15,[1]characters!$A:$I,9,FALSE)</f>
        <v>4</v>
      </c>
      <c r="I15" s="7" t="str">
        <f>VLOOKUP(E15,[1]characters!$A:$H,8,FALSE)</f>
        <v>blue</v>
      </c>
      <c r="J15" s="7" t="str">
        <f>VLOOKUP(E15,[1]characters!$A:$K,11,FALSE)</f>
        <v>balance</v>
      </c>
      <c r="K15" s="7" t="str">
        <f>VLOOKUP(E15,[1]characters!$A:$M,13,FALSE)</f>
        <v>human</v>
      </c>
      <c r="L15" s="7" t="str">
        <f>VLOOKUP(E15,[1]characters!$A:$G,7,FALSE)</f>
        <v>女性</v>
      </c>
      <c r="M15" s="62">
        <f ca="1">IFERROR(VLOOKUP(E15,input_314100!L:R,7,FALSE),VLOOKUP(tables_314100!B15,input_314100!A:H,8,FALSE))</f>
        <v>342090</v>
      </c>
      <c r="N15" s="63">
        <f t="shared" ca="1" si="3"/>
        <v>1.222972972972973E-2</v>
      </c>
      <c r="O15" s="31">
        <f>IFERROR(VLOOKUP($E15,bug_conf_sheet!$A:$H,3,FALSE),VLOOKUP("other",bug_conf_sheet!$A:$H,3,FALSE))</f>
        <v>1</v>
      </c>
      <c r="P15" s="31">
        <f>IFERROR(VLOOKUP($E15,bug_conf_sheet!$A:$H,4,FALSE),VLOOKUP("other",bug_conf_sheet!$A:$H,4,FALSE))</f>
        <v>0</v>
      </c>
      <c r="Q15" s="31">
        <f>IFERROR(VLOOKUP($E15,bug_conf_sheet!$A:$H,5,FALSE),VLOOKUP("other",bug_conf_sheet!$A:$H,5,FALSE))</f>
        <v>0</v>
      </c>
      <c r="R15" s="31">
        <f>IFERROR(VLOOKUP($E15,bug_conf_sheet!$A:$H,6,FALSE),VLOOKUP("other",bug_conf_sheet!$A:$H,6,FALSE))</f>
        <v>0</v>
      </c>
      <c r="S15" s="31">
        <f>IFERROR(VLOOKUP($E15,bug_conf_sheet!$A:$H,7,FALSE),VLOOKUP("other",bug_conf_sheet!$A:$H,7,FALSE))</f>
        <v>0</v>
      </c>
      <c r="T15" s="31">
        <f>IFERROR(VLOOKUP($E15,bug_conf_sheet!$A:$H,8,FALSE),VLOOKUP("other",bug_conf_sheet!$A:$H,8,FALSE))</f>
        <v>1</v>
      </c>
    </row>
    <row r="16" spans="1:20" ht="21" customHeight="1">
      <c r="A16" s="2" t="str">
        <f ca="1">input_314100!A$2</f>
        <v>314100</v>
      </c>
      <c r="B16" s="7" t="str">
        <f t="shared" si="0"/>
        <v>Premium3</v>
      </c>
      <c r="C16" s="7" t="str">
        <f t="shared" si="1"/>
        <v>Premium</v>
      </c>
      <c r="D16" s="7" t="str">
        <f t="shared" si="2"/>
        <v>ry</v>
      </c>
      <c r="E16" s="10">
        <v>140</v>
      </c>
      <c r="F16" s="7" t="str">
        <f>VLOOKUP(E16,[1]characters!$A:$C,3,FALSE)</f>
        <v>秋祭のタマモ</v>
      </c>
      <c r="G16" s="7" t="str">
        <f>VLOOKUP(E16,[1]characters!$A:$J,10,FALSE)</f>
        <v>PremiumW</v>
      </c>
      <c r="H16" s="7">
        <f>VLOOKUP(E16,[1]characters!$A:$I,9,FALSE)</f>
        <v>3</v>
      </c>
      <c r="I16" s="7" t="str">
        <f>VLOOKUP(E16,[1]characters!$A:$H,8,FALSE)</f>
        <v>yellow</v>
      </c>
      <c r="J16" s="7" t="str">
        <f>VLOOKUP(E16,[1]characters!$A:$K,11,FALSE)</f>
        <v>balance</v>
      </c>
      <c r="K16" s="7" t="str">
        <f>VLOOKUP(E16,[1]characters!$A:$M,13,FALSE)</f>
        <v>animal</v>
      </c>
      <c r="L16" s="7" t="str">
        <f>VLOOKUP(E16,[1]characters!$A:$G,7,FALSE)</f>
        <v>女性</v>
      </c>
      <c r="M16" s="62">
        <f ca="1">IFERROR(VLOOKUP(E16,input_314100!L:R,7,FALSE),VLOOKUP(tables_314100!B16,input_314100!A:H,8,FALSE))</f>
        <v>0</v>
      </c>
      <c r="N16" s="63">
        <f t="shared" ca="1" si="3"/>
        <v>0</v>
      </c>
      <c r="O16" s="31">
        <f>IFERROR(VLOOKUP($E16,bug_conf_sheet!$A:$H,3,FALSE),VLOOKUP("other",bug_conf_sheet!$A:$H,3,FALSE))</f>
        <v>1</v>
      </c>
      <c r="P16" s="31">
        <f>IFERROR(VLOOKUP($E16,bug_conf_sheet!$A:$H,4,FALSE),VLOOKUP("other",bug_conf_sheet!$A:$H,4,FALSE))</f>
        <v>0</v>
      </c>
      <c r="Q16" s="31">
        <f>IFERROR(VLOOKUP($E16,bug_conf_sheet!$A:$H,5,FALSE),VLOOKUP("other",bug_conf_sheet!$A:$H,5,FALSE))</f>
        <v>0</v>
      </c>
      <c r="R16" s="31">
        <f>IFERROR(VLOOKUP($E16,bug_conf_sheet!$A:$H,6,FALSE),VLOOKUP("other",bug_conf_sheet!$A:$H,6,FALSE))</f>
        <v>0</v>
      </c>
      <c r="S16" s="31">
        <f>IFERROR(VLOOKUP($E16,bug_conf_sheet!$A:$H,7,FALSE),VLOOKUP("other",bug_conf_sheet!$A:$H,7,FALSE))</f>
        <v>0</v>
      </c>
      <c r="T16" s="31">
        <f>IFERROR(VLOOKUP($E16,bug_conf_sheet!$A:$H,8,FALSE),VLOOKUP("other",bug_conf_sheet!$A:$H,8,FALSE))</f>
        <v>1</v>
      </c>
    </row>
    <row r="17" spans="1:20" ht="21" customHeight="1">
      <c r="A17" s="2" t="str">
        <f ca="1">input_314100!A$2</f>
        <v>314100</v>
      </c>
      <c r="B17" s="7" t="str">
        <f t="shared" si="0"/>
        <v>Premium4</v>
      </c>
      <c r="C17" s="7" t="str">
        <f t="shared" si="1"/>
        <v>Premium</v>
      </c>
      <c r="D17" s="7" t="str">
        <f t="shared" si="2"/>
        <v>ry</v>
      </c>
      <c r="E17" s="11">
        <v>141</v>
      </c>
      <c r="F17" s="7" t="str">
        <f>VLOOKUP(E17,[1]characters!$A:$C,3,FALSE)</f>
        <v>妖狐演舞 タマモ</v>
      </c>
      <c r="G17" s="7" t="str">
        <f>VLOOKUP(E17,[1]characters!$A:$J,10,FALSE)</f>
        <v>PremiumW</v>
      </c>
      <c r="H17" s="7">
        <f>VLOOKUP(E17,[1]characters!$A:$I,9,FALSE)</f>
        <v>4</v>
      </c>
      <c r="I17" s="7" t="str">
        <f>VLOOKUP(E17,[1]characters!$A:$H,8,FALSE)</f>
        <v>yellow</v>
      </c>
      <c r="J17" s="7" t="str">
        <f>VLOOKUP(E17,[1]characters!$A:$K,11,FALSE)</f>
        <v>balance</v>
      </c>
      <c r="K17" s="7" t="str">
        <f>VLOOKUP(E17,[1]characters!$A:$M,13,FALSE)</f>
        <v>animal</v>
      </c>
      <c r="L17" s="7" t="str">
        <f>VLOOKUP(E17,[1]characters!$A:$G,7,FALSE)</f>
        <v>女性</v>
      </c>
      <c r="M17" s="62">
        <f ca="1">IFERROR(VLOOKUP(E17,input_314100!L:R,7,FALSE),VLOOKUP(tables_314100!B17,input_314100!A:H,8,FALSE))</f>
        <v>342090</v>
      </c>
      <c r="N17" s="63">
        <f t="shared" ca="1" si="3"/>
        <v>1.222972972972973E-2</v>
      </c>
      <c r="O17" s="31">
        <f>IFERROR(VLOOKUP($E17,bug_conf_sheet!$A:$H,3,FALSE),VLOOKUP("other",bug_conf_sheet!$A:$H,3,FALSE))</f>
        <v>1</v>
      </c>
      <c r="P17" s="31">
        <f>IFERROR(VLOOKUP($E17,bug_conf_sheet!$A:$H,4,FALSE),VLOOKUP("other",bug_conf_sheet!$A:$H,4,FALSE))</f>
        <v>0</v>
      </c>
      <c r="Q17" s="31">
        <f>IFERROR(VLOOKUP($E17,bug_conf_sheet!$A:$H,5,FALSE),VLOOKUP("other",bug_conf_sheet!$A:$H,5,FALSE))</f>
        <v>0</v>
      </c>
      <c r="R17" s="31">
        <f>IFERROR(VLOOKUP($E17,bug_conf_sheet!$A:$H,6,FALSE),VLOOKUP("other",bug_conf_sheet!$A:$H,6,FALSE))</f>
        <v>0</v>
      </c>
      <c r="S17" s="31">
        <f>IFERROR(VLOOKUP($E17,bug_conf_sheet!$A:$H,7,FALSE),VLOOKUP("other",bug_conf_sheet!$A:$H,7,FALSE))</f>
        <v>0</v>
      </c>
      <c r="T17" s="31">
        <f>IFERROR(VLOOKUP($E17,bug_conf_sheet!$A:$H,8,FALSE),VLOOKUP("other",bug_conf_sheet!$A:$H,8,FALSE))</f>
        <v>1</v>
      </c>
    </row>
    <row r="18" spans="1:20" ht="21" customHeight="1">
      <c r="A18" s="2" t="str">
        <f ca="1">input_314100!A$2</f>
        <v>314100</v>
      </c>
      <c r="B18" s="7" t="str">
        <f t="shared" si="0"/>
        <v>Premium3</v>
      </c>
      <c r="C18" s="7" t="str">
        <f t="shared" si="1"/>
        <v>Premium</v>
      </c>
      <c r="D18" s="7" t="str">
        <f t="shared" si="2"/>
        <v>ry</v>
      </c>
      <c r="E18" s="6">
        <v>142</v>
      </c>
      <c r="F18" s="7" t="str">
        <f>VLOOKUP(E18,[1]characters!$A:$C,3,FALSE)</f>
        <v>赤ずきん</v>
      </c>
      <c r="G18" s="7" t="str">
        <f>VLOOKUP(E18,[1]characters!$A:$J,10,FALSE)</f>
        <v>PremiumW</v>
      </c>
      <c r="H18" s="7">
        <f>VLOOKUP(E18,[1]characters!$A:$I,9,FALSE)</f>
        <v>3</v>
      </c>
      <c r="I18" s="7" t="str">
        <f>VLOOKUP(E18,[1]characters!$A:$H,8,FALSE)</f>
        <v>red</v>
      </c>
      <c r="J18" s="7" t="str">
        <f>VLOOKUP(E18,[1]characters!$A:$K,11,FALSE)</f>
        <v>balance</v>
      </c>
      <c r="K18" s="7" t="str">
        <f>VLOOKUP(E18,[1]characters!$A:$M,13,FALSE)</f>
        <v>human</v>
      </c>
      <c r="L18" s="7" t="str">
        <f>VLOOKUP(E18,[1]characters!$A:$G,7,FALSE)</f>
        <v>女性</v>
      </c>
      <c r="M18" s="62">
        <f ca="1">IFERROR(VLOOKUP(E18,input_314100!L:R,7,FALSE),VLOOKUP(tables_314100!B18,input_314100!A:H,8,FALSE))</f>
        <v>0</v>
      </c>
      <c r="N18" s="63">
        <f t="shared" ca="1" si="3"/>
        <v>0</v>
      </c>
      <c r="O18" s="31">
        <f>IFERROR(VLOOKUP($E18,bug_conf_sheet!$A:$H,3,FALSE),VLOOKUP("other",bug_conf_sheet!$A:$H,3,FALSE))</f>
        <v>1</v>
      </c>
      <c r="P18" s="31">
        <f>IFERROR(VLOOKUP($E18,bug_conf_sheet!$A:$H,4,FALSE),VLOOKUP("other",bug_conf_sheet!$A:$H,4,FALSE))</f>
        <v>0</v>
      </c>
      <c r="Q18" s="31">
        <f>IFERROR(VLOOKUP($E18,bug_conf_sheet!$A:$H,5,FALSE),VLOOKUP("other",bug_conf_sheet!$A:$H,5,FALSE))</f>
        <v>0</v>
      </c>
      <c r="R18" s="31">
        <f>IFERROR(VLOOKUP($E18,bug_conf_sheet!$A:$H,6,FALSE),VLOOKUP("other",bug_conf_sheet!$A:$H,6,FALSE))</f>
        <v>0</v>
      </c>
      <c r="S18" s="31">
        <f>IFERROR(VLOOKUP($E18,bug_conf_sheet!$A:$H,7,FALSE),VLOOKUP("other",bug_conf_sheet!$A:$H,7,FALSE))</f>
        <v>0</v>
      </c>
      <c r="T18" s="31">
        <f>IFERROR(VLOOKUP($E18,bug_conf_sheet!$A:$H,8,FALSE),VLOOKUP("other",bug_conf_sheet!$A:$H,8,FALSE))</f>
        <v>1</v>
      </c>
    </row>
    <row r="19" spans="1:20" s="12" customFormat="1" ht="21" customHeight="1" thickBot="1">
      <c r="A19" s="2" t="str">
        <f ca="1">input_314100!A$2</f>
        <v>314100</v>
      </c>
      <c r="B19" s="7" t="str">
        <f t="shared" si="0"/>
        <v>Premium4</v>
      </c>
      <c r="C19" s="7" t="str">
        <f t="shared" si="1"/>
        <v>Premium</v>
      </c>
      <c r="D19" s="7" t="str">
        <f t="shared" si="2"/>
        <v>ry</v>
      </c>
      <c r="E19" s="6">
        <v>143</v>
      </c>
      <c r="F19" s="7" t="str">
        <f>VLOOKUP(E19,[1]characters!$A:$C,3,FALSE)</f>
        <v>深紅の死神 赤ずきん</v>
      </c>
      <c r="G19" s="7" t="str">
        <f>VLOOKUP(E19,[1]characters!$A:$J,10,FALSE)</f>
        <v>PremiumW</v>
      </c>
      <c r="H19" s="7">
        <f>VLOOKUP(E19,[1]characters!$A:$I,9,FALSE)</f>
        <v>4</v>
      </c>
      <c r="I19" s="7" t="str">
        <f>VLOOKUP(E19,[1]characters!$A:$H,8,FALSE)</f>
        <v>red</v>
      </c>
      <c r="J19" s="7" t="str">
        <f>VLOOKUP(E19,[1]characters!$A:$K,11,FALSE)</f>
        <v>balance</v>
      </c>
      <c r="K19" s="7" t="str">
        <f>VLOOKUP(E19,[1]characters!$A:$M,13,FALSE)</f>
        <v>human</v>
      </c>
      <c r="L19" s="7" t="str">
        <f>VLOOKUP(E19,[1]characters!$A:$G,7,FALSE)</f>
        <v>女性</v>
      </c>
      <c r="M19" s="62">
        <f ca="1">IFERROR(VLOOKUP(E19,input_314100!L:R,7,FALSE),VLOOKUP(tables_314100!B19,input_314100!A:H,8,FALSE))</f>
        <v>342090</v>
      </c>
      <c r="N19" s="63">
        <f t="shared" ca="1" si="3"/>
        <v>1.222972972972973E-2</v>
      </c>
      <c r="O19" s="31">
        <f>IFERROR(VLOOKUP($E19,bug_conf_sheet!$A:$H,3,FALSE),VLOOKUP("other",bug_conf_sheet!$A:$H,3,FALSE))</f>
        <v>1</v>
      </c>
      <c r="P19" s="31">
        <f>IFERROR(VLOOKUP($E19,bug_conf_sheet!$A:$H,4,FALSE),VLOOKUP("other",bug_conf_sheet!$A:$H,4,FALSE))</f>
        <v>0</v>
      </c>
      <c r="Q19" s="31">
        <f>IFERROR(VLOOKUP($E19,bug_conf_sheet!$A:$H,5,FALSE),VLOOKUP("other",bug_conf_sheet!$A:$H,5,FALSE))</f>
        <v>0</v>
      </c>
      <c r="R19" s="31">
        <f>IFERROR(VLOOKUP($E19,bug_conf_sheet!$A:$H,6,FALSE),VLOOKUP("other",bug_conf_sheet!$A:$H,6,FALSE))</f>
        <v>0</v>
      </c>
      <c r="S19" s="31">
        <f>IFERROR(VLOOKUP($E19,bug_conf_sheet!$A:$H,7,FALSE),VLOOKUP("other",bug_conf_sheet!$A:$H,7,FALSE))</f>
        <v>0</v>
      </c>
      <c r="T19" s="31">
        <f>IFERROR(VLOOKUP($E19,bug_conf_sheet!$A:$H,8,FALSE),VLOOKUP("other",bug_conf_sheet!$A:$H,8,FALSE))</f>
        <v>1</v>
      </c>
    </row>
    <row r="20" spans="1:20" ht="21" customHeight="1">
      <c r="A20" s="2" t="str">
        <f ca="1">input_314100!A$2</f>
        <v>314100</v>
      </c>
      <c r="B20" s="7" t="str">
        <f t="shared" si="0"/>
        <v>Premium3</v>
      </c>
      <c r="C20" s="7" t="str">
        <f t="shared" si="1"/>
        <v>Premium</v>
      </c>
      <c r="D20" s="7" t="str">
        <f t="shared" si="2"/>
        <v>bg</v>
      </c>
      <c r="E20" s="10">
        <v>144</v>
      </c>
      <c r="F20" s="7" t="str">
        <f>VLOOKUP(E20,[1]characters!$A:$C,3,FALSE)</f>
        <v>かぐや</v>
      </c>
      <c r="G20" s="7" t="str">
        <f>VLOOKUP(E20,[1]characters!$A:$J,10,FALSE)</f>
        <v>PremiumW</v>
      </c>
      <c r="H20" s="7">
        <f>VLOOKUP(E20,[1]characters!$A:$I,9,FALSE)</f>
        <v>3</v>
      </c>
      <c r="I20" s="7" t="str">
        <f>VLOOKUP(E20,[1]characters!$A:$H,8,FALSE)</f>
        <v>green</v>
      </c>
      <c r="J20" s="7" t="str">
        <f>VLOOKUP(E20,[1]characters!$A:$K,11,FALSE)</f>
        <v>hp</v>
      </c>
      <c r="K20" s="7" t="str">
        <f>VLOOKUP(E20,[1]characters!$A:$M,13,FALSE)</f>
        <v>human</v>
      </c>
      <c r="L20" s="7" t="str">
        <f>VLOOKUP(E20,[1]characters!$A:$G,7,FALSE)</f>
        <v>女性</v>
      </c>
      <c r="M20" s="62">
        <f ca="1">IFERROR(VLOOKUP(E20,input_314100!L:R,7,FALSE),VLOOKUP(tables_314100!B20,input_314100!A:H,8,FALSE))</f>
        <v>0</v>
      </c>
      <c r="N20" s="63">
        <f t="shared" ca="1" si="3"/>
        <v>0</v>
      </c>
      <c r="O20" s="31">
        <f>IFERROR(VLOOKUP($E20,bug_conf_sheet!$A:$H,3,FALSE),VLOOKUP("other",bug_conf_sheet!$A:$H,3,FALSE))</f>
        <v>1</v>
      </c>
      <c r="P20" s="31">
        <f>IFERROR(VLOOKUP($E20,bug_conf_sheet!$A:$H,4,FALSE),VLOOKUP("other",bug_conf_sheet!$A:$H,4,FALSE))</f>
        <v>0</v>
      </c>
      <c r="Q20" s="31">
        <f>IFERROR(VLOOKUP($E20,bug_conf_sheet!$A:$H,5,FALSE),VLOOKUP("other",bug_conf_sheet!$A:$H,5,FALSE))</f>
        <v>0</v>
      </c>
      <c r="R20" s="31">
        <f>IFERROR(VLOOKUP($E20,bug_conf_sheet!$A:$H,6,FALSE),VLOOKUP("other",bug_conf_sheet!$A:$H,6,FALSE))</f>
        <v>0</v>
      </c>
      <c r="S20" s="31">
        <f>IFERROR(VLOOKUP($E20,bug_conf_sheet!$A:$H,7,FALSE),VLOOKUP("other",bug_conf_sheet!$A:$H,7,FALSE))</f>
        <v>0</v>
      </c>
      <c r="T20" s="31">
        <f>IFERROR(VLOOKUP($E20,bug_conf_sheet!$A:$H,8,FALSE),VLOOKUP("other",bug_conf_sheet!$A:$H,8,FALSE))</f>
        <v>1</v>
      </c>
    </row>
    <row r="21" spans="1:20" ht="21" customHeight="1">
      <c r="A21" s="2" t="str">
        <f ca="1">input_314100!A$2</f>
        <v>314100</v>
      </c>
      <c r="B21" s="7" t="str">
        <f t="shared" si="0"/>
        <v>Premium4</v>
      </c>
      <c r="C21" s="7" t="str">
        <f t="shared" si="1"/>
        <v>Premium</v>
      </c>
      <c r="D21" s="7" t="str">
        <f t="shared" si="2"/>
        <v>bg</v>
      </c>
      <c r="E21" s="6">
        <v>145</v>
      </c>
      <c r="F21" s="7" t="str">
        <f>VLOOKUP(E21,[1]characters!$A:$C,3,FALSE)</f>
        <v>魔性妖艶 かぐや</v>
      </c>
      <c r="G21" s="7" t="str">
        <f>VLOOKUP(E21,[1]characters!$A:$J,10,FALSE)</f>
        <v>PremiumW</v>
      </c>
      <c r="H21" s="7">
        <f>VLOOKUP(E21,[1]characters!$A:$I,9,FALSE)</f>
        <v>4</v>
      </c>
      <c r="I21" s="7" t="str">
        <f>VLOOKUP(E21,[1]characters!$A:$H,8,FALSE)</f>
        <v>green</v>
      </c>
      <c r="J21" s="7" t="str">
        <f>VLOOKUP(E21,[1]characters!$A:$K,11,FALSE)</f>
        <v>hp</v>
      </c>
      <c r="K21" s="7" t="str">
        <f>VLOOKUP(E21,[1]characters!$A:$M,13,FALSE)</f>
        <v>human</v>
      </c>
      <c r="L21" s="7" t="str">
        <f>VLOOKUP(E21,[1]characters!$A:$G,7,FALSE)</f>
        <v>女性</v>
      </c>
      <c r="M21" s="62">
        <f ca="1">IFERROR(VLOOKUP(E21,input_314100!L:R,7,FALSE),VLOOKUP(tables_314100!B21,input_314100!A:H,8,FALSE))</f>
        <v>342090</v>
      </c>
      <c r="N21" s="63">
        <f t="shared" ca="1" si="3"/>
        <v>1.222972972972973E-2</v>
      </c>
      <c r="O21" s="31">
        <f>IFERROR(VLOOKUP($E21,bug_conf_sheet!$A:$H,3,FALSE),VLOOKUP("other",bug_conf_sheet!$A:$H,3,FALSE))</f>
        <v>1</v>
      </c>
      <c r="P21" s="31">
        <f>IFERROR(VLOOKUP($E21,bug_conf_sheet!$A:$H,4,FALSE),VLOOKUP("other",bug_conf_sheet!$A:$H,4,FALSE))</f>
        <v>0</v>
      </c>
      <c r="Q21" s="31">
        <f>IFERROR(VLOOKUP($E21,bug_conf_sheet!$A:$H,5,FALSE),VLOOKUP("other",bug_conf_sheet!$A:$H,5,FALSE))</f>
        <v>0</v>
      </c>
      <c r="R21" s="31">
        <f>IFERROR(VLOOKUP($E21,bug_conf_sheet!$A:$H,6,FALSE),VLOOKUP("other",bug_conf_sheet!$A:$H,6,FALSE))</f>
        <v>0</v>
      </c>
      <c r="S21" s="31">
        <f>IFERROR(VLOOKUP($E21,bug_conf_sheet!$A:$H,7,FALSE),VLOOKUP("other",bug_conf_sheet!$A:$H,7,FALSE))</f>
        <v>0</v>
      </c>
      <c r="T21" s="31">
        <f>IFERROR(VLOOKUP($E21,bug_conf_sheet!$A:$H,8,FALSE),VLOOKUP("other",bug_conf_sheet!$A:$H,8,FALSE))</f>
        <v>1</v>
      </c>
    </row>
    <row r="22" spans="1:20" ht="21" customHeight="1">
      <c r="A22" s="2" t="str">
        <f ca="1">input_314100!A$2</f>
        <v>314100</v>
      </c>
      <c r="B22" s="7" t="str">
        <f t="shared" si="0"/>
        <v>Premium3</v>
      </c>
      <c r="C22" s="7" t="str">
        <f t="shared" si="1"/>
        <v>Premium</v>
      </c>
      <c r="D22" s="7" t="str">
        <f t="shared" si="2"/>
        <v>bg</v>
      </c>
      <c r="E22" s="6">
        <v>146</v>
      </c>
      <c r="F22" s="7" t="str">
        <f>VLOOKUP(E22,[1]characters!$A:$C,3,FALSE)</f>
        <v>マーメイド</v>
      </c>
      <c r="G22" s="7" t="str">
        <f>VLOOKUP(E22,[1]characters!$A:$J,10,FALSE)</f>
        <v>PremiumW</v>
      </c>
      <c r="H22" s="7">
        <f>VLOOKUP(E22,[1]characters!$A:$I,9,FALSE)</f>
        <v>3</v>
      </c>
      <c r="I22" s="7" t="str">
        <f>VLOOKUP(E22,[1]characters!$A:$H,8,FALSE)</f>
        <v>blue</v>
      </c>
      <c r="J22" s="7" t="str">
        <f>VLOOKUP(E22,[1]characters!$A:$K,11,FALSE)</f>
        <v>hp</v>
      </c>
      <c r="K22" s="7" t="str">
        <f>VLOOKUP(E22,[1]characters!$A:$M,13,FALSE)</f>
        <v>human</v>
      </c>
      <c r="L22" s="7" t="str">
        <f>VLOOKUP(E22,[1]characters!$A:$G,7,FALSE)</f>
        <v>女性</v>
      </c>
      <c r="M22" s="62">
        <f ca="1">IFERROR(VLOOKUP(E22,input_314100!L:R,7,FALSE),VLOOKUP(tables_314100!B22,input_314100!A:H,8,FALSE))</f>
        <v>0</v>
      </c>
      <c r="N22" s="63">
        <f t="shared" ca="1" si="3"/>
        <v>0</v>
      </c>
      <c r="O22" s="31">
        <f>IFERROR(VLOOKUP($E22,bug_conf_sheet!$A:$H,3,FALSE),VLOOKUP("other",bug_conf_sheet!$A:$H,3,FALSE))</f>
        <v>1</v>
      </c>
      <c r="P22" s="31">
        <f>IFERROR(VLOOKUP($E22,bug_conf_sheet!$A:$H,4,FALSE),VLOOKUP("other",bug_conf_sheet!$A:$H,4,FALSE))</f>
        <v>0</v>
      </c>
      <c r="Q22" s="31">
        <f>IFERROR(VLOOKUP($E22,bug_conf_sheet!$A:$H,5,FALSE),VLOOKUP("other",bug_conf_sheet!$A:$H,5,FALSE))</f>
        <v>0</v>
      </c>
      <c r="R22" s="31">
        <f>IFERROR(VLOOKUP($E22,bug_conf_sheet!$A:$H,6,FALSE),VLOOKUP("other",bug_conf_sheet!$A:$H,6,FALSE))</f>
        <v>0</v>
      </c>
      <c r="S22" s="31">
        <f>IFERROR(VLOOKUP($E22,bug_conf_sheet!$A:$H,7,FALSE),VLOOKUP("other",bug_conf_sheet!$A:$H,7,FALSE))</f>
        <v>0</v>
      </c>
      <c r="T22" s="31">
        <f>IFERROR(VLOOKUP($E22,bug_conf_sheet!$A:$H,8,FALSE),VLOOKUP("other",bug_conf_sheet!$A:$H,8,FALSE))</f>
        <v>1</v>
      </c>
    </row>
    <row r="23" spans="1:20" ht="21" customHeight="1">
      <c r="A23" s="2" t="str">
        <f ca="1">input_314100!A$2</f>
        <v>314100</v>
      </c>
      <c r="B23" s="7" t="str">
        <f t="shared" si="0"/>
        <v>Premium4</v>
      </c>
      <c r="C23" s="7" t="str">
        <f t="shared" si="1"/>
        <v>Premium</v>
      </c>
      <c r="D23" s="7" t="str">
        <f t="shared" si="2"/>
        <v>bg</v>
      </c>
      <c r="E23" s="6">
        <v>147</v>
      </c>
      <c r="F23" s="7" t="str">
        <f>VLOOKUP(E23,[1]characters!$A:$C,3,FALSE)</f>
        <v>蒼き閃光 元マーメイド</v>
      </c>
      <c r="G23" s="7" t="str">
        <f>VLOOKUP(E23,[1]characters!$A:$J,10,FALSE)</f>
        <v>PremiumW</v>
      </c>
      <c r="H23" s="7">
        <f>VLOOKUP(E23,[1]characters!$A:$I,9,FALSE)</f>
        <v>4</v>
      </c>
      <c r="I23" s="7" t="str">
        <f>VLOOKUP(E23,[1]characters!$A:$H,8,FALSE)</f>
        <v>blue</v>
      </c>
      <c r="J23" s="7" t="str">
        <f>VLOOKUP(E23,[1]characters!$A:$K,11,FALSE)</f>
        <v>hp</v>
      </c>
      <c r="K23" s="7" t="str">
        <f>VLOOKUP(E23,[1]characters!$A:$M,13,FALSE)</f>
        <v>human</v>
      </c>
      <c r="L23" s="7" t="str">
        <f>VLOOKUP(E23,[1]characters!$A:$G,7,FALSE)</f>
        <v>女性</v>
      </c>
      <c r="M23" s="62">
        <f ca="1">IFERROR(VLOOKUP(E23,input_314100!L:R,7,FALSE),VLOOKUP(tables_314100!B23,input_314100!A:H,8,FALSE))</f>
        <v>342090</v>
      </c>
      <c r="N23" s="63">
        <f t="shared" ca="1" si="3"/>
        <v>1.222972972972973E-2</v>
      </c>
      <c r="O23" s="31">
        <f>IFERROR(VLOOKUP($E23,bug_conf_sheet!$A:$H,3,FALSE),VLOOKUP("other",bug_conf_sheet!$A:$H,3,FALSE))</f>
        <v>1</v>
      </c>
      <c r="P23" s="31">
        <f>IFERROR(VLOOKUP($E23,bug_conf_sheet!$A:$H,4,FALSE),VLOOKUP("other",bug_conf_sheet!$A:$H,4,FALSE))</f>
        <v>0</v>
      </c>
      <c r="Q23" s="31">
        <f>IFERROR(VLOOKUP($E23,bug_conf_sheet!$A:$H,5,FALSE),VLOOKUP("other",bug_conf_sheet!$A:$H,5,FALSE))</f>
        <v>0</v>
      </c>
      <c r="R23" s="31">
        <f>IFERROR(VLOOKUP($E23,bug_conf_sheet!$A:$H,6,FALSE),VLOOKUP("other",bug_conf_sheet!$A:$H,6,FALSE))</f>
        <v>0</v>
      </c>
      <c r="S23" s="31">
        <f>IFERROR(VLOOKUP($E23,bug_conf_sheet!$A:$H,7,FALSE),VLOOKUP("other",bug_conf_sheet!$A:$H,7,FALSE))</f>
        <v>0</v>
      </c>
      <c r="T23" s="31">
        <f>IFERROR(VLOOKUP($E23,bug_conf_sheet!$A:$H,8,FALSE),VLOOKUP("other",bug_conf_sheet!$A:$H,8,FALSE))</f>
        <v>1</v>
      </c>
    </row>
    <row r="24" spans="1:20" ht="21" customHeight="1">
      <c r="A24" s="2" t="str">
        <f ca="1">input_314100!A$2</f>
        <v>314100</v>
      </c>
      <c r="B24" s="7" t="str">
        <f t="shared" si="0"/>
        <v>Premium3</v>
      </c>
      <c r="C24" s="7" t="str">
        <f t="shared" si="1"/>
        <v>Premium</v>
      </c>
      <c r="D24" s="7" t="str">
        <f t="shared" si="2"/>
        <v>ry</v>
      </c>
      <c r="E24" s="6">
        <v>148</v>
      </c>
      <c r="F24" s="7" t="str">
        <f>VLOOKUP(E24,[1]characters!$A:$C,3,FALSE)</f>
        <v>シンデレラ</v>
      </c>
      <c r="G24" s="7" t="str">
        <f>VLOOKUP(E24,[1]characters!$A:$J,10,FALSE)</f>
        <v>PremiumW</v>
      </c>
      <c r="H24" s="7">
        <f>VLOOKUP(E24,[1]characters!$A:$I,9,FALSE)</f>
        <v>3</v>
      </c>
      <c r="I24" s="7" t="str">
        <f>VLOOKUP(E24,[1]characters!$A:$H,8,FALSE)</f>
        <v>yellow</v>
      </c>
      <c r="J24" s="7" t="str">
        <f>VLOOKUP(E24,[1]characters!$A:$K,11,FALSE)</f>
        <v>balance</v>
      </c>
      <c r="K24" s="7" t="str">
        <f>VLOOKUP(E24,[1]characters!$A:$M,13,FALSE)</f>
        <v>human</v>
      </c>
      <c r="L24" s="7" t="str">
        <f>VLOOKUP(E24,[1]characters!$A:$G,7,FALSE)</f>
        <v>女性</v>
      </c>
      <c r="M24" s="62">
        <f ca="1">IFERROR(VLOOKUP(E24,input_314100!L:R,7,FALSE),VLOOKUP(tables_314100!B24,input_314100!A:H,8,FALSE))</f>
        <v>0</v>
      </c>
      <c r="N24" s="63">
        <f t="shared" ca="1" si="3"/>
        <v>0</v>
      </c>
      <c r="O24" s="31">
        <f>IFERROR(VLOOKUP($E24,bug_conf_sheet!$A:$H,3,FALSE),VLOOKUP("other",bug_conf_sheet!$A:$H,3,FALSE))</f>
        <v>1</v>
      </c>
      <c r="P24" s="31">
        <f>IFERROR(VLOOKUP($E24,bug_conf_sheet!$A:$H,4,FALSE),VLOOKUP("other",bug_conf_sheet!$A:$H,4,FALSE))</f>
        <v>0</v>
      </c>
      <c r="Q24" s="31">
        <f>IFERROR(VLOOKUP($E24,bug_conf_sheet!$A:$H,5,FALSE),VLOOKUP("other",bug_conf_sheet!$A:$H,5,FALSE))</f>
        <v>0</v>
      </c>
      <c r="R24" s="31">
        <f>IFERROR(VLOOKUP($E24,bug_conf_sheet!$A:$H,6,FALSE),VLOOKUP("other",bug_conf_sheet!$A:$H,6,FALSE))</f>
        <v>0</v>
      </c>
      <c r="S24" s="31">
        <f>IFERROR(VLOOKUP($E24,bug_conf_sheet!$A:$H,7,FALSE),VLOOKUP("other",bug_conf_sheet!$A:$H,7,FALSE))</f>
        <v>0</v>
      </c>
      <c r="T24" s="31">
        <f>IFERROR(VLOOKUP($E24,bug_conf_sheet!$A:$H,8,FALSE),VLOOKUP("other",bug_conf_sheet!$A:$H,8,FALSE))</f>
        <v>1</v>
      </c>
    </row>
    <row r="25" spans="1:20" ht="21" customHeight="1">
      <c r="A25" s="2" t="str">
        <f ca="1">input_314100!A$2</f>
        <v>314100</v>
      </c>
      <c r="B25" s="7" t="str">
        <f t="shared" si="0"/>
        <v>Premium4</v>
      </c>
      <c r="C25" s="7" t="str">
        <f t="shared" si="1"/>
        <v>Premium</v>
      </c>
      <c r="D25" s="7" t="str">
        <f t="shared" si="2"/>
        <v>ry</v>
      </c>
      <c r="E25" s="6">
        <v>149</v>
      </c>
      <c r="F25" s="7" t="str">
        <f>VLOOKUP(E25,[1]characters!$A:$C,3,FALSE)</f>
        <v>雷撃蹴技を極めし者 シンデレラ</v>
      </c>
      <c r="G25" s="7" t="str">
        <f>VLOOKUP(E25,[1]characters!$A:$J,10,FALSE)</f>
        <v>PremiumW</v>
      </c>
      <c r="H25" s="7">
        <f>VLOOKUP(E25,[1]characters!$A:$I,9,FALSE)</f>
        <v>4</v>
      </c>
      <c r="I25" s="7" t="str">
        <f>VLOOKUP(E25,[1]characters!$A:$H,8,FALSE)</f>
        <v>yellow</v>
      </c>
      <c r="J25" s="7" t="str">
        <f>VLOOKUP(E25,[1]characters!$A:$K,11,FALSE)</f>
        <v>balance</v>
      </c>
      <c r="K25" s="7" t="str">
        <f>VLOOKUP(E25,[1]characters!$A:$M,13,FALSE)</f>
        <v>human</v>
      </c>
      <c r="L25" s="7" t="str">
        <f>VLOOKUP(E25,[1]characters!$A:$G,7,FALSE)</f>
        <v>女性</v>
      </c>
      <c r="M25" s="62">
        <f ca="1">IFERROR(VLOOKUP(E25,input_314100!L:R,7,FALSE),VLOOKUP(tables_314100!B25,input_314100!A:H,8,FALSE))</f>
        <v>342090</v>
      </c>
      <c r="N25" s="63">
        <f t="shared" ca="1" si="3"/>
        <v>1.222972972972973E-2</v>
      </c>
      <c r="O25" s="31">
        <f>IFERROR(VLOOKUP($E25,bug_conf_sheet!$A:$H,3,FALSE),VLOOKUP("other",bug_conf_sheet!$A:$H,3,FALSE))</f>
        <v>1</v>
      </c>
      <c r="P25" s="31">
        <f>IFERROR(VLOOKUP($E25,bug_conf_sheet!$A:$H,4,FALSE),VLOOKUP("other",bug_conf_sheet!$A:$H,4,FALSE))</f>
        <v>0</v>
      </c>
      <c r="Q25" s="31">
        <f>IFERROR(VLOOKUP($E25,bug_conf_sheet!$A:$H,5,FALSE),VLOOKUP("other",bug_conf_sheet!$A:$H,5,FALSE))</f>
        <v>0</v>
      </c>
      <c r="R25" s="31">
        <f>IFERROR(VLOOKUP($E25,bug_conf_sheet!$A:$H,6,FALSE),VLOOKUP("other",bug_conf_sheet!$A:$H,6,FALSE))</f>
        <v>0</v>
      </c>
      <c r="S25" s="31">
        <f>IFERROR(VLOOKUP($E25,bug_conf_sheet!$A:$H,7,FALSE),VLOOKUP("other",bug_conf_sheet!$A:$H,7,FALSE))</f>
        <v>0</v>
      </c>
      <c r="T25" s="31">
        <f>IFERROR(VLOOKUP($E25,bug_conf_sheet!$A:$H,8,FALSE),VLOOKUP("other",bug_conf_sheet!$A:$H,8,FALSE))</f>
        <v>1</v>
      </c>
    </row>
    <row r="26" spans="1:20" ht="21" customHeight="1">
      <c r="A26" s="2" t="str">
        <f ca="1">input_314100!A$2</f>
        <v>314100</v>
      </c>
      <c r="B26" s="7" t="str">
        <f t="shared" si="0"/>
        <v>Premium3</v>
      </c>
      <c r="C26" s="7" t="str">
        <f t="shared" si="1"/>
        <v>Premium</v>
      </c>
      <c r="D26" s="7" t="str">
        <f t="shared" si="2"/>
        <v>ry</v>
      </c>
      <c r="E26" s="6">
        <v>150</v>
      </c>
      <c r="F26" s="7" t="str">
        <f>VLOOKUP(E26,[1]characters!$A:$C,3,FALSE)</f>
        <v>ポイズンマスターサキ</v>
      </c>
      <c r="G26" s="7" t="str">
        <f>VLOOKUP(E26,[1]characters!$A:$J,10,FALSE)</f>
        <v>PremiumW</v>
      </c>
      <c r="H26" s="7">
        <f>VLOOKUP(E26,[1]characters!$A:$I,9,FALSE)</f>
        <v>3</v>
      </c>
      <c r="I26" s="7" t="str">
        <f>VLOOKUP(E26,[1]characters!$A:$H,8,FALSE)</f>
        <v>red</v>
      </c>
      <c r="J26" s="7" t="str">
        <f>VLOOKUP(E26,[1]characters!$A:$K,11,FALSE)</f>
        <v>technical</v>
      </c>
      <c r="K26" s="7" t="str">
        <f>VLOOKUP(E26,[1]characters!$A:$M,13,FALSE)</f>
        <v>human</v>
      </c>
      <c r="L26" s="7" t="str">
        <f>VLOOKUP(E26,[1]characters!$A:$G,7,FALSE)</f>
        <v>女性</v>
      </c>
      <c r="M26" s="62">
        <f ca="1">IFERROR(VLOOKUP(E26,input_314100!L:R,7,FALSE),VLOOKUP(tables_314100!B26,input_314100!A:H,8,FALSE))</f>
        <v>0</v>
      </c>
      <c r="N26" s="63">
        <f t="shared" ca="1" si="3"/>
        <v>0</v>
      </c>
      <c r="O26" s="31">
        <f>IFERROR(VLOOKUP($E26,bug_conf_sheet!$A:$H,3,FALSE),VLOOKUP("other",bug_conf_sheet!$A:$H,3,FALSE))</f>
        <v>1</v>
      </c>
      <c r="P26" s="31">
        <f>IFERROR(VLOOKUP($E26,bug_conf_sheet!$A:$H,4,FALSE),VLOOKUP("other",bug_conf_sheet!$A:$H,4,FALSE))</f>
        <v>0</v>
      </c>
      <c r="Q26" s="31">
        <f>IFERROR(VLOOKUP($E26,bug_conf_sheet!$A:$H,5,FALSE),VLOOKUP("other",bug_conf_sheet!$A:$H,5,FALSE))</f>
        <v>0</v>
      </c>
      <c r="R26" s="31">
        <f>IFERROR(VLOOKUP($E26,bug_conf_sheet!$A:$H,6,FALSE),VLOOKUP("other",bug_conf_sheet!$A:$H,6,FALSE))</f>
        <v>0</v>
      </c>
      <c r="S26" s="31">
        <f>IFERROR(VLOOKUP($E26,bug_conf_sheet!$A:$H,7,FALSE),VLOOKUP("other",bug_conf_sheet!$A:$H,7,FALSE))</f>
        <v>0</v>
      </c>
      <c r="T26" s="31">
        <f>IFERROR(VLOOKUP($E26,bug_conf_sheet!$A:$H,8,FALSE),VLOOKUP("other",bug_conf_sheet!$A:$H,8,FALSE))</f>
        <v>1</v>
      </c>
    </row>
    <row r="27" spans="1:20" ht="21" customHeight="1">
      <c r="A27" s="2" t="str">
        <f ca="1">input_314100!A$2</f>
        <v>314100</v>
      </c>
      <c r="B27" s="7" t="str">
        <f t="shared" si="0"/>
        <v>Premium4</v>
      </c>
      <c r="C27" s="7" t="str">
        <f t="shared" si="1"/>
        <v>Premium</v>
      </c>
      <c r="D27" s="7" t="str">
        <f t="shared" si="2"/>
        <v>ry</v>
      </c>
      <c r="E27" s="6">
        <v>151</v>
      </c>
      <c r="F27" s="7" t="str">
        <f>VLOOKUP(E27,[1]characters!$A:$C,3,FALSE)</f>
        <v>毒煙の処刑人サキ</v>
      </c>
      <c r="G27" s="7" t="str">
        <f>VLOOKUP(E27,[1]characters!$A:$J,10,FALSE)</f>
        <v>PremiumW</v>
      </c>
      <c r="H27" s="7">
        <f>VLOOKUP(E27,[1]characters!$A:$I,9,FALSE)</f>
        <v>4</v>
      </c>
      <c r="I27" s="7" t="str">
        <f>VLOOKUP(E27,[1]characters!$A:$H,8,FALSE)</f>
        <v>red</v>
      </c>
      <c r="J27" s="7" t="str">
        <f>VLOOKUP(E27,[1]characters!$A:$K,11,FALSE)</f>
        <v>technical</v>
      </c>
      <c r="K27" s="7" t="str">
        <f>VLOOKUP(E27,[1]characters!$A:$M,13,FALSE)</f>
        <v>human</v>
      </c>
      <c r="L27" s="7" t="str">
        <f>VLOOKUP(E27,[1]characters!$A:$G,7,FALSE)</f>
        <v>女性</v>
      </c>
      <c r="M27" s="62">
        <f ca="1">IFERROR(VLOOKUP(E27,input_314100!L:R,7,FALSE),VLOOKUP(tables_314100!B27,input_314100!A:H,8,FALSE))</f>
        <v>342090</v>
      </c>
      <c r="N27" s="63">
        <f t="shared" ca="1" si="3"/>
        <v>1.222972972972973E-2</v>
      </c>
      <c r="O27" s="31">
        <f>IFERROR(VLOOKUP($E27,bug_conf_sheet!$A:$H,3,FALSE),VLOOKUP("other",bug_conf_sheet!$A:$H,3,FALSE))</f>
        <v>1</v>
      </c>
      <c r="P27" s="31">
        <f>IFERROR(VLOOKUP($E27,bug_conf_sheet!$A:$H,4,FALSE),VLOOKUP("other",bug_conf_sheet!$A:$H,4,FALSE))</f>
        <v>0</v>
      </c>
      <c r="Q27" s="31">
        <f>IFERROR(VLOOKUP($E27,bug_conf_sheet!$A:$H,5,FALSE),VLOOKUP("other",bug_conf_sheet!$A:$H,5,FALSE))</f>
        <v>0</v>
      </c>
      <c r="R27" s="31">
        <f>IFERROR(VLOOKUP($E27,bug_conf_sheet!$A:$H,6,FALSE),VLOOKUP("other",bug_conf_sheet!$A:$H,6,FALSE))</f>
        <v>0</v>
      </c>
      <c r="S27" s="31">
        <f>IFERROR(VLOOKUP($E27,bug_conf_sheet!$A:$H,7,FALSE),VLOOKUP("other",bug_conf_sheet!$A:$H,7,FALSE))</f>
        <v>0</v>
      </c>
      <c r="T27" s="31">
        <f>IFERROR(VLOOKUP($E27,bug_conf_sheet!$A:$H,8,FALSE),VLOOKUP("other",bug_conf_sheet!$A:$H,8,FALSE))</f>
        <v>1</v>
      </c>
    </row>
    <row r="28" spans="1:20" ht="21" customHeight="1">
      <c r="A28" s="2" t="str">
        <f ca="1">input_314100!A$2</f>
        <v>314100</v>
      </c>
      <c r="B28" s="7" t="str">
        <f t="shared" si="0"/>
        <v>Premium3</v>
      </c>
      <c r="C28" s="7" t="str">
        <f t="shared" si="1"/>
        <v>Premium</v>
      </c>
      <c r="D28" s="7" t="str">
        <f t="shared" si="2"/>
        <v>bg</v>
      </c>
      <c r="E28" s="6">
        <v>152</v>
      </c>
      <c r="F28" s="7" t="str">
        <f>VLOOKUP(E28,[1]characters!$A:$C,3,FALSE)</f>
        <v>功夫少女ランラン</v>
      </c>
      <c r="G28" s="7" t="str">
        <f>VLOOKUP(E28,[1]characters!$A:$J,10,FALSE)</f>
        <v>PremiumW</v>
      </c>
      <c r="H28" s="7">
        <f>VLOOKUP(E28,[1]characters!$A:$I,9,FALSE)</f>
        <v>3</v>
      </c>
      <c r="I28" s="7" t="str">
        <f>VLOOKUP(E28,[1]characters!$A:$H,8,FALSE)</f>
        <v>green</v>
      </c>
      <c r="J28" s="7" t="str">
        <f>VLOOKUP(E28,[1]characters!$A:$K,11,FALSE)</f>
        <v>heal</v>
      </c>
      <c r="K28" s="7" t="str">
        <f>VLOOKUP(E28,[1]characters!$A:$M,13,FALSE)</f>
        <v>human</v>
      </c>
      <c r="L28" s="7" t="str">
        <f>VLOOKUP(E28,[1]characters!$A:$G,7,FALSE)</f>
        <v>女性</v>
      </c>
      <c r="M28" s="62">
        <f ca="1">IFERROR(VLOOKUP(E28,input_314100!L:R,7,FALSE),VLOOKUP(tables_314100!B28,input_314100!A:H,8,FALSE))</f>
        <v>0</v>
      </c>
      <c r="N28" s="63">
        <f t="shared" ca="1" si="3"/>
        <v>0</v>
      </c>
      <c r="O28" s="31">
        <f>IFERROR(VLOOKUP($E28,bug_conf_sheet!$A:$H,3,FALSE),VLOOKUP("other",bug_conf_sheet!$A:$H,3,FALSE))</f>
        <v>1</v>
      </c>
      <c r="P28" s="31">
        <f>IFERROR(VLOOKUP($E28,bug_conf_sheet!$A:$H,4,FALSE),VLOOKUP("other",bug_conf_sheet!$A:$H,4,FALSE))</f>
        <v>0</v>
      </c>
      <c r="Q28" s="31">
        <f>IFERROR(VLOOKUP($E28,bug_conf_sheet!$A:$H,5,FALSE),VLOOKUP("other",bug_conf_sheet!$A:$H,5,FALSE))</f>
        <v>0</v>
      </c>
      <c r="R28" s="31">
        <f>IFERROR(VLOOKUP($E28,bug_conf_sheet!$A:$H,6,FALSE),VLOOKUP("other",bug_conf_sheet!$A:$H,6,FALSE))</f>
        <v>0</v>
      </c>
      <c r="S28" s="31">
        <f>IFERROR(VLOOKUP($E28,bug_conf_sheet!$A:$H,7,FALSE),VLOOKUP("other",bug_conf_sheet!$A:$H,7,FALSE))</f>
        <v>0</v>
      </c>
      <c r="T28" s="31">
        <f>IFERROR(VLOOKUP($E28,bug_conf_sheet!$A:$H,8,FALSE),VLOOKUP("other",bug_conf_sheet!$A:$H,8,FALSE))</f>
        <v>1</v>
      </c>
    </row>
    <row r="29" spans="1:20" ht="21" customHeight="1">
      <c r="A29" s="2" t="str">
        <f ca="1">input_314100!A$2</f>
        <v>314100</v>
      </c>
      <c r="B29" s="7" t="str">
        <f t="shared" si="0"/>
        <v>Premium4</v>
      </c>
      <c r="C29" s="7" t="str">
        <f t="shared" si="1"/>
        <v>Premium</v>
      </c>
      <c r="D29" s="7" t="str">
        <f t="shared" si="2"/>
        <v>bg</v>
      </c>
      <c r="E29" s="6">
        <v>153</v>
      </c>
      <c r="F29" s="7" t="str">
        <f>VLOOKUP(E29,[1]characters!$A:$C,3,FALSE)</f>
        <v>拳聖ランラン</v>
      </c>
      <c r="G29" s="7" t="str">
        <f>VLOOKUP(E29,[1]characters!$A:$J,10,FALSE)</f>
        <v>PremiumW</v>
      </c>
      <c r="H29" s="7">
        <f>VLOOKUP(E29,[1]characters!$A:$I,9,FALSE)</f>
        <v>4</v>
      </c>
      <c r="I29" s="7" t="str">
        <f>VLOOKUP(E29,[1]characters!$A:$H,8,FALSE)</f>
        <v>green</v>
      </c>
      <c r="J29" s="7" t="str">
        <f>VLOOKUP(E29,[1]characters!$A:$K,11,FALSE)</f>
        <v>heal</v>
      </c>
      <c r="K29" s="7" t="str">
        <f>VLOOKUP(E29,[1]characters!$A:$M,13,FALSE)</f>
        <v>human</v>
      </c>
      <c r="L29" s="7" t="str">
        <f>VLOOKUP(E29,[1]characters!$A:$G,7,FALSE)</f>
        <v>女性</v>
      </c>
      <c r="M29" s="62">
        <f ca="1">IFERROR(VLOOKUP(E29,input_314100!L:R,7,FALSE),VLOOKUP(tables_314100!B29,input_314100!A:H,8,FALSE))</f>
        <v>342090</v>
      </c>
      <c r="N29" s="63">
        <f t="shared" ca="1" si="3"/>
        <v>1.222972972972973E-2</v>
      </c>
      <c r="O29" s="31">
        <f>IFERROR(VLOOKUP($E29,bug_conf_sheet!$A:$H,3,FALSE),VLOOKUP("other",bug_conf_sheet!$A:$H,3,FALSE))</f>
        <v>1</v>
      </c>
      <c r="P29" s="31">
        <f>IFERROR(VLOOKUP($E29,bug_conf_sheet!$A:$H,4,FALSE),VLOOKUP("other",bug_conf_sheet!$A:$H,4,FALSE))</f>
        <v>0</v>
      </c>
      <c r="Q29" s="31">
        <f>IFERROR(VLOOKUP($E29,bug_conf_sheet!$A:$H,5,FALSE),VLOOKUP("other",bug_conf_sheet!$A:$H,5,FALSE))</f>
        <v>0</v>
      </c>
      <c r="R29" s="31">
        <f>IFERROR(VLOOKUP($E29,bug_conf_sheet!$A:$H,6,FALSE),VLOOKUP("other",bug_conf_sheet!$A:$H,6,FALSE))</f>
        <v>0</v>
      </c>
      <c r="S29" s="31">
        <f>IFERROR(VLOOKUP($E29,bug_conf_sheet!$A:$H,7,FALSE),VLOOKUP("other",bug_conf_sheet!$A:$H,7,FALSE))</f>
        <v>0</v>
      </c>
      <c r="T29" s="31">
        <f>IFERROR(VLOOKUP($E29,bug_conf_sheet!$A:$H,8,FALSE),VLOOKUP("other",bug_conf_sheet!$A:$H,8,FALSE))</f>
        <v>1</v>
      </c>
    </row>
    <row r="30" spans="1:20" ht="21" customHeight="1">
      <c r="A30" s="2" t="str">
        <f ca="1">input_314100!A$2</f>
        <v>314100</v>
      </c>
      <c r="B30" s="7" t="str">
        <f t="shared" si="0"/>
        <v>Premium3</v>
      </c>
      <c r="C30" s="7" t="str">
        <f t="shared" si="1"/>
        <v>Premium</v>
      </c>
      <c r="D30" s="7" t="str">
        <f t="shared" si="2"/>
        <v>bg</v>
      </c>
      <c r="E30" s="6">
        <v>154</v>
      </c>
      <c r="F30" s="7" t="str">
        <f>VLOOKUP(E30,[1]characters!$A:$C,3,FALSE)</f>
        <v>始末屋 ハンナ</v>
      </c>
      <c r="G30" s="7" t="str">
        <f>VLOOKUP(E30,[1]characters!$A:$J,10,FALSE)</f>
        <v>PremiumW</v>
      </c>
      <c r="H30" s="7">
        <f>VLOOKUP(E30,[1]characters!$A:$I,9,FALSE)</f>
        <v>3</v>
      </c>
      <c r="I30" s="7" t="str">
        <f>VLOOKUP(E30,[1]characters!$A:$H,8,FALSE)</f>
        <v>blue</v>
      </c>
      <c r="J30" s="7" t="str">
        <f>VLOOKUP(E30,[1]characters!$A:$K,11,FALSE)</f>
        <v>heal</v>
      </c>
      <c r="K30" s="7" t="str">
        <f>VLOOKUP(E30,[1]characters!$A:$M,13,FALSE)</f>
        <v>human</v>
      </c>
      <c r="L30" s="7" t="str">
        <f>VLOOKUP(E30,[1]characters!$A:$G,7,FALSE)</f>
        <v>女性</v>
      </c>
      <c r="M30" s="62">
        <f ca="1">IFERROR(VLOOKUP(E30,input_314100!L:R,7,FALSE),VLOOKUP(tables_314100!B30,input_314100!A:H,8,FALSE))</f>
        <v>0</v>
      </c>
      <c r="N30" s="63">
        <f t="shared" ca="1" si="3"/>
        <v>0</v>
      </c>
      <c r="O30" s="31">
        <f>IFERROR(VLOOKUP($E30,bug_conf_sheet!$A:$H,3,FALSE),VLOOKUP("other",bug_conf_sheet!$A:$H,3,FALSE))</f>
        <v>1</v>
      </c>
      <c r="P30" s="31">
        <f>IFERROR(VLOOKUP($E30,bug_conf_sheet!$A:$H,4,FALSE),VLOOKUP("other",bug_conf_sheet!$A:$H,4,FALSE))</f>
        <v>0</v>
      </c>
      <c r="Q30" s="31">
        <f>IFERROR(VLOOKUP($E30,bug_conf_sheet!$A:$H,5,FALSE),VLOOKUP("other",bug_conf_sheet!$A:$H,5,FALSE))</f>
        <v>0</v>
      </c>
      <c r="R30" s="31">
        <f>IFERROR(VLOOKUP($E30,bug_conf_sheet!$A:$H,6,FALSE),VLOOKUP("other",bug_conf_sheet!$A:$H,6,FALSE))</f>
        <v>0</v>
      </c>
      <c r="S30" s="31">
        <f>IFERROR(VLOOKUP($E30,bug_conf_sheet!$A:$H,7,FALSE),VLOOKUP("other",bug_conf_sheet!$A:$H,7,FALSE))</f>
        <v>0</v>
      </c>
      <c r="T30" s="31">
        <f>IFERROR(VLOOKUP($E30,bug_conf_sheet!$A:$H,8,FALSE),VLOOKUP("other",bug_conf_sheet!$A:$H,8,FALSE))</f>
        <v>1</v>
      </c>
    </row>
    <row r="31" spans="1:20" ht="21" customHeight="1">
      <c r="A31" s="2" t="str">
        <f ca="1">input_314100!A$2</f>
        <v>314100</v>
      </c>
      <c r="B31" s="7" t="str">
        <f t="shared" si="0"/>
        <v>Premium4</v>
      </c>
      <c r="C31" s="7" t="str">
        <f t="shared" si="1"/>
        <v>Premium</v>
      </c>
      <c r="D31" s="7" t="str">
        <f t="shared" si="2"/>
        <v>bg</v>
      </c>
      <c r="E31" s="6">
        <v>155</v>
      </c>
      <c r="F31" s="7" t="str">
        <f>VLOOKUP(E31,[1]characters!$A:$C,3,FALSE)</f>
        <v>隻眼の掃除屋 ハンナ</v>
      </c>
      <c r="G31" s="7" t="str">
        <f>VLOOKUP(E31,[1]characters!$A:$J,10,FALSE)</f>
        <v>PremiumW</v>
      </c>
      <c r="H31" s="7">
        <f>VLOOKUP(E31,[1]characters!$A:$I,9,FALSE)</f>
        <v>4</v>
      </c>
      <c r="I31" s="7" t="str">
        <f>VLOOKUP(E31,[1]characters!$A:$H,8,FALSE)</f>
        <v>blue</v>
      </c>
      <c r="J31" s="7" t="str">
        <f>VLOOKUP(E31,[1]characters!$A:$K,11,FALSE)</f>
        <v>heal</v>
      </c>
      <c r="K31" s="7" t="str">
        <f>VLOOKUP(E31,[1]characters!$A:$M,13,FALSE)</f>
        <v>human</v>
      </c>
      <c r="L31" s="7" t="str">
        <f>VLOOKUP(E31,[1]characters!$A:$G,7,FALSE)</f>
        <v>女性</v>
      </c>
      <c r="M31" s="62">
        <f ca="1">IFERROR(VLOOKUP(E31,input_314100!L:R,7,FALSE),VLOOKUP(tables_314100!B31,input_314100!A:H,8,FALSE))</f>
        <v>342090</v>
      </c>
      <c r="N31" s="63">
        <f t="shared" ca="1" si="3"/>
        <v>1.222972972972973E-2</v>
      </c>
      <c r="O31" s="31">
        <f>IFERROR(VLOOKUP($E31,bug_conf_sheet!$A:$H,3,FALSE),VLOOKUP("other",bug_conf_sheet!$A:$H,3,FALSE))</f>
        <v>1</v>
      </c>
      <c r="P31" s="31">
        <f>IFERROR(VLOOKUP($E31,bug_conf_sheet!$A:$H,4,FALSE),VLOOKUP("other",bug_conf_sheet!$A:$H,4,FALSE))</f>
        <v>0</v>
      </c>
      <c r="Q31" s="31">
        <f>IFERROR(VLOOKUP($E31,bug_conf_sheet!$A:$H,5,FALSE),VLOOKUP("other",bug_conf_sheet!$A:$H,5,FALSE))</f>
        <v>0</v>
      </c>
      <c r="R31" s="31">
        <f>IFERROR(VLOOKUP($E31,bug_conf_sheet!$A:$H,6,FALSE),VLOOKUP("other",bug_conf_sheet!$A:$H,6,FALSE))</f>
        <v>0</v>
      </c>
      <c r="S31" s="31">
        <f>IFERROR(VLOOKUP($E31,bug_conf_sheet!$A:$H,7,FALSE),VLOOKUP("other",bug_conf_sheet!$A:$H,7,FALSE))</f>
        <v>0</v>
      </c>
      <c r="T31" s="31">
        <f>IFERROR(VLOOKUP($E31,bug_conf_sheet!$A:$H,8,FALSE),VLOOKUP("other",bug_conf_sheet!$A:$H,8,FALSE))</f>
        <v>1</v>
      </c>
    </row>
    <row r="32" spans="1:20" ht="21" customHeight="1">
      <c r="A32" s="2" t="str">
        <f ca="1">input_314100!A$2</f>
        <v>314100</v>
      </c>
      <c r="B32" s="7" t="str">
        <f t="shared" si="0"/>
        <v>Premium3</v>
      </c>
      <c r="C32" s="7" t="str">
        <f t="shared" si="1"/>
        <v>Premium</v>
      </c>
      <c r="D32" s="7" t="str">
        <f t="shared" si="2"/>
        <v>ry</v>
      </c>
      <c r="E32" s="6">
        <v>156</v>
      </c>
      <c r="F32" s="7" t="str">
        <f>VLOOKUP(E32,[1]characters!$A:$C,3,FALSE)</f>
        <v>踊り子 エレナ</v>
      </c>
      <c r="G32" s="7" t="str">
        <f>VLOOKUP(E32,[1]characters!$A:$J,10,FALSE)</f>
        <v>PremiumW</v>
      </c>
      <c r="H32" s="7">
        <f>VLOOKUP(E32,[1]characters!$A:$I,9,FALSE)</f>
        <v>3</v>
      </c>
      <c r="I32" s="7" t="str">
        <f>VLOOKUP(E32,[1]characters!$A:$H,8,FALSE)</f>
        <v>yellow</v>
      </c>
      <c r="J32" s="7" t="str">
        <f>VLOOKUP(E32,[1]characters!$A:$K,11,FALSE)</f>
        <v>heal</v>
      </c>
      <c r="K32" s="7" t="str">
        <f>VLOOKUP(E32,[1]characters!$A:$M,13,FALSE)</f>
        <v>human</v>
      </c>
      <c r="L32" s="7" t="str">
        <f>VLOOKUP(E32,[1]characters!$A:$G,7,FALSE)</f>
        <v>女性</v>
      </c>
      <c r="M32" s="62">
        <f ca="1">IFERROR(VLOOKUP(E32,input_314100!L:R,7,FALSE),VLOOKUP(tables_314100!B32,input_314100!A:H,8,FALSE))</f>
        <v>0</v>
      </c>
      <c r="N32" s="63">
        <f t="shared" ca="1" si="3"/>
        <v>0</v>
      </c>
      <c r="O32" s="31">
        <f>IFERROR(VLOOKUP($E32,bug_conf_sheet!$A:$H,3,FALSE),VLOOKUP("other",bug_conf_sheet!$A:$H,3,FALSE))</f>
        <v>1</v>
      </c>
      <c r="P32" s="31">
        <f>IFERROR(VLOOKUP($E32,bug_conf_sheet!$A:$H,4,FALSE),VLOOKUP("other",bug_conf_sheet!$A:$H,4,FALSE))</f>
        <v>0</v>
      </c>
      <c r="Q32" s="31">
        <f>IFERROR(VLOOKUP($E32,bug_conf_sheet!$A:$H,5,FALSE),VLOOKUP("other",bug_conf_sheet!$A:$H,5,FALSE))</f>
        <v>0</v>
      </c>
      <c r="R32" s="31">
        <f>IFERROR(VLOOKUP($E32,bug_conf_sheet!$A:$H,6,FALSE),VLOOKUP("other",bug_conf_sheet!$A:$H,6,FALSE))</f>
        <v>0</v>
      </c>
      <c r="S32" s="31">
        <f>IFERROR(VLOOKUP($E32,bug_conf_sheet!$A:$H,7,FALSE),VLOOKUP("other",bug_conf_sheet!$A:$H,7,FALSE))</f>
        <v>0</v>
      </c>
      <c r="T32" s="31">
        <f>IFERROR(VLOOKUP($E32,bug_conf_sheet!$A:$H,8,FALSE),VLOOKUP("other",bug_conf_sheet!$A:$H,8,FALSE))</f>
        <v>1</v>
      </c>
    </row>
    <row r="33" spans="1:20" ht="21" customHeight="1">
      <c r="A33" s="2" t="str">
        <f ca="1">input_314100!A$2</f>
        <v>314100</v>
      </c>
      <c r="B33" s="7" t="str">
        <f t="shared" si="0"/>
        <v>Premium4</v>
      </c>
      <c r="C33" s="7" t="str">
        <f t="shared" si="1"/>
        <v>Premium</v>
      </c>
      <c r="D33" s="7" t="str">
        <f t="shared" si="2"/>
        <v>ry</v>
      </c>
      <c r="E33" s="6">
        <v>157</v>
      </c>
      <c r="F33" s="7" t="str">
        <f>VLOOKUP(E33,[1]characters!$A:$C,3,FALSE)</f>
        <v>雷光舞姫 エレナ</v>
      </c>
      <c r="G33" s="7" t="str">
        <f>VLOOKUP(E33,[1]characters!$A:$J,10,FALSE)</f>
        <v>PremiumW</v>
      </c>
      <c r="H33" s="7">
        <f>VLOOKUP(E33,[1]characters!$A:$I,9,FALSE)</f>
        <v>4</v>
      </c>
      <c r="I33" s="7" t="str">
        <f>VLOOKUP(E33,[1]characters!$A:$H,8,FALSE)</f>
        <v>yellow</v>
      </c>
      <c r="J33" s="7" t="str">
        <f>VLOOKUP(E33,[1]characters!$A:$K,11,FALSE)</f>
        <v>heal</v>
      </c>
      <c r="K33" s="7" t="str">
        <f>VLOOKUP(E33,[1]characters!$A:$M,13,FALSE)</f>
        <v>human</v>
      </c>
      <c r="L33" s="7" t="str">
        <f>VLOOKUP(E33,[1]characters!$A:$G,7,FALSE)</f>
        <v>女性</v>
      </c>
      <c r="M33" s="62">
        <f ca="1">IFERROR(VLOOKUP(E33,input_314100!L:R,7,FALSE),VLOOKUP(tables_314100!B33,input_314100!A:H,8,FALSE))</f>
        <v>342090</v>
      </c>
      <c r="N33" s="63">
        <f t="shared" ca="1" si="3"/>
        <v>1.222972972972973E-2</v>
      </c>
      <c r="O33" s="31">
        <f>IFERROR(VLOOKUP($E33,bug_conf_sheet!$A:$H,3,FALSE),VLOOKUP("other",bug_conf_sheet!$A:$H,3,FALSE))</f>
        <v>1</v>
      </c>
      <c r="P33" s="31">
        <f>IFERROR(VLOOKUP($E33,bug_conf_sheet!$A:$H,4,FALSE),VLOOKUP("other",bug_conf_sheet!$A:$H,4,FALSE))</f>
        <v>0</v>
      </c>
      <c r="Q33" s="31">
        <f>IFERROR(VLOOKUP($E33,bug_conf_sheet!$A:$H,5,FALSE),VLOOKUP("other",bug_conf_sheet!$A:$H,5,FALSE))</f>
        <v>0</v>
      </c>
      <c r="R33" s="31">
        <f>IFERROR(VLOOKUP($E33,bug_conf_sheet!$A:$H,6,FALSE),VLOOKUP("other",bug_conf_sheet!$A:$H,6,FALSE))</f>
        <v>0</v>
      </c>
      <c r="S33" s="31">
        <f>IFERROR(VLOOKUP($E33,bug_conf_sheet!$A:$H,7,FALSE),VLOOKUP("other",bug_conf_sheet!$A:$H,7,FALSE))</f>
        <v>0</v>
      </c>
      <c r="T33" s="31">
        <f>IFERROR(VLOOKUP($E33,bug_conf_sheet!$A:$H,8,FALSE),VLOOKUP("other",bug_conf_sheet!$A:$H,8,FALSE))</f>
        <v>1</v>
      </c>
    </row>
    <row r="34" spans="1:20" ht="21" customHeight="1">
      <c r="A34" s="2" t="str">
        <f ca="1">input_314100!A$2</f>
        <v>314100</v>
      </c>
      <c r="B34" s="7" t="str">
        <f t="shared" si="0"/>
        <v>Premium3</v>
      </c>
      <c r="C34" s="7" t="str">
        <f t="shared" si="1"/>
        <v>Premium</v>
      </c>
      <c r="D34" s="7" t="str">
        <f t="shared" si="2"/>
        <v>ry</v>
      </c>
      <c r="E34" s="6">
        <v>158</v>
      </c>
      <c r="F34" s="7" t="str">
        <f>VLOOKUP(E34,[1]characters!$A:$C,3,FALSE)</f>
        <v>シスター シャルロッテ</v>
      </c>
      <c r="G34" s="7" t="str">
        <f>VLOOKUP(E34,[1]characters!$A:$J,10,FALSE)</f>
        <v>PremiumW</v>
      </c>
      <c r="H34" s="7">
        <f>VLOOKUP(E34,[1]characters!$A:$I,9,FALSE)</f>
        <v>3</v>
      </c>
      <c r="I34" s="7" t="str">
        <f>VLOOKUP(E34,[1]characters!$A:$H,8,FALSE)</f>
        <v>red</v>
      </c>
      <c r="J34" s="7" t="str">
        <f>VLOOKUP(E34,[1]characters!$A:$K,11,FALSE)</f>
        <v>heal</v>
      </c>
      <c r="K34" s="7" t="str">
        <f>VLOOKUP(E34,[1]characters!$A:$M,13,FALSE)</f>
        <v>human</v>
      </c>
      <c r="L34" s="7" t="str">
        <f>VLOOKUP(E34,[1]characters!$A:$G,7,FALSE)</f>
        <v>女性</v>
      </c>
      <c r="M34" s="62">
        <f ca="1">IFERROR(VLOOKUP(E34,input_314100!L:R,7,FALSE),VLOOKUP(tables_314100!B34,input_314100!A:H,8,FALSE))</f>
        <v>0</v>
      </c>
      <c r="N34" s="63">
        <f t="shared" ca="1" si="3"/>
        <v>0</v>
      </c>
      <c r="O34" s="31">
        <f>IFERROR(VLOOKUP($E34,bug_conf_sheet!$A:$H,3,FALSE),VLOOKUP("other",bug_conf_sheet!$A:$H,3,FALSE))</f>
        <v>1</v>
      </c>
      <c r="P34" s="31">
        <f>IFERROR(VLOOKUP($E34,bug_conf_sheet!$A:$H,4,FALSE),VLOOKUP("other",bug_conf_sheet!$A:$H,4,FALSE))</f>
        <v>0</v>
      </c>
      <c r="Q34" s="31">
        <f>IFERROR(VLOOKUP($E34,bug_conf_sheet!$A:$H,5,FALSE),VLOOKUP("other",bug_conf_sheet!$A:$H,5,FALSE))</f>
        <v>0</v>
      </c>
      <c r="R34" s="31">
        <f>IFERROR(VLOOKUP($E34,bug_conf_sheet!$A:$H,6,FALSE),VLOOKUP("other",bug_conf_sheet!$A:$H,6,FALSE))</f>
        <v>0</v>
      </c>
      <c r="S34" s="31">
        <f>IFERROR(VLOOKUP($E34,bug_conf_sheet!$A:$H,7,FALSE),VLOOKUP("other",bug_conf_sheet!$A:$H,7,FALSE))</f>
        <v>0</v>
      </c>
      <c r="T34" s="31">
        <f>IFERROR(VLOOKUP($E34,bug_conf_sheet!$A:$H,8,FALSE),VLOOKUP("other",bug_conf_sheet!$A:$H,8,FALSE))</f>
        <v>1</v>
      </c>
    </row>
    <row r="35" spans="1:20" ht="21" customHeight="1">
      <c r="A35" s="2" t="str">
        <f ca="1">input_314100!A$2</f>
        <v>314100</v>
      </c>
      <c r="B35" s="7" t="str">
        <f t="shared" si="0"/>
        <v>Premium4</v>
      </c>
      <c r="C35" s="7" t="str">
        <f t="shared" si="1"/>
        <v>Premium</v>
      </c>
      <c r="D35" s="7" t="str">
        <f t="shared" si="2"/>
        <v>ry</v>
      </c>
      <c r="E35" s="6">
        <v>159</v>
      </c>
      <c r="F35" s="7" t="str">
        <f>VLOOKUP(E35,[1]characters!$A:$C,3,FALSE)</f>
        <v>邪を狩りし者 シャルロッテ</v>
      </c>
      <c r="G35" s="7" t="str">
        <f>VLOOKUP(E35,[1]characters!$A:$J,10,FALSE)</f>
        <v>PremiumW</v>
      </c>
      <c r="H35" s="7">
        <f>VLOOKUP(E35,[1]characters!$A:$I,9,FALSE)</f>
        <v>4</v>
      </c>
      <c r="I35" s="7" t="str">
        <f>VLOOKUP(E35,[1]characters!$A:$H,8,FALSE)</f>
        <v>red</v>
      </c>
      <c r="J35" s="7" t="str">
        <f>VLOOKUP(E35,[1]characters!$A:$K,11,FALSE)</f>
        <v>heal</v>
      </c>
      <c r="K35" s="7" t="str">
        <f>VLOOKUP(E35,[1]characters!$A:$M,13,FALSE)</f>
        <v>human</v>
      </c>
      <c r="L35" s="7" t="str">
        <f>VLOOKUP(E35,[1]characters!$A:$G,7,FALSE)</f>
        <v>女性</v>
      </c>
      <c r="M35" s="62">
        <f ca="1">IFERROR(VLOOKUP(E35,input_314100!L:R,7,FALSE),VLOOKUP(tables_314100!B35,input_314100!A:H,8,FALSE))</f>
        <v>342090</v>
      </c>
      <c r="N35" s="63">
        <f t="shared" ca="1" si="3"/>
        <v>1.222972972972973E-2</v>
      </c>
      <c r="O35" s="31">
        <f>IFERROR(VLOOKUP($E35,bug_conf_sheet!$A:$H,3,FALSE),VLOOKUP("other",bug_conf_sheet!$A:$H,3,FALSE))</f>
        <v>1</v>
      </c>
      <c r="P35" s="31">
        <f>IFERROR(VLOOKUP($E35,bug_conf_sheet!$A:$H,4,FALSE),VLOOKUP("other",bug_conf_sheet!$A:$H,4,FALSE))</f>
        <v>0</v>
      </c>
      <c r="Q35" s="31">
        <f>IFERROR(VLOOKUP($E35,bug_conf_sheet!$A:$H,5,FALSE),VLOOKUP("other",bug_conf_sheet!$A:$H,5,FALSE))</f>
        <v>0</v>
      </c>
      <c r="R35" s="31">
        <f>IFERROR(VLOOKUP($E35,bug_conf_sheet!$A:$H,6,FALSE),VLOOKUP("other",bug_conf_sheet!$A:$H,6,FALSE))</f>
        <v>0</v>
      </c>
      <c r="S35" s="31">
        <f>IFERROR(VLOOKUP($E35,bug_conf_sheet!$A:$H,7,FALSE),VLOOKUP("other",bug_conf_sheet!$A:$H,7,FALSE))</f>
        <v>0</v>
      </c>
      <c r="T35" s="31">
        <f>IFERROR(VLOOKUP($E35,bug_conf_sheet!$A:$H,8,FALSE),VLOOKUP("other",bug_conf_sheet!$A:$H,8,FALSE))</f>
        <v>1</v>
      </c>
    </row>
    <row r="36" spans="1:20" ht="21" customHeight="1">
      <c r="A36" s="2" t="str">
        <f ca="1">input_314100!A$2</f>
        <v>314100</v>
      </c>
      <c r="B36" s="7" t="str">
        <f t="shared" si="0"/>
        <v>Premium3</v>
      </c>
      <c r="C36" s="7" t="str">
        <f t="shared" si="1"/>
        <v>Premium</v>
      </c>
      <c r="D36" s="7" t="str">
        <f t="shared" si="2"/>
        <v>bg</v>
      </c>
      <c r="E36" s="6">
        <v>160</v>
      </c>
      <c r="F36" s="7" t="str">
        <f>VLOOKUP(E36,[1]characters!$A:$C,3,FALSE)</f>
        <v>反逆者 クリエ</v>
      </c>
      <c r="G36" s="7" t="str">
        <f>VLOOKUP(E36,[1]characters!$A:$J,10,FALSE)</f>
        <v>PremiumW</v>
      </c>
      <c r="H36" s="7">
        <f>VLOOKUP(E36,[1]characters!$A:$I,9,FALSE)</f>
        <v>3</v>
      </c>
      <c r="I36" s="7" t="str">
        <f>VLOOKUP(E36,[1]characters!$A:$H,8,FALSE)</f>
        <v>green</v>
      </c>
      <c r="J36" s="7" t="str">
        <f>VLOOKUP(E36,[1]characters!$A:$K,11,FALSE)</f>
        <v>balance</v>
      </c>
      <c r="K36" s="7" t="str">
        <f>VLOOKUP(E36,[1]characters!$A:$M,13,FALSE)</f>
        <v>human</v>
      </c>
      <c r="L36" s="7" t="str">
        <f>VLOOKUP(E36,[1]characters!$A:$G,7,FALSE)</f>
        <v>女性</v>
      </c>
      <c r="M36" s="62">
        <f ca="1">IFERROR(VLOOKUP(E36,input_314100!L:R,7,FALSE),VLOOKUP(tables_314100!B36,input_314100!A:H,8,FALSE))</f>
        <v>0</v>
      </c>
      <c r="N36" s="63">
        <f t="shared" ca="1" si="3"/>
        <v>0</v>
      </c>
      <c r="O36" s="31">
        <f>IFERROR(VLOOKUP($E36,bug_conf_sheet!$A:$H,3,FALSE),VLOOKUP("other",bug_conf_sheet!$A:$H,3,FALSE))</f>
        <v>1</v>
      </c>
      <c r="P36" s="31">
        <f>IFERROR(VLOOKUP($E36,bug_conf_sheet!$A:$H,4,FALSE),VLOOKUP("other",bug_conf_sheet!$A:$H,4,FALSE))</f>
        <v>0</v>
      </c>
      <c r="Q36" s="31">
        <f>IFERROR(VLOOKUP($E36,bug_conf_sheet!$A:$H,5,FALSE),VLOOKUP("other",bug_conf_sheet!$A:$H,5,FALSE))</f>
        <v>0</v>
      </c>
      <c r="R36" s="31">
        <f>IFERROR(VLOOKUP($E36,bug_conf_sheet!$A:$H,6,FALSE),VLOOKUP("other",bug_conf_sheet!$A:$H,6,FALSE))</f>
        <v>0</v>
      </c>
      <c r="S36" s="31">
        <f>IFERROR(VLOOKUP($E36,bug_conf_sheet!$A:$H,7,FALSE),VLOOKUP("other",bug_conf_sheet!$A:$H,7,FALSE))</f>
        <v>0</v>
      </c>
      <c r="T36" s="31">
        <f>IFERROR(VLOOKUP($E36,bug_conf_sheet!$A:$H,8,FALSE),VLOOKUP("other",bug_conf_sheet!$A:$H,8,FALSE))</f>
        <v>1</v>
      </c>
    </row>
    <row r="37" spans="1:20" ht="21" customHeight="1">
      <c r="A37" s="2" t="str">
        <f ca="1">input_314100!A$2</f>
        <v>314100</v>
      </c>
      <c r="B37" s="7" t="str">
        <f t="shared" si="0"/>
        <v>Premium4</v>
      </c>
      <c r="C37" s="7" t="str">
        <f t="shared" si="1"/>
        <v>Premium</v>
      </c>
      <c r="D37" s="7" t="str">
        <f t="shared" si="2"/>
        <v>bg</v>
      </c>
      <c r="E37" s="6">
        <v>161</v>
      </c>
      <c r="F37" s="7" t="str">
        <f>VLOOKUP(E37,[1]characters!$A:$C,3,FALSE)</f>
        <v>咆哮の先導者 クリエ</v>
      </c>
      <c r="G37" s="7" t="str">
        <f>VLOOKUP(E37,[1]characters!$A:$J,10,FALSE)</f>
        <v>PremiumW</v>
      </c>
      <c r="H37" s="7">
        <f>VLOOKUP(E37,[1]characters!$A:$I,9,FALSE)</f>
        <v>4</v>
      </c>
      <c r="I37" s="7" t="str">
        <f>VLOOKUP(E37,[1]characters!$A:$H,8,FALSE)</f>
        <v>green</v>
      </c>
      <c r="J37" s="7" t="str">
        <f>VLOOKUP(E37,[1]characters!$A:$K,11,FALSE)</f>
        <v>balance</v>
      </c>
      <c r="K37" s="7" t="str">
        <f>VLOOKUP(E37,[1]characters!$A:$M,13,FALSE)</f>
        <v>human</v>
      </c>
      <c r="L37" s="7" t="str">
        <f>VLOOKUP(E37,[1]characters!$A:$G,7,FALSE)</f>
        <v>女性</v>
      </c>
      <c r="M37" s="62">
        <f ca="1">IFERROR(VLOOKUP(E37,input_314100!L:R,7,FALSE),VLOOKUP(tables_314100!B37,input_314100!A:H,8,FALSE))</f>
        <v>342090</v>
      </c>
      <c r="N37" s="63">
        <f t="shared" ca="1" si="3"/>
        <v>1.222972972972973E-2</v>
      </c>
      <c r="O37" s="31">
        <f>IFERROR(VLOOKUP($E37,bug_conf_sheet!$A:$H,3,FALSE),VLOOKUP("other",bug_conf_sheet!$A:$H,3,FALSE))</f>
        <v>1</v>
      </c>
      <c r="P37" s="31">
        <f>IFERROR(VLOOKUP($E37,bug_conf_sheet!$A:$H,4,FALSE),VLOOKUP("other",bug_conf_sheet!$A:$H,4,FALSE))</f>
        <v>0</v>
      </c>
      <c r="Q37" s="31">
        <f>IFERROR(VLOOKUP($E37,bug_conf_sheet!$A:$H,5,FALSE),VLOOKUP("other",bug_conf_sheet!$A:$H,5,FALSE))</f>
        <v>0</v>
      </c>
      <c r="R37" s="31">
        <f>IFERROR(VLOOKUP($E37,bug_conf_sheet!$A:$H,6,FALSE),VLOOKUP("other",bug_conf_sheet!$A:$H,6,FALSE))</f>
        <v>0</v>
      </c>
      <c r="S37" s="31">
        <f>IFERROR(VLOOKUP($E37,bug_conf_sheet!$A:$H,7,FALSE),VLOOKUP("other",bug_conf_sheet!$A:$H,7,FALSE))</f>
        <v>0</v>
      </c>
      <c r="T37" s="31">
        <f>IFERROR(VLOOKUP($E37,bug_conf_sheet!$A:$H,8,FALSE),VLOOKUP("other",bug_conf_sheet!$A:$H,8,FALSE))</f>
        <v>1</v>
      </c>
    </row>
    <row r="38" spans="1:20" ht="21" customHeight="1">
      <c r="A38" s="2" t="str">
        <f ca="1">input_314100!A$2</f>
        <v>314100</v>
      </c>
      <c r="B38" s="7" t="str">
        <f t="shared" si="0"/>
        <v>Premium3</v>
      </c>
      <c r="C38" s="7" t="str">
        <f t="shared" si="1"/>
        <v>Premium</v>
      </c>
      <c r="D38" s="7" t="str">
        <f t="shared" si="2"/>
        <v>bg</v>
      </c>
      <c r="E38" s="6">
        <v>162</v>
      </c>
      <c r="F38" s="7" t="str">
        <f>VLOOKUP(E38,[1]characters!$A:$C,3,FALSE)</f>
        <v>狂女 クララ</v>
      </c>
      <c r="G38" s="7" t="str">
        <f>VLOOKUP(E38,[1]characters!$A:$J,10,FALSE)</f>
        <v>PremiumW</v>
      </c>
      <c r="H38" s="7">
        <f>VLOOKUP(E38,[1]characters!$A:$I,9,FALSE)</f>
        <v>3</v>
      </c>
      <c r="I38" s="7" t="str">
        <f>VLOOKUP(E38,[1]characters!$A:$H,8,FALSE)</f>
        <v>blue</v>
      </c>
      <c r="J38" s="7" t="str">
        <f>VLOOKUP(E38,[1]characters!$A:$K,11,FALSE)</f>
        <v>attack</v>
      </c>
      <c r="K38" s="7" t="str">
        <f>VLOOKUP(E38,[1]characters!$A:$M,13,FALSE)</f>
        <v>human</v>
      </c>
      <c r="L38" s="7" t="str">
        <f>VLOOKUP(E38,[1]characters!$A:$G,7,FALSE)</f>
        <v>女性</v>
      </c>
      <c r="M38" s="62">
        <f ca="1">IFERROR(VLOOKUP(E38,input_314100!L:R,7,FALSE),VLOOKUP(tables_314100!B38,input_314100!A:H,8,FALSE))</f>
        <v>0</v>
      </c>
      <c r="N38" s="63">
        <f t="shared" ca="1" si="3"/>
        <v>0</v>
      </c>
      <c r="O38" s="31">
        <f>IFERROR(VLOOKUP($E38,bug_conf_sheet!$A:$H,3,FALSE),VLOOKUP("other",bug_conf_sheet!$A:$H,3,FALSE))</f>
        <v>1</v>
      </c>
      <c r="P38" s="31">
        <f>IFERROR(VLOOKUP($E38,bug_conf_sheet!$A:$H,4,FALSE),VLOOKUP("other",bug_conf_sheet!$A:$H,4,FALSE))</f>
        <v>0</v>
      </c>
      <c r="Q38" s="31">
        <f>IFERROR(VLOOKUP($E38,bug_conf_sheet!$A:$H,5,FALSE),VLOOKUP("other",bug_conf_sheet!$A:$H,5,FALSE))</f>
        <v>0</v>
      </c>
      <c r="R38" s="31">
        <f>IFERROR(VLOOKUP($E38,bug_conf_sheet!$A:$H,6,FALSE),VLOOKUP("other",bug_conf_sheet!$A:$H,6,FALSE))</f>
        <v>0</v>
      </c>
      <c r="S38" s="31">
        <f>IFERROR(VLOOKUP($E38,bug_conf_sheet!$A:$H,7,FALSE),VLOOKUP("other",bug_conf_sheet!$A:$H,7,FALSE))</f>
        <v>0</v>
      </c>
      <c r="T38" s="31">
        <f>IFERROR(VLOOKUP($E38,bug_conf_sheet!$A:$H,8,FALSE),VLOOKUP("other",bug_conf_sheet!$A:$H,8,FALSE))</f>
        <v>1</v>
      </c>
    </row>
    <row r="39" spans="1:20" ht="21" customHeight="1">
      <c r="A39" s="2" t="str">
        <f ca="1">input_314100!A$2</f>
        <v>314100</v>
      </c>
      <c r="B39" s="7" t="str">
        <f t="shared" si="0"/>
        <v>Premium4</v>
      </c>
      <c r="C39" s="7" t="str">
        <f t="shared" si="1"/>
        <v>Premium</v>
      </c>
      <c r="D39" s="7" t="str">
        <f t="shared" si="2"/>
        <v>bg</v>
      </c>
      <c r="E39" s="6">
        <v>163</v>
      </c>
      <c r="F39" s="7" t="str">
        <f>VLOOKUP(E39,[1]characters!$A:$C,3,FALSE)</f>
        <v>冷酷な狂嬢 クララ</v>
      </c>
      <c r="G39" s="7" t="str">
        <f>VLOOKUP(E39,[1]characters!$A:$J,10,FALSE)</f>
        <v>PremiumW</v>
      </c>
      <c r="H39" s="7">
        <f>VLOOKUP(E39,[1]characters!$A:$I,9,FALSE)</f>
        <v>4</v>
      </c>
      <c r="I39" s="7" t="str">
        <f>VLOOKUP(E39,[1]characters!$A:$H,8,FALSE)</f>
        <v>blue</v>
      </c>
      <c r="J39" s="7" t="str">
        <f>VLOOKUP(E39,[1]characters!$A:$K,11,FALSE)</f>
        <v>attack</v>
      </c>
      <c r="K39" s="7" t="str">
        <f>VLOOKUP(E39,[1]characters!$A:$M,13,FALSE)</f>
        <v>human</v>
      </c>
      <c r="L39" s="7" t="str">
        <f>VLOOKUP(E39,[1]characters!$A:$G,7,FALSE)</f>
        <v>女性</v>
      </c>
      <c r="M39" s="62">
        <f ca="1">IFERROR(VLOOKUP(E39,input_314100!L:R,7,FALSE),VLOOKUP(tables_314100!B39,input_314100!A:H,8,FALSE))</f>
        <v>342090</v>
      </c>
      <c r="N39" s="63">
        <f t="shared" ca="1" si="3"/>
        <v>1.222972972972973E-2</v>
      </c>
      <c r="O39" s="31">
        <f>IFERROR(VLOOKUP($E39,bug_conf_sheet!$A:$H,3,FALSE),VLOOKUP("other",bug_conf_sheet!$A:$H,3,FALSE))</f>
        <v>1</v>
      </c>
      <c r="P39" s="31">
        <f>IFERROR(VLOOKUP($E39,bug_conf_sheet!$A:$H,4,FALSE),VLOOKUP("other",bug_conf_sheet!$A:$H,4,FALSE))</f>
        <v>0</v>
      </c>
      <c r="Q39" s="31">
        <f>IFERROR(VLOOKUP($E39,bug_conf_sheet!$A:$H,5,FALSE),VLOOKUP("other",bug_conf_sheet!$A:$H,5,FALSE))</f>
        <v>0</v>
      </c>
      <c r="R39" s="31">
        <f>IFERROR(VLOOKUP($E39,bug_conf_sheet!$A:$H,6,FALSE),VLOOKUP("other",bug_conf_sheet!$A:$H,6,FALSE))</f>
        <v>0</v>
      </c>
      <c r="S39" s="31">
        <f>IFERROR(VLOOKUP($E39,bug_conf_sheet!$A:$H,7,FALSE),VLOOKUP("other",bug_conf_sheet!$A:$H,7,FALSE))</f>
        <v>0</v>
      </c>
      <c r="T39" s="31">
        <f>IFERROR(VLOOKUP($E39,bug_conf_sheet!$A:$H,8,FALSE),VLOOKUP("other",bug_conf_sheet!$A:$H,8,FALSE))</f>
        <v>1</v>
      </c>
    </row>
    <row r="40" spans="1:20" ht="21" customHeight="1">
      <c r="A40" s="2" t="str">
        <f ca="1">input_314100!A$2</f>
        <v>314100</v>
      </c>
      <c r="B40" s="7" t="str">
        <f t="shared" si="0"/>
        <v>Premium3</v>
      </c>
      <c r="C40" s="7" t="str">
        <f t="shared" si="1"/>
        <v>Premium</v>
      </c>
      <c r="D40" s="7" t="str">
        <f t="shared" si="2"/>
        <v>ry</v>
      </c>
      <c r="E40" s="6">
        <v>164</v>
      </c>
      <c r="F40" s="7" t="str">
        <f>VLOOKUP(E40,[1]characters!$A:$C,3,FALSE)</f>
        <v>イブとトモダチ</v>
      </c>
      <c r="G40" s="7" t="str">
        <f>VLOOKUP(E40,[1]characters!$A:$J,10,FALSE)</f>
        <v>PremiumW</v>
      </c>
      <c r="H40" s="7">
        <f>VLOOKUP(E40,[1]characters!$A:$I,9,FALSE)</f>
        <v>3</v>
      </c>
      <c r="I40" s="7" t="str">
        <f>VLOOKUP(E40,[1]characters!$A:$H,8,FALSE)</f>
        <v>yellow</v>
      </c>
      <c r="J40" s="7" t="str">
        <f>VLOOKUP(E40,[1]characters!$A:$K,11,FALSE)</f>
        <v>technical</v>
      </c>
      <c r="K40" s="7" t="str">
        <f>VLOOKUP(E40,[1]characters!$A:$M,13,FALSE)</f>
        <v>human</v>
      </c>
      <c r="L40" s="7" t="str">
        <f>VLOOKUP(E40,[1]characters!$A:$G,7,FALSE)</f>
        <v>女性</v>
      </c>
      <c r="M40" s="62">
        <f ca="1">IFERROR(VLOOKUP(E40,input_314100!L:R,7,FALSE),VLOOKUP(tables_314100!B40,input_314100!A:H,8,FALSE))</f>
        <v>0</v>
      </c>
      <c r="N40" s="63">
        <f t="shared" ca="1" si="3"/>
        <v>0</v>
      </c>
      <c r="O40" s="31">
        <f>IFERROR(VLOOKUP($E40,bug_conf_sheet!$A:$H,3,FALSE),VLOOKUP("other",bug_conf_sheet!$A:$H,3,FALSE))</f>
        <v>1</v>
      </c>
      <c r="P40" s="31">
        <f>IFERROR(VLOOKUP($E40,bug_conf_sheet!$A:$H,4,FALSE),VLOOKUP("other",bug_conf_sheet!$A:$H,4,FALSE))</f>
        <v>0</v>
      </c>
      <c r="Q40" s="31">
        <f>IFERROR(VLOOKUP($E40,bug_conf_sheet!$A:$H,5,FALSE),VLOOKUP("other",bug_conf_sheet!$A:$H,5,FALSE))</f>
        <v>0</v>
      </c>
      <c r="R40" s="31">
        <f>IFERROR(VLOOKUP($E40,bug_conf_sheet!$A:$H,6,FALSE),VLOOKUP("other",bug_conf_sheet!$A:$H,6,FALSE))</f>
        <v>0</v>
      </c>
      <c r="S40" s="31">
        <f>IFERROR(VLOOKUP($E40,bug_conf_sheet!$A:$H,7,FALSE),VLOOKUP("other",bug_conf_sheet!$A:$H,7,FALSE))</f>
        <v>0</v>
      </c>
      <c r="T40" s="31">
        <f>IFERROR(VLOOKUP($E40,bug_conf_sheet!$A:$H,8,FALSE),VLOOKUP("other",bug_conf_sheet!$A:$H,8,FALSE))</f>
        <v>1</v>
      </c>
    </row>
    <row r="41" spans="1:20" ht="21" customHeight="1">
      <c r="A41" s="2" t="str">
        <f ca="1">input_314100!A$2</f>
        <v>314100</v>
      </c>
      <c r="B41" s="7" t="str">
        <f t="shared" si="0"/>
        <v>Premium4</v>
      </c>
      <c r="C41" s="7" t="str">
        <f t="shared" si="1"/>
        <v>Premium</v>
      </c>
      <c r="D41" s="7" t="str">
        <f t="shared" si="2"/>
        <v>ry</v>
      </c>
      <c r="E41" s="6">
        <v>165</v>
      </c>
      <c r="F41" s="7" t="str">
        <f>VLOOKUP(E41,[1]characters!$A:$C,3,FALSE)</f>
        <v>イブとたったひとりのトモダチ</v>
      </c>
      <c r="G41" s="7" t="str">
        <f>VLOOKUP(E41,[1]characters!$A:$J,10,FALSE)</f>
        <v>PremiumW</v>
      </c>
      <c r="H41" s="7">
        <f>VLOOKUP(E41,[1]characters!$A:$I,9,FALSE)</f>
        <v>4</v>
      </c>
      <c r="I41" s="7" t="str">
        <f>VLOOKUP(E41,[1]characters!$A:$H,8,FALSE)</f>
        <v>yellow</v>
      </c>
      <c r="J41" s="7" t="str">
        <f>VLOOKUP(E41,[1]characters!$A:$K,11,FALSE)</f>
        <v>technical</v>
      </c>
      <c r="K41" s="7" t="str">
        <f>VLOOKUP(E41,[1]characters!$A:$M,13,FALSE)</f>
        <v>human</v>
      </c>
      <c r="L41" s="7" t="str">
        <f>VLOOKUP(E41,[1]characters!$A:$G,7,FALSE)</f>
        <v>女性</v>
      </c>
      <c r="M41" s="62">
        <f ca="1">IFERROR(VLOOKUP(E41,input_314100!L:R,7,FALSE),VLOOKUP(tables_314100!B41,input_314100!A:H,8,FALSE))</f>
        <v>342090</v>
      </c>
      <c r="N41" s="63">
        <f t="shared" ca="1" si="3"/>
        <v>1.222972972972973E-2</v>
      </c>
      <c r="O41" s="31">
        <f>IFERROR(VLOOKUP($E41,bug_conf_sheet!$A:$H,3,FALSE),VLOOKUP("other",bug_conf_sheet!$A:$H,3,FALSE))</f>
        <v>1</v>
      </c>
      <c r="P41" s="31">
        <f>IFERROR(VLOOKUP($E41,bug_conf_sheet!$A:$H,4,FALSE),VLOOKUP("other",bug_conf_sheet!$A:$H,4,FALSE))</f>
        <v>0</v>
      </c>
      <c r="Q41" s="31">
        <f>IFERROR(VLOOKUP($E41,bug_conf_sheet!$A:$H,5,FALSE),VLOOKUP("other",bug_conf_sheet!$A:$H,5,FALSE))</f>
        <v>0</v>
      </c>
      <c r="R41" s="31">
        <f>IFERROR(VLOOKUP($E41,bug_conf_sheet!$A:$H,6,FALSE),VLOOKUP("other",bug_conf_sheet!$A:$H,6,FALSE))</f>
        <v>0</v>
      </c>
      <c r="S41" s="31">
        <f>IFERROR(VLOOKUP($E41,bug_conf_sheet!$A:$H,7,FALSE),VLOOKUP("other",bug_conf_sheet!$A:$H,7,FALSE))</f>
        <v>0</v>
      </c>
      <c r="T41" s="31">
        <f>IFERROR(VLOOKUP($E41,bug_conf_sheet!$A:$H,8,FALSE),VLOOKUP("other",bug_conf_sheet!$A:$H,8,FALSE))</f>
        <v>1</v>
      </c>
    </row>
    <row r="42" spans="1:20" ht="21" customHeight="1">
      <c r="A42" s="2" t="str">
        <f ca="1">input_314100!A$2</f>
        <v>314100</v>
      </c>
      <c r="B42" s="7" t="str">
        <f t="shared" si="0"/>
        <v>Premium3</v>
      </c>
      <c r="C42" s="7" t="str">
        <f t="shared" si="1"/>
        <v>Premium</v>
      </c>
      <c r="D42" s="7" t="str">
        <f t="shared" si="2"/>
        <v>ry</v>
      </c>
      <c r="E42" s="6">
        <v>166</v>
      </c>
      <c r="F42" s="7" t="str">
        <f>VLOOKUP(E42,[1]characters!$A:$C,3,FALSE)</f>
        <v>ベリアル</v>
      </c>
      <c r="G42" s="7" t="str">
        <f>VLOOKUP(E42,[1]characters!$A:$J,10,FALSE)</f>
        <v>PremiumN</v>
      </c>
      <c r="H42" s="7">
        <f>VLOOKUP(E42,[1]characters!$A:$I,9,FALSE)</f>
        <v>3</v>
      </c>
      <c r="I42" s="7" t="str">
        <f>VLOOKUP(E42,[1]characters!$A:$H,8,FALSE)</f>
        <v>red</v>
      </c>
      <c r="J42" s="7" t="str">
        <f>VLOOKUP(E42,[1]characters!$A:$K,11,FALSE)</f>
        <v>attack</v>
      </c>
      <c r="K42" s="7" t="str">
        <f>VLOOKUP(E42,[1]characters!$A:$M,13,FALSE)</f>
        <v>god</v>
      </c>
      <c r="L42" s="7" t="str">
        <f>VLOOKUP(E42,[1]characters!$A:$G,7,FALSE)</f>
        <v>男性</v>
      </c>
      <c r="M42" s="62">
        <f ca="1">IFERROR(VLOOKUP(E42,input_314100!L:R,7,FALSE),VLOOKUP(tables_314100!B42,input_314100!A:H,8,FALSE))</f>
        <v>0</v>
      </c>
      <c r="N42" s="63">
        <f t="shared" ca="1" si="3"/>
        <v>0</v>
      </c>
      <c r="O42" s="31">
        <f>IFERROR(VLOOKUP($E42,bug_conf_sheet!$A:$H,3,FALSE),VLOOKUP("other",bug_conf_sheet!$A:$H,3,FALSE))</f>
        <v>1</v>
      </c>
      <c r="P42" s="31">
        <f>IFERROR(VLOOKUP($E42,bug_conf_sheet!$A:$H,4,FALSE),VLOOKUP("other",bug_conf_sheet!$A:$H,4,FALSE))</f>
        <v>0</v>
      </c>
      <c r="Q42" s="31">
        <f>IFERROR(VLOOKUP($E42,bug_conf_sheet!$A:$H,5,FALSE),VLOOKUP("other",bug_conf_sheet!$A:$H,5,FALSE))</f>
        <v>0</v>
      </c>
      <c r="R42" s="31">
        <f>IFERROR(VLOOKUP($E42,bug_conf_sheet!$A:$H,6,FALSE),VLOOKUP("other",bug_conf_sheet!$A:$H,6,FALSE))</f>
        <v>0</v>
      </c>
      <c r="S42" s="31">
        <f>IFERROR(VLOOKUP($E42,bug_conf_sheet!$A:$H,7,FALSE),VLOOKUP("other",bug_conf_sheet!$A:$H,7,FALSE))</f>
        <v>0</v>
      </c>
      <c r="T42" s="31">
        <f>IFERROR(VLOOKUP($E42,bug_conf_sheet!$A:$H,8,FALSE),VLOOKUP("other",bug_conf_sheet!$A:$H,8,FALSE))</f>
        <v>1</v>
      </c>
    </row>
    <row r="43" spans="1:20" ht="21" customHeight="1">
      <c r="A43" s="2" t="str">
        <f ca="1">input_314100!A$2</f>
        <v>314100</v>
      </c>
      <c r="B43" s="7" t="str">
        <f t="shared" si="0"/>
        <v>Premium4</v>
      </c>
      <c r="C43" s="7" t="str">
        <f t="shared" si="1"/>
        <v>Premium</v>
      </c>
      <c r="D43" s="7" t="str">
        <f t="shared" si="2"/>
        <v>ry</v>
      </c>
      <c r="E43" s="6">
        <v>167</v>
      </c>
      <c r="F43" s="7" t="str">
        <f>VLOOKUP(E43,[1]characters!$A:$C,3,FALSE)</f>
        <v>逆徒 ベリアル</v>
      </c>
      <c r="G43" s="7" t="str">
        <f>VLOOKUP(E43,[1]characters!$A:$J,10,FALSE)</f>
        <v>PremiumN</v>
      </c>
      <c r="H43" s="7">
        <f>VLOOKUP(E43,[1]characters!$A:$I,9,FALSE)</f>
        <v>4</v>
      </c>
      <c r="I43" s="7" t="str">
        <f>VLOOKUP(E43,[1]characters!$A:$H,8,FALSE)</f>
        <v>red</v>
      </c>
      <c r="J43" s="7" t="str">
        <f>VLOOKUP(E43,[1]characters!$A:$K,11,FALSE)</f>
        <v>attack</v>
      </c>
      <c r="K43" s="7" t="str">
        <f>VLOOKUP(E43,[1]characters!$A:$M,13,FALSE)</f>
        <v>god</v>
      </c>
      <c r="L43" s="7" t="str">
        <f>VLOOKUP(E43,[1]characters!$A:$G,7,FALSE)</f>
        <v>男性</v>
      </c>
      <c r="M43" s="62">
        <f ca="1">IFERROR(VLOOKUP(E43,input_314100!L:R,7,FALSE),VLOOKUP(tables_314100!B43,input_314100!A:H,8,FALSE))</f>
        <v>342090</v>
      </c>
      <c r="N43" s="63">
        <f t="shared" ca="1" si="3"/>
        <v>1.222972972972973E-2</v>
      </c>
      <c r="O43" s="31">
        <f>IFERROR(VLOOKUP($E43,bug_conf_sheet!$A:$H,3,FALSE),VLOOKUP("other",bug_conf_sheet!$A:$H,3,FALSE))</f>
        <v>1</v>
      </c>
      <c r="P43" s="31">
        <f>IFERROR(VLOOKUP($E43,bug_conf_sheet!$A:$H,4,FALSE),VLOOKUP("other",bug_conf_sheet!$A:$H,4,FALSE))</f>
        <v>0</v>
      </c>
      <c r="Q43" s="31">
        <f>IFERROR(VLOOKUP($E43,bug_conf_sheet!$A:$H,5,FALSE),VLOOKUP("other",bug_conf_sheet!$A:$H,5,FALSE))</f>
        <v>0</v>
      </c>
      <c r="R43" s="31">
        <f>IFERROR(VLOOKUP($E43,bug_conf_sheet!$A:$H,6,FALSE),VLOOKUP("other",bug_conf_sheet!$A:$H,6,FALSE))</f>
        <v>0</v>
      </c>
      <c r="S43" s="31">
        <f>IFERROR(VLOOKUP($E43,bug_conf_sheet!$A:$H,7,FALSE),VLOOKUP("other",bug_conf_sheet!$A:$H,7,FALSE))</f>
        <v>0</v>
      </c>
      <c r="T43" s="31">
        <f>IFERROR(VLOOKUP($E43,bug_conf_sheet!$A:$H,8,FALSE),VLOOKUP("other",bug_conf_sheet!$A:$H,8,FALSE))</f>
        <v>1</v>
      </c>
    </row>
    <row r="44" spans="1:20" ht="21" customHeight="1">
      <c r="A44" s="2" t="str">
        <f ca="1">input_314100!A$2</f>
        <v>314100</v>
      </c>
      <c r="B44" s="7" t="str">
        <f t="shared" si="0"/>
        <v>Premium5</v>
      </c>
      <c r="C44" s="7" t="str">
        <f t="shared" si="1"/>
        <v>Premium</v>
      </c>
      <c r="D44" s="7" t="str">
        <f t="shared" si="2"/>
        <v>ry</v>
      </c>
      <c r="E44" s="6">
        <v>168</v>
      </c>
      <c r="F44" s="7" t="str">
        <f>VLOOKUP(E44,[1]characters!$A:$C,3,FALSE)</f>
        <v>猛進の大逆者 ベリアル</v>
      </c>
      <c r="G44" s="7" t="str">
        <f>VLOOKUP(E44,[1]characters!$A:$J,10,FALSE)</f>
        <v>PremiumN</v>
      </c>
      <c r="H44" s="7">
        <f>VLOOKUP(E44,[1]characters!$A:$I,9,FALSE)</f>
        <v>5</v>
      </c>
      <c r="I44" s="7" t="str">
        <f>VLOOKUP(E44,[1]characters!$A:$H,8,FALSE)</f>
        <v>red</v>
      </c>
      <c r="J44" s="7" t="str">
        <f>VLOOKUP(E44,[1]characters!$A:$K,11,FALSE)</f>
        <v>attack</v>
      </c>
      <c r="K44" s="7" t="str">
        <f>VLOOKUP(E44,[1]characters!$A:$M,13,FALSE)</f>
        <v>god</v>
      </c>
      <c r="L44" s="7" t="str">
        <f>VLOOKUP(E44,[1]characters!$A:$G,7,FALSE)</f>
        <v>男性</v>
      </c>
      <c r="M44" s="62">
        <f ca="1">IFERROR(VLOOKUP(E44,input_314100!L:R,7,FALSE),VLOOKUP(tables_314100!B44,input_314100!A:H,8,FALSE))</f>
        <v>12950</v>
      </c>
      <c r="N44" s="63">
        <f t="shared" ca="1" si="3"/>
        <v>4.6296296296296298E-4</v>
      </c>
      <c r="O44" s="31">
        <f>IFERROR(VLOOKUP($E44,bug_conf_sheet!$A:$H,3,FALSE),VLOOKUP("other",bug_conf_sheet!$A:$H,3,FALSE))</f>
        <v>1</v>
      </c>
      <c r="P44" s="31">
        <f>IFERROR(VLOOKUP($E44,bug_conf_sheet!$A:$H,4,FALSE),VLOOKUP("other",bug_conf_sheet!$A:$H,4,FALSE))</f>
        <v>0</v>
      </c>
      <c r="Q44" s="31">
        <f>IFERROR(VLOOKUP($E44,bug_conf_sheet!$A:$H,5,FALSE),VLOOKUP("other",bug_conf_sheet!$A:$H,5,FALSE))</f>
        <v>0</v>
      </c>
      <c r="R44" s="31">
        <f>IFERROR(VLOOKUP($E44,bug_conf_sheet!$A:$H,6,FALSE),VLOOKUP("other",bug_conf_sheet!$A:$H,6,FALSE))</f>
        <v>0</v>
      </c>
      <c r="S44" s="31">
        <f>IFERROR(VLOOKUP($E44,bug_conf_sheet!$A:$H,7,FALSE),VLOOKUP("other",bug_conf_sheet!$A:$H,7,FALSE))</f>
        <v>0</v>
      </c>
      <c r="T44" s="31">
        <f>IFERROR(VLOOKUP($E44,bug_conf_sheet!$A:$H,8,FALSE),VLOOKUP("other",bug_conf_sheet!$A:$H,8,FALSE))</f>
        <v>1</v>
      </c>
    </row>
    <row r="45" spans="1:20" ht="21" customHeight="1">
      <c r="A45" s="2" t="str">
        <f ca="1">input_314100!A$2</f>
        <v>314100</v>
      </c>
      <c r="B45" s="7" t="str">
        <f t="shared" si="0"/>
        <v>Premium3</v>
      </c>
      <c r="C45" s="7" t="str">
        <f t="shared" si="1"/>
        <v>Premium</v>
      </c>
      <c r="D45" s="7" t="str">
        <f t="shared" si="2"/>
        <v>bg</v>
      </c>
      <c r="E45" s="6">
        <v>169</v>
      </c>
      <c r="F45" s="7" t="str">
        <f>VLOOKUP(E45,[1]characters!$A:$C,3,FALSE)</f>
        <v>オセ</v>
      </c>
      <c r="G45" s="7" t="str">
        <f>VLOOKUP(E45,[1]characters!$A:$J,10,FALSE)</f>
        <v>PremiumN</v>
      </c>
      <c r="H45" s="7">
        <f>VLOOKUP(E45,[1]characters!$A:$I,9,FALSE)</f>
        <v>3</v>
      </c>
      <c r="I45" s="7" t="str">
        <f>VLOOKUP(E45,[1]characters!$A:$H,8,FALSE)</f>
        <v>green</v>
      </c>
      <c r="J45" s="7" t="str">
        <f>VLOOKUP(E45,[1]characters!$A:$K,11,FALSE)</f>
        <v>attack</v>
      </c>
      <c r="K45" s="7" t="str">
        <f>VLOOKUP(E45,[1]characters!$A:$M,13,FALSE)</f>
        <v>god</v>
      </c>
      <c r="L45" s="7" t="str">
        <f>VLOOKUP(E45,[1]characters!$A:$G,7,FALSE)</f>
        <v>女性</v>
      </c>
      <c r="M45" s="62">
        <f ca="1">IFERROR(VLOOKUP(E45,input_314100!L:R,7,FALSE),VLOOKUP(tables_314100!B45,input_314100!A:H,8,FALSE))</f>
        <v>0</v>
      </c>
      <c r="N45" s="63">
        <f t="shared" ca="1" si="3"/>
        <v>0</v>
      </c>
      <c r="O45" s="31">
        <f>IFERROR(VLOOKUP($E45,bug_conf_sheet!$A:$H,3,FALSE),VLOOKUP("other",bug_conf_sheet!$A:$H,3,FALSE))</f>
        <v>1</v>
      </c>
      <c r="P45" s="31">
        <f>IFERROR(VLOOKUP($E45,bug_conf_sheet!$A:$H,4,FALSE),VLOOKUP("other",bug_conf_sheet!$A:$H,4,FALSE))</f>
        <v>0</v>
      </c>
      <c r="Q45" s="31">
        <f>IFERROR(VLOOKUP($E45,bug_conf_sheet!$A:$H,5,FALSE),VLOOKUP("other",bug_conf_sheet!$A:$H,5,FALSE))</f>
        <v>0</v>
      </c>
      <c r="R45" s="31">
        <f>IFERROR(VLOOKUP($E45,bug_conf_sheet!$A:$H,6,FALSE),VLOOKUP("other",bug_conf_sheet!$A:$H,6,FALSE))</f>
        <v>0</v>
      </c>
      <c r="S45" s="31">
        <f>IFERROR(VLOOKUP($E45,bug_conf_sheet!$A:$H,7,FALSE),VLOOKUP("other",bug_conf_sheet!$A:$H,7,FALSE))</f>
        <v>0</v>
      </c>
      <c r="T45" s="31">
        <f>IFERROR(VLOOKUP($E45,bug_conf_sheet!$A:$H,8,FALSE),VLOOKUP("other",bug_conf_sheet!$A:$H,8,FALSE))</f>
        <v>1</v>
      </c>
    </row>
    <row r="46" spans="1:20" ht="21" customHeight="1">
      <c r="A46" s="2" t="str">
        <f ca="1">input_314100!A$2</f>
        <v>314100</v>
      </c>
      <c r="B46" s="7" t="str">
        <f t="shared" si="0"/>
        <v>Premium4</v>
      </c>
      <c r="C46" s="7" t="str">
        <f t="shared" si="1"/>
        <v>Premium</v>
      </c>
      <c r="D46" s="7" t="str">
        <f t="shared" si="2"/>
        <v>bg</v>
      </c>
      <c r="E46" s="6">
        <v>170</v>
      </c>
      <c r="F46" s="7" t="str">
        <f>VLOOKUP(E46,[1]characters!$A:$C,3,FALSE)</f>
        <v>識徒 オセ</v>
      </c>
      <c r="G46" s="7" t="str">
        <f>VLOOKUP(E46,[1]characters!$A:$J,10,FALSE)</f>
        <v>PremiumN</v>
      </c>
      <c r="H46" s="7">
        <f>VLOOKUP(E46,[1]characters!$A:$I,9,FALSE)</f>
        <v>4</v>
      </c>
      <c r="I46" s="7" t="str">
        <f>VLOOKUP(E46,[1]characters!$A:$H,8,FALSE)</f>
        <v>green</v>
      </c>
      <c r="J46" s="7" t="str">
        <f>VLOOKUP(E46,[1]characters!$A:$K,11,FALSE)</f>
        <v>attack</v>
      </c>
      <c r="K46" s="7" t="str">
        <f>VLOOKUP(E46,[1]characters!$A:$M,13,FALSE)</f>
        <v>god</v>
      </c>
      <c r="L46" s="7" t="str">
        <f>VLOOKUP(E46,[1]characters!$A:$G,7,FALSE)</f>
        <v>女性</v>
      </c>
      <c r="M46" s="62">
        <f ca="1">IFERROR(VLOOKUP(E46,input_314100!L:R,7,FALSE),VLOOKUP(tables_314100!B46,input_314100!A:H,8,FALSE))</f>
        <v>342090</v>
      </c>
      <c r="N46" s="63">
        <f t="shared" ca="1" si="3"/>
        <v>1.222972972972973E-2</v>
      </c>
      <c r="O46" s="31">
        <f>IFERROR(VLOOKUP($E46,bug_conf_sheet!$A:$H,3,FALSE),VLOOKUP("other",bug_conf_sheet!$A:$H,3,FALSE))</f>
        <v>1</v>
      </c>
      <c r="P46" s="31">
        <f>IFERROR(VLOOKUP($E46,bug_conf_sheet!$A:$H,4,FALSE),VLOOKUP("other",bug_conf_sheet!$A:$H,4,FALSE))</f>
        <v>0</v>
      </c>
      <c r="Q46" s="31">
        <f>IFERROR(VLOOKUP($E46,bug_conf_sheet!$A:$H,5,FALSE),VLOOKUP("other",bug_conf_sheet!$A:$H,5,FALSE))</f>
        <v>0</v>
      </c>
      <c r="R46" s="31">
        <f>IFERROR(VLOOKUP($E46,bug_conf_sheet!$A:$H,6,FALSE),VLOOKUP("other",bug_conf_sheet!$A:$H,6,FALSE))</f>
        <v>0</v>
      </c>
      <c r="S46" s="31">
        <f>IFERROR(VLOOKUP($E46,bug_conf_sheet!$A:$H,7,FALSE),VLOOKUP("other",bug_conf_sheet!$A:$H,7,FALSE))</f>
        <v>0</v>
      </c>
      <c r="T46" s="31">
        <f>IFERROR(VLOOKUP($E46,bug_conf_sheet!$A:$H,8,FALSE),VLOOKUP("other",bug_conf_sheet!$A:$H,8,FALSE))</f>
        <v>1</v>
      </c>
    </row>
    <row r="47" spans="1:20" ht="21" customHeight="1">
      <c r="A47" s="2" t="str">
        <f ca="1">input_314100!A$2</f>
        <v>314100</v>
      </c>
      <c r="B47" s="7" t="str">
        <f t="shared" si="0"/>
        <v>Premium5</v>
      </c>
      <c r="C47" s="7" t="str">
        <f t="shared" si="1"/>
        <v>Premium</v>
      </c>
      <c r="D47" s="7" t="str">
        <f t="shared" si="2"/>
        <v>bg</v>
      </c>
      <c r="E47" s="6">
        <v>171</v>
      </c>
      <c r="F47" s="7" t="str">
        <f>VLOOKUP(E47,[1]characters!$A:$C,3,FALSE)</f>
        <v>精解の預知者 オセ</v>
      </c>
      <c r="G47" s="7" t="str">
        <f>VLOOKUP(E47,[1]characters!$A:$J,10,FALSE)</f>
        <v>PremiumN</v>
      </c>
      <c r="H47" s="7">
        <f>VLOOKUP(E47,[1]characters!$A:$I,9,FALSE)</f>
        <v>5</v>
      </c>
      <c r="I47" s="7" t="str">
        <f>VLOOKUP(E47,[1]characters!$A:$H,8,FALSE)</f>
        <v>green</v>
      </c>
      <c r="J47" s="7" t="str">
        <f>VLOOKUP(E47,[1]characters!$A:$K,11,FALSE)</f>
        <v>attack</v>
      </c>
      <c r="K47" s="7" t="str">
        <f>VLOOKUP(E47,[1]characters!$A:$M,13,FALSE)</f>
        <v>god</v>
      </c>
      <c r="L47" s="7" t="str">
        <f>VLOOKUP(E47,[1]characters!$A:$G,7,FALSE)</f>
        <v>女性</v>
      </c>
      <c r="M47" s="62">
        <f ca="1">IFERROR(VLOOKUP(E47,input_314100!L:R,7,FALSE),VLOOKUP(tables_314100!B47,input_314100!A:H,8,FALSE))</f>
        <v>12950</v>
      </c>
      <c r="N47" s="63">
        <f t="shared" ca="1" si="3"/>
        <v>4.6296296296296298E-4</v>
      </c>
      <c r="O47" s="31">
        <f>IFERROR(VLOOKUP($E47,bug_conf_sheet!$A:$H,3,FALSE),VLOOKUP("other",bug_conf_sheet!$A:$H,3,FALSE))</f>
        <v>1</v>
      </c>
      <c r="P47" s="31">
        <f>IFERROR(VLOOKUP($E47,bug_conf_sheet!$A:$H,4,FALSE),VLOOKUP("other",bug_conf_sheet!$A:$H,4,FALSE))</f>
        <v>0</v>
      </c>
      <c r="Q47" s="31">
        <f>IFERROR(VLOOKUP($E47,bug_conf_sheet!$A:$H,5,FALSE),VLOOKUP("other",bug_conf_sheet!$A:$H,5,FALSE))</f>
        <v>0</v>
      </c>
      <c r="R47" s="31">
        <f>IFERROR(VLOOKUP($E47,bug_conf_sheet!$A:$H,6,FALSE),VLOOKUP("other",bug_conf_sheet!$A:$H,6,FALSE))</f>
        <v>0</v>
      </c>
      <c r="S47" s="31">
        <f>IFERROR(VLOOKUP($E47,bug_conf_sheet!$A:$H,7,FALSE),VLOOKUP("other",bug_conf_sheet!$A:$H,7,FALSE))</f>
        <v>0</v>
      </c>
      <c r="T47" s="31">
        <f>IFERROR(VLOOKUP($E47,bug_conf_sheet!$A:$H,8,FALSE),VLOOKUP("other",bug_conf_sheet!$A:$H,8,FALSE))</f>
        <v>1</v>
      </c>
    </row>
    <row r="48" spans="1:20" ht="21" customHeight="1">
      <c r="A48" s="2" t="str">
        <f ca="1">input_314100!A$2</f>
        <v>314100</v>
      </c>
      <c r="B48" s="7" t="str">
        <f t="shared" si="0"/>
        <v>Premium3</v>
      </c>
      <c r="C48" s="7" t="str">
        <f t="shared" si="1"/>
        <v>Premium</v>
      </c>
      <c r="D48" s="7" t="str">
        <f t="shared" si="2"/>
        <v>bg</v>
      </c>
      <c r="E48" s="6">
        <v>172</v>
      </c>
      <c r="F48" s="7" t="str">
        <f>VLOOKUP(E48,[1]characters!$A:$C,3,FALSE)</f>
        <v>フォルネウス</v>
      </c>
      <c r="G48" s="7" t="str">
        <f>VLOOKUP(E48,[1]characters!$A:$J,10,FALSE)</f>
        <v>PremiumN</v>
      </c>
      <c r="H48" s="7">
        <f>VLOOKUP(E48,[1]characters!$A:$I,9,FALSE)</f>
        <v>3</v>
      </c>
      <c r="I48" s="7" t="str">
        <f>VLOOKUP(E48,[1]characters!$A:$H,8,FALSE)</f>
        <v>blue</v>
      </c>
      <c r="J48" s="7" t="str">
        <f>VLOOKUP(E48,[1]characters!$A:$K,11,FALSE)</f>
        <v>attack</v>
      </c>
      <c r="K48" s="7" t="str">
        <f>VLOOKUP(E48,[1]characters!$A:$M,13,FALSE)</f>
        <v>god</v>
      </c>
      <c r="L48" s="7" t="str">
        <f>VLOOKUP(E48,[1]characters!$A:$G,7,FALSE)</f>
        <v>女性</v>
      </c>
      <c r="M48" s="62">
        <f ca="1">IFERROR(VLOOKUP(E48,input_314100!L:R,7,FALSE),VLOOKUP(tables_314100!B48,input_314100!A:H,8,FALSE))</f>
        <v>0</v>
      </c>
      <c r="N48" s="63">
        <f t="shared" ca="1" si="3"/>
        <v>0</v>
      </c>
      <c r="O48" s="31">
        <f>IFERROR(VLOOKUP($E48,bug_conf_sheet!$A:$H,3,FALSE),VLOOKUP("other",bug_conf_sheet!$A:$H,3,FALSE))</f>
        <v>1</v>
      </c>
      <c r="P48" s="31">
        <f>IFERROR(VLOOKUP($E48,bug_conf_sheet!$A:$H,4,FALSE),VLOOKUP("other",bug_conf_sheet!$A:$H,4,FALSE))</f>
        <v>0</v>
      </c>
      <c r="Q48" s="31">
        <f>IFERROR(VLOOKUP($E48,bug_conf_sheet!$A:$H,5,FALSE),VLOOKUP("other",bug_conf_sheet!$A:$H,5,FALSE))</f>
        <v>0</v>
      </c>
      <c r="R48" s="31">
        <f>IFERROR(VLOOKUP($E48,bug_conf_sheet!$A:$H,6,FALSE),VLOOKUP("other",bug_conf_sheet!$A:$H,6,FALSE))</f>
        <v>0</v>
      </c>
      <c r="S48" s="31">
        <f>IFERROR(VLOOKUP($E48,bug_conf_sheet!$A:$H,7,FALSE),VLOOKUP("other",bug_conf_sheet!$A:$H,7,FALSE))</f>
        <v>0</v>
      </c>
      <c r="T48" s="31">
        <f>IFERROR(VLOOKUP($E48,bug_conf_sheet!$A:$H,8,FALSE),VLOOKUP("other",bug_conf_sheet!$A:$H,8,FALSE))</f>
        <v>1</v>
      </c>
    </row>
    <row r="49" spans="1:20" ht="21" customHeight="1">
      <c r="A49" s="2" t="str">
        <f ca="1">input_314100!A$2</f>
        <v>314100</v>
      </c>
      <c r="B49" s="7" t="str">
        <f t="shared" si="0"/>
        <v>Premium4</v>
      </c>
      <c r="C49" s="7" t="str">
        <f t="shared" si="1"/>
        <v>Premium</v>
      </c>
      <c r="D49" s="7" t="str">
        <f t="shared" si="2"/>
        <v>bg</v>
      </c>
      <c r="E49" s="6">
        <v>173</v>
      </c>
      <c r="F49" s="7" t="str">
        <f>VLOOKUP(E49,[1]characters!$A:$C,3,FALSE)</f>
        <v>公爵 フォルネウス</v>
      </c>
      <c r="G49" s="7" t="str">
        <f>VLOOKUP(E49,[1]characters!$A:$J,10,FALSE)</f>
        <v>PremiumN</v>
      </c>
      <c r="H49" s="7">
        <f>VLOOKUP(E49,[1]characters!$A:$I,9,FALSE)</f>
        <v>4</v>
      </c>
      <c r="I49" s="7" t="str">
        <f>VLOOKUP(E49,[1]characters!$A:$H,8,FALSE)</f>
        <v>blue</v>
      </c>
      <c r="J49" s="7" t="str">
        <f>VLOOKUP(E49,[1]characters!$A:$K,11,FALSE)</f>
        <v>attack</v>
      </c>
      <c r="K49" s="7" t="str">
        <f>VLOOKUP(E49,[1]characters!$A:$M,13,FALSE)</f>
        <v>god</v>
      </c>
      <c r="L49" s="7" t="str">
        <f>VLOOKUP(E49,[1]characters!$A:$G,7,FALSE)</f>
        <v>女性</v>
      </c>
      <c r="M49" s="62">
        <f ca="1">IFERROR(VLOOKUP(E49,input_314100!L:R,7,FALSE),VLOOKUP(tables_314100!B49,input_314100!A:H,8,FALSE))</f>
        <v>342090</v>
      </c>
      <c r="N49" s="63">
        <f t="shared" ca="1" si="3"/>
        <v>1.222972972972973E-2</v>
      </c>
      <c r="O49" s="31">
        <f>IFERROR(VLOOKUP($E49,bug_conf_sheet!$A:$H,3,FALSE),VLOOKUP("other",bug_conf_sheet!$A:$H,3,FALSE))</f>
        <v>1</v>
      </c>
      <c r="P49" s="31">
        <f>IFERROR(VLOOKUP($E49,bug_conf_sheet!$A:$H,4,FALSE),VLOOKUP("other",bug_conf_sheet!$A:$H,4,FALSE))</f>
        <v>0</v>
      </c>
      <c r="Q49" s="31">
        <f>IFERROR(VLOOKUP($E49,bug_conf_sheet!$A:$H,5,FALSE),VLOOKUP("other",bug_conf_sheet!$A:$H,5,FALSE))</f>
        <v>0</v>
      </c>
      <c r="R49" s="31">
        <f>IFERROR(VLOOKUP($E49,bug_conf_sheet!$A:$H,6,FALSE),VLOOKUP("other",bug_conf_sheet!$A:$H,6,FALSE))</f>
        <v>0</v>
      </c>
      <c r="S49" s="31">
        <f>IFERROR(VLOOKUP($E49,bug_conf_sheet!$A:$H,7,FALSE),VLOOKUP("other",bug_conf_sheet!$A:$H,7,FALSE))</f>
        <v>0</v>
      </c>
      <c r="T49" s="31">
        <f>IFERROR(VLOOKUP($E49,bug_conf_sheet!$A:$H,8,FALSE),VLOOKUP("other",bug_conf_sheet!$A:$H,8,FALSE))</f>
        <v>1</v>
      </c>
    </row>
    <row r="50" spans="1:20" ht="21" customHeight="1">
      <c r="A50" s="2" t="str">
        <f ca="1">input_314100!A$2</f>
        <v>314100</v>
      </c>
      <c r="B50" s="7" t="str">
        <f t="shared" si="0"/>
        <v>Premium5</v>
      </c>
      <c r="C50" s="7" t="str">
        <f t="shared" si="1"/>
        <v>Premium</v>
      </c>
      <c r="D50" s="7" t="str">
        <f t="shared" si="2"/>
        <v>bg</v>
      </c>
      <c r="E50" s="6">
        <v>174</v>
      </c>
      <c r="F50" s="7" t="str">
        <f>VLOOKUP(E50,[1]characters!$A:$C,3,FALSE)</f>
        <v>偽愛の大公爵 フォルネウス</v>
      </c>
      <c r="G50" s="7" t="str">
        <f>VLOOKUP(E50,[1]characters!$A:$J,10,FALSE)</f>
        <v>PremiumN</v>
      </c>
      <c r="H50" s="7">
        <f>VLOOKUP(E50,[1]characters!$A:$I,9,FALSE)</f>
        <v>5</v>
      </c>
      <c r="I50" s="7" t="str">
        <f>VLOOKUP(E50,[1]characters!$A:$H,8,FALSE)</f>
        <v>blue</v>
      </c>
      <c r="J50" s="7" t="str">
        <f>VLOOKUP(E50,[1]characters!$A:$K,11,FALSE)</f>
        <v>attack</v>
      </c>
      <c r="K50" s="7" t="str">
        <f>VLOOKUP(E50,[1]characters!$A:$M,13,FALSE)</f>
        <v>god</v>
      </c>
      <c r="L50" s="7" t="str">
        <f>VLOOKUP(E50,[1]characters!$A:$G,7,FALSE)</f>
        <v>女性</v>
      </c>
      <c r="M50" s="62">
        <f ca="1">IFERROR(VLOOKUP(E50,input_314100!L:R,7,FALSE),VLOOKUP(tables_314100!B50,input_314100!A:H,8,FALSE))</f>
        <v>12950</v>
      </c>
      <c r="N50" s="63">
        <f t="shared" ca="1" si="3"/>
        <v>4.6296296296296298E-4</v>
      </c>
      <c r="O50" s="31">
        <f>IFERROR(VLOOKUP($E50,bug_conf_sheet!$A:$H,3,FALSE),VLOOKUP("other",bug_conf_sheet!$A:$H,3,FALSE))</f>
        <v>1</v>
      </c>
      <c r="P50" s="31">
        <f>IFERROR(VLOOKUP($E50,bug_conf_sheet!$A:$H,4,FALSE),VLOOKUP("other",bug_conf_sheet!$A:$H,4,FALSE))</f>
        <v>0</v>
      </c>
      <c r="Q50" s="31">
        <f>IFERROR(VLOOKUP($E50,bug_conf_sheet!$A:$H,5,FALSE),VLOOKUP("other",bug_conf_sheet!$A:$H,5,FALSE))</f>
        <v>0</v>
      </c>
      <c r="R50" s="31">
        <f>IFERROR(VLOOKUP($E50,bug_conf_sheet!$A:$H,6,FALSE),VLOOKUP("other",bug_conf_sheet!$A:$H,6,FALSE))</f>
        <v>0</v>
      </c>
      <c r="S50" s="31">
        <f>IFERROR(VLOOKUP($E50,bug_conf_sheet!$A:$H,7,FALSE),VLOOKUP("other",bug_conf_sheet!$A:$H,7,FALSE))</f>
        <v>0</v>
      </c>
      <c r="T50" s="31">
        <f>IFERROR(VLOOKUP($E50,bug_conf_sheet!$A:$H,8,FALSE),VLOOKUP("other",bug_conf_sheet!$A:$H,8,FALSE))</f>
        <v>1</v>
      </c>
    </row>
    <row r="51" spans="1:20" ht="21" customHeight="1">
      <c r="A51" s="2" t="str">
        <f ca="1">input_314100!A$2</f>
        <v>314100</v>
      </c>
      <c r="B51" s="7" t="str">
        <f t="shared" si="0"/>
        <v>Premium3</v>
      </c>
      <c r="C51" s="7" t="str">
        <f t="shared" si="1"/>
        <v>Premium</v>
      </c>
      <c r="D51" s="7" t="str">
        <f t="shared" si="2"/>
        <v>ry</v>
      </c>
      <c r="E51" s="6">
        <v>175</v>
      </c>
      <c r="F51" s="7" t="str">
        <f>VLOOKUP(E51,[1]characters!$A:$C,3,FALSE)</f>
        <v>バフォメット</v>
      </c>
      <c r="G51" s="7" t="str">
        <f>VLOOKUP(E51,[1]characters!$A:$J,10,FALSE)</f>
        <v>PremiumN</v>
      </c>
      <c r="H51" s="7">
        <f>VLOOKUP(E51,[1]characters!$A:$I,9,FALSE)</f>
        <v>3</v>
      </c>
      <c r="I51" s="7" t="str">
        <f>VLOOKUP(E51,[1]characters!$A:$H,8,FALSE)</f>
        <v>yellow</v>
      </c>
      <c r="J51" s="7" t="str">
        <f>VLOOKUP(E51,[1]characters!$A:$K,11,FALSE)</f>
        <v>attack</v>
      </c>
      <c r="K51" s="7" t="str">
        <f>VLOOKUP(E51,[1]characters!$A:$M,13,FALSE)</f>
        <v>god</v>
      </c>
      <c r="L51" s="7" t="str">
        <f>VLOOKUP(E51,[1]characters!$A:$G,7,FALSE)</f>
        <v>女性</v>
      </c>
      <c r="M51" s="62">
        <f ca="1">IFERROR(VLOOKUP(E51,input_314100!L:R,7,FALSE),VLOOKUP(tables_314100!B51,input_314100!A:H,8,FALSE))</f>
        <v>0</v>
      </c>
      <c r="N51" s="63">
        <f t="shared" ca="1" si="3"/>
        <v>0</v>
      </c>
      <c r="O51" s="31">
        <f>IFERROR(VLOOKUP($E51,bug_conf_sheet!$A:$H,3,FALSE),VLOOKUP("other",bug_conf_sheet!$A:$H,3,FALSE))</f>
        <v>1</v>
      </c>
      <c r="P51" s="31">
        <f>IFERROR(VLOOKUP($E51,bug_conf_sheet!$A:$H,4,FALSE),VLOOKUP("other",bug_conf_sheet!$A:$H,4,FALSE))</f>
        <v>0</v>
      </c>
      <c r="Q51" s="31">
        <f>IFERROR(VLOOKUP($E51,bug_conf_sheet!$A:$H,5,FALSE),VLOOKUP("other",bug_conf_sheet!$A:$H,5,FALSE))</f>
        <v>0</v>
      </c>
      <c r="R51" s="31">
        <f>IFERROR(VLOOKUP($E51,bug_conf_sheet!$A:$H,6,FALSE),VLOOKUP("other",bug_conf_sheet!$A:$H,6,FALSE))</f>
        <v>0</v>
      </c>
      <c r="S51" s="31">
        <f>IFERROR(VLOOKUP($E51,bug_conf_sheet!$A:$H,7,FALSE),VLOOKUP("other",bug_conf_sheet!$A:$H,7,FALSE))</f>
        <v>0</v>
      </c>
      <c r="T51" s="31">
        <f>IFERROR(VLOOKUP($E51,bug_conf_sheet!$A:$H,8,FALSE),VLOOKUP("other",bug_conf_sheet!$A:$H,8,FALSE))</f>
        <v>1</v>
      </c>
    </row>
    <row r="52" spans="1:20" ht="21" customHeight="1">
      <c r="A52" s="2" t="str">
        <f ca="1">input_314100!A$2</f>
        <v>314100</v>
      </c>
      <c r="B52" s="7" t="str">
        <f t="shared" si="0"/>
        <v>Premium4</v>
      </c>
      <c r="C52" s="7" t="str">
        <f t="shared" si="1"/>
        <v>Premium</v>
      </c>
      <c r="D52" s="7" t="str">
        <f t="shared" si="2"/>
        <v>ry</v>
      </c>
      <c r="E52" s="6">
        <v>176</v>
      </c>
      <c r="F52" s="7" t="str">
        <f>VLOOKUP(E52,[1]characters!$A:$C,3,FALSE)</f>
        <v>異教徒 バフォメット</v>
      </c>
      <c r="G52" s="7" t="str">
        <f>VLOOKUP(E52,[1]characters!$A:$J,10,FALSE)</f>
        <v>PremiumN</v>
      </c>
      <c r="H52" s="7">
        <f>VLOOKUP(E52,[1]characters!$A:$I,9,FALSE)</f>
        <v>4</v>
      </c>
      <c r="I52" s="7" t="str">
        <f>VLOOKUP(E52,[1]characters!$A:$H,8,FALSE)</f>
        <v>yellow</v>
      </c>
      <c r="J52" s="7" t="str">
        <f>VLOOKUP(E52,[1]characters!$A:$K,11,FALSE)</f>
        <v>attack</v>
      </c>
      <c r="K52" s="7" t="str">
        <f>VLOOKUP(E52,[1]characters!$A:$M,13,FALSE)</f>
        <v>god</v>
      </c>
      <c r="L52" s="7" t="str">
        <f>VLOOKUP(E52,[1]characters!$A:$G,7,FALSE)</f>
        <v>女性</v>
      </c>
      <c r="M52" s="62">
        <f ca="1">IFERROR(VLOOKUP(E52,input_314100!L:R,7,FALSE),VLOOKUP(tables_314100!B52,input_314100!A:H,8,FALSE))</f>
        <v>342090</v>
      </c>
      <c r="N52" s="63">
        <f t="shared" ca="1" si="3"/>
        <v>1.222972972972973E-2</v>
      </c>
      <c r="O52" s="31">
        <f>IFERROR(VLOOKUP($E52,bug_conf_sheet!$A:$H,3,FALSE),VLOOKUP("other",bug_conf_sheet!$A:$H,3,FALSE))</f>
        <v>1</v>
      </c>
      <c r="P52" s="31">
        <f>IFERROR(VLOOKUP($E52,bug_conf_sheet!$A:$H,4,FALSE),VLOOKUP("other",bug_conf_sheet!$A:$H,4,FALSE))</f>
        <v>0</v>
      </c>
      <c r="Q52" s="31">
        <f>IFERROR(VLOOKUP($E52,bug_conf_sheet!$A:$H,5,FALSE),VLOOKUP("other",bug_conf_sheet!$A:$H,5,FALSE))</f>
        <v>0</v>
      </c>
      <c r="R52" s="31">
        <f>IFERROR(VLOOKUP($E52,bug_conf_sheet!$A:$H,6,FALSE),VLOOKUP("other",bug_conf_sheet!$A:$H,6,FALSE))</f>
        <v>0</v>
      </c>
      <c r="S52" s="31">
        <f>IFERROR(VLOOKUP($E52,bug_conf_sheet!$A:$H,7,FALSE),VLOOKUP("other",bug_conf_sheet!$A:$H,7,FALSE))</f>
        <v>0</v>
      </c>
      <c r="T52" s="31">
        <f>IFERROR(VLOOKUP($E52,bug_conf_sheet!$A:$H,8,FALSE),VLOOKUP("other",bug_conf_sheet!$A:$H,8,FALSE))</f>
        <v>1</v>
      </c>
    </row>
    <row r="53" spans="1:20" ht="21" customHeight="1">
      <c r="A53" s="2" t="str">
        <f ca="1">input_314100!A$2</f>
        <v>314100</v>
      </c>
      <c r="B53" s="7" t="str">
        <f t="shared" si="0"/>
        <v>Premium5</v>
      </c>
      <c r="C53" s="7" t="str">
        <f t="shared" si="1"/>
        <v>Premium</v>
      </c>
      <c r="D53" s="7" t="str">
        <f t="shared" si="2"/>
        <v>ry</v>
      </c>
      <c r="E53" s="6">
        <v>177</v>
      </c>
      <c r="F53" s="7" t="str">
        <f>VLOOKUP(E53,[1]characters!$A:$C,3,FALSE)</f>
        <v>黒魔の異端師 バフォメット</v>
      </c>
      <c r="G53" s="7" t="str">
        <f>VLOOKUP(E53,[1]characters!$A:$J,10,FALSE)</f>
        <v>PremiumN</v>
      </c>
      <c r="H53" s="7">
        <f>VLOOKUP(E53,[1]characters!$A:$I,9,FALSE)</f>
        <v>5</v>
      </c>
      <c r="I53" s="7" t="str">
        <f>VLOOKUP(E53,[1]characters!$A:$H,8,FALSE)</f>
        <v>yellow</v>
      </c>
      <c r="J53" s="7" t="str">
        <f>VLOOKUP(E53,[1]characters!$A:$K,11,FALSE)</f>
        <v>attack</v>
      </c>
      <c r="K53" s="7" t="str">
        <f>VLOOKUP(E53,[1]characters!$A:$M,13,FALSE)</f>
        <v>god</v>
      </c>
      <c r="L53" s="7" t="str">
        <f>VLOOKUP(E53,[1]characters!$A:$G,7,FALSE)</f>
        <v>女性</v>
      </c>
      <c r="M53" s="62">
        <f ca="1">IFERROR(VLOOKUP(E53,input_314100!L:R,7,FALSE),VLOOKUP(tables_314100!B53,input_314100!A:H,8,FALSE))</f>
        <v>12950</v>
      </c>
      <c r="N53" s="63">
        <f t="shared" ca="1" si="3"/>
        <v>4.6296296296296298E-4</v>
      </c>
      <c r="O53" s="31">
        <f>IFERROR(VLOOKUP($E53,bug_conf_sheet!$A:$H,3,FALSE),VLOOKUP("other",bug_conf_sheet!$A:$H,3,FALSE))</f>
        <v>1</v>
      </c>
      <c r="P53" s="31">
        <f>IFERROR(VLOOKUP($E53,bug_conf_sheet!$A:$H,4,FALSE),VLOOKUP("other",bug_conf_sheet!$A:$H,4,FALSE))</f>
        <v>0</v>
      </c>
      <c r="Q53" s="31">
        <f>IFERROR(VLOOKUP($E53,bug_conf_sheet!$A:$H,5,FALSE),VLOOKUP("other",bug_conf_sheet!$A:$H,5,FALSE))</f>
        <v>0</v>
      </c>
      <c r="R53" s="31">
        <f>IFERROR(VLOOKUP($E53,bug_conf_sheet!$A:$H,6,FALSE),VLOOKUP("other",bug_conf_sheet!$A:$H,6,FALSE))</f>
        <v>0</v>
      </c>
      <c r="S53" s="31">
        <f>IFERROR(VLOOKUP($E53,bug_conf_sheet!$A:$H,7,FALSE),VLOOKUP("other",bug_conf_sheet!$A:$H,7,FALSE))</f>
        <v>0</v>
      </c>
      <c r="T53" s="31">
        <f>IFERROR(VLOOKUP($E53,bug_conf_sheet!$A:$H,8,FALSE),VLOOKUP("other",bug_conf_sheet!$A:$H,8,FALSE))</f>
        <v>1</v>
      </c>
    </row>
    <row r="54" spans="1:20" ht="21" customHeight="1">
      <c r="A54" s="2" t="str">
        <f ca="1">input_314100!A$2</f>
        <v>314100</v>
      </c>
      <c r="B54" s="7" t="str">
        <f t="shared" si="0"/>
        <v>Premium3</v>
      </c>
      <c r="C54" s="7" t="str">
        <f t="shared" si="1"/>
        <v>Premium</v>
      </c>
      <c r="D54" s="7" t="str">
        <f t="shared" si="2"/>
        <v>ry</v>
      </c>
      <c r="E54" s="6">
        <v>178</v>
      </c>
      <c r="F54" s="7" t="str">
        <f>VLOOKUP(E54,[1]characters!$A:$C,3,FALSE)</f>
        <v>ケルベロス</v>
      </c>
      <c r="G54" s="7" t="str">
        <f>VLOOKUP(E54,[1]characters!$A:$J,10,FALSE)</f>
        <v>PremiumN</v>
      </c>
      <c r="H54" s="7">
        <f>VLOOKUP(E54,[1]characters!$A:$I,9,FALSE)</f>
        <v>3</v>
      </c>
      <c r="I54" s="7" t="str">
        <f>VLOOKUP(E54,[1]characters!$A:$H,8,FALSE)</f>
        <v>red</v>
      </c>
      <c r="J54" s="7" t="str">
        <f>VLOOKUP(E54,[1]characters!$A:$K,11,FALSE)</f>
        <v>balance</v>
      </c>
      <c r="K54" s="7" t="str">
        <f>VLOOKUP(E54,[1]characters!$A:$M,13,FALSE)</f>
        <v>animal</v>
      </c>
      <c r="L54" s="7" t="str">
        <f>VLOOKUP(E54,[1]characters!$A:$G,7,FALSE)</f>
        <v>女性</v>
      </c>
      <c r="M54" s="62">
        <f ca="1">IFERROR(VLOOKUP(E54,input_314100!L:R,7,FALSE),VLOOKUP(tables_314100!B54,input_314100!A:H,8,FALSE))</f>
        <v>0</v>
      </c>
      <c r="N54" s="63">
        <f t="shared" ca="1" si="3"/>
        <v>0</v>
      </c>
      <c r="O54" s="31">
        <f>IFERROR(VLOOKUP($E54,bug_conf_sheet!$A:$H,3,FALSE),VLOOKUP("other",bug_conf_sheet!$A:$H,3,FALSE))</f>
        <v>1</v>
      </c>
      <c r="P54" s="31">
        <f>IFERROR(VLOOKUP($E54,bug_conf_sheet!$A:$H,4,FALSE),VLOOKUP("other",bug_conf_sheet!$A:$H,4,FALSE))</f>
        <v>0</v>
      </c>
      <c r="Q54" s="31">
        <f>IFERROR(VLOOKUP($E54,bug_conf_sheet!$A:$H,5,FALSE),VLOOKUP("other",bug_conf_sheet!$A:$H,5,FALSE))</f>
        <v>0</v>
      </c>
      <c r="R54" s="31">
        <f>IFERROR(VLOOKUP($E54,bug_conf_sheet!$A:$H,6,FALSE),VLOOKUP("other",bug_conf_sheet!$A:$H,6,FALSE))</f>
        <v>0</v>
      </c>
      <c r="S54" s="31">
        <f>IFERROR(VLOOKUP($E54,bug_conf_sheet!$A:$H,7,FALSE),VLOOKUP("other",bug_conf_sheet!$A:$H,7,FALSE))</f>
        <v>0</v>
      </c>
      <c r="T54" s="31">
        <f>IFERROR(VLOOKUP($E54,bug_conf_sheet!$A:$H,8,FALSE),VLOOKUP("other",bug_conf_sheet!$A:$H,8,FALSE))</f>
        <v>1</v>
      </c>
    </row>
    <row r="55" spans="1:20" ht="21" customHeight="1">
      <c r="A55" s="2" t="str">
        <f ca="1">input_314100!A$2</f>
        <v>314100</v>
      </c>
      <c r="B55" s="7" t="str">
        <f t="shared" si="0"/>
        <v>Premium4</v>
      </c>
      <c r="C55" s="7" t="str">
        <f t="shared" si="1"/>
        <v>Premium</v>
      </c>
      <c r="D55" s="7" t="str">
        <f t="shared" si="2"/>
        <v>ry</v>
      </c>
      <c r="E55" s="6">
        <v>179</v>
      </c>
      <c r="F55" s="7" t="str">
        <f>VLOOKUP(E55,[1]characters!$A:$C,3,FALSE)</f>
        <v>番犬 ケルベロス</v>
      </c>
      <c r="G55" s="7" t="str">
        <f>VLOOKUP(E55,[1]characters!$A:$J,10,FALSE)</f>
        <v>PremiumN</v>
      </c>
      <c r="H55" s="7">
        <f>VLOOKUP(E55,[1]characters!$A:$I,9,FALSE)</f>
        <v>4</v>
      </c>
      <c r="I55" s="7" t="str">
        <f>VLOOKUP(E55,[1]characters!$A:$H,8,FALSE)</f>
        <v>red</v>
      </c>
      <c r="J55" s="7" t="str">
        <f>VLOOKUP(E55,[1]characters!$A:$K,11,FALSE)</f>
        <v>balance</v>
      </c>
      <c r="K55" s="7" t="str">
        <f>VLOOKUP(E55,[1]characters!$A:$M,13,FALSE)</f>
        <v>animal</v>
      </c>
      <c r="L55" s="7" t="str">
        <f>VLOOKUP(E55,[1]characters!$A:$G,7,FALSE)</f>
        <v>女性</v>
      </c>
      <c r="M55" s="62">
        <f ca="1">IFERROR(VLOOKUP(E55,input_314100!L:R,7,FALSE),VLOOKUP(tables_314100!B55,input_314100!A:H,8,FALSE))</f>
        <v>342090</v>
      </c>
      <c r="N55" s="63">
        <f t="shared" ca="1" si="3"/>
        <v>1.222972972972973E-2</v>
      </c>
      <c r="O55" s="31">
        <f>IFERROR(VLOOKUP($E55,bug_conf_sheet!$A:$H,3,FALSE),VLOOKUP("other",bug_conf_sheet!$A:$H,3,FALSE))</f>
        <v>1</v>
      </c>
      <c r="P55" s="31">
        <f>IFERROR(VLOOKUP($E55,bug_conf_sheet!$A:$H,4,FALSE),VLOOKUP("other",bug_conf_sheet!$A:$H,4,FALSE))</f>
        <v>0</v>
      </c>
      <c r="Q55" s="31">
        <f>IFERROR(VLOOKUP($E55,bug_conf_sheet!$A:$H,5,FALSE),VLOOKUP("other",bug_conf_sheet!$A:$H,5,FALSE))</f>
        <v>0</v>
      </c>
      <c r="R55" s="31">
        <f>IFERROR(VLOOKUP($E55,bug_conf_sheet!$A:$H,6,FALSE),VLOOKUP("other",bug_conf_sheet!$A:$H,6,FALSE))</f>
        <v>0</v>
      </c>
      <c r="S55" s="31">
        <f>IFERROR(VLOOKUP($E55,bug_conf_sheet!$A:$H,7,FALSE),VLOOKUP("other",bug_conf_sheet!$A:$H,7,FALSE))</f>
        <v>0</v>
      </c>
      <c r="T55" s="31">
        <f>IFERROR(VLOOKUP($E55,bug_conf_sheet!$A:$H,8,FALSE),VLOOKUP("other",bug_conf_sheet!$A:$H,8,FALSE))</f>
        <v>1</v>
      </c>
    </row>
    <row r="56" spans="1:20" ht="21" customHeight="1">
      <c r="A56" s="2" t="str">
        <f ca="1">input_314100!A$2</f>
        <v>314100</v>
      </c>
      <c r="B56" s="7" t="str">
        <f t="shared" si="0"/>
        <v>Premium5</v>
      </c>
      <c r="C56" s="7" t="str">
        <f t="shared" si="1"/>
        <v>Premium</v>
      </c>
      <c r="D56" s="7" t="str">
        <f t="shared" si="2"/>
        <v>ry</v>
      </c>
      <c r="E56" s="6">
        <v>180</v>
      </c>
      <c r="F56" s="7" t="str">
        <f>VLOOKUP(E56,[1]characters!$A:$C,3,FALSE)</f>
        <v>地獄の大門番 ケルベロス</v>
      </c>
      <c r="G56" s="7" t="str">
        <f>VLOOKUP(E56,[1]characters!$A:$J,10,FALSE)</f>
        <v>PremiumN</v>
      </c>
      <c r="H56" s="7">
        <f>VLOOKUP(E56,[1]characters!$A:$I,9,FALSE)</f>
        <v>5</v>
      </c>
      <c r="I56" s="7" t="str">
        <f>VLOOKUP(E56,[1]characters!$A:$H,8,FALSE)</f>
        <v>red</v>
      </c>
      <c r="J56" s="7" t="str">
        <f>VLOOKUP(E56,[1]characters!$A:$K,11,FALSE)</f>
        <v>balance</v>
      </c>
      <c r="K56" s="7" t="str">
        <f>VLOOKUP(E56,[1]characters!$A:$M,13,FALSE)</f>
        <v>animal</v>
      </c>
      <c r="L56" s="7" t="str">
        <f>VLOOKUP(E56,[1]characters!$A:$G,7,FALSE)</f>
        <v>女性</v>
      </c>
      <c r="M56" s="62">
        <f ca="1">IFERROR(VLOOKUP(E56,input_314100!L:R,7,FALSE),VLOOKUP(tables_314100!B56,input_314100!A:H,8,FALSE))</f>
        <v>12950</v>
      </c>
      <c r="N56" s="63">
        <f t="shared" ca="1" si="3"/>
        <v>4.6296296296296298E-4</v>
      </c>
      <c r="O56" s="31">
        <f>IFERROR(VLOOKUP($E56,bug_conf_sheet!$A:$H,3,FALSE),VLOOKUP("other",bug_conf_sheet!$A:$H,3,FALSE))</f>
        <v>1</v>
      </c>
      <c r="P56" s="31">
        <f>IFERROR(VLOOKUP($E56,bug_conf_sheet!$A:$H,4,FALSE),VLOOKUP("other",bug_conf_sheet!$A:$H,4,FALSE))</f>
        <v>0</v>
      </c>
      <c r="Q56" s="31">
        <f>IFERROR(VLOOKUP($E56,bug_conf_sheet!$A:$H,5,FALSE),VLOOKUP("other",bug_conf_sheet!$A:$H,5,FALSE))</f>
        <v>0</v>
      </c>
      <c r="R56" s="31">
        <f>IFERROR(VLOOKUP($E56,bug_conf_sheet!$A:$H,6,FALSE),VLOOKUP("other",bug_conf_sheet!$A:$H,6,FALSE))</f>
        <v>0</v>
      </c>
      <c r="S56" s="31">
        <f>IFERROR(VLOOKUP($E56,bug_conf_sheet!$A:$H,7,FALSE),VLOOKUP("other",bug_conf_sheet!$A:$H,7,FALSE))</f>
        <v>0</v>
      </c>
      <c r="T56" s="31">
        <f>IFERROR(VLOOKUP($E56,bug_conf_sheet!$A:$H,8,FALSE),VLOOKUP("other",bug_conf_sheet!$A:$H,8,FALSE))</f>
        <v>1</v>
      </c>
    </row>
    <row r="57" spans="1:20" ht="21" customHeight="1">
      <c r="A57" s="2" t="str">
        <f ca="1">input_314100!A$2</f>
        <v>314100</v>
      </c>
      <c r="B57" s="7" t="str">
        <f t="shared" si="0"/>
        <v>Premium3</v>
      </c>
      <c r="C57" s="7" t="str">
        <f t="shared" si="1"/>
        <v>Premium</v>
      </c>
      <c r="D57" s="7" t="str">
        <f t="shared" si="2"/>
        <v>bg</v>
      </c>
      <c r="E57" s="6">
        <v>181</v>
      </c>
      <c r="F57" s="7" t="str">
        <f>VLOOKUP(E57,[1]characters!$A:$C,3,FALSE)</f>
        <v>ベヒモス</v>
      </c>
      <c r="G57" s="7" t="str">
        <f>VLOOKUP(E57,[1]characters!$A:$J,10,FALSE)</f>
        <v>PremiumN</v>
      </c>
      <c r="H57" s="7">
        <f>VLOOKUP(E57,[1]characters!$A:$I,9,FALSE)</f>
        <v>3</v>
      </c>
      <c r="I57" s="7" t="str">
        <f>VLOOKUP(E57,[1]characters!$A:$H,8,FALSE)</f>
        <v>green</v>
      </c>
      <c r="J57" s="7" t="str">
        <f>VLOOKUP(E57,[1]characters!$A:$K,11,FALSE)</f>
        <v>hp</v>
      </c>
      <c r="K57" s="7" t="str">
        <f>VLOOKUP(E57,[1]characters!$A:$M,13,FALSE)</f>
        <v>animal</v>
      </c>
      <c r="L57" s="7" t="str">
        <f>VLOOKUP(E57,[1]characters!$A:$G,7,FALSE)</f>
        <v>女性</v>
      </c>
      <c r="M57" s="62">
        <f ca="1">IFERROR(VLOOKUP(E57,input_314100!L:R,7,FALSE),VLOOKUP(tables_314100!B57,input_314100!A:H,8,FALSE))</f>
        <v>0</v>
      </c>
      <c r="N57" s="63">
        <f t="shared" ca="1" si="3"/>
        <v>0</v>
      </c>
      <c r="O57" s="31">
        <f>IFERROR(VLOOKUP($E57,bug_conf_sheet!$A:$H,3,FALSE),VLOOKUP("other",bug_conf_sheet!$A:$H,3,FALSE))</f>
        <v>1</v>
      </c>
      <c r="P57" s="31">
        <f>IFERROR(VLOOKUP($E57,bug_conf_sheet!$A:$H,4,FALSE),VLOOKUP("other",bug_conf_sheet!$A:$H,4,FALSE))</f>
        <v>0</v>
      </c>
      <c r="Q57" s="31">
        <f>IFERROR(VLOOKUP($E57,bug_conf_sheet!$A:$H,5,FALSE),VLOOKUP("other",bug_conf_sheet!$A:$H,5,FALSE))</f>
        <v>0</v>
      </c>
      <c r="R57" s="31">
        <f>IFERROR(VLOOKUP($E57,bug_conf_sheet!$A:$H,6,FALSE),VLOOKUP("other",bug_conf_sheet!$A:$H,6,FALSE))</f>
        <v>0</v>
      </c>
      <c r="S57" s="31">
        <f>IFERROR(VLOOKUP($E57,bug_conf_sheet!$A:$H,7,FALSE),VLOOKUP("other",bug_conf_sheet!$A:$H,7,FALSE))</f>
        <v>0</v>
      </c>
      <c r="T57" s="31">
        <f>IFERROR(VLOOKUP($E57,bug_conf_sheet!$A:$H,8,FALSE),VLOOKUP("other",bug_conf_sheet!$A:$H,8,FALSE))</f>
        <v>1</v>
      </c>
    </row>
    <row r="58" spans="1:20" ht="21" customHeight="1">
      <c r="A58" s="2" t="str">
        <f ca="1">input_314100!A$2</f>
        <v>314100</v>
      </c>
      <c r="B58" s="7" t="str">
        <f t="shared" si="0"/>
        <v>Premium4</v>
      </c>
      <c r="C58" s="7" t="str">
        <f t="shared" si="1"/>
        <v>Premium</v>
      </c>
      <c r="D58" s="7" t="str">
        <f t="shared" si="2"/>
        <v>bg</v>
      </c>
      <c r="E58" s="6">
        <v>182</v>
      </c>
      <c r="F58" s="7" t="str">
        <f>VLOOKUP(E58,[1]characters!$A:$C,3,FALSE)</f>
        <v>放蕩者 ベヒモス</v>
      </c>
      <c r="G58" s="7" t="str">
        <f>VLOOKUP(E58,[1]characters!$A:$J,10,FALSE)</f>
        <v>PremiumN</v>
      </c>
      <c r="H58" s="7">
        <f>VLOOKUP(E58,[1]characters!$A:$I,9,FALSE)</f>
        <v>4</v>
      </c>
      <c r="I58" s="7" t="str">
        <f>VLOOKUP(E58,[1]characters!$A:$H,8,FALSE)</f>
        <v>green</v>
      </c>
      <c r="J58" s="7" t="str">
        <f>VLOOKUP(E58,[1]characters!$A:$K,11,FALSE)</f>
        <v>hp</v>
      </c>
      <c r="K58" s="7" t="str">
        <f>VLOOKUP(E58,[1]characters!$A:$M,13,FALSE)</f>
        <v>animal</v>
      </c>
      <c r="L58" s="7" t="str">
        <f>VLOOKUP(E58,[1]characters!$A:$G,7,FALSE)</f>
        <v>女性</v>
      </c>
      <c r="M58" s="62">
        <f ca="1">IFERROR(VLOOKUP(E58,input_314100!L:R,7,FALSE),VLOOKUP(tables_314100!B58,input_314100!A:H,8,FALSE))</f>
        <v>342090</v>
      </c>
      <c r="N58" s="63">
        <f t="shared" ca="1" si="3"/>
        <v>1.222972972972973E-2</v>
      </c>
      <c r="O58" s="31">
        <f>IFERROR(VLOOKUP($E58,bug_conf_sheet!$A:$H,3,FALSE),VLOOKUP("other",bug_conf_sheet!$A:$H,3,FALSE))</f>
        <v>1</v>
      </c>
      <c r="P58" s="31">
        <f>IFERROR(VLOOKUP($E58,bug_conf_sheet!$A:$H,4,FALSE),VLOOKUP("other",bug_conf_sheet!$A:$H,4,FALSE))</f>
        <v>0</v>
      </c>
      <c r="Q58" s="31">
        <f>IFERROR(VLOOKUP($E58,bug_conf_sheet!$A:$H,5,FALSE),VLOOKUP("other",bug_conf_sheet!$A:$H,5,FALSE))</f>
        <v>0</v>
      </c>
      <c r="R58" s="31">
        <f>IFERROR(VLOOKUP($E58,bug_conf_sheet!$A:$H,6,FALSE),VLOOKUP("other",bug_conf_sheet!$A:$H,6,FALSE))</f>
        <v>0</v>
      </c>
      <c r="S58" s="31">
        <f>IFERROR(VLOOKUP($E58,bug_conf_sheet!$A:$H,7,FALSE),VLOOKUP("other",bug_conf_sheet!$A:$H,7,FALSE))</f>
        <v>0</v>
      </c>
      <c r="T58" s="31">
        <f>IFERROR(VLOOKUP($E58,bug_conf_sheet!$A:$H,8,FALSE),VLOOKUP("other",bug_conf_sheet!$A:$H,8,FALSE))</f>
        <v>1</v>
      </c>
    </row>
    <row r="59" spans="1:20" ht="21" customHeight="1">
      <c r="A59" s="2" t="str">
        <f ca="1">input_314100!A$2</f>
        <v>314100</v>
      </c>
      <c r="B59" s="7" t="str">
        <f t="shared" si="0"/>
        <v>Premium5</v>
      </c>
      <c r="C59" s="7" t="str">
        <f t="shared" si="1"/>
        <v>Premium</v>
      </c>
      <c r="D59" s="7" t="str">
        <f t="shared" si="2"/>
        <v>bg</v>
      </c>
      <c r="E59" s="6">
        <v>183</v>
      </c>
      <c r="F59" s="7" t="str">
        <f>VLOOKUP(E59,[1]characters!$A:$C,3,FALSE)</f>
        <v>鈍重な彷徨者 ベヒモス</v>
      </c>
      <c r="G59" s="7" t="str">
        <f>VLOOKUP(E59,[1]characters!$A:$J,10,FALSE)</f>
        <v>PremiumN</v>
      </c>
      <c r="H59" s="7">
        <f>VLOOKUP(E59,[1]characters!$A:$I,9,FALSE)</f>
        <v>5</v>
      </c>
      <c r="I59" s="7" t="str">
        <f>VLOOKUP(E59,[1]characters!$A:$H,8,FALSE)</f>
        <v>green</v>
      </c>
      <c r="J59" s="7" t="str">
        <f>VLOOKUP(E59,[1]characters!$A:$K,11,FALSE)</f>
        <v>hp</v>
      </c>
      <c r="K59" s="7" t="str">
        <f>VLOOKUP(E59,[1]characters!$A:$M,13,FALSE)</f>
        <v>animal</v>
      </c>
      <c r="L59" s="7" t="str">
        <f>VLOOKUP(E59,[1]characters!$A:$G,7,FALSE)</f>
        <v>女性</v>
      </c>
      <c r="M59" s="62">
        <f ca="1">IFERROR(VLOOKUP(E59,input_314100!L:R,7,FALSE),VLOOKUP(tables_314100!B59,input_314100!A:H,8,FALSE))</f>
        <v>12950</v>
      </c>
      <c r="N59" s="63">
        <f t="shared" ca="1" si="3"/>
        <v>4.6296296296296298E-4</v>
      </c>
      <c r="O59" s="31">
        <f>IFERROR(VLOOKUP($E59,bug_conf_sheet!$A:$H,3,FALSE),VLOOKUP("other",bug_conf_sheet!$A:$H,3,FALSE))</f>
        <v>1</v>
      </c>
      <c r="P59" s="31">
        <f>IFERROR(VLOOKUP($E59,bug_conf_sheet!$A:$H,4,FALSE),VLOOKUP("other",bug_conf_sheet!$A:$H,4,FALSE))</f>
        <v>0</v>
      </c>
      <c r="Q59" s="31">
        <f>IFERROR(VLOOKUP($E59,bug_conf_sheet!$A:$H,5,FALSE),VLOOKUP("other",bug_conf_sheet!$A:$H,5,FALSE))</f>
        <v>0</v>
      </c>
      <c r="R59" s="31">
        <f>IFERROR(VLOOKUP($E59,bug_conf_sheet!$A:$H,6,FALSE),VLOOKUP("other",bug_conf_sheet!$A:$H,6,FALSE))</f>
        <v>0</v>
      </c>
      <c r="S59" s="31">
        <f>IFERROR(VLOOKUP($E59,bug_conf_sheet!$A:$H,7,FALSE),VLOOKUP("other",bug_conf_sheet!$A:$H,7,FALSE))</f>
        <v>0</v>
      </c>
      <c r="T59" s="31">
        <f>IFERROR(VLOOKUP($E59,bug_conf_sheet!$A:$H,8,FALSE),VLOOKUP("other",bug_conf_sheet!$A:$H,8,FALSE))</f>
        <v>1</v>
      </c>
    </row>
    <row r="60" spans="1:20" ht="21" customHeight="1">
      <c r="A60" s="2" t="str">
        <f ca="1">input_314100!A$2</f>
        <v>314100</v>
      </c>
      <c r="B60" s="7" t="str">
        <f t="shared" si="0"/>
        <v>Premium3</v>
      </c>
      <c r="C60" s="7" t="str">
        <f t="shared" si="1"/>
        <v>Premium</v>
      </c>
      <c r="D60" s="7" t="str">
        <f t="shared" si="2"/>
        <v>bg</v>
      </c>
      <c r="E60" s="6">
        <v>184</v>
      </c>
      <c r="F60" s="7" t="str">
        <f>VLOOKUP(E60,[1]characters!$A:$C,3,FALSE)</f>
        <v>クラーケン</v>
      </c>
      <c r="G60" s="7" t="str">
        <f>VLOOKUP(E60,[1]characters!$A:$J,10,FALSE)</f>
        <v>PremiumN</v>
      </c>
      <c r="H60" s="7">
        <f>VLOOKUP(E60,[1]characters!$A:$I,9,FALSE)</f>
        <v>3</v>
      </c>
      <c r="I60" s="7" t="str">
        <f>VLOOKUP(E60,[1]characters!$A:$H,8,FALSE)</f>
        <v>blue</v>
      </c>
      <c r="J60" s="7" t="str">
        <f>VLOOKUP(E60,[1]characters!$A:$K,11,FALSE)</f>
        <v>heal</v>
      </c>
      <c r="K60" s="7" t="str">
        <f>VLOOKUP(E60,[1]characters!$A:$M,13,FALSE)</f>
        <v>animal</v>
      </c>
      <c r="L60" s="7" t="str">
        <f>VLOOKUP(E60,[1]characters!$A:$G,7,FALSE)</f>
        <v>女性</v>
      </c>
      <c r="M60" s="62">
        <f ca="1">IFERROR(VLOOKUP(E60,input_314100!L:R,7,FALSE),VLOOKUP(tables_314100!B60,input_314100!A:H,8,FALSE))</f>
        <v>0</v>
      </c>
      <c r="N60" s="63">
        <f t="shared" ca="1" si="3"/>
        <v>0</v>
      </c>
      <c r="O60" s="31">
        <f>IFERROR(VLOOKUP($E60,bug_conf_sheet!$A:$H,3,FALSE),VLOOKUP("other",bug_conf_sheet!$A:$H,3,FALSE))</f>
        <v>1</v>
      </c>
      <c r="P60" s="31">
        <f>IFERROR(VLOOKUP($E60,bug_conf_sheet!$A:$H,4,FALSE),VLOOKUP("other",bug_conf_sheet!$A:$H,4,FALSE))</f>
        <v>0</v>
      </c>
      <c r="Q60" s="31">
        <f>IFERROR(VLOOKUP($E60,bug_conf_sheet!$A:$H,5,FALSE),VLOOKUP("other",bug_conf_sheet!$A:$H,5,FALSE))</f>
        <v>0</v>
      </c>
      <c r="R60" s="31">
        <f>IFERROR(VLOOKUP($E60,bug_conf_sheet!$A:$H,6,FALSE),VLOOKUP("other",bug_conf_sheet!$A:$H,6,FALSE))</f>
        <v>0</v>
      </c>
      <c r="S60" s="31">
        <f>IFERROR(VLOOKUP($E60,bug_conf_sheet!$A:$H,7,FALSE),VLOOKUP("other",bug_conf_sheet!$A:$H,7,FALSE))</f>
        <v>0</v>
      </c>
      <c r="T60" s="31">
        <f>IFERROR(VLOOKUP($E60,bug_conf_sheet!$A:$H,8,FALSE),VLOOKUP("other",bug_conf_sheet!$A:$H,8,FALSE))</f>
        <v>1</v>
      </c>
    </row>
    <row r="61" spans="1:20" ht="21" customHeight="1">
      <c r="A61" s="2" t="str">
        <f ca="1">input_314100!A$2</f>
        <v>314100</v>
      </c>
      <c r="B61" s="7" t="str">
        <f t="shared" si="0"/>
        <v>Premium4</v>
      </c>
      <c r="C61" s="7" t="str">
        <f t="shared" si="1"/>
        <v>Premium</v>
      </c>
      <c r="D61" s="7" t="str">
        <f t="shared" si="2"/>
        <v>bg</v>
      </c>
      <c r="E61" s="6">
        <v>185</v>
      </c>
      <c r="F61" s="7" t="str">
        <f>VLOOKUP(E61,[1]characters!$A:$C,3,FALSE)</f>
        <v>海姫 クラーケン</v>
      </c>
      <c r="G61" s="7" t="str">
        <f>VLOOKUP(E61,[1]characters!$A:$J,10,FALSE)</f>
        <v>PremiumN</v>
      </c>
      <c r="H61" s="7">
        <f>VLOOKUP(E61,[1]characters!$A:$I,9,FALSE)</f>
        <v>4</v>
      </c>
      <c r="I61" s="7" t="str">
        <f>VLOOKUP(E61,[1]characters!$A:$H,8,FALSE)</f>
        <v>blue</v>
      </c>
      <c r="J61" s="7" t="str">
        <f>VLOOKUP(E61,[1]characters!$A:$K,11,FALSE)</f>
        <v>heal</v>
      </c>
      <c r="K61" s="7" t="str">
        <f>VLOOKUP(E61,[1]characters!$A:$M,13,FALSE)</f>
        <v>animal</v>
      </c>
      <c r="L61" s="7" t="str">
        <f>VLOOKUP(E61,[1]characters!$A:$G,7,FALSE)</f>
        <v>女性</v>
      </c>
      <c r="M61" s="62">
        <f ca="1">IFERROR(VLOOKUP(E61,input_314100!L:R,7,FALSE),VLOOKUP(tables_314100!B61,input_314100!A:H,8,FALSE))</f>
        <v>342090</v>
      </c>
      <c r="N61" s="63">
        <f t="shared" ca="1" si="3"/>
        <v>1.222972972972973E-2</v>
      </c>
      <c r="O61" s="31">
        <f>IFERROR(VLOOKUP($E61,bug_conf_sheet!$A:$H,3,FALSE),VLOOKUP("other",bug_conf_sheet!$A:$H,3,FALSE))</f>
        <v>1</v>
      </c>
      <c r="P61" s="31">
        <f>IFERROR(VLOOKUP($E61,bug_conf_sheet!$A:$H,4,FALSE),VLOOKUP("other",bug_conf_sheet!$A:$H,4,FALSE))</f>
        <v>0</v>
      </c>
      <c r="Q61" s="31">
        <f>IFERROR(VLOOKUP($E61,bug_conf_sheet!$A:$H,5,FALSE),VLOOKUP("other",bug_conf_sheet!$A:$H,5,FALSE))</f>
        <v>0</v>
      </c>
      <c r="R61" s="31">
        <f>IFERROR(VLOOKUP($E61,bug_conf_sheet!$A:$H,6,FALSE),VLOOKUP("other",bug_conf_sheet!$A:$H,6,FALSE))</f>
        <v>0</v>
      </c>
      <c r="S61" s="31">
        <f>IFERROR(VLOOKUP($E61,bug_conf_sheet!$A:$H,7,FALSE),VLOOKUP("other",bug_conf_sheet!$A:$H,7,FALSE))</f>
        <v>0</v>
      </c>
      <c r="T61" s="31">
        <f>IFERROR(VLOOKUP($E61,bug_conf_sheet!$A:$H,8,FALSE),VLOOKUP("other",bug_conf_sheet!$A:$H,8,FALSE))</f>
        <v>1</v>
      </c>
    </row>
    <row r="62" spans="1:20" ht="21" customHeight="1">
      <c r="A62" s="2" t="str">
        <f ca="1">input_314100!A$2</f>
        <v>314100</v>
      </c>
      <c r="B62" s="7" t="str">
        <f t="shared" si="0"/>
        <v>Premium5</v>
      </c>
      <c r="C62" s="7" t="str">
        <f t="shared" si="1"/>
        <v>Premium</v>
      </c>
      <c r="D62" s="7" t="str">
        <f t="shared" si="2"/>
        <v>bg</v>
      </c>
      <c r="E62" s="8">
        <v>186</v>
      </c>
      <c r="F62" s="7" t="str">
        <f>VLOOKUP(E62,[1]characters!$A:$C,3,FALSE)</f>
        <v>誇り高き多触姫・クラーケン</v>
      </c>
      <c r="G62" s="7" t="str">
        <f>VLOOKUP(E62,[1]characters!$A:$J,10,FALSE)</f>
        <v>PremiumN</v>
      </c>
      <c r="H62" s="7">
        <f>VLOOKUP(E62,[1]characters!$A:$I,9,FALSE)</f>
        <v>5</v>
      </c>
      <c r="I62" s="7" t="str">
        <f>VLOOKUP(E62,[1]characters!$A:$H,8,FALSE)</f>
        <v>blue</v>
      </c>
      <c r="J62" s="7" t="str">
        <f>VLOOKUP(E62,[1]characters!$A:$K,11,FALSE)</f>
        <v>heal</v>
      </c>
      <c r="K62" s="7" t="str">
        <f>VLOOKUP(E62,[1]characters!$A:$M,13,FALSE)</f>
        <v>animal</v>
      </c>
      <c r="L62" s="7" t="str">
        <f>VLOOKUP(E62,[1]characters!$A:$G,7,FALSE)</f>
        <v>女性</v>
      </c>
      <c r="M62" s="62">
        <f ca="1">IFERROR(VLOOKUP(E62,input_314100!L:R,7,FALSE),VLOOKUP(tables_314100!B62,input_314100!A:H,8,FALSE))</f>
        <v>12950</v>
      </c>
      <c r="N62" s="63">
        <f t="shared" ca="1" si="3"/>
        <v>4.6296296296296298E-4</v>
      </c>
      <c r="O62" s="31">
        <f>IFERROR(VLOOKUP($E62,bug_conf_sheet!$A:$H,3,FALSE),VLOOKUP("other",bug_conf_sheet!$A:$H,3,FALSE))</f>
        <v>1</v>
      </c>
      <c r="P62" s="31">
        <f>IFERROR(VLOOKUP($E62,bug_conf_sheet!$A:$H,4,FALSE),VLOOKUP("other",bug_conf_sheet!$A:$H,4,FALSE))</f>
        <v>0</v>
      </c>
      <c r="Q62" s="31">
        <f>IFERROR(VLOOKUP($E62,bug_conf_sheet!$A:$H,5,FALSE),VLOOKUP("other",bug_conf_sheet!$A:$H,5,FALSE))</f>
        <v>0</v>
      </c>
      <c r="R62" s="31">
        <f>IFERROR(VLOOKUP($E62,bug_conf_sheet!$A:$H,6,FALSE),VLOOKUP("other",bug_conf_sheet!$A:$H,6,FALSE))</f>
        <v>0</v>
      </c>
      <c r="S62" s="31">
        <f>IFERROR(VLOOKUP($E62,bug_conf_sheet!$A:$H,7,FALSE),VLOOKUP("other",bug_conf_sheet!$A:$H,7,FALSE))</f>
        <v>0</v>
      </c>
      <c r="T62" s="31">
        <f>IFERROR(VLOOKUP($E62,bug_conf_sheet!$A:$H,8,FALSE),VLOOKUP("other",bug_conf_sheet!$A:$H,8,FALSE))</f>
        <v>1</v>
      </c>
    </row>
    <row r="63" spans="1:20" ht="21" customHeight="1">
      <c r="A63" s="2" t="str">
        <f ca="1">input_314100!A$2</f>
        <v>314100</v>
      </c>
      <c r="B63" s="7" t="str">
        <f t="shared" si="0"/>
        <v>Premium3</v>
      </c>
      <c r="C63" s="7" t="str">
        <f t="shared" si="1"/>
        <v>Premium</v>
      </c>
      <c r="D63" s="7" t="str">
        <f t="shared" si="2"/>
        <v>ry</v>
      </c>
      <c r="E63" s="8">
        <v>187</v>
      </c>
      <c r="F63" s="7" t="str">
        <f>VLOOKUP(E63,[1]characters!$A:$C,3,FALSE)</f>
        <v>ホルス</v>
      </c>
      <c r="G63" s="7" t="str">
        <f>VLOOKUP(E63,[1]characters!$A:$J,10,FALSE)</f>
        <v>PremiumN</v>
      </c>
      <c r="H63" s="7">
        <f>VLOOKUP(E63,[1]characters!$A:$I,9,FALSE)</f>
        <v>3</v>
      </c>
      <c r="I63" s="7" t="str">
        <f>VLOOKUP(E63,[1]characters!$A:$H,8,FALSE)</f>
        <v>yellow</v>
      </c>
      <c r="J63" s="7" t="str">
        <f>VLOOKUP(E63,[1]characters!$A:$K,11,FALSE)</f>
        <v>attack</v>
      </c>
      <c r="K63" s="7" t="str">
        <f>VLOOKUP(E63,[1]characters!$A:$M,13,FALSE)</f>
        <v>animal</v>
      </c>
      <c r="L63" s="7" t="str">
        <f>VLOOKUP(E63,[1]characters!$A:$G,7,FALSE)</f>
        <v>女性</v>
      </c>
      <c r="M63" s="62">
        <f ca="1">IFERROR(VLOOKUP(E63,input_314100!L:R,7,FALSE),VLOOKUP(tables_314100!B63,input_314100!A:H,8,FALSE))</f>
        <v>0</v>
      </c>
      <c r="N63" s="63">
        <f t="shared" ca="1" si="3"/>
        <v>0</v>
      </c>
      <c r="O63" s="31">
        <f>IFERROR(VLOOKUP($E63,bug_conf_sheet!$A:$H,3,FALSE),VLOOKUP("other",bug_conf_sheet!$A:$H,3,FALSE))</f>
        <v>1</v>
      </c>
      <c r="P63" s="31">
        <f>IFERROR(VLOOKUP($E63,bug_conf_sheet!$A:$H,4,FALSE),VLOOKUP("other",bug_conf_sheet!$A:$H,4,FALSE))</f>
        <v>0</v>
      </c>
      <c r="Q63" s="31">
        <f>IFERROR(VLOOKUP($E63,bug_conf_sheet!$A:$H,5,FALSE),VLOOKUP("other",bug_conf_sheet!$A:$H,5,FALSE))</f>
        <v>0</v>
      </c>
      <c r="R63" s="31">
        <f>IFERROR(VLOOKUP($E63,bug_conf_sheet!$A:$H,6,FALSE),VLOOKUP("other",bug_conf_sheet!$A:$H,6,FALSE))</f>
        <v>0</v>
      </c>
      <c r="S63" s="31">
        <f>IFERROR(VLOOKUP($E63,bug_conf_sheet!$A:$H,7,FALSE),VLOOKUP("other",bug_conf_sheet!$A:$H,7,FALSE))</f>
        <v>0</v>
      </c>
      <c r="T63" s="31">
        <f>IFERROR(VLOOKUP($E63,bug_conf_sheet!$A:$H,8,FALSE),VLOOKUP("other",bug_conf_sheet!$A:$H,8,FALSE))</f>
        <v>1</v>
      </c>
    </row>
    <row r="64" spans="1:20" ht="21" customHeight="1">
      <c r="A64" s="2" t="str">
        <f ca="1">input_314100!A$2</f>
        <v>314100</v>
      </c>
      <c r="B64" s="7" t="str">
        <f t="shared" si="0"/>
        <v>Premium4</v>
      </c>
      <c r="C64" s="7" t="str">
        <f t="shared" si="1"/>
        <v>Premium</v>
      </c>
      <c r="D64" s="7" t="str">
        <f t="shared" si="2"/>
        <v>ry</v>
      </c>
      <c r="E64" s="8">
        <v>188</v>
      </c>
      <c r="F64" s="7" t="str">
        <f>VLOOKUP(E64,[1]characters!$A:$C,3,FALSE)</f>
        <v>猛禽 ホルス</v>
      </c>
      <c r="G64" s="7" t="str">
        <f>VLOOKUP(E64,[1]characters!$A:$J,10,FALSE)</f>
        <v>PremiumN</v>
      </c>
      <c r="H64" s="7">
        <f>VLOOKUP(E64,[1]characters!$A:$I,9,FALSE)</f>
        <v>4</v>
      </c>
      <c r="I64" s="7" t="str">
        <f>VLOOKUP(E64,[1]characters!$A:$H,8,FALSE)</f>
        <v>yellow</v>
      </c>
      <c r="J64" s="7" t="str">
        <f>VLOOKUP(E64,[1]characters!$A:$K,11,FALSE)</f>
        <v>attack</v>
      </c>
      <c r="K64" s="7" t="str">
        <f>VLOOKUP(E64,[1]characters!$A:$M,13,FALSE)</f>
        <v>animal</v>
      </c>
      <c r="L64" s="7" t="str">
        <f>VLOOKUP(E64,[1]characters!$A:$G,7,FALSE)</f>
        <v>女性</v>
      </c>
      <c r="M64" s="62">
        <f ca="1">IFERROR(VLOOKUP(E64,input_314100!L:R,7,FALSE),VLOOKUP(tables_314100!B64,input_314100!A:H,8,FALSE))</f>
        <v>342090</v>
      </c>
      <c r="N64" s="63">
        <f t="shared" ca="1" si="3"/>
        <v>1.222972972972973E-2</v>
      </c>
      <c r="O64" s="31">
        <f>IFERROR(VLOOKUP($E64,bug_conf_sheet!$A:$H,3,FALSE),VLOOKUP("other",bug_conf_sheet!$A:$H,3,FALSE))</f>
        <v>1</v>
      </c>
      <c r="P64" s="31">
        <f>IFERROR(VLOOKUP($E64,bug_conf_sheet!$A:$H,4,FALSE),VLOOKUP("other",bug_conf_sheet!$A:$H,4,FALSE))</f>
        <v>0</v>
      </c>
      <c r="Q64" s="31">
        <f>IFERROR(VLOOKUP($E64,bug_conf_sheet!$A:$H,5,FALSE),VLOOKUP("other",bug_conf_sheet!$A:$H,5,FALSE))</f>
        <v>0</v>
      </c>
      <c r="R64" s="31">
        <f>IFERROR(VLOOKUP($E64,bug_conf_sheet!$A:$H,6,FALSE),VLOOKUP("other",bug_conf_sheet!$A:$H,6,FALSE))</f>
        <v>0</v>
      </c>
      <c r="S64" s="31">
        <f>IFERROR(VLOOKUP($E64,bug_conf_sheet!$A:$H,7,FALSE),VLOOKUP("other",bug_conf_sheet!$A:$H,7,FALSE))</f>
        <v>0</v>
      </c>
      <c r="T64" s="31">
        <f>IFERROR(VLOOKUP($E64,bug_conf_sheet!$A:$H,8,FALSE),VLOOKUP("other",bug_conf_sheet!$A:$H,8,FALSE))</f>
        <v>1</v>
      </c>
    </row>
    <row r="65" spans="1:20" ht="21" customHeight="1">
      <c r="A65" s="2" t="str">
        <f ca="1">input_314100!A$2</f>
        <v>314100</v>
      </c>
      <c r="B65" s="7" t="str">
        <f t="shared" si="0"/>
        <v>Premium5</v>
      </c>
      <c r="C65" s="7" t="str">
        <f t="shared" si="1"/>
        <v>Premium</v>
      </c>
      <c r="D65" s="7" t="str">
        <f t="shared" si="2"/>
        <v>ry</v>
      </c>
      <c r="E65" s="8">
        <v>189</v>
      </c>
      <c r="F65" s="7" t="str">
        <f>VLOOKUP(E65,[1]characters!$A:$C,3,FALSE)</f>
        <v>迅雷の王禽 ホルス</v>
      </c>
      <c r="G65" s="7" t="str">
        <f>VLOOKUP(E65,[1]characters!$A:$J,10,FALSE)</f>
        <v>PremiumN</v>
      </c>
      <c r="H65" s="7">
        <f>VLOOKUP(E65,[1]characters!$A:$I,9,FALSE)</f>
        <v>5</v>
      </c>
      <c r="I65" s="7" t="str">
        <f>VLOOKUP(E65,[1]characters!$A:$H,8,FALSE)</f>
        <v>yellow</v>
      </c>
      <c r="J65" s="7" t="str">
        <f>VLOOKUP(E65,[1]characters!$A:$K,11,FALSE)</f>
        <v>attack</v>
      </c>
      <c r="K65" s="7" t="str">
        <f>VLOOKUP(E65,[1]characters!$A:$M,13,FALSE)</f>
        <v>animal</v>
      </c>
      <c r="L65" s="7" t="str">
        <f>VLOOKUP(E65,[1]characters!$A:$G,7,FALSE)</f>
        <v>女性</v>
      </c>
      <c r="M65" s="62">
        <f ca="1">IFERROR(VLOOKUP(E65,input_314100!L:R,7,FALSE),VLOOKUP(tables_314100!B65,input_314100!A:H,8,FALSE))</f>
        <v>12950</v>
      </c>
      <c r="N65" s="63">
        <f t="shared" ca="1" si="3"/>
        <v>4.6296296296296298E-4</v>
      </c>
      <c r="O65" s="31">
        <f>IFERROR(VLOOKUP($E65,bug_conf_sheet!$A:$H,3,FALSE),VLOOKUP("other",bug_conf_sheet!$A:$H,3,FALSE))</f>
        <v>1</v>
      </c>
      <c r="P65" s="31">
        <f>IFERROR(VLOOKUP($E65,bug_conf_sheet!$A:$H,4,FALSE),VLOOKUP("other",bug_conf_sheet!$A:$H,4,FALSE))</f>
        <v>0</v>
      </c>
      <c r="Q65" s="31">
        <f>IFERROR(VLOOKUP($E65,bug_conf_sheet!$A:$H,5,FALSE),VLOOKUP("other",bug_conf_sheet!$A:$H,5,FALSE))</f>
        <v>0</v>
      </c>
      <c r="R65" s="31">
        <f>IFERROR(VLOOKUP($E65,bug_conf_sheet!$A:$H,6,FALSE),VLOOKUP("other",bug_conf_sheet!$A:$H,6,FALSE))</f>
        <v>0</v>
      </c>
      <c r="S65" s="31">
        <f>IFERROR(VLOOKUP($E65,bug_conf_sheet!$A:$H,7,FALSE),VLOOKUP("other",bug_conf_sheet!$A:$H,7,FALSE))</f>
        <v>0</v>
      </c>
      <c r="T65" s="31">
        <f>IFERROR(VLOOKUP($E65,bug_conf_sheet!$A:$H,8,FALSE),VLOOKUP("other",bug_conf_sheet!$A:$H,8,FALSE))</f>
        <v>1</v>
      </c>
    </row>
    <row r="66" spans="1:20" s="9" customFormat="1" ht="21" customHeight="1" thickBot="1">
      <c r="A66" s="2" t="str">
        <f ca="1">input_314100!A$2</f>
        <v>314100</v>
      </c>
      <c r="B66" s="7" t="str">
        <f t="shared" si="0"/>
        <v>Premium3</v>
      </c>
      <c r="C66" s="7" t="str">
        <f t="shared" si="1"/>
        <v>Premium</v>
      </c>
      <c r="D66" s="7" t="str">
        <f t="shared" si="2"/>
        <v>ry</v>
      </c>
      <c r="E66" s="6">
        <v>190</v>
      </c>
      <c r="F66" s="7" t="str">
        <f>VLOOKUP(E66,[1]characters!$A:$C,3,FALSE)</f>
        <v>卑弥呼</v>
      </c>
      <c r="G66" s="7" t="str">
        <f>VLOOKUP(E66,[1]characters!$A:$J,10,FALSE)</f>
        <v>PremiumN</v>
      </c>
      <c r="H66" s="7">
        <f>VLOOKUP(E66,[1]characters!$A:$I,9,FALSE)</f>
        <v>3</v>
      </c>
      <c r="I66" s="7" t="str">
        <f>VLOOKUP(E66,[1]characters!$A:$H,8,FALSE)</f>
        <v>red</v>
      </c>
      <c r="J66" s="7" t="str">
        <f>VLOOKUP(E66,[1]characters!$A:$K,11,FALSE)</f>
        <v>balance</v>
      </c>
      <c r="K66" s="7" t="str">
        <f>VLOOKUP(E66,[1]characters!$A:$M,13,FALSE)</f>
        <v>human</v>
      </c>
      <c r="L66" s="7" t="str">
        <f>VLOOKUP(E66,[1]characters!$A:$G,7,FALSE)</f>
        <v>女性</v>
      </c>
      <c r="M66" s="62">
        <f ca="1">IFERROR(VLOOKUP(E66,input_314100!L:R,7,FALSE),VLOOKUP(tables_314100!B66,input_314100!A:H,8,FALSE))</f>
        <v>0</v>
      </c>
      <c r="N66" s="63">
        <f t="shared" ca="1" si="3"/>
        <v>0</v>
      </c>
      <c r="O66" s="31">
        <f>IFERROR(VLOOKUP($E66,bug_conf_sheet!$A:$H,3,FALSE),VLOOKUP("other",bug_conf_sheet!$A:$H,3,FALSE))</f>
        <v>1</v>
      </c>
      <c r="P66" s="31">
        <f>IFERROR(VLOOKUP($E66,bug_conf_sheet!$A:$H,4,FALSE),VLOOKUP("other",bug_conf_sheet!$A:$H,4,FALSE))</f>
        <v>0</v>
      </c>
      <c r="Q66" s="31">
        <f>IFERROR(VLOOKUP($E66,bug_conf_sheet!$A:$H,5,FALSE),VLOOKUP("other",bug_conf_sheet!$A:$H,5,FALSE))</f>
        <v>0</v>
      </c>
      <c r="R66" s="31">
        <f>IFERROR(VLOOKUP($E66,bug_conf_sheet!$A:$H,6,FALSE),VLOOKUP("other",bug_conf_sheet!$A:$H,6,FALSE))</f>
        <v>0</v>
      </c>
      <c r="S66" s="31">
        <f>IFERROR(VLOOKUP($E66,bug_conf_sheet!$A:$H,7,FALSE),VLOOKUP("other",bug_conf_sheet!$A:$H,7,FALSE))</f>
        <v>0</v>
      </c>
      <c r="T66" s="31">
        <f>IFERROR(VLOOKUP($E66,bug_conf_sheet!$A:$H,8,FALSE),VLOOKUP("other",bug_conf_sheet!$A:$H,8,FALSE))</f>
        <v>1</v>
      </c>
    </row>
    <row r="67" spans="1:20" ht="21" customHeight="1">
      <c r="A67" s="2" t="str">
        <f ca="1">input_314100!A$2</f>
        <v>314100</v>
      </c>
      <c r="B67" s="7" t="str">
        <f t="shared" ref="B67:B130" si="4">C67&amp;IF(C67="premium",,D67)&amp;H67</f>
        <v>Premium4</v>
      </c>
      <c r="C67" s="7" t="str">
        <f t="shared" ref="C67:C130" si="5">IF(G67="PremiumSS",G67,IF(G67="PremiumSSS",G67,"Premium"))</f>
        <v>Premium</v>
      </c>
      <c r="D67" s="7" t="str">
        <f t="shared" ref="D67:D130" si="6">IF(I67="red","ry",IF(I67="yellow","ry","bg"))</f>
        <v>ry</v>
      </c>
      <c r="E67" s="6">
        <v>191</v>
      </c>
      <c r="F67" s="7" t="str">
        <f>VLOOKUP(E67,[1]characters!$A:$C,3,FALSE)</f>
        <v>始祖 卑弥呼</v>
      </c>
      <c r="G67" s="7" t="str">
        <f>VLOOKUP(E67,[1]characters!$A:$J,10,FALSE)</f>
        <v>PremiumN</v>
      </c>
      <c r="H67" s="7">
        <f>VLOOKUP(E67,[1]characters!$A:$I,9,FALSE)</f>
        <v>4</v>
      </c>
      <c r="I67" s="7" t="str">
        <f>VLOOKUP(E67,[1]characters!$A:$H,8,FALSE)</f>
        <v>red</v>
      </c>
      <c r="J67" s="7" t="str">
        <f>VLOOKUP(E67,[1]characters!$A:$K,11,FALSE)</f>
        <v>balance</v>
      </c>
      <c r="K67" s="7" t="str">
        <f>VLOOKUP(E67,[1]characters!$A:$M,13,FALSE)</f>
        <v>human</v>
      </c>
      <c r="L67" s="7" t="str">
        <f>VLOOKUP(E67,[1]characters!$A:$G,7,FALSE)</f>
        <v>女性</v>
      </c>
      <c r="M67" s="62">
        <f ca="1">IFERROR(VLOOKUP(E67,input_314100!L:R,7,FALSE),VLOOKUP(tables_314100!B67,input_314100!A:H,8,FALSE))</f>
        <v>342090</v>
      </c>
      <c r="N67" s="63">
        <f t="shared" ref="N67:N130" ca="1" si="7">M67/SUM(M:M)</f>
        <v>1.222972972972973E-2</v>
      </c>
      <c r="O67" s="31">
        <f>IFERROR(VLOOKUP($E67,bug_conf_sheet!$A:$H,3,FALSE),VLOOKUP("other",bug_conf_sheet!$A:$H,3,FALSE))</f>
        <v>1</v>
      </c>
      <c r="P67" s="31">
        <f>IFERROR(VLOOKUP($E67,bug_conf_sheet!$A:$H,4,FALSE),VLOOKUP("other",bug_conf_sheet!$A:$H,4,FALSE))</f>
        <v>0</v>
      </c>
      <c r="Q67" s="31">
        <f>IFERROR(VLOOKUP($E67,bug_conf_sheet!$A:$H,5,FALSE),VLOOKUP("other",bug_conf_sheet!$A:$H,5,FALSE))</f>
        <v>0</v>
      </c>
      <c r="R67" s="31">
        <f>IFERROR(VLOOKUP($E67,bug_conf_sheet!$A:$H,6,FALSE),VLOOKUP("other",bug_conf_sheet!$A:$H,6,FALSE))</f>
        <v>0</v>
      </c>
      <c r="S67" s="31">
        <f>IFERROR(VLOOKUP($E67,bug_conf_sheet!$A:$H,7,FALSE),VLOOKUP("other",bug_conf_sheet!$A:$H,7,FALSE))</f>
        <v>0</v>
      </c>
      <c r="T67" s="31">
        <f>IFERROR(VLOOKUP($E67,bug_conf_sheet!$A:$H,8,FALSE),VLOOKUP("other",bug_conf_sheet!$A:$H,8,FALSE))</f>
        <v>1</v>
      </c>
    </row>
    <row r="68" spans="1:20" ht="21" customHeight="1">
      <c r="A68" s="2" t="str">
        <f ca="1">input_314100!A$2</f>
        <v>314100</v>
      </c>
      <c r="B68" s="7" t="str">
        <f t="shared" si="4"/>
        <v>Premium5</v>
      </c>
      <c r="C68" s="7" t="str">
        <f t="shared" si="5"/>
        <v>Premium</v>
      </c>
      <c r="D68" s="7" t="str">
        <f t="shared" si="6"/>
        <v>ry</v>
      </c>
      <c r="E68" s="6">
        <v>192</v>
      </c>
      <c r="F68" s="7" t="str">
        <f>VLOOKUP(E68,[1]characters!$A:$C,3,FALSE)</f>
        <v>荘厳なる始祖帝 卑弥呼</v>
      </c>
      <c r="G68" s="7" t="str">
        <f>VLOOKUP(E68,[1]characters!$A:$J,10,FALSE)</f>
        <v>PremiumN</v>
      </c>
      <c r="H68" s="7">
        <f>VLOOKUP(E68,[1]characters!$A:$I,9,FALSE)</f>
        <v>5</v>
      </c>
      <c r="I68" s="7" t="str">
        <f>VLOOKUP(E68,[1]characters!$A:$H,8,FALSE)</f>
        <v>red</v>
      </c>
      <c r="J68" s="7" t="str">
        <f>VLOOKUP(E68,[1]characters!$A:$K,11,FALSE)</f>
        <v>balance</v>
      </c>
      <c r="K68" s="7" t="str">
        <f>VLOOKUP(E68,[1]characters!$A:$M,13,FALSE)</f>
        <v>human</v>
      </c>
      <c r="L68" s="7" t="str">
        <f>VLOOKUP(E68,[1]characters!$A:$G,7,FALSE)</f>
        <v>女性</v>
      </c>
      <c r="M68" s="62">
        <f ca="1">IFERROR(VLOOKUP(E68,input_314100!L:R,7,FALSE),VLOOKUP(tables_314100!B68,input_314100!A:H,8,FALSE))</f>
        <v>12950</v>
      </c>
      <c r="N68" s="63">
        <f t="shared" ca="1" si="7"/>
        <v>4.6296296296296298E-4</v>
      </c>
      <c r="O68" s="31">
        <f>IFERROR(VLOOKUP($E68,bug_conf_sheet!$A:$H,3,FALSE),VLOOKUP("other",bug_conf_sheet!$A:$H,3,FALSE))</f>
        <v>1</v>
      </c>
      <c r="P68" s="31">
        <f>IFERROR(VLOOKUP($E68,bug_conf_sheet!$A:$H,4,FALSE),VLOOKUP("other",bug_conf_sheet!$A:$H,4,FALSE))</f>
        <v>0</v>
      </c>
      <c r="Q68" s="31">
        <f>IFERROR(VLOOKUP($E68,bug_conf_sheet!$A:$H,5,FALSE),VLOOKUP("other",bug_conf_sheet!$A:$H,5,FALSE))</f>
        <v>0</v>
      </c>
      <c r="R68" s="31">
        <f>IFERROR(VLOOKUP($E68,bug_conf_sheet!$A:$H,6,FALSE),VLOOKUP("other",bug_conf_sheet!$A:$H,6,FALSE))</f>
        <v>0</v>
      </c>
      <c r="S68" s="31">
        <f>IFERROR(VLOOKUP($E68,bug_conf_sheet!$A:$H,7,FALSE),VLOOKUP("other",bug_conf_sheet!$A:$H,7,FALSE))</f>
        <v>0</v>
      </c>
      <c r="T68" s="31">
        <f>IFERROR(VLOOKUP($E68,bug_conf_sheet!$A:$H,8,FALSE),VLOOKUP("other",bug_conf_sheet!$A:$H,8,FALSE))</f>
        <v>1</v>
      </c>
    </row>
    <row r="69" spans="1:20" ht="21" customHeight="1">
      <c r="A69" s="2" t="str">
        <f ca="1">input_314100!A$2</f>
        <v>314100</v>
      </c>
      <c r="B69" s="7" t="str">
        <f t="shared" si="4"/>
        <v>Premium3</v>
      </c>
      <c r="C69" s="7" t="str">
        <f t="shared" si="5"/>
        <v>Premium</v>
      </c>
      <c r="D69" s="7" t="str">
        <f t="shared" si="6"/>
        <v>bg</v>
      </c>
      <c r="E69" s="6">
        <v>193</v>
      </c>
      <c r="F69" s="7" t="str">
        <f>VLOOKUP(E69,[1]characters!$A:$C,3,FALSE)</f>
        <v>ロビンフッド</v>
      </c>
      <c r="G69" s="7" t="str">
        <f>VLOOKUP(E69,[1]characters!$A:$J,10,FALSE)</f>
        <v>PremiumN</v>
      </c>
      <c r="H69" s="7">
        <f>VLOOKUP(E69,[1]characters!$A:$I,9,FALSE)</f>
        <v>3</v>
      </c>
      <c r="I69" s="7" t="str">
        <f>VLOOKUP(E69,[1]characters!$A:$H,8,FALSE)</f>
        <v>green</v>
      </c>
      <c r="J69" s="7" t="str">
        <f>VLOOKUP(E69,[1]characters!$A:$K,11,FALSE)</f>
        <v>balance</v>
      </c>
      <c r="K69" s="7" t="str">
        <f>VLOOKUP(E69,[1]characters!$A:$M,13,FALSE)</f>
        <v>human</v>
      </c>
      <c r="L69" s="7" t="str">
        <f>VLOOKUP(E69,[1]characters!$A:$G,7,FALSE)</f>
        <v>女性</v>
      </c>
      <c r="M69" s="62">
        <f ca="1">IFERROR(VLOOKUP(E69,input_314100!L:R,7,FALSE),VLOOKUP(tables_314100!B69,input_314100!A:H,8,FALSE))</f>
        <v>0</v>
      </c>
      <c r="N69" s="63">
        <f t="shared" ca="1" si="7"/>
        <v>0</v>
      </c>
      <c r="O69" s="31">
        <f>IFERROR(VLOOKUP($E69,bug_conf_sheet!$A:$H,3,FALSE),VLOOKUP("other",bug_conf_sheet!$A:$H,3,FALSE))</f>
        <v>1</v>
      </c>
      <c r="P69" s="31">
        <f>IFERROR(VLOOKUP($E69,bug_conf_sheet!$A:$H,4,FALSE),VLOOKUP("other",bug_conf_sheet!$A:$H,4,FALSE))</f>
        <v>0</v>
      </c>
      <c r="Q69" s="31">
        <f>IFERROR(VLOOKUP($E69,bug_conf_sheet!$A:$H,5,FALSE),VLOOKUP("other",bug_conf_sheet!$A:$H,5,FALSE))</f>
        <v>0</v>
      </c>
      <c r="R69" s="31">
        <f>IFERROR(VLOOKUP($E69,bug_conf_sheet!$A:$H,6,FALSE),VLOOKUP("other",bug_conf_sheet!$A:$H,6,FALSE))</f>
        <v>0</v>
      </c>
      <c r="S69" s="31">
        <f>IFERROR(VLOOKUP($E69,bug_conf_sheet!$A:$H,7,FALSE),VLOOKUP("other",bug_conf_sheet!$A:$H,7,FALSE))</f>
        <v>0</v>
      </c>
      <c r="T69" s="31">
        <f>IFERROR(VLOOKUP($E69,bug_conf_sheet!$A:$H,8,FALSE),VLOOKUP("other",bug_conf_sheet!$A:$H,8,FALSE))</f>
        <v>1</v>
      </c>
    </row>
    <row r="70" spans="1:20" ht="21" customHeight="1">
      <c r="A70" s="2" t="str">
        <f ca="1">input_314100!A$2</f>
        <v>314100</v>
      </c>
      <c r="B70" s="7" t="str">
        <f t="shared" si="4"/>
        <v>Premium4</v>
      </c>
      <c r="C70" s="7" t="str">
        <f t="shared" si="5"/>
        <v>Premium</v>
      </c>
      <c r="D70" s="7" t="str">
        <f t="shared" si="6"/>
        <v>bg</v>
      </c>
      <c r="E70" s="10">
        <v>194</v>
      </c>
      <c r="F70" s="7" t="str">
        <f>VLOOKUP(E70,[1]characters!$A:$C,3,FALSE)</f>
        <v>スナイパー ロビンフッド</v>
      </c>
      <c r="G70" s="7" t="str">
        <f>VLOOKUP(E70,[1]characters!$A:$J,10,FALSE)</f>
        <v>PremiumN</v>
      </c>
      <c r="H70" s="7">
        <f>VLOOKUP(E70,[1]characters!$A:$I,9,FALSE)</f>
        <v>4</v>
      </c>
      <c r="I70" s="7" t="str">
        <f>VLOOKUP(E70,[1]characters!$A:$H,8,FALSE)</f>
        <v>green</v>
      </c>
      <c r="J70" s="7" t="str">
        <f>VLOOKUP(E70,[1]characters!$A:$K,11,FALSE)</f>
        <v>balance</v>
      </c>
      <c r="K70" s="7" t="str">
        <f>VLOOKUP(E70,[1]characters!$A:$M,13,FALSE)</f>
        <v>human</v>
      </c>
      <c r="L70" s="7" t="str">
        <f>VLOOKUP(E70,[1]characters!$A:$G,7,FALSE)</f>
        <v>女性</v>
      </c>
      <c r="M70" s="62">
        <f ca="1">IFERROR(VLOOKUP(E70,input_314100!L:R,7,FALSE),VLOOKUP(tables_314100!B70,input_314100!A:H,8,FALSE))</f>
        <v>342090</v>
      </c>
      <c r="N70" s="63">
        <f t="shared" ca="1" si="7"/>
        <v>1.222972972972973E-2</v>
      </c>
      <c r="O70" s="31">
        <f>IFERROR(VLOOKUP($E70,bug_conf_sheet!$A:$H,3,FALSE),VLOOKUP("other",bug_conf_sheet!$A:$H,3,FALSE))</f>
        <v>1</v>
      </c>
      <c r="P70" s="31">
        <f>IFERROR(VLOOKUP($E70,bug_conf_sheet!$A:$H,4,FALSE),VLOOKUP("other",bug_conf_sheet!$A:$H,4,FALSE))</f>
        <v>0</v>
      </c>
      <c r="Q70" s="31">
        <f>IFERROR(VLOOKUP($E70,bug_conf_sheet!$A:$H,5,FALSE),VLOOKUP("other",bug_conf_sheet!$A:$H,5,FALSE))</f>
        <v>0</v>
      </c>
      <c r="R70" s="31">
        <f>IFERROR(VLOOKUP($E70,bug_conf_sheet!$A:$H,6,FALSE),VLOOKUP("other",bug_conf_sheet!$A:$H,6,FALSE))</f>
        <v>0</v>
      </c>
      <c r="S70" s="31">
        <f>IFERROR(VLOOKUP($E70,bug_conf_sheet!$A:$H,7,FALSE),VLOOKUP("other",bug_conf_sheet!$A:$H,7,FALSE))</f>
        <v>0</v>
      </c>
      <c r="T70" s="31">
        <f>IFERROR(VLOOKUP($E70,bug_conf_sheet!$A:$H,8,FALSE),VLOOKUP("other",bug_conf_sheet!$A:$H,8,FALSE))</f>
        <v>1</v>
      </c>
    </row>
    <row r="71" spans="1:20" ht="21" customHeight="1">
      <c r="A71" s="2" t="str">
        <f ca="1">input_314100!A$2</f>
        <v>314100</v>
      </c>
      <c r="B71" s="7" t="str">
        <f t="shared" si="4"/>
        <v>Premium5</v>
      </c>
      <c r="C71" s="7" t="str">
        <f t="shared" si="5"/>
        <v>Premium</v>
      </c>
      <c r="D71" s="7" t="str">
        <f t="shared" si="6"/>
        <v>bg</v>
      </c>
      <c r="E71" s="6">
        <v>195</v>
      </c>
      <c r="F71" s="7" t="str">
        <f>VLOOKUP(E71,[1]characters!$A:$C,3,FALSE)</f>
        <v>グランドハンター ロビンフッド</v>
      </c>
      <c r="G71" s="7" t="str">
        <f>VLOOKUP(E71,[1]characters!$A:$J,10,FALSE)</f>
        <v>PremiumN</v>
      </c>
      <c r="H71" s="7">
        <f>VLOOKUP(E71,[1]characters!$A:$I,9,FALSE)</f>
        <v>5</v>
      </c>
      <c r="I71" s="7" t="str">
        <f>VLOOKUP(E71,[1]characters!$A:$H,8,FALSE)</f>
        <v>green</v>
      </c>
      <c r="J71" s="7" t="str">
        <f>VLOOKUP(E71,[1]characters!$A:$K,11,FALSE)</f>
        <v>balance</v>
      </c>
      <c r="K71" s="7" t="str">
        <f>VLOOKUP(E71,[1]characters!$A:$M,13,FALSE)</f>
        <v>human</v>
      </c>
      <c r="L71" s="7" t="str">
        <f>VLOOKUP(E71,[1]characters!$A:$G,7,FALSE)</f>
        <v>女性</v>
      </c>
      <c r="M71" s="62">
        <f ca="1">IFERROR(VLOOKUP(E71,input_314100!L:R,7,FALSE),VLOOKUP(tables_314100!B71,input_314100!A:H,8,FALSE))</f>
        <v>12950</v>
      </c>
      <c r="N71" s="63">
        <f t="shared" ca="1" si="7"/>
        <v>4.6296296296296298E-4</v>
      </c>
      <c r="O71" s="31">
        <f>IFERROR(VLOOKUP($E71,bug_conf_sheet!$A:$H,3,FALSE),VLOOKUP("other",bug_conf_sheet!$A:$H,3,FALSE))</f>
        <v>1</v>
      </c>
      <c r="P71" s="31">
        <f>IFERROR(VLOOKUP($E71,bug_conf_sheet!$A:$H,4,FALSE),VLOOKUP("other",bug_conf_sheet!$A:$H,4,FALSE))</f>
        <v>0</v>
      </c>
      <c r="Q71" s="31">
        <f>IFERROR(VLOOKUP($E71,bug_conf_sheet!$A:$H,5,FALSE),VLOOKUP("other",bug_conf_sheet!$A:$H,5,FALSE))</f>
        <v>0</v>
      </c>
      <c r="R71" s="31">
        <f>IFERROR(VLOOKUP($E71,bug_conf_sheet!$A:$H,6,FALSE),VLOOKUP("other",bug_conf_sheet!$A:$H,6,FALSE))</f>
        <v>0</v>
      </c>
      <c r="S71" s="31">
        <f>IFERROR(VLOOKUP($E71,bug_conf_sheet!$A:$H,7,FALSE),VLOOKUP("other",bug_conf_sheet!$A:$H,7,FALSE))</f>
        <v>0</v>
      </c>
      <c r="T71" s="31">
        <f>IFERROR(VLOOKUP($E71,bug_conf_sheet!$A:$H,8,FALSE),VLOOKUP("other",bug_conf_sheet!$A:$H,8,FALSE))</f>
        <v>1</v>
      </c>
    </row>
    <row r="72" spans="1:20" ht="21" customHeight="1">
      <c r="A72" s="2" t="str">
        <f ca="1">input_314100!A$2</f>
        <v>314100</v>
      </c>
      <c r="B72" s="7" t="str">
        <f t="shared" si="4"/>
        <v>Premium3</v>
      </c>
      <c r="C72" s="7" t="str">
        <f t="shared" si="5"/>
        <v>Premium</v>
      </c>
      <c r="D72" s="7" t="str">
        <f t="shared" si="6"/>
        <v>ry</v>
      </c>
      <c r="E72" s="10">
        <v>196</v>
      </c>
      <c r="F72" s="7" t="str">
        <f>VLOOKUP(E72,[1]characters!$A:$C,3,FALSE)</f>
        <v>アキレス</v>
      </c>
      <c r="G72" s="7" t="str">
        <f>VLOOKUP(E72,[1]characters!$A:$J,10,FALSE)</f>
        <v>PremiumN</v>
      </c>
      <c r="H72" s="7">
        <f>VLOOKUP(E72,[1]characters!$A:$I,9,FALSE)</f>
        <v>3</v>
      </c>
      <c r="I72" s="7" t="str">
        <f>VLOOKUP(E72,[1]characters!$A:$H,8,FALSE)</f>
        <v>yellow</v>
      </c>
      <c r="J72" s="7" t="str">
        <f>VLOOKUP(E72,[1]characters!$A:$K,11,FALSE)</f>
        <v>balance</v>
      </c>
      <c r="K72" s="7" t="str">
        <f>VLOOKUP(E72,[1]characters!$A:$M,13,FALSE)</f>
        <v>human</v>
      </c>
      <c r="L72" s="7" t="str">
        <f>VLOOKUP(E72,[1]characters!$A:$G,7,FALSE)</f>
        <v>女性</v>
      </c>
      <c r="M72" s="62">
        <f ca="1">IFERROR(VLOOKUP(E72,input_314100!L:R,7,FALSE),VLOOKUP(tables_314100!B72,input_314100!A:H,8,FALSE))</f>
        <v>0</v>
      </c>
      <c r="N72" s="63">
        <f t="shared" ca="1" si="7"/>
        <v>0</v>
      </c>
      <c r="O72" s="31">
        <f>IFERROR(VLOOKUP($E72,bug_conf_sheet!$A:$H,3,FALSE),VLOOKUP("other",bug_conf_sheet!$A:$H,3,FALSE))</f>
        <v>1</v>
      </c>
      <c r="P72" s="31">
        <f>IFERROR(VLOOKUP($E72,bug_conf_sheet!$A:$H,4,FALSE),VLOOKUP("other",bug_conf_sheet!$A:$H,4,FALSE))</f>
        <v>0</v>
      </c>
      <c r="Q72" s="31">
        <f>IFERROR(VLOOKUP($E72,bug_conf_sheet!$A:$H,5,FALSE),VLOOKUP("other",bug_conf_sheet!$A:$H,5,FALSE))</f>
        <v>0</v>
      </c>
      <c r="R72" s="31">
        <f>IFERROR(VLOOKUP($E72,bug_conf_sheet!$A:$H,6,FALSE),VLOOKUP("other",bug_conf_sheet!$A:$H,6,FALSE))</f>
        <v>0</v>
      </c>
      <c r="S72" s="31">
        <f>IFERROR(VLOOKUP($E72,bug_conf_sheet!$A:$H,7,FALSE),VLOOKUP("other",bug_conf_sheet!$A:$H,7,FALSE))</f>
        <v>0</v>
      </c>
      <c r="T72" s="31">
        <f>IFERROR(VLOOKUP($E72,bug_conf_sheet!$A:$H,8,FALSE),VLOOKUP("other",bug_conf_sheet!$A:$H,8,FALSE))</f>
        <v>1</v>
      </c>
    </row>
    <row r="73" spans="1:20" ht="21" customHeight="1">
      <c r="A73" s="2" t="str">
        <f ca="1">input_314100!A$2</f>
        <v>314100</v>
      </c>
      <c r="B73" s="7" t="str">
        <f t="shared" si="4"/>
        <v>Premium4</v>
      </c>
      <c r="C73" s="7" t="str">
        <f t="shared" si="5"/>
        <v>Premium</v>
      </c>
      <c r="D73" s="7" t="str">
        <f t="shared" si="6"/>
        <v>ry</v>
      </c>
      <c r="E73" s="11">
        <v>197</v>
      </c>
      <c r="F73" s="7" t="str">
        <f>VLOOKUP(E73,[1]characters!$A:$C,3,FALSE)</f>
        <v>鉄腕 アキレス</v>
      </c>
      <c r="G73" s="7" t="str">
        <f>VLOOKUP(E73,[1]characters!$A:$J,10,FALSE)</f>
        <v>PremiumN</v>
      </c>
      <c r="H73" s="7">
        <f>VLOOKUP(E73,[1]characters!$A:$I,9,FALSE)</f>
        <v>4</v>
      </c>
      <c r="I73" s="7" t="str">
        <f>VLOOKUP(E73,[1]characters!$A:$H,8,FALSE)</f>
        <v>yellow</v>
      </c>
      <c r="J73" s="7" t="str">
        <f>VLOOKUP(E73,[1]characters!$A:$K,11,FALSE)</f>
        <v>balance</v>
      </c>
      <c r="K73" s="7" t="str">
        <f>VLOOKUP(E73,[1]characters!$A:$M,13,FALSE)</f>
        <v>human</v>
      </c>
      <c r="L73" s="7" t="str">
        <f>VLOOKUP(E73,[1]characters!$A:$G,7,FALSE)</f>
        <v>女性</v>
      </c>
      <c r="M73" s="62">
        <f ca="1">IFERROR(VLOOKUP(E73,input_314100!L:R,7,FALSE),VLOOKUP(tables_314100!B73,input_314100!A:H,8,FALSE))</f>
        <v>342090</v>
      </c>
      <c r="N73" s="63">
        <f t="shared" ca="1" si="7"/>
        <v>1.222972972972973E-2</v>
      </c>
      <c r="O73" s="31">
        <f>IFERROR(VLOOKUP($E73,bug_conf_sheet!$A:$H,3,FALSE),VLOOKUP("other",bug_conf_sheet!$A:$H,3,FALSE))</f>
        <v>1</v>
      </c>
      <c r="P73" s="31">
        <f>IFERROR(VLOOKUP($E73,bug_conf_sheet!$A:$H,4,FALSE),VLOOKUP("other",bug_conf_sheet!$A:$H,4,FALSE))</f>
        <v>0</v>
      </c>
      <c r="Q73" s="31">
        <f>IFERROR(VLOOKUP($E73,bug_conf_sheet!$A:$H,5,FALSE),VLOOKUP("other",bug_conf_sheet!$A:$H,5,FALSE))</f>
        <v>0</v>
      </c>
      <c r="R73" s="31">
        <f>IFERROR(VLOOKUP($E73,bug_conf_sheet!$A:$H,6,FALSE),VLOOKUP("other",bug_conf_sheet!$A:$H,6,FALSE))</f>
        <v>0</v>
      </c>
      <c r="S73" s="31">
        <f>IFERROR(VLOOKUP($E73,bug_conf_sheet!$A:$H,7,FALSE),VLOOKUP("other",bug_conf_sheet!$A:$H,7,FALSE))</f>
        <v>0</v>
      </c>
      <c r="T73" s="31">
        <f>IFERROR(VLOOKUP($E73,bug_conf_sheet!$A:$H,8,FALSE),VLOOKUP("other",bug_conf_sheet!$A:$H,8,FALSE))</f>
        <v>1</v>
      </c>
    </row>
    <row r="74" spans="1:20" ht="21" customHeight="1">
      <c r="A74" s="2" t="str">
        <f ca="1">input_314100!A$2</f>
        <v>314100</v>
      </c>
      <c r="B74" s="7" t="str">
        <f t="shared" si="4"/>
        <v>Premium5</v>
      </c>
      <c r="C74" s="7" t="str">
        <f t="shared" si="5"/>
        <v>Premium</v>
      </c>
      <c r="D74" s="7" t="str">
        <f t="shared" si="6"/>
        <v>ry</v>
      </c>
      <c r="E74" s="6">
        <v>198</v>
      </c>
      <c r="F74" s="7" t="str">
        <f>VLOOKUP(E74,[1]characters!$A:$C,3,FALSE)</f>
        <v>砕骨の剛腕 アキレス</v>
      </c>
      <c r="G74" s="7" t="str">
        <f>VLOOKUP(E74,[1]characters!$A:$J,10,FALSE)</f>
        <v>PremiumN</v>
      </c>
      <c r="H74" s="7">
        <f>VLOOKUP(E74,[1]characters!$A:$I,9,FALSE)</f>
        <v>5</v>
      </c>
      <c r="I74" s="7" t="str">
        <f>VLOOKUP(E74,[1]characters!$A:$H,8,FALSE)</f>
        <v>yellow</v>
      </c>
      <c r="J74" s="7" t="str">
        <f>VLOOKUP(E74,[1]characters!$A:$K,11,FALSE)</f>
        <v>balance</v>
      </c>
      <c r="K74" s="7" t="str">
        <f>VLOOKUP(E74,[1]characters!$A:$M,13,FALSE)</f>
        <v>human</v>
      </c>
      <c r="L74" s="7" t="str">
        <f>VLOOKUP(E74,[1]characters!$A:$G,7,FALSE)</f>
        <v>女性</v>
      </c>
      <c r="M74" s="62">
        <f ca="1">IFERROR(VLOOKUP(E74,input_314100!L:R,7,FALSE),VLOOKUP(tables_314100!B74,input_314100!A:H,8,FALSE))</f>
        <v>12950</v>
      </c>
      <c r="N74" s="63">
        <f t="shared" ca="1" si="7"/>
        <v>4.6296296296296298E-4</v>
      </c>
      <c r="O74" s="31">
        <f>IFERROR(VLOOKUP($E74,bug_conf_sheet!$A:$H,3,FALSE),VLOOKUP("other",bug_conf_sheet!$A:$H,3,FALSE))</f>
        <v>1</v>
      </c>
      <c r="P74" s="31">
        <f>IFERROR(VLOOKUP($E74,bug_conf_sheet!$A:$H,4,FALSE),VLOOKUP("other",bug_conf_sheet!$A:$H,4,FALSE))</f>
        <v>0</v>
      </c>
      <c r="Q74" s="31">
        <f>IFERROR(VLOOKUP($E74,bug_conf_sheet!$A:$H,5,FALSE),VLOOKUP("other",bug_conf_sheet!$A:$H,5,FALSE))</f>
        <v>0</v>
      </c>
      <c r="R74" s="31">
        <f>IFERROR(VLOOKUP($E74,bug_conf_sheet!$A:$H,6,FALSE),VLOOKUP("other",bug_conf_sheet!$A:$H,6,FALSE))</f>
        <v>0</v>
      </c>
      <c r="S74" s="31">
        <f>IFERROR(VLOOKUP($E74,bug_conf_sheet!$A:$H,7,FALSE),VLOOKUP("other",bug_conf_sheet!$A:$H,7,FALSE))</f>
        <v>0</v>
      </c>
      <c r="T74" s="31">
        <f>IFERROR(VLOOKUP($E74,bug_conf_sheet!$A:$H,8,FALSE),VLOOKUP("other",bug_conf_sheet!$A:$H,8,FALSE))</f>
        <v>1</v>
      </c>
    </row>
    <row r="75" spans="1:20" ht="21" customHeight="1">
      <c r="A75" s="2" t="str">
        <f ca="1">input_314100!A$2</f>
        <v>314100</v>
      </c>
      <c r="B75" s="7" t="str">
        <f t="shared" si="4"/>
        <v>Premium3</v>
      </c>
      <c r="C75" s="7" t="str">
        <f t="shared" si="5"/>
        <v>Premium</v>
      </c>
      <c r="D75" s="7" t="str">
        <f t="shared" si="6"/>
        <v>bg</v>
      </c>
      <c r="E75" s="6">
        <v>199</v>
      </c>
      <c r="F75" s="7" t="str">
        <f>VLOOKUP(E75,[1]characters!$A:$C,3,FALSE)</f>
        <v>ジークフリート</v>
      </c>
      <c r="G75" s="7" t="str">
        <f>VLOOKUP(E75,[1]characters!$A:$J,10,FALSE)</f>
        <v>PremiumN</v>
      </c>
      <c r="H75" s="7">
        <f>VLOOKUP(E75,[1]characters!$A:$I,9,FALSE)</f>
        <v>3</v>
      </c>
      <c r="I75" s="7" t="str">
        <f>VLOOKUP(E75,[1]characters!$A:$H,8,FALSE)</f>
        <v>blue</v>
      </c>
      <c r="J75" s="7" t="str">
        <f>VLOOKUP(E75,[1]characters!$A:$K,11,FALSE)</f>
        <v>balance</v>
      </c>
      <c r="K75" s="7" t="str">
        <f>VLOOKUP(E75,[1]characters!$A:$M,13,FALSE)</f>
        <v>human</v>
      </c>
      <c r="L75" s="7" t="str">
        <f>VLOOKUP(E75,[1]characters!$A:$G,7,FALSE)</f>
        <v>男性</v>
      </c>
      <c r="M75" s="62">
        <f ca="1">IFERROR(VLOOKUP(E75,input_314100!L:R,7,FALSE),VLOOKUP(tables_314100!B75,input_314100!A:H,8,FALSE))</f>
        <v>0</v>
      </c>
      <c r="N75" s="63">
        <f t="shared" ca="1" si="7"/>
        <v>0</v>
      </c>
      <c r="O75" s="31">
        <f>IFERROR(VLOOKUP($E75,bug_conf_sheet!$A:$H,3,FALSE),VLOOKUP("other",bug_conf_sheet!$A:$H,3,FALSE))</f>
        <v>1</v>
      </c>
      <c r="P75" s="31">
        <f>IFERROR(VLOOKUP($E75,bug_conf_sheet!$A:$H,4,FALSE),VLOOKUP("other",bug_conf_sheet!$A:$H,4,FALSE))</f>
        <v>0</v>
      </c>
      <c r="Q75" s="31">
        <f>IFERROR(VLOOKUP($E75,bug_conf_sheet!$A:$H,5,FALSE),VLOOKUP("other",bug_conf_sheet!$A:$H,5,FALSE))</f>
        <v>0</v>
      </c>
      <c r="R75" s="31">
        <f>IFERROR(VLOOKUP($E75,bug_conf_sheet!$A:$H,6,FALSE),VLOOKUP("other",bug_conf_sheet!$A:$H,6,FALSE))</f>
        <v>0</v>
      </c>
      <c r="S75" s="31">
        <f>IFERROR(VLOOKUP($E75,bug_conf_sheet!$A:$H,7,FALSE),VLOOKUP("other",bug_conf_sheet!$A:$H,7,FALSE))</f>
        <v>0</v>
      </c>
      <c r="T75" s="31">
        <f>IFERROR(VLOOKUP($E75,bug_conf_sheet!$A:$H,8,FALSE),VLOOKUP("other",bug_conf_sheet!$A:$H,8,FALSE))</f>
        <v>1</v>
      </c>
    </row>
    <row r="76" spans="1:20" ht="21" customHeight="1">
      <c r="A76" s="2" t="str">
        <f ca="1">input_314100!A$2</f>
        <v>314100</v>
      </c>
      <c r="B76" s="7" t="str">
        <f t="shared" si="4"/>
        <v>Premium4</v>
      </c>
      <c r="C76" s="7" t="str">
        <f t="shared" si="5"/>
        <v>Premium</v>
      </c>
      <c r="D76" s="7" t="str">
        <f t="shared" si="6"/>
        <v>bg</v>
      </c>
      <c r="E76" s="6">
        <v>200</v>
      </c>
      <c r="F76" s="7" t="str">
        <f>VLOOKUP(E76,[1]characters!$A:$C,3,FALSE)</f>
        <v>大剣士 ジークフリート</v>
      </c>
      <c r="G76" s="7" t="str">
        <f>VLOOKUP(E76,[1]characters!$A:$J,10,FALSE)</f>
        <v>PremiumN</v>
      </c>
      <c r="H76" s="7">
        <f>VLOOKUP(E76,[1]characters!$A:$I,9,FALSE)</f>
        <v>4</v>
      </c>
      <c r="I76" s="7" t="str">
        <f>VLOOKUP(E76,[1]characters!$A:$H,8,FALSE)</f>
        <v>blue</v>
      </c>
      <c r="J76" s="7" t="str">
        <f>VLOOKUP(E76,[1]characters!$A:$K,11,FALSE)</f>
        <v>balance</v>
      </c>
      <c r="K76" s="7" t="str">
        <f>VLOOKUP(E76,[1]characters!$A:$M,13,FALSE)</f>
        <v>human</v>
      </c>
      <c r="L76" s="7" t="str">
        <f>VLOOKUP(E76,[1]characters!$A:$G,7,FALSE)</f>
        <v>男性</v>
      </c>
      <c r="M76" s="62">
        <f ca="1">IFERROR(VLOOKUP(E76,input_314100!L:R,7,FALSE),VLOOKUP(tables_314100!B76,input_314100!A:H,8,FALSE))</f>
        <v>342090</v>
      </c>
      <c r="N76" s="63">
        <f t="shared" ca="1" si="7"/>
        <v>1.222972972972973E-2</v>
      </c>
      <c r="O76" s="31">
        <f>IFERROR(VLOOKUP($E76,bug_conf_sheet!$A:$H,3,FALSE),VLOOKUP("other",bug_conf_sheet!$A:$H,3,FALSE))</f>
        <v>1</v>
      </c>
      <c r="P76" s="31">
        <f>IFERROR(VLOOKUP($E76,bug_conf_sheet!$A:$H,4,FALSE),VLOOKUP("other",bug_conf_sheet!$A:$H,4,FALSE))</f>
        <v>0</v>
      </c>
      <c r="Q76" s="31">
        <f>IFERROR(VLOOKUP($E76,bug_conf_sheet!$A:$H,5,FALSE),VLOOKUP("other",bug_conf_sheet!$A:$H,5,FALSE))</f>
        <v>0</v>
      </c>
      <c r="R76" s="31">
        <f>IFERROR(VLOOKUP($E76,bug_conf_sheet!$A:$H,6,FALSE),VLOOKUP("other",bug_conf_sheet!$A:$H,6,FALSE))</f>
        <v>0</v>
      </c>
      <c r="S76" s="31">
        <f>IFERROR(VLOOKUP($E76,bug_conf_sheet!$A:$H,7,FALSE),VLOOKUP("other",bug_conf_sheet!$A:$H,7,FALSE))</f>
        <v>0</v>
      </c>
      <c r="T76" s="31">
        <f>IFERROR(VLOOKUP($E76,bug_conf_sheet!$A:$H,8,FALSE),VLOOKUP("other",bug_conf_sheet!$A:$H,8,FALSE))</f>
        <v>1</v>
      </c>
    </row>
    <row r="77" spans="1:20" ht="21" customHeight="1">
      <c r="A77" s="2" t="str">
        <f ca="1">input_314100!A$2</f>
        <v>314100</v>
      </c>
      <c r="B77" s="7" t="str">
        <f t="shared" si="4"/>
        <v>Premium5</v>
      </c>
      <c r="C77" s="7" t="str">
        <f t="shared" si="5"/>
        <v>Premium</v>
      </c>
      <c r="D77" s="7" t="str">
        <f t="shared" si="6"/>
        <v>bg</v>
      </c>
      <c r="E77" s="5">
        <v>201</v>
      </c>
      <c r="F77" s="7" t="str">
        <f>VLOOKUP(E77,[1]characters!$A:$C,3,FALSE)</f>
        <v>斬空の大破剣 ジークフリート</v>
      </c>
      <c r="G77" s="7" t="str">
        <f>VLOOKUP(E77,[1]characters!$A:$J,10,FALSE)</f>
        <v>PremiumN</v>
      </c>
      <c r="H77" s="7">
        <f>VLOOKUP(E77,[1]characters!$A:$I,9,FALSE)</f>
        <v>5</v>
      </c>
      <c r="I77" s="7" t="str">
        <f>VLOOKUP(E77,[1]characters!$A:$H,8,FALSE)</f>
        <v>blue</v>
      </c>
      <c r="J77" s="7" t="str">
        <f>VLOOKUP(E77,[1]characters!$A:$K,11,FALSE)</f>
        <v>balance</v>
      </c>
      <c r="K77" s="7" t="str">
        <f>VLOOKUP(E77,[1]characters!$A:$M,13,FALSE)</f>
        <v>human</v>
      </c>
      <c r="L77" s="7" t="str">
        <f>VLOOKUP(E77,[1]characters!$A:$G,7,FALSE)</f>
        <v>男性</v>
      </c>
      <c r="M77" s="62">
        <f ca="1">IFERROR(VLOOKUP(E77,input_314100!L:R,7,FALSE),VLOOKUP(tables_314100!B77,input_314100!A:H,8,FALSE))</f>
        <v>12950</v>
      </c>
      <c r="N77" s="63">
        <f t="shared" ca="1" si="7"/>
        <v>4.6296296296296298E-4</v>
      </c>
      <c r="O77" s="31">
        <f>IFERROR(VLOOKUP($E77,bug_conf_sheet!$A:$H,3,FALSE),VLOOKUP("other",bug_conf_sheet!$A:$H,3,FALSE))</f>
        <v>1</v>
      </c>
      <c r="P77" s="31">
        <f>IFERROR(VLOOKUP($E77,bug_conf_sheet!$A:$H,4,FALSE),VLOOKUP("other",bug_conf_sheet!$A:$H,4,FALSE))</f>
        <v>0</v>
      </c>
      <c r="Q77" s="31">
        <f>IFERROR(VLOOKUP($E77,bug_conf_sheet!$A:$H,5,FALSE),VLOOKUP("other",bug_conf_sheet!$A:$H,5,FALSE))</f>
        <v>0</v>
      </c>
      <c r="R77" s="31">
        <f>IFERROR(VLOOKUP($E77,bug_conf_sheet!$A:$H,6,FALSE),VLOOKUP("other",bug_conf_sheet!$A:$H,6,FALSE))</f>
        <v>0</v>
      </c>
      <c r="S77" s="31">
        <f>IFERROR(VLOOKUP($E77,bug_conf_sheet!$A:$H,7,FALSE),VLOOKUP("other",bug_conf_sheet!$A:$H,7,FALSE))</f>
        <v>0</v>
      </c>
      <c r="T77" s="31">
        <f>IFERROR(VLOOKUP($E77,bug_conf_sheet!$A:$H,8,FALSE),VLOOKUP("other",bug_conf_sheet!$A:$H,8,FALSE))</f>
        <v>1</v>
      </c>
    </row>
    <row r="78" spans="1:20" ht="21" customHeight="1">
      <c r="A78" s="2" t="str">
        <f ca="1">input_314100!A$2</f>
        <v>314100</v>
      </c>
      <c r="B78" s="7" t="str">
        <f t="shared" si="4"/>
        <v>Premium3</v>
      </c>
      <c r="C78" s="7" t="str">
        <f t="shared" si="5"/>
        <v>Premium</v>
      </c>
      <c r="D78" s="7" t="str">
        <f t="shared" si="6"/>
        <v>ry</v>
      </c>
      <c r="E78" s="5">
        <v>202</v>
      </c>
      <c r="F78" s="7" t="str">
        <f>VLOOKUP(E78,[1]characters!$A:$C,3,FALSE)</f>
        <v>プロメテウス</v>
      </c>
      <c r="G78" s="7" t="str">
        <f>VLOOKUP(E78,[1]characters!$A:$J,10,FALSE)</f>
        <v>PremiumN</v>
      </c>
      <c r="H78" s="7">
        <f>VLOOKUP(E78,[1]characters!$A:$I,9,FALSE)</f>
        <v>3</v>
      </c>
      <c r="I78" s="7" t="str">
        <f>VLOOKUP(E78,[1]characters!$A:$H,8,FALSE)</f>
        <v>red</v>
      </c>
      <c r="J78" s="7" t="str">
        <f>VLOOKUP(E78,[1]characters!$A:$K,11,FALSE)</f>
        <v>hp</v>
      </c>
      <c r="K78" s="7" t="str">
        <f>VLOOKUP(E78,[1]characters!$A:$M,13,FALSE)</f>
        <v>god</v>
      </c>
      <c r="L78" s="7" t="str">
        <f>VLOOKUP(E78,[1]characters!$A:$G,7,FALSE)</f>
        <v>男性</v>
      </c>
      <c r="M78" s="62">
        <f ca="1">IFERROR(VLOOKUP(E78,input_314100!L:R,7,FALSE),VLOOKUP(tables_314100!B78,input_314100!A:H,8,FALSE))</f>
        <v>0</v>
      </c>
      <c r="N78" s="63">
        <f t="shared" ca="1" si="7"/>
        <v>0</v>
      </c>
      <c r="O78" s="31">
        <f>IFERROR(VLOOKUP($E78,bug_conf_sheet!$A:$H,3,FALSE),VLOOKUP("other",bug_conf_sheet!$A:$H,3,FALSE))</f>
        <v>1</v>
      </c>
      <c r="P78" s="31">
        <f>IFERROR(VLOOKUP($E78,bug_conf_sheet!$A:$H,4,FALSE),VLOOKUP("other",bug_conf_sheet!$A:$H,4,FALSE))</f>
        <v>0</v>
      </c>
      <c r="Q78" s="31">
        <f>IFERROR(VLOOKUP($E78,bug_conf_sheet!$A:$H,5,FALSE),VLOOKUP("other",bug_conf_sheet!$A:$H,5,FALSE))</f>
        <v>0</v>
      </c>
      <c r="R78" s="31">
        <f>IFERROR(VLOOKUP($E78,bug_conf_sheet!$A:$H,6,FALSE),VLOOKUP("other",bug_conf_sheet!$A:$H,6,FALSE))</f>
        <v>0</v>
      </c>
      <c r="S78" s="31">
        <f>IFERROR(VLOOKUP($E78,bug_conf_sheet!$A:$H,7,FALSE),VLOOKUP("other",bug_conf_sheet!$A:$H,7,FALSE))</f>
        <v>0</v>
      </c>
      <c r="T78" s="31">
        <f>IFERROR(VLOOKUP($E78,bug_conf_sheet!$A:$H,8,FALSE),VLOOKUP("other",bug_conf_sheet!$A:$H,8,FALSE))</f>
        <v>1</v>
      </c>
    </row>
    <row r="79" spans="1:20" ht="21" customHeight="1">
      <c r="A79" s="2" t="str">
        <f ca="1">input_314100!A$2</f>
        <v>314100</v>
      </c>
      <c r="B79" s="7" t="str">
        <f t="shared" si="4"/>
        <v>Premium4</v>
      </c>
      <c r="C79" s="7" t="str">
        <f t="shared" si="5"/>
        <v>Premium</v>
      </c>
      <c r="D79" s="7" t="str">
        <f t="shared" si="6"/>
        <v>ry</v>
      </c>
      <c r="E79" s="5">
        <v>203</v>
      </c>
      <c r="F79" s="7" t="str">
        <f>VLOOKUP(E79,[1]characters!$A:$C,3,FALSE)</f>
        <v>焔神 プロメテウス</v>
      </c>
      <c r="G79" s="7" t="str">
        <f>VLOOKUP(E79,[1]characters!$A:$J,10,FALSE)</f>
        <v>PremiumN</v>
      </c>
      <c r="H79" s="7">
        <f>VLOOKUP(E79,[1]characters!$A:$I,9,FALSE)</f>
        <v>4</v>
      </c>
      <c r="I79" s="7" t="str">
        <f>VLOOKUP(E79,[1]characters!$A:$H,8,FALSE)</f>
        <v>red</v>
      </c>
      <c r="J79" s="7" t="str">
        <f>VLOOKUP(E79,[1]characters!$A:$K,11,FALSE)</f>
        <v>hp</v>
      </c>
      <c r="K79" s="7" t="str">
        <f>VLOOKUP(E79,[1]characters!$A:$M,13,FALSE)</f>
        <v>god</v>
      </c>
      <c r="L79" s="7" t="str">
        <f>VLOOKUP(E79,[1]characters!$A:$G,7,FALSE)</f>
        <v>男性</v>
      </c>
      <c r="M79" s="62">
        <f ca="1">IFERROR(VLOOKUP(E79,input_314100!L:R,7,FALSE),VLOOKUP(tables_314100!B79,input_314100!A:H,8,FALSE))</f>
        <v>342090</v>
      </c>
      <c r="N79" s="63">
        <f t="shared" ca="1" si="7"/>
        <v>1.222972972972973E-2</v>
      </c>
      <c r="O79" s="31">
        <f>IFERROR(VLOOKUP($E79,bug_conf_sheet!$A:$H,3,FALSE),VLOOKUP("other",bug_conf_sheet!$A:$H,3,FALSE))</f>
        <v>1</v>
      </c>
      <c r="P79" s="31">
        <f>IFERROR(VLOOKUP($E79,bug_conf_sheet!$A:$H,4,FALSE),VLOOKUP("other",bug_conf_sheet!$A:$H,4,FALSE))</f>
        <v>0</v>
      </c>
      <c r="Q79" s="31">
        <f>IFERROR(VLOOKUP($E79,bug_conf_sheet!$A:$H,5,FALSE),VLOOKUP("other",bug_conf_sheet!$A:$H,5,FALSE))</f>
        <v>0</v>
      </c>
      <c r="R79" s="31">
        <f>IFERROR(VLOOKUP($E79,bug_conf_sheet!$A:$H,6,FALSE),VLOOKUP("other",bug_conf_sheet!$A:$H,6,FALSE))</f>
        <v>0</v>
      </c>
      <c r="S79" s="31">
        <f>IFERROR(VLOOKUP($E79,bug_conf_sheet!$A:$H,7,FALSE),VLOOKUP("other",bug_conf_sheet!$A:$H,7,FALSE))</f>
        <v>0</v>
      </c>
      <c r="T79" s="31">
        <f>IFERROR(VLOOKUP($E79,bug_conf_sheet!$A:$H,8,FALSE),VLOOKUP("other",bug_conf_sheet!$A:$H,8,FALSE))</f>
        <v>1</v>
      </c>
    </row>
    <row r="80" spans="1:20" ht="21" customHeight="1">
      <c r="A80" s="2" t="str">
        <f ca="1">input_314100!A$2</f>
        <v>314100</v>
      </c>
      <c r="B80" s="7" t="str">
        <f t="shared" si="4"/>
        <v>Premium5</v>
      </c>
      <c r="C80" s="7" t="str">
        <f t="shared" si="5"/>
        <v>Premium</v>
      </c>
      <c r="D80" s="7" t="str">
        <f t="shared" si="6"/>
        <v>ry</v>
      </c>
      <c r="E80" s="5">
        <v>204</v>
      </c>
      <c r="F80" s="7" t="str">
        <f>VLOOKUP(E80,[1]characters!$A:$C,3,FALSE)</f>
        <v>慟哭の巨焔 プロメテウス</v>
      </c>
      <c r="G80" s="7" t="str">
        <f>VLOOKUP(E80,[1]characters!$A:$J,10,FALSE)</f>
        <v>PremiumN</v>
      </c>
      <c r="H80" s="7">
        <f>VLOOKUP(E80,[1]characters!$A:$I,9,FALSE)</f>
        <v>5</v>
      </c>
      <c r="I80" s="7" t="str">
        <f>VLOOKUP(E80,[1]characters!$A:$H,8,FALSE)</f>
        <v>red</v>
      </c>
      <c r="J80" s="7" t="str">
        <f>VLOOKUP(E80,[1]characters!$A:$K,11,FALSE)</f>
        <v>hp</v>
      </c>
      <c r="K80" s="7" t="str">
        <f>VLOOKUP(E80,[1]characters!$A:$M,13,FALSE)</f>
        <v>god</v>
      </c>
      <c r="L80" s="7" t="str">
        <f>VLOOKUP(E80,[1]characters!$A:$G,7,FALSE)</f>
        <v>男性</v>
      </c>
      <c r="M80" s="62">
        <f ca="1">IFERROR(VLOOKUP(E80,input_314100!L:R,7,FALSE),VLOOKUP(tables_314100!B80,input_314100!A:H,8,FALSE))</f>
        <v>12950</v>
      </c>
      <c r="N80" s="63">
        <f t="shared" ca="1" si="7"/>
        <v>4.6296296296296298E-4</v>
      </c>
      <c r="O80" s="31">
        <f>IFERROR(VLOOKUP($E80,bug_conf_sheet!$A:$H,3,FALSE),VLOOKUP("other",bug_conf_sheet!$A:$H,3,FALSE))</f>
        <v>1</v>
      </c>
      <c r="P80" s="31">
        <f>IFERROR(VLOOKUP($E80,bug_conf_sheet!$A:$H,4,FALSE),VLOOKUP("other",bug_conf_sheet!$A:$H,4,FALSE))</f>
        <v>0</v>
      </c>
      <c r="Q80" s="31">
        <f>IFERROR(VLOOKUP($E80,bug_conf_sheet!$A:$H,5,FALSE),VLOOKUP("other",bug_conf_sheet!$A:$H,5,FALSE))</f>
        <v>0</v>
      </c>
      <c r="R80" s="31">
        <f>IFERROR(VLOOKUP($E80,bug_conf_sheet!$A:$H,6,FALSE),VLOOKUP("other",bug_conf_sheet!$A:$H,6,FALSE))</f>
        <v>0</v>
      </c>
      <c r="S80" s="31">
        <f>IFERROR(VLOOKUP($E80,bug_conf_sheet!$A:$H,7,FALSE),VLOOKUP("other",bug_conf_sheet!$A:$H,7,FALSE))</f>
        <v>0</v>
      </c>
      <c r="T80" s="31">
        <f>IFERROR(VLOOKUP($E80,bug_conf_sheet!$A:$H,8,FALSE),VLOOKUP("other",bug_conf_sheet!$A:$H,8,FALSE))</f>
        <v>1</v>
      </c>
    </row>
    <row r="81" spans="1:20" ht="21" customHeight="1">
      <c r="A81" s="2" t="str">
        <f ca="1">input_314100!A$2</f>
        <v>314100</v>
      </c>
      <c r="B81" s="7" t="str">
        <f t="shared" si="4"/>
        <v>Premium3</v>
      </c>
      <c r="C81" s="7" t="str">
        <f t="shared" si="5"/>
        <v>Premium</v>
      </c>
      <c r="D81" s="7" t="str">
        <f t="shared" si="6"/>
        <v>bg</v>
      </c>
      <c r="E81" s="5">
        <v>205</v>
      </c>
      <c r="F81" s="7" t="str">
        <f>VLOOKUP(E81,[1]characters!$A:$C,3,FALSE)</f>
        <v>アフロディーテ</v>
      </c>
      <c r="G81" s="7" t="str">
        <f>VLOOKUP(E81,[1]characters!$A:$J,10,FALSE)</f>
        <v>PremiumN</v>
      </c>
      <c r="H81" s="7">
        <f>VLOOKUP(E81,[1]characters!$A:$I,9,FALSE)</f>
        <v>3</v>
      </c>
      <c r="I81" s="7" t="str">
        <f>VLOOKUP(E81,[1]characters!$A:$H,8,FALSE)</f>
        <v>green</v>
      </c>
      <c r="J81" s="7" t="str">
        <f>VLOOKUP(E81,[1]characters!$A:$K,11,FALSE)</f>
        <v>hp</v>
      </c>
      <c r="K81" s="7" t="str">
        <f>VLOOKUP(E81,[1]characters!$A:$M,13,FALSE)</f>
        <v>god</v>
      </c>
      <c r="L81" s="7" t="str">
        <f>VLOOKUP(E81,[1]characters!$A:$G,7,FALSE)</f>
        <v>女性</v>
      </c>
      <c r="M81" s="62">
        <f ca="1">IFERROR(VLOOKUP(E81,input_314100!L:R,7,FALSE),VLOOKUP(tables_314100!B81,input_314100!A:H,8,FALSE))</f>
        <v>0</v>
      </c>
      <c r="N81" s="63">
        <f t="shared" ca="1" si="7"/>
        <v>0</v>
      </c>
      <c r="O81" s="31">
        <f>IFERROR(VLOOKUP($E81,bug_conf_sheet!$A:$H,3,FALSE),VLOOKUP("other",bug_conf_sheet!$A:$H,3,FALSE))</f>
        <v>1</v>
      </c>
      <c r="P81" s="31">
        <f>IFERROR(VLOOKUP($E81,bug_conf_sheet!$A:$H,4,FALSE),VLOOKUP("other",bug_conf_sheet!$A:$H,4,FALSE))</f>
        <v>0</v>
      </c>
      <c r="Q81" s="31">
        <f>IFERROR(VLOOKUP($E81,bug_conf_sheet!$A:$H,5,FALSE),VLOOKUP("other",bug_conf_sheet!$A:$H,5,FALSE))</f>
        <v>0</v>
      </c>
      <c r="R81" s="31">
        <f>IFERROR(VLOOKUP($E81,bug_conf_sheet!$A:$H,6,FALSE),VLOOKUP("other",bug_conf_sheet!$A:$H,6,FALSE))</f>
        <v>0</v>
      </c>
      <c r="S81" s="31">
        <f>IFERROR(VLOOKUP($E81,bug_conf_sheet!$A:$H,7,FALSE),VLOOKUP("other",bug_conf_sheet!$A:$H,7,FALSE))</f>
        <v>0</v>
      </c>
      <c r="T81" s="31">
        <f>IFERROR(VLOOKUP($E81,bug_conf_sheet!$A:$H,8,FALSE),VLOOKUP("other",bug_conf_sheet!$A:$H,8,FALSE))</f>
        <v>1</v>
      </c>
    </row>
    <row r="82" spans="1:20" ht="21" customHeight="1">
      <c r="A82" s="2" t="str">
        <f ca="1">input_314100!A$2</f>
        <v>314100</v>
      </c>
      <c r="B82" s="7" t="str">
        <f t="shared" si="4"/>
        <v>Premium4</v>
      </c>
      <c r="C82" s="7" t="str">
        <f t="shared" si="5"/>
        <v>Premium</v>
      </c>
      <c r="D82" s="7" t="str">
        <f t="shared" si="6"/>
        <v>bg</v>
      </c>
      <c r="E82" s="5">
        <v>206</v>
      </c>
      <c r="F82" s="7" t="str">
        <f>VLOOKUP(E82,[1]characters!$A:$C,3,FALSE)</f>
        <v>美神 アフロディーテ</v>
      </c>
      <c r="G82" s="7" t="str">
        <f>VLOOKUP(E82,[1]characters!$A:$J,10,FALSE)</f>
        <v>PremiumN</v>
      </c>
      <c r="H82" s="7">
        <f>VLOOKUP(E82,[1]characters!$A:$I,9,FALSE)</f>
        <v>4</v>
      </c>
      <c r="I82" s="7" t="str">
        <f>VLOOKUP(E82,[1]characters!$A:$H,8,FALSE)</f>
        <v>green</v>
      </c>
      <c r="J82" s="7" t="str">
        <f>VLOOKUP(E82,[1]characters!$A:$K,11,FALSE)</f>
        <v>hp</v>
      </c>
      <c r="K82" s="7" t="str">
        <f>VLOOKUP(E82,[1]characters!$A:$M,13,FALSE)</f>
        <v>god</v>
      </c>
      <c r="L82" s="7" t="str">
        <f>VLOOKUP(E82,[1]characters!$A:$G,7,FALSE)</f>
        <v>女性</v>
      </c>
      <c r="M82" s="62">
        <f ca="1">IFERROR(VLOOKUP(E82,input_314100!L:R,7,FALSE),VLOOKUP(tables_314100!B82,input_314100!A:H,8,FALSE))</f>
        <v>342090</v>
      </c>
      <c r="N82" s="63">
        <f t="shared" ca="1" si="7"/>
        <v>1.222972972972973E-2</v>
      </c>
      <c r="O82" s="31">
        <f>IFERROR(VLOOKUP($E82,bug_conf_sheet!$A:$H,3,FALSE),VLOOKUP("other",bug_conf_sheet!$A:$H,3,FALSE))</f>
        <v>1</v>
      </c>
      <c r="P82" s="31">
        <f>IFERROR(VLOOKUP($E82,bug_conf_sheet!$A:$H,4,FALSE),VLOOKUP("other",bug_conf_sheet!$A:$H,4,FALSE))</f>
        <v>0</v>
      </c>
      <c r="Q82" s="31">
        <f>IFERROR(VLOOKUP($E82,bug_conf_sheet!$A:$H,5,FALSE),VLOOKUP("other",bug_conf_sheet!$A:$H,5,FALSE))</f>
        <v>0</v>
      </c>
      <c r="R82" s="31">
        <f>IFERROR(VLOOKUP($E82,bug_conf_sheet!$A:$H,6,FALSE),VLOOKUP("other",bug_conf_sheet!$A:$H,6,FALSE))</f>
        <v>0</v>
      </c>
      <c r="S82" s="31">
        <f>IFERROR(VLOOKUP($E82,bug_conf_sheet!$A:$H,7,FALSE),VLOOKUP("other",bug_conf_sheet!$A:$H,7,FALSE))</f>
        <v>0</v>
      </c>
      <c r="T82" s="31">
        <f>IFERROR(VLOOKUP($E82,bug_conf_sheet!$A:$H,8,FALSE),VLOOKUP("other",bug_conf_sheet!$A:$H,8,FALSE))</f>
        <v>1</v>
      </c>
    </row>
    <row r="83" spans="1:20" ht="21" customHeight="1">
      <c r="A83" s="2" t="str">
        <f ca="1">input_314100!A$2</f>
        <v>314100</v>
      </c>
      <c r="B83" s="7" t="str">
        <f t="shared" si="4"/>
        <v>Premium5</v>
      </c>
      <c r="C83" s="7" t="str">
        <f t="shared" si="5"/>
        <v>Premium</v>
      </c>
      <c r="D83" s="7" t="str">
        <f t="shared" si="6"/>
        <v>bg</v>
      </c>
      <c r="E83" s="5">
        <v>207</v>
      </c>
      <c r="F83" s="7" t="str">
        <f>VLOOKUP(E83,[1]characters!$A:$C,3,FALSE)</f>
        <v>豊穣の麗神・アフロディーテ</v>
      </c>
      <c r="G83" s="7" t="str">
        <f>VLOOKUP(E83,[1]characters!$A:$J,10,FALSE)</f>
        <v>PremiumN</v>
      </c>
      <c r="H83" s="7">
        <f>VLOOKUP(E83,[1]characters!$A:$I,9,FALSE)</f>
        <v>5</v>
      </c>
      <c r="I83" s="7" t="str">
        <f>VLOOKUP(E83,[1]characters!$A:$H,8,FALSE)</f>
        <v>green</v>
      </c>
      <c r="J83" s="7" t="str">
        <f>VLOOKUP(E83,[1]characters!$A:$K,11,FALSE)</f>
        <v>hp</v>
      </c>
      <c r="K83" s="7" t="str">
        <f>VLOOKUP(E83,[1]characters!$A:$M,13,FALSE)</f>
        <v>god</v>
      </c>
      <c r="L83" s="7" t="str">
        <f>VLOOKUP(E83,[1]characters!$A:$G,7,FALSE)</f>
        <v>女性</v>
      </c>
      <c r="M83" s="62">
        <f ca="1">IFERROR(VLOOKUP(E83,input_314100!L:R,7,FALSE),VLOOKUP(tables_314100!B83,input_314100!A:H,8,FALSE))</f>
        <v>12950</v>
      </c>
      <c r="N83" s="63">
        <f t="shared" ca="1" si="7"/>
        <v>4.6296296296296298E-4</v>
      </c>
      <c r="O83" s="31">
        <f>IFERROR(VLOOKUP($E83,bug_conf_sheet!$A:$H,3,FALSE),VLOOKUP("other",bug_conf_sheet!$A:$H,3,FALSE))</f>
        <v>1</v>
      </c>
      <c r="P83" s="31">
        <f>IFERROR(VLOOKUP($E83,bug_conf_sheet!$A:$H,4,FALSE),VLOOKUP("other",bug_conf_sheet!$A:$H,4,FALSE))</f>
        <v>0</v>
      </c>
      <c r="Q83" s="31">
        <f>IFERROR(VLOOKUP($E83,bug_conf_sheet!$A:$H,5,FALSE),VLOOKUP("other",bug_conf_sheet!$A:$H,5,FALSE))</f>
        <v>0</v>
      </c>
      <c r="R83" s="31">
        <f>IFERROR(VLOOKUP($E83,bug_conf_sheet!$A:$H,6,FALSE),VLOOKUP("other",bug_conf_sheet!$A:$H,6,FALSE))</f>
        <v>0</v>
      </c>
      <c r="S83" s="31">
        <f>IFERROR(VLOOKUP($E83,bug_conf_sheet!$A:$H,7,FALSE),VLOOKUP("other",bug_conf_sheet!$A:$H,7,FALSE))</f>
        <v>0</v>
      </c>
      <c r="T83" s="31">
        <f>IFERROR(VLOOKUP($E83,bug_conf_sheet!$A:$H,8,FALSE),VLOOKUP("other",bug_conf_sheet!$A:$H,8,FALSE))</f>
        <v>1</v>
      </c>
    </row>
    <row r="84" spans="1:20" ht="21" customHeight="1">
      <c r="A84" s="2" t="str">
        <f ca="1">input_314100!A$2</f>
        <v>314100</v>
      </c>
      <c r="B84" s="7" t="str">
        <f t="shared" si="4"/>
        <v>Premium3</v>
      </c>
      <c r="C84" s="7" t="str">
        <f t="shared" si="5"/>
        <v>Premium</v>
      </c>
      <c r="D84" s="7" t="str">
        <f t="shared" si="6"/>
        <v>bg</v>
      </c>
      <c r="E84" s="5">
        <v>208</v>
      </c>
      <c r="F84" s="7" t="str">
        <f>VLOOKUP(E84,[1]characters!$A:$C,3,FALSE)</f>
        <v>テティス</v>
      </c>
      <c r="G84" s="7" t="str">
        <f>VLOOKUP(E84,[1]characters!$A:$J,10,FALSE)</f>
        <v>PremiumN</v>
      </c>
      <c r="H84" s="7">
        <f>VLOOKUP(E84,[1]characters!$A:$I,9,FALSE)</f>
        <v>3</v>
      </c>
      <c r="I84" s="7" t="str">
        <f>VLOOKUP(E84,[1]characters!$A:$H,8,FALSE)</f>
        <v>blue</v>
      </c>
      <c r="J84" s="7" t="str">
        <f>VLOOKUP(E84,[1]characters!$A:$K,11,FALSE)</f>
        <v>hp</v>
      </c>
      <c r="K84" s="7" t="str">
        <f>VLOOKUP(E84,[1]characters!$A:$M,13,FALSE)</f>
        <v>god</v>
      </c>
      <c r="L84" s="7" t="str">
        <f>VLOOKUP(E84,[1]characters!$A:$G,7,FALSE)</f>
        <v>女性</v>
      </c>
      <c r="M84" s="62">
        <f ca="1">IFERROR(VLOOKUP(E84,input_314100!L:R,7,FALSE),VLOOKUP(tables_314100!B84,input_314100!A:H,8,FALSE))</f>
        <v>0</v>
      </c>
      <c r="N84" s="63">
        <f t="shared" ca="1" si="7"/>
        <v>0</v>
      </c>
      <c r="O84" s="31">
        <f>IFERROR(VLOOKUP($E84,bug_conf_sheet!$A:$H,3,FALSE),VLOOKUP("other",bug_conf_sheet!$A:$H,3,FALSE))</f>
        <v>1</v>
      </c>
      <c r="P84" s="31">
        <f>IFERROR(VLOOKUP($E84,bug_conf_sheet!$A:$H,4,FALSE),VLOOKUP("other",bug_conf_sheet!$A:$H,4,FALSE))</f>
        <v>0</v>
      </c>
      <c r="Q84" s="31">
        <f>IFERROR(VLOOKUP($E84,bug_conf_sheet!$A:$H,5,FALSE),VLOOKUP("other",bug_conf_sheet!$A:$H,5,FALSE))</f>
        <v>0</v>
      </c>
      <c r="R84" s="31">
        <f>IFERROR(VLOOKUP($E84,bug_conf_sheet!$A:$H,6,FALSE),VLOOKUP("other",bug_conf_sheet!$A:$H,6,FALSE))</f>
        <v>0</v>
      </c>
      <c r="S84" s="31">
        <f>IFERROR(VLOOKUP($E84,bug_conf_sheet!$A:$H,7,FALSE),VLOOKUP("other",bug_conf_sheet!$A:$H,7,FALSE))</f>
        <v>0</v>
      </c>
      <c r="T84" s="31">
        <f>IFERROR(VLOOKUP($E84,bug_conf_sheet!$A:$H,8,FALSE),VLOOKUP("other",bug_conf_sheet!$A:$H,8,FALSE))</f>
        <v>1</v>
      </c>
    </row>
    <row r="85" spans="1:20" ht="21" customHeight="1">
      <c r="A85" s="2" t="str">
        <f ca="1">input_314100!A$2</f>
        <v>314100</v>
      </c>
      <c r="B85" s="7" t="str">
        <f t="shared" si="4"/>
        <v>Premium4</v>
      </c>
      <c r="C85" s="7" t="str">
        <f t="shared" si="5"/>
        <v>Premium</v>
      </c>
      <c r="D85" s="7" t="str">
        <f t="shared" si="6"/>
        <v>bg</v>
      </c>
      <c r="E85" s="5">
        <v>209</v>
      </c>
      <c r="F85" s="7" t="str">
        <f>VLOOKUP(E85,[1]characters!$A:$C,3,FALSE)</f>
        <v>孤神 テティス</v>
      </c>
      <c r="G85" s="7" t="str">
        <f>VLOOKUP(E85,[1]characters!$A:$J,10,FALSE)</f>
        <v>PremiumN</v>
      </c>
      <c r="H85" s="7">
        <f>VLOOKUP(E85,[1]characters!$A:$I,9,FALSE)</f>
        <v>4</v>
      </c>
      <c r="I85" s="7" t="str">
        <f>VLOOKUP(E85,[1]characters!$A:$H,8,FALSE)</f>
        <v>blue</v>
      </c>
      <c r="J85" s="7" t="str">
        <f>VLOOKUP(E85,[1]characters!$A:$K,11,FALSE)</f>
        <v>hp</v>
      </c>
      <c r="K85" s="7" t="str">
        <f>VLOOKUP(E85,[1]characters!$A:$M,13,FALSE)</f>
        <v>god</v>
      </c>
      <c r="L85" s="7" t="str">
        <f>VLOOKUP(E85,[1]characters!$A:$G,7,FALSE)</f>
        <v>女性</v>
      </c>
      <c r="M85" s="62">
        <f ca="1">IFERROR(VLOOKUP(E85,input_314100!L:R,7,FALSE),VLOOKUP(tables_314100!B85,input_314100!A:H,8,FALSE))</f>
        <v>342090</v>
      </c>
      <c r="N85" s="63">
        <f t="shared" ca="1" si="7"/>
        <v>1.222972972972973E-2</v>
      </c>
      <c r="O85" s="31">
        <f>IFERROR(VLOOKUP($E85,bug_conf_sheet!$A:$H,3,FALSE),VLOOKUP("other",bug_conf_sheet!$A:$H,3,FALSE))</f>
        <v>1</v>
      </c>
      <c r="P85" s="31">
        <f>IFERROR(VLOOKUP($E85,bug_conf_sheet!$A:$H,4,FALSE),VLOOKUP("other",bug_conf_sheet!$A:$H,4,FALSE))</f>
        <v>0</v>
      </c>
      <c r="Q85" s="31">
        <f>IFERROR(VLOOKUP($E85,bug_conf_sheet!$A:$H,5,FALSE),VLOOKUP("other",bug_conf_sheet!$A:$H,5,FALSE))</f>
        <v>0</v>
      </c>
      <c r="R85" s="31">
        <f>IFERROR(VLOOKUP($E85,bug_conf_sheet!$A:$H,6,FALSE),VLOOKUP("other",bug_conf_sheet!$A:$H,6,FALSE))</f>
        <v>0</v>
      </c>
      <c r="S85" s="31">
        <f>IFERROR(VLOOKUP($E85,bug_conf_sheet!$A:$H,7,FALSE),VLOOKUP("other",bug_conf_sheet!$A:$H,7,FALSE))</f>
        <v>0</v>
      </c>
      <c r="T85" s="31">
        <f>IFERROR(VLOOKUP($E85,bug_conf_sheet!$A:$H,8,FALSE),VLOOKUP("other",bug_conf_sheet!$A:$H,8,FALSE))</f>
        <v>1</v>
      </c>
    </row>
    <row r="86" spans="1:20" ht="21" customHeight="1">
      <c r="A86" s="2" t="str">
        <f ca="1">input_314100!A$2</f>
        <v>314100</v>
      </c>
      <c r="B86" s="7" t="str">
        <f t="shared" si="4"/>
        <v>Premium5</v>
      </c>
      <c r="C86" s="7" t="str">
        <f t="shared" si="5"/>
        <v>Premium</v>
      </c>
      <c r="D86" s="7" t="str">
        <f t="shared" si="6"/>
        <v>bg</v>
      </c>
      <c r="E86" s="5">
        <v>210</v>
      </c>
      <c r="F86" s="7" t="str">
        <f>VLOOKUP(E86,[1]characters!$A:$C,3,FALSE)</f>
        <v>海底の孤高神 テティス</v>
      </c>
      <c r="G86" s="7" t="str">
        <f>VLOOKUP(E86,[1]characters!$A:$J,10,FALSE)</f>
        <v>PremiumN</v>
      </c>
      <c r="H86" s="7">
        <f>VLOOKUP(E86,[1]characters!$A:$I,9,FALSE)</f>
        <v>5</v>
      </c>
      <c r="I86" s="7" t="str">
        <f>VLOOKUP(E86,[1]characters!$A:$H,8,FALSE)</f>
        <v>blue</v>
      </c>
      <c r="J86" s="7" t="str">
        <f>VLOOKUP(E86,[1]characters!$A:$K,11,FALSE)</f>
        <v>hp</v>
      </c>
      <c r="K86" s="7" t="str">
        <f>VLOOKUP(E86,[1]characters!$A:$M,13,FALSE)</f>
        <v>god</v>
      </c>
      <c r="L86" s="7" t="str">
        <f>VLOOKUP(E86,[1]characters!$A:$G,7,FALSE)</f>
        <v>女性</v>
      </c>
      <c r="M86" s="62">
        <f ca="1">IFERROR(VLOOKUP(E86,input_314100!L:R,7,FALSE),VLOOKUP(tables_314100!B86,input_314100!A:H,8,FALSE))</f>
        <v>12950</v>
      </c>
      <c r="N86" s="63">
        <f t="shared" ca="1" si="7"/>
        <v>4.6296296296296298E-4</v>
      </c>
      <c r="O86" s="31">
        <f>IFERROR(VLOOKUP($E86,bug_conf_sheet!$A:$H,3,FALSE),VLOOKUP("other",bug_conf_sheet!$A:$H,3,FALSE))</f>
        <v>1</v>
      </c>
      <c r="P86" s="31">
        <f>IFERROR(VLOOKUP($E86,bug_conf_sheet!$A:$H,4,FALSE),VLOOKUP("other",bug_conf_sheet!$A:$H,4,FALSE))</f>
        <v>0</v>
      </c>
      <c r="Q86" s="31">
        <f>IFERROR(VLOOKUP($E86,bug_conf_sheet!$A:$H,5,FALSE),VLOOKUP("other",bug_conf_sheet!$A:$H,5,FALSE))</f>
        <v>0</v>
      </c>
      <c r="R86" s="31">
        <f>IFERROR(VLOOKUP($E86,bug_conf_sheet!$A:$H,6,FALSE),VLOOKUP("other",bug_conf_sheet!$A:$H,6,FALSE))</f>
        <v>0</v>
      </c>
      <c r="S86" s="31">
        <f>IFERROR(VLOOKUP($E86,bug_conf_sheet!$A:$H,7,FALSE),VLOOKUP("other",bug_conf_sheet!$A:$H,7,FALSE))</f>
        <v>0</v>
      </c>
      <c r="T86" s="31">
        <f>IFERROR(VLOOKUP($E86,bug_conf_sheet!$A:$H,8,FALSE),VLOOKUP("other",bug_conf_sheet!$A:$H,8,FALSE))</f>
        <v>1</v>
      </c>
    </row>
    <row r="87" spans="1:20" ht="21" customHeight="1">
      <c r="A87" s="2" t="str">
        <f ca="1">input_314100!A$2</f>
        <v>314100</v>
      </c>
      <c r="B87" s="7" t="str">
        <f t="shared" si="4"/>
        <v>Premium3</v>
      </c>
      <c r="C87" s="7" t="str">
        <f t="shared" si="5"/>
        <v>Premium</v>
      </c>
      <c r="D87" s="7" t="str">
        <f t="shared" si="6"/>
        <v>ry</v>
      </c>
      <c r="E87" s="5">
        <v>211</v>
      </c>
      <c r="F87" s="7" t="str">
        <f>VLOOKUP(E87,[1]characters!$A:$C,3,FALSE)</f>
        <v>アストライアー</v>
      </c>
      <c r="G87" s="7" t="str">
        <f>VLOOKUP(E87,[1]characters!$A:$J,10,FALSE)</f>
        <v>PremiumN</v>
      </c>
      <c r="H87" s="7">
        <f>VLOOKUP(E87,[1]characters!$A:$I,9,FALSE)</f>
        <v>3</v>
      </c>
      <c r="I87" s="7" t="str">
        <f>VLOOKUP(E87,[1]characters!$A:$H,8,FALSE)</f>
        <v>yellow</v>
      </c>
      <c r="J87" s="7" t="str">
        <f>VLOOKUP(E87,[1]characters!$A:$K,11,FALSE)</f>
        <v>balance</v>
      </c>
      <c r="K87" s="7" t="str">
        <f>VLOOKUP(E87,[1]characters!$A:$M,13,FALSE)</f>
        <v>god</v>
      </c>
      <c r="L87" s="7" t="str">
        <f>VLOOKUP(E87,[1]characters!$A:$G,7,FALSE)</f>
        <v>女性</v>
      </c>
      <c r="M87" s="62">
        <f ca="1">IFERROR(VLOOKUP(E87,input_314100!L:R,7,FALSE),VLOOKUP(tables_314100!B87,input_314100!A:H,8,FALSE))</f>
        <v>0</v>
      </c>
      <c r="N87" s="63">
        <f t="shared" ca="1" si="7"/>
        <v>0</v>
      </c>
      <c r="O87" s="31">
        <f>IFERROR(VLOOKUP($E87,bug_conf_sheet!$A:$H,3,FALSE),VLOOKUP("other",bug_conf_sheet!$A:$H,3,FALSE))</f>
        <v>1</v>
      </c>
      <c r="P87" s="31">
        <f>IFERROR(VLOOKUP($E87,bug_conf_sheet!$A:$H,4,FALSE),VLOOKUP("other",bug_conf_sheet!$A:$H,4,FALSE))</f>
        <v>0</v>
      </c>
      <c r="Q87" s="31">
        <f>IFERROR(VLOOKUP($E87,bug_conf_sheet!$A:$H,5,FALSE),VLOOKUP("other",bug_conf_sheet!$A:$H,5,FALSE))</f>
        <v>0</v>
      </c>
      <c r="R87" s="31">
        <f>IFERROR(VLOOKUP($E87,bug_conf_sheet!$A:$H,6,FALSE),VLOOKUP("other",bug_conf_sheet!$A:$H,6,FALSE))</f>
        <v>0</v>
      </c>
      <c r="S87" s="31">
        <f>IFERROR(VLOOKUP($E87,bug_conf_sheet!$A:$H,7,FALSE),VLOOKUP("other",bug_conf_sheet!$A:$H,7,FALSE))</f>
        <v>0</v>
      </c>
      <c r="T87" s="31">
        <f>IFERROR(VLOOKUP($E87,bug_conf_sheet!$A:$H,8,FALSE),VLOOKUP("other",bug_conf_sheet!$A:$H,8,FALSE))</f>
        <v>1</v>
      </c>
    </row>
    <row r="88" spans="1:20" ht="21" customHeight="1">
      <c r="A88" s="2" t="str">
        <f ca="1">input_314100!A$2</f>
        <v>314100</v>
      </c>
      <c r="B88" s="7" t="str">
        <f t="shared" si="4"/>
        <v>Premium4</v>
      </c>
      <c r="C88" s="7" t="str">
        <f t="shared" si="5"/>
        <v>Premium</v>
      </c>
      <c r="D88" s="7" t="str">
        <f t="shared" si="6"/>
        <v>ry</v>
      </c>
      <c r="E88" s="5">
        <v>212</v>
      </c>
      <c r="F88" s="7" t="str">
        <f>VLOOKUP(E88,[1]characters!$A:$C,3,FALSE)</f>
        <v>星神 アストライアー</v>
      </c>
      <c r="G88" s="7" t="str">
        <f>VLOOKUP(E88,[1]characters!$A:$J,10,FALSE)</f>
        <v>PremiumN</v>
      </c>
      <c r="H88" s="7">
        <f>VLOOKUP(E88,[1]characters!$A:$I,9,FALSE)</f>
        <v>4</v>
      </c>
      <c r="I88" s="7" t="str">
        <f>VLOOKUP(E88,[1]characters!$A:$H,8,FALSE)</f>
        <v>yellow</v>
      </c>
      <c r="J88" s="7" t="str">
        <f>VLOOKUP(E88,[1]characters!$A:$K,11,FALSE)</f>
        <v>balance</v>
      </c>
      <c r="K88" s="7" t="str">
        <f>VLOOKUP(E88,[1]characters!$A:$M,13,FALSE)</f>
        <v>god</v>
      </c>
      <c r="L88" s="7" t="str">
        <f>VLOOKUP(E88,[1]characters!$A:$G,7,FALSE)</f>
        <v>女性</v>
      </c>
      <c r="M88" s="62">
        <f ca="1">IFERROR(VLOOKUP(E88,input_314100!L:R,7,FALSE),VLOOKUP(tables_314100!B88,input_314100!A:H,8,FALSE))</f>
        <v>342090</v>
      </c>
      <c r="N88" s="63">
        <f t="shared" ca="1" si="7"/>
        <v>1.222972972972973E-2</v>
      </c>
      <c r="O88" s="31">
        <f>IFERROR(VLOOKUP($E88,bug_conf_sheet!$A:$H,3,FALSE),VLOOKUP("other",bug_conf_sheet!$A:$H,3,FALSE))</f>
        <v>1</v>
      </c>
      <c r="P88" s="31">
        <f>IFERROR(VLOOKUP($E88,bug_conf_sheet!$A:$H,4,FALSE),VLOOKUP("other",bug_conf_sheet!$A:$H,4,FALSE))</f>
        <v>0</v>
      </c>
      <c r="Q88" s="31">
        <f>IFERROR(VLOOKUP($E88,bug_conf_sheet!$A:$H,5,FALSE),VLOOKUP("other",bug_conf_sheet!$A:$H,5,FALSE))</f>
        <v>0</v>
      </c>
      <c r="R88" s="31">
        <f>IFERROR(VLOOKUP($E88,bug_conf_sheet!$A:$H,6,FALSE),VLOOKUP("other",bug_conf_sheet!$A:$H,6,FALSE))</f>
        <v>0</v>
      </c>
      <c r="S88" s="31">
        <f>IFERROR(VLOOKUP($E88,bug_conf_sheet!$A:$H,7,FALSE),VLOOKUP("other",bug_conf_sheet!$A:$H,7,FALSE))</f>
        <v>0</v>
      </c>
      <c r="T88" s="31">
        <f>IFERROR(VLOOKUP($E88,bug_conf_sheet!$A:$H,8,FALSE),VLOOKUP("other",bug_conf_sheet!$A:$H,8,FALSE))</f>
        <v>1</v>
      </c>
    </row>
    <row r="89" spans="1:20" ht="21" customHeight="1">
      <c r="A89" s="2" t="str">
        <f ca="1">input_314100!A$2</f>
        <v>314100</v>
      </c>
      <c r="B89" s="7" t="str">
        <f t="shared" si="4"/>
        <v>Premium5</v>
      </c>
      <c r="C89" s="7" t="str">
        <f t="shared" si="5"/>
        <v>Premium</v>
      </c>
      <c r="D89" s="7" t="str">
        <f t="shared" si="6"/>
        <v>ry</v>
      </c>
      <c r="E89" s="5">
        <v>213</v>
      </c>
      <c r="F89" s="7" t="str">
        <f>VLOOKUP(E89,[1]characters!$A:$C,3,FALSE)</f>
        <v>満天の星降神 アストライアー</v>
      </c>
      <c r="G89" s="7" t="str">
        <f>VLOOKUP(E89,[1]characters!$A:$J,10,FALSE)</f>
        <v>PremiumN</v>
      </c>
      <c r="H89" s="7">
        <f>VLOOKUP(E89,[1]characters!$A:$I,9,FALSE)</f>
        <v>5</v>
      </c>
      <c r="I89" s="7" t="str">
        <f>VLOOKUP(E89,[1]characters!$A:$H,8,FALSE)</f>
        <v>yellow</v>
      </c>
      <c r="J89" s="7" t="str">
        <f>VLOOKUP(E89,[1]characters!$A:$K,11,FALSE)</f>
        <v>balance</v>
      </c>
      <c r="K89" s="7" t="str">
        <f>VLOOKUP(E89,[1]characters!$A:$M,13,FALSE)</f>
        <v>god</v>
      </c>
      <c r="L89" s="7" t="str">
        <f>VLOOKUP(E89,[1]characters!$A:$G,7,FALSE)</f>
        <v>女性</v>
      </c>
      <c r="M89" s="62">
        <f ca="1">IFERROR(VLOOKUP(E89,input_314100!L:R,7,FALSE),VLOOKUP(tables_314100!B89,input_314100!A:H,8,FALSE))</f>
        <v>12950</v>
      </c>
      <c r="N89" s="63">
        <f t="shared" ca="1" si="7"/>
        <v>4.6296296296296298E-4</v>
      </c>
      <c r="O89" s="31">
        <f>IFERROR(VLOOKUP($E89,bug_conf_sheet!$A:$H,3,FALSE),VLOOKUP("other",bug_conf_sheet!$A:$H,3,FALSE))</f>
        <v>1</v>
      </c>
      <c r="P89" s="31">
        <f>IFERROR(VLOOKUP($E89,bug_conf_sheet!$A:$H,4,FALSE),VLOOKUP("other",bug_conf_sheet!$A:$H,4,FALSE))</f>
        <v>0</v>
      </c>
      <c r="Q89" s="31">
        <f>IFERROR(VLOOKUP($E89,bug_conf_sheet!$A:$H,5,FALSE),VLOOKUP("other",bug_conf_sheet!$A:$H,5,FALSE))</f>
        <v>0</v>
      </c>
      <c r="R89" s="31">
        <f>IFERROR(VLOOKUP($E89,bug_conf_sheet!$A:$H,6,FALSE),VLOOKUP("other",bug_conf_sheet!$A:$H,6,FALSE))</f>
        <v>0</v>
      </c>
      <c r="S89" s="31">
        <f>IFERROR(VLOOKUP($E89,bug_conf_sheet!$A:$H,7,FALSE),VLOOKUP("other",bug_conf_sheet!$A:$H,7,FALSE))</f>
        <v>0</v>
      </c>
      <c r="T89" s="31">
        <f>IFERROR(VLOOKUP($E89,bug_conf_sheet!$A:$H,8,FALSE),VLOOKUP("other",bug_conf_sheet!$A:$H,8,FALSE))</f>
        <v>1</v>
      </c>
    </row>
    <row r="90" spans="1:20" ht="21" customHeight="1">
      <c r="A90" s="2" t="str">
        <f ca="1">input_314100!A$2</f>
        <v>314100</v>
      </c>
      <c r="B90" s="7" t="str">
        <f t="shared" si="4"/>
        <v>Premium3</v>
      </c>
      <c r="C90" s="7" t="str">
        <f t="shared" si="5"/>
        <v>Premium</v>
      </c>
      <c r="D90" s="7" t="str">
        <f t="shared" si="6"/>
        <v>ry</v>
      </c>
      <c r="E90" s="5">
        <v>214</v>
      </c>
      <c r="F90" s="7" t="str">
        <f>VLOOKUP(E90,[1]characters!$A:$C,3,FALSE)</f>
        <v>アズラエル</v>
      </c>
      <c r="G90" s="7" t="str">
        <f>VLOOKUP(E90,[1]characters!$A:$J,10,FALSE)</f>
        <v>PremiumN</v>
      </c>
      <c r="H90" s="7">
        <f>VLOOKUP(E90,[1]characters!$A:$I,9,FALSE)</f>
        <v>3</v>
      </c>
      <c r="I90" s="7" t="str">
        <f>VLOOKUP(E90,[1]characters!$A:$H,8,FALSE)</f>
        <v>red</v>
      </c>
      <c r="J90" s="7" t="str">
        <f>VLOOKUP(E90,[1]characters!$A:$K,11,FALSE)</f>
        <v>balance</v>
      </c>
      <c r="K90" s="7" t="str">
        <f>VLOOKUP(E90,[1]characters!$A:$M,13,FALSE)</f>
        <v>god</v>
      </c>
      <c r="L90" s="7" t="str">
        <f>VLOOKUP(E90,[1]characters!$A:$G,7,FALSE)</f>
        <v>女性</v>
      </c>
      <c r="M90" s="62">
        <f ca="1">IFERROR(VLOOKUP(E90,input_314100!L:R,7,FALSE),VLOOKUP(tables_314100!B90,input_314100!A:H,8,FALSE))</f>
        <v>0</v>
      </c>
      <c r="N90" s="63">
        <f t="shared" ca="1" si="7"/>
        <v>0</v>
      </c>
      <c r="O90" s="31">
        <f>IFERROR(VLOOKUP($E90,bug_conf_sheet!$A:$H,3,FALSE),VLOOKUP("other",bug_conf_sheet!$A:$H,3,FALSE))</f>
        <v>1</v>
      </c>
      <c r="P90" s="31">
        <f>IFERROR(VLOOKUP($E90,bug_conf_sheet!$A:$H,4,FALSE),VLOOKUP("other",bug_conf_sheet!$A:$H,4,FALSE))</f>
        <v>0</v>
      </c>
      <c r="Q90" s="31">
        <f>IFERROR(VLOOKUP($E90,bug_conf_sheet!$A:$H,5,FALSE),VLOOKUP("other",bug_conf_sheet!$A:$H,5,FALSE))</f>
        <v>0</v>
      </c>
      <c r="R90" s="31">
        <f>IFERROR(VLOOKUP($E90,bug_conf_sheet!$A:$H,6,FALSE),VLOOKUP("other",bug_conf_sheet!$A:$H,6,FALSE))</f>
        <v>0</v>
      </c>
      <c r="S90" s="31">
        <f>IFERROR(VLOOKUP($E90,bug_conf_sheet!$A:$H,7,FALSE),VLOOKUP("other",bug_conf_sheet!$A:$H,7,FALSE))</f>
        <v>0</v>
      </c>
      <c r="T90" s="31">
        <f>IFERROR(VLOOKUP($E90,bug_conf_sheet!$A:$H,8,FALSE),VLOOKUP("other",bug_conf_sheet!$A:$H,8,FALSE))</f>
        <v>1</v>
      </c>
    </row>
    <row r="91" spans="1:20" ht="21" customHeight="1">
      <c r="A91" s="2" t="str">
        <f ca="1">input_314100!A$2</f>
        <v>314100</v>
      </c>
      <c r="B91" s="7" t="str">
        <f t="shared" si="4"/>
        <v>Premium4</v>
      </c>
      <c r="C91" s="7" t="str">
        <f t="shared" si="5"/>
        <v>Premium</v>
      </c>
      <c r="D91" s="7" t="str">
        <f t="shared" si="6"/>
        <v>ry</v>
      </c>
      <c r="E91" s="5">
        <v>215</v>
      </c>
      <c r="F91" s="7" t="str">
        <f>VLOOKUP(E91,[1]characters!$A:$C,3,FALSE)</f>
        <v>死導者 アズラエル</v>
      </c>
      <c r="G91" s="7" t="str">
        <f>VLOOKUP(E91,[1]characters!$A:$J,10,FALSE)</f>
        <v>PremiumN</v>
      </c>
      <c r="H91" s="7">
        <f>VLOOKUP(E91,[1]characters!$A:$I,9,FALSE)</f>
        <v>4</v>
      </c>
      <c r="I91" s="7" t="str">
        <f>VLOOKUP(E91,[1]characters!$A:$H,8,FALSE)</f>
        <v>red</v>
      </c>
      <c r="J91" s="7" t="str">
        <f>VLOOKUP(E91,[1]characters!$A:$K,11,FALSE)</f>
        <v>balance</v>
      </c>
      <c r="K91" s="7" t="str">
        <f>VLOOKUP(E91,[1]characters!$A:$M,13,FALSE)</f>
        <v>god</v>
      </c>
      <c r="L91" s="7" t="str">
        <f>VLOOKUP(E91,[1]characters!$A:$G,7,FALSE)</f>
        <v>女性</v>
      </c>
      <c r="M91" s="62">
        <f ca="1">IFERROR(VLOOKUP(E91,input_314100!L:R,7,FALSE),VLOOKUP(tables_314100!B91,input_314100!A:H,8,FALSE))</f>
        <v>342090</v>
      </c>
      <c r="N91" s="63">
        <f t="shared" ca="1" si="7"/>
        <v>1.222972972972973E-2</v>
      </c>
      <c r="O91" s="31">
        <f>IFERROR(VLOOKUP($E91,bug_conf_sheet!$A:$H,3,FALSE),VLOOKUP("other",bug_conf_sheet!$A:$H,3,FALSE))</f>
        <v>1</v>
      </c>
      <c r="P91" s="31">
        <f>IFERROR(VLOOKUP($E91,bug_conf_sheet!$A:$H,4,FALSE),VLOOKUP("other",bug_conf_sheet!$A:$H,4,FALSE))</f>
        <v>0</v>
      </c>
      <c r="Q91" s="31">
        <f>IFERROR(VLOOKUP($E91,bug_conf_sheet!$A:$H,5,FALSE),VLOOKUP("other",bug_conf_sheet!$A:$H,5,FALSE))</f>
        <v>0</v>
      </c>
      <c r="R91" s="31">
        <f>IFERROR(VLOOKUP($E91,bug_conf_sheet!$A:$H,6,FALSE),VLOOKUP("other",bug_conf_sheet!$A:$H,6,FALSE))</f>
        <v>0</v>
      </c>
      <c r="S91" s="31">
        <f>IFERROR(VLOOKUP($E91,bug_conf_sheet!$A:$H,7,FALSE),VLOOKUP("other",bug_conf_sheet!$A:$H,7,FALSE))</f>
        <v>0</v>
      </c>
      <c r="T91" s="31">
        <f>IFERROR(VLOOKUP($E91,bug_conf_sheet!$A:$H,8,FALSE),VLOOKUP("other",bug_conf_sheet!$A:$H,8,FALSE))</f>
        <v>1</v>
      </c>
    </row>
    <row r="92" spans="1:20" ht="21" customHeight="1">
      <c r="A92" s="2" t="str">
        <f ca="1">input_314100!A$2</f>
        <v>314100</v>
      </c>
      <c r="B92" s="7" t="str">
        <f t="shared" si="4"/>
        <v>Premium5</v>
      </c>
      <c r="C92" s="7" t="str">
        <f t="shared" si="5"/>
        <v>Premium</v>
      </c>
      <c r="D92" s="7" t="str">
        <f t="shared" si="6"/>
        <v>ry</v>
      </c>
      <c r="E92" s="5">
        <v>216</v>
      </c>
      <c r="F92" s="7" t="str">
        <f>VLOOKUP(E92,[1]characters!$A:$C,3,FALSE)</f>
        <v>百読の死導司書 アズラエル</v>
      </c>
      <c r="G92" s="7" t="str">
        <f>VLOOKUP(E92,[1]characters!$A:$J,10,FALSE)</f>
        <v>PremiumN</v>
      </c>
      <c r="H92" s="7">
        <f>VLOOKUP(E92,[1]characters!$A:$I,9,FALSE)</f>
        <v>5</v>
      </c>
      <c r="I92" s="7" t="str">
        <f>VLOOKUP(E92,[1]characters!$A:$H,8,FALSE)</f>
        <v>red</v>
      </c>
      <c r="J92" s="7" t="str">
        <f>VLOOKUP(E92,[1]characters!$A:$K,11,FALSE)</f>
        <v>balance</v>
      </c>
      <c r="K92" s="7" t="str">
        <f>VLOOKUP(E92,[1]characters!$A:$M,13,FALSE)</f>
        <v>god</v>
      </c>
      <c r="L92" s="7" t="str">
        <f>VLOOKUP(E92,[1]characters!$A:$G,7,FALSE)</f>
        <v>女性</v>
      </c>
      <c r="M92" s="62">
        <f ca="1">IFERROR(VLOOKUP(E92,input_314100!L:R,7,FALSE),VLOOKUP(tables_314100!B92,input_314100!A:H,8,FALSE))</f>
        <v>12950</v>
      </c>
      <c r="N92" s="63">
        <f t="shared" ca="1" si="7"/>
        <v>4.6296296296296298E-4</v>
      </c>
      <c r="O92" s="31">
        <f>IFERROR(VLOOKUP($E92,bug_conf_sheet!$A:$H,3,FALSE),VLOOKUP("other",bug_conf_sheet!$A:$H,3,FALSE))</f>
        <v>1</v>
      </c>
      <c r="P92" s="31">
        <f>IFERROR(VLOOKUP($E92,bug_conf_sheet!$A:$H,4,FALSE),VLOOKUP("other",bug_conf_sheet!$A:$H,4,FALSE))</f>
        <v>0</v>
      </c>
      <c r="Q92" s="31">
        <f>IFERROR(VLOOKUP($E92,bug_conf_sheet!$A:$H,5,FALSE),VLOOKUP("other",bug_conf_sheet!$A:$H,5,FALSE))</f>
        <v>0</v>
      </c>
      <c r="R92" s="31">
        <f>IFERROR(VLOOKUP($E92,bug_conf_sheet!$A:$H,6,FALSE),VLOOKUP("other",bug_conf_sheet!$A:$H,6,FALSE))</f>
        <v>0</v>
      </c>
      <c r="S92" s="31">
        <f>IFERROR(VLOOKUP($E92,bug_conf_sheet!$A:$H,7,FALSE),VLOOKUP("other",bug_conf_sheet!$A:$H,7,FALSE))</f>
        <v>0</v>
      </c>
      <c r="T92" s="31">
        <f>IFERROR(VLOOKUP($E92,bug_conf_sheet!$A:$H,8,FALSE),VLOOKUP("other",bug_conf_sheet!$A:$H,8,FALSE))</f>
        <v>1</v>
      </c>
    </row>
    <row r="93" spans="1:20" ht="21" customHeight="1">
      <c r="A93" s="2" t="str">
        <f ca="1">input_314100!A$2</f>
        <v>314100</v>
      </c>
      <c r="B93" s="7" t="str">
        <f t="shared" si="4"/>
        <v>Premium3</v>
      </c>
      <c r="C93" s="7" t="str">
        <f t="shared" si="5"/>
        <v>Premium</v>
      </c>
      <c r="D93" s="7" t="str">
        <f t="shared" si="6"/>
        <v>bg</v>
      </c>
      <c r="E93" s="5">
        <v>217</v>
      </c>
      <c r="F93" s="7" t="str">
        <f>VLOOKUP(E93,[1]characters!$A:$C,3,FALSE)</f>
        <v>ケツァクアトル</v>
      </c>
      <c r="G93" s="7" t="str">
        <f>VLOOKUP(E93,[1]characters!$A:$J,10,FALSE)</f>
        <v>PremiumN</v>
      </c>
      <c r="H93" s="7">
        <f>VLOOKUP(E93,[1]characters!$A:$I,9,FALSE)</f>
        <v>3</v>
      </c>
      <c r="I93" s="7" t="str">
        <f>VLOOKUP(E93,[1]characters!$A:$H,8,FALSE)</f>
        <v>green</v>
      </c>
      <c r="J93" s="7" t="str">
        <f>VLOOKUP(E93,[1]characters!$A:$K,11,FALSE)</f>
        <v>hp</v>
      </c>
      <c r="K93" s="7" t="str">
        <f>VLOOKUP(E93,[1]characters!$A:$M,13,FALSE)</f>
        <v>dragon</v>
      </c>
      <c r="L93" s="7" t="str">
        <f>VLOOKUP(E93,[1]characters!$A:$G,7,FALSE)</f>
        <v>女性</v>
      </c>
      <c r="M93" s="62">
        <f ca="1">IFERROR(VLOOKUP(E93,input_314100!L:R,7,FALSE),VLOOKUP(tables_314100!B93,input_314100!A:H,8,FALSE))</f>
        <v>0</v>
      </c>
      <c r="N93" s="63">
        <f t="shared" ca="1" si="7"/>
        <v>0</v>
      </c>
      <c r="O93" s="31">
        <f>IFERROR(VLOOKUP($E93,bug_conf_sheet!$A:$H,3,FALSE),VLOOKUP("other",bug_conf_sheet!$A:$H,3,FALSE))</f>
        <v>1</v>
      </c>
      <c r="P93" s="31">
        <f>IFERROR(VLOOKUP($E93,bug_conf_sheet!$A:$H,4,FALSE),VLOOKUP("other",bug_conf_sheet!$A:$H,4,FALSE))</f>
        <v>0</v>
      </c>
      <c r="Q93" s="31">
        <f>IFERROR(VLOOKUP($E93,bug_conf_sheet!$A:$H,5,FALSE),VLOOKUP("other",bug_conf_sheet!$A:$H,5,FALSE))</f>
        <v>0</v>
      </c>
      <c r="R93" s="31">
        <f>IFERROR(VLOOKUP($E93,bug_conf_sheet!$A:$H,6,FALSE),VLOOKUP("other",bug_conf_sheet!$A:$H,6,FALSE))</f>
        <v>0</v>
      </c>
      <c r="S93" s="31">
        <f>IFERROR(VLOOKUP($E93,bug_conf_sheet!$A:$H,7,FALSE),VLOOKUP("other",bug_conf_sheet!$A:$H,7,FALSE))</f>
        <v>0</v>
      </c>
      <c r="T93" s="31">
        <f>IFERROR(VLOOKUP($E93,bug_conf_sheet!$A:$H,8,FALSE),VLOOKUP("other",bug_conf_sheet!$A:$H,8,FALSE))</f>
        <v>1</v>
      </c>
    </row>
    <row r="94" spans="1:20" ht="21" customHeight="1">
      <c r="A94" s="2" t="str">
        <f ca="1">input_314100!A$2</f>
        <v>314100</v>
      </c>
      <c r="B94" s="7" t="str">
        <f t="shared" si="4"/>
        <v>Premium4</v>
      </c>
      <c r="C94" s="7" t="str">
        <f t="shared" si="5"/>
        <v>Premium</v>
      </c>
      <c r="D94" s="7" t="str">
        <f t="shared" si="6"/>
        <v>bg</v>
      </c>
      <c r="E94" s="5">
        <v>218</v>
      </c>
      <c r="F94" s="7" t="str">
        <f>VLOOKUP(E94,[1]characters!$A:$C,3,FALSE)</f>
        <v>聖蛇 ケツァクアトル</v>
      </c>
      <c r="G94" s="7" t="str">
        <f>VLOOKUP(E94,[1]characters!$A:$J,10,FALSE)</f>
        <v>PremiumN</v>
      </c>
      <c r="H94" s="7">
        <f>VLOOKUP(E94,[1]characters!$A:$I,9,FALSE)</f>
        <v>4</v>
      </c>
      <c r="I94" s="7" t="str">
        <f>VLOOKUP(E94,[1]characters!$A:$H,8,FALSE)</f>
        <v>green</v>
      </c>
      <c r="J94" s="7" t="str">
        <f>VLOOKUP(E94,[1]characters!$A:$K,11,FALSE)</f>
        <v>hp</v>
      </c>
      <c r="K94" s="7" t="str">
        <f>VLOOKUP(E94,[1]characters!$A:$M,13,FALSE)</f>
        <v>dragon</v>
      </c>
      <c r="L94" s="7" t="str">
        <f>VLOOKUP(E94,[1]characters!$A:$G,7,FALSE)</f>
        <v>女性</v>
      </c>
      <c r="M94" s="62">
        <f ca="1">IFERROR(VLOOKUP(E94,input_314100!L:R,7,FALSE),VLOOKUP(tables_314100!B94,input_314100!A:H,8,FALSE))</f>
        <v>342090</v>
      </c>
      <c r="N94" s="63">
        <f t="shared" ca="1" si="7"/>
        <v>1.222972972972973E-2</v>
      </c>
      <c r="O94" s="31">
        <f>IFERROR(VLOOKUP($E94,bug_conf_sheet!$A:$H,3,FALSE),VLOOKUP("other",bug_conf_sheet!$A:$H,3,FALSE))</f>
        <v>1</v>
      </c>
      <c r="P94" s="31">
        <f>IFERROR(VLOOKUP($E94,bug_conf_sheet!$A:$H,4,FALSE),VLOOKUP("other",bug_conf_sheet!$A:$H,4,FALSE))</f>
        <v>0</v>
      </c>
      <c r="Q94" s="31">
        <f>IFERROR(VLOOKUP($E94,bug_conf_sheet!$A:$H,5,FALSE),VLOOKUP("other",bug_conf_sheet!$A:$H,5,FALSE))</f>
        <v>0</v>
      </c>
      <c r="R94" s="31">
        <f>IFERROR(VLOOKUP($E94,bug_conf_sheet!$A:$H,6,FALSE),VLOOKUP("other",bug_conf_sheet!$A:$H,6,FALSE))</f>
        <v>0</v>
      </c>
      <c r="S94" s="31">
        <f>IFERROR(VLOOKUP($E94,bug_conf_sheet!$A:$H,7,FALSE),VLOOKUP("other",bug_conf_sheet!$A:$H,7,FALSE))</f>
        <v>0</v>
      </c>
      <c r="T94" s="31">
        <f>IFERROR(VLOOKUP($E94,bug_conf_sheet!$A:$H,8,FALSE),VLOOKUP("other",bug_conf_sheet!$A:$H,8,FALSE))</f>
        <v>1</v>
      </c>
    </row>
    <row r="95" spans="1:20" ht="21" customHeight="1">
      <c r="A95" s="2" t="str">
        <f ca="1">input_314100!A$2</f>
        <v>314100</v>
      </c>
      <c r="B95" s="7" t="str">
        <f t="shared" si="4"/>
        <v>Premium5</v>
      </c>
      <c r="C95" s="7" t="str">
        <f t="shared" si="5"/>
        <v>Premium</v>
      </c>
      <c r="D95" s="7" t="str">
        <f t="shared" si="6"/>
        <v>bg</v>
      </c>
      <c r="E95" s="5">
        <v>219</v>
      </c>
      <c r="F95" s="7" t="str">
        <f>VLOOKUP(E95,[1]characters!$A:$C,3,FALSE)</f>
        <v>覇翼の聖蛇竜 ケツァクアトル</v>
      </c>
      <c r="G95" s="7" t="str">
        <f>VLOOKUP(E95,[1]characters!$A:$J,10,FALSE)</f>
        <v>PremiumN</v>
      </c>
      <c r="H95" s="7">
        <f>VLOOKUP(E95,[1]characters!$A:$I,9,FALSE)</f>
        <v>5</v>
      </c>
      <c r="I95" s="7" t="str">
        <f>VLOOKUP(E95,[1]characters!$A:$H,8,FALSE)</f>
        <v>green</v>
      </c>
      <c r="J95" s="7" t="str">
        <f>VLOOKUP(E95,[1]characters!$A:$K,11,FALSE)</f>
        <v>hp</v>
      </c>
      <c r="K95" s="7" t="str">
        <f>VLOOKUP(E95,[1]characters!$A:$M,13,FALSE)</f>
        <v>dragon</v>
      </c>
      <c r="L95" s="7" t="str">
        <f>VLOOKUP(E95,[1]characters!$A:$G,7,FALSE)</f>
        <v>女性</v>
      </c>
      <c r="M95" s="62">
        <f ca="1">IFERROR(VLOOKUP(E95,input_314100!L:R,7,FALSE),VLOOKUP(tables_314100!B95,input_314100!A:H,8,FALSE))</f>
        <v>12950</v>
      </c>
      <c r="N95" s="63">
        <f t="shared" ca="1" si="7"/>
        <v>4.6296296296296298E-4</v>
      </c>
      <c r="O95" s="31">
        <f>IFERROR(VLOOKUP($E95,bug_conf_sheet!$A:$H,3,FALSE),VLOOKUP("other",bug_conf_sheet!$A:$H,3,FALSE))</f>
        <v>1</v>
      </c>
      <c r="P95" s="31">
        <f>IFERROR(VLOOKUP($E95,bug_conf_sheet!$A:$H,4,FALSE),VLOOKUP("other",bug_conf_sheet!$A:$H,4,FALSE))</f>
        <v>0</v>
      </c>
      <c r="Q95" s="31">
        <f>IFERROR(VLOOKUP($E95,bug_conf_sheet!$A:$H,5,FALSE),VLOOKUP("other",bug_conf_sheet!$A:$H,5,FALSE))</f>
        <v>0</v>
      </c>
      <c r="R95" s="31">
        <f>IFERROR(VLOOKUP($E95,bug_conf_sheet!$A:$H,6,FALSE),VLOOKUP("other",bug_conf_sheet!$A:$H,6,FALSE))</f>
        <v>0</v>
      </c>
      <c r="S95" s="31">
        <f>IFERROR(VLOOKUP($E95,bug_conf_sheet!$A:$H,7,FALSE),VLOOKUP("other",bug_conf_sheet!$A:$H,7,FALSE))</f>
        <v>0</v>
      </c>
      <c r="T95" s="31">
        <f>IFERROR(VLOOKUP($E95,bug_conf_sheet!$A:$H,8,FALSE),VLOOKUP("other",bug_conf_sheet!$A:$H,8,FALSE))</f>
        <v>1</v>
      </c>
    </row>
    <row r="96" spans="1:20" ht="21" customHeight="1">
      <c r="A96" s="2" t="str">
        <f ca="1">input_314100!A$2</f>
        <v>314100</v>
      </c>
      <c r="B96" s="7" t="str">
        <f t="shared" si="4"/>
        <v>Premium3</v>
      </c>
      <c r="C96" s="7" t="str">
        <f t="shared" si="5"/>
        <v>Premium</v>
      </c>
      <c r="D96" s="7" t="str">
        <f t="shared" si="6"/>
        <v>bg</v>
      </c>
      <c r="E96" s="5">
        <v>220</v>
      </c>
      <c r="F96" s="7" t="str">
        <f>VLOOKUP(E96,[1]characters!$A:$C,3,FALSE)</f>
        <v>ルキフグス</v>
      </c>
      <c r="G96" s="7" t="str">
        <f>VLOOKUP(E96,[1]characters!$A:$J,10,FALSE)</f>
        <v>PremiumN</v>
      </c>
      <c r="H96" s="7">
        <f>VLOOKUP(E96,[1]characters!$A:$I,9,FALSE)</f>
        <v>3</v>
      </c>
      <c r="I96" s="7" t="str">
        <f>VLOOKUP(E96,[1]characters!$A:$H,8,FALSE)</f>
        <v>blue</v>
      </c>
      <c r="J96" s="7" t="str">
        <f>VLOOKUP(E96,[1]characters!$A:$K,11,FALSE)</f>
        <v>balance</v>
      </c>
      <c r="K96" s="7" t="str">
        <f>VLOOKUP(E96,[1]characters!$A:$M,13,FALSE)</f>
        <v>god</v>
      </c>
      <c r="L96" s="7" t="str">
        <f>VLOOKUP(E96,[1]characters!$A:$G,7,FALSE)</f>
        <v>女性</v>
      </c>
      <c r="M96" s="62">
        <f ca="1">IFERROR(VLOOKUP(E96,input_314100!L:R,7,FALSE),VLOOKUP(tables_314100!B96,input_314100!A:H,8,FALSE))</f>
        <v>0</v>
      </c>
      <c r="N96" s="63">
        <f t="shared" ca="1" si="7"/>
        <v>0</v>
      </c>
      <c r="O96" s="31">
        <f>IFERROR(VLOOKUP($E96,bug_conf_sheet!$A:$H,3,FALSE),VLOOKUP("other",bug_conf_sheet!$A:$H,3,FALSE))</f>
        <v>1</v>
      </c>
      <c r="P96" s="31">
        <f>IFERROR(VLOOKUP($E96,bug_conf_sheet!$A:$H,4,FALSE),VLOOKUP("other",bug_conf_sheet!$A:$H,4,FALSE))</f>
        <v>0</v>
      </c>
      <c r="Q96" s="31">
        <f>IFERROR(VLOOKUP($E96,bug_conf_sheet!$A:$H,5,FALSE),VLOOKUP("other",bug_conf_sheet!$A:$H,5,FALSE))</f>
        <v>0</v>
      </c>
      <c r="R96" s="31">
        <f>IFERROR(VLOOKUP($E96,bug_conf_sheet!$A:$H,6,FALSE),VLOOKUP("other",bug_conf_sheet!$A:$H,6,FALSE))</f>
        <v>0</v>
      </c>
      <c r="S96" s="31">
        <f>IFERROR(VLOOKUP($E96,bug_conf_sheet!$A:$H,7,FALSE),VLOOKUP("other",bug_conf_sheet!$A:$H,7,FALSE))</f>
        <v>0</v>
      </c>
      <c r="T96" s="31">
        <f>IFERROR(VLOOKUP($E96,bug_conf_sheet!$A:$H,8,FALSE),VLOOKUP("other",bug_conf_sheet!$A:$H,8,FALSE))</f>
        <v>1</v>
      </c>
    </row>
    <row r="97" spans="1:20" ht="21" customHeight="1">
      <c r="A97" s="2" t="str">
        <f ca="1">input_314100!A$2</f>
        <v>314100</v>
      </c>
      <c r="B97" s="7" t="str">
        <f t="shared" si="4"/>
        <v>Premium4</v>
      </c>
      <c r="C97" s="7" t="str">
        <f t="shared" si="5"/>
        <v>Premium</v>
      </c>
      <c r="D97" s="7" t="str">
        <f t="shared" si="6"/>
        <v>bg</v>
      </c>
      <c r="E97" s="5">
        <v>221</v>
      </c>
      <c r="F97" s="7" t="str">
        <f>VLOOKUP(E97,[1]characters!$A:$C,3,FALSE)</f>
        <v>宰相 ルキフグス</v>
      </c>
      <c r="G97" s="7" t="str">
        <f>VLOOKUP(E97,[1]characters!$A:$J,10,FALSE)</f>
        <v>PremiumN</v>
      </c>
      <c r="H97" s="7">
        <f>VLOOKUP(E97,[1]characters!$A:$I,9,FALSE)</f>
        <v>4</v>
      </c>
      <c r="I97" s="7" t="str">
        <f>VLOOKUP(E97,[1]characters!$A:$H,8,FALSE)</f>
        <v>blue</v>
      </c>
      <c r="J97" s="7" t="str">
        <f>VLOOKUP(E97,[1]characters!$A:$K,11,FALSE)</f>
        <v>balance</v>
      </c>
      <c r="K97" s="7" t="str">
        <f>VLOOKUP(E97,[1]characters!$A:$M,13,FALSE)</f>
        <v>god</v>
      </c>
      <c r="L97" s="7" t="str">
        <f>VLOOKUP(E97,[1]characters!$A:$G,7,FALSE)</f>
        <v>女性</v>
      </c>
      <c r="M97" s="62">
        <f ca="1">IFERROR(VLOOKUP(E97,input_314100!L:R,7,FALSE),VLOOKUP(tables_314100!B97,input_314100!A:H,8,FALSE))</f>
        <v>342090</v>
      </c>
      <c r="N97" s="63">
        <f t="shared" ca="1" si="7"/>
        <v>1.222972972972973E-2</v>
      </c>
      <c r="O97" s="31">
        <f>IFERROR(VLOOKUP($E97,bug_conf_sheet!$A:$H,3,FALSE),VLOOKUP("other",bug_conf_sheet!$A:$H,3,FALSE))</f>
        <v>1</v>
      </c>
      <c r="P97" s="31">
        <f>IFERROR(VLOOKUP($E97,bug_conf_sheet!$A:$H,4,FALSE),VLOOKUP("other",bug_conf_sheet!$A:$H,4,FALSE))</f>
        <v>0</v>
      </c>
      <c r="Q97" s="31">
        <f>IFERROR(VLOOKUP($E97,bug_conf_sheet!$A:$H,5,FALSE),VLOOKUP("other",bug_conf_sheet!$A:$H,5,FALSE))</f>
        <v>0</v>
      </c>
      <c r="R97" s="31">
        <f>IFERROR(VLOOKUP($E97,bug_conf_sheet!$A:$H,6,FALSE),VLOOKUP("other",bug_conf_sheet!$A:$H,6,FALSE))</f>
        <v>0</v>
      </c>
      <c r="S97" s="31">
        <f>IFERROR(VLOOKUP($E97,bug_conf_sheet!$A:$H,7,FALSE),VLOOKUP("other",bug_conf_sheet!$A:$H,7,FALSE))</f>
        <v>0</v>
      </c>
      <c r="T97" s="31">
        <f>IFERROR(VLOOKUP($E97,bug_conf_sheet!$A:$H,8,FALSE),VLOOKUP("other",bug_conf_sheet!$A:$H,8,FALSE))</f>
        <v>1</v>
      </c>
    </row>
    <row r="98" spans="1:20" ht="21" customHeight="1">
      <c r="A98" s="2" t="str">
        <f ca="1">input_314100!A$2</f>
        <v>314100</v>
      </c>
      <c r="B98" s="7" t="str">
        <f t="shared" si="4"/>
        <v>Premium5</v>
      </c>
      <c r="C98" s="7" t="str">
        <f t="shared" si="5"/>
        <v>Premium</v>
      </c>
      <c r="D98" s="7" t="str">
        <f t="shared" si="6"/>
        <v>bg</v>
      </c>
      <c r="E98" s="5">
        <v>222</v>
      </c>
      <c r="F98" s="7" t="str">
        <f>VLOOKUP(E98,[1]characters!$A:$C,3,FALSE)</f>
        <v>避光の鉄鎖宰相 ルキフグス</v>
      </c>
      <c r="G98" s="7" t="str">
        <f>VLOOKUP(E98,[1]characters!$A:$J,10,FALSE)</f>
        <v>PremiumN</v>
      </c>
      <c r="H98" s="7">
        <f>VLOOKUP(E98,[1]characters!$A:$I,9,FALSE)</f>
        <v>5</v>
      </c>
      <c r="I98" s="7" t="str">
        <f>VLOOKUP(E98,[1]characters!$A:$H,8,FALSE)</f>
        <v>blue</v>
      </c>
      <c r="J98" s="7" t="str">
        <f>VLOOKUP(E98,[1]characters!$A:$K,11,FALSE)</f>
        <v>balance</v>
      </c>
      <c r="K98" s="7" t="str">
        <f>VLOOKUP(E98,[1]characters!$A:$M,13,FALSE)</f>
        <v>god</v>
      </c>
      <c r="L98" s="7" t="str">
        <f>VLOOKUP(E98,[1]characters!$A:$G,7,FALSE)</f>
        <v>女性</v>
      </c>
      <c r="M98" s="62">
        <f ca="1">IFERROR(VLOOKUP(E98,input_314100!L:R,7,FALSE),VLOOKUP(tables_314100!B98,input_314100!A:H,8,FALSE))</f>
        <v>12950</v>
      </c>
      <c r="N98" s="63">
        <f t="shared" ca="1" si="7"/>
        <v>4.6296296296296298E-4</v>
      </c>
      <c r="O98" s="31">
        <f>IFERROR(VLOOKUP($E98,bug_conf_sheet!$A:$H,3,FALSE),VLOOKUP("other",bug_conf_sheet!$A:$H,3,FALSE))</f>
        <v>1</v>
      </c>
      <c r="P98" s="31">
        <f>IFERROR(VLOOKUP($E98,bug_conf_sheet!$A:$H,4,FALSE),VLOOKUP("other",bug_conf_sheet!$A:$H,4,FALSE))</f>
        <v>0</v>
      </c>
      <c r="Q98" s="31">
        <f>IFERROR(VLOOKUP($E98,bug_conf_sheet!$A:$H,5,FALSE),VLOOKUP("other",bug_conf_sheet!$A:$H,5,FALSE))</f>
        <v>0</v>
      </c>
      <c r="R98" s="31">
        <f>IFERROR(VLOOKUP($E98,bug_conf_sheet!$A:$H,6,FALSE),VLOOKUP("other",bug_conf_sheet!$A:$H,6,FALSE))</f>
        <v>0</v>
      </c>
      <c r="S98" s="31">
        <f>IFERROR(VLOOKUP($E98,bug_conf_sheet!$A:$H,7,FALSE),VLOOKUP("other",bug_conf_sheet!$A:$H,7,FALSE))</f>
        <v>0</v>
      </c>
      <c r="T98" s="31">
        <f>IFERROR(VLOOKUP($E98,bug_conf_sheet!$A:$H,8,FALSE),VLOOKUP("other",bug_conf_sheet!$A:$H,8,FALSE))</f>
        <v>1</v>
      </c>
    </row>
    <row r="99" spans="1:20" ht="21" customHeight="1">
      <c r="A99" s="2" t="str">
        <f ca="1">input_314100!A$2</f>
        <v>314100</v>
      </c>
      <c r="B99" s="7" t="str">
        <f t="shared" si="4"/>
        <v>Premium3</v>
      </c>
      <c r="C99" s="7" t="str">
        <f t="shared" si="5"/>
        <v>Premium</v>
      </c>
      <c r="D99" s="7" t="str">
        <f t="shared" si="6"/>
        <v>ry</v>
      </c>
      <c r="E99" s="5">
        <v>223</v>
      </c>
      <c r="F99" s="7" t="str">
        <f>VLOOKUP(E99,[1]characters!$A:$C,3,FALSE)</f>
        <v>ヘラクレス</v>
      </c>
      <c r="G99" s="7" t="str">
        <f>VLOOKUP(E99,[1]characters!$A:$J,10,FALSE)</f>
        <v>PremiumN</v>
      </c>
      <c r="H99" s="7">
        <f>VLOOKUP(E99,[1]characters!$A:$I,9,FALSE)</f>
        <v>3</v>
      </c>
      <c r="I99" s="7" t="str">
        <f>VLOOKUP(E99,[1]characters!$A:$H,8,FALSE)</f>
        <v>yellow</v>
      </c>
      <c r="J99" s="7" t="str">
        <f>VLOOKUP(E99,[1]characters!$A:$K,11,FALSE)</f>
        <v>balance</v>
      </c>
      <c r="K99" s="7" t="str">
        <f>VLOOKUP(E99,[1]characters!$A:$M,13,FALSE)</f>
        <v>human</v>
      </c>
      <c r="L99" s="7" t="str">
        <f>VLOOKUP(E99,[1]characters!$A:$G,7,FALSE)</f>
        <v>男性</v>
      </c>
      <c r="M99" s="62">
        <f ca="1">IFERROR(VLOOKUP(E99,input_314100!L:R,7,FALSE),VLOOKUP(tables_314100!B99,input_314100!A:H,8,FALSE))</f>
        <v>0</v>
      </c>
      <c r="N99" s="63">
        <f t="shared" ca="1" si="7"/>
        <v>0</v>
      </c>
      <c r="O99" s="31">
        <f>IFERROR(VLOOKUP($E99,bug_conf_sheet!$A:$H,3,FALSE),VLOOKUP("other",bug_conf_sheet!$A:$H,3,FALSE))</f>
        <v>1</v>
      </c>
      <c r="P99" s="31">
        <f>IFERROR(VLOOKUP($E99,bug_conf_sheet!$A:$H,4,FALSE),VLOOKUP("other",bug_conf_sheet!$A:$H,4,FALSE))</f>
        <v>0</v>
      </c>
      <c r="Q99" s="31">
        <f>IFERROR(VLOOKUP($E99,bug_conf_sheet!$A:$H,5,FALSE),VLOOKUP("other",bug_conf_sheet!$A:$H,5,FALSE))</f>
        <v>0</v>
      </c>
      <c r="R99" s="31">
        <f>IFERROR(VLOOKUP($E99,bug_conf_sheet!$A:$H,6,FALSE),VLOOKUP("other",bug_conf_sheet!$A:$H,6,FALSE))</f>
        <v>0</v>
      </c>
      <c r="S99" s="31">
        <f>IFERROR(VLOOKUP($E99,bug_conf_sheet!$A:$H,7,FALSE),VLOOKUP("other",bug_conf_sheet!$A:$H,7,FALSE))</f>
        <v>0</v>
      </c>
      <c r="T99" s="31">
        <f>IFERROR(VLOOKUP($E99,bug_conf_sheet!$A:$H,8,FALSE),VLOOKUP("other",bug_conf_sheet!$A:$H,8,FALSE))</f>
        <v>1</v>
      </c>
    </row>
    <row r="100" spans="1:20" ht="21" customHeight="1">
      <c r="A100" s="2" t="str">
        <f ca="1">input_314100!A$2</f>
        <v>314100</v>
      </c>
      <c r="B100" s="7" t="str">
        <f t="shared" si="4"/>
        <v>Premium4</v>
      </c>
      <c r="C100" s="7" t="str">
        <f t="shared" si="5"/>
        <v>Premium</v>
      </c>
      <c r="D100" s="7" t="str">
        <f t="shared" si="6"/>
        <v>ry</v>
      </c>
      <c r="E100" s="5">
        <v>224</v>
      </c>
      <c r="F100" s="7" t="str">
        <f>VLOOKUP(E100,[1]characters!$A:$C,3,FALSE)</f>
        <v>巨腕 ヘラクレス</v>
      </c>
      <c r="G100" s="7" t="str">
        <f>VLOOKUP(E100,[1]characters!$A:$J,10,FALSE)</f>
        <v>PremiumN</v>
      </c>
      <c r="H100" s="7">
        <f>VLOOKUP(E100,[1]characters!$A:$I,9,FALSE)</f>
        <v>4</v>
      </c>
      <c r="I100" s="7" t="str">
        <f>VLOOKUP(E100,[1]characters!$A:$H,8,FALSE)</f>
        <v>yellow</v>
      </c>
      <c r="J100" s="7" t="str">
        <f>VLOOKUP(E100,[1]characters!$A:$K,11,FALSE)</f>
        <v>balance</v>
      </c>
      <c r="K100" s="7" t="str">
        <f>VLOOKUP(E100,[1]characters!$A:$M,13,FALSE)</f>
        <v>human</v>
      </c>
      <c r="L100" s="7" t="str">
        <f>VLOOKUP(E100,[1]characters!$A:$G,7,FALSE)</f>
        <v>男性</v>
      </c>
      <c r="M100" s="62">
        <f ca="1">IFERROR(VLOOKUP(E100,input_314100!L:R,7,FALSE),VLOOKUP(tables_314100!B100,input_314100!A:H,8,FALSE))</f>
        <v>342090</v>
      </c>
      <c r="N100" s="63">
        <f t="shared" ca="1" si="7"/>
        <v>1.222972972972973E-2</v>
      </c>
      <c r="O100" s="31">
        <f>IFERROR(VLOOKUP($E100,bug_conf_sheet!$A:$H,3,FALSE),VLOOKUP("other",bug_conf_sheet!$A:$H,3,FALSE))</f>
        <v>1</v>
      </c>
      <c r="P100" s="31">
        <f>IFERROR(VLOOKUP($E100,bug_conf_sheet!$A:$H,4,FALSE),VLOOKUP("other",bug_conf_sheet!$A:$H,4,FALSE))</f>
        <v>0</v>
      </c>
      <c r="Q100" s="31">
        <f>IFERROR(VLOOKUP($E100,bug_conf_sheet!$A:$H,5,FALSE),VLOOKUP("other",bug_conf_sheet!$A:$H,5,FALSE))</f>
        <v>0</v>
      </c>
      <c r="R100" s="31">
        <f>IFERROR(VLOOKUP($E100,bug_conf_sheet!$A:$H,6,FALSE),VLOOKUP("other",bug_conf_sheet!$A:$H,6,FALSE))</f>
        <v>0</v>
      </c>
      <c r="S100" s="31">
        <f>IFERROR(VLOOKUP($E100,bug_conf_sheet!$A:$H,7,FALSE),VLOOKUP("other",bug_conf_sheet!$A:$H,7,FALSE))</f>
        <v>0</v>
      </c>
      <c r="T100" s="31">
        <f>IFERROR(VLOOKUP($E100,bug_conf_sheet!$A:$H,8,FALSE),VLOOKUP("other",bug_conf_sheet!$A:$H,8,FALSE))</f>
        <v>1</v>
      </c>
    </row>
    <row r="101" spans="1:20" ht="21" customHeight="1">
      <c r="A101" s="2" t="str">
        <f ca="1">input_314100!A$2</f>
        <v>314100</v>
      </c>
      <c r="B101" s="7" t="str">
        <f t="shared" si="4"/>
        <v>Premium5</v>
      </c>
      <c r="C101" s="7" t="str">
        <f t="shared" si="5"/>
        <v>Premium</v>
      </c>
      <c r="D101" s="7" t="str">
        <f t="shared" si="6"/>
        <v>ry</v>
      </c>
      <c r="E101" s="5">
        <v>225</v>
      </c>
      <c r="F101" s="7" t="str">
        <f>VLOOKUP(E101,[1]characters!$A:$C,3,FALSE)</f>
        <v>咆哮の巨獅腕 ヘラクレス</v>
      </c>
      <c r="G101" s="7" t="str">
        <f>VLOOKUP(E101,[1]characters!$A:$J,10,FALSE)</f>
        <v>PremiumN</v>
      </c>
      <c r="H101" s="7">
        <f>VLOOKUP(E101,[1]characters!$A:$I,9,FALSE)</f>
        <v>5</v>
      </c>
      <c r="I101" s="7" t="str">
        <f>VLOOKUP(E101,[1]characters!$A:$H,8,FALSE)</f>
        <v>yellow</v>
      </c>
      <c r="J101" s="7" t="str">
        <f>VLOOKUP(E101,[1]characters!$A:$K,11,FALSE)</f>
        <v>balance</v>
      </c>
      <c r="K101" s="7" t="str">
        <f>VLOOKUP(E101,[1]characters!$A:$M,13,FALSE)</f>
        <v>human</v>
      </c>
      <c r="L101" s="7" t="str">
        <f>VLOOKUP(E101,[1]characters!$A:$G,7,FALSE)</f>
        <v>男性</v>
      </c>
      <c r="M101" s="62">
        <f ca="1">IFERROR(VLOOKUP(E101,input_314100!L:R,7,FALSE),VLOOKUP(tables_314100!B101,input_314100!A:H,8,FALSE))</f>
        <v>12950</v>
      </c>
      <c r="N101" s="63">
        <f t="shared" ca="1" si="7"/>
        <v>4.6296296296296298E-4</v>
      </c>
      <c r="O101" s="31">
        <f>IFERROR(VLOOKUP($E101,bug_conf_sheet!$A:$H,3,FALSE),VLOOKUP("other",bug_conf_sheet!$A:$H,3,FALSE))</f>
        <v>1</v>
      </c>
      <c r="P101" s="31">
        <f>IFERROR(VLOOKUP($E101,bug_conf_sheet!$A:$H,4,FALSE),VLOOKUP("other",bug_conf_sheet!$A:$H,4,FALSE))</f>
        <v>0</v>
      </c>
      <c r="Q101" s="31">
        <f>IFERROR(VLOOKUP($E101,bug_conf_sheet!$A:$H,5,FALSE),VLOOKUP("other",bug_conf_sheet!$A:$H,5,FALSE))</f>
        <v>0</v>
      </c>
      <c r="R101" s="31">
        <f>IFERROR(VLOOKUP($E101,bug_conf_sheet!$A:$H,6,FALSE),VLOOKUP("other",bug_conf_sheet!$A:$H,6,FALSE))</f>
        <v>0</v>
      </c>
      <c r="S101" s="31">
        <f>IFERROR(VLOOKUP($E101,bug_conf_sheet!$A:$H,7,FALSE),VLOOKUP("other",bug_conf_sheet!$A:$H,7,FALSE))</f>
        <v>0</v>
      </c>
      <c r="T101" s="31">
        <f>IFERROR(VLOOKUP($E101,bug_conf_sheet!$A:$H,8,FALSE),VLOOKUP("other",bug_conf_sheet!$A:$H,8,FALSE))</f>
        <v>1</v>
      </c>
    </row>
    <row r="102" spans="1:20" ht="21" customHeight="1">
      <c r="A102" s="2" t="str">
        <f ca="1">input_314100!A$2</f>
        <v>314100</v>
      </c>
      <c r="B102" s="7" t="str">
        <f t="shared" si="4"/>
        <v>Premium3</v>
      </c>
      <c r="C102" s="7" t="str">
        <f t="shared" si="5"/>
        <v>Premium</v>
      </c>
      <c r="D102" s="7" t="str">
        <f t="shared" si="6"/>
        <v>ry</v>
      </c>
      <c r="E102" s="5">
        <v>226</v>
      </c>
      <c r="F102" s="7" t="str">
        <f>VLOOKUP(E102,[1]characters!$A:$C,3,FALSE)</f>
        <v>アレス</v>
      </c>
      <c r="G102" s="7" t="str">
        <f>VLOOKUP(E102,[1]characters!$A:$J,10,FALSE)</f>
        <v>PremiumS</v>
      </c>
      <c r="H102" s="7">
        <f>VLOOKUP(E102,[1]characters!$A:$I,9,FALSE)</f>
        <v>3</v>
      </c>
      <c r="I102" s="7" t="str">
        <f>VLOOKUP(E102,[1]characters!$A:$H,8,FALSE)</f>
        <v>red</v>
      </c>
      <c r="J102" s="7" t="str">
        <f>VLOOKUP(E102,[1]characters!$A:$K,11,FALSE)</f>
        <v>attack</v>
      </c>
      <c r="K102" s="7" t="str">
        <f>VLOOKUP(E102,[1]characters!$A:$M,13,FALSE)</f>
        <v>god</v>
      </c>
      <c r="L102" s="7" t="str">
        <f>VLOOKUP(E102,[1]characters!$A:$G,7,FALSE)</f>
        <v>男性</v>
      </c>
      <c r="M102" s="62">
        <f ca="1">IFERROR(VLOOKUP(E102,input_314100!L:R,7,FALSE),VLOOKUP(tables_314100!B102,input_314100!A:H,8,FALSE))</f>
        <v>0</v>
      </c>
      <c r="N102" s="63">
        <f t="shared" ca="1" si="7"/>
        <v>0</v>
      </c>
      <c r="O102" s="31">
        <f>IFERROR(VLOOKUP($E102,bug_conf_sheet!$A:$H,3,FALSE),VLOOKUP("other",bug_conf_sheet!$A:$H,3,FALSE))</f>
        <v>1</v>
      </c>
      <c r="P102" s="31">
        <f>IFERROR(VLOOKUP($E102,bug_conf_sheet!$A:$H,4,FALSE),VLOOKUP("other",bug_conf_sheet!$A:$H,4,FALSE))</f>
        <v>0</v>
      </c>
      <c r="Q102" s="31">
        <f>IFERROR(VLOOKUP($E102,bug_conf_sheet!$A:$H,5,FALSE),VLOOKUP("other",bug_conf_sheet!$A:$H,5,FALSE))</f>
        <v>0</v>
      </c>
      <c r="R102" s="31">
        <f>IFERROR(VLOOKUP($E102,bug_conf_sheet!$A:$H,6,FALSE),VLOOKUP("other",bug_conf_sheet!$A:$H,6,FALSE))</f>
        <v>0</v>
      </c>
      <c r="S102" s="31">
        <f>IFERROR(VLOOKUP($E102,bug_conf_sheet!$A:$H,7,FALSE),VLOOKUP("other",bug_conf_sheet!$A:$H,7,FALSE))</f>
        <v>0</v>
      </c>
      <c r="T102" s="31">
        <f>IFERROR(VLOOKUP($E102,bug_conf_sheet!$A:$H,8,FALSE),VLOOKUP("other",bug_conf_sheet!$A:$H,8,FALSE))</f>
        <v>1</v>
      </c>
    </row>
    <row r="103" spans="1:20" ht="21" customHeight="1">
      <c r="A103" s="2" t="str">
        <f ca="1">input_314100!A$2</f>
        <v>314100</v>
      </c>
      <c r="B103" s="7" t="str">
        <f t="shared" si="4"/>
        <v>Premium4</v>
      </c>
      <c r="C103" s="7" t="str">
        <f t="shared" si="5"/>
        <v>Premium</v>
      </c>
      <c r="D103" s="7" t="str">
        <f t="shared" si="6"/>
        <v>ry</v>
      </c>
      <c r="E103" s="5">
        <v>227</v>
      </c>
      <c r="F103" s="7" t="str">
        <f>VLOOKUP(E103,[1]characters!$A:$C,3,FALSE)</f>
        <v>滅弾 アレス</v>
      </c>
      <c r="G103" s="7" t="str">
        <f>VLOOKUP(E103,[1]characters!$A:$J,10,FALSE)</f>
        <v>PremiumS</v>
      </c>
      <c r="H103" s="7">
        <f>VLOOKUP(E103,[1]characters!$A:$I,9,FALSE)</f>
        <v>4</v>
      </c>
      <c r="I103" s="7" t="str">
        <f>VLOOKUP(E103,[1]characters!$A:$H,8,FALSE)</f>
        <v>red</v>
      </c>
      <c r="J103" s="7" t="str">
        <f>VLOOKUP(E103,[1]characters!$A:$K,11,FALSE)</f>
        <v>attack</v>
      </c>
      <c r="K103" s="7" t="str">
        <f>VLOOKUP(E103,[1]characters!$A:$M,13,FALSE)</f>
        <v>god</v>
      </c>
      <c r="L103" s="7" t="str">
        <f>VLOOKUP(E103,[1]characters!$A:$G,7,FALSE)</f>
        <v>男性</v>
      </c>
      <c r="M103" s="62">
        <f ca="1">IFERROR(VLOOKUP(E103,input_314100!L:R,7,FALSE),VLOOKUP(tables_314100!B103,input_314100!A:H,8,FALSE))</f>
        <v>342090</v>
      </c>
      <c r="N103" s="63">
        <f t="shared" ca="1" si="7"/>
        <v>1.222972972972973E-2</v>
      </c>
      <c r="O103" s="31">
        <f>IFERROR(VLOOKUP($E103,bug_conf_sheet!$A:$H,3,FALSE),VLOOKUP("other",bug_conf_sheet!$A:$H,3,FALSE))</f>
        <v>1</v>
      </c>
      <c r="P103" s="31">
        <f>IFERROR(VLOOKUP($E103,bug_conf_sheet!$A:$H,4,FALSE),VLOOKUP("other",bug_conf_sheet!$A:$H,4,FALSE))</f>
        <v>0</v>
      </c>
      <c r="Q103" s="31">
        <f>IFERROR(VLOOKUP($E103,bug_conf_sheet!$A:$H,5,FALSE),VLOOKUP("other",bug_conf_sheet!$A:$H,5,FALSE))</f>
        <v>0</v>
      </c>
      <c r="R103" s="31">
        <f>IFERROR(VLOOKUP($E103,bug_conf_sheet!$A:$H,6,FALSE),VLOOKUP("other",bug_conf_sheet!$A:$H,6,FALSE))</f>
        <v>0</v>
      </c>
      <c r="S103" s="31">
        <f>IFERROR(VLOOKUP($E103,bug_conf_sheet!$A:$H,7,FALSE),VLOOKUP("other",bug_conf_sheet!$A:$H,7,FALSE))</f>
        <v>0</v>
      </c>
      <c r="T103" s="31">
        <f>IFERROR(VLOOKUP($E103,bug_conf_sheet!$A:$H,8,FALSE),VLOOKUP("other",bug_conf_sheet!$A:$H,8,FALSE))</f>
        <v>1</v>
      </c>
    </row>
    <row r="104" spans="1:20" ht="21" customHeight="1">
      <c r="A104" s="2" t="str">
        <f ca="1">input_314100!A$2</f>
        <v>314100</v>
      </c>
      <c r="B104" s="7" t="str">
        <f t="shared" si="4"/>
        <v>Premium5</v>
      </c>
      <c r="C104" s="7" t="str">
        <f t="shared" si="5"/>
        <v>Premium</v>
      </c>
      <c r="D104" s="7" t="str">
        <f t="shared" si="6"/>
        <v>ry</v>
      </c>
      <c r="E104" s="5">
        <v>228</v>
      </c>
      <c r="F104" s="7" t="str">
        <f>VLOOKUP(E104,[1]characters!$A:$C,3,FALSE)</f>
        <v>殲滅の掃射砲 アレス</v>
      </c>
      <c r="G104" s="7" t="str">
        <f>VLOOKUP(E104,[1]characters!$A:$J,10,FALSE)</f>
        <v>PremiumS</v>
      </c>
      <c r="H104" s="7">
        <f>VLOOKUP(E104,[1]characters!$A:$I,9,FALSE)</f>
        <v>5</v>
      </c>
      <c r="I104" s="7" t="str">
        <f>VLOOKUP(E104,[1]characters!$A:$H,8,FALSE)</f>
        <v>red</v>
      </c>
      <c r="J104" s="7" t="str">
        <f>VLOOKUP(E104,[1]characters!$A:$K,11,FALSE)</f>
        <v>attack</v>
      </c>
      <c r="K104" s="7" t="str">
        <f>VLOOKUP(E104,[1]characters!$A:$M,13,FALSE)</f>
        <v>god</v>
      </c>
      <c r="L104" s="7" t="str">
        <f>VLOOKUP(E104,[1]characters!$A:$G,7,FALSE)</f>
        <v>男性</v>
      </c>
      <c r="M104" s="62">
        <f ca="1">IFERROR(VLOOKUP(E104,input_314100!L:R,7,FALSE),VLOOKUP(tables_314100!B104,input_314100!A:H,8,FALSE))</f>
        <v>12950</v>
      </c>
      <c r="N104" s="63">
        <f t="shared" ca="1" si="7"/>
        <v>4.6296296296296298E-4</v>
      </c>
      <c r="O104" s="31">
        <f>IFERROR(VLOOKUP($E104,bug_conf_sheet!$A:$H,3,FALSE),VLOOKUP("other",bug_conf_sheet!$A:$H,3,FALSE))</f>
        <v>1</v>
      </c>
      <c r="P104" s="31">
        <f>IFERROR(VLOOKUP($E104,bug_conf_sheet!$A:$H,4,FALSE),VLOOKUP("other",bug_conf_sheet!$A:$H,4,FALSE))</f>
        <v>0</v>
      </c>
      <c r="Q104" s="31">
        <f>IFERROR(VLOOKUP($E104,bug_conf_sheet!$A:$H,5,FALSE),VLOOKUP("other",bug_conf_sheet!$A:$H,5,FALSE))</f>
        <v>0</v>
      </c>
      <c r="R104" s="31">
        <f>IFERROR(VLOOKUP($E104,bug_conf_sheet!$A:$H,6,FALSE),VLOOKUP("other",bug_conf_sheet!$A:$H,6,FALSE))</f>
        <v>0</v>
      </c>
      <c r="S104" s="31">
        <f>IFERROR(VLOOKUP($E104,bug_conf_sheet!$A:$H,7,FALSE),VLOOKUP("other",bug_conf_sheet!$A:$H,7,FALSE))</f>
        <v>0</v>
      </c>
      <c r="T104" s="31">
        <f>IFERROR(VLOOKUP($E104,bug_conf_sheet!$A:$H,8,FALSE),VLOOKUP("other",bug_conf_sheet!$A:$H,8,FALSE))</f>
        <v>1</v>
      </c>
    </row>
    <row r="105" spans="1:20" ht="21" customHeight="1">
      <c r="A105" s="2" t="str">
        <f ca="1">input_314100!A$2</f>
        <v>314100</v>
      </c>
      <c r="B105" s="7" t="str">
        <f t="shared" si="4"/>
        <v>Premium3</v>
      </c>
      <c r="C105" s="7" t="str">
        <f t="shared" si="5"/>
        <v>Premium</v>
      </c>
      <c r="D105" s="7" t="str">
        <f t="shared" si="6"/>
        <v>bg</v>
      </c>
      <c r="E105" s="5">
        <v>229</v>
      </c>
      <c r="F105" s="7" t="str">
        <f>VLOOKUP(E105,[1]characters!$A:$C,3,FALSE)</f>
        <v>ヨルムンガンド</v>
      </c>
      <c r="G105" s="7" t="str">
        <f>VLOOKUP(E105,[1]characters!$A:$J,10,FALSE)</f>
        <v>PremiumS</v>
      </c>
      <c r="H105" s="7">
        <f>VLOOKUP(E105,[1]characters!$A:$I,9,FALSE)</f>
        <v>3</v>
      </c>
      <c r="I105" s="7" t="str">
        <f>VLOOKUP(E105,[1]characters!$A:$H,8,FALSE)</f>
        <v>green</v>
      </c>
      <c r="J105" s="7" t="str">
        <f>VLOOKUP(E105,[1]characters!$A:$K,11,FALSE)</f>
        <v>technical</v>
      </c>
      <c r="K105" s="7" t="str">
        <f>VLOOKUP(E105,[1]characters!$A:$M,13,FALSE)</f>
        <v>dragon</v>
      </c>
      <c r="L105" s="7" t="str">
        <f>VLOOKUP(E105,[1]characters!$A:$G,7,FALSE)</f>
        <v>女性</v>
      </c>
      <c r="M105" s="62">
        <f ca="1">IFERROR(VLOOKUP(E105,input_314100!L:R,7,FALSE),VLOOKUP(tables_314100!B105,input_314100!A:H,8,FALSE))</f>
        <v>0</v>
      </c>
      <c r="N105" s="63">
        <f t="shared" ca="1" si="7"/>
        <v>0</v>
      </c>
      <c r="O105" s="31">
        <f>IFERROR(VLOOKUP($E105,bug_conf_sheet!$A:$H,3,FALSE),VLOOKUP("other",bug_conf_sheet!$A:$H,3,FALSE))</f>
        <v>1</v>
      </c>
      <c r="P105" s="31">
        <f>IFERROR(VLOOKUP($E105,bug_conf_sheet!$A:$H,4,FALSE),VLOOKUP("other",bug_conf_sheet!$A:$H,4,FALSE))</f>
        <v>0</v>
      </c>
      <c r="Q105" s="31">
        <f>IFERROR(VLOOKUP($E105,bug_conf_sheet!$A:$H,5,FALSE),VLOOKUP("other",bug_conf_sheet!$A:$H,5,FALSE))</f>
        <v>0</v>
      </c>
      <c r="R105" s="31">
        <f>IFERROR(VLOOKUP($E105,bug_conf_sheet!$A:$H,6,FALSE),VLOOKUP("other",bug_conf_sheet!$A:$H,6,FALSE))</f>
        <v>0</v>
      </c>
      <c r="S105" s="31">
        <f>IFERROR(VLOOKUP($E105,bug_conf_sheet!$A:$H,7,FALSE),VLOOKUP("other",bug_conf_sheet!$A:$H,7,FALSE))</f>
        <v>0</v>
      </c>
      <c r="T105" s="31">
        <f>IFERROR(VLOOKUP($E105,bug_conf_sheet!$A:$H,8,FALSE),VLOOKUP("other",bug_conf_sheet!$A:$H,8,FALSE))</f>
        <v>1</v>
      </c>
    </row>
    <row r="106" spans="1:20" ht="21" customHeight="1">
      <c r="A106" s="2" t="str">
        <f ca="1">input_314100!A$2</f>
        <v>314100</v>
      </c>
      <c r="B106" s="7" t="str">
        <f t="shared" si="4"/>
        <v>Premium4</v>
      </c>
      <c r="C106" s="7" t="str">
        <f t="shared" si="5"/>
        <v>Premium</v>
      </c>
      <c r="D106" s="7" t="str">
        <f t="shared" si="6"/>
        <v>bg</v>
      </c>
      <c r="E106" s="5">
        <v>230</v>
      </c>
      <c r="F106" s="7" t="str">
        <f>VLOOKUP(E106,[1]characters!$A:$C,3,FALSE)</f>
        <v>毒銃 ヨルムンガンド</v>
      </c>
      <c r="G106" s="7" t="str">
        <f>VLOOKUP(E106,[1]characters!$A:$J,10,FALSE)</f>
        <v>PremiumS</v>
      </c>
      <c r="H106" s="7">
        <f>VLOOKUP(E106,[1]characters!$A:$I,9,FALSE)</f>
        <v>4</v>
      </c>
      <c r="I106" s="7" t="str">
        <f>VLOOKUP(E106,[1]characters!$A:$H,8,FALSE)</f>
        <v>green</v>
      </c>
      <c r="J106" s="7" t="str">
        <f>VLOOKUP(E106,[1]characters!$A:$K,11,FALSE)</f>
        <v>technical</v>
      </c>
      <c r="K106" s="7" t="str">
        <f>VLOOKUP(E106,[1]characters!$A:$M,13,FALSE)</f>
        <v>dragon</v>
      </c>
      <c r="L106" s="7" t="str">
        <f>VLOOKUP(E106,[1]characters!$A:$G,7,FALSE)</f>
        <v>女性</v>
      </c>
      <c r="M106" s="62">
        <f ca="1">IFERROR(VLOOKUP(E106,input_314100!L:R,7,FALSE),VLOOKUP(tables_314100!B106,input_314100!A:H,8,FALSE))</f>
        <v>342090</v>
      </c>
      <c r="N106" s="63">
        <f t="shared" ca="1" si="7"/>
        <v>1.222972972972973E-2</v>
      </c>
      <c r="O106" s="31">
        <f>IFERROR(VLOOKUP($E106,bug_conf_sheet!$A:$H,3,FALSE),VLOOKUP("other",bug_conf_sheet!$A:$H,3,FALSE))</f>
        <v>1</v>
      </c>
      <c r="P106" s="31">
        <f>IFERROR(VLOOKUP($E106,bug_conf_sheet!$A:$H,4,FALSE),VLOOKUP("other",bug_conf_sheet!$A:$H,4,FALSE))</f>
        <v>0</v>
      </c>
      <c r="Q106" s="31">
        <f>IFERROR(VLOOKUP($E106,bug_conf_sheet!$A:$H,5,FALSE),VLOOKUP("other",bug_conf_sheet!$A:$H,5,FALSE))</f>
        <v>0</v>
      </c>
      <c r="R106" s="31">
        <f>IFERROR(VLOOKUP($E106,bug_conf_sheet!$A:$H,6,FALSE),VLOOKUP("other",bug_conf_sheet!$A:$H,6,FALSE))</f>
        <v>0</v>
      </c>
      <c r="S106" s="31">
        <f>IFERROR(VLOOKUP($E106,bug_conf_sheet!$A:$H,7,FALSE),VLOOKUP("other",bug_conf_sheet!$A:$H,7,FALSE))</f>
        <v>0</v>
      </c>
      <c r="T106" s="31">
        <f>IFERROR(VLOOKUP($E106,bug_conf_sheet!$A:$H,8,FALSE),VLOOKUP("other",bug_conf_sheet!$A:$H,8,FALSE))</f>
        <v>1</v>
      </c>
    </row>
    <row r="107" spans="1:20" ht="21" customHeight="1">
      <c r="A107" s="2" t="str">
        <f ca="1">input_314100!A$2</f>
        <v>314100</v>
      </c>
      <c r="B107" s="7" t="str">
        <f t="shared" si="4"/>
        <v>Premium5</v>
      </c>
      <c r="C107" s="7" t="str">
        <f t="shared" si="5"/>
        <v>Premium</v>
      </c>
      <c r="D107" s="7" t="str">
        <f t="shared" si="6"/>
        <v>bg</v>
      </c>
      <c r="E107" s="5">
        <v>231</v>
      </c>
      <c r="F107" s="7" t="str">
        <f>VLOOKUP(E107,[1]characters!$A:$C,3,FALSE)</f>
        <v>必中の咬銃 ヨルムンガンド</v>
      </c>
      <c r="G107" s="7" t="str">
        <f>VLOOKUP(E107,[1]characters!$A:$J,10,FALSE)</f>
        <v>PremiumS</v>
      </c>
      <c r="H107" s="7">
        <f>VLOOKUP(E107,[1]characters!$A:$I,9,FALSE)</f>
        <v>5</v>
      </c>
      <c r="I107" s="7" t="str">
        <f>VLOOKUP(E107,[1]characters!$A:$H,8,FALSE)</f>
        <v>green</v>
      </c>
      <c r="J107" s="7" t="str">
        <f>VLOOKUP(E107,[1]characters!$A:$K,11,FALSE)</f>
        <v>technical</v>
      </c>
      <c r="K107" s="7" t="str">
        <f>VLOOKUP(E107,[1]characters!$A:$M,13,FALSE)</f>
        <v>dragon</v>
      </c>
      <c r="L107" s="7" t="str">
        <f>VLOOKUP(E107,[1]characters!$A:$G,7,FALSE)</f>
        <v>女性</v>
      </c>
      <c r="M107" s="62">
        <f ca="1">IFERROR(VLOOKUP(E107,input_314100!L:R,7,FALSE),VLOOKUP(tables_314100!B107,input_314100!A:H,8,FALSE))</f>
        <v>12950</v>
      </c>
      <c r="N107" s="63">
        <f t="shared" ca="1" si="7"/>
        <v>4.6296296296296298E-4</v>
      </c>
      <c r="O107" s="31">
        <f>IFERROR(VLOOKUP($E107,bug_conf_sheet!$A:$H,3,FALSE),VLOOKUP("other",bug_conf_sheet!$A:$H,3,FALSE))</f>
        <v>1</v>
      </c>
      <c r="P107" s="31">
        <f>IFERROR(VLOOKUP($E107,bug_conf_sheet!$A:$H,4,FALSE),VLOOKUP("other",bug_conf_sheet!$A:$H,4,FALSE))</f>
        <v>0</v>
      </c>
      <c r="Q107" s="31">
        <f>IFERROR(VLOOKUP($E107,bug_conf_sheet!$A:$H,5,FALSE),VLOOKUP("other",bug_conf_sheet!$A:$H,5,FALSE))</f>
        <v>0</v>
      </c>
      <c r="R107" s="31">
        <f>IFERROR(VLOOKUP($E107,bug_conf_sheet!$A:$H,6,FALSE),VLOOKUP("other",bug_conf_sheet!$A:$H,6,FALSE))</f>
        <v>0</v>
      </c>
      <c r="S107" s="31">
        <f>IFERROR(VLOOKUP($E107,bug_conf_sheet!$A:$H,7,FALSE),VLOOKUP("other",bug_conf_sheet!$A:$H,7,FALSE))</f>
        <v>0</v>
      </c>
      <c r="T107" s="31">
        <f>IFERROR(VLOOKUP($E107,bug_conf_sheet!$A:$H,8,FALSE),VLOOKUP("other",bug_conf_sheet!$A:$H,8,FALSE))</f>
        <v>1</v>
      </c>
    </row>
    <row r="108" spans="1:20" ht="21" customHeight="1">
      <c r="A108" s="2" t="str">
        <f ca="1">input_314100!A$2</f>
        <v>314100</v>
      </c>
      <c r="B108" s="7" t="str">
        <f t="shared" si="4"/>
        <v>Premium3</v>
      </c>
      <c r="C108" s="7" t="str">
        <f t="shared" si="5"/>
        <v>Premium</v>
      </c>
      <c r="D108" s="7" t="str">
        <f t="shared" si="6"/>
        <v>bg</v>
      </c>
      <c r="E108" s="5">
        <v>232</v>
      </c>
      <c r="F108" s="7" t="str">
        <f>VLOOKUP(E108,[1]characters!$A:$C,3,FALSE)</f>
        <v>パーシヴァル</v>
      </c>
      <c r="G108" s="7" t="str">
        <f>VLOOKUP(E108,[1]characters!$A:$J,10,FALSE)</f>
        <v>PremiumS</v>
      </c>
      <c r="H108" s="7">
        <f>VLOOKUP(E108,[1]characters!$A:$I,9,FALSE)</f>
        <v>3</v>
      </c>
      <c r="I108" s="7" t="str">
        <f>VLOOKUP(E108,[1]characters!$A:$H,8,FALSE)</f>
        <v>blue</v>
      </c>
      <c r="J108" s="7" t="str">
        <f>VLOOKUP(E108,[1]characters!$A:$K,11,FALSE)</f>
        <v>technical</v>
      </c>
      <c r="K108" s="7" t="str">
        <f>VLOOKUP(E108,[1]characters!$A:$M,13,FALSE)</f>
        <v>human</v>
      </c>
      <c r="L108" s="7" t="str">
        <f>VLOOKUP(E108,[1]characters!$A:$G,7,FALSE)</f>
        <v>女性</v>
      </c>
      <c r="M108" s="62">
        <f ca="1">IFERROR(VLOOKUP(E108,input_314100!L:R,7,FALSE),VLOOKUP(tables_314100!B108,input_314100!A:H,8,FALSE))</f>
        <v>0</v>
      </c>
      <c r="N108" s="63">
        <f t="shared" ca="1" si="7"/>
        <v>0</v>
      </c>
      <c r="O108" s="31">
        <f>IFERROR(VLOOKUP($E108,bug_conf_sheet!$A:$H,3,FALSE),VLOOKUP("other",bug_conf_sheet!$A:$H,3,FALSE))</f>
        <v>1</v>
      </c>
      <c r="P108" s="31">
        <f>IFERROR(VLOOKUP($E108,bug_conf_sheet!$A:$H,4,FALSE),VLOOKUP("other",bug_conf_sheet!$A:$H,4,FALSE))</f>
        <v>0</v>
      </c>
      <c r="Q108" s="31">
        <f>IFERROR(VLOOKUP($E108,bug_conf_sheet!$A:$H,5,FALSE),VLOOKUP("other",bug_conf_sheet!$A:$H,5,FALSE))</f>
        <v>0</v>
      </c>
      <c r="R108" s="31">
        <f>IFERROR(VLOOKUP($E108,bug_conf_sheet!$A:$H,6,FALSE),VLOOKUP("other",bug_conf_sheet!$A:$H,6,FALSE))</f>
        <v>0</v>
      </c>
      <c r="S108" s="31">
        <f>IFERROR(VLOOKUP($E108,bug_conf_sheet!$A:$H,7,FALSE),VLOOKUP("other",bug_conf_sheet!$A:$H,7,FALSE))</f>
        <v>0</v>
      </c>
      <c r="T108" s="31">
        <f>IFERROR(VLOOKUP($E108,bug_conf_sheet!$A:$H,8,FALSE),VLOOKUP("other",bug_conf_sheet!$A:$H,8,FALSE))</f>
        <v>1</v>
      </c>
    </row>
    <row r="109" spans="1:20" ht="21" customHeight="1">
      <c r="A109" s="2" t="str">
        <f ca="1">input_314100!A$2</f>
        <v>314100</v>
      </c>
      <c r="B109" s="7" t="str">
        <f t="shared" si="4"/>
        <v>Premium4</v>
      </c>
      <c r="C109" s="7" t="str">
        <f t="shared" si="5"/>
        <v>Premium</v>
      </c>
      <c r="D109" s="7" t="str">
        <f t="shared" si="6"/>
        <v>bg</v>
      </c>
      <c r="E109" s="5">
        <v>233</v>
      </c>
      <c r="F109" s="7" t="str">
        <f>VLOOKUP(E109,[1]characters!$A:$C,3,FALSE)</f>
        <v>遂行 パーシヴァル</v>
      </c>
      <c r="G109" s="7" t="str">
        <f>VLOOKUP(E109,[1]characters!$A:$J,10,FALSE)</f>
        <v>PremiumS</v>
      </c>
      <c r="H109" s="7">
        <f>VLOOKUP(E109,[1]characters!$A:$I,9,FALSE)</f>
        <v>4</v>
      </c>
      <c r="I109" s="7" t="str">
        <f>VLOOKUP(E109,[1]characters!$A:$H,8,FALSE)</f>
        <v>blue</v>
      </c>
      <c r="J109" s="7" t="str">
        <f>VLOOKUP(E109,[1]characters!$A:$K,11,FALSE)</f>
        <v>technical</v>
      </c>
      <c r="K109" s="7" t="str">
        <f>VLOOKUP(E109,[1]characters!$A:$M,13,FALSE)</f>
        <v>human</v>
      </c>
      <c r="L109" s="7" t="str">
        <f>VLOOKUP(E109,[1]characters!$A:$G,7,FALSE)</f>
        <v>女性</v>
      </c>
      <c r="M109" s="62">
        <f ca="1">IFERROR(VLOOKUP(E109,input_314100!L:R,7,FALSE),VLOOKUP(tables_314100!B109,input_314100!A:H,8,FALSE))</f>
        <v>342090</v>
      </c>
      <c r="N109" s="63">
        <f t="shared" ca="1" si="7"/>
        <v>1.222972972972973E-2</v>
      </c>
      <c r="O109" s="31">
        <f>IFERROR(VLOOKUP($E109,bug_conf_sheet!$A:$H,3,FALSE),VLOOKUP("other",bug_conf_sheet!$A:$H,3,FALSE))</f>
        <v>1</v>
      </c>
      <c r="P109" s="31">
        <f>IFERROR(VLOOKUP($E109,bug_conf_sheet!$A:$H,4,FALSE),VLOOKUP("other",bug_conf_sheet!$A:$H,4,FALSE))</f>
        <v>0</v>
      </c>
      <c r="Q109" s="31">
        <f>IFERROR(VLOOKUP($E109,bug_conf_sheet!$A:$H,5,FALSE),VLOOKUP("other",bug_conf_sheet!$A:$H,5,FALSE))</f>
        <v>0</v>
      </c>
      <c r="R109" s="31">
        <f>IFERROR(VLOOKUP($E109,bug_conf_sheet!$A:$H,6,FALSE),VLOOKUP("other",bug_conf_sheet!$A:$H,6,FALSE))</f>
        <v>0</v>
      </c>
      <c r="S109" s="31">
        <f>IFERROR(VLOOKUP($E109,bug_conf_sheet!$A:$H,7,FALSE),VLOOKUP("other",bug_conf_sheet!$A:$H,7,FALSE))</f>
        <v>0</v>
      </c>
      <c r="T109" s="31">
        <f>IFERROR(VLOOKUP($E109,bug_conf_sheet!$A:$H,8,FALSE),VLOOKUP("other",bug_conf_sheet!$A:$H,8,FALSE))</f>
        <v>1</v>
      </c>
    </row>
    <row r="110" spans="1:20" ht="21" customHeight="1">
      <c r="A110" s="2" t="str">
        <f ca="1">input_314100!A$2</f>
        <v>314100</v>
      </c>
      <c r="B110" s="7" t="str">
        <f t="shared" si="4"/>
        <v>Premium5</v>
      </c>
      <c r="C110" s="7" t="str">
        <f t="shared" si="5"/>
        <v>Premium</v>
      </c>
      <c r="D110" s="7" t="str">
        <f t="shared" si="6"/>
        <v>bg</v>
      </c>
      <c r="E110" s="5">
        <v>234</v>
      </c>
      <c r="F110" s="7" t="str">
        <f>VLOOKUP(E110,[1]characters!$A:$C,3,FALSE)</f>
        <v>精密なる照準 パーシヴァル</v>
      </c>
      <c r="G110" s="7" t="str">
        <f>VLOOKUP(E110,[1]characters!$A:$J,10,FALSE)</f>
        <v>PremiumS</v>
      </c>
      <c r="H110" s="7">
        <f>VLOOKUP(E110,[1]characters!$A:$I,9,FALSE)</f>
        <v>5</v>
      </c>
      <c r="I110" s="7" t="str">
        <f>VLOOKUP(E110,[1]characters!$A:$H,8,FALSE)</f>
        <v>blue</v>
      </c>
      <c r="J110" s="7" t="str">
        <f>VLOOKUP(E110,[1]characters!$A:$K,11,FALSE)</f>
        <v>technical</v>
      </c>
      <c r="K110" s="7" t="str">
        <f>VLOOKUP(E110,[1]characters!$A:$M,13,FALSE)</f>
        <v>human</v>
      </c>
      <c r="L110" s="7" t="str">
        <f>VLOOKUP(E110,[1]characters!$A:$G,7,FALSE)</f>
        <v>女性</v>
      </c>
      <c r="M110" s="62">
        <f ca="1">IFERROR(VLOOKUP(E110,input_314100!L:R,7,FALSE),VLOOKUP(tables_314100!B110,input_314100!A:H,8,FALSE))</f>
        <v>12950</v>
      </c>
      <c r="N110" s="63">
        <f t="shared" ca="1" si="7"/>
        <v>4.6296296296296298E-4</v>
      </c>
      <c r="O110" s="31">
        <f>IFERROR(VLOOKUP($E110,bug_conf_sheet!$A:$H,3,FALSE),VLOOKUP("other",bug_conf_sheet!$A:$H,3,FALSE))</f>
        <v>1</v>
      </c>
      <c r="P110" s="31">
        <f>IFERROR(VLOOKUP($E110,bug_conf_sheet!$A:$H,4,FALSE),VLOOKUP("other",bug_conf_sheet!$A:$H,4,FALSE))</f>
        <v>0</v>
      </c>
      <c r="Q110" s="31">
        <f>IFERROR(VLOOKUP($E110,bug_conf_sheet!$A:$H,5,FALSE),VLOOKUP("other",bug_conf_sheet!$A:$H,5,FALSE))</f>
        <v>0</v>
      </c>
      <c r="R110" s="31">
        <f>IFERROR(VLOOKUP($E110,bug_conf_sheet!$A:$H,6,FALSE),VLOOKUP("other",bug_conf_sheet!$A:$H,6,FALSE))</f>
        <v>0</v>
      </c>
      <c r="S110" s="31">
        <f>IFERROR(VLOOKUP($E110,bug_conf_sheet!$A:$H,7,FALSE),VLOOKUP("other",bug_conf_sheet!$A:$H,7,FALSE))</f>
        <v>0</v>
      </c>
      <c r="T110" s="31">
        <f>IFERROR(VLOOKUP($E110,bug_conf_sheet!$A:$H,8,FALSE),VLOOKUP("other",bug_conf_sheet!$A:$H,8,FALSE))</f>
        <v>1</v>
      </c>
    </row>
    <row r="111" spans="1:20" ht="21" customHeight="1">
      <c r="A111" s="2" t="str">
        <f ca="1">input_314100!A$2</f>
        <v>314100</v>
      </c>
      <c r="B111" s="7" t="str">
        <f t="shared" si="4"/>
        <v>Premium3</v>
      </c>
      <c r="C111" s="7" t="str">
        <f t="shared" si="5"/>
        <v>Premium</v>
      </c>
      <c r="D111" s="7" t="str">
        <f t="shared" si="6"/>
        <v>ry</v>
      </c>
      <c r="E111" s="5">
        <v>235</v>
      </c>
      <c r="F111" s="7" t="str">
        <f>VLOOKUP(E111,[1]characters!$A:$C,3,FALSE)</f>
        <v>イザナミ</v>
      </c>
      <c r="G111" s="7" t="str">
        <f>VLOOKUP(E111,[1]characters!$A:$J,10,FALSE)</f>
        <v>PremiumS</v>
      </c>
      <c r="H111" s="7">
        <f>VLOOKUP(E111,[1]characters!$A:$I,9,FALSE)</f>
        <v>3</v>
      </c>
      <c r="I111" s="7" t="str">
        <f>VLOOKUP(E111,[1]characters!$A:$H,8,FALSE)</f>
        <v>yellow</v>
      </c>
      <c r="J111" s="7" t="str">
        <f>VLOOKUP(E111,[1]characters!$A:$K,11,FALSE)</f>
        <v>attack</v>
      </c>
      <c r="K111" s="7" t="str">
        <f>VLOOKUP(E111,[1]characters!$A:$M,13,FALSE)</f>
        <v>god</v>
      </c>
      <c r="L111" s="7" t="str">
        <f>VLOOKUP(E111,[1]characters!$A:$G,7,FALSE)</f>
        <v>女性</v>
      </c>
      <c r="M111" s="62">
        <f ca="1">IFERROR(VLOOKUP(E111,input_314100!L:R,7,FALSE),VLOOKUP(tables_314100!B111,input_314100!A:H,8,FALSE))</f>
        <v>0</v>
      </c>
      <c r="N111" s="63">
        <f t="shared" ca="1" si="7"/>
        <v>0</v>
      </c>
      <c r="O111" s="31">
        <f>IFERROR(VLOOKUP($E111,bug_conf_sheet!$A:$H,3,FALSE),VLOOKUP("other",bug_conf_sheet!$A:$H,3,FALSE))</f>
        <v>1</v>
      </c>
      <c r="P111" s="31">
        <f>IFERROR(VLOOKUP($E111,bug_conf_sheet!$A:$H,4,FALSE),VLOOKUP("other",bug_conf_sheet!$A:$H,4,FALSE))</f>
        <v>0</v>
      </c>
      <c r="Q111" s="31">
        <f>IFERROR(VLOOKUP($E111,bug_conf_sheet!$A:$H,5,FALSE),VLOOKUP("other",bug_conf_sheet!$A:$H,5,FALSE))</f>
        <v>0</v>
      </c>
      <c r="R111" s="31">
        <f>IFERROR(VLOOKUP($E111,bug_conf_sheet!$A:$H,6,FALSE),VLOOKUP("other",bug_conf_sheet!$A:$H,6,FALSE))</f>
        <v>0</v>
      </c>
      <c r="S111" s="31">
        <f>IFERROR(VLOOKUP($E111,bug_conf_sheet!$A:$H,7,FALSE),VLOOKUP("other",bug_conf_sheet!$A:$H,7,FALSE))</f>
        <v>0</v>
      </c>
      <c r="T111" s="31">
        <f>IFERROR(VLOOKUP($E111,bug_conf_sheet!$A:$H,8,FALSE),VLOOKUP("other",bug_conf_sheet!$A:$H,8,FALSE))</f>
        <v>1</v>
      </c>
    </row>
    <row r="112" spans="1:20" ht="21" customHeight="1">
      <c r="A112" s="2" t="str">
        <f ca="1">input_314100!A$2</f>
        <v>314100</v>
      </c>
      <c r="B112" s="7" t="str">
        <f t="shared" si="4"/>
        <v>Premium4</v>
      </c>
      <c r="C112" s="7" t="str">
        <f t="shared" si="5"/>
        <v>Premium</v>
      </c>
      <c r="D112" s="7" t="str">
        <f t="shared" si="6"/>
        <v>ry</v>
      </c>
      <c r="E112" s="5">
        <v>236</v>
      </c>
      <c r="F112" s="7" t="str">
        <f>VLOOKUP(E112,[1]characters!$A:$C,3,FALSE)</f>
        <v>神産 イザナミ</v>
      </c>
      <c r="G112" s="7" t="str">
        <f>VLOOKUP(E112,[1]characters!$A:$J,10,FALSE)</f>
        <v>PremiumS</v>
      </c>
      <c r="H112" s="7">
        <f>VLOOKUP(E112,[1]characters!$A:$I,9,FALSE)</f>
        <v>4</v>
      </c>
      <c r="I112" s="7" t="str">
        <f>VLOOKUP(E112,[1]characters!$A:$H,8,FALSE)</f>
        <v>yellow</v>
      </c>
      <c r="J112" s="7" t="str">
        <f>VLOOKUP(E112,[1]characters!$A:$K,11,FALSE)</f>
        <v>attack</v>
      </c>
      <c r="K112" s="7" t="str">
        <f>VLOOKUP(E112,[1]characters!$A:$M,13,FALSE)</f>
        <v>god</v>
      </c>
      <c r="L112" s="7" t="str">
        <f>VLOOKUP(E112,[1]characters!$A:$G,7,FALSE)</f>
        <v>女性</v>
      </c>
      <c r="M112" s="62">
        <f ca="1">IFERROR(VLOOKUP(E112,input_314100!L:R,7,FALSE),VLOOKUP(tables_314100!B112,input_314100!A:H,8,FALSE))</f>
        <v>342090</v>
      </c>
      <c r="N112" s="63">
        <f t="shared" ca="1" si="7"/>
        <v>1.222972972972973E-2</v>
      </c>
      <c r="O112" s="31">
        <f>IFERROR(VLOOKUP($E112,bug_conf_sheet!$A:$H,3,FALSE),VLOOKUP("other",bug_conf_sheet!$A:$H,3,FALSE))</f>
        <v>1</v>
      </c>
      <c r="P112" s="31">
        <f>IFERROR(VLOOKUP($E112,bug_conf_sheet!$A:$H,4,FALSE),VLOOKUP("other",bug_conf_sheet!$A:$H,4,FALSE))</f>
        <v>0</v>
      </c>
      <c r="Q112" s="31">
        <f>IFERROR(VLOOKUP($E112,bug_conf_sheet!$A:$H,5,FALSE),VLOOKUP("other",bug_conf_sheet!$A:$H,5,FALSE))</f>
        <v>0</v>
      </c>
      <c r="R112" s="31">
        <f>IFERROR(VLOOKUP($E112,bug_conf_sheet!$A:$H,6,FALSE),VLOOKUP("other",bug_conf_sheet!$A:$H,6,FALSE))</f>
        <v>0</v>
      </c>
      <c r="S112" s="31">
        <f>IFERROR(VLOOKUP($E112,bug_conf_sheet!$A:$H,7,FALSE),VLOOKUP("other",bug_conf_sheet!$A:$H,7,FALSE))</f>
        <v>0</v>
      </c>
      <c r="T112" s="31">
        <f>IFERROR(VLOOKUP($E112,bug_conf_sheet!$A:$H,8,FALSE),VLOOKUP("other",bug_conf_sheet!$A:$H,8,FALSE))</f>
        <v>1</v>
      </c>
    </row>
    <row r="113" spans="1:20" ht="21" customHeight="1">
      <c r="A113" s="2" t="str">
        <f ca="1">input_314100!A$2</f>
        <v>314100</v>
      </c>
      <c r="B113" s="7" t="str">
        <f t="shared" si="4"/>
        <v>Premium5</v>
      </c>
      <c r="C113" s="7" t="str">
        <f t="shared" si="5"/>
        <v>Premium</v>
      </c>
      <c r="D113" s="7" t="str">
        <f t="shared" si="6"/>
        <v>ry</v>
      </c>
      <c r="E113" s="5">
        <v>237</v>
      </c>
      <c r="F113" s="7" t="str">
        <f>VLOOKUP(E113,[1]characters!$A:$C,3,FALSE)</f>
        <v>森羅万象の神母 イザナミ</v>
      </c>
      <c r="G113" s="7" t="str">
        <f>VLOOKUP(E113,[1]characters!$A:$J,10,FALSE)</f>
        <v>PremiumS</v>
      </c>
      <c r="H113" s="7">
        <f>VLOOKUP(E113,[1]characters!$A:$I,9,FALSE)</f>
        <v>5</v>
      </c>
      <c r="I113" s="7" t="str">
        <f>VLOOKUP(E113,[1]characters!$A:$H,8,FALSE)</f>
        <v>yellow</v>
      </c>
      <c r="J113" s="7" t="str">
        <f>VLOOKUP(E113,[1]characters!$A:$K,11,FALSE)</f>
        <v>attack</v>
      </c>
      <c r="K113" s="7" t="str">
        <f>VLOOKUP(E113,[1]characters!$A:$M,13,FALSE)</f>
        <v>god</v>
      </c>
      <c r="L113" s="7" t="str">
        <f>VLOOKUP(E113,[1]characters!$A:$G,7,FALSE)</f>
        <v>女性</v>
      </c>
      <c r="M113" s="62">
        <f ca="1">IFERROR(VLOOKUP(E113,input_314100!L:R,7,FALSE),VLOOKUP(tables_314100!B113,input_314100!A:H,8,FALSE))</f>
        <v>12950</v>
      </c>
      <c r="N113" s="63">
        <f t="shared" ca="1" si="7"/>
        <v>4.6296296296296298E-4</v>
      </c>
      <c r="O113" s="31">
        <f>IFERROR(VLOOKUP($E113,bug_conf_sheet!$A:$H,3,FALSE),VLOOKUP("other",bug_conf_sheet!$A:$H,3,FALSE))</f>
        <v>1</v>
      </c>
      <c r="P113" s="31">
        <f>IFERROR(VLOOKUP($E113,bug_conf_sheet!$A:$H,4,FALSE),VLOOKUP("other",bug_conf_sheet!$A:$H,4,FALSE))</f>
        <v>0</v>
      </c>
      <c r="Q113" s="31">
        <f>IFERROR(VLOOKUP($E113,bug_conf_sheet!$A:$H,5,FALSE),VLOOKUP("other",bug_conf_sheet!$A:$H,5,FALSE))</f>
        <v>0</v>
      </c>
      <c r="R113" s="31">
        <f>IFERROR(VLOOKUP($E113,bug_conf_sheet!$A:$H,6,FALSE),VLOOKUP("other",bug_conf_sheet!$A:$H,6,FALSE))</f>
        <v>0</v>
      </c>
      <c r="S113" s="31">
        <f>IFERROR(VLOOKUP($E113,bug_conf_sheet!$A:$H,7,FALSE),VLOOKUP("other",bug_conf_sheet!$A:$H,7,FALSE))</f>
        <v>0</v>
      </c>
      <c r="T113" s="31">
        <f>IFERROR(VLOOKUP($E113,bug_conf_sheet!$A:$H,8,FALSE),VLOOKUP("other",bug_conf_sheet!$A:$H,8,FALSE))</f>
        <v>1</v>
      </c>
    </row>
    <row r="114" spans="1:20" ht="21" customHeight="1">
      <c r="A114" s="2" t="str">
        <f ca="1">input_314100!A$2</f>
        <v>314100</v>
      </c>
      <c r="B114" s="7" t="str">
        <f t="shared" si="4"/>
        <v>Premium3</v>
      </c>
      <c r="C114" s="7" t="str">
        <f t="shared" si="5"/>
        <v>Premium</v>
      </c>
      <c r="D114" s="7" t="str">
        <f t="shared" si="6"/>
        <v>ry</v>
      </c>
      <c r="E114" s="5">
        <v>238</v>
      </c>
      <c r="F114" s="7" t="str">
        <f>VLOOKUP(E114,[1]characters!$A:$C,3,FALSE)</f>
        <v>ウリエル</v>
      </c>
      <c r="G114" s="7" t="str">
        <f>VLOOKUP(E114,[1]characters!$A:$J,10,FALSE)</f>
        <v>PremiumS</v>
      </c>
      <c r="H114" s="7">
        <f>VLOOKUP(E114,[1]characters!$A:$I,9,FALSE)</f>
        <v>3</v>
      </c>
      <c r="I114" s="7" t="str">
        <f>VLOOKUP(E114,[1]characters!$A:$H,8,FALSE)</f>
        <v>red</v>
      </c>
      <c r="J114" s="7" t="str">
        <f>VLOOKUP(E114,[1]characters!$A:$K,11,FALSE)</f>
        <v>hp</v>
      </c>
      <c r="K114" s="7" t="str">
        <f>VLOOKUP(E114,[1]characters!$A:$M,13,FALSE)</f>
        <v>machine</v>
      </c>
      <c r="L114" s="7" t="str">
        <f>VLOOKUP(E114,[1]characters!$A:$G,7,FALSE)</f>
        <v>女性</v>
      </c>
      <c r="M114" s="62">
        <f ca="1">IFERROR(VLOOKUP(E114,input_314100!L:R,7,FALSE),VLOOKUP(tables_314100!B114,input_314100!A:H,8,FALSE))</f>
        <v>0</v>
      </c>
      <c r="N114" s="63">
        <f t="shared" ca="1" si="7"/>
        <v>0</v>
      </c>
      <c r="O114" s="31">
        <f>IFERROR(VLOOKUP($E114,bug_conf_sheet!$A:$H,3,FALSE),VLOOKUP("other",bug_conf_sheet!$A:$H,3,FALSE))</f>
        <v>1</v>
      </c>
      <c r="P114" s="31">
        <f>IFERROR(VLOOKUP($E114,bug_conf_sheet!$A:$H,4,FALSE),VLOOKUP("other",bug_conf_sheet!$A:$H,4,FALSE))</f>
        <v>0</v>
      </c>
      <c r="Q114" s="31">
        <f>IFERROR(VLOOKUP($E114,bug_conf_sheet!$A:$H,5,FALSE),VLOOKUP("other",bug_conf_sheet!$A:$H,5,FALSE))</f>
        <v>0</v>
      </c>
      <c r="R114" s="31">
        <f>IFERROR(VLOOKUP($E114,bug_conf_sheet!$A:$H,6,FALSE),VLOOKUP("other",bug_conf_sheet!$A:$H,6,FALSE))</f>
        <v>0</v>
      </c>
      <c r="S114" s="31">
        <f>IFERROR(VLOOKUP($E114,bug_conf_sheet!$A:$H,7,FALSE),VLOOKUP("other",bug_conf_sheet!$A:$H,7,FALSE))</f>
        <v>0</v>
      </c>
      <c r="T114" s="31">
        <f>IFERROR(VLOOKUP($E114,bug_conf_sheet!$A:$H,8,FALSE),VLOOKUP("other",bug_conf_sheet!$A:$H,8,FALSE))</f>
        <v>1</v>
      </c>
    </row>
    <row r="115" spans="1:20" ht="21" customHeight="1">
      <c r="A115" s="2" t="str">
        <f ca="1">input_314100!A$2</f>
        <v>314100</v>
      </c>
      <c r="B115" s="7" t="str">
        <f t="shared" si="4"/>
        <v>Premium4</v>
      </c>
      <c r="C115" s="7" t="str">
        <f t="shared" si="5"/>
        <v>Premium</v>
      </c>
      <c r="D115" s="7" t="str">
        <f t="shared" si="6"/>
        <v>ry</v>
      </c>
      <c r="E115" s="5">
        <v>239</v>
      </c>
      <c r="F115" s="7" t="str">
        <f>VLOOKUP(E115,[1]characters!$A:$C,3,FALSE)</f>
        <v>豪炎の天使 ウリエル</v>
      </c>
      <c r="G115" s="7" t="str">
        <f>VLOOKUP(E115,[1]characters!$A:$J,10,FALSE)</f>
        <v>PremiumS</v>
      </c>
      <c r="H115" s="7">
        <f>VLOOKUP(E115,[1]characters!$A:$I,9,FALSE)</f>
        <v>4</v>
      </c>
      <c r="I115" s="7" t="str">
        <f>VLOOKUP(E115,[1]characters!$A:$H,8,FALSE)</f>
        <v>red</v>
      </c>
      <c r="J115" s="7" t="str">
        <f>VLOOKUP(E115,[1]characters!$A:$K,11,FALSE)</f>
        <v>hp</v>
      </c>
      <c r="K115" s="7" t="str">
        <f>VLOOKUP(E115,[1]characters!$A:$M,13,FALSE)</f>
        <v>machine</v>
      </c>
      <c r="L115" s="7" t="str">
        <f>VLOOKUP(E115,[1]characters!$A:$G,7,FALSE)</f>
        <v>女性</v>
      </c>
      <c r="M115" s="62">
        <f ca="1">IFERROR(VLOOKUP(E115,input_314100!L:R,7,FALSE),VLOOKUP(tables_314100!B115,input_314100!A:H,8,FALSE))</f>
        <v>342090</v>
      </c>
      <c r="N115" s="63">
        <f t="shared" ca="1" si="7"/>
        <v>1.222972972972973E-2</v>
      </c>
      <c r="O115" s="31">
        <f>IFERROR(VLOOKUP($E115,bug_conf_sheet!$A:$H,3,FALSE),VLOOKUP("other",bug_conf_sheet!$A:$H,3,FALSE))</f>
        <v>1</v>
      </c>
      <c r="P115" s="31">
        <f>IFERROR(VLOOKUP($E115,bug_conf_sheet!$A:$H,4,FALSE),VLOOKUP("other",bug_conf_sheet!$A:$H,4,FALSE))</f>
        <v>0</v>
      </c>
      <c r="Q115" s="31">
        <f>IFERROR(VLOOKUP($E115,bug_conf_sheet!$A:$H,5,FALSE),VLOOKUP("other",bug_conf_sheet!$A:$H,5,FALSE))</f>
        <v>0</v>
      </c>
      <c r="R115" s="31">
        <f>IFERROR(VLOOKUP($E115,bug_conf_sheet!$A:$H,6,FALSE),VLOOKUP("other",bug_conf_sheet!$A:$H,6,FALSE))</f>
        <v>0</v>
      </c>
      <c r="S115" s="31">
        <f>IFERROR(VLOOKUP($E115,bug_conf_sheet!$A:$H,7,FALSE),VLOOKUP("other",bug_conf_sheet!$A:$H,7,FALSE))</f>
        <v>0</v>
      </c>
      <c r="T115" s="31">
        <f>IFERROR(VLOOKUP($E115,bug_conf_sheet!$A:$H,8,FALSE),VLOOKUP("other",bug_conf_sheet!$A:$H,8,FALSE))</f>
        <v>1</v>
      </c>
    </row>
    <row r="116" spans="1:20" ht="21" customHeight="1">
      <c r="A116" s="2" t="str">
        <f ca="1">input_314100!A$2</f>
        <v>314100</v>
      </c>
      <c r="B116" s="7" t="str">
        <f t="shared" si="4"/>
        <v>Premium5</v>
      </c>
      <c r="C116" s="7" t="str">
        <f t="shared" si="5"/>
        <v>Premium</v>
      </c>
      <c r="D116" s="7" t="str">
        <f t="shared" si="6"/>
        <v>ry</v>
      </c>
      <c r="E116" s="5">
        <v>240</v>
      </c>
      <c r="F116" s="7" t="str">
        <f>VLOOKUP(E116,[1]characters!$A:$C,3,FALSE)</f>
        <v>轟炎の天使 ウリエル・スレイヤー</v>
      </c>
      <c r="G116" s="7" t="str">
        <f>VLOOKUP(E116,[1]characters!$A:$J,10,FALSE)</f>
        <v>PremiumS</v>
      </c>
      <c r="H116" s="7">
        <f>VLOOKUP(E116,[1]characters!$A:$I,9,FALSE)</f>
        <v>5</v>
      </c>
      <c r="I116" s="7" t="str">
        <f>VLOOKUP(E116,[1]characters!$A:$H,8,FALSE)</f>
        <v>red</v>
      </c>
      <c r="J116" s="7" t="str">
        <f>VLOOKUP(E116,[1]characters!$A:$K,11,FALSE)</f>
        <v>hp</v>
      </c>
      <c r="K116" s="7" t="str">
        <f>VLOOKUP(E116,[1]characters!$A:$M,13,FALSE)</f>
        <v>machine</v>
      </c>
      <c r="L116" s="7" t="str">
        <f>VLOOKUP(E116,[1]characters!$A:$G,7,FALSE)</f>
        <v>女性</v>
      </c>
      <c r="M116" s="62">
        <f ca="1">IFERROR(VLOOKUP(E116,input_314100!L:R,7,FALSE),VLOOKUP(tables_314100!B116,input_314100!A:H,8,FALSE))</f>
        <v>12950</v>
      </c>
      <c r="N116" s="63">
        <f t="shared" ca="1" si="7"/>
        <v>4.6296296296296298E-4</v>
      </c>
      <c r="O116" s="31">
        <f>IFERROR(VLOOKUP($E116,bug_conf_sheet!$A:$H,3,FALSE),VLOOKUP("other",bug_conf_sheet!$A:$H,3,FALSE))</f>
        <v>1</v>
      </c>
      <c r="P116" s="31">
        <f>IFERROR(VLOOKUP($E116,bug_conf_sheet!$A:$H,4,FALSE),VLOOKUP("other",bug_conf_sheet!$A:$H,4,FALSE))</f>
        <v>0</v>
      </c>
      <c r="Q116" s="31">
        <f>IFERROR(VLOOKUP($E116,bug_conf_sheet!$A:$H,5,FALSE),VLOOKUP("other",bug_conf_sheet!$A:$H,5,FALSE))</f>
        <v>0</v>
      </c>
      <c r="R116" s="31">
        <f>IFERROR(VLOOKUP($E116,bug_conf_sheet!$A:$H,6,FALSE),VLOOKUP("other",bug_conf_sheet!$A:$H,6,FALSE))</f>
        <v>0</v>
      </c>
      <c r="S116" s="31">
        <f>IFERROR(VLOOKUP($E116,bug_conf_sheet!$A:$H,7,FALSE),VLOOKUP("other",bug_conf_sheet!$A:$H,7,FALSE))</f>
        <v>0</v>
      </c>
      <c r="T116" s="31">
        <f>IFERROR(VLOOKUP($E116,bug_conf_sheet!$A:$H,8,FALSE),VLOOKUP("other",bug_conf_sheet!$A:$H,8,FALSE))</f>
        <v>1</v>
      </c>
    </row>
    <row r="117" spans="1:20" ht="21" customHeight="1">
      <c r="A117" s="2" t="str">
        <f ca="1">input_314100!A$2</f>
        <v>314100</v>
      </c>
      <c r="B117" s="7" t="str">
        <f t="shared" si="4"/>
        <v>Premium3</v>
      </c>
      <c r="C117" s="7" t="str">
        <f t="shared" si="5"/>
        <v>Premium</v>
      </c>
      <c r="D117" s="7" t="str">
        <f t="shared" si="6"/>
        <v>bg</v>
      </c>
      <c r="E117" s="5">
        <v>241</v>
      </c>
      <c r="F117" s="7" t="str">
        <f>VLOOKUP(E117,[1]characters!$A:$C,3,FALSE)</f>
        <v>ガブリエル</v>
      </c>
      <c r="G117" s="7" t="str">
        <f>VLOOKUP(E117,[1]characters!$A:$J,10,FALSE)</f>
        <v>PremiumS</v>
      </c>
      <c r="H117" s="7">
        <f>VLOOKUP(E117,[1]characters!$A:$I,9,FALSE)</f>
        <v>3</v>
      </c>
      <c r="I117" s="7" t="str">
        <f>VLOOKUP(E117,[1]characters!$A:$H,8,FALSE)</f>
        <v>green</v>
      </c>
      <c r="J117" s="7" t="str">
        <f>VLOOKUP(E117,[1]characters!$A:$K,11,FALSE)</f>
        <v>balance</v>
      </c>
      <c r="K117" s="7" t="str">
        <f>VLOOKUP(E117,[1]characters!$A:$M,13,FALSE)</f>
        <v>machine</v>
      </c>
      <c r="L117" s="7" t="str">
        <f>VLOOKUP(E117,[1]characters!$A:$G,7,FALSE)</f>
        <v>女性</v>
      </c>
      <c r="M117" s="62">
        <f ca="1">IFERROR(VLOOKUP(E117,input_314100!L:R,7,FALSE),VLOOKUP(tables_314100!B117,input_314100!A:H,8,FALSE))</f>
        <v>0</v>
      </c>
      <c r="N117" s="63">
        <f t="shared" ca="1" si="7"/>
        <v>0</v>
      </c>
      <c r="O117" s="31">
        <f>IFERROR(VLOOKUP($E117,bug_conf_sheet!$A:$H,3,FALSE),VLOOKUP("other",bug_conf_sheet!$A:$H,3,FALSE))</f>
        <v>1</v>
      </c>
      <c r="P117" s="31">
        <f>IFERROR(VLOOKUP($E117,bug_conf_sheet!$A:$H,4,FALSE),VLOOKUP("other",bug_conf_sheet!$A:$H,4,FALSE))</f>
        <v>0</v>
      </c>
      <c r="Q117" s="31">
        <f>IFERROR(VLOOKUP($E117,bug_conf_sheet!$A:$H,5,FALSE),VLOOKUP("other",bug_conf_sheet!$A:$H,5,FALSE))</f>
        <v>0</v>
      </c>
      <c r="R117" s="31">
        <f>IFERROR(VLOOKUP($E117,bug_conf_sheet!$A:$H,6,FALSE),VLOOKUP("other",bug_conf_sheet!$A:$H,6,FALSE))</f>
        <v>0</v>
      </c>
      <c r="S117" s="31">
        <f>IFERROR(VLOOKUP($E117,bug_conf_sheet!$A:$H,7,FALSE),VLOOKUP("other",bug_conf_sheet!$A:$H,7,FALSE))</f>
        <v>0</v>
      </c>
      <c r="T117" s="31">
        <f>IFERROR(VLOOKUP($E117,bug_conf_sheet!$A:$H,8,FALSE),VLOOKUP("other",bug_conf_sheet!$A:$H,8,FALSE))</f>
        <v>1</v>
      </c>
    </row>
    <row r="118" spans="1:20" ht="21" customHeight="1">
      <c r="A118" s="2" t="str">
        <f ca="1">input_314100!A$2</f>
        <v>314100</v>
      </c>
      <c r="B118" s="7" t="str">
        <f t="shared" si="4"/>
        <v>Premium4</v>
      </c>
      <c r="C118" s="7" t="str">
        <f t="shared" si="5"/>
        <v>Premium</v>
      </c>
      <c r="D118" s="7" t="str">
        <f t="shared" si="6"/>
        <v>bg</v>
      </c>
      <c r="E118" s="5">
        <v>242</v>
      </c>
      <c r="F118" s="7" t="str">
        <f>VLOOKUP(E118,[1]characters!$A:$C,3,FALSE)</f>
        <v>百花の天使 ガブリエル</v>
      </c>
      <c r="G118" s="7" t="str">
        <f>VLOOKUP(E118,[1]characters!$A:$J,10,FALSE)</f>
        <v>PremiumS</v>
      </c>
      <c r="H118" s="7">
        <f>VLOOKUP(E118,[1]characters!$A:$I,9,FALSE)</f>
        <v>4</v>
      </c>
      <c r="I118" s="7" t="str">
        <f>VLOOKUP(E118,[1]characters!$A:$H,8,FALSE)</f>
        <v>green</v>
      </c>
      <c r="J118" s="7" t="str">
        <f>VLOOKUP(E118,[1]characters!$A:$K,11,FALSE)</f>
        <v>balance</v>
      </c>
      <c r="K118" s="7" t="str">
        <f>VLOOKUP(E118,[1]characters!$A:$M,13,FALSE)</f>
        <v>machine</v>
      </c>
      <c r="L118" s="7" t="str">
        <f>VLOOKUP(E118,[1]characters!$A:$G,7,FALSE)</f>
        <v>女性</v>
      </c>
      <c r="M118" s="62">
        <f ca="1">IFERROR(VLOOKUP(E118,input_314100!L:R,7,FALSE),VLOOKUP(tables_314100!B118,input_314100!A:H,8,FALSE))</f>
        <v>342090</v>
      </c>
      <c r="N118" s="63">
        <f t="shared" ca="1" si="7"/>
        <v>1.222972972972973E-2</v>
      </c>
      <c r="O118" s="31">
        <f>IFERROR(VLOOKUP($E118,bug_conf_sheet!$A:$H,3,FALSE),VLOOKUP("other",bug_conf_sheet!$A:$H,3,FALSE))</f>
        <v>1</v>
      </c>
      <c r="P118" s="31">
        <f>IFERROR(VLOOKUP($E118,bug_conf_sheet!$A:$H,4,FALSE),VLOOKUP("other",bug_conf_sheet!$A:$H,4,FALSE))</f>
        <v>0</v>
      </c>
      <c r="Q118" s="31">
        <f>IFERROR(VLOOKUP($E118,bug_conf_sheet!$A:$H,5,FALSE),VLOOKUP("other",bug_conf_sheet!$A:$H,5,FALSE))</f>
        <v>0</v>
      </c>
      <c r="R118" s="31">
        <f>IFERROR(VLOOKUP($E118,bug_conf_sheet!$A:$H,6,FALSE),VLOOKUP("other",bug_conf_sheet!$A:$H,6,FALSE))</f>
        <v>0</v>
      </c>
      <c r="S118" s="31">
        <f>IFERROR(VLOOKUP($E118,bug_conf_sheet!$A:$H,7,FALSE),VLOOKUP("other",bug_conf_sheet!$A:$H,7,FALSE))</f>
        <v>0</v>
      </c>
      <c r="T118" s="31">
        <f>IFERROR(VLOOKUP($E118,bug_conf_sheet!$A:$H,8,FALSE),VLOOKUP("other",bug_conf_sheet!$A:$H,8,FALSE))</f>
        <v>1</v>
      </c>
    </row>
    <row r="119" spans="1:20" ht="21" customHeight="1">
      <c r="A119" s="2" t="str">
        <f ca="1">input_314100!A$2</f>
        <v>314100</v>
      </c>
      <c r="B119" s="7" t="str">
        <f t="shared" si="4"/>
        <v>Premium5</v>
      </c>
      <c r="C119" s="7" t="str">
        <f t="shared" si="5"/>
        <v>Premium</v>
      </c>
      <c r="D119" s="7" t="str">
        <f t="shared" si="6"/>
        <v>bg</v>
      </c>
      <c r="E119" s="5">
        <v>243</v>
      </c>
      <c r="F119" s="7" t="str">
        <f>VLOOKUP(E119,[1]characters!$A:$C,3,FALSE)</f>
        <v>万花の天使 ガブリエル・ブルーム</v>
      </c>
      <c r="G119" s="7" t="str">
        <f>VLOOKUP(E119,[1]characters!$A:$J,10,FALSE)</f>
        <v>PremiumS</v>
      </c>
      <c r="H119" s="7">
        <f>VLOOKUP(E119,[1]characters!$A:$I,9,FALSE)</f>
        <v>5</v>
      </c>
      <c r="I119" s="7" t="str">
        <f>VLOOKUP(E119,[1]characters!$A:$H,8,FALSE)</f>
        <v>green</v>
      </c>
      <c r="J119" s="7" t="str">
        <f>VLOOKUP(E119,[1]characters!$A:$K,11,FALSE)</f>
        <v>balance</v>
      </c>
      <c r="K119" s="7" t="str">
        <f>VLOOKUP(E119,[1]characters!$A:$M,13,FALSE)</f>
        <v>machine</v>
      </c>
      <c r="L119" s="7" t="str">
        <f>VLOOKUP(E119,[1]characters!$A:$G,7,FALSE)</f>
        <v>女性</v>
      </c>
      <c r="M119" s="62">
        <f ca="1">IFERROR(VLOOKUP(E119,input_314100!L:R,7,FALSE),VLOOKUP(tables_314100!B119,input_314100!A:H,8,FALSE))</f>
        <v>12950</v>
      </c>
      <c r="N119" s="63">
        <f t="shared" ca="1" si="7"/>
        <v>4.6296296296296298E-4</v>
      </c>
      <c r="O119" s="31">
        <f>IFERROR(VLOOKUP($E119,bug_conf_sheet!$A:$H,3,FALSE),VLOOKUP("other",bug_conf_sheet!$A:$H,3,FALSE))</f>
        <v>1</v>
      </c>
      <c r="P119" s="31">
        <f>IFERROR(VLOOKUP($E119,bug_conf_sheet!$A:$H,4,FALSE),VLOOKUP("other",bug_conf_sheet!$A:$H,4,FALSE))</f>
        <v>0</v>
      </c>
      <c r="Q119" s="31">
        <f>IFERROR(VLOOKUP($E119,bug_conf_sheet!$A:$H,5,FALSE),VLOOKUP("other",bug_conf_sheet!$A:$H,5,FALSE))</f>
        <v>0</v>
      </c>
      <c r="R119" s="31">
        <f>IFERROR(VLOOKUP($E119,bug_conf_sheet!$A:$H,6,FALSE),VLOOKUP("other",bug_conf_sheet!$A:$H,6,FALSE))</f>
        <v>0</v>
      </c>
      <c r="S119" s="31">
        <f>IFERROR(VLOOKUP($E119,bug_conf_sheet!$A:$H,7,FALSE),VLOOKUP("other",bug_conf_sheet!$A:$H,7,FALSE))</f>
        <v>0</v>
      </c>
      <c r="T119" s="31">
        <f>IFERROR(VLOOKUP($E119,bug_conf_sheet!$A:$H,8,FALSE),VLOOKUP("other",bug_conf_sheet!$A:$H,8,FALSE))</f>
        <v>1</v>
      </c>
    </row>
    <row r="120" spans="1:20" ht="21" customHeight="1">
      <c r="A120" s="2" t="str">
        <f ca="1">input_314100!A$2</f>
        <v>314100</v>
      </c>
      <c r="B120" s="7" t="str">
        <f t="shared" si="4"/>
        <v>Premium3</v>
      </c>
      <c r="C120" s="7" t="str">
        <f t="shared" si="5"/>
        <v>Premium</v>
      </c>
      <c r="D120" s="7" t="str">
        <f t="shared" si="6"/>
        <v>bg</v>
      </c>
      <c r="E120" s="5">
        <v>244</v>
      </c>
      <c r="F120" s="7" t="str">
        <f>VLOOKUP(E120,[1]characters!$A:$C,3,FALSE)</f>
        <v>ラファエル</v>
      </c>
      <c r="G120" s="7" t="str">
        <f>VLOOKUP(E120,[1]characters!$A:$J,10,FALSE)</f>
        <v>PremiumS</v>
      </c>
      <c r="H120" s="7">
        <f>VLOOKUP(E120,[1]characters!$A:$I,9,FALSE)</f>
        <v>3</v>
      </c>
      <c r="I120" s="7" t="str">
        <f>VLOOKUP(E120,[1]characters!$A:$H,8,FALSE)</f>
        <v>blue</v>
      </c>
      <c r="J120" s="7" t="str">
        <f>VLOOKUP(E120,[1]characters!$A:$K,11,FALSE)</f>
        <v>balance</v>
      </c>
      <c r="K120" s="7" t="str">
        <f>VLOOKUP(E120,[1]characters!$A:$M,13,FALSE)</f>
        <v>machine</v>
      </c>
      <c r="L120" s="7" t="str">
        <f>VLOOKUP(E120,[1]characters!$A:$G,7,FALSE)</f>
        <v>女性</v>
      </c>
      <c r="M120" s="62">
        <f ca="1">IFERROR(VLOOKUP(E120,input_314100!L:R,7,FALSE),VLOOKUP(tables_314100!B120,input_314100!A:H,8,FALSE))</f>
        <v>0</v>
      </c>
      <c r="N120" s="63">
        <f t="shared" ca="1" si="7"/>
        <v>0</v>
      </c>
      <c r="O120" s="31">
        <f>IFERROR(VLOOKUP($E120,bug_conf_sheet!$A:$H,3,FALSE),VLOOKUP("other",bug_conf_sheet!$A:$H,3,FALSE))</f>
        <v>1</v>
      </c>
      <c r="P120" s="31">
        <f>IFERROR(VLOOKUP($E120,bug_conf_sheet!$A:$H,4,FALSE),VLOOKUP("other",bug_conf_sheet!$A:$H,4,FALSE))</f>
        <v>0</v>
      </c>
      <c r="Q120" s="31">
        <f>IFERROR(VLOOKUP($E120,bug_conf_sheet!$A:$H,5,FALSE),VLOOKUP("other",bug_conf_sheet!$A:$H,5,FALSE))</f>
        <v>0</v>
      </c>
      <c r="R120" s="31">
        <f>IFERROR(VLOOKUP($E120,bug_conf_sheet!$A:$H,6,FALSE),VLOOKUP("other",bug_conf_sheet!$A:$H,6,FALSE))</f>
        <v>0</v>
      </c>
      <c r="S120" s="31">
        <f>IFERROR(VLOOKUP($E120,bug_conf_sheet!$A:$H,7,FALSE),VLOOKUP("other",bug_conf_sheet!$A:$H,7,FALSE))</f>
        <v>0</v>
      </c>
      <c r="T120" s="31">
        <f>IFERROR(VLOOKUP($E120,bug_conf_sheet!$A:$H,8,FALSE),VLOOKUP("other",bug_conf_sheet!$A:$H,8,FALSE))</f>
        <v>1</v>
      </c>
    </row>
    <row r="121" spans="1:20" ht="21" customHeight="1">
      <c r="A121" s="2" t="str">
        <f ca="1">input_314100!A$2</f>
        <v>314100</v>
      </c>
      <c r="B121" s="7" t="str">
        <f t="shared" si="4"/>
        <v>Premium4</v>
      </c>
      <c r="C121" s="7" t="str">
        <f t="shared" si="5"/>
        <v>Premium</v>
      </c>
      <c r="D121" s="7" t="str">
        <f t="shared" si="6"/>
        <v>bg</v>
      </c>
      <c r="E121" s="5">
        <v>245</v>
      </c>
      <c r="F121" s="7" t="str">
        <f>VLOOKUP(E121,[1]characters!$A:$C,3,FALSE)</f>
        <v>鎮癒の天使 ラファエル</v>
      </c>
      <c r="G121" s="7" t="str">
        <f>VLOOKUP(E121,[1]characters!$A:$J,10,FALSE)</f>
        <v>PremiumS</v>
      </c>
      <c r="H121" s="7">
        <f>VLOOKUP(E121,[1]characters!$A:$I,9,FALSE)</f>
        <v>4</v>
      </c>
      <c r="I121" s="7" t="str">
        <f>VLOOKUP(E121,[1]characters!$A:$H,8,FALSE)</f>
        <v>blue</v>
      </c>
      <c r="J121" s="7" t="str">
        <f>VLOOKUP(E121,[1]characters!$A:$K,11,FALSE)</f>
        <v>balance</v>
      </c>
      <c r="K121" s="7" t="str">
        <f>VLOOKUP(E121,[1]characters!$A:$M,13,FALSE)</f>
        <v>machine</v>
      </c>
      <c r="L121" s="7" t="str">
        <f>VLOOKUP(E121,[1]characters!$A:$G,7,FALSE)</f>
        <v>女性</v>
      </c>
      <c r="M121" s="62">
        <f ca="1">IFERROR(VLOOKUP(E121,input_314100!L:R,7,FALSE),VLOOKUP(tables_314100!B121,input_314100!A:H,8,FALSE))</f>
        <v>342090</v>
      </c>
      <c r="N121" s="63">
        <f t="shared" ca="1" si="7"/>
        <v>1.222972972972973E-2</v>
      </c>
      <c r="O121" s="31">
        <f>IFERROR(VLOOKUP($E121,bug_conf_sheet!$A:$H,3,FALSE),VLOOKUP("other",bug_conf_sheet!$A:$H,3,FALSE))</f>
        <v>1</v>
      </c>
      <c r="P121" s="31">
        <f>IFERROR(VLOOKUP($E121,bug_conf_sheet!$A:$H,4,FALSE),VLOOKUP("other",bug_conf_sheet!$A:$H,4,FALSE))</f>
        <v>0</v>
      </c>
      <c r="Q121" s="31">
        <f>IFERROR(VLOOKUP($E121,bug_conf_sheet!$A:$H,5,FALSE),VLOOKUP("other",bug_conf_sheet!$A:$H,5,FALSE))</f>
        <v>0</v>
      </c>
      <c r="R121" s="31">
        <f>IFERROR(VLOOKUP($E121,bug_conf_sheet!$A:$H,6,FALSE),VLOOKUP("other",bug_conf_sheet!$A:$H,6,FALSE))</f>
        <v>0</v>
      </c>
      <c r="S121" s="31">
        <f>IFERROR(VLOOKUP($E121,bug_conf_sheet!$A:$H,7,FALSE),VLOOKUP("other",bug_conf_sheet!$A:$H,7,FALSE))</f>
        <v>0</v>
      </c>
      <c r="T121" s="31">
        <f>IFERROR(VLOOKUP($E121,bug_conf_sheet!$A:$H,8,FALSE),VLOOKUP("other",bug_conf_sheet!$A:$H,8,FALSE))</f>
        <v>1</v>
      </c>
    </row>
    <row r="122" spans="1:20" ht="21" customHeight="1">
      <c r="A122" s="2" t="str">
        <f ca="1">input_314100!A$2</f>
        <v>314100</v>
      </c>
      <c r="B122" s="7" t="str">
        <f t="shared" si="4"/>
        <v>Premium5</v>
      </c>
      <c r="C122" s="7" t="str">
        <f t="shared" si="5"/>
        <v>Premium</v>
      </c>
      <c r="D122" s="7" t="str">
        <f t="shared" si="6"/>
        <v>bg</v>
      </c>
      <c r="E122" s="5">
        <v>246</v>
      </c>
      <c r="F122" s="7" t="str">
        <f>VLOOKUP(E122,[1]characters!$A:$C,3,FALSE)</f>
        <v>真癒の天使 ラファエル・メディカ</v>
      </c>
      <c r="G122" s="7" t="str">
        <f>VLOOKUP(E122,[1]characters!$A:$J,10,FALSE)</f>
        <v>PremiumS</v>
      </c>
      <c r="H122" s="7">
        <f>VLOOKUP(E122,[1]characters!$A:$I,9,FALSE)</f>
        <v>5</v>
      </c>
      <c r="I122" s="7" t="str">
        <f>VLOOKUP(E122,[1]characters!$A:$H,8,FALSE)</f>
        <v>blue</v>
      </c>
      <c r="J122" s="7" t="str">
        <f>VLOOKUP(E122,[1]characters!$A:$K,11,FALSE)</f>
        <v>balance</v>
      </c>
      <c r="K122" s="7" t="str">
        <f>VLOOKUP(E122,[1]characters!$A:$M,13,FALSE)</f>
        <v>machine</v>
      </c>
      <c r="L122" s="7" t="str">
        <f>VLOOKUP(E122,[1]characters!$A:$G,7,FALSE)</f>
        <v>女性</v>
      </c>
      <c r="M122" s="62">
        <f ca="1">IFERROR(VLOOKUP(E122,input_314100!L:R,7,FALSE),VLOOKUP(tables_314100!B122,input_314100!A:H,8,FALSE))</f>
        <v>12950</v>
      </c>
      <c r="N122" s="63">
        <f t="shared" ca="1" si="7"/>
        <v>4.6296296296296298E-4</v>
      </c>
      <c r="O122" s="31">
        <f>IFERROR(VLOOKUP($E122,bug_conf_sheet!$A:$H,3,FALSE),VLOOKUP("other",bug_conf_sheet!$A:$H,3,FALSE))</f>
        <v>1</v>
      </c>
      <c r="P122" s="31">
        <f>IFERROR(VLOOKUP($E122,bug_conf_sheet!$A:$H,4,FALSE),VLOOKUP("other",bug_conf_sheet!$A:$H,4,FALSE))</f>
        <v>0</v>
      </c>
      <c r="Q122" s="31">
        <f>IFERROR(VLOOKUP($E122,bug_conf_sheet!$A:$H,5,FALSE),VLOOKUP("other",bug_conf_sheet!$A:$H,5,FALSE))</f>
        <v>0</v>
      </c>
      <c r="R122" s="31">
        <f>IFERROR(VLOOKUP($E122,bug_conf_sheet!$A:$H,6,FALSE),VLOOKUP("other",bug_conf_sheet!$A:$H,6,FALSE))</f>
        <v>0</v>
      </c>
      <c r="S122" s="31">
        <f>IFERROR(VLOOKUP($E122,bug_conf_sheet!$A:$H,7,FALSE),VLOOKUP("other",bug_conf_sheet!$A:$H,7,FALSE))</f>
        <v>0</v>
      </c>
      <c r="T122" s="31">
        <f>IFERROR(VLOOKUP($E122,bug_conf_sheet!$A:$H,8,FALSE),VLOOKUP("other",bug_conf_sheet!$A:$H,8,FALSE))</f>
        <v>1</v>
      </c>
    </row>
    <row r="123" spans="1:20" ht="21" customHeight="1">
      <c r="A123" s="2" t="str">
        <f ca="1">input_314100!A$2</f>
        <v>314100</v>
      </c>
      <c r="B123" s="7" t="str">
        <f t="shared" si="4"/>
        <v>Premium3</v>
      </c>
      <c r="C123" s="7" t="str">
        <f t="shared" si="5"/>
        <v>Premium</v>
      </c>
      <c r="D123" s="7" t="str">
        <f t="shared" si="6"/>
        <v>ry</v>
      </c>
      <c r="E123" s="5">
        <v>247</v>
      </c>
      <c r="F123" s="7" t="str">
        <f>VLOOKUP(E123,[1]characters!$A:$C,3,FALSE)</f>
        <v>ミカエル</v>
      </c>
      <c r="G123" s="7" t="str">
        <f>VLOOKUP(E123,[1]characters!$A:$J,10,FALSE)</f>
        <v>PremiumS</v>
      </c>
      <c r="H123" s="7">
        <f>VLOOKUP(E123,[1]characters!$A:$I,9,FALSE)</f>
        <v>3</v>
      </c>
      <c r="I123" s="7" t="str">
        <f>VLOOKUP(E123,[1]characters!$A:$H,8,FALSE)</f>
        <v>yellow</v>
      </c>
      <c r="J123" s="7" t="str">
        <f>VLOOKUP(E123,[1]characters!$A:$K,11,FALSE)</f>
        <v>attack</v>
      </c>
      <c r="K123" s="7" t="str">
        <f>VLOOKUP(E123,[1]characters!$A:$M,13,FALSE)</f>
        <v>machine</v>
      </c>
      <c r="L123" s="7" t="str">
        <f>VLOOKUP(E123,[1]characters!$A:$G,7,FALSE)</f>
        <v>女性</v>
      </c>
      <c r="M123" s="62">
        <f ca="1">IFERROR(VLOOKUP(E123,input_314100!L:R,7,FALSE),VLOOKUP(tables_314100!B123,input_314100!A:H,8,FALSE))</f>
        <v>0</v>
      </c>
      <c r="N123" s="63">
        <f t="shared" ca="1" si="7"/>
        <v>0</v>
      </c>
      <c r="O123" s="31">
        <f>IFERROR(VLOOKUP($E123,bug_conf_sheet!$A:$H,3,FALSE),VLOOKUP("other",bug_conf_sheet!$A:$H,3,FALSE))</f>
        <v>1</v>
      </c>
      <c r="P123" s="31">
        <f>IFERROR(VLOOKUP($E123,bug_conf_sheet!$A:$H,4,FALSE),VLOOKUP("other",bug_conf_sheet!$A:$H,4,FALSE))</f>
        <v>0</v>
      </c>
      <c r="Q123" s="31">
        <f>IFERROR(VLOOKUP($E123,bug_conf_sheet!$A:$H,5,FALSE),VLOOKUP("other",bug_conf_sheet!$A:$H,5,FALSE))</f>
        <v>0</v>
      </c>
      <c r="R123" s="31">
        <f>IFERROR(VLOOKUP($E123,bug_conf_sheet!$A:$H,6,FALSE),VLOOKUP("other",bug_conf_sheet!$A:$H,6,FALSE))</f>
        <v>0</v>
      </c>
      <c r="S123" s="31">
        <f>IFERROR(VLOOKUP($E123,bug_conf_sheet!$A:$H,7,FALSE),VLOOKUP("other",bug_conf_sheet!$A:$H,7,FALSE))</f>
        <v>0</v>
      </c>
      <c r="T123" s="31">
        <f>IFERROR(VLOOKUP($E123,bug_conf_sheet!$A:$H,8,FALSE),VLOOKUP("other",bug_conf_sheet!$A:$H,8,FALSE))</f>
        <v>1</v>
      </c>
    </row>
    <row r="124" spans="1:20" ht="21" customHeight="1">
      <c r="A124" s="2" t="str">
        <f ca="1">input_314100!A$2</f>
        <v>314100</v>
      </c>
      <c r="B124" s="7" t="str">
        <f t="shared" si="4"/>
        <v>Premium4</v>
      </c>
      <c r="C124" s="7" t="str">
        <f t="shared" si="5"/>
        <v>Premium</v>
      </c>
      <c r="D124" s="7" t="str">
        <f t="shared" si="6"/>
        <v>ry</v>
      </c>
      <c r="E124" s="5">
        <v>248</v>
      </c>
      <c r="F124" s="7" t="str">
        <f>VLOOKUP(E124,[1]characters!$A:$C,3,FALSE)</f>
        <v>彩電の天使 ミカエル</v>
      </c>
      <c r="G124" s="7" t="str">
        <f>VLOOKUP(E124,[1]characters!$A:$J,10,FALSE)</f>
        <v>PremiumS</v>
      </c>
      <c r="H124" s="7">
        <f>VLOOKUP(E124,[1]characters!$A:$I,9,FALSE)</f>
        <v>4</v>
      </c>
      <c r="I124" s="7" t="str">
        <f>VLOOKUP(E124,[1]characters!$A:$H,8,FALSE)</f>
        <v>yellow</v>
      </c>
      <c r="J124" s="7" t="str">
        <f>VLOOKUP(E124,[1]characters!$A:$K,11,FALSE)</f>
        <v>attack</v>
      </c>
      <c r="K124" s="7" t="str">
        <f>VLOOKUP(E124,[1]characters!$A:$M,13,FALSE)</f>
        <v>machine</v>
      </c>
      <c r="L124" s="7" t="str">
        <f>VLOOKUP(E124,[1]characters!$A:$G,7,FALSE)</f>
        <v>女性</v>
      </c>
      <c r="M124" s="62">
        <f ca="1">IFERROR(VLOOKUP(E124,input_314100!L:R,7,FALSE),VLOOKUP(tables_314100!B124,input_314100!A:H,8,FALSE))</f>
        <v>342090</v>
      </c>
      <c r="N124" s="63">
        <f t="shared" ca="1" si="7"/>
        <v>1.222972972972973E-2</v>
      </c>
      <c r="O124" s="31">
        <f>IFERROR(VLOOKUP($E124,bug_conf_sheet!$A:$H,3,FALSE),VLOOKUP("other",bug_conf_sheet!$A:$H,3,FALSE))</f>
        <v>1</v>
      </c>
      <c r="P124" s="31">
        <f>IFERROR(VLOOKUP($E124,bug_conf_sheet!$A:$H,4,FALSE),VLOOKUP("other",bug_conf_sheet!$A:$H,4,FALSE))</f>
        <v>0</v>
      </c>
      <c r="Q124" s="31">
        <f>IFERROR(VLOOKUP($E124,bug_conf_sheet!$A:$H,5,FALSE),VLOOKUP("other",bug_conf_sheet!$A:$H,5,FALSE))</f>
        <v>0</v>
      </c>
      <c r="R124" s="31">
        <f>IFERROR(VLOOKUP($E124,bug_conf_sheet!$A:$H,6,FALSE),VLOOKUP("other",bug_conf_sheet!$A:$H,6,FALSE))</f>
        <v>0</v>
      </c>
      <c r="S124" s="31">
        <f>IFERROR(VLOOKUP($E124,bug_conf_sheet!$A:$H,7,FALSE),VLOOKUP("other",bug_conf_sheet!$A:$H,7,FALSE))</f>
        <v>0</v>
      </c>
      <c r="T124" s="31">
        <f>IFERROR(VLOOKUP($E124,bug_conf_sheet!$A:$H,8,FALSE),VLOOKUP("other",bug_conf_sheet!$A:$H,8,FALSE))</f>
        <v>1</v>
      </c>
    </row>
    <row r="125" spans="1:20" ht="21" customHeight="1">
      <c r="A125" s="2" t="str">
        <f ca="1">input_314100!A$2</f>
        <v>314100</v>
      </c>
      <c r="B125" s="7" t="str">
        <f t="shared" si="4"/>
        <v>Premium5</v>
      </c>
      <c r="C125" s="7" t="str">
        <f t="shared" si="5"/>
        <v>Premium</v>
      </c>
      <c r="D125" s="7" t="str">
        <f t="shared" si="6"/>
        <v>ry</v>
      </c>
      <c r="E125" s="6">
        <v>249</v>
      </c>
      <c r="F125" s="7" t="str">
        <f>VLOOKUP(E125,[1]characters!$A:$C,3,FALSE)</f>
        <v>雷電の天使 ミカエル・ゲイナー</v>
      </c>
      <c r="G125" s="7" t="str">
        <f>VLOOKUP(E125,[1]characters!$A:$J,10,FALSE)</f>
        <v>PremiumS</v>
      </c>
      <c r="H125" s="7">
        <f>VLOOKUP(E125,[1]characters!$A:$I,9,FALSE)</f>
        <v>5</v>
      </c>
      <c r="I125" s="7" t="str">
        <f>VLOOKUP(E125,[1]characters!$A:$H,8,FALSE)</f>
        <v>yellow</v>
      </c>
      <c r="J125" s="7" t="str">
        <f>VLOOKUP(E125,[1]characters!$A:$K,11,FALSE)</f>
        <v>attack</v>
      </c>
      <c r="K125" s="7" t="str">
        <f>VLOOKUP(E125,[1]characters!$A:$M,13,FALSE)</f>
        <v>machine</v>
      </c>
      <c r="L125" s="7" t="str">
        <f>VLOOKUP(E125,[1]characters!$A:$G,7,FALSE)</f>
        <v>女性</v>
      </c>
      <c r="M125" s="62">
        <f ca="1">IFERROR(VLOOKUP(E125,input_314100!L:R,7,FALSE),VLOOKUP(tables_314100!B125,input_314100!A:H,8,FALSE))</f>
        <v>12950</v>
      </c>
      <c r="N125" s="63">
        <f t="shared" ca="1" si="7"/>
        <v>4.6296296296296298E-4</v>
      </c>
      <c r="O125" s="31">
        <f>IFERROR(VLOOKUP($E125,bug_conf_sheet!$A:$H,3,FALSE),VLOOKUP("other",bug_conf_sheet!$A:$H,3,FALSE))</f>
        <v>1</v>
      </c>
      <c r="P125" s="31">
        <f>IFERROR(VLOOKUP($E125,bug_conf_sheet!$A:$H,4,FALSE),VLOOKUP("other",bug_conf_sheet!$A:$H,4,FALSE))</f>
        <v>0</v>
      </c>
      <c r="Q125" s="31">
        <f>IFERROR(VLOOKUP($E125,bug_conf_sheet!$A:$H,5,FALSE),VLOOKUP("other",bug_conf_sheet!$A:$H,5,FALSE))</f>
        <v>0</v>
      </c>
      <c r="R125" s="31">
        <f>IFERROR(VLOOKUP($E125,bug_conf_sheet!$A:$H,6,FALSE),VLOOKUP("other",bug_conf_sheet!$A:$H,6,FALSE))</f>
        <v>0</v>
      </c>
      <c r="S125" s="31">
        <f>IFERROR(VLOOKUP($E125,bug_conf_sheet!$A:$H,7,FALSE),VLOOKUP("other",bug_conf_sheet!$A:$H,7,FALSE))</f>
        <v>0</v>
      </c>
      <c r="T125" s="31">
        <f>IFERROR(VLOOKUP($E125,bug_conf_sheet!$A:$H,8,FALSE),VLOOKUP("other",bug_conf_sheet!$A:$H,8,FALSE))</f>
        <v>1</v>
      </c>
    </row>
    <row r="126" spans="1:20" ht="21" customHeight="1">
      <c r="A126" s="2" t="str">
        <f ca="1">input_314100!A$2</f>
        <v>314100</v>
      </c>
      <c r="B126" s="7" t="str">
        <f t="shared" si="4"/>
        <v>Premium3</v>
      </c>
      <c r="C126" s="7" t="str">
        <f t="shared" si="5"/>
        <v>Premium</v>
      </c>
      <c r="D126" s="7" t="str">
        <f t="shared" si="6"/>
        <v>ry</v>
      </c>
      <c r="E126" s="6">
        <v>250</v>
      </c>
      <c r="F126" s="7" t="str">
        <f>VLOOKUP(E126,[1]characters!$A:$C,3,FALSE)</f>
        <v>マンモン</v>
      </c>
      <c r="G126" s="7" t="str">
        <f>VLOOKUP(E126,[1]characters!$A:$J,10,FALSE)</f>
        <v>PremiumS</v>
      </c>
      <c r="H126" s="7">
        <f>VLOOKUP(E126,[1]characters!$A:$I,9,FALSE)</f>
        <v>3</v>
      </c>
      <c r="I126" s="7" t="str">
        <f>VLOOKUP(E126,[1]characters!$A:$H,8,FALSE)</f>
        <v>red</v>
      </c>
      <c r="J126" s="7" t="str">
        <f>VLOOKUP(E126,[1]characters!$A:$K,11,FALSE)</f>
        <v>balance</v>
      </c>
      <c r="K126" s="7" t="str">
        <f>VLOOKUP(E126,[1]characters!$A:$M,13,FALSE)</f>
        <v>god</v>
      </c>
      <c r="L126" s="7" t="str">
        <f>VLOOKUP(E126,[1]characters!$A:$G,7,FALSE)</f>
        <v>女性</v>
      </c>
      <c r="M126" s="62">
        <f ca="1">IFERROR(VLOOKUP(E126,input_314100!L:R,7,FALSE),VLOOKUP(tables_314100!B126,input_314100!A:H,8,FALSE))</f>
        <v>0</v>
      </c>
      <c r="N126" s="63">
        <f t="shared" ca="1" si="7"/>
        <v>0</v>
      </c>
      <c r="O126" s="31">
        <f>IFERROR(VLOOKUP($E126,bug_conf_sheet!$A:$H,3,FALSE),VLOOKUP("other",bug_conf_sheet!$A:$H,3,FALSE))</f>
        <v>1</v>
      </c>
      <c r="P126" s="31">
        <f>IFERROR(VLOOKUP($E126,bug_conf_sheet!$A:$H,4,FALSE),VLOOKUP("other",bug_conf_sheet!$A:$H,4,FALSE))</f>
        <v>0</v>
      </c>
      <c r="Q126" s="31">
        <f>IFERROR(VLOOKUP($E126,bug_conf_sheet!$A:$H,5,FALSE),VLOOKUP("other",bug_conf_sheet!$A:$H,5,FALSE))</f>
        <v>0</v>
      </c>
      <c r="R126" s="31">
        <f>IFERROR(VLOOKUP($E126,bug_conf_sheet!$A:$H,6,FALSE),VLOOKUP("other",bug_conf_sheet!$A:$H,6,FALSE))</f>
        <v>0</v>
      </c>
      <c r="S126" s="31">
        <f>IFERROR(VLOOKUP($E126,bug_conf_sheet!$A:$H,7,FALSE),VLOOKUP("other",bug_conf_sheet!$A:$H,7,FALSE))</f>
        <v>0</v>
      </c>
      <c r="T126" s="31">
        <f>IFERROR(VLOOKUP($E126,bug_conf_sheet!$A:$H,8,FALSE),VLOOKUP("other",bug_conf_sheet!$A:$H,8,FALSE))</f>
        <v>1</v>
      </c>
    </row>
    <row r="127" spans="1:20" ht="21" customHeight="1">
      <c r="A127" s="2" t="str">
        <f ca="1">input_314100!A$2</f>
        <v>314100</v>
      </c>
      <c r="B127" s="7" t="str">
        <f t="shared" si="4"/>
        <v>Premium4</v>
      </c>
      <c r="C127" s="7" t="str">
        <f t="shared" si="5"/>
        <v>Premium</v>
      </c>
      <c r="D127" s="7" t="str">
        <f t="shared" si="6"/>
        <v>ry</v>
      </c>
      <c r="E127" s="6">
        <v>251</v>
      </c>
      <c r="F127" s="7" t="str">
        <f>VLOOKUP(E127,[1]characters!$A:$C,3,FALSE)</f>
        <v>強欲 マンモン</v>
      </c>
      <c r="G127" s="7" t="str">
        <f>VLOOKUP(E127,[1]characters!$A:$J,10,FALSE)</f>
        <v>PremiumS</v>
      </c>
      <c r="H127" s="7">
        <f>VLOOKUP(E127,[1]characters!$A:$I,9,FALSE)</f>
        <v>4</v>
      </c>
      <c r="I127" s="7" t="str">
        <f>VLOOKUP(E127,[1]characters!$A:$H,8,FALSE)</f>
        <v>red</v>
      </c>
      <c r="J127" s="7" t="str">
        <f>VLOOKUP(E127,[1]characters!$A:$K,11,FALSE)</f>
        <v>balance</v>
      </c>
      <c r="K127" s="7" t="str">
        <f>VLOOKUP(E127,[1]characters!$A:$M,13,FALSE)</f>
        <v>god</v>
      </c>
      <c r="L127" s="7" t="str">
        <f>VLOOKUP(E127,[1]characters!$A:$G,7,FALSE)</f>
        <v>女性</v>
      </c>
      <c r="M127" s="62">
        <f ca="1">IFERROR(VLOOKUP(E127,input_314100!L:R,7,FALSE),VLOOKUP(tables_314100!B127,input_314100!A:H,8,FALSE))</f>
        <v>342090</v>
      </c>
      <c r="N127" s="63">
        <f t="shared" ca="1" si="7"/>
        <v>1.222972972972973E-2</v>
      </c>
      <c r="O127" s="31">
        <f>IFERROR(VLOOKUP($E127,bug_conf_sheet!$A:$H,3,FALSE),VLOOKUP("other",bug_conf_sheet!$A:$H,3,FALSE))</f>
        <v>1</v>
      </c>
      <c r="P127" s="31">
        <f>IFERROR(VLOOKUP($E127,bug_conf_sheet!$A:$H,4,FALSE),VLOOKUP("other",bug_conf_sheet!$A:$H,4,FALSE))</f>
        <v>0</v>
      </c>
      <c r="Q127" s="31">
        <f>IFERROR(VLOOKUP($E127,bug_conf_sheet!$A:$H,5,FALSE),VLOOKUP("other",bug_conf_sheet!$A:$H,5,FALSE))</f>
        <v>0</v>
      </c>
      <c r="R127" s="31">
        <f>IFERROR(VLOOKUP($E127,bug_conf_sheet!$A:$H,6,FALSE),VLOOKUP("other",bug_conf_sheet!$A:$H,6,FALSE))</f>
        <v>0</v>
      </c>
      <c r="S127" s="31">
        <f>IFERROR(VLOOKUP($E127,bug_conf_sheet!$A:$H,7,FALSE),VLOOKUP("other",bug_conf_sheet!$A:$H,7,FALSE))</f>
        <v>0</v>
      </c>
      <c r="T127" s="31">
        <f>IFERROR(VLOOKUP($E127,bug_conf_sheet!$A:$H,8,FALSE),VLOOKUP("other",bug_conf_sheet!$A:$H,8,FALSE))</f>
        <v>1</v>
      </c>
    </row>
    <row r="128" spans="1:20" ht="21" customHeight="1">
      <c r="A128" s="2" t="str">
        <f ca="1">input_314100!A$2</f>
        <v>314100</v>
      </c>
      <c r="B128" s="7" t="str">
        <f t="shared" si="4"/>
        <v>Premium5</v>
      </c>
      <c r="C128" s="7" t="str">
        <f t="shared" si="5"/>
        <v>Premium</v>
      </c>
      <c r="D128" s="7" t="str">
        <f t="shared" si="6"/>
        <v>ry</v>
      </c>
      <c r="E128" s="6">
        <v>252</v>
      </c>
      <c r="F128" s="7" t="str">
        <f>VLOOKUP(E128,[1]characters!$A:$C,3,FALSE)</f>
        <v>強欲の沸騰 マンモン</v>
      </c>
      <c r="G128" s="7" t="str">
        <f>VLOOKUP(E128,[1]characters!$A:$J,10,FALSE)</f>
        <v>PremiumS</v>
      </c>
      <c r="H128" s="7">
        <f>VLOOKUP(E128,[1]characters!$A:$I,9,FALSE)</f>
        <v>5</v>
      </c>
      <c r="I128" s="7" t="str">
        <f>VLOOKUP(E128,[1]characters!$A:$H,8,FALSE)</f>
        <v>red</v>
      </c>
      <c r="J128" s="7" t="str">
        <f>VLOOKUP(E128,[1]characters!$A:$K,11,FALSE)</f>
        <v>balance</v>
      </c>
      <c r="K128" s="7" t="str">
        <f>VLOOKUP(E128,[1]characters!$A:$M,13,FALSE)</f>
        <v>god</v>
      </c>
      <c r="L128" s="7" t="str">
        <f>VLOOKUP(E128,[1]characters!$A:$G,7,FALSE)</f>
        <v>女性</v>
      </c>
      <c r="M128" s="62">
        <f ca="1">IFERROR(VLOOKUP(E128,input_314100!L:R,7,FALSE),VLOOKUP(tables_314100!B128,input_314100!A:H,8,FALSE))</f>
        <v>12950</v>
      </c>
      <c r="N128" s="63">
        <f t="shared" ca="1" si="7"/>
        <v>4.6296296296296298E-4</v>
      </c>
      <c r="O128" s="31">
        <f>IFERROR(VLOOKUP($E128,bug_conf_sheet!$A:$H,3,FALSE),VLOOKUP("other",bug_conf_sheet!$A:$H,3,FALSE))</f>
        <v>1</v>
      </c>
      <c r="P128" s="31">
        <f>IFERROR(VLOOKUP($E128,bug_conf_sheet!$A:$H,4,FALSE),VLOOKUP("other",bug_conf_sheet!$A:$H,4,FALSE))</f>
        <v>0</v>
      </c>
      <c r="Q128" s="31">
        <f>IFERROR(VLOOKUP($E128,bug_conf_sheet!$A:$H,5,FALSE),VLOOKUP("other",bug_conf_sheet!$A:$H,5,FALSE))</f>
        <v>0</v>
      </c>
      <c r="R128" s="31">
        <f>IFERROR(VLOOKUP($E128,bug_conf_sheet!$A:$H,6,FALSE),VLOOKUP("other",bug_conf_sheet!$A:$H,6,FALSE))</f>
        <v>0</v>
      </c>
      <c r="S128" s="31">
        <f>IFERROR(VLOOKUP($E128,bug_conf_sheet!$A:$H,7,FALSE),VLOOKUP("other",bug_conf_sheet!$A:$H,7,FALSE))</f>
        <v>0</v>
      </c>
      <c r="T128" s="31">
        <f>IFERROR(VLOOKUP($E128,bug_conf_sheet!$A:$H,8,FALSE),VLOOKUP("other",bug_conf_sheet!$A:$H,8,FALSE))</f>
        <v>1</v>
      </c>
    </row>
    <row r="129" spans="1:20" ht="21" customHeight="1">
      <c r="A129" s="2" t="str">
        <f ca="1">input_314100!A$2</f>
        <v>314100</v>
      </c>
      <c r="B129" s="7" t="str">
        <f t="shared" si="4"/>
        <v>Premium3</v>
      </c>
      <c r="C129" s="7" t="str">
        <f t="shared" si="5"/>
        <v>Premium</v>
      </c>
      <c r="D129" s="7" t="str">
        <f t="shared" si="6"/>
        <v>bg</v>
      </c>
      <c r="E129" s="6">
        <v>253</v>
      </c>
      <c r="F129" s="7" t="str">
        <f>VLOOKUP(E129,[1]characters!$A:$C,3,FALSE)</f>
        <v>ベルフェゴール</v>
      </c>
      <c r="G129" s="7" t="str">
        <f>VLOOKUP(E129,[1]characters!$A:$J,10,FALSE)</f>
        <v>PremiumS</v>
      </c>
      <c r="H129" s="7">
        <f>VLOOKUP(E129,[1]characters!$A:$I,9,FALSE)</f>
        <v>3</v>
      </c>
      <c r="I129" s="7" t="str">
        <f>VLOOKUP(E129,[1]characters!$A:$H,8,FALSE)</f>
        <v>green</v>
      </c>
      <c r="J129" s="7" t="str">
        <f>VLOOKUP(E129,[1]characters!$A:$K,11,FALSE)</f>
        <v>technical</v>
      </c>
      <c r="K129" s="7" t="str">
        <f>VLOOKUP(E129,[1]characters!$A:$M,13,FALSE)</f>
        <v>god</v>
      </c>
      <c r="L129" s="7" t="str">
        <f>VLOOKUP(E129,[1]characters!$A:$G,7,FALSE)</f>
        <v>女性</v>
      </c>
      <c r="M129" s="62">
        <f ca="1">IFERROR(VLOOKUP(E129,input_314100!L:R,7,FALSE),VLOOKUP(tables_314100!B129,input_314100!A:H,8,FALSE))</f>
        <v>0</v>
      </c>
      <c r="N129" s="63">
        <f t="shared" ca="1" si="7"/>
        <v>0</v>
      </c>
      <c r="O129" s="31">
        <f>IFERROR(VLOOKUP($E129,bug_conf_sheet!$A:$H,3,FALSE),VLOOKUP("other",bug_conf_sheet!$A:$H,3,FALSE))</f>
        <v>1</v>
      </c>
      <c r="P129" s="31">
        <f>IFERROR(VLOOKUP($E129,bug_conf_sheet!$A:$H,4,FALSE),VLOOKUP("other",bug_conf_sheet!$A:$H,4,FALSE))</f>
        <v>0</v>
      </c>
      <c r="Q129" s="31">
        <f>IFERROR(VLOOKUP($E129,bug_conf_sheet!$A:$H,5,FALSE),VLOOKUP("other",bug_conf_sheet!$A:$H,5,FALSE))</f>
        <v>0</v>
      </c>
      <c r="R129" s="31">
        <f>IFERROR(VLOOKUP($E129,bug_conf_sheet!$A:$H,6,FALSE),VLOOKUP("other",bug_conf_sheet!$A:$H,6,FALSE))</f>
        <v>0</v>
      </c>
      <c r="S129" s="31">
        <f>IFERROR(VLOOKUP($E129,bug_conf_sheet!$A:$H,7,FALSE),VLOOKUP("other",bug_conf_sheet!$A:$H,7,FALSE))</f>
        <v>0</v>
      </c>
      <c r="T129" s="31">
        <f>IFERROR(VLOOKUP($E129,bug_conf_sheet!$A:$H,8,FALSE),VLOOKUP("other",bug_conf_sheet!$A:$H,8,FALSE))</f>
        <v>1</v>
      </c>
    </row>
    <row r="130" spans="1:20" ht="21" customHeight="1">
      <c r="A130" s="2" t="str">
        <f ca="1">input_314100!A$2</f>
        <v>314100</v>
      </c>
      <c r="B130" s="7" t="str">
        <f t="shared" si="4"/>
        <v>Premium4</v>
      </c>
      <c r="C130" s="7" t="str">
        <f t="shared" si="5"/>
        <v>Premium</v>
      </c>
      <c r="D130" s="7" t="str">
        <f t="shared" si="6"/>
        <v>bg</v>
      </c>
      <c r="E130" s="6">
        <v>254</v>
      </c>
      <c r="F130" s="7" t="str">
        <f>VLOOKUP(E130,[1]characters!$A:$C,3,FALSE)</f>
        <v>怠惰 ベルフェゴール</v>
      </c>
      <c r="G130" s="7" t="str">
        <f>VLOOKUP(E130,[1]characters!$A:$J,10,FALSE)</f>
        <v>PremiumS</v>
      </c>
      <c r="H130" s="7">
        <f>VLOOKUP(E130,[1]characters!$A:$I,9,FALSE)</f>
        <v>4</v>
      </c>
      <c r="I130" s="7" t="str">
        <f>VLOOKUP(E130,[1]characters!$A:$H,8,FALSE)</f>
        <v>green</v>
      </c>
      <c r="J130" s="7" t="str">
        <f>VLOOKUP(E130,[1]characters!$A:$K,11,FALSE)</f>
        <v>technical</v>
      </c>
      <c r="K130" s="7" t="str">
        <f>VLOOKUP(E130,[1]characters!$A:$M,13,FALSE)</f>
        <v>god</v>
      </c>
      <c r="L130" s="7" t="str">
        <f>VLOOKUP(E130,[1]characters!$A:$G,7,FALSE)</f>
        <v>女性</v>
      </c>
      <c r="M130" s="62">
        <f ca="1">IFERROR(VLOOKUP(E130,input_314100!L:R,7,FALSE),VLOOKUP(tables_314100!B130,input_314100!A:H,8,FALSE))</f>
        <v>342090</v>
      </c>
      <c r="N130" s="63">
        <f t="shared" ca="1" si="7"/>
        <v>1.222972972972973E-2</v>
      </c>
      <c r="O130" s="31">
        <f>IFERROR(VLOOKUP($E130,bug_conf_sheet!$A:$H,3,FALSE),VLOOKUP("other",bug_conf_sheet!$A:$H,3,FALSE))</f>
        <v>1</v>
      </c>
      <c r="P130" s="31">
        <f>IFERROR(VLOOKUP($E130,bug_conf_sheet!$A:$H,4,FALSE),VLOOKUP("other",bug_conf_sheet!$A:$H,4,FALSE))</f>
        <v>0</v>
      </c>
      <c r="Q130" s="31">
        <f>IFERROR(VLOOKUP($E130,bug_conf_sheet!$A:$H,5,FALSE),VLOOKUP("other",bug_conf_sheet!$A:$H,5,FALSE))</f>
        <v>0</v>
      </c>
      <c r="R130" s="31">
        <f>IFERROR(VLOOKUP($E130,bug_conf_sheet!$A:$H,6,FALSE),VLOOKUP("other",bug_conf_sheet!$A:$H,6,FALSE))</f>
        <v>0</v>
      </c>
      <c r="S130" s="31">
        <f>IFERROR(VLOOKUP($E130,bug_conf_sheet!$A:$H,7,FALSE),VLOOKUP("other",bug_conf_sheet!$A:$H,7,FALSE))</f>
        <v>0</v>
      </c>
      <c r="T130" s="31">
        <f>IFERROR(VLOOKUP($E130,bug_conf_sheet!$A:$H,8,FALSE),VLOOKUP("other",bug_conf_sheet!$A:$H,8,FALSE))</f>
        <v>1</v>
      </c>
    </row>
    <row r="131" spans="1:20" ht="21" customHeight="1">
      <c r="A131" s="2" t="str">
        <f ca="1">input_314100!A$2</f>
        <v>314100</v>
      </c>
      <c r="B131" s="7" t="str">
        <f t="shared" ref="B131:B194" si="8">C131&amp;IF(C131="premium",,D131)&amp;H131</f>
        <v>Premium5</v>
      </c>
      <c r="C131" s="7" t="str">
        <f t="shared" ref="C131:C194" si="9">IF(G131="PremiumSS",G131,IF(G131="PremiumSSS",G131,"Premium"))</f>
        <v>Premium</v>
      </c>
      <c r="D131" s="7" t="str">
        <f t="shared" ref="D131:D194" si="10">IF(I131="red","ry",IF(I131="yellow","ry","bg"))</f>
        <v>bg</v>
      </c>
      <c r="E131" s="6">
        <v>255</v>
      </c>
      <c r="F131" s="7" t="str">
        <f>VLOOKUP(E131,[1]characters!$A:$C,3,FALSE)</f>
        <v>怠惰の頂点 ベルフェゴール</v>
      </c>
      <c r="G131" s="7" t="str">
        <f>VLOOKUP(E131,[1]characters!$A:$J,10,FALSE)</f>
        <v>PremiumS</v>
      </c>
      <c r="H131" s="7">
        <f>VLOOKUP(E131,[1]characters!$A:$I,9,FALSE)</f>
        <v>5</v>
      </c>
      <c r="I131" s="7" t="str">
        <f>VLOOKUP(E131,[1]characters!$A:$H,8,FALSE)</f>
        <v>green</v>
      </c>
      <c r="J131" s="7" t="str">
        <f>VLOOKUP(E131,[1]characters!$A:$K,11,FALSE)</f>
        <v>technical</v>
      </c>
      <c r="K131" s="7" t="str">
        <f>VLOOKUP(E131,[1]characters!$A:$M,13,FALSE)</f>
        <v>god</v>
      </c>
      <c r="L131" s="7" t="str">
        <f>VLOOKUP(E131,[1]characters!$A:$G,7,FALSE)</f>
        <v>女性</v>
      </c>
      <c r="M131" s="62">
        <f ca="1">IFERROR(VLOOKUP(E131,input_314100!L:R,7,FALSE),VLOOKUP(tables_314100!B131,input_314100!A:H,8,FALSE))</f>
        <v>12950</v>
      </c>
      <c r="N131" s="63">
        <f t="shared" ref="N131:N194" ca="1" si="11">M131/SUM(M:M)</f>
        <v>4.6296296296296298E-4</v>
      </c>
      <c r="O131" s="31">
        <f>IFERROR(VLOOKUP($E131,bug_conf_sheet!$A:$H,3,FALSE),VLOOKUP("other",bug_conf_sheet!$A:$H,3,FALSE))</f>
        <v>1</v>
      </c>
      <c r="P131" s="31">
        <f>IFERROR(VLOOKUP($E131,bug_conf_sheet!$A:$H,4,FALSE),VLOOKUP("other",bug_conf_sheet!$A:$H,4,FALSE))</f>
        <v>0</v>
      </c>
      <c r="Q131" s="31">
        <f>IFERROR(VLOOKUP($E131,bug_conf_sheet!$A:$H,5,FALSE),VLOOKUP("other",bug_conf_sheet!$A:$H,5,FALSE))</f>
        <v>0</v>
      </c>
      <c r="R131" s="31">
        <f>IFERROR(VLOOKUP($E131,bug_conf_sheet!$A:$H,6,FALSE),VLOOKUP("other",bug_conf_sheet!$A:$H,6,FALSE))</f>
        <v>0</v>
      </c>
      <c r="S131" s="31">
        <f>IFERROR(VLOOKUP($E131,bug_conf_sheet!$A:$H,7,FALSE),VLOOKUP("other",bug_conf_sheet!$A:$H,7,FALSE))</f>
        <v>0</v>
      </c>
      <c r="T131" s="31">
        <f>IFERROR(VLOOKUP($E131,bug_conf_sheet!$A:$H,8,FALSE),VLOOKUP("other",bug_conf_sheet!$A:$H,8,FALSE))</f>
        <v>1</v>
      </c>
    </row>
    <row r="132" spans="1:20" ht="21" customHeight="1">
      <c r="A132" s="2" t="str">
        <f ca="1">input_314100!A$2</f>
        <v>314100</v>
      </c>
      <c r="B132" s="7" t="str">
        <f t="shared" si="8"/>
        <v>Premium3</v>
      </c>
      <c r="C132" s="7" t="str">
        <f t="shared" si="9"/>
        <v>Premium</v>
      </c>
      <c r="D132" s="7" t="str">
        <f t="shared" si="10"/>
        <v>bg</v>
      </c>
      <c r="E132" s="6">
        <v>256</v>
      </c>
      <c r="F132" s="7" t="str">
        <f>VLOOKUP(E132,[1]characters!$A:$C,3,FALSE)</f>
        <v>アスモデウス</v>
      </c>
      <c r="G132" s="7" t="str">
        <f>VLOOKUP(E132,[1]characters!$A:$J,10,FALSE)</f>
        <v>PremiumS</v>
      </c>
      <c r="H132" s="7">
        <f>VLOOKUP(E132,[1]characters!$A:$I,9,FALSE)</f>
        <v>3</v>
      </c>
      <c r="I132" s="7" t="str">
        <f>VLOOKUP(E132,[1]characters!$A:$H,8,FALSE)</f>
        <v>blue</v>
      </c>
      <c r="J132" s="7" t="str">
        <f>VLOOKUP(E132,[1]characters!$A:$K,11,FALSE)</f>
        <v>attack</v>
      </c>
      <c r="K132" s="7" t="str">
        <f>VLOOKUP(E132,[1]characters!$A:$M,13,FALSE)</f>
        <v>god</v>
      </c>
      <c r="L132" s="7" t="str">
        <f>VLOOKUP(E132,[1]characters!$A:$G,7,FALSE)</f>
        <v>女性</v>
      </c>
      <c r="M132" s="62">
        <f ca="1">IFERROR(VLOOKUP(E132,input_314100!L:R,7,FALSE),VLOOKUP(tables_314100!B132,input_314100!A:H,8,FALSE))</f>
        <v>0</v>
      </c>
      <c r="N132" s="63">
        <f t="shared" ca="1" si="11"/>
        <v>0</v>
      </c>
      <c r="O132" s="31">
        <f>IFERROR(VLOOKUP($E132,bug_conf_sheet!$A:$H,3,FALSE),VLOOKUP("other",bug_conf_sheet!$A:$H,3,FALSE))</f>
        <v>1</v>
      </c>
      <c r="P132" s="31">
        <f>IFERROR(VLOOKUP($E132,bug_conf_sheet!$A:$H,4,FALSE),VLOOKUP("other",bug_conf_sheet!$A:$H,4,FALSE))</f>
        <v>0</v>
      </c>
      <c r="Q132" s="31">
        <f>IFERROR(VLOOKUP($E132,bug_conf_sheet!$A:$H,5,FALSE),VLOOKUP("other",bug_conf_sheet!$A:$H,5,FALSE))</f>
        <v>0</v>
      </c>
      <c r="R132" s="31">
        <f>IFERROR(VLOOKUP($E132,bug_conf_sheet!$A:$H,6,FALSE),VLOOKUP("other",bug_conf_sheet!$A:$H,6,FALSE))</f>
        <v>0</v>
      </c>
      <c r="S132" s="31">
        <f>IFERROR(VLOOKUP($E132,bug_conf_sheet!$A:$H,7,FALSE),VLOOKUP("other",bug_conf_sheet!$A:$H,7,FALSE))</f>
        <v>0</v>
      </c>
      <c r="T132" s="31">
        <f>IFERROR(VLOOKUP($E132,bug_conf_sheet!$A:$H,8,FALSE),VLOOKUP("other",bug_conf_sheet!$A:$H,8,FALSE))</f>
        <v>1</v>
      </c>
    </row>
    <row r="133" spans="1:20" ht="21" customHeight="1">
      <c r="A133" s="2" t="str">
        <f ca="1">input_314100!A$2</f>
        <v>314100</v>
      </c>
      <c r="B133" s="7" t="str">
        <f t="shared" si="8"/>
        <v>Premium4</v>
      </c>
      <c r="C133" s="7" t="str">
        <f t="shared" si="9"/>
        <v>Premium</v>
      </c>
      <c r="D133" s="7" t="str">
        <f t="shared" si="10"/>
        <v>bg</v>
      </c>
      <c r="E133" s="6">
        <v>257</v>
      </c>
      <c r="F133" s="7" t="str">
        <f>VLOOKUP(E133,[1]characters!$A:$C,3,FALSE)</f>
        <v>色欲 アスモデウス</v>
      </c>
      <c r="G133" s="7" t="str">
        <f>VLOOKUP(E133,[1]characters!$A:$J,10,FALSE)</f>
        <v>PremiumS</v>
      </c>
      <c r="H133" s="7">
        <f>VLOOKUP(E133,[1]characters!$A:$I,9,FALSE)</f>
        <v>4</v>
      </c>
      <c r="I133" s="7" t="str">
        <f>VLOOKUP(E133,[1]characters!$A:$H,8,FALSE)</f>
        <v>blue</v>
      </c>
      <c r="J133" s="7" t="str">
        <f>VLOOKUP(E133,[1]characters!$A:$K,11,FALSE)</f>
        <v>attack</v>
      </c>
      <c r="K133" s="7" t="str">
        <f>VLOOKUP(E133,[1]characters!$A:$M,13,FALSE)</f>
        <v>god</v>
      </c>
      <c r="L133" s="7" t="str">
        <f>VLOOKUP(E133,[1]characters!$A:$G,7,FALSE)</f>
        <v>女性</v>
      </c>
      <c r="M133" s="62">
        <f ca="1">IFERROR(VLOOKUP(E133,input_314100!L:R,7,FALSE),VLOOKUP(tables_314100!B133,input_314100!A:H,8,FALSE))</f>
        <v>342090</v>
      </c>
      <c r="N133" s="63">
        <f t="shared" ca="1" si="11"/>
        <v>1.222972972972973E-2</v>
      </c>
      <c r="O133" s="31">
        <f>IFERROR(VLOOKUP($E133,bug_conf_sheet!$A:$H,3,FALSE),VLOOKUP("other",bug_conf_sheet!$A:$H,3,FALSE))</f>
        <v>1</v>
      </c>
      <c r="P133" s="31">
        <f>IFERROR(VLOOKUP($E133,bug_conf_sheet!$A:$H,4,FALSE),VLOOKUP("other",bug_conf_sheet!$A:$H,4,FALSE))</f>
        <v>0</v>
      </c>
      <c r="Q133" s="31">
        <f>IFERROR(VLOOKUP($E133,bug_conf_sheet!$A:$H,5,FALSE),VLOOKUP("other",bug_conf_sheet!$A:$H,5,FALSE))</f>
        <v>0</v>
      </c>
      <c r="R133" s="31">
        <f>IFERROR(VLOOKUP($E133,bug_conf_sheet!$A:$H,6,FALSE),VLOOKUP("other",bug_conf_sheet!$A:$H,6,FALSE))</f>
        <v>0</v>
      </c>
      <c r="S133" s="31">
        <f>IFERROR(VLOOKUP($E133,bug_conf_sheet!$A:$H,7,FALSE),VLOOKUP("other",bug_conf_sheet!$A:$H,7,FALSE))</f>
        <v>0</v>
      </c>
      <c r="T133" s="31">
        <f>IFERROR(VLOOKUP($E133,bug_conf_sheet!$A:$H,8,FALSE),VLOOKUP("other",bug_conf_sheet!$A:$H,8,FALSE))</f>
        <v>1</v>
      </c>
    </row>
    <row r="134" spans="1:20" ht="21" customHeight="1">
      <c r="A134" s="2" t="str">
        <f ca="1">input_314100!A$2</f>
        <v>314100</v>
      </c>
      <c r="B134" s="7" t="str">
        <f t="shared" si="8"/>
        <v>Premium5</v>
      </c>
      <c r="C134" s="7" t="str">
        <f t="shared" si="9"/>
        <v>Premium</v>
      </c>
      <c r="D134" s="7" t="str">
        <f t="shared" si="10"/>
        <v>bg</v>
      </c>
      <c r="E134" s="6">
        <v>258</v>
      </c>
      <c r="F134" s="7" t="str">
        <f>VLOOKUP(E134,[1]characters!$A:$C,3,FALSE)</f>
        <v>色欲の源流 アスモデウス</v>
      </c>
      <c r="G134" s="7" t="str">
        <f>VLOOKUP(E134,[1]characters!$A:$J,10,FALSE)</f>
        <v>PremiumS</v>
      </c>
      <c r="H134" s="7">
        <f>VLOOKUP(E134,[1]characters!$A:$I,9,FALSE)</f>
        <v>5</v>
      </c>
      <c r="I134" s="7" t="str">
        <f>VLOOKUP(E134,[1]characters!$A:$H,8,FALSE)</f>
        <v>blue</v>
      </c>
      <c r="J134" s="7" t="str">
        <f>VLOOKUP(E134,[1]characters!$A:$K,11,FALSE)</f>
        <v>attack</v>
      </c>
      <c r="K134" s="7" t="str">
        <f>VLOOKUP(E134,[1]characters!$A:$M,13,FALSE)</f>
        <v>god</v>
      </c>
      <c r="L134" s="7" t="str">
        <f>VLOOKUP(E134,[1]characters!$A:$G,7,FALSE)</f>
        <v>女性</v>
      </c>
      <c r="M134" s="62">
        <f ca="1">IFERROR(VLOOKUP(E134,input_314100!L:R,7,FALSE),VLOOKUP(tables_314100!B134,input_314100!A:H,8,FALSE))</f>
        <v>12950</v>
      </c>
      <c r="N134" s="63">
        <f t="shared" ca="1" si="11"/>
        <v>4.6296296296296298E-4</v>
      </c>
      <c r="O134" s="31">
        <f>IFERROR(VLOOKUP($E134,bug_conf_sheet!$A:$H,3,FALSE),VLOOKUP("other",bug_conf_sheet!$A:$H,3,FALSE))</f>
        <v>1</v>
      </c>
      <c r="P134" s="31">
        <f>IFERROR(VLOOKUP($E134,bug_conf_sheet!$A:$H,4,FALSE),VLOOKUP("other",bug_conf_sheet!$A:$H,4,FALSE))</f>
        <v>0</v>
      </c>
      <c r="Q134" s="31">
        <f>IFERROR(VLOOKUP($E134,bug_conf_sheet!$A:$H,5,FALSE),VLOOKUP("other",bug_conf_sheet!$A:$H,5,FALSE))</f>
        <v>0</v>
      </c>
      <c r="R134" s="31">
        <f>IFERROR(VLOOKUP($E134,bug_conf_sheet!$A:$H,6,FALSE),VLOOKUP("other",bug_conf_sheet!$A:$H,6,FALSE))</f>
        <v>0</v>
      </c>
      <c r="S134" s="31">
        <f>IFERROR(VLOOKUP($E134,bug_conf_sheet!$A:$H,7,FALSE),VLOOKUP("other",bug_conf_sheet!$A:$H,7,FALSE))</f>
        <v>0</v>
      </c>
      <c r="T134" s="31">
        <f>IFERROR(VLOOKUP($E134,bug_conf_sheet!$A:$H,8,FALSE),VLOOKUP("other",bug_conf_sheet!$A:$H,8,FALSE))</f>
        <v>1</v>
      </c>
    </row>
    <row r="135" spans="1:20" ht="21" customHeight="1">
      <c r="A135" s="2" t="str">
        <f ca="1">input_314100!A$2</f>
        <v>314100</v>
      </c>
      <c r="B135" s="7" t="str">
        <f t="shared" si="8"/>
        <v>Premium3</v>
      </c>
      <c r="C135" s="7" t="str">
        <f t="shared" si="9"/>
        <v>Premium</v>
      </c>
      <c r="D135" s="7" t="str">
        <f t="shared" si="10"/>
        <v>ry</v>
      </c>
      <c r="E135" s="6">
        <v>259</v>
      </c>
      <c r="F135" s="7" t="str">
        <f>VLOOKUP(E135,[1]characters!$A:$C,3,FALSE)</f>
        <v>ウロボロス</v>
      </c>
      <c r="G135" s="7" t="str">
        <f>VLOOKUP(E135,[1]characters!$A:$J,10,FALSE)</f>
        <v>PremiumS</v>
      </c>
      <c r="H135" s="7">
        <f>VLOOKUP(E135,[1]characters!$A:$I,9,FALSE)</f>
        <v>3</v>
      </c>
      <c r="I135" s="7" t="str">
        <f>VLOOKUP(E135,[1]characters!$A:$H,8,FALSE)</f>
        <v>yellow</v>
      </c>
      <c r="J135" s="7" t="str">
        <f>VLOOKUP(E135,[1]characters!$A:$K,11,FALSE)</f>
        <v>balance</v>
      </c>
      <c r="K135" s="7" t="str">
        <f>VLOOKUP(E135,[1]characters!$A:$M,13,FALSE)</f>
        <v>dragon</v>
      </c>
      <c r="L135" s="7" t="str">
        <f>VLOOKUP(E135,[1]characters!$A:$G,7,FALSE)</f>
        <v>女性</v>
      </c>
      <c r="M135" s="62">
        <f ca="1">IFERROR(VLOOKUP(E135,input_314100!L:R,7,FALSE),VLOOKUP(tables_314100!B135,input_314100!A:H,8,FALSE))</f>
        <v>0</v>
      </c>
      <c r="N135" s="63">
        <f t="shared" ca="1" si="11"/>
        <v>0</v>
      </c>
      <c r="O135" s="31">
        <f>IFERROR(VLOOKUP($E135,bug_conf_sheet!$A:$H,3,FALSE),VLOOKUP("other",bug_conf_sheet!$A:$H,3,FALSE))</f>
        <v>1</v>
      </c>
      <c r="P135" s="31">
        <f>IFERROR(VLOOKUP($E135,bug_conf_sheet!$A:$H,4,FALSE),VLOOKUP("other",bug_conf_sheet!$A:$H,4,FALSE))</f>
        <v>0</v>
      </c>
      <c r="Q135" s="31">
        <f>IFERROR(VLOOKUP($E135,bug_conf_sheet!$A:$H,5,FALSE),VLOOKUP("other",bug_conf_sheet!$A:$H,5,FALSE))</f>
        <v>0</v>
      </c>
      <c r="R135" s="31">
        <f>IFERROR(VLOOKUP($E135,bug_conf_sheet!$A:$H,6,FALSE),VLOOKUP("other",bug_conf_sheet!$A:$H,6,FALSE))</f>
        <v>0</v>
      </c>
      <c r="S135" s="31">
        <f>IFERROR(VLOOKUP($E135,bug_conf_sheet!$A:$H,7,FALSE),VLOOKUP("other",bug_conf_sheet!$A:$H,7,FALSE))</f>
        <v>0</v>
      </c>
      <c r="T135" s="31">
        <f>IFERROR(VLOOKUP($E135,bug_conf_sheet!$A:$H,8,FALSE),VLOOKUP("other",bug_conf_sheet!$A:$H,8,FALSE))</f>
        <v>1</v>
      </c>
    </row>
    <row r="136" spans="1:20" ht="21" customHeight="1">
      <c r="A136" s="2" t="str">
        <f ca="1">input_314100!A$2</f>
        <v>314100</v>
      </c>
      <c r="B136" s="7" t="str">
        <f t="shared" si="8"/>
        <v>Premium4</v>
      </c>
      <c r="C136" s="7" t="str">
        <f t="shared" si="9"/>
        <v>Premium</v>
      </c>
      <c r="D136" s="7" t="str">
        <f t="shared" si="10"/>
        <v>ry</v>
      </c>
      <c r="E136" s="8">
        <v>260</v>
      </c>
      <c r="F136" s="7" t="str">
        <f>VLOOKUP(E136,[1]characters!$A:$C,3,FALSE)</f>
        <v>輪廻 ウロボロス</v>
      </c>
      <c r="G136" s="7" t="str">
        <f>VLOOKUP(E136,[1]characters!$A:$J,10,FALSE)</f>
        <v>PremiumS</v>
      </c>
      <c r="H136" s="7">
        <f>VLOOKUP(E136,[1]characters!$A:$I,9,FALSE)</f>
        <v>4</v>
      </c>
      <c r="I136" s="7" t="str">
        <f>VLOOKUP(E136,[1]characters!$A:$H,8,FALSE)</f>
        <v>yellow</v>
      </c>
      <c r="J136" s="7" t="str">
        <f>VLOOKUP(E136,[1]characters!$A:$K,11,FALSE)</f>
        <v>balance</v>
      </c>
      <c r="K136" s="7" t="str">
        <f>VLOOKUP(E136,[1]characters!$A:$M,13,FALSE)</f>
        <v>dragon</v>
      </c>
      <c r="L136" s="7" t="str">
        <f>VLOOKUP(E136,[1]characters!$A:$G,7,FALSE)</f>
        <v>女性</v>
      </c>
      <c r="M136" s="62">
        <f ca="1">IFERROR(VLOOKUP(E136,input_314100!L:R,7,FALSE),VLOOKUP(tables_314100!B136,input_314100!A:H,8,FALSE))</f>
        <v>342090</v>
      </c>
      <c r="N136" s="63">
        <f t="shared" ca="1" si="11"/>
        <v>1.222972972972973E-2</v>
      </c>
      <c r="O136" s="31">
        <f>IFERROR(VLOOKUP($E136,bug_conf_sheet!$A:$H,3,FALSE),VLOOKUP("other",bug_conf_sheet!$A:$H,3,FALSE))</f>
        <v>1</v>
      </c>
      <c r="P136" s="31">
        <f>IFERROR(VLOOKUP($E136,bug_conf_sheet!$A:$H,4,FALSE),VLOOKUP("other",bug_conf_sheet!$A:$H,4,FALSE))</f>
        <v>0</v>
      </c>
      <c r="Q136" s="31">
        <f>IFERROR(VLOOKUP($E136,bug_conf_sheet!$A:$H,5,FALSE),VLOOKUP("other",bug_conf_sheet!$A:$H,5,FALSE))</f>
        <v>0</v>
      </c>
      <c r="R136" s="31">
        <f>IFERROR(VLOOKUP($E136,bug_conf_sheet!$A:$H,6,FALSE),VLOOKUP("other",bug_conf_sheet!$A:$H,6,FALSE))</f>
        <v>0</v>
      </c>
      <c r="S136" s="31">
        <f>IFERROR(VLOOKUP($E136,bug_conf_sheet!$A:$H,7,FALSE),VLOOKUP("other",bug_conf_sheet!$A:$H,7,FALSE))</f>
        <v>0</v>
      </c>
      <c r="T136" s="31">
        <f>IFERROR(VLOOKUP($E136,bug_conf_sheet!$A:$H,8,FALSE),VLOOKUP("other",bug_conf_sheet!$A:$H,8,FALSE))</f>
        <v>1</v>
      </c>
    </row>
    <row r="137" spans="1:20" ht="21" customHeight="1">
      <c r="A137" s="2" t="str">
        <f ca="1">input_314100!A$2</f>
        <v>314100</v>
      </c>
      <c r="B137" s="7" t="str">
        <f t="shared" si="8"/>
        <v>Premium5</v>
      </c>
      <c r="C137" s="7" t="str">
        <f t="shared" si="9"/>
        <v>Premium</v>
      </c>
      <c r="D137" s="7" t="str">
        <f t="shared" si="10"/>
        <v>ry</v>
      </c>
      <c r="E137" s="8">
        <v>261</v>
      </c>
      <c r="F137" s="7" t="str">
        <f>VLOOKUP(E137,[1]characters!$A:$C,3,FALSE)</f>
        <v>輪廻の蛇龍 ウロボロス</v>
      </c>
      <c r="G137" s="7" t="str">
        <f>VLOOKUP(E137,[1]characters!$A:$J,10,FALSE)</f>
        <v>PremiumS</v>
      </c>
      <c r="H137" s="7">
        <f>VLOOKUP(E137,[1]characters!$A:$I,9,FALSE)</f>
        <v>5</v>
      </c>
      <c r="I137" s="7" t="str">
        <f>VLOOKUP(E137,[1]characters!$A:$H,8,FALSE)</f>
        <v>yellow</v>
      </c>
      <c r="J137" s="7" t="str">
        <f>VLOOKUP(E137,[1]characters!$A:$K,11,FALSE)</f>
        <v>balance</v>
      </c>
      <c r="K137" s="7" t="str">
        <f>VLOOKUP(E137,[1]characters!$A:$M,13,FALSE)</f>
        <v>dragon</v>
      </c>
      <c r="L137" s="7" t="str">
        <f>VLOOKUP(E137,[1]characters!$A:$G,7,FALSE)</f>
        <v>女性</v>
      </c>
      <c r="M137" s="62">
        <f ca="1">IFERROR(VLOOKUP(E137,input_314100!L:R,7,FALSE),VLOOKUP(tables_314100!B137,input_314100!A:H,8,FALSE))</f>
        <v>12950</v>
      </c>
      <c r="N137" s="63">
        <f t="shared" ca="1" si="11"/>
        <v>4.6296296296296298E-4</v>
      </c>
      <c r="O137" s="31">
        <f>IFERROR(VLOOKUP($E137,bug_conf_sheet!$A:$H,3,FALSE),VLOOKUP("other",bug_conf_sheet!$A:$H,3,FALSE))</f>
        <v>1</v>
      </c>
      <c r="P137" s="31">
        <f>IFERROR(VLOOKUP($E137,bug_conf_sheet!$A:$H,4,FALSE),VLOOKUP("other",bug_conf_sheet!$A:$H,4,FALSE))</f>
        <v>0</v>
      </c>
      <c r="Q137" s="31">
        <f>IFERROR(VLOOKUP($E137,bug_conf_sheet!$A:$H,5,FALSE),VLOOKUP("other",bug_conf_sheet!$A:$H,5,FALSE))</f>
        <v>0</v>
      </c>
      <c r="R137" s="31">
        <f>IFERROR(VLOOKUP($E137,bug_conf_sheet!$A:$H,6,FALSE),VLOOKUP("other",bug_conf_sheet!$A:$H,6,FALSE))</f>
        <v>0</v>
      </c>
      <c r="S137" s="31">
        <f>IFERROR(VLOOKUP($E137,bug_conf_sheet!$A:$H,7,FALSE),VLOOKUP("other",bug_conf_sheet!$A:$H,7,FALSE))</f>
        <v>0</v>
      </c>
      <c r="T137" s="31">
        <f>IFERROR(VLOOKUP($E137,bug_conf_sheet!$A:$H,8,FALSE),VLOOKUP("other",bug_conf_sheet!$A:$H,8,FALSE))</f>
        <v>1</v>
      </c>
    </row>
    <row r="138" spans="1:20" ht="21" customHeight="1">
      <c r="A138" s="2" t="str">
        <f ca="1">input_314100!A$2</f>
        <v>314100</v>
      </c>
      <c r="B138" s="7" t="str">
        <f t="shared" si="8"/>
        <v>PremiumSSry4</v>
      </c>
      <c r="C138" s="7" t="str">
        <f t="shared" si="9"/>
        <v>PremiumSS</v>
      </c>
      <c r="D138" s="7" t="str">
        <f t="shared" si="10"/>
        <v>ry</v>
      </c>
      <c r="E138" s="6">
        <v>320</v>
      </c>
      <c r="F138" s="7" t="str">
        <f>VLOOKUP(E138,[1]characters!$A:$C,3,FALSE)</f>
        <v>烈志士 近藤勇</v>
      </c>
      <c r="G138" s="7" t="str">
        <f>VLOOKUP(E138,[1]characters!$A:$J,10,FALSE)</f>
        <v>PremiumSS</v>
      </c>
      <c r="H138" s="7">
        <f>VLOOKUP(E138,[1]characters!$A:$I,9,FALSE)</f>
        <v>4</v>
      </c>
      <c r="I138" s="7" t="str">
        <f>VLOOKUP(E138,[1]characters!$A:$H,8,FALSE)</f>
        <v>red</v>
      </c>
      <c r="J138" s="7" t="str">
        <f>VLOOKUP(E138,[1]characters!$A:$K,11,FALSE)</f>
        <v>hp</v>
      </c>
      <c r="K138" s="7" t="str">
        <f>VLOOKUP(E138,[1]characters!$A:$M,13,FALSE)</f>
        <v>human</v>
      </c>
      <c r="L138" s="7" t="str">
        <f>VLOOKUP(E138,[1]characters!$A:$G,7,FALSE)</f>
        <v>男性</v>
      </c>
      <c r="M138" s="62">
        <f ca="1">IFERROR(VLOOKUP(E138,input_314100!L:R,7,FALSE),VLOOKUP(tables_314100!B138,input_314100!A:H,8,FALSE))</f>
        <v>35964</v>
      </c>
      <c r="N138" s="63">
        <f t="shared" ca="1" si="11"/>
        <v>1.2857142857142856E-3</v>
      </c>
      <c r="O138" s="31">
        <f>IFERROR(VLOOKUP($E138,bug_conf_sheet!$A:$H,3,FALSE),VLOOKUP("other",bug_conf_sheet!$A:$H,3,FALSE))</f>
        <v>1</v>
      </c>
      <c r="P138" s="31">
        <f>IFERROR(VLOOKUP($E138,bug_conf_sheet!$A:$H,4,FALSE),VLOOKUP("other",bug_conf_sheet!$A:$H,4,FALSE))</f>
        <v>0</v>
      </c>
      <c r="Q138" s="31">
        <f>IFERROR(VLOOKUP($E138,bug_conf_sheet!$A:$H,5,FALSE),VLOOKUP("other",bug_conf_sheet!$A:$H,5,FALSE))</f>
        <v>0</v>
      </c>
      <c r="R138" s="31">
        <f>IFERROR(VLOOKUP($E138,bug_conf_sheet!$A:$H,6,FALSE),VLOOKUP("other",bug_conf_sheet!$A:$H,6,FALSE))</f>
        <v>0</v>
      </c>
      <c r="S138" s="31">
        <f>IFERROR(VLOOKUP($E138,bug_conf_sheet!$A:$H,7,FALSE),VLOOKUP("other",bug_conf_sheet!$A:$H,7,FALSE))</f>
        <v>0</v>
      </c>
      <c r="T138" s="31">
        <f>IFERROR(VLOOKUP($E138,bug_conf_sheet!$A:$H,8,FALSE),VLOOKUP("other",bug_conf_sheet!$A:$H,8,FALSE))</f>
        <v>1</v>
      </c>
    </row>
    <row r="139" spans="1:20" ht="21" customHeight="1">
      <c r="A139" s="2" t="str">
        <f ca="1">input_314100!A$2</f>
        <v>314100</v>
      </c>
      <c r="B139" s="7" t="str">
        <f t="shared" si="8"/>
        <v>PremiumSSry5</v>
      </c>
      <c r="C139" s="7" t="str">
        <f t="shared" si="9"/>
        <v>PremiumSS</v>
      </c>
      <c r="D139" s="7" t="str">
        <f t="shared" si="10"/>
        <v>ry</v>
      </c>
      <c r="E139" s="6">
        <v>321</v>
      </c>
      <c r="F139" s="7" t="str">
        <f>VLOOKUP(E139,[1]characters!$A:$C,3,FALSE)</f>
        <v>巌鉄の烈志士 近藤勇</v>
      </c>
      <c r="G139" s="7" t="str">
        <f>VLOOKUP(E139,[1]characters!$A:$J,10,FALSE)</f>
        <v>PremiumSS</v>
      </c>
      <c r="H139" s="7">
        <f>VLOOKUP(E139,[1]characters!$A:$I,9,FALSE)</f>
        <v>5</v>
      </c>
      <c r="I139" s="7" t="str">
        <f>VLOOKUP(E139,[1]characters!$A:$H,8,FALSE)</f>
        <v>red</v>
      </c>
      <c r="J139" s="7" t="str">
        <f>VLOOKUP(E139,[1]characters!$A:$K,11,FALSE)</f>
        <v>hp</v>
      </c>
      <c r="K139" s="7" t="str">
        <f>VLOOKUP(E139,[1]characters!$A:$M,13,FALSE)</f>
        <v>human</v>
      </c>
      <c r="L139" s="7" t="str">
        <f>VLOOKUP(E139,[1]characters!$A:$G,7,FALSE)</f>
        <v>男性</v>
      </c>
      <c r="M139" s="62">
        <f ca="1">IFERROR(VLOOKUP(E139,input_314100!L:R,7,FALSE),VLOOKUP(tables_314100!B139,input_314100!A:H,8,FALSE))</f>
        <v>3996</v>
      </c>
      <c r="N139" s="63">
        <f t="shared" ca="1" si="11"/>
        <v>1.4285714285714287E-4</v>
      </c>
      <c r="O139" s="31">
        <f>IFERROR(VLOOKUP($E139,bug_conf_sheet!$A:$H,3,FALSE),VLOOKUP("other",bug_conf_sheet!$A:$H,3,FALSE))</f>
        <v>1</v>
      </c>
      <c r="P139" s="31">
        <f>IFERROR(VLOOKUP($E139,bug_conf_sheet!$A:$H,4,FALSE),VLOOKUP("other",bug_conf_sheet!$A:$H,4,FALSE))</f>
        <v>0</v>
      </c>
      <c r="Q139" s="31">
        <f>IFERROR(VLOOKUP($E139,bug_conf_sheet!$A:$H,5,FALSE),VLOOKUP("other",bug_conf_sheet!$A:$H,5,FALSE))</f>
        <v>0</v>
      </c>
      <c r="R139" s="31">
        <f>IFERROR(VLOOKUP($E139,bug_conf_sheet!$A:$H,6,FALSE),VLOOKUP("other",bug_conf_sheet!$A:$H,6,FALSE))</f>
        <v>0</v>
      </c>
      <c r="S139" s="31">
        <f>IFERROR(VLOOKUP($E139,bug_conf_sheet!$A:$H,7,FALSE),VLOOKUP("other",bug_conf_sheet!$A:$H,7,FALSE))</f>
        <v>0</v>
      </c>
      <c r="T139" s="31">
        <f>IFERROR(VLOOKUP($E139,bug_conf_sheet!$A:$H,8,FALSE),VLOOKUP("other",bug_conf_sheet!$A:$H,8,FALSE))</f>
        <v>1</v>
      </c>
    </row>
    <row r="140" spans="1:20" ht="21" customHeight="1">
      <c r="A140" s="2" t="str">
        <f ca="1">input_314100!A$2</f>
        <v>314100</v>
      </c>
      <c r="B140" s="7" t="str">
        <f t="shared" si="8"/>
        <v>PremiumSSbg4</v>
      </c>
      <c r="C140" s="7" t="str">
        <f t="shared" si="9"/>
        <v>PremiumSS</v>
      </c>
      <c r="D140" s="7" t="str">
        <f t="shared" si="10"/>
        <v>bg</v>
      </c>
      <c r="E140" s="6">
        <v>322</v>
      </c>
      <c r="F140" s="7" t="str">
        <f>VLOOKUP(E140,[1]characters!$A:$C,3,FALSE)</f>
        <v>愛志士 土方歳三</v>
      </c>
      <c r="G140" s="7" t="str">
        <f>VLOOKUP(E140,[1]characters!$A:$J,10,FALSE)</f>
        <v>PremiumSS</v>
      </c>
      <c r="H140" s="7">
        <f>VLOOKUP(E140,[1]characters!$A:$I,9,FALSE)</f>
        <v>4</v>
      </c>
      <c r="I140" s="7" t="str">
        <f>VLOOKUP(E140,[1]characters!$A:$H,8,FALSE)</f>
        <v>green</v>
      </c>
      <c r="J140" s="7" t="str">
        <f>VLOOKUP(E140,[1]characters!$A:$K,11,FALSE)</f>
        <v>attack</v>
      </c>
      <c r="K140" s="7" t="str">
        <f>VLOOKUP(E140,[1]characters!$A:$M,13,FALSE)</f>
        <v>human</v>
      </c>
      <c r="L140" s="7" t="str">
        <f>VLOOKUP(E140,[1]characters!$A:$G,7,FALSE)</f>
        <v>女性</v>
      </c>
      <c r="M140" s="62">
        <f ca="1">IFERROR(VLOOKUP(E140,input_314100!L:R,7,FALSE),VLOOKUP(tables_314100!B140,input_314100!A:H,8,FALSE))</f>
        <v>62937</v>
      </c>
      <c r="N140" s="63">
        <f t="shared" ca="1" si="11"/>
        <v>2.2499999999999998E-3</v>
      </c>
      <c r="O140" s="31">
        <f>IFERROR(VLOOKUP($E140,bug_conf_sheet!$A:$H,3,FALSE),VLOOKUP("other",bug_conf_sheet!$A:$H,3,FALSE))</f>
        <v>1</v>
      </c>
      <c r="P140" s="31">
        <f>IFERROR(VLOOKUP($E140,bug_conf_sheet!$A:$H,4,FALSE),VLOOKUP("other",bug_conf_sheet!$A:$H,4,FALSE))</f>
        <v>0</v>
      </c>
      <c r="Q140" s="31">
        <f>IFERROR(VLOOKUP($E140,bug_conf_sheet!$A:$H,5,FALSE),VLOOKUP("other",bug_conf_sheet!$A:$H,5,FALSE))</f>
        <v>0</v>
      </c>
      <c r="R140" s="31">
        <f>IFERROR(VLOOKUP($E140,bug_conf_sheet!$A:$H,6,FALSE),VLOOKUP("other",bug_conf_sheet!$A:$H,6,FALSE))</f>
        <v>0</v>
      </c>
      <c r="S140" s="31">
        <f>IFERROR(VLOOKUP($E140,bug_conf_sheet!$A:$H,7,FALSE),VLOOKUP("other",bug_conf_sheet!$A:$H,7,FALSE))</f>
        <v>0</v>
      </c>
      <c r="T140" s="31">
        <f>IFERROR(VLOOKUP($E140,bug_conf_sheet!$A:$H,8,FALSE),VLOOKUP("other",bug_conf_sheet!$A:$H,8,FALSE))</f>
        <v>1</v>
      </c>
    </row>
    <row r="141" spans="1:20" ht="21" customHeight="1">
      <c r="A141" s="2" t="str">
        <f ca="1">input_314100!A$2</f>
        <v>314100</v>
      </c>
      <c r="B141" s="7" t="str">
        <f t="shared" si="8"/>
        <v>PremiumSSbg5</v>
      </c>
      <c r="C141" s="7" t="str">
        <f t="shared" si="9"/>
        <v>PremiumSS</v>
      </c>
      <c r="D141" s="7" t="str">
        <f t="shared" si="10"/>
        <v>bg</v>
      </c>
      <c r="E141" s="6">
        <v>323</v>
      </c>
      <c r="F141" s="7" t="str">
        <f>VLOOKUP(E141,[1]characters!$A:$C,3,FALSE)</f>
        <v>流麗の愛志士 土方歳三</v>
      </c>
      <c r="G141" s="7" t="str">
        <f>VLOOKUP(E141,[1]characters!$A:$J,10,FALSE)</f>
        <v>PremiumSS</v>
      </c>
      <c r="H141" s="7">
        <f>VLOOKUP(E141,[1]characters!$A:$I,9,FALSE)</f>
        <v>5</v>
      </c>
      <c r="I141" s="7" t="str">
        <f>VLOOKUP(E141,[1]characters!$A:$H,8,FALSE)</f>
        <v>green</v>
      </c>
      <c r="J141" s="7" t="str">
        <f>VLOOKUP(E141,[1]characters!$A:$K,11,FALSE)</f>
        <v>attack</v>
      </c>
      <c r="K141" s="7" t="str">
        <f>VLOOKUP(E141,[1]characters!$A:$M,13,FALSE)</f>
        <v>human</v>
      </c>
      <c r="L141" s="7" t="str">
        <f>VLOOKUP(E141,[1]characters!$A:$G,7,FALSE)</f>
        <v>女性</v>
      </c>
      <c r="M141" s="62">
        <f ca="1">IFERROR(VLOOKUP(E141,input_314100!L:R,7,FALSE),VLOOKUP(tables_314100!B141,input_314100!A:H,8,FALSE))</f>
        <v>6993</v>
      </c>
      <c r="N141" s="63">
        <f t="shared" ca="1" si="11"/>
        <v>2.5000000000000001E-4</v>
      </c>
      <c r="O141" s="31">
        <f>IFERROR(VLOOKUP($E141,bug_conf_sheet!$A:$H,3,FALSE),VLOOKUP("other",bug_conf_sheet!$A:$H,3,FALSE))</f>
        <v>1</v>
      </c>
      <c r="P141" s="31">
        <f>IFERROR(VLOOKUP($E141,bug_conf_sheet!$A:$H,4,FALSE),VLOOKUP("other",bug_conf_sheet!$A:$H,4,FALSE))</f>
        <v>0</v>
      </c>
      <c r="Q141" s="31">
        <f>IFERROR(VLOOKUP($E141,bug_conf_sheet!$A:$H,5,FALSE),VLOOKUP("other",bug_conf_sheet!$A:$H,5,FALSE))</f>
        <v>0</v>
      </c>
      <c r="R141" s="31">
        <f>IFERROR(VLOOKUP($E141,bug_conf_sheet!$A:$H,6,FALSE),VLOOKUP("other",bug_conf_sheet!$A:$H,6,FALSE))</f>
        <v>0</v>
      </c>
      <c r="S141" s="31">
        <f>IFERROR(VLOOKUP($E141,bug_conf_sheet!$A:$H,7,FALSE),VLOOKUP("other",bug_conf_sheet!$A:$H,7,FALSE))</f>
        <v>0</v>
      </c>
      <c r="T141" s="31">
        <f>IFERROR(VLOOKUP($E141,bug_conf_sheet!$A:$H,8,FALSE),VLOOKUP("other",bug_conf_sheet!$A:$H,8,FALSE))</f>
        <v>1</v>
      </c>
    </row>
    <row r="142" spans="1:20" ht="21" customHeight="1">
      <c r="A142" s="2" t="str">
        <f ca="1">input_314100!A$2</f>
        <v>314100</v>
      </c>
      <c r="B142" s="7" t="str">
        <f t="shared" si="8"/>
        <v>PremiumSSbg4</v>
      </c>
      <c r="C142" s="7" t="str">
        <f t="shared" si="9"/>
        <v>PremiumSS</v>
      </c>
      <c r="D142" s="7" t="str">
        <f t="shared" si="10"/>
        <v>bg</v>
      </c>
      <c r="E142" s="6">
        <v>324</v>
      </c>
      <c r="F142" s="7" t="str">
        <f>VLOOKUP(E142,[1]characters!$A:$C,3,FALSE)</f>
        <v>凛志士 沖田総司</v>
      </c>
      <c r="G142" s="7" t="str">
        <f>VLOOKUP(E142,[1]characters!$A:$J,10,FALSE)</f>
        <v>PremiumSS</v>
      </c>
      <c r="H142" s="7">
        <f>VLOOKUP(E142,[1]characters!$A:$I,9,FALSE)</f>
        <v>4</v>
      </c>
      <c r="I142" s="7" t="str">
        <f>VLOOKUP(E142,[1]characters!$A:$H,8,FALSE)</f>
        <v>blue</v>
      </c>
      <c r="J142" s="7" t="str">
        <f>VLOOKUP(E142,[1]characters!$A:$K,11,FALSE)</f>
        <v>balance</v>
      </c>
      <c r="K142" s="7" t="str">
        <f>VLOOKUP(E142,[1]characters!$A:$M,13,FALSE)</f>
        <v>human</v>
      </c>
      <c r="L142" s="7" t="str">
        <f>VLOOKUP(E142,[1]characters!$A:$G,7,FALSE)</f>
        <v>女性</v>
      </c>
      <c r="M142" s="62">
        <f ca="1">IFERROR(VLOOKUP(E142,input_314100!L:R,7,FALSE),VLOOKUP(tables_314100!B142,input_314100!A:H,8,FALSE))</f>
        <v>62937</v>
      </c>
      <c r="N142" s="63">
        <f t="shared" ca="1" si="11"/>
        <v>2.2499999999999998E-3</v>
      </c>
      <c r="O142" s="31">
        <f>IFERROR(VLOOKUP($E142,bug_conf_sheet!$A:$H,3,FALSE),VLOOKUP("other",bug_conf_sheet!$A:$H,3,FALSE))</f>
        <v>1</v>
      </c>
      <c r="P142" s="31">
        <f>IFERROR(VLOOKUP($E142,bug_conf_sheet!$A:$H,4,FALSE),VLOOKUP("other",bug_conf_sheet!$A:$H,4,FALSE))</f>
        <v>0</v>
      </c>
      <c r="Q142" s="31">
        <f>IFERROR(VLOOKUP($E142,bug_conf_sheet!$A:$H,5,FALSE),VLOOKUP("other",bug_conf_sheet!$A:$H,5,FALSE))</f>
        <v>0</v>
      </c>
      <c r="R142" s="31">
        <f>IFERROR(VLOOKUP($E142,bug_conf_sheet!$A:$H,6,FALSE),VLOOKUP("other",bug_conf_sheet!$A:$H,6,FALSE))</f>
        <v>0</v>
      </c>
      <c r="S142" s="31">
        <f>IFERROR(VLOOKUP($E142,bug_conf_sheet!$A:$H,7,FALSE),VLOOKUP("other",bug_conf_sheet!$A:$H,7,FALSE))</f>
        <v>0</v>
      </c>
      <c r="T142" s="31">
        <f>IFERROR(VLOOKUP($E142,bug_conf_sheet!$A:$H,8,FALSE),VLOOKUP("other",bug_conf_sheet!$A:$H,8,FALSE))</f>
        <v>1</v>
      </c>
    </row>
    <row r="143" spans="1:20" s="12" customFormat="1" ht="21" customHeight="1" thickBot="1">
      <c r="A143" s="2" t="str">
        <f ca="1">input_314100!A$2</f>
        <v>314100</v>
      </c>
      <c r="B143" s="7" t="str">
        <f t="shared" si="8"/>
        <v>PremiumSSbg5</v>
      </c>
      <c r="C143" s="7" t="str">
        <f t="shared" si="9"/>
        <v>PremiumSS</v>
      </c>
      <c r="D143" s="7" t="str">
        <f t="shared" si="10"/>
        <v>bg</v>
      </c>
      <c r="E143" s="6">
        <v>325</v>
      </c>
      <c r="F143" s="7" t="str">
        <f>VLOOKUP(E143,[1]characters!$A:$C,3,FALSE)</f>
        <v>天賦の凛志士 沖田総司</v>
      </c>
      <c r="G143" s="7" t="str">
        <f>VLOOKUP(E143,[1]characters!$A:$J,10,FALSE)</f>
        <v>PremiumSS</v>
      </c>
      <c r="H143" s="7">
        <f>VLOOKUP(E143,[1]characters!$A:$I,9,FALSE)</f>
        <v>5</v>
      </c>
      <c r="I143" s="7" t="str">
        <f>VLOOKUP(E143,[1]characters!$A:$H,8,FALSE)</f>
        <v>blue</v>
      </c>
      <c r="J143" s="7" t="str">
        <f>VLOOKUP(E143,[1]characters!$A:$K,11,FALSE)</f>
        <v>balance</v>
      </c>
      <c r="K143" s="7" t="str">
        <f>VLOOKUP(E143,[1]characters!$A:$M,13,FALSE)</f>
        <v>human</v>
      </c>
      <c r="L143" s="7" t="str">
        <f>VLOOKUP(E143,[1]characters!$A:$G,7,FALSE)</f>
        <v>女性</v>
      </c>
      <c r="M143" s="62">
        <f ca="1">IFERROR(VLOOKUP(E143,input_314100!L:R,7,FALSE),VLOOKUP(tables_314100!B143,input_314100!A:H,8,FALSE))</f>
        <v>6993</v>
      </c>
      <c r="N143" s="63">
        <f t="shared" ca="1" si="11"/>
        <v>2.5000000000000001E-4</v>
      </c>
      <c r="O143" s="31">
        <f>IFERROR(VLOOKUP($E143,bug_conf_sheet!$A:$H,3,FALSE),VLOOKUP("other",bug_conf_sheet!$A:$H,3,FALSE))</f>
        <v>1</v>
      </c>
      <c r="P143" s="31">
        <f>IFERROR(VLOOKUP($E143,bug_conf_sheet!$A:$H,4,FALSE),VLOOKUP("other",bug_conf_sheet!$A:$H,4,FALSE))</f>
        <v>0</v>
      </c>
      <c r="Q143" s="31">
        <f>IFERROR(VLOOKUP($E143,bug_conf_sheet!$A:$H,5,FALSE),VLOOKUP("other",bug_conf_sheet!$A:$H,5,FALSE))</f>
        <v>0</v>
      </c>
      <c r="R143" s="31">
        <f>IFERROR(VLOOKUP($E143,bug_conf_sheet!$A:$H,6,FALSE),VLOOKUP("other",bug_conf_sheet!$A:$H,6,FALSE))</f>
        <v>0</v>
      </c>
      <c r="S143" s="31">
        <f>IFERROR(VLOOKUP($E143,bug_conf_sheet!$A:$H,7,FALSE),VLOOKUP("other",bug_conf_sheet!$A:$H,7,FALSE))</f>
        <v>0</v>
      </c>
      <c r="T143" s="31">
        <f>IFERROR(VLOOKUP($E143,bug_conf_sheet!$A:$H,8,FALSE),VLOOKUP("other",bug_conf_sheet!$A:$H,8,FALSE))</f>
        <v>1</v>
      </c>
    </row>
    <row r="144" spans="1:20" ht="21" customHeight="1">
      <c r="A144" s="2" t="str">
        <f ca="1">input_314100!A$2</f>
        <v>314100</v>
      </c>
      <c r="B144" s="7" t="str">
        <f t="shared" si="8"/>
        <v>PremiumSSry4</v>
      </c>
      <c r="C144" s="7" t="str">
        <f t="shared" si="9"/>
        <v>PremiumSS</v>
      </c>
      <c r="D144" s="7" t="str">
        <f t="shared" si="10"/>
        <v>ry</v>
      </c>
      <c r="E144" s="6">
        <v>326</v>
      </c>
      <c r="F144" s="7" t="str">
        <f>VLOOKUP(E144,[1]characters!$A:$C,3,FALSE)</f>
        <v>妖志士 斎藤一</v>
      </c>
      <c r="G144" s="7" t="str">
        <f>VLOOKUP(E144,[1]characters!$A:$J,10,FALSE)</f>
        <v>PremiumSS</v>
      </c>
      <c r="H144" s="7">
        <f>VLOOKUP(E144,[1]characters!$A:$I,9,FALSE)</f>
        <v>4</v>
      </c>
      <c r="I144" s="7" t="str">
        <f>VLOOKUP(E144,[1]characters!$A:$H,8,FALSE)</f>
        <v>yellow</v>
      </c>
      <c r="J144" s="7" t="str">
        <f>VLOOKUP(E144,[1]characters!$A:$K,11,FALSE)</f>
        <v>technical</v>
      </c>
      <c r="K144" s="7" t="str">
        <f>VLOOKUP(E144,[1]characters!$A:$M,13,FALSE)</f>
        <v>human</v>
      </c>
      <c r="L144" s="7" t="str">
        <f>VLOOKUP(E144,[1]characters!$A:$G,7,FALSE)</f>
        <v>女性</v>
      </c>
      <c r="M144" s="62">
        <f ca="1">IFERROR(VLOOKUP(E144,input_314100!L:R,7,FALSE),VLOOKUP(tables_314100!B144,input_314100!A:H,8,FALSE))</f>
        <v>35964</v>
      </c>
      <c r="N144" s="63">
        <f t="shared" ca="1" si="11"/>
        <v>1.2857142857142856E-3</v>
      </c>
      <c r="O144" s="31">
        <f>IFERROR(VLOOKUP($E144,bug_conf_sheet!$A:$H,3,FALSE),VLOOKUP("other",bug_conf_sheet!$A:$H,3,FALSE))</f>
        <v>1</v>
      </c>
      <c r="P144" s="31">
        <f>IFERROR(VLOOKUP($E144,bug_conf_sheet!$A:$H,4,FALSE),VLOOKUP("other",bug_conf_sheet!$A:$H,4,FALSE))</f>
        <v>0</v>
      </c>
      <c r="Q144" s="31">
        <f>IFERROR(VLOOKUP($E144,bug_conf_sheet!$A:$H,5,FALSE),VLOOKUP("other",bug_conf_sheet!$A:$H,5,FALSE))</f>
        <v>0</v>
      </c>
      <c r="R144" s="31">
        <f>IFERROR(VLOOKUP($E144,bug_conf_sheet!$A:$H,6,FALSE),VLOOKUP("other",bug_conf_sheet!$A:$H,6,FALSE))</f>
        <v>0</v>
      </c>
      <c r="S144" s="31">
        <f>IFERROR(VLOOKUP($E144,bug_conf_sheet!$A:$H,7,FALSE),VLOOKUP("other",bug_conf_sheet!$A:$H,7,FALSE))</f>
        <v>0</v>
      </c>
      <c r="T144" s="31">
        <f>IFERROR(VLOOKUP($E144,bug_conf_sheet!$A:$H,8,FALSE),VLOOKUP("other",bug_conf_sheet!$A:$H,8,FALSE))</f>
        <v>1</v>
      </c>
    </row>
    <row r="145" spans="1:20" ht="21" customHeight="1">
      <c r="A145" s="2" t="str">
        <f ca="1">input_314100!A$2</f>
        <v>314100</v>
      </c>
      <c r="B145" s="7" t="str">
        <f t="shared" si="8"/>
        <v>PremiumSSry5</v>
      </c>
      <c r="C145" s="7" t="str">
        <f t="shared" si="9"/>
        <v>PremiumSS</v>
      </c>
      <c r="D145" s="7" t="str">
        <f t="shared" si="10"/>
        <v>ry</v>
      </c>
      <c r="E145" s="6">
        <v>327</v>
      </c>
      <c r="F145" s="7" t="str">
        <f>VLOOKUP(E145,[1]characters!$A:$C,3,FALSE)</f>
        <v>千殺の妖志士 斎藤一</v>
      </c>
      <c r="G145" s="7" t="str">
        <f>VLOOKUP(E145,[1]characters!$A:$J,10,FALSE)</f>
        <v>PremiumSS</v>
      </c>
      <c r="H145" s="7">
        <f>VLOOKUP(E145,[1]characters!$A:$I,9,FALSE)</f>
        <v>5</v>
      </c>
      <c r="I145" s="7" t="str">
        <f>VLOOKUP(E145,[1]characters!$A:$H,8,FALSE)</f>
        <v>yellow</v>
      </c>
      <c r="J145" s="7" t="str">
        <f>VLOOKUP(E145,[1]characters!$A:$K,11,FALSE)</f>
        <v>technical</v>
      </c>
      <c r="K145" s="7" t="str">
        <f>VLOOKUP(E145,[1]characters!$A:$M,13,FALSE)</f>
        <v>human</v>
      </c>
      <c r="L145" s="7" t="str">
        <f>VLOOKUP(E145,[1]characters!$A:$G,7,FALSE)</f>
        <v>女性</v>
      </c>
      <c r="M145" s="62">
        <f ca="1">IFERROR(VLOOKUP(E145,input_314100!L:R,7,FALSE),VLOOKUP(tables_314100!B145,input_314100!A:H,8,FALSE))</f>
        <v>3996</v>
      </c>
      <c r="N145" s="63">
        <f t="shared" ca="1" si="11"/>
        <v>1.4285714285714287E-4</v>
      </c>
      <c r="O145" s="31">
        <f>IFERROR(VLOOKUP($E145,bug_conf_sheet!$A:$H,3,FALSE),VLOOKUP("other",bug_conf_sheet!$A:$H,3,FALSE))</f>
        <v>1</v>
      </c>
      <c r="P145" s="31">
        <f>IFERROR(VLOOKUP($E145,bug_conf_sheet!$A:$H,4,FALSE),VLOOKUP("other",bug_conf_sheet!$A:$H,4,FALSE))</f>
        <v>0</v>
      </c>
      <c r="Q145" s="31">
        <f>IFERROR(VLOOKUP($E145,bug_conf_sheet!$A:$H,5,FALSE),VLOOKUP("other",bug_conf_sheet!$A:$H,5,FALSE))</f>
        <v>0</v>
      </c>
      <c r="R145" s="31">
        <f>IFERROR(VLOOKUP($E145,bug_conf_sheet!$A:$H,6,FALSE),VLOOKUP("other",bug_conf_sheet!$A:$H,6,FALSE))</f>
        <v>0</v>
      </c>
      <c r="S145" s="31">
        <f>IFERROR(VLOOKUP($E145,bug_conf_sheet!$A:$H,7,FALSE),VLOOKUP("other",bug_conf_sheet!$A:$H,7,FALSE))</f>
        <v>0</v>
      </c>
      <c r="T145" s="31">
        <f>IFERROR(VLOOKUP($E145,bug_conf_sheet!$A:$H,8,FALSE),VLOOKUP("other",bug_conf_sheet!$A:$H,8,FALSE))</f>
        <v>1</v>
      </c>
    </row>
    <row r="146" spans="1:20" ht="21" customHeight="1">
      <c r="A146" s="2" t="str">
        <f ca="1">input_314100!A$2</f>
        <v>314100</v>
      </c>
      <c r="B146" s="7" t="str">
        <f t="shared" si="8"/>
        <v>Premium3</v>
      </c>
      <c r="C146" s="7" t="str">
        <f t="shared" si="9"/>
        <v>Premium</v>
      </c>
      <c r="D146" s="7" t="str">
        <f t="shared" si="10"/>
        <v>ry</v>
      </c>
      <c r="E146" s="6">
        <v>380</v>
      </c>
      <c r="F146" s="7" t="str">
        <f>VLOOKUP(E146,[1]characters!$A:$C,3,FALSE)</f>
        <v>バハムート</v>
      </c>
      <c r="G146" s="7" t="str">
        <f>VLOOKUP(E146,[1]characters!$A:$J,10,FALSE)</f>
        <v>PremiumS</v>
      </c>
      <c r="H146" s="7">
        <f>VLOOKUP(E146,[1]characters!$A:$I,9,FALSE)</f>
        <v>3</v>
      </c>
      <c r="I146" s="7" t="str">
        <f>VLOOKUP(E146,[1]characters!$A:$H,8,FALSE)</f>
        <v>red</v>
      </c>
      <c r="J146" s="7" t="str">
        <f>VLOOKUP(E146,[1]characters!$A:$K,11,FALSE)</f>
        <v>technical</v>
      </c>
      <c r="K146" s="7" t="str">
        <f>VLOOKUP(E146,[1]characters!$A:$M,13,FALSE)</f>
        <v>dragon</v>
      </c>
      <c r="L146" s="7" t="str">
        <f>VLOOKUP(E146,[1]characters!$A:$G,7,FALSE)</f>
        <v>女性</v>
      </c>
      <c r="M146" s="62">
        <f ca="1">IFERROR(VLOOKUP(E146,input_314100!L:R,7,FALSE),VLOOKUP(tables_314100!B146,input_314100!A:H,8,FALSE))</f>
        <v>0</v>
      </c>
      <c r="N146" s="63">
        <f t="shared" ca="1" si="11"/>
        <v>0</v>
      </c>
      <c r="O146" s="31">
        <f>IFERROR(VLOOKUP($E146,bug_conf_sheet!$A:$H,3,FALSE),VLOOKUP("other",bug_conf_sheet!$A:$H,3,FALSE))</f>
        <v>1</v>
      </c>
      <c r="P146" s="31">
        <f>IFERROR(VLOOKUP($E146,bug_conf_sheet!$A:$H,4,FALSE),VLOOKUP("other",bug_conf_sheet!$A:$H,4,FALSE))</f>
        <v>0</v>
      </c>
      <c r="Q146" s="31">
        <f>IFERROR(VLOOKUP($E146,bug_conf_sheet!$A:$H,5,FALSE),VLOOKUP("other",bug_conf_sheet!$A:$H,5,FALSE))</f>
        <v>0</v>
      </c>
      <c r="R146" s="31">
        <f>IFERROR(VLOOKUP($E146,bug_conf_sheet!$A:$H,6,FALSE),VLOOKUP("other",bug_conf_sheet!$A:$H,6,FALSE))</f>
        <v>0</v>
      </c>
      <c r="S146" s="31">
        <f>IFERROR(VLOOKUP($E146,bug_conf_sheet!$A:$H,7,FALSE),VLOOKUP("other",bug_conf_sheet!$A:$H,7,FALSE))</f>
        <v>0</v>
      </c>
      <c r="T146" s="31">
        <f>IFERROR(VLOOKUP($E146,bug_conf_sheet!$A:$H,8,FALSE),VLOOKUP("other",bug_conf_sheet!$A:$H,8,FALSE))</f>
        <v>1</v>
      </c>
    </row>
    <row r="147" spans="1:20" ht="21" customHeight="1">
      <c r="A147" s="2" t="str">
        <f ca="1">input_314100!A$2</f>
        <v>314100</v>
      </c>
      <c r="B147" s="7" t="str">
        <f t="shared" si="8"/>
        <v>Premium4</v>
      </c>
      <c r="C147" s="7" t="str">
        <f t="shared" si="9"/>
        <v>Premium</v>
      </c>
      <c r="D147" s="7" t="str">
        <f t="shared" si="10"/>
        <v>ry</v>
      </c>
      <c r="E147" s="6">
        <v>381</v>
      </c>
      <c r="F147" s="7" t="str">
        <f>VLOOKUP(E147,[1]characters!$A:$C,3,FALSE)</f>
        <v>肉食の恋火 バハムート</v>
      </c>
      <c r="G147" s="7" t="str">
        <f>VLOOKUP(E147,[1]characters!$A:$J,10,FALSE)</f>
        <v>PremiumS</v>
      </c>
      <c r="H147" s="7">
        <f>VLOOKUP(E147,[1]characters!$A:$I,9,FALSE)</f>
        <v>4</v>
      </c>
      <c r="I147" s="7" t="str">
        <f>VLOOKUP(E147,[1]characters!$A:$H,8,FALSE)</f>
        <v>red</v>
      </c>
      <c r="J147" s="7" t="str">
        <f>VLOOKUP(E147,[1]characters!$A:$K,11,FALSE)</f>
        <v>technical</v>
      </c>
      <c r="K147" s="7" t="str">
        <f>VLOOKUP(E147,[1]characters!$A:$M,13,FALSE)</f>
        <v>dragon</v>
      </c>
      <c r="L147" s="7" t="str">
        <f>VLOOKUP(E147,[1]characters!$A:$G,7,FALSE)</f>
        <v>女性</v>
      </c>
      <c r="M147" s="62">
        <f ca="1">IFERROR(VLOOKUP(E147,input_314100!L:R,7,FALSE),VLOOKUP(tables_314100!B147,input_314100!A:H,8,FALSE))</f>
        <v>342090</v>
      </c>
      <c r="N147" s="63">
        <f t="shared" ca="1" si="11"/>
        <v>1.222972972972973E-2</v>
      </c>
      <c r="O147" s="31">
        <f>IFERROR(VLOOKUP($E147,bug_conf_sheet!$A:$H,3,FALSE),VLOOKUP("other",bug_conf_sheet!$A:$H,3,FALSE))</f>
        <v>1</v>
      </c>
      <c r="P147" s="31">
        <f>IFERROR(VLOOKUP($E147,bug_conf_sheet!$A:$H,4,FALSE),VLOOKUP("other",bug_conf_sheet!$A:$H,4,FALSE))</f>
        <v>0</v>
      </c>
      <c r="Q147" s="31">
        <f>IFERROR(VLOOKUP($E147,bug_conf_sheet!$A:$H,5,FALSE),VLOOKUP("other",bug_conf_sheet!$A:$H,5,FALSE))</f>
        <v>0</v>
      </c>
      <c r="R147" s="31">
        <f>IFERROR(VLOOKUP($E147,bug_conf_sheet!$A:$H,6,FALSE),VLOOKUP("other",bug_conf_sheet!$A:$H,6,FALSE))</f>
        <v>0</v>
      </c>
      <c r="S147" s="31">
        <f>IFERROR(VLOOKUP($E147,bug_conf_sheet!$A:$H,7,FALSE),VLOOKUP("other",bug_conf_sheet!$A:$H,7,FALSE))</f>
        <v>0</v>
      </c>
      <c r="T147" s="31">
        <f>IFERROR(VLOOKUP($E147,bug_conf_sheet!$A:$H,8,FALSE),VLOOKUP("other",bug_conf_sheet!$A:$H,8,FALSE))</f>
        <v>1</v>
      </c>
    </row>
    <row r="148" spans="1:20" ht="21" customHeight="1">
      <c r="A148" s="2" t="str">
        <f ca="1">input_314100!A$2</f>
        <v>314100</v>
      </c>
      <c r="B148" s="7" t="str">
        <f t="shared" si="8"/>
        <v>Premium5</v>
      </c>
      <c r="C148" s="7" t="str">
        <f t="shared" si="9"/>
        <v>Premium</v>
      </c>
      <c r="D148" s="7" t="str">
        <f t="shared" si="10"/>
        <v>ry</v>
      </c>
      <c r="E148" s="6">
        <v>382</v>
      </c>
      <c r="F148" s="7" t="str">
        <f>VLOOKUP(E148,[1]characters!$A:$C,3,FALSE)</f>
        <v>激情の愛炎 バハムート</v>
      </c>
      <c r="G148" s="7" t="str">
        <f>VLOOKUP(E148,[1]characters!$A:$J,10,FALSE)</f>
        <v>PremiumS</v>
      </c>
      <c r="H148" s="7">
        <f>VLOOKUP(E148,[1]characters!$A:$I,9,FALSE)</f>
        <v>5</v>
      </c>
      <c r="I148" s="7" t="str">
        <f>VLOOKUP(E148,[1]characters!$A:$H,8,FALSE)</f>
        <v>red</v>
      </c>
      <c r="J148" s="7" t="str">
        <f>VLOOKUP(E148,[1]characters!$A:$K,11,FALSE)</f>
        <v>technical</v>
      </c>
      <c r="K148" s="7" t="str">
        <f>VLOOKUP(E148,[1]characters!$A:$M,13,FALSE)</f>
        <v>dragon</v>
      </c>
      <c r="L148" s="7" t="str">
        <f>VLOOKUP(E148,[1]characters!$A:$G,7,FALSE)</f>
        <v>女性</v>
      </c>
      <c r="M148" s="62">
        <f ca="1">IFERROR(VLOOKUP(E148,input_314100!L:R,7,FALSE),VLOOKUP(tables_314100!B148,input_314100!A:H,8,FALSE))</f>
        <v>12950</v>
      </c>
      <c r="N148" s="63">
        <f t="shared" ca="1" si="11"/>
        <v>4.6296296296296298E-4</v>
      </c>
      <c r="O148" s="31">
        <f>IFERROR(VLOOKUP($E148,bug_conf_sheet!$A:$H,3,FALSE),VLOOKUP("other",bug_conf_sheet!$A:$H,3,FALSE))</f>
        <v>1</v>
      </c>
      <c r="P148" s="31">
        <f>IFERROR(VLOOKUP($E148,bug_conf_sheet!$A:$H,4,FALSE),VLOOKUP("other",bug_conf_sheet!$A:$H,4,FALSE))</f>
        <v>0</v>
      </c>
      <c r="Q148" s="31">
        <f>IFERROR(VLOOKUP($E148,bug_conf_sheet!$A:$H,5,FALSE),VLOOKUP("other",bug_conf_sheet!$A:$H,5,FALSE))</f>
        <v>0</v>
      </c>
      <c r="R148" s="31">
        <f>IFERROR(VLOOKUP($E148,bug_conf_sheet!$A:$H,6,FALSE),VLOOKUP("other",bug_conf_sheet!$A:$H,6,FALSE))</f>
        <v>0</v>
      </c>
      <c r="S148" s="31">
        <f>IFERROR(VLOOKUP($E148,bug_conf_sheet!$A:$H,7,FALSE),VLOOKUP("other",bug_conf_sheet!$A:$H,7,FALSE))</f>
        <v>0</v>
      </c>
      <c r="T148" s="31">
        <f>IFERROR(VLOOKUP($E148,bug_conf_sheet!$A:$H,8,FALSE),VLOOKUP("other",bug_conf_sheet!$A:$H,8,FALSE))</f>
        <v>1</v>
      </c>
    </row>
    <row r="149" spans="1:20" ht="21" customHeight="1">
      <c r="A149" s="2" t="str">
        <f ca="1">input_314100!A$2</f>
        <v>314100</v>
      </c>
      <c r="B149" s="7" t="str">
        <f t="shared" si="8"/>
        <v>PremiumSSbg4</v>
      </c>
      <c r="C149" s="7" t="str">
        <f t="shared" si="9"/>
        <v>PremiumSS</v>
      </c>
      <c r="D149" s="7" t="str">
        <f t="shared" si="10"/>
        <v>bg</v>
      </c>
      <c r="E149" s="6">
        <v>383</v>
      </c>
      <c r="F149" s="7" t="str">
        <f>VLOOKUP(E149,[1]characters!$A:$C,3,FALSE)</f>
        <v>酒宴の蟒蛇 ヤマタノオロチ</v>
      </c>
      <c r="G149" s="7" t="str">
        <f>VLOOKUP(E149,[1]characters!$A:$J,10,FALSE)</f>
        <v>PremiumSS</v>
      </c>
      <c r="H149" s="7">
        <f>VLOOKUP(E149,[1]characters!$A:$I,9,FALSE)</f>
        <v>4</v>
      </c>
      <c r="I149" s="7" t="str">
        <f>VLOOKUP(E149,[1]characters!$A:$H,8,FALSE)</f>
        <v>green</v>
      </c>
      <c r="J149" s="7" t="str">
        <f>VLOOKUP(E149,[1]characters!$A:$K,11,FALSE)</f>
        <v>hp</v>
      </c>
      <c r="K149" s="7" t="str">
        <f>VLOOKUP(E149,[1]characters!$A:$M,13,FALSE)</f>
        <v>dragon</v>
      </c>
      <c r="L149" s="7" t="str">
        <f>VLOOKUP(E149,[1]characters!$A:$G,7,FALSE)</f>
        <v>女性</v>
      </c>
      <c r="M149" s="62">
        <f ca="1">IFERROR(VLOOKUP(E149,input_314100!L:R,7,FALSE),VLOOKUP(tables_314100!B149,input_314100!A:H,8,FALSE))</f>
        <v>62937</v>
      </c>
      <c r="N149" s="63">
        <f t="shared" ca="1" si="11"/>
        <v>2.2499999999999998E-3</v>
      </c>
      <c r="O149" s="31">
        <f>IFERROR(VLOOKUP($E149,bug_conf_sheet!$A:$H,3,FALSE),VLOOKUP("other",bug_conf_sheet!$A:$H,3,FALSE))</f>
        <v>1</v>
      </c>
      <c r="P149" s="31">
        <f>IFERROR(VLOOKUP($E149,bug_conf_sheet!$A:$H,4,FALSE),VLOOKUP("other",bug_conf_sheet!$A:$H,4,FALSE))</f>
        <v>0</v>
      </c>
      <c r="Q149" s="31">
        <f>IFERROR(VLOOKUP($E149,bug_conf_sheet!$A:$H,5,FALSE),VLOOKUP("other",bug_conf_sheet!$A:$H,5,FALSE))</f>
        <v>0</v>
      </c>
      <c r="R149" s="31">
        <f>IFERROR(VLOOKUP($E149,bug_conf_sheet!$A:$H,6,FALSE),VLOOKUP("other",bug_conf_sheet!$A:$H,6,FALSE))</f>
        <v>0</v>
      </c>
      <c r="S149" s="31">
        <f>IFERROR(VLOOKUP($E149,bug_conf_sheet!$A:$H,7,FALSE),VLOOKUP("other",bug_conf_sheet!$A:$H,7,FALSE))</f>
        <v>0</v>
      </c>
      <c r="T149" s="31">
        <f>IFERROR(VLOOKUP($E149,bug_conf_sheet!$A:$H,8,FALSE),VLOOKUP("other",bug_conf_sheet!$A:$H,8,FALSE))</f>
        <v>1</v>
      </c>
    </row>
    <row r="150" spans="1:20" ht="21" customHeight="1">
      <c r="A150" s="2" t="str">
        <f ca="1">input_314100!A$2</f>
        <v>314100</v>
      </c>
      <c r="B150" s="7" t="str">
        <f t="shared" si="8"/>
        <v>PremiumSSbg5</v>
      </c>
      <c r="C150" s="7" t="str">
        <f t="shared" si="9"/>
        <v>PremiumSS</v>
      </c>
      <c r="D150" s="7" t="str">
        <f t="shared" si="10"/>
        <v>bg</v>
      </c>
      <c r="E150" s="6">
        <v>384</v>
      </c>
      <c r="F150" s="7" t="str">
        <f>VLOOKUP(E150,[1]characters!$A:$C,3,FALSE)</f>
        <v>破国の呑龍 ヤマタノオロチ</v>
      </c>
      <c r="G150" s="7" t="str">
        <f>VLOOKUP(E150,[1]characters!$A:$J,10,FALSE)</f>
        <v>PremiumSS</v>
      </c>
      <c r="H150" s="7">
        <f>VLOOKUP(E150,[1]characters!$A:$I,9,FALSE)</f>
        <v>5</v>
      </c>
      <c r="I150" s="7" t="str">
        <f>VLOOKUP(E150,[1]characters!$A:$H,8,FALSE)</f>
        <v>green</v>
      </c>
      <c r="J150" s="7" t="str">
        <f>VLOOKUP(E150,[1]characters!$A:$K,11,FALSE)</f>
        <v>hp</v>
      </c>
      <c r="K150" s="7" t="str">
        <f>VLOOKUP(E150,[1]characters!$A:$M,13,FALSE)</f>
        <v>dragon</v>
      </c>
      <c r="L150" s="7" t="str">
        <f>VLOOKUP(E150,[1]characters!$A:$G,7,FALSE)</f>
        <v>女性</v>
      </c>
      <c r="M150" s="62">
        <f ca="1">IFERROR(VLOOKUP(E150,input_314100!L:R,7,FALSE),VLOOKUP(tables_314100!B150,input_314100!A:H,8,FALSE))</f>
        <v>6993</v>
      </c>
      <c r="N150" s="63">
        <f t="shared" ca="1" si="11"/>
        <v>2.5000000000000001E-4</v>
      </c>
      <c r="O150" s="31">
        <f>IFERROR(VLOOKUP($E150,bug_conf_sheet!$A:$H,3,FALSE),VLOOKUP("other",bug_conf_sheet!$A:$H,3,FALSE))</f>
        <v>1</v>
      </c>
      <c r="P150" s="31">
        <f>IFERROR(VLOOKUP($E150,bug_conf_sheet!$A:$H,4,FALSE),VLOOKUP("other",bug_conf_sheet!$A:$H,4,FALSE))</f>
        <v>0</v>
      </c>
      <c r="Q150" s="31">
        <f>IFERROR(VLOOKUP($E150,bug_conf_sheet!$A:$H,5,FALSE),VLOOKUP("other",bug_conf_sheet!$A:$H,5,FALSE))</f>
        <v>0</v>
      </c>
      <c r="R150" s="31">
        <f>IFERROR(VLOOKUP($E150,bug_conf_sheet!$A:$H,6,FALSE),VLOOKUP("other",bug_conf_sheet!$A:$H,6,FALSE))</f>
        <v>0</v>
      </c>
      <c r="S150" s="31">
        <f>IFERROR(VLOOKUP($E150,bug_conf_sheet!$A:$H,7,FALSE),VLOOKUP("other",bug_conf_sheet!$A:$H,7,FALSE))</f>
        <v>0</v>
      </c>
      <c r="T150" s="31">
        <f>IFERROR(VLOOKUP($E150,bug_conf_sheet!$A:$H,8,FALSE),VLOOKUP("other",bug_conf_sheet!$A:$H,8,FALSE))</f>
        <v>1</v>
      </c>
    </row>
    <row r="151" spans="1:20" ht="21" customHeight="1">
      <c r="A151" s="2" t="str">
        <f ca="1">input_314100!A$2</f>
        <v>314100</v>
      </c>
      <c r="B151" s="7" t="str">
        <f t="shared" si="8"/>
        <v>PremiumSSbg4</v>
      </c>
      <c r="C151" s="7" t="str">
        <f t="shared" si="9"/>
        <v>PremiumSS</v>
      </c>
      <c r="D151" s="7" t="str">
        <f t="shared" si="10"/>
        <v>bg</v>
      </c>
      <c r="E151" s="6">
        <v>385</v>
      </c>
      <c r="F151" s="7" t="str">
        <f>VLOOKUP(E151,[1]characters!$A:$C,3,FALSE)</f>
        <v>波烈の出奔 リヴァイアサン</v>
      </c>
      <c r="G151" s="7" t="str">
        <f>VLOOKUP(E151,[1]characters!$A:$J,10,FALSE)</f>
        <v>PremiumSS</v>
      </c>
      <c r="H151" s="7">
        <f>VLOOKUP(E151,[1]characters!$A:$I,9,FALSE)</f>
        <v>4</v>
      </c>
      <c r="I151" s="7" t="str">
        <f>VLOOKUP(E151,[1]characters!$A:$H,8,FALSE)</f>
        <v>blue</v>
      </c>
      <c r="J151" s="7" t="str">
        <f>VLOOKUP(E151,[1]characters!$A:$K,11,FALSE)</f>
        <v>balance</v>
      </c>
      <c r="K151" s="7" t="str">
        <f>VLOOKUP(E151,[1]characters!$A:$M,13,FALSE)</f>
        <v>dragon</v>
      </c>
      <c r="L151" s="7" t="str">
        <f>VLOOKUP(E151,[1]characters!$A:$G,7,FALSE)</f>
        <v>女性</v>
      </c>
      <c r="M151" s="62">
        <f ca="1">IFERROR(VLOOKUP(E151,input_314100!L:R,7,FALSE),VLOOKUP(tables_314100!B151,input_314100!A:H,8,FALSE))</f>
        <v>62937</v>
      </c>
      <c r="N151" s="63">
        <f t="shared" ca="1" si="11"/>
        <v>2.2499999999999998E-3</v>
      </c>
      <c r="O151" s="31">
        <f>IFERROR(VLOOKUP($E151,bug_conf_sheet!$A:$H,3,FALSE),VLOOKUP("other",bug_conf_sheet!$A:$H,3,FALSE))</f>
        <v>1</v>
      </c>
      <c r="P151" s="31">
        <f>IFERROR(VLOOKUP($E151,bug_conf_sheet!$A:$H,4,FALSE),VLOOKUP("other",bug_conf_sheet!$A:$H,4,FALSE))</f>
        <v>0</v>
      </c>
      <c r="Q151" s="31">
        <f>IFERROR(VLOOKUP($E151,bug_conf_sheet!$A:$H,5,FALSE),VLOOKUP("other",bug_conf_sheet!$A:$H,5,FALSE))</f>
        <v>0</v>
      </c>
      <c r="R151" s="31">
        <f>IFERROR(VLOOKUP($E151,bug_conf_sheet!$A:$H,6,FALSE),VLOOKUP("other",bug_conf_sheet!$A:$H,6,FALSE))</f>
        <v>0</v>
      </c>
      <c r="S151" s="31">
        <f>IFERROR(VLOOKUP($E151,bug_conf_sheet!$A:$H,7,FALSE),VLOOKUP("other",bug_conf_sheet!$A:$H,7,FALSE))</f>
        <v>0</v>
      </c>
      <c r="T151" s="31">
        <f>IFERROR(VLOOKUP($E151,bug_conf_sheet!$A:$H,8,FALSE),VLOOKUP("other",bug_conf_sheet!$A:$H,8,FALSE))</f>
        <v>1</v>
      </c>
    </row>
    <row r="152" spans="1:20" ht="21" customHeight="1">
      <c r="A152" s="2" t="str">
        <f ca="1">input_314100!A$2</f>
        <v>314100</v>
      </c>
      <c r="B152" s="7" t="str">
        <f t="shared" si="8"/>
        <v>PremiumSSbg5</v>
      </c>
      <c r="C152" s="7" t="str">
        <f t="shared" si="9"/>
        <v>PremiumSS</v>
      </c>
      <c r="D152" s="7" t="str">
        <f t="shared" si="10"/>
        <v>bg</v>
      </c>
      <c r="E152" s="6">
        <v>386</v>
      </c>
      <c r="F152" s="7" t="str">
        <f>VLOOKUP(E152,[1]characters!$A:$C,3,FALSE)</f>
        <v>氾乱の海龍 リヴァイアサン</v>
      </c>
      <c r="G152" s="7" t="str">
        <f>VLOOKUP(E152,[1]characters!$A:$J,10,FALSE)</f>
        <v>PremiumSS</v>
      </c>
      <c r="H152" s="7">
        <f>VLOOKUP(E152,[1]characters!$A:$I,9,FALSE)</f>
        <v>5</v>
      </c>
      <c r="I152" s="7" t="str">
        <f>VLOOKUP(E152,[1]characters!$A:$H,8,FALSE)</f>
        <v>blue</v>
      </c>
      <c r="J152" s="7" t="str">
        <f>VLOOKUP(E152,[1]characters!$A:$K,11,FALSE)</f>
        <v>balance</v>
      </c>
      <c r="K152" s="7" t="str">
        <f>VLOOKUP(E152,[1]characters!$A:$M,13,FALSE)</f>
        <v>dragon</v>
      </c>
      <c r="L152" s="7" t="str">
        <f>VLOOKUP(E152,[1]characters!$A:$G,7,FALSE)</f>
        <v>女性</v>
      </c>
      <c r="M152" s="62">
        <f ca="1">IFERROR(VLOOKUP(E152,input_314100!L:R,7,FALSE),VLOOKUP(tables_314100!B152,input_314100!A:H,8,FALSE))</f>
        <v>6993</v>
      </c>
      <c r="N152" s="63">
        <f t="shared" ca="1" si="11"/>
        <v>2.5000000000000001E-4</v>
      </c>
      <c r="O152" s="31">
        <f>IFERROR(VLOOKUP($E152,bug_conf_sheet!$A:$H,3,FALSE),VLOOKUP("other",bug_conf_sheet!$A:$H,3,FALSE))</f>
        <v>1</v>
      </c>
      <c r="P152" s="31">
        <f>IFERROR(VLOOKUP($E152,bug_conf_sheet!$A:$H,4,FALSE),VLOOKUP("other",bug_conf_sheet!$A:$H,4,FALSE))</f>
        <v>0</v>
      </c>
      <c r="Q152" s="31">
        <f>IFERROR(VLOOKUP($E152,bug_conf_sheet!$A:$H,5,FALSE),VLOOKUP("other",bug_conf_sheet!$A:$H,5,FALSE))</f>
        <v>0</v>
      </c>
      <c r="R152" s="31">
        <f>IFERROR(VLOOKUP($E152,bug_conf_sheet!$A:$H,6,FALSE),VLOOKUP("other",bug_conf_sheet!$A:$H,6,FALSE))</f>
        <v>0</v>
      </c>
      <c r="S152" s="31">
        <f>IFERROR(VLOOKUP($E152,bug_conf_sheet!$A:$H,7,FALSE),VLOOKUP("other",bug_conf_sheet!$A:$H,7,FALSE))</f>
        <v>0</v>
      </c>
      <c r="T152" s="31">
        <f>IFERROR(VLOOKUP($E152,bug_conf_sheet!$A:$H,8,FALSE),VLOOKUP("other",bug_conf_sheet!$A:$H,8,FALSE))</f>
        <v>1</v>
      </c>
    </row>
    <row r="153" spans="1:20" ht="21" customHeight="1">
      <c r="A153" s="2" t="str">
        <f ca="1">input_314100!A$2</f>
        <v>314100</v>
      </c>
      <c r="B153" s="7" t="str">
        <f t="shared" si="8"/>
        <v>Premium3</v>
      </c>
      <c r="C153" s="7" t="str">
        <f t="shared" si="9"/>
        <v>Premium</v>
      </c>
      <c r="D153" s="7" t="str">
        <f t="shared" si="10"/>
        <v>ry</v>
      </c>
      <c r="E153" s="6">
        <v>387</v>
      </c>
      <c r="F153" s="7" t="str">
        <f>VLOOKUP(E153,[1]characters!$A:$C,3,FALSE)</f>
        <v>スフィンクス</v>
      </c>
      <c r="G153" s="7" t="str">
        <f>VLOOKUP(E153,[1]characters!$A:$J,10,FALSE)</f>
        <v>PremiumS</v>
      </c>
      <c r="H153" s="7">
        <f>VLOOKUP(E153,[1]characters!$A:$I,9,FALSE)</f>
        <v>3</v>
      </c>
      <c r="I153" s="7" t="str">
        <f>VLOOKUP(E153,[1]characters!$A:$H,8,FALSE)</f>
        <v>yellow</v>
      </c>
      <c r="J153" s="7" t="str">
        <f>VLOOKUP(E153,[1]characters!$A:$K,11,FALSE)</f>
        <v>heal</v>
      </c>
      <c r="K153" s="7" t="str">
        <f>VLOOKUP(E153,[1]characters!$A:$M,13,FALSE)</f>
        <v>animal</v>
      </c>
      <c r="L153" s="7" t="str">
        <f>VLOOKUP(E153,[1]characters!$A:$G,7,FALSE)</f>
        <v>女性</v>
      </c>
      <c r="M153" s="62">
        <f ca="1">IFERROR(VLOOKUP(E153,input_314100!L:R,7,FALSE),VLOOKUP(tables_314100!B153,input_314100!A:H,8,FALSE))</f>
        <v>0</v>
      </c>
      <c r="N153" s="63">
        <f t="shared" ca="1" si="11"/>
        <v>0</v>
      </c>
      <c r="O153" s="31">
        <f>IFERROR(VLOOKUP($E153,bug_conf_sheet!$A:$H,3,FALSE),VLOOKUP("other",bug_conf_sheet!$A:$H,3,FALSE))</f>
        <v>1</v>
      </c>
      <c r="P153" s="31">
        <f>IFERROR(VLOOKUP($E153,bug_conf_sheet!$A:$H,4,FALSE),VLOOKUP("other",bug_conf_sheet!$A:$H,4,FALSE))</f>
        <v>0</v>
      </c>
      <c r="Q153" s="31">
        <f>IFERROR(VLOOKUP($E153,bug_conf_sheet!$A:$H,5,FALSE),VLOOKUP("other",bug_conf_sheet!$A:$H,5,FALSE))</f>
        <v>0</v>
      </c>
      <c r="R153" s="31">
        <f>IFERROR(VLOOKUP($E153,bug_conf_sheet!$A:$H,6,FALSE),VLOOKUP("other",bug_conf_sheet!$A:$H,6,FALSE))</f>
        <v>0</v>
      </c>
      <c r="S153" s="31">
        <f>IFERROR(VLOOKUP($E153,bug_conf_sheet!$A:$H,7,FALSE),VLOOKUP("other",bug_conf_sheet!$A:$H,7,FALSE))</f>
        <v>0</v>
      </c>
      <c r="T153" s="31">
        <f>IFERROR(VLOOKUP($E153,bug_conf_sheet!$A:$H,8,FALSE),VLOOKUP("other",bug_conf_sheet!$A:$H,8,FALSE))</f>
        <v>1</v>
      </c>
    </row>
    <row r="154" spans="1:20" ht="21" customHeight="1">
      <c r="A154" s="2" t="str">
        <f ca="1">input_314100!A$2</f>
        <v>314100</v>
      </c>
      <c r="B154" s="7" t="str">
        <f t="shared" si="8"/>
        <v>Premium4</v>
      </c>
      <c r="C154" s="7" t="str">
        <f t="shared" si="9"/>
        <v>Premium</v>
      </c>
      <c r="D154" s="7" t="str">
        <f t="shared" si="10"/>
        <v>ry</v>
      </c>
      <c r="E154" s="6">
        <v>388</v>
      </c>
      <c r="F154" s="7" t="str">
        <f>VLOOKUP(E154,[1]characters!$A:$C,3,FALSE)</f>
        <v>神円の恋姫 スフィンクス</v>
      </c>
      <c r="G154" s="7" t="str">
        <f>VLOOKUP(E154,[1]characters!$A:$J,10,FALSE)</f>
        <v>PremiumS</v>
      </c>
      <c r="H154" s="7">
        <f>VLOOKUP(E154,[1]characters!$A:$I,9,FALSE)</f>
        <v>4</v>
      </c>
      <c r="I154" s="7" t="str">
        <f>VLOOKUP(E154,[1]characters!$A:$H,8,FALSE)</f>
        <v>yellow</v>
      </c>
      <c r="J154" s="7" t="str">
        <f>VLOOKUP(E154,[1]characters!$A:$K,11,FALSE)</f>
        <v>heal</v>
      </c>
      <c r="K154" s="7" t="str">
        <f>VLOOKUP(E154,[1]characters!$A:$M,13,FALSE)</f>
        <v>animal</v>
      </c>
      <c r="L154" s="7" t="str">
        <f>VLOOKUP(E154,[1]characters!$A:$G,7,FALSE)</f>
        <v>女性</v>
      </c>
      <c r="M154" s="62">
        <f ca="1">IFERROR(VLOOKUP(E154,input_314100!L:R,7,FALSE),VLOOKUP(tables_314100!B154,input_314100!A:H,8,FALSE))</f>
        <v>342090</v>
      </c>
      <c r="N154" s="63">
        <f t="shared" ca="1" si="11"/>
        <v>1.222972972972973E-2</v>
      </c>
      <c r="O154" s="31">
        <f>IFERROR(VLOOKUP($E154,bug_conf_sheet!$A:$H,3,FALSE),VLOOKUP("other",bug_conf_sheet!$A:$H,3,FALSE))</f>
        <v>1</v>
      </c>
      <c r="P154" s="31">
        <f>IFERROR(VLOOKUP($E154,bug_conf_sheet!$A:$H,4,FALSE),VLOOKUP("other",bug_conf_sheet!$A:$H,4,FALSE))</f>
        <v>0</v>
      </c>
      <c r="Q154" s="31">
        <f>IFERROR(VLOOKUP($E154,bug_conf_sheet!$A:$H,5,FALSE),VLOOKUP("other",bug_conf_sheet!$A:$H,5,FALSE))</f>
        <v>0</v>
      </c>
      <c r="R154" s="31">
        <f>IFERROR(VLOOKUP($E154,bug_conf_sheet!$A:$H,6,FALSE),VLOOKUP("other",bug_conf_sheet!$A:$H,6,FALSE))</f>
        <v>0</v>
      </c>
      <c r="S154" s="31">
        <f>IFERROR(VLOOKUP($E154,bug_conf_sheet!$A:$H,7,FALSE),VLOOKUP("other",bug_conf_sheet!$A:$H,7,FALSE))</f>
        <v>0</v>
      </c>
      <c r="T154" s="31">
        <f>IFERROR(VLOOKUP($E154,bug_conf_sheet!$A:$H,8,FALSE),VLOOKUP("other",bug_conf_sheet!$A:$H,8,FALSE))</f>
        <v>1</v>
      </c>
    </row>
    <row r="155" spans="1:20" ht="21" customHeight="1">
      <c r="A155" s="2" t="str">
        <f ca="1">input_314100!A$2</f>
        <v>314100</v>
      </c>
      <c r="B155" s="7" t="str">
        <f t="shared" si="8"/>
        <v>Premium5</v>
      </c>
      <c r="C155" s="7" t="str">
        <f t="shared" si="9"/>
        <v>Premium</v>
      </c>
      <c r="D155" s="7" t="str">
        <f t="shared" si="10"/>
        <v>ry</v>
      </c>
      <c r="E155" s="6">
        <v>389</v>
      </c>
      <c r="F155" s="7" t="str">
        <f>VLOOKUP(E155,[1]characters!$A:$C,3,FALSE)</f>
        <v>操神の愛姫 スフィンクス</v>
      </c>
      <c r="G155" s="7" t="str">
        <f>VLOOKUP(E155,[1]characters!$A:$J,10,FALSE)</f>
        <v>PremiumS</v>
      </c>
      <c r="H155" s="7">
        <f>VLOOKUP(E155,[1]characters!$A:$I,9,FALSE)</f>
        <v>5</v>
      </c>
      <c r="I155" s="7" t="str">
        <f>VLOOKUP(E155,[1]characters!$A:$H,8,FALSE)</f>
        <v>yellow</v>
      </c>
      <c r="J155" s="7" t="str">
        <f>VLOOKUP(E155,[1]characters!$A:$K,11,FALSE)</f>
        <v>heal</v>
      </c>
      <c r="K155" s="7" t="str">
        <f>VLOOKUP(E155,[1]characters!$A:$M,13,FALSE)</f>
        <v>animal</v>
      </c>
      <c r="L155" s="7" t="str">
        <f>VLOOKUP(E155,[1]characters!$A:$G,7,FALSE)</f>
        <v>女性</v>
      </c>
      <c r="M155" s="62">
        <f ca="1">IFERROR(VLOOKUP(E155,input_314100!L:R,7,FALSE),VLOOKUP(tables_314100!B155,input_314100!A:H,8,FALSE))</f>
        <v>12950</v>
      </c>
      <c r="N155" s="63">
        <f t="shared" ca="1" si="11"/>
        <v>4.6296296296296298E-4</v>
      </c>
      <c r="O155" s="31">
        <f>IFERROR(VLOOKUP($E155,bug_conf_sheet!$A:$H,3,FALSE),VLOOKUP("other",bug_conf_sheet!$A:$H,3,FALSE))</f>
        <v>1</v>
      </c>
      <c r="P155" s="31">
        <f>IFERROR(VLOOKUP($E155,bug_conf_sheet!$A:$H,4,FALSE),VLOOKUP("other",bug_conf_sheet!$A:$H,4,FALSE))</f>
        <v>0</v>
      </c>
      <c r="Q155" s="31">
        <f>IFERROR(VLOOKUP($E155,bug_conf_sheet!$A:$H,5,FALSE),VLOOKUP("other",bug_conf_sheet!$A:$H,5,FALSE))</f>
        <v>0</v>
      </c>
      <c r="R155" s="31">
        <f>IFERROR(VLOOKUP($E155,bug_conf_sheet!$A:$H,6,FALSE),VLOOKUP("other",bug_conf_sheet!$A:$H,6,FALSE))</f>
        <v>0</v>
      </c>
      <c r="S155" s="31">
        <f>IFERROR(VLOOKUP($E155,bug_conf_sheet!$A:$H,7,FALSE),VLOOKUP("other",bug_conf_sheet!$A:$H,7,FALSE))</f>
        <v>0</v>
      </c>
      <c r="T155" s="31">
        <f>IFERROR(VLOOKUP($E155,bug_conf_sheet!$A:$H,8,FALSE),VLOOKUP("other",bug_conf_sheet!$A:$H,8,FALSE))</f>
        <v>1</v>
      </c>
    </row>
    <row r="156" spans="1:20" ht="21" customHeight="1">
      <c r="A156" s="2" t="str">
        <f ca="1">input_314100!A$2</f>
        <v>314100</v>
      </c>
      <c r="B156" s="7" t="str">
        <f t="shared" si="8"/>
        <v>PremiumSSry4</v>
      </c>
      <c r="C156" s="7" t="str">
        <f t="shared" si="9"/>
        <v>PremiumSS</v>
      </c>
      <c r="D156" s="7" t="str">
        <f t="shared" si="10"/>
        <v>ry</v>
      </c>
      <c r="E156" s="6">
        <v>390</v>
      </c>
      <c r="F156" s="7" t="str">
        <f>VLOOKUP(E156,[1]characters!$A:$C,3,FALSE)</f>
        <v>華環の旅客 親指姫</v>
      </c>
      <c r="G156" s="7" t="str">
        <f>VLOOKUP(E156,[1]characters!$A:$J,10,FALSE)</f>
        <v>PremiumSS</v>
      </c>
      <c r="H156" s="7">
        <f>VLOOKUP(E156,[1]characters!$A:$I,9,FALSE)</f>
        <v>4</v>
      </c>
      <c r="I156" s="7" t="str">
        <f>VLOOKUP(E156,[1]characters!$A:$H,8,FALSE)</f>
        <v>red</v>
      </c>
      <c r="J156" s="7" t="str">
        <f>VLOOKUP(E156,[1]characters!$A:$K,11,FALSE)</f>
        <v>heal</v>
      </c>
      <c r="K156" s="7" t="str">
        <f>VLOOKUP(E156,[1]characters!$A:$M,13,FALSE)</f>
        <v>human</v>
      </c>
      <c r="L156" s="7" t="str">
        <f>VLOOKUP(E156,[1]characters!$A:$G,7,FALSE)</f>
        <v>女性</v>
      </c>
      <c r="M156" s="62">
        <f ca="1">IFERROR(VLOOKUP(E156,input_314100!L:R,7,FALSE),VLOOKUP(tables_314100!B156,input_314100!A:H,8,FALSE))</f>
        <v>35964</v>
      </c>
      <c r="N156" s="63">
        <f t="shared" ca="1" si="11"/>
        <v>1.2857142857142856E-3</v>
      </c>
      <c r="O156" s="31">
        <f>IFERROR(VLOOKUP($E156,bug_conf_sheet!$A:$H,3,FALSE),VLOOKUP("other",bug_conf_sheet!$A:$H,3,FALSE))</f>
        <v>1</v>
      </c>
      <c r="P156" s="31">
        <f>IFERROR(VLOOKUP($E156,bug_conf_sheet!$A:$H,4,FALSE),VLOOKUP("other",bug_conf_sheet!$A:$H,4,FALSE))</f>
        <v>0</v>
      </c>
      <c r="Q156" s="31">
        <f>IFERROR(VLOOKUP($E156,bug_conf_sheet!$A:$H,5,FALSE),VLOOKUP("other",bug_conf_sheet!$A:$H,5,FALSE))</f>
        <v>0</v>
      </c>
      <c r="R156" s="31">
        <f>IFERROR(VLOOKUP($E156,bug_conf_sheet!$A:$H,6,FALSE),VLOOKUP("other",bug_conf_sheet!$A:$H,6,FALSE))</f>
        <v>0</v>
      </c>
      <c r="S156" s="31">
        <f>IFERROR(VLOOKUP($E156,bug_conf_sheet!$A:$H,7,FALSE),VLOOKUP("other",bug_conf_sheet!$A:$H,7,FALSE))</f>
        <v>0</v>
      </c>
      <c r="T156" s="31">
        <f>IFERROR(VLOOKUP($E156,bug_conf_sheet!$A:$H,8,FALSE),VLOOKUP("other",bug_conf_sheet!$A:$H,8,FALSE))</f>
        <v>1</v>
      </c>
    </row>
    <row r="157" spans="1:20" ht="21" customHeight="1">
      <c r="A157" s="2" t="str">
        <f ca="1">input_314100!A$2</f>
        <v>314100</v>
      </c>
      <c r="B157" s="7" t="str">
        <f t="shared" si="8"/>
        <v>PremiumSSry5</v>
      </c>
      <c r="C157" s="7" t="str">
        <f t="shared" si="9"/>
        <v>PremiumSS</v>
      </c>
      <c r="D157" s="7" t="str">
        <f t="shared" si="10"/>
        <v>ry</v>
      </c>
      <c r="E157" s="6">
        <v>391</v>
      </c>
      <c r="F157" s="7" t="str">
        <f>VLOOKUP(E157,[1]characters!$A:$C,3,FALSE)</f>
        <v>燕翼の旅人 親指姫</v>
      </c>
      <c r="G157" s="7" t="str">
        <f>VLOOKUP(E157,[1]characters!$A:$J,10,FALSE)</f>
        <v>PremiumSS</v>
      </c>
      <c r="H157" s="7">
        <f>VLOOKUP(E157,[1]characters!$A:$I,9,FALSE)</f>
        <v>5</v>
      </c>
      <c r="I157" s="7" t="str">
        <f>VLOOKUP(E157,[1]characters!$A:$H,8,FALSE)</f>
        <v>red</v>
      </c>
      <c r="J157" s="7" t="str">
        <f>VLOOKUP(E157,[1]characters!$A:$K,11,FALSE)</f>
        <v>heal</v>
      </c>
      <c r="K157" s="7" t="str">
        <f>VLOOKUP(E157,[1]characters!$A:$M,13,FALSE)</f>
        <v>human</v>
      </c>
      <c r="L157" s="7" t="str">
        <f>VLOOKUP(E157,[1]characters!$A:$G,7,FALSE)</f>
        <v>女性</v>
      </c>
      <c r="M157" s="62">
        <f ca="1">IFERROR(VLOOKUP(E157,input_314100!L:R,7,FALSE),VLOOKUP(tables_314100!B157,input_314100!A:H,8,FALSE))</f>
        <v>3996</v>
      </c>
      <c r="N157" s="63">
        <f t="shared" ca="1" si="11"/>
        <v>1.4285714285714287E-4</v>
      </c>
      <c r="O157" s="31">
        <f>IFERROR(VLOOKUP($E157,bug_conf_sheet!$A:$H,3,FALSE),VLOOKUP("other",bug_conf_sheet!$A:$H,3,FALSE))</f>
        <v>1</v>
      </c>
      <c r="P157" s="31">
        <f>IFERROR(VLOOKUP($E157,bug_conf_sheet!$A:$H,4,FALSE),VLOOKUP("other",bug_conf_sheet!$A:$H,4,FALSE))</f>
        <v>0</v>
      </c>
      <c r="Q157" s="31">
        <f>IFERROR(VLOOKUP($E157,bug_conf_sheet!$A:$H,5,FALSE),VLOOKUP("other",bug_conf_sheet!$A:$H,5,FALSE))</f>
        <v>0</v>
      </c>
      <c r="R157" s="31">
        <f>IFERROR(VLOOKUP($E157,bug_conf_sheet!$A:$H,6,FALSE),VLOOKUP("other",bug_conf_sheet!$A:$H,6,FALSE))</f>
        <v>0</v>
      </c>
      <c r="S157" s="31">
        <f>IFERROR(VLOOKUP($E157,bug_conf_sheet!$A:$H,7,FALSE),VLOOKUP("other",bug_conf_sheet!$A:$H,7,FALSE))</f>
        <v>0</v>
      </c>
      <c r="T157" s="31">
        <f>IFERROR(VLOOKUP($E157,bug_conf_sheet!$A:$H,8,FALSE),VLOOKUP("other",bug_conf_sheet!$A:$H,8,FALSE))</f>
        <v>1</v>
      </c>
    </row>
    <row r="158" spans="1:20" ht="21" customHeight="1">
      <c r="A158" s="2" t="str">
        <f ca="1">input_314100!A$2</f>
        <v>314100</v>
      </c>
      <c r="B158" s="7" t="str">
        <f t="shared" si="8"/>
        <v>Premium3</v>
      </c>
      <c r="C158" s="7" t="str">
        <f t="shared" si="9"/>
        <v>Premium</v>
      </c>
      <c r="D158" s="7" t="str">
        <f t="shared" si="10"/>
        <v>bg</v>
      </c>
      <c r="E158" s="6">
        <v>392</v>
      </c>
      <c r="F158" s="7" t="str">
        <f>VLOOKUP(E158,[1]characters!$A:$C,3,FALSE)</f>
        <v>ピーターパン</v>
      </c>
      <c r="G158" s="7" t="str">
        <f>VLOOKUP(E158,[1]characters!$A:$J,10,FALSE)</f>
        <v>PremiumS</v>
      </c>
      <c r="H158" s="7">
        <f>VLOOKUP(E158,[1]characters!$A:$I,9,FALSE)</f>
        <v>3</v>
      </c>
      <c r="I158" s="7" t="str">
        <f>VLOOKUP(E158,[1]characters!$A:$H,8,FALSE)</f>
        <v>green</v>
      </c>
      <c r="J158" s="7" t="str">
        <f>VLOOKUP(E158,[1]characters!$A:$K,11,FALSE)</f>
        <v>attack</v>
      </c>
      <c r="K158" s="7" t="str">
        <f>VLOOKUP(E158,[1]characters!$A:$M,13,FALSE)</f>
        <v>human</v>
      </c>
      <c r="L158" s="7" t="str">
        <f>VLOOKUP(E158,[1]characters!$A:$G,7,FALSE)</f>
        <v>男性</v>
      </c>
      <c r="M158" s="62">
        <f ca="1">IFERROR(VLOOKUP(E158,input_314100!L:R,7,FALSE),VLOOKUP(tables_314100!B158,input_314100!A:H,8,FALSE))</f>
        <v>0</v>
      </c>
      <c r="N158" s="63">
        <f t="shared" ca="1" si="11"/>
        <v>0</v>
      </c>
      <c r="O158" s="31">
        <f>IFERROR(VLOOKUP($E158,bug_conf_sheet!$A:$H,3,FALSE),VLOOKUP("other",bug_conf_sheet!$A:$H,3,FALSE))</f>
        <v>1</v>
      </c>
      <c r="P158" s="31">
        <f>IFERROR(VLOOKUP($E158,bug_conf_sheet!$A:$H,4,FALSE),VLOOKUP("other",bug_conf_sheet!$A:$H,4,FALSE))</f>
        <v>0</v>
      </c>
      <c r="Q158" s="31">
        <f>IFERROR(VLOOKUP($E158,bug_conf_sheet!$A:$H,5,FALSE),VLOOKUP("other",bug_conf_sheet!$A:$H,5,FALSE))</f>
        <v>0</v>
      </c>
      <c r="R158" s="31">
        <f>IFERROR(VLOOKUP($E158,bug_conf_sheet!$A:$H,6,FALSE),VLOOKUP("other",bug_conf_sheet!$A:$H,6,FALSE))</f>
        <v>0</v>
      </c>
      <c r="S158" s="31">
        <f>IFERROR(VLOOKUP($E158,bug_conf_sheet!$A:$H,7,FALSE),VLOOKUP("other",bug_conf_sheet!$A:$H,7,FALSE))</f>
        <v>0</v>
      </c>
      <c r="T158" s="31">
        <f>IFERROR(VLOOKUP($E158,bug_conf_sheet!$A:$H,8,FALSE),VLOOKUP("other",bug_conf_sheet!$A:$H,8,FALSE))</f>
        <v>1</v>
      </c>
    </row>
    <row r="159" spans="1:20" ht="21" customHeight="1">
      <c r="A159" s="2" t="str">
        <f ca="1">input_314100!A$2</f>
        <v>314100</v>
      </c>
      <c r="B159" s="7" t="str">
        <f t="shared" si="8"/>
        <v>Premium4</v>
      </c>
      <c r="C159" s="7" t="str">
        <f t="shared" si="9"/>
        <v>Premium</v>
      </c>
      <c r="D159" s="7" t="str">
        <f t="shared" si="10"/>
        <v>bg</v>
      </c>
      <c r="E159" s="6">
        <v>393</v>
      </c>
      <c r="F159" s="7" t="str">
        <f>VLOOKUP(E159,[1]characters!$A:$C,3,FALSE)</f>
        <v>影縫い ピーターパン</v>
      </c>
      <c r="G159" s="7" t="str">
        <f>VLOOKUP(E159,[1]characters!$A:$J,10,FALSE)</f>
        <v>PremiumS</v>
      </c>
      <c r="H159" s="7">
        <f>VLOOKUP(E159,[1]characters!$A:$I,9,FALSE)</f>
        <v>4</v>
      </c>
      <c r="I159" s="7" t="str">
        <f>VLOOKUP(E159,[1]characters!$A:$H,8,FALSE)</f>
        <v>green</v>
      </c>
      <c r="J159" s="7" t="str">
        <f>VLOOKUP(E159,[1]characters!$A:$K,11,FALSE)</f>
        <v>attack</v>
      </c>
      <c r="K159" s="7" t="str">
        <f>VLOOKUP(E159,[1]characters!$A:$M,13,FALSE)</f>
        <v>human</v>
      </c>
      <c r="L159" s="7" t="str">
        <f>VLOOKUP(E159,[1]characters!$A:$G,7,FALSE)</f>
        <v>男性</v>
      </c>
      <c r="M159" s="62">
        <f ca="1">IFERROR(VLOOKUP(E159,input_314100!L:R,7,FALSE),VLOOKUP(tables_314100!B159,input_314100!A:H,8,FALSE))</f>
        <v>342090</v>
      </c>
      <c r="N159" s="63">
        <f t="shared" ca="1" si="11"/>
        <v>1.222972972972973E-2</v>
      </c>
      <c r="O159" s="31">
        <f>IFERROR(VLOOKUP($E159,bug_conf_sheet!$A:$H,3,FALSE),VLOOKUP("other",bug_conf_sheet!$A:$H,3,FALSE))</f>
        <v>1</v>
      </c>
      <c r="P159" s="31">
        <f>IFERROR(VLOOKUP($E159,bug_conf_sheet!$A:$H,4,FALSE),VLOOKUP("other",bug_conf_sheet!$A:$H,4,FALSE))</f>
        <v>0</v>
      </c>
      <c r="Q159" s="31">
        <f>IFERROR(VLOOKUP($E159,bug_conf_sheet!$A:$H,5,FALSE),VLOOKUP("other",bug_conf_sheet!$A:$H,5,FALSE))</f>
        <v>0</v>
      </c>
      <c r="R159" s="31">
        <f>IFERROR(VLOOKUP($E159,bug_conf_sheet!$A:$H,6,FALSE),VLOOKUP("other",bug_conf_sheet!$A:$H,6,FALSE))</f>
        <v>0</v>
      </c>
      <c r="S159" s="31">
        <f>IFERROR(VLOOKUP($E159,bug_conf_sheet!$A:$H,7,FALSE),VLOOKUP("other",bug_conf_sheet!$A:$H,7,FALSE))</f>
        <v>0</v>
      </c>
      <c r="T159" s="31">
        <f>IFERROR(VLOOKUP($E159,bug_conf_sheet!$A:$H,8,FALSE),VLOOKUP("other",bug_conf_sheet!$A:$H,8,FALSE))</f>
        <v>1</v>
      </c>
    </row>
    <row r="160" spans="1:20" ht="21" customHeight="1">
      <c r="A160" s="2" t="str">
        <f ca="1">input_314100!A$2</f>
        <v>314100</v>
      </c>
      <c r="B160" s="7" t="str">
        <f t="shared" si="8"/>
        <v>Premium5</v>
      </c>
      <c r="C160" s="7" t="str">
        <f t="shared" si="9"/>
        <v>Premium</v>
      </c>
      <c r="D160" s="7" t="str">
        <f t="shared" si="10"/>
        <v>bg</v>
      </c>
      <c r="E160" s="6">
        <v>394</v>
      </c>
      <c r="F160" s="7" t="str">
        <f>VLOOKUP(E160,[1]characters!$A:$C,3,FALSE)</f>
        <v>影求の悪童 ピーターパン</v>
      </c>
      <c r="G160" s="7" t="str">
        <f>VLOOKUP(E160,[1]characters!$A:$J,10,FALSE)</f>
        <v>PremiumS</v>
      </c>
      <c r="H160" s="7">
        <f>VLOOKUP(E160,[1]characters!$A:$I,9,FALSE)</f>
        <v>5</v>
      </c>
      <c r="I160" s="7" t="str">
        <f>VLOOKUP(E160,[1]characters!$A:$H,8,FALSE)</f>
        <v>green</v>
      </c>
      <c r="J160" s="7" t="str">
        <f>VLOOKUP(E160,[1]characters!$A:$K,11,FALSE)</f>
        <v>attack</v>
      </c>
      <c r="K160" s="7" t="str">
        <f>VLOOKUP(E160,[1]characters!$A:$M,13,FALSE)</f>
        <v>human</v>
      </c>
      <c r="L160" s="7" t="str">
        <f>VLOOKUP(E160,[1]characters!$A:$G,7,FALSE)</f>
        <v>男性</v>
      </c>
      <c r="M160" s="62">
        <f ca="1">IFERROR(VLOOKUP(E160,input_314100!L:R,7,FALSE),VLOOKUP(tables_314100!B160,input_314100!A:H,8,FALSE))</f>
        <v>12950</v>
      </c>
      <c r="N160" s="63">
        <f t="shared" ca="1" si="11"/>
        <v>4.6296296296296298E-4</v>
      </c>
      <c r="O160" s="31">
        <f>IFERROR(VLOOKUP($E160,bug_conf_sheet!$A:$H,3,FALSE),VLOOKUP("other",bug_conf_sheet!$A:$H,3,FALSE))</f>
        <v>1</v>
      </c>
      <c r="P160" s="31">
        <f>IFERROR(VLOOKUP($E160,bug_conf_sheet!$A:$H,4,FALSE),VLOOKUP("other",bug_conf_sheet!$A:$H,4,FALSE))</f>
        <v>0</v>
      </c>
      <c r="Q160" s="31">
        <f>IFERROR(VLOOKUP($E160,bug_conf_sheet!$A:$H,5,FALSE),VLOOKUP("other",bug_conf_sheet!$A:$H,5,FALSE))</f>
        <v>0</v>
      </c>
      <c r="R160" s="31">
        <f>IFERROR(VLOOKUP($E160,bug_conf_sheet!$A:$H,6,FALSE),VLOOKUP("other",bug_conf_sheet!$A:$H,6,FALSE))</f>
        <v>0</v>
      </c>
      <c r="S160" s="31">
        <f>IFERROR(VLOOKUP($E160,bug_conf_sheet!$A:$H,7,FALSE),VLOOKUP("other",bug_conf_sheet!$A:$H,7,FALSE))</f>
        <v>0</v>
      </c>
      <c r="T160" s="31">
        <f>IFERROR(VLOOKUP($E160,bug_conf_sheet!$A:$H,8,FALSE),VLOOKUP("other",bug_conf_sheet!$A:$H,8,FALSE))</f>
        <v>1</v>
      </c>
    </row>
    <row r="161" spans="1:20" ht="21" customHeight="1">
      <c r="A161" s="2" t="str">
        <f ca="1">input_314100!A$2</f>
        <v>314100</v>
      </c>
      <c r="B161" s="7" t="str">
        <f t="shared" si="8"/>
        <v>Premium3</v>
      </c>
      <c r="C161" s="7" t="str">
        <f t="shared" si="9"/>
        <v>Premium</v>
      </c>
      <c r="D161" s="7" t="str">
        <f t="shared" si="10"/>
        <v>bg</v>
      </c>
      <c r="E161" s="6">
        <v>395</v>
      </c>
      <c r="F161" s="7" t="str">
        <f>VLOOKUP(E161,[1]characters!$A:$C,3,FALSE)</f>
        <v>乙姫</v>
      </c>
      <c r="G161" s="7" t="str">
        <f>VLOOKUP(E161,[1]characters!$A:$J,10,FALSE)</f>
        <v>PremiumS</v>
      </c>
      <c r="H161" s="7">
        <f>VLOOKUP(E161,[1]characters!$A:$I,9,FALSE)</f>
        <v>3</v>
      </c>
      <c r="I161" s="7" t="str">
        <f>VLOOKUP(E161,[1]characters!$A:$H,8,FALSE)</f>
        <v>blue</v>
      </c>
      <c r="J161" s="7" t="str">
        <f>VLOOKUP(E161,[1]characters!$A:$K,11,FALSE)</f>
        <v>hp</v>
      </c>
      <c r="K161" s="7" t="str">
        <f>VLOOKUP(E161,[1]characters!$A:$M,13,FALSE)</f>
        <v>human</v>
      </c>
      <c r="L161" s="7" t="str">
        <f>VLOOKUP(E161,[1]characters!$A:$G,7,FALSE)</f>
        <v>女性</v>
      </c>
      <c r="M161" s="62">
        <f ca="1">IFERROR(VLOOKUP(E161,input_314100!L:R,7,FALSE),VLOOKUP(tables_314100!B161,input_314100!A:H,8,FALSE))</f>
        <v>0</v>
      </c>
      <c r="N161" s="63">
        <f t="shared" ca="1" si="11"/>
        <v>0</v>
      </c>
      <c r="O161" s="31">
        <f>IFERROR(VLOOKUP($E161,bug_conf_sheet!$A:$H,3,FALSE),VLOOKUP("other",bug_conf_sheet!$A:$H,3,FALSE))</f>
        <v>1</v>
      </c>
      <c r="P161" s="31">
        <f>IFERROR(VLOOKUP($E161,bug_conf_sheet!$A:$H,4,FALSE),VLOOKUP("other",bug_conf_sheet!$A:$H,4,FALSE))</f>
        <v>0</v>
      </c>
      <c r="Q161" s="31">
        <f>IFERROR(VLOOKUP($E161,bug_conf_sheet!$A:$H,5,FALSE),VLOOKUP("other",bug_conf_sheet!$A:$H,5,FALSE))</f>
        <v>0</v>
      </c>
      <c r="R161" s="31">
        <f>IFERROR(VLOOKUP($E161,bug_conf_sheet!$A:$H,6,FALSE),VLOOKUP("other",bug_conf_sheet!$A:$H,6,FALSE))</f>
        <v>0</v>
      </c>
      <c r="S161" s="31">
        <f>IFERROR(VLOOKUP($E161,bug_conf_sheet!$A:$H,7,FALSE),VLOOKUP("other",bug_conf_sheet!$A:$H,7,FALSE))</f>
        <v>0</v>
      </c>
      <c r="T161" s="31">
        <f>IFERROR(VLOOKUP($E161,bug_conf_sheet!$A:$H,8,FALSE),VLOOKUP("other",bug_conf_sheet!$A:$H,8,FALSE))</f>
        <v>1</v>
      </c>
    </row>
    <row r="162" spans="1:20" ht="21" customHeight="1">
      <c r="A162" s="2" t="str">
        <f ca="1">input_314100!A$2</f>
        <v>314100</v>
      </c>
      <c r="B162" s="7" t="str">
        <f t="shared" si="8"/>
        <v>Premium4</v>
      </c>
      <c r="C162" s="7" t="str">
        <f t="shared" si="9"/>
        <v>Premium</v>
      </c>
      <c r="D162" s="7" t="str">
        <f t="shared" si="10"/>
        <v>bg</v>
      </c>
      <c r="E162" s="6">
        <v>396</v>
      </c>
      <c r="F162" s="7" t="str">
        <f>VLOOKUP(E162,[1]characters!$A:$C,3,FALSE)</f>
        <v>竜宮の水雷 乙姫</v>
      </c>
      <c r="G162" s="7" t="str">
        <f>VLOOKUP(E162,[1]characters!$A:$J,10,FALSE)</f>
        <v>PremiumS</v>
      </c>
      <c r="H162" s="7">
        <f>VLOOKUP(E162,[1]characters!$A:$I,9,FALSE)</f>
        <v>4</v>
      </c>
      <c r="I162" s="7" t="str">
        <f>VLOOKUP(E162,[1]characters!$A:$H,8,FALSE)</f>
        <v>blue</v>
      </c>
      <c r="J162" s="7" t="str">
        <f>VLOOKUP(E162,[1]characters!$A:$K,11,FALSE)</f>
        <v>hp</v>
      </c>
      <c r="K162" s="7" t="str">
        <f>VLOOKUP(E162,[1]characters!$A:$M,13,FALSE)</f>
        <v>human</v>
      </c>
      <c r="L162" s="7" t="str">
        <f>VLOOKUP(E162,[1]characters!$A:$G,7,FALSE)</f>
        <v>女性</v>
      </c>
      <c r="M162" s="62">
        <f ca="1">IFERROR(VLOOKUP(E162,input_314100!L:R,7,FALSE),VLOOKUP(tables_314100!B162,input_314100!A:H,8,FALSE))</f>
        <v>342090</v>
      </c>
      <c r="N162" s="63">
        <f t="shared" ca="1" si="11"/>
        <v>1.222972972972973E-2</v>
      </c>
      <c r="O162" s="31">
        <f>IFERROR(VLOOKUP($E162,bug_conf_sheet!$A:$H,3,FALSE),VLOOKUP("other",bug_conf_sheet!$A:$H,3,FALSE))</f>
        <v>1</v>
      </c>
      <c r="P162" s="31">
        <f>IFERROR(VLOOKUP($E162,bug_conf_sheet!$A:$H,4,FALSE),VLOOKUP("other",bug_conf_sheet!$A:$H,4,FALSE))</f>
        <v>0</v>
      </c>
      <c r="Q162" s="31">
        <f>IFERROR(VLOOKUP($E162,bug_conf_sheet!$A:$H,5,FALSE),VLOOKUP("other",bug_conf_sheet!$A:$H,5,FALSE))</f>
        <v>0</v>
      </c>
      <c r="R162" s="31">
        <f>IFERROR(VLOOKUP($E162,bug_conf_sheet!$A:$H,6,FALSE),VLOOKUP("other",bug_conf_sheet!$A:$H,6,FALSE))</f>
        <v>0</v>
      </c>
      <c r="S162" s="31">
        <f>IFERROR(VLOOKUP($E162,bug_conf_sheet!$A:$H,7,FALSE),VLOOKUP("other",bug_conf_sheet!$A:$H,7,FALSE))</f>
        <v>0</v>
      </c>
      <c r="T162" s="31">
        <f>IFERROR(VLOOKUP($E162,bug_conf_sheet!$A:$H,8,FALSE),VLOOKUP("other",bug_conf_sheet!$A:$H,8,FALSE))</f>
        <v>1</v>
      </c>
    </row>
    <row r="163" spans="1:20" ht="21" customHeight="1">
      <c r="A163" s="2" t="str">
        <f ca="1">input_314100!A$2</f>
        <v>314100</v>
      </c>
      <c r="B163" s="7" t="str">
        <f t="shared" si="8"/>
        <v>Premium5</v>
      </c>
      <c r="C163" s="7" t="str">
        <f t="shared" si="9"/>
        <v>Premium</v>
      </c>
      <c r="D163" s="7" t="str">
        <f t="shared" si="10"/>
        <v>bg</v>
      </c>
      <c r="E163" s="6">
        <v>397</v>
      </c>
      <c r="F163" s="7" t="str">
        <f>VLOOKUP(E163,[1]characters!$A:$C,3,FALSE)</f>
        <v>禁断の追箱 乙姫</v>
      </c>
      <c r="G163" s="7" t="str">
        <f>VLOOKUP(E163,[1]characters!$A:$J,10,FALSE)</f>
        <v>PremiumS</v>
      </c>
      <c r="H163" s="7">
        <f>VLOOKUP(E163,[1]characters!$A:$I,9,FALSE)</f>
        <v>5</v>
      </c>
      <c r="I163" s="7" t="str">
        <f>VLOOKUP(E163,[1]characters!$A:$H,8,FALSE)</f>
        <v>blue</v>
      </c>
      <c r="J163" s="7" t="str">
        <f>VLOOKUP(E163,[1]characters!$A:$K,11,FALSE)</f>
        <v>hp</v>
      </c>
      <c r="K163" s="7" t="str">
        <f>VLOOKUP(E163,[1]characters!$A:$M,13,FALSE)</f>
        <v>human</v>
      </c>
      <c r="L163" s="7" t="str">
        <f>VLOOKUP(E163,[1]characters!$A:$G,7,FALSE)</f>
        <v>女性</v>
      </c>
      <c r="M163" s="62">
        <f ca="1">IFERROR(VLOOKUP(E163,input_314100!L:R,7,FALSE),VLOOKUP(tables_314100!B163,input_314100!A:H,8,FALSE))</f>
        <v>12950</v>
      </c>
      <c r="N163" s="63">
        <f t="shared" ca="1" si="11"/>
        <v>4.6296296296296298E-4</v>
      </c>
      <c r="O163" s="31">
        <f>IFERROR(VLOOKUP($E163,bug_conf_sheet!$A:$H,3,FALSE),VLOOKUP("other",bug_conf_sheet!$A:$H,3,FALSE))</f>
        <v>1</v>
      </c>
      <c r="P163" s="31">
        <f>IFERROR(VLOOKUP($E163,bug_conf_sheet!$A:$H,4,FALSE),VLOOKUP("other",bug_conf_sheet!$A:$H,4,FALSE))</f>
        <v>0</v>
      </c>
      <c r="Q163" s="31">
        <f>IFERROR(VLOOKUP($E163,bug_conf_sheet!$A:$H,5,FALSE),VLOOKUP("other",bug_conf_sheet!$A:$H,5,FALSE))</f>
        <v>0</v>
      </c>
      <c r="R163" s="31">
        <f>IFERROR(VLOOKUP($E163,bug_conf_sheet!$A:$H,6,FALSE),VLOOKUP("other",bug_conf_sheet!$A:$H,6,FALSE))</f>
        <v>0</v>
      </c>
      <c r="S163" s="31">
        <f>IFERROR(VLOOKUP($E163,bug_conf_sheet!$A:$H,7,FALSE),VLOOKUP("other",bug_conf_sheet!$A:$H,7,FALSE))</f>
        <v>0</v>
      </c>
      <c r="T163" s="31">
        <f>IFERROR(VLOOKUP($E163,bug_conf_sheet!$A:$H,8,FALSE),VLOOKUP("other",bug_conf_sheet!$A:$H,8,FALSE))</f>
        <v>1</v>
      </c>
    </row>
    <row r="164" spans="1:20" ht="21" customHeight="1">
      <c r="A164" s="2" t="str">
        <f ca="1">input_314100!A$2</f>
        <v>314100</v>
      </c>
      <c r="B164" s="7" t="str">
        <f t="shared" si="8"/>
        <v>PremiumSSry4</v>
      </c>
      <c r="C164" s="7" t="str">
        <f t="shared" si="9"/>
        <v>PremiumSS</v>
      </c>
      <c r="D164" s="7" t="str">
        <f t="shared" si="10"/>
        <v>ry</v>
      </c>
      <c r="E164" s="6">
        <v>398</v>
      </c>
      <c r="F164" s="7" t="str">
        <f>VLOOKUP(E164,[1]characters!$A:$C,3,FALSE)</f>
        <v>ヘンゼル＆グレーテル</v>
      </c>
      <c r="G164" s="7" t="str">
        <f>VLOOKUP(E164,[1]characters!$A:$J,10,FALSE)</f>
        <v>PremiumSS</v>
      </c>
      <c r="H164" s="7">
        <f>VLOOKUP(E164,[1]characters!$A:$I,9,FALSE)</f>
        <v>4</v>
      </c>
      <c r="I164" s="7" t="str">
        <f>VLOOKUP(E164,[1]characters!$A:$H,8,FALSE)</f>
        <v>yellow</v>
      </c>
      <c r="J164" s="7" t="str">
        <f>VLOOKUP(E164,[1]characters!$A:$K,11,FALSE)</f>
        <v>balance</v>
      </c>
      <c r="K164" s="7" t="str">
        <f>VLOOKUP(E164,[1]characters!$A:$M,13,FALSE)</f>
        <v>human</v>
      </c>
      <c r="L164" s="7" t="str">
        <f>VLOOKUP(E164,[1]characters!$A:$G,7,FALSE)</f>
        <v>女性</v>
      </c>
      <c r="M164" s="62">
        <f ca="1">IFERROR(VLOOKUP(E164,input_314100!L:R,7,FALSE),VLOOKUP(tables_314100!B164,input_314100!A:H,8,FALSE))</f>
        <v>35964</v>
      </c>
      <c r="N164" s="63">
        <f t="shared" ca="1" si="11"/>
        <v>1.2857142857142856E-3</v>
      </c>
      <c r="O164" s="31">
        <f>IFERROR(VLOOKUP($E164,bug_conf_sheet!$A:$H,3,FALSE),VLOOKUP("other",bug_conf_sheet!$A:$H,3,FALSE))</f>
        <v>1</v>
      </c>
      <c r="P164" s="31">
        <f>IFERROR(VLOOKUP($E164,bug_conf_sheet!$A:$H,4,FALSE),VLOOKUP("other",bug_conf_sheet!$A:$H,4,FALSE))</f>
        <v>0</v>
      </c>
      <c r="Q164" s="31">
        <f>IFERROR(VLOOKUP($E164,bug_conf_sheet!$A:$H,5,FALSE),VLOOKUP("other",bug_conf_sheet!$A:$H,5,FALSE))</f>
        <v>0</v>
      </c>
      <c r="R164" s="31">
        <f>IFERROR(VLOOKUP($E164,bug_conf_sheet!$A:$H,6,FALSE),VLOOKUP("other",bug_conf_sheet!$A:$H,6,FALSE))</f>
        <v>0</v>
      </c>
      <c r="S164" s="31">
        <f>IFERROR(VLOOKUP($E164,bug_conf_sheet!$A:$H,7,FALSE),VLOOKUP("other",bug_conf_sheet!$A:$H,7,FALSE))</f>
        <v>0</v>
      </c>
      <c r="T164" s="31">
        <f>IFERROR(VLOOKUP($E164,bug_conf_sheet!$A:$H,8,FALSE),VLOOKUP("other",bug_conf_sheet!$A:$H,8,FALSE))</f>
        <v>1</v>
      </c>
    </row>
    <row r="165" spans="1:20" ht="21" customHeight="1">
      <c r="A165" s="2" t="str">
        <f ca="1">input_314100!A$2</f>
        <v>314100</v>
      </c>
      <c r="B165" s="7" t="str">
        <f t="shared" si="8"/>
        <v>PremiumSSry5</v>
      </c>
      <c r="C165" s="7" t="str">
        <f t="shared" si="9"/>
        <v>PremiumSS</v>
      </c>
      <c r="D165" s="7" t="str">
        <f t="shared" si="10"/>
        <v>ry</v>
      </c>
      <c r="E165" s="6">
        <v>399</v>
      </c>
      <c r="F165" s="7" t="str">
        <f>VLOOKUP(E165,[1]characters!$A:$C,3,FALSE)</f>
        <v>信愛の兄妹 ヘンゼル＆グレーテル</v>
      </c>
      <c r="G165" s="7" t="str">
        <f>VLOOKUP(E165,[1]characters!$A:$J,10,FALSE)</f>
        <v>PremiumSS</v>
      </c>
      <c r="H165" s="7">
        <f>VLOOKUP(E165,[1]characters!$A:$I,9,FALSE)</f>
        <v>5</v>
      </c>
      <c r="I165" s="7" t="str">
        <f>VLOOKUP(E165,[1]characters!$A:$H,8,FALSE)</f>
        <v>yellow</v>
      </c>
      <c r="J165" s="7" t="str">
        <f>VLOOKUP(E165,[1]characters!$A:$K,11,FALSE)</f>
        <v>balance</v>
      </c>
      <c r="K165" s="7" t="str">
        <f>VLOOKUP(E165,[1]characters!$A:$M,13,FALSE)</f>
        <v>human</v>
      </c>
      <c r="L165" s="7" t="str">
        <f>VLOOKUP(E165,[1]characters!$A:$G,7,FALSE)</f>
        <v>女性</v>
      </c>
      <c r="M165" s="62">
        <f ca="1">IFERROR(VLOOKUP(E165,input_314100!L:R,7,FALSE),VLOOKUP(tables_314100!B165,input_314100!A:H,8,FALSE))</f>
        <v>3996</v>
      </c>
      <c r="N165" s="63">
        <f t="shared" ca="1" si="11"/>
        <v>1.4285714285714287E-4</v>
      </c>
      <c r="O165" s="31">
        <f>IFERROR(VLOOKUP($E165,bug_conf_sheet!$A:$H,3,FALSE),VLOOKUP("other",bug_conf_sheet!$A:$H,3,FALSE))</f>
        <v>1</v>
      </c>
      <c r="P165" s="31">
        <f>IFERROR(VLOOKUP($E165,bug_conf_sheet!$A:$H,4,FALSE),VLOOKUP("other",bug_conf_sheet!$A:$H,4,FALSE))</f>
        <v>0</v>
      </c>
      <c r="Q165" s="31">
        <f>IFERROR(VLOOKUP($E165,bug_conf_sheet!$A:$H,5,FALSE),VLOOKUP("other",bug_conf_sheet!$A:$H,5,FALSE))</f>
        <v>0</v>
      </c>
      <c r="R165" s="31">
        <f>IFERROR(VLOOKUP($E165,bug_conf_sheet!$A:$H,6,FALSE),VLOOKUP("other",bug_conf_sheet!$A:$H,6,FALSE))</f>
        <v>0</v>
      </c>
      <c r="S165" s="31">
        <f>IFERROR(VLOOKUP($E165,bug_conf_sheet!$A:$H,7,FALSE),VLOOKUP("other",bug_conf_sheet!$A:$H,7,FALSE))</f>
        <v>0</v>
      </c>
      <c r="T165" s="31">
        <f>IFERROR(VLOOKUP($E165,bug_conf_sheet!$A:$H,8,FALSE),VLOOKUP("other",bug_conf_sheet!$A:$H,8,FALSE))</f>
        <v>1</v>
      </c>
    </row>
    <row r="166" spans="1:20" ht="21" customHeight="1">
      <c r="A166" s="2" t="str">
        <f ca="1">input_314100!A$2</f>
        <v>314100</v>
      </c>
      <c r="B166" s="7" t="str">
        <f t="shared" si="8"/>
        <v>Premium3</v>
      </c>
      <c r="C166" s="7" t="str">
        <f t="shared" si="9"/>
        <v>Premium</v>
      </c>
      <c r="D166" s="7" t="str">
        <f t="shared" si="10"/>
        <v>ry</v>
      </c>
      <c r="E166" s="6">
        <v>400</v>
      </c>
      <c r="F166" s="7" t="str">
        <f>VLOOKUP(E166,[1]characters!$A:$C,3,FALSE)</f>
        <v>フェンリル</v>
      </c>
      <c r="G166" s="7" t="str">
        <f>VLOOKUP(E166,[1]characters!$A:$J,10,FALSE)</f>
        <v>PremiumS</v>
      </c>
      <c r="H166" s="7">
        <f>VLOOKUP(E166,[1]characters!$A:$I,9,FALSE)</f>
        <v>3</v>
      </c>
      <c r="I166" s="7" t="str">
        <f>VLOOKUP(E166,[1]characters!$A:$H,8,FALSE)</f>
        <v>red</v>
      </c>
      <c r="J166" s="7" t="str">
        <f>VLOOKUP(E166,[1]characters!$A:$K,11,FALSE)</f>
        <v>attack</v>
      </c>
      <c r="K166" s="7" t="str">
        <f>VLOOKUP(E166,[1]characters!$A:$M,13,FALSE)</f>
        <v>animal</v>
      </c>
      <c r="L166" s="7" t="str">
        <f>VLOOKUP(E166,[1]characters!$A:$G,7,FALSE)</f>
        <v>女性</v>
      </c>
      <c r="M166" s="62">
        <f ca="1">IFERROR(VLOOKUP(E166,input_314100!L:R,7,FALSE),VLOOKUP(tables_314100!B166,input_314100!A:H,8,FALSE))</f>
        <v>0</v>
      </c>
      <c r="N166" s="63">
        <f t="shared" ca="1" si="11"/>
        <v>0</v>
      </c>
      <c r="O166" s="31">
        <f>IFERROR(VLOOKUP($E166,bug_conf_sheet!$A:$H,3,FALSE),VLOOKUP("other",bug_conf_sheet!$A:$H,3,FALSE))</f>
        <v>1</v>
      </c>
      <c r="P166" s="31">
        <f>IFERROR(VLOOKUP($E166,bug_conf_sheet!$A:$H,4,FALSE),VLOOKUP("other",bug_conf_sheet!$A:$H,4,FALSE))</f>
        <v>0</v>
      </c>
      <c r="Q166" s="31">
        <f>IFERROR(VLOOKUP($E166,bug_conf_sheet!$A:$H,5,FALSE),VLOOKUP("other",bug_conf_sheet!$A:$H,5,FALSE))</f>
        <v>0</v>
      </c>
      <c r="R166" s="31">
        <f>IFERROR(VLOOKUP($E166,bug_conf_sheet!$A:$H,6,FALSE),VLOOKUP("other",bug_conf_sheet!$A:$H,6,FALSE))</f>
        <v>0</v>
      </c>
      <c r="S166" s="31">
        <f>IFERROR(VLOOKUP($E166,bug_conf_sheet!$A:$H,7,FALSE),VLOOKUP("other",bug_conf_sheet!$A:$H,7,FALSE))</f>
        <v>0</v>
      </c>
      <c r="T166" s="31">
        <f>IFERROR(VLOOKUP($E166,bug_conf_sheet!$A:$H,8,FALSE),VLOOKUP("other",bug_conf_sheet!$A:$H,8,FALSE))</f>
        <v>1</v>
      </c>
    </row>
    <row r="167" spans="1:20" ht="21" customHeight="1">
      <c r="A167" s="2" t="str">
        <f ca="1">input_314100!A$2</f>
        <v>314100</v>
      </c>
      <c r="B167" s="7" t="str">
        <f t="shared" si="8"/>
        <v>Premium4</v>
      </c>
      <c r="C167" s="7" t="str">
        <f t="shared" si="9"/>
        <v>Premium</v>
      </c>
      <c r="D167" s="7" t="str">
        <f t="shared" si="10"/>
        <v>ry</v>
      </c>
      <c r="E167" s="6">
        <v>401</v>
      </c>
      <c r="F167" s="7" t="str">
        <f>VLOOKUP(E167,[1]characters!$A:$C,3,FALSE)</f>
        <v>紅銀の孤狼 フェンリル</v>
      </c>
      <c r="G167" s="7" t="str">
        <f>VLOOKUP(E167,[1]characters!$A:$J,10,FALSE)</f>
        <v>PremiumS</v>
      </c>
      <c r="H167" s="7">
        <f>VLOOKUP(E167,[1]characters!$A:$I,9,FALSE)</f>
        <v>4</v>
      </c>
      <c r="I167" s="7" t="str">
        <f>VLOOKUP(E167,[1]characters!$A:$H,8,FALSE)</f>
        <v>red</v>
      </c>
      <c r="J167" s="7" t="str">
        <f>VLOOKUP(E167,[1]characters!$A:$K,11,FALSE)</f>
        <v>attack</v>
      </c>
      <c r="K167" s="7" t="str">
        <f>VLOOKUP(E167,[1]characters!$A:$M,13,FALSE)</f>
        <v>animal</v>
      </c>
      <c r="L167" s="7" t="str">
        <f>VLOOKUP(E167,[1]characters!$A:$G,7,FALSE)</f>
        <v>女性</v>
      </c>
      <c r="M167" s="62">
        <f ca="1">IFERROR(VLOOKUP(E167,input_314100!L:R,7,FALSE),VLOOKUP(tables_314100!B167,input_314100!A:H,8,FALSE))</f>
        <v>342090</v>
      </c>
      <c r="N167" s="63">
        <f t="shared" ca="1" si="11"/>
        <v>1.222972972972973E-2</v>
      </c>
      <c r="O167" s="31">
        <f>IFERROR(VLOOKUP($E167,bug_conf_sheet!$A:$H,3,FALSE),VLOOKUP("other",bug_conf_sheet!$A:$H,3,FALSE))</f>
        <v>1</v>
      </c>
      <c r="P167" s="31">
        <f>IFERROR(VLOOKUP($E167,bug_conf_sheet!$A:$H,4,FALSE),VLOOKUP("other",bug_conf_sheet!$A:$H,4,FALSE))</f>
        <v>0</v>
      </c>
      <c r="Q167" s="31">
        <f>IFERROR(VLOOKUP($E167,bug_conf_sheet!$A:$H,5,FALSE),VLOOKUP("other",bug_conf_sheet!$A:$H,5,FALSE))</f>
        <v>0</v>
      </c>
      <c r="R167" s="31">
        <f>IFERROR(VLOOKUP($E167,bug_conf_sheet!$A:$H,6,FALSE),VLOOKUP("other",bug_conf_sheet!$A:$H,6,FALSE))</f>
        <v>0</v>
      </c>
      <c r="S167" s="31">
        <f>IFERROR(VLOOKUP($E167,bug_conf_sheet!$A:$H,7,FALSE),VLOOKUP("other",bug_conf_sheet!$A:$H,7,FALSE))</f>
        <v>0</v>
      </c>
      <c r="T167" s="31">
        <f>IFERROR(VLOOKUP($E167,bug_conf_sheet!$A:$H,8,FALSE),VLOOKUP("other",bug_conf_sheet!$A:$H,8,FALSE))</f>
        <v>1</v>
      </c>
    </row>
    <row r="168" spans="1:20" ht="21" customHeight="1">
      <c r="A168" s="2" t="str">
        <f ca="1">input_314100!A$2</f>
        <v>314100</v>
      </c>
      <c r="B168" s="7" t="str">
        <f t="shared" si="8"/>
        <v>Premium5</v>
      </c>
      <c r="C168" s="7" t="str">
        <f t="shared" si="9"/>
        <v>Premium</v>
      </c>
      <c r="D168" s="7" t="str">
        <f t="shared" si="10"/>
        <v>ry</v>
      </c>
      <c r="E168" s="6">
        <v>402</v>
      </c>
      <c r="F168" s="7" t="str">
        <f>VLOOKUP(E168,[1]characters!$A:$C,3,FALSE)</f>
        <v>天災の神狼 フェンリル</v>
      </c>
      <c r="G168" s="7" t="str">
        <f>VLOOKUP(E168,[1]characters!$A:$J,10,FALSE)</f>
        <v>PremiumS</v>
      </c>
      <c r="H168" s="7">
        <f>VLOOKUP(E168,[1]characters!$A:$I,9,FALSE)</f>
        <v>5</v>
      </c>
      <c r="I168" s="7" t="str">
        <f>VLOOKUP(E168,[1]characters!$A:$H,8,FALSE)</f>
        <v>red</v>
      </c>
      <c r="J168" s="7" t="str">
        <f>VLOOKUP(E168,[1]characters!$A:$K,11,FALSE)</f>
        <v>attack</v>
      </c>
      <c r="K168" s="7" t="str">
        <f>VLOOKUP(E168,[1]characters!$A:$M,13,FALSE)</f>
        <v>animal</v>
      </c>
      <c r="L168" s="7" t="str">
        <f>VLOOKUP(E168,[1]characters!$A:$G,7,FALSE)</f>
        <v>女性</v>
      </c>
      <c r="M168" s="62">
        <f ca="1">IFERROR(VLOOKUP(E168,input_314100!L:R,7,FALSE),VLOOKUP(tables_314100!B168,input_314100!A:H,8,FALSE))</f>
        <v>12950</v>
      </c>
      <c r="N168" s="63">
        <f t="shared" ca="1" si="11"/>
        <v>4.6296296296296298E-4</v>
      </c>
      <c r="O168" s="31">
        <f>IFERROR(VLOOKUP($E168,bug_conf_sheet!$A:$H,3,FALSE),VLOOKUP("other",bug_conf_sheet!$A:$H,3,FALSE))</f>
        <v>1</v>
      </c>
      <c r="P168" s="31">
        <f>IFERROR(VLOOKUP($E168,bug_conf_sheet!$A:$H,4,FALSE),VLOOKUP("other",bug_conf_sheet!$A:$H,4,FALSE))</f>
        <v>0</v>
      </c>
      <c r="Q168" s="31">
        <f>IFERROR(VLOOKUP($E168,bug_conf_sheet!$A:$H,5,FALSE),VLOOKUP("other",bug_conf_sheet!$A:$H,5,FALSE))</f>
        <v>0</v>
      </c>
      <c r="R168" s="31">
        <f>IFERROR(VLOOKUP($E168,bug_conf_sheet!$A:$H,6,FALSE),VLOOKUP("other",bug_conf_sheet!$A:$H,6,FALSE))</f>
        <v>0</v>
      </c>
      <c r="S168" s="31">
        <f>IFERROR(VLOOKUP($E168,bug_conf_sheet!$A:$H,7,FALSE),VLOOKUP("other",bug_conf_sheet!$A:$H,7,FALSE))</f>
        <v>0</v>
      </c>
      <c r="T168" s="31">
        <f>IFERROR(VLOOKUP($E168,bug_conf_sheet!$A:$H,8,FALSE),VLOOKUP("other",bug_conf_sheet!$A:$H,8,FALSE))</f>
        <v>1</v>
      </c>
    </row>
    <row r="169" spans="1:20" ht="21" customHeight="1">
      <c r="A169" s="2" t="str">
        <f ca="1">input_314100!A$2</f>
        <v>314100</v>
      </c>
      <c r="B169" s="7" t="str">
        <f t="shared" si="8"/>
        <v>PremiumSSbg4</v>
      </c>
      <c r="C169" s="7" t="str">
        <f t="shared" si="9"/>
        <v>PremiumSS</v>
      </c>
      <c r="D169" s="7" t="str">
        <f t="shared" si="10"/>
        <v>bg</v>
      </c>
      <c r="E169" s="6">
        <v>403</v>
      </c>
      <c r="F169" s="7" t="str">
        <f>VLOOKUP(E169,[1]characters!$A:$C,3,FALSE)</f>
        <v>静撃の翠眼 八咫烏</v>
      </c>
      <c r="G169" s="7" t="str">
        <f>VLOOKUP(E169,[1]characters!$A:$J,10,FALSE)</f>
        <v>PremiumSS</v>
      </c>
      <c r="H169" s="7">
        <f>VLOOKUP(E169,[1]characters!$A:$I,9,FALSE)</f>
        <v>4</v>
      </c>
      <c r="I169" s="7" t="str">
        <f>VLOOKUP(E169,[1]characters!$A:$H,8,FALSE)</f>
        <v>green</v>
      </c>
      <c r="J169" s="7" t="str">
        <f>VLOOKUP(E169,[1]characters!$A:$K,11,FALSE)</f>
        <v>balance</v>
      </c>
      <c r="K169" s="7" t="str">
        <f>VLOOKUP(E169,[1]characters!$A:$M,13,FALSE)</f>
        <v>animal</v>
      </c>
      <c r="L169" s="7" t="str">
        <f>VLOOKUP(E169,[1]characters!$A:$G,7,FALSE)</f>
        <v>女性</v>
      </c>
      <c r="M169" s="62">
        <f ca="1">IFERROR(VLOOKUP(E169,input_314100!L:R,7,FALSE),VLOOKUP(tables_314100!B169,input_314100!A:H,8,FALSE))</f>
        <v>62937</v>
      </c>
      <c r="N169" s="63">
        <f t="shared" ca="1" si="11"/>
        <v>2.2499999999999998E-3</v>
      </c>
      <c r="O169" s="31">
        <f>IFERROR(VLOOKUP($E169,bug_conf_sheet!$A:$H,3,FALSE),VLOOKUP("other",bug_conf_sheet!$A:$H,3,FALSE))</f>
        <v>1</v>
      </c>
      <c r="P169" s="31">
        <f>IFERROR(VLOOKUP($E169,bug_conf_sheet!$A:$H,4,FALSE),VLOOKUP("other",bug_conf_sheet!$A:$H,4,FALSE))</f>
        <v>0</v>
      </c>
      <c r="Q169" s="31">
        <f>IFERROR(VLOOKUP($E169,bug_conf_sheet!$A:$H,5,FALSE),VLOOKUP("other",bug_conf_sheet!$A:$H,5,FALSE))</f>
        <v>0</v>
      </c>
      <c r="R169" s="31">
        <f>IFERROR(VLOOKUP($E169,bug_conf_sheet!$A:$H,6,FALSE),VLOOKUP("other",bug_conf_sheet!$A:$H,6,FALSE))</f>
        <v>0</v>
      </c>
      <c r="S169" s="31">
        <f>IFERROR(VLOOKUP($E169,bug_conf_sheet!$A:$H,7,FALSE),VLOOKUP("other",bug_conf_sheet!$A:$H,7,FALSE))</f>
        <v>0</v>
      </c>
      <c r="T169" s="31">
        <f>IFERROR(VLOOKUP($E169,bug_conf_sheet!$A:$H,8,FALSE),VLOOKUP("other",bug_conf_sheet!$A:$H,8,FALSE))</f>
        <v>1</v>
      </c>
    </row>
    <row r="170" spans="1:20" ht="21" customHeight="1">
      <c r="A170" s="2" t="str">
        <f ca="1">input_314100!A$2</f>
        <v>314100</v>
      </c>
      <c r="B170" s="7" t="str">
        <f t="shared" si="8"/>
        <v>PremiumSSbg5</v>
      </c>
      <c r="C170" s="7" t="str">
        <f t="shared" si="9"/>
        <v>PremiumSS</v>
      </c>
      <c r="D170" s="7" t="str">
        <f t="shared" si="10"/>
        <v>bg</v>
      </c>
      <c r="E170" s="6">
        <v>404</v>
      </c>
      <c r="F170" s="7" t="str">
        <f>VLOOKUP(E170,[1]characters!$A:$C,3,FALSE)</f>
        <v>空襲の神眼 八咫烏</v>
      </c>
      <c r="G170" s="7" t="str">
        <f>VLOOKUP(E170,[1]characters!$A:$J,10,FALSE)</f>
        <v>PremiumSS</v>
      </c>
      <c r="H170" s="7">
        <f>VLOOKUP(E170,[1]characters!$A:$I,9,FALSE)</f>
        <v>5</v>
      </c>
      <c r="I170" s="7" t="str">
        <f>VLOOKUP(E170,[1]characters!$A:$H,8,FALSE)</f>
        <v>green</v>
      </c>
      <c r="J170" s="7" t="str">
        <f>VLOOKUP(E170,[1]characters!$A:$K,11,FALSE)</f>
        <v>balance</v>
      </c>
      <c r="K170" s="7" t="str">
        <f>VLOOKUP(E170,[1]characters!$A:$M,13,FALSE)</f>
        <v>animal</v>
      </c>
      <c r="L170" s="7" t="str">
        <f>VLOOKUP(E170,[1]characters!$A:$G,7,FALSE)</f>
        <v>女性</v>
      </c>
      <c r="M170" s="62">
        <f ca="1">IFERROR(VLOOKUP(E170,input_314100!L:R,7,FALSE),VLOOKUP(tables_314100!B170,input_314100!A:H,8,FALSE))</f>
        <v>6993</v>
      </c>
      <c r="N170" s="63">
        <f t="shared" ca="1" si="11"/>
        <v>2.5000000000000001E-4</v>
      </c>
      <c r="O170" s="31">
        <f>IFERROR(VLOOKUP($E170,bug_conf_sheet!$A:$H,3,FALSE),VLOOKUP("other",bug_conf_sheet!$A:$H,3,FALSE))</f>
        <v>1</v>
      </c>
      <c r="P170" s="31">
        <f>IFERROR(VLOOKUP($E170,bug_conf_sheet!$A:$H,4,FALSE),VLOOKUP("other",bug_conf_sheet!$A:$H,4,FALSE))</f>
        <v>0</v>
      </c>
      <c r="Q170" s="31">
        <f>IFERROR(VLOOKUP($E170,bug_conf_sheet!$A:$H,5,FALSE),VLOOKUP("other",bug_conf_sheet!$A:$H,5,FALSE))</f>
        <v>0</v>
      </c>
      <c r="R170" s="31">
        <f>IFERROR(VLOOKUP($E170,bug_conf_sheet!$A:$H,6,FALSE),VLOOKUP("other",bug_conf_sheet!$A:$H,6,FALSE))</f>
        <v>0</v>
      </c>
      <c r="S170" s="31">
        <f>IFERROR(VLOOKUP($E170,bug_conf_sheet!$A:$H,7,FALSE),VLOOKUP("other",bug_conf_sheet!$A:$H,7,FALSE))</f>
        <v>0</v>
      </c>
      <c r="T170" s="31">
        <f>IFERROR(VLOOKUP($E170,bug_conf_sheet!$A:$H,8,FALSE),VLOOKUP("other",bug_conf_sheet!$A:$H,8,FALSE))</f>
        <v>1</v>
      </c>
    </row>
    <row r="171" spans="1:20" ht="21" customHeight="1">
      <c r="A171" s="2" t="str">
        <f ca="1">input_314100!A$2</f>
        <v>314100</v>
      </c>
      <c r="B171" s="7" t="str">
        <f t="shared" si="8"/>
        <v>Premium3</v>
      </c>
      <c r="C171" s="7" t="str">
        <f t="shared" si="9"/>
        <v>Premium</v>
      </c>
      <c r="D171" s="7" t="str">
        <f t="shared" si="10"/>
        <v>bg</v>
      </c>
      <c r="E171" s="6">
        <v>405</v>
      </c>
      <c r="F171" s="7" t="str">
        <f>VLOOKUP(E171,[1]characters!$A:$C,3,FALSE)</f>
        <v>エキドナ</v>
      </c>
      <c r="G171" s="7" t="str">
        <f>VLOOKUP(E171,[1]characters!$A:$J,10,FALSE)</f>
        <v>PremiumS</v>
      </c>
      <c r="H171" s="7">
        <f>VLOOKUP(E171,[1]characters!$A:$I,9,FALSE)</f>
        <v>3</v>
      </c>
      <c r="I171" s="7" t="str">
        <f>VLOOKUP(E171,[1]characters!$A:$H,8,FALSE)</f>
        <v>blue</v>
      </c>
      <c r="J171" s="7" t="str">
        <f>VLOOKUP(E171,[1]characters!$A:$K,11,FALSE)</f>
        <v>technical</v>
      </c>
      <c r="K171" s="7" t="str">
        <f>VLOOKUP(E171,[1]characters!$A:$M,13,FALSE)</f>
        <v>animal</v>
      </c>
      <c r="L171" s="7" t="str">
        <f>VLOOKUP(E171,[1]characters!$A:$G,7,FALSE)</f>
        <v>女性</v>
      </c>
      <c r="M171" s="62">
        <f ca="1">IFERROR(VLOOKUP(E171,input_314100!L:R,7,FALSE),VLOOKUP(tables_314100!B171,input_314100!A:H,8,FALSE))</f>
        <v>0</v>
      </c>
      <c r="N171" s="63">
        <f t="shared" ca="1" si="11"/>
        <v>0</v>
      </c>
      <c r="O171" s="31">
        <f>IFERROR(VLOOKUP($E171,bug_conf_sheet!$A:$H,3,FALSE),VLOOKUP("other",bug_conf_sheet!$A:$H,3,FALSE))</f>
        <v>1</v>
      </c>
      <c r="P171" s="31">
        <f>IFERROR(VLOOKUP($E171,bug_conf_sheet!$A:$H,4,FALSE),VLOOKUP("other",bug_conf_sheet!$A:$H,4,FALSE))</f>
        <v>0</v>
      </c>
      <c r="Q171" s="31">
        <f>IFERROR(VLOOKUP($E171,bug_conf_sheet!$A:$H,5,FALSE),VLOOKUP("other",bug_conf_sheet!$A:$H,5,FALSE))</f>
        <v>0</v>
      </c>
      <c r="R171" s="31">
        <f>IFERROR(VLOOKUP($E171,bug_conf_sheet!$A:$H,6,FALSE),VLOOKUP("other",bug_conf_sheet!$A:$H,6,FALSE))</f>
        <v>0</v>
      </c>
      <c r="S171" s="31">
        <f>IFERROR(VLOOKUP($E171,bug_conf_sheet!$A:$H,7,FALSE),VLOOKUP("other",bug_conf_sheet!$A:$H,7,FALSE))</f>
        <v>0</v>
      </c>
      <c r="T171" s="31">
        <f>IFERROR(VLOOKUP($E171,bug_conf_sheet!$A:$H,8,FALSE),VLOOKUP("other",bug_conf_sheet!$A:$H,8,FALSE))</f>
        <v>1</v>
      </c>
    </row>
    <row r="172" spans="1:20" ht="21" customHeight="1">
      <c r="A172" s="2" t="str">
        <f ca="1">input_314100!A$2</f>
        <v>314100</v>
      </c>
      <c r="B172" s="7" t="str">
        <f t="shared" si="8"/>
        <v>Premium4</v>
      </c>
      <c r="C172" s="7" t="str">
        <f t="shared" si="9"/>
        <v>Premium</v>
      </c>
      <c r="D172" s="7" t="str">
        <f t="shared" si="10"/>
        <v>bg</v>
      </c>
      <c r="E172" s="6">
        <v>406</v>
      </c>
      <c r="F172" s="7" t="str">
        <f>VLOOKUP(E172,[1]characters!$A:$C,3,FALSE)</f>
        <v>美笑の蒼蛇 エキドナ</v>
      </c>
      <c r="G172" s="7" t="str">
        <f>VLOOKUP(E172,[1]characters!$A:$J,10,FALSE)</f>
        <v>PremiumS</v>
      </c>
      <c r="H172" s="7">
        <f>VLOOKUP(E172,[1]characters!$A:$I,9,FALSE)</f>
        <v>4</v>
      </c>
      <c r="I172" s="7" t="str">
        <f>VLOOKUP(E172,[1]characters!$A:$H,8,FALSE)</f>
        <v>blue</v>
      </c>
      <c r="J172" s="7" t="str">
        <f>VLOOKUP(E172,[1]characters!$A:$K,11,FALSE)</f>
        <v>technical</v>
      </c>
      <c r="K172" s="7" t="str">
        <f>VLOOKUP(E172,[1]characters!$A:$M,13,FALSE)</f>
        <v>animal</v>
      </c>
      <c r="L172" s="7" t="str">
        <f>VLOOKUP(E172,[1]characters!$A:$G,7,FALSE)</f>
        <v>女性</v>
      </c>
      <c r="M172" s="62">
        <f ca="1">IFERROR(VLOOKUP(E172,input_314100!L:R,7,FALSE),VLOOKUP(tables_314100!B172,input_314100!A:H,8,FALSE))</f>
        <v>342090</v>
      </c>
      <c r="N172" s="63">
        <f t="shared" ca="1" si="11"/>
        <v>1.222972972972973E-2</v>
      </c>
      <c r="O172" s="31">
        <f>IFERROR(VLOOKUP($E172,bug_conf_sheet!$A:$H,3,FALSE),VLOOKUP("other",bug_conf_sheet!$A:$H,3,FALSE))</f>
        <v>1</v>
      </c>
      <c r="P172" s="31">
        <f>IFERROR(VLOOKUP($E172,bug_conf_sheet!$A:$H,4,FALSE),VLOOKUP("other",bug_conf_sheet!$A:$H,4,FALSE))</f>
        <v>0</v>
      </c>
      <c r="Q172" s="31">
        <f>IFERROR(VLOOKUP($E172,bug_conf_sheet!$A:$H,5,FALSE),VLOOKUP("other",bug_conf_sheet!$A:$H,5,FALSE))</f>
        <v>0</v>
      </c>
      <c r="R172" s="31">
        <f>IFERROR(VLOOKUP($E172,bug_conf_sheet!$A:$H,6,FALSE),VLOOKUP("other",bug_conf_sheet!$A:$H,6,FALSE))</f>
        <v>0</v>
      </c>
      <c r="S172" s="31">
        <f>IFERROR(VLOOKUP($E172,bug_conf_sheet!$A:$H,7,FALSE),VLOOKUP("other",bug_conf_sheet!$A:$H,7,FALSE))</f>
        <v>0</v>
      </c>
      <c r="T172" s="31">
        <f>IFERROR(VLOOKUP($E172,bug_conf_sheet!$A:$H,8,FALSE),VLOOKUP("other",bug_conf_sheet!$A:$H,8,FALSE))</f>
        <v>1</v>
      </c>
    </row>
    <row r="173" spans="1:20" ht="21" customHeight="1">
      <c r="A173" s="2" t="str">
        <f ca="1">input_314100!A$2</f>
        <v>314100</v>
      </c>
      <c r="B173" s="7" t="str">
        <f t="shared" si="8"/>
        <v>Premium5</v>
      </c>
      <c r="C173" s="7" t="str">
        <f t="shared" si="9"/>
        <v>Premium</v>
      </c>
      <c r="D173" s="7" t="str">
        <f t="shared" si="10"/>
        <v>bg</v>
      </c>
      <c r="E173" s="6">
        <v>407</v>
      </c>
      <c r="F173" s="7" t="str">
        <f>VLOOKUP(E173,[1]characters!$A:$C,3,FALSE)</f>
        <v>蠱惑の飛刀 エキドナ</v>
      </c>
      <c r="G173" s="7" t="str">
        <f>VLOOKUP(E173,[1]characters!$A:$J,10,FALSE)</f>
        <v>PremiumS</v>
      </c>
      <c r="H173" s="7">
        <f>VLOOKUP(E173,[1]characters!$A:$I,9,FALSE)</f>
        <v>5</v>
      </c>
      <c r="I173" s="7" t="str">
        <f>VLOOKUP(E173,[1]characters!$A:$H,8,FALSE)</f>
        <v>blue</v>
      </c>
      <c r="J173" s="7" t="str">
        <f>VLOOKUP(E173,[1]characters!$A:$K,11,FALSE)</f>
        <v>technical</v>
      </c>
      <c r="K173" s="7" t="str">
        <f>VLOOKUP(E173,[1]characters!$A:$M,13,FALSE)</f>
        <v>animal</v>
      </c>
      <c r="L173" s="7" t="str">
        <f>VLOOKUP(E173,[1]characters!$A:$G,7,FALSE)</f>
        <v>女性</v>
      </c>
      <c r="M173" s="62">
        <f ca="1">IFERROR(VLOOKUP(E173,input_314100!L:R,7,FALSE),VLOOKUP(tables_314100!B173,input_314100!A:H,8,FALSE))</f>
        <v>12950</v>
      </c>
      <c r="N173" s="63">
        <f t="shared" ca="1" si="11"/>
        <v>4.6296296296296298E-4</v>
      </c>
      <c r="O173" s="31">
        <f>IFERROR(VLOOKUP($E173,bug_conf_sheet!$A:$H,3,FALSE),VLOOKUP("other",bug_conf_sheet!$A:$H,3,FALSE))</f>
        <v>1</v>
      </c>
      <c r="P173" s="31">
        <f>IFERROR(VLOOKUP($E173,bug_conf_sheet!$A:$H,4,FALSE),VLOOKUP("other",bug_conf_sheet!$A:$H,4,FALSE))</f>
        <v>0</v>
      </c>
      <c r="Q173" s="31">
        <f>IFERROR(VLOOKUP($E173,bug_conf_sheet!$A:$H,5,FALSE),VLOOKUP("other",bug_conf_sheet!$A:$H,5,FALSE))</f>
        <v>0</v>
      </c>
      <c r="R173" s="31">
        <f>IFERROR(VLOOKUP($E173,bug_conf_sheet!$A:$H,6,FALSE),VLOOKUP("other",bug_conf_sheet!$A:$H,6,FALSE))</f>
        <v>0</v>
      </c>
      <c r="S173" s="31">
        <f>IFERROR(VLOOKUP($E173,bug_conf_sheet!$A:$H,7,FALSE),VLOOKUP("other",bug_conf_sheet!$A:$H,7,FALSE))</f>
        <v>0</v>
      </c>
      <c r="T173" s="31">
        <f>IFERROR(VLOOKUP($E173,bug_conf_sheet!$A:$H,8,FALSE),VLOOKUP("other",bug_conf_sheet!$A:$H,8,FALSE))</f>
        <v>1</v>
      </c>
    </row>
    <row r="174" spans="1:20" ht="21" customHeight="1">
      <c r="A174" s="2" t="str">
        <f ca="1">input_314100!A$2</f>
        <v>314100</v>
      </c>
      <c r="B174" s="7" t="str">
        <f t="shared" si="8"/>
        <v>PremiumSSry4</v>
      </c>
      <c r="C174" s="7" t="str">
        <f t="shared" si="9"/>
        <v>PremiumSS</v>
      </c>
      <c r="D174" s="7" t="str">
        <f t="shared" si="10"/>
        <v>ry</v>
      </c>
      <c r="E174" s="6">
        <v>408</v>
      </c>
      <c r="F174" s="7" t="str">
        <f>VLOOKUP(E174,[1]characters!$A:$C,3,FALSE)</f>
        <v>皇魔 アスタロト</v>
      </c>
      <c r="G174" s="7" t="str">
        <f>VLOOKUP(E174,[1]characters!$A:$J,10,FALSE)</f>
        <v>PremiumSS</v>
      </c>
      <c r="H174" s="7">
        <f>VLOOKUP(E174,[1]characters!$A:$I,9,FALSE)</f>
        <v>4</v>
      </c>
      <c r="I174" s="7" t="str">
        <f>VLOOKUP(E174,[1]characters!$A:$H,8,FALSE)</f>
        <v>yellow</v>
      </c>
      <c r="J174" s="7" t="str">
        <f>VLOOKUP(E174,[1]characters!$A:$K,11,FALSE)</f>
        <v>attack</v>
      </c>
      <c r="K174" s="7" t="str">
        <f>VLOOKUP(E174,[1]characters!$A:$M,13,FALSE)</f>
        <v>god</v>
      </c>
      <c r="L174" s="7" t="str">
        <f>VLOOKUP(E174,[1]characters!$A:$G,7,FALSE)</f>
        <v>男性</v>
      </c>
      <c r="M174" s="62">
        <f ca="1">IFERROR(VLOOKUP(E174,input_314100!L:R,7,FALSE),VLOOKUP(tables_314100!B174,input_314100!A:H,8,FALSE))</f>
        <v>35964</v>
      </c>
      <c r="N174" s="63">
        <f t="shared" ca="1" si="11"/>
        <v>1.2857142857142856E-3</v>
      </c>
      <c r="O174" s="31">
        <f>IFERROR(VLOOKUP($E174,bug_conf_sheet!$A:$H,3,FALSE),VLOOKUP("other",bug_conf_sheet!$A:$H,3,FALSE))</f>
        <v>1</v>
      </c>
      <c r="P174" s="31">
        <f>IFERROR(VLOOKUP($E174,bug_conf_sheet!$A:$H,4,FALSE),VLOOKUP("other",bug_conf_sheet!$A:$H,4,FALSE))</f>
        <v>0</v>
      </c>
      <c r="Q174" s="31">
        <f>IFERROR(VLOOKUP($E174,bug_conf_sheet!$A:$H,5,FALSE),VLOOKUP("other",bug_conf_sheet!$A:$H,5,FALSE))</f>
        <v>0</v>
      </c>
      <c r="R174" s="31">
        <f>IFERROR(VLOOKUP($E174,bug_conf_sheet!$A:$H,6,FALSE),VLOOKUP("other",bug_conf_sheet!$A:$H,6,FALSE))</f>
        <v>0</v>
      </c>
      <c r="S174" s="31">
        <f>IFERROR(VLOOKUP($E174,bug_conf_sheet!$A:$H,7,FALSE),VLOOKUP("other",bug_conf_sheet!$A:$H,7,FALSE))</f>
        <v>0</v>
      </c>
      <c r="T174" s="31">
        <f>IFERROR(VLOOKUP($E174,bug_conf_sheet!$A:$H,8,FALSE),VLOOKUP("other",bug_conf_sheet!$A:$H,8,FALSE))</f>
        <v>1</v>
      </c>
    </row>
    <row r="175" spans="1:20" ht="21" customHeight="1">
      <c r="A175" s="2" t="str">
        <f ca="1">input_314100!A$2</f>
        <v>314100</v>
      </c>
      <c r="B175" s="7" t="str">
        <f t="shared" si="8"/>
        <v>PremiumSSry5</v>
      </c>
      <c r="C175" s="7" t="str">
        <f t="shared" si="9"/>
        <v>PremiumSS</v>
      </c>
      <c r="D175" s="7" t="str">
        <f t="shared" si="10"/>
        <v>ry</v>
      </c>
      <c r="E175" s="6">
        <v>409</v>
      </c>
      <c r="F175" s="7" t="str">
        <f>VLOOKUP(E175,[1]characters!$A:$C,3,FALSE)</f>
        <v>天眼の皇貴魔 アスタロト</v>
      </c>
      <c r="G175" s="7" t="str">
        <f>VLOOKUP(E175,[1]characters!$A:$J,10,FALSE)</f>
        <v>PremiumSS</v>
      </c>
      <c r="H175" s="7">
        <f>VLOOKUP(E175,[1]characters!$A:$I,9,FALSE)</f>
        <v>5</v>
      </c>
      <c r="I175" s="7" t="str">
        <f>VLOOKUP(E175,[1]characters!$A:$H,8,FALSE)</f>
        <v>yellow</v>
      </c>
      <c r="J175" s="7" t="str">
        <f>VLOOKUP(E175,[1]characters!$A:$K,11,FALSE)</f>
        <v>attack</v>
      </c>
      <c r="K175" s="7" t="str">
        <f>VLOOKUP(E175,[1]characters!$A:$M,13,FALSE)</f>
        <v>god</v>
      </c>
      <c r="L175" s="7" t="str">
        <f>VLOOKUP(E175,[1]characters!$A:$G,7,FALSE)</f>
        <v>男性</v>
      </c>
      <c r="M175" s="62">
        <f ca="1">IFERROR(VLOOKUP(E175,input_314100!L:R,7,FALSE),VLOOKUP(tables_314100!B175,input_314100!A:H,8,FALSE))</f>
        <v>3996</v>
      </c>
      <c r="N175" s="63">
        <f t="shared" ca="1" si="11"/>
        <v>1.4285714285714287E-4</v>
      </c>
      <c r="O175" s="31">
        <f>IFERROR(VLOOKUP($E175,bug_conf_sheet!$A:$H,3,FALSE),VLOOKUP("other",bug_conf_sheet!$A:$H,3,FALSE))</f>
        <v>1</v>
      </c>
      <c r="P175" s="31">
        <f>IFERROR(VLOOKUP($E175,bug_conf_sheet!$A:$H,4,FALSE),VLOOKUP("other",bug_conf_sheet!$A:$H,4,FALSE))</f>
        <v>0</v>
      </c>
      <c r="Q175" s="31">
        <f>IFERROR(VLOOKUP($E175,bug_conf_sheet!$A:$H,5,FALSE),VLOOKUP("other",bug_conf_sheet!$A:$H,5,FALSE))</f>
        <v>0</v>
      </c>
      <c r="R175" s="31">
        <f>IFERROR(VLOOKUP($E175,bug_conf_sheet!$A:$H,6,FALSE),VLOOKUP("other",bug_conf_sheet!$A:$H,6,FALSE))</f>
        <v>0</v>
      </c>
      <c r="S175" s="31">
        <f>IFERROR(VLOOKUP($E175,bug_conf_sheet!$A:$H,7,FALSE),VLOOKUP("other",bug_conf_sheet!$A:$H,7,FALSE))</f>
        <v>0</v>
      </c>
      <c r="T175" s="31">
        <f>IFERROR(VLOOKUP($E175,bug_conf_sheet!$A:$H,8,FALSE),VLOOKUP("other",bug_conf_sheet!$A:$H,8,FALSE))</f>
        <v>1</v>
      </c>
    </row>
    <row r="176" spans="1:20" ht="21" customHeight="1">
      <c r="A176" s="2" t="str">
        <f ca="1">input_314100!A$2</f>
        <v>314100</v>
      </c>
      <c r="B176" s="7" t="str">
        <f t="shared" si="8"/>
        <v>PremiumSSry4</v>
      </c>
      <c r="C176" s="7" t="str">
        <f t="shared" si="9"/>
        <v>PremiumSS</v>
      </c>
      <c r="D176" s="7" t="str">
        <f t="shared" si="10"/>
        <v>ry</v>
      </c>
      <c r="E176" s="6">
        <v>434</v>
      </c>
      <c r="F176" s="7" t="str">
        <f>VLOOKUP(E176,[1]characters!$A:$C,3,FALSE)</f>
        <v>D.R.T.H.</v>
      </c>
      <c r="G176" s="7" t="str">
        <f>VLOOKUP(E176,[1]characters!$A:$J,10,FALSE)</f>
        <v>PremiumSS</v>
      </c>
      <c r="H176" s="7">
        <f>VLOOKUP(E176,[1]characters!$A:$I,9,FALSE)</f>
        <v>4</v>
      </c>
      <c r="I176" s="7" t="str">
        <f>VLOOKUP(E176,[1]characters!$A:$H,8,FALSE)</f>
        <v>red</v>
      </c>
      <c r="J176" s="7" t="str">
        <f>VLOOKUP(E176,[1]characters!$A:$K,11,FALSE)</f>
        <v>balance</v>
      </c>
      <c r="K176" s="7" t="str">
        <f>VLOOKUP(E176,[1]characters!$A:$M,13,FALSE)</f>
        <v>human</v>
      </c>
      <c r="L176" s="7" t="str">
        <f>VLOOKUP(E176,[1]characters!$A:$G,7,FALSE)</f>
        <v>女性</v>
      </c>
      <c r="M176" s="62">
        <f ca="1">IFERROR(VLOOKUP(E176,input_314100!L:R,7,FALSE),VLOOKUP(tables_314100!B176,input_314100!A:H,8,FALSE))</f>
        <v>35964</v>
      </c>
      <c r="N176" s="63">
        <f t="shared" ca="1" si="11"/>
        <v>1.2857142857142856E-3</v>
      </c>
      <c r="O176" s="31">
        <f>IFERROR(VLOOKUP($E176,bug_conf_sheet!$A:$H,3,FALSE),VLOOKUP("other",bug_conf_sheet!$A:$H,3,FALSE))</f>
        <v>1</v>
      </c>
      <c r="P176" s="31">
        <f>IFERROR(VLOOKUP($E176,bug_conf_sheet!$A:$H,4,FALSE),VLOOKUP("other",bug_conf_sheet!$A:$H,4,FALSE))</f>
        <v>0</v>
      </c>
      <c r="Q176" s="31">
        <f>IFERROR(VLOOKUP($E176,bug_conf_sheet!$A:$H,5,FALSE),VLOOKUP("other",bug_conf_sheet!$A:$H,5,FALSE))</f>
        <v>0</v>
      </c>
      <c r="R176" s="31">
        <f>IFERROR(VLOOKUP($E176,bug_conf_sheet!$A:$H,6,FALSE),VLOOKUP("other",bug_conf_sheet!$A:$H,6,FALSE))</f>
        <v>0</v>
      </c>
      <c r="S176" s="31">
        <f>IFERROR(VLOOKUP($E176,bug_conf_sheet!$A:$H,7,FALSE),VLOOKUP("other",bug_conf_sheet!$A:$H,7,FALSE))</f>
        <v>0</v>
      </c>
      <c r="T176" s="31">
        <f>IFERROR(VLOOKUP($E176,bug_conf_sheet!$A:$H,8,FALSE),VLOOKUP("other",bug_conf_sheet!$A:$H,8,FALSE))</f>
        <v>1</v>
      </c>
    </row>
    <row r="177" spans="1:20" ht="21" customHeight="1">
      <c r="A177" s="2" t="str">
        <f ca="1">input_314100!A$2</f>
        <v>314100</v>
      </c>
      <c r="B177" s="7" t="str">
        <f t="shared" si="8"/>
        <v>PremiumSSry5</v>
      </c>
      <c r="C177" s="7" t="str">
        <f t="shared" si="9"/>
        <v>PremiumSS</v>
      </c>
      <c r="D177" s="7" t="str">
        <f t="shared" si="10"/>
        <v>ry</v>
      </c>
      <c r="E177" s="6">
        <v>435</v>
      </c>
      <c r="F177" s="7" t="str">
        <f>VLOOKUP(E177,[1]characters!$A:$C,3,FALSE)</f>
        <v>曝弾の密偵 D.R.T.H.</v>
      </c>
      <c r="G177" s="7" t="str">
        <f>VLOOKUP(E177,[1]characters!$A:$J,10,FALSE)</f>
        <v>PremiumSS</v>
      </c>
      <c r="H177" s="7">
        <f>VLOOKUP(E177,[1]characters!$A:$I,9,FALSE)</f>
        <v>5</v>
      </c>
      <c r="I177" s="7" t="str">
        <f>VLOOKUP(E177,[1]characters!$A:$H,8,FALSE)</f>
        <v>red</v>
      </c>
      <c r="J177" s="7" t="str">
        <f>VLOOKUP(E177,[1]characters!$A:$K,11,FALSE)</f>
        <v>balance</v>
      </c>
      <c r="K177" s="7" t="str">
        <f>VLOOKUP(E177,[1]characters!$A:$M,13,FALSE)</f>
        <v>human</v>
      </c>
      <c r="L177" s="7" t="str">
        <f>VLOOKUP(E177,[1]characters!$A:$G,7,FALSE)</f>
        <v>女性</v>
      </c>
      <c r="M177" s="62">
        <f ca="1">IFERROR(VLOOKUP(E177,input_314100!L:R,7,FALSE),VLOOKUP(tables_314100!B177,input_314100!A:H,8,FALSE))</f>
        <v>3996</v>
      </c>
      <c r="N177" s="63">
        <f t="shared" ca="1" si="11"/>
        <v>1.4285714285714287E-4</v>
      </c>
      <c r="O177" s="31">
        <f>IFERROR(VLOOKUP($E177,bug_conf_sheet!$A:$H,3,FALSE),VLOOKUP("other",bug_conf_sheet!$A:$H,3,FALSE))</f>
        <v>1</v>
      </c>
      <c r="P177" s="31">
        <f>IFERROR(VLOOKUP($E177,bug_conf_sheet!$A:$H,4,FALSE),VLOOKUP("other",bug_conf_sheet!$A:$H,4,FALSE))</f>
        <v>0</v>
      </c>
      <c r="Q177" s="31">
        <f>IFERROR(VLOOKUP($E177,bug_conf_sheet!$A:$H,5,FALSE),VLOOKUP("other",bug_conf_sheet!$A:$H,5,FALSE))</f>
        <v>0</v>
      </c>
      <c r="R177" s="31">
        <f>IFERROR(VLOOKUP($E177,bug_conf_sheet!$A:$H,6,FALSE),VLOOKUP("other",bug_conf_sheet!$A:$H,6,FALSE))</f>
        <v>0</v>
      </c>
      <c r="S177" s="31">
        <f>IFERROR(VLOOKUP($E177,bug_conf_sheet!$A:$H,7,FALSE),VLOOKUP("other",bug_conf_sheet!$A:$H,7,FALSE))</f>
        <v>0</v>
      </c>
      <c r="T177" s="31">
        <f>IFERROR(VLOOKUP($E177,bug_conf_sheet!$A:$H,8,FALSE),VLOOKUP("other",bug_conf_sheet!$A:$H,8,FALSE))</f>
        <v>1</v>
      </c>
    </row>
    <row r="178" spans="1:20" ht="21" customHeight="1">
      <c r="A178" s="2" t="str">
        <f ca="1">input_314100!A$2</f>
        <v>314100</v>
      </c>
      <c r="B178" s="7" t="str">
        <f t="shared" si="8"/>
        <v>Premium3</v>
      </c>
      <c r="C178" s="7" t="str">
        <f t="shared" si="9"/>
        <v>Premium</v>
      </c>
      <c r="D178" s="7" t="str">
        <f t="shared" si="10"/>
        <v>bg</v>
      </c>
      <c r="E178" s="6">
        <v>436</v>
      </c>
      <c r="F178" s="7" t="str">
        <f>VLOOKUP(E178,[1]characters!$A:$C,3,FALSE)</f>
        <v>カカシ</v>
      </c>
      <c r="G178" s="7" t="str">
        <f>VLOOKUP(E178,[1]characters!$A:$J,10,FALSE)</f>
        <v>PremiumS</v>
      </c>
      <c r="H178" s="7">
        <f>VLOOKUP(E178,[1]characters!$A:$I,9,FALSE)</f>
        <v>3</v>
      </c>
      <c r="I178" s="7" t="str">
        <f>VLOOKUP(E178,[1]characters!$A:$H,8,FALSE)</f>
        <v>green</v>
      </c>
      <c r="J178" s="7" t="str">
        <f>VLOOKUP(E178,[1]characters!$A:$K,11,FALSE)</f>
        <v>technical</v>
      </c>
      <c r="K178" s="7" t="str">
        <f>VLOOKUP(E178,[1]characters!$A:$M,13,FALSE)</f>
        <v>human</v>
      </c>
      <c r="L178" s="7" t="str">
        <f>VLOOKUP(E178,[1]characters!$A:$G,7,FALSE)</f>
        <v>男性</v>
      </c>
      <c r="M178" s="62">
        <f ca="1">IFERROR(VLOOKUP(E178,input_314100!L:R,7,FALSE),VLOOKUP(tables_314100!B178,input_314100!A:H,8,FALSE))</f>
        <v>0</v>
      </c>
      <c r="N178" s="63">
        <f t="shared" ca="1" si="11"/>
        <v>0</v>
      </c>
      <c r="O178" s="31">
        <f>IFERROR(VLOOKUP($E178,bug_conf_sheet!$A:$H,3,FALSE),VLOOKUP("other",bug_conf_sheet!$A:$H,3,FALSE))</f>
        <v>1</v>
      </c>
      <c r="P178" s="31">
        <f>IFERROR(VLOOKUP($E178,bug_conf_sheet!$A:$H,4,FALSE),VLOOKUP("other",bug_conf_sheet!$A:$H,4,FALSE))</f>
        <v>0</v>
      </c>
      <c r="Q178" s="31">
        <f>IFERROR(VLOOKUP($E178,bug_conf_sheet!$A:$H,5,FALSE),VLOOKUP("other",bug_conf_sheet!$A:$H,5,FALSE))</f>
        <v>0</v>
      </c>
      <c r="R178" s="31">
        <f>IFERROR(VLOOKUP($E178,bug_conf_sheet!$A:$H,6,FALSE),VLOOKUP("other",bug_conf_sheet!$A:$H,6,FALSE))</f>
        <v>0</v>
      </c>
      <c r="S178" s="31">
        <f>IFERROR(VLOOKUP($E178,bug_conf_sheet!$A:$H,7,FALSE),VLOOKUP("other",bug_conf_sheet!$A:$H,7,FALSE))</f>
        <v>0</v>
      </c>
      <c r="T178" s="31">
        <f>IFERROR(VLOOKUP($E178,bug_conf_sheet!$A:$H,8,FALSE),VLOOKUP("other",bug_conf_sheet!$A:$H,8,FALSE))</f>
        <v>1</v>
      </c>
    </row>
    <row r="179" spans="1:20" ht="21" customHeight="1">
      <c r="A179" s="2" t="str">
        <f ca="1">input_314100!A$2</f>
        <v>314100</v>
      </c>
      <c r="B179" s="7" t="str">
        <f t="shared" si="8"/>
        <v>Premium4</v>
      </c>
      <c r="C179" s="7" t="str">
        <f t="shared" si="9"/>
        <v>Premium</v>
      </c>
      <c r="D179" s="7" t="str">
        <f t="shared" si="10"/>
        <v>bg</v>
      </c>
      <c r="E179" s="6">
        <v>437</v>
      </c>
      <c r="F179" s="7" t="str">
        <f>VLOOKUP(E179,[1]characters!$A:$C,3,FALSE)</f>
        <v>忘却者 カカシ</v>
      </c>
      <c r="G179" s="7" t="str">
        <f>VLOOKUP(E179,[1]characters!$A:$J,10,FALSE)</f>
        <v>PremiumS</v>
      </c>
      <c r="H179" s="7">
        <f>VLOOKUP(E179,[1]characters!$A:$I,9,FALSE)</f>
        <v>4</v>
      </c>
      <c r="I179" s="7" t="str">
        <f>VLOOKUP(E179,[1]characters!$A:$H,8,FALSE)</f>
        <v>green</v>
      </c>
      <c r="J179" s="7" t="str">
        <f>VLOOKUP(E179,[1]characters!$A:$K,11,FALSE)</f>
        <v>technical</v>
      </c>
      <c r="K179" s="7" t="str">
        <f>VLOOKUP(E179,[1]characters!$A:$M,13,FALSE)</f>
        <v>human</v>
      </c>
      <c r="L179" s="7" t="str">
        <f>VLOOKUP(E179,[1]characters!$A:$G,7,FALSE)</f>
        <v>男性</v>
      </c>
      <c r="M179" s="62">
        <f ca="1">IFERROR(VLOOKUP(E179,input_314100!L:R,7,FALSE),VLOOKUP(tables_314100!B179,input_314100!A:H,8,FALSE))</f>
        <v>342090</v>
      </c>
      <c r="N179" s="63">
        <f t="shared" ca="1" si="11"/>
        <v>1.222972972972973E-2</v>
      </c>
      <c r="O179" s="31">
        <f>IFERROR(VLOOKUP($E179,bug_conf_sheet!$A:$H,3,FALSE),VLOOKUP("other",bug_conf_sheet!$A:$H,3,FALSE))</f>
        <v>1</v>
      </c>
      <c r="P179" s="31">
        <f>IFERROR(VLOOKUP($E179,bug_conf_sheet!$A:$H,4,FALSE),VLOOKUP("other",bug_conf_sheet!$A:$H,4,FALSE))</f>
        <v>0</v>
      </c>
      <c r="Q179" s="31">
        <f>IFERROR(VLOOKUP($E179,bug_conf_sheet!$A:$H,5,FALSE),VLOOKUP("other",bug_conf_sheet!$A:$H,5,FALSE))</f>
        <v>0</v>
      </c>
      <c r="R179" s="31">
        <f>IFERROR(VLOOKUP($E179,bug_conf_sheet!$A:$H,6,FALSE),VLOOKUP("other",bug_conf_sheet!$A:$H,6,FALSE))</f>
        <v>0</v>
      </c>
      <c r="S179" s="31">
        <f>IFERROR(VLOOKUP($E179,bug_conf_sheet!$A:$H,7,FALSE),VLOOKUP("other",bug_conf_sheet!$A:$H,7,FALSE))</f>
        <v>0</v>
      </c>
      <c r="T179" s="31">
        <f>IFERROR(VLOOKUP($E179,bug_conf_sheet!$A:$H,8,FALSE),VLOOKUP("other",bug_conf_sheet!$A:$H,8,FALSE))</f>
        <v>1</v>
      </c>
    </row>
    <row r="180" spans="1:20" ht="21" customHeight="1">
      <c r="A180" s="2" t="str">
        <f ca="1">input_314100!A$2</f>
        <v>314100</v>
      </c>
      <c r="B180" s="7" t="str">
        <f t="shared" si="8"/>
        <v>Premium5</v>
      </c>
      <c r="C180" s="7" t="str">
        <f t="shared" si="9"/>
        <v>Premium</v>
      </c>
      <c r="D180" s="7" t="str">
        <f t="shared" si="10"/>
        <v>bg</v>
      </c>
      <c r="E180" s="6">
        <v>438</v>
      </c>
      <c r="F180" s="7" t="str">
        <f>VLOOKUP(E180,[1]characters!$A:$C,3,FALSE)</f>
        <v>記憶の奪還 カカシ</v>
      </c>
      <c r="G180" s="7" t="str">
        <f>VLOOKUP(E180,[1]characters!$A:$J,10,FALSE)</f>
        <v>PremiumS</v>
      </c>
      <c r="H180" s="7">
        <f>VLOOKUP(E180,[1]characters!$A:$I,9,FALSE)</f>
        <v>5</v>
      </c>
      <c r="I180" s="7" t="str">
        <f>VLOOKUP(E180,[1]characters!$A:$H,8,FALSE)</f>
        <v>green</v>
      </c>
      <c r="J180" s="7" t="str">
        <f>VLOOKUP(E180,[1]characters!$A:$K,11,FALSE)</f>
        <v>technical</v>
      </c>
      <c r="K180" s="7" t="str">
        <f>VLOOKUP(E180,[1]characters!$A:$M,13,FALSE)</f>
        <v>human</v>
      </c>
      <c r="L180" s="7" t="str">
        <f>VLOOKUP(E180,[1]characters!$A:$G,7,FALSE)</f>
        <v>男性</v>
      </c>
      <c r="M180" s="62">
        <f ca="1">IFERROR(VLOOKUP(E180,input_314100!L:R,7,FALSE),VLOOKUP(tables_314100!B180,input_314100!A:H,8,FALSE))</f>
        <v>12950</v>
      </c>
      <c r="N180" s="63">
        <f t="shared" ca="1" si="11"/>
        <v>4.6296296296296298E-4</v>
      </c>
      <c r="O180" s="31">
        <f>IFERROR(VLOOKUP($E180,bug_conf_sheet!$A:$H,3,FALSE),VLOOKUP("other",bug_conf_sheet!$A:$H,3,FALSE))</f>
        <v>1</v>
      </c>
      <c r="P180" s="31">
        <f>IFERROR(VLOOKUP($E180,bug_conf_sheet!$A:$H,4,FALSE),VLOOKUP("other",bug_conf_sheet!$A:$H,4,FALSE))</f>
        <v>0</v>
      </c>
      <c r="Q180" s="31">
        <f>IFERROR(VLOOKUP($E180,bug_conf_sheet!$A:$H,5,FALSE),VLOOKUP("other",bug_conf_sheet!$A:$H,5,FALSE))</f>
        <v>0</v>
      </c>
      <c r="R180" s="31">
        <f>IFERROR(VLOOKUP($E180,bug_conf_sheet!$A:$H,6,FALSE),VLOOKUP("other",bug_conf_sheet!$A:$H,6,FALSE))</f>
        <v>0</v>
      </c>
      <c r="S180" s="31">
        <f>IFERROR(VLOOKUP($E180,bug_conf_sheet!$A:$H,7,FALSE),VLOOKUP("other",bug_conf_sheet!$A:$H,7,FALSE))</f>
        <v>0</v>
      </c>
      <c r="T180" s="31">
        <f>IFERROR(VLOOKUP($E180,bug_conf_sheet!$A:$H,8,FALSE),VLOOKUP("other",bug_conf_sheet!$A:$H,8,FALSE))</f>
        <v>1</v>
      </c>
    </row>
    <row r="181" spans="1:20" ht="21" customHeight="1">
      <c r="A181" s="2" t="str">
        <f ca="1">input_314100!A$2</f>
        <v>314100</v>
      </c>
      <c r="B181" s="7" t="str">
        <f t="shared" si="8"/>
        <v>Premium3</v>
      </c>
      <c r="C181" s="7" t="str">
        <f t="shared" si="9"/>
        <v>Premium</v>
      </c>
      <c r="D181" s="7" t="str">
        <f t="shared" si="10"/>
        <v>bg</v>
      </c>
      <c r="E181" s="6">
        <v>439</v>
      </c>
      <c r="F181" s="7" t="str">
        <f>VLOOKUP(E181,[1]characters!$A:$C,3,FALSE)</f>
        <v>ブリキロガー</v>
      </c>
      <c r="G181" s="7" t="str">
        <f>VLOOKUP(E181,[1]characters!$A:$J,10,FALSE)</f>
        <v>PremiumS</v>
      </c>
      <c r="H181" s="7">
        <f>VLOOKUP(E181,[1]characters!$A:$I,9,FALSE)</f>
        <v>3</v>
      </c>
      <c r="I181" s="7" t="str">
        <f>VLOOKUP(E181,[1]characters!$A:$H,8,FALSE)</f>
        <v>blue</v>
      </c>
      <c r="J181" s="7" t="str">
        <f>VLOOKUP(E181,[1]characters!$A:$K,11,FALSE)</f>
        <v>attack</v>
      </c>
      <c r="K181" s="7" t="str">
        <f>VLOOKUP(E181,[1]characters!$A:$M,13,FALSE)</f>
        <v>machine</v>
      </c>
      <c r="L181" s="7" t="str">
        <f>VLOOKUP(E181,[1]characters!$A:$G,7,FALSE)</f>
        <v>不明</v>
      </c>
      <c r="M181" s="62">
        <f ca="1">IFERROR(VLOOKUP(E181,input_314100!L:R,7,FALSE),VLOOKUP(tables_314100!B181,input_314100!A:H,8,FALSE))</f>
        <v>0</v>
      </c>
      <c r="N181" s="63">
        <f t="shared" ca="1" si="11"/>
        <v>0</v>
      </c>
      <c r="O181" s="31">
        <f>IFERROR(VLOOKUP($E181,bug_conf_sheet!$A:$H,3,FALSE),VLOOKUP("other",bug_conf_sheet!$A:$H,3,FALSE))</f>
        <v>1</v>
      </c>
      <c r="P181" s="31">
        <f>IFERROR(VLOOKUP($E181,bug_conf_sheet!$A:$H,4,FALSE),VLOOKUP("other",bug_conf_sheet!$A:$H,4,FALSE))</f>
        <v>0</v>
      </c>
      <c r="Q181" s="31">
        <f>IFERROR(VLOOKUP($E181,bug_conf_sheet!$A:$H,5,FALSE),VLOOKUP("other",bug_conf_sheet!$A:$H,5,FALSE))</f>
        <v>0</v>
      </c>
      <c r="R181" s="31">
        <f>IFERROR(VLOOKUP($E181,bug_conf_sheet!$A:$H,6,FALSE),VLOOKUP("other",bug_conf_sheet!$A:$H,6,FALSE))</f>
        <v>0</v>
      </c>
      <c r="S181" s="31">
        <f>IFERROR(VLOOKUP($E181,bug_conf_sheet!$A:$H,7,FALSE),VLOOKUP("other",bug_conf_sheet!$A:$H,7,FALSE))</f>
        <v>0</v>
      </c>
      <c r="T181" s="31">
        <f>IFERROR(VLOOKUP($E181,bug_conf_sheet!$A:$H,8,FALSE),VLOOKUP("other",bug_conf_sheet!$A:$H,8,FALSE))</f>
        <v>1</v>
      </c>
    </row>
    <row r="182" spans="1:20" ht="21" customHeight="1">
      <c r="A182" s="2" t="str">
        <f ca="1">input_314100!A$2</f>
        <v>314100</v>
      </c>
      <c r="B182" s="7" t="str">
        <f t="shared" si="8"/>
        <v>Premium4</v>
      </c>
      <c r="C182" s="7" t="str">
        <f t="shared" si="9"/>
        <v>Premium</v>
      </c>
      <c r="D182" s="7" t="str">
        <f t="shared" si="10"/>
        <v>bg</v>
      </c>
      <c r="E182" s="6">
        <v>440</v>
      </c>
      <c r="F182" s="7" t="str">
        <f>VLOOKUP(E182,[1]characters!$A:$C,3,FALSE)</f>
        <v>改良型 ブリキロガー</v>
      </c>
      <c r="G182" s="7" t="str">
        <f>VLOOKUP(E182,[1]characters!$A:$J,10,FALSE)</f>
        <v>PremiumS</v>
      </c>
      <c r="H182" s="7">
        <f>VLOOKUP(E182,[1]characters!$A:$I,9,FALSE)</f>
        <v>4</v>
      </c>
      <c r="I182" s="7" t="str">
        <f>VLOOKUP(E182,[1]characters!$A:$H,8,FALSE)</f>
        <v>blue</v>
      </c>
      <c r="J182" s="7" t="str">
        <f>VLOOKUP(E182,[1]characters!$A:$K,11,FALSE)</f>
        <v>attack</v>
      </c>
      <c r="K182" s="7" t="str">
        <f>VLOOKUP(E182,[1]characters!$A:$M,13,FALSE)</f>
        <v>machine</v>
      </c>
      <c r="L182" s="7" t="str">
        <f>VLOOKUP(E182,[1]characters!$A:$G,7,FALSE)</f>
        <v>不明</v>
      </c>
      <c r="M182" s="62">
        <f ca="1">IFERROR(VLOOKUP(E182,input_314100!L:R,7,FALSE),VLOOKUP(tables_314100!B182,input_314100!A:H,8,FALSE))</f>
        <v>342090</v>
      </c>
      <c r="N182" s="63">
        <f t="shared" ca="1" si="11"/>
        <v>1.222972972972973E-2</v>
      </c>
      <c r="O182" s="31">
        <f>IFERROR(VLOOKUP($E182,bug_conf_sheet!$A:$H,3,FALSE),VLOOKUP("other",bug_conf_sheet!$A:$H,3,FALSE))</f>
        <v>1</v>
      </c>
      <c r="P182" s="31">
        <f>IFERROR(VLOOKUP($E182,bug_conf_sheet!$A:$H,4,FALSE),VLOOKUP("other",bug_conf_sheet!$A:$H,4,FALSE))</f>
        <v>0</v>
      </c>
      <c r="Q182" s="31">
        <f>IFERROR(VLOOKUP($E182,bug_conf_sheet!$A:$H,5,FALSE),VLOOKUP("other",bug_conf_sheet!$A:$H,5,FALSE))</f>
        <v>0</v>
      </c>
      <c r="R182" s="31">
        <f>IFERROR(VLOOKUP($E182,bug_conf_sheet!$A:$H,6,FALSE),VLOOKUP("other",bug_conf_sheet!$A:$H,6,FALSE))</f>
        <v>0</v>
      </c>
      <c r="S182" s="31">
        <f>IFERROR(VLOOKUP($E182,bug_conf_sheet!$A:$H,7,FALSE),VLOOKUP("other",bug_conf_sheet!$A:$H,7,FALSE))</f>
        <v>0</v>
      </c>
      <c r="T182" s="31">
        <f>IFERROR(VLOOKUP($E182,bug_conf_sheet!$A:$H,8,FALSE),VLOOKUP("other",bug_conf_sheet!$A:$H,8,FALSE))</f>
        <v>1</v>
      </c>
    </row>
    <row r="183" spans="1:20" ht="21" customHeight="1">
      <c r="A183" s="2" t="str">
        <f ca="1">input_314100!A$2</f>
        <v>314100</v>
      </c>
      <c r="B183" s="7" t="str">
        <f t="shared" si="8"/>
        <v>Premium5</v>
      </c>
      <c r="C183" s="7" t="str">
        <f t="shared" si="9"/>
        <v>Premium</v>
      </c>
      <c r="D183" s="7" t="str">
        <f t="shared" si="10"/>
        <v>bg</v>
      </c>
      <c r="E183" s="6">
        <v>441</v>
      </c>
      <c r="F183" s="7" t="str">
        <f>VLOOKUP(E183,[1]characters!$A:$C,3,FALSE)</f>
        <v>求心の錻装 ブリキロガー</v>
      </c>
      <c r="G183" s="7" t="str">
        <f>VLOOKUP(E183,[1]characters!$A:$J,10,FALSE)</f>
        <v>PremiumS</v>
      </c>
      <c r="H183" s="7">
        <f>VLOOKUP(E183,[1]characters!$A:$I,9,FALSE)</f>
        <v>5</v>
      </c>
      <c r="I183" s="7" t="str">
        <f>VLOOKUP(E183,[1]characters!$A:$H,8,FALSE)</f>
        <v>blue</v>
      </c>
      <c r="J183" s="7" t="str">
        <f>VLOOKUP(E183,[1]characters!$A:$K,11,FALSE)</f>
        <v>attack</v>
      </c>
      <c r="K183" s="7" t="str">
        <f>VLOOKUP(E183,[1]characters!$A:$M,13,FALSE)</f>
        <v>machine</v>
      </c>
      <c r="L183" s="7" t="str">
        <f>VLOOKUP(E183,[1]characters!$A:$G,7,FALSE)</f>
        <v>不明</v>
      </c>
      <c r="M183" s="62">
        <f ca="1">IFERROR(VLOOKUP(E183,input_314100!L:R,7,FALSE),VLOOKUP(tables_314100!B183,input_314100!A:H,8,FALSE))</f>
        <v>12950</v>
      </c>
      <c r="N183" s="63">
        <f t="shared" ca="1" si="11"/>
        <v>4.6296296296296298E-4</v>
      </c>
      <c r="O183" s="31">
        <f>IFERROR(VLOOKUP($E183,bug_conf_sheet!$A:$H,3,FALSE),VLOOKUP("other",bug_conf_sheet!$A:$H,3,FALSE))</f>
        <v>1</v>
      </c>
      <c r="P183" s="31">
        <f>IFERROR(VLOOKUP($E183,bug_conf_sheet!$A:$H,4,FALSE),VLOOKUP("other",bug_conf_sheet!$A:$H,4,FALSE))</f>
        <v>0</v>
      </c>
      <c r="Q183" s="31">
        <f>IFERROR(VLOOKUP($E183,bug_conf_sheet!$A:$H,5,FALSE),VLOOKUP("other",bug_conf_sheet!$A:$H,5,FALSE))</f>
        <v>0</v>
      </c>
      <c r="R183" s="31">
        <f>IFERROR(VLOOKUP($E183,bug_conf_sheet!$A:$H,6,FALSE),VLOOKUP("other",bug_conf_sheet!$A:$H,6,FALSE))</f>
        <v>0</v>
      </c>
      <c r="S183" s="31">
        <f>IFERROR(VLOOKUP($E183,bug_conf_sheet!$A:$H,7,FALSE),VLOOKUP("other",bug_conf_sheet!$A:$H,7,FALSE))</f>
        <v>0</v>
      </c>
      <c r="T183" s="31">
        <f>IFERROR(VLOOKUP($E183,bug_conf_sheet!$A:$H,8,FALSE),VLOOKUP("other",bug_conf_sheet!$A:$H,8,FALSE))</f>
        <v>1</v>
      </c>
    </row>
    <row r="184" spans="1:20" ht="21" customHeight="1">
      <c r="A184" s="2" t="str">
        <f ca="1">input_314100!A$2</f>
        <v>314100</v>
      </c>
      <c r="B184" s="7" t="str">
        <f t="shared" si="8"/>
        <v>PremiumSSry4</v>
      </c>
      <c r="C184" s="7" t="str">
        <f t="shared" si="9"/>
        <v>PremiumSS</v>
      </c>
      <c r="D184" s="7" t="str">
        <f t="shared" si="10"/>
        <v>ry</v>
      </c>
      <c r="E184" s="6">
        <v>442</v>
      </c>
      <c r="F184" s="7" t="str">
        <f>VLOOKUP(E184,[1]characters!$A:$C,3,FALSE)</f>
        <v>ブレイブリー・ライオン</v>
      </c>
      <c r="G184" s="7" t="str">
        <f>VLOOKUP(E184,[1]characters!$A:$J,10,FALSE)</f>
        <v>PremiumSS</v>
      </c>
      <c r="H184" s="7">
        <f>VLOOKUP(E184,[1]characters!$A:$I,9,FALSE)</f>
        <v>4</v>
      </c>
      <c r="I184" s="7" t="str">
        <f>VLOOKUP(E184,[1]characters!$A:$H,8,FALSE)</f>
        <v>yellow</v>
      </c>
      <c r="J184" s="7" t="str">
        <f>VLOOKUP(E184,[1]characters!$A:$K,11,FALSE)</f>
        <v>hp</v>
      </c>
      <c r="K184" s="7" t="str">
        <f>VLOOKUP(E184,[1]characters!$A:$M,13,FALSE)</f>
        <v>animal</v>
      </c>
      <c r="L184" s="7" t="str">
        <f>VLOOKUP(E184,[1]characters!$A:$G,7,FALSE)</f>
        <v>不明</v>
      </c>
      <c r="M184" s="62">
        <f ca="1">IFERROR(VLOOKUP(E184,input_314100!L:R,7,FALSE),VLOOKUP(tables_314100!B184,input_314100!A:H,8,FALSE))</f>
        <v>35964</v>
      </c>
      <c r="N184" s="63">
        <f t="shared" ca="1" si="11"/>
        <v>1.2857142857142856E-3</v>
      </c>
      <c r="O184" s="31">
        <f>IFERROR(VLOOKUP($E184,bug_conf_sheet!$A:$H,3,FALSE),VLOOKUP("other",bug_conf_sheet!$A:$H,3,FALSE))</f>
        <v>1</v>
      </c>
      <c r="P184" s="31">
        <f>IFERROR(VLOOKUP($E184,bug_conf_sheet!$A:$H,4,FALSE),VLOOKUP("other",bug_conf_sheet!$A:$H,4,FALSE))</f>
        <v>0</v>
      </c>
      <c r="Q184" s="31">
        <f>IFERROR(VLOOKUP($E184,bug_conf_sheet!$A:$H,5,FALSE),VLOOKUP("other",bug_conf_sheet!$A:$H,5,FALSE))</f>
        <v>0</v>
      </c>
      <c r="R184" s="31">
        <f>IFERROR(VLOOKUP($E184,bug_conf_sheet!$A:$H,6,FALSE),VLOOKUP("other",bug_conf_sheet!$A:$H,6,FALSE))</f>
        <v>0</v>
      </c>
      <c r="S184" s="31">
        <f>IFERROR(VLOOKUP($E184,bug_conf_sheet!$A:$H,7,FALSE),VLOOKUP("other",bug_conf_sheet!$A:$H,7,FALSE))</f>
        <v>0</v>
      </c>
      <c r="T184" s="31">
        <f>IFERROR(VLOOKUP($E184,bug_conf_sheet!$A:$H,8,FALSE),VLOOKUP("other",bug_conf_sheet!$A:$H,8,FALSE))</f>
        <v>1</v>
      </c>
    </row>
    <row r="185" spans="1:20" ht="21" customHeight="1">
      <c r="A185" s="2" t="str">
        <f ca="1">input_314100!A$2</f>
        <v>314100</v>
      </c>
      <c r="B185" s="7" t="str">
        <f t="shared" si="8"/>
        <v>PremiumSSry5</v>
      </c>
      <c r="C185" s="7" t="str">
        <f t="shared" si="9"/>
        <v>PremiumSS</v>
      </c>
      <c r="D185" s="7" t="str">
        <f t="shared" si="10"/>
        <v>ry</v>
      </c>
      <c r="E185" s="6">
        <v>443</v>
      </c>
      <c r="F185" s="7" t="str">
        <f>VLOOKUP(E185,[1]characters!$A:$C,3,FALSE)</f>
        <v>勇機結集 ブレイブリー・ライオン</v>
      </c>
      <c r="G185" s="7" t="str">
        <f>VLOOKUP(E185,[1]characters!$A:$J,10,FALSE)</f>
        <v>PremiumSS</v>
      </c>
      <c r="H185" s="7">
        <f>VLOOKUP(E185,[1]characters!$A:$I,9,FALSE)</f>
        <v>5</v>
      </c>
      <c r="I185" s="7" t="str">
        <f>VLOOKUP(E185,[1]characters!$A:$H,8,FALSE)</f>
        <v>yellow</v>
      </c>
      <c r="J185" s="7" t="str">
        <f>VLOOKUP(E185,[1]characters!$A:$K,11,FALSE)</f>
        <v>hp</v>
      </c>
      <c r="K185" s="7" t="str">
        <f>VLOOKUP(E185,[1]characters!$A:$M,13,FALSE)</f>
        <v>animal</v>
      </c>
      <c r="L185" s="7" t="str">
        <f>VLOOKUP(E185,[1]characters!$A:$G,7,FALSE)</f>
        <v>不明</v>
      </c>
      <c r="M185" s="62">
        <f ca="1">IFERROR(VLOOKUP(E185,input_314100!L:R,7,FALSE),VLOOKUP(tables_314100!B185,input_314100!A:H,8,FALSE))</f>
        <v>3996</v>
      </c>
      <c r="N185" s="63">
        <f t="shared" ca="1" si="11"/>
        <v>1.4285714285714287E-4</v>
      </c>
      <c r="O185" s="31">
        <f>IFERROR(VLOOKUP($E185,bug_conf_sheet!$A:$H,3,FALSE),VLOOKUP("other",bug_conf_sheet!$A:$H,3,FALSE))</f>
        <v>1</v>
      </c>
      <c r="P185" s="31">
        <f>IFERROR(VLOOKUP($E185,bug_conf_sheet!$A:$H,4,FALSE),VLOOKUP("other",bug_conf_sheet!$A:$H,4,FALSE))</f>
        <v>0</v>
      </c>
      <c r="Q185" s="31">
        <f>IFERROR(VLOOKUP($E185,bug_conf_sheet!$A:$H,5,FALSE),VLOOKUP("other",bug_conf_sheet!$A:$H,5,FALSE))</f>
        <v>0</v>
      </c>
      <c r="R185" s="31">
        <f>IFERROR(VLOOKUP($E185,bug_conf_sheet!$A:$H,6,FALSE),VLOOKUP("other",bug_conf_sheet!$A:$H,6,FALSE))</f>
        <v>0</v>
      </c>
      <c r="S185" s="31">
        <f>IFERROR(VLOOKUP($E185,bug_conf_sheet!$A:$H,7,FALSE),VLOOKUP("other",bug_conf_sheet!$A:$H,7,FALSE))</f>
        <v>0</v>
      </c>
      <c r="T185" s="31">
        <f>IFERROR(VLOOKUP($E185,bug_conf_sheet!$A:$H,8,FALSE),VLOOKUP("other",bug_conf_sheet!$A:$H,8,FALSE))</f>
        <v>1</v>
      </c>
    </row>
    <row r="186" spans="1:20" ht="21" customHeight="1">
      <c r="A186" s="2" t="str">
        <f ca="1">input_314100!A$2</f>
        <v>314100</v>
      </c>
      <c r="B186" s="7" t="str">
        <f t="shared" si="8"/>
        <v>Premium3</v>
      </c>
      <c r="C186" s="7" t="str">
        <f t="shared" si="9"/>
        <v>Premium</v>
      </c>
      <c r="D186" s="7" t="str">
        <f t="shared" si="10"/>
        <v>ry</v>
      </c>
      <c r="E186" s="8">
        <v>462</v>
      </c>
      <c r="F186" s="7" t="str">
        <f>VLOOKUP(E186,[1]characters!$A:$C,3,FALSE)</f>
        <v>ガウェイン</v>
      </c>
      <c r="G186" s="7" t="str">
        <f>VLOOKUP(E186,[1]characters!$A:$J,10,FALSE)</f>
        <v>PremiumS</v>
      </c>
      <c r="H186" s="7">
        <f>VLOOKUP(E186,[1]characters!$A:$I,9,FALSE)</f>
        <v>3</v>
      </c>
      <c r="I186" s="7" t="str">
        <f>VLOOKUP(E186,[1]characters!$A:$H,8,FALSE)</f>
        <v>red</v>
      </c>
      <c r="J186" s="7" t="str">
        <f>VLOOKUP(E186,[1]characters!$A:$K,11,FALSE)</f>
        <v>hp</v>
      </c>
      <c r="K186" s="7" t="str">
        <f>VLOOKUP(E186,[1]characters!$A:$M,13,FALSE)</f>
        <v>human</v>
      </c>
      <c r="L186" s="7" t="str">
        <f>VLOOKUP(E186,[1]characters!$A:$G,7,FALSE)</f>
        <v>男性</v>
      </c>
      <c r="M186" s="62">
        <f ca="1">IFERROR(VLOOKUP(E186,input_314100!L:R,7,FALSE),VLOOKUP(tables_314100!B186,input_314100!A:H,8,FALSE))</f>
        <v>0</v>
      </c>
      <c r="N186" s="63">
        <f t="shared" ca="1" si="11"/>
        <v>0</v>
      </c>
      <c r="O186" s="31">
        <f>IFERROR(VLOOKUP($E186,bug_conf_sheet!$A:$H,3,FALSE),VLOOKUP("other",bug_conf_sheet!$A:$H,3,FALSE))</f>
        <v>1</v>
      </c>
      <c r="P186" s="31">
        <f>IFERROR(VLOOKUP($E186,bug_conf_sheet!$A:$H,4,FALSE),VLOOKUP("other",bug_conf_sheet!$A:$H,4,FALSE))</f>
        <v>0</v>
      </c>
      <c r="Q186" s="31">
        <f>IFERROR(VLOOKUP($E186,bug_conf_sheet!$A:$H,5,FALSE),VLOOKUP("other",bug_conf_sheet!$A:$H,5,FALSE))</f>
        <v>0</v>
      </c>
      <c r="R186" s="31">
        <f>IFERROR(VLOOKUP($E186,bug_conf_sheet!$A:$H,6,FALSE),VLOOKUP("other",bug_conf_sheet!$A:$H,6,FALSE))</f>
        <v>0</v>
      </c>
      <c r="S186" s="31">
        <f>IFERROR(VLOOKUP($E186,bug_conf_sheet!$A:$H,7,FALSE),VLOOKUP("other",bug_conf_sheet!$A:$H,7,FALSE))</f>
        <v>0</v>
      </c>
      <c r="T186" s="31">
        <f>IFERROR(VLOOKUP($E186,bug_conf_sheet!$A:$H,8,FALSE),VLOOKUP("other",bug_conf_sheet!$A:$H,8,FALSE))</f>
        <v>1</v>
      </c>
    </row>
    <row r="187" spans="1:20" ht="21" customHeight="1">
      <c r="A187" s="2" t="str">
        <f ca="1">input_314100!A$2</f>
        <v>314100</v>
      </c>
      <c r="B187" s="7" t="str">
        <f t="shared" si="8"/>
        <v>Premium4</v>
      </c>
      <c r="C187" s="7" t="str">
        <f t="shared" si="9"/>
        <v>Premium</v>
      </c>
      <c r="D187" s="7" t="str">
        <f t="shared" si="10"/>
        <v>ry</v>
      </c>
      <c r="E187" s="8">
        <v>463</v>
      </c>
      <c r="F187" s="7" t="str">
        <f>VLOOKUP(E187,[1]characters!$A:$C,3,FALSE)</f>
        <v>燻銀 ガウェイン</v>
      </c>
      <c r="G187" s="7" t="str">
        <f>VLOOKUP(E187,[1]characters!$A:$J,10,FALSE)</f>
        <v>PremiumS</v>
      </c>
      <c r="H187" s="7">
        <f>VLOOKUP(E187,[1]characters!$A:$I,9,FALSE)</f>
        <v>4</v>
      </c>
      <c r="I187" s="7" t="str">
        <f>VLOOKUP(E187,[1]characters!$A:$H,8,FALSE)</f>
        <v>red</v>
      </c>
      <c r="J187" s="7" t="str">
        <f>VLOOKUP(E187,[1]characters!$A:$K,11,FALSE)</f>
        <v>hp</v>
      </c>
      <c r="K187" s="7" t="str">
        <f>VLOOKUP(E187,[1]characters!$A:$M,13,FALSE)</f>
        <v>human</v>
      </c>
      <c r="L187" s="7" t="str">
        <f>VLOOKUP(E187,[1]characters!$A:$G,7,FALSE)</f>
        <v>男性</v>
      </c>
      <c r="M187" s="62">
        <f ca="1">IFERROR(VLOOKUP(E187,input_314100!L:R,7,FALSE),VLOOKUP(tables_314100!B187,input_314100!A:H,8,FALSE))</f>
        <v>342090</v>
      </c>
      <c r="N187" s="63">
        <f t="shared" ca="1" si="11"/>
        <v>1.222972972972973E-2</v>
      </c>
      <c r="O187" s="31">
        <f>IFERROR(VLOOKUP($E187,bug_conf_sheet!$A:$H,3,FALSE),VLOOKUP("other",bug_conf_sheet!$A:$H,3,FALSE))</f>
        <v>1</v>
      </c>
      <c r="P187" s="31">
        <f>IFERROR(VLOOKUP($E187,bug_conf_sheet!$A:$H,4,FALSE),VLOOKUP("other",bug_conf_sheet!$A:$H,4,FALSE))</f>
        <v>0</v>
      </c>
      <c r="Q187" s="31">
        <f>IFERROR(VLOOKUP($E187,bug_conf_sheet!$A:$H,5,FALSE),VLOOKUP("other",bug_conf_sheet!$A:$H,5,FALSE))</f>
        <v>0</v>
      </c>
      <c r="R187" s="31">
        <f>IFERROR(VLOOKUP($E187,bug_conf_sheet!$A:$H,6,FALSE),VLOOKUP("other",bug_conf_sheet!$A:$H,6,FALSE))</f>
        <v>0</v>
      </c>
      <c r="S187" s="31">
        <f>IFERROR(VLOOKUP($E187,bug_conf_sheet!$A:$H,7,FALSE),VLOOKUP("other",bug_conf_sheet!$A:$H,7,FALSE))</f>
        <v>0</v>
      </c>
      <c r="T187" s="31">
        <f>IFERROR(VLOOKUP($E187,bug_conf_sheet!$A:$H,8,FALSE),VLOOKUP("other",bug_conf_sheet!$A:$H,8,FALSE))</f>
        <v>1</v>
      </c>
    </row>
    <row r="188" spans="1:20" ht="21" customHeight="1">
      <c r="A188" s="2" t="str">
        <f ca="1">input_314100!A$2</f>
        <v>314100</v>
      </c>
      <c r="B188" s="7" t="str">
        <f t="shared" si="8"/>
        <v>Premium5</v>
      </c>
      <c r="C188" s="7" t="str">
        <f t="shared" si="9"/>
        <v>Premium</v>
      </c>
      <c r="D188" s="7" t="str">
        <f t="shared" si="10"/>
        <v>ry</v>
      </c>
      <c r="E188" s="8">
        <v>464</v>
      </c>
      <c r="F188" s="7" t="str">
        <f>VLOOKUP(E188,[1]characters!$A:$C,3,FALSE)</f>
        <v>円熟の弾導 ガウェイン</v>
      </c>
      <c r="G188" s="7" t="str">
        <f>VLOOKUP(E188,[1]characters!$A:$J,10,FALSE)</f>
        <v>PremiumS</v>
      </c>
      <c r="H188" s="7">
        <f>VLOOKUP(E188,[1]characters!$A:$I,9,FALSE)</f>
        <v>5</v>
      </c>
      <c r="I188" s="7" t="str">
        <f>VLOOKUP(E188,[1]characters!$A:$H,8,FALSE)</f>
        <v>red</v>
      </c>
      <c r="J188" s="7" t="str">
        <f>VLOOKUP(E188,[1]characters!$A:$K,11,FALSE)</f>
        <v>hp</v>
      </c>
      <c r="K188" s="7" t="str">
        <f>VLOOKUP(E188,[1]characters!$A:$M,13,FALSE)</f>
        <v>human</v>
      </c>
      <c r="L188" s="7" t="str">
        <f>VLOOKUP(E188,[1]characters!$A:$G,7,FALSE)</f>
        <v>男性</v>
      </c>
      <c r="M188" s="62">
        <f ca="1">IFERROR(VLOOKUP(E188,input_314100!L:R,7,FALSE),VLOOKUP(tables_314100!B188,input_314100!A:H,8,FALSE))</f>
        <v>12950</v>
      </c>
      <c r="N188" s="63">
        <f t="shared" ca="1" si="11"/>
        <v>4.6296296296296298E-4</v>
      </c>
      <c r="O188" s="31">
        <f>IFERROR(VLOOKUP($E188,bug_conf_sheet!$A:$H,3,FALSE),VLOOKUP("other",bug_conf_sheet!$A:$H,3,FALSE))</f>
        <v>1</v>
      </c>
      <c r="P188" s="31">
        <f>IFERROR(VLOOKUP($E188,bug_conf_sheet!$A:$H,4,FALSE),VLOOKUP("other",bug_conf_sheet!$A:$H,4,FALSE))</f>
        <v>0</v>
      </c>
      <c r="Q188" s="31">
        <f>IFERROR(VLOOKUP($E188,bug_conf_sheet!$A:$H,5,FALSE),VLOOKUP("other",bug_conf_sheet!$A:$H,5,FALSE))</f>
        <v>0</v>
      </c>
      <c r="R188" s="31">
        <f>IFERROR(VLOOKUP($E188,bug_conf_sheet!$A:$H,6,FALSE),VLOOKUP("other",bug_conf_sheet!$A:$H,6,FALSE))</f>
        <v>0</v>
      </c>
      <c r="S188" s="31">
        <f>IFERROR(VLOOKUP($E188,bug_conf_sheet!$A:$H,7,FALSE),VLOOKUP("other",bug_conf_sheet!$A:$H,7,FALSE))</f>
        <v>0</v>
      </c>
      <c r="T188" s="31">
        <f>IFERROR(VLOOKUP($E188,bug_conf_sheet!$A:$H,8,FALSE),VLOOKUP("other",bug_conf_sheet!$A:$H,8,FALSE))</f>
        <v>1</v>
      </c>
    </row>
    <row r="189" spans="1:20" ht="21" customHeight="1">
      <c r="A189" s="2" t="str">
        <f ca="1">input_314100!A$2</f>
        <v>314100</v>
      </c>
      <c r="B189" s="7" t="str">
        <f t="shared" si="8"/>
        <v>PremiumSSbg4</v>
      </c>
      <c r="C189" s="7" t="str">
        <f t="shared" si="9"/>
        <v>PremiumSS</v>
      </c>
      <c r="D189" s="7" t="str">
        <f t="shared" si="10"/>
        <v>bg</v>
      </c>
      <c r="E189" s="8">
        <v>465</v>
      </c>
      <c r="F189" s="7" t="str">
        <f>VLOOKUP(E189,[1]characters!$A:$C,3,FALSE)</f>
        <v>真撃 ランスロット</v>
      </c>
      <c r="G189" s="7" t="str">
        <f>VLOOKUP(E189,[1]characters!$A:$J,10,FALSE)</f>
        <v>PremiumSS</v>
      </c>
      <c r="H189" s="7">
        <f>VLOOKUP(E189,[1]characters!$A:$I,9,FALSE)</f>
        <v>4</v>
      </c>
      <c r="I189" s="7" t="str">
        <f>VLOOKUP(E189,[1]characters!$A:$H,8,FALSE)</f>
        <v>green</v>
      </c>
      <c r="J189" s="7" t="str">
        <f>VLOOKUP(E189,[1]characters!$A:$K,11,FALSE)</f>
        <v>balance</v>
      </c>
      <c r="K189" s="7" t="str">
        <f>VLOOKUP(E189,[1]characters!$A:$M,13,FALSE)</f>
        <v>human</v>
      </c>
      <c r="L189" s="7" t="str">
        <f>VLOOKUP(E189,[1]characters!$A:$G,7,FALSE)</f>
        <v>男性</v>
      </c>
      <c r="M189" s="62">
        <f ca="1">IFERROR(VLOOKUP(E189,input_314100!L:R,7,FALSE),VLOOKUP(tables_314100!B189,input_314100!A:H,8,FALSE))</f>
        <v>62937</v>
      </c>
      <c r="N189" s="63">
        <f t="shared" ca="1" si="11"/>
        <v>2.2499999999999998E-3</v>
      </c>
      <c r="O189" s="31">
        <f>IFERROR(VLOOKUP($E189,bug_conf_sheet!$A:$H,3,FALSE),VLOOKUP("other",bug_conf_sheet!$A:$H,3,FALSE))</f>
        <v>1</v>
      </c>
      <c r="P189" s="31">
        <f>IFERROR(VLOOKUP($E189,bug_conf_sheet!$A:$H,4,FALSE),VLOOKUP("other",bug_conf_sheet!$A:$H,4,FALSE))</f>
        <v>0</v>
      </c>
      <c r="Q189" s="31">
        <f>IFERROR(VLOOKUP($E189,bug_conf_sheet!$A:$H,5,FALSE),VLOOKUP("other",bug_conf_sheet!$A:$H,5,FALSE))</f>
        <v>0</v>
      </c>
      <c r="R189" s="31">
        <f>IFERROR(VLOOKUP($E189,bug_conf_sheet!$A:$H,6,FALSE),VLOOKUP("other",bug_conf_sheet!$A:$H,6,FALSE))</f>
        <v>0</v>
      </c>
      <c r="S189" s="31">
        <f>IFERROR(VLOOKUP($E189,bug_conf_sheet!$A:$H,7,FALSE),VLOOKUP("other",bug_conf_sheet!$A:$H,7,FALSE))</f>
        <v>0</v>
      </c>
      <c r="T189" s="31">
        <f>IFERROR(VLOOKUP($E189,bug_conf_sheet!$A:$H,8,FALSE),VLOOKUP("other",bug_conf_sheet!$A:$H,8,FALSE))</f>
        <v>1</v>
      </c>
    </row>
    <row r="190" spans="1:20" s="9" customFormat="1" ht="21" customHeight="1" thickBot="1">
      <c r="A190" s="2" t="str">
        <f ca="1">input_314100!A$2</f>
        <v>314100</v>
      </c>
      <c r="B190" s="7" t="str">
        <f t="shared" si="8"/>
        <v>PremiumSSbg5</v>
      </c>
      <c r="C190" s="7" t="str">
        <f t="shared" si="9"/>
        <v>PremiumSS</v>
      </c>
      <c r="D190" s="7" t="str">
        <f t="shared" si="10"/>
        <v>bg</v>
      </c>
      <c r="E190" s="6">
        <v>466</v>
      </c>
      <c r="F190" s="7" t="str">
        <f>VLOOKUP(E190,[1]characters!$A:$C,3,FALSE)</f>
        <v>真断の勇覇 ランスロット</v>
      </c>
      <c r="G190" s="7" t="str">
        <f>VLOOKUP(E190,[1]characters!$A:$J,10,FALSE)</f>
        <v>PremiumSS</v>
      </c>
      <c r="H190" s="7">
        <f>VLOOKUP(E190,[1]characters!$A:$I,9,FALSE)</f>
        <v>5</v>
      </c>
      <c r="I190" s="7" t="str">
        <f>VLOOKUP(E190,[1]characters!$A:$H,8,FALSE)</f>
        <v>green</v>
      </c>
      <c r="J190" s="7" t="str">
        <f>VLOOKUP(E190,[1]characters!$A:$K,11,FALSE)</f>
        <v>balance</v>
      </c>
      <c r="K190" s="7" t="str">
        <f>VLOOKUP(E190,[1]characters!$A:$M,13,FALSE)</f>
        <v>human</v>
      </c>
      <c r="L190" s="7" t="str">
        <f>VLOOKUP(E190,[1]characters!$A:$G,7,FALSE)</f>
        <v>男性</v>
      </c>
      <c r="M190" s="62">
        <f ca="1">IFERROR(VLOOKUP(E190,input_314100!L:R,7,FALSE),VLOOKUP(tables_314100!B190,input_314100!A:H,8,FALSE))</f>
        <v>6993</v>
      </c>
      <c r="N190" s="63">
        <f t="shared" ca="1" si="11"/>
        <v>2.5000000000000001E-4</v>
      </c>
      <c r="O190" s="31">
        <f>IFERROR(VLOOKUP($E190,bug_conf_sheet!$A:$H,3,FALSE),VLOOKUP("other",bug_conf_sheet!$A:$H,3,FALSE))</f>
        <v>1</v>
      </c>
      <c r="P190" s="31">
        <f>IFERROR(VLOOKUP($E190,bug_conf_sheet!$A:$H,4,FALSE),VLOOKUP("other",bug_conf_sheet!$A:$H,4,FALSE))</f>
        <v>0</v>
      </c>
      <c r="Q190" s="31">
        <f>IFERROR(VLOOKUP($E190,bug_conf_sheet!$A:$H,5,FALSE),VLOOKUP("other",bug_conf_sheet!$A:$H,5,FALSE))</f>
        <v>0</v>
      </c>
      <c r="R190" s="31">
        <f>IFERROR(VLOOKUP($E190,bug_conf_sheet!$A:$H,6,FALSE),VLOOKUP("other",bug_conf_sheet!$A:$H,6,FALSE))</f>
        <v>0</v>
      </c>
      <c r="S190" s="31">
        <f>IFERROR(VLOOKUP($E190,bug_conf_sheet!$A:$H,7,FALSE),VLOOKUP("other",bug_conf_sheet!$A:$H,7,FALSE))</f>
        <v>0</v>
      </c>
      <c r="T190" s="31">
        <f>IFERROR(VLOOKUP($E190,bug_conf_sheet!$A:$H,8,FALSE),VLOOKUP("other",bug_conf_sheet!$A:$H,8,FALSE))</f>
        <v>1</v>
      </c>
    </row>
    <row r="191" spans="1:20" ht="21" customHeight="1">
      <c r="A191" s="2" t="str">
        <f ca="1">input_314100!A$2</f>
        <v>314100</v>
      </c>
      <c r="B191" s="7" t="str">
        <f t="shared" si="8"/>
        <v>PremiumSSbg4</v>
      </c>
      <c r="C191" s="7" t="str">
        <f t="shared" si="9"/>
        <v>PremiumSS</v>
      </c>
      <c r="D191" s="7" t="str">
        <f t="shared" si="10"/>
        <v>bg</v>
      </c>
      <c r="E191" s="6">
        <v>467</v>
      </c>
      <c r="F191" s="7" t="str">
        <f>VLOOKUP(E191,[1]characters!$A:$C,3,FALSE)</f>
        <v>報復 モルドレッド</v>
      </c>
      <c r="G191" s="7" t="str">
        <f>VLOOKUP(E191,[1]characters!$A:$J,10,FALSE)</f>
        <v>PremiumSS</v>
      </c>
      <c r="H191" s="7">
        <f>VLOOKUP(E191,[1]characters!$A:$I,9,FALSE)</f>
        <v>4</v>
      </c>
      <c r="I191" s="7" t="str">
        <f>VLOOKUP(E191,[1]characters!$A:$H,8,FALSE)</f>
        <v>blue</v>
      </c>
      <c r="J191" s="7" t="str">
        <f>VLOOKUP(E191,[1]characters!$A:$K,11,FALSE)</f>
        <v>technical</v>
      </c>
      <c r="K191" s="7" t="str">
        <f>VLOOKUP(E191,[1]characters!$A:$M,13,FALSE)</f>
        <v>human</v>
      </c>
      <c r="L191" s="7" t="str">
        <f>VLOOKUP(E191,[1]characters!$A:$G,7,FALSE)</f>
        <v>女性</v>
      </c>
      <c r="M191" s="62">
        <f ca="1">IFERROR(VLOOKUP(E191,input_314100!L:R,7,FALSE),VLOOKUP(tables_314100!B191,input_314100!A:H,8,FALSE))</f>
        <v>62937</v>
      </c>
      <c r="N191" s="63">
        <f t="shared" ca="1" si="11"/>
        <v>2.2499999999999998E-3</v>
      </c>
      <c r="O191" s="31">
        <f>IFERROR(VLOOKUP($E191,bug_conf_sheet!$A:$H,3,FALSE),VLOOKUP("other",bug_conf_sheet!$A:$H,3,FALSE))</f>
        <v>1</v>
      </c>
      <c r="P191" s="31">
        <f>IFERROR(VLOOKUP($E191,bug_conf_sheet!$A:$H,4,FALSE),VLOOKUP("other",bug_conf_sheet!$A:$H,4,FALSE))</f>
        <v>0</v>
      </c>
      <c r="Q191" s="31">
        <f>IFERROR(VLOOKUP($E191,bug_conf_sheet!$A:$H,5,FALSE),VLOOKUP("other",bug_conf_sheet!$A:$H,5,FALSE))</f>
        <v>0</v>
      </c>
      <c r="R191" s="31">
        <f>IFERROR(VLOOKUP($E191,bug_conf_sheet!$A:$H,6,FALSE),VLOOKUP("other",bug_conf_sheet!$A:$H,6,FALSE))</f>
        <v>0</v>
      </c>
      <c r="S191" s="31">
        <f>IFERROR(VLOOKUP($E191,bug_conf_sheet!$A:$H,7,FALSE),VLOOKUP("other",bug_conf_sheet!$A:$H,7,FALSE))</f>
        <v>0</v>
      </c>
      <c r="T191" s="31">
        <f>IFERROR(VLOOKUP($E191,bug_conf_sheet!$A:$H,8,FALSE),VLOOKUP("other",bug_conf_sheet!$A:$H,8,FALSE))</f>
        <v>1</v>
      </c>
    </row>
    <row r="192" spans="1:20" ht="21" customHeight="1">
      <c r="A192" s="2" t="str">
        <f ca="1">input_314100!A$2</f>
        <v>314100</v>
      </c>
      <c r="B192" s="7" t="str">
        <f t="shared" si="8"/>
        <v>PremiumSSbg5</v>
      </c>
      <c r="C192" s="7" t="str">
        <f t="shared" si="9"/>
        <v>PremiumSS</v>
      </c>
      <c r="D192" s="7" t="str">
        <f t="shared" si="10"/>
        <v>bg</v>
      </c>
      <c r="E192" s="6">
        <v>468</v>
      </c>
      <c r="F192" s="7" t="str">
        <f>VLOOKUP(E192,[1]characters!$A:$C,3,FALSE)</f>
        <v>憎愛の尖鋒 モルドレッド</v>
      </c>
      <c r="G192" s="7" t="str">
        <f>VLOOKUP(E192,[1]characters!$A:$J,10,FALSE)</f>
        <v>PremiumSS</v>
      </c>
      <c r="H192" s="7">
        <f>VLOOKUP(E192,[1]characters!$A:$I,9,FALSE)</f>
        <v>5</v>
      </c>
      <c r="I192" s="7" t="str">
        <f>VLOOKUP(E192,[1]characters!$A:$H,8,FALSE)</f>
        <v>blue</v>
      </c>
      <c r="J192" s="7" t="str">
        <f>VLOOKUP(E192,[1]characters!$A:$K,11,FALSE)</f>
        <v>technical</v>
      </c>
      <c r="K192" s="7" t="str">
        <f>VLOOKUP(E192,[1]characters!$A:$M,13,FALSE)</f>
        <v>human</v>
      </c>
      <c r="L192" s="7" t="str">
        <f>VLOOKUP(E192,[1]characters!$A:$G,7,FALSE)</f>
        <v>女性</v>
      </c>
      <c r="M192" s="62">
        <f ca="1">IFERROR(VLOOKUP(E192,input_314100!L:R,7,FALSE),VLOOKUP(tables_314100!B192,input_314100!A:H,8,FALSE))</f>
        <v>6993</v>
      </c>
      <c r="N192" s="63">
        <f t="shared" ca="1" si="11"/>
        <v>2.5000000000000001E-4</v>
      </c>
      <c r="O192" s="31">
        <f>IFERROR(VLOOKUP($E192,bug_conf_sheet!$A:$H,3,FALSE),VLOOKUP("other",bug_conf_sheet!$A:$H,3,FALSE))</f>
        <v>1</v>
      </c>
      <c r="P192" s="31">
        <f>IFERROR(VLOOKUP($E192,bug_conf_sheet!$A:$H,4,FALSE),VLOOKUP("other",bug_conf_sheet!$A:$H,4,FALSE))</f>
        <v>0</v>
      </c>
      <c r="Q192" s="31">
        <f>IFERROR(VLOOKUP($E192,bug_conf_sheet!$A:$H,5,FALSE),VLOOKUP("other",bug_conf_sheet!$A:$H,5,FALSE))</f>
        <v>0</v>
      </c>
      <c r="R192" s="31">
        <f>IFERROR(VLOOKUP($E192,bug_conf_sheet!$A:$H,6,FALSE),VLOOKUP("other",bug_conf_sheet!$A:$H,6,FALSE))</f>
        <v>0</v>
      </c>
      <c r="S192" s="31">
        <f>IFERROR(VLOOKUP($E192,bug_conf_sheet!$A:$H,7,FALSE),VLOOKUP("other",bug_conf_sheet!$A:$H,7,FALSE))</f>
        <v>0</v>
      </c>
      <c r="T192" s="31">
        <f>IFERROR(VLOOKUP($E192,bug_conf_sheet!$A:$H,8,FALSE),VLOOKUP("other",bug_conf_sheet!$A:$H,8,FALSE))</f>
        <v>1</v>
      </c>
    </row>
    <row r="193" spans="1:20" ht="21" customHeight="1">
      <c r="A193" s="2" t="str">
        <f ca="1">input_314100!A$2</f>
        <v>314100</v>
      </c>
      <c r="B193" s="7" t="str">
        <f t="shared" si="8"/>
        <v>Premium3</v>
      </c>
      <c r="C193" s="7" t="str">
        <f t="shared" si="9"/>
        <v>Premium</v>
      </c>
      <c r="D193" s="7" t="str">
        <f t="shared" si="10"/>
        <v>ry</v>
      </c>
      <c r="E193" s="6">
        <v>469</v>
      </c>
      <c r="F193" s="7" t="str">
        <f>VLOOKUP(E193,[1]characters!$A:$C,3,FALSE)</f>
        <v>トリスタン</v>
      </c>
      <c r="G193" s="7" t="str">
        <f>VLOOKUP(E193,[1]characters!$A:$J,10,FALSE)</f>
        <v>PremiumS</v>
      </c>
      <c r="H193" s="7">
        <f>VLOOKUP(E193,[1]characters!$A:$I,9,FALSE)</f>
        <v>3</v>
      </c>
      <c r="I193" s="7" t="str">
        <f>VLOOKUP(E193,[1]characters!$A:$H,8,FALSE)</f>
        <v>yellow</v>
      </c>
      <c r="J193" s="7" t="str">
        <f>VLOOKUP(E193,[1]characters!$A:$K,11,FALSE)</f>
        <v>attack</v>
      </c>
      <c r="K193" s="7" t="str">
        <f>VLOOKUP(E193,[1]characters!$A:$M,13,FALSE)</f>
        <v>human</v>
      </c>
      <c r="L193" s="7" t="str">
        <f>VLOOKUP(E193,[1]characters!$A:$G,7,FALSE)</f>
        <v>男性</v>
      </c>
      <c r="M193" s="62">
        <f ca="1">IFERROR(VLOOKUP(E193,input_314100!L:R,7,FALSE),VLOOKUP(tables_314100!B193,input_314100!A:H,8,FALSE))</f>
        <v>0</v>
      </c>
      <c r="N193" s="63">
        <f t="shared" ca="1" si="11"/>
        <v>0</v>
      </c>
      <c r="O193" s="31">
        <f>IFERROR(VLOOKUP($E193,bug_conf_sheet!$A:$H,3,FALSE),VLOOKUP("other",bug_conf_sheet!$A:$H,3,FALSE))</f>
        <v>1</v>
      </c>
      <c r="P193" s="31">
        <f>IFERROR(VLOOKUP($E193,bug_conf_sheet!$A:$H,4,FALSE),VLOOKUP("other",bug_conf_sheet!$A:$H,4,FALSE))</f>
        <v>0</v>
      </c>
      <c r="Q193" s="31">
        <f>IFERROR(VLOOKUP($E193,bug_conf_sheet!$A:$H,5,FALSE),VLOOKUP("other",bug_conf_sheet!$A:$H,5,FALSE))</f>
        <v>0</v>
      </c>
      <c r="R193" s="31">
        <f>IFERROR(VLOOKUP($E193,bug_conf_sheet!$A:$H,6,FALSE),VLOOKUP("other",bug_conf_sheet!$A:$H,6,FALSE))</f>
        <v>0</v>
      </c>
      <c r="S193" s="31">
        <f>IFERROR(VLOOKUP($E193,bug_conf_sheet!$A:$H,7,FALSE),VLOOKUP("other",bug_conf_sheet!$A:$H,7,FALSE))</f>
        <v>0</v>
      </c>
      <c r="T193" s="31">
        <f>IFERROR(VLOOKUP($E193,bug_conf_sheet!$A:$H,8,FALSE),VLOOKUP("other",bug_conf_sheet!$A:$H,8,FALSE))</f>
        <v>1</v>
      </c>
    </row>
    <row r="194" spans="1:20" ht="21" customHeight="1">
      <c r="A194" s="2" t="str">
        <f ca="1">input_314100!A$2</f>
        <v>314100</v>
      </c>
      <c r="B194" s="7" t="str">
        <f t="shared" si="8"/>
        <v>Premium4</v>
      </c>
      <c r="C194" s="7" t="str">
        <f t="shared" si="9"/>
        <v>Premium</v>
      </c>
      <c r="D194" s="7" t="str">
        <f t="shared" si="10"/>
        <v>ry</v>
      </c>
      <c r="E194" s="6">
        <v>470</v>
      </c>
      <c r="F194" s="7" t="str">
        <f>VLOOKUP(E194,[1]characters!$A:$C,3,FALSE)</f>
        <v>純心 トリスタン</v>
      </c>
      <c r="G194" s="7" t="str">
        <f>VLOOKUP(E194,[1]characters!$A:$J,10,FALSE)</f>
        <v>PremiumS</v>
      </c>
      <c r="H194" s="7">
        <f>VLOOKUP(E194,[1]characters!$A:$I,9,FALSE)</f>
        <v>4</v>
      </c>
      <c r="I194" s="7" t="str">
        <f>VLOOKUP(E194,[1]characters!$A:$H,8,FALSE)</f>
        <v>yellow</v>
      </c>
      <c r="J194" s="7" t="str">
        <f>VLOOKUP(E194,[1]characters!$A:$K,11,FALSE)</f>
        <v>attack</v>
      </c>
      <c r="K194" s="7" t="str">
        <f>VLOOKUP(E194,[1]characters!$A:$M,13,FALSE)</f>
        <v>human</v>
      </c>
      <c r="L194" s="7" t="str">
        <f>VLOOKUP(E194,[1]characters!$A:$G,7,FALSE)</f>
        <v>男性</v>
      </c>
      <c r="M194" s="62">
        <f ca="1">IFERROR(VLOOKUP(E194,input_314100!L:R,7,FALSE),VLOOKUP(tables_314100!B194,input_314100!A:H,8,FALSE))</f>
        <v>342090</v>
      </c>
      <c r="N194" s="63">
        <f t="shared" ca="1" si="11"/>
        <v>1.222972972972973E-2</v>
      </c>
      <c r="O194" s="31">
        <f>IFERROR(VLOOKUP($E194,bug_conf_sheet!$A:$H,3,FALSE),VLOOKUP("other",bug_conf_sheet!$A:$H,3,FALSE))</f>
        <v>1</v>
      </c>
      <c r="P194" s="31">
        <f>IFERROR(VLOOKUP($E194,bug_conf_sheet!$A:$H,4,FALSE),VLOOKUP("other",bug_conf_sheet!$A:$H,4,FALSE))</f>
        <v>0</v>
      </c>
      <c r="Q194" s="31">
        <f>IFERROR(VLOOKUP($E194,bug_conf_sheet!$A:$H,5,FALSE),VLOOKUP("other",bug_conf_sheet!$A:$H,5,FALSE))</f>
        <v>0</v>
      </c>
      <c r="R194" s="31">
        <f>IFERROR(VLOOKUP($E194,bug_conf_sheet!$A:$H,6,FALSE),VLOOKUP("other",bug_conf_sheet!$A:$H,6,FALSE))</f>
        <v>0</v>
      </c>
      <c r="S194" s="31">
        <f>IFERROR(VLOOKUP($E194,bug_conf_sheet!$A:$H,7,FALSE),VLOOKUP("other",bug_conf_sheet!$A:$H,7,FALSE))</f>
        <v>0</v>
      </c>
      <c r="T194" s="31">
        <f>IFERROR(VLOOKUP($E194,bug_conf_sheet!$A:$H,8,FALSE),VLOOKUP("other",bug_conf_sheet!$A:$H,8,FALSE))</f>
        <v>1</v>
      </c>
    </row>
    <row r="195" spans="1:20" ht="21" customHeight="1">
      <c r="A195" s="2" t="str">
        <f ca="1">input_314100!A$2</f>
        <v>314100</v>
      </c>
      <c r="B195" s="7" t="str">
        <f t="shared" ref="B195:B249" si="12">C195&amp;IF(C195="premium",,D195)&amp;H195</f>
        <v>Premium5</v>
      </c>
      <c r="C195" s="7" t="str">
        <f t="shared" ref="C195:C249" si="13">IF(G195="PremiumSS",G195,IF(G195="PremiumSSS",G195,"Premium"))</f>
        <v>Premium</v>
      </c>
      <c r="D195" s="7" t="str">
        <f t="shared" ref="D195:D249" si="14">IF(I195="red","ry",IF(I195="yellow","ry","bg"))</f>
        <v>ry</v>
      </c>
      <c r="E195" s="6">
        <v>471</v>
      </c>
      <c r="F195" s="7" t="str">
        <f>VLOOKUP(E195,[1]characters!$A:$C,3,FALSE)</f>
        <v>不可避の爆激 トリスタン</v>
      </c>
      <c r="G195" s="7" t="str">
        <f>VLOOKUP(E195,[1]characters!$A:$J,10,FALSE)</f>
        <v>PremiumS</v>
      </c>
      <c r="H195" s="7">
        <f>VLOOKUP(E195,[1]characters!$A:$I,9,FALSE)</f>
        <v>5</v>
      </c>
      <c r="I195" s="7" t="str">
        <f>VLOOKUP(E195,[1]characters!$A:$H,8,FALSE)</f>
        <v>yellow</v>
      </c>
      <c r="J195" s="7" t="str">
        <f>VLOOKUP(E195,[1]characters!$A:$K,11,FALSE)</f>
        <v>attack</v>
      </c>
      <c r="K195" s="7" t="str">
        <f>VLOOKUP(E195,[1]characters!$A:$M,13,FALSE)</f>
        <v>human</v>
      </c>
      <c r="L195" s="7" t="str">
        <f>VLOOKUP(E195,[1]characters!$A:$G,7,FALSE)</f>
        <v>男性</v>
      </c>
      <c r="M195" s="62">
        <f ca="1">IFERROR(VLOOKUP(E195,input_314100!L:R,7,FALSE),VLOOKUP(tables_314100!B195,input_314100!A:H,8,FALSE))</f>
        <v>12950</v>
      </c>
      <c r="N195" s="63">
        <f t="shared" ref="N195:N249" ca="1" si="15">M195/SUM(M:M)</f>
        <v>4.6296296296296298E-4</v>
      </c>
      <c r="O195" s="31">
        <f>IFERROR(VLOOKUP($E195,bug_conf_sheet!$A:$H,3,FALSE),VLOOKUP("other",bug_conf_sheet!$A:$H,3,FALSE))</f>
        <v>1</v>
      </c>
      <c r="P195" s="31">
        <f>IFERROR(VLOOKUP($E195,bug_conf_sheet!$A:$H,4,FALSE),VLOOKUP("other",bug_conf_sheet!$A:$H,4,FALSE))</f>
        <v>0</v>
      </c>
      <c r="Q195" s="31">
        <f>IFERROR(VLOOKUP($E195,bug_conf_sheet!$A:$H,5,FALSE),VLOOKUP("other",bug_conf_sheet!$A:$H,5,FALSE))</f>
        <v>0</v>
      </c>
      <c r="R195" s="31">
        <f>IFERROR(VLOOKUP($E195,bug_conf_sheet!$A:$H,6,FALSE),VLOOKUP("other",bug_conf_sheet!$A:$H,6,FALSE))</f>
        <v>0</v>
      </c>
      <c r="S195" s="31">
        <f>IFERROR(VLOOKUP($E195,bug_conf_sheet!$A:$H,7,FALSE),VLOOKUP("other",bug_conf_sheet!$A:$H,7,FALSE))</f>
        <v>0</v>
      </c>
      <c r="T195" s="31">
        <f>IFERROR(VLOOKUP($E195,bug_conf_sheet!$A:$H,8,FALSE),VLOOKUP("other",bug_conf_sheet!$A:$H,8,FALSE))</f>
        <v>1</v>
      </c>
    </row>
    <row r="196" spans="1:20" ht="21" customHeight="1">
      <c r="A196" s="2" t="str">
        <f ca="1">input_314100!A$2</f>
        <v>314100</v>
      </c>
      <c r="B196" s="7" t="str">
        <f t="shared" si="12"/>
        <v>PremiumSSry4</v>
      </c>
      <c r="C196" s="7" t="str">
        <f t="shared" si="13"/>
        <v>PremiumSS</v>
      </c>
      <c r="D196" s="7" t="str">
        <f t="shared" si="14"/>
        <v>ry</v>
      </c>
      <c r="E196" s="6">
        <v>474</v>
      </c>
      <c r="F196" s="7" t="str">
        <f>VLOOKUP(E196,[1]characters!$A:$C,3,FALSE)</f>
        <v>キング・ドライグ</v>
      </c>
      <c r="G196" s="7" t="str">
        <f>VLOOKUP(E196,[1]characters!$A:$J,10,FALSE)</f>
        <v>PremiumSS</v>
      </c>
      <c r="H196" s="7">
        <f>VLOOKUP(E196,[1]characters!$A:$I,9,FALSE)</f>
        <v>4</v>
      </c>
      <c r="I196" s="7" t="str">
        <f>VLOOKUP(E196,[1]characters!$A:$H,8,FALSE)</f>
        <v>red</v>
      </c>
      <c r="J196" s="7" t="str">
        <f>VLOOKUP(E196,[1]characters!$A:$K,11,FALSE)</f>
        <v>attack</v>
      </c>
      <c r="K196" s="7" t="str">
        <f>VLOOKUP(E196,[1]characters!$A:$M,13,FALSE)</f>
        <v>dragon</v>
      </c>
      <c r="L196" s="7" t="str">
        <f>VLOOKUP(E196,[1]characters!$A:$G,7,FALSE)</f>
        <v>不明</v>
      </c>
      <c r="M196" s="62">
        <f ca="1">IFERROR(VLOOKUP(E196,input_314100!L:R,7,FALSE),VLOOKUP(tables_314100!B196,input_314100!A:H,8,FALSE))</f>
        <v>35964</v>
      </c>
      <c r="N196" s="63">
        <f t="shared" ca="1" si="15"/>
        <v>1.2857142857142856E-3</v>
      </c>
      <c r="O196" s="31">
        <f>IFERROR(VLOOKUP($E196,bug_conf_sheet!$A:$H,3,FALSE),VLOOKUP("other",bug_conf_sheet!$A:$H,3,FALSE))</f>
        <v>1</v>
      </c>
      <c r="P196" s="31">
        <f>IFERROR(VLOOKUP($E196,bug_conf_sheet!$A:$H,4,FALSE),VLOOKUP("other",bug_conf_sheet!$A:$H,4,FALSE))</f>
        <v>0</v>
      </c>
      <c r="Q196" s="31">
        <f>IFERROR(VLOOKUP($E196,bug_conf_sheet!$A:$H,5,FALSE),VLOOKUP("other",bug_conf_sheet!$A:$H,5,FALSE))</f>
        <v>0</v>
      </c>
      <c r="R196" s="31">
        <f>IFERROR(VLOOKUP($E196,bug_conf_sheet!$A:$H,6,FALSE),VLOOKUP("other",bug_conf_sheet!$A:$H,6,FALSE))</f>
        <v>0</v>
      </c>
      <c r="S196" s="31">
        <f>IFERROR(VLOOKUP($E196,bug_conf_sheet!$A:$H,7,FALSE),VLOOKUP("other",bug_conf_sheet!$A:$H,7,FALSE))</f>
        <v>0</v>
      </c>
      <c r="T196" s="31">
        <f>IFERROR(VLOOKUP($E196,bug_conf_sheet!$A:$H,8,FALSE),VLOOKUP("other",bug_conf_sheet!$A:$H,8,FALSE))</f>
        <v>1</v>
      </c>
    </row>
    <row r="197" spans="1:20" ht="21" customHeight="1">
      <c r="A197" s="2" t="str">
        <f ca="1">input_314100!A$2</f>
        <v>314100</v>
      </c>
      <c r="B197" s="7" t="str">
        <f t="shared" si="12"/>
        <v>PremiumSSry5</v>
      </c>
      <c r="C197" s="7" t="str">
        <f t="shared" si="13"/>
        <v>PremiumSS</v>
      </c>
      <c r="D197" s="7" t="str">
        <f t="shared" si="14"/>
        <v>ry</v>
      </c>
      <c r="E197" s="6">
        <v>475</v>
      </c>
      <c r="F197" s="7" t="str">
        <f>VLOOKUP(E197,[1]characters!$A:$C,3,FALSE)</f>
        <v>緋王 キング・ドライグ</v>
      </c>
      <c r="G197" s="7" t="str">
        <f>VLOOKUP(E197,[1]characters!$A:$J,10,FALSE)</f>
        <v>PremiumSS</v>
      </c>
      <c r="H197" s="7">
        <f>VLOOKUP(E197,[1]characters!$A:$I,9,FALSE)</f>
        <v>5</v>
      </c>
      <c r="I197" s="7" t="str">
        <f>VLOOKUP(E197,[1]characters!$A:$H,8,FALSE)</f>
        <v>red</v>
      </c>
      <c r="J197" s="7" t="str">
        <f>VLOOKUP(E197,[1]characters!$A:$K,11,FALSE)</f>
        <v>attack</v>
      </c>
      <c r="K197" s="7" t="str">
        <f>VLOOKUP(E197,[1]characters!$A:$M,13,FALSE)</f>
        <v>dragon</v>
      </c>
      <c r="L197" s="7" t="str">
        <f>VLOOKUP(E197,[1]characters!$A:$G,7,FALSE)</f>
        <v>不明</v>
      </c>
      <c r="M197" s="62">
        <f ca="1">IFERROR(VLOOKUP(E197,input_314100!L:R,7,FALSE),VLOOKUP(tables_314100!B197,input_314100!A:H,8,FALSE))</f>
        <v>3996</v>
      </c>
      <c r="N197" s="63">
        <f t="shared" ca="1" si="15"/>
        <v>1.4285714285714287E-4</v>
      </c>
      <c r="O197" s="31">
        <f>IFERROR(VLOOKUP($E197,bug_conf_sheet!$A:$H,3,FALSE),VLOOKUP("other",bug_conf_sheet!$A:$H,3,FALSE))</f>
        <v>1</v>
      </c>
      <c r="P197" s="31">
        <f>IFERROR(VLOOKUP($E197,bug_conf_sheet!$A:$H,4,FALSE),VLOOKUP("other",bug_conf_sheet!$A:$H,4,FALSE))</f>
        <v>0</v>
      </c>
      <c r="Q197" s="31">
        <f>IFERROR(VLOOKUP($E197,bug_conf_sheet!$A:$H,5,FALSE),VLOOKUP("other",bug_conf_sheet!$A:$H,5,FALSE))</f>
        <v>0</v>
      </c>
      <c r="R197" s="31">
        <f>IFERROR(VLOOKUP($E197,bug_conf_sheet!$A:$H,6,FALSE),VLOOKUP("other",bug_conf_sheet!$A:$H,6,FALSE))</f>
        <v>0</v>
      </c>
      <c r="S197" s="31">
        <f>IFERROR(VLOOKUP($E197,bug_conf_sheet!$A:$H,7,FALSE),VLOOKUP("other",bug_conf_sheet!$A:$H,7,FALSE))</f>
        <v>0</v>
      </c>
      <c r="T197" s="31">
        <f>IFERROR(VLOOKUP($E197,bug_conf_sheet!$A:$H,8,FALSE),VLOOKUP("other",bug_conf_sheet!$A:$H,8,FALSE))</f>
        <v>1</v>
      </c>
    </row>
    <row r="198" spans="1:20" ht="21" customHeight="1">
      <c r="A198" s="2" t="str">
        <f ca="1">input_314100!A$2</f>
        <v>314100</v>
      </c>
      <c r="B198" s="7" t="str">
        <f t="shared" si="12"/>
        <v>Premium3</v>
      </c>
      <c r="C198" s="7" t="str">
        <f t="shared" si="13"/>
        <v>Premium</v>
      </c>
      <c r="D198" s="7" t="str">
        <f t="shared" si="14"/>
        <v>bg</v>
      </c>
      <c r="E198" s="6">
        <v>476</v>
      </c>
      <c r="F198" s="7" t="str">
        <f>VLOOKUP(E198,[1]characters!$A:$C,3,FALSE)</f>
        <v>ファータ</v>
      </c>
      <c r="G198" s="7" t="str">
        <f>VLOOKUP(E198,[1]characters!$A:$J,10,FALSE)</f>
        <v>PremiumS</v>
      </c>
      <c r="H198" s="7">
        <f>VLOOKUP(E198,[1]characters!$A:$I,9,FALSE)</f>
        <v>3</v>
      </c>
      <c r="I198" s="7" t="str">
        <f>VLOOKUP(E198,[1]characters!$A:$H,8,FALSE)</f>
        <v>green</v>
      </c>
      <c r="J198" s="7" t="str">
        <f>VLOOKUP(E198,[1]characters!$A:$K,11,FALSE)</f>
        <v>heal</v>
      </c>
      <c r="K198" s="7" t="str">
        <f>VLOOKUP(E198,[1]characters!$A:$M,13,FALSE)</f>
        <v>unknown</v>
      </c>
      <c r="L198" s="7" t="str">
        <f>VLOOKUP(E198,[1]characters!$A:$G,7,FALSE)</f>
        <v>女性</v>
      </c>
      <c r="M198" s="62">
        <f ca="1">IFERROR(VLOOKUP(E198,input_314100!L:R,7,FALSE),VLOOKUP(tables_314100!B198,input_314100!A:H,8,FALSE))</f>
        <v>0</v>
      </c>
      <c r="N198" s="63">
        <f t="shared" ca="1" si="15"/>
        <v>0</v>
      </c>
      <c r="O198" s="31">
        <f>IFERROR(VLOOKUP($E198,bug_conf_sheet!$A:$H,3,FALSE),VLOOKUP("other",bug_conf_sheet!$A:$H,3,FALSE))</f>
        <v>1</v>
      </c>
      <c r="P198" s="31">
        <f>IFERROR(VLOOKUP($E198,bug_conf_sheet!$A:$H,4,FALSE),VLOOKUP("other",bug_conf_sheet!$A:$H,4,FALSE))</f>
        <v>0</v>
      </c>
      <c r="Q198" s="31">
        <f>IFERROR(VLOOKUP($E198,bug_conf_sheet!$A:$H,5,FALSE),VLOOKUP("other",bug_conf_sheet!$A:$H,5,FALSE))</f>
        <v>0</v>
      </c>
      <c r="R198" s="31">
        <f>IFERROR(VLOOKUP($E198,bug_conf_sheet!$A:$H,6,FALSE),VLOOKUP("other",bug_conf_sheet!$A:$H,6,FALSE))</f>
        <v>0</v>
      </c>
      <c r="S198" s="31">
        <f>IFERROR(VLOOKUP($E198,bug_conf_sheet!$A:$H,7,FALSE),VLOOKUP("other",bug_conf_sheet!$A:$H,7,FALSE))</f>
        <v>0</v>
      </c>
      <c r="T198" s="31">
        <f>IFERROR(VLOOKUP($E198,bug_conf_sheet!$A:$H,8,FALSE),VLOOKUP("other",bug_conf_sheet!$A:$H,8,FALSE))</f>
        <v>1</v>
      </c>
    </row>
    <row r="199" spans="1:20" ht="21" customHeight="1">
      <c r="A199" s="2" t="str">
        <f ca="1">input_314100!A$2</f>
        <v>314100</v>
      </c>
      <c r="B199" s="7" t="str">
        <f t="shared" si="12"/>
        <v>Premium4</v>
      </c>
      <c r="C199" s="7" t="str">
        <f t="shared" si="13"/>
        <v>Premium</v>
      </c>
      <c r="D199" s="7" t="str">
        <f t="shared" si="14"/>
        <v>bg</v>
      </c>
      <c r="E199" s="6">
        <v>477</v>
      </c>
      <c r="F199" s="7" t="str">
        <f>VLOOKUP(E199,[1]characters!$A:$C,3,FALSE)</f>
        <v>愛羽妖精 ファータ</v>
      </c>
      <c r="G199" s="7" t="str">
        <f>VLOOKUP(E199,[1]characters!$A:$J,10,FALSE)</f>
        <v>PremiumS</v>
      </c>
      <c r="H199" s="7">
        <f>VLOOKUP(E199,[1]characters!$A:$I,9,FALSE)</f>
        <v>4</v>
      </c>
      <c r="I199" s="7" t="str">
        <f>VLOOKUP(E199,[1]characters!$A:$H,8,FALSE)</f>
        <v>green</v>
      </c>
      <c r="J199" s="7" t="str">
        <f>VLOOKUP(E199,[1]characters!$A:$K,11,FALSE)</f>
        <v>heal</v>
      </c>
      <c r="K199" s="7" t="str">
        <f>VLOOKUP(E199,[1]characters!$A:$M,13,FALSE)</f>
        <v>unknown</v>
      </c>
      <c r="L199" s="7" t="str">
        <f>VLOOKUP(E199,[1]characters!$A:$G,7,FALSE)</f>
        <v>女性</v>
      </c>
      <c r="M199" s="62">
        <f ca="1">IFERROR(VLOOKUP(E199,input_314100!L:R,7,FALSE),VLOOKUP(tables_314100!B199,input_314100!A:H,8,FALSE))</f>
        <v>342090</v>
      </c>
      <c r="N199" s="63">
        <f t="shared" ca="1" si="15"/>
        <v>1.222972972972973E-2</v>
      </c>
      <c r="O199" s="31">
        <f>IFERROR(VLOOKUP($E199,bug_conf_sheet!$A:$H,3,FALSE),VLOOKUP("other",bug_conf_sheet!$A:$H,3,FALSE))</f>
        <v>1</v>
      </c>
      <c r="P199" s="31">
        <f>IFERROR(VLOOKUP($E199,bug_conf_sheet!$A:$H,4,FALSE),VLOOKUP("other",bug_conf_sheet!$A:$H,4,FALSE))</f>
        <v>0</v>
      </c>
      <c r="Q199" s="31">
        <f>IFERROR(VLOOKUP($E199,bug_conf_sheet!$A:$H,5,FALSE),VLOOKUP("other",bug_conf_sheet!$A:$H,5,FALSE))</f>
        <v>0</v>
      </c>
      <c r="R199" s="31">
        <f>IFERROR(VLOOKUP($E199,bug_conf_sheet!$A:$H,6,FALSE),VLOOKUP("other",bug_conf_sheet!$A:$H,6,FALSE))</f>
        <v>0</v>
      </c>
      <c r="S199" s="31">
        <f>IFERROR(VLOOKUP($E199,bug_conf_sheet!$A:$H,7,FALSE),VLOOKUP("other",bug_conf_sheet!$A:$H,7,FALSE))</f>
        <v>0</v>
      </c>
      <c r="T199" s="31">
        <f>IFERROR(VLOOKUP($E199,bug_conf_sheet!$A:$H,8,FALSE),VLOOKUP("other",bug_conf_sheet!$A:$H,8,FALSE))</f>
        <v>1</v>
      </c>
    </row>
    <row r="200" spans="1:20" ht="21" customHeight="1">
      <c r="A200" s="2" t="str">
        <f ca="1">input_314100!A$2</f>
        <v>314100</v>
      </c>
      <c r="B200" s="7" t="str">
        <f t="shared" si="12"/>
        <v>Premium5</v>
      </c>
      <c r="C200" s="7" t="str">
        <f t="shared" si="13"/>
        <v>Premium</v>
      </c>
      <c r="D200" s="7" t="str">
        <f t="shared" si="14"/>
        <v>bg</v>
      </c>
      <c r="E200" s="6">
        <v>478</v>
      </c>
      <c r="F200" s="7" t="str">
        <f>VLOOKUP(E200,[1]characters!$A:$C,3,FALSE)</f>
        <v>時計仕掛けの愛羽妖精 ファータ</v>
      </c>
      <c r="G200" s="7" t="str">
        <f>VLOOKUP(E200,[1]characters!$A:$J,10,FALSE)</f>
        <v>PremiumS</v>
      </c>
      <c r="H200" s="7">
        <f>VLOOKUP(E200,[1]characters!$A:$I,9,FALSE)</f>
        <v>5</v>
      </c>
      <c r="I200" s="7" t="str">
        <f>VLOOKUP(E200,[1]characters!$A:$H,8,FALSE)</f>
        <v>green</v>
      </c>
      <c r="J200" s="7" t="str">
        <f>VLOOKUP(E200,[1]characters!$A:$K,11,FALSE)</f>
        <v>heal</v>
      </c>
      <c r="K200" s="7" t="str">
        <f>VLOOKUP(E200,[1]characters!$A:$M,13,FALSE)</f>
        <v>unknown</v>
      </c>
      <c r="L200" s="7" t="str">
        <f>VLOOKUP(E200,[1]characters!$A:$G,7,FALSE)</f>
        <v>女性</v>
      </c>
      <c r="M200" s="62">
        <f ca="1">IFERROR(VLOOKUP(E200,input_314100!L:R,7,FALSE),VLOOKUP(tables_314100!B200,input_314100!A:H,8,FALSE))</f>
        <v>12950</v>
      </c>
      <c r="N200" s="63">
        <f t="shared" ca="1" si="15"/>
        <v>4.6296296296296298E-4</v>
      </c>
      <c r="O200" s="31">
        <f>IFERROR(VLOOKUP($E200,bug_conf_sheet!$A:$H,3,FALSE),VLOOKUP("other",bug_conf_sheet!$A:$H,3,FALSE))</f>
        <v>1</v>
      </c>
      <c r="P200" s="31">
        <f>IFERROR(VLOOKUP($E200,bug_conf_sheet!$A:$H,4,FALSE),VLOOKUP("other",bug_conf_sheet!$A:$H,4,FALSE))</f>
        <v>0</v>
      </c>
      <c r="Q200" s="31">
        <f>IFERROR(VLOOKUP($E200,bug_conf_sheet!$A:$H,5,FALSE),VLOOKUP("other",bug_conf_sheet!$A:$H,5,FALSE))</f>
        <v>0</v>
      </c>
      <c r="R200" s="31">
        <f>IFERROR(VLOOKUP($E200,bug_conf_sheet!$A:$H,6,FALSE),VLOOKUP("other",bug_conf_sheet!$A:$H,6,FALSE))</f>
        <v>0</v>
      </c>
      <c r="S200" s="31">
        <f>IFERROR(VLOOKUP($E200,bug_conf_sheet!$A:$H,7,FALSE),VLOOKUP("other",bug_conf_sheet!$A:$H,7,FALSE))</f>
        <v>0</v>
      </c>
      <c r="T200" s="31">
        <f>IFERROR(VLOOKUP($E200,bug_conf_sheet!$A:$H,8,FALSE),VLOOKUP("other",bug_conf_sheet!$A:$H,8,FALSE))</f>
        <v>1</v>
      </c>
    </row>
    <row r="201" spans="1:20" ht="21" customHeight="1">
      <c r="A201" s="2" t="str">
        <f ca="1">input_314100!A$2</f>
        <v>314100</v>
      </c>
      <c r="B201" s="7" t="str">
        <f t="shared" si="12"/>
        <v>PremiumSSbg4</v>
      </c>
      <c r="C201" s="7" t="str">
        <f t="shared" si="13"/>
        <v>PremiumSS</v>
      </c>
      <c r="D201" s="7" t="str">
        <f t="shared" si="14"/>
        <v>bg</v>
      </c>
      <c r="E201" s="6">
        <v>479</v>
      </c>
      <c r="F201" s="7" t="str">
        <f>VLOOKUP(E201,[1]characters!$A:$C,3,FALSE)</f>
        <v>フール</v>
      </c>
      <c r="G201" s="7" t="str">
        <f>VLOOKUP(E201,[1]characters!$A:$J,10,FALSE)</f>
        <v>PremiumSS</v>
      </c>
      <c r="H201" s="7">
        <f>VLOOKUP(E201,[1]characters!$A:$I,9,FALSE)</f>
        <v>4</v>
      </c>
      <c r="I201" s="7" t="str">
        <f>VLOOKUP(E201,[1]characters!$A:$H,8,FALSE)</f>
        <v>blue</v>
      </c>
      <c r="J201" s="7" t="str">
        <f>VLOOKUP(E201,[1]characters!$A:$K,11,FALSE)</f>
        <v>technical</v>
      </c>
      <c r="K201" s="7" t="str">
        <f>VLOOKUP(E201,[1]characters!$A:$M,13,FALSE)</f>
        <v>god</v>
      </c>
      <c r="L201" s="7" t="str">
        <f>VLOOKUP(E201,[1]characters!$A:$G,7,FALSE)</f>
        <v>男性</v>
      </c>
      <c r="M201" s="62">
        <f ca="1">IFERROR(VLOOKUP(E201,input_314100!L:R,7,FALSE),VLOOKUP(tables_314100!B201,input_314100!A:H,8,FALSE))</f>
        <v>62937</v>
      </c>
      <c r="N201" s="63">
        <f t="shared" ca="1" si="15"/>
        <v>2.2499999999999998E-3</v>
      </c>
      <c r="O201" s="31">
        <f>IFERROR(VLOOKUP($E201,bug_conf_sheet!$A:$H,3,FALSE),VLOOKUP("other",bug_conf_sheet!$A:$H,3,FALSE))</f>
        <v>1</v>
      </c>
      <c r="P201" s="31">
        <f>IFERROR(VLOOKUP($E201,bug_conf_sheet!$A:$H,4,FALSE),VLOOKUP("other",bug_conf_sheet!$A:$H,4,FALSE))</f>
        <v>0</v>
      </c>
      <c r="Q201" s="31">
        <f>IFERROR(VLOOKUP($E201,bug_conf_sheet!$A:$H,5,FALSE),VLOOKUP("other",bug_conf_sheet!$A:$H,5,FALSE))</f>
        <v>0</v>
      </c>
      <c r="R201" s="31">
        <f>IFERROR(VLOOKUP($E201,bug_conf_sheet!$A:$H,6,FALSE),VLOOKUP("other",bug_conf_sheet!$A:$H,6,FALSE))</f>
        <v>0</v>
      </c>
      <c r="S201" s="31">
        <f>IFERROR(VLOOKUP($E201,bug_conf_sheet!$A:$H,7,FALSE),VLOOKUP("other",bug_conf_sheet!$A:$H,7,FALSE))</f>
        <v>0</v>
      </c>
      <c r="T201" s="31">
        <f>IFERROR(VLOOKUP($E201,bug_conf_sheet!$A:$H,8,FALSE),VLOOKUP("other",bug_conf_sheet!$A:$H,8,FALSE))</f>
        <v>1</v>
      </c>
    </row>
    <row r="202" spans="1:20" ht="21" customHeight="1">
      <c r="A202" s="2" t="str">
        <f ca="1">input_314100!A$2</f>
        <v>314100</v>
      </c>
      <c r="B202" s="7" t="str">
        <f t="shared" si="12"/>
        <v>PremiumSSbg5</v>
      </c>
      <c r="C202" s="7" t="str">
        <f t="shared" si="13"/>
        <v>PremiumSS</v>
      </c>
      <c r="D202" s="7" t="str">
        <f t="shared" si="14"/>
        <v>bg</v>
      </c>
      <c r="E202" s="6">
        <v>480</v>
      </c>
      <c r="F202" s="7" t="str">
        <f>VLOOKUP(E202,[1]characters!$A:$C,3,FALSE)</f>
        <v>夢幻の愚者フール</v>
      </c>
      <c r="G202" s="7" t="str">
        <f>VLOOKUP(E202,[1]characters!$A:$J,10,FALSE)</f>
        <v>PremiumSS</v>
      </c>
      <c r="H202" s="7">
        <f>VLOOKUP(E202,[1]characters!$A:$I,9,FALSE)</f>
        <v>5</v>
      </c>
      <c r="I202" s="7" t="str">
        <f>VLOOKUP(E202,[1]characters!$A:$H,8,FALSE)</f>
        <v>blue</v>
      </c>
      <c r="J202" s="7" t="str">
        <f>VLOOKUP(E202,[1]characters!$A:$K,11,FALSE)</f>
        <v>technical</v>
      </c>
      <c r="K202" s="7" t="str">
        <f>VLOOKUP(E202,[1]characters!$A:$M,13,FALSE)</f>
        <v>god</v>
      </c>
      <c r="L202" s="7" t="str">
        <f>VLOOKUP(E202,[1]characters!$A:$G,7,FALSE)</f>
        <v>男性</v>
      </c>
      <c r="M202" s="62">
        <f ca="1">IFERROR(VLOOKUP(E202,input_314100!L:R,7,FALSE),VLOOKUP(tables_314100!B202,input_314100!A:H,8,FALSE))</f>
        <v>6993</v>
      </c>
      <c r="N202" s="63">
        <f t="shared" ca="1" si="15"/>
        <v>2.5000000000000001E-4</v>
      </c>
      <c r="O202" s="31">
        <f>IFERROR(VLOOKUP($E202,bug_conf_sheet!$A:$H,3,FALSE),VLOOKUP("other",bug_conf_sheet!$A:$H,3,FALSE))</f>
        <v>1</v>
      </c>
      <c r="P202" s="31">
        <f>IFERROR(VLOOKUP($E202,bug_conf_sheet!$A:$H,4,FALSE),VLOOKUP("other",bug_conf_sheet!$A:$H,4,FALSE))</f>
        <v>0</v>
      </c>
      <c r="Q202" s="31">
        <f>IFERROR(VLOOKUP($E202,bug_conf_sheet!$A:$H,5,FALSE),VLOOKUP("other",bug_conf_sheet!$A:$H,5,FALSE))</f>
        <v>0</v>
      </c>
      <c r="R202" s="31">
        <f>IFERROR(VLOOKUP($E202,bug_conf_sheet!$A:$H,6,FALSE),VLOOKUP("other",bug_conf_sheet!$A:$H,6,FALSE))</f>
        <v>0</v>
      </c>
      <c r="S202" s="31">
        <f>IFERROR(VLOOKUP($E202,bug_conf_sheet!$A:$H,7,FALSE),VLOOKUP("other",bug_conf_sheet!$A:$H,7,FALSE))</f>
        <v>0</v>
      </c>
      <c r="T202" s="31">
        <f>IFERROR(VLOOKUP($E202,bug_conf_sheet!$A:$H,8,FALSE),VLOOKUP("other",bug_conf_sheet!$A:$H,8,FALSE))</f>
        <v>1</v>
      </c>
    </row>
    <row r="203" spans="1:20" ht="21" customHeight="1">
      <c r="A203" s="2" t="str">
        <f ca="1">input_314100!A$2</f>
        <v>314100</v>
      </c>
      <c r="B203" s="7" t="str">
        <f t="shared" si="12"/>
        <v>Premium3</v>
      </c>
      <c r="C203" s="7" t="str">
        <f t="shared" si="13"/>
        <v>Premium</v>
      </c>
      <c r="D203" s="7" t="str">
        <f t="shared" si="14"/>
        <v>ry</v>
      </c>
      <c r="E203" s="6">
        <v>481</v>
      </c>
      <c r="F203" s="7" t="str">
        <f>VLOOKUP(E203,[1]characters!$A:$C,3,FALSE)</f>
        <v>沢庵宗彭</v>
      </c>
      <c r="G203" s="7" t="str">
        <f>VLOOKUP(E203,[1]characters!$A:$J,10,FALSE)</f>
        <v>PremiumS</v>
      </c>
      <c r="H203" s="7">
        <f>VLOOKUP(E203,[1]characters!$A:$I,9,FALSE)</f>
        <v>3</v>
      </c>
      <c r="I203" s="7" t="str">
        <f>VLOOKUP(E203,[1]characters!$A:$H,8,FALSE)</f>
        <v>yellow</v>
      </c>
      <c r="J203" s="7" t="str">
        <f>VLOOKUP(E203,[1]characters!$A:$K,11,FALSE)</f>
        <v>hp</v>
      </c>
      <c r="K203" s="7" t="str">
        <f>VLOOKUP(E203,[1]characters!$A:$M,13,FALSE)</f>
        <v>human</v>
      </c>
      <c r="L203" s="7" t="str">
        <f>VLOOKUP(E203,[1]characters!$A:$G,7,FALSE)</f>
        <v>男性</v>
      </c>
      <c r="M203" s="62">
        <f ca="1">IFERROR(VLOOKUP(E203,input_314100!L:R,7,FALSE),VLOOKUP(tables_314100!B203,input_314100!A:H,8,FALSE))</f>
        <v>0</v>
      </c>
      <c r="N203" s="63">
        <f t="shared" ca="1" si="15"/>
        <v>0</v>
      </c>
      <c r="O203" s="31">
        <f>IFERROR(VLOOKUP($E203,bug_conf_sheet!$A:$H,3,FALSE),VLOOKUP("other",bug_conf_sheet!$A:$H,3,FALSE))</f>
        <v>1</v>
      </c>
      <c r="P203" s="31">
        <f>IFERROR(VLOOKUP($E203,bug_conf_sheet!$A:$H,4,FALSE),VLOOKUP("other",bug_conf_sheet!$A:$H,4,FALSE))</f>
        <v>0</v>
      </c>
      <c r="Q203" s="31">
        <f>IFERROR(VLOOKUP($E203,bug_conf_sheet!$A:$H,5,FALSE),VLOOKUP("other",bug_conf_sheet!$A:$H,5,FALSE))</f>
        <v>0</v>
      </c>
      <c r="R203" s="31">
        <f>IFERROR(VLOOKUP($E203,bug_conf_sheet!$A:$H,6,FALSE),VLOOKUP("other",bug_conf_sheet!$A:$H,6,FALSE))</f>
        <v>0</v>
      </c>
      <c r="S203" s="31">
        <f>IFERROR(VLOOKUP($E203,bug_conf_sheet!$A:$H,7,FALSE),VLOOKUP("other",bug_conf_sheet!$A:$H,7,FALSE))</f>
        <v>0</v>
      </c>
      <c r="T203" s="31">
        <f>IFERROR(VLOOKUP($E203,bug_conf_sheet!$A:$H,8,FALSE),VLOOKUP("other",bug_conf_sheet!$A:$H,8,FALSE))</f>
        <v>1</v>
      </c>
    </row>
    <row r="204" spans="1:20" ht="21" customHeight="1">
      <c r="A204" s="2" t="str">
        <f ca="1">input_314100!A$2</f>
        <v>314100</v>
      </c>
      <c r="B204" s="7" t="str">
        <f t="shared" si="12"/>
        <v>Premium4</v>
      </c>
      <c r="C204" s="7" t="str">
        <f t="shared" si="13"/>
        <v>Premium</v>
      </c>
      <c r="D204" s="7" t="str">
        <f t="shared" si="14"/>
        <v>ry</v>
      </c>
      <c r="E204" s="6">
        <v>482</v>
      </c>
      <c r="F204" s="7" t="str">
        <f>VLOOKUP(E204,[1]characters!$A:$C,3,FALSE)</f>
        <v>魁僧 沢庵宗彭</v>
      </c>
      <c r="G204" s="7" t="str">
        <f>VLOOKUP(E204,[1]characters!$A:$J,10,FALSE)</f>
        <v>PremiumS</v>
      </c>
      <c r="H204" s="7">
        <f>VLOOKUP(E204,[1]characters!$A:$I,9,FALSE)</f>
        <v>4</v>
      </c>
      <c r="I204" s="7" t="str">
        <f>VLOOKUP(E204,[1]characters!$A:$H,8,FALSE)</f>
        <v>yellow</v>
      </c>
      <c r="J204" s="7" t="str">
        <f>VLOOKUP(E204,[1]characters!$A:$K,11,FALSE)</f>
        <v>hp</v>
      </c>
      <c r="K204" s="7" t="str">
        <f>VLOOKUP(E204,[1]characters!$A:$M,13,FALSE)</f>
        <v>human</v>
      </c>
      <c r="L204" s="7" t="str">
        <f>VLOOKUP(E204,[1]characters!$A:$G,7,FALSE)</f>
        <v>男性</v>
      </c>
      <c r="M204" s="62">
        <f ca="1">IFERROR(VLOOKUP(E204,input_314100!L:R,7,FALSE),VLOOKUP(tables_314100!B204,input_314100!A:H,8,FALSE))</f>
        <v>342090</v>
      </c>
      <c r="N204" s="63">
        <f t="shared" ca="1" si="15"/>
        <v>1.222972972972973E-2</v>
      </c>
      <c r="O204" s="31">
        <f>IFERROR(VLOOKUP($E204,bug_conf_sheet!$A:$H,3,FALSE),VLOOKUP("other",bug_conf_sheet!$A:$H,3,FALSE))</f>
        <v>1</v>
      </c>
      <c r="P204" s="31">
        <f>IFERROR(VLOOKUP($E204,bug_conf_sheet!$A:$H,4,FALSE),VLOOKUP("other",bug_conf_sheet!$A:$H,4,FALSE))</f>
        <v>0</v>
      </c>
      <c r="Q204" s="31">
        <f>IFERROR(VLOOKUP($E204,bug_conf_sheet!$A:$H,5,FALSE),VLOOKUP("other",bug_conf_sheet!$A:$H,5,FALSE))</f>
        <v>0</v>
      </c>
      <c r="R204" s="31">
        <f>IFERROR(VLOOKUP($E204,bug_conf_sheet!$A:$H,6,FALSE),VLOOKUP("other",bug_conf_sheet!$A:$H,6,FALSE))</f>
        <v>0</v>
      </c>
      <c r="S204" s="31">
        <f>IFERROR(VLOOKUP($E204,bug_conf_sheet!$A:$H,7,FALSE),VLOOKUP("other",bug_conf_sheet!$A:$H,7,FALSE))</f>
        <v>0</v>
      </c>
      <c r="T204" s="31">
        <f>IFERROR(VLOOKUP($E204,bug_conf_sheet!$A:$H,8,FALSE),VLOOKUP("other",bug_conf_sheet!$A:$H,8,FALSE))</f>
        <v>1</v>
      </c>
    </row>
    <row r="205" spans="1:20" ht="21" customHeight="1">
      <c r="A205" s="2" t="str">
        <f ca="1">input_314100!A$2</f>
        <v>314100</v>
      </c>
      <c r="B205" s="7" t="str">
        <f t="shared" si="12"/>
        <v>Premium5</v>
      </c>
      <c r="C205" s="7" t="str">
        <f t="shared" si="13"/>
        <v>Premium</v>
      </c>
      <c r="D205" s="7" t="str">
        <f t="shared" si="14"/>
        <v>ry</v>
      </c>
      <c r="E205" s="6">
        <v>483</v>
      </c>
      <c r="F205" s="7" t="str">
        <f>VLOOKUP(E205,[1]characters!$A:$C,3,FALSE)</f>
        <v xml:space="preserve">命経死遂 沢庵宗彭 </v>
      </c>
      <c r="G205" s="7" t="str">
        <f>VLOOKUP(E205,[1]characters!$A:$J,10,FALSE)</f>
        <v>PremiumS</v>
      </c>
      <c r="H205" s="7">
        <f>VLOOKUP(E205,[1]characters!$A:$I,9,FALSE)</f>
        <v>5</v>
      </c>
      <c r="I205" s="7" t="str">
        <f>VLOOKUP(E205,[1]characters!$A:$H,8,FALSE)</f>
        <v>yellow</v>
      </c>
      <c r="J205" s="7" t="str">
        <f>VLOOKUP(E205,[1]characters!$A:$K,11,FALSE)</f>
        <v>hp</v>
      </c>
      <c r="K205" s="7" t="str">
        <f>VLOOKUP(E205,[1]characters!$A:$M,13,FALSE)</f>
        <v>human</v>
      </c>
      <c r="L205" s="7" t="str">
        <f>VLOOKUP(E205,[1]characters!$A:$G,7,FALSE)</f>
        <v>男性</v>
      </c>
      <c r="M205" s="62">
        <f ca="1">IFERROR(VLOOKUP(E205,input_314100!L:R,7,FALSE),VLOOKUP(tables_314100!B205,input_314100!A:H,8,FALSE))</f>
        <v>12950</v>
      </c>
      <c r="N205" s="63">
        <f t="shared" ca="1" si="15"/>
        <v>4.6296296296296298E-4</v>
      </c>
      <c r="O205" s="31">
        <f>IFERROR(VLOOKUP($E205,bug_conf_sheet!$A:$H,3,FALSE),VLOOKUP("other",bug_conf_sheet!$A:$H,3,FALSE))</f>
        <v>1</v>
      </c>
      <c r="P205" s="31">
        <f>IFERROR(VLOOKUP($E205,bug_conf_sheet!$A:$H,4,FALSE),VLOOKUP("other",bug_conf_sheet!$A:$H,4,FALSE))</f>
        <v>0</v>
      </c>
      <c r="Q205" s="31">
        <f>IFERROR(VLOOKUP($E205,bug_conf_sheet!$A:$H,5,FALSE),VLOOKUP("other",bug_conf_sheet!$A:$H,5,FALSE))</f>
        <v>0</v>
      </c>
      <c r="R205" s="31">
        <f>IFERROR(VLOOKUP($E205,bug_conf_sheet!$A:$H,6,FALSE),VLOOKUP("other",bug_conf_sheet!$A:$H,6,FALSE))</f>
        <v>0</v>
      </c>
      <c r="S205" s="31">
        <f>IFERROR(VLOOKUP($E205,bug_conf_sheet!$A:$H,7,FALSE),VLOOKUP("other",bug_conf_sheet!$A:$H,7,FALSE))</f>
        <v>0</v>
      </c>
      <c r="T205" s="31">
        <f>IFERROR(VLOOKUP($E205,bug_conf_sheet!$A:$H,8,FALSE),VLOOKUP("other",bug_conf_sheet!$A:$H,8,FALSE))</f>
        <v>1</v>
      </c>
    </row>
    <row r="206" spans="1:20" ht="21" customHeight="1">
      <c r="A206" s="2" t="str">
        <f ca="1">input_314100!A$2</f>
        <v>314100</v>
      </c>
      <c r="B206" s="7" t="str">
        <f t="shared" si="12"/>
        <v>PremiumSSry4</v>
      </c>
      <c r="C206" s="7" t="str">
        <f t="shared" si="13"/>
        <v>PremiumSS</v>
      </c>
      <c r="D206" s="7" t="str">
        <f t="shared" si="14"/>
        <v>ry</v>
      </c>
      <c r="E206" s="6">
        <v>492</v>
      </c>
      <c r="F206" s="7" t="str">
        <f>VLOOKUP(E206,[1]characters!$A:$C,3,FALSE)</f>
        <v>ブートレグ・ペロー</v>
      </c>
      <c r="G206" s="7" t="str">
        <f>VLOOKUP(E206,[1]characters!$A:$J,10,FALSE)</f>
        <v>PremiumSS</v>
      </c>
      <c r="H206" s="7">
        <f>VLOOKUP(E206,[1]characters!$A:$I,9,FALSE)</f>
        <v>4</v>
      </c>
      <c r="I206" s="7" t="str">
        <f>VLOOKUP(E206,[1]characters!$A:$H,8,FALSE)</f>
        <v>red</v>
      </c>
      <c r="J206" s="7" t="str">
        <f>VLOOKUP(E206,[1]characters!$A:$K,11,FALSE)</f>
        <v>hp</v>
      </c>
      <c r="K206" s="7" t="str">
        <f>VLOOKUP(E206,[1]characters!$A:$M,13,FALSE)</f>
        <v>animal</v>
      </c>
      <c r="L206" s="7" t="str">
        <f>VLOOKUP(E206,[1]characters!$A:$G,7,FALSE)</f>
        <v>不明</v>
      </c>
      <c r="M206" s="62">
        <f ca="1">IFERROR(VLOOKUP(E206,input_314100!L:R,7,FALSE),VLOOKUP(tables_314100!B206,input_314100!A:H,8,FALSE))</f>
        <v>35964</v>
      </c>
      <c r="N206" s="63">
        <f t="shared" ca="1" si="15"/>
        <v>1.2857142857142856E-3</v>
      </c>
      <c r="O206" s="31">
        <f>IFERROR(VLOOKUP($E206,bug_conf_sheet!$A:$H,3,FALSE),VLOOKUP("other",bug_conf_sheet!$A:$H,3,FALSE))</f>
        <v>1</v>
      </c>
      <c r="P206" s="31">
        <f>IFERROR(VLOOKUP($E206,bug_conf_sheet!$A:$H,4,FALSE),VLOOKUP("other",bug_conf_sheet!$A:$H,4,FALSE))</f>
        <v>0</v>
      </c>
      <c r="Q206" s="31">
        <f>IFERROR(VLOOKUP($E206,bug_conf_sheet!$A:$H,5,FALSE),VLOOKUP("other",bug_conf_sheet!$A:$H,5,FALSE))</f>
        <v>0</v>
      </c>
      <c r="R206" s="31">
        <f>IFERROR(VLOOKUP($E206,bug_conf_sheet!$A:$H,6,FALSE),VLOOKUP("other",bug_conf_sheet!$A:$H,6,FALSE))</f>
        <v>0</v>
      </c>
      <c r="S206" s="31">
        <f>IFERROR(VLOOKUP($E206,bug_conf_sheet!$A:$H,7,FALSE),VLOOKUP("other",bug_conf_sheet!$A:$H,7,FALSE))</f>
        <v>0</v>
      </c>
      <c r="T206" s="31">
        <f>IFERROR(VLOOKUP($E206,bug_conf_sheet!$A:$H,8,FALSE),VLOOKUP("other",bug_conf_sheet!$A:$H,8,FALSE))</f>
        <v>1</v>
      </c>
    </row>
    <row r="207" spans="1:20" ht="21" customHeight="1">
      <c r="A207" s="2" t="str">
        <f ca="1">input_314100!A$2</f>
        <v>314100</v>
      </c>
      <c r="B207" s="7" t="str">
        <f t="shared" si="12"/>
        <v>PremiumSSry5</v>
      </c>
      <c r="C207" s="7" t="str">
        <f t="shared" si="13"/>
        <v>PremiumSS</v>
      </c>
      <c r="D207" s="7" t="str">
        <f t="shared" si="14"/>
        <v>ry</v>
      </c>
      <c r="E207" s="6">
        <v>493</v>
      </c>
      <c r="F207" s="7" t="str">
        <f>VLOOKUP(E207,[1]characters!$A:$C,3,FALSE)</f>
        <v>跋扈の機脚 ブートレグ・ペロー</v>
      </c>
      <c r="G207" s="7" t="str">
        <f>VLOOKUP(E207,[1]characters!$A:$J,10,FALSE)</f>
        <v>PremiumSS</v>
      </c>
      <c r="H207" s="7">
        <f>VLOOKUP(E207,[1]characters!$A:$I,9,FALSE)</f>
        <v>5</v>
      </c>
      <c r="I207" s="7" t="str">
        <f>VLOOKUP(E207,[1]characters!$A:$H,8,FALSE)</f>
        <v>red</v>
      </c>
      <c r="J207" s="7" t="str">
        <f>VLOOKUP(E207,[1]characters!$A:$K,11,FALSE)</f>
        <v>hp</v>
      </c>
      <c r="K207" s="7" t="str">
        <f>VLOOKUP(E207,[1]characters!$A:$M,13,FALSE)</f>
        <v>animal</v>
      </c>
      <c r="L207" s="7" t="str">
        <f>VLOOKUP(E207,[1]characters!$A:$G,7,FALSE)</f>
        <v>不明</v>
      </c>
      <c r="M207" s="62">
        <f ca="1">IFERROR(VLOOKUP(E207,input_314100!L:R,7,FALSE),VLOOKUP(tables_314100!B207,input_314100!A:H,8,FALSE))</f>
        <v>3996</v>
      </c>
      <c r="N207" s="63">
        <f t="shared" ca="1" si="15"/>
        <v>1.4285714285714287E-4</v>
      </c>
      <c r="O207" s="31">
        <f>IFERROR(VLOOKUP($E207,bug_conf_sheet!$A:$H,3,FALSE),VLOOKUP("other",bug_conf_sheet!$A:$H,3,FALSE))</f>
        <v>1</v>
      </c>
      <c r="P207" s="31">
        <f>IFERROR(VLOOKUP($E207,bug_conf_sheet!$A:$H,4,FALSE),VLOOKUP("other",bug_conf_sheet!$A:$H,4,FALSE))</f>
        <v>0</v>
      </c>
      <c r="Q207" s="31">
        <f>IFERROR(VLOOKUP($E207,bug_conf_sheet!$A:$H,5,FALSE),VLOOKUP("other",bug_conf_sheet!$A:$H,5,FALSE))</f>
        <v>0</v>
      </c>
      <c r="R207" s="31">
        <f>IFERROR(VLOOKUP($E207,bug_conf_sheet!$A:$H,6,FALSE),VLOOKUP("other",bug_conf_sheet!$A:$H,6,FALSE))</f>
        <v>0</v>
      </c>
      <c r="S207" s="31">
        <f>IFERROR(VLOOKUP($E207,bug_conf_sheet!$A:$H,7,FALSE),VLOOKUP("other",bug_conf_sheet!$A:$H,7,FALSE))</f>
        <v>0</v>
      </c>
      <c r="T207" s="31">
        <f>IFERROR(VLOOKUP($E207,bug_conf_sheet!$A:$H,8,FALSE),VLOOKUP("other",bug_conf_sheet!$A:$H,8,FALSE))</f>
        <v>1</v>
      </c>
    </row>
    <row r="208" spans="1:20" ht="21" customHeight="1">
      <c r="A208" s="2" t="str">
        <f ca="1">input_314100!A$2</f>
        <v>314100</v>
      </c>
      <c r="B208" s="7" t="str">
        <f t="shared" si="12"/>
        <v>PremiumSSbg4</v>
      </c>
      <c r="C208" s="7" t="str">
        <f t="shared" si="13"/>
        <v>PremiumSS</v>
      </c>
      <c r="D208" s="7" t="str">
        <f t="shared" si="14"/>
        <v>bg</v>
      </c>
      <c r="E208" s="6">
        <v>494</v>
      </c>
      <c r="F208" s="7" t="str">
        <f>VLOOKUP(E208,[1]characters!$A:$C,3,FALSE)</f>
        <v>ハーメルン</v>
      </c>
      <c r="G208" s="7" t="str">
        <f>VLOOKUP(E208,[1]characters!$A:$J,10,FALSE)</f>
        <v>PremiumSS</v>
      </c>
      <c r="H208" s="7">
        <f>VLOOKUP(E208,[1]characters!$A:$I,9,FALSE)</f>
        <v>4</v>
      </c>
      <c r="I208" s="7" t="str">
        <f>VLOOKUP(E208,[1]characters!$A:$H,8,FALSE)</f>
        <v>green</v>
      </c>
      <c r="J208" s="7" t="str">
        <f>VLOOKUP(E208,[1]characters!$A:$K,11,FALSE)</f>
        <v>technical</v>
      </c>
      <c r="K208" s="7" t="str">
        <f>VLOOKUP(E208,[1]characters!$A:$M,13,FALSE)</f>
        <v>human</v>
      </c>
      <c r="L208" s="7" t="str">
        <f>VLOOKUP(E208,[1]characters!$A:$G,7,FALSE)</f>
        <v>男性</v>
      </c>
      <c r="M208" s="62">
        <f ca="1">IFERROR(VLOOKUP(E208,input_314100!L:R,7,FALSE),VLOOKUP(tables_314100!B208,input_314100!A:H,8,FALSE))</f>
        <v>62937</v>
      </c>
      <c r="N208" s="63">
        <f t="shared" ca="1" si="15"/>
        <v>2.2499999999999998E-3</v>
      </c>
      <c r="O208" s="31">
        <f>IFERROR(VLOOKUP($E208,bug_conf_sheet!$A:$H,3,FALSE),VLOOKUP("other",bug_conf_sheet!$A:$H,3,FALSE))</f>
        <v>1</v>
      </c>
      <c r="P208" s="31">
        <f>IFERROR(VLOOKUP($E208,bug_conf_sheet!$A:$H,4,FALSE),VLOOKUP("other",bug_conf_sheet!$A:$H,4,FALSE))</f>
        <v>0</v>
      </c>
      <c r="Q208" s="31">
        <f>IFERROR(VLOOKUP($E208,bug_conf_sheet!$A:$H,5,FALSE),VLOOKUP("other",bug_conf_sheet!$A:$H,5,FALSE))</f>
        <v>0</v>
      </c>
      <c r="R208" s="31">
        <f>IFERROR(VLOOKUP($E208,bug_conf_sheet!$A:$H,6,FALSE),VLOOKUP("other",bug_conf_sheet!$A:$H,6,FALSE))</f>
        <v>0</v>
      </c>
      <c r="S208" s="31">
        <f>IFERROR(VLOOKUP($E208,bug_conf_sheet!$A:$H,7,FALSE),VLOOKUP("other",bug_conf_sheet!$A:$H,7,FALSE))</f>
        <v>0</v>
      </c>
      <c r="T208" s="31">
        <f>IFERROR(VLOOKUP($E208,bug_conf_sheet!$A:$H,8,FALSE),VLOOKUP("other",bug_conf_sheet!$A:$H,8,FALSE))</f>
        <v>1</v>
      </c>
    </row>
    <row r="209" spans="1:20" ht="21" customHeight="1">
      <c r="A209" s="2" t="str">
        <f ca="1">input_314100!A$2</f>
        <v>314100</v>
      </c>
      <c r="B209" s="7" t="str">
        <f t="shared" si="12"/>
        <v>PremiumSSbg5</v>
      </c>
      <c r="C209" s="7" t="str">
        <f t="shared" si="13"/>
        <v>PremiumSS</v>
      </c>
      <c r="D209" s="7" t="str">
        <f t="shared" si="14"/>
        <v>bg</v>
      </c>
      <c r="E209" s="6">
        <v>495</v>
      </c>
      <c r="F209" s="7" t="str">
        <f>VLOOKUP(E209,[1]characters!$A:$C,3,FALSE)</f>
        <v>鼠災呼ぶ笛音 ハーメルン</v>
      </c>
      <c r="G209" s="7" t="str">
        <f>VLOOKUP(E209,[1]characters!$A:$J,10,FALSE)</f>
        <v>PremiumSS</v>
      </c>
      <c r="H209" s="7">
        <f>VLOOKUP(E209,[1]characters!$A:$I,9,FALSE)</f>
        <v>5</v>
      </c>
      <c r="I209" s="7" t="str">
        <f>VLOOKUP(E209,[1]characters!$A:$H,8,FALSE)</f>
        <v>green</v>
      </c>
      <c r="J209" s="7" t="str">
        <f>VLOOKUP(E209,[1]characters!$A:$K,11,FALSE)</f>
        <v>technical</v>
      </c>
      <c r="K209" s="7" t="str">
        <f>VLOOKUP(E209,[1]characters!$A:$M,13,FALSE)</f>
        <v>human</v>
      </c>
      <c r="L209" s="7" t="str">
        <f>VLOOKUP(E209,[1]characters!$A:$G,7,FALSE)</f>
        <v>男性</v>
      </c>
      <c r="M209" s="62">
        <f ca="1">IFERROR(VLOOKUP(E209,input_314100!L:R,7,FALSE),VLOOKUP(tables_314100!B209,input_314100!A:H,8,FALSE))</f>
        <v>6993</v>
      </c>
      <c r="N209" s="63">
        <f t="shared" ca="1" si="15"/>
        <v>2.5000000000000001E-4</v>
      </c>
      <c r="O209" s="31">
        <f>IFERROR(VLOOKUP($E209,bug_conf_sheet!$A:$H,3,FALSE),VLOOKUP("other",bug_conf_sheet!$A:$H,3,FALSE))</f>
        <v>1</v>
      </c>
      <c r="P209" s="31">
        <f>IFERROR(VLOOKUP($E209,bug_conf_sheet!$A:$H,4,FALSE),VLOOKUP("other",bug_conf_sheet!$A:$H,4,FALSE))</f>
        <v>0</v>
      </c>
      <c r="Q209" s="31">
        <f>IFERROR(VLOOKUP($E209,bug_conf_sheet!$A:$H,5,FALSE),VLOOKUP("other",bug_conf_sheet!$A:$H,5,FALSE))</f>
        <v>0</v>
      </c>
      <c r="R209" s="31">
        <f>IFERROR(VLOOKUP($E209,bug_conf_sheet!$A:$H,6,FALSE),VLOOKUP("other",bug_conf_sheet!$A:$H,6,FALSE))</f>
        <v>0</v>
      </c>
      <c r="S209" s="31">
        <f>IFERROR(VLOOKUP($E209,bug_conf_sheet!$A:$H,7,FALSE),VLOOKUP("other",bug_conf_sheet!$A:$H,7,FALSE))</f>
        <v>0</v>
      </c>
      <c r="T209" s="31">
        <f>IFERROR(VLOOKUP($E209,bug_conf_sheet!$A:$H,8,FALSE),VLOOKUP("other",bug_conf_sheet!$A:$H,8,FALSE))</f>
        <v>1</v>
      </c>
    </row>
    <row r="210" spans="1:20" ht="21" customHeight="1">
      <c r="A210" s="2" t="str">
        <f ca="1">input_314100!A$2</f>
        <v>314100</v>
      </c>
      <c r="B210" s="7" t="str">
        <f t="shared" si="12"/>
        <v>Premium3</v>
      </c>
      <c r="C210" s="7" t="str">
        <f t="shared" si="13"/>
        <v>Premium</v>
      </c>
      <c r="D210" s="7" t="str">
        <f t="shared" si="14"/>
        <v>bg</v>
      </c>
      <c r="E210" s="6">
        <v>496</v>
      </c>
      <c r="F210" s="7" t="str">
        <f>VLOOKUP(E210,[1]characters!$A:$C,3,FALSE)</f>
        <v>エスタブ</v>
      </c>
      <c r="G210" s="7" t="str">
        <f>VLOOKUP(E210,[1]characters!$A:$J,10,FALSE)</f>
        <v>PremiumS</v>
      </c>
      <c r="H210" s="7">
        <f>VLOOKUP(E210,[1]characters!$A:$I,9,FALSE)</f>
        <v>3</v>
      </c>
      <c r="I210" s="7" t="str">
        <f>VLOOKUP(E210,[1]characters!$A:$H,8,FALSE)</f>
        <v>blue</v>
      </c>
      <c r="J210" s="7" t="str">
        <f>VLOOKUP(E210,[1]characters!$A:$K,11,FALSE)</f>
        <v>attack</v>
      </c>
      <c r="K210" s="7" t="str">
        <f>VLOOKUP(E210,[1]characters!$A:$M,13,FALSE)</f>
        <v>human</v>
      </c>
      <c r="L210" s="7" t="str">
        <f>VLOOKUP(E210,[1]characters!$A:$G,7,FALSE)</f>
        <v>男性</v>
      </c>
      <c r="M210" s="62">
        <f ca="1">IFERROR(VLOOKUP(E210,input_314100!L:R,7,FALSE),VLOOKUP(tables_314100!B210,input_314100!A:H,8,FALSE))</f>
        <v>0</v>
      </c>
      <c r="N210" s="63">
        <f t="shared" ca="1" si="15"/>
        <v>0</v>
      </c>
      <c r="O210" s="31">
        <f>IFERROR(VLOOKUP($E210,bug_conf_sheet!$A:$H,3,FALSE),VLOOKUP("other",bug_conf_sheet!$A:$H,3,FALSE))</f>
        <v>1</v>
      </c>
      <c r="P210" s="31">
        <f>IFERROR(VLOOKUP($E210,bug_conf_sheet!$A:$H,4,FALSE),VLOOKUP("other",bug_conf_sheet!$A:$H,4,FALSE))</f>
        <v>0</v>
      </c>
      <c r="Q210" s="31">
        <f>IFERROR(VLOOKUP($E210,bug_conf_sheet!$A:$H,5,FALSE),VLOOKUP("other",bug_conf_sheet!$A:$H,5,FALSE))</f>
        <v>0</v>
      </c>
      <c r="R210" s="31">
        <f>IFERROR(VLOOKUP($E210,bug_conf_sheet!$A:$H,6,FALSE),VLOOKUP("other",bug_conf_sheet!$A:$H,6,FALSE))</f>
        <v>0</v>
      </c>
      <c r="S210" s="31">
        <f>IFERROR(VLOOKUP($E210,bug_conf_sheet!$A:$H,7,FALSE),VLOOKUP("other",bug_conf_sheet!$A:$H,7,FALSE))</f>
        <v>0</v>
      </c>
      <c r="T210" s="31">
        <f>IFERROR(VLOOKUP($E210,bug_conf_sheet!$A:$H,8,FALSE),VLOOKUP("other",bug_conf_sheet!$A:$H,8,FALSE))</f>
        <v>1</v>
      </c>
    </row>
    <row r="211" spans="1:20" ht="21" customHeight="1">
      <c r="A211" s="2" t="str">
        <f ca="1">input_314100!A$2</f>
        <v>314100</v>
      </c>
      <c r="B211" s="7" t="str">
        <f t="shared" si="12"/>
        <v>Premium4</v>
      </c>
      <c r="C211" s="7" t="str">
        <f t="shared" si="13"/>
        <v>Premium</v>
      </c>
      <c r="D211" s="7" t="str">
        <f t="shared" si="14"/>
        <v>bg</v>
      </c>
      <c r="E211" s="6">
        <v>497</v>
      </c>
      <c r="F211" s="7" t="str">
        <f>VLOOKUP(E211,[1]characters!$A:$C,3,FALSE)</f>
        <v>偏愛の野獣 エスタブ</v>
      </c>
      <c r="G211" s="7" t="str">
        <f>VLOOKUP(E211,[1]characters!$A:$J,10,FALSE)</f>
        <v>PremiumS</v>
      </c>
      <c r="H211" s="7">
        <f>VLOOKUP(E211,[1]characters!$A:$I,9,FALSE)</f>
        <v>4</v>
      </c>
      <c r="I211" s="7" t="str">
        <f>VLOOKUP(E211,[1]characters!$A:$H,8,FALSE)</f>
        <v>blue</v>
      </c>
      <c r="J211" s="7" t="str">
        <f>VLOOKUP(E211,[1]characters!$A:$K,11,FALSE)</f>
        <v>attack</v>
      </c>
      <c r="K211" s="7" t="str">
        <f>VLOOKUP(E211,[1]characters!$A:$M,13,FALSE)</f>
        <v>human</v>
      </c>
      <c r="L211" s="7" t="str">
        <f>VLOOKUP(E211,[1]characters!$A:$G,7,FALSE)</f>
        <v>男性</v>
      </c>
      <c r="M211" s="62">
        <f ca="1">IFERROR(VLOOKUP(E211,input_314100!L:R,7,FALSE),VLOOKUP(tables_314100!B211,input_314100!A:H,8,FALSE))</f>
        <v>342090</v>
      </c>
      <c r="N211" s="63">
        <f t="shared" ca="1" si="15"/>
        <v>1.222972972972973E-2</v>
      </c>
      <c r="O211" s="31">
        <f>IFERROR(VLOOKUP($E211,bug_conf_sheet!$A:$H,3,FALSE),VLOOKUP("other",bug_conf_sheet!$A:$H,3,FALSE))</f>
        <v>1</v>
      </c>
      <c r="P211" s="31">
        <f>IFERROR(VLOOKUP($E211,bug_conf_sheet!$A:$H,4,FALSE),VLOOKUP("other",bug_conf_sheet!$A:$H,4,FALSE))</f>
        <v>0</v>
      </c>
      <c r="Q211" s="31">
        <f>IFERROR(VLOOKUP($E211,bug_conf_sheet!$A:$H,5,FALSE),VLOOKUP("other",bug_conf_sheet!$A:$H,5,FALSE))</f>
        <v>0</v>
      </c>
      <c r="R211" s="31">
        <f>IFERROR(VLOOKUP($E211,bug_conf_sheet!$A:$H,6,FALSE),VLOOKUP("other",bug_conf_sheet!$A:$H,6,FALSE))</f>
        <v>0</v>
      </c>
      <c r="S211" s="31">
        <f>IFERROR(VLOOKUP($E211,bug_conf_sheet!$A:$H,7,FALSE),VLOOKUP("other",bug_conf_sheet!$A:$H,7,FALSE))</f>
        <v>0</v>
      </c>
      <c r="T211" s="31">
        <f>IFERROR(VLOOKUP($E211,bug_conf_sheet!$A:$H,8,FALSE),VLOOKUP("other",bug_conf_sheet!$A:$H,8,FALSE))</f>
        <v>1</v>
      </c>
    </row>
    <row r="212" spans="1:20" ht="21" customHeight="1">
      <c r="A212" s="2" t="str">
        <f ca="1">input_314100!A$2</f>
        <v>314100</v>
      </c>
      <c r="B212" s="7" t="str">
        <f t="shared" si="12"/>
        <v>Premium5</v>
      </c>
      <c r="C212" s="7" t="str">
        <f t="shared" si="13"/>
        <v>Premium</v>
      </c>
      <c r="D212" s="7" t="str">
        <f t="shared" si="14"/>
        <v>bg</v>
      </c>
      <c r="E212" s="6">
        <v>498</v>
      </c>
      <c r="F212" s="7" t="str">
        <f>VLOOKUP(E212,[1]characters!$A:$C,3,FALSE)</f>
        <v>自愛の高魔 エスタブ</v>
      </c>
      <c r="G212" s="7" t="str">
        <f>VLOOKUP(E212,[1]characters!$A:$J,10,FALSE)</f>
        <v>PremiumS</v>
      </c>
      <c r="H212" s="7">
        <f>VLOOKUP(E212,[1]characters!$A:$I,9,FALSE)</f>
        <v>5</v>
      </c>
      <c r="I212" s="7" t="str">
        <f>VLOOKUP(E212,[1]characters!$A:$H,8,FALSE)</f>
        <v>blue</v>
      </c>
      <c r="J212" s="7" t="str">
        <f>VLOOKUP(E212,[1]characters!$A:$K,11,FALSE)</f>
        <v>attack</v>
      </c>
      <c r="K212" s="7" t="str">
        <f>VLOOKUP(E212,[1]characters!$A:$M,13,FALSE)</f>
        <v>human</v>
      </c>
      <c r="L212" s="7" t="str">
        <f>VLOOKUP(E212,[1]characters!$A:$G,7,FALSE)</f>
        <v>男性</v>
      </c>
      <c r="M212" s="62">
        <f ca="1">IFERROR(VLOOKUP(E212,input_314100!L:R,7,FALSE),VLOOKUP(tables_314100!B212,input_314100!A:H,8,FALSE))</f>
        <v>12950</v>
      </c>
      <c r="N212" s="63">
        <f t="shared" ca="1" si="15"/>
        <v>4.6296296296296298E-4</v>
      </c>
      <c r="O212" s="31">
        <f>IFERROR(VLOOKUP($E212,bug_conf_sheet!$A:$H,3,FALSE),VLOOKUP("other",bug_conf_sheet!$A:$H,3,FALSE))</f>
        <v>1</v>
      </c>
      <c r="P212" s="31">
        <f>IFERROR(VLOOKUP($E212,bug_conf_sheet!$A:$H,4,FALSE),VLOOKUP("other",bug_conf_sheet!$A:$H,4,FALSE))</f>
        <v>0</v>
      </c>
      <c r="Q212" s="31">
        <f>IFERROR(VLOOKUP($E212,bug_conf_sheet!$A:$H,5,FALSE),VLOOKUP("other",bug_conf_sheet!$A:$H,5,FALSE))</f>
        <v>0</v>
      </c>
      <c r="R212" s="31">
        <f>IFERROR(VLOOKUP($E212,bug_conf_sheet!$A:$H,6,FALSE),VLOOKUP("other",bug_conf_sheet!$A:$H,6,FALSE))</f>
        <v>0</v>
      </c>
      <c r="S212" s="31">
        <f>IFERROR(VLOOKUP($E212,bug_conf_sheet!$A:$H,7,FALSE),VLOOKUP("other",bug_conf_sheet!$A:$H,7,FALSE))</f>
        <v>0</v>
      </c>
      <c r="T212" s="31">
        <f>IFERROR(VLOOKUP($E212,bug_conf_sheet!$A:$H,8,FALSE),VLOOKUP("other",bug_conf_sheet!$A:$H,8,FALSE))</f>
        <v>1</v>
      </c>
    </row>
    <row r="213" spans="1:20" ht="21" customHeight="1">
      <c r="A213" s="2" t="str">
        <f ca="1">input_314100!A$2</f>
        <v>314100</v>
      </c>
      <c r="B213" s="7" t="str">
        <f t="shared" si="12"/>
        <v>PremiumSSry4</v>
      </c>
      <c r="C213" s="7" t="str">
        <f t="shared" si="13"/>
        <v>PremiumSS</v>
      </c>
      <c r="D213" s="7" t="str">
        <f t="shared" si="14"/>
        <v>ry</v>
      </c>
      <c r="E213" s="6">
        <v>499</v>
      </c>
      <c r="F213" s="7" t="str">
        <f>VLOOKUP(E213,[1]characters!$A:$C,3,FALSE)</f>
        <v>ラプンツェル</v>
      </c>
      <c r="G213" s="7" t="str">
        <f>VLOOKUP(E213,[1]characters!$A:$J,10,FALSE)</f>
        <v>PremiumSS</v>
      </c>
      <c r="H213" s="7">
        <f>VLOOKUP(E213,[1]characters!$A:$I,9,FALSE)</f>
        <v>4</v>
      </c>
      <c r="I213" s="7" t="str">
        <f>VLOOKUP(E213,[1]characters!$A:$H,8,FALSE)</f>
        <v>yellow</v>
      </c>
      <c r="J213" s="7" t="str">
        <f>VLOOKUP(E213,[1]characters!$A:$K,11,FALSE)</f>
        <v>balance</v>
      </c>
      <c r="K213" s="7" t="str">
        <f>VLOOKUP(E213,[1]characters!$A:$M,13,FALSE)</f>
        <v>human</v>
      </c>
      <c r="L213" s="7" t="str">
        <f>VLOOKUP(E213,[1]characters!$A:$G,7,FALSE)</f>
        <v>女性</v>
      </c>
      <c r="M213" s="62">
        <f ca="1">IFERROR(VLOOKUP(E213,input_314100!L:R,7,FALSE),VLOOKUP(tables_314100!B213,input_314100!A:H,8,FALSE))</f>
        <v>35964</v>
      </c>
      <c r="N213" s="63">
        <f t="shared" ca="1" si="15"/>
        <v>1.2857142857142856E-3</v>
      </c>
      <c r="O213" s="31">
        <f>IFERROR(VLOOKUP($E213,bug_conf_sheet!$A:$H,3,FALSE),VLOOKUP("other",bug_conf_sheet!$A:$H,3,FALSE))</f>
        <v>1</v>
      </c>
      <c r="P213" s="31">
        <f>IFERROR(VLOOKUP($E213,bug_conf_sheet!$A:$H,4,FALSE),VLOOKUP("other",bug_conf_sheet!$A:$H,4,FALSE))</f>
        <v>0</v>
      </c>
      <c r="Q213" s="31">
        <f>IFERROR(VLOOKUP($E213,bug_conf_sheet!$A:$H,5,FALSE),VLOOKUP("other",bug_conf_sheet!$A:$H,5,FALSE))</f>
        <v>0</v>
      </c>
      <c r="R213" s="31">
        <f>IFERROR(VLOOKUP($E213,bug_conf_sheet!$A:$H,6,FALSE),VLOOKUP("other",bug_conf_sheet!$A:$H,6,FALSE))</f>
        <v>0</v>
      </c>
      <c r="S213" s="31">
        <f>IFERROR(VLOOKUP($E213,bug_conf_sheet!$A:$H,7,FALSE),VLOOKUP("other",bug_conf_sheet!$A:$H,7,FALSE))</f>
        <v>0</v>
      </c>
      <c r="T213" s="31">
        <f>IFERROR(VLOOKUP($E213,bug_conf_sheet!$A:$H,8,FALSE),VLOOKUP("other",bug_conf_sheet!$A:$H,8,FALSE))</f>
        <v>1</v>
      </c>
    </row>
    <row r="214" spans="1:20" ht="21" customHeight="1">
      <c r="A214" s="2" t="str">
        <f ca="1">input_314100!A$2</f>
        <v>314100</v>
      </c>
      <c r="B214" s="7" t="str">
        <f t="shared" si="12"/>
        <v>PremiumSSry5</v>
      </c>
      <c r="C214" s="7" t="str">
        <f t="shared" si="13"/>
        <v>PremiumSS</v>
      </c>
      <c r="D214" s="7" t="str">
        <f t="shared" si="14"/>
        <v>ry</v>
      </c>
      <c r="E214" s="6">
        <v>500</v>
      </c>
      <c r="F214" s="7" t="str">
        <f>VLOOKUP(E214,[1]characters!$A:$C,3,FALSE)</f>
        <v>脈動の禁髪 ラプンツェル</v>
      </c>
      <c r="G214" s="7" t="str">
        <f>VLOOKUP(E214,[1]characters!$A:$J,10,FALSE)</f>
        <v>PremiumSS</v>
      </c>
      <c r="H214" s="7">
        <f>VLOOKUP(E214,[1]characters!$A:$I,9,FALSE)</f>
        <v>5</v>
      </c>
      <c r="I214" s="7" t="str">
        <f>VLOOKUP(E214,[1]characters!$A:$H,8,FALSE)</f>
        <v>yellow</v>
      </c>
      <c r="J214" s="7" t="str">
        <f>VLOOKUP(E214,[1]characters!$A:$K,11,FALSE)</f>
        <v>balance</v>
      </c>
      <c r="K214" s="7" t="str">
        <f>VLOOKUP(E214,[1]characters!$A:$M,13,FALSE)</f>
        <v>human</v>
      </c>
      <c r="L214" s="7" t="str">
        <f>VLOOKUP(E214,[1]characters!$A:$G,7,FALSE)</f>
        <v>女性</v>
      </c>
      <c r="M214" s="62">
        <f ca="1">IFERROR(VLOOKUP(E214,input_314100!L:R,7,FALSE),VLOOKUP(tables_314100!B214,input_314100!A:H,8,FALSE))</f>
        <v>3996</v>
      </c>
      <c r="N214" s="63">
        <f t="shared" ca="1" si="15"/>
        <v>1.4285714285714287E-4</v>
      </c>
      <c r="O214" s="31">
        <f>IFERROR(VLOOKUP($E214,bug_conf_sheet!$A:$H,3,FALSE),VLOOKUP("other",bug_conf_sheet!$A:$H,3,FALSE))</f>
        <v>1</v>
      </c>
      <c r="P214" s="31">
        <f>IFERROR(VLOOKUP($E214,bug_conf_sheet!$A:$H,4,FALSE),VLOOKUP("other",bug_conf_sheet!$A:$H,4,FALSE))</f>
        <v>0</v>
      </c>
      <c r="Q214" s="31">
        <f>IFERROR(VLOOKUP($E214,bug_conf_sheet!$A:$H,5,FALSE),VLOOKUP("other",bug_conf_sheet!$A:$H,5,FALSE))</f>
        <v>0</v>
      </c>
      <c r="R214" s="31">
        <f>IFERROR(VLOOKUP($E214,bug_conf_sheet!$A:$H,6,FALSE),VLOOKUP("other",bug_conf_sheet!$A:$H,6,FALSE))</f>
        <v>0</v>
      </c>
      <c r="S214" s="31">
        <f>IFERROR(VLOOKUP($E214,bug_conf_sheet!$A:$H,7,FALSE),VLOOKUP("other",bug_conf_sheet!$A:$H,7,FALSE))</f>
        <v>0</v>
      </c>
      <c r="T214" s="31">
        <f>IFERROR(VLOOKUP($E214,bug_conf_sheet!$A:$H,8,FALSE),VLOOKUP("other",bug_conf_sheet!$A:$H,8,FALSE))</f>
        <v>1</v>
      </c>
    </row>
    <row r="215" spans="1:20" ht="21" customHeight="1">
      <c r="A215" s="2" t="str">
        <f ca="1">input_314100!A$2</f>
        <v>314100</v>
      </c>
      <c r="B215" s="7" t="str">
        <f t="shared" si="12"/>
        <v>PremiumSSry4</v>
      </c>
      <c r="C215" s="7" t="str">
        <f t="shared" si="13"/>
        <v>PremiumSS</v>
      </c>
      <c r="D215" s="7" t="str">
        <f t="shared" si="14"/>
        <v>ry</v>
      </c>
      <c r="E215" s="6">
        <v>586</v>
      </c>
      <c r="F215" s="7" t="str">
        <f>VLOOKUP(E215,[1]characters!$A:$C,3,FALSE)</f>
        <v>ユミル</v>
      </c>
      <c r="G215" s="7" t="str">
        <f>VLOOKUP(E215,[1]characters!$A:$J,10,FALSE)</f>
        <v>PremiumSS</v>
      </c>
      <c r="H215" s="7">
        <f>VLOOKUP(E215,[1]characters!$A:$I,9,FALSE)</f>
        <v>4</v>
      </c>
      <c r="I215" s="7" t="str">
        <f>VLOOKUP(E215,[1]characters!$A:$H,8,FALSE)</f>
        <v>red</v>
      </c>
      <c r="J215" s="7" t="str">
        <f>VLOOKUP(E215,[1]characters!$A:$K,11,FALSE)</f>
        <v>hp</v>
      </c>
      <c r="K215" s="7" t="str">
        <f>VLOOKUP(E215,[1]characters!$A:$M,13,FALSE)</f>
        <v>machine</v>
      </c>
      <c r="L215" s="7" t="str">
        <f>VLOOKUP(E215,[1]characters!$A:$G,7,FALSE)</f>
        <v>不明</v>
      </c>
      <c r="M215" s="62">
        <f ca="1">IFERROR(VLOOKUP(E215,input_314100!L:R,7,FALSE),VLOOKUP(tables_314100!B215,input_314100!A:H,8,FALSE))</f>
        <v>35964</v>
      </c>
      <c r="N215" s="63">
        <f t="shared" ca="1" si="15"/>
        <v>1.2857142857142856E-3</v>
      </c>
      <c r="O215" s="31">
        <f>IFERROR(VLOOKUP($E215,bug_conf_sheet!$A:$H,3,FALSE),VLOOKUP("other",bug_conf_sheet!$A:$H,3,FALSE))</f>
        <v>1</v>
      </c>
      <c r="P215" s="31">
        <f>IFERROR(VLOOKUP($E215,bug_conf_sheet!$A:$H,4,FALSE),VLOOKUP("other",bug_conf_sheet!$A:$H,4,FALSE))</f>
        <v>0</v>
      </c>
      <c r="Q215" s="31">
        <f>IFERROR(VLOOKUP($E215,bug_conf_sheet!$A:$H,5,FALSE),VLOOKUP("other",bug_conf_sheet!$A:$H,5,FALSE))</f>
        <v>0</v>
      </c>
      <c r="R215" s="31">
        <f>IFERROR(VLOOKUP($E215,bug_conf_sheet!$A:$H,6,FALSE),VLOOKUP("other",bug_conf_sheet!$A:$H,6,FALSE))</f>
        <v>0</v>
      </c>
      <c r="S215" s="31">
        <f>IFERROR(VLOOKUP($E215,bug_conf_sheet!$A:$H,7,FALSE),VLOOKUP("other",bug_conf_sheet!$A:$H,7,FALSE))</f>
        <v>0</v>
      </c>
      <c r="T215" s="31">
        <f>IFERROR(VLOOKUP($E215,bug_conf_sheet!$A:$H,8,FALSE),VLOOKUP("other",bug_conf_sheet!$A:$H,8,FALSE))</f>
        <v>1</v>
      </c>
    </row>
    <row r="216" spans="1:20" ht="21" customHeight="1">
      <c r="A216" s="2" t="str">
        <f ca="1">input_314100!A$2</f>
        <v>314100</v>
      </c>
      <c r="B216" s="7" t="str">
        <f t="shared" si="12"/>
        <v>PremiumSSry5</v>
      </c>
      <c r="C216" s="7" t="str">
        <f t="shared" si="13"/>
        <v>PremiumSS</v>
      </c>
      <c r="D216" s="7" t="str">
        <f t="shared" si="14"/>
        <v>ry</v>
      </c>
      <c r="E216" s="6">
        <v>587</v>
      </c>
      <c r="F216" s="7" t="str">
        <f>VLOOKUP(E216,[1]characters!$A:$C,3,FALSE)</f>
        <v>原初の煉鋼巨刃 ユミル</v>
      </c>
      <c r="G216" s="7" t="str">
        <f>VLOOKUP(E216,[1]characters!$A:$J,10,FALSE)</f>
        <v>PremiumSS</v>
      </c>
      <c r="H216" s="7">
        <f>VLOOKUP(E216,[1]characters!$A:$I,9,FALSE)</f>
        <v>5</v>
      </c>
      <c r="I216" s="7" t="str">
        <f>VLOOKUP(E216,[1]characters!$A:$H,8,FALSE)</f>
        <v>red</v>
      </c>
      <c r="J216" s="7" t="str">
        <f>VLOOKUP(E216,[1]characters!$A:$K,11,FALSE)</f>
        <v>hp</v>
      </c>
      <c r="K216" s="7" t="str">
        <f>VLOOKUP(E216,[1]characters!$A:$M,13,FALSE)</f>
        <v>machine</v>
      </c>
      <c r="L216" s="7" t="str">
        <f>VLOOKUP(E216,[1]characters!$A:$G,7,FALSE)</f>
        <v>不明</v>
      </c>
      <c r="M216" s="62">
        <f ca="1">IFERROR(VLOOKUP(E216,input_314100!L:R,7,FALSE),VLOOKUP(tables_314100!B216,input_314100!A:H,8,FALSE))</f>
        <v>3996</v>
      </c>
      <c r="N216" s="63">
        <f t="shared" ca="1" si="15"/>
        <v>1.4285714285714287E-4</v>
      </c>
      <c r="O216" s="31">
        <f>IFERROR(VLOOKUP($E216,bug_conf_sheet!$A:$H,3,FALSE),VLOOKUP("other",bug_conf_sheet!$A:$H,3,FALSE))</f>
        <v>1</v>
      </c>
      <c r="P216" s="31">
        <f>IFERROR(VLOOKUP($E216,bug_conf_sheet!$A:$H,4,FALSE),VLOOKUP("other",bug_conf_sheet!$A:$H,4,FALSE))</f>
        <v>0</v>
      </c>
      <c r="Q216" s="31">
        <f>IFERROR(VLOOKUP($E216,bug_conf_sheet!$A:$H,5,FALSE),VLOOKUP("other",bug_conf_sheet!$A:$H,5,FALSE))</f>
        <v>0</v>
      </c>
      <c r="R216" s="31">
        <f>IFERROR(VLOOKUP($E216,bug_conf_sheet!$A:$H,6,FALSE),VLOOKUP("other",bug_conf_sheet!$A:$H,6,FALSE))</f>
        <v>0</v>
      </c>
      <c r="S216" s="31">
        <f>IFERROR(VLOOKUP($E216,bug_conf_sheet!$A:$H,7,FALSE),VLOOKUP("other",bug_conf_sheet!$A:$H,7,FALSE))</f>
        <v>0</v>
      </c>
      <c r="T216" s="31">
        <f>IFERROR(VLOOKUP($E216,bug_conf_sheet!$A:$H,8,FALSE),VLOOKUP("other",bug_conf_sheet!$A:$H,8,FALSE))</f>
        <v>1</v>
      </c>
    </row>
    <row r="217" spans="1:20" ht="21" customHeight="1">
      <c r="A217" s="2" t="str">
        <f ca="1">input_314100!A$2</f>
        <v>314100</v>
      </c>
      <c r="B217" s="7" t="str">
        <f t="shared" si="12"/>
        <v>Premium3</v>
      </c>
      <c r="C217" s="7" t="str">
        <f t="shared" si="13"/>
        <v>Premium</v>
      </c>
      <c r="D217" s="7" t="str">
        <f t="shared" si="14"/>
        <v>bg</v>
      </c>
      <c r="E217" s="6">
        <v>588</v>
      </c>
      <c r="F217" s="7" t="str">
        <f>VLOOKUP(E217,[1]characters!$A:$C,3,FALSE)</f>
        <v>ニーベルゲン</v>
      </c>
      <c r="G217" s="7" t="str">
        <f>VLOOKUP(E217,[1]characters!$A:$J,10,FALSE)</f>
        <v>PremiumS</v>
      </c>
      <c r="H217" s="7">
        <f>VLOOKUP(E217,[1]characters!$A:$I,9,FALSE)</f>
        <v>3</v>
      </c>
      <c r="I217" s="7" t="str">
        <f>VLOOKUP(E217,[1]characters!$A:$H,8,FALSE)</f>
        <v>green</v>
      </c>
      <c r="J217" s="7" t="str">
        <f>VLOOKUP(E217,[1]characters!$A:$K,11,FALSE)</f>
        <v>balance</v>
      </c>
      <c r="K217" s="7" t="str">
        <f>VLOOKUP(E217,[1]characters!$A:$M,13,FALSE)</f>
        <v>unknown</v>
      </c>
      <c r="L217" s="7" t="str">
        <f>VLOOKUP(E217,[1]characters!$A:$G,7,FALSE)</f>
        <v>女性</v>
      </c>
      <c r="M217" s="62">
        <f ca="1">IFERROR(VLOOKUP(E217,input_314100!L:R,7,FALSE),VLOOKUP(tables_314100!B217,input_314100!A:H,8,FALSE))</f>
        <v>0</v>
      </c>
      <c r="N217" s="63">
        <f t="shared" ca="1" si="15"/>
        <v>0</v>
      </c>
      <c r="O217" s="31">
        <f>IFERROR(VLOOKUP($E217,bug_conf_sheet!$A:$H,3,FALSE),VLOOKUP("other",bug_conf_sheet!$A:$H,3,FALSE))</f>
        <v>1</v>
      </c>
      <c r="P217" s="31">
        <f>IFERROR(VLOOKUP($E217,bug_conf_sheet!$A:$H,4,FALSE),VLOOKUP("other",bug_conf_sheet!$A:$H,4,FALSE))</f>
        <v>0</v>
      </c>
      <c r="Q217" s="31">
        <f>IFERROR(VLOOKUP($E217,bug_conf_sheet!$A:$H,5,FALSE),VLOOKUP("other",bug_conf_sheet!$A:$H,5,FALSE))</f>
        <v>0</v>
      </c>
      <c r="R217" s="31">
        <f>IFERROR(VLOOKUP($E217,bug_conf_sheet!$A:$H,6,FALSE),VLOOKUP("other",bug_conf_sheet!$A:$H,6,FALSE))</f>
        <v>0</v>
      </c>
      <c r="S217" s="31">
        <f>IFERROR(VLOOKUP($E217,bug_conf_sheet!$A:$H,7,FALSE),VLOOKUP("other",bug_conf_sheet!$A:$H,7,FALSE))</f>
        <v>0</v>
      </c>
      <c r="T217" s="31">
        <f>IFERROR(VLOOKUP($E217,bug_conf_sheet!$A:$H,8,FALSE),VLOOKUP("other",bug_conf_sheet!$A:$H,8,FALSE))</f>
        <v>1</v>
      </c>
    </row>
    <row r="218" spans="1:20" ht="21" customHeight="1">
      <c r="A218" s="2" t="str">
        <f ca="1">input_314100!A$2</f>
        <v>314100</v>
      </c>
      <c r="B218" s="7" t="str">
        <f t="shared" si="12"/>
        <v>Premium4</v>
      </c>
      <c r="C218" s="7" t="str">
        <f t="shared" si="13"/>
        <v>Premium</v>
      </c>
      <c r="D218" s="7" t="str">
        <f t="shared" si="14"/>
        <v>bg</v>
      </c>
      <c r="E218" s="6">
        <v>589</v>
      </c>
      <c r="F218" s="7" t="str">
        <f>VLOOKUP(E218,[1]characters!$A:$C,3,FALSE)</f>
        <v>不幸の円環 ニーベルゲン</v>
      </c>
      <c r="G218" s="7" t="str">
        <f>VLOOKUP(E218,[1]characters!$A:$J,10,FALSE)</f>
        <v>PremiumS</v>
      </c>
      <c r="H218" s="7">
        <f>VLOOKUP(E218,[1]characters!$A:$I,9,FALSE)</f>
        <v>4</v>
      </c>
      <c r="I218" s="7" t="str">
        <f>VLOOKUP(E218,[1]characters!$A:$H,8,FALSE)</f>
        <v>green</v>
      </c>
      <c r="J218" s="7" t="str">
        <f>VLOOKUP(E218,[1]characters!$A:$K,11,FALSE)</f>
        <v>balance</v>
      </c>
      <c r="K218" s="7" t="str">
        <f>VLOOKUP(E218,[1]characters!$A:$M,13,FALSE)</f>
        <v>unknown</v>
      </c>
      <c r="L218" s="7" t="str">
        <f>VLOOKUP(E218,[1]characters!$A:$G,7,FALSE)</f>
        <v>女性</v>
      </c>
      <c r="M218" s="62">
        <f ca="1">IFERROR(VLOOKUP(E218,input_314100!L:R,7,FALSE),VLOOKUP(tables_314100!B218,input_314100!A:H,8,FALSE))</f>
        <v>342090</v>
      </c>
      <c r="N218" s="63">
        <f t="shared" ca="1" si="15"/>
        <v>1.222972972972973E-2</v>
      </c>
      <c r="O218" s="31">
        <f>IFERROR(VLOOKUP($E218,bug_conf_sheet!$A:$H,3,FALSE),VLOOKUP("other",bug_conf_sheet!$A:$H,3,FALSE))</f>
        <v>1</v>
      </c>
      <c r="P218" s="31">
        <f>IFERROR(VLOOKUP($E218,bug_conf_sheet!$A:$H,4,FALSE),VLOOKUP("other",bug_conf_sheet!$A:$H,4,FALSE))</f>
        <v>0</v>
      </c>
      <c r="Q218" s="31">
        <f>IFERROR(VLOOKUP($E218,bug_conf_sheet!$A:$H,5,FALSE),VLOOKUP("other",bug_conf_sheet!$A:$H,5,FALSE))</f>
        <v>0</v>
      </c>
      <c r="R218" s="31">
        <f>IFERROR(VLOOKUP($E218,bug_conf_sheet!$A:$H,6,FALSE),VLOOKUP("other",bug_conf_sheet!$A:$H,6,FALSE))</f>
        <v>0</v>
      </c>
      <c r="S218" s="31">
        <f>IFERROR(VLOOKUP($E218,bug_conf_sheet!$A:$H,7,FALSE),VLOOKUP("other",bug_conf_sheet!$A:$H,7,FALSE))</f>
        <v>0</v>
      </c>
      <c r="T218" s="31">
        <f>IFERROR(VLOOKUP($E218,bug_conf_sheet!$A:$H,8,FALSE),VLOOKUP("other",bug_conf_sheet!$A:$H,8,FALSE))</f>
        <v>1</v>
      </c>
    </row>
    <row r="219" spans="1:20" ht="21" customHeight="1">
      <c r="A219" s="2" t="str">
        <f ca="1">input_314100!A$2</f>
        <v>314100</v>
      </c>
      <c r="B219" s="7" t="str">
        <f t="shared" si="12"/>
        <v>Premium5</v>
      </c>
      <c r="C219" s="7" t="str">
        <f t="shared" si="13"/>
        <v>Premium</v>
      </c>
      <c r="D219" s="7" t="str">
        <f t="shared" si="14"/>
        <v>bg</v>
      </c>
      <c r="E219" s="6">
        <v>590</v>
      </c>
      <c r="F219" s="7" t="str">
        <f>VLOOKUP(E219,[1]characters!$A:$C,3,FALSE)</f>
        <v>永遠を廻る呪い ニーベルゲン</v>
      </c>
      <c r="G219" s="7" t="str">
        <f>VLOOKUP(E219,[1]characters!$A:$J,10,FALSE)</f>
        <v>PremiumS</v>
      </c>
      <c r="H219" s="7">
        <f>VLOOKUP(E219,[1]characters!$A:$I,9,FALSE)</f>
        <v>5</v>
      </c>
      <c r="I219" s="7" t="str">
        <f>VLOOKUP(E219,[1]characters!$A:$H,8,FALSE)</f>
        <v>green</v>
      </c>
      <c r="J219" s="7" t="str">
        <f>VLOOKUP(E219,[1]characters!$A:$K,11,FALSE)</f>
        <v>balance</v>
      </c>
      <c r="K219" s="7" t="str">
        <f>VLOOKUP(E219,[1]characters!$A:$M,13,FALSE)</f>
        <v>unknown</v>
      </c>
      <c r="L219" s="7" t="str">
        <f>VLOOKUP(E219,[1]characters!$A:$G,7,FALSE)</f>
        <v>女性</v>
      </c>
      <c r="M219" s="62">
        <f ca="1">IFERROR(VLOOKUP(E219,input_314100!L:R,7,FALSE),VLOOKUP(tables_314100!B219,input_314100!A:H,8,FALSE))</f>
        <v>12950</v>
      </c>
      <c r="N219" s="63">
        <f t="shared" ca="1" si="15"/>
        <v>4.6296296296296298E-4</v>
      </c>
      <c r="O219" s="31">
        <f>IFERROR(VLOOKUP($E219,bug_conf_sheet!$A:$H,3,FALSE),VLOOKUP("other",bug_conf_sheet!$A:$H,3,FALSE))</f>
        <v>1</v>
      </c>
      <c r="P219" s="31">
        <f>IFERROR(VLOOKUP($E219,bug_conf_sheet!$A:$H,4,FALSE),VLOOKUP("other",bug_conf_sheet!$A:$H,4,FALSE))</f>
        <v>0</v>
      </c>
      <c r="Q219" s="31">
        <f>IFERROR(VLOOKUP($E219,bug_conf_sheet!$A:$H,5,FALSE),VLOOKUP("other",bug_conf_sheet!$A:$H,5,FALSE))</f>
        <v>0</v>
      </c>
      <c r="R219" s="31">
        <f>IFERROR(VLOOKUP($E219,bug_conf_sheet!$A:$H,6,FALSE),VLOOKUP("other",bug_conf_sheet!$A:$H,6,FALSE))</f>
        <v>0</v>
      </c>
      <c r="S219" s="31">
        <f>IFERROR(VLOOKUP($E219,bug_conf_sheet!$A:$H,7,FALSE),VLOOKUP("other",bug_conf_sheet!$A:$H,7,FALSE))</f>
        <v>0</v>
      </c>
      <c r="T219" s="31">
        <f>IFERROR(VLOOKUP($E219,bug_conf_sheet!$A:$H,8,FALSE),VLOOKUP("other",bug_conf_sheet!$A:$H,8,FALSE))</f>
        <v>1</v>
      </c>
    </row>
    <row r="220" spans="1:20" ht="21" customHeight="1">
      <c r="A220" s="2" t="str">
        <f ca="1">input_314100!A$2</f>
        <v>314100</v>
      </c>
      <c r="B220" s="7" t="str">
        <f t="shared" si="12"/>
        <v>Premium3</v>
      </c>
      <c r="C220" s="7" t="str">
        <f t="shared" si="13"/>
        <v>Premium</v>
      </c>
      <c r="D220" s="7" t="str">
        <f t="shared" si="14"/>
        <v>bg</v>
      </c>
      <c r="E220" s="6">
        <v>591</v>
      </c>
      <c r="F220" s="7" t="str">
        <f>VLOOKUP(E220,[1]characters!$A:$C,3,FALSE)</f>
        <v>ファフニール</v>
      </c>
      <c r="G220" s="7" t="str">
        <f>VLOOKUP(E220,[1]characters!$A:$J,10,FALSE)</f>
        <v>PremiumS</v>
      </c>
      <c r="H220" s="7">
        <f>VLOOKUP(E220,[1]characters!$A:$I,9,FALSE)</f>
        <v>3</v>
      </c>
      <c r="I220" s="7" t="str">
        <f>VLOOKUP(E220,[1]characters!$A:$H,8,FALSE)</f>
        <v>blue</v>
      </c>
      <c r="J220" s="7" t="str">
        <f>VLOOKUP(E220,[1]characters!$A:$K,11,FALSE)</f>
        <v>technical</v>
      </c>
      <c r="K220" s="7" t="str">
        <f>VLOOKUP(E220,[1]characters!$A:$M,13,FALSE)</f>
        <v>dragon</v>
      </c>
      <c r="L220" s="7" t="str">
        <f>VLOOKUP(E220,[1]characters!$A:$G,7,FALSE)</f>
        <v>不明</v>
      </c>
      <c r="M220" s="62">
        <f ca="1">IFERROR(VLOOKUP(E220,input_314100!L:R,7,FALSE),VLOOKUP(tables_314100!B220,input_314100!A:H,8,FALSE))</f>
        <v>0</v>
      </c>
      <c r="N220" s="63">
        <f t="shared" ca="1" si="15"/>
        <v>0</v>
      </c>
      <c r="O220" s="31">
        <f>IFERROR(VLOOKUP($E220,bug_conf_sheet!$A:$H,3,FALSE),VLOOKUP("other",bug_conf_sheet!$A:$H,3,FALSE))</f>
        <v>1</v>
      </c>
      <c r="P220" s="31">
        <f>IFERROR(VLOOKUP($E220,bug_conf_sheet!$A:$H,4,FALSE),VLOOKUP("other",bug_conf_sheet!$A:$H,4,FALSE))</f>
        <v>0</v>
      </c>
      <c r="Q220" s="31">
        <f>IFERROR(VLOOKUP($E220,bug_conf_sheet!$A:$H,5,FALSE),VLOOKUP("other",bug_conf_sheet!$A:$H,5,FALSE))</f>
        <v>0</v>
      </c>
      <c r="R220" s="31">
        <f>IFERROR(VLOOKUP($E220,bug_conf_sheet!$A:$H,6,FALSE),VLOOKUP("other",bug_conf_sheet!$A:$H,6,FALSE))</f>
        <v>0</v>
      </c>
      <c r="S220" s="31">
        <f>IFERROR(VLOOKUP($E220,bug_conf_sheet!$A:$H,7,FALSE),VLOOKUP("other",bug_conf_sheet!$A:$H,7,FALSE))</f>
        <v>0</v>
      </c>
      <c r="T220" s="31">
        <f>IFERROR(VLOOKUP($E220,bug_conf_sheet!$A:$H,8,FALSE),VLOOKUP("other",bug_conf_sheet!$A:$H,8,FALSE))</f>
        <v>1</v>
      </c>
    </row>
    <row r="221" spans="1:20" ht="21" customHeight="1">
      <c r="A221" s="2" t="str">
        <f ca="1">input_314100!A$2</f>
        <v>314100</v>
      </c>
      <c r="B221" s="7" t="str">
        <f t="shared" si="12"/>
        <v>Premium4</v>
      </c>
      <c r="C221" s="7" t="str">
        <f t="shared" si="13"/>
        <v>Premium</v>
      </c>
      <c r="D221" s="7" t="str">
        <f t="shared" si="14"/>
        <v>bg</v>
      </c>
      <c r="E221" s="6">
        <v>592</v>
      </c>
      <c r="F221" s="7" t="str">
        <f>VLOOKUP(E221,[1]characters!$A:$C,3,FALSE)</f>
        <v>財宝への執着 ファフニール</v>
      </c>
      <c r="G221" s="7" t="str">
        <f>VLOOKUP(E221,[1]characters!$A:$J,10,FALSE)</f>
        <v>PremiumS</v>
      </c>
      <c r="H221" s="7">
        <f>VLOOKUP(E221,[1]characters!$A:$I,9,FALSE)</f>
        <v>4</v>
      </c>
      <c r="I221" s="7" t="str">
        <f>VLOOKUP(E221,[1]characters!$A:$H,8,FALSE)</f>
        <v>blue</v>
      </c>
      <c r="J221" s="7" t="str">
        <f>VLOOKUP(E221,[1]characters!$A:$K,11,FALSE)</f>
        <v>technical</v>
      </c>
      <c r="K221" s="7" t="str">
        <f>VLOOKUP(E221,[1]characters!$A:$M,13,FALSE)</f>
        <v>dragon</v>
      </c>
      <c r="L221" s="7" t="str">
        <f>VLOOKUP(E221,[1]characters!$A:$G,7,FALSE)</f>
        <v>不明</v>
      </c>
      <c r="M221" s="62">
        <f ca="1">IFERROR(VLOOKUP(E221,input_314100!L:R,7,FALSE),VLOOKUP(tables_314100!B221,input_314100!A:H,8,FALSE))</f>
        <v>342090</v>
      </c>
      <c r="N221" s="63">
        <f t="shared" ca="1" si="15"/>
        <v>1.222972972972973E-2</v>
      </c>
      <c r="O221" s="31">
        <f>IFERROR(VLOOKUP($E221,bug_conf_sheet!$A:$H,3,FALSE),VLOOKUP("other",bug_conf_sheet!$A:$H,3,FALSE))</f>
        <v>1</v>
      </c>
      <c r="P221" s="31">
        <f>IFERROR(VLOOKUP($E221,bug_conf_sheet!$A:$H,4,FALSE),VLOOKUP("other",bug_conf_sheet!$A:$H,4,FALSE))</f>
        <v>0</v>
      </c>
      <c r="Q221" s="31">
        <f>IFERROR(VLOOKUP($E221,bug_conf_sheet!$A:$H,5,FALSE),VLOOKUP("other",bug_conf_sheet!$A:$H,5,FALSE))</f>
        <v>0</v>
      </c>
      <c r="R221" s="31">
        <f>IFERROR(VLOOKUP($E221,bug_conf_sheet!$A:$H,6,FALSE),VLOOKUP("other",bug_conf_sheet!$A:$H,6,FALSE))</f>
        <v>0</v>
      </c>
      <c r="S221" s="31">
        <f>IFERROR(VLOOKUP($E221,bug_conf_sheet!$A:$H,7,FALSE),VLOOKUP("other",bug_conf_sheet!$A:$H,7,FALSE))</f>
        <v>0</v>
      </c>
      <c r="T221" s="31">
        <f>IFERROR(VLOOKUP($E221,bug_conf_sheet!$A:$H,8,FALSE),VLOOKUP("other",bug_conf_sheet!$A:$H,8,FALSE))</f>
        <v>1</v>
      </c>
    </row>
    <row r="222" spans="1:20" ht="21" customHeight="1">
      <c r="A222" s="2" t="str">
        <f ca="1">input_314100!A$2</f>
        <v>314100</v>
      </c>
      <c r="B222" s="7" t="str">
        <f t="shared" si="12"/>
        <v>Premium5</v>
      </c>
      <c r="C222" s="7" t="str">
        <f t="shared" si="13"/>
        <v>Premium</v>
      </c>
      <c r="D222" s="7" t="str">
        <f t="shared" si="14"/>
        <v>bg</v>
      </c>
      <c r="E222" s="6">
        <v>593</v>
      </c>
      <c r="F222" s="7" t="str">
        <f>VLOOKUP(E222,[1]characters!$A:$C,3,FALSE)</f>
        <v>妄執する邪毒龍 ファフニール</v>
      </c>
      <c r="G222" s="7" t="str">
        <f>VLOOKUP(E222,[1]characters!$A:$J,10,FALSE)</f>
        <v>PremiumS</v>
      </c>
      <c r="H222" s="7">
        <f>VLOOKUP(E222,[1]characters!$A:$I,9,FALSE)</f>
        <v>5</v>
      </c>
      <c r="I222" s="7" t="str">
        <f>VLOOKUP(E222,[1]characters!$A:$H,8,FALSE)</f>
        <v>blue</v>
      </c>
      <c r="J222" s="7" t="str">
        <f>VLOOKUP(E222,[1]characters!$A:$K,11,FALSE)</f>
        <v>technical</v>
      </c>
      <c r="K222" s="7" t="str">
        <f>VLOOKUP(E222,[1]characters!$A:$M,13,FALSE)</f>
        <v>dragon</v>
      </c>
      <c r="L222" s="7" t="str">
        <f>VLOOKUP(E222,[1]characters!$A:$G,7,FALSE)</f>
        <v>不明</v>
      </c>
      <c r="M222" s="62">
        <f ca="1">IFERROR(VLOOKUP(E222,input_314100!L:R,7,FALSE),VLOOKUP(tables_314100!B222,input_314100!A:H,8,FALSE))</f>
        <v>12950</v>
      </c>
      <c r="N222" s="63">
        <f t="shared" ca="1" si="15"/>
        <v>4.6296296296296298E-4</v>
      </c>
      <c r="O222" s="31">
        <f>IFERROR(VLOOKUP($E222,bug_conf_sheet!$A:$H,3,FALSE),VLOOKUP("other",bug_conf_sheet!$A:$H,3,FALSE))</f>
        <v>1</v>
      </c>
      <c r="P222" s="31">
        <f>IFERROR(VLOOKUP($E222,bug_conf_sheet!$A:$H,4,FALSE),VLOOKUP("other",bug_conf_sheet!$A:$H,4,FALSE))</f>
        <v>0</v>
      </c>
      <c r="Q222" s="31">
        <f>IFERROR(VLOOKUP($E222,bug_conf_sheet!$A:$H,5,FALSE),VLOOKUP("other",bug_conf_sheet!$A:$H,5,FALSE))</f>
        <v>0</v>
      </c>
      <c r="R222" s="31">
        <f>IFERROR(VLOOKUP($E222,bug_conf_sheet!$A:$H,6,FALSE),VLOOKUP("other",bug_conf_sheet!$A:$H,6,FALSE))</f>
        <v>0</v>
      </c>
      <c r="S222" s="31">
        <f>IFERROR(VLOOKUP($E222,bug_conf_sheet!$A:$H,7,FALSE),VLOOKUP("other",bug_conf_sheet!$A:$H,7,FALSE))</f>
        <v>0</v>
      </c>
      <c r="T222" s="31">
        <f>IFERROR(VLOOKUP($E222,bug_conf_sheet!$A:$H,8,FALSE),VLOOKUP("other",bug_conf_sheet!$A:$H,8,FALSE))</f>
        <v>1</v>
      </c>
    </row>
    <row r="223" spans="1:20" ht="21" customHeight="1">
      <c r="A223" s="2" t="str">
        <f ca="1">input_314100!A$2</f>
        <v>314100</v>
      </c>
      <c r="B223" s="7" t="str">
        <f t="shared" si="12"/>
        <v>PremiumSSry4</v>
      </c>
      <c r="C223" s="7" t="str">
        <f t="shared" si="13"/>
        <v>PremiumSS</v>
      </c>
      <c r="D223" s="7" t="str">
        <f t="shared" si="14"/>
        <v>ry</v>
      </c>
      <c r="E223" s="6">
        <v>594</v>
      </c>
      <c r="F223" s="7" t="str">
        <f>VLOOKUP(E223,[1]characters!$A:$C,3,FALSE)</f>
        <v>アルフヘイム</v>
      </c>
      <c r="G223" s="7" t="str">
        <f>VLOOKUP(E223,[1]characters!$A:$J,10,FALSE)</f>
        <v>PremiumSS</v>
      </c>
      <c r="H223" s="7">
        <f>VLOOKUP(E223,[1]characters!$A:$I,9,FALSE)</f>
        <v>4</v>
      </c>
      <c r="I223" s="7" t="str">
        <f>VLOOKUP(E223,[1]characters!$A:$H,8,FALSE)</f>
        <v>yellow</v>
      </c>
      <c r="J223" s="7" t="str">
        <f>VLOOKUP(E223,[1]characters!$A:$K,11,FALSE)</f>
        <v>attack</v>
      </c>
      <c r="K223" s="7" t="str">
        <f>VLOOKUP(E223,[1]characters!$A:$M,13,FALSE)</f>
        <v>dragon</v>
      </c>
      <c r="L223" s="7" t="str">
        <f>VLOOKUP(E223,[1]characters!$A:$G,7,FALSE)</f>
        <v>不明</v>
      </c>
      <c r="M223" s="62">
        <f ca="1">IFERROR(VLOOKUP(E223,input_314100!L:R,7,FALSE),VLOOKUP(tables_314100!B223,input_314100!A:H,8,FALSE))</f>
        <v>35964</v>
      </c>
      <c r="N223" s="63">
        <f t="shared" ca="1" si="15"/>
        <v>1.2857142857142856E-3</v>
      </c>
      <c r="O223" s="31">
        <f>IFERROR(VLOOKUP($E223,bug_conf_sheet!$A:$H,3,FALSE),VLOOKUP("other",bug_conf_sheet!$A:$H,3,FALSE))</f>
        <v>1</v>
      </c>
      <c r="P223" s="31">
        <f>IFERROR(VLOOKUP($E223,bug_conf_sheet!$A:$H,4,FALSE),VLOOKUP("other",bug_conf_sheet!$A:$H,4,FALSE))</f>
        <v>0</v>
      </c>
      <c r="Q223" s="31">
        <f>IFERROR(VLOOKUP($E223,bug_conf_sheet!$A:$H,5,FALSE),VLOOKUP("other",bug_conf_sheet!$A:$H,5,FALSE))</f>
        <v>0</v>
      </c>
      <c r="R223" s="31">
        <f>IFERROR(VLOOKUP($E223,bug_conf_sheet!$A:$H,6,FALSE),VLOOKUP("other",bug_conf_sheet!$A:$H,6,FALSE))</f>
        <v>0</v>
      </c>
      <c r="S223" s="31">
        <f>IFERROR(VLOOKUP($E223,bug_conf_sheet!$A:$H,7,FALSE),VLOOKUP("other",bug_conf_sheet!$A:$H,7,FALSE))</f>
        <v>0</v>
      </c>
      <c r="T223" s="31">
        <f>IFERROR(VLOOKUP($E223,bug_conf_sheet!$A:$H,8,FALSE),VLOOKUP("other",bug_conf_sheet!$A:$H,8,FALSE))</f>
        <v>1</v>
      </c>
    </row>
    <row r="224" spans="1:20" ht="21" customHeight="1">
      <c r="A224" s="2" t="str">
        <f ca="1">input_314100!A$2</f>
        <v>314100</v>
      </c>
      <c r="B224" s="7" t="str">
        <f t="shared" si="12"/>
        <v>PremiumSSry5</v>
      </c>
      <c r="C224" s="7" t="str">
        <f t="shared" si="13"/>
        <v>PremiumSS</v>
      </c>
      <c r="D224" s="7" t="str">
        <f t="shared" si="14"/>
        <v>ry</v>
      </c>
      <c r="E224" s="6">
        <v>595</v>
      </c>
      <c r="F224" s="7" t="str">
        <f>VLOOKUP(E224,[1]characters!$A:$C,3,FALSE)</f>
        <v>光華なる神域 アルフヘイム</v>
      </c>
      <c r="G224" s="7" t="str">
        <f>VLOOKUP(E224,[1]characters!$A:$J,10,FALSE)</f>
        <v>PremiumSS</v>
      </c>
      <c r="H224" s="7">
        <f>VLOOKUP(E224,[1]characters!$A:$I,9,FALSE)</f>
        <v>5</v>
      </c>
      <c r="I224" s="7" t="str">
        <f>VLOOKUP(E224,[1]characters!$A:$H,8,FALSE)</f>
        <v>yellow</v>
      </c>
      <c r="J224" s="7" t="str">
        <f>VLOOKUP(E224,[1]characters!$A:$K,11,FALSE)</f>
        <v>attack</v>
      </c>
      <c r="K224" s="7" t="str">
        <f>VLOOKUP(E224,[1]characters!$A:$M,13,FALSE)</f>
        <v>dragon</v>
      </c>
      <c r="L224" s="7" t="str">
        <f>VLOOKUP(E224,[1]characters!$A:$G,7,FALSE)</f>
        <v>不明</v>
      </c>
      <c r="M224" s="62">
        <f ca="1">IFERROR(VLOOKUP(E224,input_314100!L:R,7,FALSE),VLOOKUP(tables_314100!B224,input_314100!A:H,8,FALSE))</f>
        <v>3996</v>
      </c>
      <c r="N224" s="63">
        <f t="shared" ca="1" si="15"/>
        <v>1.4285714285714287E-4</v>
      </c>
      <c r="O224" s="31">
        <f>IFERROR(VLOOKUP($E224,bug_conf_sheet!$A:$H,3,FALSE),VLOOKUP("other",bug_conf_sheet!$A:$H,3,FALSE))</f>
        <v>1</v>
      </c>
      <c r="P224" s="31">
        <f>IFERROR(VLOOKUP($E224,bug_conf_sheet!$A:$H,4,FALSE),VLOOKUP("other",bug_conf_sheet!$A:$H,4,FALSE))</f>
        <v>0</v>
      </c>
      <c r="Q224" s="31">
        <f>IFERROR(VLOOKUP($E224,bug_conf_sheet!$A:$H,5,FALSE),VLOOKUP("other",bug_conf_sheet!$A:$H,5,FALSE))</f>
        <v>0</v>
      </c>
      <c r="R224" s="31">
        <f>IFERROR(VLOOKUP($E224,bug_conf_sheet!$A:$H,6,FALSE),VLOOKUP("other",bug_conf_sheet!$A:$H,6,FALSE))</f>
        <v>0</v>
      </c>
      <c r="S224" s="31">
        <f>IFERROR(VLOOKUP($E224,bug_conf_sheet!$A:$H,7,FALSE),VLOOKUP("other",bug_conf_sheet!$A:$H,7,FALSE))</f>
        <v>0</v>
      </c>
      <c r="T224" s="31">
        <f>IFERROR(VLOOKUP($E224,bug_conf_sheet!$A:$H,8,FALSE),VLOOKUP("other",bug_conf_sheet!$A:$H,8,FALSE))</f>
        <v>1</v>
      </c>
    </row>
    <row r="225" spans="1:20" ht="21" customHeight="1">
      <c r="A225" s="2" t="str">
        <f ca="1">input_314100!A$2</f>
        <v>314100</v>
      </c>
      <c r="B225" s="7" t="str">
        <f t="shared" si="12"/>
        <v>Premium3</v>
      </c>
      <c r="C225" s="7" t="str">
        <f t="shared" si="13"/>
        <v>Premium</v>
      </c>
      <c r="D225" s="7" t="str">
        <f t="shared" si="14"/>
        <v>ry</v>
      </c>
      <c r="E225" s="6">
        <v>596</v>
      </c>
      <c r="F225" s="7" t="str">
        <f>VLOOKUP(E225,[1]characters!$A:$C,3,FALSE)</f>
        <v>ムスペルヘイム</v>
      </c>
      <c r="G225" s="7" t="str">
        <f>VLOOKUP(E225,[1]characters!$A:$J,10,FALSE)</f>
        <v>PremiumS</v>
      </c>
      <c r="H225" s="7">
        <f>VLOOKUP(E225,[1]characters!$A:$I,9,FALSE)</f>
        <v>3</v>
      </c>
      <c r="I225" s="7" t="str">
        <f>VLOOKUP(E225,[1]characters!$A:$H,8,FALSE)</f>
        <v>red</v>
      </c>
      <c r="J225" s="7" t="str">
        <f>VLOOKUP(E225,[1]characters!$A:$K,11,FALSE)</f>
        <v>balance</v>
      </c>
      <c r="K225" s="7" t="str">
        <f>VLOOKUP(E225,[1]characters!$A:$M,13,FALSE)</f>
        <v>human</v>
      </c>
      <c r="L225" s="7" t="str">
        <f>VLOOKUP(E225,[1]characters!$A:$G,7,FALSE)</f>
        <v>男性</v>
      </c>
      <c r="M225" s="62">
        <f ca="1">IFERROR(VLOOKUP(E225,input_314100!L:R,7,FALSE),VLOOKUP(tables_314100!B225,input_314100!A:H,8,FALSE))</f>
        <v>0</v>
      </c>
      <c r="N225" s="63">
        <f t="shared" ca="1" si="15"/>
        <v>0</v>
      </c>
      <c r="O225" s="31">
        <f>IFERROR(VLOOKUP($E225,bug_conf_sheet!$A:$H,3,FALSE),VLOOKUP("other",bug_conf_sheet!$A:$H,3,FALSE))</f>
        <v>1</v>
      </c>
      <c r="P225" s="31">
        <f>IFERROR(VLOOKUP($E225,bug_conf_sheet!$A:$H,4,FALSE),VLOOKUP("other",bug_conf_sheet!$A:$H,4,FALSE))</f>
        <v>0</v>
      </c>
      <c r="Q225" s="31">
        <f>IFERROR(VLOOKUP($E225,bug_conf_sheet!$A:$H,5,FALSE),VLOOKUP("other",bug_conf_sheet!$A:$H,5,FALSE))</f>
        <v>0</v>
      </c>
      <c r="R225" s="31">
        <f>IFERROR(VLOOKUP($E225,bug_conf_sheet!$A:$H,6,FALSE),VLOOKUP("other",bug_conf_sheet!$A:$H,6,FALSE))</f>
        <v>0</v>
      </c>
      <c r="S225" s="31">
        <f>IFERROR(VLOOKUP($E225,bug_conf_sheet!$A:$H,7,FALSE),VLOOKUP("other",bug_conf_sheet!$A:$H,7,FALSE))</f>
        <v>0</v>
      </c>
      <c r="T225" s="31">
        <f>IFERROR(VLOOKUP($E225,bug_conf_sheet!$A:$H,8,FALSE),VLOOKUP("other",bug_conf_sheet!$A:$H,8,FALSE))</f>
        <v>1</v>
      </c>
    </row>
    <row r="226" spans="1:20" ht="21" customHeight="1">
      <c r="A226" s="2" t="str">
        <f ca="1">input_314100!A$2</f>
        <v>314100</v>
      </c>
      <c r="B226" s="7" t="str">
        <f t="shared" si="12"/>
        <v>Premium4</v>
      </c>
      <c r="C226" s="7" t="str">
        <f t="shared" si="13"/>
        <v>Premium</v>
      </c>
      <c r="D226" s="7" t="str">
        <f t="shared" si="14"/>
        <v>ry</v>
      </c>
      <c r="E226" s="6">
        <v>597</v>
      </c>
      <c r="F226" s="7" t="str">
        <f>VLOOKUP(E226,[1]characters!$A:$C,3,FALSE)</f>
        <v>灼熱の魂 ムスペルヘイム</v>
      </c>
      <c r="G226" s="7" t="str">
        <f>VLOOKUP(E226,[1]characters!$A:$J,10,FALSE)</f>
        <v>PremiumS</v>
      </c>
      <c r="H226" s="7">
        <f>VLOOKUP(E226,[1]characters!$A:$I,9,FALSE)</f>
        <v>4</v>
      </c>
      <c r="I226" s="7" t="str">
        <f>VLOOKUP(E226,[1]characters!$A:$H,8,FALSE)</f>
        <v>red</v>
      </c>
      <c r="J226" s="7" t="str">
        <f>VLOOKUP(E226,[1]characters!$A:$K,11,FALSE)</f>
        <v>balance</v>
      </c>
      <c r="K226" s="7" t="str">
        <f>VLOOKUP(E226,[1]characters!$A:$M,13,FALSE)</f>
        <v>human</v>
      </c>
      <c r="L226" s="7" t="str">
        <f>VLOOKUP(E226,[1]characters!$A:$G,7,FALSE)</f>
        <v>男性</v>
      </c>
      <c r="M226" s="62">
        <f ca="1">IFERROR(VLOOKUP(E226,input_314100!L:R,7,FALSE),VLOOKUP(tables_314100!B226,input_314100!A:H,8,FALSE))</f>
        <v>342090</v>
      </c>
      <c r="N226" s="63">
        <f t="shared" ca="1" si="15"/>
        <v>1.222972972972973E-2</v>
      </c>
      <c r="O226" s="31">
        <f>IFERROR(VLOOKUP($E226,bug_conf_sheet!$A:$H,3,FALSE),VLOOKUP("other",bug_conf_sheet!$A:$H,3,FALSE))</f>
        <v>1</v>
      </c>
      <c r="P226" s="31">
        <f>IFERROR(VLOOKUP($E226,bug_conf_sheet!$A:$H,4,FALSE),VLOOKUP("other",bug_conf_sheet!$A:$H,4,FALSE))</f>
        <v>0</v>
      </c>
      <c r="Q226" s="31">
        <f>IFERROR(VLOOKUP($E226,bug_conf_sheet!$A:$H,5,FALSE),VLOOKUP("other",bug_conf_sheet!$A:$H,5,FALSE))</f>
        <v>0</v>
      </c>
      <c r="R226" s="31">
        <f>IFERROR(VLOOKUP($E226,bug_conf_sheet!$A:$H,6,FALSE),VLOOKUP("other",bug_conf_sheet!$A:$H,6,FALSE))</f>
        <v>0</v>
      </c>
      <c r="S226" s="31">
        <f>IFERROR(VLOOKUP($E226,bug_conf_sheet!$A:$H,7,FALSE),VLOOKUP("other",bug_conf_sheet!$A:$H,7,FALSE))</f>
        <v>0</v>
      </c>
      <c r="T226" s="31">
        <f>IFERROR(VLOOKUP($E226,bug_conf_sheet!$A:$H,8,FALSE),VLOOKUP("other",bug_conf_sheet!$A:$H,8,FALSE))</f>
        <v>1</v>
      </c>
    </row>
    <row r="227" spans="1:20" ht="21" customHeight="1">
      <c r="A227" s="2" t="str">
        <f ca="1">input_314100!A$2</f>
        <v>314100</v>
      </c>
      <c r="B227" s="7" t="str">
        <f t="shared" si="12"/>
        <v>Premium5</v>
      </c>
      <c r="C227" s="7" t="str">
        <f t="shared" si="13"/>
        <v>Premium</v>
      </c>
      <c r="D227" s="7" t="str">
        <f t="shared" si="14"/>
        <v>ry</v>
      </c>
      <c r="E227" s="6">
        <v>598</v>
      </c>
      <c r="F227" s="7" t="str">
        <f>VLOOKUP(E227,[1]characters!$A:$C,3,FALSE)</f>
        <v>焼燃の情熱 ムスペルヘイム</v>
      </c>
      <c r="G227" s="7" t="str">
        <f>VLOOKUP(E227,[1]characters!$A:$J,10,FALSE)</f>
        <v>PremiumS</v>
      </c>
      <c r="H227" s="7">
        <f>VLOOKUP(E227,[1]characters!$A:$I,9,FALSE)</f>
        <v>5</v>
      </c>
      <c r="I227" s="7" t="str">
        <f>VLOOKUP(E227,[1]characters!$A:$H,8,FALSE)</f>
        <v>red</v>
      </c>
      <c r="J227" s="7" t="str">
        <f>VLOOKUP(E227,[1]characters!$A:$K,11,FALSE)</f>
        <v>balance</v>
      </c>
      <c r="K227" s="7" t="str">
        <f>VLOOKUP(E227,[1]characters!$A:$M,13,FALSE)</f>
        <v>human</v>
      </c>
      <c r="L227" s="7" t="str">
        <f>VLOOKUP(E227,[1]characters!$A:$G,7,FALSE)</f>
        <v>男性</v>
      </c>
      <c r="M227" s="62">
        <f ca="1">IFERROR(VLOOKUP(E227,input_314100!L:R,7,FALSE),VLOOKUP(tables_314100!B227,input_314100!A:H,8,FALSE))</f>
        <v>12950</v>
      </c>
      <c r="N227" s="63">
        <f t="shared" ca="1" si="15"/>
        <v>4.6296296296296298E-4</v>
      </c>
      <c r="O227" s="31">
        <f>IFERROR(VLOOKUP($E227,bug_conf_sheet!$A:$H,3,FALSE),VLOOKUP("other",bug_conf_sheet!$A:$H,3,FALSE))</f>
        <v>1</v>
      </c>
      <c r="P227" s="31">
        <f>IFERROR(VLOOKUP($E227,bug_conf_sheet!$A:$H,4,FALSE),VLOOKUP("other",bug_conf_sheet!$A:$H,4,FALSE))</f>
        <v>0</v>
      </c>
      <c r="Q227" s="31">
        <f>IFERROR(VLOOKUP($E227,bug_conf_sheet!$A:$H,5,FALSE),VLOOKUP("other",bug_conf_sheet!$A:$H,5,FALSE))</f>
        <v>0</v>
      </c>
      <c r="R227" s="31">
        <f>IFERROR(VLOOKUP($E227,bug_conf_sheet!$A:$H,6,FALSE),VLOOKUP("other",bug_conf_sheet!$A:$H,6,FALSE))</f>
        <v>0</v>
      </c>
      <c r="S227" s="31">
        <f>IFERROR(VLOOKUP($E227,bug_conf_sheet!$A:$H,7,FALSE),VLOOKUP("other",bug_conf_sheet!$A:$H,7,FALSE))</f>
        <v>0</v>
      </c>
      <c r="T227" s="31">
        <f>IFERROR(VLOOKUP($E227,bug_conf_sheet!$A:$H,8,FALSE),VLOOKUP("other",bug_conf_sheet!$A:$H,8,FALSE))</f>
        <v>1</v>
      </c>
    </row>
    <row r="228" spans="1:20" ht="21" customHeight="1">
      <c r="A228" s="2" t="str">
        <f ca="1">input_314100!A$2</f>
        <v>314100</v>
      </c>
      <c r="B228" s="7" t="str">
        <f t="shared" si="12"/>
        <v>Premium3</v>
      </c>
      <c r="C228" s="7" t="str">
        <f t="shared" si="13"/>
        <v>Premium</v>
      </c>
      <c r="D228" s="7" t="str">
        <f t="shared" si="14"/>
        <v>bg</v>
      </c>
      <c r="E228" s="6">
        <v>599</v>
      </c>
      <c r="F228" s="7" t="str">
        <f>VLOOKUP(E228,[1]characters!$A:$C,3,FALSE)</f>
        <v>ニーズヘッグ</v>
      </c>
      <c r="G228" s="7" t="str">
        <f>VLOOKUP(E228,[1]characters!$A:$J,10,FALSE)</f>
        <v>PremiumS</v>
      </c>
      <c r="H228" s="7">
        <f>VLOOKUP(E228,[1]characters!$A:$I,9,FALSE)</f>
        <v>3</v>
      </c>
      <c r="I228" s="7" t="str">
        <f>VLOOKUP(E228,[1]characters!$A:$H,8,FALSE)</f>
        <v>green</v>
      </c>
      <c r="J228" s="7" t="str">
        <f>VLOOKUP(E228,[1]characters!$A:$K,11,FALSE)</f>
        <v>attack</v>
      </c>
      <c r="K228" s="7" t="str">
        <f>VLOOKUP(E228,[1]characters!$A:$M,13,FALSE)</f>
        <v>dragon</v>
      </c>
      <c r="L228" s="7" t="str">
        <f>VLOOKUP(E228,[1]characters!$A:$G,7,FALSE)</f>
        <v>不明</v>
      </c>
      <c r="M228" s="62">
        <f ca="1">IFERROR(VLOOKUP(E228,input_314100!L:R,7,FALSE),VLOOKUP(tables_314100!B228,input_314100!A:H,8,FALSE))</f>
        <v>0</v>
      </c>
      <c r="N228" s="63">
        <f t="shared" ca="1" si="15"/>
        <v>0</v>
      </c>
      <c r="O228" s="31">
        <f>IFERROR(VLOOKUP($E228,bug_conf_sheet!$A:$H,3,FALSE),VLOOKUP("other",bug_conf_sheet!$A:$H,3,FALSE))</f>
        <v>1</v>
      </c>
      <c r="P228" s="31">
        <f>IFERROR(VLOOKUP($E228,bug_conf_sheet!$A:$H,4,FALSE),VLOOKUP("other",bug_conf_sheet!$A:$H,4,FALSE))</f>
        <v>0</v>
      </c>
      <c r="Q228" s="31">
        <f>IFERROR(VLOOKUP($E228,bug_conf_sheet!$A:$H,5,FALSE),VLOOKUP("other",bug_conf_sheet!$A:$H,5,FALSE))</f>
        <v>0</v>
      </c>
      <c r="R228" s="31">
        <f>IFERROR(VLOOKUP($E228,bug_conf_sheet!$A:$H,6,FALSE),VLOOKUP("other",bug_conf_sheet!$A:$H,6,FALSE))</f>
        <v>0</v>
      </c>
      <c r="S228" s="31">
        <f>IFERROR(VLOOKUP($E228,bug_conf_sheet!$A:$H,7,FALSE),VLOOKUP("other",bug_conf_sheet!$A:$H,7,FALSE))</f>
        <v>0</v>
      </c>
      <c r="T228" s="31">
        <f>IFERROR(VLOOKUP($E228,bug_conf_sheet!$A:$H,8,FALSE),VLOOKUP("other",bug_conf_sheet!$A:$H,8,FALSE))</f>
        <v>1</v>
      </c>
    </row>
    <row r="229" spans="1:20" ht="21" customHeight="1">
      <c r="A229" s="2" t="str">
        <f ca="1">input_314100!A$2</f>
        <v>314100</v>
      </c>
      <c r="B229" s="7" t="str">
        <f t="shared" si="12"/>
        <v>Premium4</v>
      </c>
      <c r="C229" s="7" t="str">
        <f t="shared" si="13"/>
        <v>Premium</v>
      </c>
      <c r="D229" s="7" t="str">
        <f t="shared" si="14"/>
        <v>bg</v>
      </c>
      <c r="E229" s="6">
        <v>600</v>
      </c>
      <c r="F229" s="7" t="str">
        <f>VLOOKUP(E229,[1]characters!$A:$C,3,FALSE)</f>
        <v>界下に潜む蛇 ニーズヘッグ</v>
      </c>
      <c r="G229" s="7" t="str">
        <f>VLOOKUP(E229,[1]characters!$A:$J,10,FALSE)</f>
        <v>PremiumS</v>
      </c>
      <c r="H229" s="7">
        <f>VLOOKUP(E229,[1]characters!$A:$I,9,FALSE)</f>
        <v>4</v>
      </c>
      <c r="I229" s="7" t="str">
        <f>VLOOKUP(E229,[1]characters!$A:$H,8,FALSE)</f>
        <v>green</v>
      </c>
      <c r="J229" s="7" t="str">
        <f>VLOOKUP(E229,[1]characters!$A:$K,11,FALSE)</f>
        <v>attack</v>
      </c>
      <c r="K229" s="7" t="str">
        <f>VLOOKUP(E229,[1]characters!$A:$M,13,FALSE)</f>
        <v>dragon</v>
      </c>
      <c r="L229" s="7" t="str">
        <f>VLOOKUP(E229,[1]characters!$A:$G,7,FALSE)</f>
        <v>不明</v>
      </c>
      <c r="M229" s="62">
        <f ca="1">IFERROR(VLOOKUP(E229,input_314100!L:R,7,FALSE),VLOOKUP(tables_314100!B229,input_314100!A:H,8,FALSE))</f>
        <v>342090</v>
      </c>
      <c r="N229" s="63">
        <f t="shared" ca="1" si="15"/>
        <v>1.222972972972973E-2</v>
      </c>
      <c r="O229" s="31">
        <f>IFERROR(VLOOKUP($E229,bug_conf_sheet!$A:$H,3,FALSE),VLOOKUP("other",bug_conf_sheet!$A:$H,3,FALSE))</f>
        <v>1</v>
      </c>
      <c r="P229" s="31">
        <f>IFERROR(VLOOKUP($E229,bug_conf_sheet!$A:$H,4,FALSE),VLOOKUP("other",bug_conf_sheet!$A:$H,4,FALSE))</f>
        <v>0</v>
      </c>
      <c r="Q229" s="31">
        <f>IFERROR(VLOOKUP($E229,bug_conf_sheet!$A:$H,5,FALSE),VLOOKUP("other",bug_conf_sheet!$A:$H,5,FALSE))</f>
        <v>0</v>
      </c>
      <c r="R229" s="31">
        <f>IFERROR(VLOOKUP($E229,bug_conf_sheet!$A:$H,6,FALSE),VLOOKUP("other",bug_conf_sheet!$A:$H,6,FALSE))</f>
        <v>0</v>
      </c>
      <c r="S229" s="31">
        <f>IFERROR(VLOOKUP($E229,bug_conf_sheet!$A:$H,7,FALSE),VLOOKUP("other",bug_conf_sheet!$A:$H,7,FALSE))</f>
        <v>0</v>
      </c>
      <c r="T229" s="31">
        <f>IFERROR(VLOOKUP($E229,bug_conf_sheet!$A:$H,8,FALSE),VLOOKUP("other",bug_conf_sheet!$A:$H,8,FALSE))</f>
        <v>1</v>
      </c>
    </row>
    <row r="230" spans="1:20" ht="21" customHeight="1">
      <c r="A230" s="2" t="str">
        <f ca="1">input_314100!A$2</f>
        <v>314100</v>
      </c>
      <c r="B230" s="7" t="str">
        <f t="shared" si="12"/>
        <v>Premium5</v>
      </c>
      <c r="C230" s="7" t="str">
        <f t="shared" si="13"/>
        <v>Premium</v>
      </c>
      <c r="D230" s="7" t="str">
        <f t="shared" si="14"/>
        <v>bg</v>
      </c>
      <c r="E230" s="6">
        <v>601</v>
      </c>
      <c r="F230" s="7" t="str">
        <f>VLOOKUP(E230,[1]characters!$A:$C,3,FALSE)</f>
        <v>界根蝕む悪食 ニーズヘッグ</v>
      </c>
      <c r="G230" s="7" t="str">
        <f>VLOOKUP(E230,[1]characters!$A:$J,10,FALSE)</f>
        <v>PremiumS</v>
      </c>
      <c r="H230" s="7">
        <f>VLOOKUP(E230,[1]characters!$A:$I,9,FALSE)</f>
        <v>5</v>
      </c>
      <c r="I230" s="7" t="str">
        <f>VLOOKUP(E230,[1]characters!$A:$H,8,FALSE)</f>
        <v>green</v>
      </c>
      <c r="J230" s="7" t="str">
        <f>VLOOKUP(E230,[1]characters!$A:$K,11,FALSE)</f>
        <v>attack</v>
      </c>
      <c r="K230" s="7" t="str">
        <f>VLOOKUP(E230,[1]characters!$A:$M,13,FALSE)</f>
        <v>dragon</v>
      </c>
      <c r="L230" s="7" t="str">
        <f>VLOOKUP(E230,[1]characters!$A:$G,7,FALSE)</f>
        <v>不明</v>
      </c>
      <c r="M230" s="62">
        <f ca="1">IFERROR(VLOOKUP(E230,input_314100!L:R,7,FALSE),VLOOKUP(tables_314100!B230,input_314100!A:H,8,FALSE))</f>
        <v>12950</v>
      </c>
      <c r="N230" s="63">
        <f t="shared" ca="1" si="15"/>
        <v>4.6296296296296298E-4</v>
      </c>
      <c r="O230" s="31">
        <f>IFERROR(VLOOKUP($E230,bug_conf_sheet!$A:$H,3,FALSE),VLOOKUP("other",bug_conf_sheet!$A:$H,3,FALSE))</f>
        <v>1</v>
      </c>
      <c r="P230" s="31">
        <f>IFERROR(VLOOKUP($E230,bug_conf_sheet!$A:$H,4,FALSE),VLOOKUP("other",bug_conf_sheet!$A:$H,4,FALSE))</f>
        <v>0</v>
      </c>
      <c r="Q230" s="31">
        <f>IFERROR(VLOOKUP($E230,bug_conf_sheet!$A:$H,5,FALSE),VLOOKUP("other",bug_conf_sheet!$A:$H,5,FALSE))</f>
        <v>0</v>
      </c>
      <c r="R230" s="31">
        <f>IFERROR(VLOOKUP($E230,bug_conf_sheet!$A:$H,6,FALSE),VLOOKUP("other",bug_conf_sheet!$A:$H,6,FALSE))</f>
        <v>0</v>
      </c>
      <c r="S230" s="31">
        <f>IFERROR(VLOOKUP($E230,bug_conf_sheet!$A:$H,7,FALSE),VLOOKUP("other",bug_conf_sheet!$A:$H,7,FALSE))</f>
        <v>0</v>
      </c>
      <c r="T230" s="31">
        <f>IFERROR(VLOOKUP($E230,bug_conf_sheet!$A:$H,8,FALSE),VLOOKUP("other",bug_conf_sheet!$A:$H,8,FALSE))</f>
        <v>1</v>
      </c>
    </row>
    <row r="231" spans="1:20" ht="21" customHeight="1">
      <c r="A231" s="2" t="str">
        <f ca="1">input_314100!A$2</f>
        <v>314100</v>
      </c>
      <c r="B231" s="7" t="str">
        <f t="shared" si="12"/>
        <v>PremiumSSbg4</v>
      </c>
      <c r="C231" s="7" t="str">
        <f t="shared" si="13"/>
        <v>PremiumSS</v>
      </c>
      <c r="D231" s="7" t="str">
        <f t="shared" si="14"/>
        <v>bg</v>
      </c>
      <c r="E231" s="6">
        <v>602</v>
      </c>
      <c r="F231" s="7" t="str">
        <f>VLOOKUP(E231,[1]characters!$A:$C,3,FALSE)</f>
        <v>フレイヤ</v>
      </c>
      <c r="G231" s="7" t="str">
        <f>VLOOKUP(E231,[1]characters!$A:$J,10,FALSE)</f>
        <v>PremiumSS</v>
      </c>
      <c r="H231" s="7">
        <f>VLOOKUP(E231,[1]characters!$A:$I,9,FALSE)</f>
        <v>4</v>
      </c>
      <c r="I231" s="7" t="str">
        <f>VLOOKUP(E231,[1]characters!$A:$H,8,FALSE)</f>
        <v>blue</v>
      </c>
      <c r="J231" s="7" t="str">
        <f>VLOOKUP(E231,[1]characters!$A:$K,11,FALSE)</f>
        <v>heal</v>
      </c>
      <c r="K231" s="7" t="str">
        <f>VLOOKUP(E231,[1]characters!$A:$M,13,FALSE)</f>
        <v>animal</v>
      </c>
      <c r="L231" s="7" t="str">
        <f>VLOOKUP(E231,[1]characters!$A:$G,7,FALSE)</f>
        <v>女性</v>
      </c>
      <c r="M231" s="62">
        <f ca="1">IFERROR(VLOOKUP(E231,input_314100!L:R,7,FALSE),VLOOKUP(tables_314100!B231,input_314100!A:H,8,FALSE))</f>
        <v>62937</v>
      </c>
      <c r="N231" s="63">
        <f t="shared" ca="1" si="15"/>
        <v>2.2499999999999998E-3</v>
      </c>
      <c r="O231" s="31">
        <f>IFERROR(VLOOKUP($E231,bug_conf_sheet!$A:$H,3,FALSE),VLOOKUP("other",bug_conf_sheet!$A:$H,3,FALSE))</f>
        <v>1</v>
      </c>
      <c r="P231" s="31">
        <f>IFERROR(VLOOKUP($E231,bug_conf_sheet!$A:$H,4,FALSE),VLOOKUP("other",bug_conf_sheet!$A:$H,4,FALSE))</f>
        <v>0</v>
      </c>
      <c r="Q231" s="31">
        <f>IFERROR(VLOOKUP($E231,bug_conf_sheet!$A:$H,5,FALSE),VLOOKUP("other",bug_conf_sheet!$A:$H,5,FALSE))</f>
        <v>0</v>
      </c>
      <c r="R231" s="31">
        <f>IFERROR(VLOOKUP($E231,bug_conf_sheet!$A:$H,6,FALSE),VLOOKUP("other",bug_conf_sheet!$A:$H,6,FALSE))</f>
        <v>0</v>
      </c>
      <c r="S231" s="31">
        <f>IFERROR(VLOOKUP($E231,bug_conf_sheet!$A:$H,7,FALSE),VLOOKUP("other",bug_conf_sheet!$A:$H,7,FALSE))</f>
        <v>0</v>
      </c>
      <c r="T231" s="31">
        <f>IFERROR(VLOOKUP($E231,bug_conf_sheet!$A:$H,8,FALSE),VLOOKUP("other",bug_conf_sheet!$A:$H,8,FALSE))</f>
        <v>1</v>
      </c>
    </row>
    <row r="232" spans="1:20" ht="21" customHeight="1">
      <c r="A232" s="2" t="str">
        <f ca="1">input_314100!A$2</f>
        <v>314100</v>
      </c>
      <c r="B232" s="7" t="str">
        <f t="shared" si="12"/>
        <v>PremiumSSbg5</v>
      </c>
      <c r="C232" s="7" t="str">
        <f t="shared" si="13"/>
        <v>PremiumSS</v>
      </c>
      <c r="D232" s="7" t="str">
        <f t="shared" si="14"/>
        <v>bg</v>
      </c>
      <c r="E232" s="6">
        <v>603</v>
      </c>
      <c r="F232" s="7" t="str">
        <f>VLOOKUP(E232,[1]characters!$A:$C,3,FALSE)</f>
        <v>掌愛の豊穣女神 フレイヤ</v>
      </c>
      <c r="G232" s="7" t="str">
        <f>VLOOKUP(E232,[1]characters!$A:$J,10,FALSE)</f>
        <v>PremiumSS</v>
      </c>
      <c r="H232" s="7">
        <f>VLOOKUP(E232,[1]characters!$A:$I,9,FALSE)</f>
        <v>5</v>
      </c>
      <c r="I232" s="7" t="str">
        <f>VLOOKUP(E232,[1]characters!$A:$H,8,FALSE)</f>
        <v>blue</v>
      </c>
      <c r="J232" s="7" t="str">
        <f>VLOOKUP(E232,[1]characters!$A:$K,11,FALSE)</f>
        <v>heal</v>
      </c>
      <c r="K232" s="7" t="str">
        <f>VLOOKUP(E232,[1]characters!$A:$M,13,FALSE)</f>
        <v>animal</v>
      </c>
      <c r="L232" s="7" t="str">
        <f>VLOOKUP(E232,[1]characters!$A:$G,7,FALSE)</f>
        <v>女性</v>
      </c>
      <c r="M232" s="62">
        <f ca="1">IFERROR(VLOOKUP(E232,input_314100!L:R,7,FALSE),VLOOKUP(tables_314100!B232,input_314100!A:H,8,FALSE))</f>
        <v>6993</v>
      </c>
      <c r="N232" s="63">
        <f t="shared" ca="1" si="15"/>
        <v>2.5000000000000001E-4</v>
      </c>
      <c r="O232" s="31">
        <f>IFERROR(VLOOKUP($E232,bug_conf_sheet!$A:$H,3,FALSE),VLOOKUP("other",bug_conf_sheet!$A:$H,3,FALSE))</f>
        <v>1</v>
      </c>
      <c r="P232" s="31">
        <f>IFERROR(VLOOKUP($E232,bug_conf_sheet!$A:$H,4,FALSE),VLOOKUP("other",bug_conf_sheet!$A:$H,4,FALSE))</f>
        <v>0</v>
      </c>
      <c r="Q232" s="31">
        <f>IFERROR(VLOOKUP($E232,bug_conf_sheet!$A:$H,5,FALSE),VLOOKUP("other",bug_conf_sheet!$A:$H,5,FALSE))</f>
        <v>0</v>
      </c>
      <c r="R232" s="31">
        <f>IFERROR(VLOOKUP($E232,bug_conf_sheet!$A:$H,6,FALSE),VLOOKUP("other",bug_conf_sheet!$A:$H,6,FALSE))</f>
        <v>0</v>
      </c>
      <c r="S232" s="31">
        <f>IFERROR(VLOOKUP($E232,bug_conf_sheet!$A:$H,7,FALSE),VLOOKUP("other",bug_conf_sheet!$A:$H,7,FALSE))</f>
        <v>0</v>
      </c>
      <c r="T232" s="31">
        <f>IFERROR(VLOOKUP($E232,bug_conf_sheet!$A:$H,8,FALSE),VLOOKUP("other",bug_conf_sheet!$A:$H,8,FALSE))</f>
        <v>1</v>
      </c>
    </row>
    <row r="233" spans="1:20" ht="21" customHeight="1">
      <c r="A233" s="2" t="str">
        <f ca="1">input_314100!A$2</f>
        <v>314100</v>
      </c>
      <c r="B233" s="7" t="str">
        <f t="shared" si="12"/>
        <v>Premium3</v>
      </c>
      <c r="C233" s="7" t="str">
        <f t="shared" si="13"/>
        <v>Premium</v>
      </c>
      <c r="D233" s="7" t="str">
        <f t="shared" si="14"/>
        <v>ry</v>
      </c>
      <c r="E233" s="6">
        <v>604</v>
      </c>
      <c r="F233" s="7" t="str">
        <f>VLOOKUP(E233,[1]characters!$A:$C,3,FALSE)</f>
        <v>バルドル</v>
      </c>
      <c r="G233" s="7" t="str">
        <f>VLOOKUP(E233,[1]characters!$A:$J,10,FALSE)</f>
        <v>PremiumS</v>
      </c>
      <c r="H233" s="7">
        <f>VLOOKUP(E233,[1]characters!$A:$I,9,FALSE)</f>
        <v>3</v>
      </c>
      <c r="I233" s="7" t="str">
        <f>VLOOKUP(E233,[1]characters!$A:$H,8,FALSE)</f>
        <v>yellow</v>
      </c>
      <c r="J233" s="7" t="str">
        <f>VLOOKUP(E233,[1]characters!$A:$K,11,FALSE)</f>
        <v>heal</v>
      </c>
      <c r="K233" s="7" t="str">
        <f>VLOOKUP(E233,[1]characters!$A:$M,13,FALSE)</f>
        <v>god</v>
      </c>
      <c r="L233" s="7" t="str">
        <f>VLOOKUP(E233,[1]characters!$A:$G,7,FALSE)</f>
        <v>男性</v>
      </c>
      <c r="M233" s="62">
        <f ca="1">IFERROR(VLOOKUP(E233,input_314100!L:R,7,FALSE),VLOOKUP(tables_314100!B233,input_314100!A:H,8,FALSE))</f>
        <v>0</v>
      </c>
      <c r="N233" s="63">
        <f t="shared" ca="1" si="15"/>
        <v>0</v>
      </c>
      <c r="O233" s="31">
        <f>IFERROR(VLOOKUP($E233,bug_conf_sheet!$A:$H,3,FALSE),VLOOKUP("other",bug_conf_sheet!$A:$H,3,FALSE))</f>
        <v>1</v>
      </c>
      <c r="P233" s="31">
        <f>IFERROR(VLOOKUP($E233,bug_conf_sheet!$A:$H,4,FALSE),VLOOKUP("other",bug_conf_sheet!$A:$H,4,FALSE))</f>
        <v>0</v>
      </c>
      <c r="Q233" s="31">
        <f>IFERROR(VLOOKUP($E233,bug_conf_sheet!$A:$H,5,FALSE),VLOOKUP("other",bug_conf_sheet!$A:$H,5,FALSE))</f>
        <v>0</v>
      </c>
      <c r="R233" s="31">
        <f>IFERROR(VLOOKUP($E233,bug_conf_sheet!$A:$H,6,FALSE),VLOOKUP("other",bug_conf_sheet!$A:$H,6,FALSE))</f>
        <v>0</v>
      </c>
      <c r="S233" s="31">
        <f>IFERROR(VLOOKUP($E233,bug_conf_sheet!$A:$H,7,FALSE),VLOOKUP("other",bug_conf_sheet!$A:$H,7,FALSE))</f>
        <v>0</v>
      </c>
      <c r="T233" s="31">
        <f>IFERROR(VLOOKUP($E233,bug_conf_sheet!$A:$H,8,FALSE),VLOOKUP("other",bug_conf_sheet!$A:$H,8,FALSE))</f>
        <v>1</v>
      </c>
    </row>
    <row r="234" spans="1:20" ht="21" customHeight="1">
      <c r="A234" s="2" t="str">
        <f ca="1">input_314100!A$2</f>
        <v>314100</v>
      </c>
      <c r="B234" s="7" t="str">
        <f t="shared" si="12"/>
        <v>Premium4</v>
      </c>
      <c r="C234" s="7" t="str">
        <f t="shared" si="13"/>
        <v>Premium</v>
      </c>
      <c r="D234" s="7" t="str">
        <f t="shared" si="14"/>
        <v>ry</v>
      </c>
      <c r="E234" s="6">
        <v>605</v>
      </c>
      <c r="F234" s="7" t="str">
        <f>VLOOKUP(E234,[1]characters!$A:$C,3,FALSE)</f>
        <v>祝福される光耀 バルドル</v>
      </c>
      <c r="G234" s="7" t="str">
        <f>VLOOKUP(E234,[1]characters!$A:$J,10,FALSE)</f>
        <v>PremiumS</v>
      </c>
      <c r="H234" s="7">
        <f>VLOOKUP(E234,[1]characters!$A:$I,9,FALSE)</f>
        <v>4</v>
      </c>
      <c r="I234" s="7" t="str">
        <f>VLOOKUP(E234,[1]characters!$A:$H,8,FALSE)</f>
        <v>yellow</v>
      </c>
      <c r="J234" s="7" t="str">
        <f>VLOOKUP(E234,[1]characters!$A:$K,11,FALSE)</f>
        <v>heal</v>
      </c>
      <c r="K234" s="7" t="str">
        <f>VLOOKUP(E234,[1]characters!$A:$M,13,FALSE)</f>
        <v>god</v>
      </c>
      <c r="L234" s="7" t="str">
        <f>VLOOKUP(E234,[1]characters!$A:$G,7,FALSE)</f>
        <v>男性</v>
      </c>
      <c r="M234" s="62">
        <f ca="1">IFERROR(VLOOKUP(E234,input_314100!L:R,7,FALSE),VLOOKUP(tables_314100!B234,input_314100!A:H,8,FALSE))</f>
        <v>342090</v>
      </c>
      <c r="N234" s="63">
        <f t="shared" ca="1" si="15"/>
        <v>1.222972972972973E-2</v>
      </c>
      <c r="O234" s="31">
        <f>IFERROR(VLOOKUP($E234,bug_conf_sheet!$A:$H,3,FALSE),VLOOKUP("other",bug_conf_sheet!$A:$H,3,FALSE))</f>
        <v>1</v>
      </c>
      <c r="P234" s="31">
        <f>IFERROR(VLOOKUP($E234,bug_conf_sheet!$A:$H,4,FALSE),VLOOKUP("other",bug_conf_sheet!$A:$H,4,FALSE))</f>
        <v>0</v>
      </c>
      <c r="Q234" s="31">
        <f>IFERROR(VLOOKUP($E234,bug_conf_sheet!$A:$H,5,FALSE),VLOOKUP("other",bug_conf_sheet!$A:$H,5,FALSE))</f>
        <v>0</v>
      </c>
      <c r="R234" s="31">
        <f>IFERROR(VLOOKUP($E234,bug_conf_sheet!$A:$H,6,FALSE),VLOOKUP("other",bug_conf_sheet!$A:$H,6,FALSE))</f>
        <v>0</v>
      </c>
      <c r="S234" s="31">
        <f>IFERROR(VLOOKUP($E234,bug_conf_sheet!$A:$H,7,FALSE),VLOOKUP("other",bug_conf_sheet!$A:$H,7,FALSE))</f>
        <v>0</v>
      </c>
      <c r="T234" s="31">
        <f>IFERROR(VLOOKUP($E234,bug_conf_sheet!$A:$H,8,FALSE),VLOOKUP("other",bug_conf_sheet!$A:$H,8,FALSE))</f>
        <v>1</v>
      </c>
    </row>
    <row r="235" spans="1:20" ht="21" customHeight="1">
      <c r="A235" s="2" t="str">
        <f ca="1">input_314100!A$2</f>
        <v>314100</v>
      </c>
      <c r="B235" s="7" t="str">
        <f t="shared" si="12"/>
        <v>Premium5</v>
      </c>
      <c r="C235" s="7" t="str">
        <f t="shared" si="13"/>
        <v>Premium</v>
      </c>
      <c r="D235" s="7" t="str">
        <f t="shared" si="14"/>
        <v>ry</v>
      </c>
      <c r="E235" s="6">
        <v>606</v>
      </c>
      <c r="F235" s="7" t="str">
        <f>VLOOKUP(E235,[1]characters!$A:$C,3,FALSE)</f>
        <v>冀望の光芒 バルドル</v>
      </c>
      <c r="G235" s="7" t="str">
        <f>VLOOKUP(E235,[1]characters!$A:$J,10,FALSE)</f>
        <v>PremiumS</v>
      </c>
      <c r="H235" s="7">
        <f>VLOOKUP(E235,[1]characters!$A:$I,9,FALSE)</f>
        <v>5</v>
      </c>
      <c r="I235" s="7" t="str">
        <f>VLOOKUP(E235,[1]characters!$A:$H,8,FALSE)</f>
        <v>yellow</v>
      </c>
      <c r="J235" s="7" t="str">
        <f>VLOOKUP(E235,[1]characters!$A:$K,11,FALSE)</f>
        <v>heal</v>
      </c>
      <c r="K235" s="7" t="str">
        <f>VLOOKUP(E235,[1]characters!$A:$M,13,FALSE)</f>
        <v>god</v>
      </c>
      <c r="L235" s="7" t="str">
        <f>VLOOKUP(E235,[1]characters!$A:$G,7,FALSE)</f>
        <v>男性</v>
      </c>
      <c r="M235" s="62">
        <f ca="1">IFERROR(VLOOKUP(E235,input_314100!L:R,7,FALSE),VLOOKUP(tables_314100!B235,input_314100!A:H,8,FALSE))</f>
        <v>12950</v>
      </c>
      <c r="N235" s="63">
        <f t="shared" ca="1" si="15"/>
        <v>4.6296296296296298E-4</v>
      </c>
      <c r="O235" s="31">
        <f>IFERROR(VLOOKUP($E235,bug_conf_sheet!$A:$H,3,FALSE),VLOOKUP("other",bug_conf_sheet!$A:$H,3,FALSE))</f>
        <v>1</v>
      </c>
      <c r="P235" s="31">
        <f>IFERROR(VLOOKUP($E235,bug_conf_sheet!$A:$H,4,FALSE),VLOOKUP("other",bug_conf_sheet!$A:$H,4,FALSE))</f>
        <v>0</v>
      </c>
      <c r="Q235" s="31">
        <f>IFERROR(VLOOKUP($E235,bug_conf_sheet!$A:$H,5,FALSE),VLOOKUP("other",bug_conf_sheet!$A:$H,5,FALSE))</f>
        <v>0</v>
      </c>
      <c r="R235" s="31">
        <f>IFERROR(VLOOKUP($E235,bug_conf_sheet!$A:$H,6,FALSE),VLOOKUP("other",bug_conf_sheet!$A:$H,6,FALSE))</f>
        <v>0</v>
      </c>
      <c r="S235" s="31">
        <f>IFERROR(VLOOKUP($E235,bug_conf_sheet!$A:$H,7,FALSE),VLOOKUP("other",bug_conf_sheet!$A:$H,7,FALSE))</f>
        <v>0</v>
      </c>
      <c r="T235" s="31">
        <f>IFERROR(VLOOKUP($E235,bug_conf_sheet!$A:$H,8,FALSE),VLOOKUP("other",bug_conf_sheet!$A:$H,8,FALSE))</f>
        <v>1</v>
      </c>
    </row>
    <row r="236" spans="1:20" ht="21" customHeight="1">
      <c r="A236" s="2" t="str">
        <f ca="1">input_314100!A$2</f>
        <v>314100</v>
      </c>
      <c r="B236" s="7" t="str">
        <f t="shared" si="12"/>
        <v>PremiumSSry4</v>
      </c>
      <c r="C236" s="7" t="str">
        <f t="shared" si="13"/>
        <v>PremiumSS</v>
      </c>
      <c r="D236" s="7" t="str">
        <f t="shared" si="14"/>
        <v>ry</v>
      </c>
      <c r="E236" s="6">
        <v>658</v>
      </c>
      <c r="F236" s="7" t="str">
        <f>VLOOKUP(E236,[1]characters!$A:$C,3,FALSE)</f>
        <v>猫又 クルミ</v>
      </c>
      <c r="G236" s="7" t="str">
        <f>VLOOKUP(E236,[1]characters!$A:$J,10,FALSE)</f>
        <v>PremiumSS</v>
      </c>
      <c r="H236" s="7">
        <f>VLOOKUP(E236,[1]characters!$A:$I,9,FALSE)</f>
        <v>4</v>
      </c>
      <c r="I236" s="7" t="str">
        <f>VLOOKUP(E236,[1]characters!$A:$H,8,FALSE)</f>
        <v>red</v>
      </c>
      <c r="J236" s="7" t="str">
        <f>VLOOKUP(E236,[1]characters!$A:$K,11,FALSE)</f>
        <v>attack</v>
      </c>
      <c r="K236" s="7" t="str">
        <f>VLOOKUP(E236,[1]characters!$A:$M,13,FALSE)</f>
        <v>animal</v>
      </c>
      <c r="L236" s="7" t="str">
        <f>VLOOKUP(E236,[1]characters!$A:$G,7,FALSE)</f>
        <v>女性</v>
      </c>
      <c r="M236" s="62">
        <f ca="1">IFERROR(VLOOKUP(E236,input_314100!L:R,7,FALSE),VLOOKUP(tables_314100!B236,input_314100!A:H,8,FALSE))</f>
        <v>35964</v>
      </c>
      <c r="N236" s="63">
        <f t="shared" ca="1" si="15"/>
        <v>1.2857142857142856E-3</v>
      </c>
      <c r="O236" s="31">
        <f>IFERROR(VLOOKUP($E236,bug_conf_sheet!$A:$H,3,FALSE),VLOOKUP("other",bug_conf_sheet!$A:$H,3,FALSE))</f>
        <v>1</v>
      </c>
      <c r="P236" s="31">
        <f>IFERROR(VLOOKUP($E236,bug_conf_sheet!$A:$H,4,FALSE),VLOOKUP("other",bug_conf_sheet!$A:$H,4,FALSE))</f>
        <v>0</v>
      </c>
      <c r="Q236" s="31">
        <f>IFERROR(VLOOKUP($E236,bug_conf_sheet!$A:$H,5,FALSE),VLOOKUP("other",bug_conf_sheet!$A:$H,5,FALSE))</f>
        <v>0</v>
      </c>
      <c r="R236" s="31">
        <f>IFERROR(VLOOKUP($E236,bug_conf_sheet!$A:$H,6,FALSE),VLOOKUP("other",bug_conf_sheet!$A:$H,6,FALSE))</f>
        <v>0</v>
      </c>
      <c r="S236" s="31">
        <f>IFERROR(VLOOKUP($E236,bug_conf_sheet!$A:$H,7,FALSE),VLOOKUP("other",bug_conf_sheet!$A:$H,7,FALSE))</f>
        <v>0</v>
      </c>
      <c r="T236" s="31">
        <f>IFERROR(VLOOKUP($E236,bug_conf_sheet!$A:$H,8,FALSE),VLOOKUP("other",bug_conf_sheet!$A:$H,8,FALSE))</f>
        <v>1</v>
      </c>
    </row>
    <row r="237" spans="1:20" ht="21" customHeight="1">
      <c r="A237" s="2" t="str">
        <f ca="1">input_314100!A$2</f>
        <v>314100</v>
      </c>
      <c r="B237" s="7" t="str">
        <f t="shared" si="12"/>
        <v>PremiumSSry5</v>
      </c>
      <c r="C237" s="7" t="str">
        <f t="shared" si="13"/>
        <v>PremiumSS</v>
      </c>
      <c r="D237" s="7" t="str">
        <f t="shared" si="14"/>
        <v>ry</v>
      </c>
      <c r="E237" s="6">
        <v>659</v>
      </c>
      <c r="F237" s="7" t="str">
        <f>VLOOKUP(E237,[1]characters!$A:$C,3,FALSE)</f>
        <v>跳梁する化猫 クルミ</v>
      </c>
      <c r="G237" s="7" t="str">
        <f>VLOOKUP(E237,[1]characters!$A:$J,10,FALSE)</f>
        <v>PremiumSS</v>
      </c>
      <c r="H237" s="7">
        <f>VLOOKUP(E237,[1]characters!$A:$I,9,FALSE)</f>
        <v>5</v>
      </c>
      <c r="I237" s="7" t="str">
        <f>VLOOKUP(E237,[1]characters!$A:$H,8,FALSE)</f>
        <v>red</v>
      </c>
      <c r="J237" s="7" t="str">
        <f>VLOOKUP(E237,[1]characters!$A:$K,11,FALSE)</f>
        <v>attack</v>
      </c>
      <c r="K237" s="7" t="str">
        <f>VLOOKUP(E237,[1]characters!$A:$M,13,FALSE)</f>
        <v>animal</v>
      </c>
      <c r="L237" s="7" t="str">
        <f>VLOOKUP(E237,[1]characters!$A:$G,7,FALSE)</f>
        <v>女性</v>
      </c>
      <c r="M237" s="62">
        <f ca="1">IFERROR(VLOOKUP(E237,input_314100!L:R,7,FALSE),VLOOKUP(tables_314100!B237,input_314100!A:H,8,FALSE))</f>
        <v>3996</v>
      </c>
      <c r="N237" s="63">
        <f t="shared" ca="1" si="15"/>
        <v>1.4285714285714287E-4</v>
      </c>
      <c r="O237" s="31">
        <f>IFERROR(VLOOKUP($E237,bug_conf_sheet!$A:$H,3,FALSE),VLOOKUP("other",bug_conf_sheet!$A:$H,3,FALSE))</f>
        <v>1</v>
      </c>
      <c r="P237" s="31">
        <f>IFERROR(VLOOKUP($E237,bug_conf_sheet!$A:$H,4,FALSE),VLOOKUP("other",bug_conf_sheet!$A:$H,4,FALSE))</f>
        <v>0</v>
      </c>
      <c r="Q237" s="31">
        <f>IFERROR(VLOOKUP($E237,bug_conf_sheet!$A:$H,5,FALSE),VLOOKUP("other",bug_conf_sheet!$A:$H,5,FALSE))</f>
        <v>0</v>
      </c>
      <c r="R237" s="31">
        <f>IFERROR(VLOOKUP($E237,bug_conf_sheet!$A:$H,6,FALSE),VLOOKUP("other",bug_conf_sheet!$A:$H,6,FALSE))</f>
        <v>0</v>
      </c>
      <c r="S237" s="31">
        <f>IFERROR(VLOOKUP($E237,bug_conf_sheet!$A:$H,7,FALSE),VLOOKUP("other",bug_conf_sheet!$A:$H,7,FALSE))</f>
        <v>0</v>
      </c>
      <c r="T237" s="31">
        <f>IFERROR(VLOOKUP($E237,bug_conf_sheet!$A:$H,8,FALSE),VLOOKUP("other",bug_conf_sheet!$A:$H,8,FALSE))</f>
        <v>1</v>
      </c>
    </row>
    <row r="238" spans="1:20" ht="21" customHeight="1">
      <c r="A238" s="2" t="str">
        <f ca="1">input_314100!A$2</f>
        <v>314100</v>
      </c>
      <c r="B238" s="7" t="str">
        <f t="shared" si="12"/>
        <v>PremiumSSbg4</v>
      </c>
      <c r="C238" s="7" t="str">
        <f t="shared" si="13"/>
        <v>PremiumSS</v>
      </c>
      <c r="D238" s="7" t="str">
        <f t="shared" si="14"/>
        <v>bg</v>
      </c>
      <c r="E238" s="6">
        <v>660</v>
      </c>
      <c r="F238" s="7" t="str">
        <f>VLOOKUP(E238,[1]characters!$A:$C,3,FALSE)</f>
        <v>烏天狗 フウガ</v>
      </c>
      <c r="G238" s="7" t="str">
        <f>VLOOKUP(E238,[1]characters!$A:$J,10,FALSE)</f>
        <v>PremiumSS</v>
      </c>
      <c r="H238" s="7">
        <f>VLOOKUP(E238,[1]characters!$A:$I,9,FALSE)</f>
        <v>4</v>
      </c>
      <c r="I238" s="7" t="str">
        <f>VLOOKUP(E238,[1]characters!$A:$H,8,FALSE)</f>
        <v>green</v>
      </c>
      <c r="J238" s="7" t="str">
        <f>VLOOKUP(E238,[1]characters!$A:$K,11,FALSE)</f>
        <v>balance</v>
      </c>
      <c r="K238" s="7" t="str">
        <f>VLOOKUP(E238,[1]characters!$A:$M,13,FALSE)</f>
        <v>animal</v>
      </c>
      <c r="L238" s="7" t="str">
        <f>VLOOKUP(E238,[1]characters!$A:$G,7,FALSE)</f>
        <v>男性</v>
      </c>
      <c r="M238" s="62">
        <f ca="1">IFERROR(VLOOKUP(E238,input_314100!L:R,7,FALSE),VLOOKUP(tables_314100!B238,input_314100!A:H,8,FALSE))</f>
        <v>62937</v>
      </c>
      <c r="N238" s="63">
        <f t="shared" ca="1" si="15"/>
        <v>2.2499999999999998E-3</v>
      </c>
      <c r="O238" s="31">
        <f>IFERROR(VLOOKUP($E238,bug_conf_sheet!$A:$H,3,FALSE),VLOOKUP("other",bug_conf_sheet!$A:$H,3,FALSE))</f>
        <v>1</v>
      </c>
      <c r="P238" s="31">
        <f>IFERROR(VLOOKUP($E238,bug_conf_sheet!$A:$H,4,FALSE),VLOOKUP("other",bug_conf_sheet!$A:$H,4,FALSE))</f>
        <v>0</v>
      </c>
      <c r="Q238" s="31">
        <f>IFERROR(VLOOKUP($E238,bug_conf_sheet!$A:$H,5,FALSE),VLOOKUP("other",bug_conf_sheet!$A:$H,5,FALSE))</f>
        <v>0</v>
      </c>
      <c r="R238" s="31">
        <f>IFERROR(VLOOKUP($E238,bug_conf_sheet!$A:$H,6,FALSE),VLOOKUP("other",bug_conf_sheet!$A:$H,6,FALSE))</f>
        <v>0</v>
      </c>
      <c r="S238" s="31">
        <f>IFERROR(VLOOKUP($E238,bug_conf_sheet!$A:$H,7,FALSE),VLOOKUP("other",bug_conf_sheet!$A:$H,7,FALSE))</f>
        <v>0</v>
      </c>
      <c r="T238" s="31">
        <f>IFERROR(VLOOKUP($E238,bug_conf_sheet!$A:$H,8,FALSE),VLOOKUP("other",bug_conf_sheet!$A:$H,8,FALSE))</f>
        <v>1</v>
      </c>
    </row>
    <row r="239" spans="1:20" ht="21" customHeight="1">
      <c r="A239" s="2" t="str">
        <f ca="1">input_314100!A$2</f>
        <v>314100</v>
      </c>
      <c r="B239" s="7" t="str">
        <f t="shared" si="12"/>
        <v>PremiumSSbg5</v>
      </c>
      <c r="C239" s="7" t="str">
        <f t="shared" si="13"/>
        <v>PremiumSS</v>
      </c>
      <c r="D239" s="7" t="str">
        <f t="shared" si="14"/>
        <v>bg</v>
      </c>
      <c r="E239" s="6">
        <v>661</v>
      </c>
      <c r="F239" s="7" t="str">
        <f>VLOOKUP(E239,[1]characters!$A:$C,3,FALSE)</f>
        <v>疾風の天狗礫 フウガ</v>
      </c>
      <c r="G239" s="7" t="str">
        <f>VLOOKUP(E239,[1]characters!$A:$J,10,FALSE)</f>
        <v>PremiumSS</v>
      </c>
      <c r="H239" s="7">
        <f>VLOOKUP(E239,[1]characters!$A:$I,9,FALSE)</f>
        <v>5</v>
      </c>
      <c r="I239" s="7" t="str">
        <f>VLOOKUP(E239,[1]characters!$A:$H,8,FALSE)</f>
        <v>green</v>
      </c>
      <c r="J239" s="7" t="str">
        <f>VLOOKUP(E239,[1]characters!$A:$K,11,FALSE)</f>
        <v>balance</v>
      </c>
      <c r="K239" s="7" t="str">
        <f>VLOOKUP(E239,[1]characters!$A:$M,13,FALSE)</f>
        <v>animal</v>
      </c>
      <c r="L239" s="7" t="str">
        <f>VLOOKUP(E239,[1]characters!$A:$G,7,FALSE)</f>
        <v>男性</v>
      </c>
      <c r="M239" s="62">
        <f ca="1">IFERROR(VLOOKUP(E239,input_314100!L:R,7,FALSE),VLOOKUP(tables_314100!B239,input_314100!A:H,8,FALSE))</f>
        <v>6993</v>
      </c>
      <c r="N239" s="63">
        <f t="shared" ca="1" si="15"/>
        <v>2.5000000000000001E-4</v>
      </c>
      <c r="O239" s="31">
        <f>IFERROR(VLOOKUP($E239,bug_conf_sheet!$A:$H,3,FALSE),VLOOKUP("other",bug_conf_sheet!$A:$H,3,FALSE))</f>
        <v>1</v>
      </c>
      <c r="P239" s="31">
        <f>IFERROR(VLOOKUP($E239,bug_conf_sheet!$A:$H,4,FALSE),VLOOKUP("other",bug_conf_sheet!$A:$H,4,FALSE))</f>
        <v>0</v>
      </c>
      <c r="Q239" s="31">
        <f>IFERROR(VLOOKUP($E239,bug_conf_sheet!$A:$H,5,FALSE),VLOOKUP("other",bug_conf_sheet!$A:$H,5,FALSE))</f>
        <v>0</v>
      </c>
      <c r="R239" s="31">
        <f>IFERROR(VLOOKUP($E239,bug_conf_sheet!$A:$H,6,FALSE),VLOOKUP("other",bug_conf_sheet!$A:$H,6,FALSE))</f>
        <v>0</v>
      </c>
      <c r="S239" s="31">
        <f>IFERROR(VLOOKUP($E239,bug_conf_sheet!$A:$H,7,FALSE),VLOOKUP("other",bug_conf_sheet!$A:$H,7,FALSE))</f>
        <v>0</v>
      </c>
      <c r="T239" s="31">
        <f>IFERROR(VLOOKUP($E239,bug_conf_sheet!$A:$H,8,FALSE),VLOOKUP("other",bug_conf_sheet!$A:$H,8,FALSE))</f>
        <v>1</v>
      </c>
    </row>
    <row r="240" spans="1:20" ht="21" customHeight="1">
      <c r="A240" s="2" t="str">
        <f ca="1">input_314100!A$2</f>
        <v>314100</v>
      </c>
      <c r="B240" s="7" t="str">
        <f t="shared" si="12"/>
        <v>Premium3</v>
      </c>
      <c r="C240" s="7" t="str">
        <f t="shared" si="13"/>
        <v>Premium</v>
      </c>
      <c r="D240" s="7" t="str">
        <f t="shared" si="14"/>
        <v>bg</v>
      </c>
      <c r="E240" s="6">
        <v>662</v>
      </c>
      <c r="F240" s="7" t="str">
        <f>VLOOKUP(E240,[1]characters!$A:$C,3,FALSE)</f>
        <v>ダイダラ</v>
      </c>
      <c r="G240" s="7" t="str">
        <f>VLOOKUP(E240,[1]characters!$A:$J,10,FALSE)</f>
        <v>PremiumS</v>
      </c>
      <c r="H240" s="7">
        <f>VLOOKUP(E240,[1]characters!$A:$I,9,FALSE)</f>
        <v>3</v>
      </c>
      <c r="I240" s="7" t="str">
        <f>VLOOKUP(E240,[1]characters!$A:$H,8,FALSE)</f>
        <v>blue</v>
      </c>
      <c r="J240" s="7" t="str">
        <f>VLOOKUP(E240,[1]characters!$A:$K,11,FALSE)</f>
        <v>hp</v>
      </c>
      <c r="K240" s="7" t="str">
        <f>VLOOKUP(E240,[1]characters!$A:$M,13,FALSE)</f>
        <v>unknown</v>
      </c>
      <c r="L240" s="7" t="str">
        <f>VLOOKUP(E240,[1]characters!$A:$G,7,FALSE)</f>
        <v>不明</v>
      </c>
      <c r="M240" s="62">
        <f ca="1">IFERROR(VLOOKUP(E240,input_314100!L:R,7,FALSE),VLOOKUP(tables_314100!B240,input_314100!A:H,8,FALSE))</f>
        <v>0</v>
      </c>
      <c r="N240" s="63">
        <f t="shared" ca="1" si="15"/>
        <v>0</v>
      </c>
      <c r="O240" s="31">
        <f>IFERROR(VLOOKUP($E240,bug_conf_sheet!$A:$H,3,FALSE),VLOOKUP("other",bug_conf_sheet!$A:$H,3,FALSE))</f>
        <v>1</v>
      </c>
      <c r="P240" s="31">
        <f>IFERROR(VLOOKUP($E240,bug_conf_sheet!$A:$H,4,FALSE),VLOOKUP("other",bug_conf_sheet!$A:$H,4,FALSE))</f>
        <v>0</v>
      </c>
      <c r="Q240" s="31">
        <f>IFERROR(VLOOKUP($E240,bug_conf_sheet!$A:$H,5,FALSE),VLOOKUP("other",bug_conf_sheet!$A:$H,5,FALSE))</f>
        <v>0</v>
      </c>
      <c r="R240" s="31">
        <f>IFERROR(VLOOKUP($E240,bug_conf_sheet!$A:$H,6,FALSE),VLOOKUP("other",bug_conf_sheet!$A:$H,6,FALSE))</f>
        <v>0</v>
      </c>
      <c r="S240" s="31">
        <f>IFERROR(VLOOKUP($E240,bug_conf_sheet!$A:$H,7,FALSE),VLOOKUP("other",bug_conf_sheet!$A:$H,7,FALSE))</f>
        <v>0</v>
      </c>
      <c r="T240" s="31">
        <f>IFERROR(VLOOKUP($E240,bug_conf_sheet!$A:$H,8,FALSE),VLOOKUP("other",bug_conf_sheet!$A:$H,8,FALSE))</f>
        <v>1</v>
      </c>
    </row>
    <row r="241" spans="1:20" ht="21" customHeight="1">
      <c r="A241" s="2" t="str">
        <f ca="1">input_314100!A$2</f>
        <v>314100</v>
      </c>
      <c r="B241" s="7" t="str">
        <f t="shared" si="12"/>
        <v>Premium4</v>
      </c>
      <c r="C241" s="7" t="str">
        <f t="shared" si="13"/>
        <v>Premium</v>
      </c>
      <c r="D241" s="7" t="str">
        <f t="shared" si="14"/>
        <v>bg</v>
      </c>
      <c r="E241" s="6">
        <v>663</v>
      </c>
      <c r="F241" s="7" t="str">
        <f>VLOOKUP(E241,[1]characters!$A:$C,3,FALSE)</f>
        <v>都揺らす地響き ダイダラ</v>
      </c>
      <c r="G241" s="7" t="str">
        <f>VLOOKUP(E241,[1]characters!$A:$J,10,FALSE)</f>
        <v>PremiumS</v>
      </c>
      <c r="H241" s="7">
        <f>VLOOKUP(E241,[1]characters!$A:$I,9,FALSE)</f>
        <v>4</v>
      </c>
      <c r="I241" s="7" t="str">
        <f>VLOOKUP(E241,[1]characters!$A:$H,8,FALSE)</f>
        <v>blue</v>
      </c>
      <c r="J241" s="7" t="str">
        <f>VLOOKUP(E241,[1]characters!$A:$K,11,FALSE)</f>
        <v>hp</v>
      </c>
      <c r="K241" s="7" t="str">
        <f>VLOOKUP(E241,[1]characters!$A:$M,13,FALSE)</f>
        <v>unknown</v>
      </c>
      <c r="L241" s="7" t="str">
        <f>VLOOKUP(E241,[1]characters!$A:$G,7,FALSE)</f>
        <v>不明</v>
      </c>
      <c r="M241" s="62">
        <f ca="1">IFERROR(VLOOKUP(E241,input_314100!L:R,7,FALSE),VLOOKUP(tables_314100!B241,input_314100!A:H,8,FALSE))</f>
        <v>342090</v>
      </c>
      <c r="N241" s="63">
        <f t="shared" ca="1" si="15"/>
        <v>1.222972972972973E-2</v>
      </c>
      <c r="O241" s="31">
        <f>IFERROR(VLOOKUP($E241,bug_conf_sheet!$A:$H,3,FALSE),VLOOKUP("other",bug_conf_sheet!$A:$H,3,FALSE))</f>
        <v>1</v>
      </c>
      <c r="P241" s="31">
        <f>IFERROR(VLOOKUP($E241,bug_conf_sheet!$A:$H,4,FALSE),VLOOKUP("other",bug_conf_sheet!$A:$H,4,FALSE))</f>
        <v>0</v>
      </c>
      <c r="Q241" s="31">
        <f>IFERROR(VLOOKUP($E241,bug_conf_sheet!$A:$H,5,FALSE),VLOOKUP("other",bug_conf_sheet!$A:$H,5,FALSE))</f>
        <v>0</v>
      </c>
      <c r="R241" s="31">
        <f>IFERROR(VLOOKUP($E241,bug_conf_sheet!$A:$H,6,FALSE),VLOOKUP("other",bug_conf_sheet!$A:$H,6,FALSE))</f>
        <v>0</v>
      </c>
      <c r="S241" s="31">
        <f>IFERROR(VLOOKUP($E241,bug_conf_sheet!$A:$H,7,FALSE),VLOOKUP("other",bug_conf_sheet!$A:$H,7,FALSE))</f>
        <v>0</v>
      </c>
      <c r="T241" s="31">
        <f>IFERROR(VLOOKUP($E241,bug_conf_sheet!$A:$H,8,FALSE),VLOOKUP("other",bug_conf_sheet!$A:$H,8,FALSE))</f>
        <v>1</v>
      </c>
    </row>
    <row r="242" spans="1:20" ht="21" customHeight="1">
      <c r="A242" s="2" t="str">
        <f ca="1">input_314100!A$2</f>
        <v>314100</v>
      </c>
      <c r="B242" s="7" t="str">
        <f t="shared" si="12"/>
        <v>Premium5</v>
      </c>
      <c r="C242" s="7" t="str">
        <f t="shared" si="13"/>
        <v>Premium</v>
      </c>
      <c r="D242" s="7" t="str">
        <f t="shared" si="14"/>
        <v>bg</v>
      </c>
      <c r="E242" s="6">
        <v>664</v>
      </c>
      <c r="F242" s="7" t="str">
        <f>VLOOKUP(E242,[1]characters!$A:$C,3,FALSE)</f>
        <v>山掴み国造り ダイダラ</v>
      </c>
      <c r="G242" s="7" t="str">
        <f>VLOOKUP(E242,[1]characters!$A:$J,10,FALSE)</f>
        <v>PremiumS</v>
      </c>
      <c r="H242" s="7">
        <f>VLOOKUP(E242,[1]characters!$A:$I,9,FALSE)</f>
        <v>5</v>
      </c>
      <c r="I242" s="7" t="str">
        <f>VLOOKUP(E242,[1]characters!$A:$H,8,FALSE)</f>
        <v>blue</v>
      </c>
      <c r="J242" s="7" t="str">
        <f>VLOOKUP(E242,[1]characters!$A:$K,11,FALSE)</f>
        <v>hp</v>
      </c>
      <c r="K242" s="7" t="str">
        <f>VLOOKUP(E242,[1]characters!$A:$M,13,FALSE)</f>
        <v>unknown</v>
      </c>
      <c r="L242" s="7" t="str">
        <f>VLOOKUP(E242,[1]characters!$A:$G,7,FALSE)</f>
        <v>不明</v>
      </c>
      <c r="M242" s="62">
        <f ca="1">IFERROR(VLOOKUP(E242,input_314100!L:R,7,FALSE),VLOOKUP(tables_314100!B242,input_314100!A:H,8,FALSE))</f>
        <v>12950</v>
      </c>
      <c r="N242" s="63">
        <f t="shared" ca="1" si="15"/>
        <v>4.6296296296296298E-4</v>
      </c>
      <c r="O242" s="31">
        <f>IFERROR(VLOOKUP($E242,bug_conf_sheet!$A:$H,3,FALSE),VLOOKUP("other",bug_conf_sheet!$A:$H,3,FALSE))</f>
        <v>1</v>
      </c>
      <c r="P242" s="31">
        <f>IFERROR(VLOOKUP($E242,bug_conf_sheet!$A:$H,4,FALSE),VLOOKUP("other",bug_conf_sheet!$A:$H,4,FALSE))</f>
        <v>0</v>
      </c>
      <c r="Q242" s="31">
        <f>IFERROR(VLOOKUP($E242,bug_conf_sheet!$A:$H,5,FALSE),VLOOKUP("other",bug_conf_sheet!$A:$H,5,FALSE))</f>
        <v>0</v>
      </c>
      <c r="R242" s="31">
        <f>IFERROR(VLOOKUP($E242,bug_conf_sheet!$A:$H,6,FALSE),VLOOKUP("other",bug_conf_sheet!$A:$H,6,FALSE))</f>
        <v>0</v>
      </c>
      <c r="S242" s="31">
        <f>IFERROR(VLOOKUP($E242,bug_conf_sheet!$A:$H,7,FALSE),VLOOKUP("other",bug_conf_sheet!$A:$H,7,FALSE))</f>
        <v>0</v>
      </c>
      <c r="T242" s="31">
        <f>IFERROR(VLOOKUP($E242,bug_conf_sheet!$A:$H,8,FALSE),VLOOKUP("other",bug_conf_sheet!$A:$H,8,FALSE))</f>
        <v>1</v>
      </c>
    </row>
    <row r="243" spans="1:20" ht="21" customHeight="1">
      <c r="A243" s="2" t="str">
        <f ca="1">input_314100!A$2</f>
        <v>314100</v>
      </c>
      <c r="B243" s="7" t="str">
        <f t="shared" si="12"/>
        <v>Premium3</v>
      </c>
      <c r="C243" s="7" t="str">
        <f t="shared" si="13"/>
        <v>Premium</v>
      </c>
      <c r="D243" s="7" t="str">
        <f t="shared" si="14"/>
        <v>ry</v>
      </c>
      <c r="E243" s="6">
        <v>665</v>
      </c>
      <c r="F243" s="7" t="str">
        <f>VLOOKUP(E243,[1]characters!$A:$C,3,FALSE)</f>
        <v>座敷童子 テマリ</v>
      </c>
      <c r="G243" s="7" t="str">
        <f>VLOOKUP(E243,[1]characters!$A:$J,10,FALSE)</f>
        <v>PremiumS</v>
      </c>
      <c r="H243" s="7">
        <f>VLOOKUP(E243,[1]characters!$A:$I,9,FALSE)</f>
        <v>3</v>
      </c>
      <c r="I243" s="7" t="str">
        <f>VLOOKUP(E243,[1]characters!$A:$H,8,FALSE)</f>
        <v>yellow</v>
      </c>
      <c r="J243" s="7" t="str">
        <f>VLOOKUP(E243,[1]characters!$A:$K,11,FALSE)</f>
        <v>balance</v>
      </c>
      <c r="K243" s="7" t="str">
        <f>VLOOKUP(E243,[1]characters!$A:$M,13,FALSE)</f>
        <v>unknown</v>
      </c>
      <c r="L243" s="7" t="str">
        <f>VLOOKUP(E243,[1]characters!$A:$G,7,FALSE)</f>
        <v>女性</v>
      </c>
      <c r="M243" s="62">
        <f ca="1">IFERROR(VLOOKUP(E243,input_314100!L:R,7,FALSE),VLOOKUP(tables_314100!B243,input_314100!A:H,8,FALSE))</f>
        <v>0</v>
      </c>
      <c r="N243" s="63">
        <f t="shared" ca="1" si="15"/>
        <v>0</v>
      </c>
      <c r="O243" s="31">
        <f>IFERROR(VLOOKUP($E243,bug_conf_sheet!$A:$H,3,FALSE),VLOOKUP("other",bug_conf_sheet!$A:$H,3,FALSE))</f>
        <v>1</v>
      </c>
      <c r="P243" s="31">
        <f>IFERROR(VLOOKUP($E243,bug_conf_sheet!$A:$H,4,FALSE),VLOOKUP("other",bug_conf_sheet!$A:$H,4,FALSE))</f>
        <v>0</v>
      </c>
      <c r="Q243" s="31">
        <f>IFERROR(VLOOKUP($E243,bug_conf_sheet!$A:$H,5,FALSE),VLOOKUP("other",bug_conf_sheet!$A:$H,5,FALSE))</f>
        <v>0</v>
      </c>
      <c r="R243" s="31">
        <f>IFERROR(VLOOKUP($E243,bug_conf_sheet!$A:$H,6,FALSE),VLOOKUP("other",bug_conf_sheet!$A:$H,6,FALSE))</f>
        <v>0</v>
      </c>
      <c r="S243" s="31">
        <f>IFERROR(VLOOKUP($E243,bug_conf_sheet!$A:$H,7,FALSE),VLOOKUP("other",bug_conf_sheet!$A:$H,7,FALSE))</f>
        <v>0</v>
      </c>
      <c r="T243" s="31">
        <f>IFERROR(VLOOKUP($E243,bug_conf_sheet!$A:$H,8,FALSE),VLOOKUP("other",bug_conf_sheet!$A:$H,8,FALSE))</f>
        <v>1</v>
      </c>
    </row>
    <row r="244" spans="1:20" ht="21" customHeight="1">
      <c r="A244" s="2" t="str">
        <f ca="1">input_314100!A$2</f>
        <v>314100</v>
      </c>
      <c r="B244" s="7" t="str">
        <f t="shared" si="12"/>
        <v>Premium4</v>
      </c>
      <c r="C244" s="7" t="str">
        <f t="shared" si="13"/>
        <v>Premium</v>
      </c>
      <c r="D244" s="7" t="str">
        <f t="shared" si="14"/>
        <v>ry</v>
      </c>
      <c r="E244" s="6">
        <v>666</v>
      </c>
      <c r="F244" s="7" t="str">
        <f>VLOOKUP(E244,[1]characters!$A:$C,3,FALSE)</f>
        <v>拡散する幸福 テマリ</v>
      </c>
      <c r="G244" s="7" t="str">
        <f>VLOOKUP(E244,[1]characters!$A:$J,10,FALSE)</f>
        <v>PremiumS</v>
      </c>
      <c r="H244" s="7">
        <f>VLOOKUP(E244,[1]characters!$A:$I,9,FALSE)</f>
        <v>4</v>
      </c>
      <c r="I244" s="7" t="str">
        <f>VLOOKUP(E244,[1]characters!$A:$H,8,FALSE)</f>
        <v>yellow</v>
      </c>
      <c r="J244" s="7" t="str">
        <f>VLOOKUP(E244,[1]characters!$A:$K,11,FALSE)</f>
        <v>balance</v>
      </c>
      <c r="K244" s="7" t="str">
        <f>VLOOKUP(E244,[1]characters!$A:$M,13,FALSE)</f>
        <v>unknown</v>
      </c>
      <c r="L244" s="7" t="str">
        <f>VLOOKUP(E244,[1]characters!$A:$G,7,FALSE)</f>
        <v>女性</v>
      </c>
      <c r="M244" s="62">
        <f ca="1">IFERROR(VLOOKUP(E244,input_314100!L:R,7,FALSE),VLOOKUP(tables_314100!B244,input_314100!A:H,8,FALSE))</f>
        <v>342090</v>
      </c>
      <c r="N244" s="63">
        <f t="shared" ca="1" si="15"/>
        <v>1.222972972972973E-2</v>
      </c>
      <c r="O244" s="31">
        <f>IFERROR(VLOOKUP($E244,bug_conf_sheet!$A:$H,3,FALSE),VLOOKUP("other",bug_conf_sheet!$A:$H,3,FALSE))</f>
        <v>1</v>
      </c>
      <c r="P244" s="31">
        <f>IFERROR(VLOOKUP($E244,bug_conf_sheet!$A:$H,4,FALSE),VLOOKUP("other",bug_conf_sheet!$A:$H,4,FALSE))</f>
        <v>0</v>
      </c>
      <c r="Q244" s="31">
        <f>IFERROR(VLOOKUP($E244,bug_conf_sheet!$A:$H,5,FALSE),VLOOKUP("other",bug_conf_sheet!$A:$H,5,FALSE))</f>
        <v>0</v>
      </c>
      <c r="R244" s="31">
        <f>IFERROR(VLOOKUP($E244,bug_conf_sheet!$A:$H,6,FALSE),VLOOKUP("other",bug_conf_sheet!$A:$H,6,FALSE))</f>
        <v>0</v>
      </c>
      <c r="S244" s="31">
        <f>IFERROR(VLOOKUP($E244,bug_conf_sheet!$A:$H,7,FALSE),VLOOKUP("other",bug_conf_sheet!$A:$H,7,FALSE))</f>
        <v>0</v>
      </c>
      <c r="T244" s="31">
        <f>IFERROR(VLOOKUP($E244,bug_conf_sheet!$A:$H,8,FALSE),VLOOKUP("other",bug_conf_sheet!$A:$H,8,FALSE))</f>
        <v>1</v>
      </c>
    </row>
    <row r="245" spans="1:20" ht="21" customHeight="1">
      <c r="A245" s="2" t="str">
        <f ca="1">input_314100!A$2</f>
        <v>314100</v>
      </c>
      <c r="B245" s="7" t="str">
        <f t="shared" si="12"/>
        <v>Premium5</v>
      </c>
      <c r="C245" s="7" t="str">
        <f t="shared" si="13"/>
        <v>Premium</v>
      </c>
      <c r="D245" s="7" t="str">
        <f t="shared" si="14"/>
        <v>ry</v>
      </c>
      <c r="E245" s="6">
        <v>667</v>
      </c>
      <c r="F245" s="7" t="str">
        <f>VLOOKUP(E245,[1]characters!$A:$C,3,FALSE)</f>
        <v>最幸運の妖童 テマリ</v>
      </c>
      <c r="G245" s="7" t="str">
        <f>VLOOKUP(E245,[1]characters!$A:$J,10,FALSE)</f>
        <v>PremiumS</v>
      </c>
      <c r="H245" s="7">
        <f>VLOOKUP(E245,[1]characters!$A:$I,9,FALSE)</f>
        <v>5</v>
      </c>
      <c r="I245" s="7" t="str">
        <f>VLOOKUP(E245,[1]characters!$A:$H,8,FALSE)</f>
        <v>yellow</v>
      </c>
      <c r="J245" s="7" t="str">
        <f>VLOOKUP(E245,[1]characters!$A:$K,11,FALSE)</f>
        <v>balance</v>
      </c>
      <c r="K245" s="7" t="str">
        <f>VLOOKUP(E245,[1]characters!$A:$M,13,FALSE)</f>
        <v>unknown</v>
      </c>
      <c r="L245" s="7" t="str">
        <f>VLOOKUP(E245,[1]characters!$A:$G,7,FALSE)</f>
        <v>女性</v>
      </c>
      <c r="M245" s="62">
        <f ca="1">IFERROR(VLOOKUP(E245,input_314100!L:R,7,FALSE),VLOOKUP(tables_314100!B245,input_314100!A:H,8,FALSE))</f>
        <v>12950</v>
      </c>
      <c r="N245" s="63">
        <f t="shared" ca="1" si="15"/>
        <v>4.6296296296296298E-4</v>
      </c>
      <c r="O245" s="31">
        <f>IFERROR(VLOOKUP($E245,bug_conf_sheet!$A:$H,3,FALSE),VLOOKUP("other",bug_conf_sheet!$A:$H,3,FALSE))</f>
        <v>1</v>
      </c>
      <c r="P245" s="31">
        <f>IFERROR(VLOOKUP($E245,bug_conf_sheet!$A:$H,4,FALSE),VLOOKUP("other",bug_conf_sheet!$A:$H,4,FALSE))</f>
        <v>0</v>
      </c>
      <c r="Q245" s="31">
        <f>IFERROR(VLOOKUP($E245,bug_conf_sheet!$A:$H,5,FALSE),VLOOKUP("other",bug_conf_sheet!$A:$H,5,FALSE))</f>
        <v>0</v>
      </c>
      <c r="R245" s="31">
        <f>IFERROR(VLOOKUP($E245,bug_conf_sheet!$A:$H,6,FALSE),VLOOKUP("other",bug_conf_sheet!$A:$H,6,FALSE))</f>
        <v>0</v>
      </c>
      <c r="S245" s="31">
        <f>IFERROR(VLOOKUP($E245,bug_conf_sheet!$A:$H,7,FALSE),VLOOKUP("other",bug_conf_sheet!$A:$H,7,FALSE))</f>
        <v>0</v>
      </c>
      <c r="T245" s="31">
        <f>IFERROR(VLOOKUP($E245,bug_conf_sheet!$A:$H,8,FALSE),VLOOKUP("other",bug_conf_sheet!$A:$H,8,FALSE))</f>
        <v>1</v>
      </c>
    </row>
    <row r="246" spans="1:20" ht="21" customHeight="1">
      <c r="A246" s="2" t="str">
        <f ca="1">input_314100!A$2</f>
        <v>314100</v>
      </c>
      <c r="B246" s="7" t="str">
        <f t="shared" si="12"/>
        <v>PremiumSSSry5</v>
      </c>
      <c r="C246" s="7" t="str">
        <f t="shared" si="13"/>
        <v>PremiumSSS</v>
      </c>
      <c r="D246" s="7" t="str">
        <f t="shared" si="14"/>
        <v>ry</v>
      </c>
      <c r="E246" s="6">
        <v>486</v>
      </c>
      <c r="F246" s="7" t="str">
        <f>VLOOKUP(E246,[1]characters!$A:$C,3,FALSE)</f>
        <v>重なる世解 シュレディンガー</v>
      </c>
      <c r="G246" s="7" t="str">
        <f>VLOOKUP(E246,[1]characters!$A:$J,10,FALSE)</f>
        <v>PremiumSSS</v>
      </c>
      <c r="H246" s="7">
        <f>VLOOKUP(E246,[1]characters!$A:$I,9,FALSE)</f>
        <v>5</v>
      </c>
      <c r="I246" s="7" t="str">
        <f>VLOOKUP(E246,[1]characters!$A:$H,8,FALSE)</f>
        <v>red</v>
      </c>
      <c r="J246" s="7" t="str">
        <f>VLOOKUP(E246,[1]characters!$A:$K,11,FALSE)</f>
        <v>balance</v>
      </c>
      <c r="K246" s="7" t="str">
        <f>VLOOKUP(E246,[1]characters!$A:$M,13,FALSE)</f>
        <v>animal</v>
      </c>
      <c r="L246" s="7" t="str">
        <f>VLOOKUP(E246,[1]characters!$A:$G,7,FALSE)</f>
        <v>男性</v>
      </c>
      <c r="M246" s="62">
        <f ca="1">IFERROR(VLOOKUP(E246,input_314100!L:R,7,FALSE),VLOOKUP(tables_314100!B246,input_314100!A:H,8,FALSE))</f>
        <v>69930</v>
      </c>
      <c r="N246" s="63">
        <f t="shared" ca="1" si="15"/>
        <v>2.5000000000000001E-3</v>
      </c>
      <c r="O246" s="31">
        <f>IFERROR(VLOOKUP($E246,bug_conf_sheet!$A:$H,3,FALSE),VLOOKUP("other",bug_conf_sheet!$A:$H,3,FALSE))</f>
        <v>1</v>
      </c>
      <c r="P246" s="31">
        <f>IFERROR(VLOOKUP($E246,bug_conf_sheet!$A:$H,4,FALSE),VLOOKUP("other",bug_conf_sheet!$A:$H,4,FALSE))</f>
        <v>0</v>
      </c>
      <c r="Q246" s="31">
        <f>IFERROR(VLOOKUP($E246,bug_conf_sheet!$A:$H,5,FALSE),VLOOKUP("other",bug_conf_sheet!$A:$H,5,FALSE))</f>
        <v>0</v>
      </c>
      <c r="R246" s="31">
        <f>IFERROR(VLOOKUP($E246,bug_conf_sheet!$A:$H,6,FALSE),VLOOKUP("other",bug_conf_sheet!$A:$H,6,FALSE))</f>
        <v>0</v>
      </c>
      <c r="S246" s="31">
        <f>IFERROR(VLOOKUP($E246,bug_conf_sheet!$A:$H,7,FALSE),VLOOKUP("other",bug_conf_sheet!$A:$H,7,FALSE))</f>
        <v>0</v>
      </c>
      <c r="T246" s="31">
        <f>IFERROR(VLOOKUP($E246,bug_conf_sheet!$A:$H,8,FALSE),VLOOKUP("other",bug_conf_sheet!$A:$H,8,FALSE))</f>
        <v>1</v>
      </c>
    </row>
    <row r="247" spans="1:20" ht="21" customHeight="1">
      <c r="A247" s="2" t="str">
        <f ca="1">input_314100!A$2</f>
        <v>314100</v>
      </c>
      <c r="B247" s="7" t="str">
        <f t="shared" si="12"/>
        <v>PremiumSSSbg5</v>
      </c>
      <c r="C247" s="7" t="str">
        <f t="shared" si="13"/>
        <v>PremiumSSS</v>
      </c>
      <c r="D247" s="7" t="str">
        <f t="shared" si="14"/>
        <v>bg</v>
      </c>
      <c r="E247" s="6">
        <v>487</v>
      </c>
      <c r="F247" s="7" t="str">
        <f>VLOOKUP(E247,[1]characters!$A:$C,3,FALSE)</f>
        <v>暴創の造物 チューリング</v>
      </c>
      <c r="G247" s="7" t="str">
        <f>VLOOKUP(E247,[1]characters!$A:$J,10,FALSE)</f>
        <v>PremiumSSS</v>
      </c>
      <c r="H247" s="7">
        <f>VLOOKUP(E247,[1]characters!$A:$I,9,FALSE)</f>
        <v>5</v>
      </c>
      <c r="I247" s="7" t="str">
        <f>VLOOKUP(E247,[1]characters!$A:$H,8,FALSE)</f>
        <v>green</v>
      </c>
      <c r="J247" s="7" t="str">
        <f>VLOOKUP(E247,[1]characters!$A:$K,11,FALSE)</f>
        <v>hp</v>
      </c>
      <c r="K247" s="7" t="str">
        <f>VLOOKUP(E247,[1]characters!$A:$M,13,FALSE)</f>
        <v>human</v>
      </c>
      <c r="L247" s="7" t="str">
        <f>VLOOKUP(E247,[1]characters!$A:$G,7,FALSE)</f>
        <v>女性</v>
      </c>
      <c r="M247" s="62">
        <f ca="1">IFERROR(VLOOKUP(E247,input_314100!L:R,7,FALSE),VLOOKUP(tables_314100!B247,input_314100!A:H,8,FALSE))</f>
        <v>209790</v>
      </c>
      <c r="N247" s="63">
        <f t="shared" ca="1" si="15"/>
        <v>7.4999999999999997E-3</v>
      </c>
      <c r="O247" s="31">
        <f>IFERROR(VLOOKUP($E247,bug_conf_sheet!$A:$H,3,FALSE),VLOOKUP("other",bug_conf_sheet!$A:$H,3,FALSE))</f>
        <v>1</v>
      </c>
      <c r="P247" s="31">
        <f>IFERROR(VLOOKUP($E247,bug_conf_sheet!$A:$H,4,FALSE),VLOOKUP("other",bug_conf_sheet!$A:$H,4,FALSE))</f>
        <v>0</v>
      </c>
      <c r="Q247" s="31">
        <f>IFERROR(VLOOKUP($E247,bug_conf_sheet!$A:$H,5,FALSE),VLOOKUP("other",bug_conf_sheet!$A:$H,5,FALSE))</f>
        <v>0</v>
      </c>
      <c r="R247" s="31">
        <f>IFERROR(VLOOKUP($E247,bug_conf_sheet!$A:$H,6,FALSE),VLOOKUP("other",bug_conf_sheet!$A:$H,6,FALSE))</f>
        <v>0</v>
      </c>
      <c r="S247" s="31">
        <f>IFERROR(VLOOKUP($E247,bug_conf_sheet!$A:$H,7,FALSE),VLOOKUP("other",bug_conf_sheet!$A:$H,7,FALSE))</f>
        <v>0</v>
      </c>
      <c r="T247" s="31">
        <f>IFERROR(VLOOKUP($E247,bug_conf_sheet!$A:$H,8,FALSE),VLOOKUP("other",bug_conf_sheet!$A:$H,8,FALSE))</f>
        <v>1</v>
      </c>
    </row>
    <row r="248" spans="1:20" ht="21" customHeight="1">
      <c r="A248" s="2" t="str">
        <f ca="1">input_314100!A$2</f>
        <v>314100</v>
      </c>
      <c r="B248" s="7" t="str">
        <f t="shared" si="12"/>
        <v>PremiumSSSbg5</v>
      </c>
      <c r="C248" s="7" t="str">
        <f t="shared" si="13"/>
        <v>PremiumSSS</v>
      </c>
      <c r="D248" s="7" t="str">
        <f t="shared" si="14"/>
        <v>bg</v>
      </c>
      <c r="E248" s="6">
        <v>488</v>
      </c>
      <c r="F248" s="7" t="str">
        <f>VLOOKUP(E248,[1]characters!$A:$C,3,FALSE)</f>
        <v>直観の異論 ヘンペル</v>
      </c>
      <c r="G248" s="7" t="str">
        <f>VLOOKUP(E248,[1]characters!$A:$J,10,FALSE)</f>
        <v>PremiumSSS</v>
      </c>
      <c r="H248" s="7">
        <f>VLOOKUP(E248,[1]characters!$A:$I,9,FALSE)</f>
        <v>5</v>
      </c>
      <c r="I248" s="7" t="str">
        <f>VLOOKUP(E248,[1]characters!$A:$H,8,FALSE)</f>
        <v>blue</v>
      </c>
      <c r="J248" s="7" t="str">
        <f>VLOOKUP(E248,[1]characters!$A:$K,11,FALSE)</f>
        <v>technical</v>
      </c>
      <c r="K248" s="7" t="str">
        <f>VLOOKUP(E248,[1]characters!$A:$M,13,FALSE)</f>
        <v>human</v>
      </c>
      <c r="L248" s="7" t="str">
        <f>VLOOKUP(E248,[1]characters!$A:$G,7,FALSE)</f>
        <v>男性</v>
      </c>
      <c r="M248" s="62">
        <f ca="1">IFERROR(VLOOKUP(E248,input_314100!L:R,7,FALSE),VLOOKUP(tables_314100!B248,input_314100!A:H,8,FALSE))</f>
        <v>209790</v>
      </c>
      <c r="N248" s="63">
        <f t="shared" ca="1" si="15"/>
        <v>7.4999999999999997E-3</v>
      </c>
      <c r="O248" s="31">
        <f>IFERROR(VLOOKUP($E248,bug_conf_sheet!$A:$H,3,FALSE),VLOOKUP("other",bug_conf_sheet!$A:$H,3,FALSE))</f>
        <v>1</v>
      </c>
      <c r="P248" s="31">
        <f>IFERROR(VLOOKUP($E248,bug_conf_sheet!$A:$H,4,FALSE),VLOOKUP("other",bug_conf_sheet!$A:$H,4,FALSE))</f>
        <v>0</v>
      </c>
      <c r="Q248" s="31">
        <f>IFERROR(VLOOKUP($E248,bug_conf_sheet!$A:$H,5,FALSE),VLOOKUP("other",bug_conf_sheet!$A:$H,5,FALSE))</f>
        <v>0</v>
      </c>
      <c r="R248" s="31">
        <f>IFERROR(VLOOKUP($E248,bug_conf_sheet!$A:$H,6,FALSE),VLOOKUP("other",bug_conf_sheet!$A:$H,6,FALSE))</f>
        <v>0</v>
      </c>
      <c r="S248" s="31">
        <f>IFERROR(VLOOKUP($E248,bug_conf_sheet!$A:$H,7,FALSE),VLOOKUP("other",bug_conf_sheet!$A:$H,7,FALSE))</f>
        <v>0</v>
      </c>
      <c r="T248" s="31">
        <f>IFERROR(VLOOKUP($E248,bug_conf_sheet!$A:$H,8,FALSE),VLOOKUP("other",bug_conf_sheet!$A:$H,8,FALSE))</f>
        <v>1</v>
      </c>
    </row>
    <row r="249" spans="1:20" ht="21" customHeight="1">
      <c r="A249" s="2" t="str">
        <f ca="1">input_314100!A$2</f>
        <v>314100</v>
      </c>
      <c r="B249" s="7" t="str">
        <f t="shared" si="12"/>
        <v>PremiumSSSry5</v>
      </c>
      <c r="C249" s="7" t="str">
        <f t="shared" si="13"/>
        <v>PremiumSSS</v>
      </c>
      <c r="D249" s="7" t="str">
        <f t="shared" si="14"/>
        <v>ry</v>
      </c>
      <c r="E249" s="6">
        <v>489</v>
      </c>
      <c r="F249" s="7" t="str">
        <f>VLOOKUP(E249,[1]characters!$A:$C,3,FALSE)</f>
        <v>宇宙の拡超 ハップル</v>
      </c>
      <c r="G249" s="7" t="str">
        <f>VLOOKUP(E249,[1]characters!$A:$J,10,FALSE)</f>
        <v>PremiumSSS</v>
      </c>
      <c r="H249" s="7">
        <f>VLOOKUP(E249,[1]characters!$A:$I,9,FALSE)</f>
        <v>5</v>
      </c>
      <c r="I249" s="7" t="str">
        <f>VLOOKUP(E249,[1]characters!$A:$H,8,FALSE)</f>
        <v>yellow</v>
      </c>
      <c r="J249" s="7" t="str">
        <f>VLOOKUP(E249,[1]characters!$A:$K,11,FALSE)</f>
        <v>technical</v>
      </c>
      <c r="K249" s="7" t="str">
        <f>VLOOKUP(E249,[1]characters!$A:$M,13,FALSE)</f>
        <v>human</v>
      </c>
      <c r="L249" s="7" t="str">
        <f>VLOOKUP(E249,[1]characters!$A:$G,7,FALSE)</f>
        <v>女性</v>
      </c>
      <c r="M249" s="62">
        <f ca="1">IFERROR(VLOOKUP(E249,input_314100!L:R,7,FALSE),VLOOKUP(tables_314100!B249,input_314100!A:H,8,FALSE))</f>
        <v>69930</v>
      </c>
      <c r="N249" s="63">
        <f t="shared" ca="1" si="15"/>
        <v>2.5000000000000001E-3</v>
      </c>
      <c r="O249" s="31">
        <f>IFERROR(VLOOKUP($E249,bug_conf_sheet!$A:$H,3,FALSE),VLOOKUP("other",bug_conf_sheet!$A:$H,3,FALSE))</f>
        <v>1</v>
      </c>
      <c r="P249" s="31">
        <f>IFERROR(VLOOKUP($E249,bug_conf_sheet!$A:$H,4,FALSE),VLOOKUP("other",bug_conf_sheet!$A:$H,4,FALSE))</f>
        <v>0</v>
      </c>
      <c r="Q249" s="31">
        <f>IFERROR(VLOOKUP($E249,bug_conf_sheet!$A:$H,5,FALSE),VLOOKUP("other",bug_conf_sheet!$A:$H,5,FALSE))</f>
        <v>0</v>
      </c>
      <c r="R249" s="31">
        <f>IFERROR(VLOOKUP($E249,bug_conf_sheet!$A:$H,6,FALSE),VLOOKUP("other",bug_conf_sheet!$A:$H,6,FALSE))</f>
        <v>0</v>
      </c>
      <c r="S249" s="31">
        <f>IFERROR(VLOOKUP($E249,bug_conf_sheet!$A:$H,7,FALSE),VLOOKUP("other",bug_conf_sheet!$A:$H,7,FALSE))</f>
        <v>0</v>
      </c>
      <c r="T249" s="31">
        <f>IFERROR(VLOOKUP($E249,bug_conf_sheet!$A:$H,8,FALSE),VLOOKUP("other",bug_conf_sheet!$A:$H,8,FALSE))</f>
        <v>1</v>
      </c>
    </row>
    <row r="250" spans="1:20" ht="21" customHeight="1">
      <c r="A250" s="2" t="str">
        <f ca="1">input_314100!A$2</f>
        <v>314100</v>
      </c>
      <c r="B250" s="7" t="str">
        <f t="shared" ref="B250:B259" si="16">C250&amp;IF(C250="premium",,D250)&amp;H250</f>
        <v>Premium3</v>
      </c>
      <c r="C250" s="7" t="str">
        <f t="shared" ref="C250:C259" si="17">IF(G250="PremiumSS",G250,IF(G250="PremiumSSS",G250,"Premium"))</f>
        <v>Premium</v>
      </c>
      <c r="D250" s="7" t="str">
        <f t="shared" ref="D250:D259" si="18">IF(I250="red","ry",IF(I250="yellow","ry","bg"))</f>
        <v>ry</v>
      </c>
      <c r="E250" s="6">
        <v>668</v>
      </c>
      <c r="F250" s="7" t="str">
        <f>VLOOKUP(E250,[1]characters!$A:$C,3,FALSE)</f>
        <v>アグニ</v>
      </c>
      <c r="G250" s="7" t="str">
        <f>VLOOKUP(E250,[1]characters!$A:$J,10,FALSE)</f>
        <v>PremiumS</v>
      </c>
      <c r="H250" s="7">
        <f>VLOOKUP(E250,[1]characters!$A:$I,9,FALSE)</f>
        <v>3</v>
      </c>
      <c r="I250" s="7" t="str">
        <f>VLOOKUP(E250,[1]characters!$A:$H,8,FALSE)</f>
        <v>red</v>
      </c>
      <c r="J250" s="7" t="str">
        <f>VLOOKUP(E250,[1]characters!$A:$K,11,FALSE)</f>
        <v>hp</v>
      </c>
      <c r="K250" s="7" t="str">
        <f>VLOOKUP(E250,[1]characters!$A:$M,13,FALSE)</f>
        <v>god</v>
      </c>
      <c r="L250" s="7" t="str">
        <f>VLOOKUP(E250,[1]characters!$A:$G,7,FALSE)</f>
        <v>男性</v>
      </c>
      <c r="M250" s="62">
        <f ca="1">IFERROR(VLOOKUP(E250,input_314100!L:R,7,FALSE),VLOOKUP(tables_314100!B250,input_314100!A:H,8,FALSE))</f>
        <v>0</v>
      </c>
      <c r="N250" s="63">
        <f t="shared" ref="N250:N259" ca="1" si="19">M250/SUM(M:M)</f>
        <v>0</v>
      </c>
      <c r="O250" s="31">
        <f>IFERROR(VLOOKUP($E250,bug_conf_sheet!$A:$H,3,FALSE),VLOOKUP("other",bug_conf_sheet!$A:$H,3,FALSE))</f>
        <v>1</v>
      </c>
      <c r="P250" s="31">
        <f>IFERROR(VLOOKUP($E250,bug_conf_sheet!$A:$H,4,FALSE),VLOOKUP("other",bug_conf_sheet!$A:$H,4,FALSE))</f>
        <v>0</v>
      </c>
      <c r="Q250" s="31">
        <f>IFERROR(VLOOKUP($E250,bug_conf_sheet!$A:$H,5,FALSE),VLOOKUP("other",bug_conf_sheet!$A:$H,5,FALSE))</f>
        <v>0</v>
      </c>
      <c r="R250" s="31">
        <f>IFERROR(VLOOKUP($E250,bug_conf_sheet!$A:$H,6,FALSE),VLOOKUP("other",bug_conf_sheet!$A:$H,6,FALSE))</f>
        <v>0</v>
      </c>
      <c r="S250" s="31">
        <f>IFERROR(VLOOKUP($E250,bug_conf_sheet!$A:$H,7,FALSE),VLOOKUP("other",bug_conf_sheet!$A:$H,7,FALSE))</f>
        <v>0</v>
      </c>
      <c r="T250" s="31">
        <f>IFERROR(VLOOKUP($E250,bug_conf_sheet!$A:$H,8,FALSE),VLOOKUP("other",bug_conf_sheet!$A:$H,8,FALSE))</f>
        <v>1</v>
      </c>
    </row>
    <row r="251" spans="1:20" ht="21" customHeight="1">
      <c r="A251" s="2" t="str">
        <f ca="1">input_314100!A$2</f>
        <v>314100</v>
      </c>
      <c r="B251" s="7" t="str">
        <f t="shared" si="16"/>
        <v>Premium4</v>
      </c>
      <c r="C251" s="7" t="str">
        <f t="shared" si="17"/>
        <v>Premium</v>
      </c>
      <c r="D251" s="7" t="str">
        <f t="shared" si="18"/>
        <v>ry</v>
      </c>
      <c r="E251" s="6">
        <v>669</v>
      </c>
      <c r="F251" s="7" t="str">
        <f>VLOOKUP(E251,[1]characters!$A:$C,3,FALSE)</f>
        <v>天地の仲界 アグニ</v>
      </c>
      <c r="G251" s="7" t="str">
        <f>VLOOKUP(E251,[1]characters!$A:$J,10,FALSE)</f>
        <v>PremiumS</v>
      </c>
      <c r="H251" s="7">
        <f>VLOOKUP(E251,[1]characters!$A:$I,9,FALSE)</f>
        <v>4</v>
      </c>
      <c r="I251" s="7" t="str">
        <f>VLOOKUP(E251,[1]characters!$A:$H,8,FALSE)</f>
        <v>red</v>
      </c>
      <c r="J251" s="7" t="str">
        <f>VLOOKUP(E251,[1]characters!$A:$K,11,FALSE)</f>
        <v>hp</v>
      </c>
      <c r="K251" s="7" t="str">
        <f>VLOOKUP(E251,[1]characters!$A:$M,13,FALSE)</f>
        <v>god</v>
      </c>
      <c r="L251" s="7" t="str">
        <f>VLOOKUP(E251,[1]characters!$A:$G,7,FALSE)</f>
        <v>男性</v>
      </c>
      <c r="M251" s="62">
        <f ca="1">IFERROR(VLOOKUP(E251,input_314100!L:R,7,FALSE),VLOOKUP(tables_314100!B251,input_314100!A:H,8,FALSE))</f>
        <v>342090</v>
      </c>
      <c r="N251" s="63">
        <f t="shared" ca="1" si="19"/>
        <v>1.222972972972973E-2</v>
      </c>
      <c r="O251" s="31">
        <f>IFERROR(VLOOKUP($E251,bug_conf_sheet!$A:$H,3,FALSE),VLOOKUP("other",bug_conf_sheet!$A:$H,3,FALSE))</f>
        <v>1</v>
      </c>
      <c r="P251" s="31">
        <f>IFERROR(VLOOKUP($E251,bug_conf_sheet!$A:$H,4,FALSE),VLOOKUP("other",bug_conf_sheet!$A:$H,4,FALSE))</f>
        <v>0</v>
      </c>
      <c r="Q251" s="31">
        <f>IFERROR(VLOOKUP($E251,bug_conf_sheet!$A:$H,5,FALSE),VLOOKUP("other",bug_conf_sheet!$A:$H,5,FALSE))</f>
        <v>0</v>
      </c>
      <c r="R251" s="31">
        <f>IFERROR(VLOOKUP($E251,bug_conf_sheet!$A:$H,6,FALSE),VLOOKUP("other",bug_conf_sheet!$A:$H,6,FALSE))</f>
        <v>0</v>
      </c>
      <c r="S251" s="31">
        <f>IFERROR(VLOOKUP($E251,bug_conf_sheet!$A:$H,7,FALSE),VLOOKUP("other",bug_conf_sheet!$A:$H,7,FALSE))</f>
        <v>0</v>
      </c>
      <c r="T251" s="31">
        <f>IFERROR(VLOOKUP($E251,bug_conf_sheet!$A:$H,8,FALSE),VLOOKUP("other",bug_conf_sheet!$A:$H,8,FALSE))</f>
        <v>1</v>
      </c>
    </row>
    <row r="252" spans="1:20" ht="21" customHeight="1">
      <c r="A252" s="2" t="str">
        <f ca="1">input_314100!A$2</f>
        <v>314100</v>
      </c>
      <c r="B252" s="7" t="str">
        <f t="shared" si="16"/>
        <v>Premium5</v>
      </c>
      <c r="C252" s="7" t="str">
        <f t="shared" si="17"/>
        <v>Premium</v>
      </c>
      <c r="D252" s="7" t="str">
        <f t="shared" si="18"/>
        <v>ry</v>
      </c>
      <c r="E252" s="6">
        <v>670</v>
      </c>
      <c r="F252" s="7" t="str">
        <f>VLOOKUP(E252,[1]characters!$A:$C,3,FALSE)</f>
        <v>陽天の噴煙 アグニ</v>
      </c>
      <c r="G252" s="7" t="str">
        <f>VLOOKUP(E252,[1]characters!$A:$J,10,FALSE)</f>
        <v>PremiumS</v>
      </c>
      <c r="H252" s="7">
        <f>VLOOKUP(E252,[1]characters!$A:$I,9,FALSE)</f>
        <v>5</v>
      </c>
      <c r="I252" s="7" t="str">
        <f>VLOOKUP(E252,[1]characters!$A:$H,8,FALSE)</f>
        <v>red</v>
      </c>
      <c r="J252" s="7" t="str">
        <f>VLOOKUP(E252,[1]characters!$A:$K,11,FALSE)</f>
        <v>hp</v>
      </c>
      <c r="K252" s="7" t="str">
        <f>VLOOKUP(E252,[1]characters!$A:$M,13,FALSE)</f>
        <v>god</v>
      </c>
      <c r="L252" s="7" t="str">
        <f>VLOOKUP(E252,[1]characters!$A:$G,7,FALSE)</f>
        <v>男性</v>
      </c>
      <c r="M252" s="62">
        <f ca="1">IFERROR(VLOOKUP(E252,input_314100!L:R,7,FALSE),VLOOKUP(tables_314100!B252,input_314100!A:H,8,FALSE))</f>
        <v>12950</v>
      </c>
      <c r="N252" s="63">
        <f t="shared" ca="1" si="19"/>
        <v>4.6296296296296298E-4</v>
      </c>
      <c r="O252" s="31">
        <f>IFERROR(VLOOKUP($E252,bug_conf_sheet!$A:$H,3,FALSE),VLOOKUP("other",bug_conf_sheet!$A:$H,3,FALSE))</f>
        <v>1</v>
      </c>
      <c r="P252" s="31">
        <f>IFERROR(VLOOKUP($E252,bug_conf_sheet!$A:$H,4,FALSE),VLOOKUP("other",bug_conf_sheet!$A:$H,4,FALSE))</f>
        <v>0</v>
      </c>
      <c r="Q252" s="31">
        <f>IFERROR(VLOOKUP($E252,bug_conf_sheet!$A:$H,5,FALSE),VLOOKUP("other",bug_conf_sheet!$A:$H,5,FALSE))</f>
        <v>0</v>
      </c>
      <c r="R252" s="31">
        <f>IFERROR(VLOOKUP($E252,bug_conf_sheet!$A:$H,6,FALSE),VLOOKUP("other",bug_conf_sheet!$A:$H,6,FALSE))</f>
        <v>0</v>
      </c>
      <c r="S252" s="31">
        <f>IFERROR(VLOOKUP($E252,bug_conf_sheet!$A:$H,7,FALSE),VLOOKUP("other",bug_conf_sheet!$A:$H,7,FALSE))</f>
        <v>0</v>
      </c>
      <c r="T252" s="31">
        <f>IFERROR(VLOOKUP($E252,bug_conf_sheet!$A:$H,8,FALSE),VLOOKUP("other",bug_conf_sheet!$A:$H,8,FALSE))</f>
        <v>1</v>
      </c>
    </row>
    <row r="253" spans="1:20" ht="21" customHeight="1">
      <c r="A253" s="2" t="str">
        <f ca="1">input_314100!A$2</f>
        <v>314100</v>
      </c>
      <c r="B253" s="7" t="str">
        <f t="shared" si="16"/>
        <v>Premium3</v>
      </c>
      <c r="C253" s="7" t="str">
        <f t="shared" si="17"/>
        <v>Premium</v>
      </c>
      <c r="D253" s="7" t="str">
        <f t="shared" si="18"/>
        <v>bg</v>
      </c>
      <c r="E253" s="6">
        <v>671</v>
      </c>
      <c r="F253" s="7" t="str">
        <f>VLOOKUP(E253,[1]characters!$A:$C,3,FALSE)</f>
        <v>ハヌマーン</v>
      </c>
      <c r="G253" s="7" t="str">
        <f>VLOOKUP(E253,[1]characters!$A:$J,10,FALSE)</f>
        <v>PremiumS</v>
      </c>
      <c r="H253" s="7">
        <f>VLOOKUP(E253,[1]characters!$A:$I,9,FALSE)</f>
        <v>3</v>
      </c>
      <c r="I253" s="7" t="str">
        <f>VLOOKUP(E253,[1]characters!$A:$H,8,FALSE)</f>
        <v>green</v>
      </c>
      <c r="J253" s="7" t="str">
        <f>VLOOKUP(E253,[1]characters!$A:$K,11,FALSE)</f>
        <v>attack</v>
      </c>
      <c r="K253" s="7" t="str">
        <f>VLOOKUP(E253,[1]characters!$A:$M,13,FALSE)</f>
        <v>animal</v>
      </c>
      <c r="L253" s="7" t="str">
        <f>VLOOKUP(E253,[1]characters!$A:$G,7,FALSE)</f>
        <v>男性</v>
      </c>
      <c r="M253" s="62">
        <f ca="1">IFERROR(VLOOKUP(E253,input_314100!L:R,7,FALSE),VLOOKUP(tables_314100!B253,input_314100!A:H,8,FALSE))</f>
        <v>0</v>
      </c>
      <c r="N253" s="63">
        <f t="shared" ca="1" si="19"/>
        <v>0</v>
      </c>
      <c r="O253" s="31">
        <f>IFERROR(VLOOKUP($E253,bug_conf_sheet!$A:$H,3,FALSE),VLOOKUP("other",bug_conf_sheet!$A:$H,3,FALSE))</f>
        <v>1</v>
      </c>
      <c r="P253" s="31">
        <f>IFERROR(VLOOKUP($E253,bug_conf_sheet!$A:$H,4,FALSE),VLOOKUP("other",bug_conf_sheet!$A:$H,4,FALSE))</f>
        <v>0</v>
      </c>
      <c r="Q253" s="31">
        <f>IFERROR(VLOOKUP($E253,bug_conf_sheet!$A:$H,5,FALSE),VLOOKUP("other",bug_conf_sheet!$A:$H,5,FALSE))</f>
        <v>0</v>
      </c>
      <c r="R253" s="31">
        <f>IFERROR(VLOOKUP($E253,bug_conf_sheet!$A:$H,6,FALSE),VLOOKUP("other",bug_conf_sheet!$A:$H,6,FALSE))</f>
        <v>0</v>
      </c>
      <c r="S253" s="31">
        <f>IFERROR(VLOOKUP($E253,bug_conf_sheet!$A:$H,7,FALSE),VLOOKUP("other",bug_conf_sheet!$A:$H,7,FALSE))</f>
        <v>0</v>
      </c>
      <c r="T253" s="31">
        <f>IFERROR(VLOOKUP($E253,bug_conf_sheet!$A:$H,8,FALSE),VLOOKUP("other",bug_conf_sheet!$A:$H,8,FALSE))</f>
        <v>1</v>
      </c>
    </row>
    <row r="254" spans="1:20" ht="21" customHeight="1">
      <c r="A254" s="2" t="str">
        <f ca="1">input_314100!A$2</f>
        <v>314100</v>
      </c>
      <c r="B254" s="7" t="str">
        <f t="shared" si="16"/>
        <v>Premium4</v>
      </c>
      <c r="C254" s="7" t="str">
        <f t="shared" si="17"/>
        <v>Premium</v>
      </c>
      <c r="D254" s="7" t="str">
        <f t="shared" si="18"/>
        <v>bg</v>
      </c>
      <c r="E254" s="6">
        <v>672</v>
      </c>
      <c r="F254" s="7" t="str">
        <f>VLOOKUP(E254,[1]characters!$A:$C,3,FALSE)</f>
        <v>西遊韋駄天 ハヌマーン</v>
      </c>
      <c r="G254" s="7" t="str">
        <f>VLOOKUP(E254,[1]characters!$A:$J,10,FALSE)</f>
        <v>PremiumS</v>
      </c>
      <c r="H254" s="7">
        <f>VLOOKUP(E254,[1]characters!$A:$I,9,FALSE)</f>
        <v>4</v>
      </c>
      <c r="I254" s="7" t="str">
        <f>VLOOKUP(E254,[1]characters!$A:$H,8,FALSE)</f>
        <v>green</v>
      </c>
      <c r="J254" s="7" t="str">
        <f>VLOOKUP(E254,[1]characters!$A:$K,11,FALSE)</f>
        <v>attack</v>
      </c>
      <c r="K254" s="7" t="str">
        <f>VLOOKUP(E254,[1]characters!$A:$M,13,FALSE)</f>
        <v>animal</v>
      </c>
      <c r="L254" s="7" t="str">
        <f>VLOOKUP(E254,[1]characters!$A:$G,7,FALSE)</f>
        <v>男性</v>
      </c>
      <c r="M254" s="62">
        <f ca="1">IFERROR(VLOOKUP(E254,input_314100!L:R,7,FALSE),VLOOKUP(tables_314100!B254,input_314100!A:H,8,FALSE))</f>
        <v>342090</v>
      </c>
      <c r="N254" s="63">
        <f t="shared" ca="1" si="19"/>
        <v>1.222972972972973E-2</v>
      </c>
      <c r="O254" s="31">
        <f>IFERROR(VLOOKUP($E254,bug_conf_sheet!$A:$H,3,FALSE),VLOOKUP("other",bug_conf_sheet!$A:$H,3,FALSE))</f>
        <v>1</v>
      </c>
      <c r="P254" s="31">
        <f>IFERROR(VLOOKUP($E254,bug_conf_sheet!$A:$H,4,FALSE),VLOOKUP("other",bug_conf_sheet!$A:$H,4,FALSE))</f>
        <v>0</v>
      </c>
      <c r="Q254" s="31">
        <f>IFERROR(VLOOKUP($E254,bug_conf_sheet!$A:$H,5,FALSE),VLOOKUP("other",bug_conf_sheet!$A:$H,5,FALSE))</f>
        <v>0</v>
      </c>
      <c r="R254" s="31">
        <f>IFERROR(VLOOKUP($E254,bug_conf_sheet!$A:$H,6,FALSE),VLOOKUP("other",bug_conf_sheet!$A:$H,6,FALSE))</f>
        <v>0</v>
      </c>
      <c r="S254" s="31">
        <f>IFERROR(VLOOKUP($E254,bug_conf_sheet!$A:$H,7,FALSE),VLOOKUP("other",bug_conf_sheet!$A:$H,7,FALSE))</f>
        <v>0</v>
      </c>
      <c r="T254" s="31">
        <f>IFERROR(VLOOKUP($E254,bug_conf_sheet!$A:$H,8,FALSE),VLOOKUP("other",bug_conf_sheet!$A:$H,8,FALSE))</f>
        <v>1</v>
      </c>
    </row>
    <row r="255" spans="1:20" ht="21" customHeight="1">
      <c r="A255" s="2" t="str">
        <f ca="1">input_314100!A$2</f>
        <v>314100</v>
      </c>
      <c r="B255" s="7" t="str">
        <f t="shared" si="16"/>
        <v>Premium5</v>
      </c>
      <c r="C255" s="7" t="str">
        <f t="shared" si="17"/>
        <v>Premium</v>
      </c>
      <c r="D255" s="7" t="str">
        <f t="shared" si="18"/>
        <v>bg</v>
      </c>
      <c r="E255" s="6">
        <v>673</v>
      </c>
      <c r="F255" s="7" t="str">
        <f>VLOOKUP(E255,[1]characters!$A:$C,3,FALSE)</f>
        <v>変幻自在の猿王 ハヌマーン</v>
      </c>
      <c r="G255" s="7" t="str">
        <f>VLOOKUP(E255,[1]characters!$A:$J,10,FALSE)</f>
        <v>PremiumS</v>
      </c>
      <c r="H255" s="7">
        <f>VLOOKUP(E255,[1]characters!$A:$I,9,FALSE)</f>
        <v>5</v>
      </c>
      <c r="I255" s="7" t="str">
        <f>VLOOKUP(E255,[1]characters!$A:$H,8,FALSE)</f>
        <v>green</v>
      </c>
      <c r="J255" s="7" t="str">
        <f>VLOOKUP(E255,[1]characters!$A:$K,11,FALSE)</f>
        <v>attack</v>
      </c>
      <c r="K255" s="7" t="str">
        <f>VLOOKUP(E255,[1]characters!$A:$M,13,FALSE)</f>
        <v>animal</v>
      </c>
      <c r="L255" s="7" t="str">
        <f>VLOOKUP(E255,[1]characters!$A:$G,7,FALSE)</f>
        <v>男性</v>
      </c>
      <c r="M255" s="62">
        <f ca="1">IFERROR(VLOOKUP(E255,input_314100!L:R,7,FALSE),VLOOKUP(tables_314100!B255,input_314100!A:H,8,FALSE))</f>
        <v>12950</v>
      </c>
      <c r="N255" s="63">
        <f t="shared" ca="1" si="19"/>
        <v>4.6296296296296298E-4</v>
      </c>
      <c r="O255" s="31">
        <f>IFERROR(VLOOKUP($E255,bug_conf_sheet!$A:$H,3,FALSE),VLOOKUP("other",bug_conf_sheet!$A:$H,3,FALSE))</f>
        <v>1</v>
      </c>
      <c r="P255" s="31">
        <f>IFERROR(VLOOKUP($E255,bug_conf_sheet!$A:$H,4,FALSE),VLOOKUP("other",bug_conf_sheet!$A:$H,4,FALSE))</f>
        <v>0</v>
      </c>
      <c r="Q255" s="31">
        <f>IFERROR(VLOOKUP($E255,bug_conf_sheet!$A:$H,5,FALSE),VLOOKUP("other",bug_conf_sheet!$A:$H,5,FALSE))</f>
        <v>0</v>
      </c>
      <c r="R255" s="31">
        <f>IFERROR(VLOOKUP($E255,bug_conf_sheet!$A:$H,6,FALSE),VLOOKUP("other",bug_conf_sheet!$A:$H,6,FALSE))</f>
        <v>0</v>
      </c>
      <c r="S255" s="31">
        <f>IFERROR(VLOOKUP($E255,bug_conf_sheet!$A:$H,7,FALSE),VLOOKUP("other",bug_conf_sheet!$A:$H,7,FALSE))</f>
        <v>0</v>
      </c>
      <c r="T255" s="31">
        <f>IFERROR(VLOOKUP($E255,bug_conf_sheet!$A:$H,8,FALSE),VLOOKUP("other",bug_conf_sheet!$A:$H,8,FALSE))</f>
        <v>1</v>
      </c>
    </row>
    <row r="256" spans="1:20" ht="21" customHeight="1">
      <c r="A256" s="2" t="str">
        <f ca="1">input_314100!A$2</f>
        <v>314100</v>
      </c>
      <c r="B256" s="7" t="str">
        <f t="shared" si="16"/>
        <v>PremiumSSbg4</v>
      </c>
      <c r="C256" s="7" t="str">
        <f t="shared" si="17"/>
        <v>PremiumSS</v>
      </c>
      <c r="D256" s="7" t="str">
        <f t="shared" si="18"/>
        <v>bg</v>
      </c>
      <c r="E256" s="6">
        <v>674</v>
      </c>
      <c r="F256" s="7" t="str">
        <f>VLOOKUP(E256,[1]characters!$A:$C,3,FALSE)</f>
        <v>サラスヴァティ</v>
      </c>
      <c r="G256" s="7" t="str">
        <f>VLOOKUP(E256,[1]characters!$A:$J,10,FALSE)</f>
        <v>PremiumSS</v>
      </c>
      <c r="H256" s="7">
        <f>VLOOKUP(E256,[1]characters!$A:$I,9,FALSE)</f>
        <v>4</v>
      </c>
      <c r="I256" s="7" t="str">
        <f>VLOOKUP(E256,[1]characters!$A:$H,8,FALSE)</f>
        <v>blue</v>
      </c>
      <c r="J256" s="7" t="str">
        <f>VLOOKUP(E256,[1]characters!$A:$K,11,FALSE)</f>
        <v>balance</v>
      </c>
      <c r="K256" s="7" t="str">
        <f>VLOOKUP(E256,[1]characters!$A:$M,13,FALSE)</f>
        <v>god</v>
      </c>
      <c r="L256" s="7" t="str">
        <f>VLOOKUP(E256,[1]characters!$A:$G,7,FALSE)</f>
        <v>女性</v>
      </c>
      <c r="M256" s="62">
        <f ca="1">IFERROR(VLOOKUP(E256,input_314100!L:R,7,FALSE),VLOOKUP(tables_314100!B256,input_314100!A:H,8,FALSE))</f>
        <v>62937</v>
      </c>
      <c r="N256" s="63">
        <f t="shared" ca="1" si="19"/>
        <v>2.2499999999999998E-3</v>
      </c>
      <c r="O256" s="31">
        <f>IFERROR(VLOOKUP($E256,bug_conf_sheet!$A:$H,3,FALSE),VLOOKUP("other",bug_conf_sheet!$A:$H,3,FALSE))</f>
        <v>1</v>
      </c>
      <c r="P256" s="31">
        <f>IFERROR(VLOOKUP($E256,bug_conf_sheet!$A:$H,4,FALSE),VLOOKUP("other",bug_conf_sheet!$A:$H,4,FALSE))</f>
        <v>0</v>
      </c>
      <c r="Q256" s="31">
        <f>IFERROR(VLOOKUP($E256,bug_conf_sheet!$A:$H,5,FALSE),VLOOKUP("other",bug_conf_sheet!$A:$H,5,FALSE))</f>
        <v>0</v>
      </c>
      <c r="R256" s="31">
        <f>IFERROR(VLOOKUP($E256,bug_conf_sheet!$A:$H,6,FALSE),VLOOKUP("other",bug_conf_sheet!$A:$H,6,FALSE))</f>
        <v>0</v>
      </c>
      <c r="S256" s="31">
        <f>IFERROR(VLOOKUP($E256,bug_conf_sheet!$A:$H,7,FALSE),VLOOKUP("other",bug_conf_sheet!$A:$H,7,FALSE))</f>
        <v>0</v>
      </c>
      <c r="T256" s="31">
        <f>IFERROR(VLOOKUP($E256,bug_conf_sheet!$A:$H,8,FALSE),VLOOKUP("other",bug_conf_sheet!$A:$H,8,FALSE))</f>
        <v>1</v>
      </c>
    </row>
    <row r="257" spans="1:20" ht="21" customHeight="1">
      <c r="A257" s="2" t="str">
        <f ca="1">input_314100!A$2</f>
        <v>314100</v>
      </c>
      <c r="B257" s="7" t="str">
        <f t="shared" si="16"/>
        <v>PremiumSSbg5</v>
      </c>
      <c r="C257" s="7" t="str">
        <f t="shared" si="17"/>
        <v>PremiumSS</v>
      </c>
      <c r="D257" s="7" t="str">
        <f t="shared" si="18"/>
        <v>bg</v>
      </c>
      <c r="E257" s="6">
        <v>675</v>
      </c>
      <c r="F257" s="7" t="str">
        <f>VLOOKUP(E257,[1]characters!$A:$C,3,FALSE)</f>
        <v>芸楽の奔流 サラスヴァティ</v>
      </c>
      <c r="G257" s="7" t="str">
        <f>VLOOKUP(E257,[1]characters!$A:$J,10,FALSE)</f>
        <v>PremiumSS</v>
      </c>
      <c r="H257" s="7">
        <f>VLOOKUP(E257,[1]characters!$A:$I,9,FALSE)</f>
        <v>5</v>
      </c>
      <c r="I257" s="7" t="str">
        <f>VLOOKUP(E257,[1]characters!$A:$H,8,FALSE)</f>
        <v>blue</v>
      </c>
      <c r="J257" s="7" t="str">
        <f>VLOOKUP(E257,[1]characters!$A:$K,11,FALSE)</f>
        <v>balance</v>
      </c>
      <c r="K257" s="7" t="str">
        <f>VLOOKUP(E257,[1]characters!$A:$M,13,FALSE)</f>
        <v>god</v>
      </c>
      <c r="L257" s="7" t="str">
        <f>VLOOKUP(E257,[1]characters!$A:$G,7,FALSE)</f>
        <v>女性</v>
      </c>
      <c r="M257" s="62">
        <f ca="1">IFERROR(VLOOKUP(E257,input_314100!L:R,7,FALSE),VLOOKUP(tables_314100!B257,input_314100!A:H,8,FALSE))</f>
        <v>6993</v>
      </c>
      <c r="N257" s="63">
        <f t="shared" ca="1" si="19"/>
        <v>2.5000000000000001E-4</v>
      </c>
      <c r="O257" s="31">
        <f>IFERROR(VLOOKUP($E257,bug_conf_sheet!$A:$H,3,FALSE),VLOOKUP("other",bug_conf_sheet!$A:$H,3,FALSE))</f>
        <v>1</v>
      </c>
      <c r="P257" s="31">
        <f>IFERROR(VLOOKUP($E257,bug_conf_sheet!$A:$H,4,FALSE),VLOOKUP("other",bug_conf_sheet!$A:$H,4,FALSE))</f>
        <v>0</v>
      </c>
      <c r="Q257" s="31">
        <f>IFERROR(VLOOKUP($E257,bug_conf_sheet!$A:$H,5,FALSE),VLOOKUP("other",bug_conf_sheet!$A:$H,5,FALSE))</f>
        <v>0</v>
      </c>
      <c r="R257" s="31">
        <f>IFERROR(VLOOKUP($E257,bug_conf_sheet!$A:$H,6,FALSE),VLOOKUP("other",bug_conf_sheet!$A:$H,6,FALSE))</f>
        <v>0</v>
      </c>
      <c r="S257" s="31">
        <f>IFERROR(VLOOKUP($E257,bug_conf_sheet!$A:$H,7,FALSE),VLOOKUP("other",bug_conf_sheet!$A:$H,7,FALSE))</f>
        <v>0</v>
      </c>
      <c r="T257" s="31">
        <f>IFERROR(VLOOKUP($E257,bug_conf_sheet!$A:$H,8,FALSE),VLOOKUP("other",bug_conf_sheet!$A:$H,8,FALSE))</f>
        <v>1</v>
      </c>
    </row>
    <row r="258" spans="1:20" ht="21" customHeight="1">
      <c r="A258" s="2" t="str">
        <f ca="1">input_314100!A$2</f>
        <v>314100</v>
      </c>
      <c r="B258" s="7" t="str">
        <f t="shared" si="16"/>
        <v>PremiumSSry4</v>
      </c>
      <c r="C258" s="7" t="str">
        <f t="shared" si="17"/>
        <v>PremiumSS</v>
      </c>
      <c r="D258" s="7" t="str">
        <f t="shared" si="18"/>
        <v>ry</v>
      </c>
      <c r="E258" s="6">
        <v>676</v>
      </c>
      <c r="F258" s="7" t="str">
        <f>VLOOKUP(E258,[1]characters!$A:$C,3,FALSE)</f>
        <v>ヴィシュヌ</v>
      </c>
      <c r="G258" s="7" t="str">
        <f>VLOOKUP(E258,[1]characters!$A:$J,10,FALSE)</f>
        <v>PremiumSS</v>
      </c>
      <c r="H258" s="7">
        <f>VLOOKUP(E258,[1]characters!$A:$I,9,FALSE)</f>
        <v>4</v>
      </c>
      <c r="I258" s="7" t="str">
        <f>VLOOKUP(E258,[1]characters!$A:$H,8,FALSE)</f>
        <v>yellow</v>
      </c>
      <c r="J258" s="7" t="str">
        <f>VLOOKUP(E258,[1]characters!$A:$K,11,FALSE)</f>
        <v>attack</v>
      </c>
      <c r="K258" s="7" t="str">
        <f>VLOOKUP(E258,[1]characters!$A:$M,13,FALSE)</f>
        <v>god</v>
      </c>
      <c r="L258" s="7" t="str">
        <f>VLOOKUP(E258,[1]characters!$A:$G,7,FALSE)</f>
        <v>女性</v>
      </c>
      <c r="M258" s="62">
        <f ca="1">IFERROR(VLOOKUP(E258,input_314100!L:R,7,FALSE),VLOOKUP(tables_314100!B258,input_314100!A:H,8,FALSE))</f>
        <v>35964</v>
      </c>
      <c r="N258" s="63">
        <f t="shared" ca="1" si="19"/>
        <v>1.2857142857142856E-3</v>
      </c>
      <c r="O258" s="31">
        <f>IFERROR(VLOOKUP($E258,bug_conf_sheet!$A:$H,3,FALSE),VLOOKUP("other",bug_conf_sheet!$A:$H,3,FALSE))</f>
        <v>1</v>
      </c>
      <c r="P258" s="31">
        <f>IFERROR(VLOOKUP($E258,bug_conf_sheet!$A:$H,4,FALSE),VLOOKUP("other",bug_conf_sheet!$A:$H,4,FALSE))</f>
        <v>0</v>
      </c>
      <c r="Q258" s="31">
        <f>IFERROR(VLOOKUP($E258,bug_conf_sheet!$A:$H,5,FALSE),VLOOKUP("other",bug_conf_sheet!$A:$H,5,FALSE))</f>
        <v>0</v>
      </c>
      <c r="R258" s="31">
        <f>IFERROR(VLOOKUP($E258,bug_conf_sheet!$A:$H,6,FALSE),VLOOKUP("other",bug_conf_sheet!$A:$H,6,FALSE))</f>
        <v>0</v>
      </c>
      <c r="S258" s="31">
        <f>IFERROR(VLOOKUP($E258,bug_conf_sheet!$A:$H,7,FALSE),VLOOKUP("other",bug_conf_sheet!$A:$H,7,FALSE))</f>
        <v>0</v>
      </c>
      <c r="T258" s="31">
        <f>IFERROR(VLOOKUP($E258,bug_conf_sheet!$A:$H,8,FALSE),VLOOKUP("other",bug_conf_sheet!$A:$H,8,FALSE))</f>
        <v>1</v>
      </c>
    </row>
    <row r="259" spans="1:20" ht="21" customHeight="1">
      <c r="A259" s="2" t="str">
        <f ca="1">input_314100!A$2</f>
        <v>314100</v>
      </c>
      <c r="B259" s="7" t="str">
        <f t="shared" si="16"/>
        <v>PremiumSSry5</v>
      </c>
      <c r="C259" s="7" t="str">
        <f t="shared" si="17"/>
        <v>PremiumSS</v>
      </c>
      <c r="D259" s="7" t="str">
        <f t="shared" si="18"/>
        <v>ry</v>
      </c>
      <c r="E259" s="6">
        <v>677</v>
      </c>
      <c r="F259" s="7" t="str">
        <f>VLOOKUP(E259,[1]characters!$A:$C,3,FALSE)</f>
        <v>武遊闊歩 ヴィシュヌ</v>
      </c>
      <c r="G259" s="7" t="str">
        <f>VLOOKUP(E259,[1]characters!$A:$J,10,FALSE)</f>
        <v>PremiumSS</v>
      </c>
      <c r="H259" s="7">
        <f>VLOOKUP(E259,[1]characters!$A:$I,9,FALSE)</f>
        <v>5</v>
      </c>
      <c r="I259" s="7" t="str">
        <f>VLOOKUP(E259,[1]characters!$A:$H,8,FALSE)</f>
        <v>yellow</v>
      </c>
      <c r="J259" s="7" t="str">
        <f>VLOOKUP(E259,[1]characters!$A:$K,11,FALSE)</f>
        <v>attack</v>
      </c>
      <c r="K259" s="7" t="str">
        <f>VLOOKUP(E259,[1]characters!$A:$M,13,FALSE)</f>
        <v>god</v>
      </c>
      <c r="L259" s="7" t="str">
        <f>VLOOKUP(E259,[1]characters!$A:$G,7,FALSE)</f>
        <v>女性</v>
      </c>
      <c r="M259" s="62">
        <f ca="1">IFERROR(VLOOKUP(E259,input_314100!L:R,7,FALSE),VLOOKUP(tables_314100!B259,input_314100!A:H,8,FALSE))</f>
        <v>3996</v>
      </c>
      <c r="N259" s="63">
        <f t="shared" ca="1" si="19"/>
        <v>1.4285714285714287E-4</v>
      </c>
      <c r="O259" s="31">
        <f>IFERROR(VLOOKUP($E259,bug_conf_sheet!$A:$H,3,FALSE),VLOOKUP("other",bug_conf_sheet!$A:$H,3,FALSE))</f>
        <v>1</v>
      </c>
      <c r="P259" s="31">
        <f>IFERROR(VLOOKUP($E259,bug_conf_sheet!$A:$H,4,FALSE),VLOOKUP("other",bug_conf_sheet!$A:$H,4,FALSE))</f>
        <v>0</v>
      </c>
      <c r="Q259" s="31">
        <f>IFERROR(VLOOKUP($E259,bug_conf_sheet!$A:$H,5,FALSE),VLOOKUP("other",bug_conf_sheet!$A:$H,5,FALSE))</f>
        <v>0</v>
      </c>
      <c r="R259" s="31">
        <f>IFERROR(VLOOKUP($E259,bug_conf_sheet!$A:$H,6,FALSE),VLOOKUP("other",bug_conf_sheet!$A:$H,6,FALSE))</f>
        <v>0</v>
      </c>
      <c r="S259" s="31">
        <f>IFERROR(VLOOKUP($E259,bug_conf_sheet!$A:$H,7,FALSE),VLOOKUP("other",bug_conf_sheet!$A:$H,7,FALSE))</f>
        <v>0</v>
      </c>
      <c r="T259" s="31">
        <f>IFERROR(VLOOKUP($E259,bug_conf_sheet!$A:$H,8,FALSE),VLOOKUP("other",bug_conf_sheet!$A:$H,8,FALSE))</f>
        <v>1</v>
      </c>
    </row>
  </sheetData>
  <autoFilter ref="A1:T249"/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44" enableFormatConditionsCalculation="0">
    <tabColor rgb="FF0000FF"/>
    <outlinePr summaryBelow="0" summaryRight="0"/>
  </sheetPr>
  <dimension ref="A1:Q2"/>
  <sheetViews>
    <sheetView showGridLines="0" workbookViewId="0">
      <pane ySplit="1" topLeftCell="A2" activePane="bottomLeft" state="frozen"/>
      <selection activeCell="M24" sqref="M24"/>
      <selection pane="bottomLeft" activeCell="B2" sqref="B2"/>
    </sheetView>
  </sheetViews>
  <sheetFormatPr baseColWidth="12" defaultRowHeight="21" customHeight="1" x14ac:dyDescent="0"/>
  <cols>
    <col min="1" max="1" width="14.6640625" style="1" bestFit="1" customWidth="1"/>
    <col min="2" max="2" width="14.1640625" style="1" bestFit="1" customWidth="1"/>
    <col min="3" max="4" width="14.1640625" style="1" customWidth="1"/>
    <col min="5" max="5" width="16.5" style="1" customWidth="1"/>
    <col min="6" max="6" width="8.6640625" style="1" bestFit="1" customWidth="1"/>
    <col min="14" max="14" width="8.6640625" style="1" bestFit="1" customWidth="1"/>
    <col min="15" max="16" width="12.83203125" style="1"/>
    <col min="17" max="17" width="18.83203125" style="1" bestFit="1" customWidth="1"/>
    <col min="18" max="16384" width="12.83203125" style="1"/>
  </cols>
  <sheetData>
    <row r="1" spans="1:17" ht="21" customHeight="1">
      <c r="A1" s="14" t="s">
        <v>11</v>
      </c>
      <c r="B1" s="24" t="s">
        <v>14</v>
      </c>
      <c r="C1" s="15" t="s">
        <v>16</v>
      </c>
      <c r="D1" s="15" t="s">
        <v>17</v>
      </c>
      <c r="E1" s="15" t="s">
        <v>18</v>
      </c>
      <c r="F1" s="14" t="s">
        <v>2</v>
      </c>
      <c r="G1" s="70" t="s">
        <v>107</v>
      </c>
      <c r="H1" s="70" t="s">
        <v>108</v>
      </c>
      <c r="I1" s="71" t="s">
        <v>109</v>
      </c>
      <c r="J1" s="71" t="s">
        <v>110</v>
      </c>
      <c r="K1" s="71" t="s">
        <v>111</v>
      </c>
      <c r="L1" s="71" t="s">
        <v>112</v>
      </c>
      <c r="M1" s="71" t="s">
        <v>113</v>
      </c>
      <c r="N1" s="14" t="s">
        <v>19</v>
      </c>
      <c r="O1" s="14" t="s">
        <v>20</v>
      </c>
      <c r="P1" s="14" t="s">
        <v>21</v>
      </c>
      <c r="Q1" s="14" t="s">
        <v>22</v>
      </c>
    </row>
    <row r="2" spans="1:17" ht="21" customHeight="1">
      <c r="G2" s="1">
        <v>0</v>
      </c>
      <c r="H2" s="1">
        <v>0</v>
      </c>
      <c r="I2" s="1">
        <v>0</v>
      </c>
      <c r="J2" s="1">
        <v>0</v>
      </c>
      <c r="K2" s="1">
        <v>1</v>
      </c>
      <c r="L2" s="1">
        <v>1</v>
      </c>
      <c r="M2" s="1">
        <v>1</v>
      </c>
      <c r="N2" s="1" t="s">
        <v>114</v>
      </c>
    </row>
  </sheetData>
  <autoFilter ref="A1:F1"/>
  <phoneticPr fontId="16"/>
  <pageMargins left="0.75" right="0.75" top="1" bottom="1" header="0.3" footer="0.3"/>
  <pageSetup paperSize="9" orientation="portrait" horizontalDpi="4294967292" verticalDpi="4294967292"/>
  <legacyDrawing r:id="rId1"/>
  <extLst>
    <ext xmlns:mx="http://schemas.microsoft.com/office/mac/excel/2008/main" uri="{64002731-A6B0-56B0-2670-7721B7C09600}">
      <mx:PLV Mode="0" OnePage="0" WScale="0"/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 enableFormatConditionsCalculation="0">
    <tabColor rgb="FFFF0000"/>
  </sheetPr>
  <dimension ref="A1:H13"/>
  <sheetViews>
    <sheetView workbookViewId="0">
      <pane ySplit="1" topLeftCell="A2" activePane="bottomLeft" state="frozen"/>
      <selection pane="bottomLeft" activeCell="F10" sqref="F10"/>
    </sheetView>
  </sheetViews>
  <sheetFormatPr baseColWidth="12" defaultRowHeight="14" x14ac:dyDescent="0"/>
  <cols>
    <col min="2" max="2" width="36.6640625" customWidth="1"/>
    <col min="3" max="8" width="12.5" customWidth="1"/>
  </cols>
  <sheetData>
    <row r="1" spans="1:8">
      <c r="A1" s="13" t="s">
        <v>1</v>
      </c>
      <c r="B1" s="42" t="s">
        <v>56</v>
      </c>
      <c r="C1" s="32" t="s">
        <v>59</v>
      </c>
      <c r="D1" s="33" t="s">
        <v>6</v>
      </c>
      <c r="E1" s="33" t="s">
        <v>7</v>
      </c>
      <c r="F1" s="33" t="s">
        <v>8</v>
      </c>
      <c r="G1" s="33" t="s">
        <v>9</v>
      </c>
      <c r="H1" s="33" t="s">
        <v>10</v>
      </c>
    </row>
    <row r="2" spans="1:8">
      <c r="A2" s="6"/>
      <c r="B2" s="45" t="str">
        <f>IFERROR(VLOOKUP(A2,[1]characters!$A:$C,3,FALSE),"")</f>
        <v/>
      </c>
      <c r="C2" s="5"/>
      <c r="D2" s="5"/>
      <c r="E2" s="5"/>
      <c r="F2" s="5"/>
      <c r="G2" s="5"/>
      <c r="H2" s="13"/>
    </row>
    <row r="3" spans="1:8">
      <c r="A3" s="6"/>
      <c r="B3" s="45" t="str">
        <f>IFERROR(VLOOKUP(A3,[1]characters!$A:$C,3,FALSE),"")</f>
        <v/>
      </c>
      <c r="C3" s="5"/>
      <c r="D3" s="5"/>
      <c r="E3" s="5"/>
      <c r="F3" s="5"/>
      <c r="G3" s="5"/>
      <c r="H3" s="13"/>
    </row>
    <row r="4" spans="1:8">
      <c r="A4" s="6"/>
      <c r="B4" s="45" t="str">
        <f>IFERROR(VLOOKUP(A4,[1]characters!$A:$C,3,FALSE),"")</f>
        <v/>
      </c>
      <c r="C4" s="5"/>
      <c r="D4" s="5"/>
      <c r="E4" s="5"/>
      <c r="F4" s="5"/>
      <c r="G4" s="5"/>
      <c r="H4" s="13"/>
    </row>
    <row r="5" spans="1:8">
      <c r="A5" s="6"/>
      <c r="B5" s="45" t="str">
        <f>IFERROR(VLOOKUP(A5,[1]characters!$A:$C,3,FALSE),"")</f>
        <v/>
      </c>
      <c r="C5" s="5"/>
      <c r="D5" s="5"/>
      <c r="E5" s="5"/>
      <c r="F5" s="5"/>
      <c r="G5" s="5"/>
      <c r="H5" s="13"/>
    </row>
    <row r="6" spans="1:8">
      <c r="A6" s="6"/>
      <c r="B6" s="45" t="str">
        <f>IFERROR(VLOOKUP(A6,[1]characters!$A:$C,3,FALSE),"")</f>
        <v/>
      </c>
      <c r="C6" s="5"/>
      <c r="D6" s="5"/>
      <c r="E6" s="5"/>
      <c r="F6" s="5"/>
      <c r="G6" s="5"/>
      <c r="H6" s="13"/>
    </row>
    <row r="7" spans="1:8">
      <c r="A7" s="6"/>
      <c r="B7" s="45" t="str">
        <f>IFERROR(VLOOKUP(A7,[1]characters!$A:$C,3,FALSE),"")</f>
        <v/>
      </c>
      <c r="C7" s="5"/>
      <c r="D7" s="5"/>
      <c r="E7" s="5"/>
      <c r="F7" s="5"/>
      <c r="G7" s="5"/>
      <c r="H7" s="13"/>
    </row>
    <row r="8" spans="1:8">
      <c r="A8" s="6"/>
      <c r="B8" s="45" t="str">
        <f>IFERROR(VLOOKUP(A8,[1]characters!$A:$C,3,FALSE),"")</f>
        <v/>
      </c>
      <c r="C8" s="5"/>
      <c r="D8" s="5"/>
      <c r="E8" s="5"/>
      <c r="F8" s="5"/>
      <c r="G8" s="5"/>
      <c r="H8" s="13"/>
    </row>
    <row r="9" spans="1:8">
      <c r="A9" s="6"/>
      <c r="B9" s="45" t="str">
        <f>IFERROR(VLOOKUP(A9,[1]characters!$A:$C,3,FALSE),"")</f>
        <v/>
      </c>
      <c r="C9" s="5"/>
      <c r="D9" s="5"/>
      <c r="E9" s="5"/>
      <c r="F9" s="5"/>
      <c r="G9" s="5"/>
      <c r="H9" s="13"/>
    </row>
    <row r="10" spans="1:8">
      <c r="A10" s="6"/>
      <c r="B10" s="45" t="str">
        <f>IFERROR(VLOOKUP(A10,[1]characters!$A:$C,3,FALSE),"")</f>
        <v/>
      </c>
      <c r="C10" s="5"/>
      <c r="D10" s="5"/>
      <c r="E10" s="5"/>
      <c r="F10" s="5"/>
      <c r="G10" s="5"/>
      <c r="H10" s="13"/>
    </row>
    <row r="11" spans="1:8">
      <c r="A11" s="6"/>
      <c r="B11" s="45" t="str">
        <f>IFERROR(VLOOKUP(A11,[1]characters!$A:$C,3,FALSE),"")</f>
        <v/>
      </c>
      <c r="C11" s="5"/>
      <c r="D11" s="5"/>
      <c r="E11" s="5"/>
      <c r="F11" s="5"/>
      <c r="G11" s="5"/>
      <c r="H11" s="13"/>
    </row>
    <row r="12" spans="1:8">
      <c r="A12" s="6"/>
      <c r="B12" s="7"/>
      <c r="C12" s="5"/>
      <c r="D12" s="5"/>
      <c r="E12" s="5"/>
      <c r="F12" s="5"/>
      <c r="G12" s="5"/>
      <c r="H12" s="13"/>
    </row>
    <row r="13" spans="1:8">
      <c r="A13" s="13" t="s">
        <v>64</v>
      </c>
      <c r="B13" s="7" t="str">
        <f>IFERROR(VLOOKUP(A13,[1]characters!$A:$C,3,FALSE),"")</f>
        <v/>
      </c>
      <c r="C13" s="5">
        <v>1</v>
      </c>
      <c r="D13" s="5">
        <v>0</v>
      </c>
      <c r="E13" s="5">
        <v>0</v>
      </c>
      <c r="F13" s="5">
        <v>0</v>
      </c>
      <c r="G13" s="5">
        <v>0</v>
      </c>
      <c r="H13" s="13">
        <v>1</v>
      </c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 enableFormatConditionsCalculation="0">
    <tabColor rgb="FFFF0000"/>
  </sheetPr>
  <dimension ref="A2:H16"/>
  <sheetViews>
    <sheetView workbookViewId="0">
      <selection activeCell="C7" sqref="C7"/>
    </sheetView>
  </sheetViews>
  <sheetFormatPr baseColWidth="12" defaultRowHeight="14" x14ac:dyDescent="0"/>
  <cols>
    <col min="1" max="3" width="12.83203125" customWidth="1"/>
  </cols>
  <sheetData>
    <row r="2" spans="1:8">
      <c r="A2" t="s">
        <v>63</v>
      </c>
    </row>
    <row r="3" spans="1:8">
      <c r="A3" s="34">
        <v>300</v>
      </c>
    </row>
    <row r="5" spans="1:8">
      <c r="A5" s="35" t="s">
        <v>58</v>
      </c>
      <c r="B5" s="36" t="str">
        <f>$A$3 &amp; "1"</f>
        <v>3001</v>
      </c>
      <c r="C5" s="43"/>
      <c r="D5" s="35" t="s">
        <v>61</v>
      </c>
      <c r="E5" s="36" t="str">
        <f>$A$3 &amp; "0"</f>
        <v>3000</v>
      </c>
      <c r="F5" s="43"/>
      <c r="G5" s="35" t="s">
        <v>62</v>
      </c>
      <c r="H5" s="36" t="str">
        <f>$A$3 &amp; "3"</f>
        <v>3003</v>
      </c>
    </row>
    <row r="6" spans="1:8">
      <c r="A6" s="37" t="s">
        <v>60</v>
      </c>
      <c r="B6" s="38"/>
      <c r="C6" s="43"/>
      <c r="D6" s="37" t="s">
        <v>60</v>
      </c>
      <c r="E6" s="38"/>
      <c r="F6" s="43"/>
      <c r="G6" s="37" t="s">
        <v>60</v>
      </c>
      <c r="H6" s="38"/>
    </row>
    <row r="7" spans="1:8">
      <c r="A7" s="40">
        <f ca="1">COUNTIFS(tables_314010!$G:$G,"PremiumSSS",tables_314010!$A:$A,B5)</f>
        <v>0</v>
      </c>
      <c r="B7" s="38"/>
      <c r="C7" s="43"/>
      <c r="D7" s="40">
        <f ca="1">COUNTIFS(tables_314010!$G:$G,"PremiumSSS",tables_314010!$A:$A,E5)</f>
        <v>0</v>
      </c>
      <c r="E7" s="38"/>
      <c r="F7" s="43"/>
      <c r="G7" s="40" t="e">
        <f>COUNTIF(#REF!,"PremiumSSS")</f>
        <v>#REF!</v>
      </c>
      <c r="H7" s="38"/>
    </row>
    <row r="8" spans="1:8">
      <c r="A8" s="37"/>
      <c r="B8" s="38"/>
      <c r="C8" s="43"/>
      <c r="D8" s="37"/>
      <c r="E8" s="38"/>
      <c r="F8" s="43"/>
      <c r="G8" s="37"/>
      <c r="H8" s="38"/>
    </row>
    <row r="9" spans="1:8">
      <c r="A9" s="37" t="s">
        <v>57</v>
      </c>
      <c r="B9" s="38"/>
      <c r="C9" s="43"/>
      <c r="D9" s="37" t="s">
        <v>57</v>
      </c>
      <c r="E9" s="38"/>
      <c r="F9" s="43"/>
      <c r="G9" s="37" t="s">
        <v>57</v>
      </c>
      <c r="H9" s="38"/>
    </row>
    <row r="10" spans="1:8">
      <c r="A10" s="40">
        <f>COUNTIFS(tables_314010!$T:$T,"&gt;1",tables_314010!$A:$A,B5)</f>
        <v>0</v>
      </c>
      <c r="B10" s="38"/>
      <c r="C10" s="43"/>
      <c r="D10" s="40">
        <f>COUNTIFS(tables_314010!$T:$T,"&gt;1", tables_314010!$A:$A,E5)</f>
        <v>0</v>
      </c>
      <c r="E10" s="38"/>
      <c r="F10" s="43"/>
      <c r="G10" s="40" t="e">
        <f>COUNTIF(#REF!,"&gt;1")</f>
        <v>#REF!</v>
      </c>
      <c r="H10" s="38"/>
    </row>
    <row r="11" spans="1:8">
      <c r="A11" s="37"/>
      <c r="B11" s="38"/>
      <c r="C11" s="43"/>
      <c r="D11" s="37"/>
      <c r="E11" s="38"/>
      <c r="F11" s="43"/>
      <c r="G11" s="37"/>
      <c r="H11" s="38"/>
    </row>
    <row r="12" spans="1:8">
      <c r="A12" s="37" t="s">
        <v>67</v>
      </c>
      <c r="B12" s="38"/>
      <c r="C12" s="43"/>
      <c r="D12" s="37" t="s">
        <v>67</v>
      </c>
      <c r="E12" s="38"/>
      <c r="F12" s="43"/>
      <c r="G12" s="37" t="s">
        <v>67</v>
      </c>
      <c r="H12" s="38"/>
    </row>
    <row r="13" spans="1:8">
      <c r="A13" s="40">
        <f>COUNTIFS(tables_314010!$O:$O,"&gt;1",tables_314010!$A:$A,B5)</f>
        <v>0</v>
      </c>
      <c r="B13" s="38"/>
      <c r="C13" s="43"/>
      <c r="D13" s="40">
        <f>COUNTIFS(tables_314010!$O:$O,"&gt;1", tables_314010!$A:$A,E5)</f>
        <v>0</v>
      </c>
      <c r="E13" s="38"/>
      <c r="F13" s="43"/>
      <c r="G13" s="40" t="e">
        <f>COUNTIF(#REF!,"&gt;1")</f>
        <v>#REF!</v>
      </c>
      <c r="H13" s="38"/>
    </row>
    <row r="14" spans="1:8">
      <c r="A14" s="37"/>
      <c r="B14" s="38"/>
      <c r="C14" s="43"/>
      <c r="D14" s="37"/>
      <c r="E14" s="38"/>
      <c r="F14" s="43"/>
      <c r="G14" s="37"/>
      <c r="H14" s="38"/>
    </row>
    <row r="15" spans="1:8">
      <c r="A15" s="37" t="s">
        <v>65</v>
      </c>
      <c r="B15" s="38"/>
      <c r="C15" s="43"/>
      <c r="D15" s="37" t="s">
        <v>66</v>
      </c>
      <c r="E15" s="38"/>
      <c r="F15" s="43"/>
      <c r="G15" s="37" t="s">
        <v>66</v>
      </c>
      <c r="H15" s="38"/>
    </row>
    <row r="16" spans="1:8">
      <c r="A16" s="41">
        <f ca="1">COUNTIF(tables_314010!$A:$A,B5)</f>
        <v>0</v>
      </c>
      <c r="B16" s="39"/>
      <c r="C16" s="43"/>
      <c r="D16" s="41">
        <f ca="1">COUNTIF(tables_314010!$A:$A,E5)</f>
        <v>0</v>
      </c>
      <c r="E16" s="39"/>
      <c r="F16" s="43"/>
      <c r="G16" s="41" t="e">
        <f>COUNTIF(#REF!,H5)</f>
        <v>#REF!</v>
      </c>
      <c r="H16" s="39"/>
    </row>
  </sheetData>
  <phoneticPr fontId="16"/>
  <pageMargins left="0.7" right="0.7" top="0.75" bottom="0.75" header="0.3" footer="0.3"/>
  <pageSetup paperSize="9" orientation="portrait" horizontalDpi="4294967292" verticalDpi="4294967292"/>
  <extLst>
    <ext xmlns:mx="http://schemas.microsoft.com/office/mac/excel/2008/main" uri="{64002731-A6B0-56B0-2670-7721B7C09600}">
      <mx:PLV Mode="0" OnePage="0" WScale="0"/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ワークシート</vt:lpstr>
      </vt:variant>
      <vt:variant>
        <vt:i4>11</vt:i4>
      </vt:variant>
    </vt:vector>
  </HeadingPairs>
  <TitlesOfParts>
    <vt:vector size="11" baseType="lpstr">
      <vt:lpstr>Sheet1</vt:lpstr>
      <vt:lpstr>output</vt:lpstr>
      <vt:lpstr>input_314010</vt:lpstr>
      <vt:lpstr>tables_314010</vt:lpstr>
      <vt:lpstr>input_314101</vt:lpstr>
      <vt:lpstr>tables_314101</vt:lpstr>
      <vt:lpstr>input_314100</vt:lpstr>
      <vt:lpstr>tables_314100</vt:lpstr>
      <vt:lpstr>gacha_bonus_tables</vt:lpstr>
      <vt:lpstr>bug_conf_sheet</vt:lpstr>
      <vt:lpstr>check_sheet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加藤 雅大</cp:lastModifiedBy>
  <dcterms:created xsi:type="dcterms:W3CDTF">2015-04-01T12:34:09Z</dcterms:created>
  <dcterms:modified xsi:type="dcterms:W3CDTF">2016-03-25T11:17:42Z</dcterms:modified>
</cp:coreProperties>
</file>