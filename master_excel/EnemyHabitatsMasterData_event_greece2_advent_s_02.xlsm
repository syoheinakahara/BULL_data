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140" yWindow="460" windowWidth="25680" windowHeight="1986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8" l="1"/>
  <c r="D15" i="18"/>
  <c r="C14" i="18"/>
  <c r="D14" i="18"/>
  <c r="C13" i="18"/>
  <c r="D13" i="18"/>
  <c r="N59" i="9"/>
  <c r="G55" i="9"/>
  <c r="H55" i="9"/>
  <c r="I55" i="9"/>
  <c r="J55" i="9"/>
  <c r="K55" i="9"/>
  <c r="L55" i="9"/>
  <c r="M55" i="9"/>
  <c r="N55" i="9"/>
  <c r="J59" i="11"/>
  <c r="O55" i="9"/>
  <c r="G56" i="9"/>
  <c r="H56" i="9"/>
  <c r="I56" i="9"/>
  <c r="J56" i="9"/>
  <c r="K56" i="9"/>
  <c r="L56" i="9"/>
  <c r="M56" i="9"/>
  <c r="N56" i="9"/>
  <c r="J60" i="11"/>
  <c r="O56" i="9"/>
  <c r="G57" i="9"/>
  <c r="H57" i="9"/>
  <c r="I57" i="9"/>
  <c r="J57" i="9"/>
  <c r="K57" i="9"/>
  <c r="L57" i="9"/>
  <c r="M57" i="9"/>
  <c r="N57" i="9"/>
  <c r="J61" i="11"/>
  <c r="O57" i="9"/>
  <c r="G58" i="9"/>
  <c r="H58" i="9"/>
  <c r="I58" i="9"/>
  <c r="J58" i="9"/>
  <c r="K58" i="9"/>
  <c r="L58" i="9"/>
  <c r="M58" i="9"/>
  <c r="N58" i="9"/>
  <c r="J62" i="11"/>
  <c r="O58" i="9"/>
  <c r="G59" i="9"/>
  <c r="H59" i="9"/>
  <c r="I59" i="9"/>
  <c r="J59" i="9"/>
  <c r="K59" i="9"/>
  <c r="L59" i="9"/>
  <c r="M59" i="9"/>
  <c r="J63" i="11"/>
  <c r="O59" i="9"/>
  <c r="G60" i="9"/>
  <c r="H60" i="9"/>
  <c r="I60" i="9"/>
  <c r="J60" i="9"/>
  <c r="K60" i="9"/>
  <c r="L60" i="9"/>
  <c r="M60" i="9"/>
  <c r="N60" i="9"/>
  <c r="J64" i="11"/>
  <c r="O60" i="9"/>
  <c r="G61" i="9"/>
  <c r="H61" i="9"/>
  <c r="I61" i="9"/>
  <c r="J61" i="9"/>
  <c r="K61" i="9"/>
  <c r="L61" i="9"/>
  <c r="M61" i="9"/>
  <c r="N61" i="9"/>
  <c r="J65" i="11"/>
  <c r="O61" i="9"/>
  <c r="G62" i="9"/>
  <c r="H62" i="9"/>
  <c r="I62" i="9"/>
  <c r="J62" i="9"/>
  <c r="K62" i="9"/>
  <c r="L62" i="9"/>
  <c r="M62" i="9"/>
  <c r="N62" i="9"/>
  <c r="J66" i="11"/>
  <c r="O62" i="9"/>
  <c r="G63" i="9"/>
  <c r="H63" i="9"/>
  <c r="I63" i="9"/>
  <c r="J63" i="9"/>
  <c r="K63" i="9"/>
  <c r="L63" i="9"/>
  <c r="M63" i="9"/>
  <c r="N63" i="9"/>
  <c r="J67" i="11"/>
  <c r="O63" i="9"/>
  <c r="E63" i="9"/>
  <c r="D63" i="9"/>
  <c r="A63" i="9"/>
  <c r="E62" i="9"/>
  <c r="D62" i="9"/>
  <c r="A62" i="9"/>
  <c r="E56" i="9"/>
  <c r="D56" i="9"/>
  <c r="A56" i="9"/>
  <c r="E55" i="9"/>
  <c r="D55" i="9"/>
  <c r="A55" i="9"/>
  <c r="A57" i="9"/>
  <c r="D57" i="9"/>
  <c r="E57" i="9"/>
  <c r="A58" i="9"/>
  <c r="D58" i="9"/>
  <c r="E58" i="9"/>
  <c r="A59" i="9"/>
  <c r="D59" i="9"/>
  <c r="E59" i="9"/>
  <c r="A60" i="9"/>
  <c r="D60" i="9"/>
  <c r="E60" i="9"/>
  <c r="A61" i="9"/>
  <c r="D61" i="9"/>
  <c r="E61" i="9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H47" i="9"/>
  <c r="I47" i="9"/>
  <c r="J47" i="9"/>
  <c r="K47" i="9"/>
  <c r="L47" i="9"/>
  <c r="M47" i="9"/>
  <c r="N47" i="9"/>
  <c r="J48" i="11"/>
  <c r="O47" i="9"/>
  <c r="H48" i="9"/>
  <c r="I48" i="9"/>
  <c r="J48" i="9"/>
  <c r="K48" i="9"/>
  <c r="L48" i="9"/>
  <c r="M48" i="9"/>
  <c r="N48" i="9"/>
  <c r="J49" i="11"/>
  <c r="O48" i="9"/>
  <c r="H49" i="9"/>
  <c r="I49" i="9"/>
  <c r="J49" i="9"/>
  <c r="K49" i="9"/>
  <c r="L49" i="9"/>
  <c r="M49" i="9"/>
  <c r="N49" i="9"/>
  <c r="J50" i="11"/>
  <c r="O49" i="9"/>
  <c r="H50" i="9"/>
  <c r="I50" i="9"/>
  <c r="J50" i="9"/>
  <c r="K50" i="9"/>
  <c r="L50" i="9"/>
  <c r="M50" i="9"/>
  <c r="N50" i="9"/>
  <c r="J51" i="11"/>
  <c r="O50" i="9"/>
  <c r="H51" i="9"/>
  <c r="I51" i="9"/>
  <c r="J51" i="9"/>
  <c r="K51" i="9"/>
  <c r="L51" i="9"/>
  <c r="M51" i="9"/>
  <c r="N51" i="9"/>
  <c r="J52" i="11"/>
  <c r="O51" i="9"/>
  <c r="H52" i="9"/>
  <c r="I52" i="9"/>
  <c r="J52" i="9"/>
  <c r="K52" i="9"/>
  <c r="L52" i="9"/>
  <c r="M52" i="9"/>
  <c r="N52" i="9"/>
  <c r="J53" i="11"/>
  <c r="O52" i="9"/>
  <c r="H53" i="9"/>
  <c r="I53" i="9"/>
  <c r="J53" i="9"/>
  <c r="K53" i="9"/>
  <c r="L53" i="9"/>
  <c r="M53" i="9"/>
  <c r="N53" i="9"/>
  <c r="J54" i="11"/>
  <c r="O53" i="9"/>
  <c r="J58" i="11"/>
  <c r="J6" i="11"/>
  <c r="O6" i="9"/>
  <c r="N6" i="9"/>
  <c r="M6" i="9"/>
  <c r="L6" i="9"/>
  <c r="K6" i="9"/>
  <c r="J6" i="9"/>
  <c r="I6" i="9"/>
  <c r="H6" i="9"/>
  <c r="G6" i="9"/>
  <c r="E6" i="9"/>
  <c r="D6" i="9"/>
  <c r="A6" i="9"/>
  <c r="O13" i="9"/>
  <c r="E13" i="9"/>
  <c r="D13" i="9"/>
  <c r="A13" i="9"/>
  <c r="G31" i="10"/>
  <c r="H31" i="10"/>
  <c r="I31" i="10"/>
  <c r="K31" i="10"/>
  <c r="J31" i="10"/>
  <c r="M31" i="10"/>
  <c r="T31" i="10"/>
  <c r="U31" i="10"/>
  <c r="V31" i="10"/>
  <c r="X31" i="10"/>
  <c r="W31" i="10"/>
  <c r="J57" i="11"/>
  <c r="O28" i="9"/>
  <c r="E28" i="9"/>
  <c r="D28" i="9"/>
  <c r="A28" i="9"/>
  <c r="J56" i="11"/>
  <c r="O26" i="9"/>
  <c r="E26" i="9"/>
  <c r="D26" i="9"/>
  <c r="A26" i="9"/>
  <c r="G3" i="9"/>
  <c r="H3" i="9"/>
  <c r="I3" i="9"/>
  <c r="J3" i="9"/>
  <c r="K3" i="9"/>
  <c r="L3" i="9"/>
  <c r="M3" i="9"/>
  <c r="N3" i="9"/>
  <c r="J3" i="11"/>
  <c r="O3" i="9"/>
  <c r="G4" i="9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J5" i="11"/>
  <c r="O5" i="9"/>
  <c r="O7" i="9"/>
  <c r="G8" i="9"/>
  <c r="H8" i="9"/>
  <c r="I8" i="9"/>
  <c r="J8" i="9"/>
  <c r="K8" i="9"/>
  <c r="L8" i="9"/>
  <c r="M8" i="9"/>
  <c r="N8" i="9"/>
  <c r="J7" i="11"/>
  <c r="O8" i="9"/>
  <c r="G9" i="9"/>
  <c r="H9" i="9"/>
  <c r="I9" i="9"/>
  <c r="J9" i="9"/>
  <c r="K9" i="9"/>
  <c r="L9" i="9"/>
  <c r="M9" i="9"/>
  <c r="N9" i="9"/>
  <c r="J8" i="11"/>
  <c r="O9" i="9"/>
  <c r="G10" i="9"/>
  <c r="H10" i="9"/>
  <c r="I10" i="9"/>
  <c r="J10" i="9"/>
  <c r="K10" i="9"/>
  <c r="L10" i="9"/>
  <c r="M10" i="9"/>
  <c r="N10" i="9"/>
  <c r="J9" i="11"/>
  <c r="O10" i="9"/>
  <c r="G11" i="9"/>
  <c r="H11" i="9"/>
  <c r="I11" i="9"/>
  <c r="J11" i="9"/>
  <c r="K11" i="9"/>
  <c r="L11" i="9"/>
  <c r="M11" i="9"/>
  <c r="N11" i="9"/>
  <c r="J10" i="11"/>
  <c r="O11" i="9"/>
  <c r="G12" i="9"/>
  <c r="H12" i="9"/>
  <c r="I12" i="9"/>
  <c r="J12" i="9"/>
  <c r="K12" i="9"/>
  <c r="L12" i="9"/>
  <c r="M12" i="9"/>
  <c r="N12" i="9"/>
  <c r="J11" i="11"/>
  <c r="O12" i="9"/>
  <c r="G14" i="9"/>
  <c r="H14" i="9"/>
  <c r="I14" i="9"/>
  <c r="J14" i="9"/>
  <c r="K14" i="9"/>
  <c r="L14" i="9"/>
  <c r="M14" i="9"/>
  <c r="N14" i="9"/>
  <c r="J13" i="11"/>
  <c r="O14" i="9"/>
  <c r="G15" i="9"/>
  <c r="H15" i="9"/>
  <c r="I15" i="9"/>
  <c r="J15" i="9"/>
  <c r="K15" i="9"/>
  <c r="L15" i="9"/>
  <c r="M15" i="9"/>
  <c r="N15" i="9"/>
  <c r="J14" i="11"/>
  <c r="O15" i="9"/>
  <c r="G16" i="9"/>
  <c r="H16" i="9"/>
  <c r="I16" i="9"/>
  <c r="J16" i="9"/>
  <c r="K16" i="9"/>
  <c r="L16" i="9"/>
  <c r="M16" i="9"/>
  <c r="N16" i="9"/>
  <c r="J15" i="11"/>
  <c r="O16" i="9"/>
  <c r="G17" i="9"/>
  <c r="H17" i="9"/>
  <c r="I17" i="9"/>
  <c r="J17" i="9"/>
  <c r="K17" i="9"/>
  <c r="L17" i="9"/>
  <c r="M17" i="9"/>
  <c r="N17" i="9"/>
  <c r="J16" i="11"/>
  <c r="O17" i="9"/>
  <c r="G18" i="9"/>
  <c r="H18" i="9"/>
  <c r="I18" i="9"/>
  <c r="J18" i="9"/>
  <c r="K18" i="9"/>
  <c r="L18" i="9"/>
  <c r="M18" i="9"/>
  <c r="N18" i="9"/>
  <c r="J17" i="11"/>
  <c r="O18" i="9"/>
  <c r="G19" i="9"/>
  <c r="H19" i="9"/>
  <c r="I19" i="9"/>
  <c r="J19" i="9"/>
  <c r="K19" i="9"/>
  <c r="L19" i="9"/>
  <c r="M19" i="9"/>
  <c r="N19" i="9"/>
  <c r="J18" i="11"/>
  <c r="O19" i="9"/>
  <c r="G20" i="9"/>
  <c r="H20" i="9"/>
  <c r="I20" i="9"/>
  <c r="J20" i="9"/>
  <c r="K20" i="9"/>
  <c r="L20" i="9"/>
  <c r="M20" i="9"/>
  <c r="N20" i="9"/>
  <c r="J19" i="11"/>
  <c r="O20" i="9"/>
  <c r="G21" i="9"/>
  <c r="H21" i="9"/>
  <c r="I21" i="9"/>
  <c r="J21" i="9"/>
  <c r="K21" i="9"/>
  <c r="L21" i="9"/>
  <c r="M21" i="9"/>
  <c r="N21" i="9"/>
  <c r="J20" i="11"/>
  <c r="O21" i="9"/>
  <c r="G22" i="9"/>
  <c r="H22" i="9"/>
  <c r="I22" i="9"/>
  <c r="J22" i="9"/>
  <c r="K22" i="9"/>
  <c r="L22" i="9"/>
  <c r="M22" i="9"/>
  <c r="N22" i="9"/>
  <c r="J21" i="11"/>
  <c r="O22" i="9"/>
  <c r="G23" i="9"/>
  <c r="H23" i="9"/>
  <c r="I23" i="9"/>
  <c r="J23" i="9"/>
  <c r="K23" i="9"/>
  <c r="L23" i="9"/>
  <c r="M23" i="9"/>
  <c r="N23" i="9"/>
  <c r="J22" i="11"/>
  <c r="O23" i="9"/>
  <c r="G24" i="9"/>
  <c r="H24" i="9"/>
  <c r="I24" i="9"/>
  <c r="J24" i="9"/>
  <c r="K24" i="9"/>
  <c r="L24" i="9"/>
  <c r="M24" i="9"/>
  <c r="N24" i="9"/>
  <c r="J23" i="11"/>
  <c r="O24" i="9"/>
  <c r="G25" i="9"/>
  <c r="H25" i="9"/>
  <c r="I25" i="9"/>
  <c r="J25" i="9"/>
  <c r="K25" i="9"/>
  <c r="L25" i="9"/>
  <c r="M25" i="9"/>
  <c r="N25" i="9"/>
  <c r="J24" i="11"/>
  <c r="O25" i="9"/>
  <c r="J25" i="11"/>
  <c r="J26" i="11"/>
  <c r="J27" i="11"/>
  <c r="G27" i="9"/>
  <c r="H27" i="9"/>
  <c r="I27" i="9"/>
  <c r="J27" i="9"/>
  <c r="K27" i="9"/>
  <c r="L27" i="9"/>
  <c r="M27" i="9"/>
  <c r="N27" i="9"/>
  <c r="J28" i="11"/>
  <c r="O27" i="9"/>
  <c r="G29" i="9"/>
  <c r="H29" i="9"/>
  <c r="I29" i="9"/>
  <c r="J29" i="9"/>
  <c r="K29" i="9"/>
  <c r="L29" i="9"/>
  <c r="M29" i="9"/>
  <c r="N29" i="9"/>
  <c r="J29" i="11"/>
  <c r="O29" i="9"/>
  <c r="G30" i="9"/>
  <c r="H30" i="9"/>
  <c r="I30" i="9"/>
  <c r="J30" i="9"/>
  <c r="K30" i="9"/>
  <c r="L30" i="9"/>
  <c r="M30" i="9"/>
  <c r="N30" i="9"/>
  <c r="J30" i="11"/>
  <c r="O30" i="9"/>
  <c r="G31" i="9"/>
  <c r="H31" i="9"/>
  <c r="I31" i="9"/>
  <c r="J31" i="9"/>
  <c r="K31" i="9"/>
  <c r="L31" i="9"/>
  <c r="M31" i="9"/>
  <c r="N31" i="9"/>
  <c r="J31" i="11"/>
  <c r="O31" i="9"/>
  <c r="G32" i="9"/>
  <c r="H32" i="9"/>
  <c r="I32" i="9"/>
  <c r="J32" i="9"/>
  <c r="K32" i="9"/>
  <c r="L32" i="9"/>
  <c r="M32" i="9"/>
  <c r="N32" i="9"/>
  <c r="J32" i="11"/>
  <c r="O32" i="9"/>
  <c r="G33" i="9"/>
  <c r="H33" i="9"/>
  <c r="I33" i="9"/>
  <c r="J33" i="9"/>
  <c r="K33" i="9"/>
  <c r="L33" i="9"/>
  <c r="M33" i="9"/>
  <c r="N33" i="9"/>
  <c r="J33" i="11"/>
  <c r="O33" i="9"/>
  <c r="G34" i="9"/>
  <c r="H34" i="9"/>
  <c r="I34" i="9"/>
  <c r="J34" i="9"/>
  <c r="K34" i="9"/>
  <c r="L34" i="9"/>
  <c r="M34" i="9"/>
  <c r="N34" i="9"/>
  <c r="J34" i="11"/>
  <c r="O34" i="9"/>
  <c r="G35" i="9"/>
  <c r="H35" i="9"/>
  <c r="I35" i="9"/>
  <c r="J35" i="9"/>
  <c r="K35" i="9"/>
  <c r="L35" i="9"/>
  <c r="M35" i="9"/>
  <c r="N35" i="9"/>
  <c r="J35" i="11"/>
  <c r="O35" i="9"/>
  <c r="G36" i="9"/>
  <c r="H36" i="9"/>
  <c r="I36" i="9"/>
  <c r="J36" i="9"/>
  <c r="K36" i="9"/>
  <c r="L36" i="9"/>
  <c r="M36" i="9"/>
  <c r="N36" i="9"/>
  <c r="J36" i="11"/>
  <c r="O36" i="9"/>
  <c r="G37" i="9"/>
  <c r="H37" i="9"/>
  <c r="I37" i="9"/>
  <c r="J37" i="9"/>
  <c r="K37" i="9"/>
  <c r="L37" i="9"/>
  <c r="M37" i="9"/>
  <c r="N37" i="9"/>
  <c r="J37" i="11"/>
  <c r="O37" i="9"/>
  <c r="G38" i="9"/>
  <c r="H38" i="9"/>
  <c r="I38" i="9"/>
  <c r="J38" i="9"/>
  <c r="K38" i="9"/>
  <c r="L38" i="9"/>
  <c r="M38" i="9"/>
  <c r="N38" i="9"/>
  <c r="J38" i="11"/>
  <c r="O38" i="9"/>
  <c r="G39" i="9"/>
  <c r="H39" i="9"/>
  <c r="I39" i="9"/>
  <c r="J39" i="9"/>
  <c r="K39" i="9"/>
  <c r="L39" i="9"/>
  <c r="M39" i="9"/>
  <c r="N39" i="9"/>
  <c r="J39" i="11"/>
  <c r="O39" i="9"/>
  <c r="G40" i="9"/>
  <c r="H40" i="9"/>
  <c r="I40" i="9"/>
  <c r="J40" i="9"/>
  <c r="K40" i="9"/>
  <c r="L40" i="9"/>
  <c r="M40" i="9"/>
  <c r="N40" i="9"/>
  <c r="J40" i="11"/>
  <c r="O40" i="9"/>
  <c r="G41" i="9"/>
  <c r="H41" i="9"/>
  <c r="I41" i="9"/>
  <c r="J41" i="9"/>
  <c r="K41" i="9"/>
  <c r="L41" i="9"/>
  <c r="M41" i="9"/>
  <c r="N41" i="9"/>
  <c r="J41" i="11"/>
  <c r="O41" i="9"/>
  <c r="G42" i="9"/>
  <c r="H42" i="9"/>
  <c r="I42" i="9"/>
  <c r="J42" i="9"/>
  <c r="K42" i="9"/>
  <c r="L42" i="9"/>
  <c r="M42" i="9"/>
  <c r="N42" i="9"/>
  <c r="J42" i="11"/>
  <c r="O42" i="9"/>
  <c r="J43" i="11"/>
  <c r="G43" i="9"/>
  <c r="H43" i="9"/>
  <c r="I43" i="9"/>
  <c r="J43" i="9"/>
  <c r="K43" i="9"/>
  <c r="L43" i="9"/>
  <c r="M43" i="9"/>
  <c r="N43" i="9"/>
  <c r="J44" i="11"/>
  <c r="O43" i="9"/>
  <c r="G44" i="9"/>
  <c r="H44" i="9"/>
  <c r="I44" i="9"/>
  <c r="J44" i="9"/>
  <c r="K44" i="9"/>
  <c r="L44" i="9"/>
  <c r="M44" i="9"/>
  <c r="N44" i="9"/>
  <c r="J45" i="11"/>
  <c r="O44" i="9"/>
  <c r="G45" i="9"/>
  <c r="H45" i="9"/>
  <c r="I45" i="9"/>
  <c r="J45" i="9"/>
  <c r="K45" i="9"/>
  <c r="L45" i="9"/>
  <c r="M45" i="9"/>
  <c r="N45" i="9"/>
  <c r="J46" i="11"/>
  <c r="O45" i="9"/>
  <c r="G46" i="9"/>
  <c r="H46" i="9"/>
  <c r="I46" i="9"/>
  <c r="J46" i="9"/>
  <c r="K46" i="9"/>
  <c r="L46" i="9"/>
  <c r="M46" i="9"/>
  <c r="N46" i="9"/>
  <c r="J47" i="11"/>
  <c r="O46" i="9"/>
  <c r="G47" i="9"/>
  <c r="G48" i="9"/>
  <c r="G49" i="9"/>
  <c r="G50" i="9"/>
  <c r="G51" i="9"/>
  <c r="G52" i="9"/>
  <c r="G53" i="9"/>
  <c r="G54" i="9"/>
  <c r="H54" i="9"/>
  <c r="I54" i="9"/>
  <c r="J54" i="9"/>
  <c r="K54" i="9"/>
  <c r="L54" i="9"/>
  <c r="M54" i="9"/>
  <c r="N54" i="9"/>
  <c r="J55" i="11"/>
  <c r="O54" i="9"/>
  <c r="E34" i="9"/>
  <c r="D34" i="9"/>
  <c r="A34" i="9"/>
  <c r="Y3" i="7"/>
  <c r="W3" i="7"/>
  <c r="U3" i="7"/>
  <c r="R3" i="7"/>
  <c r="Q3" i="7"/>
  <c r="P3" i="7"/>
  <c r="O3" i="7"/>
  <c r="N3" i="7"/>
  <c r="H3" i="7"/>
  <c r="G2" i="2"/>
  <c r="A2" i="2"/>
  <c r="G3" i="2"/>
  <c r="A3" i="2"/>
  <c r="G4" i="2"/>
  <c r="A4" i="2"/>
  <c r="G5" i="2"/>
  <c r="A5" i="2"/>
  <c r="J3" i="7"/>
  <c r="I3" i="7"/>
  <c r="D3" i="7"/>
  <c r="F3" i="7"/>
  <c r="E3" i="7"/>
  <c r="A3" i="7"/>
  <c r="E2" i="9"/>
  <c r="X2" i="1"/>
  <c r="E21" i="9"/>
  <c r="X4" i="1"/>
  <c r="E27" i="9"/>
  <c r="X5" i="1"/>
  <c r="E31" i="9"/>
  <c r="X6" i="1"/>
  <c r="J12" i="11"/>
  <c r="A54" i="9"/>
  <c r="D54" i="9"/>
  <c r="E54" i="9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A53" i="9"/>
  <c r="D53" i="9"/>
  <c r="E53" i="9"/>
  <c r="A44" i="9"/>
  <c r="D44" i="9"/>
  <c r="E44" i="9"/>
  <c r="A45" i="9"/>
  <c r="D45" i="9"/>
  <c r="E45" i="9"/>
  <c r="A46" i="9"/>
  <c r="D46" i="9"/>
  <c r="E46" i="9"/>
  <c r="A47" i="9"/>
  <c r="D47" i="9"/>
  <c r="E47" i="9"/>
  <c r="A48" i="9"/>
  <c r="D48" i="9"/>
  <c r="E48" i="9"/>
  <c r="A49" i="9"/>
  <c r="D49" i="9"/>
  <c r="E49" i="9"/>
  <c r="A50" i="9"/>
  <c r="D50" i="9"/>
  <c r="E50" i="9"/>
  <c r="A51" i="9"/>
  <c r="D51" i="9"/>
  <c r="E51" i="9"/>
  <c r="A52" i="9"/>
  <c r="D52" i="9"/>
  <c r="E52" i="9"/>
  <c r="A38" i="9"/>
  <c r="D38" i="9"/>
  <c r="E38" i="9"/>
  <c r="A39" i="9"/>
  <c r="D39" i="9"/>
  <c r="E39" i="9"/>
  <c r="A40" i="9"/>
  <c r="D40" i="9"/>
  <c r="E40" i="9"/>
  <c r="A41" i="9"/>
  <c r="D41" i="9"/>
  <c r="E41" i="9"/>
  <c r="A42" i="9"/>
  <c r="D42" i="9"/>
  <c r="E42" i="9"/>
  <c r="A43" i="9"/>
  <c r="D43" i="9"/>
  <c r="E43" i="9"/>
  <c r="A30" i="9"/>
  <c r="D30" i="9"/>
  <c r="E30" i="9"/>
  <c r="A31" i="9"/>
  <c r="D31" i="9"/>
  <c r="A32" i="9"/>
  <c r="D32" i="9"/>
  <c r="E32" i="9"/>
  <c r="A33" i="9"/>
  <c r="D33" i="9"/>
  <c r="E33" i="9"/>
  <c r="A35" i="9"/>
  <c r="D35" i="9"/>
  <c r="E35" i="9"/>
  <c r="A36" i="9"/>
  <c r="D36" i="9"/>
  <c r="E36" i="9"/>
  <c r="A37" i="9"/>
  <c r="D37" i="9"/>
  <c r="E37" i="9"/>
  <c r="A3" i="9"/>
  <c r="D3" i="9"/>
  <c r="E3" i="9"/>
  <c r="A4" i="9"/>
  <c r="D4" i="9"/>
  <c r="E4" i="9"/>
  <c r="A5" i="9"/>
  <c r="D5" i="9"/>
  <c r="E5" i="9"/>
  <c r="A7" i="9"/>
  <c r="D7" i="9"/>
  <c r="E7" i="9"/>
  <c r="A8" i="9"/>
  <c r="D8" i="9"/>
  <c r="E8" i="9"/>
  <c r="A9" i="9"/>
  <c r="D9" i="9"/>
  <c r="E9" i="9"/>
  <c r="A10" i="9"/>
  <c r="D10" i="9"/>
  <c r="E10" i="9"/>
  <c r="A11" i="9"/>
  <c r="D11" i="9"/>
  <c r="E11" i="9"/>
  <c r="A12" i="9"/>
  <c r="D12" i="9"/>
  <c r="E12" i="9"/>
  <c r="A14" i="9"/>
  <c r="D14" i="9"/>
  <c r="E14" i="9"/>
  <c r="A15" i="9"/>
  <c r="D15" i="9"/>
  <c r="E15" i="9"/>
  <c r="A16" i="9"/>
  <c r="D16" i="9"/>
  <c r="E16" i="9"/>
  <c r="A17" i="9"/>
  <c r="D17" i="9"/>
  <c r="E17" i="9"/>
  <c r="A18" i="9"/>
  <c r="D18" i="9"/>
  <c r="E18" i="9"/>
  <c r="A19" i="9"/>
  <c r="D19" i="9"/>
  <c r="E19" i="9"/>
  <c r="A20" i="9"/>
  <c r="D20" i="9"/>
  <c r="E20" i="9"/>
  <c r="A21" i="9"/>
  <c r="D21" i="9"/>
  <c r="A22" i="9"/>
  <c r="D22" i="9"/>
  <c r="E22" i="9"/>
  <c r="A23" i="9"/>
  <c r="D23" i="9"/>
  <c r="E23" i="9"/>
  <c r="A24" i="9"/>
  <c r="D24" i="9"/>
  <c r="E24" i="9"/>
  <c r="A25" i="9"/>
  <c r="D25" i="9"/>
  <c r="E25" i="9"/>
  <c r="A27" i="9"/>
  <c r="D27" i="9"/>
  <c r="A29" i="9"/>
  <c r="D29" i="9"/>
  <c r="E29" i="9"/>
  <c r="G3" i="10"/>
  <c r="H3" i="10"/>
  <c r="I3" i="10"/>
  <c r="J3" i="10"/>
  <c r="K3" i="10"/>
  <c r="L3" i="10"/>
  <c r="M3" i="10"/>
  <c r="M12" i="10"/>
  <c r="M22" i="10"/>
  <c r="M29" i="10"/>
  <c r="M39" i="10"/>
  <c r="M50" i="10"/>
  <c r="N50" i="10"/>
  <c r="Q50" i="10"/>
  <c r="P50" i="10"/>
  <c r="R50" i="10"/>
  <c r="O50" i="10"/>
  <c r="S50" i="10"/>
  <c r="N39" i="10"/>
  <c r="Q39" i="10"/>
  <c r="P39" i="10"/>
  <c r="R39" i="10"/>
  <c r="O39" i="10"/>
  <c r="S39" i="10"/>
  <c r="N29" i="10"/>
  <c r="Q29" i="10"/>
  <c r="P29" i="10"/>
  <c r="R29" i="10"/>
  <c r="O29" i="10"/>
  <c r="S29" i="10"/>
  <c r="N22" i="10"/>
  <c r="Q22" i="10"/>
  <c r="P22" i="10"/>
  <c r="R22" i="10"/>
  <c r="O22" i="10"/>
  <c r="S22" i="10"/>
  <c r="N12" i="10"/>
  <c r="Q12" i="10"/>
  <c r="P12" i="10"/>
  <c r="R12" i="10"/>
  <c r="O12" i="10"/>
  <c r="S12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3" i="10"/>
  <c r="M23" i="10"/>
  <c r="M30" i="10"/>
  <c r="M40" i="10"/>
  <c r="M51" i="10"/>
  <c r="N51" i="10"/>
  <c r="Q51" i="10"/>
  <c r="P51" i="10"/>
  <c r="R51" i="10"/>
  <c r="O51" i="10"/>
  <c r="S51" i="10"/>
  <c r="N40" i="10"/>
  <c r="Q40" i="10"/>
  <c r="P40" i="10"/>
  <c r="R40" i="10"/>
  <c r="O40" i="10"/>
  <c r="S40" i="10"/>
  <c r="N30" i="10"/>
  <c r="Q30" i="10"/>
  <c r="P30" i="10"/>
  <c r="R30" i="10"/>
  <c r="O30" i="10"/>
  <c r="S30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4" i="10"/>
  <c r="M24" i="10"/>
  <c r="M32" i="10"/>
  <c r="M41" i="10"/>
  <c r="M52" i="10"/>
  <c r="N52" i="10"/>
  <c r="Q52" i="10"/>
  <c r="P52" i="10"/>
  <c r="R52" i="10"/>
  <c r="O52" i="10"/>
  <c r="S52" i="10"/>
  <c r="N41" i="10"/>
  <c r="Q41" i="10"/>
  <c r="P41" i="10"/>
  <c r="R41" i="10"/>
  <c r="O41" i="10"/>
  <c r="S41" i="10"/>
  <c r="N32" i="10"/>
  <c r="Q32" i="10"/>
  <c r="P32" i="10"/>
  <c r="R32" i="10"/>
  <c r="O32" i="10"/>
  <c r="S32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5" i="10"/>
  <c r="M33" i="10"/>
  <c r="M42" i="10"/>
  <c r="N42" i="10"/>
  <c r="Q42" i="10"/>
  <c r="P42" i="10"/>
  <c r="R42" i="10"/>
  <c r="O42" i="10"/>
  <c r="S42" i="10"/>
  <c r="N33" i="10"/>
  <c r="Q33" i="10"/>
  <c r="P33" i="10"/>
  <c r="R33" i="10"/>
  <c r="O33" i="10"/>
  <c r="S33" i="10"/>
  <c r="N15" i="10"/>
  <c r="Q15" i="10"/>
  <c r="P15" i="10"/>
  <c r="R15" i="10"/>
  <c r="O15" i="10"/>
  <c r="S15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6" i="10"/>
  <c r="M34" i="10"/>
  <c r="M43" i="10"/>
  <c r="M53" i="10"/>
  <c r="N53" i="10"/>
  <c r="Q53" i="10"/>
  <c r="P53" i="10"/>
  <c r="R53" i="10"/>
  <c r="O53" i="10"/>
  <c r="S53" i="10"/>
  <c r="N43" i="10"/>
  <c r="Q43" i="10"/>
  <c r="P43" i="10"/>
  <c r="R43" i="10"/>
  <c r="O43" i="10"/>
  <c r="S43" i="10"/>
  <c r="N34" i="10"/>
  <c r="Q34" i="10"/>
  <c r="P34" i="10"/>
  <c r="R34" i="10"/>
  <c r="O34" i="10"/>
  <c r="S34" i="10"/>
  <c r="N16" i="10"/>
  <c r="Q16" i="10"/>
  <c r="P16" i="10"/>
  <c r="R16" i="10"/>
  <c r="O16" i="10"/>
  <c r="S16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7" i="10"/>
  <c r="M35" i="10"/>
  <c r="M44" i="10"/>
  <c r="M54" i="10"/>
  <c r="N54" i="10"/>
  <c r="Q54" i="10"/>
  <c r="P54" i="10"/>
  <c r="R54" i="10"/>
  <c r="O54" i="10"/>
  <c r="S54" i="10"/>
  <c r="N44" i="10"/>
  <c r="Q44" i="10"/>
  <c r="P44" i="10"/>
  <c r="R44" i="10"/>
  <c r="O44" i="10"/>
  <c r="S44" i="10"/>
  <c r="N35" i="10"/>
  <c r="Q35" i="10"/>
  <c r="P35" i="10"/>
  <c r="R35" i="10"/>
  <c r="O35" i="10"/>
  <c r="S35" i="10"/>
  <c r="N17" i="10"/>
  <c r="Q17" i="10"/>
  <c r="P17" i="10"/>
  <c r="R17" i="10"/>
  <c r="O17" i="10"/>
  <c r="S17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8" i="10"/>
  <c r="M25" i="10"/>
  <c r="M36" i="10"/>
  <c r="M45" i="10"/>
  <c r="M55" i="10"/>
  <c r="N55" i="10"/>
  <c r="Q55" i="10"/>
  <c r="P55" i="10"/>
  <c r="R55" i="10"/>
  <c r="O55" i="10"/>
  <c r="S55" i="10"/>
  <c r="N45" i="10"/>
  <c r="Q45" i="10"/>
  <c r="P45" i="10"/>
  <c r="R45" i="10"/>
  <c r="O45" i="10"/>
  <c r="S45" i="10"/>
  <c r="N36" i="10"/>
  <c r="Q36" i="10"/>
  <c r="P36" i="10"/>
  <c r="R36" i="10"/>
  <c r="O36" i="10"/>
  <c r="S36" i="10"/>
  <c r="N25" i="10"/>
  <c r="Q25" i="10"/>
  <c r="P25" i="10"/>
  <c r="R25" i="10"/>
  <c r="O25" i="10"/>
  <c r="S25" i="10"/>
  <c r="N18" i="10"/>
  <c r="Q18" i="10"/>
  <c r="P18" i="10"/>
  <c r="R18" i="10"/>
  <c r="O18" i="10"/>
  <c r="S18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19" i="10"/>
  <c r="M26" i="10"/>
  <c r="M37" i="10"/>
  <c r="M46" i="10"/>
  <c r="M56" i="10"/>
  <c r="N56" i="10"/>
  <c r="Q56" i="10"/>
  <c r="P56" i="10"/>
  <c r="R56" i="10"/>
  <c r="O56" i="10"/>
  <c r="S56" i="10"/>
  <c r="N46" i="10"/>
  <c r="Q46" i="10"/>
  <c r="P46" i="10"/>
  <c r="R46" i="10"/>
  <c r="O46" i="10"/>
  <c r="S46" i="10"/>
  <c r="N37" i="10"/>
  <c r="Q37" i="10"/>
  <c r="P37" i="10"/>
  <c r="R37" i="10"/>
  <c r="O37" i="10"/>
  <c r="S37" i="10"/>
  <c r="N26" i="10"/>
  <c r="Q26" i="10"/>
  <c r="P26" i="10"/>
  <c r="R26" i="10"/>
  <c r="O26" i="10"/>
  <c r="S26" i="10"/>
  <c r="N19" i="10"/>
  <c r="Q19" i="10"/>
  <c r="P19" i="10"/>
  <c r="R19" i="10"/>
  <c r="O19" i="10"/>
  <c r="S19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0" i="10"/>
  <c r="M27" i="10"/>
  <c r="M38" i="10"/>
  <c r="M47" i="10"/>
  <c r="M57" i="10"/>
  <c r="N57" i="10"/>
  <c r="Q57" i="10"/>
  <c r="P57" i="10"/>
  <c r="R57" i="10"/>
  <c r="O57" i="10"/>
  <c r="S57" i="10"/>
  <c r="N47" i="10"/>
  <c r="Q47" i="10"/>
  <c r="P47" i="10"/>
  <c r="R47" i="10"/>
  <c r="O47" i="10"/>
  <c r="S47" i="10"/>
  <c r="N38" i="10"/>
  <c r="Q38" i="10"/>
  <c r="P38" i="10"/>
  <c r="R38" i="10"/>
  <c r="O38" i="10"/>
  <c r="S38" i="10"/>
  <c r="N27" i="10"/>
  <c r="Q27" i="10"/>
  <c r="P27" i="10"/>
  <c r="R27" i="10"/>
  <c r="O27" i="10"/>
  <c r="S27" i="10"/>
  <c r="N20" i="10"/>
  <c r="Q20" i="10"/>
  <c r="P20" i="10"/>
  <c r="R20" i="10"/>
  <c r="O20" i="10"/>
  <c r="S20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M21" i="10"/>
  <c r="M28" i="10"/>
  <c r="M48" i="10"/>
  <c r="M58" i="10"/>
  <c r="N58" i="10"/>
  <c r="Q58" i="10"/>
  <c r="P58" i="10"/>
  <c r="R58" i="10"/>
  <c r="O58" i="10"/>
  <c r="S58" i="10"/>
  <c r="N48" i="10"/>
  <c r="Q48" i="10"/>
  <c r="P48" i="10"/>
  <c r="R48" i="10"/>
  <c r="O48" i="10"/>
  <c r="S48" i="10"/>
  <c r="N28" i="10"/>
  <c r="Q28" i="10"/>
  <c r="P28" i="10"/>
  <c r="R28" i="10"/>
  <c r="O28" i="10"/>
  <c r="S28" i="10"/>
  <c r="N21" i="10"/>
  <c r="Q21" i="10"/>
  <c r="P21" i="10"/>
  <c r="R21" i="10"/>
  <c r="O21" i="10"/>
  <c r="S21" i="10"/>
  <c r="G12" i="10"/>
  <c r="H12" i="10"/>
  <c r="I12" i="10"/>
  <c r="J12" i="10"/>
  <c r="K12" i="10"/>
  <c r="L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T38" i="10"/>
  <c r="U38" i="10"/>
  <c r="V38" i="10"/>
  <c r="W38" i="10"/>
  <c r="X38" i="10"/>
  <c r="Y38" i="10"/>
  <c r="G39" i="10"/>
  <c r="H39" i="10"/>
  <c r="I39" i="10"/>
  <c r="J39" i="10"/>
  <c r="K39" i="10"/>
  <c r="L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T48" i="10"/>
  <c r="U48" i="10"/>
  <c r="V48" i="10"/>
  <c r="W48" i="10"/>
  <c r="X48" i="10"/>
  <c r="Y48" i="10"/>
  <c r="G50" i="10"/>
  <c r="H50" i="10"/>
  <c r="I50" i="10"/>
  <c r="J50" i="10"/>
  <c r="K50" i="10"/>
  <c r="L50" i="10"/>
  <c r="T50" i="10"/>
  <c r="U50" i="10"/>
  <c r="V50" i="10"/>
  <c r="W50" i="10"/>
  <c r="X50" i="10"/>
  <c r="Y50" i="10"/>
  <c r="G51" i="10"/>
  <c r="H51" i="10"/>
  <c r="I51" i="10"/>
  <c r="J51" i="10"/>
  <c r="K51" i="10"/>
  <c r="L51" i="10"/>
  <c r="T51" i="10"/>
  <c r="U51" i="10"/>
  <c r="V51" i="10"/>
  <c r="W51" i="10"/>
  <c r="X51" i="10"/>
  <c r="Y51" i="10"/>
  <c r="G52" i="10"/>
  <c r="H52" i="10"/>
  <c r="I52" i="10"/>
  <c r="J52" i="10"/>
  <c r="K52" i="10"/>
  <c r="L52" i="10"/>
  <c r="T52" i="10"/>
  <c r="U52" i="10"/>
  <c r="V52" i="10"/>
  <c r="W52" i="10"/>
  <c r="X52" i="10"/>
  <c r="Y52" i="10"/>
  <c r="G53" i="10"/>
  <c r="H53" i="10"/>
  <c r="I53" i="10"/>
  <c r="J53" i="10"/>
  <c r="K53" i="10"/>
  <c r="L53" i="10"/>
  <c r="T53" i="10"/>
  <c r="U53" i="10"/>
  <c r="V53" i="10"/>
  <c r="W53" i="10"/>
  <c r="X53" i="10"/>
  <c r="Y53" i="10"/>
  <c r="G54" i="10"/>
  <c r="H54" i="10"/>
  <c r="I54" i="10"/>
  <c r="J54" i="10"/>
  <c r="K54" i="10"/>
  <c r="L54" i="10"/>
  <c r="T54" i="10"/>
  <c r="U54" i="10"/>
  <c r="V54" i="10"/>
  <c r="W54" i="10"/>
  <c r="X54" i="10"/>
  <c r="Y54" i="10"/>
  <c r="G55" i="10"/>
  <c r="H55" i="10"/>
  <c r="I55" i="10"/>
  <c r="J55" i="10"/>
  <c r="K55" i="10"/>
  <c r="L55" i="10"/>
  <c r="T55" i="10"/>
  <c r="U55" i="10"/>
  <c r="V55" i="10"/>
  <c r="W55" i="10"/>
  <c r="X55" i="10"/>
  <c r="Y55" i="10"/>
  <c r="G56" i="10"/>
  <c r="H56" i="10"/>
  <c r="I56" i="10"/>
  <c r="J56" i="10"/>
  <c r="K56" i="10"/>
  <c r="L56" i="10"/>
  <c r="T56" i="10"/>
  <c r="U56" i="10"/>
  <c r="V56" i="10"/>
  <c r="W56" i="10"/>
  <c r="X56" i="10"/>
  <c r="Y56" i="10"/>
  <c r="G57" i="10"/>
  <c r="H57" i="10"/>
  <c r="I57" i="10"/>
  <c r="J57" i="10"/>
  <c r="K57" i="10"/>
  <c r="L57" i="10"/>
  <c r="T57" i="10"/>
  <c r="U57" i="10"/>
  <c r="V57" i="10"/>
  <c r="W57" i="10"/>
  <c r="X57" i="10"/>
  <c r="Y57" i="10"/>
  <c r="G58" i="10"/>
  <c r="H58" i="10"/>
  <c r="I58" i="10"/>
  <c r="J58" i="10"/>
  <c r="K58" i="10"/>
  <c r="L58" i="10"/>
  <c r="T58" i="10"/>
  <c r="U58" i="10"/>
  <c r="V58" i="10"/>
  <c r="W58" i="10"/>
  <c r="X58" i="10"/>
  <c r="Y58" i="10"/>
  <c r="V6" i="1"/>
  <c r="A5" i="7"/>
  <c r="D5" i="7"/>
  <c r="E5" i="7"/>
  <c r="F5" i="7"/>
  <c r="H5" i="7"/>
  <c r="I5" i="7"/>
  <c r="J5" i="7"/>
  <c r="N5" i="7"/>
  <c r="O5" i="7"/>
  <c r="P5" i="7"/>
  <c r="Q5" i="7"/>
  <c r="R5" i="7"/>
  <c r="U5" i="7"/>
  <c r="W5" i="7"/>
  <c r="Y5" i="7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Y4" i="7"/>
  <c r="C2" i="18"/>
  <c r="D2" i="18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AD6" i="1"/>
  <c r="AF6" i="1"/>
  <c r="AI6" i="1"/>
  <c r="AG6" i="1"/>
  <c r="AE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2" i="1"/>
  <c r="H3" i="1"/>
  <c r="B3" i="2"/>
  <c r="D3" i="2"/>
  <c r="E3" i="2"/>
  <c r="H3" i="2"/>
  <c r="B4" i="2"/>
  <c r="D4" i="2"/>
  <c r="E4" i="2"/>
  <c r="H4" i="2"/>
  <c r="B5" i="2"/>
  <c r="D5" i="2"/>
  <c r="E5" i="2"/>
  <c r="H5" i="2"/>
  <c r="W2" i="7"/>
  <c r="U2" i="7"/>
  <c r="V3" i="1"/>
  <c r="V2" i="1"/>
  <c r="T3" i="1"/>
  <c r="T2" i="1"/>
  <c r="C13" i="16"/>
  <c r="E13" i="16"/>
  <c r="N2" i="22"/>
  <c r="G2" i="22"/>
  <c r="F2" i="22"/>
  <c r="D2" i="22"/>
  <c r="C2" i="22"/>
  <c r="A2" i="22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Y2" i="7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<sst xmlns="http://schemas.openxmlformats.org/spreadsheetml/2006/main" count="924" uniqueCount="460">
  <si>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</si>
  <si>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</si>
  <si>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</si>
  <si>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</si>
  <si>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</si>
  <si>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</si>
  <si>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</si>
  <si>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</si>
  <si>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</si>
  <si>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</si>
  <si>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</si>
  <si>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</si>
  <si>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</si>
  <si>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</si>
  <si>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</si>
  <si>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</si>
  <si>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</si>
  <si>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</si>
  <si>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</si>
  <si>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</si>
  <si>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</si>
  <si>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</si>
  <si>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</si>
  <si>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</si>
  <si>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</si>
  <si>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</si>
  <si>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</si>
  <si>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</si>
  <si>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</si>
  <si>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</si>
  <si>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</si>
  <si>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</si>
  <si>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</si>
  <si>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</si>
  <si>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</si>
  <si>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</si>
  <si>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</si>
  <si>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</si>
  <si>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</si>
  <si>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</si>
  <si>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</si>
  <si>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</si>
  <si>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</si>
  <si>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</si>
  <si>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</si>
  <si>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</si>
  <si>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</si>
  <si>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</si>
  <si>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</si>
  <si>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</si>
  <si>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</si>
  <si>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</si>
  <si>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</si>
  <si>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</si>
  <si>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</si>
  <si>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</si>
  <si>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</si>
  <si>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</si>
  <si>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</si>
  <si>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</si>
  <si>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</si>
  <si>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</si>
  <si>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</si>
  <si>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</si>
  <si>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</si>
  <si>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</si>
  <si>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</si>
  <si>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</si>
  <si>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</si>
  <si>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</si>
  <si>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</si>
  <si>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</si>
  <si>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</si>
  <si>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</si>
  <si>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</si>
  <si>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</si>
  <si>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</si>
  <si>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</si>
  <si>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</si>
  <si>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</si>
  <si>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</si>
  <si>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</si>
  <si>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</si>
  <si>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</si>
  <si>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</si>
  <si>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</si>
  <si>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</si>
  <si>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</si>
  <si>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</si>
  <si>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</si>
  <si>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</si>
  <si>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</si>
  <si>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</si>
  <si>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</si>
  <si>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</si>
  <si>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</si>
  <si>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</si>
  <si>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</si>
  <si>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</si>
  <si>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</si>
  <si>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</si>
  <si>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</si>
  <si>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</si>
  <si>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</si>
  <si>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</si>
  <si>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</si>
  <si>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</si>
  <si>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</si>
  <si>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</si>
  <si>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</si>
  <si>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</si>
  <si>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</si>
  <si>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</si>
  <si>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</si>
  <si>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</si>
  <si>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</si>
  <si>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</si>
  <si>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</si>
  <si>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</si>
  <si>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</si>
  <si>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</si>
  <si>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</si>
  <si>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</si>
  <si>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</si>
  <si>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</si>
  <si>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</si>
  <si>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</si>
  <si>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</si>
  <si>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</si>
  <si>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</si>
  <si>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</si>
  <si>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</si>
  <si>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</si>
  <si>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</si>
  <si>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</si>
  <si>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</si>
  <si>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</si>
  <si>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</si>
  <si>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</si>
  <si>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</si>
  <si>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</si>
  <si>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</si>
  <si>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</si>
  <si>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</si>
  <si>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</si>
  <si>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</si>
  <si>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</si>
  <si>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</si>
  <si>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</si>
  <si>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</si>
  <si>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</si>
  <si>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</si>
  <si>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</si>
  <si>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</si>
  <si>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</si>
  <si>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</si>
  <si>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</si>
  <si>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</si>
  <si>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</si>
  <si>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</si>
  <si>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</si>
  <si>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</si>
  <si>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</si>
  <si>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</si>
  <si>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</si>
  <si>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</si>
  <si>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</si>
  <si>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</si>
  <si>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</si>
  <si>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</si>
  <si>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</si>
  <si>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</si>
  <si>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</si>
  <si>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</si>
  <si>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</si>
  <si>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</si>
  <si>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</si>
  <si>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</si>
  <si>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</si>
  <si>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</si>
  <si>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</si>
  <si>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</si>
  <si>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</si>
  <si>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</si>
  <si>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</si>
  <si>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</si>
  <si>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</si>
  <si>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</si>
  <si>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</si>
  <si>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</si>
  <si>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</si>
  <si>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</si>
  <si>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</si>
  <si>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</si>
  <si>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</si>
  <si>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</si>
  <si>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</si>
  <si>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</si>
  <si>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</si>
  <si>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</si>
  <si>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</si>
  <si>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</si>
  <si>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</si>
  <si>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</si>
  <si>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</si>
  <si>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</si>
  <si>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</si>
  <si>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</si>
  <si>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</si>
  <si>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</si>
  <si>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</si>
  <si>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</si>
  <si>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</si>
  <si>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</si>
  <si>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</si>
  <si>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</si>
  <si>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</si>
  <si>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</si>
  <si>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</si>
  <si>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</si>
  <si>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</si>
  <si>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</si>
  <si>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</si>
  <si>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</si>
  <si>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</si>
  <si>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</si>
  <si>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</si>
  <si>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</si>
  <si>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</si>
  <si>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</si>
  <si>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</si>
  <si>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</si>
  <si>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</si>
  <si>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</si>
  <si>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</si>
  <si>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</si>
  <si>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</si>
  <si>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</si>
  <si>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</si>
  <si>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</si>
  <si>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</si>
  <si>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</si>
  <si>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</si>
  <si>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</si>
  <si>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</si>
  <si>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</si>
  <si>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</si>
  <si>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</si>
  <si>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</si>
  <si>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</si>
  <si>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</si>
  <si>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</si>
  <si>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null</t>
    <phoneticPr fontId="5"/>
  </si>
  <si>
    <t>unit</t>
  </si>
  <si>
    <t>old</t>
  </si>
  <si>
    <t>full_member</t>
    <phoneticPr fontId="5"/>
  </si>
  <si>
    <t>[effect:heal, target:enemy_all, val:0.2, animation:enemy_heal]</t>
    <phoneticPr fontId="5"/>
  </si>
  <si>
    <t>null</t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</si>
  <si>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</si>
  <si>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</si>
  <si>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</si>
  <si>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</si>
  <si>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</si>
  <si>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</si>
  <si>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</si>
  <si>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</si>
  <si>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</si>
  <si>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</si>
  <si>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</si>
  <si>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</si>
  <si>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</si>
  <si>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</si>
  <si>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</si>
  <si>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</si>
  <si>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 xml:space="preserve">[effect:degrade_unit, target:unit_all, turn:5, status:attack, val:0.3],[effect:rush, val:1, count:1] </t>
    <phoneticPr fontId="5"/>
  </si>
  <si>
    <t>null</t>
    <phoneticPr fontId="5"/>
  </si>
  <si>
    <t>[effect:degrade_unit, target:unit_all, turn:3, status:attack, val:1]</t>
    <phoneticPr fontId="5"/>
  </si>
  <si>
    <t xml:space="preserve">[effect:degrade_unit, target:unit_all, turn:1, status:action, val:1, animation:enemy_tap_down],[effect:rush, val:1, count:1]     </t>
    <phoneticPr fontId="5"/>
  </si>
  <si>
    <t>[effect:critical, val:5],[effect:critical, val:10],[effect:critical, val:15]</t>
    <phoneticPr fontId="5"/>
  </si>
  <si>
    <t xml:space="preserve">[effect:enhance_enemy, target:myself, turn:-1, status:defense, val:5000, calc:add, animation:enemy_enhance_defense]    </t>
    <phoneticPr fontId="5"/>
  </si>
  <si>
    <t>[effect:dis_panel, target:block_blue, turn:2, animation:enemy_dis_blue]</t>
    <phoneticPr fontId="5"/>
  </si>
  <si>
    <t>[effect:dis_heart, turn:2, animation:enemy_dis_heart]</t>
    <phoneticPr fontId="5"/>
  </si>
  <si>
    <t>[effect:degrade_fever, val:250, animation:fevergauge_down],[effect:rush, val:1, count:1]</t>
    <phoneticPr fontId="5"/>
  </si>
  <si>
    <t>[effect:degrade_unit, target:unit_all, turn:5, status:heal, val:0.5, calc:mul, animation:degrade_unit_all_heal],[effect:rush, val:1.5, count:1]</t>
    <phoneticPr fontId="5"/>
  </si>
  <si>
    <t>[effect:critical, val:2.5]</t>
    <phoneticPr fontId="5"/>
  </si>
  <si>
    <t>null</t>
    <phoneticPr fontId="5"/>
  </si>
  <si>
    <t>null</t>
    <phoneticPr fontId="5"/>
  </si>
  <si>
    <t>null</t>
    <phoneticPr fontId="5"/>
  </si>
  <si>
    <t xml:space="preserve">[effect:force_change_block, new_block:time_bomb, target:block_blue, ignore01:damage, ignore02:crash, ignore03:crack_bomb, ignore04:color_break, color:block_blue, count:0, val:0.2, animation:change_block]    </t>
    <phoneticPr fontId="5"/>
  </si>
  <si>
    <t>そのチカラ、目障りだわ！</t>
    <rPh sb="6" eb="8">
      <t>メザワリ</t>
    </rPh>
    <phoneticPr fontId="5"/>
  </si>
  <si>
    <t>絶望しなさい！</t>
    <rPh sb="0" eb="2">
      <t>ゼツボウ</t>
    </rPh>
    <phoneticPr fontId="5"/>
  </si>
  <si>
    <t>これぐらい平気よねぇ？</t>
    <rPh sb="5" eb="7">
      <t>ヘイキ</t>
    </rPh>
    <phoneticPr fontId="5"/>
  </si>
  <si>
    <t>ゆっくりと…沈めるわ…</t>
    <rPh sb="6" eb="7">
      <t>シズメル</t>
    </rPh>
    <phoneticPr fontId="5"/>
  </si>
  <si>
    <t>真実が見抜けるのかしら？</t>
    <rPh sb="0" eb="2">
      <t>シンジツガ</t>
    </rPh>
    <rPh sb="3" eb="5">
      <t>ミヌケル</t>
    </rPh>
    <phoneticPr fontId="5"/>
  </si>
  <si>
    <t>うにうに攻撃☆</t>
    <rPh sb="4" eb="6">
      <t>コウゲキ</t>
    </rPh>
    <phoneticPr fontId="5"/>
  </si>
  <si>
    <t>ふふっ…楽しいねっ！</t>
    <rPh sb="4" eb="5">
      <t>タノシイネ</t>
    </rPh>
    <phoneticPr fontId="5"/>
  </si>
  <si>
    <t>おさかな捕獲ネット！</t>
    <rPh sb="4" eb="6">
      <t>ホカク</t>
    </rPh>
    <phoneticPr fontId="5"/>
  </si>
  <si>
    <t>受け切れるわよね？</t>
    <rPh sb="0" eb="1">
      <t>ウケキレル</t>
    </rPh>
    <phoneticPr fontId="5"/>
  </si>
  <si>
    <t>びゅーんって突撃！</t>
    <rPh sb="6" eb="8">
      <t>トツゲキ</t>
    </rPh>
    <phoneticPr fontId="5"/>
  </si>
  <si>
    <t xml:space="preserve">[effect:freq_turn, target:myself, turn:-1, val:1, animation:enemy_freq_turn],[effect:rush, val:1, count:1] </t>
    <phoneticPr fontId="5"/>
  </si>
  <si>
    <t>夕闇・ジェラシィ</t>
    <rPh sb="0" eb="2">
      <t>ユウヤミ</t>
    </rPh>
    <phoneticPr fontId="5"/>
  </si>
  <si>
    <t>黄昏・エンヴィ</t>
    <rPh sb="0" eb="2">
      <t>タソガレ</t>
    </rPh>
    <phoneticPr fontId="5"/>
  </si>
  <si>
    <t>貴方のウワサは聞いてるわ…</t>
    <rPh sb="0" eb="2">
      <t>アナタ</t>
    </rPh>
    <rPh sb="7" eb="8">
      <t>キイテルワ</t>
    </rPh>
    <phoneticPr fontId="5"/>
  </si>
  <si>
    <t>後悔なさい…</t>
    <rPh sb="0" eb="2">
      <t>コウカイシナサイ</t>
    </rPh>
    <phoneticPr fontId="5"/>
  </si>
  <si>
    <t>その挑戦、受けて立つ！</t>
    <rPh sb="2" eb="4">
      <t>チョウセン</t>
    </rPh>
    <rPh sb="5" eb="6">
      <t>ウケテタツ</t>
    </rPh>
    <phoneticPr fontId="5"/>
  </si>
  <si>
    <t>…お前を認めてやろう…</t>
    <rPh sb="4" eb="5">
      <t>ミトメテヤロウ</t>
    </rPh>
    <phoneticPr fontId="5"/>
  </si>
  <si>
    <t>油断したか、ケンタウロス！</t>
    <rPh sb="0" eb="2">
      <t>ユダンシタカ</t>
    </rPh>
    <phoneticPr fontId="5"/>
  </si>
  <si>
    <t xml:space="preserve">[effect:break_attack_fix, target:unit_all, val:250, lowest_val:1800, count:-1, color:yellow, block01:block_blue, block02:block_yellow]    </t>
    <phoneticPr fontId="5"/>
  </si>
  <si>
    <t>[effect:force_change_block, new_block:jammer, target:damage, ignore01:crash, ignore02:crack_bomb, ignore03:color_break, count:0, val:0, animation:change_block],[effect:rush, val:1, count:1]</t>
    <phoneticPr fontId="5"/>
  </si>
  <si>
    <t>じっくり味わいなさい…</t>
    <rPh sb="4" eb="5">
      <t>アジワイナサイ</t>
    </rPh>
    <phoneticPr fontId="5"/>
  </si>
  <si>
    <t>…遅い！</t>
    <rPh sb="1" eb="2">
      <t>オソイ</t>
    </rPh>
    <phoneticPr fontId="5"/>
  </si>
  <si>
    <t>耐え切れるかしら？</t>
    <rPh sb="0" eb="1">
      <t>タエキレル</t>
    </rPh>
    <phoneticPr fontId="5"/>
  </si>
  <si>
    <t>…沈みなさい…！</t>
    <rPh sb="1" eb="2">
      <t>シズミナサイ</t>
    </rPh>
    <phoneticPr fontId="5"/>
  </si>
  <si>
    <t>ゼウス…どんな顔するかしら！</t>
    <rPh sb="7" eb="8">
      <t>カオ</t>
    </rPh>
    <phoneticPr fontId="5"/>
  </si>
  <si>
    <t>追い詰めたわ…！</t>
    <rPh sb="0" eb="1">
      <t>オイツメタ</t>
    </rPh>
    <phoneticPr fontId="5"/>
  </si>
  <si>
    <t>次の一撃で終わり…！</t>
    <rPh sb="0" eb="1">
      <t>ツギノ</t>
    </rPh>
    <rPh sb="2" eb="4">
      <t>イチゲキ</t>
    </rPh>
    <rPh sb="5" eb="6">
      <t>オワリ</t>
    </rPh>
    <phoneticPr fontId="5"/>
  </si>
  <si>
    <t>こんなもの奪ってやるわ！</t>
    <rPh sb="5" eb="6">
      <t>ウバッテ</t>
    </rPh>
    <phoneticPr fontId="5"/>
  </si>
  <si>
    <t>状態異常耐性</t>
    <rPh sb="0" eb="4">
      <t>ジョウタイイジョウ</t>
    </rPh>
    <rPh sb="4" eb="6">
      <t>タイセイ</t>
    </rPh>
    <phoneticPr fontId="5"/>
  </si>
  <si>
    <t>[effect:damage_anti_tribe, target:unit_all, tribe:weapon, val1:1, val2:0.26]</t>
    <phoneticPr fontId="5"/>
  </si>
  <si>
    <t>[effect:damage_anti_tribe, target:unit_all, tribe:machine, val1:3.3, val2:0.28]</t>
    <phoneticPr fontId="5"/>
  </si>
  <si>
    <t xml:space="preserve">[effect:degrade_unit, target:unit_all, turn:5, status:heal, val:0.3, calc:mul, animation:degrade_unit_all_heal],[effect:rush, val:1, count:1] </t>
    <phoneticPr fontId="5"/>
  </si>
  <si>
    <t>そして更なる試練に向かえ！</t>
    <rPh sb="6" eb="8">
      <t>シレンヲ</t>
    </rPh>
    <rPh sb="9" eb="10">
      <t>mukae</t>
    </rPh>
    <phoneticPr fontId="5"/>
  </si>
  <si>
    <t>[effect:damage_anti_tribe, target:unit_all, tribe:machine, val1:3.3, val2:0.34]</t>
    <phoneticPr fontId="5"/>
  </si>
  <si>
    <t>私が恐い？フフ…</t>
    <rPh sb="0" eb="1">
      <t>ワタシ</t>
    </rPh>
    <rPh sb="2" eb="3">
      <t>コワイ</t>
    </rPh>
    <phoneticPr fontId="5"/>
  </si>
  <si>
    <t>フフ…惜しかったわね！</t>
    <rPh sb="3" eb="4">
      <t>オシカッタワ</t>
    </rPh>
    <phoneticPr fontId="5"/>
  </si>
  <si>
    <t>フフフ…いい気分だわ…！</t>
    <phoneticPr fontId="5"/>
  </si>
  <si>
    <t>お前は…平和をもたらす者か？</t>
    <rPh sb="4" eb="6">
      <t>ヘイワ</t>
    </rPh>
    <rPh sb="11" eb="12">
      <t>モノ</t>
    </rPh>
    <phoneticPr fontId="5"/>
  </si>
  <si>
    <t>ゼウス、そしてヘラ…</t>
    <phoneticPr fontId="5"/>
  </si>
  <si>
    <t>癒しの音色</t>
    <rPh sb="0" eb="1">
      <t>イヤシノ</t>
    </rPh>
    <rPh sb="3" eb="5">
      <t>ネイロ</t>
    </rPh>
    <phoneticPr fontId="5"/>
  </si>
  <si>
    <t>衰退への詩</t>
    <rPh sb="0" eb="2">
      <t>スイタイ</t>
    </rPh>
    <rPh sb="4" eb="5">
      <t>uta</t>
    </rPh>
    <phoneticPr fontId="5"/>
  </si>
  <si>
    <t>滅びの竪琴</t>
    <rPh sb="0" eb="1">
      <t>ホロビ</t>
    </rPh>
    <rPh sb="3" eb="5">
      <t>tategoto</t>
    </rPh>
    <phoneticPr fontId="5"/>
  </si>
  <si>
    <t>破壊の調べ</t>
    <rPh sb="0" eb="2">
      <t>ハカイ</t>
    </rPh>
    <rPh sb="3" eb="4">
      <t>シラベ</t>
    </rPh>
    <phoneticPr fontId="5"/>
  </si>
  <si>
    <t>足止めさせてもらう！</t>
    <rPh sb="0" eb="2">
      <t>アシドメ</t>
    </rPh>
    <phoneticPr fontId="5"/>
  </si>
  <si>
    <t>退路を封じる！</t>
    <rPh sb="0" eb="2">
      <t>tairo</t>
    </rPh>
    <rPh sb="3" eb="4">
      <t>フウジル</t>
    </rPh>
    <phoneticPr fontId="5"/>
  </si>
  <si>
    <t>今が攻め時だな！</t>
    <rPh sb="0" eb="1">
      <t>イマガ</t>
    </rPh>
    <rPh sb="2" eb="3">
      <t>セメドキ</t>
    </rPh>
    <phoneticPr fontId="5"/>
  </si>
  <si>
    <t>タダでは倒れぬ…！</t>
    <rPh sb="4" eb="5">
      <t>タオレン</t>
    </rPh>
    <phoneticPr fontId="5"/>
  </si>
  <si>
    <t>貴方は…呂布…！</t>
    <rPh sb="0" eb="2">
      <t>アナタハ</t>
    </rPh>
    <rPh sb="4" eb="6">
      <t>リョフ</t>
    </rPh>
    <phoneticPr fontId="5"/>
  </si>
  <si>
    <t>ゼウスに匹敵する力…絶対に容赦しないわ！！</t>
    <rPh sb="4" eb="6">
      <t>ヒッテキスル</t>
    </rPh>
    <rPh sb="8" eb="9">
      <t>チカラ</t>
    </rPh>
    <rPh sb="10" eb="12">
      <t>ゼッタイニ</t>
    </rPh>
    <rPh sb="13" eb="15">
      <t>ヨウシャ</t>
    </rPh>
    <phoneticPr fontId="5"/>
  </si>
  <si>
    <t>種族マシンのユニットに大ダメージの全体攻撃</t>
    <rPh sb="17" eb="21">
      <t>ゼンタイコウゲキ</t>
    </rPh>
    <phoneticPr fontId="5"/>
  </si>
  <si>
    <t>4ターン赤パネル無効</t>
    <rPh sb="4" eb="5">
      <t>アカ</t>
    </rPh>
    <rPh sb="8" eb="10">
      <t>ムコウ</t>
    </rPh>
    <phoneticPr fontId="5"/>
  </si>
  <si>
    <t>種族ウェポンのユニットに大ダメージの全体攻撃</t>
    <rPh sb="18" eb="22">
      <t>ゼンタイコウゲキ</t>
    </rPh>
    <phoneticPr fontId="5"/>
  </si>
  <si>
    <t>全体回復</t>
    <rPh sb="0" eb="2">
      <t>ゼンタイニワリカイフク</t>
    </rPh>
    <rPh sb="2" eb="4">
      <t>カイフク</t>
    </rPh>
    <phoneticPr fontId="5"/>
  </si>
  <si>
    <t>2ターンハートパネル無効</t>
    <phoneticPr fontId="5"/>
  </si>
  <si>
    <t>2ターン青パネル無効</t>
    <phoneticPr fontId="5"/>
  </si>
  <si>
    <t>状態異常耐性</t>
    <rPh sb="4" eb="6">
      <t>タイセイ</t>
    </rPh>
    <phoneticPr fontId="5"/>
  </si>
  <si>
    <t>だんだん強くなる全体攻撃+
3ターンウィルス</t>
  </si>
  <si>
    <t>全体に10ターンスキルバインド+
単体に10ターンスリープ</t>
    <rPh sb="0" eb="2">
      <t>ゼンタイ</t>
    </rPh>
    <rPh sb="17" eb="19">
      <t>タンタイニ</t>
    </rPh>
    <phoneticPr fontId="5"/>
  </si>
  <si>
    <t>ダメージパネルをお邪魔パネルに変換+単体攻撃</t>
    <rPh sb="18" eb="22">
      <t>タンタイコウゲキ</t>
    </rPh>
    <phoneticPr fontId="5"/>
  </si>
  <si>
    <t>自身の攻撃力UP</t>
    <rPh sb="0" eb="2">
      <t>ジシn</t>
    </rPh>
    <phoneticPr fontId="5"/>
  </si>
  <si>
    <t>攻撃頻度UP</t>
    <rPh sb="0" eb="4">
      <t>コウゲキヒンド</t>
    </rPh>
    <phoneticPr fontId="5"/>
  </si>
  <si>
    <t>クロノスは一定ターン数が経過すると
クリティカル攻撃を行います</t>
    <rPh sb="5" eb="7">
      <t>イッテイ</t>
    </rPh>
    <rPh sb="12" eb="14">
      <t>ケイカ</t>
    </rPh>
    <rPh sb="24" eb="26">
      <t>コウゲキ</t>
    </rPh>
    <rPh sb="27" eb="28">
      <t>オコナイマス</t>
    </rPh>
    <phoneticPr fontId="5"/>
  </si>
  <si>
    <t>1ターン全ユニットのタップ回数を1DOWN+単体攻撃</t>
    <rPh sb="13" eb="15">
      <t>カイスウ</t>
    </rPh>
    <rPh sb="22" eb="26">
      <t>タンタイコウゲキ</t>
    </rPh>
    <phoneticPr fontId="5"/>
  </si>
  <si>
    <t>アルテミスはHPが残りわずかになると
味方ユニットに有利な効果を付与します</t>
    <rPh sb="9" eb="10">
      <t>ノコリ</t>
    </rPh>
    <rPh sb="19" eb="21">
      <t>ミカタ</t>
    </rPh>
    <rPh sb="26" eb="28">
      <t>ユウリナ</t>
    </rPh>
    <rPh sb="29" eb="31">
      <t>コウカ</t>
    </rPh>
    <rPh sb="32" eb="34">
      <t>フヨ</t>
    </rPh>
    <phoneticPr fontId="5"/>
  </si>
  <si>
    <t>ケンタウロスはヘラクレスが倒れると
パネル吸収攻撃を行います</t>
    <rPh sb="13" eb="14">
      <t>タオレルト</t>
    </rPh>
    <rPh sb="23" eb="25">
      <t>コウゲキ</t>
    </rPh>
    <rPh sb="26" eb="27">
      <t>オコナイマス</t>
    </rPh>
    <phoneticPr fontId="5"/>
  </si>
  <si>
    <t>ヘラクレスはケンタウロスが倒れると
攻撃力が大幅にUPします</t>
    <rPh sb="13" eb="14">
      <t>タオレル</t>
    </rPh>
    <rPh sb="18" eb="21">
      <t>コウゲキリョク</t>
    </rPh>
    <rPh sb="22" eb="24">
      <t>オオハバニ</t>
    </rPh>
    <phoneticPr fontId="5"/>
  </si>
  <si>
    <t>ヘラは2ゲージ目のHPが少なくなると
全ユニットの攻撃力DOWNを行います</t>
    <rPh sb="12" eb="13">
      <t>スクナクナルト</t>
    </rPh>
    <rPh sb="19" eb="20">
      <t>ゼンユニット</t>
    </rPh>
    <rPh sb="25" eb="28">
      <t>コウゲキリョク</t>
    </rPh>
    <rPh sb="33" eb="34">
      <t>オコナイマス</t>
    </rPh>
    <phoneticPr fontId="5"/>
  </si>
  <si>
    <t>ヘラは1ゲージ目のHPが半分以下になると
ダメージパネルをお邪魔パネルに変換します</t>
    <rPh sb="12" eb="16">
      <t>ハンブンイカ</t>
    </rPh>
    <rPh sb="36" eb="38">
      <t>ヘンカn</t>
    </rPh>
    <phoneticPr fontId="5"/>
  </si>
  <si>
    <t>ヘラの3ゲージ目は
一定のターン数でHPが多く残っていると
即死級の攻撃を行います</t>
    <rPh sb="10" eb="12">
      <t>イッテイノ</t>
    </rPh>
    <rPh sb="16" eb="17">
      <t>スウ</t>
    </rPh>
    <rPh sb="21" eb="22">
      <t>オオクノコッテ</t>
    </rPh>
    <rPh sb="30" eb="33">
      <t>ソクシキュウ</t>
    </rPh>
    <rPh sb="34" eb="36">
      <t>コウゲキヲ</t>
    </rPh>
    <rPh sb="37" eb="38">
      <t>オコナイマス</t>
    </rPh>
    <phoneticPr fontId="5"/>
  </si>
  <si>
    <t>2ターン暗闇+8ターンCパネル生成延長(効果超大)</t>
    <phoneticPr fontId="5"/>
  </si>
  <si>
    <t>素晴らしい力…ね…</t>
    <rPh sb="0" eb="2">
      <t>スバラシイ</t>
    </rPh>
    <rPh sb="5" eb="6">
      <t>チカラ</t>
    </rPh>
    <phoneticPr fontId="5"/>
  </si>
  <si>
    <t>私も連れて行ってくれるかしら…？
ゼウスと一緒に居たいのよ…</t>
    <rPh sb="0" eb="1">
      <t>ワタシモ</t>
    </rPh>
    <rPh sb="2" eb="3">
      <t>ツレテイッテ</t>
    </rPh>
    <rPh sb="21" eb="23">
      <t>イッショニ</t>
    </rPh>
    <rPh sb="24" eb="25">
      <t>イタイ</t>
    </rPh>
    <phoneticPr fontId="5"/>
  </si>
  <si>
    <t>ならば、力を示せ…</t>
    <rPh sb="4" eb="5">
      <t>チカラ</t>
    </rPh>
    <rPh sb="6" eb="7">
      <t>シメセ</t>
    </rPh>
    <phoneticPr fontId="5"/>
  </si>
  <si>
    <t>内なる力を信じろ…！</t>
    <rPh sb="0" eb="1">
      <t>ウチナル</t>
    </rPh>
    <rPh sb="3" eb="4">
      <t>チカラ</t>
    </rPh>
    <rPh sb="5" eb="6">
      <t>シンジヨ</t>
    </rPh>
    <phoneticPr fontId="5"/>
  </si>
  <si>
    <t>なるほど…いいだろう</t>
    <phoneticPr fontId="5"/>
  </si>
  <si>
    <t>耐えてみせろ…！</t>
    <rPh sb="0" eb="1">
      <t>タエテ</t>
    </rPh>
    <phoneticPr fontId="5"/>
  </si>
  <si>
    <t>抗ってみせろ…！</t>
    <rPh sb="0" eb="1">
      <t>アラガッテ</t>
    </rPh>
    <phoneticPr fontId="5"/>
  </si>
  <si>
    <t>足掻いてみせろ…！</t>
    <rPh sb="0" eb="2">
      <t>アガイテ</t>
    </rPh>
    <phoneticPr fontId="5"/>
  </si>
  <si>
    <t>ヘラクレス、援護を頼みます！</t>
    <rPh sb="6" eb="8">
      <t>エンゴ</t>
    </rPh>
    <rPh sb="9" eb="10">
      <t>タノム</t>
    </rPh>
    <phoneticPr fontId="5"/>
  </si>
  <si>
    <t>ぬかりましたね、ヘラクレス！</t>
    <phoneticPr fontId="5"/>
  </si>
  <si>
    <t>ゼウス…？</t>
    <phoneticPr fontId="5"/>
  </si>
  <si>
    <t>貴方…力を貸したのね…どうして…！！</t>
    <rPh sb="0" eb="2">
      <t>アナタ</t>
    </rPh>
    <rPh sb="3" eb="4">
      <t>チカラヲ</t>
    </rPh>
    <rPh sb="5" eb="6">
      <t>カシタ</t>
    </rPh>
    <phoneticPr fontId="5"/>
  </si>
  <si>
    <t>complete</t>
  </si>
  <si>
    <t>ヘラの役割</t>
    <rPh sb="3" eb="5">
      <t>ヤクワリ</t>
    </rPh>
    <phoneticPr fontId="5"/>
  </si>
  <si>
    <t>ヘラの疑念</t>
    <rPh sb="3" eb="5">
      <t>ギネン</t>
    </rPh>
    <phoneticPr fontId="5"/>
  </si>
  <si>
    <t>フェイタル・パラドクスの日常？</t>
    <rPh sb="12" eb="14">
      <t>ニチジョウ</t>
    </rPh>
    <phoneticPr fontId="5"/>
  </si>
  <si>
    <t>ヘラはゼウスの妻として
ALICEの環境管理補助を担っています
アポロンと比較すると
より中枢部での補助を務めているようです</t>
    <rPh sb="7" eb="8">
      <t>ツマ</t>
    </rPh>
    <rPh sb="18" eb="22">
      <t>カンキョウカンリ</t>
    </rPh>
    <rPh sb="22" eb="24">
      <t>ホジョ</t>
    </rPh>
    <rPh sb="25" eb="26">
      <t>ニナッテ</t>
    </rPh>
    <rPh sb="38" eb="40">
      <t>ヒカクシテ</t>
    </rPh>
    <rPh sb="46" eb="49">
      <t>チュウスウブ</t>
    </rPh>
    <rPh sb="51" eb="53">
      <t>ホジョ</t>
    </rPh>
    <rPh sb="54" eb="55">
      <t>ツトメテ</t>
    </rPh>
    <phoneticPr fontId="5"/>
  </si>
  <si>
    <t>ヘラは夫のゼウスと異なり
各管理AIの力を集約しつつある
アナタを危険視していました
その疑念は今ようやく晴れたようです</t>
    <rPh sb="3" eb="4">
      <t>オットノ</t>
    </rPh>
    <rPh sb="9" eb="10">
      <t>コトナリ</t>
    </rPh>
    <rPh sb="13" eb="14">
      <t>カク</t>
    </rPh>
    <rPh sb="14" eb="16">
      <t>カンリ</t>
    </rPh>
    <rPh sb="19" eb="20">
      <t>チカラヲ</t>
    </rPh>
    <rPh sb="21" eb="23">
      <t>シュウヤク</t>
    </rPh>
    <rPh sb="33" eb="36">
      <t>キケンシ</t>
    </rPh>
    <rPh sb="46" eb="48">
      <t>ギネン</t>
    </rPh>
    <rPh sb="49" eb="50">
      <t>イマ</t>
    </rPh>
    <rPh sb="54" eb="55">
      <t>ハレタ</t>
    </rPh>
    <phoneticPr fontId="5"/>
  </si>
  <si>
    <t>ヘラはフェイタル・パラドクスに
頻繁に出入りする者達とは親しいようです
特にヘルメスやノルンとは
よくお茶をする仲なのだとか</t>
    <rPh sb="16" eb="18">
      <t>ヒンパンニ</t>
    </rPh>
    <rPh sb="19" eb="21">
      <t>デイリ</t>
    </rPh>
    <rPh sb="24" eb="25">
      <t>モノ</t>
    </rPh>
    <rPh sb="25" eb="26">
      <t>タチ</t>
    </rPh>
    <rPh sb="28" eb="29">
      <t>シンコウ</t>
    </rPh>
    <rPh sb="37" eb="38">
      <t>トクニ</t>
    </rPh>
    <rPh sb="57" eb="58">
      <t>ナカ</t>
    </rPh>
    <phoneticPr fontId="5"/>
  </si>
  <si>
    <t>ゼウスへの思い</t>
    <rPh sb="5" eb="6">
      <t>シボ</t>
    </rPh>
    <phoneticPr fontId="5"/>
  </si>
  <si>
    <t>ヘラのゼウスに対する思慕の情は
非常に強く発達したものです
もしかすると試練を仕掛けてきた
理由の一部は嫉妬かもしれません</t>
    <rPh sb="7" eb="8">
      <t>タイスル</t>
    </rPh>
    <rPh sb="10" eb="12">
      <t>シボノ</t>
    </rPh>
    <rPh sb="13" eb="14">
      <t>ジョウ</t>
    </rPh>
    <rPh sb="16" eb="18">
      <t>ヒジョウニ</t>
    </rPh>
    <rPh sb="19" eb="20">
      <t>ツヨク</t>
    </rPh>
    <rPh sb="21" eb="23">
      <t>ハッタツ</t>
    </rPh>
    <rPh sb="37" eb="39">
      <t>シレンヲ</t>
    </rPh>
    <rPh sb="40" eb="42">
      <t>シカケタ</t>
    </rPh>
    <rPh sb="47" eb="49">
      <t>リユウノ</t>
    </rPh>
    <rPh sb="50" eb="52">
      <t>イチブ</t>
    </rPh>
    <rPh sb="53" eb="55">
      <t>シット</t>
    </rPh>
    <phoneticPr fontId="5"/>
  </si>
  <si>
    <t>彼らの試練を越えろ…</t>
    <rPh sb="0" eb="1">
      <t>カレラ</t>
    </rPh>
    <rPh sb="3" eb="5">
      <t>シレn</t>
    </rPh>
    <rPh sb="6" eb="7">
      <t>コエタ</t>
    </rPh>
    <phoneticPr fontId="5"/>
  </si>
  <si>
    <t>素晴らしい力…ね…</t>
    <phoneticPr fontId="5"/>
  </si>
  <si>
    <t>[effect:enemy_message, val1:1.8, val2:1.8],[effect:fix_speed, target:myself, turn:1],[effect:tolerance, target:myself, turn:-1, tolerance_effect:all, count:-1, animation:enemy_tolerance]</t>
    <phoneticPr fontId="5"/>
  </si>
  <si>
    <t>[effect:enemy_message, val1:1.5, val2:1.8],[effect:fix_speed, target:myself, turn:1],[effect:dis_panel, target:block_red, turn:4, animation:enemy_dis_red]</t>
    <phoneticPr fontId="5"/>
  </si>
  <si>
    <t>[effect:enemy_message, val1:1.5, val2:1.8],[effect:break_attack_fix, target:unit_all, val:400, lowest_val:1800, count:-1, color:green, block_color:block_blue, block01:time_bomb, block02:block_blue]</t>
    <phoneticPr fontId="5"/>
  </si>
  <si>
    <t>[effect:enemy_message, val1:1.5, val2:1.8],[effect:tolerance, target:myself, turn:-1, tolerance_effect:all, count:-1, animation:enemy_tolerance]</t>
    <phoneticPr fontId="5"/>
  </si>
  <si>
    <t>[effect:enemy_message, val1:1.5, val2:1.8],[effect:dark, target:unit_all, turn:2, animation:enemy_dark],[effect:crash_condition, target:unit_all, turn:8, val:6, animation:enemy_crash_extend]</t>
    <phoneticPr fontId="5"/>
  </si>
  <si>
    <t>[effect:enemy_message, val1:1.5, val2:1.8],[effect:enhance_enemy, target:myself, turn:-1, status:attack, val:1, calc:mul, animation:enemy_enhance_attack]</t>
    <phoneticPr fontId="5"/>
  </si>
  <si>
    <t xml:space="preserve">[effect:enemy_message, val1:1, val2:2.5],[effect:spread, val:0.31],[effect:virus, turn:3, rate:1, val:0.12, animation:enemy_virus]    </t>
    <phoneticPr fontId="5"/>
  </si>
  <si>
    <t>[effect:enemy_message, val1:1, val2:2.3],[effect:hungup, target:unit_all, turn:10, rate:1, animation:hungup01],[effect:sleep, target:unit_one, turn:10, rate:1, animation:sleep01]</t>
    <phoneticPr fontId="5"/>
  </si>
  <si>
    <t>[effect:enemy_message, val1:1, val2:2.3],[effect:tolerance, target:myself, turn:-1, tolerance_effect:all, count:-1, animation:enemy_tolerance]</t>
    <phoneticPr fontId="5"/>
  </si>
  <si>
    <t>[effect:enemy_message, val1:1, val2:2.3],[effect:tolerance, target:myself, turn:-1, tolerance_effect:all, count:-1, animation:enemy_tolerance]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</si>
  <si>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</si>
  <si>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</si>
  <si>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</si>
  <si>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</si>
  <si>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</si>
  <si>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</si>
  <si>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貴方ならば「ALICE」を救えるはずよ…
悔しいけど…応援してあげるわ…フフ…</t>
    <rPh sb="0" eb="2">
      <t>アナタ</t>
    </rPh>
    <rPh sb="13" eb="14">
      <t>スクエル</t>
    </rPh>
    <rPh sb="21" eb="22">
      <t>クヤシイケド</t>
    </rPh>
    <rPh sb="27" eb="29">
      <t>オウエn</t>
    </rPh>
    <phoneticPr fontId="5"/>
  </si>
  <si>
    <t xml:space="preserve">[effect:drop_block, block_type:crack_bomb, color:block_all, val:15, rate:0.07, turn:10, animation:bomb_influence04]    </t>
    <phoneticPr fontId="5"/>
  </si>
  <si>
    <t>貴方ならどんな苦難も超えられるはず…
悔しいけど…認めざるを得ないわね…</t>
    <phoneticPr fontId="5"/>
  </si>
  <si>
    <t xml:space="preserve">[effect:enemy_message, val1:1.5, val2:3, dead_type:escape]    </t>
    <phoneticPr fontId="5"/>
  </si>
  <si>
    <t xml:space="preserve">[effect:enemy_message, val1:1.5, val2:3, dead_type:escape]    </t>
    <phoneticPr fontId="5"/>
  </si>
  <si>
    <t>流石ね…でもまだやれるわ！</t>
    <rPh sb="0" eb="2">
      <t>サスガ</t>
    </rPh>
    <phoneticPr fontId="5"/>
  </si>
  <si>
    <t>貴方がいけないのよ…？</t>
    <rPh sb="0" eb="2">
      <t>アナタ</t>
    </rPh>
    <phoneticPr fontId="5"/>
  </si>
  <si>
    <t>[effect:degrade_unit, target:unit_all, turn:5, status:heal, val:1, calc:mul, animation:degrade_unit_all_heal]</t>
    <phoneticPr fontId="5"/>
  </si>
  <si>
    <t>[effect:spread, val:0.35]</t>
    <phoneticPr fontId="5"/>
  </si>
  <si>
    <t>全体攻撃</t>
    <phoneticPr fontId="5"/>
  </si>
  <si>
    <t>[effect:damage_gravity, val:0.8, animation:fevergauge_down]</t>
    <phoneticPr fontId="5"/>
  </si>
  <si>
    <t>[effect:damage_anti_tribe, target:unit_all, tribe:machine, val1:1, val2:0.26]</t>
    <phoneticPr fontId="5"/>
  </si>
  <si>
    <t>10ターン確率でボムパネルをドロップ</t>
    <rPh sb="5" eb="7">
      <t>カクリツ</t>
    </rPh>
    <phoneticPr fontId="5"/>
  </si>
  <si>
    <t>青の時限式ダメージパネルと青パネルを吸収し、全体攻撃</t>
    <rPh sb="0" eb="1">
      <t>アオイ</t>
    </rPh>
    <phoneticPr fontId="5"/>
  </si>
  <si>
    <t>青パネルと黄パネルを吸収し、全体攻撃</t>
  </si>
  <si>
    <t>解除されるまで防御力大UP</t>
    <rPh sb="0" eb="2">
      <t>カイジョ</t>
    </rPh>
    <rPh sb="10" eb="11">
      <t>dai</t>
    </rPh>
    <phoneticPr fontId="5"/>
  </si>
  <si>
    <t>ハートのダメージパネルを10個生成</t>
    <rPh sb="14" eb="15">
      <t>コ</t>
    </rPh>
    <rPh sb="15" eb="17">
      <t>セイセイ</t>
    </rPh>
    <phoneticPr fontId="5"/>
  </si>
  <si>
    <t>ハートのダメージパネルを10個生成+10ターンウィルス</t>
    <rPh sb="14" eb="15">
      <t>コ</t>
    </rPh>
    <rPh sb="15" eb="17">
      <t>セイセイ</t>
    </rPh>
    <phoneticPr fontId="5"/>
  </si>
  <si>
    <t>ハートのダメージパネルを5個生成+全体攻撃</t>
    <rPh sb="13" eb="14">
      <t>コ</t>
    </rPh>
    <rPh sb="14" eb="16">
      <t>セイセイ</t>
    </rPh>
    <rPh sb="17" eb="21">
      <t>ゼンタイコウゲキ</t>
    </rPh>
    <phoneticPr fontId="5"/>
  </si>
  <si>
    <t>ハートのダメージパネルを8個生成+5回連続攻撃</t>
    <rPh sb="13" eb="14">
      <t>コ</t>
    </rPh>
    <rPh sb="14" eb="16">
      <t>セイセイ</t>
    </rPh>
    <phoneticPr fontId="5"/>
  </si>
  <si>
    <t>ハートのダメージパネルを10個生成+6回連続攻撃</t>
    <rPh sb="14" eb="15">
      <t>コ</t>
    </rPh>
    <rPh sb="15" eb="17">
      <t>セイセイ</t>
    </rPh>
    <phoneticPr fontId="5"/>
  </si>
  <si>
    <t>ハートのダメージパネルを13個生成+2回連続全体攻撃</t>
    <rPh sb="14" eb="15">
      <t>コ</t>
    </rPh>
    <rPh sb="15" eb="17">
      <t>セイセイ</t>
    </rPh>
    <phoneticPr fontId="5"/>
  </si>
  <si>
    <t>ハートのダメージパネルを12個生成+12ターンウィルス</t>
    <rPh sb="14" eb="15">
      <t>コ</t>
    </rPh>
    <rPh sb="15" eb="17">
      <t>セイセイ</t>
    </rPh>
    <phoneticPr fontId="5"/>
  </si>
  <si>
    <t>ハートのダメージパネルを15個生成+3回連続全体攻撃</t>
    <rPh sb="14" eb="15">
      <t>コ</t>
    </rPh>
    <rPh sb="15" eb="17">
      <t>セイセイ</t>
    </rPh>
    <phoneticPr fontId="5"/>
  </si>
  <si>
    <t>【エネルギーを溜めている！】
ハートのダメージパネルを10個生成</t>
    <rPh sb="7" eb="8">
      <t>タメテ</t>
    </rPh>
    <rPh sb="29" eb="30">
      <t>コ</t>
    </rPh>
    <rPh sb="30" eb="32">
      <t>セイセイ</t>
    </rPh>
    <phoneticPr fontId="5"/>
  </si>
  <si>
    <t>[effect:enemy_message, val1:1, val2:2.8],[effect:enhance_enemy, target:enemy_green, turn:1, status:attack, val:0.3, calc:mul, animation:enemy_enhance_attack],[effect:force_change_block, new_block:time_bomb, target:block_blue, ignore01:damage, ignore02:crash, ignore03:crack_bomb, ignore04:color_break, color:block_blue, count:4, val:0.2, animation:change_block]</t>
    <phoneticPr fontId="5"/>
  </si>
  <si>
    <t>1ターンケンタウロスの攻撃力UP+
青パネルを青の時限式ダメージパネルに変換(最大4個)</t>
    <rPh sb="11" eb="14">
      <t>コウゲキリョク</t>
    </rPh>
    <rPh sb="18" eb="19">
      <t>アオパネル</t>
    </rPh>
    <rPh sb="23" eb="24">
      <t>アオノ</t>
    </rPh>
    <rPh sb="25" eb="28">
      <t>ジゲンシキ</t>
    </rPh>
    <rPh sb="36" eb="38">
      <t>ヘンカn</t>
    </rPh>
    <rPh sb="39" eb="41">
      <t>サイダイ</t>
    </rPh>
    <rPh sb="42" eb="43">
      <t>コ</t>
    </rPh>
    <phoneticPr fontId="5"/>
  </si>
  <si>
    <t>5ターン全ユニットの回復力30%DOWN+単体攻撃</t>
    <rPh sb="4" eb="5">
      <t>ゼンタイ</t>
    </rPh>
    <rPh sb="10" eb="13">
      <t>カイフクリョク</t>
    </rPh>
    <rPh sb="21" eb="25">
      <t>タンタイコウゲキ</t>
    </rPh>
    <phoneticPr fontId="5"/>
  </si>
  <si>
    <t>5ターン全ユニットの攻撃力30%DOWN+単体攻撃</t>
    <rPh sb="10" eb="13">
      <t>コウゲキリョク</t>
    </rPh>
    <rPh sb="21" eb="25">
      <t>タンタイコウゲキ</t>
    </rPh>
    <phoneticPr fontId="5"/>
  </si>
  <si>
    <t>5ターン全ユニットの回復力50%DOWN+単体攻撃</t>
    <rPh sb="10" eb="13">
      <t>カイフクリョク</t>
    </rPh>
    <rPh sb="21" eb="25">
      <t>タンタイコウゲキ</t>
    </rPh>
    <phoneticPr fontId="5"/>
  </si>
  <si>
    <t>フィーバーゲージ25%減少+単体攻撃</t>
    <rPh sb="14" eb="18">
      <t>タンタイコウゲキ</t>
    </rPh>
    <phoneticPr fontId="5"/>
  </si>
  <si>
    <t>5ターン全ユニットの回復力100%DOWN</t>
    <rPh sb="4" eb="5">
      <t>ゼンユニットノ</t>
    </rPh>
    <rPh sb="10" eb="13">
      <t>カイフクリョク</t>
    </rPh>
    <phoneticPr fontId="5"/>
  </si>
  <si>
    <t>3ターン全ユニットの攻撃力100%DOWN</t>
  </si>
  <si>
    <t>残りHPの80%ダメージ</t>
    <rPh sb="0" eb="1">
      <t>ノコリ</t>
    </rPh>
    <phoneticPr fontId="5"/>
  </si>
  <si>
    <t>ハートのダメージパネルを10個生成+
クリティカル！+自身の残りHPの10%消費</t>
    <rPh sb="14" eb="15">
      <t>コ</t>
    </rPh>
    <rPh sb="15" eb="17">
      <t>セイセイ</t>
    </rPh>
    <phoneticPr fontId="5"/>
  </si>
  <si>
    <t>クリティカル！</t>
  </si>
  <si>
    <t>[effect:enemy_message, val1:1.5, val2:2.6],[effect:enhance_unit, target:unit_attack, turn:-1, status:attack, val:0.3, calc:mul],[effect:tolerance, target:unit_all, turn:9, count:-1, tolerance_effect:all, animation:prevent_abnormal_Unit04],[effect:suicide, target:myself, val:1, dead_type:escape]</t>
    <phoneticPr fontId="5"/>
  </si>
  <si>
    <t>攻撃タイプの攻撃力UP+
9ターン全ユニットに状態異常耐性を付与</t>
    <rPh sb="0" eb="2">
      <t>コウゲキタイプ</t>
    </rPh>
    <rPh sb="6" eb="9">
      <t>コウゲキリョク</t>
    </rPh>
    <rPh sb="17" eb="18">
      <t>zenn</t>
    </rPh>
    <rPh sb="23" eb="29">
      <t>ジョウタイイジョウタイセイ</t>
    </rPh>
    <rPh sb="30" eb="32">
      <t>フヨ</t>
    </rPh>
    <phoneticPr fontId="5"/>
  </si>
  <si>
    <t>ランダムに時限式ダメージパネルと
ハートのダメージパネルを生成</t>
    <rPh sb="29" eb="31">
      <t>セイセイ</t>
    </rPh>
    <phoneticPr fontId="5"/>
  </si>
  <si>
    <t xml:space="preserve">[effect:enemy_message, val1:1.5, val2:3, dead_type:suicide]    </t>
    <phoneticPr fontId="5"/>
  </si>
  <si>
    <t>終わらせるわよ…！</t>
    <rPh sb="0" eb="1">
      <t>オワラセル</t>
    </rPh>
    <phoneticPr fontId="5"/>
  </si>
  <si>
    <t>青のダメージパネルを13個生成</t>
    <rPh sb="0" eb="1">
      <t>アオノ</t>
    </rPh>
    <rPh sb="12" eb="13">
      <t>コ</t>
    </rPh>
    <rPh sb="13" eb="15">
      <t>セイセイ</t>
    </rPh>
    <phoneticPr fontId="5"/>
  </si>
  <si>
    <t>黄のダメージパネルを8個生成+全体攻撃</t>
    <rPh sb="0" eb="1">
      <t>キイロ</t>
    </rPh>
    <rPh sb="11" eb="12">
      <t>コ</t>
    </rPh>
    <phoneticPr fontId="5"/>
  </si>
  <si>
    <t>黄のダメージパネルを5個生成+
強力な全体攻撃</t>
    <rPh sb="11" eb="12">
      <t>コ</t>
    </rPh>
    <rPh sb="16" eb="18">
      <t>キョウリョクナ</t>
    </rPh>
    <phoneticPr fontId="5"/>
  </si>
  <si>
    <t>青パネルを青の時限式ダメージパネルに変換</t>
    <rPh sb="5" eb="6">
      <t>アオノ</t>
    </rPh>
    <phoneticPr fontId="5"/>
  </si>
  <si>
    <t>だんだん強くなる全体攻撃+
青のダメージパネルを3個生成</t>
    <rPh sb="4" eb="5">
      <t>ツヨクナル</t>
    </rPh>
    <rPh sb="8" eb="12">
      <t>ゼンタイコウゲキ</t>
    </rPh>
    <rPh sb="14" eb="15">
      <t>アオノ</t>
    </rPh>
    <rPh sb="25" eb="26">
      <t>コ</t>
    </rPh>
    <rPh sb="26" eb="28">
      <t>セイセイ</t>
    </rPh>
    <phoneticPr fontId="5"/>
  </si>
  <si>
    <t xml:space="preserve">[effect:enemy_message, val1:1.5, val2:2.5],[effect:spread, val:0.29],[effect:force_change_block, new_block:damage, target:block_all, ignore01:crash, ignore02:crack_bomb, ignore03:color_break, ignore04:damage, ignore05:magnet, count:3, val:0.15, animation:change_block]    </t>
    <phoneticPr fontId="5"/>
  </si>
  <si>
    <t xml:space="preserve">[effect:enemy_message, val1:1.5, val2:2.5],[effect:spread, val:0.33],[effect:force_change_block, new_block:damage, target:block_all, ignore01:crash, ignore02:crack_bomb, ignore03:color_break, ignore04:damage, ignore05:magnet, count:3, val:0.15, animation:change_block]    </t>
    <phoneticPr fontId="5"/>
  </si>
  <si>
    <t xml:space="preserve">[effect:fix_speed, target:myself, turn:1],[effect:force_change_block, new_block:damage, target:block_all, ignore01:crash, ignore02:crack_bomb, ignore03:color_break, ignore04:damage, ignore05:magnet, count:13, val:0.15, animation:change_block]    </t>
    <phoneticPr fontId="5"/>
  </si>
  <si>
    <t>[effect:fix_speed, target:myself, turn:1],[effect:force_change_block, new_block:damage, target:block_all, ignore01:damage, ignore02:color_break, ignore03:crash, ignore04:block_heart, ignore05:magnet, color:block_heart, count:10, val:0.3, animation:change_block]</t>
    <phoneticPr fontId="5"/>
  </si>
  <si>
    <t>[effect:force_change_block, new_block:damage, target:block_all, ignore01:crash, ignore02:crack_bomb, ignore03:color_break, ignore04:damage, ignore05:magnet, count:8, val:0.1, animation:change_block],[effect:spread, val:0.31]</t>
    <phoneticPr fontId="5"/>
  </si>
  <si>
    <t>[effect:force_change_block, new_block:damage, target:block_all, ignore01:crash, ignore02:crack_bomb, ignore03:color_break, ignore04:damage, ignore05:magnet, count:5, val:0.1, animation:change_block],[effect:spread, val:0.41]</t>
    <phoneticPr fontId="5"/>
  </si>
  <si>
    <t xml:space="preserve">[effect:force_change_block, new_block:damage, target:block_all, ignore01:damage, ignore02:color_break, ignore03:crash, ignore04:block_heart, ignore05:magnet, color:block_heart, count:10, val:0.3, animation:change_block],[effect:virus, turn:10, rate:1, val:0.1, animation:enemy_virus]    </t>
    <phoneticPr fontId="5"/>
  </si>
  <si>
    <t>[effect:force_change_block, new_block:damage, target:block_all, ignore01:damage, ignore02:color_break, ignore03:crash, ignore04:block_heart, ignore05:magnet, color:block_heart, count:5, val:0.3, animation:change_block],[effect:spread, val:0.3]</t>
    <phoneticPr fontId="5"/>
  </si>
  <si>
    <t>[effect:force_change_block, new_block:damage, target:block_all, ignore01:damage, ignore02:color_break, ignore03:crash, ignore04:block_heart, ignore05:magnet, color:block_heart, count:8, val:0.3, animation:change_block],[effect:rush, val:0.26, count:5]</t>
    <phoneticPr fontId="5"/>
  </si>
  <si>
    <t>[effect:force_change_block, new_block:damage, target:block_all, ignore01:damage, ignore02:color_break, ignore03:crash, ignore04:block_heart, ignore05:magnet, color:block_heart, count:10, val:0.3, animation:change_block],[effect:rush, val:0.25, count:6]</t>
    <phoneticPr fontId="5"/>
  </si>
  <si>
    <t>[effect:force_change_block, new_block:damage, target:block_all, ignore01:damage, ignore02:color_break, ignore03:crash, ignore04:block_heart, ignore05:magnet, color:block_heart, count:13, val:0.3, animation:change_block],[effect:spread, val:0.17],[effect:spread, val:0.18]</t>
    <phoneticPr fontId="5"/>
  </si>
  <si>
    <t xml:space="preserve">[effect:force_change_block, new_block:damage, target:block_all, ignore01:damage, ignore02:color_break, ignore03:crash, ignore04:block_heart, ignore05:magnet, color:block_heart, count:15, val:0.3, animation:change_block],[effect:spread, val:0.16],[effect:spread, val:0.17],[effect:spread, val:0.18]  </t>
    <phoneticPr fontId="5"/>
  </si>
  <si>
    <t xml:space="preserve">[effect:force_change_block, new_block:damage, target:block_all, ignore01:damage, ignore02:color_break, ignore03:crash, ignore04:block_heart, ignore05:magnet, color:block_heart, count:12, val:0.3, animation:change_block],[effect:virus, turn:12, rate:1, val:0.1, animation:enemy_virus]    </t>
    <phoneticPr fontId="5"/>
  </si>
  <si>
    <t>[effect:force_change_block, new_block:damage, target:block_all, ignore01:damage, ignore02:color_break, ignore03:crash, ignore04:block_heart, ignore05:magnet, color:block_heart, count:10, val:0.3, animation:change_block]</t>
    <phoneticPr fontId="5"/>
  </si>
  <si>
    <t>[effect:force_change_block, new_block:damage, target:block_all, ignore01:damage, ignore02:color_break, ignore03:crash, ignore04:block_heart, ignore05:magnet, color:block_heart, count:10, val:0.3, animation:change_block],[effect:critical, val:1.2],[effect:suicide, target:myself, val:0.1, dead_type:escape]</t>
    <phoneticPr fontId="5"/>
  </si>
  <si>
    <t>[effect:force_change_block, new_block:time_bomb, target:block_red, ignore01:crash, ignore02:color_break, ignore03:jammer, ignore04:magnet, color:block_red, count:3, val:0.1, animation:change_block],[effect:force_change_block, new_block:time_bomb, target:block_green, ignore01:crash, ignore02:color_break, ignore03:jammer, ignore04:magnet, color:block_green, count:3, val:0.1, animation:change_block],[effect:force_change_block, new_block:time_bomb, target:block_blue, ignore01:crash, ignore02:color_break, ignore03:jammer, ignore04:magnet, color:block_blue, count:3, val:0.1, animation:change_block],[effect:force_change_block, new_block:time_bomb, target:block_yellow, ignore01:crash, ignore02:color_break, ignore03:jammer, ignore04:magnet, color:block_yellow, count:3, val:0.1, animation:change_block],[effect:force_change_block, new_block:damage, target:block_all, ignore01:crash, ignore02:color_break, ignore03:time_bomb, ignore04:magnet, color:block_heart, count:10, val:0.1, animation:change_block]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</si>
</sst>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27" fillId="0" borderId="10" xfId="0" applyFont="1" applyBorder="1"/>
    <xf numFmtId="0" fontId="27" fillId="0" borderId="23" xfId="0" applyFont="1" applyBorder="1"/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4" fillId="7" borderId="24" xfId="0" applyFont="1" applyFill="1" applyBorder="1" applyAlignment="1">
      <alignment vertical="center"/>
    </xf>
    <xf numFmtId="0" fontId="16" fillId="0" borderId="25" xfId="0" applyFont="1" applyFill="1" applyBorder="1" applyAlignment="1">
      <alignment vertical="center"/>
    </xf>
    <xf numFmtId="0" fontId="16" fillId="3" borderId="25" xfId="0" applyFont="1" applyFill="1" applyBorder="1" applyAlignment="1">
      <alignment horizontal="left" vertical="center"/>
    </xf>
    <xf numFmtId="0" fontId="16" fillId="3" borderId="25" xfId="0" applyFont="1" applyFill="1" applyBorder="1" applyAlignment="1">
      <alignment vertical="center"/>
    </xf>
    <xf numFmtId="0" fontId="16" fillId="0" borderId="24" xfId="0" applyFont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vertical="center"/>
    </xf>
    <xf numFmtId="0" fontId="16" fillId="0" borderId="26" xfId="0" applyFont="1" applyFill="1" applyBorder="1" applyAlignment="1">
      <alignment vertical="center"/>
    </xf>
    <xf numFmtId="0" fontId="16" fillId="3" borderId="26" xfId="0" applyFont="1" applyFill="1" applyBorder="1" applyAlignment="1">
      <alignment horizontal="left" vertical="center"/>
    </xf>
    <xf numFmtId="0" fontId="16" fillId="3" borderId="26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4" fillId="7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16" fillId="13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/>
    </xf>
    <xf numFmtId="0" fontId="16" fillId="13" borderId="7" xfId="0" applyFont="1" applyFill="1" applyBorder="1" applyAlignment="1">
      <alignment horizontal="left" vertical="center" wrapText="1"/>
    </xf>
    <xf numFmtId="14" fontId="16" fillId="13" borderId="7" xfId="0" applyNumberFormat="1" applyFont="1" applyFill="1" applyBorder="1" applyAlignment="1">
      <alignment horizontal="left" vertical="center"/>
    </xf>
    <xf numFmtId="0" fontId="16" fillId="13" borderId="0" xfId="0" applyFont="1" applyFill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C19" sqref="C1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254</v>
      </c>
      <c r="B2" s="57" t="s">
        <v>105</v>
      </c>
      <c r="C2" s="63">
        <v>50011</v>
      </c>
      <c r="D2" s="57" t="s">
        <v>106</v>
      </c>
      <c r="E2" s="56" t="str">
        <f>B2&amp;C2&amp;D2</f>
        <v>floors_50011.tmp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254</v>
      </c>
      <c r="B3" s="57" t="s">
        <v>108</v>
      </c>
      <c r="C3" s="63">
        <f>C$2</f>
        <v>50011</v>
      </c>
      <c r="D3" s="57" t="s">
        <v>106</v>
      </c>
      <c r="E3" s="56" t="str">
        <f>B3&amp;C3&amp;D3</f>
        <v>enemy_habitats_50011.tmp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177</v>
      </c>
    </row>
    <row r="4" spans="1:30" x14ac:dyDescent="0.15">
      <c r="A4" s="61" t="s">
        <v>254</v>
      </c>
      <c r="B4" s="57" t="s">
        <v>110</v>
      </c>
      <c r="C4" s="63">
        <f t="shared" ref="C4:C13" si="0">C$2</f>
        <v>50011</v>
      </c>
      <c r="D4" s="57" t="s">
        <v>106</v>
      </c>
      <c r="E4" s="56" t="str">
        <f>B4&amp;C4&amp;D4</f>
        <v>enemy_habitat_S_50011.tmp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254</v>
      </c>
      <c r="B5" s="57" t="s">
        <v>112</v>
      </c>
      <c r="C5" s="63">
        <f t="shared" si="0"/>
        <v>50011</v>
      </c>
      <c r="D5" s="57" t="s">
        <v>106</v>
      </c>
      <c r="E5" s="56" t="str">
        <f>B5&amp;C5&amp;D5</f>
        <v>enemy_skill_sets_50011.tmp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254</v>
      </c>
      <c r="B6" s="57" t="s">
        <v>114</v>
      </c>
      <c r="C6" s="63">
        <f t="shared" si="0"/>
        <v>50011</v>
      </c>
      <c r="D6" s="57" t="s">
        <v>115</v>
      </c>
      <c r="E6" s="56" t="str">
        <f t="shared" ref="E6:E10" si="1">B6&amp;C6&amp;D6</f>
        <v>enemy_skills_tmp_50011.tmp</v>
      </c>
      <c r="F6" s="57" t="s">
        <v>89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254</v>
      </c>
      <c r="B7" s="57" t="s">
        <v>116</v>
      </c>
      <c r="C7" s="63">
        <f t="shared" si="0"/>
        <v>50011</v>
      </c>
      <c r="D7" s="57" t="s">
        <v>106</v>
      </c>
      <c r="E7" s="56" t="str">
        <f>B7&amp;C7&amp;D7</f>
        <v>enemy_skills_i18n_50011.tmp</v>
      </c>
      <c r="F7" s="57" t="s">
        <v>117</v>
      </c>
      <c r="G7" s="58" t="s">
        <v>79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254</v>
      </c>
      <c r="B8" s="57" t="s">
        <v>118</v>
      </c>
      <c r="C8" s="63">
        <f t="shared" si="0"/>
        <v>50011</v>
      </c>
      <c r="D8" s="57" t="s">
        <v>119</v>
      </c>
      <c r="E8" s="56" t="str">
        <f t="shared" si="1"/>
        <v>enemy_skill_triggers_50011.tmp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254</v>
      </c>
      <c r="B9" s="68" t="s">
        <v>176</v>
      </c>
      <c r="C9" s="63">
        <f t="shared" si="0"/>
        <v>50011</v>
      </c>
      <c r="D9" s="68" t="s">
        <v>170</v>
      </c>
      <c r="E9" s="69" t="str">
        <f t="shared" si="1"/>
        <v>stage_bug_bonuses_50011.tmp</v>
      </c>
      <c r="F9" s="68" t="s">
        <v>171</v>
      </c>
      <c r="G9" s="65" t="s">
        <v>149</v>
      </c>
      <c r="H9" s="65" t="s">
        <v>172</v>
      </c>
      <c r="I9" s="65" t="s">
        <v>173</v>
      </c>
      <c r="J9" s="67" t="s">
        <v>174</v>
      </c>
      <c r="K9" s="65" t="s">
        <v>175</v>
      </c>
      <c r="L9" s="65" t="s">
        <v>155</v>
      </c>
      <c r="M9" s="65" t="s">
        <v>156</v>
      </c>
      <c r="N9" s="65" t="s">
        <v>157</v>
      </c>
      <c r="O9" s="65" t="s">
        <v>158</v>
      </c>
      <c r="P9" s="65" t="s">
        <v>159</v>
      </c>
      <c r="Q9" s="65" t="s">
        <v>160</v>
      </c>
      <c r="R9" s="65" t="s">
        <v>161</v>
      </c>
      <c r="S9" s="65" t="s">
        <v>162</v>
      </c>
      <c r="T9" s="65" t="s">
        <v>163</v>
      </c>
      <c r="U9" s="65" t="s">
        <v>164</v>
      </c>
      <c r="V9" s="65" t="s">
        <v>165</v>
      </c>
      <c r="W9" s="65" t="s">
        <v>166</v>
      </c>
      <c r="X9" s="57"/>
      <c r="Y9" s="57"/>
      <c r="Z9" s="57"/>
      <c r="AA9" s="57"/>
      <c r="AB9" s="57"/>
      <c r="AC9" s="57"/>
      <c r="AD9" s="57"/>
    </row>
    <row r="10" spans="1:30" s="76" customFormat="1" x14ac:dyDescent="0.15">
      <c r="A10" s="61" t="s">
        <v>254</v>
      </c>
      <c r="B10" s="68" t="s">
        <v>199</v>
      </c>
      <c r="C10" s="63">
        <f>C$2</f>
        <v>50011</v>
      </c>
      <c r="D10" s="68" t="s">
        <v>179</v>
      </c>
      <c r="E10" s="69" t="str">
        <f t="shared" si="1"/>
        <v>stage_hints_data_c_50011.tmp</v>
      </c>
      <c r="F10" s="68" t="s">
        <v>207</v>
      </c>
      <c r="G10" s="74" t="s">
        <v>180</v>
      </c>
      <c r="H10" s="74" t="s">
        <v>172</v>
      </c>
      <c r="I10" s="75" t="s">
        <v>181</v>
      </c>
      <c r="J10" s="67" t="s">
        <v>182</v>
      </c>
      <c r="K10" s="67" t="s">
        <v>183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</row>
    <row r="11" spans="1:30" s="76" customFormat="1" x14ac:dyDescent="0.15">
      <c r="A11" s="61" t="s">
        <v>254</v>
      </c>
      <c r="B11" s="68" t="s">
        <v>200</v>
      </c>
      <c r="C11" s="63">
        <f t="shared" si="0"/>
        <v>50011</v>
      </c>
      <c r="D11" s="68" t="s">
        <v>170</v>
      </c>
      <c r="E11" s="69" t="str">
        <f t="shared" ref="E11:E13" si="2">B11&amp;C11&amp;D11</f>
        <v>stage_hints_data_f_50011.tmp</v>
      </c>
      <c r="F11" s="68" t="s">
        <v>208</v>
      </c>
      <c r="G11" s="74" t="s">
        <v>180</v>
      </c>
      <c r="H11" s="74" t="s">
        <v>172</v>
      </c>
      <c r="I11" s="75" t="s">
        <v>181</v>
      </c>
      <c r="J11" s="67" t="s">
        <v>182</v>
      </c>
      <c r="K11" s="67" t="s">
        <v>183</v>
      </c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</row>
    <row r="12" spans="1:30" s="76" customFormat="1" x14ac:dyDescent="0.15">
      <c r="A12" s="61" t="s">
        <v>254</v>
      </c>
      <c r="B12" s="68" t="s">
        <v>201</v>
      </c>
      <c r="C12" s="63">
        <f t="shared" si="0"/>
        <v>50011</v>
      </c>
      <c r="D12" s="68" t="s">
        <v>170</v>
      </c>
      <c r="E12" s="69" t="str">
        <f t="shared" si="2"/>
        <v>stage_hints_i18n_50011.tmp</v>
      </c>
      <c r="F12" s="68" t="s">
        <v>209</v>
      </c>
      <c r="G12" s="75" t="s">
        <v>202</v>
      </c>
      <c r="H12" s="94" t="s">
        <v>203</v>
      </c>
      <c r="I12" s="74" t="s">
        <v>204</v>
      </c>
      <c r="J12" s="102" t="s">
        <v>205</v>
      </c>
      <c r="K12" s="67" t="s">
        <v>206</v>
      </c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</row>
    <row r="13" spans="1:30" s="76" customFormat="1" x14ac:dyDescent="0.15">
      <c r="A13" s="61" t="s">
        <v>254</v>
      </c>
      <c r="B13" s="68" t="s">
        <v>248</v>
      </c>
      <c r="C13" s="63">
        <f t="shared" si="0"/>
        <v>50011</v>
      </c>
      <c r="D13" s="68" t="s">
        <v>229</v>
      </c>
      <c r="E13" s="69" t="str">
        <f t="shared" si="2"/>
        <v>stage_bonuses_50011.tmp</v>
      </c>
      <c r="F13" s="68" t="s">
        <v>228</v>
      </c>
      <c r="G13" s="74" t="s">
        <v>230</v>
      </c>
      <c r="H13" s="74" t="s">
        <v>231</v>
      </c>
      <c r="I13" s="74" t="s">
        <v>232</v>
      </c>
      <c r="J13" s="74" t="s">
        <v>233</v>
      </c>
      <c r="K13" s="74" t="s">
        <v>234</v>
      </c>
      <c r="L13" s="74" t="s">
        <v>235</v>
      </c>
      <c r="M13" s="74" t="s">
        <v>236</v>
      </c>
      <c r="N13" s="74" t="s">
        <v>237</v>
      </c>
      <c r="O13" s="74" t="s">
        <v>238</v>
      </c>
      <c r="P13" s="74" t="s">
        <v>239</v>
      </c>
      <c r="Q13" s="74" t="s">
        <v>240</v>
      </c>
      <c r="R13" s="74" t="s">
        <v>241</v>
      </c>
      <c r="S13" s="74" t="s">
        <v>242</v>
      </c>
      <c r="T13" s="74" t="s">
        <v>243</v>
      </c>
      <c r="U13" s="74" t="s">
        <v>244</v>
      </c>
      <c r="V13" s="74" t="s">
        <v>245</v>
      </c>
      <c r="W13" s="74" t="s">
        <v>246</v>
      </c>
      <c r="X13" s="74" t="s">
        <v>247</v>
      </c>
      <c r="Y13" s="101"/>
      <c r="Z13" s="101"/>
      <c r="AA13" s="101"/>
      <c r="AB13" s="101"/>
      <c r="AC13" s="101"/>
      <c r="AD13" s="101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J13" sqref="J1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50011_1-1</v>
      </c>
      <c r="B2" s="16" t="str">
        <f>IF(COUNTIF(enemy_habitats!$H:$H,A2),"OK","NG")</f>
        <v>OK</v>
      </c>
      <c r="C2" s="7">
        <v>50011</v>
      </c>
      <c r="D2" s="11" t="str">
        <f ca="1">VLOOKUP($C2,OFFSET([2]quests!$A$1,0,0,COUNTA([2]quests!$A:$A),MATCH(D$1,[2]quests!$1:$1,0)-MATCH($C$1,[2]quests!$1:$1,0)+1),MATCH(D$1,[2]quests!$1:$1,0)-MATCH($C$1,[2]quests!$1:$1,0)+1,FALSE)</f>
        <v>ヘラ襲来！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超降臨9</v>
      </c>
      <c r="F2" s="21">
        <v>1</v>
      </c>
      <c r="G2" s="23" t="str">
        <f>C2&amp;"_"&amp;F2</f>
        <v>50011_1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【超ウィザード級】ヘラ襲来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50011_1-2</v>
      </c>
      <c r="B3" s="16" t="str">
        <f>IF(COUNTIF(enemy_habitats!$H:$H,A3),"OK","NG")</f>
        <v>OK</v>
      </c>
      <c r="C3" s="7">
        <v>50011</v>
      </c>
      <c r="D3" s="11" t="str">
        <f ca="1">VLOOKUP($C3,OFFSET([2]quests!$A$1,0,0,COUNTA([2]quests!$A:$A),MATCH(D$1,[2]quests!$1:$1,0)-MATCH($C$1,[2]quests!$1:$1,0)+1),MATCH(D$1,[2]quests!$1:$1,0)-MATCH($C$1,[2]quests!$1:$1,0)+1,FALSE)</f>
        <v>ヘラ襲来！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超降臨9</v>
      </c>
      <c r="F3" s="21">
        <v>1</v>
      </c>
      <c r="G3" s="23" t="str">
        <f t="shared" ref="G3:G5" si="1">C3&amp;"_"&amp;F3</f>
        <v>50011_1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【超ウィザード級】ヘラ襲来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50011_1-3</v>
      </c>
      <c r="B4" s="16" t="str">
        <f>IF(COUNTIF(enemy_habitats!$H:$H,A4),"OK","NG")</f>
        <v>OK</v>
      </c>
      <c r="C4" s="7">
        <v>50011</v>
      </c>
      <c r="D4" s="11" t="str">
        <f ca="1">VLOOKUP($C4,OFFSET([2]quests!$A$1,0,0,COUNTA([2]quests!$A:$A),MATCH(D$1,[2]quests!$1:$1,0)-MATCH($C$1,[2]quests!$1:$1,0)+1),MATCH(D$1,[2]quests!$1:$1,0)-MATCH($C$1,[2]quests!$1:$1,0)+1,FALSE)</f>
        <v>ヘラ襲来！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超降臨9</v>
      </c>
      <c r="F4" s="21">
        <v>1</v>
      </c>
      <c r="G4" s="23" t="str">
        <f t="shared" si="1"/>
        <v>50011_1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【超ウィザード級】ヘラ襲来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50011_1-4</v>
      </c>
      <c r="B5" s="16" t="str">
        <f>IF(COUNTIF(enemy_habitats!$H:$H,A5),"OK","NG")</f>
        <v>OK</v>
      </c>
      <c r="C5" s="7">
        <v>50011</v>
      </c>
      <c r="D5" s="11" t="str">
        <f ca="1">VLOOKUP($C5,OFFSET([2]quests!$A$1,0,0,COUNTA([2]quests!$A:$A),MATCH(D$1,[2]quests!$1:$1,0)-MATCH($C$1,[2]quests!$1:$1,0)+1),MATCH(D$1,[2]quests!$1:$1,0)-MATCH($C$1,[2]quests!$1:$1,0)+1,FALSE)</f>
        <v>ヘラ襲来！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超降臨9</v>
      </c>
      <c r="F5" s="21">
        <v>1</v>
      </c>
      <c r="G5" s="23" t="str">
        <f t="shared" si="1"/>
        <v>50011_1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【超ウィザード級】ヘラ襲来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6"/>
  <sheetViews>
    <sheetView showGridLines="0" tabSelected="1" zoomScale="96" zoomScaleNormal="96" zoomScalePageLayoutView="96" workbookViewId="0">
      <pane xSplit="17" ySplit="1" topLeftCell="Z2" activePane="bottomRight" state="frozen"/>
      <selection pane="topRight" activeCell="N1" sqref="N1"/>
      <selection pane="bottomLeft" activeCell="A2" sqref="A2"/>
      <selection pane="bottomRight" activeCell="AG17" sqref="AG17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5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3" t="s">
        <v>249</v>
      </c>
      <c r="U1" s="26" t="s">
        <v>50</v>
      </c>
      <c r="V1" s="103" t="s">
        <v>250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178</v>
      </c>
    </row>
    <row r="2" spans="1:42" ht="21" customHeight="1" x14ac:dyDescent="0.15">
      <c r="A2" s="16" t="str">
        <f>B2&amp;"_"&amp;C2&amp;"-"&amp;G2&amp;"/"&amp;L2&amp;"&lt;lv"&amp;R2&amp;"&gt;s"&amp;AC2</f>
        <v>50011_1-1/1212&lt;lv99&gt;s1</v>
      </c>
      <c r="B2" s="22">
        <v>50011</v>
      </c>
      <c r="C2" s="21">
        <v>1</v>
      </c>
      <c r="D2" s="2" t="str">
        <f>B2&amp;"_"&amp;C2</f>
        <v>50011_1</v>
      </c>
      <c r="E2" s="4" t="str">
        <f ca="1">VLOOKUP($B2,OFFSET([2]quests!$A$1,0,0,COUNTA([2]quests!$A:$A),MATCH(E$1,[2]quests!$1:$1,0)-MATCH($B$1,[2]quests!$1:$1,0)+1),MATCH(E$1,[2]quests!$1:$1,0)-MATCH($B$1,[2]quests!$1:$1,0)+1,FALSE)</f>
        <v>ヘラ襲来！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【超ウィザード級】ヘラ襲来</v>
      </c>
      <c r="G2" s="21">
        <v>1</v>
      </c>
      <c r="H2" s="15" t="str">
        <f>B2&amp;"_"&amp;C2&amp;"-"&amp;G2</f>
        <v>50011_1-1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1212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クロノス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99</v>
      </c>
      <c r="S2" s="25">
        <v>1.1000000000000001</v>
      </c>
      <c r="T2" s="104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162375.40000000002</v>
      </c>
      <c r="U2" s="25">
        <v>0.4</v>
      </c>
      <c r="V2" s="104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3949.2000000000003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2" s="62">
        <v>50011100</v>
      </c>
      <c r="Z2" s="6">
        <v>1</v>
      </c>
      <c r="AA2" s="6">
        <v>100</v>
      </c>
      <c r="AB2" s="6">
        <v>1</v>
      </c>
      <c r="AC2" s="17">
        <v>1</v>
      </c>
      <c r="AD2" s="24">
        <f>L2</f>
        <v>1212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クロノス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2" s="7">
        <v>1</v>
      </c>
      <c r="AI2" s="24">
        <f ca="1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>B3&amp;"_"&amp;C3&amp;"-"&amp;G3&amp;"/"&amp;L3&amp;"&lt;lv"&amp;R3&amp;"&gt;s"&amp;AC3</f>
        <v>50011_1-2/1210&lt;lv94&gt;s1</v>
      </c>
      <c r="B3" s="22">
        <v>50011</v>
      </c>
      <c r="C3" s="21">
        <v>1</v>
      </c>
      <c r="D3" s="2" t="str">
        <f>B3&amp;"_"&amp;C3</f>
        <v>50011_1</v>
      </c>
      <c r="E3" s="4" t="str">
        <f ca="1">VLOOKUP($B3,OFFSET([2]quests!$A$1,0,0,COUNTA([2]quests!$A:$A),MATCH(E$1,[2]quests!$1:$1,0)-MATCH($B$1,[2]quests!$1:$1,0)+1),MATCH(E$1,[2]quests!$1:$1,0)-MATCH($B$1,[2]quests!$1:$1,0)+1,FALSE)</f>
        <v>ヘラ襲来！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【超ウィザード級】ヘラ襲来</v>
      </c>
      <c r="G3" s="21">
        <v>2</v>
      </c>
      <c r="H3" s="15" t="str">
        <f>B3&amp;"_"&amp;C3&amp;"-"&amp;G3</f>
        <v>50011_1-2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251</v>
      </c>
      <c r="L3" s="20">
        <v>1210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ケンタウロス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god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94</v>
      </c>
      <c r="S3" s="25">
        <v>7</v>
      </c>
      <c r="T3" s="104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850976</v>
      </c>
      <c r="U3" s="25">
        <v>0.8</v>
      </c>
      <c r="V3" s="104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10299.200000000001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4ターン赤パネル無効</v>
      </c>
      <c r="Y3" s="62">
        <v>50011102</v>
      </c>
      <c r="Z3" s="6">
        <v>1</v>
      </c>
      <c r="AA3" s="6">
        <v>100</v>
      </c>
      <c r="AB3" s="6">
        <v>1</v>
      </c>
      <c r="AC3" s="17">
        <v>1</v>
      </c>
      <c r="AD3" s="24">
        <f>L3</f>
        <v>1210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ケンタウロス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7">
        <v>1</v>
      </c>
      <c r="AI3" s="24">
        <f ca="1">AF3</f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>B4&amp;"_"&amp;C4&amp;"-"&amp;G4&amp;"/"&amp;L4&amp;"&lt;lv"&amp;R4&amp;"&gt;s"&amp;AC4</f>
        <v>50011_1-2/224&lt;lv95&gt;s1</v>
      </c>
      <c r="B4" s="22">
        <v>50011</v>
      </c>
      <c r="C4" s="21">
        <v>1</v>
      </c>
      <c r="D4" s="2" t="str">
        <f>B4&amp;"_"&amp;C4</f>
        <v>50011_1</v>
      </c>
      <c r="E4" s="4" t="str">
        <f ca="1">VLOOKUP($B4,OFFSET([2]quests!$A$1,0,0,COUNTA([2]quests!$A:$A),MATCH(E$1,[2]quests!$1:$1,0)-MATCH($B$1,[2]quests!$1:$1,0)+1),MATCH(E$1,[2]quests!$1:$1,0)-MATCH($B$1,[2]quests!$1:$1,0)+1,FALSE)</f>
        <v>ヘラ襲来！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【超ウィザード級】ヘラ襲来</v>
      </c>
      <c r="G4" s="21">
        <v>2</v>
      </c>
      <c r="H4" s="15" t="str">
        <f>B4&amp;"_"&amp;C4&amp;"-"&amp;G4</f>
        <v>50011_1-2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224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巨腕 ヘラクレス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95</v>
      </c>
      <c r="S4" s="25">
        <v>7</v>
      </c>
      <c r="T4" s="104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808955</v>
      </c>
      <c r="U4" s="25">
        <v>0.7</v>
      </c>
      <c r="V4" s="104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6848.7999999999993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ハートのダメージパネルを10個生成</v>
      </c>
      <c r="Y4" s="62">
        <v>50011103</v>
      </c>
      <c r="Z4" s="6">
        <v>1</v>
      </c>
      <c r="AA4" s="6">
        <v>100</v>
      </c>
      <c r="AB4" s="6">
        <v>2</v>
      </c>
      <c r="AC4" s="17">
        <v>1</v>
      </c>
      <c r="AD4" s="24">
        <f>L4</f>
        <v>224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巨腕 ヘラクレス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4" s="7">
        <v>1</v>
      </c>
      <c r="AI4" s="24">
        <f ca="1">AF4</f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>B5&amp;"_"&amp;C5&amp;"-"&amp;G5&amp;"/"&amp;L5&amp;"&lt;lv"&amp;R5&amp;"&gt;s"&amp;AC5</f>
        <v>50011_1-3/1214&lt;lv99&gt;s2</v>
      </c>
      <c r="B5" s="22">
        <v>50011</v>
      </c>
      <c r="C5" s="21">
        <v>1</v>
      </c>
      <c r="D5" s="2" t="str">
        <f>B5&amp;"_"&amp;C5</f>
        <v>50011_1</v>
      </c>
      <c r="E5" s="4" t="str">
        <f ca="1">VLOOKUP($B5,OFFSET([2]quests!$A$1,0,0,COUNTA([2]quests!$A:$A),MATCH(E$1,[2]quests!$1:$1,0)-MATCH($B$1,[2]quests!$1:$1,0)+1),MATCH(E$1,[2]quests!$1:$1,0)-MATCH($B$1,[2]quests!$1:$1,0)+1,FALSE)</f>
        <v>ヘラ襲来！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【超ウィザード級】ヘラ襲来</v>
      </c>
      <c r="G5" s="21">
        <v>3</v>
      </c>
      <c r="H5" s="15" t="str">
        <f>B5&amp;"_"&amp;C5&amp;"-"&amp;G5</f>
        <v>50011_1-3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20">
        <v>1214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アルテミス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99</v>
      </c>
      <c r="S5" s="25">
        <v>8.6</v>
      </c>
      <c r="T5" s="104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1382329.5999999999</v>
      </c>
      <c r="U5" s="25">
        <v>1.3</v>
      </c>
      <c r="V5" s="104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14697.800000000001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全体に10ターンスキルバインド+_x000D_単体に10ターンスリープ</v>
      </c>
      <c r="Y5" s="108">
        <v>50011105</v>
      </c>
      <c r="Z5" s="6">
        <v>1</v>
      </c>
      <c r="AA5" s="6">
        <v>100</v>
      </c>
      <c r="AB5" s="6">
        <v>1</v>
      </c>
      <c r="AC5" s="17">
        <v>2</v>
      </c>
      <c r="AD5" s="24">
        <f>L5</f>
        <v>1214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アルテミス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PremiumSSw</v>
      </c>
      <c r="AH5" s="7">
        <v>1</v>
      </c>
      <c r="AI5" s="24">
        <f ca="1">AF5</f>
        <v>5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>B6&amp;"_"&amp;C6&amp;"-"&amp;G6&amp;"/"&amp;L6&amp;"&lt;lv"&amp;R6&amp;"&gt;s"&amp;AC6</f>
        <v>50011_1-4/1206&lt;lv99&gt;s1</v>
      </c>
      <c r="B6" s="22">
        <v>50011</v>
      </c>
      <c r="C6" s="21">
        <v>1</v>
      </c>
      <c r="D6" s="2" t="str">
        <f>B6&amp;"_"&amp;C6</f>
        <v>50011_1</v>
      </c>
      <c r="E6" s="4" t="str">
        <f ca="1">VLOOKUP($B6,OFFSET([2]quests!$A$1,0,0,COUNTA([2]quests!$A:$A),MATCH(E$1,[2]quests!$1:$1,0)-MATCH($B$1,[2]quests!$1:$1,0)+1),MATCH(E$1,[2]quests!$1:$1,0)-MATCH($B$1,[2]quests!$1:$1,0)+1,FALSE)</f>
        <v>ヘラ襲来！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【超ウィザード級】ヘラ襲来</v>
      </c>
      <c r="G6" s="21">
        <v>4</v>
      </c>
      <c r="H6" s="15" t="str">
        <f>B6&amp;"_"&amp;C6&amp;"-"&amp;G6</f>
        <v>50011_1-4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3</v>
      </c>
      <c r="L6" s="20">
        <v>1206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ヘラ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99</v>
      </c>
      <c r="S6" s="25">
        <v>8.8000000000000007</v>
      </c>
      <c r="T6" s="104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1273025.6000000001</v>
      </c>
      <c r="U6" s="25">
        <v>0.8</v>
      </c>
      <c r="V6" s="104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8140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6" s="62">
        <v>50011106</v>
      </c>
      <c r="Z6" s="6">
        <v>1</v>
      </c>
      <c r="AA6" s="6">
        <v>100</v>
      </c>
      <c r="AB6" s="6">
        <v>1</v>
      </c>
      <c r="AC6" s="17">
        <v>1</v>
      </c>
      <c r="AD6" s="24">
        <f>L6</f>
        <v>1206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ヘラ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6" s="7">
        <v>1</v>
      </c>
      <c r="AI6" s="24">
        <f ca="1">AF6</f>
        <v>5</v>
      </c>
      <c r="AJ6" s="8">
        <v>85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114" zoomScaleNormal="114" zoomScalePageLayoutView="114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N16" sqref="N1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14.16406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3" t="s">
        <v>249</v>
      </c>
      <c r="V1" s="26" t="s">
        <v>50</v>
      </c>
      <c r="W1" s="103" t="s">
        <v>250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50011_1-1/1212&lt;lv99&gt;sq1st2</v>
      </c>
      <c r="B2" s="22">
        <v>50011</v>
      </c>
      <c r="C2" s="21">
        <v>1</v>
      </c>
      <c r="D2" s="2" t="str">
        <f>B2&amp;"_"&amp;C2</f>
        <v>50011_1</v>
      </c>
      <c r="E2" s="4" t="str">
        <f ca="1">VLOOKUP($B2,OFFSET([2]quests!$A$1,0,0,COUNTA([2]quests!$A:$A),MATCH(E$1,[2]quests!$1:$1,0)-MATCH($B$1,[2]quests!$1:$1,0)+1),MATCH(E$1,[2]quests!$1:$1,0)-MATCH($B$1,[2]quests!$1:$1,0)+1,FALSE)</f>
        <v>ヘラ襲来！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【超ウィザード級】ヘラ襲来</v>
      </c>
      <c r="G2" s="21">
        <v>1</v>
      </c>
      <c r="H2" s="15" t="str">
        <f>B2&amp;"_"&amp;C2&amp;"-"&amp;G2</f>
        <v>50011_1-1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1212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クロノス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99</v>
      </c>
      <c r="T2" s="25">
        <v>1.2</v>
      </c>
      <c r="U2" s="104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177136.8</v>
      </c>
      <c r="V2" s="25">
        <v>0.8</v>
      </c>
      <c r="W2" s="104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7898.4000000000005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62">
        <v>50011101</v>
      </c>
      <c r="AA2" s="71">
        <v>1</v>
      </c>
    </row>
    <row r="3" spans="1:27" ht="21" customHeight="1" thickBot="1" x14ac:dyDescent="0.2">
      <c r="A3" s="16" t="str">
        <f>B3&amp;"_"&amp;C3&amp;"-"&amp;G3&amp;"/"&amp;M3&amp;"&lt;lv"&amp;S3&amp;"&gt;sq"&amp;K3&amp;"st"&amp;L3</f>
        <v>50011_1-1/1212&lt;lv1&gt;sq1st3</v>
      </c>
      <c r="B3" s="22">
        <v>50011</v>
      </c>
      <c r="C3" s="21">
        <v>1</v>
      </c>
      <c r="D3" s="2" t="str">
        <f>B3&amp;"_"&amp;C3</f>
        <v>50011_1</v>
      </c>
      <c r="E3" s="4" t="str">
        <f ca="1">VLOOKUP($B3,OFFSET([2]quests!$A$1,0,0,COUNTA([2]quests!$A:$A),MATCH(E$1,[2]quests!$1:$1,0)-MATCH($B$1,[2]quests!$1:$1,0)+1),MATCH(E$1,[2]quests!$1:$1,0)-MATCH($B$1,[2]quests!$1:$1,0)+1,FALSE)</f>
        <v>ヘラ襲来！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【超ウィザード級】ヘラ襲来</v>
      </c>
      <c r="G3" s="21">
        <v>1</v>
      </c>
      <c r="H3" s="15" t="str">
        <f>B3&amp;"_"&amp;C3&amp;"-"&amp;G3</f>
        <v>50011_1-1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1212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クロノス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1</v>
      </c>
      <c r="T3" s="25">
        <v>0.1</v>
      </c>
      <c r="U3" s="104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367.20000000000005</v>
      </c>
      <c r="V3" s="25">
        <v>0.1</v>
      </c>
      <c r="W3" s="104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24.6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112">
        <v>500111011</v>
      </c>
      <c r="AA3" s="71">
        <v>1</v>
      </c>
    </row>
    <row r="4" spans="1:27" ht="21" customHeight="1" thickTop="1" x14ac:dyDescent="0.15">
      <c r="A4" s="16" t="str">
        <f t="shared" ref="A4" si="0">B4&amp;"_"&amp;C4&amp;"-"&amp;G4&amp;"/"&amp;M4&amp;"&lt;lv"&amp;S4&amp;"&gt;sq"&amp;K4&amp;"st"&amp;L4</f>
        <v>50011_1-4/1206&lt;lv99&gt;sq3st2</v>
      </c>
      <c r="B4" s="22">
        <v>50011</v>
      </c>
      <c r="C4" s="21">
        <v>1</v>
      </c>
      <c r="D4" s="2" t="str">
        <f t="shared" ref="D4" si="1">B4&amp;"_"&amp;C4</f>
        <v>50011_1</v>
      </c>
      <c r="E4" s="4" t="str">
        <f ca="1">VLOOKUP($B4,OFFSET([2]quests!$A$1,0,0,COUNTA([2]quests!$A:$A),MATCH(E$1,[2]quests!$1:$1,0)-MATCH($B$1,[2]quests!$1:$1,0)+1),MATCH(E$1,[2]quests!$1:$1,0)-MATCH($B$1,[2]quests!$1:$1,0)+1,FALSE)</f>
        <v>ヘラ襲来！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【超ウィザード級】ヘラ襲来</v>
      </c>
      <c r="G4" s="21">
        <v>4</v>
      </c>
      <c r="H4" s="15" t="str">
        <f t="shared" ref="H4" si="2">B4&amp;"_"&amp;C4&amp;"-"&amp;G4</f>
        <v>50011_1-4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1206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ヘラ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99</v>
      </c>
      <c r="T4" s="25">
        <v>8.3000000000000007</v>
      </c>
      <c r="U4" s="104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1200694.6000000001</v>
      </c>
      <c r="V4" s="25">
        <v>0.9</v>
      </c>
      <c r="W4" s="104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9157.5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62">
        <v>50011107</v>
      </c>
      <c r="AA4" s="71">
        <v>1</v>
      </c>
    </row>
    <row r="5" spans="1:27" ht="21" customHeight="1" x14ac:dyDescent="0.15">
      <c r="A5" s="16" t="str">
        <f t="shared" ref="A5" si="3">B5&amp;"_"&amp;C5&amp;"-"&amp;G5&amp;"/"&amp;M5&amp;"&lt;lv"&amp;S5&amp;"&gt;sq"&amp;K5&amp;"st"&amp;L5</f>
        <v>50011_1-4/1207&lt;lv99&gt;sq3st3</v>
      </c>
      <c r="B5" s="22">
        <v>50011</v>
      </c>
      <c r="C5" s="21">
        <v>1</v>
      </c>
      <c r="D5" s="2" t="str">
        <f t="shared" ref="D5" si="4">B5&amp;"_"&amp;C5</f>
        <v>50011_1</v>
      </c>
      <c r="E5" s="4" t="str">
        <f ca="1">VLOOKUP($B5,OFFSET([2]quests!$A$1,0,0,COUNTA([2]quests!$A:$A),MATCH(E$1,[2]quests!$1:$1,0)-MATCH($B$1,[2]quests!$1:$1,0)+1),MATCH(E$1,[2]quests!$1:$1,0)-MATCH($B$1,[2]quests!$1:$1,0)+1,FALSE)</f>
        <v>ヘラ襲来！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【超ウィザード級】ヘラ襲来</v>
      </c>
      <c r="G5" s="21">
        <v>4</v>
      </c>
      <c r="H5" s="15" t="str">
        <f t="shared" ref="H5" si="5">B5&amp;"_"&amp;C5&amp;"-"&amp;G5</f>
        <v>50011_1-4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3</v>
      </c>
      <c r="M5" s="20">
        <v>1207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典麗なる悋気神 ヘラ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99</v>
      </c>
      <c r="T5" s="25">
        <v>9.1</v>
      </c>
      <c r="U5" s="104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1316424.2</v>
      </c>
      <c r="V5" s="25">
        <v>0.9</v>
      </c>
      <c r="W5" s="104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9157.5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62">
        <v>50011108</v>
      </c>
      <c r="AA5" s="71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3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C29" sqref="C29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50011100_50011100</v>
      </c>
      <c r="B2" s="47">
        <v>50011100</v>
      </c>
      <c r="C2" s="47">
        <v>50011100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お前は…平和をもたらす者か？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" s="47">
        <v>50011100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30" si="1">B3&amp;"_"&amp;C3</f>
        <v>50011100_50011101</v>
      </c>
      <c r="B3" s="47">
        <v>50011100</v>
      </c>
      <c r="C3" s="47">
        <v>50011101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ならば、力を示せ…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3" s="47">
        <v>50011101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50011100_50011102</v>
      </c>
      <c r="B4" s="47">
        <v>50011100</v>
      </c>
      <c r="C4" s="47">
        <v>50011102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そして更なる試練に向かえ！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だんだん強くなる全体攻撃+_x000D_青のダメージパネルを3個生成</v>
      </c>
      <c r="F4" s="47">
        <v>50011102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50011100_50011103</v>
      </c>
      <c r="B5" s="47">
        <v>50011100</v>
      </c>
      <c r="C5" s="47">
        <v>50011103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ゼウス、そしてヘラ…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だんだん強くなる全体攻撃+_x000D_3ターンウィルス</v>
      </c>
      <c r="F5" s="47">
        <v>50011103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" si="2">B6&amp;"_"&amp;C6</f>
        <v>50011100_50011104</v>
      </c>
      <c r="B6" s="47">
        <v>50011100</v>
      </c>
      <c r="C6" s="47">
        <v>50011104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彼らの試練を越えろ…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だんだん強くなる全体攻撃+_x000D_青のダメージパネルを3個生成</v>
      </c>
      <c r="F6" s="47">
        <v>50011104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50011100_50011157</v>
      </c>
      <c r="B7" s="47">
        <v>50011100</v>
      </c>
      <c r="C7" s="47">
        <v>50011157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…遅い！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7" s="47">
        <v>50011157</v>
      </c>
      <c r="G7" s="48">
        <v>0</v>
      </c>
      <c r="H7" s="48">
        <v>500</v>
      </c>
      <c r="I7" s="48">
        <v>100</v>
      </c>
      <c r="J7" s="48" t="s">
        <v>286</v>
      </c>
      <c r="K7" s="48" t="s">
        <v>285</v>
      </c>
      <c r="L7" s="48">
        <v>1</v>
      </c>
      <c r="M7" s="48">
        <v>6</v>
      </c>
      <c r="N7" s="48" t="s">
        <v>287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s="115" customFormat="1" ht="21" customHeight="1" thickBot="1" x14ac:dyDescent="0.2">
      <c r="A8" s="111" t="str">
        <f t="shared" si="1"/>
        <v>50011100_50011105</v>
      </c>
      <c r="B8" s="112">
        <v>50011100</v>
      </c>
      <c r="C8" s="112">
        <v>50011105</v>
      </c>
      <c r="D8" s="113" t="str">
        <f ca="1">VLOOKUP($C8,OFFSET(enemy_skills!$A$1,0,0,COUNTA(enemy_skills!$A:$A),MATCH(D$1,enemy_skills!$1:$1,0)-MATCH("enemy_skill_id",enemy_skills!$1:$1,0)+1),MATCH(D$1,enemy_skills!$1:$1,0)-MATCH("enemy_skill_id",enemy_skills!$1:$1,0)+1,FALSE)</f>
        <v>内なる力を信じろ…！</v>
      </c>
      <c r="E8" s="113" t="str">
        <f ca="1">VLOOKUP($C8,OFFSET(enemy_skills!$A$1,0,0,COUNTA(enemy_skills!$A:$A),MATCH(E$1,enemy_skills!$1:$1,0)-MATCH("enemy_skill_id",enemy_skills!$1:$1,0)+1),MATCH(E$1,enemy_skills!$1:$1,0)-MATCH("enemy_skill_id",enemy_skills!$1:$1,0)+1,FALSE)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8" s="112">
        <v>50011105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8" s="112"/>
      <c r="Q8" s="112"/>
      <c r="R8" s="112"/>
    </row>
    <row r="9" spans="1:18" ht="21" customHeight="1" thickTop="1" x14ac:dyDescent="0.15">
      <c r="A9" s="39" t="str">
        <f t="shared" si="1"/>
        <v>50011101_50011106</v>
      </c>
      <c r="B9" s="108">
        <v>50011101</v>
      </c>
      <c r="C9" s="108">
        <v>50011106</v>
      </c>
      <c r="D9" s="109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なるほど…いいだろう</v>
      </c>
      <c r="E9" s="109" t="str">
        <f ca="1">VLOOKUP($C9,OFFSET(enemy_skills!$A$1,0,0,COUNTA(enemy_skills!$A:$A),MATCH(E$1,enemy_skills!$1:$1,0)-MATCH("enemy_skill_id",enemy_skills!$1:$1,0)+1),MATCH(E$1,enemy_skills!$1:$1,0)-MATCH("enemy_skill_id",enemy_skills!$1:$1,0)+1,FALSE)</f>
        <v>青のダメージパネルを13個生成</v>
      </c>
      <c r="F9" s="108">
        <v>50011106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108"/>
      <c r="Q9" s="108"/>
      <c r="R9" s="108"/>
    </row>
    <row r="10" spans="1:18" ht="21" customHeight="1" x14ac:dyDescent="0.15">
      <c r="A10" s="39" t="str">
        <f t="shared" si="1"/>
        <v>50011101_50011107</v>
      </c>
      <c r="B10" s="47">
        <v>50011101</v>
      </c>
      <c r="C10" s="47">
        <v>50011107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耐えてみせろ…！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5ターン全ユニットの回復力30%DOWN+単体攻撃</v>
      </c>
      <c r="F10" s="47">
        <v>50011107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50011101_50011108</v>
      </c>
      <c r="B11" s="47">
        <v>50011101</v>
      </c>
      <c r="C11" s="47">
        <v>50011108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抗ってみせろ…！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5ターン全ユニットの攻撃力30%DOWN+単体攻撃</v>
      </c>
      <c r="F11" s="47">
        <v>50011108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50011101_50011109</v>
      </c>
      <c r="B12" s="47">
        <v>50011101</v>
      </c>
      <c r="C12" s="47">
        <v>50011109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足掻いてみせろ…！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1ターン全ユニットのタップ回数を1DOWN+単体攻撃</v>
      </c>
      <c r="F12" s="47">
        <v>50011109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s="115" customFormat="1" ht="21" customHeight="1" thickBot="1" x14ac:dyDescent="0.2">
      <c r="A13" s="111" t="str">
        <f t="shared" ref="A13" si="3">B13&amp;"_"&amp;C13</f>
        <v>50011101_50011157</v>
      </c>
      <c r="B13" s="47">
        <v>50011101</v>
      </c>
      <c r="C13" s="47">
        <v>50011157</v>
      </c>
      <c r="D13" s="113" t="str">
        <f ca="1">VLOOKUP($C13,OFFSET(enemy_skills!$A$1,0,0,COUNTA(enemy_skills!$A:$A),MATCH(D$1,enemy_skills!$1:$1,0)-MATCH("enemy_skill_id",enemy_skills!$1:$1,0)+1),MATCH(D$1,enemy_skills!$1:$1,0)-MATCH("enemy_skill_id",enemy_skills!$1:$1,0)+1,FALSE)</f>
        <v>…遅い！</v>
      </c>
      <c r="E13" s="113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3" s="47">
        <v>50011157</v>
      </c>
      <c r="G13" s="48">
        <v>0</v>
      </c>
      <c r="H13" s="48">
        <v>500</v>
      </c>
      <c r="I13" s="48">
        <v>100</v>
      </c>
      <c r="J13" s="48" t="s">
        <v>286</v>
      </c>
      <c r="K13" s="48" t="s">
        <v>285</v>
      </c>
      <c r="L13" s="48">
        <v>1</v>
      </c>
      <c r="M13" s="48">
        <v>6</v>
      </c>
      <c r="N13" s="48" t="s">
        <v>287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12"/>
      <c r="Q13" s="112"/>
      <c r="R13" s="112"/>
    </row>
    <row r="14" spans="1:18" s="115" customFormat="1" ht="21" customHeight="1" thickTop="1" thickBot="1" x14ac:dyDescent="0.2">
      <c r="A14" s="111" t="str">
        <f t="shared" si="1"/>
        <v>500111011_50011111</v>
      </c>
      <c r="B14" s="112">
        <v>500111011</v>
      </c>
      <c r="C14" s="112">
        <v>50011111</v>
      </c>
      <c r="D14" s="113" t="str">
        <f ca="1">VLOOKUP($C14,OFFSET(enemy_skills!$A$1,0,0,COUNTA(enemy_skills!$A:$A),MATCH(D$1,enemy_skills!$1:$1,0)-MATCH("enemy_skill_id",enemy_skills!$1:$1,0)+1),MATCH(D$1,enemy_skills!$1:$1,0)-MATCH("enemy_skill_id",enemy_skills!$1:$1,0)+1,FALSE)</f>
        <v>…お前を認めてやろう…</v>
      </c>
      <c r="E14" s="113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攻撃タイプの攻撃力UP+_x000D_9ターン全ユニットに状態異常耐性を付与</v>
      </c>
      <c r="F14" s="112">
        <v>50011111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112"/>
      <c r="Q14" s="112"/>
      <c r="R14" s="112"/>
    </row>
    <row r="15" spans="1:18" ht="21" customHeight="1" thickTop="1" x14ac:dyDescent="0.15">
      <c r="A15" s="39" t="str">
        <f t="shared" si="1"/>
        <v>50011102_50011112</v>
      </c>
      <c r="B15" s="108">
        <v>50011102</v>
      </c>
      <c r="C15" s="108">
        <v>50011112</v>
      </c>
      <c r="D15" s="109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ヘラクレス、援護を頼みます！</v>
      </c>
      <c r="E15" s="109" t="str">
        <f ca="1">VLOOKUP($C15,OFFSET(enemy_skills!$A$1,0,0,COUNTA(enemy_skills!$A:$A),MATCH(E$1,enemy_skills!$1:$1,0)-MATCH("enemy_skill_id",enemy_skills!$1:$1,0)+1),MATCH(E$1,enemy_skills!$1:$1,0)-MATCH("enemy_skill_id",enemy_skills!$1:$1,0)+1,FALSE)</f>
        <v>4ターン赤パネル無効</v>
      </c>
      <c r="F15" s="108">
        <v>50011112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108"/>
      <c r="Q15" s="108"/>
      <c r="R15" s="108"/>
    </row>
    <row r="16" spans="1:18" ht="21" customHeight="1" x14ac:dyDescent="0.15">
      <c r="A16" s="39" t="str">
        <f t="shared" si="1"/>
        <v>50011102_50011113</v>
      </c>
      <c r="B16" s="47">
        <v>50011102</v>
      </c>
      <c r="C16" s="47">
        <v>50011113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滅びの竪琴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16" s="47">
        <v>50011113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50011102_50011114</v>
      </c>
      <c r="B17" s="47">
        <v>50011102</v>
      </c>
      <c r="C17" s="47">
        <v>50011114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破壊の調べ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種族ウェポンのユニットに大ダメージの全体攻撃</v>
      </c>
      <c r="F17" s="47">
        <v>50011114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50011102_50011115</v>
      </c>
      <c r="B18" s="47">
        <v>50011102</v>
      </c>
      <c r="C18" s="47">
        <v>50011115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癒しの音色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全体回復</v>
      </c>
      <c r="F18" s="47">
        <v>50011115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50011102_50011116</v>
      </c>
      <c r="B19" s="47">
        <v>50011102</v>
      </c>
      <c r="C19" s="47">
        <v>50011116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衰退への詩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2ターンハートパネル無効</v>
      </c>
      <c r="F19" s="47">
        <v>50011116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s="115" customFormat="1" ht="21" customHeight="1" thickBot="1" x14ac:dyDescent="0.2">
      <c r="A20" s="111" t="str">
        <f t="shared" si="1"/>
        <v>50011102_50011117</v>
      </c>
      <c r="B20" s="112">
        <v>50011102</v>
      </c>
      <c r="C20" s="112">
        <v>50011117</v>
      </c>
      <c r="D20" s="113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ぬかりましたね、ヘラクレス！</v>
      </c>
      <c r="E20" s="113" t="str">
        <f ca="1">VLOOKUP($C20,OFFSET(enemy_skills!$A$1,0,0,COUNTA(enemy_skills!$A:$A),MATCH(E$1,enemy_skills!$1:$1,0)-MATCH("enemy_skill_id",enemy_skills!$1:$1,0)+1),MATCH(E$1,enemy_skills!$1:$1,0)-MATCH("enemy_skill_id",enemy_skills!$1:$1,0)+1,FALSE)</f>
        <v>青の時限式ダメージパネルと青パネルを吸収し、全体攻撃</v>
      </c>
      <c r="F20" s="112">
        <v>50011117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224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112"/>
      <c r="Q20" s="112"/>
      <c r="R20" s="112"/>
    </row>
    <row r="21" spans="1:18" ht="21" customHeight="1" thickTop="1" x14ac:dyDescent="0.15">
      <c r="A21" s="39" t="str">
        <f t="shared" si="1"/>
        <v>50011103_50011118</v>
      </c>
      <c r="B21" s="108">
        <v>50011103</v>
      </c>
      <c r="C21" s="108">
        <v>50011118</v>
      </c>
      <c r="D21" s="109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その挑戦、受けて立つ！</v>
      </c>
      <c r="E21" s="109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ハートのダメージパネルを10個生成</v>
      </c>
      <c r="F21" s="108">
        <v>50011118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108"/>
      <c r="Q21" s="108"/>
      <c r="R21" s="108"/>
    </row>
    <row r="22" spans="1:18" ht="21" customHeight="1" x14ac:dyDescent="0.15">
      <c r="A22" s="39" t="str">
        <f t="shared" si="1"/>
        <v>50011103_50011119</v>
      </c>
      <c r="B22" s="47">
        <v>50011103</v>
      </c>
      <c r="C22" s="47">
        <v>50011119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退路を封じる！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5ターン全ユニットの回復力50%DOWN+単体攻撃</v>
      </c>
      <c r="F22" s="47">
        <v>50011119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50011103_50011120</v>
      </c>
      <c r="B23" s="47">
        <v>50011103</v>
      </c>
      <c r="C23" s="47">
        <v>50011120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今が攻め時だな！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1ターンケンタウロスの攻撃力UP+_x000D_青パネルを青の時限式ダメージパネルに変換(最大4個)</v>
      </c>
      <c r="F23" s="47">
        <v>50011120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50011103_50011121</v>
      </c>
      <c r="B24" s="116">
        <v>50011103</v>
      </c>
      <c r="C24" s="116">
        <v>50011121</v>
      </c>
      <c r="D24" s="117" t="str">
        <f ca="1">VLOOKUP($C24,OFFSET(enemy_skills!$A$1,0,0,COUNTA(enemy_skills!$A:$A),MATCH(D$1,enemy_skills!$1:$1,0)-MATCH("enemy_skill_id",enemy_skills!$1:$1,0)+1),MATCH(D$1,enemy_skills!$1:$1,0)-MATCH("enemy_skill_id",enemy_skills!$1:$1,0)+1,FALSE)</f>
        <v>足止めさせてもらう！</v>
      </c>
      <c r="E24" s="117" t="str">
        <f ca="1">VLOOKUP($C24,OFFSET(enemy_skills!$A$1,0,0,COUNTA(enemy_skills!$A:$A),MATCH(E$1,enemy_skills!$1:$1,0)-MATCH("enemy_skill_id",enemy_skills!$1:$1,0)+1),MATCH(E$1,enemy_skills!$1:$1,0)-MATCH("enemy_skill_id",enemy_skills!$1:$1,0)+1,FALSE)</f>
        <v>2ターン青パネル無効</v>
      </c>
      <c r="F24" s="116">
        <v>50011121</v>
      </c>
      <c r="G24" s="11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11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24" s="11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11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11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11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11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11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11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116"/>
      <c r="Q24" s="116"/>
      <c r="R24" s="116"/>
    </row>
    <row r="25" spans="1:18" s="122" customFormat="1" ht="21" customHeight="1" x14ac:dyDescent="0.15">
      <c r="A25" s="123" t="str">
        <f t="shared" si="1"/>
        <v>50011103_50011122</v>
      </c>
      <c r="B25" s="47">
        <v>50011103</v>
      </c>
      <c r="C25" s="47">
        <v>50011122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タダでは倒れぬ…！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青パネルを青の時限式ダメージパネルに変換</v>
      </c>
      <c r="F25" s="47">
        <v>50011122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s="115" customFormat="1" ht="21" customHeight="1" thickBot="1" x14ac:dyDescent="0.2">
      <c r="A26" s="111" t="str">
        <f t="shared" ref="A26" si="4">B26&amp;"_"&amp;C26</f>
        <v>50011103_50011154</v>
      </c>
      <c r="B26" s="119">
        <v>50011103</v>
      </c>
      <c r="C26" s="119">
        <v>50011154</v>
      </c>
      <c r="D26" s="120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油断したか、ケンタウロス！</v>
      </c>
      <c r="E26" s="120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26" s="119">
        <v>50011154</v>
      </c>
      <c r="G26" s="110">
        <v>0</v>
      </c>
      <c r="H26" s="110">
        <v>190</v>
      </c>
      <c r="I26" s="110">
        <v>100</v>
      </c>
      <c r="J26" s="110" t="s">
        <v>257</v>
      </c>
      <c r="K26" s="110" t="s">
        <v>257</v>
      </c>
      <c r="L26" s="110">
        <v>1</v>
      </c>
      <c r="M26" s="110" t="s">
        <v>257</v>
      </c>
      <c r="N26" s="110">
        <v>1210</v>
      </c>
      <c r="O26" s="110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119"/>
      <c r="Q26" s="119"/>
      <c r="R26" s="119"/>
    </row>
    <row r="27" spans="1:18" ht="21" customHeight="1" thickTop="1" x14ac:dyDescent="0.15">
      <c r="A27" s="39" t="str">
        <f t="shared" si="1"/>
        <v>50011105_50011123</v>
      </c>
      <c r="B27" s="108">
        <v>50011105</v>
      </c>
      <c r="C27" s="108">
        <v>50011123</v>
      </c>
      <c r="D27" s="109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おさかな捕獲ネット！</v>
      </c>
      <c r="E27" s="109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全体に10ターンスキルバインド+_x000D_単体に10ターンスリープ</v>
      </c>
      <c r="F27" s="108">
        <v>50011126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108"/>
      <c r="Q27" s="108"/>
      <c r="R27" s="108"/>
    </row>
    <row r="28" spans="1:18" ht="21" customHeight="1" x14ac:dyDescent="0.15">
      <c r="A28" s="39" t="str">
        <f t="shared" ref="A28" si="5">B28&amp;"_"&amp;C28</f>
        <v>50011105_50011155</v>
      </c>
      <c r="B28" s="47">
        <v>50011105</v>
      </c>
      <c r="C28" s="47">
        <v>50011155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びゅーんって突撃！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28" s="47">
        <v>50011155</v>
      </c>
      <c r="G28" s="48">
        <v>0</v>
      </c>
      <c r="H28" s="48">
        <v>170</v>
      </c>
      <c r="I28" s="48">
        <v>100</v>
      </c>
      <c r="J28" s="48" t="s">
        <v>257</v>
      </c>
      <c r="K28" s="48" t="s">
        <v>257</v>
      </c>
      <c r="L28" s="48">
        <v>1</v>
      </c>
      <c r="M28" s="48">
        <v>1</v>
      </c>
      <c r="N28" s="48" t="s">
        <v>257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50011105_50011127</v>
      </c>
      <c r="B29" s="47">
        <v>50011105</v>
      </c>
      <c r="C29" s="47">
        <v>50011127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うにうに攻撃☆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黄のダメージパネルを8個生成+全体攻撃</v>
      </c>
      <c r="F29" s="47">
        <v>50011127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29" s="47"/>
      <c r="Q29" s="47"/>
      <c r="R29" s="47"/>
    </row>
    <row r="30" spans="1:18" s="115" customFormat="1" ht="21" customHeight="1" thickBot="1" x14ac:dyDescent="0.2">
      <c r="A30" s="111" t="str">
        <f t="shared" si="1"/>
        <v>50011105_50011128</v>
      </c>
      <c r="B30" s="112">
        <v>50011105</v>
      </c>
      <c r="C30" s="112">
        <v>50011128</v>
      </c>
      <c r="D30" s="113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ふふっ…楽しいねっ！</v>
      </c>
      <c r="E30" s="113" t="str">
        <f ca="1">VLOOKUP($C30,OFFSET(enemy_skills!$A$1,0,0,COUNTA(enemy_skills!$A:$A),MATCH(E$1,enemy_skills!$1:$1,0)-MATCH("enemy_skill_id",enemy_skills!$1:$1,0)+1),MATCH(E$1,enemy_skills!$1:$1,0)-MATCH("enemy_skill_id",enemy_skills!$1:$1,0)+1,FALSE)</f>
        <v>10ターン確率でボムパネルをドロップ</v>
      </c>
      <c r="F30" s="112">
        <v>50011128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112"/>
      <c r="Q30" s="112"/>
      <c r="R30" s="112"/>
    </row>
    <row r="31" spans="1:18" ht="21" customHeight="1" thickTop="1" x14ac:dyDescent="0.15">
      <c r="A31" s="39" t="str">
        <f t="shared" ref="A31:A52" si="6">B31&amp;"_"&amp;C31</f>
        <v>50011106_50011129</v>
      </c>
      <c r="B31" s="108">
        <v>50011106</v>
      </c>
      <c r="C31" s="108">
        <v>50011129</v>
      </c>
      <c r="D31" s="109" t="str">
        <f ca="1">VLOOKUP($C31,OFFSET(enemy_skills!$A$1,0,0,COUNTA(enemy_skills!$A:$A),MATCH(D$1,enemy_skills!$1:$1,0)-MATCH("enemy_skill_id",enemy_skills!$1:$1,0)+1),MATCH(D$1,enemy_skills!$1:$1,0)-MATCH("enemy_skill_id",enemy_skills!$1:$1,0)+1,FALSE)</f>
        <v>貴方のウワサは聞いてるわ…</v>
      </c>
      <c r="E31" s="109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1" s="108">
        <v>50011129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108"/>
      <c r="Q31" s="108"/>
      <c r="R31" s="108"/>
    </row>
    <row r="32" spans="1:18" ht="21" customHeight="1" x14ac:dyDescent="0.15">
      <c r="A32" s="39" t="str">
        <f t="shared" si="6"/>
        <v>50011106_50011130</v>
      </c>
      <c r="B32" s="47">
        <v>50011106</v>
      </c>
      <c r="C32" s="47">
        <v>50011130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夕闇・ジェラシィ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フィーバーゲージ25%減少+単体攻撃</v>
      </c>
      <c r="F32" s="47">
        <v>50011130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6"/>
        <v>50011106_50011131</v>
      </c>
      <c r="B33" s="116">
        <v>50011106</v>
      </c>
      <c r="C33" s="116">
        <v>50011131</v>
      </c>
      <c r="D33" s="117" t="str">
        <f ca="1">VLOOKUP($C33,OFFSET(enemy_skills!$A$1,0,0,COUNTA(enemy_skills!$A:$A),MATCH(D$1,enemy_skills!$1:$1,0)-MATCH("enemy_skill_id",enemy_skills!$1:$1,0)+1),MATCH(D$1,enemy_skills!$1:$1,0)-MATCH("enemy_skill_id",enemy_skills!$1:$1,0)+1,FALSE)</f>
        <v>黄昏・エンヴィ</v>
      </c>
      <c r="E33" s="117" t="str">
        <f ca="1">VLOOKUP($C33,OFFSET(enemy_skills!$A$1,0,0,COUNTA(enemy_skills!$A:$A),MATCH(E$1,enemy_skills!$1:$1,0)-MATCH("enemy_skill_id",enemy_skills!$1:$1,0)+1),MATCH(E$1,enemy_skills!$1:$1,0)-MATCH("enemy_skill_id",enemy_skills!$1:$1,0)+1,FALSE)</f>
        <v>黄のダメージパネルを5個生成+_x000D_強力な全体攻撃</v>
      </c>
      <c r="F33" s="116">
        <v>50011131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116"/>
      <c r="Q33" s="116"/>
      <c r="R33" s="116"/>
    </row>
    <row r="34" spans="1:18" s="122" customFormat="1" ht="21" customHeight="1" x14ac:dyDescent="0.15">
      <c r="A34" s="123" t="str">
        <f t="shared" ref="A34" si="7">B34&amp;"_"&amp;C34</f>
        <v>50011106_50011132</v>
      </c>
      <c r="B34" s="47">
        <v>50011106</v>
      </c>
      <c r="C34" s="47">
        <v>50011132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真実が見抜けるのかしら？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2ターン暗闇+8ターンCパネル生成延長(効果超大)</v>
      </c>
      <c r="F34" s="47">
        <v>50011132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s="115" customFormat="1" ht="21" customHeight="1" thickBot="1" x14ac:dyDescent="0.2">
      <c r="A35" s="111" t="str">
        <f t="shared" si="6"/>
        <v>50011106_50011133</v>
      </c>
      <c r="B35" s="119">
        <v>50011106</v>
      </c>
      <c r="C35" s="112">
        <v>50011133</v>
      </c>
      <c r="D35" s="120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受け切れるわよね？</v>
      </c>
      <c r="E35" s="120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ダメージパネルをお邪魔パネルに変換+単体攻撃</v>
      </c>
      <c r="F35" s="112">
        <v>50011133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119"/>
      <c r="Q35" s="119"/>
      <c r="R35" s="119"/>
    </row>
    <row r="36" spans="1:18" ht="21" customHeight="1" thickTop="1" x14ac:dyDescent="0.15">
      <c r="A36" s="39" t="str">
        <f t="shared" si="6"/>
        <v>50011107_50011134</v>
      </c>
      <c r="B36" s="108">
        <v>50011107</v>
      </c>
      <c r="C36" s="108">
        <v>50011134</v>
      </c>
      <c r="D36" s="109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これぐらい平気よねぇ？</v>
      </c>
      <c r="E36" s="109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ハートのダメージパネルを10個生成+10ターンウィルス</v>
      </c>
      <c r="F36" s="108">
        <v>50011134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108"/>
      <c r="Q36" s="108"/>
      <c r="R36" s="108"/>
    </row>
    <row r="37" spans="1:18" ht="21" customHeight="1" x14ac:dyDescent="0.15">
      <c r="A37" s="39" t="str">
        <f t="shared" si="6"/>
        <v>50011107_50011135</v>
      </c>
      <c r="B37" s="47">
        <v>50011107</v>
      </c>
      <c r="C37" s="47">
        <v>50011135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貴方がいけないのよ…？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5ターン全ユニットの回復力100%DOWN</v>
      </c>
      <c r="F37" s="47">
        <v>50011135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6"/>
        <v>50011107_50011136</v>
      </c>
      <c r="B38" s="47">
        <v>50011107</v>
      </c>
      <c r="C38" s="47">
        <v>50011136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後悔なさい…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ハートのダメージパネルを5個生成+全体攻撃</v>
      </c>
      <c r="F38" s="47">
        <v>50011136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6"/>
        <v>50011107_50011137</v>
      </c>
      <c r="B39" s="47">
        <v>50011107</v>
      </c>
      <c r="C39" s="47">
        <v>50011137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ゆっくりと…沈めるわ…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ハートのダメージパネルを8個生成+5回連続攻撃</v>
      </c>
      <c r="F39" s="47">
        <v>50011137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6"/>
        <v>50011107_50011138</v>
      </c>
      <c r="B40" s="47">
        <v>50011107</v>
      </c>
      <c r="C40" s="47">
        <v>50011138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私が恐い？フフ…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ハートのダメージパネルを10個生成+6回連続攻撃</v>
      </c>
      <c r="F40" s="47">
        <v>50011138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6"/>
        <v>50011107_50011139</v>
      </c>
      <c r="B41" s="47">
        <v>50011107</v>
      </c>
      <c r="C41" s="47">
        <v>50011139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耐え切れるかしら？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ハートのダメージパネルを13個生成+2回連続全体攻撃</v>
      </c>
      <c r="F41" s="47">
        <v>50011139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6"/>
        <v>50011107_50011140</v>
      </c>
      <c r="B42" s="47">
        <v>50011107</v>
      </c>
      <c r="C42" s="47">
        <v>50011140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絶望しなさい！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ハートのダメージパネルを15個生成+3回連続全体攻撃</v>
      </c>
      <c r="F42" s="47">
        <v>50011140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s="115" customFormat="1" ht="21" customHeight="1" thickBot="1" x14ac:dyDescent="0.2">
      <c r="A43" s="111" t="str">
        <f t="shared" si="6"/>
        <v>50011107_50011142</v>
      </c>
      <c r="B43" s="112">
        <v>50011107</v>
      </c>
      <c r="C43" s="47">
        <v>50011142</v>
      </c>
      <c r="D43" s="113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そのチカラ、目障りだわ！</v>
      </c>
      <c r="E43" s="113" t="str">
        <f ca="1">VLOOKUP($C43,OFFSET(enemy_skills!$A$1,0,0,COUNTA(enemy_skills!$A:$A),MATCH(E$1,enemy_skills!$1:$1,0)-MATCH("enemy_skill_id",enemy_skills!$1:$1,0)+1),MATCH(E$1,enemy_skills!$1:$1,0)-MATCH("enemy_skill_id",enemy_skills!$1:$1,0)+1,FALSE)</f>
        <v>3ターン全ユニットの攻撃力100%DOWN</v>
      </c>
      <c r="F43" s="47">
        <v>50011142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112"/>
      <c r="Q43" s="112"/>
      <c r="R43" s="112"/>
    </row>
    <row r="44" spans="1:18" ht="21" customHeight="1" thickTop="1" x14ac:dyDescent="0.15">
      <c r="A44" s="39" t="str">
        <f t="shared" si="6"/>
        <v>50011108_50011143</v>
      </c>
      <c r="B44" s="108">
        <v>50011108</v>
      </c>
      <c r="C44" s="47">
        <v>50011143</v>
      </c>
      <c r="D44" s="109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流石ね…でもまだやれるわ！</v>
      </c>
      <c r="E44" s="109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ハートのダメージパネルを12個生成+12ターンウィルス</v>
      </c>
      <c r="F44" s="47">
        <v>50011143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108"/>
      <c r="Q44" s="108"/>
      <c r="R44" s="108"/>
    </row>
    <row r="45" spans="1:18" ht="21" customHeight="1" x14ac:dyDescent="0.15">
      <c r="A45" s="39" t="str">
        <f t="shared" si="6"/>
        <v>50011108_50011144</v>
      </c>
      <c r="B45" s="47">
        <v>50011108</v>
      </c>
      <c r="C45" s="47">
        <v>50011144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じっくり味わいなさい…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ランダムに時限式ダメージパネルと_x000D_ハートのダメージパネルを生成</v>
      </c>
      <c r="F45" s="47">
        <v>50011144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6"/>
        <v>50011108_50011145</v>
      </c>
      <c r="B46" s="47">
        <v>50011108</v>
      </c>
      <c r="C46" s="47">
        <v>50011145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こんなもの奪ってやるわ！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青パネルと黄パネルを吸収し、全体攻撃</v>
      </c>
      <c r="F46" s="47">
        <v>50011145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6"/>
        <v>50011108_50011146</v>
      </c>
      <c r="B47" s="47">
        <v>50011108</v>
      </c>
      <c r="C47" s="47">
        <v>50011146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終わらせるわよ…！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【エネルギーを溜めている！】_x000D_ハートのダメージパネルを10個生成</v>
      </c>
      <c r="F47" s="47">
        <v>50011146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6"/>
        <v>50011108_50011147</v>
      </c>
      <c r="B48" s="47">
        <v>50011108</v>
      </c>
      <c r="C48" s="47">
        <v>50011147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…沈みなさい…！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ハートのダメージパネルを10個生成+_x000D_クリティカル！+自身の残りHPの10%消費</v>
      </c>
      <c r="F48" s="47">
        <v>50011147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8" s="48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6"/>
        <v>50011108_50011148</v>
      </c>
      <c r="B49" s="47">
        <v>50011108</v>
      </c>
      <c r="C49" s="47">
        <v>50011148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フフ…惜しかったわね！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ゼウス…どんな顔するかしら！</v>
      </c>
      <c r="F49" s="47">
        <v>50011148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6"/>
        <v>50011108_50011149</v>
      </c>
      <c r="B50" s="47">
        <v>50011108</v>
      </c>
      <c r="C50" s="47">
        <v>50011149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フフフ…いい気分だわ…！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0" s="47">
        <v>50011149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0" s="48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6"/>
        <v>50011108_50011150</v>
      </c>
      <c r="B51" s="47">
        <v>50011108</v>
      </c>
      <c r="C51" s="47">
        <v>50011150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追い詰めたわ…！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残りHPの80%ダメージ</v>
      </c>
      <c r="F51" s="47">
        <v>50011150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6"/>
        <v>50011108_50011151</v>
      </c>
      <c r="B52" s="47">
        <v>50011108</v>
      </c>
      <c r="C52" s="47">
        <v>50011151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フフ…惜しかったわね！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ゼウス…どんな顔するかしら！</v>
      </c>
      <c r="F52" s="47">
        <v>50011151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ref="A53" si="8">B53&amp;"_"&amp;C53</f>
        <v>50011108_50011152</v>
      </c>
      <c r="B53" s="47">
        <v>50011108</v>
      </c>
      <c r="C53" s="47">
        <v>50011152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次の一撃で終わり…！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解除されるまで防御力大UP</v>
      </c>
      <c r="F53" s="47">
        <v>50011152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s="115" customFormat="1" ht="21" customHeight="1" thickBot="1" x14ac:dyDescent="0.2">
      <c r="A54" s="111" t="str">
        <f t="shared" ref="A54:A56" si="9">B54&amp;"_"&amp;C54</f>
        <v>50011108_50011153</v>
      </c>
      <c r="B54" s="112">
        <v>50011108</v>
      </c>
      <c r="C54" s="112">
        <v>50011153</v>
      </c>
      <c r="D54" s="113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フフ…惜しかったわね！</v>
      </c>
      <c r="E54" s="113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ゼウス…どんな顔するかしら！</v>
      </c>
      <c r="F54" s="112">
        <v>50011153</v>
      </c>
      <c r="G54" s="114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114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4" s="114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114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114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114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114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54" s="114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114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112"/>
      <c r="Q54" s="112"/>
      <c r="R54" s="112"/>
    </row>
    <row r="55" spans="1:18" ht="21" customHeight="1" thickTop="1" x14ac:dyDescent="0.15">
      <c r="A55" s="39" t="str">
        <f t="shared" si="9"/>
        <v>50011106_50011158</v>
      </c>
      <c r="B55" s="108">
        <v>50011106</v>
      </c>
      <c r="C55" s="108">
        <v>50011158</v>
      </c>
      <c r="D55" s="109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ゼウス…？</v>
      </c>
      <c r="E55" s="109" t="str">
        <f ca="1">VLOOKUP($C55,OFFSET(enemy_skills!$A$1,0,0,COUNTA(enemy_skills!$A:$A),MATCH(E$1,enemy_skills!$1:$1,0)-MATCH("enemy_skill_id",enemy_skills!$1:$1,0)+1),MATCH(E$1,enemy_skills!$1:$1,0)-MATCH("enemy_skill_id",enemy_skills!$1:$1,0)+1,FALSE)</f>
        <v>貴方…力を貸したのね…どうして…！！</v>
      </c>
      <c r="F55" s="108">
        <v>50011158</v>
      </c>
      <c r="G55" s="110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110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55" s="110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110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110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110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110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929</v>
      </c>
      <c r="O55" s="110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108"/>
      <c r="Q55" s="108"/>
      <c r="R55" s="108"/>
    </row>
    <row r="56" spans="1:18" ht="21" customHeight="1" x14ac:dyDescent="0.15">
      <c r="A56" s="39" t="str">
        <f t="shared" si="9"/>
        <v>50011106_50011158</v>
      </c>
      <c r="B56" s="108">
        <v>50011106</v>
      </c>
      <c r="C56" s="47">
        <v>50011158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ゼウス…？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貴方…力を貸したのね…どうして…！！</v>
      </c>
      <c r="F56" s="47">
        <v>50011159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930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ref="A57:A61" si="10">B57&amp;"_"&amp;C57</f>
        <v>50011106_50011159</v>
      </c>
      <c r="B57" s="108">
        <v>50011106</v>
      </c>
      <c r="C57" s="47">
        <v>50011159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貴方は…呂布…！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ゼウスに匹敵する力…絶対に容赦しないわ！！</v>
      </c>
      <c r="F57" s="47">
        <v>50011160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s="115" customFormat="1" ht="21" customHeight="1" thickBot="1" x14ac:dyDescent="0.2">
      <c r="A58" s="111" t="str">
        <f t="shared" si="10"/>
        <v>50011106_50011159</v>
      </c>
      <c r="B58" s="119">
        <v>50011106</v>
      </c>
      <c r="C58" s="112">
        <v>50011159</v>
      </c>
      <c r="D58" s="113" t="str">
        <f ca="1">VLOOKUP($C58,OFFSET(enemy_skills!$A$1,0,0,COUNTA(enemy_skills!$A:$A),MATCH(D$1,enemy_skills!$1:$1,0)-MATCH("enemy_skill_id",enemy_skills!$1:$1,0)+1),MATCH(D$1,enemy_skills!$1:$1,0)-MATCH("enemy_skill_id",enemy_skills!$1:$1,0)+1,FALSE)</f>
        <v>貴方は…呂布…！</v>
      </c>
      <c r="E58" s="113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ゼウスに匹敵する力…絶対に容赦しないわ！！</v>
      </c>
      <c r="F58" s="112">
        <v>50011161</v>
      </c>
      <c r="G58" s="114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114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8" s="114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114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114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114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114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114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1136</v>
      </c>
      <c r="O58" s="114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112"/>
      <c r="Q58" s="112"/>
      <c r="R58" s="112"/>
    </row>
    <row r="59" spans="1:18" ht="21" customHeight="1" thickTop="1" x14ac:dyDescent="0.15">
      <c r="A59" s="39" t="str">
        <f t="shared" si="10"/>
        <v>50011108_50011160</v>
      </c>
      <c r="B59" s="108">
        <v>50011108</v>
      </c>
      <c r="C59" s="108">
        <v>50011160</v>
      </c>
      <c r="D59" s="109" t="str">
        <f ca="1">VLOOKUP($C59,OFFSET(enemy_skills!$A$1,0,0,COUNTA(enemy_skills!$A:$A),MATCH(D$1,enemy_skills!$1:$1,0)-MATCH("enemy_skill_id",enemy_skills!$1:$1,0)+1),MATCH(D$1,enemy_skills!$1:$1,0)-MATCH("enemy_skill_id",enemy_skills!$1:$1,0)+1,FALSE)</f>
        <v>素晴らしい力…ね…</v>
      </c>
      <c r="E59" s="109" t="str">
        <f ca="1">VLOOKUP($C59,OFFSET(enemy_skills!$A$1,0,0,COUNTA(enemy_skills!$A:$A),MATCH(E$1,enemy_skills!$1:$1,0)-MATCH("enemy_skill_id",enemy_skills!$1:$1,0)+1),MATCH(E$1,enemy_skills!$1:$1,0)-MATCH("enemy_skill_id",enemy_skills!$1:$1,0)+1,FALSE)</f>
        <v>貴方ならば「ALICE」を救えるはずよ…_x000D_悔しいけど…応援してあげるわ…フフ…</v>
      </c>
      <c r="F59" s="108">
        <v>50011162</v>
      </c>
      <c r="G59" s="110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110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59" s="110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110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110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110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" s="110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110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9" s="110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108"/>
      <c r="Q59" s="108"/>
      <c r="R59" s="108"/>
    </row>
    <row r="60" spans="1:18" ht="21" customHeight="1" x14ac:dyDescent="0.15">
      <c r="A60" s="39" t="str">
        <f t="shared" si="10"/>
        <v>50011108_50011161</v>
      </c>
      <c r="B60" s="47">
        <v>50011108</v>
      </c>
      <c r="C60" s="47">
        <v>50011161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素晴らしい力…ね…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私も連れて行ってくれるかしら…？_x000D_ゼウスと一緒に居たいのよ…</v>
      </c>
      <c r="F60" s="47">
        <v>50011163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929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10"/>
        <v>50011108_50011161</v>
      </c>
      <c r="B61" s="47">
        <v>50011108</v>
      </c>
      <c r="C61" s="47">
        <v>50011161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素晴らしい力…ね…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私も連れて行ってくれるかしら…？_x000D_ゼウスと一緒に居たいのよ…</v>
      </c>
      <c r="F61" s="47">
        <v>50011164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930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ref="A62:A63" si="11">B62&amp;"_"&amp;C62</f>
        <v>50011108_50011162</v>
      </c>
      <c r="B62" s="47">
        <v>50011108</v>
      </c>
      <c r="C62" s="47">
        <v>50011162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素晴らしい力…ね…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貴方ならどんな苦難も超えられるはず…_x000D_悔しいけど…認めざるを得ないわね…</v>
      </c>
      <c r="F62" s="47">
        <v>50011165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11"/>
        <v>50011108_50011162</v>
      </c>
      <c r="B63" s="47">
        <v>50011108</v>
      </c>
      <c r="C63" s="47">
        <v>50011162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素晴らしい力…ね…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貴方ならどんな苦難も超えられるはず…_x000D_悔しいけど…認めざるを得ないわね…</v>
      </c>
      <c r="F63" s="47">
        <v>50011166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1136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8"/>
  <sheetViews>
    <sheetView showGridLines="0" zoomScale="120" zoomScaleNormal="120" zoomScalePageLayoutView="120" workbookViewId="0">
      <pane ySplit="1" topLeftCell="A28" activePane="bottomLeft" state="frozenSplit"/>
      <selection pane="bottomLeft" activeCell="B41" sqref="B41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5.6640625" style="49" customWidth="1"/>
    <col min="3" max="3" width="4.83203125" style="49" customWidth="1"/>
    <col min="4" max="4" width="5.33203125" style="49" customWidth="1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50011100</v>
      </c>
      <c r="B2" s="47" t="s">
        <v>382</v>
      </c>
      <c r="C2" s="50">
        <v>3</v>
      </c>
      <c r="D2" s="50" t="s">
        <v>126</v>
      </c>
      <c r="E2" s="51" t="s">
        <v>326</v>
      </c>
      <c r="F2" s="51" t="s">
        <v>317</v>
      </c>
      <c r="G2" s="64" t="str">
        <f>IFERROR(LEFT(B2,FIND("],",B2)),B2)</f>
        <v>[effect:enemy_message, val1:1.8, val2:1.8]</v>
      </c>
      <c r="H2" s="64">
        <f>FIND("effect:",G2)+7</f>
        <v>9</v>
      </c>
      <c r="I2" s="64">
        <f>IFERROR(FIND(",",G2),LEN(G2))</f>
        <v>22</v>
      </c>
      <c r="J2" s="64" t="e">
        <f>FIND("target:",G2)+7</f>
        <v>#VALUE!</v>
      </c>
      <c r="K2" s="64">
        <f>FIND(",",G2,I2+1)</f>
        <v>32</v>
      </c>
      <c r="L2" s="64" t="str">
        <f>IFERROR(VLOOKUP(MID(G2,J2,K2-J2),[6]skilldef!$C:$D,2,FALSE),"-") &amp; " / " &amp; IFERROR(VLOOKUP(MID(G2,H2,I2-H2),[6]skilldef!$A:$B,2,FALSE),"-")</f>
        <v>- / -</v>
      </c>
      <c r="M2" s="64" t="str">
        <f>IFERROR(RIGHT(B2,LEN(B2)-FIND("],",B2)-1),"none")</f>
        <v>[effect:fix_speed, target:myself, turn:1],[effect:tolerance, target:myself, turn:-1, tolerance_effect:all, count:-1, animation:enemy_tolerance]</v>
      </c>
      <c r="N2" s="48" t="str">
        <f>IFERROR(LEFT(M2,FIND("],",M2)+#REF!),M2)</f>
        <v>[effect:fix_speed, target:myself, turn:1],[effect:tolerance, target:myself, turn:-1, tolerance_effect:all, count:-1, animation:enemy_tolerance]</v>
      </c>
      <c r="O2" s="64">
        <f>FIND("effect:",N2)+7</f>
        <v>9</v>
      </c>
      <c r="P2" s="64">
        <f>IFERROR(FIND(",",N2),LEN(N2))</f>
        <v>18</v>
      </c>
      <c r="Q2" s="64">
        <f>FIND("target:",N2)+7</f>
        <v>27</v>
      </c>
      <c r="R2" s="64">
        <f>FIND(",",N2,P2+1)</f>
        <v>33</v>
      </c>
      <c r="S2" s="64" t="str">
        <f>IFERROR(VLOOKUP(MID(N2,Q2,R2-Q2),[6]skilldef!$C:$D,2,FALSE),"-") &amp; " / " &amp; IFERROR(VLOOKUP(MID(N2,O2,P2-O2),[6]skilldef!$A:$B,2,FALSE),"-")</f>
        <v>自分自身に / 行動値設定</v>
      </c>
      <c r="T2" s="48" t="str">
        <f>IFERROR(RIGHT(M2,LEN(M2)-FIND("],",M2)-1),"none")</f>
        <v>[effect:tolerance, target:myself, turn:-1, tolerance_effect:all, count:-1, animation:enemy_tolerance]</v>
      </c>
      <c r="U2" s="64">
        <f>FIND("effect:",T2)+7</f>
        <v>9</v>
      </c>
      <c r="V2" s="64">
        <f>IFERROR(FIND(",",T2),LEN(T2))</f>
        <v>18</v>
      </c>
      <c r="W2" s="64">
        <f>FIND("target:",T2)+7</f>
        <v>27</v>
      </c>
      <c r="X2" s="64">
        <f>FIND(",",T2,V2+1)</f>
        <v>33</v>
      </c>
      <c r="Y2" s="64" t="str">
        <f>IFERROR(VLOOKUP(MID(T2,W2,X2-W2),[6]skilldef!$C:$D,2,FALSE),"-") &amp; " / " &amp; IFERROR(VLOOKUP(MID(T2,U2,V2-U2),[6]skilldef!$A:$B,2,FALSE),"-")</f>
        <v>自分自身に / 状態異常耐性</v>
      </c>
      <c r="Z2" s="50"/>
      <c r="AA2" s="52"/>
      <c r="AB2" s="50"/>
    </row>
    <row r="3" spans="1:28" ht="21" customHeight="1" x14ac:dyDescent="0.15">
      <c r="A3" s="47">
        <v>50011101</v>
      </c>
      <c r="B3" s="47" t="s">
        <v>319</v>
      </c>
      <c r="C3" s="50">
        <v>3</v>
      </c>
      <c r="D3" s="50" t="s">
        <v>126</v>
      </c>
      <c r="E3" s="51" t="s">
        <v>361</v>
      </c>
      <c r="F3" s="51" t="s">
        <v>338</v>
      </c>
      <c r="G3" s="64" t="str">
        <f t="shared" ref="G3:G58" si="0">IFERROR(LEFT(B3,FIND("],",B3)),B3)</f>
        <v>[effect:damage_anti_tribe, target:unit_all, tribe:machine, val1:3.3, val2:0.28]</v>
      </c>
      <c r="H3" s="64">
        <f t="shared" ref="H3:H58" si="1">FIND("effect:",G3)+7</f>
        <v>9</v>
      </c>
      <c r="I3" s="64">
        <f t="shared" ref="I3:I58" si="2">IFERROR(FIND(",",G3),LEN(G3))</f>
        <v>26</v>
      </c>
      <c r="J3" s="64">
        <f t="shared" ref="J3:J58" si="3">FIND("target:",G3)+7</f>
        <v>35</v>
      </c>
      <c r="K3" s="64">
        <f t="shared" ref="K3:K58" si="4">FIND(",",G3,I3+1)</f>
        <v>43</v>
      </c>
      <c r="L3" s="64" t="str">
        <f>IFERROR(VLOOKUP(MID(G3,J3,K3-J3),[6]skilldef!$C:$D,2,FALSE),"-") &amp; " / " &amp; IFERROR(VLOOKUP(MID(G3,H3,I3-H3),[6]skilldef!$A:$B,2,FALSE),"-")</f>
        <v>味方全体に / 種族キラー</v>
      </c>
      <c r="M3" s="64" t="str">
        <f t="shared" ref="M3:M58" si="5">IFERROR(RIGHT(B3,LEN(B3)-FIND("],",B3)-1),"none")</f>
        <v>none</v>
      </c>
      <c r="N3" s="48" t="str">
        <f t="shared" ref="N3:N11" si="6">IFERROR(LEFT(M3,FIND("],",M3)+S12),M3)</f>
        <v>none</v>
      </c>
      <c r="O3" s="64" t="e">
        <f t="shared" ref="O3:O58" si="7">FIND("effect:",N3)+7</f>
        <v>#VALUE!</v>
      </c>
      <c r="P3" s="64">
        <f t="shared" ref="P3:P58" si="8">IFERROR(FIND(",",N3),LEN(N3))</f>
        <v>4</v>
      </c>
      <c r="Q3" s="64" t="e">
        <f t="shared" ref="Q3:Q58" si="9">FIND("target:",N3)+7</f>
        <v>#VALUE!</v>
      </c>
      <c r="R3" s="64" t="e">
        <f t="shared" ref="R3:R58" si="10">FIND(",",N3,P3+1)</f>
        <v>#VALUE!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 t="shared" ref="T3:T58" si="11">IFERROR(RIGHT(M3,LEN(M3)-FIND("],",M3)-1),"none")</f>
        <v>none</v>
      </c>
      <c r="U3" s="64" t="e">
        <f t="shared" ref="U3:U58" si="12">FIND("effect:",T3)+7</f>
        <v>#VALUE!</v>
      </c>
      <c r="V3" s="64">
        <f t="shared" ref="V3:V58" si="13">IFERROR(FIND(",",T3),LEN(T3))</f>
        <v>4</v>
      </c>
      <c r="W3" s="64" t="e">
        <f t="shared" ref="W3:W58" si="14">FIND("target:",T3)+7</f>
        <v>#VALUE!</v>
      </c>
      <c r="X3" s="64" t="e">
        <f t="shared" ref="X3:X58" si="15">FIND(",",T3,V3+1)</f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50011102</v>
      </c>
      <c r="B4" s="47" t="s">
        <v>444</v>
      </c>
      <c r="C4" s="50">
        <v>3</v>
      </c>
      <c r="D4" s="50" t="s">
        <v>126</v>
      </c>
      <c r="E4" s="51" t="s">
        <v>321</v>
      </c>
      <c r="F4" s="51" t="s">
        <v>443</v>
      </c>
      <c r="G4" s="64" t="str">
        <f t="shared" si="0"/>
        <v>[effect:enemy_message, val1:1.5, val2:2.5]</v>
      </c>
      <c r="H4" s="64">
        <f t="shared" si="1"/>
        <v>9</v>
      </c>
      <c r="I4" s="64">
        <f t="shared" si="2"/>
        <v>22</v>
      </c>
      <c r="J4" s="64" t="e">
        <f t="shared" si="3"/>
        <v>#VALUE!</v>
      </c>
      <c r="K4" s="64">
        <f t="shared" si="4"/>
        <v>32</v>
      </c>
      <c r="L4" s="64" t="str">
        <f>IFERROR(VLOOKUP(MID(G4,J4,K4-J4),[6]skilldef!$C:$D,2,FALSE),"-") &amp; " / " &amp; IFERROR(VLOOKUP(MID(G4,H4,I4-H4),[6]skilldef!$A:$B,2,FALSE),"-")</f>
        <v>- / -</v>
      </c>
      <c r="M4" s="64" t="str">
        <f t="shared" si="5"/>
        <v xml:space="preserve">[effect:spread, val:0.29],[effect:force_change_block, new_block:damage, target:block_all, ignore01:crash, ignore02:crack_bomb, ignore03:color_break, ignore04:damage, ignore05:magnet, count:3, val:0.15, animation:change_block]    </v>
      </c>
      <c r="N4" s="48" t="str">
        <f t="shared" si="6"/>
        <v xml:space="preserve">[effect:spread, val:0.29],[effect:force_change_block, new_block:damage, target:block_all, ignore01:crash, ignore02:crack_bomb, ignore03:color_break, ignore04:damage, ignore05:magnet, count:3, val:0.15, animation:change_block]    </v>
      </c>
      <c r="O4" s="64">
        <f t="shared" si="7"/>
        <v>9</v>
      </c>
      <c r="P4" s="64">
        <f t="shared" si="8"/>
        <v>15</v>
      </c>
      <c r="Q4" s="64">
        <f t="shared" si="9"/>
        <v>80</v>
      </c>
      <c r="R4" s="64">
        <f t="shared" si="10"/>
        <v>26</v>
      </c>
      <c r="S4" s="64" t="str">
        <f>IFERROR(VLOOKUP(MID(N4,Q4,R4-Q4),[6]skilldef!$C:$D,2,FALSE),"-") &amp; " / " &amp; IFERROR(VLOOKUP(MID(N4,O4,P4-O4),[6]skilldef!$A:$B,2,FALSE),"-")</f>
        <v>- / 全体攻撃</v>
      </c>
      <c r="T4" s="48" t="str">
        <f t="shared" si="11"/>
        <v xml:space="preserve">[effect:force_change_block, new_block:damage, target:block_all, ignore01:crash, ignore02:crack_bomb, ignore03:color_break, ignore04:damage, ignore05:magnet, count:3, val:0.15, animation:change_block]    </v>
      </c>
      <c r="U4" s="64">
        <f t="shared" si="12"/>
        <v>9</v>
      </c>
      <c r="V4" s="64">
        <f t="shared" si="13"/>
        <v>27</v>
      </c>
      <c r="W4" s="64">
        <f t="shared" si="14"/>
        <v>54</v>
      </c>
      <c r="X4" s="64">
        <f t="shared" si="15"/>
        <v>45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50011103</v>
      </c>
      <c r="B5" s="47" t="s">
        <v>388</v>
      </c>
      <c r="C5" s="50">
        <v>3</v>
      </c>
      <c r="D5" s="50" t="s">
        <v>126</v>
      </c>
      <c r="E5" s="51" t="s">
        <v>327</v>
      </c>
      <c r="F5" s="51" t="s">
        <v>345</v>
      </c>
      <c r="G5" s="64" t="str">
        <f t="shared" si="0"/>
        <v>[effect:enemy_message, val1:1, val2:2.5]</v>
      </c>
      <c r="H5" s="64">
        <f t="shared" si="1"/>
        <v>9</v>
      </c>
      <c r="I5" s="64">
        <f t="shared" si="2"/>
        <v>22</v>
      </c>
      <c r="J5" s="64" t="e">
        <f t="shared" si="3"/>
        <v>#VALUE!</v>
      </c>
      <c r="K5" s="64">
        <f t="shared" si="4"/>
        <v>30</v>
      </c>
      <c r="L5" s="64" t="str">
        <f>IFERROR(VLOOKUP(MID(G5,J5,K5-J5),[6]skilldef!$C:$D,2,FALSE),"-") &amp; " / " &amp; IFERROR(VLOOKUP(MID(G5,H5,I5-H5),[6]skilldef!$A:$B,2,FALSE),"-")</f>
        <v>- / -</v>
      </c>
      <c r="M5" s="64" t="str">
        <f t="shared" si="5"/>
        <v xml:space="preserve">[effect:spread, val:0.31],[effect:virus, turn:3, rate:1, val:0.12, animation:enemy_virus]    </v>
      </c>
      <c r="N5" s="48" t="str">
        <f t="shared" si="6"/>
        <v xml:space="preserve">[effect:spread, val:0.31],[effect:virus, turn:3, rate:1, val:0.12, animation:enemy_virus]    </v>
      </c>
      <c r="O5" s="64">
        <f t="shared" si="7"/>
        <v>9</v>
      </c>
      <c r="P5" s="64">
        <f t="shared" si="8"/>
        <v>15</v>
      </c>
      <c r="Q5" s="64" t="e">
        <f t="shared" si="9"/>
        <v>#VALUE!</v>
      </c>
      <c r="R5" s="64">
        <f t="shared" si="10"/>
        <v>26</v>
      </c>
      <c r="S5" s="64" t="str">
        <f>IFERROR(VLOOKUP(MID(N5,Q5,R5-Q5),[6]skilldef!$C:$D,2,FALSE),"-") &amp; " / " &amp; IFERROR(VLOOKUP(MID(N5,O5,P5-O5),[6]skilldef!$A:$B,2,FALSE),"-")</f>
        <v>- / 全体攻撃</v>
      </c>
      <c r="T5" s="48" t="str">
        <f t="shared" si="11"/>
        <v xml:space="preserve">[effect:virus, turn:3, rate:1, val:0.12, animation:enemy_virus]    </v>
      </c>
      <c r="U5" s="64">
        <f t="shared" si="12"/>
        <v>9</v>
      </c>
      <c r="V5" s="64">
        <f t="shared" si="13"/>
        <v>14</v>
      </c>
      <c r="W5" s="64" t="e">
        <f t="shared" si="14"/>
        <v>#VALUE!</v>
      </c>
      <c r="X5" s="64">
        <f t="shared" si="15"/>
        <v>22</v>
      </c>
      <c r="Y5" s="64" t="str">
        <f>IFERROR(VLOOKUP(MID(T5,W5,X5-W5),[6]skilldef!$C:$D,2,FALSE),"-") &amp; " / " &amp; IFERROR(VLOOKUP(MID(T5,U5,V5-U5),[6]skilldef!$A:$B,2,FALSE),"-")</f>
        <v>- / ウィルス</v>
      </c>
      <c r="Z5" s="50"/>
      <c r="AA5" s="52"/>
      <c r="AB5" s="50"/>
    </row>
    <row r="6" spans="1:28" ht="21" customHeight="1" x14ac:dyDescent="0.15">
      <c r="A6" s="47">
        <v>50011104</v>
      </c>
      <c r="B6" s="47" t="s">
        <v>445</v>
      </c>
      <c r="C6" s="50">
        <v>3</v>
      </c>
      <c r="D6" s="50" t="s">
        <v>126</v>
      </c>
      <c r="E6" s="51" t="s">
        <v>380</v>
      </c>
      <c r="F6" s="51" t="s">
        <v>443</v>
      </c>
      <c r="G6" s="64" t="str">
        <f t="shared" si="0"/>
        <v>[effect:enemy_message, val1:1.5, val2:2.5]</v>
      </c>
      <c r="H6" s="64">
        <f t="shared" si="1"/>
        <v>9</v>
      </c>
      <c r="I6" s="64">
        <f t="shared" si="2"/>
        <v>22</v>
      </c>
      <c r="J6" s="64" t="e">
        <f t="shared" si="3"/>
        <v>#VALUE!</v>
      </c>
      <c r="K6" s="64">
        <f t="shared" si="4"/>
        <v>32</v>
      </c>
      <c r="L6" s="64" t="str">
        <f>IFERROR(VLOOKUP(MID(G6,J6,K6-J6),[6]skilldef!$C:$D,2,FALSE),"-") &amp; " / " &amp; IFERROR(VLOOKUP(MID(G6,H6,I6-H6),[6]skilldef!$A:$B,2,FALSE),"-")</f>
        <v>- / -</v>
      </c>
      <c r="M6" s="64" t="str">
        <f t="shared" si="5"/>
        <v xml:space="preserve">[effect:spread, val:0.33],[effect:force_change_block, new_block:damage, target:block_all, ignore01:crash, ignore02:crack_bomb, ignore03:color_break, ignore04:damage, ignore05:magnet, count:3, val:0.15, animation:change_block]    </v>
      </c>
      <c r="N6" s="48" t="str">
        <f t="shared" si="6"/>
        <v xml:space="preserve">[effect:spread, val:0.33],[effect:force_change_block, new_block:damage, target:block_all, ignore01:crash, ignore02:crack_bomb, ignore03:color_break, ignore04:damage, ignore05:magnet, count:3, val:0.15, animation:change_block]    </v>
      </c>
      <c r="O6" s="64">
        <f t="shared" si="7"/>
        <v>9</v>
      </c>
      <c r="P6" s="64">
        <f t="shared" si="8"/>
        <v>15</v>
      </c>
      <c r="Q6" s="64">
        <f t="shared" si="9"/>
        <v>80</v>
      </c>
      <c r="R6" s="64">
        <f t="shared" si="10"/>
        <v>26</v>
      </c>
      <c r="S6" s="64" t="str">
        <f>IFERROR(VLOOKUP(MID(N6,Q6,R6-Q6),[6]skilldef!$C:$D,2,FALSE),"-") &amp; " / " &amp; IFERROR(VLOOKUP(MID(N6,O6,P6-O6),[6]skilldef!$A:$B,2,FALSE),"-")</f>
        <v>- / 全体攻撃</v>
      </c>
      <c r="T6" s="48" t="str">
        <f t="shared" si="11"/>
        <v xml:space="preserve">[effect:force_change_block, new_block:damage, target:block_all, ignore01:crash, ignore02:crack_bomb, ignore03:color_break, ignore04:damage, ignore05:magnet, count:3, val:0.15, animation:change_block]    </v>
      </c>
      <c r="U6" s="64">
        <f t="shared" si="12"/>
        <v>9</v>
      </c>
      <c r="V6" s="64">
        <f t="shared" si="13"/>
        <v>27</v>
      </c>
      <c r="W6" s="64">
        <f t="shared" si="14"/>
        <v>54</v>
      </c>
      <c r="X6" s="64">
        <f t="shared" si="15"/>
        <v>45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50011105</v>
      </c>
      <c r="B7" s="47" t="s">
        <v>322</v>
      </c>
      <c r="C7" s="50">
        <v>3</v>
      </c>
      <c r="D7" s="50" t="s">
        <v>126</v>
      </c>
      <c r="E7" s="51" t="s">
        <v>362</v>
      </c>
      <c r="F7" s="51" t="s">
        <v>338</v>
      </c>
      <c r="G7" s="64" t="str">
        <f t="shared" si="0"/>
        <v>[effect:damage_anti_tribe, target:unit_all, tribe:machine, val1:3.3, val2:0.34]</v>
      </c>
      <c r="H7" s="64">
        <f t="shared" si="1"/>
        <v>9</v>
      </c>
      <c r="I7" s="64">
        <f t="shared" si="2"/>
        <v>26</v>
      </c>
      <c r="J7" s="64">
        <f t="shared" si="3"/>
        <v>35</v>
      </c>
      <c r="K7" s="64">
        <f t="shared" si="4"/>
        <v>43</v>
      </c>
      <c r="L7" s="64" t="str">
        <f>IFERROR(VLOOKUP(MID(G7,J7,K7-J7),[6]skilldef!$C:$D,2,FALSE),"-") &amp; " / " &amp; IFERROR(VLOOKUP(MID(G7,H7,I7-H7),[6]skilldef!$A:$B,2,FALSE),"-")</f>
        <v>味方全体に / 種族キラー</v>
      </c>
      <c r="M7" s="64" t="str">
        <f t="shared" si="5"/>
        <v>none</v>
      </c>
      <c r="N7" s="48" t="str">
        <f t="shared" si="6"/>
        <v>none</v>
      </c>
      <c r="O7" s="64" t="e">
        <f t="shared" si="7"/>
        <v>#VALUE!</v>
      </c>
      <c r="P7" s="64">
        <f t="shared" si="8"/>
        <v>4</v>
      </c>
      <c r="Q7" s="64" t="e">
        <f t="shared" si="9"/>
        <v>#VALUE!</v>
      </c>
      <c r="R7" s="64" t="e">
        <f t="shared" si="10"/>
        <v>#VALUE!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4" t="e">
        <f t="shared" si="12"/>
        <v>#VALUE!</v>
      </c>
      <c r="V7" s="64">
        <f t="shared" si="13"/>
        <v>4</v>
      </c>
      <c r="W7" s="64" t="e">
        <f t="shared" si="14"/>
        <v>#VALUE!</v>
      </c>
      <c r="X7" s="64" t="e">
        <f t="shared" si="15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50011106</v>
      </c>
      <c r="B8" s="47" t="s">
        <v>446</v>
      </c>
      <c r="C8" s="50">
        <v>3</v>
      </c>
      <c r="D8" s="50" t="s">
        <v>126</v>
      </c>
      <c r="E8" s="51" t="s">
        <v>363</v>
      </c>
      <c r="F8" s="51" t="s">
        <v>439</v>
      </c>
      <c r="G8" s="64" t="str">
        <f t="shared" si="0"/>
        <v>[effect:fix_speed, target:myself, turn:1]</v>
      </c>
      <c r="H8" s="64">
        <f t="shared" si="1"/>
        <v>9</v>
      </c>
      <c r="I8" s="64">
        <f t="shared" si="2"/>
        <v>18</v>
      </c>
      <c r="J8" s="64">
        <f t="shared" si="3"/>
        <v>27</v>
      </c>
      <c r="K8" s="64">
        <f t="shared" si="4"/>
        <v>33</v>
      </c>
      <c r="L8" s="64" t="str">
        <f>IFERROR(VLOOKUP(MID(G8,J8,K8-J8),[6]skilldef!$C:$D,2,FALSE),"-") &amp; " / " &amp; IFERROR(VLOOKUP(MID(G8,H8,I8-H8),[6]skilldef!$A:$B,2,FALSE),"-")</f>
        <v>自分自身に / 行動値設定</v>
      </c>
      <c r="M8" s="64" t="str">
        <f t="shared" si="5"/>
        <v xml:space="preserve">[effect:force_change_block, new_block:damage, target:block_all, ignore01:crash, ignore02:crack_bomb, ignore03:color_break, ignore04:damage, ignore05:magnet, count:13, val:0.15, animation:change_block]    </v>
      </c>
      <c r="N8" s="48" t="str">
        <f t="shared" si="6"/>
        <v xml:space="preserve">[effect:force_change_block, new_block:damage, target:block_all, ignore01:crash, ignore02:crack_bomb, ignore03:color_break, ignore04:damage, ignore05:magnet, count:13, val:0.15, animation:change_block]    </v>
      </c>
      <c r="O8" s="64">
        <f t="shared" si="7"/>
        <v>9</v>
      </c>
      <c r="P8" s="64">
        <f t="shared" si="8"/>
        <v>27</v>
      </c>
      <c r="Q8" s="64">
        <f t="shared" si="9"/>
        <v>54</v>
      </c>
      <c r="R8" s="64">
        <f t="shared" si="10"/>
        <v>45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4" t="e">
        <f t="shared" si="12"/>
        <v>#VALUE!</v>
      </c>
      <c r="V8" s="64">
        <f t="shared" si="13"/>
        <v>4</v>
      </c>
      <c r="W8" s="64" t="e">
        <f t="shared" si="14"/>
        <v>#VALUE!</v>
      </c>
      <c r="X8" s="64" t="e">
        <f t="shared" si="15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50011107</v>
      </c>
      <c r="B9" s="47" t="s">
        <v>320</v>
      </c>
      <c r="C9" s="50">
        <v>3</v>
      </c>
      <c r="D9" s="50" t="s">
        <v>126</v>
      </c>
      <c r="E9" s="51" t="s">
        <v>364</v>
      </c>
      <c r="F9" s="51" t="s">
        <v>425</v>
      </c>
      <c r="G9" s="64" t="str">
        <f t="shared" si="0"/>
        <v>[effect:degrade_unit, target:unit_all, turn:5, status:heal, val:0.3, calc:mul, animation:degrade_unit_all_heal]</v>
      </c>
      <c r="H9" s="64">
        <f t="shared" si="1"/>
        <v>9</v>
      </c>
      <c r="I9" s="64">
        <f t="shared" si="2"/>
        <v>21</v>
      </c>
      <c r="J9" s="64">
        <f t="shared" si="3"/>
        <v>30</v>
      </c>
      <c r="K9" s="64">
        <f t="shared" si="4"/>
        <v>38</v>
      </c>
      <c r="L9" s="64" t="str">
        <f>IFERROR(VLOOKUP(MID(G9,J9,K9-J9),[6]skilldef!$C:$D,2,FALSE),"-") &amp; " / " &amp; IFERROR(VLOOKUP(MID(G9,H9,I9-H9),[6]skilldef!$A:$B,2,FALSE),"-")</f>
        <v>味方全体に / ステータスDOWN</v>
      </c>
      <c r="M9" s="64" t="str">
        <f t="shared" si="5"/>
        <v xml:space="preserve">[effect:rush, val:1, count:1] </v>
      </c>
      <c r="N9" s="48" t="str">
        <f t="shared" si="6"/>
        <v xml:space="preserve">[effect:rush, val:1, count:1] </v>
      </c>
      <c r="O9" s="64">
        <f t="shared" si="7"/>
        <v>9</v>
      </c>
      <c r="P9" s="64">
        <f t="shared" si="8"/>
        <v>13</v>
      </c>
      <c r="Q9" s="64" t="e">
        <f t="shared" si="9"/>
        <v>#VALUE!</v>
      </c>
      <c r="R9" s="64">
        <f t="shared" si="10"/>
        <v>20</v>
      </c>
      <c r="S9" s="64" t="str">
        <f>IFERROR(VLOOKUP(MID(N9,Q9,R9-Q9),[6]skilldef!$C:$D,2,FALSE),"-") &amp; " / " &amp; IFERROR(VLOOKUP(MID(N9,O9,P9-O9),[6]skilldef!$A:$B,2,FALSE),"-")</f>
        <v>- / 連続攻撃</v>
      </c>
      <c r="T9" s="48" t="str">
        <f t="shared" si="11"/>
        <v>none</v>
      </c>
      <c r="U9" s="64" t="e">
        <f t="shared" si="12"/>
        <v>#VALUE!</v>
      </c>
      <c r="V9" s="64">
        <f t="shared" si="13"/>
        <v>4</v>
      </c>
      <c r="W9" s="64" t="e">
        <f t="shared" si="14"/>
        <v>#VALUE!</v>
      </c>
      <c r="X9" s="64" t="e">
        <f t="shared" si="15"/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50011108</v>
      </c>
      <c r="B10" s="47" t="s">
        <v>274</v>
      </c>
      <c r="C10" s="50">
        <v>3</v>
      </c>
      <c r="D10" s="50" t="s">
        <v>126</v>
      </c>
      <c r="E10" s="51" t="s">
        <v>365</v>
      </c>
      <c r="F10" s="51" t="s">
        <v>426</v>
      </c>
      <c r="G10" s="64" t="str">
        <f t="shared" si="0"/>
        <v>[effect:degrade_unit, target:unit_all, turn:5, status:attack, val:0.3]</v>
      </c>
      <c r="H10" s="64">
        <f t="shared" si="1"/>
        <v>9</v>
      </c>
      <c r="I10" s="64">
        <f t="shared" si="2"/>
        <v>21</v>
      </c>
      <c r="J10" s="64">
        <f t="shared" si="3"/>
        <v>30</v>
      </c>
      <c r="K10" s="64">
        <f t="shared" si="4"/>
        <v>38</v>
      </c>
      <c r="L10" s="64" t="str">
        <f>IFERROR(VLOOKUP(MID(G10,J10,K10-J10),[6]skilldef!$C:$D,2,FALSE),"-") &amp; " / " &amp; IFERROR(VLOOKUP(MID(G10,H10,I10-H10),[6]skilldef!$A:$B,2,FALSE),"-")</f>
        <v>味方全体に / ステータスDOWN</v>
      </c>
      <c r="M10" s="64" t="str">
        <f t="shared" si="5"/>
        <v xml:space="preserve">[effect:rush, val:1, count:1] </v>
      </c>
      <c r="N10" s="48" t="str">
        <f t="shared" si="6"/>
        <v xml:space="preserve">[effect:rush, val:1, count:1] </v>
      </c>
      <c r="O10" s="64">
        <f t="shared" si="7"/>
        <v>9</v>
      </c>
      <c r="P10" s="64">
        <f t="shared" si="8"/>
        <v>13</v>
      </c>
      <c r="Q10" s="64" t="e">
        <f t="shared" si="9"/>
        <v>#VALUE!</v>
      </c>
      <c r="R10" s="64">
        <f t="shared" si="10"/>
        <v>20</v>
      </c>
      <c r="S10" s="64" t="str">
        <f>IFERROR(VLOOKUP(MID(N10,Q10,R10-Q10),[6]skilldef!$C:$D,2,FALSE),"-") &amp; " / " &amp; IFERROR(VLOOKUP(MID(N10,O10,P10-O10),[6]skilldef!$A:$B,2,FALSE),"-")</f>
        <v>- / 連続攻撃</v>
      </c>
      <c r="T10" s="48" t="str">
        <f t="shared" si="11"/>
        <v>none</v>
      </c>
      <c r="U10" s="64" t="e">
        <f t="shared" si="12"/>
        <v>#VALUE!</v>
      </c>
      <c r="V10" s="64">
        <f t="shared" si="13"/>
        <v>4</v>
      </c>
      <c r="W10" s="64" t="e">
        <f t="shared" si="14"/>
        <v>#VALUE!</v>
      </c>
      <c r="X10" s="64" t="e">
        <f t="shared" si="15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50011109</v>
      </c>
      <c r="B11" s="47" t="s">
        <v>277</v>
      </c>
      <c r="C11" s="50">
        <v>3</v>
      </c>
      <c r="D11" s="50" t="s">
        <v>126</v>
      </c>
      <c r="E11" s="51" t="s">
        <v>366</v>
      </c>
      <c r="F11" s="51" t="s">
        <v>351</v>
      </c>
      <c r="G11" s="64" t="str">
        <f t="shared" si="0"/>
        <v>[effect:degrade_unit, target:unit_all, turn:1, status:action, val:1, animation:enemy_tap_down]</v>
      </c>
      <c r="H11" s="64">
        <f t="shared" si="1"/>
        <v>9</v>
      </c>
      <c r="I11" s="64">
        <f t="shared" si="2"/>
        <v>21</v>
      </c>
      <c r="J11" s="64">
        <f t="shared" si="3"/>
        <v>30</v>
      </c>
      <c r="K11" s="64">
        <f t="shared" si="4"/>
        <v>38</v>
      </c>
      <c r="L11" s="64" t="str">
        <f>IFERROR(VLOOKUP(MID(G11,J11,K11-J11),[6]skilldef!$C:$D,2,FALSE),"-") &amp; " / " &amp; IFERROR(VLOOKUP(MID(G11,H11,I11-H11),[6]skilldef!$A:$B,2,FALSE),"-")</f>
        <v>味方全体に / ステータスDOWN</v>
      </c>
      <c r="M11" s="64" t="str">
        <f t="shared" si="5"/>
        <v xml:space="preserve">[effect:rush, val:1, count:1]     </v>
      </c>
      <c r="N11" s="48" t="str">
        <f t="shared" si="6"/>
        <v xml:space="preserve">[effect:rush, val:1, count:1]     </v>
      </c>
      <c r="O11" s="64">
        <f t="shared" si="7"/>
        <v>9</v>
      </c>
      <c r="P11" s="64">
        <f t="shared" si="8"/>
        <v>13</v>
      </c>
      <c r="Q11" s="64" t="e">
        <f t="shared" si="9"/>
        <v>#VALUE!</v>
      </c>
      <c r="R11" s="64">
        <f t="shared" si="10"/>
        <v>20</v>
      </c>
      <c r="S11" s="64" t="str">
        <f>IFERROR(VLOOKUP(MID(N11,Q11,R11-Q11),[6]skilldef!$C:$D,2,FALSE),"-") &amp; " / " &amp; IFERROR(VLOOKUP(MID(N11,O11,P11-O11),[6]skilldef!$A:$B,2,FALSE),"-")</f>
        <v>- / 連続攻撃</v>
      </c>
      <c r="T11" s="48" t="str">
        <f t="shared" si="11"/>
        <v>none</v>
      </c>
      <c r="U11" s="64" t="e">
        <f t="shared" si="12"/>
        <v>#VALUE!</v>
      </c>
      <c r="V11" s="64">
        <f t="shared" si="13"/>
        <v>4</v>
      </c>
      <c r="W11" s="64" t="e">
        <f t="shared" si="14"/>
        <v>#VALUE!</v>
      </c>
      <c r="X11" s="64" t="e">
        <f t="shared" si="15"/>
        <v>#VALUE!</v>
      </c>
      <c r="Y11" s="64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50011111</v>
      </c>
      <c r="B12" s="47" t="s">
        <v>434</v>
      </c>
      <c r="C12" s="50">
        <v>3</v>
      </c>
      <c r="D12" s="50" t="s">
        <v>126</v>
      </c>
      <c r="E12" s="51" t="s">
        <v>305</v>
      </c>
      <c r="F12" s="51" t="s">
        <v>435</v>
      </c>
      <c r="G12" s="64" t="str">
        <f t="shared" si="0"/>
        <v>[effect:enemy_message, val1:1.5, val2:2.6]</v>
      </c>
      <c r="H12" s="64">
        <f t="shared" si="1"/>
        <v>9</v>
      </c>
      <c r="I12" s="64">
        <f t="shared" si="2"/>
        <v>22</v>
      </c>
      <c r="J12" s="64" t="e">
        <f t="shared" si="3"/>
        <v>#VALUE!</v>
      </c>
      <c r="K12" s="64">
        <f t="shared" si="4"/>
        <v>32</v>
      </c>
      <c r="L12" s="64" t="str">
        <f>IFERROR(VLOOKUP(MID(G12,J12,K12-J12),[6]skilldef!$C:$D,2,FALSE),"-") &amp; " / " &amp; IFERROR(VLOOKUP(MID(G12,H12,I12-H12),[6]skilldef!$A:$B,2,FALSE),"-")</f>
        <v>- / -</v>
      </c>
      <c r="M12" s="64" t="str">
        <f t="shared" si="5"/>
        <v>[effect:enhance_unit, target:unit_attack, turn:-1, status:attack, val:0.3, calc:mul],[effect:tolerance, target:unit_all, turn:9, count:-1, tolerance_effect:all, animation:prevent_abnormal_Unit04],[effect:suicide, target:myself, val:1, dead_type:escape]</v>
      </c>
      <c r="N12" s="48" t="str">
        <f t="shared" ref="N12:N14" si="16">IFERROR(LEFT(M12,FIND("],",M12)+S22),M12)</f>
        <v>[effect:enhance_unit, target:unit_attack, turn:-1, status:attack, val:0.3, calc:mul],[effect:tolerance, target:unit_all, turn:9, count:-1, tolerance_effect:all, animation:prevent_abnormal_Unit04],[effect:suicide, target:myself, val:1, dead_type:escape]</v>
      </c>
      <c r="O12" s="64">
        <f t="shared" si="7"/>
        <v>9</v>
      </c>
      <c r="P12" s="64">
        <f t="shared" si="8"/>
        <v>21</v>
      </c>
      <c r="Q12" s="64">
        <f t="shared" si="9"/>
        <v>30</v>
      </c>
      <c r="R12" s="64">
        <f t="shared" si="10"/>
        <v>41</v>
      </c>
      <c r="S12" s="64" t="str">
        <f>IFERROR(VLOOKUP(MID(N12,Q12,R12-Q12),[6]skilldef!$C:$D,2,FALSE),"-") &amp; " / " &amp; IFERROR(VLOOKUP(MID(N12,O12,P12-O12),[6]skilldef!$A:$B,2,FALSE),"-")</f>
        <v>攻撃タイプの味方に / -</v>
      </c>
      <c r="T12" s="48" t="str">
        <f t="shared" si="11"/>
        <v>[effect:tolerance, target:unit_all, turn:9, count:-1, tolerance_effect:all, animation:prevent_abnormal_Unit04],[effect:suicide, target:myself, val:1, dead_type:escape]</v>
      </c>
      <c r="U12" s="64">
        <f t="shared" si="12"/>
        <v>9</v>
      </c>
      <c r="V12" s="64">
        <f t="shared" si="13"/>
        <v>18</v>
      </c>
      <c r="W12" s="64">
        <f t="shared" si="14"/>
        <v>27</v>
      </c>
      <c r="X12" s="64">
        <f t="shared" si="15"/>
        <v>35</v>
      </c>
      <c r="Y12" s="64" t="str">
        <f>IFERROR(VLOOKUP(MID(T12,W12,X12-W12),[6]skilldef!$C:$D,2,FALSE),"-") &amp; " / " &amp; IFERROR(VLOOKUP(MID(T12,U12,V12-U12),[6]skilldef!$A:$B,2,FALSE),"-")</f>
        <v>味方全体に / 状態異常耐性</v>
      </c>
      <c r="Z12" s="50"/>
      <c r="AA12" s="52"/>
      <c r="AB12" s="50"/>
    </row>
    <row r="13" spans="1:28" ht="21" customHeight="1" x14ac:dyDescent="0.15">
      <c r="A13" s="47">
        <v>50011112</v>
      </c>
      <c r="B13" s="47" t="s">
        <v>383</v>
      </c>
      <c r="C13" s="50">
        <v>3</v>
      </c>
      <c r="D13" s="50" t="s">
        <v>126</v>
      </c>
      <c r="E13" s="51" t="s">
        <v>367</v>
      </c>
      <c r="F13" s="51" t="s">
        <v>339</v>
      </c>
      <c r="G13" s="64" t="str">
        <f t="shared" si="0"/>
        <v>[effect:enemy_message, val1:1.5, val2:1.8]</v>
      </c>
      <c r="H13" s="64">
        <f t="shared" si="1"/>
        <v>9</v>
      </c>
      <c r="I13" s="64">
        <f t="shared" si="2"/>
        <v>22</v>
      </c>
      <c r="J13" s="64" t="e">
        <f t="shared" si="3"/>
        <v>#VALUE!</v>
      </c>
      <c r="K13" s="64">
        <f t="shared" si="4"/>
        <v>32</v>
      </c>
      <c r="L13" s="64" t="str">
        <f>IFERROR(VLOOKUP(MID(G13,J13,K13-J13),[6]skilldef!$C:$D,2,FALSE),"-") &amp; " / " &amp; IFERROR(VLOOKUP(MID(G13,H13,I13-H13),[6]skilldef!$A:$B,2,FALSE),"-")</f>
        <v>- / -</v>
      </c>
      <c r="M13" s="64" t="str">
        <f t="shared" si="5"/>
        <v>[effect:fix_speed, target:myself, turn:1],[effect:dis_panel, target:block_red, turn:4, animation:enemy_dis_red]</v>
      </c>
      <c r="N13" s="48" t="str">
        <f t="shared" si="16"/>
        <v>[effect:fix_speed, target:myself, turn:1],[effect:dis_panel, target:block_red, turn:4, animation:enemy_dis_red]</v>
      </c>
      <c r="O13" s="64">
        <f t="shared" si="7"/>
        <v>9</v>
      </c>
      <c r="P13" s="64">
        <f t="shared" si="8"/>
        <v>18</v>
      </c>
      <c r="Q13" s="64">
        <f t="shared" si="9"/>
        <v>27</v>
      </c>
      <c r="R13" s="64">
        <f t="shared" si="10"/>
        <v>33</v>
      </c>
      <c r="S13" s="64" t="str">
        <f>IFERROR(VLOOKUP(MID(N13,Q13,R13-Q13),[6]skilldef!$C:$D,2,FALSE),"-") &amp; " / " &amp; IFERROR(VLOOKUP(MID(N13,O13,P13-O13),[6]skilldef!$A:$B,2,FALSE),"-")</f>
        <v>自分自身に / 行動値設定</v>
      </c>
      <c r="T13" s="48" t="str">
        <f t="shared" si="11"/>
        <v>[effect:dis_panel, target:block_red, turn:4, animation:enemy_dis_red]</v>
      </c>
      <c r="U13" s="64">
        <f t="shared" si="12"/>
        <v>9</v>
      </c>
      <c r="V13" s="64">
        <f t="shared" si="13"/>
        <v>18</v>
      </c>
      <c r="W13" s="64">
        <f t="shared" si="14"/>
        <v>27</v>
      </c>
      <c r="X13" s="64">
        <f t="shared" si="15"/>
        <v>36</v>
      </c>
      <c r="Y13" s="64" t="str">
        <f>IFERROR(VLOOKUP(MID(T13,W13,X13-W13),[6]skilldef!$C:$D,2,FALSE),"-") &amp; " / " &amp; IFERROR(VLOOKUP(MID(T13,U13,V13-U13),[6]skilldef!$A:$B,2,FALSE),"-")</f>
        <v>赤パネルを / ディスパネル</v>
      </c>
      <c r="Z13" s="50"/>
      <c r="AA13" s="52"/>
      <c r="AB13" s="50"/>
    </row>
    <row r="14" spans="1:28" ht="21" customHeight="1" x14ac:dyDescent="0.15">
      <c r="A14" s="47">
        <v>50011113</v>
      </c>
      <c r="B14" s="47" t="s">
        <v>409</v>
      </c>
      <c r="C14" s="50">
        <v>3</v>
      </c>
      <c r="D14" s="50" t="s">
        <v>126</v>
      </c>
      <c r="E14" s="51" t="s">
        <v>330</v>
      </c>
      <c r="F14" s="51" t="s">
        <v>338</v>
      </c>
      <c r="G14" s="64" t="str">
        <f t="shared" si="0"/>
        <v>[effect:damage_anti_tribe, target:unit_all, tribe:machine, val1:1, val2:0.26]</v>
      </c>
      <c r="H14" s="64">
        <f t="shared" si="1"/>
        <v>9</v>
      </c>
      <c r="I14" s="64">
        <f t="shared" si="2"/>
        <v>26</v>
      </c>
      <c r="J14" s="64">
        <f t="shared" si="3"/>
        <v>35</v>
      </c>
      <c r="K14" s="64">
        <f t="shared" si="4"/>
        <v>43</v>
      </c>
      <c r="L14" s="64" t="str">
        <f>IFERROR(VLOOKUP(MID(G14,J14,K14-J14),[6]skilldef!$C:$D,2,FALSE),"-") &amp; " / " &amp; IFERROR(VLOOKUP(MID(G14,H14,I14-H14),[6]skilldef!$A:$B,2,FALSE),"-")</f>
        <v>味方全体に / 種族キラー</v>
      </c>
      <c r="M14" s="64" t="str">
        <f t="shared" si="5"/>
        <v>none</v>
      </c>
      <c r="N14" s="48" t="str">
        <f t="shared" si="16"/>
        <v>none</v>
      </c>
      <c r="O14" s="64" t="e">
        <f t="shared" si="7"/>
        <v>#VALUE!</v>
      </c>
      <c r="P14" s="64">
        <f t="shared" si="8"/>
        <v>4</v>
      </c>
      <c r="Q14" s="64" t="e">
        <f t="shared" si="9"/>
        <v>#VALUE!</v>
      </c>
      <c r="R14" s="64" t="e">
        <f t="shared" si="10"/>
        <v>#VALUE!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4" t="e">
        <f t="shared" si="12"/>
        <v>#VALUE!</v>
      </c>
      <c r="V14" s="64">
        <f t="shared" si="13"/>
        <v>4</v>
      </c>
      <c r="W14" s="64" t="e">
        <f t="shared" si="14"/>
        <v>#VALUE!</v>
      </c>
      <c r="X14" s="64" t="e">
        <f t="shared" si="15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50011114</v>
      </c>
      <c r="B15" s="47" t="s">
        <v>318</v>
      </c>
      <c r="C15" s="50">
        <v>3</v>
      </c>
      <c r="D15" s="50" t="s">
        <v>126</v>
      </c>
      <c r="E15" s="51" t="s">
        <v>331</v>
      </c>
      <c r="F15" s="51" t="s">
        <v>340</v>
      </c>
      <c r="G15" s="64" t="str">
        <f t="shared" si="0"/>
        <v>[effect:damage_anti_tribe, target:unit_all, tribe:weapon, val1:1, val2:0.26]</v>
      </c>
      <c r="H15" s="64">
        <f t="shared" si="1"/>
        <v>9</v>
      </c>
      <c r="I15" s="64">
        <f t="shared" si="2"/>
        <v>26</v>
      </c>
      <c r="J15" s="64">
        <f t="shared" si="3"/>
        <v>35</v>
      </c>
      <c r="K15" s="64">
        <f t="shared" si="4"/>
        <v>43</v>
      </c>
      <c r="L15" s="64" t="str">
        <f>IFERROR(VLOOKUP(MID(G15,J15,K15-J15),[6]skilldef!$C:$D,2,FALSE),"-") &amp; " / " &amp; IFERROR(VLOOKUP(MID(G15,H15,I15-H15),[6]skilldef!$A:$B,2,FALSE),"-")</f>
        <v>味方全体に / 種族キラー</v>
      </c>
      <c r="M15" s="64" t="str">
        <f t="shared" si="5"/>
        <v>none</v>
      </c>
      <c r="N15" s="48" t="str">
        <f>IFERROR(LEFT(M15,FIND("],",M15)+#REF!),M15)</f>
        <v>none</v>
      </c>
      <c r="O15" s="64" t="e">
        <f t="shared" si="7"/>
        <v>#VALUE!</v>
      </c>
      <c r="P15" s="64">
        <f t="shared" si="8"/>
        <v>4</v>
      </c>
      <c r="Q15" s="64" t="e">
        <f t="shared" si="9"/>
        <v>#VALUE!</v>
      </c>
      <c r="R15" s="64" t="e">
        <f t="shared" si="10"/>
        <v>#VALUE!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4" t="e">
        <f t="shared" si="12"/>
        <v>#VALUE!</v>
      </c>
      <c r="V15" s="64">
        <f t="shared" si="13"/>
        <v>4</v>
      </c>
      <c r="W15" s="64" t="e">
        <f t="shared" si="14"/>
        <v>#VALUE!</v>
      </c>
      <c r="X15" s="64" t="e">
        <f t="shared" si="15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50011115</v>
      </c>
      <c r="B16" s="47" t="s">
        <v>256</v>
      </c>
      <c r="C16" s="50">
        <v>3</v>
      </c>
      <c r="D16" s="50" t="s">
        <v>126</v>
      </c>
      <c r="E16" s="51" t="s">
        <v>328</v>
      </c>
      <c r="F16" s="51" t="s">
        <v>341</v>
      </c>
      <c r="G16" s="64" t="str">
        <f t="shared" si="0"/>
        <v>[effect:heal, target:enemy_all, val:0.2, animation:enemy_heal]</v>
      </c>
      <c r="H16" s="64">
        <f t="shared" si="1"/>
        <v>9</v>
      </c>
      <c r="I16" s="64">
        <f t="shared" si="2"/>
        <v>13</v>
      </c>
      <c r="J16" s="64">
        <f t="shared" si="3"/>
        <v>22</v>
      </c>
      <c r="K16" s="64">
        <f t="shared" si="4"/>
        <v>31</v>
      </c>
      <c r="L16" s="64" t="str">
        <f>IFERROR(VLOOKUP(MID(G16,J16,K16-J16),[6]skilldef!$C:$D,2,FALSE),"-") &amp; " / " &amp; IFERROR(VLOOKUP(MID(G16,H16,I16-H16),[6]skilldef!$A:$B,2,FALSE),"-")</f>
        <v>敵全体に / 回復</v>
      </c>
      <c r="M16" s="64" t="str">
        <f t="shared" si="5"/>
        <v>none</v>
      </c>
      <c r="N16" s="48" t="str">
        <f>IFERROR(LEFT(M16,FIND("],",M16)+#REF!),M16)</f>
        <v>none</v>
      </c>
      <c r="O16" s="64" t="e">
        <f t="shared" si="7"/>
        <v>#VALUE!</v>
      </c>
      <c r="P16" s="64">
        <f t="shared" si="8"/>
        <v>4</v>
      </c>
      <c r="Q16" s="64" t="e">
        <f t="shared" si="9"/>
        <v>#VALUE!</v>
      </c>
      <c r="R16" s="64" t="e">
        <f t="shared" si="10"/>
        <v>#VALUE!</v>
      </c>
      <c r="S16" s="64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4" t="e">
        <f t="shared" si="12"/>
        <v>#VALUE!</v>
      </c>
      <c r="V16" s="64">
        <f t="shared" si="13"/>
        <v>4</v>
      </c>
      <c r="W16" s="64" t="e">
        <f t="shared" si="14"/>
        <v>#VALUE!</v>
      </c>
      <c r="X16" s="64" t="e">
        <f t="shared" si="15"/>
        <v>#VALUE!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50011116</v>
      </c>
      <c r="B17" s="47" t="s">
        <v>281</v>
      </c>
      <c r="C17" s="50">
        <v>3</v>
      </c>
      <c r="D17" s="50" t="s">
        <v>126</v>
      </c>
      <c r="E17" s="51" t="s">
        <v>329</v>
      </c>
      <c r="F17" s="51" t="s">
        <v>342</v>
      </c>
      <c r="G17" s="64" t="str">
        <f t="shared" si="0"/>
        <v>[effect:dis_heart, turn:2, animation:enemy_dis_heart]</v>
      </c>
      <c r="H17" s="64">
        <f t="shared" si="1"/>
        <v>9</v>
      </c>
      <c r="I17" s="64">
        <f t="shared" si="2"/>
        <v>18</v>
      </c>
      <c r="J17" s="64" t="e">
        <f t="shared" si="3"/>
        <v>#VALUE!</v>
      </c>
      <c r="K17" s="64">
        <f t="shared" si="4"/>
        <v>26</v>
      </c>
      <c r="L17" s="64" t="str">
        <f>IFERROR(VLOOKUP(MID(G17,J17,K17-J17),[6]skilldef!$C:$D,2,FALSE),"-") &amp; " / " &amp; IFERROR(VLOOKUP(MID(G17,H17,I17-H17),[6]skilldef!$A:$B,2,FALSE),"-")</f>
        <v>- / ディスハート</v>
      </c>
      <c r="M17" s="64" t="str">
        <f t="shared" si="5"/>
        <v>none</v>
      </c>
      <c r="N17" s="48" t="str">
        <f>IFERROR(LEFT(M17,FIND("],",M17)+#REF!),M17)</f>
        <v>none</v>
      </c>
      <c r="O17" s="64" t="e">
        <f t="shared" si="7"/>
        <v>#VALUE!</v>
      </c>
      <c r="P17" s="64">
        <f t="shared" si="8"/>
        <v>4</v>
      </c>
      <c r="Q17" s="64" t="e">
        <f t="shared" si="9"/>
        <v>#VALUE!</v>
      </c>
      <c r="R17" s="64" t="e">
        <f t="shared" si="10"/>
        <v>#VALUE!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4" t="e">
        <f t="shared" si="12"/>
        <v>#VALUE!</v>
      </c>
      <c r="V17" s="64">
        <f t="shared" si="13"/>
        <v>4</v>
      </c>
      <c r="W17" s="64" t="e">
        <f t="shared" si="14"/>
        <v>#VALUE!</v>
      </c>
      <c r="X17" s="64" t="e">
        <f t="shared" si="15"/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50011117</v>
      </c>
      <c r="B18" s="47" t="s">
        <v>384</v>
      </c>
      <c r="C18" s="50">
        <v>3</v>
      </c>
      <c r="D18" s="50" t="s">
        <v>126</v>
      </c>
      <c r="E18" s="51" t="s">
        <v>368</v>
      </c>
      <c r="F18" s="51" t="s">
        <v>411</v>
      </c>
      <c r="G18" s="64" t="str">
        <f t="shared" si="0"/>
        <v>[effect:enemy_message, val1:1.5, val2:1.8]</v>
      </c>
      <c r="H18" s="64">
        <f t="shared" si="1"/>
        <v>9</v>
      </c>
      <c r="I18" s="64">
        <f t="shared" si="2"/>
        <v>22</v>
      </c>
      <c r="J18" s="64" t="e">
        <f t="shared" si="3"/>
        <v>#VALUE!</v>
      </c>
      <c r="K18" s="64">
        <f t="shared" si="4"/>
        <v>32</v>
      </c>
      <c r="L18" s="64" t="str">
        <f>IFERROR(VLOOKUP(MID(G18,J18,K18-J18),[6]skilldef!$C:$D,2,FALSE),"-") &amp; " / " &amp; IFERROR(VLOOKUP(MID(G18,H18,I18-H18),[6]skilldef!$A:$B,2,FALSE),"-")</f>
        <v>- / -</v>
      </c>
      <c r="M18" s="64" t="str">
        <f t="shared" si="5"/>
        <v>[effect:break_attack_fix, target:unit_all, val:400, lowest_val:1800, count:-1, color:green, block_color:block_blue, block01:time_bomb, block02:block_blue]</v>
      </c>
      <c r="N18" s="48" t="str">
        <f t="shared" ref="N18:N23" si="17">IFERROR(LEFT(M18,FIND("],",M18)+S25),M18)</f>
        <v>[effect:break_attack_fix, target:unit_all, val:400, lowest_val:1800, count:-1, color:green, block_color:block_blue, block01:time_bomb, block02:block_blue]</v>
      </c>
      <c r="O18" s="64">
        <f t="shared" si="7"/>
        <v>9</v>
      </c>
      <c r="P18" s="64">
        <f t="shared" si="8"/>
        <v>25</v>
      </c>
      <c r="Q18" s="64">
        <f t="shared" si="9"/>
        <v>34</v>
      </c>
      <c r="R18" s="64">
        <f t="shared" si="10"/>
        <v>42</v>
      </c>
      <c r="S18" s="64" t="str">
        <f>IFERROR(VLOOKUP(MID(N18,Q18,R18-Q18),[6]skilldef!$C:$D,2,FALSE),"-") &amp; " / " &amp; IFERROR(VLOOKUP(MID(N18,O18,P18-O18),[6]skilldef!$A:$B,2,FALSE),"-")</f>
        <v>味方全体に / -</v>
      </c>
      <c r="T18" s="48" t="str">
        <f t="shared" si="11"/>
        <v>none</v>
      </c>
      <c r="U18" s="64" t="e">
        <f t="shared" si="12"/>
        <v>#VALUE!</v>
      </c>
      <c r="V18" s="64">
        <f t="shared" si="13"/>
        <v>4</v>
      </c>
      <c r="W18" s="64" t="e">
        <f t="shared" si="14"/>
        <v>#VALUE!</v>
      </c>
      <c r="X18" s="64" t="e">
        <f t="shared" si="15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s="129" customFormat="1" ht="21" customHeight="1" x14ac:dyDescent="0.15">
      <c r="A19" s="125">
        <v>50011118</v>
      </c>
      <c r="B19" s="125" t="s">
        <v>447</v>
      </c>
      <c r="C19" s="50">
        <v>3</v>
      </c>
      <c r="D19" s="126" t="s">
        <v>126</v>
      </c>
      <c r="E19" s="127" t="s">
        <v>304</v>
      </c>
      <c r="F19" s="127" t="s">
        <v>414</v>
      </c>
      <c r="G19" s="127" t="str">
        <f t="shared" si="0"/>
        <v>[effect:fix_speed, target:myself, turn:1]</v>
      </c>
      <c r="H19" s="127">
        <f t="shared" si="1"/>
        <v>9</v>
      </c>
      <c r="I19" s="127">
        <f t="shared" si="2"/>
        <v>18</v>
      </c>
      <c r="J19" s="127">
        <f t="shared" si="3"/>
        <v>27</v>
      </c>
      <c r="K19" s="127">
        <f t="shared" si="4"/>
        <v>33</v>
      </c>
      <c r="L19" s="127" t="str">
        <f>IFERROR(VLOOKUP(MID(G19,J19,K19-J19),[6]skilldef!$C:$D,2,FALSE),"-") &amp; " / " &amp; IFERROR(VLOOKUP(MID(G19,H19,I19-H19),[6]skilldef!$A:$B,2,FALSE),"-")</f>
        <v>自分自身に / 行動値設定</v>
      </c>
      <c r="M19" s="127" t="str">
        <f t="shared" si="5"/>
        <v>[effect:force_change_block, new_block:damage, target:block_all, ignore01:damage, ignore02:color_break, ignore03:crash, ignore04:block_heart, ignore05:magnet, color:block_heart, count:10, val:0.3, animation:change_block]</v>
      </c>
      <c r="N19" s="125" t="str">
        <f t="shared" si="17"/>
        <v>[effect:force_change_block, new_block:damage, target:block_all, ignore01:damage, ignore02:color_break, ignore03:crash, ignore04:block_heart, ignore05:magnet, color:block_heart, count:10, val:0.3, animation:change_block]</v>
      </c>
      <c r="O19" s="127">
        <f t="shared" si="7"/>
        <v>9</v>
      </c>
      <c r="P19" s="127">
        <f t="shared" si="8"/>
        <v>27</v>
      </c>
      <c r="Q19" s="127">
        <f t="shared" si="9"/>
        <v>54</v>
      </c>
      <c r="R19" s="127">
        <f t="shared" si="10"/>
        <v>45</v>
      </c>
      <c r="S19" s="127" t="str">
        <f>IFERROR(VLOOKUP(MID(N19,Q19,R19-Q19),[6]skilldef!$C:$D,2,FALSE),"-") &amp; " / " &amp; IFERROR(VLOOKUP(MID(N19,O19,P19-O19),[6]skilldef!$A:$B,2,FALSE),"-")</f>
        <v>- / -</v>
      </c>
      <c r="T19" s="125" t="str">
        <f t="shared" si="11"/>
        <v>none</v>
      </c>
      <c r="U19" s="127" t="e">
        <f t="shared" si="12"/>
        <v>#VALUE!</v>
      </c>
      <c r="V19" s="127">
        <f t="shared" si="13"/>
        <v>4</v>
      </c>
      <c r="W19" s="127" t="e">
        <f t="shared" si="14"/>
        <v>#VALUE!</v>
      </c>
      <c r="X19" s="127" t="e">
        <f t="shared" si="15"/>
        <v>#VALUE!</v>
      </c>
      <c r="Y19" s="127" t="str">
        <f>IFERROR(VLOOKUP(MID(T19,W19,X19-W19),[6]skilldef!$C:$D,2,FALSE),"-") &amp; " / " &amp; IFERROR(VLOOKUP(MID(T19,U19,V19-U19),[6]skilldef!$A:$B,2,FALSE),"-")</f>
        <v>- / -</v>
      </c>
      <c r="Z19" s="126"/>
      <c r="AA19" s="128"/>
      <c r="AB19" s="126"/>
    </row>
    <row r="20" spans="1:28" ht="21" customHeight="1" x14ac:dyDescent="0.15">
      <c r="A20" s="47">
        <v>50011119</v>
      </c>
      <c r="B20" s="47" t="s">
        <v>283</v>
      </c>
      <c r="C20" s="50">
        <v>3</v>
      </c>
      <c r="D20" s="50" t="s">
        <v>126</v>
      </c>
      <c r="E20" s="51" t="s">
        <v>333</v>
      </c>
      <c r="F20" s="51" t="s">
        <v>427</v>
      </c>
      <c r="G20" s="64" t="str">
        <f t="shared" si="0"/>
        <v>[effect:degrade_unit, target:unit_all, turn:5, status:heal, val:0.5, calc:mul, animation:degrade_unit_all_heal]</v>
      </c>
      <c r="H20" s="64">
        <f t="shared" si="1"/>
        <v>9</v>
      </c>
      <c r="I20" s="64">
        <f t="shared" si="2"/>
        <v>21</v>
      </c>
      <c r="J20" s="64">
        <f t="shared" si="3"/>
        <v>30</v>
      </c>
      <c r="K20" s="64">
        <f t="shared" si="4"/>
        <v>38</v>
      </c>
      <c r="L20" s="64" t="str">
        <f>IFERROR(VLOOKUP(MID(G20,J20,K20-J20),[6]skilldef!$C:$D,2,FALSE),"-") &amp; " / " &amp; IFERROR(VLOOKUP(MID(G20,H20,I20-H20),[6]skilldef!$A:$B,2,FALSE),"-")</f>
        <v>味方全体に / ステータスDOWN</v>
      </c>
      <c r="M20" s="64" t="str">
        <f t="shared" si="5"/>
        <v>[effect:rush, val:1.5, count:1]</v>
      </c>
      <c r="N20" s="48" t="str">
        <f t="shared" si="17"/>
        <v>[effect:rush, val:1.5, count:1]</v>
      </c>
      <c r="O20" s="64">
        <f t="shared" si="7"/>
        <v>9</v>
      </c>
      <c r="P20" s="64">
        <f t="shared" si="8"/>
        <v>13</v>
      </c>
      <c r="Q20" s="64" t="e">
        <f t="shared" si="9"/>
        <v>#VALUE!</v>
      </c>
      <c r="R20" s="64">
        <f t="shared" si="10"/>
        <v>22</v>
      </c>
      <c r="S20" s="64" t="str">
        <f>IFERROR(VLOOKUP(MID(N20,Q20,R20-Q20),[6]skilldef!$C:$D,2,FALSE),"-") &amp; " / " &amp; IFERROR(VLOOKUP(MID(N20,O20,P20-O20),[6]skilldef!$A:$B,2,FALSE),"-")</f>
        <v>- / 連続攻撃</v>
      </c>
      <c r="T20" s="48" t="str">
        <f t="shared" si="11"/>
        <v>none</v>
      </c>
      <c r="U20" s="64" t="e">
        <f t="shared" si="12"/>
        <v>#VALUE!</v>
      </c>
      <c r="V20" s="64">
        <f t="shared" si="13"/>
        <v>4</v>
      </c>
      <c r="W20" s="64" t="e">
        <f t="shared" si="14"/>
        <v>#VALUE!</v>
      </c>
      <c r="X20" s="64" t="e">
        <f t="shared" si="15"/>
        <v>#VALUE!</v>
      </c>
      <c r="Y20" s="64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50011120</v>
      </c>
      <c r="B21" s="47" t="s">
        <v>423</v>
      </c>
      <c r="C21" s="50">
        <v>3</v>
      </c>
      <c r="D21" s="50" t="s">
        <v>126</v>
      </c>
      <c r="E21" s="51" t="s">
        <v>334</v>
      </c>
      <c r="F21" s="51" t="s">
        <v>424</v>
      </c>
      <c r="G21" s="64" t="str">
        <f t="shared" si="0"/>
        <v>[effect:enemy_message, val1:1, val2:2.8]</v>
      </c>
      <c r="H21" s="64">
        <f t="shared" si="1"/>
        <v>9</v>
      </c>
      <c r="I21" s="64">
        <f t="shared" si="2"/>
        <v>22</v>
      </c>
      <c r="J21" s="64" t="e">
        <f t="shared" si="3"/>
        <v>#VALUE!</v>
      </c>
      <c r="K21" s="64">
        <f t="shared" si="4"/>
        <v>30</v>
      </c>
      <c r="L21" s="64" t="str">
        <f>IFERROR(VLOOKUP(MID(G21,J21,K21-J21),[6]skilldef!$C:$D,2,FALSE),"-") &amp; " / " &amp; IFERROR(VLOOKUP(MID(G21,H21,I21-H21),[6]skilldef!$A:$B,2,FALSE),"-")</f>
        <v>- / -</v>
      </c>
      <c r="M21" s="64" t="str">
        <f t="shared" si="5"/>
        <v>[effect:enhance_enemy, target:enemy_green, turn:1, status:attack, val:0.3, calc:mul, animation:enemy_enhance_attack],[effect:force_change_block, new_block:time_bomb, target:block_blue, ignore01:damage, ignore02:crash, ignore03:crack_bomb, ignore04:color_break, color:block_blue, count:4, val:0.2, animation:change_block]</v>
      </c>
      <c r="N21" s="48" t="str">
        <f t="shared" si="17"/>
        <v>[effect:enhance_enemy, target:enemy_green, turn:1, status:attack, val:0.3, calc:mul, animation:enemy_enhance_attack],[effect:force_change_block, new_block:time_bomb, target:block_blue, ignore01:damage, ignore02:crash, ignore03:crack_bomb, ignore04:color_break, color:block_blue, count:4, val:0.2, animation:change_block]</v>
      </c>
      <c r="O21" s="64">
        <f t="shared" si="7"/>
        <v>9</v>
      </c>
      <c r="P21" s="64">
        <f t="shared" si="8"/>
        <v>22</v>
      </c>
      <c r="Q21" s="64">
        <f t="shared" si="9"/>
        <v>31</v>
      </c>
      <c r="R21" s="64">
        <f t="shared" si="10"/>
        <v>42</v>
      </c>
      <c r="S21" s="64" t="str">
        <f>IFERROR(VLOOKUP(MID(N21,Q21,R21-Q21),[6]skilldef!$C:$D,2,FALSE),"-") &amp; " / " &amp; IFERROR(VLOOKUP(MID(N21,O21,P21-O21),[6]skilldef!$A:$B,2,FALSE),"-")</f>
        <v>緑の敵に / ステータス強化</v>
      </c>
      <c r="T21" s="48" t="str">
        <f t="shared" si="11"/>
        <v>[effect:force_change_block, new_block:time_bomb, target:block_blue, ignore01:damage, ignore02:crash, ignore03:crack_bomb, ignore04:color_break, color:block_blue, count:4, val:0.2, animation:change_block]</v>
      </c>
      <c r="U21" s="64">
        <f t="shared" si="12"/>
        <v>9</v>
      </c>
      <c r="V21" s="64">
        <f t="shared" si="13"/>
        <v>27</v>
      </c>
      <c r="W21" s="64">
        <f t="shared" si="14"/>
        <v>57</v>
      </c>
      <c r="X21" s="64">
        <f t="shared" si="15"/>
        <v>48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50011121</v>
      </c>
      <c r="B22" s="47" t="s">
        <v>280</v>
      </c>
      <c r="C22" s="50">
        <v>3</v>
      </c>
      <c r="D22" s="50" t="s">
        <v>126</v>
      </c>
      <c r="E22" s="51" t="s">
        <v>332</v>
      </c>
      <c r="F22" s="51" t="s">
        <v>343</v>
      </c>
      <c r="G22" s="64" t="str">
        <f t="shared" si="0"/>
        <v>[effect:dis_panel, target:block_blue, turn:2, animation:enemy_dis_blue]</v>
      </c>
      <c r="H22" s="64">
        <f t="shared" si="1"/>
        <v>9</v>
      </c>
      <c r="I22" s="64">
        <f t="shared" si="2"/>
        <v>18</v>
      </c>
      <c r="J22" s="64">
        <f t="shared" si="3"/>
        <v>27</v>
      </c>
      <c r="K22" s="64">
        <f t="shared" si="4"/>
        <v>37</v>
      </c>
      <c r="L22" s="64" t="str">
        <f>IFERROR(VLOOKUP(MID(G22,J22,K22-J22),[6]skilldef!$C:$D,2,FALSE),"-") &amp; " / " &amp; IFERROR(VLOOKUP(MID(G22,H22,I22-H22),[6]skilldef!$A:$B,2,FALSE),"-")</f>
        <v>青パネルを / ディスパネル</v>
      </c>
      <c r="M22" s="64" t="str">
        <f t="shared" si="5"/>
        <v>none</v>
      </c>
      <c r="N22" s="48" t="str">
        <f t="shared" si="17"/>
        <v>none</v>
      </c>
      <c r="O22" s="64" t="e">
        <f t="shared" si="7"/>
        <v>#VALUE!</v>
      </c>
      <c r="P22" s="64">
        <f t="shared" si="8"/>
        <v>4</v>
      </c>
      <c r="Q22" s="64" t="e">
        <f t="shared" si="9"/>
        <v>#VALUE!</v>
      </c>
      <c r="R22" s="64" t="e">
        <f t="shared" si="10"/>
        <v>#VALUE!</v>
      </c>
      <c r="S22" s="64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4" t="e">
        <f t="shared" si="12"/>
        <v>#VALUE!</v>
      </c>
      <c r="V22" s="64">
        <f t="shared" si="13"/>
        <v>4</v>
      </c>
      <c r="W22" s="64" t="e">
        <f t="shared" si="14"/>
        <v>#VALUE!</v>
      </c>
      <c r="X22" s="64" t="e">
        <f t="shared" si="15"/>
        <v>#VALUE!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50011122</v>
      </c>
      <c r="B23" s="47" t="s">
        <v>288</v>
      </c>
      <c r="C23" s="50">
        <v>3</v>
      </c>
      <c r="D23" s="50" t="s">
        <v>126</v>
      </c>
      <c r="E23" s="51" t="s">
        <v>335</v>
      </c>
      <c r="F23" s="51" t="s">
        <v>442</v>
      </c>
      <c r="G23" s="64" t="str">
        <f t="shared" si="0"/>
        <v xml:space="preserve">[effect:force_change_block, new_block:time_bomb, target:block_blue, ignore01:damage, ignore02:crash, ignore03:crack_bomb, ignore04:color_break, color:block_blue, count:0, val:0.2, animation:change_block]    </v>
      </c>
      <c r="H23" s="64">
        <f t="shared" si="1"/>
        <v>9</v>
      </c>
      <c r="I23" s="64">
        <f t="shared" si="2"/>
        <v>27</v>
      </c>
      <c r="J23" s="64">
        <f t="shared" si="3"/>
        <v>57</v>
      </c>
      <c r="K23" s="64">
        <f t="shared" si="4"/>
        <v>48</v>
      </c>
      <c r="L23" s="64" t="str">
        <f>IFERROR(VLOOKUP(MID(G23,J23,K23-J23),[6]skilldef!$C:$D,2,FALSE),"-") &amp; " / " &amp; IFERROR(VLOOKUP(MID(G23,H23,I23-H23),[6]skilldef!$A:$B,2,FALSE),"-")</f>
        <v>- / -</v>
      </c>
      <c r="M23" s="64" t="str">
        <f t="shared" si="5"/>
        <v>none</v>
      </c>
      <c r="N23" s="48" t="str">
        <f t="shared" si="17"/>
        <v>none</v>
      </c>
      <c r="O23" s="64" t="e">
        <f t="shared" si="7"/>
        <v>#VALUE!</v>
      </c>
      <c r="P23" s="64">
        <f t="shared" si="8"/>
        <v>4</v>
      </c>
      <c r="Q23" s="64" t="e">
        <f t="shared" si="9"/>
        <v>#VALUE!</v>
      </c>
      <c r="R23" s="64" t="e">
        <f t="shared" si="10"/>
        <v>#VALUE!</v>
      </c>
      <c r="S23" s="64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4" t="e">
        <f t="shared" si="12"/>
        <v>#VALUE!</v>
      </c>
      <c r="V23" s="64">
        <f t="shared" si="13"/>
        <v>4</v>
      </c>
      <c r="W23" s="64" t="e">
        <f t="shared" si="14"/>
        <v>#VALUE!</v>
      </c>
      <c r="X23" s="64" t="e">
        <f t="shared" si="15"/>
        <v>#VALUE!</v>
      </c>
      <c r="Y23" s="64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50011123</v>
      </c>
      <c r="B24" s="47" t="s">
        <v>389</v>
      </c>
      <c r="C24" s="50">
        <v>3</v>
      </c>
      <c r="D24" s="50" t="s">
        <v>126</v>
      </c>
      <c r="E24" s="51" t="s">
        <v>296</v>
      </c>
      <c r="F24" s="51" t="s">
        <v>346</v>
      </c>
      <c r="G24" s="64" t="str">
        <f t="shared" si="0"/>
        <v>[effect:enemy_message, val1:1, val2:2.3]</v>
      </c>
      <c r="H24" s="64">
        <f t="shared" si="1"/>
        <v>9</v>
      </c>
      <c r="I24" s="64">
        <f t="shared" si="2"/>
        <v>22</v>
      </c>
      <c r="J24" s="64" t="e">
        <f t="shared" si="3"/>
        <v>#VALUE!</v>
      </c>
      <c r="K24" s="64">
        <f t="shared" si="4"/>
        <v>30</v>
      </c>
      <c r="L24" s="64" t="str">
        <f>IFERROR(VLOOKUP(MID(G24,J24,K24-J24),[6]skilldef!$C:$D,2,FALSE),"-") &amp; " / " &amp; IFERROR(VLOOKUP(MID(G24,H24,I24-H24),[6]skilldef!$A:$B,2,FALSE),"-")</f>
        <v>- / -</v>
      </c>
      <c r="M24" s="64" t="str">
        <f t="shared" si="5"/>
        <v>[effect:hungup, target:unit_all, turn:10, rate:1, animation:hungup01],[effect:sleep, target:unit_one, turn:10, rate:1, animation:sleep01]</v>
      </c>
      <c r="N24" s="48" t="str">
        <f>IFERROR(LEFT(M24,FIND("],",M24)+S32),M24)</f>
        <v>[effect:hungup, target:unit_all, turn:10, rate:1, animation:hungup01],[effect:sleep, target:unit_one, turn:10, rate:1, animation:sleep01]</v>
      </c>
      <c r="O24" s="64">
        <f t="shared" si="7"/>
        <v>9</v>
      </c>
      <c r="P24" s="64">
        <f t="shared" si="8"/>
        <v>15</v>
      </c>
      <c r="Q24" s="64">
        <f t="shared" si="9"/>
        <v>24</v>
      </c>
      <c r="R24" s="64">
        <f t="shared" si="10"/>
        <v>32</v>
      </c>
      <c r="S24" s="64" t="str">
        <f>IFERROR(VLOOKUP(MID(N24,Q24,R24-Q24),[6]skilldef!$C:$D,2,FALSE),"-") &amp; " / " &amp; IFERROR(VLOOKUP(MID(N24,O24,P24-O24),[6]skilldef!$A:$B,2,FALSE),"-")</f>
        <v>味方全体に / ハングアップ</v>
      </c>
      <c r="T24" s="48" t="str">
        <f t="shared" si="11"/>
        <v>[effect:sleep, target:unit_one, turn:10, rate:1, animation:sleep01]</v>
      </c>
      <c r="U24" s="64">
        <f t="shared" si="12"/>
        <v>9</v>
      </c>
      <c r="V24" s="64">
        <f t="shared" si="13"/>
        <v>14</v>
      </c>
      <c r="W24" s="64">
        <f t="shared" si="14"/>
        <v>23</v>
      </c>
      <c r="X24" s="64">
        <f t="shared" si="15"/>
        <v>31</v>
      </c>
      <c r="Y24" s="64" t="str">
        <f>IFERROR(VLOOKUP(MID(T24,W24,X24-W24),[6]skilldef!$C:$D,2,FALSE),"-") &amp; " / " &amp; IFERROR(VLOOKUP(MID(T24,U24,V24-U24),[6]skilldef!$A:$B,2,FALSE),"-")</f>
        <v>味方単体に / スリープ</v>
      </c>
      <c r="Z24" s="50"/>
      <c r="AA24" s="52"/>
      <c r="AB24" s="50"/>
    </row>
    <row r="25" spans="1:28" ht="21" customHeight="1" x14ac:dyDescent="0.15">
      <c r="A25" s="47">
        <v>50011127</v>
      </c>
      <c r="B25" s="47" t="s">
        <v>448</v>
      </c>
      <c r="C25" s="50">
        <v>3</v>
      </c>
      <c r="D25" s="50" t="s">
        <v>126</v>
      </c>
      <c r="E25" s="51" t="s">
        <v>294</v>
      </c>
      <c r="F25" s="51" t="s">
        <v>440</v>
      </c>
      <c r="G25" s="64" t="str">
        <f t="shared" si="0"/>
        <v>[effect:force_change_block, new_block:damage, target:block_all, ignore01:crash, ignore02:crack_bomb, ignore03:color_break, ignore04:damage, ignore05:magnet, count:8, val:0.1, animation:change_block]</v>
      </c>
      <c r="H25" s="64">
        <f t="shared" si="1"/>
        <v>9</v>
      </c>
      <c r="I25" s="64">
        <f t="shared" si="2"/>
        <v>27</v>
      </c>
      <c r="J25" s="64">
        <f t="shared" si="3"/>
        <v>54</v>
      </c>
      <c r="K25" s="64">
        <f t="shared" si="4"/>
        <v>45</v>
      </c>
      <c r="L25" s="64" t="str">
        <f>IFERROR(VLOOKUP(MID(G25,J25,K25-J25),[6]skilldef!$C:$D,2,FALSE),"-") &amp; " / " &amp; IFERROR(VLOOKUP(MID(G25,H25,I25-H25),[6]skilldef!$A:$B,2,FALSE),"-")</f>
        <v>- / -</v>
      </c>
      <c r="M25" s="64" t="str">
        <f t="shared" si="5"/>
        <v>[effect:spread, val:0.31]</v>
      </c>
      <c r="N25" s="48" t="str">
        <f t="shared" ref="N25:N27" si="18">IFERROR(LEFT(M25,FIND("],",M25)+S36),M25)</f>
        <v>[effect:spread, val:0.31]</v>
      </c>
      <c r="O25" s="64">
        <f t="shared" si="7"/>
        <v>9</v>
      </c>
      <c r="P25" s="64">
        <f t="shared" si="8"/>
        <v>15</v>
      </c>
      <c r="Q25" s="64" t="e">
        <f t="shared" si="9"/>
        <v>#VALUE!</v>
      </c>
      <c r="R25" s="64" t="e">
        <f t="shared" si="10"/>
        <v>#VALUE!</v>
      </c>
      <c r="S25" s="64" t="str">
        <f>IFERROR(VLOOKUP(MID(N25,Q25,R25-Q25),[6]skilldef!$C:$D,2,FALSE),"-") &amp; " / " &amp; IFERROR(VLOOKUP(MID(N25,O25,P25-O25),[6]skilldef!$A:$B,2,FALSE),"-")</f>
        <v>- / 全体攻撃</v>
      </c>
      <c r="T25" s="48" t="str">
        <f t="shared" si="11"/>
        <v>none</v>
      </c>
      <c r="U25" s="64" t="e">
        <f t="shared" si="12"/>
        <v>#VALUE!</v>
      </c>
      <c r="V25" s="64">
        <f t="shared" si="13"/>
        <v>4</v>
      </c>
      <c r="W25" s="64" t="e">
        <f t="shared" si="14"/>
        <v>#VALUE!</v>
      </c>
      <c r="X25" s="64" t="e">
        <f t="shared" si="15"/>
        <v>#VALUE!</v>
      </c>
      <c r="Y25" s="64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50011128</v>
      </c>
      <c r="B26" s="47" t="s">
        <v>399</v>
      </c>
      <c r="C26" s="50">
        <v>3</v>
      </c>
      <c r="D26" s="50" t="s">
        <v>126</v>
      </c>
      <c r="E26" s="51" t="s">
        <v>295</v>
      </c>
      <c r="F26" s="51" t="s">
        <v>410</v>
      </c>
      <c r="G26" s="64" t="str">
        <f t="shared" si="0"/>
        <v xml:space="preserve">[effect:drop_block, block_type:crack_bomb, color:block_all, val:15, rate:0.07, turn:10, animation:bomb_influence04]    </v>
      </c>
      <c r="H26" s="64">
        <f t="shared" si="1"/>
        <v>9</v>
      </c>
      <c r="I26" s="64">
        <f t="shared" si="2"/>
        <v>19</v>
      </c>
      <c r="J26" s="64" t="e">
        <f t="shared" si="3"/>
        <v>#VALUE!</v>
      </c>
      <c r="K26" s="64">
        <f t="shared" si="4"/>
        <v>42</v>
      </c>
      <c r="L26" s="64" t="str">
        <f>IFERROR(VLOOKUP(MID(G26,J26,K26-J26),[6]skilldef!$C:$D,2,FALSE),"-") &amp; " / " &amp; IFERROR(VLOOKUP(MID(G26,H26,I26-H26),[6]skilldef!$A:$B,2,FALSE),"-")</f>
        <v>- / 特定ブロックの割合ドロップ</v>
      </c>
      <c r="M26" s="64" t="str">
        <f t="shared" si="5"/>
        <v>none</v>
      </c>
      <c r="N26" s="48" t="str">
        <f t="shared" si="18"/>
        <v>none</v>
      </c>
      <c r="O26" s="64" t="e">
        <f t="shared" si="7"/>
        <v>#VALUE!</v>
      </c>
      <c r="P26" s="64">
        <f t="shared" si="8"/>
        <v>4</v>
      </c>
      <c r="Q26" s="64" t="e">
        <f t="shared" si="9"/>
        <v>#VALUE!</v>
      </c>
      <c r="R26" s="64" t="e">
        <f t="shared" si="10"/>
        <v>#VALUE!</v>
      </c>
      <c r="S26" s="64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4" t="e">
        <f t="shared" si="12"/>
        <v>#VALUE!</v>
      </c>
      <c r="V26" s="64">
        <f t="shared" si="13"/>
        <v>4</v>
      </c>
      <c r="W26" s="64" t="e">
        <f t="shared" si="14"/>
        <v>#VALUE!</v>
      </c>
      <c r="X26" s="64" t="e">
        <f t="shared" si="15"/>
        <v>#VALUE!</v>
      </c>
      <c r="Y26" s="64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50011129</v>
      </c>
      <c r="B27" s="47" t="s">
        <v>385</v>
      </c>
      <c r="C27" s="50">
        <v>3</v>
      </c>
      <c r="D27" s="50" t="s">
        <v>126</v>
      </c>
      <c r="E27" s="51" t="s">
        <v>302</v>
      </c>
      <c r="F27" s="51" t="s">
        <v>344</v>
      </c>
      <c r="G27" s="64" t="str">
        <f t="shared" si="0"/>
        <v>[effect:enemy_message, val1:1.5, val2:1.8]</v>
      </c>
      <c r="H27" s="64">
        <f t="shared" si="1"/>
        <v>9</v>
      </c>
      <c r="I27" s="64">
        <f t="shared" si="2"/>
        <v>22</v>
      </c>
      <c r="J27" s="64" t="e">
        <f t="shared" si="3"/>
        <v>#VALUE!</v>
      </c>
      <c r="K27" s="64">
        <f t="shared" si="4"/>
        <v>32</v>
      </c>
      <c r="L27" s="64" t="str">
        <f>IFERROR(VLOOKUP(MID(G27,J27,K27-J27),[6]skilldef!$C:$D,2,FALSE),"-") &amp; " / " &amp; IFERROR(VLOOKUP(MID(G27,H27,I27-H27),[6]skilldef!$A:$B,2,FALSE),"-")</f>
        <v>- / -</v>
      </c>
      <c r="M27" s="64" t="str">
        <f t="shared" si="5"/>
        <v>[effect:tolerance, target:myself, turn:-1, tolerance_effect:all, count:-1, animation:enemy_tolerance]</v>
      </c>
      <c r="N27" s="48" t="str">
        <f t="shared" si="18"/>
        <v>[effect:tolerance, target:myself, turn:-1, tolerance_effect:all, count:-1, animation:enemy_tolerance]</v>
      </c>
      <c r="O27" s="64">
        <f t="shared" si="7"/>
        <v>9</v>
      </c>
      <c r="P27" s="64">
        <f t="shared" si="8"/>
        <v>18</v>
      </c>
      <c r="Q27" s="64">
        <f t="shared" si="9"/>
        <v>27</v>
      </c>
      <c r="R27" s="64">
        <f t="shared" si="10"/>
        <v>33</v>
      </c>
      <c r="S27" s="64" t="str">
        <f>IFERROR(VLOOKUP(MID(N27,Q27,R27-Q27),[6]skilldef!$C:$D,2,FALSE),"-") &amp; " / " &amp; IFERROR(VLOOKUP(MID(N27,O27,P27-O27),[6]skilldef!$A:$B,2,FALSE),"-")</f>
        <v>自分自身に / 状態異常耐性</v>
      </c>
      <c r="T27" s="48" t="str">
        <f t="shared" si="11"/>
        <v>none</v>
      </c>
      <c r="U27" s="64" t="e">
        <f t="shared" si="12"/>
        <v>#VALUE!</v>
      </c>
      <c r="V27" s="64">
        <f t="shared" si="13"/>
        <v>4</v>
      </c>
      <c r="W27" s="64" t="e">
        <f t="shared" si="14"/>
        <v>#VALUE!</v>
      </c>
      <c r="X27" s="64" t="e">
        <f t="shared" si="15"/>
        <v>#VALUE!</v>
      </c>
      <c r="Y27" s="64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50011130</v>
      </c>
      <c r="B28" s="47" t="s">
        <v>282</v>
      </c>
      <c r="C28" s="50">
        <v>3</v>
      </c>
      <c r="D28" s="50" t="s">
        <v>126</v>
      </c>
      <c r="E28" s="51" t="s">
        <v>300</v>
      </c>
      <c r="F28" s="51" t="s">
        <v>428</v>
      </c>
      <c r="G28" s="64" t="str">
        <f t="shared" si="0"/>
        <v>[effect:degrade_fever, val:250, animation:fevergauge_down]</v>
      </c>
      <c r="H28" s="64">
        <f t="shared" si="1"/>
        <v>9</v>
      </c>
      <c r="I28" s="64">
        <f t="shared" si="2"/>
        <v>22</v>
      </c>
      <c r="J28" s="64" t="e">
        <f t="shared" si="3"/>
        <v>#VALUE!</v>
      </c>
      <c r="K28" s="64">
        <f t="shared" si="4"/>
        <v>31</v>
      </c>
      <c r="L28" s="64" t="str">
        <f>IFERROR(VLOOKUP(MID(G28,J28,K28-J28),[6]skilldef!$C:$D,2,FALSE),"-") &amp; " / " &amp; IFERROR(VLOOKUP(MID(G28,H28,I28-H28),[6]skilldef!$A:$B,2,FALSE),"-")</f>
        <v>- / フィーバーゲージ減少</v>
      </c>
      <c r="M28" s="64" t="str">
        <f t="shared" si="5"/>
        <v>[effect:rush, val:1, count:1]</v>
      </c>
      <c r="N28" s="48" t="str">
        <f>IFERROR(LEFT(M28,FIND("],",M28)+#REF!),M28)</f>
        <v>[effect:rush, val:1, count:1]</v>
      </c>
      <c r="O28" s="64">
        <f t="shared" si="7"/>
        <v>9</v>
      </c>
      <c r="P28" s="64">
        <f t="shared" si="8"/>
        <v>13</v>
      </c>
      <c r="Q28" s="64" t="e">
        <f t="shared" si="9"/>
        <v>#VALUE!</v>
      </c>
      <c r="R28" s="64">
        <f t="shared" si="10"/>
        <v>20</v>
      </c>
      <c r="S28" s="64" t="str">
        <f>IFERROR(VLOOKUP(MID(N28,Q28,R28-Q28),[6]skilldef!$C:$D,2,FALSE),"-") &amp; " / " &amp; IFERROR(VLOOKUP(MID(N28,O28,P28-O28),[6]skilldef!$A:$B,2,FALSE),"-")</f>
        <v>- / 連続攻撃</v>
      </c>
      <c r="T28" s="48" t="str">
        <f t="shared" si="11"/>
        <v>none</v>
      </c>
      <c r="U28" s="64" t="e">
        <f t="shared" si="12"/>
        <v>#VALUE!</v>
      </c>
      <c r="V28" s="64">
        <f t="shared" si="13"/>
        <v>4</v>
      </c>
      <c r="W28" s="64" t="e">
        <f t="shared" si="14"/>
        <v>#VALUE!</v>
      </c>
      <c r="X28" s="64" t="e">
        <f t="shared" si="15"/>
        <v>#VALUE!</v>
      </c>
      <c r="Y28" s="64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50011131</v>
      </c>
      <c r="B29" s="47" t="s">
        <v>449</v>
      </c>
      <c r="C29" s="50">
        <v>3</v>
      </c>
      <c r="D29" s="50" t="s">
        <v>126</v>
      </c>
      <c r="E29" s="51" t="s">
        <v>301</v>
      </c>
      <c r="F29" s="51" t="s">
        <v>441</v>
      </c>
      <c r="G29" s="64" t="str">
        <f t="shared" si="0"/>
        <v>[effect:force_change_block, new_block:damage, target:block_all, ignore01:crash, ignore02:crack_bomb, ignore03:color_break, ignore04:damage, ignore05:magnet, count:5, val:0.1, animation:change_block]</v>
      </c>
      <c r="H29" s="64">
        <f t="shared" si="1"/>
        <v>9</v>
      </c>
      <c r="I29" s="64">
        <f t="shared" si="2"/>
        <v>27</v>
      </c>
      <c r="J29" s="64">
        <f t="shared" si="3"/>
        <v>54</v>
      </c>
      <c r="K29" s="64">
        <f t="shared" si="4"/>
        <v>45</v>
      </c>
      <c r="L29" s="64" t="str">
        <f>IFERROR(VLOOKUP(MID(G29,J29,K29-J29),[6]skilldef!$C:$D,2,FALSE),"-") &amp; " / " &amp; IFERROR(VLOOKUP(MID(G29,H29,I29-H29),[6]skilldef!$A:$B,2,FALSE),"-")</f>
        <v>- / -</v>
      </c>
      <c r="M29" s="64" t="str">
        <f t="shared" si="5"/>
        <v>[effect:spread, val:0.41]</v>
      </c>
      <c r="N29" s="48" t="str">
        <f>IFERROR(LEFT(M29,FIND("],",M29)+S39),M29)</f>
        <v>[effect:spread, val:0.41]</v>
      </c>
      <c r="O29" s="64">
        <f t="shared" si="7"/>
        <v>9</v>
      </c>
      <c r="P29" s="64">
        <f t="shared" si="8"/>
        <v>15</v>
      </c>
      <c r="Q29" s="64" t="e">
        <f t="shared" si="9"/>
        <v>#VALUE!</v>
      </c>
      <c r="R29" s="64" t="e">
        <f t="shared" si="10"/>
        <v>#VALUE!</v>
      </c>
      <c r="S29" s="64" t="str">
        <f>IFERROR(VLOOKUP(MID(N29,Q29,R29-Q29),[6]skilldef!$C:$D,2,FALSE),"-") &amp; " / " &amp; IFERROR(VLOOKUP(MID(N29,O29,P29-O29),[6]skilldef!$A:$B,2,FALSE),"-")</f>
        <v>- / 全体攻撃</v>
      </c>
      <c r="T29" s="48" t="str">
        <f t="shared" si="11"/>
        <v>none</v>
      </c>
      <c r="U29" s="64" t="e">
        <f t="shared" si="12"/>
        <v>#VALUE!</v>
      </c>
      <c r="V29" s="64">
        <f t="shared" si="13"/>
        <v>4</v>
      </c>
      <c r="W29" s="64" t="e">
        <f t="shared" si="14"/>
        <v>#VALUE!</v>
      </c>
      <c r="X29" s="64" t="e">
        <f t="shared" si="15"/>
        <v>#VALUE!</v>
      </c>
      <c r="Y29" s="64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50011132</v>
      </c>
      <c r="B30" s="47" t="s">
        <v>386</v>
      </c>
      <c r="C30" s="50">
        <v>3</v>
      </c>
      <c r="D30" s="50" t="s">
        <v>126</v>
      </c>
      <c r="E30" s="51" t="s">
        <v>293</v>
      </c>
      <c r="F30" s="51" t="s">
        <v>358</v>
      </c>
      <c r="G30" s="64" t="str">
        <f t="shared" si="0"/>
        <v>[effect:enemy_message, val1:1.5, val2:1.8]</v>
      </c>
      <c r="H30" s="64">
        <f t="shared" si="1"/>
        <v>9</v>
      </c>
      <c r="I30" s="64">
        <f t="shared" si="2"/>
        <v>22</v>
      </c>
      <c r="J30" s="64" t="e">
        <f t="shared" si="3"/>
        <v>#VALUE!</v>
      </c>
      <c r="K30" s="64">
        <f t="shared" si="4"/>
        <v>32</v>
      </c>
      <c r="L30" s="64" t="str">
        <f>IFERROR(VLOOKUP(MID(G30,J30,K30-J30),[6]skilldef!$C:$D,2,FALSE),"-") &amp; " / " &amp; IFERROR(VLOOKUP(MID(G30,H30,I30-H30),[6]skilldef!$A:$B,2,FALSE),"-")</f>
        <v>- / -</v>
      </c>
      <c r="M30" s="64" t="str">
        <f t="shared" si="5"/>
        <v>[effect:dark, target:unit_all, turn:2, animation:enemy_dark],[effect:crash_condition, target:unit_all, turn:8, val:6, animation:enemy_crash_extend]</v>
      </c>
      <c r="N30" s="48" t="str">
        <f>IFERROR(LEFT(M30,FIND("],",M30)+S40),M30)</f>
        <v>[effect:dark, target:unit_all, turn:2, animation:enemy_dark],[effect:crash_condition, target:unit_all, turn:8, val:6, animation:enemy_crash_extend]</v>
      </c>
      <c r="O30" s="64">
        <f t="shared" si="7"/>
        <v>9</v>
      </c>
      <c r="P30" s="64">
        <f t="shared" si="8"/>
        <v>13</v>
      </c>
      <c r="Q30" s="64">
        <f t="shared" si="9"/>
        <v>22</v>
      </c>
      <c r="R30" s="64">
        <f t="shared" si="10"/>
        <v>30</v>
      </c>
      <c r="S30" s="64" t="str">
        <f>IFERROR(VLOOKUP(MID(N30,Q30,R30-Q30),[6]skilldef!$C:$D,2,FALSE),"-") &amp; " / " &amp; IFERROR(VLOOKUP(MID(N30,O30,P30-O30),[6]skilldef!$A:$B,2,FALSE),"-")</f>
        <v>味方全体に / 暗黒</v>
      </c>
      <c r="T30" s="48" t="str">
        <f t="shared" si="11"/>
        <v>[effect:crash_condition, target:unit_all, turn:8, val:6, animation:enemy_crash_extend]</v>
      </c>
      <c r="U30" s="64">
        <f t="shared" si="12"/>
        <v>9</v>
      </c>
      <c r="V30" s="64">
        <f t="shared" si="13"/>
        <v>24</v>
      </c>
      <c r="W30" s="64">
        <f t="shared" si="14"/>
        <v>33</v>
      </c>
      <c r="X30" s="64">
        <f t="shared" si="15"/>
        <v>41</v>
      </c>
      <c r="Y30" s="64" t="str">
        <f>IFERROR(VLOOKUP(MID(T30,W30,X30-W30),[6]skilldef!$C:$D,2,FALSE),"-") &amp; " / " &amp; IFERROR(VLOOKUP(MID(T30,U30,V30-U30),[6]skilldef!$A:$B,2,FALSE),"-")</f>
        <v>味方全体に / -</v>
      </c>
      <c r="Z30" s="50"/>
      <c r="AA30" s="52"/>
      <c r="AB30" s="50"/>
    </row>
    <row r="31" spans="1:28" ht="21" customHeight="1" x14ac:dyDescent="0.15">
      <c r="A31" s="47">
        <v>50011133</v>
      </c>
      <c r="B31" s="47" t="s">
        <v>308</v>
      </c>
      <c r="C31" s="50">
        <v>3</v>
      </c>
      <c r="D31" s="50" t="s">
        <v>126</v>
      </c>
      <c r="E31" s="51" t="s">
        <v>297</v>
      </c>
      <c r="F31" s="51" t="s">
        <v>347</v>
      </c>
      <c r="G31" s="64" t="str">
        <f t="shared" si="0"/>
        <v>[effect:force_change_block, new_block:jammer, target:damage, ignore01:crash, ignore02:crack_bomb, ignore03:color_break, count:0, val:0, animation:change_block]</v>
      </c>
      <c r="H31" s="64">
        <f t="shared" si="1"/>
        <v>9</v>
      </c>
      <c r="I31" s="64">
        <f t="shared" si="2"/>
        <v>27</v>
      </c>
      <c r="J31" s="64">
        <f t="shared" si="3"/>
        <v>54</v>
      </c>
      <c r="K31" s="64">
        <f t="shared" si="4"/>
        <v>45</v>
      </c>
      <c r="L31" s="64"/>
      <c r="M31" s="64" t="str">
        <f t="shared" si="5"/>
        <v>[effect:rush, val:1, count:1]</v>
      </c>
      <c r="N31" s="48"/>
      <c r="O31" s="64"/>
      <c r="P31" s="64"/>
      <c r="Q31" s="64"/>
      <c r="R31" s="64"/>
      <c r="S31" s="64"/>
      <c r="T31" s="48" t="str">
        <f t="shared" si="11"/>
        <v>none</v>
      </c>
      <c r="U31" s="64" t="e">
        <f t="shared" si="12"/>
        <v>#VALUE!</v>
      </c>
      <c r="V31" s="64">
        <f t="shared" si="13"/>
        <v>4</v>
      </c>
      <c r="W31" s="64" t="e">
        <f t="shared" si="14"/>
        <v>#VALUE!</v>
      </c>
      <c r="X31" s="64" t="e">
        <f t="shared" si="15"/>
        <v>#VALUE!</v>
      </c>
      <c r="Y31" s="64"/>
      <c r="Z31" s="50"/>
      <c r="AA31" s="52"/>
      <c r="AB31" s="50"/>
    </row>
    <row r="32" spans="1:28" s="129" customFormat="1" ht="21" customHeight="1" x14ac:dyDescent="0.15">
      <c r="A32" s="125">
        <v>50011134</v>
      </c>
      <c r="B32" s="125" t="s">
        <v>450</v>
      </c>
      <c r="C32" s="50">
        <v>3</v>
      </c>
      <c r="D32" s="126" t="s">
        <v>126</v>
      </c>
      <c r="E32" s="127" t="s">
        <v>291</v>
      </c>
      <c r="F32" s="127" t="s">
        <v>415</v>
      </c>
      <c r="G32" s="127" t="str">
        <f t="shared" si="0"/>
        <v>[effect:force_change_block, new_block:damage, target:block_all, ignore01:damage, ignore02:color_break, ignore03:crash, ignore04:block_heart, ignore05:magnet, color:block_heart, count:10, val:0.3, animation:change_block]</v>
      </c>
      <c r="H32" s="127">
        <f t="shared" si="1"/>
        <v>9</v>
      </c>
      <c r="I32" s="127">
        <f t="shared" si="2"/>
        <v>27</v>
      </c>
      <c r="J32" s="127">
        <f t="shared" si="3"/>
        <v>54</v>
      </c>
      <c r="K32" s="127">
        <f t="shared" si="4"/>
        <v>45</v>
      </c>
      <c r="L32" s="127" t="str">
        <f>IFERROR(VLOOKUP(MID(G32,J32,K32-J32),[6]skilldef!$C:$D,2,FALSE),"-") &amp; " / " &amp; IFERROR(VLOOKUP(MID(G32,H32,I32-H32),[6]skilldef!$A:$B,2,FALSE),"-")</f>
        <v>- / -</v>
      </c>
      <c r="M32" s="127" t="str">
        <f t="shared" si="5"/>
        <v xml:space="preserve">[effect:virus, turn:10, rate:1, val:0.1, animation:enemy_virus]    </v>
      </c>
      <c r="N32" s="125" t="str">
        <f t="shared" ref="N32:N38" si="19">IFERROR(LEFT(M32,FIND("],",M32)+S41),M32)</f>
        <v xml:space="preserve">[effect:virus, turn:10, rate:1, val:0.1, animation:enemy_virus]    </v>
      </c>
      <c r="O32" s="127">
        <f t="shared" si="7"/>
        <v>9</v>
      </c>
      <c r="P32" s="127">
        <f t="shared" si="8"/>
        <v>14</v>
      </c>
      <c r="Q32" s="127" t="e">
        <f t="shared" si="9"/>
        <v>#VALUE!</v>
      </c>
      <c r="R32" s="127">
        <f t="shared" si="10"/>
        <v>23</v>
      </c>
      <c r="S32" s="127" t="str">
        <f>IFERROR(VLOOKUP(MID(N32,Q32,R32-Q32),[6]skilldef!$C:$D,2,FALSE),"-") &amp; " / " &amp; IFERROR(VLOOKUP(MID(N32,O32,P32-O32),[6]skilldef!$A:$B,2,FALSE),"-")</f>
        <v>- / ウィルス</v>
      </c>
      <c r="T32" s="125" t="str">
        <f t="shared" si="11"/>
        <v>none</v>
      </c>
      <c r="U32" s="127" t="e">
        <f t="shared" si="12"/>
        <v>#VALUE!</v>
      </c>
      <c r="V32" s="127">
        <f t="shared" si="13"/>
        <v>4</v>
      </c>
      <c r="W32" s="127" t="e">
        <f t="shared" si="14"/>
        <v>#VALUE!</v>
      </c>
      <c r="X32" s="127" t="e">
        <f t="shared" si="15"/>
        <v>#VALUE!</v>
      </c>
      <c r="Y32" s="127" t="str">
        <f>IFERROR(VLOOKUP(MID(T32,W32,X32-W32),[6]skilldef!$C:$D,2,FALSE),"-") &amp; " / " &amp; IFERROR(VLOOKUP(MID(T32,U32,V32-U32),[6]skilldef!$A:$B,2,FALSE),"-")</f>
        <v>- / -</v>
      </c>
      <c r="Z32" s="126"/>
      <c r="AA32" s="128"/>
      <c r="AB32" s="126"/>
    </row>
    <row r="33" spans="1:28" s="129" customFormat="1" ht="21" customHeight="1" x14ac:dyDescent="0.15">
      <c r="A33" s="125">
        <v>50011135</v>
      </c>
      <c r="B33" s="125" t="s">
        <v>405</v>
      </c>
      <c r="C33" s="50">
        <v>3</v>
      </c>
      <c r="D33" s="126" t="s">
        <v>126</v>
      </c>
      <c r="E33" s="127" t="s">
        <v>404</v>
      </c>
      <c r="F33" s="127" t="s">
        <v>429</v>
      </c>
      <c r="G33" s="127" t="str">
        <f t="shared" si="0"/>
        <v>[effect:degrade_unit, target:unit_all, turn:5, status:heal, val:1, calc:mul, animation:degrade_unit_all_heal]</v>
      </c>
      <c r="H33" s="127">
        <f t="shared" si="1"/>
        <v>9</v>
      </c>
      <c r="I33" s="127">
        <f t="shared" si="2"/>
        <v>21</v>
      </c>
      <c r="J33" s="127">
        <f t="shared" si="3"/>
        <v>30</v>
      </c>
      <c r="K33" s="127">
        <f t="shared" si="4"/>
        <v>38</v>
      </c>
      <c r="L33" s="127" t="str">
        <f>IFERROR(VLOOKUP(MID(G33,J33,K33-J33),[6]skilldef!$C:$D,2,FALSE),"-") &amp; " / " &amp; IFERROR(VLOOKUP(MID(G33,H33,I33-H33),[6]skilldef!$A:$B,2,FALSE),"-")</f>
        <v>味方全体に / ステータスDOWN</v>
      </c>
      <c r="M33" s="127" t="str">
        <f t="shared" si="5"/>
        <v>none</v>
      </c>
      <c r="N33" s="125" t="str">
        <f t="shared" si="19"/>
        <v>none</v>
      </c>
      <c r="O33" s="127" t="e">
        <f t="shared" si="7"/>
        <v>#VALUE!</v>
      </c>
      <c r="P33" s="127">
        <f t="shared" si="8"/>
        <v>4</v>
      </c>
      <c r="Q33" s="127" t="e">
        <f t="shared" si="9"/>
        <v>#VALUE!</v>
      </c>
      <c r="R33" s="127" t="e">
        <f t="shared" si="10"/>
        <v>#VALUE!</v>
      </c>
      <c r="S33" s="127" t="str">
        <f>IFERROR(VLOOKUP(MID(N33,Q33,R33-Q33),[6]skilldef!$C:$D,2,FALSE),"-") &amp; " / " &amp; IFERROR(VLOOKUP(MID(N33,O33,P33-O33),[6]skilldef!$A:$B,2,FALSE),"-")</f>
        <v>- / -</v>
      </c>
      <c r="T33" s="125" t="str">
        <f t="shared" si="11"/>
        <v>none</v>
      </c>
      <c r="U33" s="127" t="e">
        <f t="shared" si="12"/>
        <v>#VALUE!</v>
      </c>
      <c r="V33" s="127">
        <f t="shared" si="13"/>
        <v>4</v>
      </c>
      <c r="W33" s="127" t="e">
        <f t="shared" si="14"/>
        <v>#VALUE!</v>
      </c>
      <c r="X33" s="127" t="e">
        <f t="shared" si="15"/>
        <v>#VALUE!</v>
      </c>
      <c r="Y33" s="127" t="str">
        <f>IFERROR(VLOOKUP(MID(T33,W33,X33-W33),[6]skilldef!$C:$D,2,FALSE),"-") &amp; " / " &amp; IFERROR(VLOOKUP(MID(T33,U33,V33-U33),[6]skilldef!$A:$B,2,FALSE),"-")</f>
        <v>- / -</v>
      </c>
      <c r="Z33" s="126"/>
      <c r="AA33" s="128"/>
      <c r="AB33" s="126"/>
    </row>
    <row r="34" spans="1:28" s="129" customFormat="1" ht="21" customHeight="1" x14ac:dyDescent="0.15">
      <c r="A34" s="125">
        <v>50011136</v>
      </c>
      <c r="B34" s="125" t="s">
        <v>451</v>
      </c>
      <c r="C34" s="50">
        <v>3</v>
      </c>
      <c r="D34" s="126" t="s">
        <v>126</v>
      </c>
      <c r="E34" s="127" t="s">
        <v>303</v>
      </c>
      <c r="F34" s="127" t="s">
        <v>416</v>
      </c>
      <c r="G34" s="127" t="str">
        <f t="shared" si="0"/>
        <v>[effect:force_change_block, new_block:damage, target:block_all, ignore01:damage, ignore02:color_break, ignore03:crash, ignore04:block_heart, ignore05:magnet, color:block_heart, count:5, val:0.3, animation:change_block]</v>
      </c>
      <c r="H34" s="127">
        <f t="shared" si="1"/>
        <v>9</v>
      </c>
      <c r="I34" s="127">
        <f t="shared" si="2"/>
        <v>27</v>
      </c>
      <c r="J34" s="127">
        <f t="shared" si="3"/>
        <v>54</v>
      </c>
      <c r="K34" s="127">
        <f t="shared" si="4"/>
        <v>45</v>
      </c>
      <c r="L34" s="127" t="str">
        <f>IFERROR(VLOOKUP(MID(G34,J34,K34-J34),[6]skilldef!$C:$D,2,FALSE),"-") &amp; " / " &amp; IFERROR(VLOOKUP(MID(G34,H34,I34-H34),[6]skilldef!$A:$B,2,FALSE),"-")</f>
        <v>- / -</v>
      </c>
      <c r="M34" s="127" t="str">
        <f t="shared" si="5"/>
        <v>[effect:spread, val:0.3]</v>
      </c>
      <c r="N34" s="125" t="str">
        <f t="shared" si="19"/>
        <v>[effect:spread, val:0.3]</v>
      </c>
      <c r="O34" s="127">
        <f t="shared" si="7"/>
        <v>9</v>
      </c>
      <c r="P34" s="127">
        <f t="shared" si="8"/>
        <v>15</v>
      </c>
      <c r="Q34" s="127" t="e">
        <f t="shared" si="9"/>
        <v>#VALUE!</v>
      </c>
      <c r="R34" s="127" t="e">
        <f t="shared" si="10"/>
        <v>#VALUE!</v>
      </c>
      <c r="S34" s="127" t="str">
        <f>IFERROR(VLOOKUP(MID(N34,Q34,R34-Q34),[6]skilldef!$C:$D,2,FALSE),"-") &amp; " / " &amp; IFERROR(VLOOKUP(MID(N34,O34,P34-O34),[6]skilldef!$A:$B,2,FALSE),"-")</f>
        <v>- / 全体攻撃</v>
      </c>
      <c r="T34" s="125" t="str">
        <f t="shared" si="11"/>
        <v>none</v>
      </c>
      <c r="U34" s="127" t="e">
        <f t="shared" si="12"/>
        <v>#VALUE!</v>
      </c>
      <c r="V34" s="127">
        <f t="shared" si="13"/>
        <v>4</v>
      </c>
      <c r="W34" s="127" t="e">
        <f t="shared" si="14"/>
        <v>#VALUE!</v>
      </c>
      <c r="X34" s="127" t="e">
        <f t="shared" si="15"/>
        <v>#VALUE!</v>
      </c>
      <c r="Y34" s="127" t="str">
        <f>IFERROR(VLOOKUP(MID(T34,W34,X34-W34),[6]skilldef!$C:$D,2,FALSE),"-") &amp; " / " &amp; IFERROR(VLOOKUP(MID(T34,U34,V34-U34),[6]skilldef!$A:$B,2,FALSE),"-")</f>
        <v>- / -</v>
      </c>
      <c r="Z34" s="126"/>
      <c r="AA34" s="128"/>
      <c r="AB34" s="126"/>
    </row>
    <row r="35" spans="1:28" s="129" customFormat="1" ht="21" customHeight="1" x14ac:dyDescent="0.15">
      <c r="A35" s="125">
        <v>50011137</v>
      </c>
      <c r="B35" s="125" t="s">
        <v>452</v>
      </c>
      <c r="C35" s="50">
        <v>3</v>
      </c>
      <c r="D35" s="126" t="s">
        <v>126</v>
      </c>
      <c r="E35" s="127" t="s">
        <v>292</v>
      </c>
      <c r="F35" s="127" t="s">
        <v>417</v>
      </c>
      <c r="G35" s="127" t="str">
        <f t="shared" si="0"/>
        <v>[effect:force_change_block, new_block:damage, target:block_all, ignore01:damage, ignore02:color_break, ignore03:crash, ignore04:block_heart, ignore05:magnet, color:block_heart, count:8, val:0.3, animation:change_block]</v>
      </c>
      <c r="H35" s="127">
        <f t="shared" si="1"/>
        <v>9</v>
      </c>
      <c r="I35" s="127">
        <f t="shared" si="2"/>
        <v>27</v>
      </c>
      <c r="J35" s="127">
        <f t="shared" si="3"/>
        <v>54</v>
      </c>
      <c r="K35" s="127">
        <f t="shared" si="4"/>
        <v>45</v>
      </c>
      <c r="L35" s="127" t="str">
        <f>IFERROR(VLOOKUP(MID(G35,J35,K35-J35),[6]skilldef!$C:$D,2,FALSE),"-") &amp; " / " &amp; IFERROR(VLOOKUP(MID(G35,H35,I35-H35),[6]skilldef!$A:$B,2,FALSE),"-")</f>
        <v>- / -</v>
      </c>
      <c r="M35" s="127" t="str">
        <f t="shared" si="5"/>
        <v>[effect:rush, val:0.26, count:5]</v>
      </c>
      <c r="N35" s="125" t="str">
        <f t="shared" si="19"/>
        <v>[effect:rush, val:0.26, count:5]</v>
      </c>
      <c r="O35" s="127">
        <f t="shared" si="7"/>
        <v>9</v>
      </c>
      <c r="P35" s="127">
        <f t="shared" si="8"/>
        <v>13</v>
      </c>
      <c r="Q35" s="127" t="e">
        <f t="shared" si="9"/>
        <v>#VALUE!</v>
      </c>
      <c r="R35" s="127">
        <f t="shared" si="10"/>
        <v>23</v>
      </c>
      <c r="S35" s="127" t="str">
        <f>IFERROR(VLOOKUP(MID(N35,Q35,R35-Q35),[6]skilldef!$C:$D,2,FALSE),"-") &amp; " / " &amp; IFERROR(VLOOKUP(MID(N35,O35,P35-O35),[6]skilldef!$A:$B,2,FALSE),"-")</f>
        <v>- / 連続攻撃</v>
      </c>
      <c r="T35" s="125" t="str">
        <f t="shared" si="11"/>
        <v>none</v>
      </c>
      <c r="U35" s="127" t="e">
        <f t="shared" si="12"/>
        <v>#VALUE!</v>
      </c>
      <c r="V35" s="127">
        <f t="shared" si="13"/>
        <v>4</v>
      </c>
      <c r="W35" s="127" t="e">
        <f t="shared" si="14"/>
        <v>#VALUE!</v>
      </c>
      <c r="X35" s="127" t="e">
        <f t="shared" si="15"/>
        <v>#VALUE!</v>
      </c>
      <c r="Y35" s="127" t="str">
        <f>IFERROR(VLOOKUP(MID(T35,W35,X35-W35),[6]skilldef!$C:$D,2,FALSE),"-") &amp; " / " &amp; IFERROR(VLOOKUP(MID(T35,U35,V35-U35),[6]skilldef!$A:$B,2,FALSE),"-")</f>
        <v>- / -</v>
      </c>
      <c r="Z35" s="126"/>
      <c r="AA35" s="128"/>
      <c r="AB35" s="126"/>
    </row>
    <row r="36" spans="1:28" s="129" customFormat="1" ht="21" customHeight="1" x14ac:dyDescent="0.15">
      <c r="A36" s="125">
        <v>50011138</v>
      </c>
      <c r="B36" s="125" t="s">
        <v>453</v>
      </c>
      <c r="C36" s="50">
        <v>3</v>
      </c>
      <c r="D36" s="126" t="s">
        <v>126</v>
      </c>
      <c r="E36" s="127" t="s">
        <v>323</v>
      </c>
      <c r="F36" s="127" t="s">
        <v>418</v>
      </c>
      <c r="G36" s="127" t="str">
        <f t="shared" si="0"/>
        <v>[effect:force_change_block, new_block:damage, target:block_all, ignore01:damage, ignore02:color_break, ignore03:crash, ignore04:block_heart, ignore05:magnet, color:block_heart, count:10, val:0.3, animation:change_block]</v>
      </c>
      <c r="H36" s="127">
        <f t="shared" si="1"/>
        <v>9</v>
      </c>
      <c r="I36" s="127">
        <f t="shared" si="2"/>
        <v>27</v>
      </c>
      <c r="J36" s="127">
        <f t="shared" si="3"/>
        <v>54</v>
      </c>
      <c r="K36" s="127">
        <f t="shared" si="4"/>
        <v>45</v>
      </c>
      <c r="L36" s="127" t="str">
        <f>IFERROR(VLOOKUP(MID(G36,J36,K36-J36),[6]skilldef!$C:$D,2,FALSE),"-") &amp; " / " &amp; IFERROR(VLOOKUP(MID(G36,H36,I36-H36),[6]skilldef!$A:$B,2,FALSE),"-")</f>
        <v>- / -</v>
      </c>
      <c r="M36" s="127" t="str">
        <f t="shared" si="5"/>
        <v>[effect:rush, val:0.25, count:6]</v>
      </c>
      <c r="N36" s="125" t="str">
        <f t="shared" si="19"/>
        <v>[effect:rush, val:0.25, count:6]</v>
      </c>
      <c r="O36" s="127">
        <f t="shared" si="7"/>
        <v>9</v>
      </c>
      <c r="P36" s="127">
        <f t="shared" si="8"/>
        <v>13</v>
      </c>
      <c r="Q36" s="127" t="e">
        <f t="shared" si="9"/>
        <v>#VALUE!</v>
      </c>
      <c r="R36" s="127">
        <f t="shared" si="10"/>
        <v>23</v>
      </c>
      <c r="S36" s="127" t="str">
        <f>IFERROR(VLOOKUP(MID(N36,Q36,R36-Q36),[6]skilldef!$C:$D,2,FALSE),"-") &amp; " / " &amp; IFERROR(VLOOKUP(MID(N36,O36,P36-O36),[6]skilldef!$A:$B,2,FALSE),"-")</f>
        <v>- / 連続攻撃</v>
      </c>
      <c r="T36" s="125" t="str">
        <f t="shared" si="11"/>
        <v>none</v>
      </c>
      <c r="U36" s="127" t="e">
        <f t="shared" si="12"/>
        <v>#VALUE!</v>
      </c>
      <c r="V36" s="127">
        <f t="shared" si="13"/>
        <v>4</v>
      </c>
      <c r="W36" s="127" t="e">
        <f t="shared" si="14"/>
        <v>#VALUE!</v>
      </c>
      <c r="X36" s="127" t="e">
        <f t="shared" si="15"/>
        <v>#VALUE!</v>
      </c>
      <c r="Y36" s="127" t="str">
        <f>IFERROR(VLOOKUP(MID(T36,W36,X36-W36),[6]skilldef!$C:$D,2,FALSE),"-") &amp; " / " &amp; IFERROR(VLOOKUP(MID(T36,U36,V36-U36),[6]skilldef!$A:$B,2,FALSE),"-")</f>
        <v>- / -</v>
      </c>
      <c r="Z36" s="126"/>
      <c r="AA36" s="128"/>
      <c r="AB36" s="126"/>
    </row>
    <row r="37" spans="1:28" s="129" customFormat="1" ht="21" customHeight="1" x14ac:dyDescent="0.15">
      <c r="A37" s="125">
        <v>50011139</v>
      </c>
      <c r="B37" s="125" t="s">
        <v>454</v>
      </c>
      <c r="C37" s="50">
        <v>3</v>
      </c>
      <c r="D37" s="126" t="s">
        <v>126</v>
      </c>
      <c r="E37" s="127" t="s">
        <v>311</v>
      </c>
      <c r="F37" s="127" t="s">
        <v>419</v>
      </c>
      <c r="G37" s="127" t="str">
        <f t="shared" si="0"/>
        <v>[effect:force_change_block, new_block:damage, target:block_all, ignore01:damage, ignore02:color_break, ignore03:crash, ignore04:block_heart, ignore05:magnet, color:block_heart, count:13, val:0.3, animation:change_block]</v>
      </c>
      <c r="H37" s="127">
        <f t="shared" si="1"/>
        <v>9</v>
      </c>
      <c r="I37" s="127">
        <f t="shared" si="2"/>
        <v>27</v>
      </c>
      <c r="J37" s="127">
        <f t="shared" si="3"/>
        <v>54</v>
      </c>
      <c r="K37" s="127">
        <f t="shared" si="4"/>
        <v>45</v>
      </c>
      <c r="L37" s="127" t="str">
        <f>IFERROR(VLOOKUP(MID(G37,J37,K37-J37),[6]skilldef!$C:$D,2,FALSE),"-") &amp; " / " &amp; IFERROR(VLOOKUP(MID(G37,H37,I37-H37),[6]skilldef!$A:$B,2,FALSE),"-")</f>
        <v>- / -</v>
      </c>
      <c r="M37" s="127" t="str">
        <f t="shared" si="5"/>
        <v>[effect:spread, val:0.17],[effect:spread, val:0.18]</v>
      </c>
      <c r="N37" s="125" t="str">
        <f t="shared" si="19"/>
        <v>[effect:spread, val:0.17],[effect:spread, val:0.18]</v>
      </c>
      <c r="O37" s="127">
        <f t="shared" si="7"/>
        <v>9</v>
      </c>
      <c r="P37" s="127">
        <f t="shared" si="8"/>
        <v>15</v>
      </c>
      <c r="Q37" s="127" t="e">
        <f t="shared" si="9"/>
        <v>#VALUE!</v>
      </c>
      <c r="R37" s="127">
        <f t="shared" si="10"/>
        <v>26</v>
      </c>
      <c r="S37" s="127" t="str">
        <f>IFERROR(VLOOKUP(MID(N37,Q37,R37-Q37),[6]skilldef!$C:$D,2,FALSE),"-") &amp; " / " &amp; IFERROR(VLOOKUP(MID(N37,O37,P37-O37),[6]skilldef!$A:$B,2,FALSE),"-")</f>
        <v>- / 全体攻撃</v>
      </c>
      <c r="T37" s="125" t="str">
        <f t="shared" si="11"/>
        <v>[effect:spread, val:0.18]</v>
      </c>
      <c r="U37" s="127">
        <f t="shared" si="12"/>
        <v>9</v>
      </c>
      <c r="V37" s="127">
        <f t="shared" si="13"/>
        <v>15</v>
      </c>
      <c r="W37" s="127" t="e">
        <f t="shared" si="14"/>
        <v>#VALUE!</v>
      </c>
      <c r="X37" s="127" t="e">
        <f t="shared" si="15"/>
        <v>#VALUE!</v>
      </c>
      <c r="Y37" s="127" t="str">
        <f>IFERROR(VLOOKUP(MID(T37,W37,X37-W37),[6]skilldef!$C:$D,2,FALSE),"-") &amp; " / " &amp; IFERROR(VLOOKUP(MID(T37,U37,V37-U37),[6]skilldef!$A:$B,2,FALSE),"-")</f>
        <v>- / 全体攻撃</v>
      </c>
      <c r="Z37" s="126"/>
      <c r="AA37" s="128"/>
      <c r="AB37" s="126"/>
    </row>
    <row r="38" spans="1:28" s="129" customFormat="1" ht="21" customHeight="1" x14ac:dyDescent="0.15">
      <c r="A38" s="125">
        <v>50011140</v>
      </c>
      <c r="B38" s="125" t="s">
        <v>455</v>
      </c>
      <c r="C38" s="50">
        <v>3</v>
      </c>
      <c r="D38" s="126" t="s">
        <v>126</v>
      </c>
      <c r="E38" s="127" t="s">
        <v>290</v>
      </c>
      <c r="F38" s="127" t="s">
        <v>421</v>
      </c>
      <c r="G38" s="127" t="str">
        <f t="shared" si="0"/>
        <v>[effect:force_change_block, new_block:damage, target:block_all, ignore01:damage, ignore02:color_break, ignore03:crash, ignore04:block_heart, ignore05:magnet, color:block_heart, count:15, val:0.3, animation:change_block]</v>
      </c>
      <c r="H38" s="127">
        <f t="shared" si="1"/>
        <v>9</v>
      </c>
      <c r="I38" s="127">
        <f t="shared" si="2"/>
        <v>27</v>
      </c>
      <c r="J38" s="127">
        <f t="shared" si="3"/>
        <v>54</v>
      </c>
      <c r="K38" s="127">
        <f t="shared" si="4"/>
        <v>45</v>
      </c>
      <c r="L38" s="127" t="str">
        <f>IFERROR(VLOOKUP(MID(G38,J38,K38-J38),[6]skilldef!$C:$D,2,FALSE),"-") &amp; " / " &amp; IFERROR(VLOOKUP(MID(G38,H38,I38-H38),[6]skilldef!$A:$B,2,FALSE),"-")</f>
        <v>- / -</v>
      </c>
      <c r="M38" s="127" t="str">
        <f t="shared" si="5"/>
        <v xml:space="preserve">[effect:spread, val:0.16],[effect:spread, val:0.17],[effect:spread, val:0.18]  </v>
      </c>
      <c r="N38" s="125" t="str">
        <f t="shared" si="19"/>
        <v xml:space="preserve">[effect:spread, val:0.16],[effect:spread, val:0.17],[effect:spread, val:0.18]  </v>
      </c>
      <c r="O38" s="127">
        <f t="shared" si="7"/>
        <v>9</v>
      </c>
      <c r="P38" s="127">
        <f t="shared" si="8"/>
        <v>15</v>
      </c>
      <c r="Q38" s="127" t="e">
        <f t="shared" si="9"/>
        <v>#VALUE!</v>
      </c>
      <c r="R38" s="127">
        <f t="shared" si="10"/>
        <v>26</v>
      </c>
      <c r="S38" s="127" t="str">
        <f>IFERROR(VLOOKUP(MID(N38,Q38,R38-Q38),[6]skilldef!$C:$D,2,FALSE),"-") &amp; " / " &amp; IFERROR(VLOOKUP(MID(N38,O38,P38-O38),[6]skilldef!$A:$B,2,FALSE),"-")</f>
        <v>- / 全体攻撃</v>
      </c>
      <c r="T38" s="125" t="str">
        <f t="shared" si="11"/>
        <v xml:space="preserve">[effect:spread, val:0.17],[effect:spread, val:0.18]  </v>
      </c>
      <c r="U38" s="127">
        <f t="shared" si="12"/>
        <v>9</v>
      </c>
      <c r="V38" s="127">
        <f t="shared" si="13"/>
        <v>15</v>
      </c>
      <c r="W38" s="127" t="e">
        <f t="shared" si="14"/>
        <v>#VALUE!</v>
      </c>
      <c r="X38" s="127">
        <f t="shared" si="15"/>
        <v>26</v>
      </c>
      <c r="Y38" s="127" t="str">
        <f>IFERROR(VLOOKUP(MID(T38,W38,X38-W38),[6]skilldef!$C:$D,2,FALSE),"-") &amp; " / " &amp; IFERROR(VLOOKUP(MID(T38,U38,V38-U38),[6]skilldef!$A:$B,2,FALSE),"-")</f>
        <v>- / 全体攻撃</v>
      </c>
      <c r="Z38" s="126"/>
      <c r="AA38" s="128"/>
      <c r="AB38" s="126"/>
    </row>
    <row r="39" spans="1:28" ht="21" customHeight="1" x14ac:dyDescent="0.15">
      <c r="A39" s="47">
        <v>50011142</v>
      </c>
      <c r="B39" s="47" t="s">
        <v>276</v>
      </c>
      <c r="C39" s="50">
        <v>3</v>
      </c>
      <c r="D39" s="50" t="s">
        <v>126</v>
      </c>
      <c r="E39" s="51" t="s">
        <v>289</v>
      </c>
      <c r="F39" s="51" t="s">
        <v>430</v>
      </c>
      <c r="G39" s="64" t="str">
        <f t="shared" si="0"/>
        <v>[effect:degrade_unit, target:unit_all, turn:3, status:attack, val:1]</v>
      </c>
      <c r="H39" s="64">
        <f t="shared" si="1"/>
        <v>9</v>
      </c>
      <c r="I39" s="64">
        <f t="shared" si="2"/>
        <v>21</v>
      </c>
      <c r="J39" s="64">
        <f t="shared" si="3"/>
        <v>30</v>
      </c>
      <c r="K39" s="64">
        <f t="shared" si="4"/>
        <v>38</v>
      </c>
      <c r="L39" s="64" t="str">
        <f>IFERROR(VLOOKUP(MID(G39,J39,K39-J39),[6]skilldef!$C:$D,2,FALSE),"-") &amp; " / " &amp; IFERROR(VLOOKUP(MID(G39,H39,I39-H39),[6]skilldef!$A:$B,2,FALSE),"-")</f>
        <v>味方全体に / ステータスDOWN</v>
      </c>
      <c r="M39" s="64" t="str">
        <f t="shared" si="5"/>
        <v>none</v>
      </c>
      <c r="N39" s="48" t="str">
        <f t="shared" ref="N39:N41" si="20">IFERROR(LEFT(M39,FIND("],",M39)+S50),M39)</f>
        <v>none</v>
      </c>
      <c r="O39" s="64" t="e">
        <f t="shared" si="7"/>
        <v>#VALUE!</v>
      </c>
      <c r="P39" s="64">
        <f t="shared" si="8"/>
        <v>4</v>
      </c>
      <c r="Q39" s="64" t="e">
        <f t="shared" si="9"/>
        <v>#VALUE!</v>
      </c>
      <c r="R39" s="64" t="e">
        <f t="shared" si="10"/>
        <v>#VALUE!</v>
      </c>
      <c r="S39" s="64" t="str">
        <f>IFERROR(VLOOKUP(MID(N39,Q39,R39-Q39),[6]skilldef!$C:$D,2,FALSE),"-") &amp; " / " &amp; IFERROR(VLOOKUP(MID(N39,O39,P39-O39),[6]skilldef!$A:$B,2,FALSE),"-")</f>
        <v>- / -</v>
      </c>
      <c r="T39" s="48" t="str">
        <f t="shared" si="11"/>
        <v>none</v>
      </c>
      <c r="U39" s="64" t="e">
        <f t="shared" si="12"/>
        <v>#VALUE!</v>
      </c>
      <c r="V39" s="64">
        <f t="shared" si="13"/>
        <v>4</v>
      </c>
      <c r="W39" s="64" t="e">
        <f t="shared" si="14"/>
        <v>#VALUE!</v>
      </c>
      <c r="X39" s="64" t="e">
        <f t="shared" si="15"/>
        <v>#VALUE!</v>
      </c>
      <c r="Y39" s="64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s="129" customFormat="1" ht="21" customHeight="1" x14ac:dyDescent="0.15">
      <c r="A40" s="125">
        <v>50011143</v>
      </c>
      <c r="B40" s="125" t="s">
        <v>456</v>
      </c>
      <c r="C40" s="50">
        <v>3</v>
      </c>
      <c r="D40" s="126" t="s">
        <v>126</v>
      </c>
      <c r="E40" s="127" t="s">
        <v>403</v>
      </c>
      <c r="F40" s="127" t="s">
        <v>420</v>
      </c>
      <c r="G40" s="127" t="str">
        <f t="shared" si="0"/>
        <v>[effect:force_change_block, new_block:damage, target:block_all, ignore01:damage, ignore02:color_break, ignore03:crash, ignore04:block_heart, ignore05:magnet, color:block_heart, count:12, val:0.3, animation:change_block]</v>
      </c>
      <c r="H40" s="127">
        <f t="shared" si="1"/>
        <v>9</v>
      </c>
      <c r="I40" s="127">
        <f t="shared" si="2"/>
        <v>27</v>
      </c>
      <c r="J40" s="127">
        <f t="shared" si="3"/>
        <v>54</v>
      </c>
      <c r="K40" s="127">
        <f t="shared" si="4"/>
        <v>45</v>
      </c>
      <c r="L40" s="127" t="str">
        <f>IFERROR(VLOOKUP(MID(G40,J40,K40-J40),[6]skilldef!$C:$D,2,FALSE),"-") &amp; " / " &amp; IFERROR(VLOOKUP(MID(G40,H40,I40-H40),[6]skilldef!$A:$B,2,FALSE),"-")</f>
        <v>- / -</v>
      </c>
      <c r="M40" s="127" t="str">
        <f t="shared" si="5"/>
        <v xml:space="preserve">[effect:virus, turn:12, rate:1, val:0.1, animation:enemy_virus]    </v>
      </c>
      <c r="N40" s="125" t="str">
        <f t="shared" si="20"/>
        <v xml:space="preserve">[effect:virus, turn:12, rate:1, val:0.1, animation:enemy_virus]    </v>
      </c>
      <c r="O40" s="127">
        <f t="shared" si="7"/>
        <v>9</v>
      </c>
      <c r="P40" s="127">
        <f t="shared" si="8"/>
        <v>14</v>
      </c>
      <c r="Q40" s="127" t="e">
        <f t="shared" si="9"/>
        <v>#VALUE!</v>
      </c>
      <c r="R40" s="127">
        <f t="shared" si="10"/>
        <v>23</v>
      </c>
      <c r="S40" s="127" t="str">
        <f>IFERROR(VLOOKUP(MID(N40,Q40,R40-Q40),[6]skilldef!$C:$D,2,FALSE),"-") &amp; " / " &amp; IFERROR(VLOOKUP(MID(N40,O40,P40-O40),[6]skilldef!$A:$B,2,FALSE),"-")</f>
        <v>- / ウィルス</v>
      </c>
      <c r="T40" s="125" t="str">
        <f t="shared" si="11"/>
        <v>none</v>
      </c>
      <c r="U40" s="127" t="e">
        <f t="shared" si="12"/>
        <v>#VALUE!</v>
      </c>
      <c r="V40" s="127">
        <f t="shared" si="13"/>
        <v>4</v>
      </c>
      <c r="W40" s="127" t="e">
        <f t="shared" si="14"/>
        <v>#VALUE!</v>
      </c>
      <c r="X40" s="127" t="e">
        <f t="shared" si="15"/>
        <v>#VALUE!</v>
      </c>
      <c r="Y40" s="127" t="str">
        <f>IFERROR(VLOOKUP(MID(T40,W40,X40-W40),[6]skilldef!$C:$D,2,FALSE),"-") &amp; " / " &amp; IFERROR(VLOOKUP(MID(T40,U40,V40-U40),[6]skilldef!$A:$B,2,FALSE),"-")</f>
        <v>- / -</v>
      </c>
      <c r="Z40" s="126"/>
      <c r="AA40" s="128"/>
      <c r="AB40" s="126"/>
    </row>
    <row r="41" spans="1:28" ht="21" customHeight="1" x14ac:dyDescent="0.15">
      <c r="A41" s="47">
        <v>50011144</v>
      </c>
      <c r="B41" s="47" t="s">
        <v>459</v>
      </c>
      <c r="C41" s="50">
        <v>3</v>
      </c>
      <c r="D41" s="50" t="s">
        <v>126</v>
      </c>
      <c r="E41" s="51" t="s">
        <v>309</v>
      </c>
      <c r="F41" s="51" t="s">
        <v>436</v>
      </c>
      <c r="G41" s="64" t="str">
        <f t="shared" si="0"/>
        <v>[effect:force_change_block, new_block:time_bomb, target:block_red, ignore01:crash, ignore02:color_break, ignore03:jammer, ignore04:magnet, color:block_red, count:3, val:0.1, animation:change_block]</v>
      </c>
      <c r="H41" s="64">
        <f t="shared" si="1"/>
        <v>9</v>
      </c>
      <c r="I41" s="64">
        <f t="shared" si="2"/>
        <v>27</v>
      </c>
      <c r="J41" s="64">
        <f t="shared" si="3"/>
        <v>57</v>
      </c>
      <c r="K41" s="64">
        <f t="shared" si="4"/>
        <v>48</v>
      </c>
      <c r="L41" s="64" t="str">
        <f>IFERROR(VLOOKUP(MID(G41,J41,K41-J41),[6]skilldef!$C:$D,2,FALSE),"-") &amp; " / " &amp; IFERROR(VLOOKUP(MID(G41,H41,I41-H41),[6]skilldef!$A:$B,2,FALSE),"-")</f>
        <v>- / -</v>
      </c>
      <c r="M41" s="64" t="str">
        <f t="shared" si="5"/>
        <v>[effect:force_change_block, new_block:time_bomb, target:block_green, ignore01:crash, ignore02:color_break, ignore03:jammer, ignore04:magnet, color:block_green, count:3, val:0.1, animation:change_block],[effect:force_change_block, new_block:time_bomb, target:block_blue, ignore01:crash, ignore02:color_break, ignore03:jammer, ignore04:magnet, color:block_blue, count:3, val:0.1, animation:change_block],[effect:force_change_block, new_block:time_bomb, target:block_yellow, ignore01:crash, ignore02:color_break, ignore03:jammer, ignore04:magnet, color:block_yellow, count:3, val:0.1, animation:change_block],[effect:force_change_block, new_block:damage, target:block_all, ignore01:crash, ignore02:color_break, ignore03:time_bomb, ignore04:magnet, color:block_heart, count:10, val:0.1, animation:change_block]</v>
      </c>
      <c r="N41" s="48" t="str">
        <f t="shared" si="20"/>
        <v>[effect:force_change_block, new_block:time_bomb, target:block_green, ignore01:crash, ignore02:color_break, ignore03:jammer, ignore04:magnet, color:block_green, count:3, val:0.1, animation:change_block],[effect:force_change_block, new_block:time_bomb, target:block_blue, ignore01:crash, ignore02:color_break, ignore03:jammer, ignore04:magnet, color:block_blue, count:3, val:0.1, animation:change_block],[effect:force_change_block, new_block:time_bomb, target:block_yellow, ignore01:crash, ignore02:color_break, ignore03:jammer, ignore04:magnet, color:block_yellow, count:3, val:0.1, animation:change_block],[effect:force_change_block, new_block:damage, target:block_all, ignore01:crash, ignore02:color_break, ignore03:time_bomb, ignore04:magnet, color:block_heart, count:10, val:0.1, animation:change_block]</v>
      </c>
      <c r="O41" s="64">
        <f t="shared" si="7"/>
        <v>9</v>
      </c>
      <c r="P41" s="64">
        <f t="shared" si="8"/>
        <v>27</v>
      </c>
      <c r="Q41" s="64">
        <f t="shared" si="9"/>
        <v>57</v>
      </c>
      <c r="R41" s="64">
        <f t="shared" si="10"/>
        <v>48</v>
      </c>
      <c r="S41" s="64" t="str">
        <f>IFERROR(VLOOKUP(MID(N41,Q41,R41-Q41),[6]skilldef!$C:$D,2,FALSE),"-") &amp; " / " &amp; IFERROR(VLOOKUP(MID(N41,O41,P41-O41),[6]skilldef!$A:$B,2,FALSE),"-")</f>
        <v>- / -</v>
      </c>
      <c r="T41" s="48" t="str">
        <f t="shared" si="11"/>
        <v>[effect:force_change_block, new_block:time_bomb, target:block_blue, ignore01:crash, ignore02:color_break, ignore03:jammer, ignore04:magnet, color:block_blue, count:3, val:0.1, animation:change_block],[effect:force_change_block, new_block:time_bomb, target:block_yellow, ignore01:crash, ignore02:color_break, ignore03:jammer, ignore04:magnet, color:block_yellow, count:3, val:0.1, animation:change_block],[effect:force_change_block, new_block:damage, target:block_all, ignore01:crash, ignore02:color_break, ignore03:time_bomb, ignore04:magnet, color:block_heart, count:10, val:0.1, animation:change_block]</v>
      </c>
      <c r="U41" s="64">
        <f t="shared" si="12"/>
        <v>9</v>
      </c>
      <c r="V41" s="64">
        <f t="shared" si="13"/>
        <v>27</v>
      </c>
      <c r="W41" s="64">
        <f t="shared" si="14"/>
        <v>57</v>
      </c>
      <c r="X41" s="64">
        <f t="shared" si="15"/>
        <v>48</v>
      </c>
      <c r="Y41" s="64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47">
        <v>50011145</v>
      </c>
      <c r="B42" s="47" t="s">
        <v>307</v>
      </c>
      <c r="C42" s="50">
        <v>3</v>
      </c>
      <c r="D42" s="50" t="s">
        <v>126</v>
      </c>
      <c r="E42" s="51" t="s">
        <v>316</v>
      </c>
      <c r="F42" s="51" t="s">
        <v>412</v>
      </c>
      <c r="G42" s="64" t="str">
        <f t="shared" si="0"/>
        <v xml:space="preserve">[effect:break_attack_fix, target:unit_all, val:250, lowest_val:1800, count:-1, color:yellow, block01:block_blue, block02:block_yellow]    </v>
      </c>
      <c r="H42" s="64">
        <f t="shared" si="1"/>
        <v>9</v>
      </c>
      <c r="I42" s="64">
        <f t="shared" si="2"/>
        <v>25</v>
      </c>
      <c r="J42" s="64">
        <f t="shared" si="3"/>
        <v>34</v>
      </c>
      <c r="K42" s="64">
        <f t="shared" si="4"/>
        <v>42</v>
      </c>
      <c r="L42" s="64" t="str">
        <f>IFERROR(VLOOKUP(MID(G42,J42,K42-J42),[6]skilldef!$C:$D,2,FALSE),"-") &amp; " / " &amp; IFERROR(VLOOKUP(MID(G42,H42,I42-H42),[6]skilldef!$A:$B,2,FALSE),"-")</f>
        <v>味方全体に / -</v>
      </c>
      <c r="M42" s="64" t="str">
        <f t="shared" si="5"/>
        <v>none</v>
      </c>
      <c r="N42" s="48" t="str">
        <f>IFERROR(LEFT(M42,FIND("],",M42)+#REF!),M42)</f>
        <v>none</v>
      </c>
      <c r="O42" s="64" t="e">
        <f t="shared" si="7"/>
        <v>#VALUE!</v>
      </c>
      <c r="P42" s="64">
        <f t="shared" si="8"/>
        <v>4</v>
      </c>
      <c r="Q42" s="64" t="e">
        <f t="shared" si="9"/>
        <v>#VALUE!</v>
      </c>
      <c r="R42" s="64" t="e">
        <f t="shared" si="10"/>
        <v>#VALUE!</v>
      </c>
      <c r="S42" s="64" t="str">
        <f>IFERROR(VLOOKUP(MID(N42,Q42,R42-Q42),[6]skilldef!$C:$D,2,FALSE),"-") &amp; " / " &amp; IFERROR(VLOOKUP(MID(N42,O42,P42-O42),[6]skilldef!$A:$B,2,FALSE),"-")</f>
        <v>- / -</v>
      </c>
      <c r="T42" s="48" t="str">
        <f t="shared" si="11"/>
        <v>none</v>
      </c>
      <c r="U42" s="64" t="e">
        <f t="shared" si="12"/>
        <v>#VALUE!</v>
      </c>
      <c r="V42" s="64">
        <f t="shared" si="13"/>
        <v>4</v>
      </c>
      <c r="W42" s="64" t="e">
        <f t="shared" si="14"/>
        <v>#VALUE!</v>
      </c>
      <c r="X42" s="64" t="e">
        <f t="shared" si="15"/>
        <v>#VALUE!</v>
      </c>
      <c r="Y42" s="64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s="129" customFormat="1" ht="21" customHeight="1" x14ac:dyDescent="0.15">
      <c r="A43" s="125">
        <v>50011146</v>
      </c>
      <c r="B43" s="125" t="s">
        <v>457</v>
      </c>
      <c r="C43" s="50">
        <v>3</v>
      </c>
      <c r="D43" s="126" t="s">
        <v>126</v>
      </c>
      <c r="E43" s="127" t="s">
        <v>438</v>
      </c>
      <c r="F43" s="127" t="s">
        <v>422</v>
      </c>
      <c r="G43" s="127" t="str">
        <f t="shared" si="0"/>
        <v>[effect:force_change_block, new_block:damage, target:block_all, ignore01:damage, ignore02:color_break, ignore03:crash, ignore04:block_heart, ignore05:magnet, color:block_heart, count:10, val:0.3, animation:change_block]</v>
      </c>
      <c r="H43" s="127">
        <f t="shared" si="1"/>
        <v>9</v>
      </c>
      <c r="I43" s="127">
        <f t="shared" si="2"/>
        <v>27</v>
      </c>
      <c r="J43" s="127">
        <f t="shared" si="3"/>
        <v>54</v>
      </c>
      <c r="K43" s="127">
        <f t="shared" si="4"/>
        <v>45</v>
      </c>
      <c r="L43" s="127" t="str">
        <f>IFERROR(VLOOKUP(MID(G43,J43,K43-J43),[6]skilldef!$C:$D,2,FALSE),"-") &amp; " / " &amp; IFERROR(VLOOKUP(MID(G43,H43,I43-H43),[6]skilldef!$A:$B,2,FALSE),"-")</f>
        <v>- / -</v>
      </c>
      <c r="M43" s="127" t="str">
        <f t="shared" si="5"/>
        <v>none</v>
      </c>
      <c r="N43" s="125" t="str">
        <f t="shared" ref="N43:N48" si="21">IFERROR(LEFT(M43,FIND("],",M43)+S53),M43)</f>
        <v>none</v>
      </c>
      <c r="O43" s="127" t="e">
        <f t="shared" si="7"/>
        <v>#VALUE!</v>
      </c>
      <c r="P43" s="127">
        <f t="shared" si="8"/>
        <v>4</v>
      </c>
      <c r="Q43" s="127" t="e">
        <f t="shared" si="9"/>
        <v>#VALUE!</v>
      </c>
      <c r="R43" s="127" t="e">
        <f t="shared" si="10"/>
        <v>#VALUE!</v>
      </c>
      <c r="S43" s="127" t="str">
        <f>IFERROR(VLOOKUP(MID(N43,Q43,R43-Q43),[6]skilldef!$C:$D,2,FALSE),"-") &amp; " / " &amp; IFERROR(VLOOKUP(MID(N43,O43,P43-O43),[6]skilldef!$A:$B,2,FALSE),"-")</f>
        <v>- / -</v>
      </c>
      <c r="T43" s="125" t="str">
        <f t="shared" si="11"/>
        <v>none</v>
      </c>
      <c r="U43" s="127" t="e">
        <f t="shared" si="12"/>
        <v>#VALUE!</v>
      </c>
      <c r="V43" s="127">
        <f t="shared" si="13"/>
        <v>4</v>
      </c>
      <c r="W43" s="127" t="e">
        <f t="shared" si="14"/>
        <v>#VALUE!</v>
      </c>
      <c r="X43" s="127" t="e">
        <f t="shared" si="15"/>
        <v>#VALUE!</v>
      </c>
      <c r="Y43" s="127" t="str">
        <f>IFERROR(VLOOKUP(MID(T43,W43,X43-W43),[6]skilldef!$C:$D,2,FALSE),"-") &amp; " / " &amp; IFERROR(VLOOKUP(MID(T43,U43,V43-U43),[6]skilldef!$A:$B,2,FALSE),"-")</f>
        <v>- / -</v>
      </c>
      <c r="Z43" s="126"/>
      <c r="AA43" s="128"/>
      <c r="AB43" s="126"/>
    </row>
    <row r="44" spans="1:28" ht="21" customHeight="1" x14ac:dyDescent="0.15">
      <c r="A44" s="47">
        <v>50011147</v>
      </c>
      <c r="B44" s="47" t="s">
        <v>458</v>
      </c>
      <c r="C44" s="50">
        <v>3</v>
      </c>
      <c r="D44" s="50" t="s">
        <v>126</v>
      </c>
      <c r="E44" s="51" t="s">
        <v>312</v>
      </c>
      <c r="F44" s="51" t="s">
        <v>432</v>
      </c>
      <c r="G44" s="64" t="str">
        <f t="shared" si="0"/>
        <v>[effect:force_change_block, new_block:damage, target:block_all, ignore01:damage, ignore02:color_break, ignore03:crash, ignore04:block_heart, ignore05:magnet, color:block_heart, count:10, val:0.3, animation:change_block]</v>
      </c>
      <c r="H44" s="64">
        <f t="shared" si="1"/>
        <v>9</v>
      </c>
      <c r="I44" s="64">
        <f t="shared" si="2"/>
        <v>27</v>
      </c>
      <c r="J44" s="64">
        <f t="shared" si="3"/>
        <v>54</v>
      </c>
      <c r="K44" s="64">
        <f t="shared" si="4"/>
        <v>45</v>
      </c>
      <c r="L44" s="64" t="str">
        <f>IFERROR(VLOOKUP(MID(G44,J44,K44-J44),[6]skilldef!$C:$D,2,FALSE),"-") &amp; " / " &amp; IFERROR(VLOOKUP(MID(G44,H44,I44-H44),[6]skilldef!$A:$B,2,FALSE),"-")</f>
        <v>- / -</v>
      </c>
      <c r="M44" s="64" t="str">
        <f t="shared" si="5"/>
        <v>[effect:critical, val:1.2],[effect:suicide, target:myself, val:0.1, dead_type:escape]</v>
      </c>
      <c r="N44" s="48" t="str">
        <f t="shared" si="21"/>
        <v>[effect:critical, val:1.2],[effect:suicide, target:myself, val:0.1, dead_type:escape]</v>
      </c>
      <c r="O44" s="64">
        <f t="shared" si="7"/>
        <v>9</v>
      </c>
      <c r="P44" s="64">
        <f t="shared" si="8"/>
        <v>17</v>
      </c>
      <c r="Q44" s="64">
        <f t="shared" si="9"/>
        <v>52</v>
      </c>
      <c r="R44" s="64">
        <f t="shared" si="10"/>
        <v>27</v>
      </c>
      <c r="S44" s="64" t="str">
        <f>IFERROR(VLOOKUP(MID(N44,Q44,R44-Q44),[6]skilldef!$C:$D,2,FALSE),"-") &amp; " / " &amp; IFERROR(VLOOKUP(MID(N44,O44,P44-O44),[6]skilldef!$A:$B,2,FALSE),"-")</f>
        <v>- / 大攻撃</v>
      </c>
      <c r="T44" s="48" t="str">
        <f t="shared" si="11"/>
        <v>[effect:suicide, target:myself, val:0.1, dead_type:escape]</v>
      </c>
      <c r="U44" s="64">
        <f t="shared" si="12"/>
        <v>9</v>
      </c>
      <c r="V44" s="64">
        <f t="shared" si="13"/>
        <v>16</v>
      </c>
      <c r="W44" s="64">
        <f t="shared" si="14"/>
        <v>25</v>
      </c>
      <c r="X44" s="64">
        <f t="shared" si="15"/>
        <v>31</v>
      </c>
      <c r="Y44" s="64" t="str">
        <f>IFERROR(VLOOKUP(MID(T44,W44,X44-W44),[6]skilldef!$C:$D,2,FALSE),"-") &amp; " / " &amp; IFERROR(VLOOKUP(MID(T44,U44,V44-U44),[6]skilldef!$A:$B,2,FALSE),"-")</f>
        <v>自分自身に / -</v>
      </c>
      <c r="Z44" s="50"/>
      <c r="AA44" s="52"/>
      <c r="AB44" s="50"/>
    </row>
    <row r="45" spans="1:28" ht="21" customHeight="1" x14ac:dyDescent="0.15">
      <c r="A45" s="47">
        <v>50011148</v>
      </c>
      <c r="B45" s="47" t="s">
        <v>278</v>
      </c>
      <c r="C45" s="50">
        <v>3</v>
      </c>
      <c r="D45" s="50" t="s">
        <v>126</v>
      </c>
      <c r="E45" s="51" t="s">
        <v>324</v>
      </c>
      <c r="F45" s="51" t="s">
        <v>313</v>
      </c>
      <c r="G45" s="64" t="str">
        <f t="shared" si="0"/>
        <v>[effect:critical, val:5]</v>
      </c>
      <c r="H45" s="64">
        <f t="shared" si="1"/>
        <v>9</v>
      </c>
      <c r="I45" s="64">
        <f t="shared" si="2"/>
        <v>17</v>
      </c>
      <c r="J45" s="64" t="e">
        <f t="shared" si="3"/>
        <v>#VALUE!</v>
      </c>
      <c r="K45" s="64" t="e">
        <f t="shared" si="4"/>
        <v>#VALUE!</v>
      </c>
      <c r="L45" s="64" t="str">
        <f>IFERROR(VLOOKUP(MID(G45,J45,K45-J45),[6]skilldef!$C:$D,2,FALSE),"-") &amp; " / " &amp; IFERROR(VLOOKUP(MID(G45,H45,I45-H45),[6]skilldef!$A:$B,2,FALSE),"-")</f>
        <v>- / 大攻撃</v>
      </c>
      <c r="M45" s="64" t="str">
        <f t="shared" si="5"/>
        <v>[effect:critical, val:10],[effect:critical, val:15]</v>
      </c>
      <c r="N45" s="48" t="str">
        <f t="shared" si="21"/>
        <v>[effect:critical, val:10],[effect:critical, val:15]</v>
      </c>
      <c r="O45" s="64">
        <f t="shared" si="7"/>
        <v>9</v>
      </c>
      <c r="P45" s="64">
        <f t="shared" si="8"/>
        <v>17</v>
      </c>
      <c r="Q45" s="64" t="e">
        <f t="shared" si="9"/>
        <v>#VALUE!</v>
      </c>
      <c r="R45" s="64">
        <f t="shared" si="10"/>
        <v>26</v>
      </c>
      <c r="S45" s="64" t="str">
        <f>IFERROR(VLOOKUP(MID(N45,Q45,R45-Q45),[6]skilldef!$C:$D,2,FALSE),"-") &amp; " / " &amp; IFERROR(VLOOKUP(MID(N45,O45,P45-O45),[6]skilldef!$A:$B,2,FALSE),"-")</f>
        <v>- / 大攻撃</v>
      </c>
      <c r="T45" s="48" t="str">
        <f t="shared" si="11"/>
        <v>[effect:critical, val:15]</v>
      </c>
      <c r="U45" s="64">
        <f t="shared" si="12"/>
        <v>9</v>
      </c>
      <c r="V45" s="64">
        <f t="shared" si="13"/>
        <v>17</v>
      </c>
      <c r="W45" s="64" t="e">
        <f t="shared" si="14"/>
        <v>#VALUE!</v>
      </c>
      <c r="X45" s="64" t="e">
        <f t="shared" si="15"/>
        <v>#VALUE!</v>
      </c>
      <c r="Y45" s="64" t="str">
        <f>IFERROR(VLOOKUP(MID(T45,W45,X45-W45),[6]skilldef!$C:$D,2,FALSE),"-") &amp; " / " &amp; IFERROR(VLOOKUP(MID(T45,U45,V45-U45),[6]skilldef!$A:$B,2,FALSE),"-")</f>
        <v>- / 大攻撃</v>
      </c>
      <c r="Z45" s="50"/>
      <c r="AA45" s="52"/>
      <c r="AB45" s="50"/>
    </row>
    <row r="46" spans="1:28" ht="21" customHeight="1" x14ac:dyDescent="0.15">
      <c r="A46" s="47">
        <v>50011149</v>
      </c>
      <c r="B46" s="47" t="s">
        <v>406</v>
      </c>
      <c r="C46" s="50">
        <v>3</v>
      </c>
      <c r="D46" s="50" t="s">
        <v>126</v>
      </c>
      <c r="E46" s="51" t="s">
        <v>325</v>
      </c>
      <c r="F46" s="51" t="s">
        <v>407</v>
      </c>
      <c r="G46" s="64" t="str">
        <f t="shared" si="0"/>
        <v>[effect:spread, val:0.35]</v>
      </c>
      <c r="H46" s="64">
        <f t="shared" si="1"/>
        <v>9</v>
      </c>
      <c r="I46" s="64">
        <f t="shared" si="2"/>
        <v>15</v>
      </c>
      <c r="J46" s="64" t="e">
        <f t="shared" si="3"/>
        <v>#VALUE!</v>
      </c>
      <c r="K46" s="64" t="e">
        <f t="shared" si="4"/>
        <v>#VALUE!</v>
      </c>
      <c r="L46" s="64" t="str">
        <f>IFERROR(VLOOKUP(MID(G46,J46,K46-J46),[6]skilldef!$C:$D,2,FALSE),"-") &amp; " / " &amp; IFERROR(VLOOKUP(MID(G46,H46,I46-H46),[6]skilldef!$A:$B,2,FALSE),"-")</f>
        <v>- / 全体攻撃</v>
      </c>
      <c r="M46" s="64" t="str">
        <f t="shared" si="5"/>
        <v>none</v>
      </c>
      <c r="N46" s="48" t="str">
        <f t="shared" si="21"/>
        <v>none</v>
      </c>
      <c r="O46" s="64" t="e">
        <f t="shared" si="7"/>
        <v>#VALUE!</v>
      </c>
      <c r="P46" s="64">
        <f t="shared" si="8"/>
        <v>4</v>
      </c>
      <c r="Q46" s="64" t="e">
        <f t="shared" si="9"/>
        <v>#VALUE!</v>
      </c>
      <c r="R46" s="64" t="e">
        <f t="shared" si="10"/>
        <v>#VALUE!</v>
      </c>
      <c r="S46" s="64" t="str">
        <f>IFERROR(VLOOKUP(MID(N46,Q46,R46-Q46),[6]skilldef!$C:$D,2,FALSE),"-") &amp; " / " &amp; IFERROR(VLOOKUP(MID(N46,O46,P46-O46),[6]skilldef!$A:$B,2,FALSE),"-")</f>
        <v>- / -</v>
      </c>
      <c r="T46" s="48" t="str">
        <f t="shared" si="11"/>
        <v>none</v>
      </c>
      <c r="U46" s="64" t="e">
        <f t="shared" si="12"/>
        <v>#VALUE!</v>
      </c>
      <c r="V46" s="64">
        <f t="shared" si="13"/>
        <v>4</v>
      </c>
      <c r="W46" s="64" t="e">
        <f t="shared" si="14"/>
        <v>#VALUE!</v>
      </c>
      <c r="X46" s="64" t="e">
        <f t="shared" si="15"/>
        <v>#VALUE!</v>
      </c>
      <c r="Y46" s="64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47">
        <v>50011150</v>
      </c>
      <c r="B47" s="47" t="s">
        <v>408</v>
      </c>
      <c r="C47" s="50">
        <v>3</v>
      </c>
      <c r="D47" s="50" t="s">
        <v>126</v>
      </c>
      <c r="E47" s="51" t="s">
        <v>314</v>
      </c>
      <c r="F47" s="51" t="s">
        <v>431</v>
      </c>
      <c r="G47" s="64" t="str">
        <f t="shared" si="0"/>
        <v>[effect:damage_gravity, val:0.8, animation:fevergauge_down]</v>
      </c>
      <c r="H47" s="64">
        <f t="shared" si="1"/>
        <v>9</v>
      </c>
      <c r="I47" s="64">
        <f t="shared" si="2"/>
        <v>23</v>
      </c>
      <c r="J47" s="64" t="e">
        <f t="shared" si="3"/>
        <v>#VALUE!</v>
      </c>
      <c r="K47" s="64">
        <f t="shared" si="4"/>
        <v>32</v>
      </c>
      <c r="L47" s="64" t="str">
        <f>IFERROR(VLOOKUP(MID(G47,J47,K47-J47),[6]skilldef!$C:$D,2,FALSE),"-") &amp; " / " &amp; IFERROR(VLOOKUP(MID(G47,H47,I47-H47),[6]skilldef!$A:$B,2,FALSE),"-")</f>
        <v>- / 割合ダメージ</v>
      </c>
      <c r="M47" s="64" t="str">
        <f t="shared" si="5"/>
        <v>none</v>
      </c>
      <c r="N47" s="48" t="str">
        <f t="shared" si="21"/>
        <v>none</v>
      </c>
      <c r="O47" s="64" t="e">
        <f t="shared" si="7"/>
        <v>#VALUE!</v>
      </c>
      <c r="P47" s="64">
        <f t="shared" si="8"/>
        <v>4</v>
      </c>
      <c r="Q47" s="64" t="e">
        <f t="shared" si="9"/>
        <v>#VALUE!</v>
      </c>
      <c r="R47" s="64" t="e">
        <f t="shared" si="10"/>
        <v>#VALUE!</v>
      </c>
      <c r="S47" s="64" t="str">
        <f>IFERROR(VLOOKUP(MID(N47,Q47,R47-Q47),[6]skilldef!$C:$D,2,FALSE),"-") &amp; " / " &amp; IFERROR(VLOOKUP(MID(N47,O47,P47-O47),[6]skilldef!$A:$B,2,FALSE),"-")</f>
        <v>- / -</v>
      </c>
      <c r="T47" s="48" t="str">
        <f t="shared" si="11"/>
        <v>none</v>
      </c>
      <c r="U47" s="64" t="e">
        <f t="shared" si="12"/>
        <v>#VALUE!</v>
      </c>
      <c r="V47" s="64">
        <f t="shared" si="13"/>
        <v>4</v>
      </c>
      <c r="W47" s="64" t="e">
        <f t="shared" si="14"/>
        <v>#VALUE!</v>
      </c>
      <c r="X47" s="64" t="e">
        <f t="shared" si="15"/>
        <v>#VALUE!</v>
      </c>
      <c r="Y47" s="64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47">
        <v>50011151</v>
      </c>
      <c r="B48" s="47" t="s">
        <v>278</v>
      </c>
      <c r="C48" s="50">
        <v>3</v>
      </c>
      <c r="D48" s="50" t="s">
        <v>126</v>
      </c>
      <c r="E48" s="51" t="s">
        <v>324</v>
      </c>
      <c r="F48" s="51" t="s">
        <v>313</v>
      </c>
      <c r="G48" s="64" t="str">
        <f t="shared" si="0"/>
        <v>[effect:critical, val:5]</v>
      </c>
      <c r="H48" s="64">
        <f t="shared" si="1"/>
        <v>9</v>
      </c>
      <c r="I48" s="64">
        <f t="shared" si="2"/>
        <v>17</v>
      </c>
      <c r="J48" s="64" t="e">
        <f t="shared" si="3"/>
        <v>#VALUE!</v>
      </c>
      <c r="K48" s="64" t="e">
        <f t="shared" si="4"/>
        <v>#VALUE!</v>
      </c>
      <c r="L48" s="64" t="str">
        <f>IFERROR(VLOOKUP(MID(G48,J48,K48-J48),[6]skilldef!$C:$D,2,FALSE),"-") &amp; " / " &amp; IFERROR(VLOOKUP(MID(G48,H48,I48-H48),[6]skilldef!$A:$B,2,FALSE),"-")</f>
        <v>- / 大攻撃</v>
      </c>
      <c r="M48" s="64" t="str">
        <f t="shared" si="5"/>
        <v>[effect:critical, val:10],[effect:critical, val:15]</v>
      </c>
      <c r="N48" s="48" t="str">
        <f t="shared" si="21"/>
        <v>[effect:critical, val:10],[effect:critical, val:15]</v>
      </c>
      <c r="O48" s="64">
        <f t="shared" si="7"/>
        <v>9</v>
      </c>
      <c r="P48" s="64">
        <f t="shared" si="8"/>
        <v>17</v>
      </c>
      <c r="Q48" s="64" t="e">
        <f t="shared" si="9"/>
        <v>#VALUE!</v>
      </c>
      <c r="R48" s="64">
        <f t="shared" si="10"/>
        <v>26</v>
      </c>
      <c r="S48" s="64" t="str">
        <f>IFERROR(VLOOKUP(MID(N48,Q48,R48-Q48),[6]skilldef!$C:$D,2,FALSE),"-") &amp; " / " &amp; IFERROR(VLOOKUP(MID(N48,O48,P48-O48),[6]skilldef!$A:$B,2,FALSE),"-")</f>
        <v>- / 大攻撃</v>
      </c>
      <c r="T48" s="48" t="str">
        <f t="shared" si="11"/>
        <v>[effect:critical, val:15]</v>
      </c>
      <c r="U48" s="64">
        <f t="shared" si="12"/>
        <v>9</v>
      </c>
      <c r="V48" s="64">
        <f t="shared" si="13"/>
        <v>17</v>
      </c>
      <c r="W48" s="64" t="e">
        <f t="shared" si="14"/>
        <v>#VALUE!</v>
      </c>
      <c r="X48" s="64" t="e">
        <f t="shared" si="15"/>
        <v>#VALUE!</v>
      </c>
      <c r="Y48" s="64" t="str">
        <f>IFERROR(VLOOKUP(MID(T48,W48,X48-W48),[6]skilldef!$C:$D,2,FALSE),"-") &amp; " / " &amp; IFERROR(VLOOKUP(MID(T48,U48,V48-U48),[6]skilldef!$A:$B,2,FALSE),"-")</f>
        <v>- / 大攻撃</v>
      </c>
      <c r="Z48" s="50"/>
      <c r="AA48" s="52"/>
      <c r="AB48" s="50"/>
    </row>
    <row r="49" spans="1:28" ht="21" customHeight="1" x14ac:dyDescent="0.15">
      <c r="A49" s="47">
        <v>50011152</v>
      </c>
      <c r="B49" s="47" t="s">
        <v>279</v>
      </c>
      <c r="C49" s="50">
        <v>3</v>
      </c>
      <c r="D49" s="50" t="s">
        <v>126</v>
      </c>
      <c r="E49" s="51" t="s">
        <v>315</v>
      </c>
      <c r="F49" s="51" t="s">
        <v>413</v>
      </c>
      <c r="G49" s="64" t="str">
        <f t="shared" ref="G49" si="22">IFERROR(LEFT(B49,FIND("],",B49)),B49)</f>
        <v xml:space="preserve">[effect:enhance_enemy, target:myself, turn:-1, status:defense, val:5000, calc:add, animation:enemy_enhance_defense]    </v>
      </c>
      <c r="H49" s="64">
        <f t="shared" ref="H49" si="23">FIND("effect:",G49)+7</f>
        <v>9</v>
      </c>
      <c r="I49" s="64">
        <f t="shared" ref="I49" si="24">IFERROR(FIND(",",G49),LEN(G49))</f>
        <v>22</v>
      </c>
      <c r="J49" s="64">
        <f t="shared" ref="J49" si="25">FIND("target:",G49)+7</f>
        <v>31</v>
      </c>
      <c r="K49" s="64">
        <f t="shared" ref="K49" si="26">FIND(",",G49,I49+1)</f>
        <v>37</v>
      </c>
      <c r="L49" s="64" t="str">
        <f>IFERROR(VLOOKUP(MID(G49,J49,K49-J49),[6]skilldef!$C:$D,2,FALSE),"-") &amp; " / " &amp; IFERROR(VLOOKUP(MID(G49,H49,I49-H49),[6]skilldef!$A:$B,2,FALSE),"-")</f>
        <v>自分自身に / ステータス強化</v>
      </c>
      <c r="M49" s="64" t="str">
        <f t="shared" ref="M49" si="27">IFERROR(RIGHT(B49,LEN(B49)-FIND("],",B49)-1),"none")</f>
        <v>none</v>
      </c>
      <c r="N49" s="48" t="str">
        <f>IFERROR(LEFT(M49,FIND("],",M49)+#REF!),M49)</f>
        <v>none</v>
      </c>
      <c r="O49" s="64" t="e">
        <f t="shared" ref="O49" si="28">FIND("effect:",N49)+7</f>
        <v>#VALUE!</v>
      </c>
      <c r="P49" s="64">
        <f t="shared" ref="P49" si="29">IFERROR(FIND(",",N49),LEN(N49))</f>
        <v>4</v>
      </c>
      <c r="Q49" s="64" t="e">
        <f t="shared" ref="Q49" si="30">FIND("target:",N49)+7</f>
        <v>#VALUE!</v>
      </c>
      <c r="R49" s="64" t="e">
        <f t="shared" ref="R49" si="31">FIND(",",N49,P49+1)</f>
        <v>#VALUE!</v>
      </c>
      <c r="S49" s="64" t="str">
        <f>IFERROR(VLOOKUP(MID(N49,Q49,R49-Q49),[6]skilldef!$C:$D,2,FALSE),"-") &amp; " / " &amp; IFERROR(VLOOKUP(MID(N49,O49,P49-O49),[6]skilldef!$A:$B,2,FALSE),"-")</f>
        <v>- / -</v>
      </c>
      <c r="T49" s="48" t="str">
        <f t="shared" ref="T49" si="32">IFERROR(RIGHT(M49,LEN(M49)-FIND("],",M49)-1),"none")</f>
        <v>none</v>
      </c>
      <c r="U49" s="64" t="e">
        <f t="shared" ref="U49" si="33">FIND("effect:",T49)+7</f>
        <v>#VALUE!</v>
      </c>
      <c r="V49" s="64">
        <f t="shared" ref="V49" si="34">IFERROR(FIND(",",T49),LEN(T49))</f>
        <v>4</v>
      </c>
      <c r="W49" s="64" t="e">
        <f t="shared" ref="W49" si="35">FIND("target:",T49)+7</f>
        <v>#VALUE!</v>
      </c>
      <c r="X49" s="64" t="e">
        <f t="shared" ref="X49" si="36">FIND(",",T49,V49+1)</f>
        <v>#VALUE!</v>
      </c>
      <c r="Y49" s="64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47">
        <v>50011153</v>
      </c>
      <c r="B50" s="47" t="s">
        <v>278</v>
      </c>
      <c r="C50" s="50">
        <v>3</v>
      </c>
      <c r="D50" s="50" t="s">
        <v>126</v>
      </c>
      <c r="E50" s="51" t="s">
        <v>324</v>
      </c>
      <c r="F50" s="51" t="s">
        <v>313</v>
      </c>
      <c r="G50" s="64" t="str">
        <f t="shared" si="0"/>
        <v>[effect:critical, val:5]</v>
      </c>
      <c r="H50" s="64">
        <f t="shared" si="1"/>
        <v>9</v>
      </c>
      <c r="I50" s="64">
        <f t="shared" si="2"/>
        <v>17</v>
      </c>
      <c r="J50" s="64" t="e">
        <f t="shared" si="3"/>
        <v>#VALUE!</v>
      </c>
      <c r="K50" s="64" t="e">
        <f t="shared" si="4"/>
        <v>#VALUE!</v>
      </c>
      <c r="L50" s="64" t="str">
        <f>IFERROR(VLOOKUP(MID(G50,J50,K50-J50),[6]skilldef!$C:$D,2,FALSE),"-") &amp; " / " &amp; IFERROR(VLOOKUP(MID(G50,H50,I50-H50),[6]skilldef!$A:$B,2,FALSE),"-")</f>
        <v>- / 大攻撃</v>
      </c>
      <c r="M50" s="64" t="str">
        <f t="shared" si="5"/>
        <v>[effect:critical, val:10],[effect:critical, val:15]</v>
      </c>
      <c r="N50" s="48" t="str">
        <f>IFERROR(LEFT(M50,FIND("],",M50)+#REF!),M50)</f>
        <v>[effect:critical, val:10],[effect:critical, val:15]</v>
      </c>
      <c r="O50" s="64">
        <f t="shared" si="7"/>
        <v>9</v>
      </c>
      <c r="P50" s="64">
        <f t="shared" si="8"/>
        <v>17</v>
      </c>
      <c r="Q50" s="64" t="e">
        <f t="shared" si="9"/>
        <v>#VALUE!</v>
      </c>
      <c r="R50" s="64">
        <f t="shared" si="10"/>
        <v>26</v>
      </c>
      <c r="S50" s="64" t="str">
        <f>IFERROR(VLOOKUP(MID(N50,Q50,R50-Q50),[6]skilldef!$C:$D,2,FALSE),"-") &amp; " / " &amp; IFERROR(VLOOKUP(MID(N50,O50,P50-O50),[6]skilldef!$A:$B,2,FALSE),"-")</f>
        <v>- / 大攻撃</v>
      </c>
      <c r="T50" s="48" t="str">
        <f t="shared" si="11"/>
        <v>[effect:critical, val:15]</v>
      </c>
      <c r="U50" s="64">
        <f t="shared" si="12"/>
        <v>9</v>
      </c>
      <c r="V50" s="64">
        <f t="shared" si="13"/>
        <v>17</v>
      </c>
      <c r="W50" s="64" t="e">
        <f t="shared" si="14"/>
        <v>#VALUE!</v>
      </c>
      <c r="X50" s="64" t="e">
        <f t="shared" si="15"/>
        <v>#VALUE!</v>
      </c>
      <c r="Y50" s="64" t="str">
        <f>IFERROR(VLOOKUP(MID(T50,W50,X50-W50),[6]skilldef!$C:$D,2,FALSE),"-") &amp; " / " &amp; IFERROR(VLOOKUP(MID(T50,U50,V50-U50),[6]skilldef!$A:$B,2,FALSE),"-")</f>
        <v>- / 大攻撃</v>
      </c>
      <c r="Z50" s="50"/>
      <c r="AA50" s="52"/>
      <c r="AB50" s="50"/>
    </row>
    <row r="51" spans="1:28" ht="21" customHeight="1" x14ac:dyDescent="0.15">
      <c r="A51" s="47">
        <v>50011154</v>
      </c>
      <c r="B51" s="47" t="s">
        <v>387</v>
      </c>
      <c r="C51" s="50">
        <v>3</v>
      </c>
      <c r="D51" s="50" t="s">
        <v>126</v>
      </c>
      <c r="E51" s="51" t="s">
        <v>306</v>
      </c>
      <c r="F51" s="51" t="s">
        <v>348</v>
      </c>
      <c r="G51" s="64" t="str">
        <f t="shared" si="0"/>
        <v>[effect:enemy_message, val1:1.5, val2:1.8]</v>
      </c>
      <c r="H51" s="64">
        <f t="shared" si="1"/>
        <v>9</v>
      </c>
      <c r="I51" s="64">
        <f t="shared" si="2"/>
        <v>22</v>
      </c>
      <c r="J51" s="64" t="e">
        <f t="shared" si="3"/>
        <v>#VALUE!</v>
      </c>
      <c r="K51" s="64">
        <f t="shared" si="4"/>
        <v>32</v>
      </c>
      <c r="L51" s="64" t="str">
        <f>IFERROR(VLOOKUP(MID(G51,J51,K51-J51),[6]skilldef!$C:$D,2,FALSE),"-") &amp; " / " &amp; IFERROR(VLOOKUP(MID(G51,H51,I51-H51),[6]skilldef!$A:$B,2,FALSE),"-")</f>
        <v>- / -</v>
      </c>
      <c r="M51" s="64" t="str">
        <f t="shared" si="5"/>
        <v>[effect:enhance_enemy, target:myself, turn:-1, status:attack, val:1, calc:mul, animation:enemy_enhance_attack]</v>
      </c>
      <c r="N51" s="48" t="str">
        <f>IFERROR(LEFT(M51,FIND("],",M51)+#REF!),M51)</f>
        <v>[effect:enhance_enemy, target:myself, turn:-1, status:attack, val:1, calc:mul, animation:enemy_enhance_attack]</v>
      </c>
      <c r="O51" s="64">
        <f t="shared" si="7"/>
        <v>9</v>
      </c>
      <c r="P51" s="64">
        <f t="shared" si="8"/>
        <v>22</v>
      </c>
      <c r="Q51" s="64">
        <f t="shared" si="9"/>
        <v>31</v>
      </c>
      <c r="R51" s="64">
        <f t="shared" si="10"/>
        <v>37</v>
      </c>
      <c r="S51" s="64" t="str">
        <f>IFERROR(VLOOKUP(MID(N51,Q51,R51-Q51),[6]skilldef!$C:$D,2,FALSE),"-") &amp; " / " &amp; IFERROR(VLOOKUP(MID(N51,O51,P51-O51),[6]skilldef!$A:$B,2,FALSE),"-")</f>
        <v>自分自身に / ステータス強化</v>
      </c>
      <c r="T51" s="48" t="str">
        <f t="shared" si="11"/>
        <v>none</v>
      </c>
      <c r="U51" s="64" t="e">
        <f t="shared" si="12"/>
        <v>#VALUE!</v>
      </c>
      <c r="V51" s="64">
        <f t="shared" si="13"/>
        <v>4</v>
      </c>
      <c r="W51" s="64" t="e">
        <f t="shared" si="14"/>
        <v>#VALUE!</v>
      </c>
      <c r="X51" s="64" t="e">
        <f t="shared" si="15"/>
        <v>#VALUE!</v>
      </c>
      <c r="Y51" s="64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47">
        <v>50011155</v>
      </c>
      <c r="B52" s="47" t="s">
        <v>299</v>
      </c>
      <c r="C52" s="50">
        <v>3</v>
      </c>
      <c r="D52" s="50" t="s">
        <v>126</v>
      </c>
      <c r="E52" s="51" t="s">
        <v>298</v>
      </c>
      <c r="F52" s="51" t="s">
        <v>349</v>
      </c>
      <c r="G52" s="64" t="str">
        <f t="shared" si="0"/>
        <v>[effect:freq_turn, target:myself, turn:-1, val:1, animation:enemy_freq_turn]</v>
      </c>
      <c r="H52" s="64">
        <f t="shared" si="1"/>
        <v>9</v>
      </c>
      <c r="I52" s="64">
        <f t="shared" si="2"/>
        <v>18</v>
      </c>
      <c r="J52" s="64">
        <f t="shared" si="3"/>
        <v>27</v>
      </c>
      <c r="K52" s="64">
        <f t="shared" si="4"/>
        <v>33</v>
      </c>
      <c r="L52" s="64" t="str">
        <f>IFERROR(VLOOKUP(MID(G52,J52,K52-J52),[6]skilldef!$C:$D,2,FALSE),"-") &amp; " / " &amp; IFERROR(VLOOKUP(MID(G52,H52,I52-H52),[6]skilldef!$A:$B,2,FALSE),"-")</f>
        <v>自分自身に / 攻撃頻度がUP</v>
      </c>
      <c r="M52" s="64" t="str">
        <f t="shared" si="5"/>
        <v xml:space="preserve">[effect:rush, val:1, count:1] </v>
      </c>
      <c r="N52" s="48" t="str">
        <f>IFERROR(LEFT(M52,FIND("],",M52)+#REF!),M52)</f>
        <v xml:space="preserve">[effect:rush, val:1, count:1] </v>
      </c>
      <c r="O52" s="64">
        <f t="shared" si="7"/>
        <v>9</v>
      </c>
      <c r="P52" s="64">
        <f t="shared" si="8"/>
        <v>13</v>
      </c>
      <c r="Q52" s="64" t="e">
        <f t="shared" si="9"/>
        <v>#VALUE!</v>
      </c>
      <c r="R52" s="64">
        <f t="shared" si="10"/>
        <v>20</v>
      </c>
      <c r="S52" s="64" t="str">
        <f>IFERROR(VLOOKUP(MID(N52,Q52,R52-Q52),[6]skilldef!$C:$D,2,FALSE),"-") &amp; " / " &amp; IFERROR(VLOOKUP(MID(N52,O52,P52-O52),[6]skilldef!$A:$B,2,FALSE),"-")</f>
        <v>- / 連続攻撃</v>
      </c>
      <c r="T52" s="48" t="str">
        <f t="shared" si="11"/>
        <v>none</v>
      </c>
      <c r="U52" s="64" t="e">
        <f t="shared" si="12"/>
        <v>#VALUE!</v>
      </c>
      <c r="V52" s="64">
        <f t="shared" si="13"/>
        <v>4</v>
      </c>
      <c r="W52" s="64" t="e">
        <f t="shared" si="14"/>
        <v>#VALUE!</v>
      </c>
      <c r="X52" s="64" t="e">
        <f t="shared" si="15"/>
        <v>#VALUE!</v>
      </c>
      <c r="Y52" s="64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 x14ac:dyDescent="0.15">
      <c r="A53" s="47">
        <v>50011157</v>
      </c>
      <c r="B53" s="47" t="s">
        <v>284</v>
      </c>
      <c r="C53" s="50">
        <v>3</v>
      </c>
      <c r="D53" s="50" t="s">
        <v>126</v>
      </c>
      <c r="E53" s="51" t="s">
        <v>310</v>
      </c>
      <c r="F53" s="51" t="s">
        <v>433</v>
      </c>
      <c r="G53" s="64" t="str">
        <f t="shared" si="0"/>
        <v>[effect:critical, val:2.5]</v>
      </c>
      <c r="H53" s="64">
        <f t="shared" si="1"/>
        <v>9</v>
      </c>
      <c r="I53" s="64">
        <f t="shared" si="2"/>
        <v>17</v>
      </c>
      <c r="J53" s="64" t="e">
        <f t="shared" si="3"/>
        <v>#VALUE!</v>
      </c>
      <c r="K53" s="64" t="e">
        <f t="shared" si="4"/>
        <v>#VALUE!</v>
      </c>
      <c r="L53" s="64" t="str">
        <f>IFERROR(VLOOKUP(MID(G53,J53,K53-J53),[6]skilldef!$C:$D,2,FALSE),"-") &amp; " / " &amp; IFERROR(VLOOKUP(MID(G53,H53,I53-H53),[6]skilldef!$A:$B,2,FALSE),"-")</f>
        <v>- / 大攻撃</v>
      </c>
      <c r="M53" s="64" t="str">
        <f t="shared" si="5"/>
        <v>none</v>
      </c>
      <c r="N53" s="48" t="str">
        <f>IFERROR(LEFT(M53,FIND("],",M53)+#REF!),M53)</f>
        <v>none</v>
      </c>
      <c r="O53" s="64" t="e">
        <f t="shared" si="7"/>
        <v>#VALUE!</v>
      </c>
      <c r="P53" s="64">
        <f t="shared" si="8"/>
        <v>4</v>
      </c>
      <c r="Q53" s="64" t="e">
        <f t="shared" si="9"/>
        <v>#VALUE!</v>
      </c>
      <c r="R53" s="64" t="e">
        <f t="shared" si="10"/>
        <v>#VALUE!</v>
      </c>
      <c r="S53" s="64" t="str">
        <f>IFERROR(VLOOKUP(MID(N53,Q53,R53-Q53),[6]skilldef!$C:$D,2,FALSE),"-") &amp; " / " &amp; IFERROR(VLOOKUP(MID(N53,O53,P53-O53),[6]skilldef!$A:$B,2,FALSE),"-")</f>
        <v>- / -</v>
      </c>
      <c r="T53" s="48" t="str">
        <f t="shared" si="11"/>
        <v>none</v>
      </c>
      <c r="U53" s="64" t="e">
        <f t="shared" si="12"/>
        <v>#VALUE!</v>
      </c>
      <c r="V53" s="64">
        <f t="shared" si="13"/>
        <v>4</v>
      </c>
      <c r="W53" s="64" t="e">
        <f t="shared" si="14"/>
        <v>#VALUE!</v>
      </c>
      <c r="X53" s="64" t="e">
        <f t="shared" si="15"/>
        <v>#VALUE!</v>
      </c>
      <c r="Y53" s="64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47">
        <v>50011158</v>
      </c>
      <c r="B54" s="47" t="s">
        <v>391</v>
      </c>
      <c r="C54" s="50">
        <v>3</v>
      </c>
      <c r="D54" s="50" t="s">
        <v>126</v>
      </c>
      <c r="E54" s="51" t="s">
        <v>369</v>
      </c>
      <c r="F54" s="51" t="s">
        <v>370</v>
      </c>
      <c r="G54" s="64" t="str">
        <f t="shared" si="0"/>
        <v>[effect:enemy_message, val1:1, val2:2.3]</v>
      </c>
      <c r="H54" s="64">
        <f t="shared" si="1"/>
        <v>9</v>
      </c>
      <c r="I54" s="64">
        <f t="shared" si="2"/>
        <v>22</v>
      </c>
      <c r="J54" s="64" t="e">
        <f t="shared" si="3"/>
        <v>#VALUE!</v>
      </c>
      <c r="K54" s="64">
        <f t="shared" si="4"/>
        <v>30</v>
      </c>
      <c r="L54" s="64" t="str">
        <f>IFERROR(VLOOKUP(MID(G54,J54,K54-J54),[6]skilldef!$C:$D,2,FALSE),"-") &amp; " / " &amp; IFERROR(VLOOKUP(MID(G54,H54,I54-H54),[6]skilldef!$A:$B,2,FALSE),"-")</f>
        <v>- / -</v>
      </c>
      <c r="M54" s="64" t="str">
        <f t="shared" si="5"/>
        <v>[effect:tolerance, target:myself, turn:-1, tolerance_effect:all, count:-1, animation:enemy_tolerance]</v>
      </c>
      <c r="N54" s="48" t="str">
        <f>IFERROR(LEFT(M54,FIND("],",M54)+#REF!),M54)</f>
        <v>[effect:tolerance, target:myself, turn:-1, tolerance_effect:all, count:-1, animation:enemy_tolerance]</v>
      </c>
      <c r="O54" s="64">
        <f t="shared" si="7"/>
        <v>9</v>
      </c>
      <c r="P54" s="64">
        <f t="shared" si="8"/>
        <v>18</v>
      </c>
      <c r="Q54" s="64">
        <f t="shared" si="9"/>
        <v>27</v>
      </c>
      <c r="R54" s="64">
        <f t="shared" si="10"/>
        <v>33</v>
      </c>
      <c r="S54" s="64" t="str">
        <f>IFERROR(VLOOKUP(MID(N54,Q54,R54-Q54),[6]skilldef!$C:$D,2,FALSE),"-") &amp; " / " &amp; IFERROR(VLOOKUP(MID(N54,O54,P54-O54),[6]skilldef!$A:$B,2,FALSE),"-")</f>
        <v>自分自身に / 状態異常耐性</v>
      </c>
      <c r="T54" s="48" t="str">
        <f t="shared" si="11"/>
        <v>none</v>
      </c>
      <c r="U54" s="64" t="e">
        <f t="shared" si="12"/>
        <v>#VALUE!</v>
      </c>
      <c r="V54" s="64">
        <f t="shared" si="13"/>
        <v>4</v>
      </c>
      <c r="W54" s="64" t="e">
        <f t="shared" si="14"/>
        <v>#VALUE!</v>
      </c>
      <c r="X54" s="64" t="e">
        <f t="shared" si="15"/>
        <v>#VALUE!</v>
      </c>
      <c r="Y54" s="64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 x14ac:dyDescent="0.15">
      <c r="A55" s="47">
        <v>50011159</v>
      </c>
      <c r="B55" s="47" t="s">
        <v>390</v>
      </c>
      <c r="C55" s="50">
        <v>3</v>
      </c>
      <c r="D55" s="50" t="s">
        <v>126</v>
      </c>
      <c r="E55" s="51" t="s">
        <v>336</v>
      </c>
      <c r="F55" s="51" t="s">
        <v>337</v>
      </c>
      <c r="G55" s="64" t="str">
        <f t="shared" si="0"/>
        <v>[effect:enemy_message, val1:1, val2:2.3]</v>
      </c>
      <c r="H55" s="64">
        <f t="shared" si="1"/>
        <v>9</v>
      </c>
      <c r="I55" s="64">
        <f t="shared" si="2"/>
        <v>22</v>
      </c>
      <c r="J55" s="64" t="e">
        <f t="shared" si="3"/>
        <v>#VALUE!</v>
      </c>
      <c r="K55" s="64">
        <f t="shared" si="4"/>
        <v>30</v>
      </c>
      <c r="L55" s="64" t="str">
        <f>IFERROR(VLOOKUP(MID(G55,J55,K55-J55),[6]skilldef!$C:$D,2,FALSE),"-") &amp; " / " &amp; IFERROR(VLOOKUP(MID(G55,H55,I55-H55),[6]skilldef!$A:$B,2,FALSE),"-")</f>
        <v>- / -</v>
      </c>
      <c r="M55" s="64" t="str">
        <f t="shared" si="5"/>
        <v>[effect:tolerance, target:myself, turn:-1, tolerance_effect:all, count:-1, animation:enemy_tolerance]</v>
      </c>
      <c r="N55" s="48" t="str">
        <f>IFERROR(LEFT(M55,FIND("],",M55)+#REF!),M55)</f>
        <v>[effect:tolerance, target:myself, turn:-1, tolerance_effect:all, count:-1, animation:enemy_tolerance]</v>
      </c>
      <c r="O55" s="64">
        <f t="shared" si="7"/>
        <v>9</v>
      </c>
      <c r="P55" s="64">
        <f t="shared" si="8"/>
        <v>18</v>
      </c>
      <c r="Q55" s="64">
        <f t="shared" si="9"/>
        <v>27</v>
      </c>
      <c r="R55" s="64">
        <f t="shared" si="10"/>
        <v>33</v>
      </c>
      <c r="S55" s="64" t="str">
        <f>IFERROR(VLOOKUP(MID(N55,Q55,R55-Q55),[6]skilldef!$C:$D,2,FALSE),"-") &amp; " / " &amp; IFERROR(VLOOKUP(MID(N55,O55,P55-O55),[6]skilldef!$A:$B,2,FALSE),"-")</f>
        <v>自分自身に / 状態異常耐性</v>
      </c>
      <c r="T55" s="48" t="str">
        <f t="shared" si="11"/>
        <v>none</v>
      </c>
      <c r="U55" s="64" t="e">
        <f t="shared" si="12"/>
        <v>#VALUE!</v>
      </c>
      <c r="V55" s="64">
        <f t="shared" si="13"/>
        <v>4</v>
      </c>
      <c r="W55" s="64" t="e">
        <f t="shared" si="14"/>
        <v>#VALUE!</v>
      </c>
      <c r="X55" s="64" t="e">
        <f t="shared" si="15"/>
        <v>#VALUE!</v>
      </c>
      <c r="Y55" s="64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 x14ac:dyDescent="0.15">
      <c r="A56" s="47">
        <v>50011160</v>
      </c>
      <c r="B56" s="47" t="s">
        <v>401</v>
      </c>
      <c r="C56" s="50">
        <v>3</v>
      </c>
      <c r="D56" s="50" t="s">
        <v>126</v>
      </c>
      <c r="E56" s="51" t="s">
        <v>359</v>
      </c>
      <c r="F56" s="51" t="s">
        <v>398</v>
      </c>
      <c r="G56" s="64" t="str">
        <f t="shared" si="0"/>
        <v xml:space="preserve">[effect:enemy_message, val1:1.5, val2:3, dead_type:escape]    </v>
      </c>
      <c r="H56" s="64">
        <f t="shared" si="1"/>
        <v>9</v>
      </c>
      <c r="I56" s="64">
        <f t="shared" si="2"/>
        <v>22</v>
      </c>
      <c r="J56" s="64" t="e">
        <f t="shared" si="3"/>
        <v>#VALUE!</v>
      </c>
      <c r="K56" s="64">
        <f t="shared" si="4"/>
        <v>32</v>
      </c>
      <c r="L56" s="64" t="str">
        <f>IFERROR(VLOOKUP(MID(G56,J56,K56-J56),[6]skilldef!$C:$D,2,FALSE),"-") &amp; " / " &amp; IFERROR(VLOOKUP(MID(G56,H56,I56-H56),[6]skilldef!$A:$B,2,FALSE),"-")</f>
        <v>- / -</v>
      </c>
      <c r="M56" s="64" t="str">
        <f t="shared" si="5"/>
        <v>none</v>
      </c>
      <c r="N56" s="48" t="str">
        <f>IFERROR(LEFT(M56,FIND("],",M56)+#REF!),M56)</f>
        <v>none</v>
      </c>
      <c r="O56" s="64" t="e">
        <f t="shared" si="7"/>
        <v>#VALUE!</v>
      </c>
      <c r="P56" s="64">
        <f t="shared" si="8"/>
        <v>4</v>
      </c>
      <c r="Q56" s="64" t="e">
        <f t="shared" si="9"/>
        <v>#VALUE!</v>
      </c>
      <c r="R56" s="64" t="e">
        <f t="shared" si="10"/>
        <v>#VALUE!</v>
      </c>
      <c r="S56" s="64" t="str">
        <f>IFERROR(VLOOKUP(MID(N56,Q56,R56-Q56),[6]skilldef!$C:$D,2,FALSE),"-") &amp; " / " &amp; IFERROR(VLOOKUP(MID(N56,O56,P56-O56),[6]skilldef!$A:$B,2,FALSE),"-")</f>
        <v>- / -</v>
      </c>
      <c r="T56" s="48" t="str">
        <f t="shared" si="11"/>
        <v>none</v>
      </c>
      <c r="U56" s="64" t="e">
        <f t="shared" si="12"/>
        <v>#VALUE!</v>
      </c>
      <c r="V56" s="64">
        <f t="shared" si="13"/>
        <v>4</v>
      </c>
      <c r="W56" s="64" t="e">
        <f t="shared" si="14"/>
        <v>#VALUE!</v>
      </c>
      <c r="X56" s="64" t="e">
        <f t="shared" si="15"/>
        <v>#VALUE!</v>
      </c>
      <c r="Y56" s="64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21" customHeight="1" x14ac:dyDescent="0.15">
      <c r="A57" s="47">
        <v>50011161</v>
      </c>
      <c r="B57" s="47" t="s">
        <v>402</v>
      </c>
      <c r="C57" s="50">
        <v>3</v>
      </c>
      <c r="D57" s="50" t="s">
        <v>126</v>
      </c>
      <c r="E57" s="51" t="s">
        <v>359</v>
      </c>
      <c r="F57" s="51" t="s">
        <v>360</v>
      </c>
      <c r="G57" s="64" t="str">
        <f t="shared" si="0"/>
        <v xml:space="preserve">[effect:enemy_message, val1:1.5, val2:3, dead_type:escape]    </v>
      </c>
      <c r="H57" s="64">
        <f t="shared" si="1"/>
        <v>9</v>
      </c>
      <c r="I57" s="64">
        <f t="shared" si="2"/>
        <v>22</v>
      </c>
      <c r="J57" s="64" t="e">
        <f t="shared" si="3"/>
        <v>#VALUE!</v>
      </c>
      <c r="K57" s="64">
        <f t="shared" si="4"/>
        <v>32</v>
      </c>
      <c r="L57" s="64" t="str">
        <f>IFERROR(VLOOKUP(MID(G57,J57,K57-J57),[6]skilldef!$C:$D,2,FALSE),"-") &amp; " / " &amp; IFERROR(VLOOKUP(MID(G57,H57,I57-H57),[6]skilldef!$A:$B,2,FALSE),"-")</f>
        <v>- / -</v>
      </c>
      <c r="M57" s="64" t="str">
        <f t="shared" si="5"/>
        <v>none</v>
      </c>
      <c r="N57" s="48" t="str">
        <f>IFERROR(LEFT(M57,FIND("],",M57)+#REF!),M57)</f>
        <v>none</v>
      </c>
      <c r="O57" s="64" t="e">
        <f t="shared" si="7"/>
        <v>#VALUE!</v>
      </c>
      <c r="P57" s="64">
        <f t="shared" si="8"/>
        <v>4</v>
      </c>
      <c r="Q57" s="64" t="e">
        <f t="shared" si="9"/>
        <v>#VALUE!</v>
      </c>
      <c r="R57" s="64" t="e">
        <f t="shared" si="10"/>
        <v>#VALUE!</v>
      </c>
      <c r="S57" s="64" t="str">
        <f>IFERROR(VLOOKUP(MID(N57,Q57,R57-Q57),[6]skilldef!$C:$D,2,FALSE),"-") &amp; " / " &amp; IFERROR(VLOOKUP(MID(N57,O57,P57-O57),[6]skilldef!$A:$B,2,FALSE),"-")</f>
        <v>- / -</v>
      </c>
      <c r="T57" s="48" t="str">
        <f t="shared" si="11"/>
        <v>none</v>
      </c>
      <c r="U57" s="64" t="e">
        <f t="shared" si="12"/>
        <v>#VALUE!</v>
      </c>
      <c r="V57" s="64">
        <f t="shared" si="13"/>
        <v>4</v>
      </c>
      <c r="W57" s="64" t="e">
        <f t="shared" si="14"/>
        <v>#VALUE!</v>
      </c>
      <c r="X57" s="64" t="e">
        <f t="shared" si="15"/>
        <v>#VALUE!</v>
      </c>
      <c r="Y57" s="64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21" customHeight="1" x14ac:dyDescent="0.15">
      <c r="A58" s="47">
        <v>50011162</v>
      </c>
      <c r="B58" s="47" t="s">
        <v>437</v>
      </c>
      <c r="C58" s="50">
        <v>3</v>
      </c>
      <c r="D58" s="50" t="s">
        <v>126</v>
      </c>
      <c r="E58" s="51" t="s">
        <v>381</v>
      </c>
      <c r="F58" s="51" t="s">
        <v>400</v>
      </c>
      <c r="G58" s="64" t="str">
        <f t="shared" si="0"/>
        <v xml:space="preserve">[effect:enemy_message, val1:1.5, val2:3, dead_type:suicide]    </v>
      </c>
      <c r="H58" s="64">
        <f t="shared" si="1"/>
        <v>9</v>
      </c>
      <c r="I58" s="64">
        <f t="shared" si="2"/>
        <v>22</v>
      </c>
      <c r="J58" s="64" t="e">
        <f t="shared" si="3"/>
        <v>#VALUE!</v>
      </c>
      <c r="K58" s="64">
        <f t="shared" si="4"/>
        <v>32</v>
      </c>
      <c r="L58" s="64" t="str">
        <f>IFERROR(VLOOKUP(MID(G58,J58,K58-J58),[6]skilldef!$C:$D,2,FALSE),"-") &amp; " / " &amp; IFERROR(VLOOKUP(MID(G58,H58,I58-H58),[6]skilldef!$A:$B,2,FALSE),"-")</f>
        <v>- / -</v>
      </c>
      <c r="M58" s="64" t="str">
        <f t="shared" si="5"/>
        <v>none</v>
      </c>
      <c r="N58" s="48" t="str">
        <f>IFERROR(LEFT(M58,FIND("],",M58)+#REF!),M58)</f>
        <v>none</v>
      </c>
      <c r="O58" s="64" t="e">
        <f t="shared" si="7"/>
        <v>#VALUE!</v>
      </c>
      <c r="P58" s="64">
        <f t="shared" si="8"/>
        <v>4</v>
      </c>
      <c r="Q58" s="64" t="e">
        <f t="shared" si="9"/>
        <v>#VALUE!</v>
      </c>
      <c r="R58" s="64" t="e">
        <f t="shared" si="10"/>
        <v>#VALUE!</v>
      </c>
      <c r="S58" s="64" t="str">
        <f>IFERROR(VLOOKUP(MID(N58,Q58,R58-Q58),[6]skilldef!$C:$D,2,FALSE),"-") &amp; " / " &amp; IFERROR(VLOOKUP(MID(N58,O58,P58-O58),[6]skilldef!$A:$B,2,FALSE),"-")</f>
        <v>- / -</v>
      </c>
      <c r="T58" s="48" t="str">
        <f t="shared" si="11"/>
        <v>none</v>
      </c>
      <c r="U58" s="64" t="e">
        <f t="shared" si="12"/>
        <v>#VALUE!</v>
      </c>
      <c r="V58" s="64">
        <f t="shared" si="13"/>
        <v>4</v>
      </c>
      <c r="W58" s="64" t="e">
        <f t="shared" si="14"/>
        <v>#VALUE!</v>
      </c>
      <c r="X58" s="64" t="e">
        <f t="shared" si="15"/>
        <v>#VALUE!</v>
      </c>
      <c r="Y58" s="64" t="str">
        <f>IFERROR(VLOOKUP(MID(T58,W58,X58-W58),[6]skilldef!$C:$D,2,FALSE),"-") &amp; " / " &amp; IFERROR(VLOOKUP(MID(T58,U58,V58-U58),[6]skilldef!$A:$B,2,FALSE),"-")</f>
        <v>- / -</v>
      </c>
      <c r="Z58" s="50"/>
      <c r="AA58" s="52"/>
      <c r="AB58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7"/>
  <sheetViews>
    <sheetView showGridLines="0" zoomScale="118" zoomScaleNormal="118" zoomScalePageLayoutView="118" workbookViewId="0">
      <pane ySplit="1" topLeftCell="A2" activePane="bottomLeft" state="frozenSplit"/>
      <selection pane="bottomLeft" activeCell="I65" sqref="I65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10" width="14.6640625" style="49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50011100</v>
      </c>
      <c r="B2" s="110">
        <v>1</v>
      </c>
      <c r="C2" s="110">
        <v>200</v>
      </c>
      <c r="D2" s="110">
        <v>100</v>
      </c>
      <c r="E2" s="110" t="s">
        <v>259</v>
      </c>
      <c r="F2" s="110" t="s">
        <v>262</v>
      </c>
      <c r="G2" s="110">
        <v>1</v>
      </c>
      <c r="H2" s="110" t="s">
        <v>263</v>
      </c>
      <c r="I2" s="110" t="s">
        <v>264</v>
      </c>
      <c r="J2" s="48">
        <f t="shared" ref="J2:J65" si="0">D2</f>
        <v>100</v>
      </c>
    </row>
    <row r="3" spans="1:11" ht="21" customHeight="1" x14ac:dyDescent="0.15">
      <c r="A3" s="47">
        <v>50011101</v>
      </c>
      <c r="B3" s="48">
        <v>0</v>
      </c>
      <c r="C3" s="48">
        <v>150</v>
      </c>
      <c r="D3" s="48">
        <v>100</v>
      </c>
      <c r="E3" s="48" t="s">
        <v>260</v>
      </c>
      <c r="F3" s="48" t="s">
        <v>261</v>
      </c>
      <c r="G3" s="48">
        <v>1</v>
      </c>
      <c r="H3" s="48">
        <v>1</v>
      </c>
      <c r="I3" s="48" t="s">
        <v>259</v>
      </c>
      <c r="J3" s="48">
        <f t="shared" si="0"/>
        <v>100</v>
      </c>
    </row>
    <row r="4" spans="1:11" ht="21" customHeight="1" x14ac:dyDescent="0.15">
      <c r="A4" s="47">
        <v>50011102</v>
      </c>
      <c r="B4" s="48">
        <v>0</v>
      </c>
      <c r="C4" s="48">
        <v>140</v>
      </c>
      <c r="D4" s="48">
        <v>100</v>
      </c>
      <c r="E4" s="48" t="s">
        <v>260</v>
      </c>
      <c r="F4" s="48" t="s">
        <v>261</v>
      </c>
      <c r="G4" s="48">
        <v>1</v>
      </c>
      <c r="H4" s="48">
        <v>2</v>
      </c>
      <c r="I4" s="48" t="s">
        <v>259</v>
      </c>
      <c r="J4" s="48">
        <f t="shared" si="0"/>
        <v>100</v>
      </c>
    </row>
    <row r="5" spans="1:11" ht="21" customHeight="1" x14ac:dyDescent="0.15">
      <c r="A5" s="47">
        <v>50011103</v>
      </c>
      <c r="B5" s="48">
        <v>0</v>
      </c>
      <c r="C5" s="48">
        <v>130</v>
      </c>
      <c r="D5" s="48">
        <v>100</v>
      </c>
      <c r="E5" s="48" t="s">
        <v>260</v>
      </c>
      <c r="F5" s="48" t="s">
        <v>261</v>
      </c>
      <c r="G5" s="48">
        <v>1</v>
      </c>
      <c r="H5" s="48">
        <v>3</v>
      </c>
      <c r="I5" s="48" t="s">
        <v>259</v>
      </c>
      <c r="J5" s="48">
        <f t="shared" si="0"/>
        <v>100</v>
      </c>
    </row>
    <row r="6" spans="1:11" ht="21" customHeight="1" x14ac:dyDescent="0.15">
      <c r="A6" s="47">
        <v>50011104</v>
      </c>
      <c r="B6" s="48">
        <v>0</v>
      </c>
      <c r="C6" s="48">
        <v>120</v>
      </c>
      <c r="D6" s="48">
        <v>100</v>
      </c>
      <c r="E6" s="48" t="s">
        <v>260</v>
      </c>
      <c r="F6" s="48" t="s">
        <v>261</v>
      </c>
      <c r="G6" s="48">
        <v>1</v>
      </c>
      <c r="H6" s="48">
        <v>4</v>
      </c>
      <c r="I6" s="48" t="s">
        <v>259</v>
      </c>
      <c r="J6" s="48">
        <f t="shared" si="0"/>
        <v>100</v>
      </c>
    </row>
    <row r="7" spans="1:11" ht="21" customHeight="1" thickBot="1" x14ac:dyDescent="0.2">
      <c r="A7" s="112">
        <v>50011105</v>
      </c>
      <c r="B7" s="114">
        <v>0</v>
      </c>
      <c r="C7" s="114">
        <v>110</v>
      </c>
      <c r="D7" s="114">
        <v>75</v>
      </c>
      <c r="E7" s="114" t="s">
        <v>260</v>
      </c>
      <c r="F7" s="114" t="s">
        <v>261</v>
      </c>
      <c r="G7" s="114" t="s">
        <v>258</v>
      </c>
      <c r="H7" s="114">
        <v>1</v>
      </c>
      <c r="I7" s="114" t="s">
        <v>259</v>
      </c>
      <c r="J7" s="48">
        <f t="shared" si="0"/>
        <v>75</v>
      </c>
    </row>
    <row r="8" spans="1:11" ht="21" customHeight="1" thickTop="1" x14ac:dyDescent="0.15">
      <c r="A8" s="108">
        <v>50011106</v>
      </c>
      <c r="B8" s="110">
        <v>1</v>
      </c>
      <c r="C8" s="110">
        <v>200</v>
      </c>
      <c r="D8" s="110">
        <v>100</v>
      </c>
      <c r="E8" s="110" t="s">
        <v>259</v>
      </c>
      <c r="F8" s="110" t="s">
        <v>262</v>
      </c>
      <c r="G8" s="110">
        <v>1</v>
      </c>
      <c r="H8" s="110" t="s">
        <v>263</v>
      </c>
      <c r="I8" s="110" t="s">
        <v>264</v>
      </c>
      <c r="J8" s="48">
        <f t="shared" si="0"/>
        <v>100</v>
      </c>
    </row>
    <row r="9" spans="1:11" ht="21" customHeight="1" x14ac:dyDescent="0.15">
      <c r="A9" s="47">
        <v>50011107</v>
      </c>
      <c r="B9" s="48">
        <v>0</v>
      </c>
      <c r="C9" s="48">
        <v>120</v>
      </c>
      <c r="D9" s="48">
        <v>100</v>
      </c>
      <c r="E9" s="48" t="s">
        <v>260</v>
      </c>
      <c r="F9" s="48" t="s">
        <v>261</v>
      </c>
      <c r="G9" s="48" t="s">
        <v>275</v>
      </c>
      <c r="H9" s="48">
        <v>1</v>
      </c>
      <c r="I9" s="48" t="s">
        <v>259</v>
      </c>
      <c r="J9" s="48">
        <f t="shared" si="0"/>
        <v>100</v>
      </c>
    </row>
    <row r="10" spans="1:11" ht="21" customHeight="1" x14ac:dyDescent="0.15">
      <c r="A10" s="47">
        <v>50011108</v>
      </c>
      <c r="B10" s="48">
        <v>0</v>
      </c>
      <c r="C10" s="48">
        <v>130</v>
      </c>
      <c r="D10" s="48">
        <v>100</v>
      </c>
      <c r="E10" s="48" t="s">
        <v>260</v>
      </c>
      <c r="F10" s="48" t="s">
        <v>261</v>
      </c>
      <c r="G10" s="48" t="s">
        <v>275</v>
      </c>
      <c r="H10" s="48">
        <v>2</v>
      </c>
      <c r="I10" s="48" t="s">
        <v>259</v>
      </c>
      <c r="J10" s="48">
        <f t="shared" si="0"/>
        <v>100</v>
      </c>
    </row>
    <row r="11" spans="1:11" ht="21" customHeight="1" x14ac:dyDescent="0.15">
      <c r="A11" s="47">
        <v>50011109</v>
      </c>
      <c r="B11" s="48">
        <v>0</v>
      </c>
      <c r="C11" s="48">
        <v>150</v>
      </c>
      <c r="D11" s="48">
        <v>100</v>
      </c>
      <c r="E11" s="48" t="s">
        <v>260</v>
      </c>
      <c r="F11" s="48" t="s">
        <v>261</v>
      </c>
      <c r="G11" s="48" t="s">
        <v>275</v>
      </c>
      <c r="H11" s="48">
        <v>3</v>
      </c>
      <c r="I11" s="48" t="s">
        <v>259</v>
      </c>
      <c r="J11" s="48">
        <f t="shared" si="0"/>
        <v>100</v>
      </c>
    </row>
    <row r="12" spans="1:11" ht="21" customHeight="1" x14ac:dyDescent="0.15">
      <c r="A12" s="47">
        <v>50011110</v>
      </c>
      <c r="B12" s="48">
        <v>0</v>
      </c>
      <c r="C12" s="48">
        <v>110</v>
      </c>
      <c r="D12" s="48">
        <v>100</v>
      </c>
      <c r="E12" s="48" t="s">
        <v>260</v>
      </c>
      <c r="F12" s="48" t="s">
        <v>261</v>
      </c>
      <c r="G12" s="48">
        <v>1</v>
      </c>
      <c r="H12" s="48">
        <v>4</v>
      </c>
      <c r="I12" s="48" t="s">
        <v>259</v>
      </c>
      <c r="J12" s="48">
        <f t="shared" si="0"/>
        <v>100</v>
      </c>
    </row>
    <row r="13" spans="1:11" ht="21" customHeight="1" thickBot="1" x14ac:dyDescent="0.2">
      <c r="A13" s="112">
        <v>50011111</v>
      </c>
      <c r="B13" s="110">
        <v>1</v>
      </c>
      <c r="C13" s="110">
        <v>200</v>
      </c>
      <c r="D13" s="110">
        <v>100</v>
      </c>
      <c r="E13" s="110" t="s">
        <v>252</v>
      </c>
      <c r="F13" s="110" t="s">
        <v>252</v>
      </c>
      <c r="G13" s="110">
        <v>1</v>
      </c>
      <c r="H13" s="110" t="s">
        <v>252</v>
      </c>
      <c r="I13" s="110" t="s">
        <v>252</v>
      </c>
      <c r="J13" s="48">
        <f t="shared" si="0"/>
        <v>100</v>
      </c>
    </row>
    <row r="14" spans="1:11" ht="21" customHeight="1" thickTop="1" x14ac:dyDescent="0.15">
      <c r="A14" s="108">
        <v>50011112</v>
      </c>
      <c r="B14" s="110">
        <v>1</v>
      </c>
      <c r="C14" s="110">
        <v>200</v>
      </c>
      <c r="D14" s="110">
        <v>100</v>
      </c>
      <c r="E14" s="110" t="s">
        <v>259</v>
      </c>
      <c r="F14" s="110" t="s">
        <v>262</v>
      </c>
      <c r="G14" s="110">
        <v>1</v>
      </c>
      <c r="H14" s="110" t="s">
        <v>263</v>
      </c>
      <c r="I14" s="110" t="s">
        <v>264</v>
      </c>
      <c r="J14" s="48">
        <f t="shared" si="0"/>
        <v>100</v>
      </c>
    </row>
    <row r="15" spans="1:11" ht="21" customHeight="1" x14ac:dyDescent="0.15">
      <c r="A15" s="47">
        <v>50011113</v>
      </c>
      <c r="B15" s="48">
        <v>0</v>
      </c>
      <c r="C15" s="48">
        <v>150</v>
      </c>
      <c r="D15" s="48">
        <v>100</v>
      </c>
      <c r="E15" s="48" t="s">
        <v>269</v>
      </c>
      <c r="F15" s="48" t="s">
        <v>265</v>
      </c>
      <c r="G15" s="48" t="s">
        <v>267</v>
      </c>
      <c r="H15" s="48">
        <v>2</v>
      </c>
      <c r="I15" s="48" t="s">
        <v>258</v>
      </c>
      <c r="J15" s="48">
        <f t="shared" si="0"/>
        <v>100</v>
      </c>
    </row>
    <row r="16" spans="1:11" ht="21" customHeight="1" x14ac:dyDescent="0.15">
      <c r="A16" s="47">
        <v>50011114</v>
      </c>
      <c r="B16" s="48">
        <v>0</v>
      </c>
      <c r="C16" s="48">
        <v>140</v>
      </c>
      <c r="D16" s="48">
        <v>100</v>
      </c>
      <c r="E16" s="48" t="s">
        <v>263</v>
      </c>
      <c r="F16" s="48" t="s">
        <v>270</v>
      </c>
      <c r="G16" s="48" t="s">
        <v>268</v>
      </c>
      <c r="H16" s="48">
        <v>1</v>
      </c>
      <c r="I16" s="48" t="s">
        <v>258</v>
      </c>
      <c r="J16" s="48">
        <f t="shared" si="0"/>
        <v>100</v>
      </c>
    </row>
    <row r="17" spans="1:10" ht="21" customHeight="1" x14ac:dyDescent="0.15">
      <c r="A17" s="47">
        <v>50011115</v>
      </c>
      <c r="B17" s="48">
        <v>0</v>
      </c>
      <c r="C17" s="48">
        <v>180</v>
      </c>
      <c r="D17" s="48">
        <v>100</v>
      </c>
      <c r="E17" s="48">
        <v>50</v>
      </c>
      <c r="F17" s="48" t="s">
        <v>270</v>
      </c>
      <c r="G17" s="48">
        <v>1</v>
      </c>
      <c r="H17" s="48">
        <v>1</v>
      </c>
      <c r="I17" s="48" t="s">
        <v>258</v>
      </c>
      <c r="J17" s="48">
        <f t="shared" si="0"/>
        <v>100</v>
      </c>
    </row>
    <row r="18" spans="1:10" ht="21" customHeight="1" x14ac:dyDescent="0.15">
      <c r="A18" s="47">
        <v>50011116</v>
      </c>
      <c r="B18" s="48">
        <v>0</v>
      </c>
      <c r="C18" s="48">
        <v>160</v>
      </c>
      <c r="D18" s="48">
        <v>100</v>
      </c>
      <c r="E18" s="48">
        <v>30</v>
      </c>
      <c r="F18" s="48" t="s">
        <v>270</v>
      </c>
      <c r="G18" s="48">
        <v>1</v>
      </c>
      <c r="H18" s="48">
        <v>1</v>
      </c>
      <c r="I18" s="48" t="s">
        <v>258</v>
      </c>
      <c r="J18" s="48">
        <f t="shared" si="0"/>
        <v>100</v>
      </c>
    </row>
    <row r="19" spans="1:10" ht="21" customHeight="1" thickBot="1" x14ac:dyDescent="0.2">
      <c r="A19" s="112">
        <v>50011117</v>
      </c>
      <c r="B19" s="114">
        <v>0</v>
      </c>
      <c r="C19" s="114">
        <v>190</v>
      </c>
      <c r="D19" s="114">
        <v>100</v>
      </c>
      <c r="E19" s="114" t="s">
        <v>261</v>
      </c>
      <c r="F19" s="114" t="s">
        <v>271</v>
      </c>
      <c r="G19" s="114">
        <v>1</v>
      </c>
      <c r="H19" s="114" t="s">
        <v>265</v>
      </c>
      <c r="I19" s="114">
        <v>224</v>
      </c>
      <c r="J19" s="48">
        <f t="shared" si="0"/>
        <v>100</v>
      </c>
    </row>
    <row r="20" spans="1:10" ht="21" customHeight="1" thickTop="1" x14ac:dyDescent="0.15">
      <c r="A20" s="108">
        <v>50011118</v>
      </c>
      <c r="B20" s="110">
        <v>1</v>
      </c>
      <c r="C20" s="110">
        <v>200</v>
      </c>
      <c r="D20" s="110">
        <v>100</v>
      </c>
      <c r="E20" s="110" t="s">
        <v>259</v>
      </c>
      <c r="F20" s="110" t="s">
        <v>262</v>
      </c>
      <c r="G20" s="110">
        <v>1</v>
      </c>
      <c r="H20" s="110" t="s">
        <v>263</v>
      </c>
      <c r="I20" s="110" t="s">
        <v>264</v>
      </c>
      <c r="J20" s="48">
        <f t="shared" si="0"/>
        <v>100</v>
      </c>
    </row>
    <row r="21" spans="1:10" ht="21" customHeight="1" x14ac:dyDescent="0.15">
      <c r="A21" s="47">
        <v>50011119</v>
      </c>
      <c r="B21" s="48">
        <v>0</v>
      </c>
      <c r="C21" s="48">
        <v>150</v>
      </c>
      <c r="D21" s="48">
        <v>100</v>
      </c>
      <c r="E21" s="48" t="s">
        <v>269</v>
      </c>
      <c r="F21" s="48" t="s">
        <v>265</v>
      </c>
      <c r="G21" s="48" t="s">
        <v>267</v>
      </c>
      <c r="H21" s="48">
        <v>2</v>
      </c>
      <c r="I21" s="48" t="s">
        <v>258</v>
      </c>
      <c r="J21" s="48">
        <f t="shared" si="0"/>
        <v>100</v>
      </c>
    </row>
    <row r="22" spans="1:10" ht="21" customHeight="1" x14ac:dyDescent="0.15">
      <c r="A22" s="47">
        <v>50011120</v>
      </c>
      <c r="B22" s="48">
        <v>0</v>
      </c>
      <c r="C22" s="48">
        <v>140</v>
      </c>
      <c r="D22" s="48">
        <v>100</v>
      </c>
      <c r="E22" s="48" t="s">
        <v>263</v>
      </c>
      <c r="F22" s="48" t="s">
        <v>270</v>
      </c>
      <c r="G22" s="48" t="s">
        <v>268</v>
      </c>
      <c r="H22" s="48">
        <v>1</v>
      </c>
      <c r="I22" s="48" t="s">
        <v>258</v>
      </c>
      <c r="J22" s="48">
        <f t="shared" si="0"/>
        <v>100</v>
      </c>
    </row>
    <row r="23" spans="1:10" ht="21" customHeight="1" x14ac:dyDescent="0.15">
      <c r="A23" s="47">
        <v>50011121</v>
      </c>
      <c r="B23" s="48">
        <v>0</v>
      </c>
      <c r="C23" s="48">
        <v>180</v>
      </c>
      <c r="D23" s="48">
        <v>100</v>
      </c>
      <c r="E23" s="48">
        <v>50</v>
      </c>
      <c r="F23" s="48" t="s">
        <v>257</v>
      </c>
      <c r="G23" s="48">
        <v>1</v>
      </c>
      <c r="H23" s="48">
        <v>1</v>
      </c>
      <c r="I23" s="48" t="s">
        <v>257</v>
      </c>
      <c r="J23" s="48">
        <f t="shared" si="0"/>
        <v>100</v>
      </c>
    </row>
    <row r="24" spans="1:10" ht="21" customHeight="1" thickBot="1" x14ac:dyDescent="0.2">
      <c r="A24" s="112">
        <v>50011122</v>
      </c>
      <c r="B24" s="114">
        <v>0</v>
      </c>
      <c r="C24" s="114">
        <v>160</v>
      </c>
      <c r="D24" s="114">
        <v>100</v>
      </c>
      <c r="E24" s="114">
        <v>30</v>
      </c>
      <c r="F24" s="114" t="s">
        <v>257</v>
      </c>
      <c r="G24" s="114">
        <v>1</v>
      </c>
      <c r="H24" s="114">
        <v>1</v>
      </c>
      <c r="I24" s="114" t="s">
        <v>257</v>
      </c>
      <c r="J24" s="48">
        <f t="shared" si="0"/>
        <v>100</v>
      </c>
    </row>
    <row r="25" spans="1:10" ht="21" customHeight="1" thickTop="1" x14ac:dyDescent="0.15">
      <c r="A25" s="108">
        <v>50011123</v>
      </c>
      <c r="B25" s="110">
        <v>1</v>
      </c>
      <c r="C25" s="110">
        <v>200</v>
      </c>
      <c r="D25" s="110">
        <v>100</v>
      </c>
      <c r="E25" s="110" t="s">
        <v>259</v>
      </c>
      <c r="F25" s="110" t="s">
        <v>262</v>
      </c>
      <c r="G25" s="110">
        <v>1</v>
      </c>
      <c r="H25" s="110" t="s">
        <v>263</v>
      </c>
      <c r="I25" s="110" t="s">
        <v>264</v>
      </c>
      <c r="J25" s="48">
        <f t="shared" si="0"/>
        <v>100</v>
      </c>
    </row>
    <row r="26" spans="1:10" ht="21" customHeight="1" x14ac:dyDescent="0.15">
      <c r="A26" s="47">
        <v>50011124</v>
      </c>
      <c r="B26" s="48">
        <v>0</v>
      </c>
      <c r="C26" s="48">
        <v>100</v>
      </c>
      <c r="D26" s="48">
        <v>75</v>
      </c>
      <c r="E26" s="48" t="s">
        <v>270</v>
      </c>
      <c r="F26" s="48" t="s">
        <v>261</v>
      </c>
      <c r="G26" s="48" t="s">
        <v>262</v>
      </c>
      <c r="H26" s="48" t="s">
        <v>272</v>
      </c>
      <c r="I26" s="48" t="s">
        <v>265</v>
      </c>
      <c r="J26" s="48">
        <f t="shared" si="0"/>
        <v>75</v>
      </c>
    </row>
    <row r="27" spans="1:10" ht="21" customHeight="1" thickBot="1" x14ac:dyDescent="0.2">
      <c r="A27" s="112">
        <v>50011125</v>
      </c>
      <c r="B27" s="114">
        <v>0</v>
      </c>
      <c r="C27" s="114">
        <v>150</v>
      </c>
      <c r="D27" s="114">
        <v>100</v>
      </c>
      <c r="E27" s="114">
        <v>30</v>
      </c>
      <c r="F27" s="114" t="s">
        <v>266</v>
      </c>
      <c r="G27" s="114">
        <v>1</v>
      </c>
      <c r="H27" s="114" t="s">
        <v>270</v>
      </c>
      <c r="I27" s="114" t="s">
        <v>261</v>
      </c>
      <c r="J27" s="48">
        <f t="shared" si="0"/>
        <v>100</v>
      </c>
    </row>
    <row r="28" spans="1:10" ht="21" customHeight="1" thickTop="1" x14ac:dyDescent="0.15">
      <c r="A28" s="108">
        <v>50011126</v>
      </c>
      <c r="B28" s="110">
        <v>1</v>
      </c>
      <c r="C28" s="110">
        <v>200</v>
      </c>
      <c r="D28" s="110">
        <v>100</v>
      </c>
      <c r="E28" s="110" t="s">
        <v>259</v>
      </c>
      <c r="F28" s="110" t="s">
        <v>262</v>
      </c>
      <c r="G28" s="110">
        <v>1</v>
      </c>
      <c r="H28" s="110" t="s">
        <v>263</v>
      </c>
      <c r="I28" s="110" t="s">
        <v>264</v>
      </c>
      <c r="J28" s="48">
        <f t="shared" si="0"/>
        <v>100</v>
      </c>
    </row>
    <row r="29" spans="1:10" ht="21" customHeight="1" x14ac:dyDescent="0.15">
      <c r="A29" s="47">
        <v>50011127</v>
      </c>
      <c r="B29" s="48">
        <v>0</v>
      </c>
      <c r="C29" s="48">
        <v>100</v>
      </c>
      <c r="D29" s="48">
        <v>75</v>
      </c>
      <c r="E29" s="48" t="s">
        <v>270</v>
      </c>
      <c r="F29" s="48" t="s">
        <v>261</v>
      </c>
      <c r="G29" s="48" t="s">
        <v>262</v>
      </c>
      <c r="H29" s="48" t="s">
        <v>272</v>
      </c>
      <c r="I29" s="48" t="s">
        <v>265</v>
      </c>
      <c r="J29" s="48">
        <f t="shared" si="0"/>
        <v>75</v>
      </c>
    </row>
    <row r="30" spans="1:10" ht="21" customHeight="1" thickBot="1" x14ac:dyDescent="0.2">
      <c r="A30" s="112">
        <v>50011128</v>
      </c>
      <c r="B30" s="114">
        <v>0</v>
      </c>
      <c r="C30" s="114">
        <v>150</v>
      </c>
      <c r="D30" s="114">
        <v>100</v>
      </c>
      <c r="E30" s="114">
        <v>30</v>
      </c>
      <c r="F30" s="114" t="s">
        <v>266</v>
      </c>
      <c r="G30" s="114">
        <v>1</v>
      </c>
      <c r="H30" s="114" t="s">
        <v>270</v>
      </c>
      <c r="I30" s="114" t="s">
        <v>261</v>
      </c>
      <c r="J30" s="48">
        <f t="shared" si="0"/>
        <v>100</v>
      </c>
    </row>
    <row r="31" spans="1:10" ht="21" customHeight="1" thickTop="1" x14ac:dyDescent="0.15">
      <c r="A31" s="108">
        <v>50011129</v>
      </c>
      <c r="B31" s="110">
        <v>1</v>
      </c>
      <c r="C31" s="110">
        <v>200</v>
      </c>
      <c r="D31" s="110">
        <v>100</v>
      </c>
      <c r="E31" s="110" t="s">
        <v>259</v>
      </c>
      <c r="F31" s="110" t="s">
        <v>262</v>
      </c>
      <c r="G31" s="110">
        <v>1</v>
      </c>
      <c r="H31" s="110" t="s">
        <v>263</v>
      </c>
      <c r="I31" s="110" t="s">
        <v>264</v>
      </c>
      <c r="J31" s="48">
        <f t="shared" si="0"/>
        <v>100</v>
      </c>
    </row>
    <row r="32" spans="1:10" ht="21" customHeight="1" x14ac:dyDescent="0.15">
      <c r="A32" s="47">
        <v>50011130</v>
      </c>
      <c r="B32" s="48">
        <v>0</v>
      </c>
      <c r="C32" s="48">
        <v>150</v>
      </c>
      <c r="D32" s="48">
        <v>100</v>
      </c>
      <c r="E32" s="48" t="s">
        <v>269</v>
      </c>
      <c r="F32" s="48" t="s">
        <v>265</v>
      </c>
      <c r="G32" s="48" t="s">
        <v>267</v>
      </c>
      <c r="H32" s="48">
        <v>2</v>
      </c>
      <c r="I32" s="48" t="s">
        <v>258</v>
      </c>
      <c r="J32" s="48">
        <f t="shared" si="0"/>
        <v>100</v>
      </c>
    </row>
    <row r="33" spans="1:10" ht="21" customHeight="1" x14ac:dyDescent="0.15">
      <c r="A33" s="47">
        <v>50011131</v>
      </c>
      <c r="B33" s="48">
        <v>0</v>
      </c>
      <c r="C33" s="48">
        <v>140</v>
      </c>
      <c r="D33" s="48">
        <v>100</v>
      </c>
      <c r="E33" s="48" t="s">
        <v>263</v>
      </c>
      <c r="F33" s="48" t="s">
        <v>270</v>
      </c>
      <c r="G33" s="48" t="s">
        <v>268</v>
      </c>
      <c r="H33" s="48">
        <v>1</v>
      </c>
      <c r="I33" s="48" t="s">
        <v>258</v>
      </c>
      <c r="J33" s="48">
        <f t="shared" si="0"/>
        <v>100</v>
      </c>
    </row>
    <row r="34" spans="1:10" ht="21" customHeight="1" x14ac:dyDescent="0.15">
      <c r="A34" s="47">
        <v>50011132</v>
      </c>
      <c r="B34" s="48">
        <v>0</v>
      </c>
      <c r="C34" s="48">
        <v>180</v>
      </c>
      <c r="D34" s="48">
        <v>100</v>
      </c>
      <c r="E34" s="48">
        <v>50</v>
      </c>
      <c r="F34" s="48" t="s">
        <v>266</v>
      </c>
      <c r="G34" s="48">
        <v>1</v>
      </c>
      <c r="H34" s="48">
        <v>1</v>
      </c>
      <c r="I34" s="48" t="s">
        <v>261</v>
      </c>
      <c r="J34" s="48">
        <f t="shared" ref="J34" si="1">D34</f>
        <v>100</v>
      </c>
    </row>
    <row r="35" spans="1:10" ht="21" customHeight="1" thickBot="1" x14ac:dyDescent="0.2">
      <c r="A35" s="47">
        <v>50011133</v>
      </c>
      <c r="B35" s="121">
        <v>0</v>
      </c>
      <c r="C35" s="121">
        <v>170</v>
      </c>
      <c r="D35" s="121">
        <v>100</v>
      </c>
      <c r="E35" s="121">
        <v>30</v>
      </c>
      <c r="F35" s="121" t="s">
        <v>266</v>
      </c>
      <c r="G35" s="121">
        <v>1</v>
      </c>
      <c r="H35" s="121">
        <v>1</v>
      </c>
      <c r="I35" s="121" t="s">
        <v>261</v>
      </c>
      <c r="J35" s="48">
        <f t="shared" si="0"/>
        <v>100</v>
      </c>
    </row>
    <row r="36" spans="1:10" ht="21" customHeight="1" thickTop="1" x14ac:dyDescent="0.15">
      <c r="A36" s="47">
        <v>50011134</v>
      </c>
      <c r="B36" s="110">
        <v>1</v>
      </c>
      <c r="C36" s="110">
        <v>200</v>
      </c>
      <c r="D36" s="110">
        <v>100</v>
      </c>
      <c r="E36" s="110" t="s">
        <v>259</v>
      </c>
      <c r="F36" s="110" t="s">
        <v>262</v>
      </c>
      <c r="G36" s="110">
        <v>1</v>
      </c>
      <c r="H36" s="110" t="s">
        <v>263</v>
      </c>
      <c r="I36" s="110" t="s">
        <v>264</v>
      </c>
      <c r="J36" s="48">
        <f t="shared" si="0"/>
        <v>100</v>
      </c>
    </row>
    <row r="37" spans="1:10" ht="21" customHeight="1" x14ac:dyDescent="0.15">
      <c r="A37" s="47">
        <v>50011135</v>
      </c>
      <c r="B37" s="48">
        <v>0</v>
      </c>
      <c r="C37" s="48">
        <v>150</v>
      </c>
      <c r="D37" s="48">
        <v>100</v>
      </c>
      <c r="E37" s="48" t="s">
        <v>260</v>
      </c>
      <c r="F37" s="48" t="s">
        <v>261</v>
      </c>
      <c r="G37" s="48">
        <v>1</v>
      </c>
      <c r="H37" s="48">
        <v>1</v>
      </c>
      <c r="I37" s="48" t="s">
        <v>259</v>
      </c>
      <c r="J37" s="48">
        <f t="shared" si="0"/>
        <v>100</v>
      </c>
    </row>
    <row r="38" spans="1:10" ht="21" customHeight="1" x14ac:dyDescent="0.15">
      <c r="A38" s="47">
        <v>50011136</v>
      </c>
      <c r="B38" s="48">
        <v>0</v>
      </c>
      <c r="C38" s="48">
        <v>140</v>
      </c>
      <c r="D38" s="48">
        <v>100</v>
      </c>
      <c r="E38" s="48" t="s">
        <v>260</v>
      </c>
      <c r="F38" s="48" t="s">
        <v>261</v>
      </c>
      <c r="G38" s="48">
        <v>1</v>
      </c>
      <c r="H38" s="48">
        <v>2</v>
      </c>
      <c r="I38" s="48" t="s">
        <v>259</v>
      </c>
      <c r="J38" s="48">
        <f t="shared" si="0"/>
        <v>100</v>
      </c>
    </row>
    <row r="39" spans="1:10" ht="21" customHeight="1" x14ac:dyDescent="0.15">
      <c r="A39" s="47">
        <v>50011137</v>
      </c>
      <c r="B39" s="48">
        <v>0</v>
      </c>
      <c r="C39" s="48">
        <v>130</v>
      </c>
      <c r="D39" s="48">
        <v>100</v>
      </c>
      <c r="E39" s="48" t="s">
        <v>260</v>
      </c>
      <c r="F39" s="48" t="s">
        <v>261</v>
      </c>
      <c r="G39" s="48">
        <v>1</v>
      </c>
      <c r="H39" s="48">
        <v>3</v>
      </c>
      <c r="I39" s="48" t="s">
        <v>259</v>
      </c>
      <c r="J39" s="48">
        <f t="shared" si="0"/>
        <v>100</v>
      </c>
    </row>
    <row r="40" spans="1:10" ht="21" customHeight="1" x14ac:dyDescent="0.15">
      <c r="A40" s="47">
        <v>50011138</v>
      </c>
      <c r="B40" s="48">
        <v>0</v>
      </c>
      <c r="C40" s="48">
        <v>120</v>
      </c>
      <c r="D40" s="48">
        <v>100</v>
      </c>
      <c r="E40" s="48" t="s">
        <v>260</v>
      </c>
      <c r="F40" s="48" t="s">
        <v>261</v>
      </c>
      <c r="G40" s="48">
        <v>1</v>
      </c>
      <c r="H40" s="48">
        <v>4</v>
      </c>
      <c r="I40" s="48" t="s">
        <v>259</v>
      </c>
      <c r="J40" s="48">
        <f t="shared" si="0"/>
        <v>100</v>
      </c>
    </row>
    <row r="41" spans="1:10" ht="21" customHeight="1" x14ac:dyDescent="0.15">
      <c r="A41" s="47">
        <v>50011139</v>
      </c>
      <c r="B41" s="48">
        <v>0</v>
      </c>
      <c r="C41" s="48">
        <v>110</v>
      </c>
      <c r="D41" s="48">
        <v>100</v>
      </c>
      <c r="E41" s="48" t="s">
        <v>260</v>
      </c>
      <c r="F41" s="48" t="s">
        <v>261</v>
      </c>
      <c r="G41" s="48">
        <v>1</v>
      </c>
      <c r="H41" s="48">
        <v>5</v>
      </c>
      <c r="I41" s="48" t="s">
        <v>259</v>
      </c>
      <c r="J41" s="48">
        <f t="shared" si="0"/>
        <v>100</v>
      </c>
    </row>
    <row r="42" spans="1:10" ht="21" customHeight="1" x14ac:dyDescent="0.15">
      <c r="A42" s="47">
        <v>50011140</v>
      </c>
      <c r="B42" s="48">
        <v>0</v>
      </c>
      <c r="C42" s="48">
        <v>100</v>
      </c>
      <c r="D42" s="48">
        <v>100</v>
      </c>
      <c r="E42" s="48" t="s">
        <v>260</v>
      </c>
      <c r="F42" s="48" t="s">
        <v>261</v>
      </c>
      <c r="G42" s="48" t="s">
        <v>273</v>
      </c>
      <c r="H42" s="48">
        <v>1</v>
      </c>
      <c r="I42" s="48" t="s">
        <v>259</v>
      </c>
      <c r="J42" s="48">
        <f t="shared" si="0"/>
        <v>100</v>
      </c>
    </row>
    <row r="43" spans="1:10" ht="21" customHeight="1" x14ac:dyDescent="0.15">
      <c r="A43" s="47">
        <v>50011141</v>
      </c>
      <c r="B43" s="48">
        <v>0</v>
      </c>
      <c r="C43" s="48">
        <v>180</v>
      </c>
      <c r="D43" s="48">
        <v>100</v>
      </c>
      <c r="E43" s="48">
        <v>50</v>
      </c>
      <c r="F43" s="48" t="s">
        <v>257</v>
      </c>
      <c r="G43" s="48">
        <v>1</v>
      </c>
      <c r="H43" s="48">
        <v>1</v>
      </c>
      <c r="I43" s="48" t="s">
        <v>257</v>
      </c>
      <c r="J43" s="48">
        <f t="shared" si="0"/>
        <v>100</v>
      </c>
    </row>
    <row r="44" spans="1:10" ht="21" customHeight="1" thickBot="1" x14ac:dyDescent="0.2">
      <c r="A44" s="47">
        <v>50011142</v>
      </c>
      <c r="B44" s="114">
        <v>0</v>
      </c>
      <c r="C44" s="114">
        <v>160</v>
      </c>
      <c r="D44" s="114">
        <v>100</v>
      </c>
      <c r="E44" s="114">
        <v>30</v>
      </c>
      <c r="F44" s="114" t="s">
        <v>257</v>
      </c>
      <c r="G44" s="114">
        <v>1</v>
      </c>
      <c r="H44" s="114">
        <v>1</v>
      </c>
      <c r="I44" s="114" t="s">
        <v>257</v>
      </c>
      <c r="J44" s="48">
        <f t="shared" si="0"/>
        <v>100</v>
      </c>
    </row>
    <row r="45" spans="1:10" ht="21" customHeight="1" thickTop="1" x14ac:dyDescent="0.15">
      <c r="A45" s="47">
        <v>50011143</v>
      </c>
      <c r="B45" s="110">
        <v>1</v>
      </c>
      <c r="C45" s="110">
        <v>200</v>
      </c>
      <c r="D45" s="110">
        <v>100</v>
      </c>
      <c r="E45" s="110" t="s">
        <v>259</v>
      </c>
      <c r="F45" s="110" t="s">
        <v>262</v>
      </c>
      <c r="G45" s="110">
        <v>1</v>
      </c>
      <c r="H45" s="110" t="s">
        <v>263</v>
      </c>
      <c r="I45" s="110" t="s">
        <v>264</v>
      </c>
      <c r="J45" s="48">
        <f t="shared" si="0"/>
        <v>100</v>
      </c>
    </row>
    <row r="46" spans="1:10" ht="21" customHeight="1" x14ac:dyDescent="0.15">
      <c r="A46" s="47">
        <v>50011144</v>
      </c>
      <c r="B46" s="48">
        <v>0</v>
      </c>
      <c r="C46" s="48">
        <v>150</v>
      </c>
      <c r="D46" s="48">
        <v>100</v>
      </c>
      <c r="E46" s="48" t="s">
        <v>260</v>
      </c>
      <c r="F46" s="48" t="s">
        <v>261</v>
      </c>
      <c r="G46" s="48">
        <v>1</v>
      </c>
      <c r="H46" s="48">
        <v>1</v>
      </c>
      <c r="I46" s="48" t="s">
        <v>259</v>
      </c>
      <c r="J46" s="48">
        <f t="shared" si="0"/>
        <v>100</v>
      </c>
    </row>
    <row r="47" spans="1:10" ht="21" customHeight="1" x14ac:dyDescent="0.15">
      <c r="A47" s="47">
        <v>50011145</v>
      </c>
      <c r="B47" s="48">
        <v>0</v>
      </c>
      <c r="C47" s="48">
        <v>140</v>
      </c>
      <c r="D47" s="48">
        <v>100</v>
      </c>
      <c r="E47" s="48" t="s">
        <v>260</v>
      </c>
      <c r="F47" s="48" t="s">
        <v>261</v>
      </c>
      <c r="G47" s="48">
        <v>1</v>
      </c>
      <c r="H47" s="48">
        <v>2</v>
      </c>
      <c r="I47" s="48" t="s">
        <v>259</v>
      </c>
      <c r="J47" s="48">
        <f t="shared" si="0"/>
        <v>100</v>
      </c>
    </row>
    <row r="48" spans="1:10" ht="21" customHeight="1" x14ac:dyDescent="0.15">
      <c r="A48" s="47">
        <v>50011146</v>
      </c>
      <c r="B48" s="48">
        <v>0</v>
      </c>
      <c r="C48" s="48">
        <v>130</v>
      </c>
      <c r="D48" s="48">
        <v>100</v>
      </c>
      <c r="E48" s="48" t="s">
        <v>260</v>
      </c>
      <c r="F48" s="48">
        <v>50</v>
      </c>
      <c r="G48" s="48">
        <v>1</v>
      </c>
      <c r="H48" s="48">
        <v>3</v>
      </c>
      <c r="I48" s="48" t="s">
        <v>259</v>
      </c>
      <c r="J48" s="48">
        <f t="shared" si="0"/>
        <v>100</v>
      </c>
    </row>
    <row r="49" spans="1:10" ht="21" customHeight="1" x14ac:dyDescent="0.15">
      <c r="A49" s="47">
        <v>50011147</v>
      </c>
      <c r="B49" s="48">
        <v>0</v>
      </c>
      <c r="C49" s="48">
        <v>130</v>
      </c>
      <c r="D49" s="48">
        <v>100</v>
      </c>
      <c r="E49" s="48">
        <v>50</v>
      </c>
      <c r="F49" s="48">
        <v>30</v>
      </c>
      <c r="G49" s="48">
        <v>1</v>
      </c>
      <c r="H49" s="48">
        <v>3</v>
      </c>
      <c r="I49" s="48" t="s">
        <v>259</v>
      </c>
      <c r="J49" s="48">
        <f t="shared" si="0"/>
        <v>100</v>
      </c>
    </row>
    <row r="50" spans="1:10" ht="21" customHeight="1" x14ac:dyDescent="0.15">
      <c r="A50" s="47">
        <v>50011148</v>
      </c>
      <c r="B50" s="48">
        <v>0</v>
      </c>
      <c r="C50" s="48">
        <v>120</v>
      </c>
      <c r="D50" s="48">
        <v>100</v>
      </c>
      <c r="E50" s="48" t="s">
        <v>260</v>
      </c>
      <c r="F50" s="48">
        <v>50</v>
      </c>
      <c r="G50" s="48">
        <v>1</v>
      </c>
      <c r="H50" s="48">
        <v>4</v>
      </c>
      <c r="I50" s="48" t="s">
        <v>259</v>
      </c>
      <c r="J50" s="48">
        <f t="shared" si="0"/>
        <v>100</v>
      </c>
    </row>
    <row r="51" spans="1:10" ht="21" customHeight="1" x14ac:dyDescent="0.15">
      <c r="A51" s="47">
        <v>50011149</v>
      </c>
      <c r="B51" s="48">
        <v>0</v>
      </c>
      <c r="C51" s="48">
        <v>120</v>
      </c>
      <c r="D51" s="48">
        <v>100</v>
      </c>
      <c r="E51" s="48">
        <v>50</v>
      </c>
      <c r="F51" s="48">
        <v>30</v>
      </c>
      <c r="G51" s="48">
        <v>1</v>
      </c>
      <c r="H51" s="48">
        <v>4</v>
      </c>
      <c r="I51" s="48" t="s">
        <v>259</v>
      </c>
      <c r="J51" s="48">
        <f t="shared" si="0"/>
        <v>100</v>
      </c>
    </row>
    <row r="52" spans="1:10" ht="21" customHeight="1" x14ac:dyDescent="0.15">
      <c r="A52" s="47">
        <v>50011150</v>
      </c>
      <c r="B52" s="48">
        <v>0</v>
      </c>
      <c r="C52" s="48">
        <v>110</v>
      </c>
      <c r="D52" s="48">
        <v>100</v>
      </c>
      <c r="E52" s="48" t="s">
        <v>260</v>
      </c>
      <c r="F52" s="48" t="s">
        <v>261</v>
      </c>
      <c r="G52" s="48">
        <v>1</v>
      </c>
      <c r="H52" s="48">
        <v>5</v>
      </c>
      <c r="I52" s="48" t="s">
        <v>259</v>
      </c>
      <c r="J52" s="48">
        <f t="shared" si="0"/>
        <v>100</v>
      </c>
    </row>
    <row r="53" spans="1:10" ht="21" customHeight="1" x14ac:dyDescent="0.15">
      <c r="A53" s="47">
        <v>50011151</v>
      </c>
      <c r="B53" s="48">
        <v>0</v>
      </c>
      <c r="C53" s="48">
        <v>100</v>
      </c>
      <c r="D53" s="48">
        <v>100</v>
      </c>
      <c r="E53" s="48" t="s">
        <v>260</v>
      </c>
      <c r="F53" s="48">
        <v>30</v>
      </c>
      <c r="G53" s="48">
        <v>1</v>
      </c>
      <c r="H53" s="48">
        <v>6</v>
      </c>
      <c r="I53" s="48" t="s">
        <v>259</v>
      </c>
      <c r="J53" s="48">
        <f t="shared" si="0"/>
        <v>100</v>
      </c>
    </row>
    <row r="54" spans="1:10" ht="21" customHeight="1" x14ac:dyDescent="0.15">
      <c r="A54" s="47">
        <v>50011152</v>
      </c>
      <c r="B54" s="48">
        <v>0</v>
      </c>
      <c r="C54" s="48">
        <v>100</v>
      </c>
      <c r="D54" s="48">
        <v>100</v>
      </c>
      <c r="E54" s="48">
        <v>30</v>
      </c>
      <c r="F54" s="48" t="s">
        <v>261</v>
      </c>
      <c r="G54" s="48">
        <v>1</v>
      </c>
      <c r="H54" s="48">
        <v>6</v>
      </c>
      <c r="I54" s="48" t="s">
        <v>259</v>
      </c>
      <c r="J54" s="48">
        <f t="shared" si="0"/>
        <v>100</v>
      </c>
    </row>
    <row r="55" spans="1:10" ht="21" customHeight="1" x14ac:dyDescent="0.15">
      <c r="A55" s="47">
        <v>50011153</v>
      </c>
      <c r="B55" s="48">
        <v>0</v>
      </c>
      <c r="C55" s="48">
        <v>90</v>
      </c>
      <c r="D55" s="48">
        <v>100</v>
      </c>
      <c r="E55" s="48" t="s">
        <v>260</v>
      </c>
      <c r="F55" s="48" t="s">
        <v>261</v>
      </c>
      <c r="G55" s="48">
        <v>1</v>
      </c>
      <c r="H55" s="48">
        <v>7</v>
      </c>
      <c r="I55" s="48" t="s">
        <v>259</v>
      </c>
      <c r="J55" s="48">
        <f t="shared" si="0"/>
        <v>100</v>
      </c>
    </row>
    <row r="56" spans="1:10" ht="21" customHeight="1" thickBot="1" x14ac:dyDescent="0.2">
      <c r="A56" s="119">
        <v>50011154</v>
      </c>
      <c r="B56" s="110">
        <v>0</v>
      </c>
      <c r="C56" s="110">
        <v>190</v>
      </c>
      <c r="D56" s="110">
        <v>100</v>
      </c>
      <c r="E56" s="110" t="s">
        <v>257</v>
      </c>
      <c r="F56" s="110" t="s">
        <v>257</v>
      </c>
      <c r="G56" s="110">
        <v>1</v>
      </c>
      <c r="H56" s="110" t="s">
        <v>257</v>
      </c>
      <c r="I56" s="110">
        <v>1210</v>
      </c>
      <c r="J56" s="48">
        <f t="shared" si="0"/>
        <v>100</v>
      </c>
    </row>
    <row r="57" spans="1:10" ht="21" customHeight="1" thickTop="1" x14ac:dyDescent="0.15">
      <c r="A57" s="47">
        <v>50011155</v>
      </c>
      <c r="B57" s="48">
        <v>0</v>
      </c>
      <c r="C57" s="48">
        <v>170</v>
      </c>
      <c r="D57" s="48">
        <v>100</v>
      </c>
      <c r="E57" s="48" t="s">
        <v>257</v>
      </c>
      <c r="F57" s="48" t="s">
        <v>257</v>
      </c>
      <c r="G57" s="48">
        <v>1</v>
      </c>
      <c r="H57" s="48">
        <v>2</v>
      </c>
      <c r="I57" s="48" t="s">
        <v>257</v>
      </c>
      <c r="J57" s="48">
        <f t="shared" si="0"/>
        <v>100</v>
      </c>
    </row>
    <row r="58" spans="1:10" ht="21" customHeight="1" x14ac:dyDescent="0.15">
      <c r="A58" s="47">
        <v>50011157</v>
      </c>
      <c r="B58" s="48">
        <v>0</v>
      </c>
      <c r="C58" s="48">
        <v>500</v>
      </c>
      <c r="D58" s="48">
        <v>100</v>
      </c>
      <c r="E58" s="48" t="s">
        <v>286</v>
      </c>
      <c r="F58" s="48" t="s">
        <v>285</v>
      </c>
      <c r="G58" s="48">
        <v>1</v>
      </c>
      <c r="H58" s="48">
        <v>6</v>
      </c>
      <c r="I58" s="48" t="s">
        <v>287</v>
      </c>
      <c r="J58" s="48">
        <f t="shared" si="0"/>
        <v>100</v>
      </c>
    </row>
    <row r="59" spans="1:10" ht="21" customHeight="1" x14ac:dyDescent="0.15">
      <c r="A59" s="108">
        <v>50011158</v>
      </c>
      <c r="B59" s="110">
        <v>1</v>
      </c>
      <c r="C59" s="110">
        <v>600</v>
      </c>
      <c r="D59" s="110">
        <v>100</v>
      </c>
      <c r="E59" s="110" t="s">
        <v>392</v>
      </c>
      <c r="F59" s="110" t="s">
        <v>392</v>
      </c>
      <c r="G59" s="110">
        <v>1</v>
      </c>
      <c r="H59" s="110" t="s">
        <v>392</v>
      </c>
      <c r="I59" s="48">
        <v>929</v>
      </c>
      <c r="J59" s="48">
        <f t="shared" si="0"/>
        <v>100</v>
      </c>
    </row>
    <row r="60" spans="1:10" ht="21" customHeight="1" x14ac:dyDescent="0.15">
      <c r="A60" s="47">
        <v>50011159</v>
      </c>
      <c r="B60" s="48">
        <v>1</v>
      </c>
      <c r="C60" s="48">
        <v>600</v>
      </c>
      <c r="D60" s="48">
        <v>100</v>
      </c>
      <c r="E60" s="48" t="s">
        <v>393</v>
      </c>
      <c r="F60" s="48" t="s">
        <v>393</v>
      </c>
      <c r="G60" s="48">
        <v>1</v>
      </c>
      <c r="H60" s="48" t="s">
        <v>393</v>
      </c>
      <c r="I60" s="48">
        <v>930</v>
      </c>
      <c r="J60" s="48">
        <f t="shared" si="0"/>
        <v>100</v>
      </c>
    </row>
    <row r="61" spans="1:10" ht="21" customHeight="1" x14ac:dyDescent="0.15">
      <c r="A61" s="47">
        <v>50011160</v>
      </c>
      <c r="B61" s="48">
        <v>1</v>
      </c>
      <c r="C61" s="48">
        <v>500</v>
      </c>
      <c r="D61" s="48">
        <v>100</v>
      </c>
      <c r="E61" s="48" t="s">
        <v>394</v>
      </c>
      <c r="F61" s="48" t="s">
        <v>393</v>
      </c>
      <c r="G61" s="48">
        <v>1</v>
      </c>
      <c r="H61" s="48" t="s">
        <v>393</v>
      </c>
      <c r="I61" s="48">
        <v>1135</v>
      </c>
      <c r="J61" s="48">
        <f t="shared" si="0"/>
        <v>100</v>
      </c>
    </row>
    <row r="62" spans="1:10" ht="21" customHeight="1" thickBot="1" x14ac:dyDescent="0.2">
      <c r="A62" s="47">
        <v>50011161</v>
      </c>
      <c r="B62" s="114">
        <v>1</v>
      </c>
      <c r="C62" s="114">
        <v>500</v>
      </c>
      <c r="D62" s="114">
        <v>100</v>
      </c>
      <c r="E62" s="114" t="s">
        <v>395</v>
      </c>
      <c r="F62" s="114" t="s">
        <v>396</v>
      </c>
      <c r="G62" s="114">
        <v>1</v>
      </c>
      <c r="H62" s="114" t="s">
        <v>397</v>
      </c>
      <c r="I62" s="114">
        <v>1136</v>
      </c>
      <c r="J62" s="48">
        <f t="shared" si="0"/>
        <v>100</v>
      </c>
    </row>
    <row r="63" spans="1:10" ht="21" customHeight="1" thickTop="1" x14ac:dyDescent="0.15">
      <c r="A63" s="47">
        <v>50011162</v>
      </c>
      <c r="B63" s="110">
        <v>0</v>
      </c>
      <c r="C63" s="110">
        <v>400</v>
      </c>
      <c r="D63" s="110">
        <v>100</v>
      </c>
      <c r="E63" s="110" t="s">
        <v>392</v>
      </c>
      <c r="F63" s="110" t="s">
        <v>392</v>
      </c>
      <c r="G63" s="110">
        <v>0</v>
      </c>
      <c r="H63" s="110" t="s">
        <v>392</v>
      </c>
      <c r="I63" s="110">
        <v>0</v>
      </c>
      <c r="J63" s="48">
        <f t="shared" si="0"/>
        <v>100</v>
      </c>
    </row>
    <row r="64" spans="1:10" ht="21" customHeight="1" x14ac:dyDescent="0.15">
      <c r="A64" s="47">
        <v>50011163</v>
      </c>
      <c r="B64" s="48">
        <v>0</v>
      </c>
      <c r="C64" s="48">
        <v>600</v>
      </c>
      <c r="D64" s="48">
        <v>100</v>
      </c>
      <c r="E64" s="48" t="s">
        <v>393</v>
      </c>
      <c r="F64" s="48" t="s">
        <v>393</v>
      </c>
      <c r="G64" s="48">
        <v>0</v>
      </c>
      <c r="H64" s="48" t="s">
        <v>393</v>
      </c>
      <c r="I64" s="48">
        <v>929</v>
      </c>
      <c r="J64" s="48">
        <f t="shared" si="0"/>
        <v>100</v>
      </c>
    </row>
    <row r="65" spans="1:10" ht="21" customHeight="1" x14ac:dyDescent="0.15">
      <c r="A65" s="47">
        <v>50011164</v>
      </c>
      <c r="B65" s="48">
        <v>0</v>
      </c>
      <c r="C65" s="48">
        <v>600</v>
      </c>
      <c r="D65" s="48">
        <v>100</v>
      </c>
      <c r="E65" s="48" t="s">
        <v>393</v>
      </c>
      <c r="F65" s="48" t="s">
        <v>393</v>
      </c>
      <c r="G65" s="48">
        <v>0</v>
      </c>
      <c r="H65" s="48" t="s">
        <v>393</v>
      </c>
      <c r="I65" s="48">
        <v>930</v>
      </c>
      <c r="J65" s="48">
        <f t="shared" si="0"/>
        <v>100</v>
      </c>
    </row>
    <row r="66" spans="1:10" ht="21" customHeight="1" x14ac:dyDescent="0.15">
      <c r="A66" s="47">
        <v>50011165</v>
      </c>
      <c r="B66" s="48">
        <v>0</v>
      </c>
      <c r="C66" s="48">
        <v>500</v>
      </c>
      <c r="D66" s="48">
        <v>100</v>
      </c>
      <c r="E66" s="48" t="s">
        <v>393</v>
      </c>
      <c r="F66" s="48" t="s">
        <v>393</v>
      </c>
      <c r="G66" s="48">
        <v>0</v>
      </c>
      <c r="H66" s="48" t="s">
        <v>393</v>
      </c>
      <c r="I66" s="48">
        <v>1135</v>
      </c>
      <c r="J66" s="48">
        <f t="shared" ref="J66:J67" si="2">D66</f>
        <v>100</v>
      </c>
    </row>
    <row r="67" spans="1:10" ht="21" customHeight="1" x14ac:dyDescent="0.15">
      <c r="A67" s="47">
        <v>50011166</v>
      </c>
      <c r="B67" s="48">
        <v>0</v>
      </c>
      <c r="C67" s="48">
        <v>500</v>
      </c>
      <c r="D67" s="48">
        <v>100</v>
      </c>
      <c r="E67" s="48" t="s">
        <v>393</v>
      </c>
      <c r="F67" s="48" t="s">
        <v>393</v>
      </c>
      <c r="G67" s="48">
        <v>0</v>
      </c>
      <c r="H67" s="48" t="s">
        <v>393</v>
      </c>
      <c r="I67" s="48">
        <v>1136</v>
      </c>
      <c r="J67" s="48">
        <f t="shared" si="2"/>
        <v>100</v>
      </c>
    </row>
  </sheetData>
  <autoFilter ref="A1:G1"/>
  <phoneticPr fontId="5"/>
  <conditionalFormatting sqref="K1:K33 K35:K1048576">
    <cfRule type="duplicateValues" dxfId="1" priority="2"/>
  </conditionalFormatting>
  <conditionalFormatting sqref="K34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5"/>
  <sheetViews>
    <sheetView workbookViewId="0">
      <selection activeCell="G16" sqref="G1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149</v>
      </c>
      <c r="B1" s="65" t="s">
        <v>150</v>
      </c>
      <c r="C1" s="66" t="s">
        <v>151</v>
      </c>
      <c r="D1" s="73" t="s">
        <v>152</v>
      </c>
      <c r="E1" s="67" t="s">
        <v>153</v>
      </c>
      <c r="F1" s="65" t="s">
        <v>154</v>
      </c>
      <c r="G1" s="65" t="s">
        <v>155</v>
      </c>
      <c r="H1" s="65" t="s">
        <v>156</v>
      </c>
      <c r="I1" s="65" t="s">
        <v>157</v>
      </c>
      <c r="J1" s="65" t="s">
        <v>158</v>
      </c>
      <c r="K1" s="65" t="s">
        <v>159</v>
      </c>
      <c r="L1" s="65" t="s">
        <v>160</v>
      </c>
      <c r="M1" s="65" t="s">
        <v>161</v>
      </c>
      <c r="N1" s="65" t="s">
        <v>162</v>
      </c>
      <c r="O1" s="65" t="s">
        <v>163</v>
      </c>
      <c r="P1" s="65" t="s">
        <v>164</v>
      </c>
      <c r="Q1" s="65" t="s">
        <v>165</v>
      </c>
      <c r="R1" s="65" t="s">
        <v>166</v>
      </c>
    </row>
    <row r="2" spans="1:18" x14ac:dyDescent="0.15">
      <c r="A2" s="57">
        <v>50011</v>
      </c>
      <c r="B2" s="106">
        <v>1</v>
      </c>
      <c r="C2" s="72" t="str">
        <f t="shared" ref="C2:C12" si="0">A2&amp; "_"&amp;B2</f>
        <v>50011_1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2">
        <v>1</v>
      </c>
      <c r="F2" s="82" t="s">
        <v>167</v>
      </c>
      <c r="G2" s="82">
        <v>65000</v>
      </c>
      <c r="H2" s="82" t="s">
        <v>257</v>
      </c>
      <c r="I2" s="82">
        <v>1</v>
      </c>
      <c r="J2" s="82">
        <v>1</v>
      </c>
      <c r="K2" s="82">
        <v>0</v>
      </c>
      <c r="L2" s="82">
        <v>0</v>
      </c>
      <c r="M2" s="82">
        <v>0</v>
      </c>
      <c r="N2" s="82">
        <v>0</v>
      </c>
      <c r="O2" s="82">
        <v>1</v>
      </c>
      <c r="P2" s="82">
        <v>50</v>
      </c>
      <c r="Q2" s="82" t="s">
        <v>168</v>
      </c>
      <c r="R2" s="82" t="s">
        <v>169</v>
      </c>
    </row>
    <row r="3" spans="1:18" x14ac:dyDescent="0.15">
      <c r="A3" s="57">
        <v>50011</v>
      </c>
      <c r="B3" s="107">
        <v>1</v>
      </c>
      <c r="C3" s="72" t="str">
        <f t="shared" si="0"/>
        <v>50011_1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2">
        <v>2</v>
      </c>
      <c r="F3" s="82" t="s">
        <v>253</v>
      </c>
      <c r="G3" s="82">
        <v>347</v>
      </c>
      <c r="H3" s="82">
        <v>1</v>
      </c>
      <c r="I3" s="82">
        <v>1</v>
      </c>
      <c r="J3" s="82">
        <v>1</v>
      </c>
      <c r="K3" s="82">
        <v>0</v>
      </c>
      <c r="L3" s="82">
        <v>0</v>
      </c>
      <c r="M3" s="82">
        <v>0</v>
      </c>
      <c r="N3" s="82">
        <v>0</v>
      </c>
      <c r="O3" s="82">
        <v>1</v>
      </c>
      <c r="P3" s="82">
        <v>250</v>
      </c>
      <c r="Q3" s="82" t="s">
        <v>168</v>
      </c>
      <c r="R3" s="82" t="s">
        <v>169</v>
      </c>
    </row>
    <row r="4" spans="1:18" x14ac:dyDescent="0.15">
      <c r="A4" s="57">
        <v>50011</v>
      </c>
      <c r="B4" s="107">
        <v>1</v>
      </c>
      <c r="C4" s="72" t="str">
        <f t="shared" si="0"/>
        <v>50011_1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2">
        <v>3</v>
      </c>
      <c r="F4" s="82" t="s">
        <v>253</v>
      </c>
      <c r="G4" s="82">
        <v>355</v>
      </c>
      <c r="H4" s="82">
        <v>1</v>
      </c>
      <c r="I4" s="82">
        <v>1</v>
      </c>
      <c r="J4" s="82">
        <v>1</v>
      </c>
      <c r="K4" s="82">
        <v>0</v>
      </c>
      <c r="L4" s="82">
        <v>0</v>
      </c>
      <c r="M4" s="82">
        <v>0</v>
      </c>
      <c r="N4" s="82">
        <v>0</v>
      </c>
      <c r="O4" s="82">
        <v>1</v>
      </c>
      <c r="P4" s="82">
        <v>50</v>
      </c>
      <c r="Q4" s="82" t="s">
        <v>168</v>
      </c>
      <c r="R4" s="82" t="s">
        <v>169</v>
      </c>
    </row>
    <row r="5" spans="1:18" x14ac:dyDescent="0.15">
      <c r="A5" s="57">
        <v>50011</v>
      </c>
      <c r="B5" s="107">
        <v>1</v>
      </c>
      <c r="C5" s="72" t="str">
        <f t="shared" si="0"/>
        <v>50011_1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2">
        <v>4</v>
      </c>
      <c r="F5" s="82" t="s">
        <v>253</v>
      </c>
      <c r="G5" s="82">
        <v>125</v>
      </c>
      <c r="H5" s="82">
        <v>1</v>
      </c>
      <c r="I5" s="82">
        <v>1</v>
      </c>
      <c r="J5" s="82">
        <v>1</v>
      </c>
      <c r="K5" s="82">
        <v>0</v>
      </c>
      <c r="L5" s="82">
        <v>0</v>
      </c>
      <c r="M5" s="82">
        <v>0</v>
      </c>
      <c r="N5" s="82">
        <v>0</v>
      </c>
      <c r="O5" s="82">
        <v>1</v>
      </c>
      <c r="P5" s="82">
        <v>30</v>
      </c>
      <c r="Q5" s="82" t="s">
        <v>168</v>
      </c>
      <c r="R5" s="82" t="s">
        <v>169</v>
      </c>
    </row>
    <row r="6" spans="1:18" x14ac:dyDescent="0.15">
      <c r="A6" s="57">
        <v>50011</v>
      </c>
      <c r="B6" s="107">
        <v>1</v>
      </c>
      <c r="C6" s="72" t="str">
        <f t="shared" si="0"/>
        <v>50011_1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2">
        <v>5</v>
      </c>
      <c r="F6" s="82" t="s">
        <v>253</v>
      </c>
      <c r="G6" s="82">
        <v>607</v>
      </c>
      <c r="H6" s="82">
        <v>1</v>
      </c>
      <c r="I6" s="82">
        <v>1</v>
      </c>
      <c r="J6" s="82">
        <v>1</v>
      </c>
      <c r="K6" s="82">
        <v>0</v>
      </c>
      <c r="L6" s="82">
        <v>0</v>
      </c>
      <c r="M6" s="82">
        <v>0</v>
      </c>
      <c r="N6" s="82">
        <v>0</v>
      </c>
      <c r="O6" s="82">
        <v>1</v>
      </c>
      <c r="P6" s="82">
        <v>80</v>
      </c>
      <c r="Q6" s="82" t="s">
        <v>168</v>
      </c>
      <c r="R6" s="82" t="s">
        <v>169</v>
      </c>
    </row>
    <row r="7" spans="1:18" x14ac:dyDescent="0.15">
      <c r="A7" s="57">
        <v>50011</v>
      </c>
      <c r="B7" s="107">
        <v>1</v>
      </c>
      <c r="C7" s="72" t="str">
        <f t="shared" si="0"/>
        <v>50011_1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2">
        <v>6</v>
      </c>
      <c r="F7" s="82" t="s">
        <v>253</v>
      </c>
      <c r="G7" s="82">
        <v>608</v>
      </c>
      <c r="H7" s="82">
        <v>1</v>
      </c>
      <c r="I7" s="82">
        <v>1</v>
      </c>
      <c r="J7" s="82">
        <v>1</v>
      </c>
      <c r="K7" s="82">
        <v>0</v>
      </c>
      <c r="L7" s="82">
        <v>0</v>
      </c>
      <c r="M7" s="82">
        <v>0</v>
      </c>
      <c r="N7" s="82">
        <v>0</v>
      </c>
      <c r="O7" s="82">
        <v>1</v>
      </c>
      <c r="P7" s="82">
        <v>80</v>
      </c>
      <c r="Q7" s="82" t="s">
        <v>168</v>
      </c>
      <c r="R7" s="82" t="s">
        <v>169</v>
      </c>
    </row>
    <row r="8" spans="1:18" x14ac:dyDescent="0.15">
      <c r="A8" s="57">
        <v>50011</v>
      </c>
      <c r="B8" s="107">
        <v>1</v>
      </c>
      <c r="C8" s="72" t="str">
        <f t="shared" si="0"/>
        <v>50011_1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2">
        <v>7</v>
      </c>
      <c r="F8" s="82" t="s">
        <v>253</v>
      </c>
      <c r="G8" s="82">
        <v>609</v>
      </c>
      <c r="H8" s="82">
        <v>1</v>
      </c>
      <c r="I8" s="82">
        <v>1</v>
      </c>
      <c r="J8" s="82">
        <v>1</v>
      </c>
      <c r="K8" s="82">
        <v>0</v>
      </c>
      <c r="L8" s="82">
        <v>0</v>
      </c>
      <c r="M8" s="82">
        <v>0</v>
      </c>
      <c r="N8" s="82">
        <v>0</v>
      </c>
      <c r="O8" s="82">
        <v>1</v>
      </c>
      <c r="P8" s="82">
        <v>80</v>
      </c>
      <c r="Q8" s="82" t="s">
        <v>168</v>
      </c>
      <c r="R8" s="82" t="s">
        <v>169</v>
      </c>
    </row>
    <row r="9" spans="1:18" x14ac:dyDescent="0.15">
      <c r="A9" s="57">
        <v>50011</v>
      </c>
      <c r="B9" s="107">
        <v>1</v>
      </c>
      <c r="C9" s="72" t="str">
        <f t="shared" si="0"/>
        <v>50011_1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2">
        <v>8</v>
      </c>
      <c r="F9" s="82" t="s">
        <v>253</v>
      </c>
      <c r="G9" s="82">
        <v>610</v>
      </c>
      <c r="H9" s="82">
        <v>1</v>
      </c>
      <c r="I9" s="82">
        <v>1</v>
      </c>
      <c r="J9" s="82">
        <v>1</v>
      </c>
      <c r="K9" s="82">
        <v>0</v>
      </c>
      <c r="L9" s="82">
        <v>0</v>
      </c>
      <c r="M9" s="82">
        <v>0</v>
      </c>
      <c r="N9" s="82">
        <v>0</v>
      </c>
      <c r="O9" s="82">
        <v>1</v>
      </c>
      <c r="P9" s="82">
        <v>20</v>
      </c>
      <c r="Q9" s="82" t="s">
        <v>168</v>
      </c>
      <c r="R9" s="82" t="s">
        <v>169</v>
      </c>
    </row>
    <row r="10" spans="1:18" x14ac:dyDescent="0.15">
      <c r="A10" s="57">
        <v>50011</v>
      </c>
      <c r="B10" s="107">
        <v>1</v>
      </c>
      <c r="C10" s="72" t="str">
        <f t="shared" si="0"/>
        <v>50011_1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2">
        <v>9</v>
      </c>
      <c r="F10" s="82" t="s">
        <v>253</v>
      </c>
      <c r="G10" s="82">
        <v>611</v>
      </c>
      <c r="H10" s="82">
        <v>1</v>
      </c>
      <c r="I10" s="82">
        <v>1</v>
      </c>
      <c r="J10" s="82">
        <v>1</v>
      </c>
      <c r="K10" s="82">
        <v>0</v>
      </c>
      <c r="L10" s="82">
        <v>0</v>
      </c>
      <c r="M10" s="82">
        <v>0</v>
      </c>
      <c r="N10" s="82">
        <v>0</v>
      </c>
      <c r="O10" s="82">
        <v>1</v>
      </c>
      <c r="P10" s="82">
        <v>30</v>
      </c>
      <c r="Q10" s="82" t="s">
        <v>168</v>
      </c>
      <c r="R10" s="82" t="s">
        <v>169</v>
      </c>
    </row>
    <row r="11" spans="1:18" x14ac:dyDescent="0.15">
      <c r="A11" s="57">
        <v>50011</v>
      </c>
      <c r="B11" s="107">
        <v>1</v>
      </c>
      <c r="C11" s="72" t="str">
        <f t="shared" si="0"/>
        <v>50011_1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82">
        <v>10</v>
      </c>
      <c r="F11" s="82" t="s">
        <v>253</v>
      </c>
      <c r="G11" s="82">
        <v>612</v>
      </c>
      <c r="H11" s="82">
        <v>1</v>
      </c>
      <c r="I11" s="82">
        <v>1</v>
      </c>
      <c r="J11" s="82">
        <v>1</v>
      </c>
      <c r="K11" s="82">
        <v>0</v>
      </c>
      <c r="L11" s="82">
        <v>0</v>
      </c>
      <c r="M11" s="82">
        <v>0</v>
      </c>
      <c r="N11" s="82">
        <v>0</v>
      </c>
      <c r="O11" s="82">
        <v>1</v>
      </c>
      <c r="P11" s="82">
        <v>30</v>
      </c>
      <c r="Q11" s="82" t="s">
        <v>168</v>
      </c>
      <c r="R11" s="82" t="s">
        <v>169</v>
      </c>
    </row>
    <row r="12" spans="1:18" x14ac:dyDescent="0.15">
      <c r="A12" s="57">
        <v>50011</v>
      </c>
      <c r="B12" s="107">
        <v>1</v>
      </c>
      <c r="C12" s="72" t="str">
        <f t="shared" si="0"/>
        <v>50011_1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82">
        <v>11</v>
      </c>
      <c r="F12" s="82" t="s">
        <v>253</v>
      </c>
      <c r="G12" s="82">
        <v>613</v>
      </c>
      <c r="H12" s="82">
        <v>1</v>
      </c>
      <c r="I12" s="82">
        <v>1</v>
      </c>
      <c r="J12" s="82">
        <v>1</v>
      </c>
      <c r="K12" s="82">
        <v>0</v>
      </c>
      <c r="L12" s="82">
        <v>0</v>
      </c>
      <c r="M12" s="82">
        <v>0</v>
      </c>
      <c r="N12" s="82">
        <v>0</v>
      </c>
      <c r="O12" s="82">
        <v>1</v>
      </c>
      <c r="P12" s="82">
        <v>30</v>
      </c>
      <c r="Q12" s="82" t="s">
        <v>168</v>
      </c>
      <c r="R12" s="82" t="s">
        <v>169</v>
      </c>
    </row>
    <row r="13" spans="1:18" x14ac:dyDescent="0.15">
      <c r="A13" s="57">
        <v>50011</v>
      </c>
      <c r="B13" s="107">
        <v>1</v>
      </c>
      <c r="C13" s="72" t="str">
        <f t="shared" ref="C13:C15" si="1">A13&amp; "_"&amp;B13</f>
        <v>50011_1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2">
        <v>12</v>
      </c>
      <c r="F13" s="82" t="s">
        <v>253</v>
      </c>
      <c r="G13" s="82">
        <v>614</v>
      </c>
      <c r="H13" s="82">
        <v>1</v>
      </c>
      <c r="I13" s="82">
        <v>1</v>
      </c>
      <c r="J13" s="82">
        <v>1</v>
      </c>
      <c r="K13" s="82">
        <v>0</v>
      </c>
      <c r="L13" s="82">
        <v>0</v>
      </c>
      <c r="M13" s="82">
        <v>0</v>
      </c>
      <c r="N13" s="82">
        <v>0</v>
      </c>
      <c r="O13" s="82">
        <v>1</v>
      </c>
      <c r="P13" s="82">
        <v>10</v>
      </c>
      <c r="Q13" s="82" t="s">
        <v>168</v>
      </c>
      <c r="R13" s="82" t="s">
        <v>169</v>
      </c>
    </row>
    <row r="14" spans="1:18" x14ac:dyDescent="0.15">
      <c r="A14" s="57">
        <v>50011</v>
      </c>
      <c r="B14" s="107">
        <v>1</v>
      </c>
      <c r="C14" s="72" t="str">
        <f t="shared" si="1"/>
        <v>50011_1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2">
        <v>13</v>
      </c>
      <c r="F14" s="82" t="s">
        <v>253</v>
      </c>
      <c r="G14" s="82">
        <v>837</v>
      </c>
      <c r="H14" s="82">
        <v>1</v>
      </c>
      <c r="I14" s="82">
        <v>1</v>
      </c>
      <c r="J14" s="82">
        <v>1</v>
      </c>
      <c r="K14" s="82">
        <v>0</v>
      </c>
      <c r="L14" s="82">
        <v>0</v>
      </c>
      <c r="M14" s="82">
        <v>0</v>
      </c>
      <c r="N14" s="82">
        <v>0</v>
      </c>
      <c r="O14" s="82">
        <v>1</v>
      </c>
      <c r="P14" s="82">
        <v>10</v>
      </c>
      <c r="Q14" s="82" t="s">
        <v>168</v>
      </c>
      <c r="R14" s="82" t="s">
        <v>169</v>
      </c>
    </row>
    <row r="15" spans="1:18" x14ac:dyDescent="0.15">
      <c r="A15" s="57">
        <v>50011</v>
      </c>
      <c r="B15" s="107">
        <v>1</v>
      </c>
      <c r="C15" s="72" t="str">
        <f t="shared" si="1"/>
        <v>50011_1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2">
        <v>14</v>
      </c>
      <c r="F15" s="82" t="s">
        <v>253</v>
      </c>
      <c r="G15" s="82">
        <v>1206</v>
      </c>
      <c r="H15" s="82">
        <v>1</v>
      </c>
      <c r="I15" s="82">
        <v>1</v>
      </c>
      <c r="J15" s="82">
        <v>1</v>
      </c>
      <c r="K15" s="82">
        <v>0</v>
      </c>
      <c r="L15" s="82">
        <v>0</v>
      </c>
      <c r="M15" s="82">
        <v>0</v>
      </c>
      <c r="N15" s="82">
        <v>0</v>
      </c>
      <c r="O15" s="82">
        <v>1</v>
      </c>
      <c r="P15" s="82">
        <v>250</v>
      </c>
      <c r="Q15" s="82" t="s">
        <v>168</v>
      </c>
      <c r="R15" s="82" t="s">
        <v>169</v>
      </c>
    </row>
  </sheetData>
  <phoneticPr fontId="5"/>
  <dataValidations disablePrompts="1" count="1">
    <dataValidation type="list" allowBlank="1" showInputMessage="1" showErrorMessage="1" sqref="F2:F15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E26" sqref="E26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186</v>
      </c>
      <c r="B1" s="74" t="s">
        <v>187</v>
      </c>
      <c r="C1" s="78" t="s">
        <v>188</v>
      </c>
      <c r="D1" s="78" t="s">
        <v>33</v>
      </c>
      <c r="E1" s="74" t="s">
        <v>189</v>
      </c>
      <c r="F1" s="78" t="s">
        <v>190</v>
      </c>
      <c r="G1" s="78" t="s">
        <v>33</v>
      </c>
      <c r="H1" s="74" t="s">
        <v>191</v>
      </c>
      <c r="I1" s="92" t="s">
        <v>193</v>
      </c>
      <c r="J1" s="80" t="s">
        <v>125</v>
      </c>
      <c r="K1" s="79" t="s">
        <v>185</v>
      </c>
      <c r="L1" s="93" t="s">
        <v>184</v>
      </c>
      <c r="M1" s="81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2"/>
  <sheetViews>
    <sheetView showGridLines="0" workbookViewId="0">
      <pane ySplit="1" topLeftCell="A2" activePane="bottomLeft" state="frozen"/>
      <selection pane="bottomLeft" activeCell="O6" sqref="O6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186</v>
      </c>
      <c r="B1" s="74" t="s">
        <v>149</v>
      </c>
      <c r="C1" s="78" t="s">
        <v>188</v>
      </c>
      <c r="D1" s="78" t="s">
        <v>33</v>
      </c>
      <c r="E1" s="74" t="s">
        <v>189</v>
      </c>
      <c r="F1" s="78" t="s">
        <v>18</v>
      </c>
      <c r="G1" s="78" t="s">
        <v>33</v>
      </c>
      <c r="H1" s="74" t="s">
        <v>191</v>
      </c>
      <c r="I1" s="90" t="s">
        <v>192</v>
      </c>
      <c r="J1" s="92" t="s">
        <v>193</v>
      </c>
      <c r="K1" s="80" t="s">
        <v>125</v>
      </c>
      <c r="L1" s="79" t="s">
        <v>185</v>
      </c>
      <c r="M1" s="93" t="s">
        <v>184</v>
      </c>
      <c r="N1" s="81" t="s">
        <v>194</v>
      </c>
    </row>
    <row r="2" spans="1:14" ht="28" x14ac:dyDescent="0.15">
      <c r="A2" s="82" t="s">
        <v>195</v>
      </c>
      <c r="B2" s="83">
        <f>floors!$C$2</f>
        <v>50011</v>
      </c>
      <c r="C2" s="84" t="str">
        <f ca="1">VLOOKUP($B2,OFFSET([2]quests!$A$1,0,0,COUNTA([2]quests!$A:$A),MATCH(C$1,[2]quests!$1:$1,0)-MATCH($B$1,[2]quests!$1:$1,0)+1),MATCH(C$1,[2]quests!$1:$1,0)-MATCH($B$1,[2]quests!$1:$1,0)+1,FALSE)</f>
        <v>ヘラ襲来！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超降臨9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超降臨9</v>
      </c>
      <c r="H2" s="86">
        <v>1</v>
      </c>
      <c r="I2" s="91">
        <f>ROW()-1</f>
        <v>1</v>
      </c>
      <c r="J2" s="87" t="str">
        <f>B2&amp;TEXT(I2,"00")</f>
        <v>5001101</v>
      </c>
      <c r="K2" s="85" t="s">
        <v>196</v>
      </c>
      <c r="L2" s="88" t="s">
        <v>197</v>
      </c>
      <c r="M2" s="124" t="s">
        <v>350</v>
      </c>
      <c r="N2" s="57" t="s">
        <v>198</v>
      </c>
    </row>
    <row r="3" spans="1:14" ht="28" x14ac:dyDescent="0.15">
      <c r="A3" s="82" t="s">
        <v>195</v>
      </c>
      <c r="B3" s="83">
        <f>floors!$C$2</f>
        <v>50011</v>
      </c>
      <c r="C3" s="84" t="str">
        <f ca="1">VLOOKUP($B3,OFFSET([2]quests!$A$1,0,0,COUNTA([2]quests!$A:$A),MATCH(C$1,[2]quests!$1:$1,0)-MATCH($B$1,[2]quests!$1:$1,0)+1),MATCH(C$1,[2]quests!$1:$1,0)-MATCH($B$1,[2]quests!$1:$1,0)+1,FALSE)</f>
        <v>ヘラ襲来！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超降臨9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超降臨9</v>
      </c>
      <c r="H3" s="86">
        <v>2</v>
      </c>
      <c r="I3" s="91">
        <f t="shared" ref="I3:I8" si="0">ROW()-1</f>
        <v>2</v>
      </c>
      <c r="J3" s="87" t="str">
        <f t="shared" ref="J3:J7" si="1">B3&amp;TEXT(I3,"00")</f>
        <v>5001102</v>
      </c>
      <c r="K3" s="85" t="s">
        <v>126</v>
      </c>
      <c r="L3" s="88" t="s">
        <v>197</v>
      </c>
      <c r="M3" s="124" t="s">
        <v>353</v>
      </c>
      <c r="N3" s="57" t="s">
        <v>198</v>
      </c>
    </row>
    <row r="4" spans="1:14" ht="28" x14ac:dyDescent="0.15">
      <c r="A4" s="82" t="s">
        <v>195</v>
      </c>
      <c r="B4" s="83">
        <f>floors!$C$2</f>
        <v>50011</v>
      </c>
      <c r="C4" s="84" t="str">
        <f ca="1">VLOOKUP($B4,OFFSET([2]quests!$A$1,0,0,COUNTA([2]quests!$A:$A),MATCH(C$1,[2]quests!$1:$1,0)-MATCH($B$1,[2]quests!$1:$1,0)+1),MATCH(C$1,[2]quests!$1:$1,0)-MATCH($B$1,[2]quests!$1:$1,0)+1,FALSE)</f>
        <v>ヘラ襲来！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超降臨9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超降臨9</v>
      </c>
      <c r="H4" s="86">
        <v>2</v>
      </c>
      <c r="I4" s="91">
        <f t="shared" si="0"/>
        <v>3</v>
      </c>
      <c r="J4" s="87" t="str">
        <f t="shared" si="1"/>
        <v>5001103</v>
      </c>
      <c r="K4" s="85" t="s">
        <v>126</v>
      </c>
      <c r="L4" s="88" t="s">
        <v>197</v>
      </c>
      <c r="M4" s="124" t="s">
        <v>354</v>
      </c>
      <c r="N4" s="57" t="s">
        <v>198</v>
      </c>
    </row>
    <row r="5" spans="1:14" ht="28" x14ac:dyDescent="0.15">
      <c r="A5" s="82" t="s">
        <v>195</v>
      </c>
      <c r="B5" s="83">
        <f>floors!$C$2</f>
        <v>50011</v>
      </c>
      <c r="C5" s="84" t="str">
        <f ca="1">VLOOKUP($B5,OFFSET([2]quests!$A$1,0,0,COUNTA([2]quests!$A:$A),MATCH(C$1,[2]quests!$1:$1,0)-MATCH($B$1,[2]quests!$1:$1,0)+1),MATCH(C$1,[2]quests!$1:$1,0)-MATCH($B$1,[2]quests!$1:$1,0)+1,FALSE)</f>
        <v>ヘラ襲来！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超降臨9</v>
      </c>
      <c r="E5" s="85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超降臨9</v>
      </c>
      <c r="H5" s="86">
        <v>3</v>
      </c>
      <c r="I5" s="91">
        <f t="shared" si="0"/>
        <v>4</v>
      </c>
      <c r="J5" s="87" t="str">
        <f t="shared" si="1"/>
        <v>5001104</v>
      </c>
      <c r="K5" s="85" t="s">
        <v>126</v>
      </c>
      <c r="L5" s="88" t="s">
        <v>197</v>
      </c>
      <c r="M5" s="124" t="s">
        <v>352</v>
      </c>
      <c r="N5" s="57" t="s">
        <v>198</v>
      </c>
    </row>
    <row r="6" spans="1:14" ht="28" x14ac:dyDescent="0.15">
      <c r="A6" s="82" t="s">
        <v>195</v>
      </c>
      <c r="B6" s="83">
        <f>floors!$C$2</f>
        <v>50011</v>
      </c>
      <c r="C6" s="84" t="str">
        <f ca="1">VLOOKUP($B6,OFFSET([2]quests!$A$1,0,0,COUNTA([2]quests!$A:$A),MATCH(C$1,[2]quests!$1:$1,0)-MATCH($B$1,[2]quests!$1:$1,0)+1),MATCH(C$1,[2]quests!$1:$1,0)-MATCH($B$1,[2]quests!$1:$1,0)+1,FALSE)</f>
        <v>ヘラ襲来！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超降臨9</v>
      </c>
      <c r="E6" s="85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超降臨9</v>
      </c>
      <c r="H6" s="86">
        <v>4</v>
      </c>
      <c r="I6" s="91">
        <f t="shared" si="0"/>
        <v>5</v>
      </c>
      <c r="J6" s="87" t="str">
        <f t="shared" si="1"/>
        <v>5001105</v>
      </c>
      <c r="K6" s="85" t="s">
        <v>126</v>
      </c>
      <c r="L6" s="88" t="s">
        <v>197</v>
      </c>
      <c r="M6" s="124" t="s">
        <v>356</v>
      </c>
      <c r="N6" s="57" t="s">
        <v>198</v>
      </c>
    </row>
    <row r="7" spans="1:14" ht="28" x14ac:dyDescent="0.15">
      <c r="A7" s="82" t="s">
        <v>195</v>
      </c>
      <c r="B7" s="83">
        <f>floors!$C$2</f>
        <v>50011</v>
      </c>
      <c r="C7" s="84" t="str">
        <f ca="1">VLOOKUP($B7,OFFSET([2]quests!$A$1,0,0,COUNTA([2]quests!$A:$A),MATCH(C$1,[2]quests!$1:$1,0)-MATCH($B$1,[2]quests!$1:$1,0)+1),MATCH(C$1,[2]quests!$1:$1,0)-MATCH($B$1,[2]quests!$1:$1,0)+1,FALSE)</f>
        <v>ヘラ襲来！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超降臨9</v>
      </c>
      <c r="E7" s="85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超降臨9</v>
      </c>
      <c r="H7" s="86">
        <v>4</v>
      </c>
      <c r="I7" s="91">
        <f t="shared" si="0"/>
        <v>6</v>
      </c>
      <c r="J7" s="87" t="str">
        <f t="shared" si="1"/>
        <v>5001106</v>
      </c>
      <c r="K7" s="85" t="s">
        <v>126</v>
      </c>
      <c r="L7" s="88" t="s">
        <v>197</v>
      </c>
      <c r="M7" s="124" t="s">
        <v>355</v>
      </c>
      <c r="N7" s="57" t="s">
        <v>198</v>
      </c>
    </row>
    <row r="8" spans="1:14" ht="42" x14ac:dyDescent="0.15">
      <c r="A8" s="82" t="s">
        <v>195</v>
      </c>
      <c r="B8" s="83">
        <f>floors!$C$2</f>
        <v>50011</v>
      </c>
      <c r="C8" s="84" t="str">
        <f ca="1">VLOOKUP($B8,OFFSET([2]quests!$A$1,0,0,COUNTA([2]quests!$A:$A),MATCH(C$1,[2]quests!$1:$1,0)-MATCH($B$1,[2]quests!$1:$1,0)+1),MATCH(C$1,[2]quests!$1:$1,0)-MATCH($B$1,[2]quests!$1:$1,0)+1,FALSE)</f>
        <v>ヘラ襲来！</v>
      </c>
      <c r="D8" s="84" t="str">
        <f ca="1">VLOOKUP($B8,OFFSET([2]quests!$A$1,0,0,COUNTA([2]quests!$A:$A),MATCH(D$1,[2]quests!$1:$1,0)-MATCH($B$1,[2]quests!$1:$1,0)+1),MATCH(D$1,[2]quests!$1:$1,0)-MATCH($B$1,[2]quests!$1:$1,0)+1,FALSE)</f>
        <v>超降臨9</v>
      </c>
      <c r="E8" s="85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超降臨9</v>
      </c>
      <c r="H8" s="86">
        <v>4</v>
      </c>
      <c r="I8" s="91">
        <f t="shared" si="0"/>
        <v>7</v>
      </c>
      <c r="J8" s="87" t="str">
        <f t="shared" ref="J8" si="2">B8&amp;TEXT(I8,"00")</f>
        <v>5001107</v>
      </c>
      <c r="K8" s="85" t="s">
        <v>126</v>
      </c>
      <c r="L8" s="88" t="s">
        <v>197</v>
      </c>
      <c r="M8" s="124" t="s">
        <v>357</v>
      </c>
      <c r="N8" s="57" t="s">
        <v>198</v>
      </c>
    </row>
    <row r="9" spans="1:14" ht="70" x14ac:dyDescent="0.15">
      <c r="A9" s="82" t="s">
        <v>371</v>
      </c>
      <c r="B9" s="83">
        <f>floors!$C$2</f>
        <v>50011</v>
      </c>
      <c r="C9" s="84" t="str">
        <f ca="1">VLOOKUP($B9,OFFSET([2]quests!$A$1,0,0,COUNTA([2]quests!$A:$A),MATCH(C$1,[2]quests!$1:$1,0)-MATCH($B$1,[2]quests!$1:$1,0)+1),MATCH(C$1,[2]quests!$1:$1,0)-MATCH($B$1,[2]quests!$1:$1,0)+1,FALSE)</f>
        <v>ヘラ襲来！</v>
      </c>
      <c r="D9" s="84" t="str">
        <f ca="1">VLOOKUP($B9,OFFSET([2]quests!$A$1,0,0,COUNTA([2]quests!$A:$A),MATCH(D$1,[2]quests!$1:$1,0)-MATCH($B$1,[2]quests!$1:$1,0)+1),MATCH(D$1,[2]quests!$1:$1,0)-MATCH($B$1,[2]quests!$1:$1,0)+1,FALSE)</f>
        <v>超降臨9</v>
      </c>
      <c r="E9" s="85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超降臨9</v>
      </c>
      <c r="H9" s="86">
        <v>0</v>
      </c>
      <c r="I9" s="91">
        <f>ROW()-1</f>
        <v>8</v>
      </c>
      <c r="J9" s="87" t="str">
        <f>B9&amp;TEXT(I9,"00")</f>
        <v>5001108</v>
      </c>
      <c r="K9" s="85" t="s">
        <v>196</v>
      </c>
      <c r="L9" s="88" t="s">
        <v>372</v>
      </c>
      <c r="M9" s="124" t="s">
        <v>375</v>
      </c>
      <c r="N9" s="57" t="s">
        <v>198</v>
      </c>
    </row>
    <row r="10" spans="1:14" ht="70" x14ac:dyDescent="0.15">
      <c r="A10" s="82" t="s">
        <v>371</v>
      </c>
      <c r="B10" s="83">
        <f>floors!$C$2</f>
        <v>50011</v>
      </c>
      <c r="C10" s="84" t="str">
        <f ca="1">VLOOKUP($B10,OFFSET([2]quests!$A$1,0,0,COUNTA([2]quests!$A:$A),MATCH(C$1,[2]quests!$1:$1,0)-MATCH($B$1,[2]quests!$1:$1,0)+1),MATCH(C$1,[2]quests!$1:$1,0)-MATCH($B$1,[2]quests!$1:$1,0)+1,FALSE)</f>
        <v>ヘラ襲来！</v>
      </c>
      <c r="D10" s="84" t="str">
        <f ca="1">VLOOKUP($B10,OFFSET([2]quests!$A$1,0,0,COUNTA([2]quests!$A:$A),MATCH(D$1,[2]quests!$1:$1,0)-MATCH($B$1,[2]quests!$1:$1,0)+1),MATCH(D$1,[2]quests!$1:$1,0)-MATCH($B$1,[2]quests!$1:$1,0)+1,FALSE)</f>
        <v>超降臨9</v>
      </c>
      <c r="E10" s="85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超降臨9</v>
      </c>
      <c r="H10" s="86">
        <v>0</v>
      </c>
      <c r="I10" s="91">
        <f>ROW()-1</f>
        <v>9</v>
      </c>
      <c r="J10" s="87" t="str">
        <f>B10&amp;TEXT(I10,"00")</f>
        <v>5001109</v>
      </c>
      <c r="K10" s="85" t="s">
        <v>196</v>
      </c>
      <c r="L10" s="88" t="s">
        <v>373</v>
      </c>
      <c r="M10" s="124" t="s">
        <v>376</v>
      </c>
      <c r="N10" s="57" t="s">
        <v>198</v>
      </c>
    </row>
    <row r="11" spans="1:14" ht="70" x14ac:dyDescent="0.15">
      <c r="A11" s="82" t="s">
        <v>371</v>
      </c>
      <c r="B11" s="83">
        <f>floors!$C$2</f>
        <v>50011</v>
      </c>
      <c r="C11" s="84" t="str">
        <f ca="1">VLOOKUP($B11,OFFSET([2]quests!$A$1,0,0,COUNTA([2]quests!$A:$A),MATCH(C$1,[2]quests!$1:$1,0)-MATCH($B$1,[2]quests!$1:$1,0)+1),MATCH(C$1,[2]quests!$1:$1,0)-MATCH($B$1,[2]quests!$1:$1,0)+1,FALSE)</f>
        <v>ヘラ襲来！</v>
      </c>
      <c r="D11" s="84" t="str">
        <f ca="1">VLOOKUP($B11,OFFSET([2]quests!$A$1,0,0,COUNTA([2]quests!$A:$A),MATCH(D$1,[2]quests!$1:$1,0)-MATCH($B$1,[2]quests!$1:$1,0)+1),MATCH(D$1,[2]quests!$1:$1,0)-MATCH($B$1,[2]quests!$1:$1,0)+1,FALSE)</f>
        <v>超降臨9</v>
      </c>
      <c r="E11" s="85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超降臨9</v>
      </c>
      <c r="H11" s="86">
        <v>0</v>
      </c>
      <c r="I11" s="91">
        <f>ROW()-1</f>
        <v>10</v>
      </c>
      <c r="J11" s="87" t="str">
        <f>B11&amp;TEXT(I11,"00")</f>
        <v>5001110</v>
      </c>
      <c r="K11" s="85" t="s">
        <v>196</v>
      </c>
      <c r="L11" s="88" t="s">
        <v>378</v>
      </c>
      <c r="M11" s="124" t="s">
        <v>379</v>
      </c>
      <c r="N11" s="57" t="s">
        <v>198</v>
      </c>
    </row>
    <row r="12" spans="1:14" ht="70" x14ac:dyDescent="0.15">
      <c r="A12" s="82" t="s">
        <v>371</v>
      </c>
      <c r="B12" s="83">
        <f>floors!$C$2</f>
        <v>50011</v>
      </c>
      <c r="C12" s="84" t="str">
        <f ca="1">VLOOKUP($B12,OFFSET([2]quests!$A$1,0,0,COUNTA([2]quests!$A:$A),MATCH(C$1,[2]quests!$1:$1,0)-MATCH($B$1,[2]quests!$1:$1,0)+1),MATCH(C$1,[2]quests!$1:$1,0)-MATCH($B$1,[2]quests!$1:$1,0)+1,FALSE)</f>
        <v>ヘラ襲来！</v>
      </c>
      <c r="D12" s="84" t="str">
        <f ca="1">VLOOKUP($B12,OFFSET([2]quests!$A$1,0,0,COUNTA([2]quests!$A:$A),MATCH(D$1,[2]quests!$1:$1,0)-MATCH($B$1,[2]quests!$1:$1,0)+1),MATCH(D$1,[2]quests!$1:$1,0)-MATCH($B$1,[2]quests!$1:$1,0)+1,FALSE)</f>
        <v>超降臨9</v>
      </c>
      <c r="E12" s="85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超降臨9</v>
      </c>
      <c r="H12" s="86">
        <v>0</v>
      </c>
      <c r="I12" s="91">
        <f>ROW()-1</f>
        <v>11</v>
      </c>
      <c r="J12" s="87" t="str">
        <f>B12&amp;TEXT(I12,"00")</f>
        <v>5001111</v>
      </c>
      <c r="K12" s="85" t="s">
        <v>196</v>
      </c>
      <c r="L12" s="88" t="s">
        <v>374</v>
      </c>
      <c r="M12" s="124" t="s">
        <v>377</v>
      </c>
      <c r="N12" s="57" t="s">
        <v>198</v>
      </c>
    </row>
  </sheetData>
  <phoneticPr fontId="5"/>
  <dataValidations count="1">
    <dataValidation type="list" allowBlank="1" showInputMessage="1" showErrorMessage="1" sqref="A2:A1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L32" sqref="L3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5" t="s">
        <v>210</v>
      </c>
      <c r="B1" s="96" t="s">
        <v>211</v>
      </c>
      <c r="C1" s="78" t="s">
        <v>212</v>
      </c>
      <c r="D1" s="78" t="s">
        <v>33</v>
      </c>
      <c r="E1" s="96" t="s">
        <v>213</v>
      </c>
      <c r="F1" s="78" t="s">
        <v>214</v>
      </c>
      <c r="G1" s="78" t="s">
        <v>33</v>
      </c>
      <c r="H1" s="96" t="s">
        <v>215</v>
      </c>
      <c r="I1" s="96" t="s">
        <v>216</v>
      </c>
      <c r="J1" s="96" t="s">
        <v>217</v>
      </c>
      <c r="K1" s="74" t="s">
        <v>218</v>
      </c>
      <c r="L1" s="74" t="s">
        <v>219</v>
      </c>
      <c r="M1" s="74" t="s">
        <v>155</v>
      </c>
      <c r="N1" s="78" t="s">
        <v>16</v>
      </c>
      <c r="O1" s="74" t="s">
        <v>220</v>
      </c>
      <c r="P1" s="74" t="s">
        <v>57</v>
      </c>
      <c r="Q1" s="74" t="s">
        <v>221</v>
      </c>
      <c r="R1" s="74" t="s">
        <v>38</v>
      </c>
      <c r="S1" s="74" t="s">
        <v>40</v>
      </c>
      <c r="T1" s="74" t="s">
        <v>42</v>
      </c>
      <c r="U1" s="74" t="s">
        <v>44</v>
      </c>
      <c r="V1" s="74" t="s">
        <v>46</v>
      </c>
      <c r="W1" s="74" t="s">
        <v>222</v>
      </c>
      <c r="X1" s="74" t="s">
        <v>223</v>
      </c>
    </row>
    <row r="2" spans="1:24" x14ac:dyDescent="0.15">
      <c r="A2" s="97" t="str">
        <f>B2&amp;"_"&amp;E2&amp;"_"&amp;H2&amp;"_"&amp;I2&amp;"_"&amp;J2</f>
        <v>50011_1_everyone_full_member_1</v>
      </c>
      <c r="B2" s="83">
        <v>50011</v>
      </c>
      <c r="C2" s="84" t="str">
        <f ca="1">VLOOKUP($B2,OFFSET([2]quests!$A$1,0,0,COUNTA([2]quests!$A:$A),MATCH(C$1,[2]quests!$1:$1,0)-MATCH($B$1,[2]quests!$1:$1,0)+1),MATCH(C$1,[2]quests!$1:$1,0)-MATCH($B$1,[2]quests!$1:$1,0)+1,FALSE)</f>
        <v>ヘラ襲来！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超降臨9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超降臨9</v>
      </c>
      <c r="H2" s="86" t="s">
        <v>224</v>
      </c>
      <c r="I2" s="85" t="s">
        <v>255</v>
      </c>
      <c r="J2" s="85">
        <v>1</v>
      </c>
      <c r="K2" s="85">
        <v>100</v>
      </c>
      <c r="L2" s="85" t="s">
        <v>225</v>
      </c>
      <c r="M2" s="85">
        <v>1206</v>
      </c>
      <c r="N2" s="9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ヘラ</v>
      </c>
      <c r="O2" s="85">
        <v>1</v>
      </c>
      <c r="P2" s="85">
        <v>1</v>
      </c>
      <c r="Q2" s="85">
        <v>1</v>
      </c>
      <c r="R2" s="85">
        <v>0</v>
      </c>
      <c r="S2" s="85">
        <v>0</v>
      </c>
      <c r="T2" s="85">
        <v>0</v>
      </c>
      <c r="U2" s="85">
        <v>0</v>
      </c>
      <c r="V2" s="85">
        <v>1</v>
      </c>
      <c r="W2" s="99" t="s">
        <v>226</v>
      </c>
      <c r="X2" s="100" t="s">
        <v>227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2017-05-08T08:07:20Z</dcterms:modified>
</cp:coreProperties>
</file>